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iowamac-my.sharepoint.com/personal/john_parker_dom_iowa_gov/Documents/AEA/FY2026/"/>
    </mc:Choice>
  </mc:AlternateContent>
  <xr:revisionPtr revIDLastSave="404" documentId="8_{044DCBAE-33DC-48BD-9AF6-ABD20CE673EC}" xr6:coauthVersionLast="47" xr6:coauthVersionMax="47" xr10:uidLastSave="{E07A0F47-273C-4CFD-A32B-4666C4F30978}"/>
  <bookViews>
    <workbookView xWindow="28680" yWindow="-120" windowWidth="29040" windowHeight="15840" tabRatio="822" xr2:uid="{AD34B8E3-686C-4FD1-8DD0-29F22A176A82}"/>
  </bookViews>
  <sheets>
    <sheet name="Description of Tabs" sheetId="20" r:id="rId1"/>
    <sheet name="AEA Payment Summary" sheetId="11" r:id="rId2"/>
    <sheet name="DetailByDistrict" sheetId="12" r:id="rId3"/>
    <sheet name="DetailByAEA" sheetId="13" r:id="rId4"/>
    <sheet name="Special Education Breakdown" sheetId="9" r:id="rId5"/>
    <sheet name="Special Education By AEA" sheetId="10" r:id="rId6"/>
    <sheet name="ActiveSchools" sheetId="15" state="hidden" r:id="rId7"/>
    <sheet name="Media&amp;EdByAEA,Dist,Nonpublic" sheetId="16" r:id="rId8"/>
    <sheet name="Media&amp;EdByAEA,Nonpublic" sheetId="17" r:id="rId9"/>
    <sheet name="Media&amp;EdByNonpublic" sheetId="18" r:id="rId10"/>
    <sheet name="Methodology for Nonpublic Distr" sheetId="19" state="hidden" r:id="rId11"/>
    <sheet name="Breakdown" sheetId="6" state="hidden" r:id="rId12"/>
  </sheets>
  <definedNames>
    <definedName name="AEA_Name">#REF!</definedName>
    <definedName name="_xlnm.Print_Area" localSheetId="1">'AEA Payment Summary'!$C$6:$M$16</definedName>
    <definedName name="_xlnm.Print_Area" localSheetId="3">DetailByAEA!$B$4:$J$61</definedName>
    <definedName name="_xlnm.Print_Area" localSheetId="2">DetailByDistrict[#All]</definedName>
    <definedName name="_xlnm.Print_Area" localSheetId="7">'Media&amp;EdByAEA,Dist,Nonpublic'!$A$1:$M$1349</definedName>
    <definedName name="_xlnm.Print_Area" localSheetId="8">'Media&amp;EdByAEA,Nonpublic'!$A$1:$G$290</definedName>
    <definedName name="_xlnm.Print_Area" localSheetId="9">'Media&amp;EdByNonpublic'!$A$1:$E$214</definedName>
    <definedName name="_xlnm.Print_Area" localSheetId="4">'Special Education Breakdown'!$A$1:$X$330</definedName>
    <definedName name="_xlnm.Print_Area" localSheetId="5">'Special Education By AEA'!$B$1:$J$29</definedName>
    <definedName name="_xlnm.Print_Titles" localSheetId="2">DetailByDistrict!$1:$1</definedName>
    <definedName name="_xlnm.Print_Titles" localSheetId="7">'Media&amp;EdByAEA,Dist,Nonpublic'!$1:$2</definedName>
    <definedName name="_xlnm.Print_Titles" localSheetId="8">'Media&amp;EdByAEA,Nonpublic'!$1:$2</definedName>
    <definedName name="_xlnm.Print_Titles" localSheetId="9">'Media&amp;EdByNonpublic'!$1:$2</definedName>
    <definedName name="_xlnm.Print_Titles" localSheetId="4">'Special Education Breakdown'!$1:$4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1" i="18" l="1"/>
  <c r="L3" i="16"/>
  <c r="J3" i="16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153" i="18"/>
  <c r="E154" i="18"/>
  <c r="E155" i="18"/>
  <c r="E156" i="18"/>
  <c r="E157" i="18"/>
  <c r="E158" i="18"/>
  <c r="E159" i="18"/>
  <c r="E160" i="18"/>
  <c r="E161" i="18"/>
  <c r="E162" i="18"/>
  <c r="E163" i="18"/>
  <c r="E164" i="18"/>
  <c r="E165" i="18"/>
  <c r="E166" i="18"/>
  <c r="E167" i="18"/>
  <c r="E168" i="18"/>
  <c r="E169" i="18"/>
  <c r="E170" i="18"/>
  <c r="E172" i="18"/>
  <c r="E173" i="18"/>
  <c r="E174" i="18"/>
  <c r="E175" i="18"/>
  <c r="E176" i="18"/>
  <c r="E177" i="18"/>
  <c r="E178" i="18"/>
  <c r="E179" i="18"/>
  <c r="E180" i="18"/>
  <c r="E181" i="18"/>
  <c r="E182" i="18"/>
  <c r="E183" i="18"/>
  <c r="E184" i="18"/>
  <c r="E185" i="18"/>
  <c r="E186" i="18"/>
  <c r="E187" i="18"/>
  <c r="E188" i="18"/>
  <c r="E189" i="18"/>
  <c r="E190" i="18"/>
  <c r="E191" i="18"/>
  <c r="E192" i="18"/>
  <c r="E193" i="18"/>
  <c r="E194" i="18"/>
  <c r="E195" i="18"/>
  <c r="E196" i="18"/>
  <c r="E197" i="18"/>
  <c r="E198" i="18"/>
  <c r="E199" i="18"/>
  <c r="E200" i="18"/>
  <c r="E201" i="18"/>
  <c r="E202" i="18"/>
  <c r="E203" i="18"/>
  <c r="E204" i="18"/>
  <c r="E205" i="18"/>
  <c r="E206" i="18"/>
  <c r="E207" i="18"/>
  <c r="E208" i="18"/>
  <c r="E209" i="18"/>
  <c r="E210" i="18"/>
  <c r="E211" i="18"/>
  <c r="E212" i="18"/>
  <c r="E213" i="18"/>
  <c r="E214" i="18"/>
  <c r="E3" i="18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69" i="18"/>
  <c r="D170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207" i="18"/>
  <c r="D208" i="18"/>
  <c r="D209" i="18"/>
  <c r="D210" i="18"/>
  <c r="D212" i="18"/>
  <c r="D213" i="18"/>
  <c r="D214" i="18"/>
  <c r="D3" i="18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M1266" i="16"/>
  <c r="M1267" i="16"/>
  <c r="M1268" i="16"/>
  <c r="M1269" i="16"/>
  <c r="M1270" i="16"/>
  <c r="M1271" i="16"/>
  <c r="M1272" i="16"/>
  <c r="M1273" i="16"/>
  <c r="M1274" i="16"/>
  <c r="M1275" i="16"/>
  <c r="M1276" i="16"/>
  <c r="M1277" i="16"/>
  <c r="M1278" i="16"/>
  <c r="M1279" i="16"/>
  <c r="M1280" i="16"/>
  <c r="M1281" i="16"/>
  <c r="M1282" i="16"/>
  <c r="M1283" i="16"/>
  <c r="M1284" i="16"/>
  <c r="M1285" i="16"/>
  <c r="M1286" i="16"/>
  <c r="M1287" i="16"/>
  <c r="M1288" i="16"/>
  <c r="M1289" i="16"/>
  <c r="M1290" i="16"/>
  <c r="M1291" i="16"/>
  <c r="M1292" i="16"/>
  <c r="M1293" i="16"/>
  <c r="M1294" i="16"/>
  <c r="M1295" i="16"/>
  <c r="M1296" i="16"/>
  <c r="M1297" i="16"/>
  <c r="M1298" i="16"/>
  <c r="M1299" i="16"/>
  <c r="M1300" i="16"/>
  <c r="M1301" i="16"/>
  <c r="M1302" i="16"/>
  <c r="M1303" i="16"/>
  <c r="M1304" i="16"/>
  <c r="M1305" i="16"/>
  <c r="M1306" i="16"/>
  <c r="M1307" i="16"/>
  <c r="M1308" i="16"/>
  <c r="M1309" i="16"/>
  <c r="M1310" i="16"/>
  <c r="M1311" i="16"/>
  <c r="M1312" i="16"/>
  <c r="M1313" i="16"/>
  <c r="M1314" i="16"/>
  <c r="M1315" i="16"/>
  <c r="M1316" i="16"/>
  <c r="M1317" i="16"/>
  <c r="M1318" i="16"/>
  <c r="M1319" i="16"/>
  <c r="M1320" i="16"/>
  <c r="M1321" i="16"/>
  <c r="M1322" i="16"/>
  <c r="M1323" i="16"/>
  <c r="M1324" i="16"/>
  <c r="M1325" i="16"/>
  <c r="M1326" i="16"/>
  <c r="M1327" i="16"/>
  <c r="M1328" i="16"/>
  <c r="M1329" i="16"/>
  <c r="M1330" i="16"/>
  <c r="M1331" i="16"/>
  <c r="M1332" i="16"/>
  <c r="M1333" i="16"/>
  <c r="M1334" i="16"/>
  <c r="M1335" i="16"/>
  <c r="M1336" i="16"/>
  <c r="M1337" i="16"/>
  <c r="M1338" i="16"/>
  <c r="M1339" i="16"/>
  <c r="M1340" i="16"/>
  <c r="M1341" i="16"/>
  <c r="M1342" i="16"/>
  <c r="M1343" i="16"/>
  <c r="M1344" i="16"/>
  <c r="M1345" i="16"/>
  <c r="M1346" i="16"/>
  <c r="M1347" i="16"/>
  <c r="L1266" i="16"/>
  <c r="L1268" i="16"/>
  <c r="L1269" i="16"/>
  <c r="L1270" i="16"/>
  <c r="L1271" i="16"/>
  <c r="L1272" i="16"/>
  <c r="L1273" i="16"/>
  <c r="L1274" i="16"/>
  <c r="L1275" i="16"/>
  <c r="L1276" i="16"/>
  <c r="L1277" i="16"/>
  <c r="L1278" i="16"/>
  <c r="L1279" i="16"/>
  <c r="L1280" i="16"/>
  <c r="L1281" i="16"/>
  <c r="L1282" i="16"/>
  <c r="L1283" i="16"/>
  <c r="L1284" i="16"/>
  <c r="L1285" i="16"/>
  <c r="L1286" i="16"/>
  <c r="L1287" i="16"/>
  <c r="L1288" i="16"/>
  <c r="L1289" i="16"/>
  <c r="L1290" i="16"/>
  <c r="L1291" i="16"/>
  <c r="L1292" i="16"/>
  <c r="L1293" i="16"/>
  <c r="L1294" i="16"/>
  <c r="L1295" i="16"/>
  <c r="L1296" i="16"/>
  <c r="L1297" i="16"/>
  <c r="L1298" i="16"/>
  <c r="L1299" i="16"/>
  <c r="L1300" i="16"/>
  <c r="L1301" i="16"/>
  <c r="L1302" i="16"/>
  <c r="L1303" i="16"/>
  <c r="L1304" i="16"/>
  <c r="L1305" i="16"/>
  <c r="L1306" i="16"/>
  <c r="L1307" i="16"/>
  <c r="L1308" i="16"/>
  <c r="L1309" i="16"/>
  <c r="L1310" i="16"/>
  <c r="L1311" i="16"/>
  <c r="L1312" i="16"/>
  <c r="L1313" i="16"/>
  <c r="L1314" i="16"/>
  <c r="L1315" i="16"/>
  <c r="L1316" i="16"/>
  <c r="L1317" i="16"/>
  <c r="L1318" i="16"/>
  <c r="L1319" i="16"/>
  <c r="L1320" i="16"/>
  <c r="L1321" i="16"/>
  <c r="L1322" i="16"/>
  <c r="L1323" i="16"/>
  <c r="L1324" i="16"/>
  <c r="L1325" i="16"/>
  <c r="L1326" i="16"/>
  <c r="L1327" i="16"/>
  <c r="L1328" i="16"/>
  <c r="L1329" i="16"/>
  <c r="L1330" i="16"/>
  <c r="L1331" i="16"/>
  <c r="L1332" i="16"/>
  <c r="L1333" i="16"/>
  <c r="L1334" i="16"/>
  <c r="L1335" i="16"/>
  <c r="L1336" i="16"/>
  <c r="L1337" i="16"/>
  <c r="L1338" i="16"/>
  <c r="L1339" i="16"/>
  <c r="L1340" i="16"/>
  <c r="L1341" i="16"/>
  <c r="L1342" i="16"/>
  <c r="L1343" i="16"/>
  <c r="L1344" i="16"/>
  <c r="L1345" i="16"/>
  <c r="L1346" i="16"/>
  <c r="L1347" i="16"/>
  <c r="L1267" i="16"/>
  <c r="M1264" i="16"/>
  <c r="M1265" i="16" s="1"/>
  <c r="L1062" i="16"/>
  <c r="L1068" i="16"/>
  <c r="L1067" i="16"/>
  <c r="L1198" i="16"/>
  <c r="L1187" i="16"/>
  <c r="L1089" i="16"/>
  <c r="L1058" i="16"/>
  <c r="L1059" i="16"/>
  <c r="L1060" i="16"/>
  <c r="L1061" i="16"/>
  <c r="L1063" i="16"/>
  <c r="L1064" i="16"/>
  <c r="L1065" i="16"/>
  <c r="L1066" i="16"/>
  <c r="L1069" i="16"/>
  <c r="L1070" i="16"/>
  <c r="L1071" i="16"/>
  <c r="L1072" i="16"/>
  <c r="L1073" i="16"/>
  <c r="L1074" i="16"/>
  <c r="L1075" i="16"/>
  <c r="L1076" i="16"/>
  <c r="L1077" i="16"/>
  <c r="L1078" i="16"/>
  <c r="L1079" i="16"/>
  <c r="L1080" i="16"/>
  <c r="L1081" i="16"/>
  <c r="L1082" i="16"/>
  <c r="L1083" i="16"/>
  <c r="L1084" i="16"/>
  <c r="L1085" i="16"/>
  <c r="L1086" i="16"/>
  <c r="L1087" i="16"/>
  <c r="L1088" i="16"/>
  <c r="L1090" i="16"/>
  <c r="L1091" i="16"/>
  <c r="L1092" i="16"/>
  <c r="L1093" i="16"/>
  <c r="L1094" i="16"/>
  <c r="L1095" i="16"/>
  <c r="L1096" i="16"/>
  <c r="L1097" i="16"/>
  <c r="L1098" i="16"/>
  <c r="L1099" i="16"/>
  <c r="L1100" i="16"/>
  <c r="L1101" i="16"/>
  <c r="L1102" i="16"/>
  <c r="L1103" i="16"/>
  <c r="L1104" i="16"/>
  <c r="L1105" i="16"/>
  <c r="L1106" i="16"/>
  <c r="L1107" i="16"/>
  <c r="L1108" i="16"/>
  <c r="L1109" i="16"/>
  <c r="L1110" i="16"/>
  <c r="L1111" i="16"/>
  <c r="L1112" i="16"/>
  <c r="L1113" i="16"/>
  <c r="L1114" i="16"/>
  <c r="L1115" i="16"/>
  <c r="L1116" i="16"/>
  <c r="L1117" i="16"/>
  <c r="L1118" i="16"/>
  <c r="L1119" i="16"/>
  <c r="L1120" i="16"/>
  <c r="L1121" i="16"/>
  <c r="L1122" i="16"/>
  <c r="L1123" i="16"/>
  <c r="L1124" i="16"/>
  <c r="L1125" i="16"/>
  <c r="L1126" i="16"/>
  <c r="L1127" i="16"/>
  <c r="L1128" i="16"/>
  <c r="L1129" i="16"/>
  <c r="L1130" i="16"/>
  <c r="L1131" i="16"/>
  <c r="L1132" i="16"/>
  <c r="L1133" i="16"/>
  <c r="L1134" i="16"/>
  <c r="L1135" i="16"/>
  <c r="L1136" i="16"/>
  <c r="L1137" i="16"/>
  <c r="L1138" i="16"/>
  <c r="L1139" i="16"/>
  <c r="L1140" i="16"/>
  <c r="L1141" i="16"/>
  <c r="L1142" i="16"/>
  <c r="L1143" i="16"/>
  <c r="L1144" i="16"/>
  <c r="L1145" i="16"/>
  <c r="L1146" i="16"/>
  <c r="L1147" i="16"/>
  <c r="L1148" i="16"/>
  <c r="L1149" i="16"/>
  <c r="L1150" i="16"/>
  <c r="L1151" i="16"/>
  <c r="L1152" i="16"/>
  <c r="L1153" i="16"/>
  <c r="L1154" i="16"/>
  <c r="L1155" i="16"/>
  <c r="L1156" i="16"/>
  <c r="L1157" i="16"/>
  <c r="L1158" i="16"/>
  <c r="L1159" i="16"/>
  <c r="L1160" i="16"/>
  <c r="L1161" i="16"/>
  <c r="L1162" i="16"/>
  <c r="L1163" i="16"/>
  <c r="L1164" i="16"/>
  <c r="L1165" i="16"/>
  <c r="L1166" i="16"/>
  <c r="L1167" i="16"/>
  <c r="L1168" i="16"/>
  <c r="L1169" i="16"/>
  <c r="L1170" i="16"/>
  <c r="L1171" i="16"/>
  <c r="L1172" i="16"/>
  <c r="L1173" i="16"/>
  <c r="L1174" i="16"/>
  <c r="L1175" i="16"/>
  <c r="L1176" i="16"/>
  <c r="L1177" i="16"/>
  <c r="L1178" i="16"/>
  <c r="L1179" i="16"/>
  <c r="L1180" i="16"/>
  <c r="L1181" i="16"/>
  <c r="L1182" i="16"/>
  <c r="L1183" i="16"/>
  <c r="L1184" i="16"/>
  <c r="L1185" i="16"/>
  <c r="L1186" i="16"/>
  <c r="L1188" i="16"/>
  <c r="L1189" i="16"/>
  <c r="L1190" i="16"/>
  <c r="L1191" i="16"/>
  <c r="L1192" i="16"/>
  <c r="L1193" i="16"/>
  <c r="L1194" i="16"/>
  <c r="L1195" i="16"/>
  <c r="L1196" i="16"/>
  <c r="L1197" i="16"/>
  <c r="L1199" i="16"/>
  <c r="L1200" i="16"/>
  <c r="L1201" i="16"/>
  <c r="L1202" i="16"/>
  <c r="L1203" i="16"/>
  <c r="L1204" i="16"/>
  <c r="L1205" i="16"/>
  <c r="L1206" i="16"/>
  <c r="L1207" i="16"/>
  <c r="L1208" i="16"/>
  <c r="L1209" i="16"/>
  <c r="L1210" i="16"/>
  <c r="L1211" i="16"/>
  <c r="L1212" i="16"/>
  <c r="L1213" i="16"/>
  <c r="L1214" i="16"/>
  <c r="L1215" i="16"/>
  <c r="L1216" i="16"/>
  <c r="L1057" i="16"/>
  <c r="M1217" i="16"/>
  <c r="M711" i="16"/>
  <c r="M1056" i="16" s="1"/>
  <c r="L711" i="16"/>
  <c r="L1056" i="16" s="1"/>
  <c r="M560" i="16"/>
  <c r="M589" i="16"/>
  <c r="L581" i="16"/>
  <c r="L650" i="16" s="1"/>
  <c r="M416" i="16"/>
  <c r="M448" i="16" s="1"/>
  <c r="M285" i="16"/>
  <c r="M353" i="16" s="1"/>
  <c r="L285" i="16"/>
  <c r="L353" i="16" s="1"/>
  <c r="L116" i="16"/>
  <c r="M51" i="16"/>
  <c r="L23" i="16"/>
  <c r="M170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39" i="16"/>
  <c r="M40" i="16"/>
  <c r="M41" i="16"/>
  <c r="M42" i="16"/>
  <c r="M43" i="16"/>
  <c r="M44" i="16"/>
  <c r="M45" i="16"/>
  <c r="M46" i="16"/>
  <c r="M47" i="16"/>
  <c r="M48" i="16"/>
  <c r="M49" i="16"/>
  <c r="M50" i="16"/>
  <c r="M52" i="16"/>
  <c r="M53" i="16"/>
  <c r="M54" i="16"/>
  <c r="M55" i="16"/>
  <c r="M56" i="16"/>
  <c r="M57" i="16"/>
  <c r="M58" i="16"/>
  <c r="M59" i="16"/>
  <c r="M60" i="16"/>
  <c r="M61" i="16"/>
  <c r="M62" i="16"/>
  <c r="M63" i="16"/>
  <c r="M64" i="16"/>
  <c r="M65" i="16"/>
  <c r="M66" i="16"/>
  <c r="M67" i="16"/>
  <c r="M68" i="16"/>
  <c r="M69" i="16"/>
  <c r="M70" i="16"/>
  <c r="M71" i="16"/>
  <c r="M72" i="16"/>
  <c r="M73" i="16"/>
  <c r="M74" i="16"/>
  <c r="M75" i="16"/>
  <c r="M76" i="16"/>
  <c r="M77" i="16"/>
  <c r="M78" i="16"/>
  <c r="M79" i="16"/>
  <c r="M80" i="16"/>
  <c r="M81" i="16"/>
  <c r="M82" i="16"/>
  <c r="M83" i="16"/>
  <c r="M85" i="16"/>
  <c r="M86" i="16"/>
  <c r="M87" i="16"/>
  <c r="M88" i="16"/>
  <c r="M89" i="16"/>
  <c r="M90" i="16"/>
  <c r="M91" i="16"/>
  <c r="M92" i="16"/>
  <c r="M93" i="16"/>
  <c r="M94" i="16"/>
  <c r="M95" i="16"/>
  <c r="M96" i="16"/>
  <c r="M97" i="16"/>
  <c r="M98" i="16"/>
  <c r="M99" i="16"/>
  <c r="M100" i="16"/>
  <c r="M101" i="16"/>
  <c r="M102" i="16"/>
  <c r="M103" i="16"/>
  <c r="M104" i="16"/>
  <c r="M105" i="16"/>
  <c r="M106" i="16"/>
  <c r="M107" i="16"/>
  <c r="M108" i="16"/>
  <c r="M109" i="16"/>
  <c r="M110" i="16"/>
  <c r="M111" i="16"/>
  <c r="M112" i="16"/>
  <c r="M113" i="16"/>
  <c r="M114" i="16"/>
  <c r="M115" i="16"/>
  <c r="M116" i="16"/>
  <c r="M117" i="16"/>
  <c r="M118" i="16"/>
  <c r="M119" i="16"/>
  <c r="M120" i="16"/>
  <c r="M121" i="16"/>
  <c r="M122" i="16"/>
  <c r="M123" i="16"/>
  <c r="M124" i="16"/>
  <c r="M125" i="16"/>
  <c r="M126" i="16"/>
  <c r="M127" i="16"/>
  <c r="M128" i="16"/>
  <c r="M129" i="16"/>
  <c r="M130" i="16"/>
  <c r="M131" i="16"/>
  <c r="M132" i="16"/>
  <c r="M133" i="16"/>
  <c r="M134" i="16"/>
  <c r="M135" i="16"/>
  <c r="M136" i="16"/>
  <c r="M137" i="16"/>
  <c r="M138" i="16"/>
  <c r="M139" i="16"/>
  <c r="M140" i="16"/>
  <c r="M141" i="16"/>
  <c r="M142" i="16"/>
  <c r="M143" i="16"/>
  <c r="M144" i="16"/>
  <c r="M145" i="16"/>
  <c r="M146" i="16"/>
  <c r="M147" i="16"/>
  <c r="M148" i="16"/>
  <c r="M149" i="16"/>
  <c r="M150" i="16"/>
  <c r="M151" i="16"/>
  <c r="M152" i="16"/>
  <c r="M153" i="16"/>
  <c r="M154" i="16"/>
  <c r="M155" i="16"/>
  <c r="M156" i="16"/>
  <c r="M157" i="16"/>
  <c r="M158" i="16"/>
  <c r="M159" i="16"/>
  <c r="M160" i="16"/>
  <c r="M161" i="16"/>
  <c r="M162" i="16"/>
  <c r="M163" i="16"/>
  <c r="M164" i="16"/>
  <c r="M165" i="16"/>
  <c r="M166" i="16"/>
  <c r="M167" i="16"/>
  <c r="M168" i="16"/>
  <c r="M169" i="16"/>
  <c r="M171" i="16"/>
  <c r="M172" i="16"/>
  <c r="M173" i="16"/>
  <c r="M174" i="16"/>
  <c r="M175" i="16"/>
  <c r="M176" i="16"/>
  <c r="M177" i="16"/>
  <c r="M178" i="16"/>
  <c r="M179" i="16"/>
  <c r="M180" i="16"/>
  <c r="M181" i="16"/>
  <c r="M182" i="16"/>
  <c r="M183" i="16"/>
  <c r="M184" i="16"/>
  <c r="M185" i="16"/>
  <c r="M186" i="16"/>
  <c r="M187" i="16"/>
  <c r="M188" i="16"/>
  <c r="M189" i="16"/>
  <c r="M190" i="16"/>
  <c r="M191" i="16"/>
  <c r="M192" i="16"/>
  <c r="M193" i="16"/>
  <c r="M194" i="16"/>
  <c r="M195" i="16"/>
  <c r="M196" i="16"/>
  <c r="M197" i="16"/>
  <c r="M198" i="16"/>
  <c r="M199" i="16"/>
  <c r="M200" i="16"/>
  <c r="M201" i="16"/>
  <c r="M202" i="16"/>
  <c r="M203" i="16"/>
  <c r="M204" i="16"/>
  <c r="M205" i="16"/>
  <c r="M206" i="16"/>
  <c r="M207" i="16"/>
  <c r="M208" i="16"/>
  <c r="M209" i="16"/>
  <c r="M210" i="16"/>
  <c r="M211" i="16"/>
  <c r="M212" i="16"/>
  <c r="M213" i="16"/>
  <c r="M214" i="16"/>
  <c r="M215" i="16"/>
  <c r="M216" i="16"/>
  <c r="M217" i="16"/>
  <c r="M218" i="16"/>
  <c r="M219" i="16"/>
  <c r="M220" i="16"/>
  <c r="M221" i="16"/>
  <c r="M222" i="16"/>
  <c r="M223" i="16"/>
  <c r="M224" i="16"/>
  <c r="M225" i="16"/>
  <c r="M226" i="16"/>
  <c r="M227" i="16"/>
  <c r="M228" i="16"/>
  <c r="M229" i="16"/>
  <c r="M230" i="16"/>
  <c r="M231" i="16"/>
  <c r="M232" i="16"/>
  <c r="M233" i="16"/>
  <c r="M234" i="16"/>
  <c r="M235" i="16"/>
  <c r="M236" i="16"/>
  <c r="M237" i="16"/>
  <c r="M238" i="16"/>
  <c r="M239" i="16"/>
  <c r="M240" i="16"/>
  <c r="M241" i="16"/>
  <c r="M242" i="16"/>
  <c r="M243" i="16"/>
  <c r="M244" i="16"/>
  <c r="M245" i="16"/>
  <c r="M246" i="16"/>
  <c r="M247" i="16"/>
  <c r="M248" i="16"/>
  <c r="M249" i="16"/>
  <c r="M250" i="16"/>
  <c r="M251" i="16"/>
  <c r="M252" i="16"/>
  <c r="M253" i="16"/>
  <c r="M254" i="16"/>
  <c r="M255" i="16"/>
  <c r="M256" i="16"/>
  <c r="M257" i="16"/>
  <c r="M258" i="16"/>
  <c r="M259" i="16"/>
  <c r="M260" i="16"/>
  <c r="M261" i="16"/>
  <c r="M262" i="16"/>
  <c r="M263" i="16"/>
  <c r="M264" i="16"/>
  <c r="M265" i="16"/>
  <c r="M266" i="16"/>
  <c r="M267" i="16"/>
  <c r="M268" i="16"/>
  <c r="M269" i="16"/>
  <c r="M270" i="16"/>
  <c r="M271" i="16"/>
  <c r="M272" i="16"/>
  <c r="M273" i="16"/>
  <c r="M274" i="16"/>
  <c r="M275" i="16"/>
  <c r="M276" i="16"/>
  <c r="M277" i="16"/>
  <c r="M278" i="16"/>
  <c r="M279" i="16"/>
  <c r="M280" i="16"/>
  <c r="M281" i="16"/>
  <c r="M282" i="16"/>
  <c r="M283" i="16"/>
  <c r="M284" i="16"/>
  <c r="M286" i="16"/>
  <c r="M287" i="16"/>
  <c r="M288" i="16"/>
  <c r="M289" i="16"/>
  <c r="M290" i="16"/>
  <c r="M291" i="16"/>
  <c r="M292" i="16"/>
  <c r="M293" i="16"/>
  <c r="M294" i="16"/>
  <c r="M295" i="16"/>
  <c r="M296" i="16"/>
  <c r="M297" i="16"/>
  <c r="M298" i="16"/>
  <c r="M299" i="16"/>
  <c r="M300" i="16"/>
  <c r="M301" i="16"/>
  <c r="M302" i="16"/>
  <c r="M303" i="16"/>
  <c r="M304" i="16"/>
  <c r="M305" i="16"/>
  <c r="M306" i="16"/>
  <c r="M307" i="16"/>
  <c r="M308" i="16"/>
  <c r="M309" i="16"/>
  <c r="M310" i="16"/>
  <c r="M311" i="16"/>
  <c r="M312" i="16"/>
  <c r="M313" i="16"/>
  <c r="M314" i="16"/>
  <c r="M315" i="16"/>
  <c r="M316" i="16"/>
  <c r="M317" i="16"/>
  <c r="M318" i="16"/>
  <c r="M319" i="16"/>
  <c r="M320" i="16"/>
  <c r="M321" i="16"/>
  <c r="M322" i="16"/>
  <c r="M323" i="16"/>
  <c r="M324" i="16"/>
  <c r="M325" i="16"/>
  <c r="M326" i="16"/>
  <c r="M327" i="16"/>
  <c r="M328" i="16"/>
  <c r="M329" i="16"/>
  <c r="M330" i="16"/>
  <c r="M331" i="16"/>
  <c r="M332" i="16"/>
  <c r="M333" i="16"/>
  <c r="M334" i="16"/>
  <c r="M335" i="16"/>
  <c r="M336" i="16"/>
  <c r="M337" i="16"/>
  <c r="M338" i="16"/>
  <c r="M339" i="16"/>
  <c r="M340" i="16"/>
  <c r="M341" i="16"/>
  <c r="M342" i="16"/>
  <c r="M343" i="16"/>
  <c r="M344" i="16"/>
  <c r="M345" i="16"/>
  <c r="M346" i="16"/>
  <c r="M347" i="16"/>
  <c r="M348" i="16"/>
  <c r="M349" i="16"/>
  <c r="M350" i="16"/>
  <c r="M351" i="16"/>
  <c r="M352" i="16"/>
  <c r="M354" i="16"/>
  <c r="M355" i="16"/>
  <c r="M356" i="16"/>
  <c r="M357" i="16"/>
  <c r="M358" i="16"/>
  <c r="M359" i="16"/>
  <c r="M360" i="16"/>
  <c r="M361" i="16"/>
  <c r="M362" i="16"/>
  <c r="M363" i="16"/>
  <c r="M364" i="16"/>
  <c r="M365" i="16"/>
  <c r="M366" i="16"/>
  <c r="M367" i="16"/>
  <c r="M368" i="16"/>
  <c r="M369" i="16"/>
  <c r="M370" i="16"/>
  <c r="M371" i="16"/>
  <c r="M372" i="16"/>
  <c r="M373" i="16"/>
  <c r="M374" i="16"/>
  <c r="M375" i="16"/>
  <c r="M376" i="16"/>
  <c r="M377" i="16"/>
  <c r="M378" i="16"/>
  <c r="M379" i="16"/>
  <c r="M380" i="16"/>
  <c r="M381" i="16"/>
  <c r="M382" i="16"/>
  <c r="M383" i="16"/>
  <c r="M384" i="16"/>
  <c r="M385" i="16"/>
  <c r="M386" i="16"/>
  <c r="M387" i="16"/>
  <c r="M388" i="16"/>
  <c r="M389" i="16"/>
  <c r="M390" i="16"/>
  <c r="M391" i="16"/>
  <c r="M392" i="16"/>
  <c r="M393" i="16"/>
  <c r="M394" i="16"/>
  <c r="M395" i="16"/>
  <c r="M396" i="16"/>
  <c r="M397" i="16"/>
  <c r="M398" i="16"/>
  <c r="M399" i="16"/>
  <c r="M400" i="16"/>
  <c r="M401" i="16"/>
  <c r="M402" i="16"/>
  <c r="M403" i="16"/>
  <c r="M404" i="16"/>
  <c r="M405" i="16"/>
  <c r="M406" i="16"/>
  <c r="M407" i="16"/>
  <c r="M408" i="16"/>
  <c r="M409" i="16"/>
  <c r="M410" i="16"/>
  <c r="M411" i="16"/>
  <c r="M412" i="16"/>
  <c r="M413" i="16"/>
  <c r="M414" i="16"/>
  <c r="M415" i="16"/>
  <c r="M417" i="16"/>
  <c r="M418" i="16"/>
  <c r="M419" i="16"/>
  <c r="M420" i="16"/>
  <c r="M421" i="16"/>
  <c r="M422" i="16"/>
  <c r="M423" i="16"/>
  <c r="M424" i="16"/>
  <c r="M425" i="16"/>
  <c r="M426" i="16"/>
  <c r="M427" i="16"/>
  <c r="M428" i="16"/>
  <c r="M429" i="16"/>
  <c r="M430" i="16"/>
  <c r="M431" i="16"/>
  <c r="M432" i="16"/>
  <c r="M433" i="16"/>
  <c r="M434" i="16"/>
  <c r="M435" i="16"/>
  <c r="M436" i="16"/>
  <c r="M437" i="16"/>
  <c r="M438" i="16"/>
  <c r="M439" i="16"/>
  <c r="M440" i="16"/>
  <c r="M441" i="16"/>
  <c r="M442" i="16"/>
  <c r="M443" i="16"/>
  <c r="M444" i="16"/>
  <c r="M445" i="16"/>
  <c r="M446" i="16"/>
  <c r="M447" i="16"/>
  <c r="M449" i="16"/>
  <c r="M450" i="16"/>
  <c r="M451" i="16"/>
  <c r="M452" i="16"/>
  <c r="M453" i="16"/>
  <c r="M454" i="16"/>
  <c r="M455" i="16"/>
  <c r="M456" i="16"/>
  <c r="M457" i="16"/>
  <c r="M458" i="16"/>
  <c r="M459" i="16"/>
  <c r="M460" i="16"/>
  <c r="M461" i="16"/>
  <c r="M462" i="16"/>
  <c r="M463" i="16"/>
  <c r="M464" i="16"/>
  <c r="M465" i="16"/>
  <c r="M466" i="16"/>
  <c r="M467" i="16"/>
  <c r="M468" i="16"/>
  <c r="M469" i="16"/>
  <c r="M470" i="16"/>
  <c r="M471" i="16"/>
  <c r="M472" i="16"/>
  <c r="M473" i="16"/>
  <c r="M474" i="16"/>
  <c r="M475" i="16"/>
  <c r="M476" i="16"/>
  <c r="M477" i="16"/>
  <c r="M478" i="16"/>
  <c r="M479" i="16"/>
  <c r="M480" i="16"/>
  <c r="M481" i="16"/>
  <c r="M482" i="16"/>
  <c r="M483" i="16"/>
  <c r="M484" i="16"/>
  <c r="M485" i="16"/>
  <c r="M486" i="16"/>
  <c r="M487" i="16"/>
  <c r="M488" i="16"/>
  <c r="M489" i="16"/>
  <c r="M490" i="16"/>
  <c r="M491" i="16"/>
  <c r="M492" i="16"/>
  <c r="M493" i="16"/>
  <c r="M494" i="16"/>
  <c r="M495" i="16"/>
  <c r="M496" i="16"/>
  <c r="M497" i="16"/>
  <c r="M498" i="16"/>
  <c r="M499" i="16"/>
  <c r="M500" i="16"/>
  <c r="M501" i="16"/>
  <c r="M502" i="16"/>
  <c r="M503" i="16"/>
  <c r="M504" i="16"/>
  <c r="M505" i="16"/>
  <c r="M506" i="16"/>
  <c r="M507" i="16"/>
  <c r="M508" i="16"/>
  <c r="M509" i="16"/>
  <c r="M510" i="16"/>
  <c r="M511" i="16"/>
  <c r="M512" i="16"/>
  <c r="M513" i="16"/>
  <c r="M514" i="16"/>
  <c r="M515" i="16"/>
  <c r="M516" i="16"/>
  <c r="M517" i="16"/>
  <c r="M518" i="16"/>
  <c r="M519" i="16"/>
  <c r="M520" i="16"/>
  <c r="M521" i="16"/>
  <c r="M522" i="16"/>
  <c r="M523" i="16"/>
  <c r="M524" i="16"/>
  <c r="M525" i="16"/>
  <c r="M526" i="16"/>
  <c r="M527" i="16"/>
  <c r="M528" i="16"/>
  <c r="M529" i="16"/>
  <c r="M530" i="16"/>
  <c r="M531" i="16"/>
  <c r="M532" i="16"/>
  <c r="M533" i="16"/>
  <c r="M534" i="16"/>
  <c r="M535" i="16"/>
  <c r="M536" i="16"/>
  <c r="M537" i="16"/>
  <c r="M538" i="16"/>
  <c r="M539" i="16"/>
  <c r="M540" i="16"/>
  <c r="M541" i="16"/>
  <c r="M542" i="16"/>
  <c r="M543" i="16"/>
  <c r="M544" i="16"/>
  <c r="M545" i="16"/>
  <c r="M546" i="16"/>
  <c r="M547" i="16"/>
  <c r="M548" i="16"/>
  <c r="M549" i="16"/>
  <c r="M550" i="16"/>
  <c r="M551" i="16"/>
  <c r="M552" i="16"/>
  <c r="M553" i="16"/>
  <c r="M554" i="16"/>
  <c r="M555" i="16"/>
  <c r="M556" i="16"/>
  <c r="M557" i="16"/>
  <c r="M558" i="16"/>
  <c r="M559" i="16"/>
  <c r="M561" i="16"/>
  <c r="M562" i="16"/>
  <c r="M563" i="16"/>
  <c r="M564" i="16"/>
  <c r="M565" i="16"/>
  <c r="M566" i="16"/>
  <c r="M567" i="16"/>
  <c r="M568" i="16"/>
  <c r="M569" i="16"/>
  <c r="M570" i="16"/>
  <c r="M571" i="16"/>
  <c r="M572" i="16"/>
  <c r="M573" i="16"/>
  <c r="M574" i="16"/>
  <c r="M575" i="16"/>
  <c r="M576" i="16"/>
  <c r="M577" i="16"/>
  <c r="M578" i="16"/>
  <c r="M579" i="16"/>
  <c r="M580" i="16"/>
  <c r="M581" i="16"/>
  <c r="M582" i="16"/>
  <c r="M583" i="16"/>
  <c r="M584" i="16"/>
  <c r="M585" i="16"/>
  <c r="M586" i="16"/>
  <c r="M587" i="16"/>
  <c r="M588" i="16"/>
  <c r="M590" i="16"/>
  <c r="M591" i="16"/>
  <c r="M592" i="16"/>
  <c r="M593" i="16"/>
  <c r="M594" i="16"/>
  <c r="M595" i="16"/>
  <c r="M596" i="16"/>
  <c r="M597" i="16"/>
  <c r="M598" i="16"/>
  <c r="M599" i="16"/>
  <c r="M600" i="16"/>
  <c r="M601" i="16"/>
  <c r="M602" i="16"/>
  <c r="M603" i="16"/>
  <c r="M604" i="16"/>
  <c r="M605" i="16"/>
  <c r="M606" i="16"/>
  <c r="M607" i="16"/>
  <c r="M608" i="16"/>
  <c r="M609" i="16"/>
  <c r="M610" i="16"/>
  <c r="M611" i="16"/>
  <c r="M612" i="16"/>
  <c r="M613" i="16"/>
  <c r="M614" i="16"/>
  <c r="M615" i="16"/>
  <c r="M616" i="16"/>
  <c r="M617" i="16"/>
  <c r="M618" i="16"/>
  <c r="M619" i="16"/>
  <c r="M620" i="16"/>
  <c r="M621" i="16"/>
  <c r="M622" i="16"/>
  <c r="M623" i="16"/>
  <c r="M624" i="16"/>
  <c r="M625" i="16"/>
  <c r="M626" i="16"/>
  <c r="M627" i="16"/>
  <c r="M628" i="16"/>
  <c r="M629" i="16"/>
  <c r="M630" i="16"/>
  <c r="M631" i="16"/>
  <c r="M632" i="16"/>
  <c r="M633" i="16"/>
  <c r="M634" i="16"/>
  <c r="M635" i="16"/>
  <c r="M636" i="16"/>
  <c r="M637" i="16"/>
  <c r="M638" i="16"/>
  <c r="M639" i="16"/>
  <c r="M640" i="16"/>
  <c r="M641" i="16"/>
  <c r="M642" i="16"/>
  <c r="M643" i="16"/>
  <c r="M644" i="16"/>
  <c r="M645" i="16"/>
  <c r="M646" i="16"/>
  <c r="M647" i="16"/>
  <c r="M648" i="16"/>
  <c r="M649" i="16"/>
  <c r="M651" i="16"/>
  <c r="M652" i="16"/>
  <c r="M653" i="16"/>
  <c r="M654" i="16"/>
  <c r="M655" i="16"/>
  <c r="M656" i="16"/>
  <c r="M657" i="16"/>
  <c r="M658" i="16"/>
  <c r="M659" i="16"/>
  <c r="M660" i="16"/>
  <c r="M661" i="16"/>
  <c r="M662" i="16"/>
  <c r="M663" i="16"/>
  <c r="M664" i="16"/>
  <c r="M665" i="16"/>
  <c r="M666" i="16"/>
  <c r="M667" i="16"/>
  <c r="M668" i="16"/>
  <c r="M669" i="16"/>
  <c r="M670" i="16"/>
  <c r="M671" i="16"/>
  <c r="M672" i="16"/>
  <c r="M673" i="16"/>
  <c r="M674" i="16"/>
  <c r="M675" i="16"/>
  <c r="M676" i="16"/>
  <c r="M677" i="16"/>
  <c r="M678" i="16"/>
  <c r="M679" i="16"/>
  <c r="M680" i="16"/>
  <c r="M681" i="16"/>
  <c r="M682" i="16"/>
  <c r="M683" i="16"/>
  <c r="M684" i="16"/>
  <c r="M685" i="16"/>
  <c r="M686" i="16"/>
  <c r="M687" i="16"/>
  <c r="M688" i="16"/>
  <c r="M689" i="16"/>
  <c r="M690" i="16"/>
  <c r="M691" i="16"/>
  <c r="M692" i="16"/>
  <c r="M693" i="16"/>
  <c r="M694" i="16"/>
  <c r="M695" i="16"/>
  <c r="M696" i="16"/>
  <c r="M697" i="16"/>
  <c r="M698" i="16"/>
  <c r="M699" i="16"/>
  <c r="M700" i="16"/>
  <c r="M701" i="16"/>
  <c r="M702" i="16"/>
  <c r="M703" i="16"/>
  <c r="M704" i="16"/>
  <c r="M705" i="16"/>
  <c r="M706" i="16"/>
  <c r="M707" i="16"/>
  <c r="M708" i="16"/>
  <c r="M709" i="16"/>
  <c r="M710" i="16"/>
  <c r="M712" i="16"/>
  <c r="M713" i="16"/>
  <c r="M714" i="16"/>
  <c r="M715" i="16"/>
  <c r="M716" i="16"/>
  <c r="M717" i="16"/>
  <c r="M718" i="16"/>
  <c r="M719" i="16"/>
  <c r="M720" i="16"/>
  <c r="M721" i="16"/>
  <c r="M722" i="16"/>
  <c r="M723" i="16"/>
  <c r="M724" i="16"/>
  <c r="M725" i="16"/>
  <c r="M726" i="16"/>
  <c r="M727" i="16"/>
  <c r="M728" i="16"/>
  <c r="M729" i="16"/>
  <c r="M730" i="16"/>
  <c r="M731" i="16"/>
  <c r="M732" i="16"/>
  <c r="M733" i="16"/>
  <c r="M734" i="16"/>
  <c r="M735" i="16"/>
  <c r="M736" i="16"/>
  <c r="M737" i="16"/>
  <c r="M738" i="16"/>
  <c r="M739" i="16"/>
  <c r="M740" i="16"/>
  <c r="M741" i="16"/>
  <c r="M742" i="16"/>
  <c r="M743" i="16"/>
  <c r="M744" i="16"/>
  <c r="M745" i="16"/>
  <c r="M746" i="16"/>
  <c r="M747" i="16"/>
  <c r="M748" i="16"/>
  <c r="M749" i="16"/>
  <c r="M750" i="16"/>
  <c r="M751" i="16"/>
  <c r="M752" i="16"/>
  <c r="M753" i="16"/>
  <c r="M754" i="16"/>
  <c r="M755" i="16"/>
  <c r="M756" i="16"/>
  <c r="M757" i="16"/>
  <c r="M758" i="16"/>
  <c r="M759" i="16"/>
  <c r="M760" i="16"/>
  <c r="M761" i="16"/>
  <c r="M762" i="16"/>
  <c r="M763" i="16"/>
  <c r="M764" i="16"/>
  <c r="M765" i="16"/>
  <c r="M766" i="16"/>
  <c r="M767" i="16"/>
  <c r="M768" i="16"/>
  <c r="M769" i="16"/>
  <c r="M770" i="16"/>
  <c r="M771" i="16"/>
  <c r="M772" i="16"/>
  <c r="M773" i="16"/>
  <c r="M774" i="16"/>
  <c r="M775" i="16"/>
  <c r="M776" i="16"/>
  <c r="M777" i="16"/>
  <c r="M778" i="16"/>
  <c r="M779" i="16"/>
  <c r="M780" i="16"/>
  <c r="M781" i="16"/>
  <c r="M782" i="16"/>
  <c r="M783" i="16"/>
  <c r="M784" i="16"/>
  <c r="M785" i="16"/>
  <c r="M786" i="16"/>
  <c r="M787" i="16"/>
  <c r="M788" i="16"/>
  <c r="M789" i="16"/>
  <c r="M790" i="16"/>
  <c r="M791" i="16"/>
  <c r="M792" i="16"/>
  <c r="M793" i="16"/>
  <c r="M794" i="16"/>
  <c r="M795" i="16"/>
  <c r="M796" i="16"/>
  <c r="M797" i="16"/>
  <c r="M798" i="16"/>
  <c r="M799" i="16"/>
  <c r="M800" i="16"/>
  <c r="M801" i="16"/>
  <c r="M802" i="16"/>
  <c r="M803" i="16"/>
  <c r="M804" i="16"/>
  <c r="M805" i="16"/>
  <c r="M806" i="16"/>
  <c r="M807" i="16"/>
  <c r="M808" i="16"/>
  <c r="M809" i="16"/>
  <c r="M810" i="16"/>
  <c r="M811" i="16"/>
  <c r="M812" i="16"/>
  <c r="M813" i="16"/>
  <c r="M814" i="16"/>
  <c r="M815" i="16"/>
  <c r="M816" i="16"/>
  <c r="M817" i="16"/>
  <c r="M818" i="16"/>
  <c r="M819" i="16"/>
  <c r="M820" i="16"/>
  <c r="M821" i="16"/>
  <c r="M822" i="16"/>
  <c r="M823" i="16"/>
  <c r="M824" i="16"/>
  <c r="M825" i="16"/>
  <c r="M826" i="16"/>
  <c r="M827" i="16"/>
  <c r="M828" i="16"/>
  <c r="M829" i="16"/>
  <c r="M830" i="16"/>
  <c r="M831" i="16"/>
  <c r="M832" i="16"/>
  <c r="M833" i="16"/>
  <c r="M834" i="16"/>
  <c r="M835" i="16"/>
  <c r="M836" i="16"/>
  <c r="M837" i="16"/>
  <c r="M838" i="16"/>
  <c r="M839" i="16"/>
  <c r="M840" i="16"/>
  <c r="M841" i="16"/>
  <c r="M842" i="16"/>
  <c r="M843" i="16"/>
  <c r="M844" i="16"/>
  <c r="M845" i="16"/>
  <c r="M846" i="16"/>
  <c r="M847" i="16"/>
  <c r="M848" i="16"/>
  <c r="M849" i="16"/>
  <c r="M850" i="16"/>
  <c r="M851" i="16"/>
  <c r="M852" i="16"/>
  <c r="M853" i="16"/>
  <c r="M854" i="16"/>
  <c r="M855" i="16"/>
  <c r="M856" i="16"/>
  <c r="M857" i="16"/>
  <c r="M858" i="16"/>
  <c r="M859" i="16"/>
  <c r="M860" i="16"/>
  <c r="M861" i="16"/>
  <c r="M862" i="16"/>
  <c r="M863" i="16"/>
  <c r="M864" i="16"/>
  <c r="M865" i="16"/>
  <c r="M866" i="16"/>
  <c r="M867" i="16"/>
  <c r="M868" i="16"/>
  <c r="M869" i="16"/>
  <c r="M870" i="16"/>
  <c r="M871" i="16"/>
  <c r="M872" i="16"/>
  <c r="M873" i="16"/>
  <c r="M874" i="16"/>
  <c r="M875" i="16"/>
  <c r="M876" i="16"/>
  <c r="M877" i="16"/>
  <c r="M878" i="16"/>
  <c r="M879" i="16"/>
  <c r="M880" i="16"/>
  <c r="M881" i="16"/>
  <c r="M882" i="16"/>
  <c r="M883" i="16"/>
  <c r="M884" i="16"/>
  <c r="M885" i="16"/>
  <c r="M886" i="16"/>
  <c r="M887" i="16"/>
  <c r="M888" i="16"/>
  <c r="M889" i="16"/>
  <c r="M890" i="16"/>
  <c r="M891" i="16"/>
  <c r="M892" i="16"/>
  <c r="M893" i="16"/>
  <c r="M894" i="16"/>
  <c r="M895" i="16"/>
  <c r="M896" i="16"/>
  <c r="M897" i="16"/>
  <c r="M898" i="16"/>
  <c r="M899" i="16"/>
  <c r="M900" i="16"/>
  <c r="M901" i="16"/>
  <c r="M902" i="16"/>
  <c r="M903" i="16"/>
  <c r="M904" i="16"/>
  <c r="M905" i="16"/>
  <c r="M906" i="16"/>
  <c r="M907" i="16"/>
  <c r="M908" i="16"/>
  <c r="M909" i="16"/>
  <c r="M910" i="16"/>
  <c r="M911" i="16"/>
  <c r="M912" i="16"/>
  <c r="M913" i="16"/>
  <c r="M914" i="16"/>
  <c r="M915" i="16"/>
  <c r="M916" i="16"/>
  <c r="M917" i="16"/>
  <c r="M918" i="16"/>
  <c r="M919" i="16"/>
  <c r="M920" i="16"/>
  <c r="M921" i="16"/>
  <c r="M922" i="16"/>
  <c r="M923" i="16"/>
  <c r="M924" i="16"/>
  <c r="M925" i="16"/>
  <c r="M926" i="16"/>
  <c r="M927" i="16"/>
  <c r="M928" i="16"/>
  <c r="M929" i="16"/>
  <c r="M930" i="16"/>
  <c r="M931" i="16"/>
  <c r="M932" i="16"/>
  <c r="M933" i="16"/>
  <c r="M934" i="16"/>
  <c r="M935" i="16"/>
  <c r="M936" i="16"/>
  <c r="M937" i="16"/>
  <c r="M938" i="16"/>
  <c r="M939" i="16"/>
  <c r="M940" i="16"/>
  <c r="M941" i="16"/>
  <c r="M942" i="16"/>
  <c r="M943" i="16"/>
  <c r="M944" i="16"/>
  <c r="M945" i="16"/>
  <c r="M946" i="16"/>
  <c r="M947" i="16"/>
  <c r="M948" i="16"/>
  <c r="M949" i="16"/>
  <c r="M950" i="16"/>
  <c r="M951" i="16"/>
  <c r="M952" i="16"/>
  <c r="M953" i="16"/>
  <c r="M954" i="16"/>
  <c r="M955" i="16"/>
  <c r="M956" i="16"/>
  <c r="M957" i="16"/>
  <c r="M958" i="16"/>
  <c r="M959" i="16"/>
  <c r="M960" i="16"/>
  <c r="M961" i="16"/>
  <c r="M962" i="16"/>
  <c r="M963" i="16"/>
  <c r="M964" i="16"/>
  <c r="M965" i="16"/>
  <c r="M966" i="16"/>
  <c r="M967" i="16"/>
  <c r="M968" i="16"/>
  <c r="M969" i="16"/>
  <c r="M970" i="16"/>
  <c r="M971" i="16"/>
  <c r="M972" i="16"/>
  <c r="M973" i="16"/>
  <c r="M974" i="16"/>
  <c r="M975" i="16"/>
  <c r="M976" i="16"/>
  <c r="M977" i="16"/>
  <c r="M978" i="16"/>
  <c r="M979" i="16"/>
  <c r="M980" i="16"/>
  <c r="M981" i="16"/>
  <c r="M982" i="16"/>
  <c r="M983" i="16"/>
  <c r="M984" i="16"/>
  <c r="M985" i="16"/>
  <c r="M986" i="16"/>
  <c r="M987" i="16"/>
  <c r="M988" i="16"/>
  <c r="M989" i="16"/>
  <c r="M990" i="16"/>
  <c r="M991" i="16"/>
  <c r="M992" i="16"/>
  <c r="M993" i="16"/>
  <c r="M994" i="16"/>
  <c r="M995" i="16"/>
  <c r="M996" i="16"/>
  <c r="M997" i="16"/>
  <c r="M998" i="16"/>
  <c r="M999" i="16"/>
  <c r="M1000" i="16"/>
  <c r="M1001" i="16"/>
  <c r="M1002" i="16"/>
  <c r="M1003" i="16"/>
  <c r="M1004" i="16"/>
  <c r="M1005" i="16"/>
  <c r="M1006" i="16"/>
  <c r="M1007" i="16"/>
  <c r="M1008" i="16"/>
  <c r="M1009" i="16"/>
  <c r="M1010" i="16"/>
  <c r="M1011" i="16"/>
  <c r="M1012" i="16"/>
  <c r="M1013" i="16"/>
  <c r="M1014" i="16"/>
  <c r="M1015" i="16"/>
  <c r="M1016" i="16"/>
  <c r="M1017" i="16"/>
  <c r="M1018" i="16"/>
  <c r="M1019" i="16"/>
  <c r="M1020" i="16"/>
  <c r="M1021" i="16"/>
  <c r="M1022" i="16"/>
  <c r="M1023" i="16"/>
  <c r="M1024" i="16"/>
  <c r="M1025" i="16"/>
  <c r="M1026" i="16"/>
  <c r="M1027" i="16"/>
  <c r="M1028" i="16"/>
  <c r="M1029" i="16"/>
  <c r="M1030" i="16"/>
  <c r="M1031" i="16"/>
  <c r="M1032" i="16"/>
  <c r="M1033" i="16"/>
  <c r="M1034" i="16"/>
  <c r="M1035" i="16"/>
  <c r="M1036" i="16"/>
  <c r="M1037" i="16"/>
  <c r="M1038" i="16"/>
  <c r="M1039" i="16"/>
  <c r="M1040" i="16"/>
  <c r="M1041" i="16"/>
  <c r="M1042" i="16"/>
  <c r="M1043" i="16"/>
  <c r="M1044" i="16"/>
  <c r="M1045" i="16"/>
  <c r="M1046" i="16"/>
  <c r="M1047" i="16"/>
  <c r="M1048" i="16"/>
  <c r="M1049" i="16"/>
  <c r="M1050" i="16"/>
  <c r="M1051" i="16"/>
  <c r="M1052" i="16"/>
  <c r="M1053" i="16"/>
  <c r="M1054" i="16"/>
  <c r="M1055" i="16"/>
  <c r="M1057" i="16"/>
  <c r="M1058" i="16"/>
  <c r="M1059" i="16"/>
  <c r="M1060" i="16"/>
  <c r="M1061" i="16"/>
  <c r="M1062" i="16"/>
  <c r="M1063" i="16"/>
  <c r="M1064" i="16"/>
  <c r="M1065" i="16"/>
  <c r="M1066" i="16"/>
  <c r="M1067" i="16"/>
  <c r="M1068" i="16"/>
  <c r="M1069" i="16"/>
  <c r="M1070" i="16"/>
  <c r="M1071" i="16"/>
  <c r="M1072" i="16"/>
  <c r="M1073" i="16"/>
  <c r="M1074" i="16"/>
  <c r="M1075" i="16"/>
  <c r="M1076" i="16"/>
  <c r="M1077" i="16"/>
  <c r="M1078" i="16"/>
  <c r="M1079" i="16"/>
  <c r="M1080" i="16"/>
  <c r="M1081" i="16"/>
  <c r="M1082" i="16"/>
  <c r="M1083" i="16"/>
  <c r="M1084" i="16"/>
  <c r="M1085" i="16"/>
  <c r="M1086" i="16"/>
  <c r="M1087" i="16"/>
  <c r="M1088" i="16"/>
  <c r="M1089" i="16"/>
  <c r="M1090" i="16"/>
  <c r="M1091" i="16"/>
  <c r="M1092" i="16"/>
  <c r="M1093" i="16"/>
  <c r="M1094" i="16"/>
  <c r="M1095" i="16"/>
  <c r="M1096" i="16"/>
  <c r="M1097" i="16"/>
  <c r="M1098" i="16"/>
  <c r="M1099" i="16"/>
  <c r="M1100" i="16"/>
  <c r="M1101" i="16"/>
  <c r="M1102" i="16"/>
  <c r="M1103" i="16"/>
  <c r="M1104" i="16"/>
  <c r="M1105" i="16"/>
  <c r="M1106" i="16"/>
  <c r="M1107" i="16"/>
  <c r="M1108" i="16"/>
  <c r="M1109" i="16"/>
  <c r="M1110" i="16"/>
  <c r="M1111" i="16"/>
  <c r="M1112" i="16"/>
  <c r="M1113" i="16"/>
  <c r="M1114" i="16"/>
  <c r="M1115" i="16"/>
  <c r="M1116" i="16"/>
  <c r="M1117" i="16"/>
  <c r="M1118" i="16"/>
  <c r="M1119" i="16"/>
  <c r="M1120" i="16"/>
  <c r="M1121" i="16"/>
  <c r="M1122" i="16"/>
  <c r="M1123" i="16"/>
  <c r="M1124" i="16"/>
  <c r="M1125" i="16"/>
  <c r="M1126" i="16"/>
  <c r="M1127" i="16"/>
  <c r="M1128" i="16"/>
  <c r="M1129" i="16"/>
  <c r="M1130" i="16"/>
  <c r="M1131" i="16"/>
  <c r="M1132" i="16"/>
  <c r="M1133" i="16"/>
  <c r="M1134" i="16"/>
  <c r="M1135" i="16"/>
  <c r="M1136" i="16"/>
  <c r="M1137" i="16"/>
  <c r="M1138" i="16"/>
  <c r="M1139" i="16"/>
  <c r="M1140" i="16"/>
  <c r="M1141" i="16"/>
  <c r="M1142" i="16"/>
  <c r="M1143" i="16"/>
  <c r="M1144" i="16"/>
  <c r="M1145" i="16"/>
  <c r="M1146" i="16"/>
  <c r="M1147" i="16"/>
  <c r="M1148" i="16"/>
  <c r="M1149" i="16"/>
  <c r="M1150" i="16"/>
  <c r="M1151" i="16"/>
  <c r="M1152" i="16"/>
  <c r="M1153" i="16"/>
  <c r="M1154" i="16"/>
  <c r="M1155" i="16"/>
  <c r="M1156" i="16"/>
  <c r="M1157" i="16"/>
  <c r="M1158" i="16"/>
  <c r="M1159" i="16"/>
  <c r="M1160" i="16"/>
  <c r="M1161" i="16"/>
  <c r="M1162" i="16"/>
  <c r="M1163" i="16"/>
  <c r="M1164" i="16"/>
  <c r="M1165" i="16"/>
  <c r="M1166" i="16"/>
  <c r="M1167" i="16"/>
  <c r="M1168" i="16"/>
  <c r="M1169" i="16"/>
  <c r="M1170" i="16"/>
  <c r="M1171" i="16"/>
  <c r="M1172" i="16"/>
  <c r="M1173" i="16"/>
  <c r="M1174" i="16"/>
  <c r="M1175" i="16"/>
  <c r="M1176" i="16"/>
  <c r="M1177" i="16"/>
  <c r="M1178" i="16"/>
  <c r="M1179" i="16"/>
  <c r="M1180" i="16"/>
  <c r="M1181" i="16"/>
  <c r="M1182" i="16"/>
  <c r="M1183" i="16"/>
  <c r="M1184" i="16"/>
  <c r="M1185" i="16"/>
  <c r="M1186" i="16"/>
  <c r="M1187" i="16"/>
  <c r="M1188" i="16"/>
  <c r="M1189" i="16"/>
  <c r="M1190" i="16"/>
  <c r="M1191" i="16"/>
  <c r="M1192" i="16"/>
  <c r="M1193" i="16"/>
  <c r="M1194" i="16"/>
  <c r="M1195" i="16"/>
  <c r="M1196" i="16"/>
  <c r="M1197" i="16"/>
  <c r="M1198" i="16"/>
  <c r="M1199" i="16"/>
  <c r="M1200" i="16"/>
  <c r="M1201" i="16"/>
  <c r="M1202" i="16"/>
  <c r="M1203" i="16"/>
  <c r="M1204" i="16"/>
  <c r="M1205" i="16"/>
  <c r="M1206" i="16"/>
  <c r="M1207" i="16"/>
  <c r="M1208" i="16"/>
  <c r="M1209" i="16"/>
  <c r="M1210" i="16"/>
  <c r="M1211" i="16"/>
  <c r="M1212" i="16"/>
  <c r="M1213" i="16"/>
  <c r="M1214" i="16"/>
  <c r="M1215" i="16"/>
  <c r="M1216" i="16"/>
  <c r="M1218" i="16"/>
  <c r="M1219" i="16"/>
  <c r="M1220" i="16"/>
  <c r="M1221" i="16"/>
  <c r="M1222" i="16"/>
  <c r="M1223" i="16"/>
  <c r="M1224" i="16"/>
  <c r="M1225" i="16"/>
  <c r="M1226" i="16"/>
  <c r="M1227" i="16"/>
  <c r="M1228" i="16"/>
  <c r="M1229" i="16"/>
  <c r="M1230" i="16"/>
  <c r="M1231" i="16"/>
  <c r="M1232" i="16"/>
  <c r="M1233" i="16"/>
  <c r="M1234" i="16"/>
  <c r="M1235" i="16"/>
  <c r="M1236" i="16"/>
  <c r="M1237" i="16"/>
  <c r="M1238" i="16"/>
  <c r="M1239" i="16"/>
  <c r="M1240" i="16"/>
  <c r="M1241" i="16"/>
  <c r="M1242" i="16"/>
  <c r="M1243" i="16"/>
  <c r="M1244" i="16"/>
  <c r="M1245" i="16"/>
  <c r="M1246" i="16"/>
  <c r="M1247" i="16"/>
  <c r="M1248" i="16"/>
  <c r="M1249" i="16"/>
  <c r="M1250" i="16"/>
  <c r="M1251" i="16"/>
  <c r="M1252" i="16"/>
  <c r="M1253" i="16"/>
  <c r="M1254" i="16"/>
  <c r="M1255" i="16"/>
  <c r="M1256" i="16"/>
  <c r="M1257" i="16"/>
  <c r="M1258" i="16"/>
  <c r="M1259" i="16"/>
  <c r="M1260" i="16"/>
  <c r="M1261" i="16"/>
  <c r="M1262" i="16"/>
  <c r="M1263" i="16"/>
  <c r="L1265" i="16"/>
  <c r="H1217" i="16"/>
  <c r="J1217" i="16" s="1"/>
  <c r="I1217" i="16"/>
  <c r="L448" i="16"/>
  <c r="L170" i="16"/>
  <c r="L4" i="16"/>
  <c r="L5" i="16"/>
  <c r="L6" i="16"/>
  <c r="L7" i="16"/>
  <c r="L8" i="16"/>
  <c r="L9" i="16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6" i="16"/>
  <c r="L57" i="16"/>
  <c r="L58" i="16"/>
  <c r="L59" i="16"/>
  <c r="L60" i="16"/>
  <c r="L61" i="16"/>
  <c r="L62" i="16"/>
  <c r="L63" i="16"/>
  <c r="L64" i="16"/>
  <c r="L65" i="16"/>
  <c r="L66" i="16"/>
  <c r="L67" i="16"/>
  <c r="L68" i="16"/>
  <c r="L69" i="16"/>
  <c r="L70" i="16"/>
  <c r="L71" i="16"/>
  <c r="L72" i="16"/>
  <c r="L73" i="16"/>
  <c r="L74" i="16"/>
  <c r="L75" i="16"/>
  <c r="L76" i="16"/>
  <c r="L77" i="16"/>
  <c r="L78" i="16"/>
  <c r="L79" i="16"/>
  <c r="L80" i="16"/>
  <c r="L81" i="16"/>
  <c r="L82" i="16"/>
  <c r="L83" i="16"/>
  <c r="L85" i="16"/>
  <c r="L86" i="16"/>
  <c r="L87" i="16"/>
  <c r="L88" i="16"/>
  <c r="L89" i="16"/>
  <c r="L90" i="16"/>
  <c r="L91" i="16"/>
  <c r="L92" i="16"/>
  <c r="L93" i="16"/>
  <c r="L94" i="16"/>
  <c r="L95" i="16"/>
  <c r="L96" i="16"/>
  <c r="L97" i="16"/>
  <c r="L98" i="16"/>
  <c r="L99" i="16"/>
  <c r="L100" i="16"/>
  <c r="L101" i="16"/>
  <c r="L102" i="16"/>
  <c r="L103" i="16"/>
  <c r="L104" i="16"/>
  <c r="L105" i="16"/>
  <c r="L106" i="16"/>
  <c r="L107" i="16"/>
  <c r="L108" i="16"/>
  <c r="L109" i="16"/>
  <c r="L110" i="16"/>
  <c r="L111" i="16"/>
  <c r="L112" i="16"/>
  <c r="L113" i="16"/>
  <c r="L114" i="16"/>
  <c r="L115" i="16"/>
  <c r="L117" i="16"/>
  <c r="L118" i="16"/>
  <c r="L119" i="16"/>
  <c r="L120" i="16"/>
  <c r="L121" i="16"/>
  <c r="L122" i="16"/>
  <c r="L123" i="16"/>
  <c r="L124" i="16"/>
  <c r="L125" i="16"/>
  <c r="L126" i="16"/>
  <c r="L127" i="16"/>
  <c r="L128" i="16"/>
  <c r="L129" i="16"/>
  <c r="L130" i="16"/>
  <c r="L131" i="16"/>
  <c r="L132" i="16"/>
  <c r="L133" i="16"/>
  <c r="L134" i="16"/>
  <c r="L135" i="16"/>
  <c r="L136" i="16"/>
  <c r="L137" i="16"/>
  <c r="L138" i="16"/>
  <c r="L139" i="16"/>
  <c r="L140" i="16"/>
  <c r="L141" i="16"/>
  <c r="L142" i="16"/>
  <c r="L143" i="16"/>
  <c r="L144" i="16"/>
  <c r="L145" i="16"/>
  <c r="L146" i="16"/>
  <c r="L147" i="16"/>
  <c r="L148" i="16"/>
  <c r="L149" i="16"/>
  <c r="L150" i="16"/>
  <c r="L151" i="16"/>
  <c r="L152" i="16"/>
  <c r="L153" i="16"/>
  <c r="L154" i="16"/>
  <c r="L155" i="16"/>
  <c r="L156" i="16"/>
  <c r="L157" i="16"/>
  <c r="L158" i="16"/>
  <c r="L159" i="16"/>
  <c r="L160" i="16"/>
  <c r="L161" i="16"/>
  <c r="L162" i="16"/>
  <c r="L163" i="16"/>
  <c r="L164" i="16"/>
  <c r="L165" i="16"/>
  <c r="L166" i="16"/>
  <c r="L167" i="16"/>
  <c r="L168" i="16"/>
  <c r="L169" i="16"/>
  <c r="L171" i="16"/>
  <c r="L172" i="16"/>
  <c r="L173" i="16"/>
  <c r="L174" i="16"/>
  <c r="L175" i="16"/>
  <c r="L176" i="16"/>
  <c r="L177" i="16"/>
  <c r="L178" i="16"/>
  <c r="L179" i="16"/>
  <c r="L180" i="16"/>
  <c r="L181" i="16"/>
  <c r="L182" i="16"/>
  <c r="L183" i="16"/>
  <c r="L184" i="16"/>
  <c r="L185" i="16"/>
  <c r="L186" i="16"/>
  <c r="L187" i="16"/>
  <c r="L188" i="16"/>
  <c r="L189" i="16"/>
  <c r="L190" i="16"/>
  <c r="L191" i="16"/>
  <c r="L192" i="16"/>
  <c r="L193" i="16"/>
  <c r="L194" i="16"/>
  <c r="L195" i="16"/>
  <c r="L196" i="16"/>
  <c r="L197" i="16"/>
  <c r="L198" i="16"/>
  <c r="L199" i="16"/>
  <c r="L200" i="16"/>
  <c r="L201" i="16"/>
  <c r="L202" i="16"/>
  <c r="L203" i="16"/>
  <c r="L204" i="16"/>
  <c r="L205" i="16"/>
  <c r="L206" i="16"/>
  <c r="L207" i="16"/>
  <c r="L208" i="16"/>
  <c r="L209" i="16"/>
  <c r="L210" i="16"/>
  <c r="L211" i="16"/>
  <c r="L212" i="16"/>
  <c r="L213" i="16"/>
  <c r="L214" i="16"/>
  <c r="L215" i="16"/>
  <c r="L216" i="16"/>
  <c r="L217" i="16"/>
  <c r="L218" i="16"/>
  <c r="L219" i="16"/>
  <c r="L220" i="16"/>
  <c r="L221" i="16"/>
  <c r="L222" i="16"/>
  <c r="L223" i="16"/>
  <c r="L224" i="16"/>
  <c r="L225" i="16"/>
  <c r="L226" i="16"/>
  <c r="L227" i="16"/>
  <c r="L228" i="16"/>
  <c r="L229" i="16"/>
  <c r="L230" i="16"/>
  <c r="L231" i="16"/>
  <c r="L232" i="16"/>
  <c r="L233" i="16"/>
  <c r="L234" i="16"/>
  <c r="L235" i="16"/>
  <c r="L236" i="16"/>
  <c r="L237" i="16"/>
  <c r="L238" i="16"/>
  <c r="L239" i="16"/>
  <c r="L240" i="16"/>
  <c r="L241" i="16"/>
  <c r="L242" i="16"/>
  <c r="L243" i="16"/>
  <c r="L244" i="16"/>
  <c r="L245" i="16"/>
  <c r="L246" i="16"/>
  <c r="L247" i="16"/>
  <c r="L248" i="16"/>
  <c r="L249" i="16"/>
  <c r="L250" i="16"/>
  <c r="L251" i="16"/>
  <c r="L252" i="16"/>
  <c r="L253" i="16"/>
  <c r="L254" i="16"/>
  <c r="L255" i="16"/>
  <c r="L256" i="16"/>
  <c r="L257" i="16"/>
  <c r="L258" i="16"/>
  <c r="L259" i="16"/>
  <c r="L260" i="16"/>
  <c r="L261" i="16"/>
  <c r="L262" i="16"/>
  <c r="L263" i="16"/>
  <c r="L264" i="16"/>
  <c r="L265" i="16"/>
  <c r="L266" i="16"/>
  <c r="L267" i="16"/>
  <c r="L268" i="16"/>
  <c r="L269" i="16"/>
  <c r="L270" i="16"/>
  <c r="L271" i="16"/>
  <c r="L272" i="16"/>
  <c r="L273" i="16"/>
  <c r="L274" i="16"/>
  <c r="L275" i="16"/>
  <c r="L276" i="16"/>
  <c r="L277" i="16"/>
  <c r="L278" i="16"/>
  <c r="L279" i="16"/>
  <c r="L280" i="16"/>
  <c r="L281" i="16"/>
  <c r="L282" i="16"/>
  <c r="L283" i="16"/>
  <c r="L284" i="16"/>
  <c r="L286" i="16"/>
  <c r="L287" i="16"/>
  <c r="L288" i="16"/>
  <c r="L289" i="16"/>
  <c r="L290" i="16"/>
  <c r="L291" i="16"/>
  <c r="L292" i="16"/>
  <c r="L293" i="16"/>
  <c r="L294" i="16"/>
  <c r="L295" i="16"/>
  <c r="L296" i="16"/>
  <c r="L297" i="16"/>
  <c r="L298" i="16"/>
  <c r="L299" i="16"/>
  <c r="L300" i="16"/>
  <c r="L301" i="16"/>
  <c r="L302" i="16"/>
  <c r="L303" i="16"/>
  <c r="L304" i="16"/>
  <c r="L305" i="16"/>
  <c r="L306" i="16"/>
  <c r="L307" i="16"/>
  <c r="L308" i="16"/>
  <c r="L309" i="16"/>
  <c r="L310" i="16"/>
  <c r="L311" i="16"/>
  <c r="L312" i="16"/>
  <c r="L313" i="16"/>
  <c r="L314" i="16"/>
  <c r="L315" i="16"/>
  <c r="L316" i="16"/>
  <c r="L317" i="16"/>
  <c r="L318" i="16"/>
  <c r="L319" i="16"/>
  <c r="L320" i="16"/>
  <c r="L321" i="16"/>
  <c r="L322" i="16"/>
  <c r="L323" i="16"/>
  <c r="L324" i="16"/>
  <c r="L325" i="16"/>
  <c r="L326" i="16"/>
  <c r="L327" i="16"/>
  <c r="L328" i="16"/>
  <c r="L329" i="16"/>
  <c r="L330" i="16"/>
  <c r="L331" i="16"/>
  <c r="L332" i="16"/>
  <c r="L333" i="16"/>
  <c r="L334" i="16"/>
  <c r="L335" i="16"/>
  <c r="L336" i="16"/>
  <c r="L337" i="16"/>
  <c r="L338" i="16"/>
  <c r="L339" i="16"/>
  <c r="L340" i="16"/>
  <c r="L341" i="16"/>
  <c r="L342" i="16"/>
  <c r="L343" i="16"/>
  <c r="L344" i="16"/>
  <c r="L345" i="16"/>
  <c r="L346" i="16"/>
  <c r="L347" i="16"/>
  <c r="L348" i="16"/>
  <c r="L349" i="16"/>
  <c r="L350" i="16"/>
  <c r="L351" i="16"/>
  <c r="L352" i="16"/>
  <c r="L354" i="16"/>
  <c r="L355" i="16"/>
  <c r="L356" i="16"/>
  <c r="L357" i="16"/>
  <c r="L358" i="16"/>
  <c r="L359" i="16"/>
  <c r="L360" i="16"/>
  <c r="L361" i="16"/>
  <c r="L362" i="16"/>
  <c r="L363" i="16"/>
  <c r="L364" i="16"/>
  <c r="L365" i="16"/>
  <c r="L366" i="16"/>
  <c r="L367" i="16"/>
  <c r="L368" i="16"/>
  <c r="L369" i="16"/>
  <c r="L370" i="16"/>
  <c r="L371" i="16"/>
  <c r="L372" i="16"/>
  <c r="L373" i="16"/>
  <c r="L374" i="16"/>
  <c r="L375" i="16"/>
  <c r="L376" i="16"/>
  <c r="L377" i="16"/>
  <c r="L378" i="16"/>
  <c r="L379" i="16"/>
  <c r="L380" i="16"/>
  <c r="L381" i="16"/>
  <c r="L382" i="16"/>
  <c r="L383" i="16"/>
  <c r="L384" i="16"/>
  <c r="L385" i="16"/>
  <c r="L386" i="16"/>
  <c r="L387" i="16"/>
  <c r="L388" i="16"/>
  <c r="L389" i="16"/>
  <c r="L390" i="16"/>
  <c r="L391" i="16"/>
  <c r="L392" i="16"/>
  <c r="L393" i="16"/>
  <c r="L394" i="16"/>
  <c r="L395" i="16"/>
  <c r="L396" i="16"/>
  <c r="L397" i="16"/>
  <c r="L398" i="16"/>
  <c r="L399" i="16"/>
  <c r="L400" i="16"/>
  <c r="L401" i="16"/>
  <c r="L402" i="16"/>
  <c r="L403" i="16"/>
  <c r="L404" i="16"/>
  <c r="L405" i="16"/>
  <c r="L406" i="16"/>
  <c r="L407" i="16"/>
  <c r="L408" i="16"/>
  <c r="L409" i="16"/>
  <c r="L410" i="16"/>
  <c r="L411" i="16"/>
  <c r="L412" i="16"/>
  <c r="L413" i="16"/>
  <c r="L414" i="16"/>
  <c r="L415" i="16"/>
  <c r="L416" i="16"/>
  <c r="L417" i="16"/>
  <c r="L418" i="16"/>
  <c r="L419" i="16"/>
  <c r="L420" i="16"/>
  <c r="L421" i="16"/>
  <c r="L422" i="16"/>
  <c r="L423" i="16"/>
  <c r="L424" i="16"/>
  <c r="L425" i="16"/>
  <c r="L426" i="16"/>
  <c r="L427" i="16"/>
  <c r="L428" i="16"/>
  <c r="L429" i="16"/>
  <c r="L430" i="16"/>
  <c r="L431" i="16"/>
  <c r="L432" i="16"/>
  <c r="L433" i="16"/>
  <c r="L434" i="16"/>
  <c r="L435" i="16"/>
  <c r="L436" i="16"/>
  <c r="L437" i="16"/>
  <c r="L438" i="16"/>
  <c r="L439" i="16"/>
  <c r="L440" i="16"/>
  <c r="L441" i="16"/>
  <c r="L442" i="16"/>
  <c r="L443" i="16"/>
  <c r="L444" i="16"/>
  <c r="L445" i="16"/>
  <c r="L446" i="16"/>
  <c r="L447" i="16"/>
  <c r="L449" i="16"/>
  <c r="L450" i="16"/>
  <c r="L451" i="16"/>
  <c r="L452" i="16"/>
  <c r="L453" i="16"/>
  <c r="L454" i="16"/>
  <c r="L455" i="16"/>
  <c r="L456" i="16"/>
  <c r="L457" i="16"/>
  <c r="L458" i="16"/>
  <c r="L459" i="16"/>
  <c r="L460" i="16"/>
  <c r="L461" i="16"/>
  <c r="L462" i="16"/>
  <c r="L463" i="16"/>
  <c r="L464" i="16"/>
  <c r="L465" i="16"/>
  <c r="L466" i="16"/>
  <c r="L467" i="16"/>
  <c r="L468" i="16"/>
  <c r="L469" i="16"/>
  <c r="L470" i="16"/>
  <c r="L471" i="16"/>
  <c r="L472" i="16"/>
  <c r="L473" i="16"/>
  <c r="L474" i="16"/>
  <c r="L475" i="16"/>
  <c r="L476" i="16"/>
  <c r="L477" i="16"/>
  <c r="L478" i="16"/>
  <c r="L479" i="16"/>
  <c r="L480" i="16"/>
  <c r="L481" i="16"/>
  <c r="L482" i="16"/>
  <c r="L483" i="16"/>
  <c r="L484" i="16"/>
  <c r="L485" i="16"/>
  <c r="L486" i="16"/>
  <c r="L487" i="16"/>
  <c r="L488" i="16"/>
  <c r="L489" i="16"/>
  <c r="L490" i="16"/>
  <c r="L491" i="16"/>
  <c r="L492" i="16"/>
  <c r="L493" i="16"/>
  <c r="L494" i="16"/>
  <c r="L495" i="16"/>
  <c r="L496" i="16"/>
  <c r="L497" i="16"/>
  <c r="L498" i="16"/>
  <c r="L499" i="16"/>
  <c r="L500" i="16"/>
  <c r="L501" i="16"/>
  <c r="L502" i="16"/>
  <c r="L503" i="16"/>
  <c r="L504" i="16"/>
  <c r="L505" i="16"/>
  <c r="L506" i="16"/>
  <c r="L507" i="16"/>
  <c r="L508" i="16"/>
  <c r="L509" i="16"/>
  <c r="L510" i="16"/>
  <c r="L511" i="16"/>
  <c r="L512" i="16"/>
  <c r="L513" i="16"/>
  <c r="L514" i="16"/>
  <c r="L515" i="16"/>
  <c r="L516" i="16"/>
  <c r="L517" i="16"/>
  <c r="L518" i="16"/>
  <c r="L519" i="16"/>
  <c r="L520" i="16"/>
  <c r="L521" i="16"/>
  <c r="L522" i="16"/>
  <c r="L523" i="16"/>
  <c r="L524" i="16"/>
  <c r="L525" i="16"/>
  <c r="L526" i="16"/>
  <c r="L527" i="16"/>
  <c r="L528" i="16"/>
  <c r="L529" i="16"/>
  <c r="L530" i="16"/>
  <c r="L531" i="16"/>
  <c r="L532" i="16"/>
  <c r="L533" i="16"/>
  <c r="L534" i="16"/>
  <c r="L535" i="16"/>
  <c r="L536" i="16"/>
  <c r="L537" i="16"/>
  <c r="L538" i="16"/>
  <c r="L539" i="16"/>
  <c r="L540" i="16"/>
  <c r="L541" i="16"/>
  <c r="L542" i="16"/>
  <c r="L543" i="16"/>
  <c r="L544" i="16"/>
  <c r="L545" i="16"/>
  <c r="L546" i="16"/>
  <c r="L547" i="16"/>
  <c r="L548" i="16"/>
  <c r="L549" i="16"/>
  <c r="L550" i="16"/>
  <c r="L551" i="16"/>
  <c r="L552" i="16"/>
  <c r="L553" i="16"/>
  <c r="L554" i="16"/>
  <c r="L555" i="16"/>
  <c r="L556" i="16"/>
  <c r="L557" i="16"/>
  <c r="L558" i="16"/>
  <c r="L559" i="16"/>
  <c r="L560" i="16"/>
  <c r="L561" i="16"/>
  <c r="L562" i="16"/>
  <c r="L563" i="16"/>
  <c r="L564" i="16"/>
  <c r="L565" i="16"/>
  <c r="L566" i="16"/>
  <c r="L567" i="16"/>
  <c r="L568" i="16"/>
  <c r="L569" i="16"/>
  <c r="L570" i="16"/>
  <c r="L571" i="16"/>
  <c r="L572" i="16"/>
  <c r="L573" i="16"/>
  <c r="L574" i="16"/>
  <c r="L575" i="16"/>
  <c r="L576" i="16"/>
  <c r="L577" i="16"/>
  <c r="L578" i="16"/>
  <c r="L579" i="16"/>
  <c r="L580" i="16"/>
  <c r="L582" i="16"/>
  <c r="L583" i="16"/>
  <c r="L584" i="16"/>
  <c r="L585" i="16"/>
  <c r="L586" i="16"/>
  <c r="L587" i="16"/>
  <c r="L588" i="16"/>
  <c r="L589" i="16"/>
  <c r="L590" i="16"/>
  <c r="L591" i="16"/>
  <c r="L592" i="16"/>
  <c r="L593" i="16"/>
  <c r="L594" i="16"/>
  <c r="L595" i="16"/>
  <c r="L596" i="16"/>
  <c r="L597" i="16"/>
  <c r="L598" i="16"/>
  <c r="L599" i="16"/>
  <c r="L600" i="16"/>
  <c r="L601" i="16"/>
  <c r="L602" i="16"/>
  <c r="L603" i="16"/>
  <c r="L604" i="16"/>
  <c r="L605" i="16"/>
  <c r="L606" i="16"/>
  <c r="L607" i="16"/>
  <c r="L608" i="16"/>
  <c r="L609" i="16"/>
  <c r="L610" i="16"/>
  <c r="L611" i="16"/>
  <c r="L612" i="16"/>
  <c r="L613" i="16"/>
  <c r="L614" i="16"/>
  <c r="L615" i="16"/>
  <c r="L616" i="16"/>
  <c r="L617" i="16"/>
  <c r="L618" i="16"/>
  <c r="L619" i="16"/>
  <c r="L620" i="16"/>
  <c r="L621" i="16"/>
  <c r="L622" i="16"/>
  <c r="L623" i="16"/>
  <c r="L624" i="16"/>
  <c r="L625" i="16"/>
  <c r="L626" i="16"/>
  <c r="L627" i="16"/>
  <c r="L628" i="16"/>
  <c r="L629" i="16"/>
  <c r="L630" i="16"/>
  <c r="L631" i="16"/>
  <c r="L632" i="16"/>
  <c r="L633" i="16"/>
  <c r="L634" i="16"/>
  <c r="L635" i="16"/>
  <c r="L636" i="16"/>
  <c r="L637" i="16"/>
  <c r="L638" i="16"/>
  <c r="L639" i="16"/>
  <c r="L640" i="16"/>
  <c r="L641" i="16"/>
  <c r="L642" i="16"/>
  <c r="L643" i="16"/>
  <c r="L644" i="16"/>
  <c r="L645" i="16"/>
  <c r="L646" i="16"/>
  <c r="L647" i="16"/>
  <c r="L648" i="16"/>
  <c r="L649" i="16"/>
  <c r="L651" i="16"/>
  <c r="L652" i="16"/>
  <c r="L653" i="16"/>
  <c r="L654" i="16"/>
  <c r="L655" i="16"/>
  <c r="L656" i="16"/>
  <c r="L657" i="16"/>
  <c r="L658" i="16"/>
  <c r="L659" i="16"/>
  <c r="L660" i="16"/>
  <c r="L661" i="16"/>
  <c r="L662" i="16"/>
  <c r="L663" i="16"/>
  <c r="L664" i="16"/>
  <c r="L665" i="16"/>
  <c r="L666" i="16"/>
  <c r="L667" i="16"/>
  <c r="L668" i="16"/>
  <c r="L669" i="16"/>
  <c r="L670" i="16"/>
  <c r="L671" i="16"/>
  <c r="L672" i="16"/>
  <c r="L673" i="16"/>
  <c r="L674" i="16"/>
  <c r="L675" i="16"/>
  <c r="L676" i="16"/>
  <c r="L677" i="16"/>
  <c r="L678" i="16"/>
  <c r="L679" i="16"/>
  <c r="L680" i="16"/>
  <c r="L681" i="16"/>
  <c r="L682" i="16"/>
  <c r="L683" i="16"/>
  <c r="L684" i="16"/>
  <c r="L685" i="16"/>
  <c r="L686" i="16"/>
  <c r="L687" i="16"/>
  <c r="L688" i="16"/>
  <c r="L689" i="16"/>
  <c r="L690" i="16"/>
  <c r="L691" i="16"/>
  <c r="L692" i="16"/>
  <c r="L693" i="16"/>
  <c r="L694" i="16"/>
  <c r="L695" i="16"/>
  <c r="L696" i="16"/>
  <c r="L697" i="16"/>
  <c r="L698" i="16"/>
  <c r="L699" i="16"/>
  <c r="L700" i="16"/>
  <c r="L701" i="16"/>
  <c r="L702" i="16"/>
  <c r="L703" i="16"/>
  <c r="L704" i="16"/>
  <c r="L705" i="16"/>
  <c r="L706" i="16"/>
  <c r="L707" i="16"/>
  <c r="L708" i="16"/>
  <c r="L709" i="16"/>
  <c r="L710" i="16"/>
  <c r="L712" i="16"/>
  <c r="L713" i="16"/>
  <c r="L714" i="16"/>
  <c r="L715" i="16"/>
  <c r="L716" i="16"/>
  <c r="L717" i="16"/>
  <c r="L718" i="16"/>
  <c r="L719" i="16"/>
  <c r="L720" i="16"/>
  <c r="L721" i="16"/>
  <c r="L722" i="16"/>
  <c r="L723" i="16"/>
  <c r="L724" i="16"/>
  <c r="L725" i="16"/>
  <c r="L726" i="16"/>
  <c r="L727" i="16"/>
  <c r="L728" i="16"/>
  <c r="L729" i="16"/>
  <c r="L730" i="16"/>
  <c r="L731" i="16"/>
  <c r="L732" i="16"/>
  <c r="L733" i="16"/>
  <c r="L734" i="16"/>
  <c r="L735" i="16"/>
  <c r="L736" i="16"/>
  <c r="L737" i="16"/>
  <c r="L738" i="16"/>
  <c r="L739" i="16"/>
  <c r="L740" i="16"/>
  <c r="L741" i="16"/>
  <c r="L742" i="16"/>
  <c r="L743" i="16"/>
  <c r="L744" i="16"/>
  <c r="L745" i="16"/>
  <c r="L746" i="16"/>
  <c r="L747" i="16"/>
  <c r="L748" i="16"/>
  <c r="L749" i="16"/>
  <c r="L750" i="16"/>
  <c r="L751" i="16"/>
  <c r="L752" i="16"/>
  <c r="L753" i="16"/>
  <c r="L754" i="16"/>
  <c r="L755" i="16"/>
  <c r="L756" i="16"/>
  <c r="L757" i="16"/>
  <c r="L758" i="16"/>
  <c r="L759" i="16"/>
  <c r="L760" i="16"/>
  <c r="L761" i="16"/>
  <c r="L762" i="16"/>
  <c r="L763" i="16"/>
  <c r="L764" i="16"/>
  <c r="L765" i="16"/>
  <c r="L766" i="16"/>
  <c r="L767" i="16"/>
  <c r="L768" i="16"/>
  <c r="L769" i="16"/>
  <c r="L770" i="16"/>
  <c r="L771" i="16"/>
  <c r="L772" i="16"/>
  <c r="L773" i="16"/>
  <c r="L774" i="16"/>
  <c r="L775" i="16"/>
  <c r="L776" i="16"/>
  <c r="L777" i="16"/>
  <c r="L778" i="16"/>
  <c r="L779" i="16"/>
  <c r="L780" i="16"/>
  <c r="L781" i="16"/>
  <c r="L782" i="16"/>
  <c r="L783" i="16"/>
  <c r="L784" i="16"/>
  <c r="L785" i="16"/>
  <c r="L786" i="16"/>
  <c r="L787" i="16"/>
  <c r="L788" i="16"/>
  <c r="L789" i="16"/>
  <c r="L790" i="16"/>
  <c r="L791" i="16"/>
  <c r="L792" i="16"/>
  <c r="L793" i="16"/>
  <c r="L794" i="16"/>
  <c r="L795" i="16"/>
  <c r="L796" i="16"/>
  <c r="L797" i="16"/>
  <c r="L798" i="16"/>
  <c r="L799" i="16"/>
  <c r="L800" i="16"/>
  <c r="L801" i="16"/>
  <c r="L802" i="16"/>
  <c r="L803" i="16"/>
  <c r="L804" i="16"/>
  <c r="L805" i="16"/>
  <c r="L806" i="16"/>
  <c r="L807" i="16"/>
  <c r="L808" i="16"/>
  <c r="L809" i="16"/>
  <c r="L810" i="16"/>
  <c r="L811" i="16"/>
  <c r="L812" i="16"/>
  <c r="L813" i="16"/>
  <c r="L814" i="16"/>
  <c r="L815" i="16"/>
  <c r="L816" i="16"/>
  <c r="L817" i="16"/>
  <c r="L818" i="16"/>
  <c r="L819" i="16"/>
  <c r="L820" i="16"/>
  <c r="L821" i="16"/>
  <c r="L822" i="16"/>
  <c r="L823" i="16"/>
  <c r="L824" i="16"/>
  <c r="L825" i="16"/>
  <c r="L826" i="16"/>
  <c r="L827" i="16"/>
  <c r="L828" i="16"/>
  <c r="L829" i="16"/>
  <c r="L830" i="16"/>
  <c r="L831" i="16"/>
  <c r="L832" i="16"/>
  <c r="L833" i="16"/>
  <c r="L834" i="16"/>
  <c r="L835" i="16"/>
  <c r="L836" i="16"/>
  <c r="L837" i="16"/>
  <c r="L838" i="16"/>
  <c r="L839" i="16"/>
  <c r="L840" i="16"/>
  <c r="L841" i="16"/>
  <c r="L842" i="16"/>
  <c r="L843" i="16"/>
  <c r="L844" i="16"/>
  <c r="L845" i="16"/>
  <c r="L846" i="16"/>
  <c r="L847" i="16"/>
  <c r="L848" i="16"/>
  <c r="L849" i="16"/>
  <c r="L850" i="16"/>
  <c r="L851" i="16"/>
  <c r="L852" i="16"/>
  <c r="L853" i="16"/>
  <c r="L854" i="16"/>
  <c r="L855" i="16"/>
  <c r="L856" i="16"/>
  <c r="L857" i="16"/>
  <c r="L858" i="16"/>
  <c r="L859" i="16"/>
  <c r="L860" i="16"/>
  <c r="L861" i="16"/>
  <c r="L862" i="16"/>
  <c r="L863" i="16"/>
  <c r="L864" i="16"/>
  <c r="L865" i="16"/>
  <c r="L866" i="16"/>
  <c r="L867" i="16"/>
  <c r="L868" i="16"/>
  <c r="L869" i="16"/>
  <c r="L870" i="16"/>
  <c r="L871" i="16"/>
  <c r="L872" i="16"/>
  <c r="L873" i="16"/>
  <c r="L874" i="16"/>
  <c r="L875" i="16"/>
  <c r="L876" i="16"/>
  <c r="L877" i="16"/>
  <c r="L878" i="16"/>
  <c r="L879" i="16"/>
  <c r="L880" i="16"/>
  <c r="L881" i="16"/>
  <c r="L882" i="16"/>
  <c r="L883" i="16"/>
  <c r="L884" i="16"/>
  <c r="L885" i="16"/>
  <c r="L886" i="16"/>
  <c r="L887" i="16"/>
  <c r="L888" i="16"/>
  <c r="L889" i="16"/>
  <c r="L890" i="16"/>
  <c r="L891" i="16"/>
  <c r="L892" i="16"/>
  <c r="L893" i="16"/>
  <c r="L894" i="16"/>
  <c r="L895" i="16"/>
  <c r="L896" i="16"/>
  <c r="L897" i="16"/>
  <c r="L898" i="16"/>
  <c r="L899" i="16"/>
  <c r="L900" i="16"/>
  <c r="L901" i="16"/>
  <c r="L902" i="16"/>
  <c r="L903" i="16"/>
  <c r="L904" i="16"/>
  <c r="L905" i="16"/>
  <c r="L906" i="16"/>
  <c r="L907" i="16"/>
  <c r="L908" i="16"/>
  <c r="L909" i="16"/>
  <c r="L910" i="16"/>
  <c r="L911" i="16"/>
  <c r="L912" i="16"/>
  <c r="L913" i="16"/>
  <c r="L914" i="16"/>
  <c r="L915" i="16"/>
  <c r="L916" i="16"/>
  <c r="L917" i="16"/>
  <c r="L918" i="16"/>
  <c r="L919" i="16"/>
  <c r="L920" i="16"/>
  <c r="L921" i="16"/>
  <c r="L922" i="16"/>
  <c r="L923" i="16"/>
  <c r="L924" i="16"/>
  <c r="L925" i="16"/>
  <c r="L926" i="16"/>
  <c r="L927" i="16"/>
  <c r="L928" i="16"/>
  <c r="L929" i="16"/>
  <c r="L930" i="16"/>
  <c r="L931" i="16"/>
  <c r="L932" i="16"/>
  <c r="L933" i="16"/>
  <c r="L934" i="16"/>
  <c r="L935" i="16"/>
  <c r="L936" i="16"/>
  <c r="L937" i="16"/>
  <c r="L938" i="16"/>
  <c r="L939" i="16"/>
  <c r="L940" i="16"/>
  <c r="L941" i="16"/>
  <c r="L942" i="16"/>
  <c r="L943" i="16"/>
  <c r="L944" i="16"/>
  <c r="L945" i="16"/>
  <c r="L946" i="16"/>
  <c r="L947" i="16"/>
  <c r="L948" i="16"/>
  <c r="L949" i="16"/>
  <c r="L950" i="16"/>
  <c r="L951" i="16"/>
  <c r="L952" i="16"/>
  <c r="L953" i="16"/>
  <c r="L954" i="16"/>
  <c r="L955" i="16"/>
  <c r="L956" i="16"/>
  <c r="L957" i="16"/>
  <c r="L958" i="16"/>
  <c r="L959" i="16"/>
  <c r="L960" i="16"/>
  <c r="L961" i="16"/>
  <c r="L962" i="16"/>
  <c r="L963" i="16"/>
  <c r="L964" i="16"/>
  <c r="L965" i="16"/>
  <c r="L966" i="16"/>
  <c r="L967" i="16"/>
  <c r="L968" i="16"/>
  <c r="L969" i="16"/>
  <c r="L970" i="16"/>
  <c r="L971" i="16"/>
  <c r="L972" i="16"/>
  <c r="L973" i="16"/>
  <c r="L974" i="16"/>
  <c r="L975" i="16"/>
  <c r="L976" i="16"/>
  <c r="L977" i="16"/>
  <c r="L978" i="16"/>
  <c r="L979" i="16"/>
  <c r="L980" i="16"/>
  <c r="L981" i="16"/>
  <c r="L982" i="16"/>
  <c r="L983" i="16"/>
  <c r="L984" i="16"/>
  <c r="L985" i="16"/>
  <c r="L986" i="16"/>
  <c r="L987" i="16"/>
  <c r="L988" i="16"/>
  <c r="L989" i="16"/>
  <c r="L990" i="16"/>
  <c r="L991" i="16"/>
  <c r="L992" i="16"/>
  <c r="L993" i="16"/>
  <c r="L994" i="16"/>
  <c r="L995" i="16"/>
  <c r="L996" i="16"/>
  <c r="L997" i="16"/>
  <c r="L998" i="16"/>
  <c r="L999" i="16"/>
  <c r="L1000" i="16"/>
  <c r="L1001" i="16"/>
  <c r="L1002" i="16"/>
  <c r="L1003" i="16"/>
  <c r="L1004" i="16"/>
  <c r="L1005" i="16"/>
  <c r="L1006" i="16"/>
  <c r="L1007" i="16"/>
  <c r="L1008" i="16"/>
  <c r="L1009" i="16"/>
  <c r="L1010" i="16"/>
  <c r="L1011" i="16"/>
  <c r="L1012" i="16"/>
  <c r="L1013" i="16"/>
  <c r="L1014" i="16"/>
  <c r="L1015" i="16"/>
  <c r="L1016" i="16"/>
  <c r="L1017" i="16"/>
  <c r="L1018" i="16"/>
  <c r="L1019" i="16"/>
  <c r="L1020" i="16"/>
  <c r="L1021" i="16"/>
  <c r="L1022" i="16"/>
  <c r="L1023" i="16"/>
  <c r="L1024" i="16"/>
  <c r="L1025" i="16"/>
  <c r="L1026" i="16"/>
  <c r="L1027" i="16"/>
  <c r="L1028" i="16"/>
  <c r="L1029" i="16"/>
  <c r="L1030" i="16"/>
  <c r="L1031" i="16"/>
  <c r="L1032" i="16"/>
  <c r="L1033" i="16"/>
  <c r="L1034" i="16"/>
  <c r="L1035" i="16"/>
  <c r="L1036" i="16"/>
  <c r="L1037" i="16"/>
  <c r="L1038" i="16"/>
  <c r="L1039" i="16"/>
  <c r="L1040" i="16"/>
  <c r="L1041" i="16"/>
  <c r="L1042" i="16"/>
  <c r="L1043" i="16"/>
  <c r="L1044" i="16"/>
  <c r="L1045" i="16"/>
  <c r="L1046" i="16"/>
  <c r="L1047" i="16"/>
  <c r="L1048" i="16"/>
  <c r="L1049" i="16"/>
  <c r="L1050" i="16"/>
  <c r="L1051" i="16"/>
  <c r="L1052" i="16"/>
  <c r="L1053" i="16"/>
  <c r="L1054" i="16"/>
  <c r="L1055" i="16"/>
  <c r="L1218" i="16"/>
  <c r="L1219" i="16"/>
  <c r="L1220" i="16"/>
  <c r="L1221" i="16"/>
  <c r="L1222" i="16"/>
  <c r="L1223" i="16"/>
  <c r="L1224" i="16"/>
  <c r="L1225" i="16"/>
  <c r="L1226" i="16"/>
  <c r="L1227" i="16"/>
  <c r="L1228" i="16"/>
  <c r="L1229" i="16"/>
  <c r="L1230" i="16"/>
  <c r="L1231" i="16"/>
  <c r="L1232" i="16"/>
  <c r="L1233" i="16"/>
  <c r="L1234" i="16"/>
  <c r="L1235" i="16"/>
  <c r="L1236" i="16"/>
  <c r="L1237" i="16"/>
  <c r="L1238" i="16"/>
  <c r="L1239" i="16"/>
  <c r="L1240" i="16"/>
  <c r="L1241" i="16"/>
  <c r="L1242" i="16"/>
  <c r="L1243" i="16"/>
  <c r="L1244" i="16"/>
  <c r="L1245" i="16"/>
  <c r="L1246" i="16"/>
  <c r="L1247" i="16"/>
  <c r="L1248" i="16"/>
  <c r="L1249" i="16"/>
  <c r="L1250" i="16"/>
  <c r="L1251" i="16"/>
  <c r="L1252" i="16"/>
  <c r="L1253" i="16"/>
  <c r="L1254" i="16"/>
  <c r="L1255" i="16"/>
  <c r="L1256" i="16"/>
  <c r="L1257" i="16"/>
  <c r="L1258" i="16"/>
  <c r="L1259" i="16"/>
  <c r="L1260" i="16"/>
  <c r="L1261" i="16"/>
  <c r="L1262" i="16"/>
  <c r="L1263" i="16"/>
  <c r="L1264" i="16"/>
  <c r="K4" i="16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38" i="16"/>
  <c r="K39" i="16"/>
  <c r="K40" i="16"/>
  <c r="K41" i="16"/>
  <c r="K42" i="16"/>
  <c r="K43" i="16"/>
  <c r="K44" i="16"/>
  <c r="K45" i="16"/>
  <c r="K46" i="16"/>
  <c r="K47" i="16"/>
  <c r="K48" i="16"/>
  <c r="K49" i="16"/>
  <c r="K50" i="16"/>
  <c r="K51" i="16"/>
  <c r="K52" i="16"/>
  <c r="K53" i="16"/>
  <c r="K54" i="16"/>
  <c r="K55" i="16"/>
  <c r="K56" i="16"/>
  <c r="K57" i="16"/>
  <c r="K58" i="16"/>
  <c r="K59" i="16"/>
  <c r="K60" i="16"/>
  <c r="K61" i="16"/>
  <c r="K62" i="16"/>
  <c r="K63" i="16"/>
  <c r="K64" i="16"/>
  <c r="K65" i="16"/>
  <c r="K66" i="16"/>
  <c r="K67" i="16"/>
  <c r="K68" i="16"/>
  <c r="K69" i="16"/>
  <c r="K70" i="16"/>
  <c r="K71" i="16"/>
  <c r="K72" i="16"/>
  <c r="K73" i="16"/>
  <c r="K74" i="16"/>
  <c r="K75" i="16"/>
  <c r="K76" i="16"/>
  <c r="K77" i="16"/>
  <c r="K78" i="16"/>
  <c r="K79" i="16"/>
  <c r="K80" i="16"/>
  <c r="K81" i="16"/>
  <c r="K82" i="16"/>
  <c r="K83" i="16"/>
  <c r="K85" i="16"/>
  <c r="K86" i="16"/>
  <c r="K87" i="16"/>
  <c r="K88" i="16"/>
  <c r="K89" i="16"/>
  <c r="K90" i="16"/>
  <c r="K91" i="16"/>
  <c r="K92" i="16"/>
  <c r="K93" i="16"/>
  <c r="K94" i="16"/>
  <c r="K95" i="16"/>
  <c r="K96" i="16"/>
  <c r="K97" i="16"/>
  <c r="K98" i="16"/>
  <c r="K99" i="16"/>
  <c r="K100" i="16"/>
  <c r="K101" i="16"/>
  <c r="K102" i="16"/>
  <c r="K103" i="16"/>
  <c r="K104" i="16"/>
  <c r="K105" i="16"/>
  <c r="K106" i="16"/>
  <c r="K107" i="16"/>
  <c r="K108" i="16"/>
  <c r="K109" i="16"/>
  <c r="K110" i="16"/>
  <c r="K111" i="16"/>
  <c r="K112" i="16"/>
  <c r="K113" i="16"/>
  <c r="K114" i="16"/>
  <c r="K115" i="16"/>
  <c r="K116" i="16"/>
  <c r="K117" i="16"/>
  <c r="K118" i="16"/>
  <c r="K119" i="16"/>
  <c r="K120" i="16"/>
  <c r="K121" i="16"/>
  <c r="K122" i="16"/>
  <c r="K123" i="16"/>
  <c r="K124" i="16"/>
  <c r="K125" i="16"/>
  <c r="K126" i="16"/>
  <c r="K127" i="16"/>
  <c r="K128" i="16"/>
  <c r="K129" i="16"/>
  <c r="K130" i="16"/>
  <c r="K131" i="16"/>
  <c r="K132" i="16"/>
  <c r="K133" i="16"/>
  <c r="K134" i="16"/>
  <c r="K135" i="16"/>
  <c r="K136" i="16"/>
  <c r="K137" i="16"/>
  <c r="K138" i="16"/>
  <c r="K139" i="16"/>
  <c r="K140" i="16"/>
  <c r="K141" i="16"/>
  <c r="K142" i="16"/>
  <c r="K143" i="16"/>
  <c r="K144" i="16"/>
  <c r="K145" i="16"/>
  <c r="K146" i="16"/>
  <c r="K147" i="16"/>
  <c r="K148" i="16"/>
  <c r="K149" i="16"/>
  <c r="K150" i="16"/>
  <c r="K151" i="16"/>
  <c r="K152" i="16"/>
  <c r="K153" i="16"/>
  <c r="K154" i="16"/>
  <c r="K155" i="16"/>
  <c r="K156" i="16"/>
  <c r="K157" i="16"/>
  <c r="K158" i="16"/>
  <c r="K159" i="16"/>
  <c r="K160" i="16"/>
  <c r="K161" i="16"/>
  <c r="K162" i="16"/>
  <c r="K163" i="16"/>
  <c r="K164" i="16"/>
  <c r="K165" i="16"/>
  <c r="K166" i="16"/>
  <c r="K167" i="16"/>
  <c r="K168" i="16"/>
  <c r="K169" i="16"/>
  <c r="K171" i="16"/>
  <c r="K172" i="16"/>
  <c r="K173" i="16"/>
  <c r="K174" i="16"/>
  <c r="K175" i="16"/>
  <c r="K176" i="16"/>
  <c r="K177" i="16"/>
  <c r="K178" i="16"/>
  <c r="K179" i="16"/>
  <c r="K180" i="16"/>
  <c r="K181" i="16"/>
  <c r="K182" i="16"/>
  <c r="K183" i="16"/>
  <c r="K184" i="16"/>
  <c r="K185" i="16"/>
  <c r="K186" i="16"/>
  <c r="K187" i="16"/>
  <c r="K188" i="16"/>
  <c r="K189" i="16"/>
  <c r="K190" i="16"/>
  <c r="K191" i="16"/>
  <c r="K192" i="16"/>
  <c r="K193" i="16"/>
  <c r="K194" i="16"/>
  <c r="K195" i="16"/>
  <c r="K196" i="16"/>
  <c r="K197" i="16"/>
  <c r="K198" i="16"/>
  <c r="K199" i="16"/>
  <c r="K200" i="16"/>
  <c r="K201" i="16"/>
  <c r="K202" i="16"/>
  <c r="K203" i="16"/>
  <c r="K204" i="16"/>
  <c r="K205" i="16"/>
  <c r="K206" i="16"/>
  <c r="K207" i="16"/>
  <c r="K208" i="16"/>
  <c r="K209" i="16"/>
  <c r="K210" i="16"/>
  <c r="K211" i="16"/>
  <c r="K212" i="16"/>
  <c r="K213" i="16"/>
  <c r="K214" i="16"/>
  <c r="K215" i="16"/>
  <c r="K216" i="16"/>
  <c r="K217" i="16"/>
  <c r="K218" i="16"/>
  <c r="K219" i="16"/>
  <c r="K220" i="16"/>
  <c r="K221" i="16"/>
  <c r="K222" i="16"/>
  <c r="K223" i="16"/>
  <c r="K224" i="16"/>
  <c r="K225" i="16"/>
  <c r="K226" i="16"/>
  <c r="K227" i="16"/>
  <c r="K228" i="16"/>
  <c r="K229" i="16"/>
  <c r="K230" i="16"/>
  <c r="K231" i="16"/>
  <c r="K232" i="16"/>
  <c r="K233" i="16"/>
  <c r="K234" i="16"/>
  <c r="K235" i="16"/>
  <c r="K236" i="16"/>
  <c r="K237" i="16"/>
  <c r="K238" i="16"/>
  <c r="K239" i="16"/>
  <c r="K240" i="16"/>
  <c r="K241" i="16"/>
  <c r="K242" i="16"/>
  <c r="K243" i="16"/>
  <c r="K244" i="16"/>
  <c r="K245" i="16"/>
  <c r="K246" i="16"/>
  <c r="K247" i="16"/>
  <c r="K248" i="16"/>
  <c r="K249" i="16"/>
  <c r="K250" i="16"/>
  <c r="K251" i="16"/>
  <c r="K252" i="16"/>
  <c r="K253" i="16"/>
  <c r="K254" i="16"/>
  <c r="K255" i="16"/>
  <c r="K256" i="16"/>
  <c r="K257" i="16"/>
  <c r="K258" i="16"/>
  <c r="K259" i="16"/>
  <c r="K260" i="16"/>
  <c r="K261" i="16"/>
  <c r="K262" i="16"/>
  <c r="K263" i="16"/>
  <c r="K264" i="16"/>
  <c r="K265" i="16"/>
  <c r="K266" i="16"/>
  <c r="K267" i="16"/>
  <c r="K268" i="16"/>
  <c r="K269" i="16"/>
  <c r="K270" i="16"/>
  <c r="K271" i="16"/>
  <c r="K272" i="16"/>
  <c r="K273" i="16"/>
  <c r="K274" i="16"/>
  <c r="K275" i="16"/>
  <c r="K276" i="16"/>
  <c r="K277" i="16"/>
  <c r="K278" i="16"/>
  <c r="K279" i="16"/>
  <c r="K280" i="16"/>
  <c r="K281" i="16"/>
  <c r="K282" i="16"/>
  <c r="K283" i="16"/>
  <c r="K284" i="16"/>
  <c r="K285" i="16"/>
  <c r="K286" i="16"/>
  <c r="K287" i="16"/>
  <c r="K288" i="16"/>
  <c r="K289" i="16"/>
  <c r="K290" i="16"/>
  <c r="K291" i="16"/>
  <c r="K292" i="16"/>
  <c r="K293" i="16"/>
  <c r="K294" i="16"/>
  <c r="K295" i="16"/>
  <c r="K296" i="16"/>
  <c r="K297" i="16"/>
  <c r="K298" i="16"/>
  <c r="K299" i="16"/>
  <c r="K300" i="16"/>
  <c r="K301" i="16"/>
  <c r="K302" i="16"/>
  <c r="K303" i="16"/>
  <c r="K304" i="16"/>
  <c r="K305" i="16"/>
  <c r="K306" i="16"/>
  <c r="K307" i="16"/>
  <c r="K308" i="16"/>
  <c r="K309" i="16"/>
  <c r="K310" i="16"/>
  <c r="K311" i="16"/>
  <c r="K312" i="16"/>
  <c r="K313" i="16"/>
  <c r="K314" i="16"/>
  <c r="K315" i="16"/>
  <c r="K316" i="16"/>
  <c r="K317" i="16"/>
  <c r="K318" i="16"/>
  <c r="K319" i="16"/>
  <c r="K320" i="16"/>
  <c r="K321" i="16"/>
  <c r="K322" i="16"/>
  <c r="K323" i="16"/>
  <c r="K324" i="16"/>
  <c r="K325" i="16"/>
  <c r="K326" i="16"/>
  <c r="K327" i="16"/>
  <c r="K328" i="16"/>
  <c r="K329" i="16"/>
  <c r="K330" i="16"/>
  <c r="K331" i="16"/>
  <c r="K332" i="16"/>
  <c r="K333" i="16"/>
  <c r="K334" i="16"/>
  <c r="K335" i="16"/>
  <c r="K336" i="16"/>
  <c r="K337" i="16"/>
  <c r="K338" i="16"/>
  <c r="K339" i="16"/>
  <c r="K340" i="16"/>
  <c r="K341" i="16"/>
  <c r="K342" i="16"/>
  <c r="K343" i="16"/>
  <c r="K344" i="16"/>
  <c r="K345" i="16"/>
  <c r="K346" i="16"/>
  <c r="K347" i="16"/>
  <c r="K348" i="16"/>
  <c r="K349" i="16"/>
  <c r="K350" i="16"/>
  <c r="K351" i="16"/>
  <c r="K352" i="16"/>
  <c r="K354" i="16"/>
  <c r="K355" i="16"/>
  <c r="K356" i="16"/>
  <c r="K357" i="16"/>
  <c r="K358" i="16"/>
  <c r="K359" i="16"/>
  <c r="K360" i="16"/>
  <c r="K361" i="16"/>
  <c r="K362" i="16"/>
  <c r="K363" i="16"/>
  <c r="K364" i="16"/>
  <c r="K365" i="16"/>
  <c r="K366" i="16"/>
  <c r="K367" i="16"/>
  <c r="K368" i="16"/>
  <c r="K369" i="16"/>
  <c r="K370" i="16"/>
  <c r="K371" i="16"/>
  <c r="K372" i="16"/>
  <c r="K373" i="16"/>
  <c r="K374" i="16"/>
  <c r="K375" i="16"/>
  <c r="K376" i="16"/>
  <c r="K377" i="16"/>
  <c r="K378" i="16"/>
  <c r="K379" i="16"/>
  <c r="K380" i="16"/>
  <c r="K381" i="16"/>
  <c r="K382" i="16"/>
  <c r="K383" i="16"/>
  <c r="K384" i="16"/>
  <c r="K385" i="16"/>
  <c r="K386" i="16"/>
  <c r="K387" i="16"/>
  <c r="K388" i="16"/>
  <c r="K389" i="16"/>
  <c r="K390" i="16"/>
  <c r="K391" i="16"/>
  <c r="K392" i="16"/>
  <c r="K393" i="16"/>
  <c r="K394" i="16"/>
  <c r="K395" i="16"/>
  <c r="K396" i="16"/>
  <c r="K397" i="16"/>
  <c r="K398" i="16"/>
  <c r="K399" i="16"/>
  <c r="K400" i="16"/>
  <c r="K401" i="16"/>
  <c r="K402" i="16"/>
  <c r="K403" i="16"/>
  <c r="K404" i="16"/>
  <c r="K405" i="16"/>
  <c r="K406" i="16"/>
  <c r="K407" i="16"/>
  <c r="K408" i="16"/>
  <c r="K409" i="16"/>
  <c r="K410" i="16"/>
  <c r="K411" i="16"/>
  <c r="K412" i="16"/>
  <c r="K413" i="16"/>
  <c r="K414" i="16"/>
  <c r="K415" i="16"/>
  <c r="K416" i="16"/>
  <c r="K417" i="16"/>
  <c r="K418" i="16"/>
  <c r="K419" i="16"/>
  <c r="K420" i="16"/>
  <c r="K421" i="16"/>
  <c r="K422" i="16"/>
  <c r="K423" i="16"/>
  <c r="K424" i="16"/>
  <c r="K425" i="16"/>
  <c r="K426" i="16"/>
  <c r="K427" i="16"/>
  <c r="K428" i="16"/>
  <c r="K429" i="16"/>
  <c r="K430" i="16"/>
  <c r="K431" i="16"/>
  <c r="K432" i="16"/>
  <c r="K433" i="16"/>
  <c r="K434" i="16"/>
  <c r="K435" i="16"/>
  <c r="K436" i="16"/>
  <c r="K437" i="16"/>
  <c r="K438" i="16"/>
  <c r="K439" i="16"/>
  <c r="K440" i="16"/>
  <c r="K441" i="16"/>
  <c r="K442" i="16"/>
  <c r="K443" i="16"/>
  <c r="K444" i="16"/>
  <c r="K445" i="16"/>
  <c r="K446" i="16"/>
  <c r="K447" i="16"/>
  <c r="K449" i="16"/>
  <c r="K450" i="16"/>
  <c r="K451" i="16"/>
  <c r="K452" i="16"/>
  <c r="K453" i="16"/>
  <c r="K454" i="16"/>
  <c r="K455" i="16"/>
  <c r="K456" i="16"/>
  <c r="K457" i="16"/>
  <c r="K458" i="16"/>
  <c r="K459" i="16"/>
  <c r="K460" i="16"/>
  <c r="K461" i="16"/>
  <c r="K462" i="16"/>
  <c r="K463" i="16"/>
  <c r="K464" i="16"/>
  <c r="K465" i="16"/>
  <c r="K466" i="16"/>
  <c r="K467" i="16"/>
  <c r="K468" i="16"/>
  <c r="K469" i="16"/>
  <c r="K470" i="16"/>
  <c r="K471" i="16"/>
  <c r="K472" i="16"/>
  <c r="K473" i="16"/>
  <c r="K474" i="16"/>
  <c r="K475" i="16"/>
  <c r="K476" i="16"/>
  <c r="K477" i="16"/>
  <c r="K478" i="16"/>
  <c r="K479" i="16"/>
  <c r="K480" i="16"/>
  <c r="K481" i="16"/>
  <c r="K482" i="16"/>
  <c r="K483" i="16"/>
  <c r="K484" i="16"/>
  <c r="K485" i="16"/>
  <c r="K486" i="16"/>
  <c r="K487" i="16"/>
  <c r="K488" i="16"/>
  <c r="K489" i="16"/>
  <c r="K490" i="16"/>
  <c r="K491" i="16"/>
  <c r="K492" i="16"/>
  <c r="K493" i="16"/>
  <c r="K494" i="16"/>
  <c r="K495" i="16"/>
  <c r="K496" i="16"/>
  <c r="K497" i="16"/>
  <c r="K498" i="16"/>
  <c r="K499" i="16"/>
  <c r="K500" i="16"/>
  <c r="K501" i="16"/>
  <c r="K502" i="16"/>
  <c r="K503" i="16"/>
  <c r="K504" i="16"/>
  <c r="K505" i="16"/>
  <c r="K506" i="16"/>
  <c r="K507" i="16"/>
  <c r="K508" i="16"/>
  <c r="K509" i="16"/>
  <c r="K510" i="16"/>
  <c r="K511" i="16"/>
  <c r="K512" i="16"/>
  <c r="K513" i="16"/>
  <c r="K514" i="16"/>
  <c r="K515" i="16"/>
  <c r="K516" i="16"/>
  <c r="K517" i="16"/>
  <c r="K518" i="16"/>
  <c r="K519" i="16"/>
  <c r="K520" i="16"/>
  <c r="K521" i="16"/>
  <c r="K522" i="16"/>
  <c r="K523" i="16"/>
  <c r="K524" i="16"/>
  <c r="K525" i="16"/>
  <c r="K526" i="16"/>
  <c r="K527" i="16"/>
  <c r="K528" i="16"/>
  <c r="K529" i="16"/>
  <c r="K530" i="16"/>
  <c r="K531" i="16"/>
  <c r="K532" i="16"/>
  <c r="K533" i="16"/>
  <c r="K534" i="16"/>
  <c r="K535" i="16"/>
  <c r="K536" i="16"/>
  <c r="K537" i="16"/>
  <c r="K538" i="16"/>
  <c r="K539" i="16"/>
  <c r="K540" i="16"/>
  <c r="K541" i="16"/>
  <c r="K542" i="16"/>
  <c r="K543" i="16"/>
  <c r="K544" i="16"/>
  <c r="K545" i="16"/>
  <c r="K546" i="16"/>
  <c r="K547" i="16"/>
  <c r="K548" i="16"/>
  <c r="K549" i="16"/>
  <c r="K550" i="16"/>
  <c r="K551" i="16"/>
  <c r="K552" i="16"/>
  <c r="K553" i="16"/>
  <c r="K554" i="16"/>
  <c r="K555" i="16"/>
  <c r="K556" i="16"/>
  <c r="K557" i="16"/>
  <c r="K558" i="16"/>
  <c r="K559" i="16"/>
  <c r="K560" i="16"/>
  <c r="K561" i="16"/>
  <c r="K562" i="16"/>
  <c r="K563" i="16"/>
  <c r="K564" i="16"/>
  <c r="K565" i="16"/>
  <c r="K566" i="16"/>
  <c r="K567" i="16"/>
  <c r="K568" i="16"/>
  <c r="K569" i="16"/>
  <c r="K570" i="16"/>
  <c r="K571" i="16"/>
  <c r="K572" i="16"/>
  <c r="K573" i="16"/>
  <c r="K574" i="16"/>
  <c r="K575" i="16"/>
  <c r="K576" i="16"/>
  <c r="K577" i="16"/>
  <c r="K578" i="16"/>
  <c r="K579" i="16"/>
  <c r="K580" i="16"/>
  <c r="K581" i="16"/>
  <c r="K582" i="16"/>
  <c r="K583" i="16"/>
  <c r="K584" i="16"/>
  <c r="K585" i="16"/>
  <c r="K586" i="16"/>
  <c r="K587" i="16"/>
  <c r="K588" i="16"/>
  <c r="K589" i="16"/>
  <c r="K590" i="16"/>
  <c r="K591" i="16"/>
  <c r="K592" i="16"/>
  <c r="K593" i="16"/>
  <c r="K594" i="16"/>
  <c r="K595" i="16"/>
  <c r="K596" i="16"/>
  <c r="K597" i="16"/>
  <c r="K598" i="16"/>
  <c r="K599" i="16"/>
  <c r="K600" i="16"/>
  <c r="K601" i="16"/>
  <c r="K602" i="16"/>
  <c r="K603" i="16"/>
  <c r="K604" i="16"/>
  <c r="K605" i="16"/>
  <c r="K606" i="16"/>
  <c r="K607" i="16"/>
  <c r="K608" i="16"/>
  <c r="K609" i="16"/>
  <c r="K610" i="16"/>
  <c r="K611" i="16"/>
  <c r="K612" i="16"/>
  <c r="K613" i="16"/>
  <c r="K614" i="16"/>
  <c r="K615" i="16"/>
  <c r="K616" i="16"/>
  <c r="K617" i="16"/>
  <c r="K618" i="16"/>
  <c r="K619" i="16"/>
  <c r="K620" i="16"/>
  <c r="K621" i="16"/>
  <c r="K622" i="16"/>
  <c r="K623" i="16"/>
  <c r="K624" i="16"/>
  <c r="K625" i="16"/>
  <c r="K626" i="16"/>
  <c r="K627" i="16"/>
  <c r="K628" i="16"/>
  <c r="K629" i="16"/>
  <c r="K630" i="16"/>
  <c r="K631" i="16"/>
  <c r="K632" i="16"/>
  <c r="K633" i="16"/>
  <c r="K634" i="16"/>
  <c r="K635" i="16"/>
  <c r="K636" i="16"/>
  <c r="K637" i="16"/>
  <c r="K638" i="16"/>
  <c r="K639" i="16"/>
  <c r="K640" i="16"/>
  <c r="K641" i="16"/>
  <c r="K642" i="16"/>
  <c r="K643" i="16"/>
  <c r="K644" i="16"/>
  <c r="K645" i="16"/>
  <c r="K646" i="16"/>
  <c r="K647" i="16"/>
  <c r="K648" i="16"/>
  <c r="K649" i="16"/>
  <c r="K651" i="16"/>
  <c r="K652" i="16"/>
  <c r="K653" i="16"/>
  <c r="K654" i="16"/>
  <c r="K655" i="16"/>
  <c r="K656" i="16"/>
  <c r="K657" i="16"/>
  <c r="K658" i="16"/>
  <c r="K659" i="16"/>
  <c r="K660" i="16"/>
  <c r="K661" i="16"/>
  <c r="K662" i="16"/>
  <c r="K663" i="16"/>
  <c r="K664" i="16"/>
  <c r="K665" i="16"/>
  <c r="K666" i="16"/>
  <c r="K667" i="16"/>
  <c r="K668" i="16"/>
  <c r="K669" i="16"/>
  <c r="K670" i="16"/>
  <c r="K671" i="16"/>
  <c r="K672" i="16"/>
  <c r="K673" i="16"/>
  <c r="K674" i="16"/>
  <c r="K675" i="16"/>
  <c r="K676" i="16"/>
  <c r="K677" i="16"/>
  <c r="K678" i="16"/>
  <c r="K679" i="16"/>
  <c r="K680" i="16"/>
  <c r="K681" i="16"/>
  <c r="K682" i="16"/>
  <c r="K683" i="16"/>
  <c r="K684" i="16"/>
  <c r="K685" i="16"/>
  <c r="K686" i="16"/>
  <c r="K687" i="16"/>
  <c r="K688" i="16"/>
  <c r="K689" i="16"/>
  <c r="K690" i="16"/>
  <c r="K691" i="16"/>
  <c r="K692" i="16"/>
  <c r="K693" i="16"/>
  <c r="K694" i="16"/>
  <c r="K695" i="16"/>
  <c r="K696" i="16"/>
  <c r="K697" i="16"/>
  <c r="K698" i="16"/>
  <c r="K699" i="16"/>
  <c r="K700" i="16"/>
  <c r="K701" i="16"/>
  <c r="K702" i="16"/>
  <c r="K703" i="16"/>
  <c r="K704" i="16"/>
  <c r="K705" i="16"/>
  <c r="K706" i="16"/>
  <c r="K707" i="16"/>
  <c r="K708" i="16"/>
  <c r="K709" i="16"/>
  <c r="K710" i="16"/>
  <c r="K711" i="16"/>
  <c r="K712" i="16"/>
  <c r="K713" i="16"/>
  <c r="K714" i="16"/>
  <c r="K715" i="16"/>
  <c r="K716" i="16"/>
  <c r="K717" i="16"/>
  <c r="K718" i="16"/>
  <c r="K719" i="16"/>
  <c r="K720" i="16"/>
  <c r="K721" i="16"/>
  <c r="K722" i="16"/>
  <c r="K723" i="16"/>
  <c r="K724" i="16"/>
  <c r="K725" i="16"/>
  <c r="K726" i="16"/>
  <c r="K727" i="16"/>
  <c r="K728" i="16"/>
  <c r="K729" i="16"/>
  <c r="K730" i="16"/>
  <c r="K731" i="16"/>
  <c r="K732" i="16"/>
  <c r="K733" i="16"/>
  <c r="K734" i="16"/>
  <c r="K735" i="16"/>
  <c r="K736" i="16"/>
  <c r="K737" i="16"/>
  <c r="K738" i="16"/>
  <c r="K739" i="16"/>
  <c r="K740" i="16"/>
  <c r="K741" i="16"/>
  <c r="K742" i="16"/>
  <c r="K743" i="16"/>
  <c r="K744" i="16"/>
  <c r="K745" i="16"/>
  <c r="K746" i="16"/>
  <c r="K747" i="16"/>
  <c r="K748" i="16"/>
  <c r="K749" i="16"/>
  <c r="K750" i="16"/>
  <c r="K751" i="16"/>
  <c r="K752" i="16"/>
  <c r="K753" i="16"/>
  <c r="K754" i="16"/>
  <c r="K755" i="16"/>
  <c r="K756" i="16"/>
  <c r="K757" i="16"/>
  <c r="K758" i="16"/>
  <c r="K759" i="16"/>
  <c r="K760" i="16"/>
  <c r="K761" i="16"/>
  <c r="K762" i="16"/>
  <c r="K763" i="16"/>
  <c r="K764" i="16"/>
  <c r="K765" i="16"/>
  <c r="K766" i="16"/>
  <c r="K767" i="16"/>
  <c r="K768" i="16"/>
  <c r="K769" i="16"/>
  <c r="K770" i="16"/>
  <c r="K771" i="16"/>
  <c r="K772" i="16"/>
  <c r="K773" i="16"/>
  <c r="K774" i="16"/>
  <c r="K775" i="16"/>
  <c r="K776" i="16"/>
  <c r="K777" i="16"/>
  <c r="K778" i="16"/>
  <c r="K779" i="16"/>
  <c r="K780" i="16"/>
  <c r="K781" i="16"/>
  <c r="K782" i="16"/>
  <c r="K783" i="16"/>
  <c r="K784" i="16"/>
  <c r="K785" i="16"/>
  <c r="K786" i="16"/>
  <c r="K787" i="16"/>
  <c r="K788" i="16"/>
  <c r="K789" i="16"/>
  <c r="K790" i="16"/>
  <c r="K791" i="16"/>
  <c r="K792" i="16"/>
  <c r="K793" i="16"/>
  <c r="K794" i="16"/>
  <c r="K795" i="16"/>
  <c r="K796" i="16"/>
  <c r="K797" i="16"/>
  <c r="K798" i="16"/>
  <c r="K799" i="16"/>
  <c r="K800" i="16"/>
  <c r="K801" i="16"/>
  <c r="K802" i="16"/>
  <c r="K803" i="16"/>
  <c r="K804" i="16"/>
  <c r="K805" i="16"/>
  <c r="K806" i="16"/>
  <c r="K807" i="16"/>
  <c r="K808" i="16"/>
  <c r="K809" i="16"/>
  <c r="K810" i="16"/>
  <c r="K811" i="16"/>
  <c r="K812" i="16"/>
  <c r="K813" i="16"/>
  <c r="K814" i="16"/>
  <c r="K815" i="16"/>
  <c r="K816" i="16"/>
  <c r="K817" i="16"/>
  <c r="K818" i="16"/>
  <c r="K819" i="16"/>
  <c r="K820" i="16"/>
  <c r="K821" i="16"/>
  <c r="K822" i="16"/>
  <c r="K823" i="16"/>
  <c r="K824" i="16"/>
  <c r="K825" i="16"/>
  <c r="K826" i="16"/>
  <c r="K827" i="16"/>
  <c r="K828" i="16"/>
  <c r="K829" i="16"/>
  <c r="K830" i="16"/>
  <c r="K831" i="16"/>
  <c r="K832" i="16"/>
  <c r="K833" i="16"/>
  <c r="K834" i="16"/>
  <c r="K835" i="16"/>
  <c r="K836" i="16"/>
  <c r="K837" i="16"/>
  <c r="K838" i="16"/>
  <c r="K839" i="16"/>
  <c r="K840" i="16"/>
  <c r="K841" i="16"/>
  <c r="K842" i="16"/>
  <c r="K843" i="16"/>
  <c r="K844" i="16"/>
  <c r="K845" i="16"/>
  <c r="K846" i="16"/>
  <c r="K847" i="16"/>
  <c r="K848" i="16"/>
  <c r="K849" i="16"/>
  <c r="K850" i="16"/>
  <c r="K851" i="16"/>
  <c r="K852" i="16"/>
  <c r="K853" i="16"/>
  <c r="K854" i="16"/>
  <c r="K855" i="16"/>
  <c r="K856" i="16"/>
  <c r="K857" i="16"/>
  <c r="K858" i="16"/>
  <c r="K859" i="16"/>
  <c r="K860" i="16"/>
  <c r="K861" i="16"/>
  <c r="K862" i="16"/>
  <c r="K863" i="16"/>
  <c r="K864" i="16"/>
  <c r="K865" i="16"/>
  <c r="K866" i="16"/>
  <c r="K867" i="16"/>
  <c r="K868" i="16"/>
  <c r="K869" i="16"/>
  <c r="K870" i="16"/>
  <c r="K871" i="16"/>
  <c r="K872" i="16"/>
  <c r="K873" i="16"/>
  <c r="K874" i="16"/>
  <c r="K875" i="16"/>
  <c r="K876" i="16"/>
  <c r="K877" i="16"/>
  <c r="K878" i="16"/>
  <c r="K879" i="16"/>
  <c r="K880" i="16"/>
  <c r="K881" i="16"/>
  <c r="K882" i="16"/>
  <c r="K883" i="16"/>
  <c r="K884" i="16"/>
  <c r="K885" i="16"/>
  <c r="K886" i="16"/>
  <c r="K887" i="16"/>
  <c r="K888" i="16"/>
  <c r="K889" i="16"/>
  <c r="K890" i="16"/>
  <c r="K891" i="16"/>
  <c r="K892" i="16"/>
  <c r="K893" i="16"/>
  <c r="K894" i="16"/>
  <c r="K895" i="16"/>
  <c r="K896" i="16"/>
  <c r="K897" i="16"/>
  <c r="K898" i="16"/>
  <c r="K899" i="16"/>
  <c r="K900" i="16"/>
  <c r="K901" i="16"/>
  <c r="K902" i="16"/>
  <c r="K903" i="16"/>
  <c r="K904" i="16"/>
  <c r="K905" i="16"/>
  <c r="K906" i="16"/>
  <c r="K907" i="16"/>
  <c r="K908" i="16"/>
  <c r="K909" i="16"/>
  <c r="K910" i="16"/>
  <c r="K911" i="16"/>
  <c r="K912" i="16"/>
  <c r="K913" i="16"/>
  <c r="K914" i="16"/>
  <c r="K915" i="16"/>
  <c r="K916" i="16"/>
  <c r="K917" i="16"/>
  <c r="K918" i="16"/>
  <c r="K919" i="16"/>
  <c r="K920" i="16"/>
  <c r="K921" i="16"/>
  <c r="K922" i="16"/>
  <c r="K923" i="16"/>
  <c r="K924" i="16"/>
  <c r="K925" i="16"/>
  <c r="K926" i="16"/>
  <c r="K927" i="16"/>
  <c r="K928" i="16"/>
  <c r="K929" i="16"/>
  <c r="K930" i="16"/>
  <c r="K931" i="16"/>
  <c r="K932" i="16"/>
  <c r="K933" i="16"/>
  <c r="K934" i="16"/>
  <c r="K935" i="16"/>
  <c r="K936" i="16"/>
  <c r="K937" i="16"/>
  <c r="K938" i="16"/>
  <c r="K939" i="16"/>
  <c r="K940" i="16"/>
  <c r="K941" i="16"/>
  <c r="K942" i="16"/>
  <c r="K943" i="16"/>
  <c r="K944" i="16"/>
  <c r="K945" i="16"/>
  <c r="K946" i="16"/>
  <c r="K947" i="16"/>
  <c r="K948" i="16"/>
  <c r="K949" i="16"/>
  <c r="K950" i="16"/>
  <c r="K951" i="16"/>
  <c r="K952" i="16"/>
  <c r="K953" i="16"/>
  <c r="K954" i="16"/>
  <c r="K955" i="16"/>
  <c r="K956" i="16"/>
  <c r="K957" i="16"/>
  <c r="K958" i="16"/>
  <c r="K959" i="16"/>
  <c r="K960" i="16"/>
  <c r="K961" i="16"/>
  <c r="K962" i="16"/>
  <c r="K963" i="16"/>
  <c r="K964" i="16"/>
  <c r="K965" i="16"/>
  <c r="K966" i="16"/>
  <c r="K967" i="16"/>
  <c r="K968" i="16"/>
  <c r="K969" i="16"/>
  <c r="K970" i="16"/>
  <c r="K971" i="16"/>
  <c r="K972" i="16"/>
  <c r="K973" i="16"/>
  <c r="K974" i="16"/>
  <c r="K975" i="16"/>
  <c r="K976" i="16"/>
  <c r="K977" i="16"/>
  <c r="K978" i="16"/>
  <c r="K979" i="16"/>
  <c r="K980" i="16"/>
  <c r="K981" i="16"/>
  <c r="K982" i="16"/>
  <c r="K983" i="16"/>
  <c r="K984" i="16"/>
  <c r="K985" i="16"/>
  <c r="K986" i="16"/>
  <c r="K987" i="16"/>
  <c r="K988" i="16"/>
  <c r="K989" i="16"/>
  <c r="K990" i="16"/>
  <c r="K991" i="16"/>
  <c r="K992" i="16"/>
  <c r="K993" i="16"/>
  <c r="K994" i="16"/>
  <c r="K995" i="16"/>
  <c r="K996" i="16"/>
  <c r="K997" i="16"/>
  <c r="K998" i="16"/>
  <c r="K999" i="16"/>
  <c r="K1000" i="16"/>
  <c r="K1001" i="16"/>
  <c r="K1002" i="16"/>
  <c r="K1003" i="16"/>
  <c r="K1004" i="16"/>
  <c r="K1005" i="16"/>
  <c r="K1006" i="16"/>
  <c r="K1007" i="16"/>
  <c r="K1008" i="16"/>
  <c r="K1009" i="16"/>
  <c r="K1010" i="16"/>
  <c r="K1011" i="16"/>
  <c r="K1012" i="16"/>
  <c r="K1013" i="16"/>
  <c r="K1014" i="16"/>
  <c r="K1015" i="16"/>
  <c r="K1016" i="16"/>
  <c r="K1017" i="16"/>
  <c r="K1018" i="16"/>
  <c r="K1019" i="16"/>
  <c r="K1020" i="16"/>
  <c r="K1021" i="16"/>
  <c r="K1022" i="16"/>
  <c r="K1023" i="16"/>
  <c r="K1024" i="16"/>
  <c r="K1025" i="16"/>
  <c r="K1026" i="16"/>
  <c r="K1027" i="16"/>
  <c r="K1028" i="16"/>
  <c r="K1029" i="16"/>
  <c r="K1030" i="16"/>
  <c r="K1031" i="16"/>
  <c r="K1032" i="16"/>
  <c r="K1033" i="16"/>
  <c r="K1034" i="16"/>
  <c r="K1035" i="16"/>
  <c r="K1036" i="16"/>
  <c r="K1037" i="16"/>
  <c r="K1038" i="16"/>
  <c r="K1039" i="16"/>
  <c r="K1040" i="16"/>
  <c r="K1041" i="16"/>
  <c r="K1042" i="16"/>
  <c r="K1043" i="16"/>
  <c r="K1044" i="16"/>
  <c r="K1045" i="16"/>
  <c r="K1046" i="16"/>
  <c r="K1047" i="16"/>
  <c r="K1048" i="16"/>
  <c r="K1049" i="16"/>
  <c r="K1050" i="16"/>
  <c r="K1051" i="16"/>
  <c r="K1052" i="16"/>
  <c r="K1053" i="16"/>
  <c r="K1054" i="16"/>
  <c r="K1055" i="16"/>
  <c r="K1057" i="16"/>
  <c r="K1058" i="16"/>
  <c r="K1059" i="16"/>
  <c r="K1060" i="16"/>
  <c r="K1061" i="16"/>
  <c r="K1062" i="16"/>
  <c r="K1063" i="16"/>
  <c r="K1064" i="16"/>
  <c r="K1065" i="16"/>
  <c r="K1066" i="16"/>
  <c r="K1067" i="16"/>
  <c r="K1068" i="16"/>
  <c r="K1069" i="16"/>
  <c r="K1070" i="16"/>
  <c r="K1071" i="16"/>
  <c r="K1072" i="16"/>
  <c r="K1073" i="16"/>
  <c r="K1074" i="16"/>
  <c r="K1075" i="16"/>
  <c r="K1076" i="16"/>
  <c r="K1077" i="16"/>
  <c r="K1078" i="16"/>
  <c r="K1079" i="16"/>
  <c r="K1080" i="16"/>
  <c r="K1081" i="16"/>
  <c r="K1082" i="16"/>
  <c r="K1083" i="16"/>
  <c r="K1084" i="16"/>
  <c r="K1085" i="16"/>
  <c r="K1086" i="16"/>
  <c r="K1087" i="16"/>
  <c r="K1088" i="16"/>
  <c r="K1089" i="16"/>
  <c r="K1090" i="16"/>
  <c r="K1091" i="16"/>
  <c r="K1092" i="16"/>
  <c r="K1093" i="16"/>
  <c r="K1094" i="16"/>
  <c r="K1095" i="16"/>
  <c r="K1096" i="16"/>
  <c r="K1097" i="16"/>
  <c r="K1098" i="16"/>
  <c r="K1099" i="16"/>
  <c r="K1100" i="16"/>
  <c r="K1101" i="16"/>
  <c r="K1102" i="16"/>
  <c r="K1103" i="16"/>
  <c r="K1104" i="16"/>
  <c r="K1105" i="16"/>
  <c r="K1106" i="16"/>
  <c r="K1107" i="16"/>
  <c r="K1108" i="16"/>
  <c r="K1109" i="16"/>
  <c r="K1110" i="16"/>
  <c r="K1111" i="16"/>
  <c r="K1112" i="16"/>
  <c r="K1113" i="16"/>
  <c r="K1114" i="16"/>
  <c r="K1115" i="16"/>
  <c r="K1116" i="16"/>
  <c r="K1117" i="16"/>
  <c r="K1118" i="16"/>
  <c r="K1119" i="16"/>
  <c r="K1120" i="16"/>
  <c r="K1121" i="16"/>
  <c r="K1122" i="16"/>
  <c r="K1123" i="16"/>
  <c r="K1124" i="16"/>
  <c r="K1125" i="16"/>
  <c r="K1126" i="16"/>
  <c r="K1127" i="16"/>
  <c r="K1128" i="16"/>
  <c r="K1129" i="16"/>
  <c r="K1130" i="16"/>
  <c r="K1131" i="16"/>
  <c r="K1132" i="16"/>
  <c r="K1133" i="16"/>
  <c r="K1134" i="16"/>
  <c r="K1135" i="16"/>
  <c r="K1136" i="16"/>
  <c r="K1137" i="16"/>
  <c r="K1138" i="16"/>
  <c r="K1139" i="16"/>
  <c r="K1140" i="16"/>
  <c r="K1141" i="16"/>
  <c r="K1142" i="16"/>
  <c r="K1143" i="16"/>
  <c r="K1144" i="16"/>
  <c r="K1145" i="16"/>
  <c r="K1146" i="16"/>
  <c r="K1147" i="16"/>
  <c r="K1148" i="16"/>
  <c r="K1149" i="16"/>
  <c r="K1150" i="16"/>
  <c r="K1151" i="16"/>
  <c r="K1152" i="16"/>
  <c r="K1153" i="16"/>
  <c r="K1154" i="16"/>
  <c r="K1155" i="16"/>
  <c r="K1156" i="16"/>
  <c r="K1157" i="16"/>
  <c r="K1158" i="16"/>
  <c r="K1159" i="16"/>
  <c r="K1160" i="16"/>
  <c r="K1161" i="16"/>
  <c r="K1162" i="16"/>
  <c r="K1163" i="16"/>
  <c r="K1164" i="16"/>
  <c r="K1165" i="16"/>
  <c r="K1166" i="16"/>
  <c r="K1167" i="16"/>
  <c r="K1168" i="16"/>
  <c r="K1169" i="16"/>
  <c r="K1170" i="16"/>
  <c r="K1171" i="16"/>
  <c r="K1172" i="16"/>
  <c r="K1173" i="16"/>
  <c r="K1174" i="16"/>
  <c r="K1175" i="16"/>
  <c r="K1176" i="16"/>
  <c r="K1177" i="16"/>
  <c r="K1178" i="16"/>
  <c r="K1179" i="16"/>
  <c r="K1180" i="16"/>
  <c r="K1181" i="16"/>
  <c r="K1182" i="16"/>
  <c r="K1183" i="16"/>
  <c r="K1184" i="16"/>
  <c r="K1185" i="16"/>
  <c r="K1186" i="16"/>
  <c r="K1187" i="16"/>
  <c r="K1188" i="16"/>
  <c r="K1189" i="16"/>
  <c r="K1190" i="16"/>
  <c r="K1191" i="16"/>
  <c r="K1192" i="16"/>
  <c r="K1193" i="16"/>
  <c r="K1194" i="16"/>
  <c r="K1195" i="16"/>
  <c r="K1196" i="16"/>
  <c r="K1197" i="16"/>
  <c r="K1198" i="16"/>
  <c r="K1199" i="16"/>
  <c r="K1200" i="16"/>
  <c r="K1201" i="16"/>
  <c r="K1202" i="16"/>
  <c r="K1203" i="16"/>
  <c r="K1204" i="16"/>
  <c r="K1205" i="16"/>
  <c r="K1206" i="16"/>
  <c r="K1207" i="16"/>
  <c r="K1208" i="16"/>
  <c r="K1209" i="16"/>
  <c r="K1210" i="16"/>
  <c r="K1211" i="16"/>
  <c r="K1212" i="16"/>
  <c r="K1213" i="16"/>
  <c r="K1214" i="16"/>
  <c r="K1215" i="16"/>
  <c r="K1216" i="16"/>
  <c r="K1218" i="16"/>
  <c r="K1219" i="16"/>
  <c r="K1220" i="16"/>
  <c r="K1221" i="16"/>
  <c r="K1222" i="16"/>
  <c r="K1223" i="16"/>
  <c r="K1224" i="16"/>
  <c r="K1225" i="16"/>
  <c r="K1226" i="16"/>
  <c r="K1227" i="16"/>
  <c r="K1228" i="16"/>
  <c r="K1229" i="16"/>
  <c r="K1230" i="16"/>
  <c r="K1231" i="16"/>
  <c r="K1232" i="16"/>
  <c r="K1233" i="16"/>
  <c r="K1234" i="16"/>
  <c r="K1235" i="16"/>
  <c r="K1236" i="16"/>
  <c r="K1237" i="16"/>
  <c r="K1238" i="16"/>
  <c r="K1239" i="16"/>
  <c r="K1240" i="16"/>
  <c r="K1241" i="16"/>
  <c r="K1242" i="16"/>
  <c r="K1243" i="16"/>
  <c r="K1244" i="16"/>
  <c r="K1245" i="16"/>
  <c r="K1246" i="16"/>
  <c r="K1247" i="16"/>
  <c r="K1248" i="16"/>
  <c r="K1249" i="16"/>
  <c r="K1250" i="16"/>
  <c r="K1251" i="16"/>
  <c r="K1252" i="16"/>
  <c r="K1253" i="16"/>
  <c r="K1254" i="16"/>
  <c r="K1255" i="16"/>
  <c r="K1256" i="16"/>
  <c r="K1257" i="16"/>
  <c r="K1258" i="16"/>
  <c r="K1259" i="16"/>
  <c r="K1260" i="16"/>
  <c r="K1261" i="16"/>
  <c r="K1262" i="16"/>
  <c r="K1263" i="16"/>
  <c r="K1264" i="16"/>
  <c r="K1266" i="16"/>
  <c r="K1267" i="16"/>
  <c r="K1268" i="16"/>
  <c r="K1269" i="16"/>
  <c r="K1270" i="16"/>
  <c r="K1271" i="16"/>
  <c r="K1272" i="16"/>
  <c r="K1273" i="16"/>
  <c r="K1274" i="16"/>
  <c r="K1275" i="16"/>
  <c r="K1276" i="16"/>
  <c r="K1277" i="16"/>
  <c r="K1278" i="16"/>
  <c r="K1279" i="16"/>
  <c r="K1280" i="16"/>
  <c r="K1281" i="16"/>
  <c r="K1282" i="16"/>
  <c r="K1283" i="16"/>
  <c r="K1284" i="16"/>
  <c r="K1285" i="16"/>
  <c r="K1286" i="16"/>
  <c r="K1287" i="16"/>
  <c r="K1288" i="16"/>
  <c r="K1289" i="16"/>
  <c r="K1290" i="16"/>
  <c r="K1291" i="16"/>
  <c r="K1292" i="16"/>
  <c r="K1293" i="16"/>
  <c r="K1294" i="16"/>
  <c r="K1295" i="16"/>
  <c r="K1296" i="16"/>
  <c r="K1297" i="16"/>
  <c r="K1298" i="16"/>
  <c r="K1299" i="16"/>
  <c r="K1300" i="16"/>
  <c r="K1301" i="16"/>
  <c r="K1302" i="16"/>
  <c r="K1303" i="16"/>
  <c r="K1304" i="16"/>
  <c r="K1305" i="16"/>
  <c r="K1306" i="16"/>
  <c r="K1307" i="16"/>
  <c r="K1308" i="16"/>
  <c r="K1309" i="16"/>
  <c r="K1310" i="16"/>
  <c r="K1311" i="16"/>
  <c r="K1312" i="16"/>
  <c r="K1313" i="16"/>
  <c r="K1314" i="16"/>
  <c r="K1315" i="16"/>
  <c r="K1316" i="16"/>
  <c r="K1317" i="16"/>
  <c r="K1318" i="16"/>
  <c r="K1319" i="16"/>
  <c r="K1320" i="16"/>
  <c r="K1321" i="16"/>
  <c r="K1322" i="16"/>
  <c r="K1323" i="16"/>
  <c r="K1324" i="16"/>
  <c r="K1325" i="16"/>
  <c r="K1326" i="16"/>
  <c r="K1327" i="16"/>
  <c r="K1328" i="16"/>
  <c r="K1329" i="16"/>
  <c r="K1330" i="16"/>
  <c r="K1331" i="16"/>
  <c r="K1332" i="16"/>
  <c r="K1333" i="16"/>
  <c r="K1334" i="16"/>
  <c r="K1335" i="16"/>
  <c r="K1336" i="16"/>
  <c r="K1337" i="16"/>
  <c r="K1338" i="16"/>
  <c r="K1339" i="16"/>
  <c r="K1340" i="16"/>
  <c r="K1341" i="16"/>
  <c r="K1342" i="16"/>
  <c r="K1343" i="16"/>
  <c r="K1344" i="16"/>
  <c r="K1345" i="16"/>
  <c r="K1346" i="16"/>
  <c r="K1347" i="16"/>
  <c r="J4" i="16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83" i="16"/>
  <c r="J85" i="16"/>
  <c r="J86" i="16"/>
  <c r="J87" i="16"/>
  <c r="J88" i="16"/>
  <c r="J89" i="16"/>
  <c r="J90" i="16"/>
  <c r="J91" i="16"/>
  <c r="J92" i="16"/>
  <c r="J93" i="16"/>
  <c r="J94" i="16"/>
  <c r="J95" i="16"/>
  <c r="J96" i="16"/>
  <c r="J97" i="16"/>
  <c r="J98" i="16"/>
  <c r="J99" i="16"/>
  <c r="J100" i="16"/>
  <c r="J101" i="16"/>
  <c r="J102" i="16"/>
  <c r="J103" i="16"/>
  <c r="J104" i="16"/>
  <c r="J105" i="16"/>
  <c r="J106" i="16"/>
  <c r="J107" i="16"/>
  <c r="J108" i="16"/>
  <c r="J109" i="16"/>
  <c r="J110" i="16"/>
  <c r="J111" i="16"/>
  <c r="J112" i="16"/>
  <c r="J113" i="16"/>
  <c r="J114" i="16"/>
  <c r="J115" i="16"/>
  <c r="J116" i="16"/>
  <c r="J117" i="16"/>
  <c r="J118" i="16"/>
  <c r="J119" i="16"/>
  <c r="J120" i="16"/>
  <c r="J121" i="16"/>
  <c r="J122" i="16"/>
  <c r="J123" i="16"/>
  <c r="J124" i="16"/>
  <c r="J125" i="16"/>
  <c r="J126" i="16"/>
  <c r="J127" i="16"/>
  <c r="J128" i="16"/>
  <c r="J129" i="16"/>
  <c r="J130" i="16"/>
  <c r="J131" i="16"/>
  <c r="J132" i="16"/>
  <c r="J133" i="16"/>
  <c r="J134" i="16"/>
  <c r="J135" i="16"/>
  <c r="J136" i="16"/>
  <c r="J137" i="16"/>
  <c r="J138" i="16"/>
  <c r="J139" i="16"/>
  <c r="J140" i="16"/>
  <c r="J141" i="16"/>
  <c r="J142" i="16"/>
  <c r="J143" i="16"/>
  <c r="J144" i="16"/>
  <c r="J145" i="16"/>
  <c r="J146" i="16"/>
  <c r="J147" i="16"/>
  <c r="J148" i="16"/>
  <c r="J149" i="16"/>
  <c r="J150" i="16"/>
  <c r="J151" i="16"/>
  <c r="J152" i="16"/>
  <c r="J153" i="16"/>
  <c r="J154" i="16"/>
  <c r="J155" i="16"/>
  <c r="J156" i="16"/>
  <c r="J157" i="16"/>
  <c r="J158" i="16"/>
  <c r="J159" i="16"/>
  <c r="J160" i="16"/>
  <c r="J161" i="16"/>
  <c r="J162" i="16"/>
  <c r="J163" i="16"/>
  <c r="J164" i="16"/>
  <c r="J165" i="16"/>
  <c r="J166" i="16"/>
  <c r="J167" i="16"/>
  <c r="J168" i="16"/>
  <c r="J169" i="16"/>
  <c r="J170" i="16"/>
  <c r="K170" i="16" s="1"/>
  <c r="J171" i="16"/>
  <c r="J172" i="16"/>
  <c r="J173" i="16"/>
  <c r="J174" i="16"/>
  <c r="J175" i="16"/>
  <c r="J176" i="16"/>
  <c r="J177" i="16"/>
  <c r="J178" i="16"/>
  <c r="J179" i="16"/>
  <c r="J180" i="16"/>
  <c r="J181" i="16"/>
  <c r="J182" i="16"/>
  <c r="J183" i="16"/>
  <c r="J184" i="16"/>
  <c r="J185" i="16"/>
  <c r="J186" i="16"/>
  <c r="J187" i="16"/>
  <c r="J188" i="16"/>
  <c r="J189" i="16"/>
  <c r="J190" i="16"/>
  <c r="J191" i="16"/>
  <c r="J192" i="16"/>
  <c r="J193" i="16"/>
  <c r="J194" i="16"/>
  <c r="J195" i="16"/>
  <c r="J196" i="16"/>
  <c r="J197" i="16"/>
  <c r="J198" i="16"/>
  <c r="J199" i="16"/>
  <c r="J200" i="16"/>
  <c r="J201" i="16"/>
  <c r="J202" i="16"/>
  <c r="J203" i="16"/>
  <c r="J204" i="16"/>
  <c r="J205" i="16"/>
  <c r="J206" i="16"/>
  <c r="J207" i="16"/>
  <c r="J208" i="16"/>
  <c r="J209" i="16"/>
  <c r="J210" i="16"/>
  <c r="J211" i="16"/>
  <c r="J212" i="16"/>
  <c r="J213" i="16"/>
  <c r="J214" i="16"/>
  <c r="J215" i="16"/>
  <c r="J216" i="16"/>
  <c r="J217" i="16"/>
  <c r="J218" i="16"/>
  <c r="J219" i="16"/>
  <c r="J220" i="16"/>
  <c r="J221" i="16"/>
  <c r="J222" i="16"/>
  <c r="J223" i="16"/>
  <c r="J224" i="16"/>
  <c r="J225" i="16"/>
  <c r="J226" i="16"/>
  <c r="J227" i="16"/>
  <c r="J228" i="16"/>
  <c r="J229" i="16"/>
  <c r="J230" i="16"/>
  <c r="J231" i="16"/>
  <c r="J232" i="16"/>
  <c r="J233" i="16"/>
  <c r="J234" i="16"/>
  <c r="J235" i="16"/>
  <c r="J236" i="16"/>
  <c r="J237" i="16"/>
  <c r="J238" i="16"/>
  <c r="J239" i="16"/>
  <c r="J240" i="16"/>
  <c r="J241" i="16"/>
  <c r="J242" i="16"/>
  <c r="J243" i="16"/>
  <c r="J244" i="16"/>
  <c r="J245" i="16"/>
  <c r="J246" i="16"/>
  <c r="J247" i="16"/>
  <c r="J248" i="16"/>
  <c r="J249" i="16"/>
  <c r="J250" i="16"/>
  <c r="J251" i="16"/>
  <c r="J252" i="16"/>
  <c r="J253" i="16"/>
  <c r="J254" i="16"/>
  <c r="J255" i="16"/>
  <c r="J256" i="16"/>
  <c r="J257" i="16"/>
  <c r="J258" i="16"/>
  <c r="J259" i="16"/>
  <c r="J260" i="16"/>
  <c r="J261" i="16"/>
  <c r="J262" i="16"/>
  <c r="J263" i="16"/>
  <c r="J264" i="16"/>
  <c r="J265" i="16"/>
  <c r="J266" i="16"/>
  <c r="J267" i="16"/>
  <c r="J268" i="16"/>
  <c r="J269" i="16"/>
  <c r="J270" i="16"/>
  <c r="J271" i="16"/>
  <c r="J272" i="16"/>
  <c r="J273" i="16"/>
  <c r="J274" i="16"/>
  <c r="J275" i="16"/>
  <c r="J276" i="16"/>
  <c r="J277" i="16"/>
  <c r="J278" i="16"/>
  <c r="J279" i="16"/>
  <c r="J280" i="16"/>
  <c r="J281" i="16"/>
  <c r="J282" i="16"/>
  <c r="J283" i="16"/>
  <c r="J284" i="16"/>
  <c r="J285" i="16"/>
  <c r="J286" i="16"/>
  <c r="J287" i="16"/>
  <c r="J288" i="16"/>
  <c r="J289" i="16"/>
  <c r="J290" i="16"/>
  <c r="J291" i="16"/>
  <c r="J292" i="16"/>
  <c r="J293" i="16"/>
  <c r="J294" i="16"/>
  <c r="J295" i="16"/>
  <c r="J296" i="16"/>
  <c r="J297" i="16"/>
  <c r="J298" i="16"/>
  <c r="J299" i="16"/>
  <c r="J300" i="16"/>
  <c r="J301" i="16"/>
  <c r="J302" i="16"/>
  <c r="J303" i="16"/>
  <c r="J304" i="16"/>
  <c r="J305" i="16"/>
  <c r="J306" i="16"/>
  <c r="J307" i="16"/>
  <c r="J308" i="16"/>
  <c r="J309" i="16"/>
  <c r="J310" i="16"/>
  <c r="J311" i="16"/>
  <c r="J312" i="16"/>
  <c r="J313" i="16"/>
  <c r="J314" i="16"/>
  <c r="J315" i="16"/>
  <c r="J316" i="16"/>
  <c r="J317" i="16"/>
  <c r="J318" i="16"/>
  <c r="J319" i="16"/>
  <c r="J320" i="16"/>
  <c r="J321" i="16"/>
  <c r="J322" i="16"/>
  <c r="J323" i="16"/>
  <c r="J324" i="16"/>
  <c r="J325" i="16"/>
  <c r="J326" i="16"/>
  <c r="J327" i="16"/>
  <c r="J328" i="16"/>
  <c r="J329" i="16"/>
  <c r="J330" i="16"/>
  <c r="J331" i="16"/>
  <c r="J332" i="16"/>
  <c r="J333" i="16"/>
  <c r="J334" i="16"/>
  <c r="J335" i="16"/>
  <c r="J336" i="16"/>
  <c r="J337" i="16"/>
  <c r="J338" i="16"/>
  <c r="J339" i="16"/>
  <c r="J340" i="16"/>
  <c r="J341" i="16"/>
  <c r="J342" i="16"/>
  <c r="J343" i="16"/>
  <c r="J344" i="16"/>
  <c r="J345" i="16"/>
  <c r="J346" i="16"/>
  <c r="J347" i="16"/>
  <c r="J348" i="16"/>
  <c r="J349" i="16"/>
  <c r="J350" i="16"/>
  <c r="J351" i="16"/>
  <c r="J352" i="16"/>
  <c r="J354" i="16"/>
  <c r="J355" i="16"/>
  <c r="J356" i="16"/>
  <c r="J357" i="16"/>
  <c r="J358" i="16"/>
  <c r="J359" i="16"/>
  <c r="J360" i="16"/>
  <c r="J361" i="16"/>
  <c r="J362" i="16"/>
  <c r="J363" i="16"/>
  <c r="J364" i="16"/>
  <c r="J365" i="16"/>
  <c r="J366" i="16"/>
  <c r="J367" i="16"/>
  <c r="J368" i="16"/>
  <c r="J369" i="16"/>
  <c r="J370" i="16"/>
  <c r="J371" i="16"/>
  <c r="J372" i="16"/>
  <c r="J373" i="16"/>
  <c r="J374" i="16"/>
  <c r="J375" i="16"/>
  <c r="J376" i="16"/>
  <c r="J377" i="16"/>
  <c r="J378" i="16"/>
  <c r="J379" i="16"/>
  <c r="J380" i="16"/>
  <c r="J381" i="16"/>
  <c r="J382" i="16"/>
  <c r="J383" i="16"/>
  <c r="J384" i="16"/>
  <c r="J385" i="16"/>
  <c r="J386" i="16"/>
  <c r="J387" i="16"/>
  <c r="J388" i="16"/>
  <c r="J389" i="16"/>
  <c r="J390" i="16"/>
  <c r="J391" i="16"/>
  <c r="J392" i="16"/>
  <c r="J393" i="16"/>
  <c r="J394" i="16"/>
  <c r="J395" i="16"/>
  <c r="J396" i="16"/>
  <c r="J397" i="16"/>
  <c r="J398" i="16"/>
  <c r="J399" i="16"/>
  <c r="J400" i="16"/>
  <c r="J401" i="16"/>
  <c r="J402" i="16"/>
  <c r="J403" i="16"/>
  <c r="J404" i="16"/>
  <c r="J405" i="16"/>
  <c r="J406" i="16"/>
  <c r="J407" i="16"/>
  <c r="J408" i="16"/>
  <c r="J409" i="16"/>
  <c r="J410" i="16"/>
  <c r="J411" i="16"/>
  <c r="J412" i="16"/>
  <c r="J413" i="16"/>
  <c r="J414" i="16"/>
  <c r="J415" i="16"/>
  <c r="J416" i="16"/>
  <c r="J417" i="16"/>
  <c r="J418" i="16"/>
  <c r="J419" i="16"/>
  <c r="J420" i="16"/>
  <c r="J421" i="16"/>
  <c r="J422" i="16"/>
  <c r="J423" i="16"/>
  <c r="J424" i="16"/>
  <c r="J425" i="16"/>
  <c r="J426" i="16"/>
  <c r="J427" i="16"/>
  <c r="J428" i="16"/>
  <c r="J429" i="16"/>
  <c r="J430" i="16"/>
  <c r="J431" i="16"/>
  <c r="J432" i="16"/>
  <c r="J433" i="16"/>
  <c r="J434" i="16"/>
  <c r="J435" i="16"/>
  <c r="J436" i="16"/>
  <c r="J437" i="16"/>
  <c r="J438" i="16"/>
  <c r="J439" i="16"/>
  <c r="J440" i="16"/>
  <c r="J441" i="16"/>
  <c r="J442" i="16"/>
  <c r="J443" i="16"/>
  <c r="J444" i="16"/>
  <c r="J445" i="16"/>
  <c r="J446" i="16"/>
  <c r="J447" i="16"/>
  <c r="J449" i="16"/>
  <c r="J450" i="16"/>
  <c r="J451" i="16"/>
  <c r="J452" i="16"/>
  <c r="J453" i="16"/>
  <c r="J454" i="16"/>
  <c r="J455" i="16"/>
  <c r="J456" i="16"/>
  <c r="J457" i="16"/>
  <c r="J458" i="16"/>
  <c r="J459" i="16"/>
  <c r="J460" i="16"/>
  <c r="J461" i="16"/>
  <c r="J462" i="16"/>
  <c r="J463" i="16"/>
  <c r="J464" i="16"/>
  <c r="J465" i="16"/>
  <c r="J466" i="16"/>
  <c r="J467" i="16"/>
  <c r="J468" i="16"/>
  <c r="J469" i="16"/>
  <c r="J470" i="16"/>
  <c r="J471" i="16"/>
  <c r="J472" i="16"/>
  <c r="J473" i="16"/>
  <c r="J474" i="16"/>
  <c r="J475" i="16"/>
  <c r="J476" i="16"/>
  <c r="J477" i="16"/>
  <c r="J478" i="16"/>
  <c r="J479" i="16"/>
  <c r="J480" i="16"/>
  <c r="J481" i="16"/>
  <c r="J482" i="16"/>
  <c r="J483" i="16"/>
  <c r="J484" i="16"/>
  <c r="J485" i="16"/>
  <c r="J486" i="16"/>
  <c r="J487" i="16"/>
  <c r="J488" i="16"/>
  <c r="J489" i="16"/>
  <c r="J490" i="16"/>
  <c r="J491" i="16"/>
  <c r="J492" i="16"/>
  <c r="J493" i="16"/>
  <c r="J494" i="16"/>
  <c r="J495" i="16"/>
  <c r="J496" i="16"/>
  <c r="J497" i="16"/>
  <c r="J498" i="16"/>
  <c r="J499" i="16"/>
  <c r="J500" i="16"/>
  <c r="J501" i="16"/>
  <c r="J502" i="16"/>
  <c r="J503" i="16"/>
  <c r="J504" i="16"/>
  <c r="J505" i="16"/>
  <c r="J506" i="16"/>
  <c r="J507" i="16"/>
  <c r="J508" i="16"/>
  <c r="J509" i="16"/>
  <c r="J510" i="16"/>
  <c r="J511" i="16"/>
  <c r="J512" i="16"/>
  <c r="J513" i="16"/>
  <c r="J514" i="16"/>
  <c r="J515" i="16"/>
  <c r="J516" i="16"/>
  <c r="J517" i="16"/>
  <c r="J518" i="16"/>
  <c r="J519" i="16"/>
  <c r="J520" i="16"/>
  <c r="J521" i="16"/>
  <c r="J522" i="16"/>
  <c r="J523" i="16"/>
  <c r="J524" i="16"/>
  <c r="J525" i="16"/>
  <c r="J526" i="16"/>
  <c r="J527" i="16"/>
  <c r="J528" i="16"/>
  <c r="J529" i="16"/>
  <c r="J530" i="16"/>
  <c r="J531" i="16"/>
  <c r="J532" i="16"/>
  <c r="J533" i="16"/>
  <c r="J534" i="16"/>
  <c r="J535" i="16"/>
  <c r="J536" i="16"/>
  <c r="J537" i="16"/>
  <c r="J538" i="16"/>
  <c r="J539" i="16"/>
  <c r="J540" i="16"/>
  <c r="J541" i="16"/>
  <c r="J542" i="16"/>
  <c r="J543" i="16"/>
  <c r="J544" i="16"/>
  <c r="J545" i="16"/>
  <c r="J546" i="16"/>
  <c r="J547" i="16"/>
  <c r="J548" i="16"/>
  <c r="J549" i="16"/>
  <c r="J550" i="16"/>
  <c r="J551" i="16"/>
  <c r="J552" i="16"/>
  <c r="J553" i="16"/>
  <c r="J554" i="16"/>
  <c r="J555" i="16"/>
  <c r="J556" i="16"/>
  <c r="J557" i="16"/>
  <c r="J558" i="16"/>
  <c r="J559" i="16"/>
  <c r="J560" i="16"/>
  <c r="J561" i="16"/>
  <c r="J562" i="16"/>
  <c r="J563" i="16"/>
  <c r="J564" i="16"/>
  <c r="J565" i="16"/>
  <c r="J566" i="16"/>
  <c r="J567" i="16"/>
  <c r="J568" i="16"/>
  <c r="J569" i="16"/>
  <c r="J570" i="16"/>
  <c r="J571" i="16"/>
  <c r="J572" i="16"/>
  <c r="J573" i="16"/>
  <c r="J574" i="16"/>
  <c r="J575" i="16"/>
  <c r="J576" i="16"/>
  <c r="J577" i="16"/>
  <c r="J578" i="16"/>
  <c r="J579" i="16"/>
  <c r="J580" i="16"/>
  <c r="J581" i="16"/>
  <c r="J582" i="16"/>
  <c r="J583" i="16"/>
  <c r="J584" i="16"/>
  <c r="J585" i="16"/>
  <c r="J586" i="16"/>
  <c r="J587" i="16"/>
  <c r="J588" i="16"/>
  <c r="J589" i="16"/>
  <c r="J590" i="16"/>
  <c r="J591" i="16"/>
  <c r="J592" i="16"/>
  <c r="J593" i="16"/>
  <c r="J594" i="16"/>
  <c r="J595" i="16"/>
  <c r="J596" i="16"/>
  <c r="J597" i="16"/>
  <c r="J598" i="16"/>
  <c r="J599" i="16"/>
  <c r="J600" i="16"/>
  <c r="J601" i="16"/>
  <c r="J602" i="16"/>
  <c r="J603" i="16"/>
  <c r="J604" i="16"/>
  <c r="J605" i="16"/>
  <c r="J606" i="16"/>
  <c r="J607" i="16"/>
  <c r="J608" i="16"/>
  <c r="J609" i="16"/>
  <c r="J610" i="16"/>
  <c r="J611" i="16"/>
  <c r="J612" i="16"/>
  <c r="J613" i="16"/>
  <c r="J614" i="16"/>
  <c r="J615" i="16"/>
  <c r="J616" i="16"/>
  <c r="J617" i="16"/>
  <c r="J618" i="16"/>
  <c r="J619" i="16"/>
  <c r="J620" i="16"/>
  <c r="J621" i="16"/>
  <c r="J622" i="16"/>
  <c r="J623" i="16"/>
  <c r="J624" i="16"/>
  <c r="J625" i="16"/>
  <c r="J626" i="16"/>
  <c r="J627" i="16"/>
  <c r="J628" i="16"/>
  <c r="J629" i="16"/>
  <c r="J630" i="16"/>
  <c r="J631" i="16"/>
  <c r="J632" i="16"/>
  <c r="J633" i="16"/>
  <c r="J634" i="16"/>
  <c r="J635" i="16"/>
  <c r="J636" i="16"/>
  <c r="J637" i="16"/>
  <c r="J638" i="16"/>
  <c r="J639" i="16"/>
  <c r="J640" i="16"/>
  <c r="J641" i="16"/>
  <c r="J642" i="16"/>
  <c r="J643" i="16"/>
  <c r="J644" i="16"/>
  <c r="J645" i="16"/>
  <c r="J646" i="16"/>
  <c r="J647" i="16"/>
  <c r="J648" i="16"/>
  <c r="J649" i="16"/>
  <c r="J651" i="16"/>
  <c r="J652" i="16"/>
  <c r="J653" i="16"/>
  <c r="J654" i="16"/>
  <c r="J655" i="16"/>
  <c r="J656" i="16"/>
  <c r="J657" i="16"/>
  <c r="J658" i="16"/>
  <c r="J659" i="16"/>
  <c r="J660" i="16"/>
  <c r="J661" i="16"/>
  <c r="J662" i="16"/>
  <c r="J663" i="16"/>
  <c r="J664" i="16"/>
  <c r="J665" i="16"/>
  <c r="J666" i="16"/>
  <c r="J667" i="16"/>
  <c r="J668" i="16"/>
  <c r="J669" i="16"/>
  <c r="J670" i="16"/>
  <c r="J671" i="16"/>
  <c r="J672" i="16"/>
  <c r="J673" i="16"/>
  <c r="J674" i="16"/>
  <c r="J675" i="16"/>
  <c r="J676" i="16"/>
  <c r="J677" i="16"/>
  <c r="J678" i="16"/>
  <c r="J679" i="16"/>
  <c r="J680" i="16"/>
  <c r="J681" i="16"/>
  <c r="J682" i="16"/>
  <c r="J683" i="16"/>
  <c r="J684" i="16"/>
  <c r="J685" i="16"/>
  <c r="J686" i="16"/>
  <c r="J687" i="16"/>
  <c r="J688" i="16"/>
  <c r="J689" i="16"/>
  <c r="J690" i="16"/>
  <c r="J691" i="16"/>
  <c r="J692" i="16"/>
  <c r="J693" i="16"/>
  <c r="J694" i="16"/>
  <c r="J695" i="16"/>
  <c r="J696" i="16"/>
  <c r="J697" i="16"/>
  <c r="J698" i="16"/>
  <c r="J699" i="16"/>
  <c r="J700" i="16"/>
  <c r="J701" i="16"/>
  <c r="J702" i="16"/>
  <c r="J703" i="16"/>
  <c r="J704" i="16"/>
  <c r="J705" i="16"/>
  <c r="J706" i="16"/>
  <c r="J707" i="16"/>
  <c r="J708" i="16"/>
  <c r="J709" i="16"/>
  <c r="J710" i="16"/>
  <c r="J711" i="16"/>
  <c r="J712" i="16"/>
  <c r="J713" i="16"/>
  <c r="J714" i="16"/>
  <c r="J715" i="16"/>
  <c r="J716" i="16"/>
  <c r="J717" i="16"/>
  <c r="J718" i="16"/>
  <c r="J719" i="16"/>
  <c r="J720" i="16"/>
  <c r="J721" i="16"/>
  <c r="J722" i="16"/>
  <c r="J723" i="16"/>
  <c r="J724" i="16"/>
  <c r="J725" i="16"/>
  <c r="J726" i="16"/>
  <c r="J727" i="16"/>
  <c r="J728" i="16"/>
  <c r="J729" i="16"/>
  <c r="J730" i="16"/>
  <c r="J731" i="16"/>
  <c r="J732" i="16"/>
  <c r="J733" i="16"/>
  <c r="J734" i="16"/>
  <c r="J735" i="16"/>
  <c r="J736" i="16"/>
  <c r="J737" i="16"/>
  <c r="J738" i="16"/>
  <c r="J739" i="16"/>
  <c r="J740" i="16"/>
  <c r="J741" i="16"/>
  <c r="J742" i="16"/>
  <c r="J743" i="16"/>
  <c r="J744" i="16"/>
  <c r="J745" i="16"/>
  <c r="J746" i="16"/>
  <c r="J747" i="16"/>
  <c r="J748" i="16"/>
  <c r="J749" i="16"/>
  <c r="J750" i="16"/>
  <c r="J751" i="16"/>
  <c r="J752" i="16"/>
  <c r="J753" i="16"/>
  <c r="J754" i="16"/>
  <c r="J755" i="16"/>
  <c r="J756" i="16"/>
  <c r="J757" i="16"/>
  <c r="J758" i="16"/>
  <c r="J759" i="16"/>
  <c r="J760" i="16"/>
  <c r="J761" i="16"/>
  <c r="J762" i="16"/>
  <c r="J763" i="16"/>
  <c r="J764" i="16"/>
  <c r="J765" i="16"/>
  <c r="J766" i="16"/>
  <c r="J767" i="16"/>
  <c r="J768" i="16"/>
  <c r="J769" i="16"/>
  <c r="J770" i="16"/>
  <c r="J771" i="16"/>
  <c r="J772" i="16"/>
  <c r="J773" i="16"/>
  <c r="J774" i="16"/>
  <c r="J775" i="16"/>
  <c r="J776" i="16"/>
  <c r="J777" i="16"/>
  <c r="J778" i="16"/>
  <c r="J779" i="16"/>
  <c r="J780" i="16"/>
  <c r="J781" i="16"/>
  <c r="J782" i="16"/>
  <c r="J783" i="16"/>
  <c r="J784" i="16"/>
  <c r="J785" i="16"/>
  <c r="J786" i="16"/>
  <c r="J787" i="16"/>
  <c r="J788" i="16"/>
  <c r="J789" i="16"/>
  <c r="J790" i="16"/>
  <c r="J791" i="16"/>
  <c r="J792" i="16"/>
  <c r="J793" i="16"/>
  <c r="J794" i="16"/>
  <c r="J795" i="16"/>
  <c r="J796" i="16"/>
  <c r="J797" i="16"/>
  <c r="J798" i="16"/>
  <c r="J799" i="16"/>
  <c r="J800" i="16"/>
  <c r="J801" i="16"/>
  <c r="J802" i="16"/>
  <c r="J803" i="16"/>
  <c r="J804" i="16"/>
  <c r="J805" i="16"/>
  <c r="J806" i="16"/>
  <c r="J807" i="16"/>
  <c r="J808" i="16"/>
  <c r="J809" i="16"/>
  <c r="J810" i="16"/>
  <c r="J811" i="16"/>
  <c r="J812" i="16"/>
  <c r="J813" i="16"/>
  <c r="J814" i="16"/>
  <c r="J815" i="16"/>
  <c r="J816" i="16"/>
  <c r="J817" i="16"/>
  <c r="J818" i="16"/>
  <c r="J819" i="16"/>
  <c r="J820" i="16"/>
  <c r="J821" i="16"/>
  <c r="J822" i="16"/>
  <c r="J823" i="16"/>
  <c r="J824" i="16"/>
  <c r="J825" i="16"/>
  <c r="J826" i="16"/>
  <c r="J827" i="16"/>
  <c r="J828" i="16"/>
  <c r="J829" i="16"/>
  <c r="J830" i="16"/>
  <c r="J831" i="16"/>
  <c r="J832" i="16"/>
  <c r="J833" i="16"/>
  <c r="J834" i="16"/>
  <c r="J835" i="16"/>
  <c r="J836" i="16"/>
  <c r="J837" i="16"/>
  <c r="J838" i="16"/>
  <c r="J839" i="16"/>
  <c r="J840" i="16"/>
  <c r="J841" i="16"/>
  <c r="J842" i="16"/>
  <c r="J843" i="16"/>
  <c r="J844" i="16"/>
  <c r="J845" i="16"/>
  <c r="J846" i="16"/>
  <c r="J847" i="16"/>
  <c r="J848" i="16"/>
  <c r="J849" i="16"/>
  <c r="J850" i="16"/>
  <c r="J851" i="16"/>
  <c r="J852" i="16"/>
  <c r="J853" i="16"/>
  <c r="J854" i="16"/>
  <c r="J855" i="16"/>
  <c r="J856" i="16"/>
  <c r="J857" i="16"/>
  <c r="J858" i="16"/>
  <c r="J859" i="16"/>
  <c r="J860" i="16"/>
  <c r="J861" i="16"/>
  <c r="J862" i="16"/>
  <c r="J863" i="16"/>
  <c r="J864" i="16"/>
  <c r="J865" i="16"/>
  <c r="J866" i="16"/>
  <c r="J867" i="16"/>
  <c r="J868" i="16"/>
  <c r="J869" i="16"/>
  <c r="J870" i="16"/>
  <c r="J871" i="16"/>
  <c r="J872" i="16"/>
  <c r="J873" i="16"/>
  <c r="J874" i="16"/>
  <c r="J875" i="16"/>
  <c r="J876" i="16"/>
  <c r="J877" i="16"/>
  <c r="J878" i="16"/>
  <c r="J879" i="16"/>
  <c r="J880" i="16"/>
  <c r="J881" i="16"/>
  <c r="J882" i="16"/>
  <c r="J883" i="16"/>
  <c r="J884" i="16"/>
  <c r="J885" i="16"/>
  <c r="J886" i="16"/>
  <c r="J887" i="16"/>
  <c r="J888" i="16"/>
  <c r="J889" i="16"/>
  <c r="J890" i="16"/>
  <c r="J891" i="16"/>
  <c r="J892" i="16"/>
  <c r="J893" i="16"/>
  <c r="J894" i="16"/>
  <c r="J895" i="16"/>
  <c r="J896" i="16"/>
  <c r="J897" i="16"/>
  <c r="J898" i="16"/>
  <c r="J899" i="16"/>
  <c r="J900" i="16"/>
  <c r="J901" i="16"/>
  <c r="J902" i="16"/>
  <c r="J903" i="16"/>
  <c r="J904" i="16"/>
  <c r="J905" i="16"/>
  <c r="J906" i="16"/>
  <c r="J907" i="16"/>
  <c r="J908" i="16"/>
  <c r="J909" i="16"/>
  <c r="J910" i="16"/>
  <c r="J911" i="16"/>
  <c r="J912" i="16"/>
  <c r="J913" i="16"/>
  <c r="J914" i="16"/>
  <c r="J915" i="16"/>
  <c r="J916" i="16"/>
  <c r="J917" i="16"/>
  <c r="J918" i="16"/>
  <c r="J919" i="16"/>
  <c r="J920" i="16"/>
  <c r="J921" i="16"/>
  <c r="J922" i="16"/>
  <c r="J923" i="16"/>
  <c r="J924" i="16"/>
  <c r="J925" i="16"/>
  <c r="J926" i="16"/>
  <c r="J927" i="16"/>
  <c r="J928" i="16"/>
  <c r="J929" i="16"/>
  <c r="J930" i="16"/>
  <c r="J931" i="16"/>
  <c r="J932" i="16"/>
  <c r="J933" i="16"/>
  <c r="J934" i="16"/>
  <c r="J935" i="16"/>
  <c r="J936" i="16"/>
  <c r="J937" i="16"/>
  <c r="J938" i="16"/>
  <c r="J939" i="16"/>
  <c r="J940" i="16"/>
  <c r="J941" i="16"/>
  <c r="J942" i="16"/>
  <c r="J943" i="16"/>
  <c r="J944" i="16"/>
  <c r="J945" i="16"/>
  <c r="J946" i="16"/>
  <c r="J947" i="16"/>
  <c r="J948" i="16"/>
  <c r="J949" i="16"/>
  <c r="J950" i="16"/>
  <c r="J951" i="16"/>
  <c r="J952" i="16"/>
  <c r="J953" i="16"/>
  <c r="J954" i="16"/>
  <c r="J955" i="16"/>
  <c r="J956" i="16"/>
  <c r="J957" i="16"/>
  <c r="J958" i="16"/>
  <c r="J959" i="16"/>
  <c r="J960" i="16"/>
  <c r="J961" i="16"/>
  <c r="J962" i="16"/>
  <c r="J963" i="16"/>
  <c r="J964" i="16"/>
  <c r="J965" i="16"/>
  <c r="J966" i="16"/>
  <c r="J967" i="16"/>
  <c r="J968" i="16"/>
  <c r="J969" i="16"/>
  <c r="J970" i="16"/>
  <c r="J971" i="16"/>
  <c r="J972" i="16"/>
  <c r="J973" i="16"/>
  <c r="J974" i="16"/>
  <c r="J975" i="16"/>
  <c r="J976" i="16"/>
  <c r="J977" i="16"/>
  <c r="J978" i="16"/>
  <c r="J979" i="16"/>
  <c r="J980" i="16"/>
  <c r="J981" i="16"/>
  <c r="J982" i="16"/>
  <c r="J983" i="16"/>
  <c r="J984" i="16"/>
  <c r="J985" i="16"/>
  <c r="J986" i="16"/>
  <c r="J987" i="16"/>
  <c r="J988" i="16"/>
  <c r="J989" i="16"/>
  <c r="J990" i="16"/>
  <c r="J991" i="16"/>
  <c r="J992" i="16"/>
  <c r="J993" i="16"/>
  <c r="J994" i="16"/>
  <c r="J995" i="16"/>
  <c r="J996" i="16"/>
  <c r="J997" i="16"/>
  <c r="J998" i="16"/>
  <c r="J999" i="16"/>
  <c r="J1000" i="16"/>
  <c r="J1001" i="16"/>
  <c r="J1002" i="16"/>
  <c r="J1003" i="16"/>
  <c r="J1004" i="16"/>
  <c r="J1005" i="16"/>
  <c r="J1006" i="16"/>
  <c r="J1007" i="16"/>
  <c r="J1008" i="16"/>
  <c r="J1009" i="16"/>
  <c r="J1010" i="16"/>
  <c r="J1011" i="16"/>
  <c r="J1012" i="16"/>
  <c r="J1013" i="16"/>
  <c r="J1014" i="16"/>
  <c r="J1015" i="16"/>
  <c r="J1016" i="16"/>
  <c r="J1017" i="16"/>
  <c r="J1018" i="16"/>
  <c r="J1019" i="16"/>
  <c r="J1020" i="16"/>
  <c r="J1021" i="16"/>
  <c r="J1022" i="16"/>
  <c r="J1023" i="16"/>
  <c r="J1024" i="16"/>
  <c r="J1025" i="16"/>
  <c r="J1026" i="16"/>
  <c r="J1027" i="16"/>
  <c r="J1028" i="16"/>
  <c r="J1029" i="16"/>
  <c r="J1030" i="16"/>
  <c r="J1031" i="16"/>
  <c r="J1032" i="16"/>
  <c r="J1033" i="16"/>
  <c r="J1034" i="16"/>
  <c r="J1035" i="16"/>
  <c r="J1036" i="16"/>
  <c r="J1037" i="16"/>
  <c r="J1038" i="16"/>
  <c r="J1039" i="16"/>
  <c r="J1040" i="16"/>
  <c r="J1041" i="16"/>
  <c r="J1042" i="16"/>
  <c r="J1043" i="16"/>
  <c r="J1044" i="16"/>
  <c r="J1045" i="16"/>
  <c r="J1046" i="16"/>
  <c r="J1047" i="16"/>
  <c r="J1048" i="16"/>
  <c r="J1049" i="16"/>
  <c r="J1050" i="16"/>
  <c r="J1051" i="16"/>
  <c r="J1052" i="16"/>
  <c r="J1053" i="16"/>
  <c r="J1054" i="16"/>
  <c r="J1055" i="16"/>
  <c r="J1057" i="16"/>
  <c r="J1058" i="16"/>
  <c r="J1059" i="16"/>
  <c r="J1060" i="16"/>
  <c r="J1061" i="16"/>
  <c r="J1062" i="16"/>
  <c r="J1063" i="16"/>
  <c r="J1064" i="16"/>
  <c r="J1065" i="16"/>
  <c r="J1066" i="16"/>
  <c r="J1067" i="16"/>
  <c r="J1068" i="16"/>
  <c r="J1069" i="16"/>
  <c r="J1070" i="16"/>
  <c r="J1071" i="16"/>
  <c r="J1072" i="16"/>
  <c r="J1073" i="16"/>
  <c r="J1074" i="16"/>
  <c r="J1075" i="16"/>
  <c r="J1076" i="16"/>
  <c r="J1077" i="16"/>
  <c r="J1078" i="16"/>
  <c r="J1079" i="16"/>
  <c r="J1080" i="16"/>
  <c r="J1081" i="16"/>
  <c r="J1082" i="16"/>
  <c r="J1083" i="16"/>
  <c r="J1084" i="16"/>
  <c r="J1085" i="16"/>
  <c r="J1086" i="16"/>
  <c r="J1087" i="16"/>
  <c r="J1088" i="16"/>
  <c r="J1089" i="16"/>
  <c r="J1090" i="16"/>
  <c r="J1091" i="16"/>
  <c r="J1092" i="16"/>
  <c r="J1093" i="16"/>
  <c r="J1094" i="16"/>
  <c r="J1095" i="16"/>
  <c r="J1096" i="16"/>
  <c r="J1097" i="16"/>
  <c r="J1098" i="16"/>
  <c r="J1099" i="16"/>
  <c r="J1100" i="16"/>
  <c r="J1101" i="16"/>
  <c r="J1102" i="16"/>
  <c r="J1103" i="16"/>
  <c r="J1104" i="16"/>
  <c r="J1105" i="16"/>
  <c r="J1106" i="16"/>
  <c r="J1107" i="16"/>
  <c r="J1108" i="16"/>
  <c r="J1109" i="16"/>
  <c r="J1110" i="16"/>
  <c r="J1111" i="16"/>
  <c r="J1112" i="16"/>
  <c r="J1113" i="16"/>
  <c r="J1114" i="16"/>
  <c r="J1115" i="16"/>
  <c r="J1116" i="16"/>
  <c r="J1117" i="16"/>
  <c r="J1118" i="16"/>
  <c r="J1119" i="16"/>
  <c r="J1120" i="16"/>
  <c r="J1121" i="16"/>
  <c r="J1122" i="16"/>
  <c r="J1123" i="16"/>
  <c r="J1124" i="16"/>
  <c r="J1125" i="16"/>
  <c r="J1126" i="16"/>
  <c r="J1127" i="16"/>
  <c r="J1128" i="16"/>
  <c r="J1129" i="16"/>
  <c r="J1130" i="16"/>
  <c r="J1131" i="16"/>
  <c r="J1132" i="16"/>
  <c r="J1133" i="16"/>
  <c r="J1134" i="16"/>
  <c r="J1135" i="16"/>
  <c r="J1136" i="16"/>
  <c r="J1137" i="16"/>
  <c r="J1138" i="16"/>
  <c r="J1139" i="16"/>
  <c r="J1140" i="16"/>
  <c r="J1141" i="16"/>
  <c r="J1142" i="16"/>
  <c r="J1143" i="16"/>
  <c r="J1144" i="16"/>
  <c r="J1145" i="16"/>
  <c r="J1146" i="16"/>
  <c r="J1147" i="16"/>
  <c r="J1148" i="16"/>
  <c r="J1149" i="16"/>
  <c r="J1150" i="16"/>
  <c r="J1151" i="16"/>
  <c r="J1152" i="16"/>
  <c r="J1153" i="16"/>
  <c r="J1154" i="16"/>
  <c r="J1155" i="16"/>
  <c r="J1156" i="16"/>
  <c r="J1157" i="16"/>
  <c r="J1158" i="16"/>
  <c r="J1159" i="16"/>
  <c r="J1160" i="16"/>
  <c r="J1161" i="16"/>
  <c r="J1162" i="16"/>
  <c r="J1163" i="16"/>
  <c r="J1164" i="16"/>
  <c r="J1165" i="16"/>
  <c r="J1166" i="16"/>
  <c r="J1167" i="16"/>
  <c r="J1168" i="16"/>
  <c r="J1169" i="16"/>
  <c r="J1170" i="16"/>
  <c r="J1171" i="16"/>
  <c r="J1172" i="16"/>
  <c r="J1173" i="16"/>
  <c r="J1174" i="16"/>
  <c r="J1175" i="16"/>
  <c r="J1176" i="16"/>
  <c r="J1177" i="16"/>
  <c r="J1178" i="16"/>
  <c r="J1179" i="16"/>
  <c r="J1180" i="16"/>
  <c r="J1181" i="16"/>
  <c r="J1182" i="16"/>
  <c r="J1183" i="16"/>
  <c r="J1184" i="16"/>
  <c r="J1185" i="16"/>
  <c r="J1186" i="16"/>
  <c r="J1187" i="16"/>
  <c r="J1188" i="16"/>
  <c r="J1189" i="16"/>
  <c r="J1190" i="16"/>
  <c r="J1191" i="16"/>
  <c r="J1192" i="16"/>
  <c r="J1193" i="16"/>
  <c r="J1194" i="16"/>
  <c r="J1195" i="16"/>
  <c r="J1196" i="16"/>
  <c r="J1197" i="16"/>
  <c r="J1198" i="16"/>
  <c r="J1199" i="16"/>
  <c r="J1200" i="16"/>
  <c r="J1201" i="16"/>
  <c r="J1202" i="16"/>
  <c r="J1203" i="16"/>
  <c r="J1204" i="16"/>
  <c r="J1205" i="16"/>
  <c r="J1206" i="16"/>
  <c r="J1207" i="16"/>
  <c r="J1208" i="16"/>
  <c r="J1209" i="16"/>
  <c r="J1210" i="16"/>
  <c r="J1211" i="16"/>
  <c r="J1212" i="16"/>
  <c r="J1213" i="16"/>
  <c r="J1214" i="16"/>
  <c r="J1215" i="16"/>
  <c r="J1216" i="16"/>
  <c r="J1218" i="16"/>
  <c r="J1219" i="16"/>
  <c r="J1220" i="16"/>
  <c r="J1221" i="16"/>
  <c r="J1222" i="16"/>
  <c r="J1223" i="16"/>
  <c r="J1224" i="16"/>
  <c r="J1225" i="16"/>
  <c r="J1226" i="16"/>
  <c r="J1227" i="16"/>
  <c r="J1228" i="16"/>
  <c r="J1229" i="16"/>
  <c r="J1230" i="16"/>
  <c r="J1231" i="16"/>
  <c r="J1232" i="16"/>
  <c r="J1233" i="16"/>
  <c r="J1234" i="16"/>
  <c r="J1235" i="16"/>
  <c r="J1236" i="16"/>
  <c r="J1237" i="16"/>
  <c r="J1238" i="16"/>
  <c r="J1239" i="16"/>
  <c r="J1240" i="16"/>
  <c r="J1241" i="16"/>
  <c r="J1242" i="16"/>
  <c r="J1243" i="16"/>
  <c r="J1244" i="16"/>
  <c r="J1245" i="16"/>
  <c r="J1246" i="16"/>
  <c r="J1247" i="16"/>
  <c r="J1248" i="16"/>
  <c r="J1249" i="16"/>
  <c r="J1250" i="16"/>
  <c r="J1251" i="16"/>
  <c r="J1252" i="16"/>
  <c r="J1253" i="16"/>
  <c r="J1254" i="16"/>
  <c r="J1255" i="16"/>
  <c r="J1256" i="16"/>
  <c r="J1257" i="16"/>
  <c r="J1258" i="16"/>
  <c r="J1259" i="16"/>
  <c r="J1260" i="16"/>
  <c r="J1261" i="16"/>
  <c r="J1262" i="16"/>
  <c r="J1263" i="16"/>
  <c r="J1264" i="16"/>
  <c r="J1266" i="16"/>
  <c r="J1267" i="16"/>
  <c r="J1268" i="16"/>
  <c r="J1269" i="16"/>
  <c r="J1270" i="16"/>
  <c r="J1271" i="16"/>
  <c r="J1272" i="16"/>
  <c r="J1273" i="16"/>
  <c r="J1274" i="16"/>
  <c r="J1275" i="16"/>
  <c r="J1276" i="16"/>
  <c r="J1277" i="16"/>
  <c r="J1278" i="16"/>
  <c r="J1279" i="16"/>
  <c r="J1280" i="16"/>
  <c r="J1281" i="16"/>
  <c r="J1282" i="16"/>
  <c r="J1283" i="16"/>
  <c r="J1284" i="16"/>
  <c r="J1285" i="16"/>
  <c r="J1286" i="16"/>
  <c r="J1287" i="16"/>
  <c r="J1288" i="16"/>
  <c r="J1289" i="16"/>
  <c r="J1290" i="16"/>
  <c r="J1291" i="16"/>
  <c r="J1292" i="16"/>
  <c r="J1293" i="16"/>
  <c r="J1294" i="16"/>
  <c r="J1295" i="16"/>
  <c r="J1296" i="16"/>
  <c r="J1297" i="16"/>
  <c r="J1298" i="16"/>
  <c r="J1299" i="16"/>
  <c r="J1300" i="16"/>
  <c r="J1301" i="16"/>
  <c r="J1302" i="16"/>
  <c r="J1303" i="16"/>
  <c r="J1304" i="16"/>
  <c r="J1305" i="16"/>
  <c r="J1306" i="16"/>
  <c r="J1307" i="16"/>
  <c r="J1308" i="16"/>
  <c r="J1309" i="16"/>
  <c r="J1310" i="16"/>
  <c r="J1311" i="16"/>
  <c r="J1312" i="16"/>
  <c r="J1313" i="16"/>
  <c r="J1314" i="16"/>
  <c r="J1315" i="16"/>
  <c r="J1316" i="16"/>
  <c r="J1317" i="16"/>
  <c r="J1318" i="16"/>
  <c r="J1319" i="16"/>
  <c r="J1320" i="16"/>
  <c r="J1321" i="16"/>
  <c r="J1322" i="16"/>
  <c r="J1323" i="16"/>
  <c r="J1324" i="16"/>
  <c r="J1325" i="16"/>
  <c r="J1326" i="16"/>
  <c r="J1327" i="16"/>
  <c r="J1328" i="16"/>
  <c r="J1329" i="16"/>
  <c r="J1330" i="16"/>
  <c r="J1331" i="16"/>
  <c r="J1332" i="16"/>
  <c r="J1333" i="16"/>
  <c r="J1334" i="16"/>
  <c r="J1335" i="16"/>
  <c r="J1336" i="16"/>
  <c r="J1337" i="16"/>
  <c r="J1338" i="16"/>
  <c r="J1339" i="16"/>
  <c r="J1340" i="16"/>
  <c r="J1341" i="16"/>
  <c r="J1342" i="16"/>
  <c r="J1343" i="16"/>
  <c r="J1344" i="16"/>
  <c r="J1345" i="16"/>
  <c r="J1346" i="16"/>
  <c r="J1347" i="16"/>
  <c r="J1349" i="16"/>
  <c r="K3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225" i="16"/>
  <c r="H226" i="16"/>
  <c r="H227" i="16"/>
  <c r="H228" i="16"/>
  <c r="H229" i="16"/>
  <c r="H230" i="16"/>
  <c r="H231" i="16"/>
  <c r="H232" i="16"/>
  <c r="H233" i="16"/>
  <c r="H234" i="16"/>
  <c r="H235" i="16"/>
  <c r="H236" i="16"/>
  <c r="H237" i="16"/>
  <c r="H238" i="16"/>
  <c r="H239" i="16"/>
  <c r="H240" i="16"/>
  <c r="H241" i="16"/>
  <c r="H242" i="16"/>
  <c r="H243" i="16"/>
  <c r="H244" i="16"/>
  <c r="H245" i="16"/>
  <c r="H246" i="16"/>
  <c r="H247" i="16"/>
  <c r="H248" i="16"/>
  <c r="H249" i="16"/>
  <c r="H250" i="16"/>
  <c r="H251" i="16"/>
  <c r="H252" i="16"/>
  <c r="H253" i="16"/>
  <c r="H254" i="16"/>
  <c r="H255" i="16"/>
  <c r="H256" i="16"/>
  <c r="H257" i="16"/>
  <c r="H258" i="16"/>
  <c r="H259" i="16"/>
  <c r="H260" i="16"/>
  <c r="H261" i="16"/>
  <c r="H262" i="16"/>
  <c r="H263" i="16"/>
  <c r="H264" i="16"/>
  <c r="H265" i="16"/>
  <c r="H266" i="16"/>
  <c r="H267" i="16"/>
  <c r="H268" i="16"/>
  <c r="H269" i="16"/>
  <c r="H270" i="16"/>
  <c r="H271" i="16"/>
  <c r="H272" i="16"/>
  <c r="H273" i="16"/>
  <c r="H274" i="16"/>
  <c r="H275" i="16"/>
  <c r="H276" i="16"/>
  <c r="H277" i="16"/>
  <c r="H278" i="16"/>
  <c r="H279" i="16"/>
  <c r="H280" i="16"/>
  <c r="H281" i="16"/>
  <c r="H282" i="16"/>
  <c r="H283" i="16"/>
  <c r="H284" i="16"/>
  <c r="H285" i="16"/>
  <c r="H286" i="16"/>
  <c r="H287" i="16"/>
  <c r="H288" i="16"/>
  <c r="H289" i="16"/>
  <c r="H290" i="16"/>
  <c r="H291" i="16"/>
  <c r="H292" i="16"/>
  <c r="H293" i="16"/>
  <c r="H294" i="16"/>
  <c r="H295" i="16"/>
  <c r="H296" i="16"/>
  <c r="H297" i="16"/>
  <c r="H298" i="16"/>
  <c r="H299" i="16"/>
  <c r="H300" i="16"/>
  <c r="H301" i="16"/>
  <c r="H302" i="16"/>
  <c r="H303" i="16"/>
  <c r="H304" i="16"/>
  <c r="H305" i="16"/>
  <c r="H306" i="16"/>
  <c r="H307" i="16"/>
  <c r="H308" i="16"/>
  <c r="H309" i="16"/>
  <c r="H310" i="16"/>
  <c r="H311" i="16"/>
  <c r="H312" i="16"/>
  <c r="H313" i="16"/>
  <c r="H314" i="16"/>
  <c r="H315" i="16"/>
  <c r="H316" i="16"/>
  <c r="H317" i="16"/>
  <c r="H318" i="16"/>
  <c r="H319" i="16"/>
  <c r="H320" i="16"/>
  <c r="H321" i="16"/>
  <c r="H322" i="16"/>
  <c r="H323" i="16"/>
  <c r="H324" i="16"/>
  <c r="H325" i="16"/>
  <c r="H326" i="16"/>
  <c r="H327" i="16"/>
  <c r="H328" i="16"/>
  <c r="H329" i="16"/>
  <c r="H330" i="16"/>
  <c r="H331" i="16"/>
  <c r="H332" i="16"/>
  <c r="H333" i="16"/>
  <c r="H334" i="16"/>
  <c r="H335" i="16"/>
  <c r="H336" i="16"/>
  <c r="H337" i="16"/>
  <c r="H338" i="16"/>
  <c r="H339" i="16"/>
  <c r="H340" i="16"/>
  <c r="H341" i="16"/>
  <c r="H342" i="16"/>
  <c r="H343" i="16"/>
  <c r="H344" i="16"/>
  <c r="H345" i="16"/>
  <c r="H346" i="16"/>
  <c r="H347" i="16"/>
  <c r="H348" i="16"/>
  <c r="H349" i="16"/>
  <c r="H350" i="16"/>
  <c r="H351" i="16"/>
  <c r="H352" i="16"/>
  <c r="H353" i="16"/>
  <c r="H354" i="16"/>
  <c r="H355" i="16"/>
  <c r="H356" i="16"/>
  <c r="H357" i="16"/>
  <c r="H358" i="16"/>
  <c r="H359" i="16"/>
  <c r="H360" i="16"/>
  <c r="H361" i="16"/>
  <c r="H362" i="16"/>
  <c r="H363" i="16"/>
  <c r="H364" i="16"/>
  <c r="H365" i="16"/>
  <c r="H366" i="16"/>
  <c r="H367" i="16"/>
  <c r="H368" i="16"/>
  <c r="H369" i="16"/>
  <c r="H370" i="16"/>
  <c r="H371" i="16"/>
  <c r="H372" i="16"/>
  <c r="H373" i="16"/>
  <c r="H374" i="16"/>
  <c r="H375" i="16"/>
  <c r="H376" i="16"/>
  <c r="H377" i="16"/>
  <c r="H378" i="16"/>
  <c r="H379" i="16"/>
  <c r="H380" i="16"/>
  <c r="H381" i="16"/>
  <c r="H382" i="16"/>
  <c r="H383" i="16"/>
  <c r="H384" i="16"/>
  <c r="H385" i="16"/>
  <c r="H386" i="16"/>
  <c r="H387" i="16"/>
  <c r="H388" i="16"/>
  <c r="H389" i="16"/>
  <c r="H390" i="16"/>
  <c r="H391" i="16"/>
  <c r="H392" i="16"/>
  <c r="H393" i="16"/>
  <c r="H394" i="16"/>
  <c r="H395" i="16"/>
  <c r="H396" i="16"/>
  <c r="H397" i="16"/>
  <c r="H398" i="16"/>
  <c r="H399" i="16"/>
  <c r="H400" i="16"/>
  <c r="H401" i="16"/>
  <c r="H402" i="16"/>
  <c r="H403" i="16"/>
  <c r="H404" i="16"/>
  <c r="H405" i="16"/>
  <c r="H406" i="16"/>
  <c r="H407" i="16"/>
  <c r="H408" i="16"/>
  <c r="H409" i="16"/>
  <c r="H410" i="16"/>
  <c r="H411" i="16"/>
  <c r="H412" i="16"/>
  <c r="H413" i="16"/>
  <c r="H414" i="16"/>
  <c r="H415" i="16"/>
  <c r="H416" i="16"/>
  <c r="H417" i="16"/>
  <c r="H418" i="16"/>
  <c r="H419" i="16"/>
  <c r="H420" i="16"/>
  <c r="H421" i="16"/>
  <c r="H422" i="16"/>
  <c r="H423" i="16"/>
  <c r="H424" i="16"/>
  <c r="H425" i="16"/>
  <c r="H426" i="16"/>
  <c r="H427" i="16"/>
  <c r="H428" i="16"/>
  <c r="H429" i="16"/>
  <c r="H430" i="16"/>
  <c r="H431" i="16"/>
  <c r="H432" i="16"/>
  <c r="H433" i="16"/>
  <c r="H434" i="16"/>
  <c r="H435" i="16"/>
  <c r="H436" i="16"/>
  <c r="H437" i="16"/>
  <c r="H438" i="16"/>
  <c r="H439" i="16"/>
  <c r="H440" i="16"/>
  <c r="H441" i="16"/>
  <c r="H442" i="16"/>
  <c r="H443" i="16"/>
  <c r="H444" i="16"/>
  <c r="H445" i="16"/>
  <c r="H446" i="16"/>
  <c r="H447" i="16"/>
  <c r="H448" i="16"/>
  <c r="J448" i="16" s="1"/>
  <c r="K448" i="16" s="1"/>
  <c r="H449" i="16"/>
  <c r="H450" i="16"/>
  <c r="H451" i="16"/>
  <c r="H452" i="16"/>
  <c r="H453" i="16"/>
  <c r="H454" i="16"/>
  <c r="H455" i="16"/>
  <c r="H456" i="16"/>
  <c r="H457" i="16"/>
  <c r="H458" i="16"/>
  <c r="H459" i="16"/>
  <c r="H460" i="16"/>
  <c r="H461" i="16"/>
  <c r="H462" i="16"/>
  <c r="H463" i="16"/>
  <c r="H464" i="16"/>
  <c r="H465" i="16"/>
  <c r="H466" i="16"/>
  <c r="H467" i="16"/>
  <c r="H468" i="16"/>
  <c r="H469" i="16"/>
  <c r="H470" i="16"/>
  <c r="H471" i="16"/>
  <c r="H472" i="16"/>
  <c r="H473" i="16"/>
  <c r="H474" i="16"/>
  <c r="H475" i="16"/>
  <c r="H476" i="16"/>
  <c r="H477" i="16"/>
  <c r="H478" i="16"/>
  <c r="H479" i="16"/>
  <c r="H480" i="16"/>
  <c r="H481" i="16"/>
  <c r="H482" i="16"/>
  <c r="H483" i="16"/>
  <c r="H484" i="16"/>
  <c r="H485" i="16"/>
  <c r="H486" i="16"/>
  <c r="H487" i="16"/>
  <c r="H488" i="16"/>
  <c r="H489" i="16"/>
  <c r="H490" i="16"/>
  <c r="H491" i="16"/>
  <c r="H492" i="16"/>
  <c r="H493" i="16"/>
  <c r="H494" i="16"/>
  <c r="H495" i="16"/>
  <c r="H496" i="16"/>
  <c r="H497" i="16"/>
  <c r="H498" i="16"/>
  <c r="H499" i="16"/>
  <c r="H500" i="16"/>
  <c r="H501" i="16"/>
  <c r="H502" i="16"/>
  <c r="H503" i="16"/>
  <c r="H504" i="16"/>
  <c r="H505" i="16"/>
  <c r="H506" i="16"/>
  <c r="H507" i="16"/>
  <c r="H508" i="16"/>
  <c r="H509" i="16"/>
  <c r="H510" i="16"/>
  <c r="H511" i="16"/>
  <c r="H512" i="16"/>
  <c r="H513" i="16"/>
  <c r="H514" i="16"/>
  <c r="H515" i="16"/>
  <c r="H516" i="16"/>
  <c r="H517" i="16"/>
  <c r="H518" i="16"/>
  <c r="H519" i="16"/>
  <c r="H520" i="16"/>
  <c r="H521" i="16"/>
  <c r="H522" i="16"/>
  <c r="H523" i="16"/>
  <c r="H524" i="16"/>
  <c r="H525" i="16"/>
  <c r="H526" i="16"/>
  <c r="H527" i="16"/>
  <c r="H528" i="16"/>
  <c r="H529" i="16"/>
  <c r="H530" i="16"/>
  <c r="H531" i="16"/>
  <c r="H532" i="16"/>
  <c r="H533" i="16"/>
  <c r="H534" i="16"/>
  <c r="H535" i="16"/>
  <c r="H536" i="16"/>
  <c r="H537" i="16"/>
  <c r="H538" i="16"/>
  <c r="H539" i="16"/>
  <c r="H540" i="16"/>
  <c r="H541" i="16"/>
  <c r="H542" i="16"/>
  <c r="H543" i="16"/>
  <c r="H544" i="16"/>
  <c r="H545" i="16"/>
  <c r="H546" i="16"/>
  <c r="H547" i="16"/>
  <c r="H548" i="16"/>
  <c r="H549" i="16"/>
  <c r="H550" i="16"/>
  <c r="H551" i="16"/>
  <c r="H552" i="16"/>
  <c r="H553" i="16"/>
  <c r="H554" i="16"/>
  <c r="H555" i="16"/>
  <c r="H556" i="16"/>
  <c r="H557" i="16"/>
  <c r="H558" i="16"/>
  <c r="H559" i="16"/>
  <c r="H560" i="16"/>
  <c r="H561" i="16"/>
  <c r="H562" i="16"/>
  <c r="H563" i="16"/>
  <c r="H564" i="16"/>
  <c r="H565" i="16"/>
  <c r="H566" i="16"/>
  <c r="H567" i="16"/>
  <c r="H568" i="16"/>
  <c r="H569" i="16"/>
  <c r="H570" i="16"/>
  <c r="H571" i="16"/>
  <c r="H572" i="16"/>
  <c r="H573" i="16"/>
  <c r="H574" i="16"/>
  <c r="H575" i="16"/>
  <c r="H576" i="16"/>
  <c r="H577" i="16"/>
  <c r="H578" i="16"/>
  <c r="H579" i="16"/>
  <c r="H580" i="16"/>
  <c r="H581" i="16"/>
  <c r="H582" i="16"/>
  <c r="H583" i="16"/>
  <c r="H584" i="16"/>
  <c r="H585" i="16"/>
  <c r="H586" i="16"/>
  <c r="H587" i="16"/>
  <c r="H588" i="16"/>
  <c r="H589" i="16"/>
  <c r="H590" i="16"/>
  <c r="H591" i="16"/>
  <c r="H592" i="16"/>
  <c r="H593" i="16"/>
  <c r="H594" i="16"/>
  <c r="H595" i="16"/>
  <c r="H596" i="16"/>
  <c r="H597" i="16"/>
  <c r="H598" i="16"/>
  <c r="H599" i="16"/>
  <c r="H600" i="16"/>
  <c r="H601" i="16"/>
  <c r="H602" i="16"/>
  <c r="H603" i="16"/>
  <c r="H604" i="16"/>
  <c r="H605" i="16"/>
  <c r="H606" i="16"/>
  <c r="H607" i="16"/>
  <c r="H608" i="16"/>
  <c r="H609" i="16"/>
  <c r="H610" i="16"/>
  <c r="H611" i="16"/>
  <c r="H612" i="16"/>
  <c r="H613" i="16"/>
  <c r="H614" i="16"/>
  <c r="H615" i="16"/>
  <c r="H616" i="16"/>
  <c r="H617" i="16"/>
  <c r="H618" i="16"/>
  <c r="H619" i="16"/>
  <c r="H620" i="16"/>
  <c r="H621" i="16"/>
  <c r="H622" i="16"/>
  <c r="H623" i="16"/>
  <c r="H624" i="16"/>
  <c r="H625" i="16"/>
  <c r="H626" i="16"/>
  <c r="H627" i="16"/>
  <c r="H628" i="16"/>
  <c r="H629" i="16"/>
  <c r="H630" i="16"/>
  <c r="H631" i="16"/>
  <c r="H632" i="16"/>
  <c r="H633" i="16"/>
  <c r="H634" i="16"/>
  <c r="H635" i="16"/>
  <c r="H636" i="16"/>
  <c r="H637" i="16"/>
  <c r="H638" i="16"/>
  <c r="H639" i="16"/>
  <c r="H640" i="16"/>
  <c r="H641" i="16"/>
  <c r="H642" i="16"/>
  <c r="H643" i="16"/>
  <c r="H644" i="16"/>
  <c r="H645" i="16"/>
  <c r="H646" i="16"/>
  <c r="H647" i="16"/>
  <c r="H648" i="16"/>
  <c r="H649" i="16"/>
  <c r="H650" i="16"/>
  <c r="J650" i="16" s="1"/>
  <c r="K650" i="16" s="1"/>
  <c r="H651" i="16"/>
  <c r="H652" i="16"/>
  <c r="H653" i="16"/>
  <c r="H654" i="16"/>
  <c r="H655" i="16"/>
  <c r="H656" i="16"/>
  <c r="H657" i="16"/>
  <c r="H658" i="16"/>
  <c r="H659" i="16"/>
  <c r="H660" i="16"/>
  <c r="H661" i="16"/>
  <c r="H662" i="16"/>
  <c r="H663" i="16"/>
  <c r="H664" i="16"/>
  <c r="H665" i="16"/>
  <c r="H666" i="16"/>
  <c r="H667" i="16"/>
  <c r="H668" i="16"/>
  <c r="H669" i="16"/>
  <c r="H670" i="16"/>
  <c r="H671" i="16"/>
  <c r="H672" i="16"/>
  <c r="H673" i="16"/>
  <c r="H674" i="16"/>
  <c r="H675" i="16"/>
  <c r="H676" i="16"/>
  <c r="H677" i="16"/>
  <c r="H678" i="16"/>
  <c r="H679" i="16"/>
  <c r="H680" i="16"/>
  <c r="H681" i="16"/>
  <c r="H682" i="16"/>
  <c r="H683" i="16"/>
  <c r="H684" i="16"/>
  <c r="H685" i="16"/>
  <c r="H686" i="16"/>
  <c r="H687" i="16"/>
  <c r="H688" i="16"/>
  <c r="H689" i="16"/>
  <c r="H690" i="16"/>
  <c r="H691" i="16"/>
  <c r="H692" i="16"/>
  <c r="H693" i="16"/>
  <c r="H694" i="16"/>
  <c r="H695" i="16"/>
  <c r="H696" i="16"/>
  <c r="H697" i="16"/>
  <c r="H698" i="16"/>
  <c r="H699" i="16"/>
  <c r="H700" i="16"/>
  <c r="H701" i="16"/>
  <c r="H702" i="16"/>
  <c r="H703" i="16"/>
  <c r="H704" i="16"/>
  <c r="H705" i="16"/>
  <c r="H706" i="16"/>
  <c r="H707" i="16"/>
  <c r="H708" i="16"/>
  <c r="H709" i="16"/>
  <c r="H710" i="16"/>
  <c r="H711" i="16"/>
  <c r="H712" i="16"/>
  <c r="H713" i="16"/>
  <c r="H714" i="16"/>
  <c r="H715" i="16"/>
  <c r="H716" i="16"/>
  <c r="H717" i="16"/>
  <c r="H718" i="16"/>
  <c r="H719" i="16"/>
  <c r="H720" i="16"/>
  <c r="H721" i="16"/>
  <c r="H722" i="16"/>
  <c r="H723" i="16"/>
  <c r="H724" i="16"/>
  <c r="H725" i="16"/>
  <c r="H726" i="16"/>
  <c r="H727" i="16"/>
  <c r="H728" i="16"/>
  <c r="H729" i="16"/>
  <c r="H730" i="16"/>
  <c r="H731" i="16"/>
  <c r="H732" i="16"/>
  <c r="H733" i="16"/>
  <c r="H734" i="16"/>
  <c r="H735" i="16"/>
  <c r="H736" i="16"/>
  <c r="H737" i="16"/>
  <c r="H738" i="16"/>
  <c r="H739" i="16"/>
  <c r="H740" i="16"/>
  <c r="H741" i="16"/>
  <c r="H742" i="16"/>
  <c r="H743" i="16"/>
  <c r="H744" i="16"/>
  <c r="H745" i="16"/>
  <c r="H746" i="16"/>
  <c r="H747" i="16"/>
  <c r="H748" i="16"/>
  <c r="H749" i="16"/>
  <c r="H750" i="16"/>
  <c r="H751" i="16"/>
  <c r="H752" i="16"/>
  <c r="H753" i="16"/>
  <c r="H754" i="16"/>
  <c r="H755" i="16"/>
  <c r="H756" i="16"/>
  <c r="H757" i="16"/>
  <c r="H758" i="16"/>
  <c r="H759" i="16"/>
  <c r="H760" i="16"/>
  <c r="H761" i="16"/>
  <c r="H762" i="16"/>
  <c r="H763" i="16"/>
  <c r="H764" i="16"/>
  <c r="H765" i="16"/>
  <c r="H766" i="16"/>
  <c r="H767" i="16"/>
  <c r="H768" i="16"/>
  <c r="H769" i="16"/>
  <c r="H770" i="16"/>
  <c r="H771" i="16"/>
  <c r="H772" i="16"/>
  <c r="H773" i="16"/>
  <c r="H774" i="16"/>
  <c r="H775" i="16"/>
  <c r="H776" i="16"/>
  <c r="H777" i="16"/>
  <c r="H778" i="16"/>
  <c r="H779" i="16"/>
  <c r="H780" i="16"/>
  <c r="H781" i="16"/>
  <c r="H782" i="16"/>
  <c r="H783" i="16"/>
  <c r="H784" i="16"/>
  <c r="H785" i="16"/>
  <c r="H786" i="16"/>
  <c r="H787" i="16"/>
  <c r="H788" i="16"/>
  <c r="H789" i="16"/>
  <c r="H790" i="16"/>
  <c r="H791" i="16"/>
  <c r="H792" i="16"/>
  <c r="H793" i="16"/>
  <c r="H794" i="16"/>
  <c r="H795" i="16"/>
  <c r="H796" i="16"/>
  <c r="H797" i="16"/>
  <c r="H798" i="16"/>
  <c r="H799" i="16"/>
  <c r="H800" i="16"/>
  <c r="H801" i="16"/>
  <c r="H802" i="16"/>
  <c r="H803" i="16"/>
  <c r="H804" i="16"/>
  <c r="H805" i="16"/>
  <c r="H806" i="16"/>
  <c r="H807" i="16"/>
  <c r="H808" i="16"/>
  <c r="H809" i="16"/>
  <c r="H810" i="16"/>
  <c r="H811" i="16"/>
  <c r="H812" i="16"/>
  <c r="H813" i="16"/>
  <c r="H814" i="16"/>
  <c r="H815" i="16"/>
  <c r="H816" i="16"/>
  <c r="H817" i="16"/>
  <c r="H818" i="16"/>
  <c r="H819" i="16"/>
  <c r="H820" i="16"/>
  <c r="H821" i="16"/>
  <c r="H822" i="16"/>
  <c r="H823" i="16"/>
  <c r="H824" i="16"/>
  <c r="H825" i="16"/>
  <c r="H826" i="16"/>
  <c r="H827" i="16"/>
  <c r="H828" i="16"/>
  <c r="H829" i="16"/>
  <c r="H830" i="16"/>
  <c r="H831" i="16"/>
  <c r="H832" i="16"/>
  <c r="H833" i="16"/>
  <c r="H834" i="16"/>
  <c r="H835" i="16"/>
  <c r="H836" i="16"/>
  <c r="H837" i="16"/>
  <c r="H838" i="16"/>
  <c r="H839" i="16"/>
  <c r="H840" i="16"/>
  <c r="H841" i="16"/>
  <c r="H842" i="16"/>
  <c r="H843" i="16"/>
  <c r="H844" i="16"/>
  <c r="H845" i="16"/>
  <c r="H846" i="16"/>
  <c r="H847" i="16"/>
  <c r="H848" i="16"/>
  <c r="H849" i="16"/>
  <c r="H850" i="16"/>
  <c r="H851" i="16"/>
  <c r="H852" i="16"/>
  <c r="H853" i="16"/>
  <c r="H854" i="16"/>
  <c r="H855" i="16"/>
  <c r="H856" i="16"/>
  <c r="H857" i="16"/>
  <c r="H858" i="16"/>
  <c r="H859" i="16"/>
  <c r="H860" i="16"/>
  <c r="H861" i="16"/>
  <c r="H862" i="16"/>
  <c r="H863" i="16"/>
  <c r="H864" i="16"/>
  <c r="H865" i="16"/>
  <c r="H866" i="16"/>
  <c r="H867" i="16"/>
  <c r="H868" i="16"/>
  <c r="H869" i="16"/>
  <c r="H870" i="16"/>
  <c r="H871" i="16"/>
  <c r="H872" i="16"/>
  <c r="H873" i="16"/>
  <c r="H874" i="16"/>
  <c r="H875" i="16"/>
  <c r="H876" i="16"/>
  <c r="H877" i="16"/>
  <c r="H878" i="16"/>
  <c r="H879" i="16"/>
  <c r="H880" i="16"/>
  <c r="H881" i="16"/>
  <c r="H882" i="16"/>
  <c r="H883" i="16"/>
  <c r="H884" i="16"/>
  <c r="H885" i="16"/>
  <c r="H886" i="16"/>
  <c r="H887" i="16"/>
  <c r="H888" i="16"/>
  <c r="H889" i="16"/>
  <c r="H890" i="16"/>
  <c r="H891" i="16"/>
  <c r="H892" i="16"/>
  <c r="H893" i="16"/>
  <c r="H894" i="16"/>
  <c r="H895" i="16"/>
  <c r="H896" i="16"/>
  <c r="H897" i="16"/>
  <c r="H898" i="16"/>
  <c r="H899" i="16"/>
  <c r="H900" i="16"/>
  <c r="H901" i="16"/>
  <c r="H902" i="16"/>
  <c r="H903" i="16"/>
  <c r="H904" i="16"/>
  <c r="H905" i="16"/>
  <c r="H906" i="16"/>
  <c r="H907" i="16"/>
  <c r="H908" i="16"/>
  <c r="H909" i="16"/>
  <c r="H910" i="16"/>
  <c r="H911" i="16"/>
  <c r="H912" i="16"/>
  <c r="H913" i="16"/>
  <c r="H914" i="16"/>
  <c r="H915" i="16"/>
  <c r="H916" i="16"/>
  <c r="H917" i="16"/>
  <c r="H918" i="16"/>
  <c r="H919" i="16"/>
  <c r="H920" i="16"/>
  <c r="H921" i="16"/>
  <c r="H922" i="16"/>
  <c r="H923" i="16"/>
  <c r="H924" i="16"/>
  <c r="H925" i="16"/>
  <c r="H926" i="16"/>
  <c r="H927" i="16"/>
  <c r="H928" i="16"/>
  <c r="H929" i="16"/>
  <c r="H930" i="16"/>
  <c r="H931" i="16"/>
  <c r="H932" i="16"/>
  <c r="H933" i="16"/>
  <c r="H934" i="16"/>
  <c r="H935" i="16"/>
  <c r="H936" i="16"/>
  <c r="H937" i="16"/>
  <c r="H938" i="16"/>
  <c r="H939" i="16"/>
  <c r="H940" i="16"/>
  <c r="H941" i="16"/>
  <c r="H942" i="16"/>
  <c r="H943" i="16"/>
  <c r="H944" i="16"/>
  <c r="H945" i="16"/>
  <c r="H946" i="16"/>
  <c r="H947" i="16"/>
  <c r="H948" i="16"/>
  <c r="H949" i="16"/>
  <c r="H950" i="16"/>
  <c r="H951" i="16"/>
  <c r="H952" i="16"/>
  <c r="H953" i="16"/>
  <c r="H954" i="16"/>
  <c r="H955" i="16"/>
  <c r="H956" i="16"/>
  <c r="H957" i="16"/>
  <c r="H958" i="16"/>
  <c r="H959" i="16"/>
  <c r="H960" i="16"/>
  <c r="H961" i="16"/>
  <c r="H962" i="16"/>
  <c r="H963" i="16"/>
  <c r="H964" i="16"/>
  <c r="H965" i="16"/>
  <c r="H966" i="16"/>
  <c r="H967" i="16"/>
  <c r="H968" i="16"/>
  <c r="H969" i="16"/>
  <c r="H970" i="16"/>
  <c r="H971" i="16"/>
  <c r="H972" i="16"/>
  <c r="H973" i="16"/>
  <c r="H974" i="16"/>
  <c r="H975" i="16"/>
  <c r="H976" i="16"/>
  <c r="H977" i="16"/>
  <c r="H978" i="16"/>
  <c r="H979" i="16"/>
  <c r="H980" i="16"/>
  <c r="H981" i="16"/>
  <c r="H982" i="16"/>
  <c r="H983" i="16"/>
  <c r="H984" i="16"/>
  <c r="H985" i="16"/>
  <c r="H986" i="16"/>
  <c r="H987" i="16"/>
  <c r="H988" i="16"/>
  <c r="H989" i="16"/>
  <c r="H990" i="16"/>
  <c r="H991" i="16"/>
  <c r="H992" i="16"/>
  <c r="H993" i="16"/>
  <c r="H994" i="16"/>
  <c r="H995" i="16"/>
  <c r="H996" i="16"/>
  <c r="H997" i="16"/>
  <c r="H998" i="16"/>
  <c r="H999" i="16"/>
  <c r="H1000" i="16"/>
  <c r="H1001" i="16"/>
  <c r="H1002" i="16"/>
  <c r="H1003" i="16"/>
  <c r="H1004" i="16"/>
  <c r="H1005" i="16"/>
  <c r="H1006" i="16"/>
  <c r="H1007" i="16"/>
  <c r="H1008" i="16"/>
  <c r="H1009" i="16"/>
  <c r="H1010" i="16"/>
  <c r="H1011" i="16"/>
  <c r="H1012" i="16"/>
  <c r="H1013" i="16"/>
  <c r="H1014" i="16"/>
  <c r="H1015" i="16"/>
  <c r="H1016" i="16"/>
  <c r="H1017" i="16"/>
  <c r="H1018" i="16"/>
  <c r="H1019" i="16"/>
  <c r="H1020" i="16"/>
  <c r="H1021" i="16"/>
  <c r="H1022" i="16"/>
  <c r="H1023" i="16"/>
  <c r="H1024" i="16"/>
  <c r="H1025" i="16"/>
  <c r="H1026" i="16"/>
  <c r="H1027" i="16"/>
  <c r="H1028" i="16"/>
  <c r="H1029" i="16"/>
  <c r="H1030" i="16"/>
  <c r="H1031" i="16"/>
  <c r="H1032" i="16"/>
  <c r="H1033" i="16"/>
  <c r="H1034" i="16"/>
  <c r="H1035" i="16"/>
  <c r="H1036" i="16"/>
  <c r="H1037" i="16"/>
  <c r="H1038" i="16"/>
  <c r="H1039" i="16"/>
  <c r="H1040" i="16"/>
  <c r="H1041" i="16"/>
  <c r="H1042" i="16"/>
  <c r="H1043" i="16"/>
  <c r="H1044" i="16"/>
  <c r="H1045" i="16"/>
  <c r="H1046" i="16"/>
  <c r="H1047" i="16"/>
  <c r="H1048" i="16"/>
  <c r="H1049" i="16"/>
  <c r="H1050" i="16"/>
  <c r="H1051" i="16"/>
  <c r="H1052" i="16"/>
  <c r="H1053" i="16"/>
  <c r="H1054" i="16"/>
  <c r="H1055" i="16"/>
  <c r="H1056" i="16"/>
  <c r="H1057" i="16"/>
  <c r="H1058" i="16"/>
  <c r="H1059" i="16"/>
  <c r="H1060" i="16"/>
  <c r="H1061" i="16"/>
  <c r="H1062" i="16"/>
  <c r="H1063" i="16"/>
  <c r="H1064" i="16"/>
  <c r="H1065" i="16"/>
  <c r="H1066" i="16"/>
  <c r="H1067" i="16"/>
  <c r="H1068" i="16"/>
  <c r="H1069" i="16"/>
  <c r="H1070" i="16"/>
  <c r="H1071" i="16"/>
  <c r="H1072" i="16"/>
  <c r="H1073" i="16"/>
  <c r="H1074" i="16"/>
  <c r="H1075" i="16"/>
  <c r="H1076" i="16"/>
  <c r="H1077" i="16"/>
  <c r="H1078" i="16"/>
  <c r="H1079" i="16"/>
  <c r="H1080" i="16"/>
  <c r="H1081" i="16"/>
  <c r="H1082" i="16"/>
  <c r="H1083" i="16"/>
  <c r="H1084" i="16"/>
  <c r="H1085" i="16"/>
  <c r="H1086" i="16"/>
  <c r="H1087" i="16"/>
  <c r="H1088" i="16"/>
  <c r="H1089" i="16"/>
  <c r="H1090" i="16"/>
  <c r="H1091" i="16"/>
  <c r="H1092" i="16"/>
  <c r="H1093" i="16"/>
  <c r="H1094" i="16"/>
  <c r="H1095" i="16"/>
  <c r="H1096" i="16"/>
  <c r="H1097" i="16"/>
  <c r="H1098" i="16"/>
  <c r="H1099" i="16"/>
  <c r="H1100" i="16"/>
  <c r="H1101" i="16"/>
  <c r="H1102" i="16"/>
  <c r="H1103" i="16"/>
  <c r="H1104" i="16"/>
  <c r="H1105" i="16"/>
  <c r="H1106" i="16"/>
  <c r="H1107" i="16"/>
  <c r="H1108" i="16"/>
  <c r="H1109" i="16"/>
  <c r="H1110" i="16"/>
  <c r="H1111" i="16"/>
  <c r="H1112" i="16"/>
  <c r="H1113" i="16"/>
  <c r="H1114" i="16"/>
  <c r="H1115" i="16"/>
  <c r="H1116" i="16"/>
  <c r="H1117" i="16"/>
  <c r="H1118" i="16"/>
  <c r="H1119" i="16"/>
  <c r="H1120" i="16"/>
  <c r="H1121" i="16"/>
  <c r="H1122" i="16"/>
  <c r="H1123" i="16"/>
  <c r="H1124" i="16"/>
  <c r="H1125" i="16"/>
  <c r="H1126" i="16"/>
  <c r="H1127" i="16"/>
  <c r="H1128" i="16"/>
  <c r="H1129" i="16"/>
  <c r="H1130" i="16"/>
  <c r="H1131" i="16"/>
  <c r="H1132" i="16"/>
  <c r="H1133" i="16"/>
  <c r="H1134" i="16"/>
  <c r="H1135" i="16"/>
  <c r="H1136" i="16"/>
  <c r="H1137" i="16"/>
  <c r="H1138" i="16"/>
  <c r="H1139" i="16"/>
  <c r="H1140" i="16"/>
  <c r="H1141" i="16"/>
  <c r="H1142" i="16"/>
  <c r="H1143" i="16"/>
  <c r="H1144" i="16"/>
  <c r="H1145" i="16"/>
  <c r="H1146" i="16"/>
  <c r="H1147" i="16"/>
  <c r="H1148" i="16"/>
  <c r="H1149" i="16"/>
  <c r="H1150" i="16"/>
  <c r="H1151" i="16"/>
  <c r="H1152" i="16"/>
  <c r="H1153" i="16"/>
  <c r="H1154" i="16"/>
  <c r="H1155" i="16"/>
  <c r="H1156" i="16"/>
  <c r="H1157" i="16"/>
  <c r="H1158" i="16"/>
  <c r="H1159" i="16"/>
  <c r="H1160" i="16"/>
  <c r="H1161" i="16"/>
  <c r="H1162" i="16"/>
  <c r="H1163" i="16"/>
  <c r="H1164" i="16"/>
  <c r="H1165" i="16"/>
  <c r="H1166" i="16"/>
  <c r="H1167" i="16"/>
  <c r="H1168" i="16"/>
  <c r="H1169" i="16"/>
  <c r="H1170" i="16"/>
  <c r="H1171" i="16"/>
  <c r="H1172" i="16"/>
  <c r="H1173" i="16"/>
  <c r="H1174" i="16"/>
  <c r="H1175" i="16"/>
  <c r="H1176" i="16"/>
  <c r="H1177" i="16"/>
  <c r="H1178" i="16"/>
  <c r="H1179" i="16"/>
  <c r="H1180" i="16"/>
  <c r="H1181" i="16"/>
  <c r="H1182" i="16"/>
  <c r="H1183" i="16"/>
  <c r="H1184" i="16"/>
  <c r="H1185" i="16"/>
  <c r="H1186" i="16"/>
  <c r="H1187" i="16"/>
  <c r="H1188" i="16"/>
  <c r="H1189" i="16"/>
  <c r="H1190" i="16"/>
  <c r="H1191" i="16"/>
  <c r="H1192" i="16"/>
  <c r="H1193" i="16"/>
  <c r="H1194" i="16"/>
  <c r="H1195" i="16"/>
  <c r="H1196" i="16"/>
  <c r="H1197" i="16"/>
  <c r="H1198" i="16"/>
  <c r="H1199" i="16"/>
  <c r="H1200" i="16"/>
  <c r="H1201" i="16"/>
  <c r="H1202" i="16"/>
  <c r="H1203" i="16"/>
  <c r="H1204" i="16"/>
  <c r="H1205" i="16"/>
  <c r="H1206" i="16"/>
  <c r="H1207" i="16"/>
  <c r="H1208" i="16"/>
  <c r="H1209" i="16"/>
  <c r="H1210" i="16"/>
  <c r="H1211" i="16"/>
  <c r="H1212" i="16"/>
  <c r="H1213" i="16"/>
  <c r="H1214" i="16"/>
  <c r="H1215" i="16"/>
  <c r="H1216" i="16"/>
  <c r="H1218" i="16"/>
  <c r="H1219" i="16"/>
  <c r="H1220" i="16"/>
  <c r="H1221" i="16"/>
  <c r="H1222" i="16"/>
  <c r="H1223" i="16"/>
  <c r="H1224" i="16"/>
  <c r="H1225" i="16"/>
  <c r="H1226" i="16"/>
  <c r="H1227" i="16"/>
  <c r="H1228" i="16"/>
  <c r="H1229" i="16"/>
  <c r="H1230" i="16"/>
  <c r="H1231" i="16"/>
  <c r="H1232" i="16"/>
  <c r="H1233" i="16"/>
  <c r="H1234" i="16"/>
  <c r="H1235" i="16"/>
  <c r="H1236" i="16"/>
  <c r="H1237" i="16"/>
  <c r="H1238" i="16"/>
  <c r="H1239" i="16"/>
  <c r="H1240" i="16"/>
  <c r="H1241" i="16"/>
  <c r="H1242" i="16"/>
  <c r="H1243" i="16"/>
  <c r="H1244" i="16"/>
  <c r="H1245" i="16"/>
  <c r="H1246" i="16"/>
  <c r="H1247" i="16"/>
  <c r="H1248" i="16"/>
  <c r="H1249" i="16"/>
  <c r="H1250" i="16"/>
  <c r="H1251" i="16"/>
  <c r="H1252" i="16"/>
  <c r="H1253" i="16"/>
  <c r="H1254" i="16"/>
  <c r="H1255" i="16"/>
  <c r="H1256" i="16"/>
  <c r="H1257" i="16"/>
  <c r="H1258" i="16"/>
  <c r="H1259" i="16"/>
  <c r="H1260" i="16"/>
  <c r="H1261" i="16"/>
  <c r="H1262" i="16"/>
  <c r="H1263" i="16"/>
  <c r="H1264" i="16"/>
  <c r="H1265" i="16"/>
  <c r="J1265" i="16" s="1"/>
  <c r="K1265" i="16" s="1"/>
  <c r="H1266" i="16"/>
  <c r="H1267" i="16"/>
  <c r="H1268" i="16"/>
  <c r="H1269" i="16"/>
  <c r="H1270" i="16"/>
  <c r="H1271" i="16"/>
  <c r="H1272" i="16"/>
  <c r="H1273" i="16"/>
  <c r="H1274" i="16"/>
  <c r="H1275" i="16"/>
  <c r="H1276" i="16"/>
  <c r="H1277" i="16"/>
  <c r="H1278" i="16"/>
  <c r="H1279" i="16"/>
  <c r="H1280" i="16"/>
  <c r="H1281" i="16"/>
  <c r="H1282" i="16"/>
  <c r="H1283" i="16"/>
  <c r="H1284" i="16"/>
  <c r="H1285" i="16"/>
  <c r="H1286" i="16"/>
  <c r="H1287" i="16"/>
  <c r="H1288" i="16"/>
  <c r="H1289" i="16"/>
  <c r="H1290" i="16"/>
  <c r="H1291" i="16"/>
  <c r="H1292" i="16"/>
  <c r="H1293" i="16"/>
  <c r="H1294" i="16"/>
  <c r="H1295" i="16"/>
  <c r="H1296" i="16"/>
  <c r="H1297" i="16"/>
  <c r="H1298" i="16"/>
  <c r="H1299" i="16"/>
  <c r="H1300" i="16"/>
  <c r="H1301" i="16"/>
  <c r="H1302" i="16"/>
  <c r="H1303" i="16"/>
  <c r="H1304" i="16"/>
  <c r="H1305" i="16"/>
  <c r="H1306" i="16"/>
  <c r="H1307" i="16"/>
  <c r="H1308" i="16"/>
  <c r="H1309" i="16"/>
  <c r="H1310" i="16"/>
  <c r="H1311" i="16"/>
  <c r="H1312" i="16"/>
  <c r="H1313" i="16"/>
  <c r="H1314" i="16"/>
  <c r="H1315" i="16"/>
  <c r="H1316" i="16"/>
  <c r="H1317" i="16"/>
  <c r="H1318" i="16"/>
  <c r="H1319" i="16"/>
  <c r="H1320" i="16"/>
  <c r="H1321" i="16"/>
  <c r="H1322" i="16"/>
  <c r="H1323" i="16"/>
  <c r="H1324" i="16"/>
  <c r="H1325" i="16"/>
  <c r="H1326" i="16"/>
  <c r="H1327" i="16"/>
  <c r="H1328" i="16"/>
  <c r="H1329" i="16"/>
  <c r="H1330" i="16"/>
  <c r="H1331" i="16"/>
  <c r="H1332" i="16"/>
  <c r="H1333" i="16"/>
  <c r="H1334" i="16"/>
  <c r="H1335" i="16"/>
  <c r="H1336" i="16"/>
  <c r="H1337" i="16"/>
  <c r="H1338" i="16"/>
  <c r="H1339" i="16"/>
  <c r="H1340" i="16"/>
  <c r="H1341" i="16"/>
  <c r="H1342" i="16"/>
  <c r="H1343" i="16"/>
  <c r="H1344" i="16"/>
  <c r="H1345" i="16"/>
  <c r="H1346" i="16"/>
  <c r="H1347" i="16"/>
  <c r="H1348" i="16"/>
  <c r="H1349" i="16"/>
  <c r="H3" i="16"/>
  <c r="I1348" i="16"/>
  <c r="I1265" i="16"/>
  <c r="I1056" i="16"/>
  <c r="I650" i="16"/>
  <c r="I448" i="16"/>
  <c r="I353" i="16"/>
  <c r="I170" i="16"/>
  <c r="I84" i="16"/>
  <c r="F3" i="17" l="1"/>
  <c r="L84" i="16"/>
  <c r="D171" i="18"/>
  <c r="M3" i="16"/>
  <c r="M84" i="16" s="1"/>
  <c r="M1349" i="16" s="1"/>
  <c r="M1348" i="16"/>
  <c r="L1348" i="16"/>
  <c r="L1217" i="16"/>
  <c r="M650" i="16"/>
  <c r="J1348" i="16"/>
  <c r="K1348" i="16" s="1"/>
  <c r="K1217" i="16"/>
  <c r="J1056" i="16"/>
  <c r="K1056" i="16" s="1"/>
  <c r="J353" i="16"/>
  <c r="K353" i="16" s="1"/>
  <c r="I1349" i="16"/>
  <c r="K1349" i="16" s="1"/>
  <c r="E171" i="18" l="1"/>
  <c r="G3" i="17"/>
  <c r="L1349" i="16"/>
  <c r="H34" i="13" l="1"/>
  <c r="E53" i="13"/>
  <c r="E54" i="13"/>
  <c r="E55" i="13"/>
  <c r="E56" i="13"/>
  <c r="E57" i="13"/>
  <c r="E58" i="13"/>
  <c r="E59" i="13"/>
  <c r="E60" i="13"/>
  <c r="E52" i="13"/>
  <c r="D53" i="13"/>
  <c r="D54" i="13"/>
  <c r="D55" i="13"/>
  <c r="D56" i="13"/>
  <c r="D57" i="13"/>
  <c r="D58" i="13"/>
  <c r="D59" i="13"/>
  <c r="D60" i="13"/>
  <c r="D52" i="13"/>
  <c r="D40" i="13"/>
  <c r="I41" i="13"/>
  <c r="I42" i="13"/>
  <c r="I43" i="13"/>
  <c r="I44" i="13"/>
  <c r="I45" i="13"/>
  <c r="I46" i="13"/>
  <c r="I47" i="13"/>
  <c r="I48" i="13"/>
  <c r="I40" i="13"/>
  <c r="H41" i="13"/>
  <c r="H42" i="13"/>
  <c r="H43" i="13"/>
  <c r="H44" i="13"/>
  <c r="H45" i="13"/>
  <c r="H46" i="13"/>
  <c r="H47" i="13"/>
  <c r="H48" i="13"/>
  <c r="H40" i="13"/>
  <c r="G41" i="13"/>
  <c r="G42" i="13"/>
  <c r="G43" i="13"/>
  <c r="G44" i="13"/>
  <c r="G45" i="13"/>
  <c r="G46" i="13"/>
  <c r="G47" i="13"/>
  <c r="G48" i="13"/>
  <c r="G40" i="13"/>
  <c r="F41" i="13"/>
  <c r="F42" i="13"/>
  <c r="F43" i="13"/>
  <c r="F44" i="13"/>
  <c r="F45" i="13"/>
  <c r="F46" i="13"/>
  <c r="F47" i="13"/>
  <c r="F48" i="13"/>
  <c r="F40" i="13"/>
  <c r="E41" i="13"/>
  <c r="E42" i="13"/>
  <c r="E43" i="13"/>
  <c r="E44" i="13"/>
  <c r="E45" i="13"/>
  <c r="E46" i="13"/>
  <c r="E47" i="13"/>
  <c r="E48" i="13"/>
  <c r="E40" i="13"/>
  <c r="D41" i="13"/>
  <c r="D42" i="13"/>
  <c r="D43" i="13"/>
  <c r="D44" i="13"/>
  <c r="D45" i="13"/>
  <c r="D46" i="13"/>
  <c r="D47" i="13"/>
  <c r="D48" i="13"/>
  <c r="G29" i="13"/>
  <c r="G30" i="13"/>
  <c r="G31" i="13"/>
  <c r="G32" i="13"/>
  <c r="G33" i="13"/>
  <c r="G34" i="13"/>
  <c r="G35" i="13"/>
  <c r="G36" i="13"/>
  <c r="G28" i="13"/>
  <c r="F29" i="13"/>
  <c r="H29" i="13" s="1"/>
  <c r="F30" i="13"/>
  <c r="H30" i="13" s="1"/>
  <c r="F31" i="13"/>
  <c r="H31" i="13" s="1"/>
  <c r="F32" i="13"/>
  <c r="H32" i="13" s="1"/>
  <c r="F33" i="13"/>
  <c r="H33" i="13" s="1"/>
  <c r="F34" i="13"/>
  <c r="F35" i="13"/>
  <c r="H35" i="13" s="1"/>
  <c r="F36" i="13"/>
  <c r="H36" i="13" s="1"/>
  <c r="F28" i="13"/>
  <c r="H28" i="13" s="1"/>
  <c r="E29" i="13"/>
  <c r="E30" i="13"/>
  <c r="E31" i="13"/>
  <c r="E32" i="13"/>
  <c r="E33" i="13"/>
  <c r="E34" i="13"/>
  <c r="E35" i="13"/>
  <c r="E36" i="13"/>
  <c r="E28" i="13"/>
  <c r="D29" i="13"/>
  <c r="D30" i="13"/>
  <c r="D31" i="13"/>
  <c r="D32" i="13"/>
  <c r="D33" i="13"/>
  <c r="D34" i="13"/>
  <c r="D35" i="13"/>
  <c r="D36" i="13"/>
  <c r="D28" i="13"/>
  <c r="G18" i="13"/>
  <c r="G19" i="13"/>
  <c r="G20" i="13"/>
  <c r="G21" i="13"/>
  <c r="G22" i="13"/>
  <c r="G23" i="13"/>
  <c r="G24" i="13"/>
  <c r="G25" i="13"/>
  <c r="G17" i="13"/>
  <c r="F18" i="13"/>
  <c r="F19" i="13"/>
  <c r="F20" i="13"/>
  <c r="F21" i="13"/>
  <c r="F22" i="13"/>
  <c r="F23" i="13"/>
  <c r="F24" i="13"/>
  <c r="F25" i="13"/>
  <c r="F17" i="13"/>
  <c r="E18" i="13"/>
  <c r="E19" i="13"/>
  <c r="E20" i="13"/>
  <c r="E21" i="13"/>
  <c r="E22" i="13"/>
  <c r="E23" i="13"/>
  <c r="E24" i="13"/>
  <c r="E25" i="13"/>
  <c r="E17" i="13"/>
  <c r="D18" i="13"/>
  <c r="D19" i="13"/>
  <c r="D20" i="13"/>
  <c r="D21" i="13"/>
  <c r="D22" i="13"/>
  <c r="D23" i="13"/>
  <c r="D24" i="13"/>
  <c r="D25" i="13"/>
  <c r="D17" i="13"/>
  <c r="J6" i="13"/>
  <c r="J7" i="13"/>
  <c r="J8" i="13"/>
  <c r="J9" i="13"/>
  <c r="J10" i="13"/>
  <c r="J11" i="13"/>
  <c r="J12" i="13"/>
  <c r="J13" i="13"/>
  <c r="J5" i="13"/>
  <c r="I6" i="13"/>
  <c r="I7" i="13"/>
  <c r="I8" i="13"/>
  <c r="I9" i="13"/>
  <c r="I10" i="13"/>
  <c r="I11" i="13"/>
  <c r="I12" i="13"/>
  <c r="I13" i="13"/>
  <c r="I5" i="13"/>
  <c r="H6" i="13"/>
  <c r="H7" i="13"/>
  <c r="H8" i="13"/>
  <c r="H9" i="13"/>
  <c r="H10" i="13"/>
  <c r="H11" i="13"/>
  <c r="H12" i="13"/>
  <c r="H13" i="13"/>
  <c r="H5" i="13"/>
  <c r="G6" i="13"/>
  <c r="G7" i="13"/>
  <c r="G8" i="13"/>
  <c r="G9" i="13"/>
  <c r="G10" i="13"/>
  <c r="G11" i="13"/>
  <c r="G12" i="13"/>
  <c r="G13" i="13"/>
  <c r="G5" i="13"/>
  <c r="F6" i="13"/>
  <c r="F7" i="13"/>
  <c r="F8" i="13"/>
  <c r="F9" i="13"/>
  <c r="F10" i="13"/>
  <c r="F11" i="13"/>
  <c r="F12" i="13"/>
  <c r="F13" i="13"/>
  <c r="F5" i="13"/>
  <c r="E6" i="13"/>
  <c r="E7" i="13"/>
  <c r="E8" i="13"/>
  <c r="E9" i="13"/>
  <c r="E10" i="13"/>
  <c r="E11" i="13"/>
  <c r="E12" i="13"/>
  <c r="E13" i="13"/>
  <c r="E5" i="13"/>
  <c r="D6" i="13"/>
  <c r="D7" i="13"/>
  <c r="D8" i="13"/>
  <c r="D9" i="13"/>
  <c r="D10" i="13"/>
  <c r="D11" i="13"/>
  <c r="D12" i="13"/>
  <c r="D13" i="13"/>
  <c r="D5" i="13"/>
  <c r="S8" i="11"/>
  <c r="F8" i="11"/>
  <c r="F9" i="11"/>
  <c r="F10" i="11"/>
  <c r="F11" i="11"/>
  <c r="F12" i="11"/>
  <c r="F13" i="11"/>
  <c r="F14" i="11"/>
  <c r="F15" i="11"/>
  <c r="F7" i="11"/>
  <c r="F16" i="11" s="1"/>
  <c r="E8" i="11"/>
  <c r="E9" i="11"/>
  <c r="E10" i="11"/>
  <c r="E11" i="11"/>
  <c r="E12" i="11"/>
  <c r="E13" i="11"/>
  <c r="E14" i="11"/>
  <c r="E15" i="11"/>
  <c r="E7" i="11"/>
  <c r="E16" i="11" s="1"/>
  <c r="M8" i="11"/>
  <c r="T8" i="11" s="1"/>
  <c r="M9" i="11"/>
  <c r="T9" i="11" s="1"/>
  <c r="M10" i="11"/>
  <c r="T10" i="11" s="1"/>
  <c r="M11" i="11"/>
  <c r="T11" i="11" s="1"/>
  <c r="M12" i="11"/>
  <c r="T12" i="11" s="1"/>
  <c r="M13" i="11"/>
  <c r="T13" i="11" s="1"/>
  <c r="M14" i="11"/>
  <c r="T14" i="11" s="1"/>
  <c r="M15" i="11"/>
  <c r="T15" i="11" s="1"/>
  <c r="M7" i="11"/>
  <c r="T7" i="11" s="1"/>
  <c r="L8" i="11"/>
  <c r="L9" i="11"/>
  <c r="S9" i="11" s="1"/>
  <c r="L10" i="11"/>
  <c r="S10" i="11" s="1"/>
  <c r="L11" i="11"/>
  <c r="S11" i="11" s="1"/>
  <c r="L12" i="11"/>
  <c r="S12" i="11" s="1"/>
  <c r="L13" i="11"/>
  <c r="S13" i="11" s="1"/>
  <c r="L14" i="11"/>
  <c r="L15" i="11"/>
  <c r="S15" i="11" s="1"/>
  <c r="L7" i="11"/>
  <c r="S7" i="11" s="1"/>
  <c r="K8" i="11"/>
  <c r="K9" i="11"/>
  <c r="K10" i="11"/>
  <c r="K11" i="11"/>
  <c r="K12" i="11"/>
  <c r="K13" i="11"/>
  <c r="K14" i="11"/>
  <c r="K15" i="11"/>
  <c r="K7" i="11"/>
  <c r="J8" i="11"/>
  <c r="J9" i="11"/>
  <c r="J10" i="11"/>
  <c r="J11" i="11"/>
  <c r="J12" i="11"/>
  <c r="J13" i="11"/>
  <c r="J14" i="11"/>
  <c r="J15" i="11"/>
  <c r="J7" i="11"/>
  <c r="I8" i="11"/>
  <c r="I9" i="11"/>
  <c r="I10" i="11"/>
  <c r="I11" i="11"/>
  <c r="I12" i="11"/>
  <c r="I13" i="11"/>
  <c r="I14" i="11"/>
  <c r="I15" i="11"/>
  <c r="I7" i="11"/>
  <c r="H8" i="11"/>
  <c r="H9" i="11"/>
  <c r="H10" i="11"/>
  <c r="H11" i="11"/>
  <c r="H12" i="11"/>
  <c r="H13" i="11"/>
  <c r="H14" i="11"/>
  <c r="S14" i="11" s="1"/>
  <c r="H15" i="11"/>
  <c r="H7" i="11"/>
  <c r="G8" i="11"/>
  <c r="G9" i="11"/>
  <c r="G10" i="11"/>
  <c r="G11" i="11"/>
  <c r="G12" i="11"/>
  <c r="G13" i="11"/>
  <c r="G14" i="11"/>
  <c r="G15" i="11"/>
  <c r="G7" i="11"/>
  <c r="E19" i="10"/>
  <c r="D19" i="10"/>
  <c r="R13" i="11" l="1"/>
  <c r="H37" i="13"/>
  <c r="E61" i="13"/>
  <c r="D61" i="13"/>
  <c r="I49" i="13"/>
  <c r="H49" i="13"/>
  <c r="G49" i="13"/>
  <c r="F49" i="13"/>
  <c r="E49" i="13"/>
  <c r="D49" i="13"/>
  <c r="G37" i="13"/>
  <c r="F37" i="13"/>
  <c r="E37" i="13"/>
  <c r="D37" i="13"/>
  <c r="J14" i="13"/>
  <c r="I14" i="13"/>
  <c r="H14" i="13"/>
  <c r="G14" i="13"/>
  <c r="F14" i="13"/>
  <c r="E14" i="13"/>
  <c r="D14" i="13"/>
  <c r="G16" i="11"/>
  <c r="R12" i="11"/>
  <c r="R10" i="11"/>
  <c r="R15" i="11"/>
  <c r="R9" i="11"/>
  <c r="R7" i="11"/>
  <c r="R8" i="11"/>
  <c r="R11" i="11"/>
  <c r="H16" i="11"/>
  <c r="R14" i="11"/>
  <c r="M16" i="11"/>
  <c r="T16" i="11" s="1"/>
  <c r="L16" i="11"/>
  <c r="K16" i="11"/>
  <c r="J16" i="11"/>
  <c r="I16" i="11"/>
  <c r="R4" i="9"/>
  <c r="R228" i="9" s="1"/>
  <c r="Q4" i="9"/>
  <c r="L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N28" i="9" s="1"/>
  <c r="O28" i="9" s="1"/>
  <c r="W28" i="9" s="1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N99" i="9" s="1"/>
  <c r="O99" i="9" s="1"/>
  <c r="W99" i="9" s="1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N131" i="9" s="1"/>
  <c r="O131" i="9" s="1"/>
  <c r="W131" i="9" s="1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N199" i="9" s="1"/>
  <c r="O199" i="9" s="1"/>
  <c r="W199" i="9" s="1"/>
  <c r="I200" i="9"/>
  <c r="I201" i="9"/>
  <c r="I202" i="9"/>
  <c r="I203" i="9"/>
  <c r="I204" i="9"/>
  <c r="I205" i="9"/>
  <c r="I206" i="9"/>
  <c r="I207" i="9"/>
  <c r="N207" i="9" s="1"/>
  <c r="O207" i="9" s="1"/>
  <c r="W207" i="9" s="1"/>
  <c r="I208" i="9"/>
  <c r="I209" i="9"/>
  <c r="I210" i="9"/>
  <c r="I211" i="9"/>
  <c r="I212" i="9"/>
  <c r="I213" i="9"/>
  <c r="I214" i="9"/>
  <c r="I215" i="9"/>
  <c r="N215" i="9" s="1"/>
  <c r="O215" i="9" s="1"/>
  <c r="W215" i="9" s="1"/>
  <c r="I216" i="9"/>
  <c r="I217" i="9"/>
  <c r="I218" i="9"/>
  <c r="I219" i="9"/>
  <c r="I220" i="9"/>
  <c r="I221" i="9"/>
  <c r="I222" i="9"/>
  <c r="I223" i="9"/>
  <c r="N223" i="9" s="1"/>
  <c r="O223" i="9" s="1"/>
  <c r="W223" i="9" s="1"/>
  <c r="I224" i="9"/>
  <c r="I225" i="9"/>
  <c r="I226" i="9"/>
  <c r="I227" i="9"/>
  <c r="I228" i="9"/>
  <c r="I229" i="9"/>
  <c r="I230" i="9"/>
  <c r="I231" i="9"/>
  <c r="N231" i="9" s="1"/>
  <c r="O231" i="9" s="1"/>
  <c r="W231" i="9" s="1"/>
  <c r="I232" i="9"/>
  <c r="I233" i="9"/>
  <c r="I234" i="9"/>
  <c r="I235" i="9"/>
  <c r="I236" i="9"/>
  <c r="N236" i="9" s="1"/>
  <c r="O236" i="9" s="1"/>
  <c r="W236" i="9" s="1"/>
  <c r="I237" i="9"/>
  <c r="I238" i="9"/>
  <c r="I239" i="9"/>
  <c r="N239" i="9" s="1"/>
  <c r="O239" i="9" s="1"/>
  <c r="W239" i="9" s="1"/>
  <c r="I240" i="9"/>
  <c r="I241" i="9"/>
  <c r="I242" i="9"/>
  <c r="I243" i="9"/>
  <c r="I244" i="9"/>
  <c r="I245" i="9"/>
  <c r="I246" i="9"/>
  <c r="I247" i="9"/>
  <c r="N247" i="9" s="1"/>
  <c r="O247" i="9" s="1"/>
  <c r="W247" i="9" s="1"/>
  <c r="I248" i="9"/>
  <c r="I249" i="9"/>
  <c r="I250" i="9"/>
  <c r="I251" i="9"/>
  <c r="I252" i="9"/>
  <c r="N252" i="9" s="1"/>
  <c r="O252" i="9" s="1"/>
  <c r="W252" i="9" s="1"/>
  <c r="I253" i="9"/>
  <c r="I254" i="9"/>
  <c r="I255" i="9"/>
  <c r="N255" i="9" s="1"/>
  <c r="O255" i="9" s="1"/>
  <c r="W255" i="9" s="1"/>
  <c r="I256" i="9"/>
  <c r="I257" i="9"/>
  <c r="I258" i="9"/>
  <c r="I259" i="9"/>
  <c r="I260" i="9"/>
  <c r="I261" i="9"/>
  <c r="I262" i="9"/>
  <c r="I263" i="9"/>
  <c r="N263" i="9" s="1"/>
  <c r="O263" i="9" s="1"/>
  <c r="W263" i="9" s="1"/>
  <c r="I264" i="9"/>
  <c r="I265" i="9"/>
  <c r="I266" i="9"/>
  <c r="I267" i="9"/>
  <c r="I268" i="9"/>
  <c r="I269" i="9"/>
  <c r="I270" i="9"/>
  <c r="I271" i="9"/>
  <c r="N271" i="9" s="1"/>
  <c r="O271" i="9" s="1"/>
  <c r="W271" i="9" s="1"/>
  <c r="I272" i="9"/>
  <c r="I273" i="9"/>
  <c r="I274" i="9"/>
  <c r="I275" i="9"/>
  <c r="I276" i="9"/>
  <c r="I277" i="9"/>
  <c r="I278" i="9"/>
  <c r="I279" i="9"/>
  <c r="N279" i="9" s="1"/>
  <c r="O279" i="9" s="1"/>
  <c r="W279" i="9" s="1"/>
  <c r="I280" i="9"/>
  <c r="I281" i="9"/>
  <c r="I282" i="9"/>
  <c r="I283" i="9"/>
  <c r="I284" i="9"/>
  <c r="I285" i="9"/>
  <c r="I286" i="9"/>
  <c r="I287" i="9"/>
  <c r="N287" i="9" s="1"/>
  <c r="O287" i="9" s="1"/>
  <c r="W287" i="9" s="1"/>
  <c r="I288" i="9"/>
  <c r="I289" i="9"/>
  <c r="I290" i="9"/>
  <c r="I291" i="9"/>
  <c r="I292" i="9"/>
  <c r="I293" i="9"/>
  <c r="I294" i="9"/>
  <c r="I295" i="9"/>
  <c r="N295" i="9" s="1"/>
  <c r="O295" i="9" s="1"/>
  <c r="W295" i="9" s="1"/>
  <c r="I296" i="9"/>
  <c r="I297" i="9"/>
  <c r="I298" i="9"/>
  <c r="I299" i="9"/>
  <c r="I300" i="9"/>
  <c r="I301" i="9"/>
  <c r="I302" i="9"/>
  <c r="I303" i="9"/>
  <c r="N303" i="9" s="1"/>
  <c r="O303" i="9" s="1"/>
  <c r="W303" i="9" s="1"/>
  <c r="I304" i="9"/>
  <c r="I305" i="9"/>
  <c r="I306" i="9"/>
  <c r="I307" i="9"/>
  <c r="I308" i="9"/>
  <c r="I309" i="9"/>
  <c r="I310" i="9"/>
  <c r="I311" i="9"/>
  <c r="N311" i="9" s="1"/>
  <c r="O311" i="9" s="1"/>
  <c r="W311" i="9" s="1"/>
  <c r="I312" i="9"/>
  <c r="I313" i="9"/>
  <c r="I314" i="9"/>
  <c r="I315" i="9"/>
  <c r="I316" i="9"/>
  <c r="I317" i="9"/>
  <c r="I318" i="9"/>
  <c r="I319" i="9"/>
  <c r="N319" i="9" s="1"/>
  <c r="I320" i="9"/>
  <c r="I321" i="9"/>
  <c r="I322" i="9"/>
  <c r="I323" i="9"/>
  <c r="I324" i="9"/>
  <c r="N324" i="9" s="1"/>
  <c r="O324" i="9" s="1"/>
  <c r="W324" i="9" s="1"/>
  <c r="I325" i="9"/>
  <c r="I326" i="9"/>
  <c r="I327" i="9"/>
  <c r="N327" i="9" s="1"/>
  <c r="O327" i="9" s="1"/>
  <c r="W327" i="9" s="1"/>
  <c r="I328" i="9"/>
  <c r="I329" i="9"/>
  <c r="I5" i="9"/>
  <c r="N317" i="9" l="1"/>
  <c r="N316" i="9"/>
  <c r="O316" i="9" s="1"/>
  <c r="W316" i="9" s="1"/>
  <c r="S16" i="11"/>
  <c r="R16" i="11"/>
  <c r="N318" i="9"/>
  <c r="O318" i="9" s="1"/>
  <c r="W318" i="9" s="1"/>
  <c r="Q28" i="9"/>
  <c r="Q329" i="9"/>
  <c r="N191" i="9"/>
  <c r="O191" i="9" s="1"/>
  <c r="W191" i="9" s="1"/>
  <c r="N183" i="9"/>
  <c r="O183" i="9" s="1"/>
  <c r="W183" i="9" s="1"/>
  <c r="N175" i="9"/>
  <c r="O175" i="9" s="1"/>
  <c r="W175" i="9" s="1"/>
  <c r="N167" i="9"/>
  <c r="O167" i="9" s="1"/>
  <c r="W167" i="9" s="1"/>
  <c r="N159" i="9"/>
  <c r="O159" i="9" s="1"/>
  <c r="W159" i="9" s="1"/>
  <c r="N151" i="9"/>
  <c r="O151" i="9" s="1"/>
  <c r="W151" i="9" s="1"/>
  <c r="N143" i="9"/>
  <c r="O143" i="9" s="1"/>
  <c r="W143" i="9" s="1"/>
  <c r="N135" i="9"/>
  <c r="O135" i="9" s="1"/>
  <c r="W135" i="9" s="1"/>
  <c r="N127" i="9"/>
  <c r="O127" i="9" s="1"/>
  <c r="W127" i="9" s="1"/>
  <c r="N119" i="9"/>
  <c r="O119" i="9" s="1"/>
  <c r="W119" i="9" s="1"/>
  <c r="N111" i="9"/>
  <c r="O111" i="9" s="1"/>
  <c r="W111" i="9" s="1"/>
  <c r="N103" i="9"/>
  <c r="O103" i="9" s="1"/>
  <c r="W103" i="9" s="1"/>
  <c r="N95" i="9"/>
  <c r="O95" i="9" s="1"/>
  <c r="W95" i="9" s="1"/>
  <c r="N87" i="9"/>
  <c r="O87" i="9" s="1"/>
  <c r="W87" i="9" s="1"/>
  <c r="N79" i="9"/>
  <c r="O79" i="9" s="1"/>
  <c r="W79" i="9" s="1"/>
  <c r="N71" i="9"/>
  <c r="O71" i="9" s="1"/>
  <c r="W71" i="9" s="1"/>
  <c r="N63" i="9"/>
  <c r="O63" i="9" s="1"/>
  <c r="W63" i="9" s="1"/>
  <c r="N55" i="9"/>
  <c r="O55" i="9" s="1"/>
  <c r="W55" i="9" s="1"/>
  <c r="N47" i="9"/>
  <c r="O47" i="9" s="1"/>
  <c r="W47" i="9" s="1"/>
  <c r="N39" i="9"/>
  <c r="O39" i="9" s="1"/>
  <c r="W39" i="9" s="1"/>
  <c r="N31" i="9"/>
  <c r="O31" i="9" s="1"/>
  <c r="W31" i="9" s="1"/>
  <c r="N23" i="9"/>
  <c r="O23" i="9" s="1"/>
  <c r="W23" i="9" s="1"/>
  <c r="Q318" i="9"/>
  <c r="E10" i="10"/>
  <c r="N328" i="9"/>
  <c r="O328" i="9" s="1"/>
  <c r="W328" i="9" s="1"/>
  <c r="N312" i="9"/>
  <c r="O312" i="9" s="1"/>
  <c r="W312" i="9" s="1"/>
  <c r="N304" i="9"/>
  <c r="O304" i="9" s="1"/>
  <c r="W304" i="9" s="1"/>
  <c r="N288" i="9"/>
  <c r="O288" i="9" s="1"/>
  <c r="W288" i="9" s="1"/>
  <c r="N272" i="9"/>
  <c r="O272" i="9" s="1"/>
  <c r="W272" i="9" s="1"/>
  <c r="N256" i="9"/>
  <c r="O256" i="9" s="1"/>
  <c r="W256" i="9" s="1"/>
  <c r="N240" i="9"/>
  <c r="O240" i="9" s="1"/>
  <c r="W240" i="9" s="1"/>
  <c r="N320" i="9"/>
  <c r="O320" i="9" s="1"/>
  <c r="W320" i="9" s="1"/>
  <c r="N296" i="9"/>
  <c r="O296" i="9" s="1"/>
  <c r="W296" i="9" s="1"/>
  <c r="N280" i="9"/>
  <c r="O280" i="9" s="1"/>
  <c r="W280" i="9" s="1"/>
  <c r="N264" i="9"/>
  <c r="O264" i="9" s="1"/>
  <c r="W264" i="9" s="1"/>
  <c r="N248" i="9"/>
  <c r="O248" i="9" s="1"/>
  <c r="W248" i="9" s="1"/>
  <c r="N15" i="9"/>
  <c r="D5" i="10"/>
  <c r="N7" i="9"/>
  <c r="D7" i="10"/>
  <c r="E9" i="10"/>
  <c r="F11" i="10"/>
  <c r="H10" i="10"/>
  <c r="H6" i="10"/>
  <c r="Q5" i="9"/>
  <c r="O319" i="9"/>
  <c r="T319" i="9" s="1"/>
  <c r="E8" i="10"/>
  <c r="E13" i="10"/>
  <c r="F12" i="10"/>
  <c r="G9" i="10"/>
  <c r="H11" i="10"/>
  <c r="Q328" i="9"/>
  <c r="F5" i="10"/>
  <c r="F7" i="10"/>
  <c r="G8" i="10"/>
  <c r="G13" i="10"/>
  <c r="H12" i="10"/>
  <c r="E6" i="10"/>
  <c r="N12" i="9"/>
  <c r="D9" i="10"/>
  <c r="E11" i="10"/>
  <c r="G6" i="10"/>
  <c r="H5" i="10"/>
  <c r="H7" i="10"/>
  <c r="Q294" i="9"/>
  <c r="D8" i="10"/>
  <c r="D13" i="10"/>
  <c r="E12" i="10"/>
  <c r="G11" i="10"/>
  <c r="Q288" i="9"/>
  <c r="D6" i="10"/>
  <c r="E5" i="10"/>
  <c r="E7" i="10"/>
  <c r="F9" i="10"/>
  <c r="G12" i="10"/>
  <c r="G10" i="10"/>
  <c r="Q229" i="9"/>
  <c r="D10" i="10"/>
  <c r="D11" i="10"/>
  <c r="F8" i="10"/>
  <c r="F13" i="10"/>
  <c r="G5" i="10"/>
  <c r="G7" i="10"/>
  <c r="H9" i="10"/>
  <c r="Q111" i="9"/>
  <c r="D12" i="10"/>
  <c r="F10" i="10"/>
  <c r="F6" i="10"/>
  <c r="H8" i="10"/>
  <c r="H13" i="10"/>
  <c r="Q97" i="9"/>
  <c r="Q326" i="9"/>
  <c r="Q286" i="9"/>
  <c r="Q49" i="9"/>
  <c r="Q319" i="9"/>
  <c r="Q245" i="9"/>
  <c r="Q315" i="9"/>
  <c r="Q222" i="9"/>
  <c r="Q312" i="9"/>
  <c r="Q197" i="9"/>
  <c r="N232" i="9"/>
  <c r="O232" i="9" s="1"/>
  <c r="W232" i="9" s="1"/>
  <c r="N224" i="9"/>
  <c r="O224" i="9" s="1"/>
  <c r="W224" i="9" s="1"/>
  <c r="N216" i="9"/>
  <c r="O216" i="9" s="1"/>
  <c r="W216" i="9" s="1"/>
  <c r="N208" i="9"/>
  <c r="O208" i="9" s="1"/>
  <c r="W208" i="9" s="1"/>
  <c r="N200" i="9"/>
  <c r="O200" i="9" s="1"/>
  <c r="W200" i="9" s="1"/>
  <c r="N192" i="9"/>
  <c r="O192" i="9" s="1"/>
  <c r="W192" i="9" s="1"/>
  <c r="N184" i="9"/>
  <c r="O184" i="9" s="1"/>
  <c r="W184" i="9" s="1"/>
  <c r="N176" i="9"/>
  <c r="O176" i="9" s="1"/>
  <c r="W176" i="9" s="1"/>
  <c r="N168" i="9"/>
  <c r="O168" i="9" s="1"/>
  <c r="W168" i="9" s="1"/>
  <c r="N160" i="9"/>
  <c r="O160" i="9" s="1"/>
  <c r="W160" i="9" s="1"/>
  <c r="N152" i="9"/>
  <c r="O152" i="9" s="1"/>
  <c r="W152" i="9" s="1"/>
  <c r="N144" i="9"/>
  <c r="O144" i="9" s="1"/>
  <c r="W144" i="9" s="1"/>
  <c r="N136" i="9"/>
  <c r="O136" i="9" s="1"/>
  <c r="W136" i="9" s="1"/>
  <c r="N128" i="9"/>
  <c r="O128" i="9" s="1"/>
  <c r="W128" i="9" s="1"/>
  <c r="N120" i="9"/>
  <c r="O120" i="9" s="1"/>
  <c r="W120" i="9" s="1"/>
  <c r="N112" i="9"/>
  <c r="O112" i="9" s="1"/>
  <c r="W112" i="9" s="1"/>
  <c r="N104" i="9"/>
  <c r="O104" i="9" s="1"/>
  <c r="W104" i="9" s="1"/>
  <c r="N96" i="9"/>
  <c r="O96" i="9" s="1"/>
  <c r="W96" i="9" s="1"/>
  <c r="N88" i="9"/>
  <c r="O88" i="9" s="1"/>
  <c r="W88" i="9" s="1"/>
  <c r="N80" i="9"/>
  <c r="O80" i="9" s="1"/>
  <c r="W80" i="9" s="1"/>
  <c r="N72" i="9"/>
  <c r="O72" i="9" s="1"/>
  <c r="W72" i="9" s="1"/>
  <c r="N64" i="9"/>
  <c r="O64" i="9" s="1"/>
  <c r="W64" i="9" s="1"/>
  <c r="N56" i="9"/>
  <c r="O56" i="9" s="1"/>
  <c r="W56" i="9" s="1"/>
  <c r="N48" i="9"/>
  <c r="O48" i="9" s="1"/>
  <c r="W48" i="9" s="1"/>
  <c r="N40" i="9"/>
  <c r="O40" i="9" s="1"/>
  <c r="W40" i="9" s="1"/>
  <c r="N32" i="9"/>
  <c r="O32" i="9" s="1"/>
  <c r="W32" i="9" s="1"/>
  <c r="N24" i="9"/>
  <c r="O24" i="9" s="1"/>
  <c r="W24" i="9" s="1"/>
  <c r="N16" i="9"/>
  <c r="O16" i="9" s="1"/>
  <c r="W16" i="9" s="1"/>
  <c r="N8" i="9"/>
  <c r="Q301" i="9"/>
  <c r="Q143" i="9"/>
  <c r="N270" i="9"/>
  <c r="O270" i="9" s="1"/>
  <c r="W270" i="9" s="1"/>
  <c r="N214" i="9"/>
  <c r="O214" i="9" s="1"/>
  <c r="W214" i="9" s="1"/>
  <c r="N206" i="9"/>
  <c r="O206" i="9" s="1"/>
  <c r="W206" i="9" s="1"/>
  <c r="N182" i="9"/>
  <c r="O182" i="9" s="1"/>
  <c r="W182" i="9" s="1"/>
  <c r="N150" i="9"/>
  <c r="O150" i="9" s="1"/>
  <c r="W150" i="9" s="1"/>
  <c r="N118" i="9"/>
  <c r="O118" i="9" s="1"/>
  <c r="W118" i="9" s="1"/>
  <c r="N110" i="9"/>
  <c r="O110" i="9" s="1"/>
  <c r="W110" i="9" s="1"/>
  <c r="N86" i="9"/>
  <c r="O86" i="9" s="1"/>
  <c r="W86" i="9" s="1"/>
  <c r="N78" i="9"/>
  <c r="O78" i="9" s="1"/>
  <c r="W78" i="9" s="1"/>
  <c r="N38" i="9"/>
  <c r="O38" i="9" s="1"/>
  <c r="W38" i="9" s="1"/>
  <c r="N227" i="9"/>
  <c r="O227" i="9" s="1"/>
  <c r="W227" i="9" s="1"/>
  <c r="N291" i="9"/>
  <c r="O291" i="9" s="1"/>
  <c r="W291" i="9" s="1"/>
  <c r="N322" i="9"/>
  <c r="O322" i="9" s="1"/>
  <c r="W322" i="9" s="1"/>
  <c r="N314" i="9"/>
  <c r="O314" i="9" s="1"/>
  <c r="W314" i="9" s="1"/>
  <c r="N306" i="9"/>
  <c r="O306" i="9" s="1"/>
  <c r="W306" i="9" s="1"/>
  <c r="N298" i="9"/>
  <c r="O298" i="9" s="1"/>
  <c r="W298" i="9" s="1"/>
  <c r="N290" i="9"/>
  <c r="O290" i="9" s="1"/>
  <c r="W290" i="9" s="1"/>
  <c r="N282" i="9"/>
  <c r="O282" i="9" s="1"/>
  <c r="W282" i="9" s="1"/>
  <c r="N274" i="9"/>
  <c r="O274" i="9" s="1"/>
  <c r="W274" i="9" s="1"/>
  <c r="N266" i="9"/>
  <c r="O266" i="9" s="1"/>
  <c r="W266" i="9" s="1"/>
  <c r="N258" i="9"/>
  <c r="O258" i="9" s="1"/>
  <c r="W258" i="9" s="1"/>
  <c r="N250" i="9"/>
  <c r="O250" i="9" s="1"/>
  <c r="W250" i="9" s="1"/>
  <c r="N242" i="9"/>
  <c r="O242" i="9" s="1"/>
  <c r="W242" i="9" s="1"/>
  <c r="N234" i="9"/>
  <c r="O234" i="9" s="1"/>
  <c r="W234" i="9" s="1"/>
  <c r="N226" i="9"/>
  <c r="O226" i="9" s="1"/>
  <c r="W226" i="9" s="1"/>
  <c r="N218" i="9"/>
  <c r="O218" i="9" s="1"/>
  <c r="W218" i="9" s="1"/>
  <c r="N210" i="9"/>
  <c r="O210" i="9" s="1"/>
  <c r="W210" i="9" s="1"/>
  <c r="N202" i="9"/>
  <c r="O202" i="9" s="1"/>
  <c r="W202" i="9" s="1"/>
  <c r="N194" i="9"/>
  <c r="O194" i="9" s="1"/>
  <c r="W194" i="9" s="1"/>
  <c r="N186" i="9"/>
  <c r="O186" i="9" s="1"/>
  <c r="W186" i="9" s="1"/>
  <c r="N178" i="9"/>
  <c r="O178" i="9" s="1"/>
  <c r="W178" i="9" s="1"/>
  <c r="N170" i="9"/>
  <c r="O170" i="9" s="1"/>
  <c r="W170" i="9" s="1"/>
  <c r="N162" i="9"/>
  <c r="O162" i="9" s="1"/>
  <c r="W162" i="9" s="1"/>
  <c r="N154" i="9"/>
  <c r="O154" i="9" s="1"/>
  <c r="W154" i="9" s="1"/>
  <c r="N146" i="9"/>
  <c r="O146" i="9" s="1"/>
  <c r="W146" i="9" s="1"/>
  <c r="N138" i="9"/>
  <c r="O138" i="9" s="1"/>
  <c r="W138" i="9" s="1"/>
  <c r="N130" i="9"/>
  <c r="O130" i="9" s="1"/>
  <c r="W130" i="9" s="1"/>
  <c r="N122" i="9"/>
  <c r="O122" i="9" s="1"/>
  <c r="W122" i="9" s="1"/>
  <c r="N114" i="9"/>
  <c r="O114" i="9" s="1"/>
  <c r="W114" i="9" s="1"/>
  <c r="Q325" i="9"/>
  <c r="Q306" i="9"/>
  <c r="Q270" i="9"/>
  <c r="Q179" i="9"/>
  <c r="R294" i="9"/>
  <c r="N106" i="9"/>
  <c r="O106" i="9" s="1"/>
  <c r="W106" i="9" s="1"/>
  <c r="N98" i="9"/>
  <c r="O98" i="9" s="1"/>
  <c r="W98" i="9" s="1"/>
  <c r="N90" i="9"/>
  <c r="O90" i="9" s="1"/>
  <c r="W90" i="9" s="1"/>
  <c r="N82" i="9"/>
  <c r="O82" i="9" s="1"/>
  <c r="W82" i="9" s="1"/>
  <c r="N74" i="9"/>
  <c r="O74" i="9" s="1"/>
  <c r="W74" i="9" s="1"/>
  <c r="N66" i="9"/>
  <c r="O66" i="9" s="1"/>
  <c r="W66" i="9" s="1"/>
  <c r="N58" i="9"/>
  <c r="O58" i="9" s="1"/>
  <c r="W58" i="9" s="1"/>
  <c r="N50" i="9"/>
  <c r="O50" i="9" s="1"/>
  <c r="W50" i="9" s="1"/>
  <c r="N42" i="9"/>
  <c r="O42" i="9" s="1"/>
  <c r="W42" i="9" s="1"/>
  <c r="N34" i="9"/>
  <c r="O34" i="9" s="1"/>
  <c r="W34" i="9" s="1"/>
  <c r="N26" i="9"/>
  <c r="O26" i="9" s="1"/>
  <c r="W26" i="9" s="1"/>
  <c r="N18" i="9"/>
  <c r="O18" i="9" s="1"/>
  <c r="W18" i="9" s="1"/>
  <c r="N10" i="9"/>
  <c r="Q323" i="9"/>
  <c r="Q303" i="9"/>
  <c r="Q263" i="9"/>
  <c r="Q176" i="9"/>
  <c r="Q320" i="9"/>
  <c r="Q302" i="9"/>
  <c r="Q247" i="9"/>
  <c r="Q153" i="9"/>
  <c r="Q327" i="9"/>
  <c r="Q314" i="9"/>
  <c r="Q287" i="9"/>
  <c r="Q205" i="9"/>
  <c r="Q65" i="9"/>
  <c r="N329" i="9"/>
  <c r="N321" i="9"/>
  <c r="O321" i="9" s="1"/>
  <c r="W321" i="9" s="1"/>
  <c r="N313" i="9"/>
  <c r="O313" i="9" s="1"/>
  <c r="W313" i="9" s="1"/>
  <c r="N305" i="9"/>
  <c r="O305" i="9" s="1"/>
  <c r="W305" i="9" s="1"/>
  <c r="N297" i="9"/>
  <c r="O297" i="9" s="1"/>
  <c r="W297" i="9" s="1"/>
  <c r="N289" i="9"/>
  <c r="O289" i="9" s="1"/>
  <c r="W289" i="9" s="1"/>
  <c r="N281" i="9"/>
  <c r="O281" i="9" s="1"/>
  <c r="W281" i="9" s="1"/>
  <c r="N273" i="9"/>
  <c r="O273" i="9" s="1"/>
  <c r="N265" i="9"/>
  <c r="O265" i="9" s="1"/>
  <c r="W265" i="9" s="1"/>
  <c r="N257" i="9"/>
  <c r="O257" i="9" s="1"/>
  <c r="W257" i="9" s="1"/>
  <c r="N249" i="9"/>
  <c r="O249" i="9" s="1"/>
  <c r="W249" i="9" s="1"/>
  <c r="N241" i="9"/>
  <c r="O241" i="9" s="1"/>
  <c r="W241" i="9" s="1"/>
  <c r="N233" i="9"/>
  <c r="O233" i="9" s="1"/>
  <c r="W233" i="9" s="1"/>
  <c r="N225" i="9"/>
  <c r="O225" i="9" s="1"/>
  <c r="W225" i="9" s="1"/>
  <c r="N217" i="9"/>
  <c r="O217" i="9" s="1"/>
  <c r="W217" i="9" s="1"/>
  <c r="N209" i="9"/>
  <c r="O209" i="9" s="1"/>
  <c r="N193" i="9"/>
  <c r="O193" i="9" s="1"/>
  <c r="W193" i="9" s="1"/>
  <c r="N185" i="9"/>
  <c r="O185" i="9" s="1"/>
  <c r="W185" i="9" s="1"/>
  <c r="N177" i="9"/>
  <c r="O177" i="9" s="1"/>
  <c r="W177" i="9" s="1"/>
  <c r="N169" i="9"/>
  <c r="O169" i="9" s="1"/>
  <c r="W169" i="9" s="1"/>
  <c r="N161" i="9"/>
  <c r="O161" i="9" s="1"/>
  <c r="W161" i="9" s="1"/>
  <c r="N153" i="9"/>
  <c r="O153" i="9" s="1"/>
  <c r="W153" i="9" s="1"/>
  <c r="N145" i="9"/>
  <c r="O145" i="9" s="1"/>
  <c r="W145" i="9" s="1"/>
  <c r="N137" i="9"/>
  <c r="O137" i="9" s="1"/>
  <c r="N129" i="9"/>
  <c r="O129" i="9" s="1"/>
  <c r="W129" i="9" s="1"/>
  <c r="N121" i="9"/>
  <c r="O121" i="9" s="1"/>
  <c r="W121" i="9" s="1"/>
  <c r="N113" i="9"/>
  <c r="O113" i="9" s="1"/>
  <c r="W113" i="9" s="1"/>
  <c r="N105" i="9"/>
  <c r="O105" i="9" s="1"/>
  <c r="W105" i="9" s="1"/>
  <c r="N97" i="9"/>
  <c r="O97" i="9" s="1"/>
  <c r="W97" i="9" s="1"/>
  <c r="N89" i="9"/>
  <c r="O89" i="9" s="1"/>
  <c r="W89" i="9" s="1"/>
  <c r="N81" i="9"/>
  <c r="O81" i="9" s="1"/>
  <c r="W81" i="9" s="1"/>
  <c r="N73" i="9"/>
  <c r="O73" i="9" s="1"/>
  <c r="N65" i="9"/>
  <c r="O65" i="9" s="1"/>
  <c r="W65" i="9" s="1"/>
  <c r="N57" i="9"/>
  <c r="O57" i="9" s="1"/>
  <c r="W57" i="9" s="1"/>
  <c r="N49" i="9"/>
  <c r="O49" i="9" s="1"/>
  <c r="W49" i="9" s="1"/>
  <c r="N41" i="9"/>
  <c r="O41" i="9" s="1"/>
  <c r="W41" i="9" s="1"/>
  <c r="N33" i="9"/>
  <c r="O33" i="9" s="1"/>
  <c r="W33" i="9" s="1"/>
  <c r="N25" i="9"/>
  <c r="O25" i="9" s="1"/>
  <c r="W25" i="9" s="1"/>
  <c r="N17" i="9"/>
  <c r="O17" i="9" s="1"/>
  <c r="W17" i="9" s="1"/>
  <c r="N9" i="9"/>
  <c r="N201" i="9"/>
  <c r="O201" i="9" s="1"/>
  <c r="W201" i="9" s="1"/>
  <c r="Q269" i="9"/>
  <c r="Q246" i="9"/>
  <c r="Q223" i="9"/>
  <c r="Q204" i="9"/>
  <c r="Q177" i="9"/>
  <c r="Q144" i="9"/>
  <c r="Q109" i="9"/>
  <c r="Q63" i="9"/>
  <c r="R316" i="9"/>
  <c r="Q322" i="9"/>
  <c r="Q311" i="9"/>
  <c r="Q298" i="9"/>
  <c r="Q285" i="9"/>
  <c r="Q262" i="9"/>
  <c r="Q239" i="9"/>
  <c r="Q221" i="9"/>
  <c r="Q196" i="9"/>
  <c r="Q169" i="9"/>
  <c r="Q141" i="9"/>
  <c r="Q95" i="9"/>
  <c r="Q47" i="9"/>
  <c r="R230" i="9"/>
  <c r="N325" i="9"/>
  <c r="O325" i="9" s="1"/>
  <c r="O317" i="9"/>
  <c r="W317" i="9" s="1"/>
  <c r="N309" i="9"/>
  <c r="O309" i="9" s="1"/>
  <c r="W309" i="9" s="1"/>
  <c r="N301" i="9"/>
  <c r="O301" i="9" s="1"/>
  <c r="W301" i="9" s="1"/>
  <c r="N293" i="9"/>
  <c r="O293" i="9" s="1"/>
  <c r="W293" i="9" s="1"/>
  <c r="N285" i="9"/>
  <c r="O285" i="9" s="1"/>
  <c r="W285" i="9" s="1"/>
  <c r="N277" i="9"/>
  <c r="O277" i="9" s="1"/>
  <c r="W277" i="9" s="1"/>
  <c r="N269" i="9"/>
  <c r="O269" i="9" s="1"/>
  <c r="W269" i="9" s="1"/>
  <c r="N261" i="9"/>
  <c r="O261" i="9" s="1"/>
  <c r="N253" i="9"/>
  <c r="O253" i="9" s="1"/>
  <c r="W253" i="9" s="1"/>
  <c r="N245" i="9"/>
  <c r="O245" i="9" s="1"/>
  <c r="W245" i="9" s="1"/>
  <c r="N237" i="9"/>
  <c r="O237" i="9" s="1"/>
  <c r="W237" i="9" s="1"/>
  <c r="N229" i="9"/>
  <c r="O229" i="9" s="1"/>
  <c r="W229" i="9" s="1"/>
  <c r="N221" i="9"/>
  <c r="O221" i="9" s="1"/>
  <c r="W221" i="9" s="1"/>
  <c r="N213" i="9"/>
  <c r="O213" i="9" s="1"/>
  <c r="W213" i="9" s="1"/>
  <c r="N205" i="9"/>
  <c r="O205" i="9" s="1"/>
  <c r="W205" i="9" s="1"/>
  <c r="N197" i="9"/>
  <c r="O197" i="9" s="1"/>
  <c r="N189" i="9"/>
  <c r="O189" i="9" s="1"/>
  <c r="W189" i="9" s="1"/>
  <c r="N181" i="9"/>
  <c r="O181" i="9" s="1"/>
  <c r="W181" i="9" s="1"/>
  <c r="N173" i="9"/>
  <c r="O173" i="9" s="1"/>
  <c r="W173" i="9" s="1"/>
  <c r="N165" i="9"/>
  <c r="O165" i="9" s="1"/>
  <c r="W165" i="9" s="1"/>
  <c r="N157" i="9"/>
  <c r="O157" i="9" s="1"/>
  <c r="W157" i="9" s="1"/>
  <c r="N149" i="9"/>
  <c r="O149" i="9" s="1"/>
  <c r="W149" i="9" s="1"/>
  <c r="N141" i="9"/>
  <c r="O141" i="9" s="1"/>
  <c r="W141" i="9" s="1"/>
  <c r="N133" i="9"/>
  <c r="O133" i="9" s="1"/>
  <c r="N125" i="9"/>
  <c r="O125" i="9" s="1"/>
  <c r="W125" i="9" s="1"/>
  <c r="N117" i="9"/>
  <c r="O117" i="9" s="1"/>
  <c r="W117" i="9" s="1"/>
  <c r="N109" i="9"/>
  <c r="O109" i="9" s="1"/>
  <c r="W109" i="9" s="1"/>
  <c r="N101" i="9"/>
  <c r="O101" i="9" s="1"/>
  <c r="W101" i="9" s="1"/>
  <c r="N93" i="9"/>
  <c r="O93" i="9" s="1"/>
  <c r="W93" i="9" s="1"/>
  <c r="N85" i="9"/>
  <c r="O85" i="9" s="1"/>
  <c r="W85" i="9" s="1"/>
  <c r="N77" i="9"/>
  <c r="O77" i="9" s="1"/>
  <c r="W77" i="9" s="1"/>
  <c r="N69" i="9"/>
  <c r="O69" i="9" s="1"/>
  <c r="N61" i="9"/>
  <c r="O61" i="9" s="1"/>
  <c r="W61" i="9" s="1"/>
  <c r="N53" i="9"/>
  <c r="O53" i="9" s="1"/>
  <c r="W53" i="9" s="1"/>
  <c r="N45" i="9"/>
  <c r="O45" i="9" s="1"/>
  <c r="W45" i="9" s="1"/>
  <c r="N37" i="9"/>
  <c r="O37" i="9" s="1"/>
  <c r="W37" i="9" s="1"/>
  <c r="N29" i="9"/>
  <c r="O29" i="9" s="1"/>
  <c r="W29" i="9" s="1"/>
  <c r="N21" i="9"/>
  <c r="O21" i="9" s="1"/>
  <c r="W21" i="9" s="1"/>
  <c r="N13" i="9"/>
  <c r="O13" i="9" s="1"/>
  <c r="W13" i="9" s="1"/>
  <c r="Q310" i="9"/>
  <c r="Q296" i="9"/>
  <c r="Q279" i="9"/>
  <c r="Q261" i="9"/>
  <c r="Q238" i="9"/>
  <c r="Q215" i="9"/>
  <c r="Q195" i="9"/>
  <c r="Q168" i="9"/>
  <c r="Q129" i="9"/>
  <c r="Q93" i="9"/>
  <c r="Q31" i="9"/>
  <c r="R206" i="9"/>
  <c r="Q309" i="9"/>
  <c r="Q295" i="9"/>
  <c r="Q278" i="9"/>
  <c r="Q255" i="9"/>
  <c r="Q237" i="9"/>
  <c r="Q214" i="9"/>
  <c r="Q188" i="9"/>
  <c r="Q167" i="9"/>
  <c r="Q127" i="9"/>
  <c r="Q81" i="9"/>
  <c r="Q29" i="9"/>
  <c r="R30" i="9"/>
  <c r="N323" i="9"/>
  <c r="O323" i="9" s="1"/>
  <c r="N315" i="9"/>
  <c r="N307" i="9"/>
  <c r="O307" i="9" s="1"/>
  <c r="W307" i="9" s="1"/>
  <c r="N299" i="9"/>
  <c r="O299" i="9" s="1"/>
  <c r="W299" i="9" s="1"/>
  <c r="N283" i="9"/>
  <c r="O283" i="9" s="1"/>
  <c r="W283" i="9" s="1"/>
  <c r="N275" i="9"/>
  <c r="O275" i="9" s="1"/>
  <c r="W275" i="9" s="1"/>
  <c r="N267" i="9"/>
  <c r="O267" i="9" s="1"/>
  <c r="W267" i="9" s="1"/>
  <c r="N259" i="9"/>
  <c r="O259" i="9" s="1"/>
  <c r="W259" i="9" s="1"/>
  <c r="N251" i="9"/>
  <c r="O251" i="9" s="1"/>
  <c r="N243" i="9"/>
  <c r="O243" i="9" s="1"/>
  <c r="W243" i="9" s="1"/>
  <c r="N235" i="9"/>
  <c r="O235" i="9" s="1"/>
  <c r="W235" i="9" s="1"/>
  <c r="N219" i="9"/>
  <c r="O219" i="9" s="1"/>
  <c r="W219" i="9" s="1"/>
  <c r="N211" i="9"/>
  <c r="O211" i="9" s="1"/>
  <c r="W211" i="9" s="1"/>
  <c r="N203" i="9"/>
  <c r="O203" i="9" s="1"/>
  <c r="W203" i="9" s="1"/>
  <c r="N195" i="9"/>
  <c r="O195" i="9" s="1"/>
  <c r="W195" i="9" s="1"/>
  <c r="N187" i="9"/>
  <c r="O187" i="9" s="1"/>
  <c r="W187" i="9" s="1"/>
  <c r="N179" i="9"/>
  <c r="O179" i="9" s="1"/>
  <c r="N171" i="9"/>
  <c r="O171" i="9" s="1"/>
  <c r="W171" i="9" s="1"/>
  <c r="N163" i="9"/>
  <c r="O163" i="9" s="1"/>
  <c r="W163" i="9" s="1"/>
  <c r="N155" i="9"/>
  <c r="O155" i="9" s="1"/>
  <c r="W155" i="9" s="1"/>
  <c r="N147" i="9"/>
  <c r="O147" i="9" s="1"/>
  <c r="W147" i="9" s="1"/>
  <c r="N139" i="9"/>
  <c r="O139" i="9" s="1"/>
  <c r="W139" i="9" s="1"/>
  <c r="N123" i="9"/>
  <c r="O123" i="9" s="1"/>
  <c r="W123" i="9" s="1"/>
  <c r="N115" i="9"/>
  <c r="O115" i="9" s="1"/>
  <c r="W115" i="9" s="1"/>
  <c r="N107" i="9"/>
  <c r="O107" i="9" s="1"/>
  <c r="W107" i="9" s="1"/>
  <c r="N91" i="9"/>
  <c r="O91" i="9" s="1"/>
  <c r="W91" i="9" s="1"/>
  <c r="N83" i="9"/>
  <c r="O83" i="9" s="1"/>
  <c r="W83" i="9" s="1"/>
  <c r="N75" i="9"/>
  <c r="O75" i="9" s="1"/>
  <c r="W75" i="9" s="1"/>
  <c r="N67" i="9"/>
  <c r="O67" i="9" s="1"/>
  <c r="W67" i="9" s="1"/>
  <c r="N59" i="9"/>
  <c r="O59" i="9" s="1"/>
  <c r="W59" i="9" s="1"/>
  <c r="N51" i="9"/>
  <c r="O51" i="9" s="1"/>
  <c r="W51" i="9" s="1"/>
  <c r="N43" i="9"/>
  <c r="O43" i="9" s="1"/>
  <c r="W43" i="9" s="1"/>
  <c r="N35" i="9"/>
  <c r="O35" i="9" s="1"/>
  <c r="N27" i="9"/>
  <c r="O27" i="9" s="1"/>
  <c r="W27" i="9" s="1"/>
  <c r="N19" i="9"/>
  <c r="N11" i="9"/>
  <c r="Q277" i="9"/>
  <c r="Q254" i="9"/>
  <c r="Q231" i="9"/>
  <c r="Q213" i="9"/>
  <c r="Q187" i="9"/>
  <c r="Q157" i="9"/>
  <c r="Q125" i="9"/>
  <c r="Q79" i="9"/>
  <c r="Q12" i="9"/>
  <c r="N300" i="9"/>
  <c r="O300" i="9" s="1"/>
  <c r="W300" i="9" s="1"/>
  <c r="T328" i="9"/>
  <c r="T320" i="9"/>
  <c r="T312" i="9"/>
  <c r="T304" i="9"/>
  <c r="T296" i="9"/>
  <c r="T280" i="9"/>
  <c r="T264" i="9"/>
  <c r="T256" i="9"/>
  <c r="T248" i="9"/>
  <c r="T56" i="9"/>
  <c r="N326" i="9"/>
  <c r="O326" i="9" s="1"/>
  <c r="W326" i="9" s="1"/>
  <c r="N254" i="9"/>
  <c r="O254" i="9" s="1"/>
  <c r="W254" i="9" s="1"/>
  <c r="N174" i="9"/>
  <c r="O174" i="9" s="1"/>
  <c r="N142" i="9"/>
  <c r="O142" i="9" s="1"/>
  <c r="W142" i="9" s="1"/>
  <c r="N54" i="9"/>
  <c r="O54" i="9" s="1"/>
  <c r="W54" i="9" s="1"/>
  <c r="Q317" i="9"/>
  <c r="Q304" i="9"/>
  <c r="Q293" i="9"/>
  <c r="S293" i="9" s="1"/>
  <c r="Q271" i="9"/>
  <c r="Q253" i="9"/>
  <c r="Q230" i="9"/>
  <c r="Q206" i="9"/>
  <c r="S206" i="9" s="1"/>
  <c r="Q185" i="9"/>
  <c r="Q156" i="9"/>
  <c r="Q113" i="9"/>
  <c r="Q77" i="9"/>
  <c r="Q7" i="9"/>
  <c r="T288" i="9"/>
  <c r="T272" i="9"/>
  <c r="T184" i="9"/>
  <c r="T120" i="9"/>
  <c r="T318" i="9"/>
  <c r="T309" i="9"/>
  <c r="N310" i="9"/>
  <c r="O310" i="9" s="1"/>
  <c r="N302" i="9"/>
  <c r="O302" i="9" s="1"/>
  <c r="N294" i="9"/>
  <c r="O294" i="9" s="1"/>
  <c r="N286" i="9"/>
  <c r="O286" i="9" s="1"/>
  <c r="N278" i="9"/>
  <c r="O278" i="9" s="1"/>
  <c r="W278" i="9" s="1"/>
  <c r="N262" i="9"/>
  <c r="O262" i="9" s="1"/>
  <c r="N246" i="9"/>
  <c r="O246" i="9" s="1"/>
  <c r="W246" i="9" s="1"/>
  <c r="N238" i="9"/>
  <c r="O238" i="9" s="1"/>
  <c r="W238" i="9" s="1"/>
  <c r="N230" i="9"/>
  <c r="O230" i="9" s="1"/>
  <c r="N222" i="9"/>
  <c r="O222" i="9" s="1"/>
  <c r="N198" i="9"/>
  <c r="O198" i="9" s="1"/>
  <c r="W198" i="9" s="1"/>
  <c r="N190" i="9"/>
  <c r="O190" i="9" s="1"/>
  <c r="N166" i="9"/>
  <c r="O166" i="9" s="1"/>
  <c r="N158" i="9"/>
  <c r="O158" i="9" s="1"/>
  <c r="N134" i="9"/>
  <c r="O134" i="9" s="1"/>
  <c r="W134" i="9" s="1"/>
  <c r="N126" i="9"/>
  <c r="O126" i="9" s="1"/>
  <c r="W126" i="9" s="1"/>
  <c r="N102" i="9"/>
  <c r="O102" i="9" s="1"/>
  <c r="N94" i="9"/>
  <c r="O94" i="9" s="1"/>
  <c r="N70" i="9"/>
  <c r="O70" i="9" s="1"/>
  <c r="W70" i="9" s="1"/>
  <c r="N62" i="9"/>
  <c r="O62" i="9" s="1"/>
  <c r="N46" i="9"/>
  <c r="O46" i="9" s="1"/>
  <c r="N30" i="9"/>
  <c r="O30" i="9" s="1"/>
  <c r="N22" i="9"/>
  <c r="O22" i="9" s="1"/>
  <c r="W22" i="9" s="1"/>
  <c r="N14" i="9"/>
  <c r="O14" i="9" s="1"/>
  <c r="W14" i="9" s="1"/>
  <c r="N6" i="9"/>
  <c r="O6" i="9" s="1"/>
  <c r="T324" i="9"/>
  <c r="T316" i="9"/>
  <c r="J330" i="9"/>
  <c r="N308" i="9"/>
  <c r="O308" i="9" s="1"/>
  <c r="N292" i="9"/>
  <c r="O292" i="9" s="1"/>
  <c r="N284" i="9"/>
  <c r="O284" i="9" s="1"/>
  <c r="N276" i="9"/>
  <c r="O276" i="9" s="1"/>
  <c r="W276" i="9" s="1"/>
  <c r="N268" i="9"/>
  <c r="O268" i="9" s="1"/>
  <c r="W268" i="9" s="1"/>
  <c r="N260" i="9"/>
  <c r="O260" i="9" s="1"/>
  <c r="N244" i="9"/>
  <c r="O244" i="9" s="1"/>
  <c r="W244" i="9" s="1"/>
  <c r="N228" i="9"/>
  <c r="O228" i="9" s="1"/>
  <c r="W228" i="9" s="1"/>
  <c r="N220" i="9"/>
  <c r="O220" i="9" s="1"/>
  <c r="N212" i="9"/>
  <c r="O212" i="9" s="1"/>
  <c r="N204" i="9"/>
  <c r="O204" i="9" s="1"/>
  <c r="N196" i="9"/>
  <c r="O196" i="9" s="1"/>
  <c r="W196" i="9" s="1"/>
  <c r="N188" i="9"/>
  <c r="O188" i="9" s="1"/>
  <c r="N180" i="9"/>
  <c r="O180" i="9" s="1"/>
  <c r="N172" i="9"/>
  <c r="O172" i="9" s="1"/>
  <c r="W172" i="9" s="1"/>
  <c r="N164" i="9"/>
  <c r="O164" i="9" s="1"/>
  <c r="W164" i="9" s="1"/>
  <c r="N156" i="9"/>
  <c r="O156" i="9" s="1"/>
  <c r="N148" i="9"/>
  <c r="O148" i="9" s="1"/>
  <c r="N140" i="9"/>
  <c r="O140" i="9" s="1"/>
  <c r="N132" i="9"/>
  <c r="O132" i="9" s="1"/>
  <c r="W132" i="9" s="1"/>
  <c r="N124" i="9"/>
  <c r="O124" i="9" s="1"/>
  <c r="N116" i="9"/>
  <c r="O116" i="9" s="1"/>
  <c r="N108" i="9"/>
  <c r="O108" i="9" s="1"/>
  <c r="W108" i="9" s="1"/>
  <c r="N100" i="9"/>
  <c r="O100" i="9" s="1"/>
  <c r="W100" i="9" s="1"/>
  <c r="N92" i="9"/>
  <c r="O92" i="9" s="1"/>
  <c r="N84" i="9"/>
  <c r="O84" i="9" s="1"/>
  <c r="N76" i="9"/>
  <c r="O76" i="9" s="1"/>
  <c r="N68" i="9"/>
  <c r="O68" i="9" s="1"/>
  <c r="W68" i="9" s="1"/>
  <c r="N60" i="9"/>
  <c r="O60" i="9" s="1"/>
  <c r="N52" i="9"/>
  <c r="O52" i="9" s="1"/>
  <c r="N44" i="9"/>
  <c r="O44" i="9" s="1"/>
  <c r="W44" i="9" s="1"/>
  <c r="N36" i="9"/>
  <c r="O36" i="9" s="1"/>
  <c r="W36" i="9" s="1"/>
  <c r="N20" i="9"/>
  <c r="O20" i="9" s="1"/>
  <c r="W20" i="9" s="1"/>
  <c r="T298" i="9"/>
  <c r="T266" i="9"/>
  <c r="T234" i="9"/>
  <c r="T226" i="9"/>
  <c r="T170" i="9"/>
  <c r="T82" i="9"/>
  <c r="I330" i="9"/>
  <c r="N5" i="9"/>
  <c r="K330" i="9"/>
  <c r="T321" i="9"/>
  <c r="T257" i="9"/>
  <c r="T225" i="9"/>
  <c r="T121" i="9"/>
  <c r="T113" i="9"/>
  <c r="T105" i="9"/>
  <c r="T57" i="9"/>
  <c r="T25" i="9"/>
  <c r="T327" i="9"/>
  <c r="T311" i="9"/>
  <c r="T303" i="9"/>
  <c r="T295" i="9"/>
  <c r="T287" i="9"/>
  <c r="T279" i="9"/>
  <c r="T271" i="9"/>
  <c r="T263" i="9"/>
  <c r="T255" i="9"/>
  <c r="T247" i="9"/>
  <c r="T239" i="9"/>
  <c r="T231" i="9"/>
  <c r="T223" i="9"/>
  <c r="T215" i="9"/>
  <c r="T207" i="9"/>
  <c r="T199" i="9"/>
  <c r="T191" i="9"/>
  <c r="T183" i="9"/>
  <c r="T175" i="9"/>
  <c r="T167" i="9"/>
  <c r="T151" i="9"/>
  <c r="T143" i="9"/>
  <c r="T127" i="9"/>
  <c r="T119" i="9"/>
  <c r="T111" i="9"/>
  <c r="T103" i="9"/>
  <c r="T87" i="9"/>
  <c r="T79" i="9"/>
  <c r="T63" i="9"/>
  <c r="T55" i="9"/>
  <c r="T47" i="9"/>
  <c r="T39" i="9"/>
  <c r="T23" i="9"/>
  <c r="L330" i="9"/>
  <c r="T270" i="9"/>
  <c r="T245" i="9"/>
  <c r="T173" i="9"/>
  <c r="T53" i="9"/>
  <c r="T21" i="9"/>
  <c r="T252" i="9"/>
  <c r="T236" i="9"/>
  <c r="T28" i="9"/>
  <c r="M330" i="9"/>
  <c r="T163" i="9"/>
  <c r="T131" i="9"/>
  <c r="T123" i="9"/>
  <c r="T99" i="9"/>
  <c r="T75" i="9"/>
  <c r="R315" i="9"/>
  <c r="R9" i="9"/>
  <c r="R10" i="9"/>
  <c r="R18" i="9"/>
  <c r="R26" i="9"/>
  <c r="R11" i="9"/>
  <c r="R12" i="9"/>
  <c r="R13" i="9"/>
  <c r="R21" i="9"/>
  <c r="R29" i="9"/>
  <c r="R7" i="9"/>
  <c r="R15" i="9"/>
  <c r="R23" i="9"/>
  <c r="R19" i="9"/>
  <c r="R31" i="9"/>
  <c r="R39" i="9"/>
  <c r="R47" i="9"/>
  <c r="R55" i="9"/>
  <c r="R63" i="9"/>
  <c r="R71" i="9"/>
  <c r="R79" i="9"/>
  <c r="R87" i="9"/>
  <c r="R95" i="9"/>
  <c r="R103" i="9"/>
  <c r="R111" i="9"/>
  <c r="R119" i="9"/>
  <c r="R127" i="9"/>
  <c r="R135" i="9"/>
  <c r="R143" i="9"/>
  <c r="S143" i="9" s="1"/>
  <c r="R151" i="9"/>
  <c r="R159" i="9"/>
  <c r="R167" i="9"/>
  <c r="S167" i="9" s="1"/>
  <c r="R175" i="9"/>
  <c r="R183" i="9"/>
  <c r="R191" i="9"/>
  <c r="R199" i="9"/>
  <c r="R207" i="9"/>
  <c r="R215" i="9"/>
  <c r="R223" i="9"/>
  <c r="R231" i="9"/>
  <c r="S231" i="9" s="1"/>
  <c r="R239" i="9"/>
  <c r="R247" i="9"/>
  <c r="S247" i="9" s="1"/>
  <c r="U247" i="9" s="1"/>
  <c r="X247" i="9" s="1"/>
  <c r="R255" i="9"/>
  <c r="R263" i="9"/>
  <c r="R271" i="9"/>
  <c r="R279" i="9"/>
  <c r="S279" i="9" s="1"/>
  <c r="R287" i="9"/>
  <c r="R295" i="9"/>
  <c r="R303" i="9"/>
  <c r="R311" i="9"/>
  <c r="R319" i="9"/>
  <c r="R327" i="9"/>
  <c r="R20" i="9"/>
  <c r="R32" i="9"/>
  <c r="R40" i="9"/>
  <c r="R48" i="9"/>
  <c r="R56" i="9"/>
  <c r="R64" i="9"/>
  <c r="R72" i="9"/>
  <c r="R80" i="9"/>
  <c r="R88" i="9"/>
  <c r="R96" i="9"/>
  <c r="R104" i="9"/>
  <c r="R112" i="9"/>
  <c r="R120" i="9"/>
  <c r="R128" i="9"/>
  <c r="R136" i="9"/>
  <c r="R144" i="9"/>
  <c r="R152" i="9"/>
  <c r="R160" i="9"/>
  <c r="R168" i="9"/>
  <c r="R176" i="9"/>
  <c r="R184" i="9"/>
  <c r="R192" i="9"/>
  <c r="R200" i="9"/>
  <c r="R208" i="9"/>
  <c r="R216" i="9"/>
  <c r="R224" i="9"/>
  <c r="R232" i="9"/>
  <c r="R240" i="9"/>
  <c r="R248" i="9"/>
  <c r="R256" i="9"/>
  <c r="R264" i="9"/>
  <c r="R272" i="9"/>
  <c r="R280" i="9"/>
  <c r="R288" i="9"/>
  <c r="R296" i="9"/>
  <c r="R304" i="9"/>
  <c r="R312" i="9"/>
  <c r="S312" i="9" s="1"/>
  <c r="R320" i="9"/>
  <c r="R328" i="9"/>
  <c r="S328" i="9" s="1"/>
  <c r="R22" i="9"/>
  <c r="R33" i="9"/>
  <c r="R41" i="9"/>
  <c r="R49" i="9"/>
  <c r="R57" i="9"/>
  <c r="R65" i="9"/>
  <c r="R73" i="9"/>
  <c r="R81" i="9"/>
  <c r="R89" i="9"/>
  <c r="R97" i="9"/>
  <c r="S97" i="9" s="1"/>
  <c r="R105" i="9"/>
  <c r="R113" i="9"/>
  <c r="R121" i="9"/>
  <c r="R129" i="9"/>
  <c r="R137" i="9"/>
  <c r="R145" i="9"/>
  <c r="R153" i="9"/>
  <c r="S153" i="9" s="1"/>
  <c r="R161" i="9"/>
  <c r="R169" i="9"/>
  <c r="R177" i="9"/>
  <c r="R185" i="9"/>
  <c r="R193" i="9"/>
  <c r="R201" i="9"/>
  <c r="R209" i="9"/>
  <c r="R217" i="9"/>
  <c r="R225" i="9"/>
  <c r="R233" i="9"/>
  <c r="R241" i="9"/>
  <c r="R249" i="9"/>
  <c r="R257" i="9"/>
  <c r="R265" i="9"/>
  <c r="R273" i="9"/>
  <c r="R281" i="9"/>
  <c r="R289" i="9"/>
  <c r="R297" i="9"/>
  <c r="R305" i="9"/>
  <c r="R313" i="9"/>
  <c r="R321" i="9"/>
  <c r="R329" i="9"/>
  <c r="R6" i="9"/>
  <c r="R24" i="9"/>
  <c r="R34" i="9"/>
  <c r="R42" i="9"/>
  <c r="R50" i="9"/>
  <c r="R58" i="9"/>
  <c r="R66" i="9"/>
  <c r="R74" i="9"/>
  <c r="R82" i="9"/>
  <c r="R90" i="9"/>
  <c r="R98" i="9"/>
  <c r="R106" i="9"/>
  <c r="R114" i="9"/>
  <c r="R122" i="9"/>
  <c r="R130" i="9"/>
  <c r="R138" i="9"/>
  <c r="R146" i="9"/>
  <c r="R154" i="9"/>
  <c r="R162" i="9"/>
  <c r="R170" i="9"/>
  <c r="R178" i="9"/>
  <c r="R186" i="9"/>
  <c r="R194" i="9"/>
  <c r="R202" i="9"/>
  <c r="R210" i="9"/>
  <c r="R218" i="9"/>
  <c r="R226" i="9"/>
  <c r="R234" i="9"/>
  <c r="R242" i="9"/>
  <c r="R250" i="9"/>
  <c r="R258" i="9"/>
  <c r="R266" i="9"/>
  <c r="R274" i="9"/>
  <c r="R282" i="9"/>
  <c r="R290" i="9"/>
  <c r="R298" i="9"/>
  <c r="R306" i="9"/>
  <c r="R314" i="9"/>
  <c r="R322" i="9"/>
  <c r="S322" i="9" s="1"/>
  <c r="R5" i="9"/>
  <c r="R8" i="9"/>
  <c r="R25" i="9"/>
  <c r="R35" i="9"/>
  <c r="R43" i="9"/>
  <c r="R51" i="9"/>
  <c r="R59" i="9"/>
  <c r="R67" i="9"/>
  <c r="R75" i="9"/>
  <c r="R83" i="9"/>
  <c r="R91" i="9"/>
  <c r="R99" i="9"/>
  <c r="R107" i="9"/>
  <c r="R115" i="9"/>
  <c r="R123" i="9"/>
  <c r="R131" i="9"/>
  <c r="R139" i="9"/>
  <c r="R147" i="9"/>
  <c r="R155" i="9"/>
  <c r="R163" i="9"/>
  <c r="R171" i="9"/>
  <c r="R16" i="9"/>
  <c r="R28" i="9"/>
  <c r="S28" i="9" s="1"/>
  <c r="R37" i="9"/>
  <c r="R45" i="9"/>
  <c r="R53" i="9"/>
  <c r="R61" i="9"/>
  <c r="R69" i="9"/>
  <c r="R77" i="9"/>
  <c r="S77" i="9" s="1"/>
  <c r="R85" i="9"/>
  <c r="R93" i="9"/>
  <c r="R101" i="9"/>
  <c r="R109" i="9"/>
  <c r="R117" i="9"/>
  <c r="R125" i="9"/>
  <c r="S125" i="9" s="1"/>
  <c r="R133" i="9"/>
  <c r="R141" i="9"/>
  <c r="R149" i="9"/>
  <c r="R157" i="9"/>
  <c r="R165" i="9"/>
  <c r="R173" i="9"/>
  <c r="R181" i="9"/>
  <c r="R189" i="9"/>
  <c r="R197" i="9"/>
  <c r="R205" i="9"/>
  <c r="R213" i="9"/>
  <c r="R221" i="9"/>
  <c r="R229" i="9"/>
  <c r="S229" i="9" s="1"/>
  <c r="R237" i="9"/>
  <c r="R245" i="9"/>
  <c r="R253" i="9"/>
  <c r="R261" i="9"/>
  <c r="R269" i="9"/>
  <c r="S269" i="9" s="1"/>
  <c r="R277" i="9"/>
  <c r="R285" i="9"/>
  <c r="S285" i="9" s="1"/>
  <c r="R293" i="9"/>
  <c r="R301" i="9"/>
  <c r="S301" i="9" s="1"/>
  <c r="R309" i="9"/>
  <c r="R317" i="9"/>
  <c r="R325" i="9"/>
  <c r="S325" i="9" s="1"/>
  <c r="R44" i="9"/>
  <c r="R76" i="9"/>
  <c r="R108" i="9"/>
  <c r="R140" i="9"/>
  <c r="R172" i="9"/>
  <c r="R195" i="9"/>
  <c r="S195" i="9" s="1"/>
  <c r="R214" i="9"/>
  <c r="S214" i="9" s="1"/>
  <c r="R236" i="9"/>
  <c r="R259" i="9"/>
  <c r="R278" i="9"/>
  <c r="S278" i="9" s="1"/>
  <c r="R300" i="9"/>
  <c r="R323" i="9"/>
  <c r="R46" i="9"/>
  <c r="R78" i="9"/>
  <c r="R110" i="9"/>
  <c r="R142" i="9"/>
  <c r="R174" i="9"/>
  <c r="R196" i="9"/>
  <c r="S196" i="9" s="1"/>
  <c r="R219" i="9"/>
  <c r="R238" i="9"/>
  <c r="R260" i="9"/>
  <c r="R283" i="9"/>
  <c r="R302" i="9"/>
  <c r="R324" i="9"/>
  <c r="R14" i="9"/>
  <c r="R52" i="9"/>
  <c r="R84" i="9"/>
  <c r="R116" i="9"/>
  <c r="R148" i="9"/>
  <c r="R179" i="9"/>
  <c r="R198" i="9"/>
  <c r="R220" i="9"/>
  <c r="R243" i="9"/>
  <c r="R262" i="9"/>
  <c r="R284" i="9"/>
  <c r="R307" i="9"/>
  <c r="R326" i="9"/>
  <c r="S326" i="9" s="1"/>
  <c r="R17" i="9"/>
  <c r="R54" i="9"/>
  <c r="R86" i="9"/>
  <c r="R118" i="9"/>
  <c r="R150" i="9"/>
  <c r="R180" i="9"/>
  <c r="R203" i="9"/>
  <c r="R222" i="9"/>
  <c r="S222" i="9" s="1"/>
  <c r="R244" i="9"/>
  <c r="R267" i="9"/>
  <c r="R286" i="9"/>
  <c r="R308" i="9"/>
  <c r="R27" i="9"/>
  <c r="R60" i="9"/>
  <c r="R92" i="9"/>
  <c r="R124" i="9"/>
  <c r="R156" i="9"/>
  <c r="R182" i="9"/>
  <c r="R204" i="9"/>
  <c r="R227" i="9"/>
  <c r="R246" i="9"/>
  <c r="R268" i="9"/>
  <c r="R291" i="9"/>
  <c r="R310" i="9"/>
  <c r="R36" i="9"/>
  <c r="R68" i="9"/>
  <c r="R100" i="9"/>
  <c r="R132" i="9"/>
  <c r="R164" i="9"/>
  <c r="R188" i="9"/>
  <c r="S188" i="9" s="1"/>
  <c r="R211" i="9"/>
  <c r="R38" i="9"/>
  <c r="R70" i="9"/>
  <c r="R102" i="9"/>
  <c r="R134" i="9"/>
  <c r="R166" i="9"/>
  <c r="R190" i="9"/>
  <c r="R212" i="9"/>
  <c r="R235" i="9"/>
  <c r="R254" i="9"/>
  <c r="S254" i="9" s="1"/>
  <c r="R276" i="9"/>
  <c r="R299" i="9"/>
  <c r="R318" i="9"/>
  <c r="S318" i="9" s="1"/>
  <c r="U318" i="9" s="1"/>
  <c r="X318" i="9" s="1"/>
  <c r="R292" i="9"/>
  <c r="R187" i="9"/>
  <c r="S81" i="9"/>
  <c r="S29" i="9"/>
  <c r="R275" i="9"/>
  <c r="R158" i="9"/>
  <c r="R270" i="9"/>
  <c r="R126" i="9"/>
  <c r="S304" i="9"/>
  <c r="S271" i="9"/>
  <c r="R252" i="9"/>
  <c r="R94" i="9"/>
  <c r="R251" i="9"/>
  <c r="R62" i="9"/>
  <c r="Q280" i="9"/>
  <c r="S280" i="9" s="1"/>
  <c r="U280" i="9" s="1"/>
  <c r="X280" i="9" s="1"/>
  <c r="Q272" i="9"/>
  <c r="Q264" i="9"/>
  <c r="Q256" i="9"/>
  <c r="Q248" i="9"/>
  <c r="Q240" i="9"/>
  <c r="Q232" i="9"/>
  <c r="Q224" i="9"/>
  <c r="Q216" i="9"/>
  <c r="S216" i="9" s="1"/>
  <c r="Q207" i="9"/>
  <c r="S207" i="9" s="1"/>
  <c r="Q198" i="9"/>
  <c r="Q189" i="9"/>
  <c r="Q180" i="9"/>
  <c r="Q171" i="9"/>
  <c r="Q159" i="9"/>
  <c r="Q145" i="9"/>
  <c r="Q132" i="9"/>
  <c r="Q116" i="9"/>
  <c r="Q100" i="9"/>
  <c r="Q84" i="9"/>
  <c r="Q68" i="9"/>
  <c r="Q52" i="9"/>
  <c r="Q36" i="9"/>
  <c r="Q13" i="9"/>
  <c r="Q61" i="9"/>
  <c r="Q45" i="9"/>
  <c r="Q8" i="9"/>
  <c r="Q16" i="9"/>
  <c r="Q24" i="9"/>
  <c r="Q32" i="9"/>
  <c r="Q40" i="9"/>
  <c r="Q48" i="9"/>
  <c r="Q56" i="9"/>
  <c r="S56" i="9" s="1"/>
  <c r="Q64" i="9"/>
  <c r="Q72" i="9"/>
  <c r="Q80" i="9"/>
  <c r="Q88" i="9"/>
  <c r="S88" i="9" s="1"/>
  <c r="Q96" i="9"/>
  <c r="Q104" i="9"/>
  <c r="Q112" i="9"/>
  <c r="Q120" i="9"/>
  <c r="S120" i="9" s="1"/>
  <c r="Q128" i="9"/>
  <c r="Q136" i="9"/>
  <c r="Q9" i="9"/>
  <c r="Q17" i="9"/>
  <c r="Q25" i="9"/>
  <c r="Q33" i="9"/>
  <c r="S33" i="9" s="1"/>
  <c r="Q10" i="9"/>
  <c r="Q18" i="9"/>
  <c r="Q26" i="9"/>
  <c r="S26" i="9" s="1"/>
  <c r="Q34" i="9"/>
  <c r="S34" i="9" s="1"/>
  <c r="Q42" i="9"/>
  <c r="Q50" i="9"/>
  <c r="Q58" i="9"/>
  <c r="Q66" i="9"/>
  <c r="Q74" i="9"/>
  <c r="Q82" i="9"/>
  <c r="Q90" i="9"/>
  <c r="Q98" i="9"/>
  <c r="S98" i="9" s="1"/>
  <c r="Q106" i="9"/>
  <c r="Q114" i="9"/>
  <c r="Q122" i="9"/>
  <c r="Q130" i="9"/>
  <c r="Q138" i="9"/>
  <c r="Q146" i="9"/>
  <c r="Q154" i="9"/>
  <c r="Q162" i="9"/>
  <c r="S162" i="9" s="1"/>
  <c r="Q170" i="9"/>
  <c r="Q178" i="9"/>
  <c r="Q186" i="9"/>
  <c r="Q194" i="9"/>
  <c r="Q202" i="9"/>
  <c r="Q210" i="9"/>
  <c r="Q11" i="9"/>
  <c r="Q19" i="9"/>
  <c r="Q27" i="9"/>
  <c r="Q35" i="9"/>
  <c r="S35" i="9" s="1"/>
  <c r="Q43" i="9"/>
  <c r="Q51" i="9"/>
  <c r="Q59" i="9"/>
  <c r="Q67" i="9"/>
  <c r="S67" i="9" s="1"/>
  <c r="Q75" i="9"/>
  <c r="Q83" i="9"/>
  <c r="Q91" i="9"/>
  <c r="Q99" i="9"/>
  <c r="S99" i="9" s="1"/>
  <c r="U99" i="9" s="1"/>
  <c r="X99" i="9" s="1"/>
  <c r="Q107" i="9"/>
  <c r="Q115" i="9"/>
  <c r="Q123" i="9"/>
  <c r="Q131" i="9"/>
  <c r="S131" i="9" s="1"/>
  <c r="Q139" i="9"/>
  <c r="Q147" i="9"/>
  <c r="Q155" i="9"/>
  <c r="Q163" i="9"/>
  <c r="S163" i="9" s="1"/>
  <c r="Q6" i="9"/>
  <c r="S6" i="9" s="1"/>
  <c r="Q14" i="9"/>
  <c r="Q22" i="9"/>
  <c r="S22" i="9" s="1"/>
  <c r="Q30" i="9"/>
  <c r="Q38" i="9"/>
  <c r="Q46" i="9"/>
  <c r="Q54" i="9"/>
  <c r="Q62" i="9"/>
  <c r="Q70" i="9"/>
  <c r="S70" i="9" s="1"/>
  <c r="Q78" i="9"/>
  <c r="Q86" i="9"/>
  <c r="S86" i="9" s="1"/>
  <c r="Q94" i="9"/>
  <c r="Q102" i="9"/>
  <c r="Q110" i="9"/>
  <c r="Q118" i="9"/>
  <c r="Q126" i="9"/>
  <c r="Q134" i="9"/>
  <c r="S134" i="9" s="1"/>
  <c r="Q142" i="9"/>
  <c r="S142" i="9" s="1"/>
  <c r="Q150" i="9"/>
  <c r="Q158" i="9"/>
  <c r="Q166" i="9"/>
  <c r="Q324" i="9"/>
  <c r="S324" i="9" s="1"/>
  <c r="Q316" i="9"/>
  <c r="S316" i="9" s="1"/>
  <c r="Q308" i="9"/>
  <c r="Q300" i="9"/>
  <c r="Q292" i="9"/>
  <c r="Q284" i="9"/>
  <c r="Q276" i="9"/>
  <c r="Q268" i="9"/>
  <c r="Q260" i="9"/>
  <c r="Q252" i="9"/>
  <c r="S252" i="9" s="1"/>
  <c r="Q244" i="9"/>
  <c r="Q236" i="9"/>
  <c r="S236" i="9" s="1"/>
  <c r="U236" i="9" s="1"/>
  <c r="X236" i="9" s="1"/>
  <c r="Q228" i="9"/>
  <c r="S228" i="9" s="1"/>
  <c r="Q220" i="9"/>
  <c r="S220" i="9" s="1"/>
  <c r="Q212" i="9"/>
  <c r="Q203" i="9"/>
  <c r="S203" i="9" s="1"/>
  <c r="Q193" i="9"/>
  <c r="Q184" i="9"/>
  <c r="Q175" i="9"/>
  <c r="Q165" i="9"/>
  <c r="Q152" i="9"/>
  <c r="S152" i="9" s="1"/>
  <c r="Q140" i="9"/>
  <c r="Q124" i="9"/>
  <c r="Q108" i="9"/>
  <c r="Q92" i="9"/>
  <c r="Q76" i="9"/>
  <c r="Q60" i="9"/>
  <c r="Q44" i="9"/>
  <c r="Q23" i="9"/>
  <c r="S23" i="9" s="1"/>
  <c r="Q307" i="9"/>
  <c r="S307" i="9" s="1"/>
  <c r="Q299" i="9"/>
  <c r="Q291" i="9"/>
  <c r="Q283" i="9"/>
  <c r="Q275" i="9"/>
  <c r="Q267" i="9"/>
  <c r="Q259" i="9"/>
  <c r="Q251" i="9"/>
  <c r="Q243" i="9"/>
  <c r="Q235" i="9"/>
  <c r="S235" i="9" s="1"/>
  <c r="Q227" i="9"/>
  <c r="Q219" i="9"/>
  <c r="Q211" i="9"/>
  <c r="Q201" i="9"/>
  <c r="Q192" i="9"/>
  <c r="Q183" i="9"/>
  <c r="Q174" i="9"/>
  <c r="Q164" i="9"/>
  <c r="Q151" i="9"/>
  <c r="Q137" i="9"/>
  <c r="Q121" i="9"/>
  <c r="Q105" i="9"/>
  <c r="Q89" i="9"/>
  <c r="Q73" i="9"/>
  <c r="Q57" i="9"/>
  <c r="Q41" i="9"/>
  <c r="Q21" i="9"/>
  <c r="Q290" i="9"/>
  <c r="S290" i="9" s="1"/>
  <c r="Q282" i="9"/>
  <c r="Q274" i="9"/>
  <c r="Q266" i="9"/>
  <c r="Q258" i="9"/>
  <c r="Q250" i="9"/>
  <c r="Q242" i="9"/>
  <c r="Q234" i="9"/>
  <c r="Q226" i="9"/>
  <c r="S226" i="9" s="1"/>
  <c r="Q218" i="9"/>
  <c r="Q209" i="9"/>
  <c r="Q200" i="9"/>
  <c r="Q191" i="9"/>
  <c r="Q182" i="9"/>
  <c r="Q173" i="9"/>
  <c r="Q161" i="9"/>
  <c r="S161" i="9" s="1"/>
  <c r="Q149" i="9"/>
  <c r="Q135" i="9"/>
  <c r="Q119" i="9"/>
  <c r="Q103" i="9"/>
  <c r="Q87" i="9"/>
  <c r="Q71" i="9"/>
  <c r="Q55" i="9"/>
  <c r="Q39" i="9"/>
  <c r="Q20" i="9"/>
  <c r="S20" i="9" s="1"/>
  <c r="Q321" i="9"/>
  <c r="Q313" i="9"/>
  <c r="Q305" i="9"/>
  <c r="Q297" i="9"/>
  <c r="Q289" i="9"/>
  <c r="S289" i="9" s="1"/>
  <c r="Q281" i="9"/>
  <c r="Q273" i="9"/>
  <c r="Q265" i="9"/>
  <c r="Q257" i="9"/>
  <c r="Q249" i="9"/>
  <c r="Q241" i="9"/>
  <c r="Q233" i="9"/>
  <c r="Q225" i="9"/>
  <c r="S225" i="9" s="1"/>
  <c r="U225" i="9" s="1"/>
  <c r="X225" i="9" s="1"/>
  <c r="Q217" i="9"/>
  <c r="Q208" i="9"/>
  <c r="Q199" i="9"/>
  <c r="Q190" i="9"/>
  <c r="Q181" i="9"/>
  <c r="Q172" i="9"/>
  <c r="Q160" i="9"/>
  <c r="Q148" i="9"/>
  <c r="Q133" i="9"/>
  <c r="S133" i="9" s="1"/>
  <c r="Q117" i="9"/>
  <c r="Q101" i="9"/>
  <c r="Q85" i="9"/>
  <c r="Q69" i="9"/>
  <c r="S69" i="9" s="1"/>
  <c r="Q53" i="9"/>
  <c r="Q37" i="9"/>
  <c r="Q15" i="9"/>
  <c r="S303" i="9" l="1"/>
  <c r="S87" i="9"/>
  <c r="T235" i="9"/>
  <c r="T181" i="9"/>
  <c r="T128" i="9"/>
  <c r="S111" i="9"/>
  <c r="U254" i="9"/>
  <c r="X254" i="9" s="1"/>
  <c r="S79" i="9"/>
  <c r="U79" i="9" s="1"/>
  <c r="X79" i="9" s="1"/>
  <c r="S261" i="9"/>
  <c r="S126" i="9"/>
  <c r="S315" i="9"/>
  <c r="T254" i="9"/>
  <c r="T114" i="9"/>
  <c r="O315" i="9"/>
  <c r="W315" i="9" s="1"/>
  <c r="W329" i="9"/>
  <c r="O329" i="9"/>
  <c r="S100" i="9"/>
  <c r="S295" i="9"/>
  <c r="S258" i="9"/>
  <c r="T159" i="9"/>
  <c r="S194" i="9"/>
  <c r="S130" i="9"/>
  <c r="S66" i="9"/>
  <c r="U66" i="9" s="1"/>
  <c r="X66" i="9" s="1"/>
  <c r="S246" i="9"/>
  <c r="S306" i="9"/>
  <c r="S49" i="9"/>
  <c r="T237" i="9"/>
  <c r="T95" i="9"/>
  <c r="S202" i="9"/>
  <c r="S172" i="9"/>
  <c r="S298" i="9"/>
  <c r="S169" i="9"/>
  <c r="T31" i="9"/>
  <c r="T177" i="9"/>
  <c r="T74" i="9"/>
  <c r="T290" i="9"/>
  <c r="T48" i="9"/>
  <c r="S74" i="9"/>
  <c r="U74" i="9" s="1"/>
  <c r="X74" i="9" s="1"/>
  <c r="S314" i="9"/>
  <c r="T229" i="9"/>
  <c r="U229" i="9" s="1"/>
  <c r="X229" i="9" s="1"/>
  <c r="S165" i="9"/>
  <c r="S257" i="9"/>
  <c r="S321" i="9"/>
  <c r="U321" i="9" s="1"/>
  <c r="X321" i="9" s="1"/>
  <c r="S121" i="9"/>
  <c r="U121" i="9" s="1"/>
  <c r="X121" i="9" s="1"/>
  <c r="S175" i="9"/>
  <c r="U175" i="9" s="1"/>
  <c r="X175" i="9" s="1"/>
  <c r="S204" i="9"/>
  <c r="S197" i="9"/>
  <c r="T301" i="9"/>
  <c r="U301" i="9" s="1"/>
  <c r="X301" i="9" s="1"/>
  <c r="S183" i="9"/>
  <c r="U183" i="9" s="1"/>
  <c r="X183" i="9" s="1"/>
  <c r="S140" i="9"/>
  <c r="S101" i="9"/>
  <c r="U226" i="9"/>
  <c r="X226" i="9" s="1"/>
  <c r="T45" i="9"/>
  <c r="T78" i="9"/>
  <c r="T249" i="9"/>
  <c r="T176" i="9"/>
  <c r="S37" i="9"/>
  <c r="S73" i="9"/>
  <c r="S138" i="9"/>
  <c r="S184" i="9"/>
  <c r="U316" i="9"/>
  <c r="X316" i="9" s="1"/>
  <c r="S253" i="9"/>
  <c r="S21" i="9"/>
  <c r="S291" i="9"/>
  <c r="S92" i="9"/>
  <c r="S193" i="9"/>
  <c r="S179" i="9"/>
  <c r="T219" i="9"/>
  <c r="T198" i="9"/>
  <c r="T162" i="9"/>
  <c r="U162" i="9" s="1"/>
  <c r="X162" i="9" s="1"/>
  <c r="T299" i="9"/>
  <c r="S176" i="9"/>
  <c r="S192" i="9"/>
  <c r="S119" i="9"/>
  <c r="U119" i="9" s="1"/>
  <c r="X119" i="9" s="1"/>
  <c r="S265" i="9"/>
  <c r="S329" i="9"/>
  <c r="S211" i="9"/>
  <c r="S275" i="9"/>
  <c r="U163" i="9"/>
  <c r="X163" i="9" s="1"/>
  <c r="S248" i="9"/>
  <c r="U248" i="9" s="1"/>
  <c r="X248" i="9" s="1"/>
  <c r="S177" i="9"/>
  <c r="S296" i="9"/>
  <c r="U296" i="9" s="1"/>
  <c r="X296" i="9" s="1"/>
  <c r="S287" i="9"/>
  <c r="S31" i="9"/>
  <c r="T83" i="9"/>
  <c r="T291" i="9"/>
  <c r="T117" i="9"/>
  <c r="T185" i="9"/>
  <c r="T18" i="9"/>
  <c r="T242" i="9"/>
  <c r="S309" i="9"/>
  <c r="U309" i="9" s="1"/>
  <c r="X309" i="9" s="1"/>
  <c r="S238" i="9"/>
  <c r="S327" i="9"/>
  <c r="U327" i="9" s="1"/>
  <c r="X327" i="9" s="1"/>
  <c r="S137" i="9"/>
  <c r="U21" i="9"/>
  <c r="X21" i="9" s="1"/>
  <c r="T115" i="9"/>
  <c r="T71" i="9"/>
  <c r="T135" i="9"/>
  <c r="S55" i="9"/>
  <c r="U55" i="9" s="1"/>
  <c r="X55" i="9" s="1"/>
  <c r="S317" i="9"/>
  <c r="S156" i="9"/>
  <c r="T322" i="9"/>
  <c r="S60" i="9"/>
  <c r="S180" i="9"/>
  <c r="S311" i="9"/>
  <c r="U311" i="9" s="1"/>
  <c r="X311" i="9" s="1"/>
  <c r="T147" i="9"/>
  <c r="T85" i="9"/>
  <c r="T206" i="9"/>
  <c r="T178" i="9"/>
  <c r="T192" i="9"/>
  <c r="U192" i="9" s="1"/>
  <c r="X192" i="9" s="1"/>
  <c r="T64" i="9"/>
  <c r="W319" i="9"/>
  <c r="U290" i="9"/>
  <c r="X290" i="9" s="1"/>
  <c r="U184" i="9"/>
  <c r="X184" i="9" s="1"/>
  <c r="S323" i="9"/>
  <c r="T155" i="9"/>
  <c r="T93" i="9"/>
  <c r="T214" i="9"/>
  <c r="U214" i="9" s="1"/>
  <c r="X214" i="9" s="1"/>
  <c r="T289" i="9"/>
  <c r="U289" i="9" s="1"/>
  <c r="X289" i="9" s="1"/>
  <c r="T66" i="9"/>
  <c r="T218" i="9"/>
  <c r="T306" i="9"/>
  <c r="T224" i="9"/>
  <c r="S185" i="9"/>
  <c r="U185" i="9" s="1"/>
  <c r="X185" i="9" s="1"/>
  <c r="T104" i="9"/>
  <c r="S264" i="9"/>
  <c r="U264" i="9" s="1"/>
  <c r="X264" i="9" s="1"/>
  <c r="S270" i="9"/>
  <c r="U270" i="9" s="1"/>
  <c r="X270" i="9" s="1"/>
  <c r="T101" i="9"/>
  <c r="U101" i="9" s="1"/>
  <c r="X101" i="9" s="1"/>
  <c r="T293" i="9"/>
  <c r="U293" i="9" s="1"/>
  <c r="X293" i="9" s="1"/>
  <c r="T169" i="9"/>
  <c r="T297" i="9"/>
  <c r="T232" i="9"/>
  <c r="T168" i="9"/>
  <c r="G14" i="10"/>
  <c r="S277" i="9"/>
  <c r="S113" i="9"/>
  <c r="U113" i="9" s="1"/>
  <c r="X113" i="9" s="1"/>
  <c r="U287" i="9"/>
  <c r="X287" i="9" s="1"/>
  <c r="S223" i="9"/>
  <c r="U223" i="9" s="1"/>
  <c r="X223" i="9" s="1"/>
  <c r="S95" i="9"/>
  <c r="U95" i="9" s="1"/>
  <c r="X95" i="9" s="1"/>
  <c r="T195" i="9"/>
  <c r="T305" i="9"/>
  <c r="T40" i="9"/>
  <c r="U324" i="9"/>
  <c r="X324" i="9" s="1"/>
  <c r="S276" i="9"/>
  <c r="U131" i="9"/>
  <c r="X131" i="9" s="1"/>
  <c r="S210" i="9"/>
  <c r="S146" i="9"/>
  <c r="S82" i="9"/>
  <c r="U82" i="9" s="1"/>
  <c r="X82" i="9" s="1"/>
  <c r="U56" i="9"/>
  <c r="X56" i="9" s="1"/>
  <c r="S141" i="9"/>
  <c r="U169" i="9"/>
  <c r="X169" i="9" s="1"/>
  <c r="S288" i="9"/>
  <c r="U288" i="9" s="1"/>
  <c r="X288" i="9" s="1"/>
  <c r="S215" i="9"/>
  <c r="T203" i="9"/>
  <c r="U203" i="9" s="1"/>
  <c r="X203" i="9" s="1"/>
  <c r="T165" i="9"/>
  <c r="T22" i="9"/>
  <c r="T33" i="9"/>
  <c r="U33" i="9" s="1"/>
  <c r="X33" i="9" s="1"/>
  <c r="T96" i="9"/>
  <c r="T240" i="9"/>
  <c r="S294" i="9"/>
  <c r="S53" i="9"/>
  <c r="U53" i="9" s="1"/>
  <c r="X53" i="9" s="1"/>
  <c r="S191" i="9"/>
  <c r="U191" i="9" s="1"/>
  <c r="X191" i="9" s="1"/>
  <c r="S145" i="9"/>
  <c r="S286" i="9"/>
  <c r="T37" i="9"/>
  <c r="U37" i="9" s="1"/>
  <c r="X37" i="9" s="1"/>
  <c r="T38" i="9"/>
  <c r="T41" i="9"/>
  <c r="T154" i="9"/>
  <c r="T241" i="9"/>
  <c r="T282" i="9"/>
  <c r="S249" i="9"/>
  <c r="S103" i="9"/>
  <c r="U23" i="9"/>
  <c r="X23" i="9" s="1"/>
  <c r="S5" i="9"/>
  <c r="E25" i="10"/>
  <c r="E26" i="10"/>
  <c r="T267" i="9"/>
  <c r="T100" i="9"/>
  <c r="T149" i="9"/>
  <c r="T221" i="9"/>
  <c r="T150" i="9"/>
  <c r="T89" i="9"/>
  <c r="O12" i="9"/>
  <c r="I9" i="10"/>
  <c r="S313" i="9"/>
  <c r="S300" i="9"/>
  <c r="S186" i="9"/>
  <c r="S122" i="9"/>
  <c r="S58" i="9"/>
  <c r="S240" i="9"/>
  <c r="U322" i="9"/>
  <c r="X322" i="9" s="1"/>
  <c r="S47" i="9"/>
  <c r="U47" i="9" s="1"/>
  <c r="X47" i="9" s="1"/>
  <c r="T187" i="9"/>
  <c r="T275" i="9"/>
  <c r="U275" i="9" s="1"/>
  <c r="X275" i="9" s="1"/>
  <c r="T77" i="9"/>
  <c r="T157" i="9"/>
  <c r="T14" i="9"/>
  <c r="T182" i="9"/>
  <c r="T17" i="9"/>
  <c r="T97" i="9"/>
  <c r="U97" i="9" s="1"/>
  <c r="X97" i="9" s="1"/>
  <c r="T281" i="9"/>
  <c r="I10" i="10"/>
  <c r="T88" i="9"/>
  <c r="U88" i="9" s="1"/>
  <c r="X88" i="9" s="1"/>
  <c r="T216" i="9"/>
  <c r="T208" i="9"/>
  <c r="S187" i="9"/>
  <c r="S129" i="9"/>
  <c r="S310" i="9"/>
  <c r="S239" i="9"/>
  <c r="U239" i="9" s="1"/>
  <c r="X239" i="9" s="1"/>
  <c r="O9" i="9"/>
  <c r="J11" i="10" s="1"/>
  <c r="I11" i="10"/>
  <c r="S65" i="9"/>
  <c r="S320" i="9"/>
  <c r="U320" i="9" s="1"/>
  <c r="X320" i="9" s="1"/>
  <c r="O8" i="9"/>
  <c r="I12" i="10"/>
  <c r="S9" i="9"/>
  <c r="D26" i="10"/>
  <c r="S84" i="9"/>
  <c r="S262" i="9"/>
  <c r="S213" i="9"/>
  <c r="S168" i="9"/>
  <c r="U168" i="9" s="1"/>
  <c r="X168" i="9" s="1"/>
  <c r="S12" i="9"/>
  <c r="E24" i="10"/>
  <c r="T13" i="9"/>
  <c r="T217" i="9"/>
  <c r="T106" i="9"/>
  <c r="T258" i="9"/>
  <c r="U258" i="9" s="1"/>
  <c r="X258" i="9" s="1"/>
  <c r="T80" i="9"/>
  <c r="E14" i="10"/>
  <c r="D23" i="10"/>
  <c r="D27" i="10"/>
  <c r="S205" i="9"/>
  <c r="U77" i="9"/>
  <c r="X77" i="9" s="1"/>
  <c r="U279" i="9"/>
  <c r="X279" i="9" s="1"/>
  <c r="U215" i="9"/>
  <c r="X215" i="9" s="1"/>
  <c r="E23" i="10"/>
  <c r="E28" i="10"/>
  <c r="T43" i="9"/>
  <c r="T269" i="9"/>
  <c r="U269" i="9" s="1"/>
  <c r="X269" i="9" s="1"/>
  <c r="T54" i="9"/>
  <c r="T194" i="9"/>
  <c r="U194" i="9" s="1"/>
  <c r="X194" i="9" s="1"/>
  <c r="S230" i="9"/>
  <c r="H14" i="10"/>
  <c r="D20" i="10"/>
  <c r="S108" i="9"/>
  <c r="S268" i="9"/>
  <c r="D28" i="10"/>
  <c r="S116" i="9"/>
  <c r="T51" i="9"/>
  <c r="T139" i="9"/>
  <c r="T227" i="9"/>
  <c r="T20" i="9"/>
  <c r="U20" i="9" s="1"/>
  <c r="X20" i="9" s="1"/>
  <c r="T29" i="9"/>
  <c r="U29" i="9" s="1"/>
  <c r="X29" i="9" s="1"/>
  <c r="T109" i="9"/>
  <c r="T189" i="9"/>
  <c r="T277" i="9"/>
  <c r="T70" i="9"/>
  <c r="T49" i="9"/>
  <c r="U49" i="9" s="1"/>
  <c r="X49" i="9" s="1"/>
  <c r="T145" i="9"/>
  <c r="U145" i="9" s="1"/>
  <c r="X145" i="9" s="1"/>
  <c r="T233" i="9"/>
  <c r="T313" i="9"/>
  <c r="T42" i="9"/>
  <c r="T130" i="9"/>
  <c r="U130" i="9" s="1"/>
  <c r="X130" i="9" s="1"/>
  <c r="T202" i="9"/>
  <c r="U202" i="9" s="1"/>
  <c r="X202" i="9" s="1"/>
  <c r="T274" i="9"/>
  <c r="T307" i="9"/>
  <c r="T326" i="9"/>
  <c r="T152" i="9"/>
  <c r="U152" i="9" s="1"/>
  <c r="X152" i="9" s="1"/>
  <c r="T112" i="9"/>
  <c r="D24" i="10"/>
  <c r="O7" i="9"/>
  <c r="I7" i="10"/>
  <c r="S39" i="9"/>
  <c r="S250" i="9"/>
  <c r="S57" i="9"/>
  <c r="U57" i="9" s="1"/>
  <c r="X57" i="9" s="1"/>
  <c r="S212" i="9"/>
  <c r="S30" i="9"/>
  <c r="U210" i="9"/>
  <c r="X210" i="9" s="1"/>
  <c r="U216" i="9"/>
  <c r="X216" i="9" s="1"/>
  <c r="S144" i="9"/>
  <c r="S263" i="9"/>
  <c r="U263" i="9" s="1"/>
  <c r="X263" i="9" s="1"/>
  <c r="E20" i="10"/>
  <c r="T59" i="9"/>
  <c r="T205" i="9"/>
  <c r="T285" i="9"/>
  <c r="U285" i="9" s="1"/>
  <c r="X285" i="9" s="1"/>
  <c r="T153" i="9"/>
  <c r="U153" i="9" s="1"/>
  <c r="X153" i="9" s="1"/>
  <c r="T50" i="9"/>
  <c r="T138" i="9"/>
  <c r="U138" i="9" s="1"/>
  <c r="X138" i="9" s="1"/>
  <c r="T210" i="9"/>
  <c r="T24" i="9"/>
  <c r="T160" i="9"/>
  <c r="D22" i="10"/>
  <c r="T144" i="9"/>
  <c r="O11" i="9"/>
  <c r="I13" i="10"/>
  <c r="O10" i="9"/>
  <c r="I6" i="10"/>
  <c r="F14" i="10"/>
  <c r="D14" i="10"/>
  <c r="S219" i="9"/>
  <c r="U219" i="9" s="1"/>
  <c r="X219" i="9" s="1"/>
  <c r="U87" i="9"/>
  <c r="X87" i="9" s="1"/>
  <c r="S284" i="9"/>
  <c r="U22" i="9"/>
  <c r="X22" i="9" s="1"/>
  <c r="S123" i="9"/>
  <c r="U123" i="9" s="1"/>
  <c r="X123" i="9" s="1"/>
  <c r="S59" i="9"/>
  <c r="D21" i="10"/>
  <c r="S112" i="9"/>
  <c r="S48" i="9"/>
  <c r="U48" i="9" s="1"/>
  <c r="X48" i="9" s="1"/>
  <c r="S13" i="9"/>
  <c r="U195" i="9"/>
  <c r="X195" i="9" s="1"/>
  <c r="S245" i="9"/>
  <c r="U245" i="9" s="1"/>
  <c r="X245" i="9" s="1"/>
  <c r="E27" i="10"/>
  <c r="U328" i="9"/>
  <c r="X328" i="9" s="1"/>
  <c r="S319" i="9"/>
  <c r="U319" i="9" s="1"/>
  <c r="X319" i="9" s="1"/>
  <c r="S255" i="9"/>
  <c r="U255" i="9" s="1"/>
  <c r="X255" i="9" s="1"/>
  <c r="S7" i="9"/>
  <c r="E22" i="10"/>
  <c r="E21" i="10"/>
  <c r="T259" i="9"/>
  <c r="T36" i="9"/>
  <c r="T141" i="9"/>
  <c r="U141" i="9" s="1"/>
  <c r="X141" i="9" s="1"/>
  <c r="T213" i="9"/>
  <c r="T142" i="9"/>
  <c r="T81" i="9"/>
  <c r="U81" i="9" s="1"/>
  <c r="X81" i="9" s="1"/>
  <c r="T161" i="9"/>
  <c r="U161" i="9" s="1"/>
  <c r="X161" i="9" s="1"/>
  <c r="T329" i="9"/>
  <c r="T58" i="9"/>
  <c r="T146" i="9"/>
  <c r="U146" i="9" s="1"/>
  <c r="X146" i="9" s="1"/>
  <c r="T300" i="9"/>
  <c r="U300" i="9" s="1"/>
  <c r="X300" i="9" s="1"/>
  <c r="T32" i="9"/>
  <c r="T16" i="9"/>
  <c r="O19" i="9"/>
  <c r="I8" i="10"/>
  <c r="D25" i="10"/>
  <c r="O15" i="9"/>
  <c r="I5" i="10"/>
  <c r="S15" i="9"/>
  <c r="U235" i="9"/>
  <c r="X235" i="9" s="1"/>
  <c r="S299" i="9"/>
  <c r="S102" i="9"/>
  <c r="S154" i="9"/>
  <c r="S90" i="9"/>
  <c r="U207" i="9"/>
  <c r="X207" i="9" s="1"/>
  <c r="S272" i="9"/>
  <c r="U272" i="9" s="1"/>
  <c r="X272" i="9" s="1"/>
  <c r="S71" i="9"/>
  <c r="U71" i="9" s="1"/>
  <c r="X71" i="9" s="1"/>
  <c r="S182" i="9"/>
  <c r="U182" i="9" s="1"/>
  <c r="X182" i="9" s="1"/>
  <c r="U307" i="9"/>
  <c r="X307" i="9" s="1"/>
  <c r="S18" i="9"/>
  <c r="U18" i="9" s="1"/>
  <c r="X18" i="9" s="1"/>
  <c r="S61" i="9"/>
  <c r="U143" i="9"/>
  <c r="X143" i="9" s="1"/>
  <c r="T244" i="9"/>
  <c r="U206" i="9"/>
  <c r="X206" i="9" s="1"/>
  <c r="T72" i="9"/>
  <c r="T200" i="9"/>
  <c r="S157" i="9"/>
  <c r="S93" i="9"/>
  <c r="U93" i="9" s="1"/>
  <c r="X93" i="9" s="1"/>
  <c r="S302" i="9"/>
  <c r="T8" i="9"/>
  <c r="S267" i="9"/>
  <c r="U165" i="9"/>
  <c r="X165" i="9" s="1"/>
  <c r="S25" i="9"/>
  <c r="U25" i="9" s="1"/>
  <c r="X25" i="9" s="1"/>
  <c r="U326" i="9"/>
  <c r="X326" i="9" s="1"/>
  <c r="T44" i="9"/>
  <c r="S89" i="9"/>
  <c r="S135" i="9"/>
  <c r="U135" i="9" s="1"/>
  <c r="X135" i="9" s="1"/>
  <c r="S218" i="9"/>
  <c r="U218" i="9" s="1"/>
  <c r="X218" i="9" s="1"/>
  <c r="S282" i="9"/>
  <c r="U282" i="9" s="1"/>
  <c r="X282" i="9" s="1"/>
  <c r="S62" i="9"/>
  <c r="S24" i="9"/>
  <c r="U24" i="9" s="1"/>
  <c r="X24" i="9" s="1"/>
  <c r="S68" i="9"/>
  <c r="T136" i="9"/>
  <c r="S208" i="9"/>
  <c r="U208" i="9" s="1"/>
  <c r="X208" i="9" s="1"/>
  <c r="U252" i="9"/>
  <c r="X252" i="9" s="1"/>
  <c r="S54" i="9"/>
  <c r="S155" i="9"/>
  <c r="U155" i="9" s="1"/>
  <c r="X155" i="9" s="1"/>
  <c r="S91" i="9"/>
  <c r="S80" i="9"/>
  <c r="U80" i="9" s="1"/>
  <c r="X80" i="9" s="1"/>
  <c r="S189" i="9"/>
  <c r="U271" i="9"/>
  <c r="X271" i="9" s="1"/>
  <c r="U28" i="9"/>
  <c r="X28" i="9" s="1"/>
  <c r="T108" i="9"/>
  <c r="T122" i="9"/>
  <c r="T186" i="9"/>
  <c r="U186" i="9" s="1"/>
  <c r="X186" i="9" s="1"/>
  <c r="T250" i="9"/>
  <c r="U250" i="9" s="1"/>
  <c r="X250" i="9" s="1"/>
  <c r="T314" i="9"/>
  <c r="U314" i="9" s="1"/>
  <c r="X314" i="9" s="1"/>
  <c r="S199" i="9"/>
  <c r="U199" i="9" s="1"/>
  <c r="X199" i="9" s="1"/>
  <c r="S217" i="9"/>
  <c r="S281" i="9"/>
  <c r="S110" i="9"/>
  <c r="S198" i="9"/>
  <c r="U198" i="9" s="1"/>
  <c r="X198" i="9" s="1"/>
  <c r="U177" i="9"/>
  <c r="X177" i="9" s="1"/>
  <c r="T172" i="9"/>
  <c r="U172" i="9" s="1"/>
  <c r="X172" i="9" s="1"/>
  <c r="T118" i="9"/>
  <c r="T124" i="9"/>
  <c r="W124" i="9"/>
  <c r="U295" i="9"/>
  <c r="X295" i="9" s="1"/>
  <c r="U298" i="9"/>
  <c r="X298" i="9" s="1"/>
  <c r="T62" i="9"/>
  <c r="W62" i="9"/>
  <c r="T286" i="9"/>
  <c r="W286" i="9"/>
  <c r="T174" i="9"/>
  <c r="W174" i="9"/>
  <c r="U39" i="9"/>
  <c r="X39" i="9" s="1"/>
  <c r="U291" i="9"/>
  <c r="X291" i="9" s="1"/>
  <c r="S260" i="9"/>
  <c r="S46" i="9"/>
  <c r="S256" i="9"/>
  <c r="U256" i="9" s="1"/>
  <c r="X256" i="9" s="1"/>
  <c r="U111" i="9"/>
  <c r="X111" i="9" s="1"/>
  <c r="T27" i="9"/>
  <c r="T132" i="9"/>
  <c r="T268" i="9"/>
  <c r="T61" i="9"/>
  <c r="T278" i="9"/>
  <c r="U278" i="9" s="1"/>
  <c r="X278" i="9" s="1"/>
  <c r="T129" i="9"/>
  <c r="U129" i="9" s="1"/>
  <c r="X129" i="9" s="1"/>
  <c r="T201" i="9"/>
  <c r="T76" i="9"/>
  <c r="W76" i="9"/>
  <c r="T140" i="9"/>
  <c r="U140" i="9" s="1"/>
  <c r="X140" i="9" s="1"/>
  <c r="W140" i="9"/>
  <c r="T204" i="9"/>
  <c r="U204" i="9" s="1"/>
  <c r="X204" i="9" s="1"/>
  <c r="W204" i="9"/>
  <c r="T284" i="9"/>
  <c r="W284" i="9"/>
  <c r="T294" i="9"/>
  <c r="W294" i="9"/>
  <c r="T91" i="9"/>
  <c r="T125" i="9"/>
  <c r="U125" i="9" s="1"/>
  <c r="X125" i="9" s="1"/>
  <c r="T193" i="9"/>
  <c r="U193" i="9" s="1"/>
  <c r="X193" i="9" s="1"/>
  <c r="T265" i="9"/>
  <c r="U265" i="9" s="1"/>
  <c r="X265" i="9" s="1"/>
  <c r="T190" i="9"/>
  <c r="W190" i="9"/>
  <c r="T35" i="9"/>
  <c r="U35" i="9" s="1"/>
  <c r="X35" i="9" s="1"/>
  <c r="W35" i="9"/>
  <c r="T179" i="9"/>
  <c r="U179" i="9" s="1"/>
  <c r="X179" i="9" s="1"/>
  <c r="W179" i="9"/>
  <c r="T251" i="9"/>
  <c r="W251" i="9"/>
  <c r="T323" i="9"/>
  <c r="U323" i="9" s="1"/>
  <c r="X323" i="9" s="1"/>
  <c r="W323" i="9"/>
  <c r="S237" i="9"/>
  <c r="U237" i="9" s="1"/>
  <c r="X237" i="9" s="1"/>
  <c r="T69" i="9"/>
  <c r="U69" i="9" s="1"/>
  <c r="X69" i="9" s="1"/>
  <c r="W69" i="9"/>
  <c r="T133" i="9"/>
  <c r="U133" i="9" s="1"/>
  <c r="X133" i="9" s="1"/>
  <c r="W133" i="9"/>
  <c r="T197" i="9"/>
  <c r="U197" i="9" s="1"/>
  <c r="X197" i="9" s="1"/>
  <c r="W197" i="9"/>
  <c r="T261" i="9"/>
  <c r="U261" i="9" s="1"/>
  <c r="X261" i="9" s="1"/>
  <c r="W261" i="9"/>
  <c r="T325" i="9"/>
  <c r="U325" i="9" s="1"/>
  <c r="X325" i="9" s="1"/>
  <c r="W325" i="9"/>
  <c r="S109" i="9"/>
  <c r="T9" i="9"/>
  <c r="W9" i="9"/>
  <c r="T73" i="9"/>
  <c r="U73" i="9" s="1"/>
  <c r="X73" i="9" s="1"/>
  <c r="W73" i="9"/>
  <c r="T137" i="9"/>
  <c r="U137" i="9" s="1"/>
  <c r="X137" i="9" s="1"/>
  <c r="W137" i="9"/>
  <c r="T209" i="9"/>
  <c r="W209" i="9"/>
  <c r="T273" i="9"/>
  <c r="W273" i="9"/>
  <c r="S148" i="9"/>
  <c r="S173" i="9"/>
  <c r="U173" i="9" s="1"/>
  <c r="X173" i="9" s="1"/>
  <c r="S41" i="9"/>
  <c r="U41" i="9" s="1"/>
  <c r="X41" i="9" s="1"/>
  <c r="S166" i="9"/>
  <c r="S38" i="9"/>
  <c r="U38" i="9" s="1"/>
  <c r="X38" i="9" s="1"/>
  <c r="S139" i="9"/>
  <c r="U139" i="9" s="1"/>
  <c r="X139" i="9" s="1"/>
  <c r="S75" i="9"/>
  <c r="U75" i="9" s="1"/>
  <c r="X75" i="9" s="1"/>
  <c r="S11" i="9"/>
  <c r="S128" i="9"/>
  <c r="U128" i="9" s="1"/>
  <c r="X128" i="9" s="1"/>
  <c r="S64" i="9"/>
  <c r="U64" i="9" s="1"/>
  <c r="X64" i="9" s="1"/>
  <c r="S45" i="9"/>
  <c r="U45" i="9" s="1"/>
  <c r="X45" i="9" s="1"/>
  <c r="U100" i="9"/>
  <c r="X100" i="9" s="1"/>
  <c r="U144" i="9"/>
  <c r="X144" i="9" s="1"/>
  <c r="T107" i="9"/>
  <c r="T171" i="9"/>
  <c r="T243" i="9"/>
  <c r="T164" i="9"/>
  <c r="T276" i="9"/>
  <c r="T86" i="9"/>
  <c r="U86" i="9" s="1"/>
  <c r="X86" i="9" s="1"/>
  <c r="T65" i="9"/>
  <c r="U65" i="9" s="1"/>
  <c r="X65" i="9" s="1"/>
  <c r="T84" i="9"/>
  <c r="U84" i="9" s="1"/>
  <c r="X84" i="9" s="1"/>
  <c r="W84" i="9"/>
  <c r="T148" i="9"/>
  <c r="W148" i="9"/>
  <c r="T212" i="9"/>
  <c r="W212" i="9"/>
  <c r="T292" i="9"/>
  <c r="W292" i="9"/>
  <c r="T94" i="9"/>
  <c r="W94" i="9"/>
  <c r="T222" i="9"/>
  <c r="U222" i="9" s="1"/>
  <c r="X222" i="9" s="1"/>
  <c r="W222" i="9"/>
  <c r="T302" i="9"/>
  <c r="W302" i="9"/>
  <c r="T188" i="9"/>
  <c r="U188" i="9" s="1"/>
  <c r="X188" i="9" s="1"/>
  <c r="W188" i="9"/>
  <c r="T46" i="9"/>
  <c r="W46" i="9"/>
  <c r="T166" i="9"/>
  <c r="W166" i="9"/>
  <c r="S160" i="9"/>
  <c r="S233" i="9"/>
  <c r="U233" i="9" s="1"/>
  <c r="X233" i="9" s="1"/>
  <c r="S297" i="9"/>
  <c r="U297" i="9" s="1"/>
  <c r="X297" i="9" s="1"/>
  <c r="S174" i="9"/>
  <c r="S243" i="9"/>
  <c r="S124" i="9"/>
  <c r="S94" i="9"/>
  <c r="U120" i="9"/>
  <c r="X120" i="9" s="1"/>
  <c r="S127" i="9"/>
  <c r="U127" i="9" s="1"/>
  <c r="X127" i="9" s="1"/>
  <c r="S63" i="9"/>
  <c r="U63" i="9" s="1"/>
  <c r="X63" i="9" s="1"/>
  <c r="T110" i="9"/>
  <c r="T92" i="9"/>
  <c r="U92" i="9" s="1"/>
  <c r="X92" i="9" s="1"/>
  <c r="W92" i="9"/>
  <c r="T156" i="9"/>
  <c r="U156" i="9" s="1"/>
  <c r="X156" i="9" s="1"/>
  <c r="W156" i="9"/>
  <c r="T220" i="9"/>
  <c r="U220" i="9" s="1"/>
  <c r="X220" i="9" s="1"/>
  <c r="W220" i="9"/>
  <c r="T308" i="9"/>
  <c r="W308" i="9"/>
  <c r="T6" i="9"/>
  <c r="U6" i="9" s="1"/>
  <c r="X6" i="9" s="1"/>
  <c r="W6" i="9"/>
  <c r="T102" i="9"/>
  <c r="W102" i="9"/>
  <c r="T230" i="9"/>
  <c r="W230" i="9"/>
  <c r="T310" i="9"/>
  <c r="W310" i="9"/>
  <c r="T196" i="9"/>
  <c r="U196" i="9" s="1"/>
  <c r="X196" i="9" s="1"/>
  <c r="T60" i="9"/>
  <c r="W60" i="9"/>
  <c r="S251" i="9"/>
  <c r="R330" i="9"/>
  <c r="S292" i="9"/>
  <c r="U142" i="9"/>
  <c r="X142" i="9" s="1"/>
  <c r="S224" i="9"/>
  <c r="U224" i="9" s="1"/>
  <c r="X224" i="9" s="1"/>
  <c r="U303" i="9"/>
  <c r="X303" i="9" s="1"/>
  <c r="U167" i="9"/>
  <c r="X167" i="9" s="1"/>
  <c r="U312" i="9"/>
  <c r="X312" i="9" s="1"/>
  <c r="T67" i="9"/>
  <c r="U67" i="9" s="1"/>
  <c r="X67" i="9" s="1"/>
  <c r="T228" i="9"/>
  <c r="U228" i="9" s="1"/>
  <c r="X228" i="9" s="1"/>
  <c r="T126" i="9"/>
  <c r="U126" i="9" s="1"/>
  <c r="X126" i="9" s="1"/>
  <c r="T238" i="9"/>
  <c r="U238" i="9" s="1"/>
  <c r="X238" i="9" s="1"/>
  <c r="T26" i="9"/>
  <c r="U26" i="9" s="1"/>
  <c r="X26" i="9" s="1"/>
  <c r="T90" i="9"/>
  <c r="T317" i="9"/>
  <c r="U317" i="9" s="1"/>
  <c r="X317" i="9" s="1"/>
  <c r="U103" i="9"/>
  <c r="X103" i="9" s="1"/>
  <c r="S266" i="9"/>
  <c r="U266" i="9" s="1"/>
  <c r="X266" i="9" s="1"/>
  <c r="U257" i="9"/>
  <c r="X257" i="9" s="1"/>
  <c r="S105" i="9"/>
  <c r="U105" i="9" s="1"/>
  <c r="X105" i="9" s="1"/>
  <c r="S201" i="9"/>
  <c r="S44" i="9"/>
  <c r="U70" i="9"/>
  <c r="X70" i="9" s="1"/>
  <c r="S107" i="9"/>
  <c r="S43" i="9"/>
  <c r="U43" i="9" s="1"/>
  <c r="X43" i="9" s="1"/>
  <c r="S96" i="9"/>
  <c r="U96" i="9" s="1"/>
  <c r="X96" i="9" s="1"/>
  <c r="S32" i="9"/>
  <c r="U304" i="9"/>
  <c r="X304" i="9" s="1"/>
  <c r="U231" i="9"/>
  <c r="X231" i="9" s="1"/>
  <c r="S221" i="9"/>
  <c r="U221" i="9" s="1"/>
  <c r="X221" i="9" s="1"/>
  <c r="T211" i="9"/>
  <c r="U211" i="9" s="1"/>
  <c r="X211" i="9" s="1"/>
  <c r="T283" i="9"/>
  <c r="T68" i="9"/>
  <c r="T253" i="9"/>
  <c r="U253" i="9" s="1"/>
  <c r="X253" i="9" s="1"/>
  <c r="T134" i="9"/>
  <c r="U134" i="9" s="1"/>
  <c r="X134" i="9" s="1"/>
  <c r="T246" i="9"/>
  <c r="U246" i="9" s="1"/>
  <c r="X246" i="9" s="1"/>
  <c r="T34" i="9"/>
  <c r="U34" i="9" s="1"/>
  <c r="X34" i="9" s="1"/>
  <c r="T98" i="9"/>
  <c r="U98" i="9" s="1"/>
  <c r="X98" i="9" s="1"/>
  <c r="T52" i="9"/>
  <c r="W52" i="9"/>
  <c r="T116" i="9"/>
  <c r="W116" i="9"/>
  <c r="T180" i="9"/>
  <c r="U180" i="9" s="1"/>
  <c r="X180" i="9" s="1"/>
  <c r="W180" i="9"/>
  <c r="T260" i="9"/>
  <c r="W260" i="9"/>
  <c r="T315" i="9"/>
  <c r="U315" i="9" s="1"/>
  <c r="X315" i="9" s="1"/>
  <c r="T30" i="9"/>
  <c r="U30" i="9" s="1"/>
  <c r="X30" i="9" s="1"/>
  <c r="W30" i="9"/>
  <c r="T158" i="9"/>
  <c r="W158" i="9"/>
  <c r="T262" i="9"/>
  <c r="W262" i="9"/>
  <c r="S164" i="9"/>
  <c r="S158" i="9"/>
  <c r="S241" i="9"/>
  <c r="U241" i="9" s="1"/>
  <c r="X241" i="9" s="1"/>
  <c r="S181" i="9"/>
  <c r="U181" i="9" s="1"/>
  <c r="X181" i="9" s="1"/>
  <c r="S200" i="9"/>
  <c r="S150" i="9"/>
  <c r="U150" i="9" s="1"/>
  <c r="X150" i="9" s="1"/>
  <c r="S10" i="9"/>
  <c r="S85" i="9"/>
  <c r="U85" i="9" s="1"/>
  <c r="X85" i="9" s="1"/>
  <c r="S190" i="9"/>
  <c r="S209" i="9"/>
  <c r="S274" i="9"/>
  <c r="U274" i="9" s="1"/>
  <c r="X274" i="9" s="1"/>
  <c r="S259" i="9"/>
  <c r="S78" i="9"/>
  <c r="U78" i="9" s="1"/>
  <c r="X78" i="9" s="1"/>
  <c r="S14" i="9"/>
  <c r="U14" i="9" s="1"/>
  <c r="X14" i="9" s="1"/>
  <c r="S115" i="9"/>
  <c r="U115" i="9" s="1"/>
  <c r="X115" i="9" s="1"/>
  <c r="S51" i="9"/>
  <c r="U51" i="9" s="1"/>
  <c r="X51" i="9" s="1"/>
  <c r="S104" i="9"/>
  <c r="U104" i="9" s="1"/>
  <c r="X104" i="9" s="1"/>
  <c r="S40" i="9"/>
  <c r="U40" i="9" s="1"/>
  <c r="X40" i="9" s="1"/>
  <c r="S132" i="9"/>
  <c r="Q330" i="9"/>
  <c r="S305" i="9"/>
  <c r="U305" i="9" s="1"/>
  <c r="X305" i="9" s="1"/>
  <c r="S117" i="9"/>
  <c r="S273" i="9"/>
  <c r="S149" i="9"/>
  <c r="S244" i="9"/>
  <c r="S308" i="9"/>
  <c r="S178" i="9"/>
  <c r="U178" i="9" s="1"/>
  <c r="X178" i="9" s="1"/>
  <c r="S114" i="9"/>
  <c r="U114" i="9" s="1"/>
  <c r="X114" i="9" s="1"/>
  <c r="S50" i="9"/>
  <c r="S17" i="9"/>
  <c r="U17" i="9" s="1"/>
  <c r="X17" i="9" s="1"/>
  <c r="S36" i="9"/>
  <c r="S159" i="9"/>
  <c r="U159" i="9" s="1"/>
  <c r="X159" i="9" s="1"/>
  <c r="S232" i="9"/>
  <c r="U232" i="9" s="1"/>
  <c r="X232" i="9" s="1"/>
  <c r="S234" i="9"/>
  <c r="U234" i="9" s="1"/>
  <c r="X234" i="9" s="1"/>
  <c r="S283" i="9"/>
  <c r="U283" i="9" s="1"/>
  <c r="X283" i="9" s="1"/>
  <c r="S76" i="9"/>
  <c r="S118" i="9"/>
  <c r="S27" i="9"/>
  <c r="S170" i="9"/>
  <c r="U170" i="9" s="1"/>
  <c r="X170" i="9" s="1"/>
  <c r="S106" i="9"/>
  <c r="U106" i="9" s="1"/>
  <c r="X106" i="9" s="1"/>
  <c r="S42" i="9"/>
  <c r="S16" i="9"/>
  <c r="U16" i="9" s="1"/>
  <c r="X16" i="9" s="1"/>
  <c r="S52" i="9"/>
  <c r="S171" i="9"/>
  <c r="S242" i="9"/>
  <c r="U242" i="9" s="1"/>
  <c r="X242" i="9" s="1"/>
  <c r="S151" i="9"/>
  <c r="U151" i="9" s="1"/>
  <c r="X151" i="9" s="1"/>
  <c r="S227" i="9"/>
  <c r="U227" i="9" s="1"/>
  <c r="X227" i="9" s="1"/>
  <c r="S147" i="9"/>
  <c r="U147" i="9" s="1"/>
  <c r="X147" i="9" s="1"/>
  <c r="S83" i="9"/>
  <c r="U83" i="9" s="1"/>
  <c r="X83" i="9" s="1"/>
  <c r="S19" i="9"/>
  <c r="S136" i="9"/>
  <c r="U136" i="9" s="1"/>
  <c r="X136" i="9" s="1"/>
  <c r="S72" i="9"/>
  <c r="S8" i="9"/>
  <c r="N330" i="9"/>
  <c r="O5" i="9"/>
  <c r="J10" i="10" s="1"/>
  <c r="I25" i="10" s="1"/>
  <c r="U244" i="9" l="1"/>
  <c r="X244" i="9" s="1"/>
  <c r="U89" i="9"/>
  <c r="X89" i="9" s="1"/>
  <c r="U249" i="9"/>
  <c r="X249" i="9" s="1"/>
  <c r="U268" i="9"/>
  <c r="X268" i="9" s="1"/>
  <c r="U277" i="9"/>
  <c r="X277" i="9" s="1"/>
  <c r="U31" i="9"/>
  <c r="X31" i="9" s="1"/>
  <c r="U230" i="9"/>
  <c r="X230" i="9" s="1"/>
  <c r="U13" i="9"/>
  <c r="X13" i="9" s="1"/>
  <c r="U42" i="9"/>
  <c r="X42" i="9" s="1"/>
  <c r="U122" i="9"/>
  <c r="X122" i="9" s="1"/>
  <c r="U54" i="9"/>
  <c r="X54" i="9" s="1"/>
  <c r="U329" i="9"/>
  <c r="X329" i="9" s="1"/>
  <c r="U306" i="9"/>
  <c r="X306" i="9" s="1"/>
  <c r="U171" i="9"/>
  <c r="X171" i="9" s="1"/>
  <c r="U310" i="9"/>
  <c r="X310" i="9" s="1"/>
  <c r="U157" i="9"/>
  <c r="X157" i="9" s="1"/>
  <c r="U299" i="9"/>
  <c r="X299" i="9" s="1"/>
  <c r="U176" i="9"/>
  <c r="X176" i="9" s="1"/>
  <c r="U189" i="9"/>
  <c r="X189" i="9" s="1"/>
  <c r="U108" i="9"/>
  <c r="X108" i="9" s="1"/>
  <c r="U90" i="9"/>
  <c r="X90" i="9" s="1"/>
  <c r="U281" i="9"/>
  <c r="X281" i="9" s="1"/>
  <c r="U217" i="9"/>
  <c r="X217" i="9" s="1"/>
  <c r="U27" i="9"/>
  <c r="X27" i="9" s="1"/>
  <c r="U117" i="9"/>
  <c r="X117" i="9" s="1"/>
  <c r="U284" i="9"/>
  <c r="X284" i="9" s="1"/>
  <c r="U286" i="9"/>
  <c r="X286" i="9" s="1"/>
  <c r="U302" i="9"/>
  <c r="X302" i="9" s="1"/>
  <c r="U60" i="9"/>
  <c r="X60" i="9" s="1"/>
  <c r="U116" i="9"/>
  <c r="X116" i="9" s="1"/>
  <c r="U109" i="9"/>
  <c r="X109" i="9" s="1"/>
  <c r="U267" i="9"/>
  <c r="X267" i="9" s="1"/>
  <c r="U205" i="9"/>
  <c r="X205" i="9" s="1"/>
  <c r="I26" i="10"/>
  <c r="U149" i="9"/>
  <c r="X149" i="9" s="1"/>
  <c r="U276" i="9"/>
  <c r="X276" i="9" s="1"/>
  <c r="U187" i="9"/>
  <c r="X187" i="9" s="1"/>
  <c r="U240" i="9"/>
  <c r="X240" i="9" s="1"/>
  <c r="I14" i="10"/>
  <c r="U262" i="9"/>
  <c r="X262" i="9" s="1"/>
  <c r="U212" i="9"/>
  <c r="X212" i="9" s="1"/>
  <c r="U50" i="9"/>
  <c r="X50" i="9" s="1"/>
  <c r="U32" i="9"/>
  <c r="X32" i="9" s="1"/>
  <c r="U294" i="9"/>
  <c r="X294" i="9" s="1"/>
  <c r="U154" i="9"/>
  <c r="X154" i="9" s="1"/>
  <c r="U213" i="9"/>
  <c r="X213" i="9" s="1"/>
  <c r="U62" i="9"/>
  <c r="X62" i="9" s="1"/>
  <c r="U8" i="9"/>
  <c r="F27" i="10"/>
  <c r="G27" i="10"/>
  <c r="W19" i="9"/>
  <c r="J8" i="10"/>
  <c r="I23" i="10" s="1"/>
  <c r="T19" i="9"/>
  <c r="G23" i="10" s="1"/>
  <c r="F22" i="10"/>
  <c r="W10" i="9"/>
  <c r="J6" i="10"/>
  <c r="I21" i="10" s="1"/>
  <c r="T10" i="9"/>
  <c r="G21" i="10" s="1"/>
  <c r="U292" i="9"/>
  <c r="X292" i="9" s="1"/>
  <c r="U102" i="9"/>
  <c r="X102" i="9" s="1"/>
  <c r="W8" i="9"/>
  <c r="J12" i="10"/>
  <c r="I27" i="10" s="1"/>
  <c r="W12" i="9"/>
  <c r="J9" i="10"/>
  <c r="I24" i="10" s="1"/>
  <c r="T12" i="9"/>
  <c r="G24" i="10" s="1"/>
  <c r="U190" i="9"/>
  <c r="X190" i="9" s="1"/>
  <c r="D29" i="10"/>
  <c r="U72" i="9"/>
  <c r="X72" i="9" s="1"/>
  <c r="U259" i="9"/>
  <c r="X259" i="9" s="1"/>
  <c r="U132" i="9"/>
  <c r="X132" i="9" s="1"/>
  <c r="U94" i="9"/>
  <c r="X94" i="9" s="1"/>
  <c r="F28" i="10"/>
  <c r="U112" i="9"/>
  <c r="X112" i="9" s="1"/>
  <c r="W11" i="9"/>
  <c r="J13" i="10"/>
  <c r="I28" i="10" s="1"/>
  <c r="T11" i="9"/>
  <c r="G28" i="10" s="1"/>
  <c r="F25" i="10"/>
  <c r="U58" i="9"/>
  <c r="X58" i="9" s="1"/>
  <c r="W7" i="9"/>
  <c r="J7" i="10"/>
  <c r="I22" i="10" s="1"/>
  <c r="T7" i="9"/>
  <c r="G22" i="10" s="1"/>
  <c r="U174" i="9"/>
  <c r="X174" i="9" s="1"/>
  <c r="U9" i="9"/>
  <c r="G26" i="10"/>
  <c r="W15" i="9"/>
  <c r="J5" i="10"/>
  <c r="T15" i="9"/>
  <c r="G20" i="10" s="1"/>
  <c r="F24" i="10"/>
  <c r="U59" i="9"/>
  <c r="X59" i="9" s="1"/>
  <c r="E29" i="10"/>
  <c r="F26" i="10"/>
  <c r="U15" i="9"/>
  <c r="F20" i="10"/>
  <c r="U313" i="9"/>
  <c r="X313" i="9" s="1"/>
  <c r="U19" i="9"/>
  <c r="F23" i="10"/>
  <c r="U36" i="9"/>
  <c r="X36" i="9" s="1"/>
  <c r="F21" i="10"/>
  <c r="U91" i="9"/>
  <c r="X91" i="9" s="1"/>
  <c r="U200" i="9"/>
  <c r="X200" i="9" s="1"/>
  <c r="U160" i="9"/>
  <c r="X160" i="9" s="1"/>
  <c r="U110" i="9"/>
  <c r="X110" i="9" s="1"/>
  <c r="U61" i="9"/>
  <c r="X61" i="9" s="1"/>
  <c r="U44" i="9"/>
  <c r="X44" i="9" s="1"/>
  <c r="U118" i="9"/>
  <c r="X118" i="9" s="1"/>
  <c r="U251" i="9"/>
  <c r="X251" i="9" s="1"/>
  <c r="U68" i="9"/>
  <c r="X68" i="9" s="1"/>
  <c r="U52" i="9"/>
  <c r="X52" i="9" s="1"/>
  <c r="U76" i="9"/>
  <c r="X76" i="9" s="1"/>
  <c r="U166" i="9"/>
  <c r="X166" i="9" s="1"/>
  <c r="U201" i="9"/>
  <c r="X201" i="9" s="1"/>
  <c r="U158" i="9"/>
  <c r="X158" i="9" s="1"/>
  <c r="U164" i="9"/>
  <c r="X164" i="9" s="1"/>
  <c r="U107" i="9"/>
  <c r="X107" i="9" s="1"/>
  <c r="U260" i="9"/>
  <c r="X260" i="9" s="1"/>
  <c r="U46" i="9"/>
  <c r="X46" i="9" s="1"/>
  <c r="U308" i="9"/>
  <c r="X308" i="9" s="1"/>
  <c r="U124" i="9"/>
  <c r="X124" i="9" s="1"/>
  <c r="S330" i="9"/>
  <c r="U209" i="9"/>
  <c r="X209" i="9" s="1"/>
  <c r="W5" i="9"/>
  <c r="T5" i="9"/>
  <c r="G25" i="10" s="1"/>
  <c r="U273" i="9"/>
  <c r="X273" i="9" s="1"/>
  <c r="U243" i="9"/>
  <c r="X243" i="9" s="1"/>
  <c r="U148" i="9"/>
  <c r="X148" i="9" s="1"/>
  <c r="O330" i="9"/>
  <c r="U12" i="9" l="1"/>
  <c r="U10" i="9"/>
  <c r="U7" i="9"/>
  <c r="X7" i="9" s="1"/>
  <c r="X9" i="9"/>
  <c r="H26" i="10"/>
  <c r="J26" i="10" s="1"/>
  <c r="G29" i="10"/>
  <c r="X10" i="9"/>
  <c r="H21" i="10"/>
  <c r="J21" i="10" s="1"/>
  <c r="X15" i="9"/>
  <c r="H20" i="10"/>
  <c r="X19" i="9"/>
  <c r="H23" i="10"/>
  <c r="J23" i="10" s="1"/>
  <c r="X12" i="9"/>
  <c r="H24" i="10"/>
  <c r="J24" i="10" s="1"/>
  <c r="U11" i="9"/>
  <c r="X8" i="9"/>
  <c r="H27" i="10"/>
  <c r="J27" i="10" s="1"/>
  <c r="F29" i="10"/>
  <c r="J14" i="10"/>
  <c r="I20" i="10"/>
  <c r="T330" i="9"/>
  <c r="U5" i="9"/>
  <c r="H25" i="10" s="1"/>
  <c r="J25" i="10" s="1"/>
  <c r="H22" i="10" l="1"/>
  <c r="J22" i="10" s="1"/>
  <c r="X11" i="9"/>
  <c r="H28" i="10"/>
  <c r="J28" i="10" s="1"/>
  <c r="J20" i="10"/>
  <c r="X5" i="9"/>
  <c r="U330" i="9"/>
  <c r="H29" i="10" l="1"/>
</calcChain>
</file>

<file path=xl/sharedStrings.xml><?xml version="1.0" encoding="utf-8"?>
<sst xmlns="http://schemas.openxmlformats.org/spreadsheetml/2006/main" count="14054" uniqueCount="1300">
  <si>
    <t>01</t>
  </si>
  <si>
    <t>0135</t>
  </si>
  <si>
    <t>1080</t>
  </si>
  <si>
    <t>2763</t>
  </si>
  <si>
    <t>1638</t>
  </si>
  <si>
    <t>1863</t>
  </si>
  <si>
    <t>1972</t>
  </si>
  <si>
    <t>1989</t>
  </si>
  <si>
    <t>3029</t>
  </si>
  <si>
    <t>4043</t>
  </si>
  <si>
    <t>4419</t>
  </si>
  <si>
    <t>4662</t>
  </si>
  <si>
    <t>4774</t>
  </si>
  <si>
    <t>4869</t>
  </si>
  <si>
    <t>5310</t>
  </si>
  <si>
    <t>5508</t>
  </si>
  <si>
    <t>6100</t>
  </si>
  <si>
    <t>6175</t>
  </si>
  <si>
    <t>6509</t>
  </si>
  <si>
    <t>6943</t>
  </si>
  <si>
    <t>6950</t>
  </si>
  <si>
    <t>6961</t>
  </si>
  <si>
    <t>05</t>
  </si>
  <si>
    <t>0072</t>
  </si>
  <si>
    <t>0126</t>
  </si>
  <si>
    <t>0171</t>
  </si>
  <si>
    <t>1206</t>
  </si>
  <si>
    <t>1218</t>
  </si>
  <si>
    <t>1944</t>
  </si>
  <si>
    <t>6741</t>
  </si>
  <si>
    <t>2088</t>
  </si>
  <si>
    <t>2124</t>
  </si>
  <si>
    <t>2313</t>
  </si>
  <si>
    <t>2493</t>
  </si>
  <si>
    <t>2556</t>
  </si>
  <si>
    <t>3195</t>
  </si>
  <si>
    <t>2846</t>
  </si>
  <si>
    <t>3060</t>
  </si>
  <si>
    <t>3537</t>
  </si>
  <si>
    <t>4023</t>
  </si>
  <si>
    <t>4644</t>
  </si>
  <si>
    <t>4778</t>
  </si>
  <si>
    <t>0333</t>
  </si>
  <si>
    <t>4860</t>
  </si>
  <si>
    <t>4890</t>
  </si>
  <si>
    <t>5139</t>
  </si>
  <si>
    <t>5283</t>
  </si>
  <si>
    <t>5724</t>
  </si>
  <si>
    <t>5823</t>
  </si>
  <si>
    <t>6048</t>
  </si>
  <si>
    <t>6091</t>
  </si>
  <si>
    <t>6095</t>
  </si>
  <si>
    <t>6096</t>
  </si>
  <si>
    <t>6102</t>
  </si>
  <si>
    <t>6120</t>
  </si>
  <si>
    <t>6219</t>
  </si>
  <si>
    <t>6246</t>
  </si>
  <si>
    <t>6516</t>
  </si>
  <si>
    <t>6867</t>
  </si>
  <si>
    <t>6921</t>
  </si>
  <si>
    <t>07</t>
  </si>
  <si>
    <t>0009</t>
  </si>
  <si>
    <t>AGWSR</t>
  </si>
  <si>
    <t>0108</t>
  </si>
  <si>
    <t>0279</t>
  </si>
  <si>
    <t>0540</t>
  </si>
  <si>
    <t>BCLUW</t>
  </si>
  <si>
    <t>0594</t>
  </si>
  <si>
    <t>0846</t>
  </si>
  <si>
    <t>0916</t>
  </si>
  <si>
    <t>CAL</t>
  </si>
  <si>
    <t>1044</t>
  </si>
  <si>
    <t>4772</t>
  </si>
  <si>
    <t>1116</t>
  </si>
  <si>
    <t>1215</t>
  </si>
  <si>
    <t>1233</t>
  </si>
  <si>
    <t>1719</t>
  </si>
  <si>
    <t>1791</t>
  </si>
  <si>
    <t>1908</t>
  </si>
  <si>
    <t>1963</t>
  </si>
  <si>
    <t>3582</t>
  </si>
  <si>
    <t>2007</t>
  </si>
  <si>
    <t>2295</t>
  </si>
  <si>
    <t>2403</t>
  </si>
  <si>
    <t>2502</t>
  </si>
  <si>
    <t>2682</t>
  </si>
  <si>
    <t>GMG</t>
  </si>
  <si>
    <t>2709</t>
  </si>
  <si>
    <t>2727</t>
  </si>
  <si>
    <t>2781</t>
  </si>
  <si>
    <t>3033</t>
  </si>
  <si>
    <t>3042</t>
  </si>
  <si>
    <t>3105</t>
  </si>
  <si>
    <t>3150</t>
  </si>
  <si>
    <t>3186</t>
  </si>
  <si>
    <t>3204</t>
  </si>
  <si>
    <t>3420</t>
  </si>
  <si>
    <t>4104</t>
  </si>
  <si>
    <t>4131</t>
  </si>
  <si>
    <t>4437</t>
  </si>
  <si>
    <t>4599</t>
  </si>
  <si>
    <t>0153</t>
  </si>
  <si>
    <t>0873</t>
  </si>
  <si>
    <t>4785</t>
  </si>
  <si>
    <t>4788</t>
  </si>
  <si>
    <t>4995</t>
  </si>
  <si>
    <t>5697</t>
  </si>
  <si>
    <t>6098</t>
  </si>
  <si>
    <t>5751</t>
  </si>
  <si>
    <t>6273</t>
  </si>
  <si>
    <t>6471</t>
  </si>
  <si>
    <t>1935</t>
  </si>
  <si>
    <t>6762</t>
  </si>
  <si>
    <t>6795</t>
  </si>
  <si>
    <t>6840</t>
  </si>
  <si>
    <t>5922</t>
  </si>
  <si>
    <t>0819</t>
  </si>
  <si>
    <t>6985</t>
  </si>
  <si>
    <t>09</t>
  </si>
  <si>
    <t>0243</t>
  </si>
  <si>
    <t>0585</t>
  </si>
  <si>
    <t>0603</t>
  </si>
  <si>
    <t>0621</t>
  </si>
  <si>
    <t>0918</t>
  </si>
  <si>
    <t>0936</t>
  </si>
  <si>
    <t>1082</t>
  </si>
  <si>
    <t>1278</t>
  </si>
  <si>
    <t>1368</t>
  </si>
  <si>
    <t>1611</t>
  </si>
  <si>
    <t>1675</t>
  </si>
  <si>
    <t>1926</t>
  </si>
  <si>
    <t>1965</t>
  </si>
  <si>
    <t>3841</t>
  </si>
  <si>
    <t>4041</t>
  </si>
  <si>
    <t>4581</t>
  </si>
  <si>
    <t>4784</t>
  </si>
  <si>
    <t>4773</t>
  </si>
  <si>
    <t>5250</t>
  </si>
  <si>
    <t>6975</t>
  </si>
  <si>
    <t>7038</t>
  </si>
  <si>
    <t>10</t>
  </si>
  <si>
    <t>0099</t>
  </si>
  <si>
    <t>0234</t>
  </si>
  <si>
    <t>0576</t>
  </si>
  <si>
    <t>0609</t>
  </si>
  <si>
    <t>1053</t>
  </si>
  <si>
    <t>1062</t>
  </si>
  <si>
    <t>1089</t>
  </si>
  <si>
    <t>1221</t>
  </si>
  <si>
    <t>1337</t>
  </si>
  <si>
    <t>2097</t>
  </si>
  <si>
    <t>2977</t>
  </si>
  <si>
    <t>2766</t>
  </si>
  <si>
    <t>HLV</t>
  </si>
  <si>
    <t>3141</t>
  </si>
  <si>
    <t>3154</t>
  </si>
  <si>
    <t>3715</t>
  </si>
  <si>
    <t>3744</t>
  </si>
  <si>
    <t>3816</t>
  </si>
  <si>
    <t>4086</t>
  </si>
  <si>
    <t>4271</t>
  </si>
  <si>
    <t>4269</t>
  </si>
  <si>
    <t>4446</t>
  </si>
  <si>
    <t>4554</t>
  </si>
  <si>
    <t>3691</t>
  </si>
  <si>
    <t>4777</t>
  </si>
  <si>
    <t>4905</t>
  </si>
  <si>
    <t>6093</t>
  </si>
  <si>
    <t>6138</t>
  </si>
  <si>
    <t>6408</t>
  </si>
  <si>
    <t>6660</t>
  </si>
  <si>
    <t>6768</t>
  </si>
  <si>
    <t>6930</t>
  </si>
  <si>
    <t>7029</t>
  </si>
  <si>
    <t>11</t>
  </si>
  <si>
    <t>0018</t>
  </si>
  <si>
    <t>0027</t>
  </si>
  <si>
    <t>0225</t>
  </si>
  <si>
    <t>0261</t>
  </si>
  <si>
    <t>0414</t>
  </si>
  <si>
    <t>0472</t>
  </si>
  <si>
    <t>0513</t>
  </si>
  <si>
    <t>0720</t>
  </si>
  <si>
    <t>0729</t>
  </si>
  <si>
    <t>0981</t>
  </si>
  <si>
    <t>0999</t>
  </si>
  <si>
    <t>1332</t>
  </si>
  <si>
    <t>1350</t>
  </si>
  <si>
    <t>1359</t>
  </si>
  <si>
    <t>1413</t>
  </si>
  <si>
    <t>1576</t>
  </si>
  <si>
    <t>1737</t>
  </si>
  <si>
    <t>1953</t>
  </si>
  <si>
    <t>2151</t>
  </si>
  <si>
    <t>2466</t>
  </si>
  <si>
    <t>2520</t>
  </si>
  <si>
    <t>2754</t>
  </si>
  <si>
    <t>3114</t>
  </si>
  <si>
    <t>3119</t>
  </si>
  <si>
    <t>3231</t>
  </si>
  <si>
    <t>3375</t>
  </si>
  <si>
    <t>3906</t>
  </si>
  <si>
    <t>3942</t>
  </si>
  <si>
    <t>4122</t>
  </si>
  <si>
    <t>4212</t>
  </si>
  <si>
    <t>4617</t>
  </si>
  <si>
    <t>4725</t>
  </si>
  <si>
    <t>4779</t>
  </si>
  <si>
    <t>4797</t>
  </si>
  <si>
    <t>4878</t>
  </si>
  <si>
    <t>5121</t>
  </si>
  <si>
    <t>5319</t>
  </si>
  <si>
    <t>PCM</t>
  </si>
  <si>
    <t>5166</t>
  </si>
  <si>
    <t>5184</t>
  </si>
  <si>
    <t>5256</t>
  </si>
  <si>
    <t>5643</t>
  </si>
  <si>
    <t>5805</t>
  </si>
  <si>
    <t>6101</t>
  </si>
  <si>
    <t>6094</t>
  </si>
  <si>
    <t>6512</t>
  </si>
  <si>
    <t>6561</t>
  </si>
  <si>
    <t>6579</t>
  </si>
  <si>
    <t>6615</t>
  </si>
  <si>
    <t>6822</t>
  </si>
  <si>
    <t>6264</t>
  </si>
  <si>
    <t>6957</t>
  </si>
  <si>
    <t>7056</t>
  </si>
  <si>
    <t>7110</t>
  </si>
  <si>
    <t>12</t>
  </si>
  <si>
    <t>0063</t>
  </si>
  <si>
    <t>0355</t>
  </si>
  <si>
    <t>0747</t>
  </si>
  <si>
    <t>1095</t>
  </si>
  <si>
    <t>1134</t>
  </si>
  <si>
    <t>1152</t>
  </si>
  <si>
    <t>1701</t>
  </si>
  <si>
    <t>2376</t>
  </si>
  <si>
    <t>2457</t>
  </si>
  <si>
    <t>2862</t>
  </si>
  <si>
    <t>2988</t>
  </si>
  <si>
    <t>3348</t>
  </si>
  <si>
    <t>3555</t>
  </si>
  <si>
    <t>3600</t>
  </si>
  <si>
    <t>4033</t>
  </si>
  <si>
    <t>4068</t>
  </si>
  <si>
    <t>4149</t>
  </si>
  <si>
    <t>5486</t>
  </si>
  <si>
    <t>1975</t>
  </si>
  <si>
    <t>5607</t>
  </si>
  <si>
    <t>5832</t>
  </si>
  <si>
    <t>5877</t>
  </si>
  <si>
    <t>5949</t>
  </si>
  <si>
    <t>5994</t>
  </si>
  <si>
    <t>6030</t>
  </si>
  <si>
    <t>6039</t>
  </si>
  <si>
    <t>5157</t>
  </si>
  <si>
    <t>6983</t>
  </si>
  <si>
    <t>6987</t>
  </si>
  <si>
    <t>6990</t>
  </si>
  <si>
    <t>6992</t>
  </si>
  <si>
    <t>7002</t>
  </si>
  <si>
    <t>7098</t>
  </si>
  <si>
    <t>13</t>
  </si>
  <si>
    <t>0441</t>
  </si>
  <si>
    <t>0387</t>
  </si>
  <si>
    <t>0549</t>
  </si>
  <si>
    <t>1917</t>
  </si>
  <si>
    <t>0914</t>
  </si>
  <si>
    <t>CAM</t>
  </si>
  <si>
    <t>1093</t>
  </si>
  <si>
    <t>1197</t>
  </si>
  <si>
    <t>1211</t>
  </si>
  <si>
    <t>1431</t>
  </si>
  <si>
    <t>1476</t>
  </si>
  <si>
    <t>1503</t>
  </si>
  <si>
    <t>1782</t>
  </si>
  <si>
    <t>3978</t>
  </si>
  <si>
    <t>1970</t>
  </si>
  <si>
    <t>2113</t>
  </si>
  <si>
    <t>2369</t>
  </si>
  <si>
    <t>2511</t>
  </si>
  <si>
    <t>2718</t>
  </si>
  <si>
    <t>2772</t>
  </si>
  <si>
    <t>2826</t>
  </si>
  <si>
    <t>3168</t>
  </si>
  <si>
    <t>3465</t>
  </si>
  <si>
    <t>3609</t>
  </si>
  <si>
    <t>3645</t>
  </si>
  <si>
    <t>3798</t>
  </si>
  <si>
    <t>4356</t>
  </si>
  <si>
    <t>4505</t>
  </si>
  <si>
    <t>4527</t>
  </si>
  <si>
    <t>4572</t>
  </si>
  <si>
    <t>2673</t>
  </si>
  <si>
    <t>4978</t>
  </si>
  <si>
    <t>5463</t>
  </si>
  <si>
    <t>4824</t>
  </si>
  <si>
    <t>5976</t>
  </si>
  <si>
    <t>6003</t>
  </si>
  <si>
    <t>6097</t>
  </si>
  <si>
    <t>6165</t>
  </si>
  <si>
    <t>6453</t>
  </si>
  <si>
    <t>6460</t>
  </si>
  <si>
    <t>6534</t>
  </si>
  <si>
    <t>6651</t>
  </si>
  <si>
    <t>6969</t>
  </si>
  <si>
    <t>7092</t>
  </si>
  <si>
    <t>15</t>
  </si>
  <si>
    <t>0081</t>
  </si>
  <si>
    <t>0882</t>
  </si>
  <si>
    <t>0977</t>
  </si>
  <si>
    <t>1071</t>
  </si>
  <si>
    <t>1079</t>
  </si>
  <si>
    <t>1107</t>
  </si>
  <si>
    <t>1602</t>
  </si>
  <si>
    <t>1619</t>
  </si>
  <si>
    <t>0657</t>
  </si>
  <si>
    <t>2169</t>
  </si>
  <si>
    <t>2322</t>
  </si>
  <si>
    <t>3312</t>
  </si>
  <si>
    <t>3330</t>
  </si>
  <si>
    <t>4203</t>
  </si>
  <si>
    <t>4491</t>
  </si>
  <si>
    <t>4509</t>
  </si>
  <si>
    <t>4518</t>
  </si>
  <si>
    <t>4536</t>
  </si>
  <si>
    <t>4689</t>
  </si>
  <si>
    <t>4776</t>
  </si>
  <si>
    <t>5013</t>
  </si>
  <si>
    <t>5049</t>
  </si>
  <si>
    <t>5163</t>
  </si>
  <si>
    <t>5895</t>
  </si>
  <si>
    <t>6012</t>
  </si>
  <si>
    <t>6462</t>
  </si>
  <si>
    <t>6592</t>
  </si>
  <si>
    <t>6700</t>
  </si>
  <si>
    <t>6759</t>
  </si>
  <si>
    <t>6854</t>
  </si>
  <si>
    <t>6937</t>
  </si>
  <si>
    <t>7047</t>
  </si>
  <si>
    <t>AEA Teacher Salary Supplement District Cost</t>
  </si>
  <si>
    <t>AEA Statewide State Aid Reduction</t>
  </si>
  <si>
    <t>AEA</t>
  </si>
  <si>
    <t>AEA Name</t>
  </si>
  <si>
    <t>District</t>
  </si>
  <si>
    <t>AEA Special Ed Support Adjustment</t>
  </si>
  <si>
    <t>AEA Professional Development Supplement District Cost</t>
  </si>
  <si>
    <t>Allamakee</t>
  </si>
  <si>
    <t>Central Clayton</t>
  </si>
  <si>
    <t>Clayton Ridge</t>
  </si>
  <si>
    <t>Decorah</t>
  </si>
  <si>
    <t>Dubuque</t>
  </si>
  <si>
    <t>Eastern Allamakee</t>
  </si>
  <si>
    <t>Edgewood-Colesburg</t>
  </si>
  <si>
    <t>Howard-Winneshiek</t>
  </si>
  <si>
    <t>Maquoketa Valley</t>
  </si>
  <si>
    <t>MFL Mar Mac</t>
  </si>
  <si>
    <t>New Hampton</t>
  </si>
  <si>
    <t>North Fayette Valley</t>
  </si>
  <si>
    <t>Oelwein</t>
  </si>
  <si>
    <t>Postville</t>
  </si>
  <si>
    <t>Riceville</t>
  </si>
  <si>
    <t>South Winneshiek</t>
  </si>
  <si>
    <t>Starmont</t>
  </si>
  <si>
    <t>Turkey Valley</t>
  </si>
  <si>
    <t>West Central</t>
  </si>
  <si>
    <t>West Delaware Co</t>
  </si>
  <si>
    <t>Western Dubuque Co</t>
  </si>
  <si>
    <t>Albert City-Truesdale</t>
  </si>
  <si>
    <t>Algona</t>
  </si>
  <si>
    <t>Alta-Aurelia</t>
  </si>
  <si>
    <t>Clarion-Goldfield-Dows</t>
  </si>
  <si>
    <t>Clay Central-Everly</t>
  </si>
  <si>
    <t>Eagle Grove</t>
  </si>
  <si>
    <t>East Sac County</t>
  </si>
  <si>
    <t>Emmetsburg</t>
  </si>
  <si>
    <t>Estherville-Lincoln Central</t>
  </si>
  <si>
    <t>Fort Dodge</t>
  </si>
  <si>
    <t>Gilmore City-Bradgate</t>
  </si>
  <si>
    <t>Graettinger-Terril</t>
  </si>
  <si>
    <t>Greene County</t>
  </si>
  <si>
    <t>Harris-Lake Park</t>
  </si>
  <si>
    <t>Humboldt</t>
  </si>
  <si>
    <t>Laurens-Marathon</t>
  </si>
  <si>
    <t>Manson-Northwest Webster</t>
  </si>
  <si>
    <t>Newell-Fonda</t>
  </si>
  <si>
    <t>North Kossuth</t>
  </si>
  <si>
    <t>North Union</t>
  </si>
  <si>
    <t>Okoboji</t>
  </si>
  <si>
    <t>Paton-Churdan</t>
  </si>
  <si>
    <t>Pocahontas Area</t>
  </si>
  <si>
    <t>Ruthven-Ayrshire</t>
  </si>
  <si>
    <t>Schaller-Crestland</t>
  </si>
  <si>
    <t>Sioux Central</t>
  </si>
  <si>
    <t>South Central Calhoun</t>
  </si>
  <si>
    <t>South Hamilton</t>
  </si>
  <si>
    <t>Spencer</t>
  </si>
  <si>
    <t>Spirit Lake</t>
  </si>
  <si>
    <t>Storm Lake</t>
  </si>
  <si>
    <t>Stratford</t>
  </si>
  <si>
    <t>Twin Rivers</t>
  </si>
  <si>
    <t>Webster City</t>
  </si>
  <si>
    <t>West Bend-Mallard</t>
  </si>
  <si>
    <t>Alden</t>
  </si>
  <si>
    <t>Aplington-Parkersburg</t>
  </si>
  <si>
    <t>Belmond-Klemme</t>
  </si>
  <si>
    <t>Brooklyn-Guernsey-Malcom</t>
  </si>
  <si>
    <t>Cedar Falls</t>
  </si>
  <si>
    <t>Central Springs</t>
  </si>
  <si>
    <t>Charles City</t>
  </si>
  <si>
    <t>Clarksville</t>
  </si>
  <si>
    <t>Clear Lake</t>
  </si>
  <si>
    <t>Denver</t>
  </si>
  <si>
    <t>Dike-New Hartford</t>
  </si>
  <si>
    <t>Dunkerton</t>
  </si>
  <si>
    <t>East Buchanan</t>
  </si>
  <si>
    <t>East Marshall</t>
  </si>
  <si>
    <t>Eldora-New Providence</t>
  </si>
  <si>
    <t>Forest City</t>
  </si>
  <si>
    <t>Garner-Hayfield-Ventura</t>
  </si>
  <si>
    <t>Gladbrook-Reinbeck</t>
  </si>
  <si>
    <t>Grinnell-Newburg</t>
  </si>
  <si>
    <t>Grundy Center</t>
  </si>
  <si>
    <t>Hampton-Dumont</t>
  </si>
  <si>
    <t>Hubbard-Radcliffe</t>
  </si>
  <si>
    <t>Hudson</t>
  </si>
  <si>
    <t>Independence</t>
  </si>
  <si>
    <t>Iowa Falls</t>
  </si>
  <si>
    <t>Janesville</t>
  </si>
  <si>
    <t>Jesup</t>
  </si>
  <si>
    <t>Lake Mills</t>
  </si>
  <si>
    <t>Marshalltown</t>
  </si>
  <si>
    <t>Mason City</t>
  </si>
  <si>
    <t>Montezuma</t>
  </si>
  <si>
    <t>Nashua-Plainfield</t>
  </si>
  <si>
    <t>North Butler</t>
  </si>
  <si>
    <t>North Iowa</t>
  </si>
  <si>
    <t>North Tama</t>
  </si>
  <si>
    <t>Northwood-Kensett</t>
  </si>
  <si>
    <t>Osage</t>
  </si>
  <si>
    <t>Rudd-Rockford-Marble Rock</t>
  </si>
  <si>
    <t>South Tama</t>
  </si>
  <si>
    <t>St Ansgar</t>
  </si>
  <si>
    <t>Sumner-Fredericksburg</t>
  </si>
  <si>
    <t>Tripoli</t>
  </si>
  <si>
    <t>Union</t>
  </si>
  <si>
    <t>Wapsie Valley</t>
  </si>
  <si>
    <t>Waterloo</t>
  </si>
  <si>
    <t>Waverly-Shell Rock</t>
  </si>
  <si>
    <t>West Fork</t>
  </si>
  <si>
    <t>West Hancock</t>
  </si>
  <si>
    <t>West Marshall</t>
  </si>
  <si>
    <t>Andrew</t>
  </si>
  <si>
    <t>Bellevue</t>
  </si>
  <si>
    <t>Bennett</t>
  </si>
  <si>
    <t>Bettendorf</t>
  </si>
  <si>
    <t>Calamus-Wheatland</t>
  </si>
  <si>
    <t>Camanche</t>
  </si>
  <si>
    <t>Central De Witt</t>
  </si>
  <si>
    <t>Clinton</t>
  </si>
  <si>
    <t>Columbus</t>
  </si>
  <si>
    <t>Davenport</t>
  </si>
  <si>
    <t>Delwood</t>
  </si>
  <si>
    <t>Durant</t>
  </si>
  <si>
    <t>Easton Valley</t>
  </si>
  <si>
    <t>Louisa-Muscatine</t>
  </si>
  <si>
    <t>Maquoketa</t>
  </si>
  <si>
    <t>Muscatine</t>
  </si>
  <si>
    <t>North Scott</t>
  </si>
  <si>
    <t>Northeast</t>
  </si>
  <si>
    <t>Pleasant Valley</t>
  </si>
  <si>
    <t>West Liberty</t>
  </si>
  <si>
    <t>Wilton</t>
  </si>
  <si>
    <t>Alburnett</t>
  </si>
  <si>
    <t>Anamosa</t>
  </si>
  <si>
    <t>Belle Plaine</t>
  </si>
  <si>
    <t>Benton</t>
  </si>
  <si>
    <t>Cedar Rapids</t>
  </si>
  <si>
    <t>Center Point-Urbana</t>
  </si>
  <si>
    <t>Central City</t>
  </si>
  <si>
    <t>Clear Creek-Amana</t>
  </si>
  <si>
    <t>College Community</t>
  </si>
  <si>
    <t>English Valleys</t>
  </si>
  <si>
    <t>Highland</t>
  </si>
  <si>
    <t>Iowa City</t>
  </si>
  <si>
    <t>Iowa Valley</t>
  </si>
  <si>
    <t>Linn-Mar</t>
  </si>
  <si>
    <t>Lisbon</t>
  </si>
  <si>
    <t>Lone Tree</t>
  </si>
  <si>
    <t>Marion</t>
  </si>
  <si>
    <t>Mid-Prairie</t>
  </si>
  <si>
    <t>Midland</t>
  </si>
  <si>
    <t>Monticello</t>
  </si>
  <si>
    <t>Mount Vernon</t>
  </si>
  <si>
    <t>North Cedar</t>
  </si>
  <si>
    <t>North Linn</t>
  </si>
  <si>
    <t>Olin</t>
  </si>
  <si>
    <t>Solon</t>
  </si>
  <si>
    <t>Springville</t>
  </si>
  <si>
    <t>Tipton</t>
  </si>
  <si>
    <t>Vinton-Shellsburg</t>
  </si>
  <si>
    <t>Washington</t>
  </si>
  <si>
    <t>West Branch</t>
  </si>
  <si>
    <t>Williamsburg</t>
  </si>
  <si>
    <t>Adair-Casey</t>
  </si>
  <si>
    <t>Adel-Desoto-Minburn</t>
  </si>
  <si>
    <t>Ames</t>
  </si>
  <si>
    <t>Ankeny</t>
  </si>
  <si>
    <t>Audubon</t>
  </si>
  <si>
    <t>Ballard</t>
  </si>
  <si>
    <t>Baxter</t>
  </si>
  <si>
    <t>Bondurant-Farrar</t>
  </si>
  <si>
    <t>Boone</t>
  </si>
  <si>
    <t>Carlisle</t>
  </si>
  <si>
    <t>Carroll</t>
  </si>
  <si>
    <t>Colfax-Mingo</t>
  </si>
  <si>
    <t>Collins-Maxwell</t>
  </si>
  <si>
    <t>Colo-Nesco</t>
  </si>
  <si>
    <t>Coon Rapids-Bayard</t>
  </si>
  <si>
    <t>Dallas Center-Grimes</t>
  </si>
  <si>
    <t>Des Moines</t>
  </si>
  <si>
    <t>Earlham</t>
  </si>
  <si>
    <t>Exira-Elk Horn-Kimballton</t>
  </si>
  <si>
    <t>Gilbert</t>
  </si>
  <si>
    <t>Glidden-Ralston</t>
  </si>
  <si>
    <t>Guthrie Center</t>
  </si>
  <si>
    <t>Indianola</t>
  </si>
  <si>
    <t>Interstate 35</t>
  </si>
  <si>
    <t>Johnston</t>
  </si>
  <si>
    <t>Knoxville</t>
  </si>
  <si>
    <t>Lynnville-Sully</t>
  </si>
  <si>
    <t>Madrid</t>
  </si>
  <si>
    <t>Martensdale-St Marys</t>
  </si>
  <si>
    <t>Melcher-Dallas</t>
  </si>
  <si>
    <t>Nevada</t>
  </si>
  <si>
    <t>Newton</t>
  </si>
  <si>
    <t>North Polk</t>
  </si>
  <si>
    <t>Norwalk</t>
  </si>
  <si>
    <t>Ogden</t>
  </si>
  <si>
    <t>Panorama</t>
  </si>
  <si>
    <t>Pella</t>
  </si>
  <si>
    <t>Perry</t>
  </si>
  <si>
    <t>Pleasantville</t>
  </si>
  <si>
    <t>Roland-Story</t>
  </si>
  <si>
    <t>Saydel</t>
  </si>
  <si>
    <t>Southeast Polk</t>
  </si>
  <si>
    <t>Southeast Warren</t>
  </si>
  <si>
    <t>Twin Cedars</t>
  </si>
  <si>
    <t>United</t>
  </si>
  <si>
    <t>Urbandale</t>
  </si>
  <si>
    <t>Van Meter</t>
  </si>
  <si>
    <t>Waukee</t>
  </si>
  <si>
    <t>West Central Valley</t>
  </si>
  <si>
    <t>West Des Moines</t>
  </si>
  <si>
    <t>Winterset</t>
  </si>
  <si>
    <t>Woodward-Granger</t>
  </si>
  <si>
    <t>Akron-Westfield</t>
  </si>
  <si>
    <t>Ar-We-Va</t>
  </si>
  <si>
    <t>Boyden-Hull</t>
  </si>
  <si>
    <t>Central Lyon</t>
  </si>
  <si>
    <t>Charter Oak-Ute</t>
  </si>
  <si>
    <t>Cherokee</t>
  </si>
  <si>
    <t>Denison</t>
  </si>
  <si>
    <t>Galva-Holstein</t>
  </si>
  <si>
    <t>George-Little Rock</t>
  </si>
  <si>
    <t>Hartley-Melvin-Sanborn</t>
  </si>
  <si>
    <t>Hinton</t>
  </si>
  <si>
    <t>Kingsley-Pierson</t>
  </si>
  <si>
    <t>Lawton-Bronson</t>
  </si>
  <si>
    <t>Le Mars</t>
  </si>
  <si>
    <t>Maple Valley-Anthon Oto</t>
  </si>
  <si>
    <t>Marcus-Meriden Cleghorn</t>
  </si>
  <si>
    <t>Moc-Floyd Valley</t>
  </si>
  <si>
    <t>Odebolt Arthur Battle Creek Ida Grove</t>
  </si>
  <si>
    <t>Remsen-Union</t>
  </si>
  <si>
    <t>River Valley</t>
  </si>
  <si>
    <t>Rock Valley</t>
  </si>
  <si>
    <t>Schleswig</t>
  </si>
  <si>
    <t>Sergeant Bluff-Luton</t>
  </si>
  <si>
    <t>Sheldon</t>
  </si>
  <si>
    <t>Sibley-Ocheyedan</t>
  </si>
  <si>
    <t>Sioux Center</t>
  </si>
  <si>
    <t>Sioux City</t>
  </si>
  <si>
    <t>South O'Brien</t>
  </si>
  <si>
    <t>West Lyon</t>
  </si>
  <si>
    <t>West Monona</t>
  </si>
  <si>
    <t>West Sioux</t>
  </si>
  <si>
    <t>Westwood</t>
  </si>
  <si>
    <t>Whiting</t>
  </si>
  <si>
    <t>Woodbury Central</t>
  </si>
  <si>
    <t>AHSTW</t>
  </si>
  <si>
    <t>Atlantic</t>
  </si>
  <si>
    <t>Bedford</t>
  </si>
  <si>
    <t>Boyer Valley</t>
  </si>
  <si>
    <t>Central Decatur</t>
  </si>
  <si>
    <t>Clarinda</t>
  </si>
  <si>
    <t>Clarke</t>
  </si>
  <si>
    <t>Corning</t>
  </si>
  <si>
    <t>Council Bluffs</t>
  </si>
  <si>
    <t>Creston</t>
  </si>
  <si>
    <t>Diagonal</t>
  </si>
  <si>
    <t>East Mills</t>
  </si>
  <si>
    <t>East Union</t>
  </si>
  <si>
    <t>Essex</t>
  </si>
  <si>
    <t>Fremont-Mills</t>
  </si>
  <si>
    <t>Glenwood</t>
  </si>
  <si>
    <t>Griswold</t>
  </si>
  <si>
    <t>Hamburg</t>
  </si>
  <si>
    <t>Harlan</t>
  </si>
  <si>
    <t>IKM-Manning</t>
  </si>
  <si>
    <t>Lamoni</t>
  </si>
  <si>
    <t>Lenox</t>
  </si>
  <si>
    <t>Lewis Central</t>
  </si>
  <si>
    <t>Logan-Magnolia</t>
  </si>
  <si>
    <t>Missouri Valley</t>
  </si>
  <si>
    <t>Mormon Trail</t>
  </si>
  <si>
    <t>Mount Ayr</t>
  </si>
  <si>
    <t>Murray</t>
  </si>
  <si>
    <t>Nodaway Valley</t>
  </si>
  <si>
    <t>Orient-Macksburg</t>
  </si>
  <si>
    <t>Red Oak</t>
  </si>
  <si>
    <t>Riverside</t>
  </si>
  <si>
    <t>Shenandoah</t>
  </si>
  <si>
    <t>Sidney</t>
  </si>
  <si>
    <t>South Page</t>
  </si>
  <si>
    <t>Stanton</t>
  </si>
  <si>
    <t>Treynor</t>
  </si>
  <si>
    <t>Tri-Center</t>
  </si>
  <si>
    <t>Underwood</t>
  </si>
  <si>
    <t>Villisca</t>
  </si>
  <si>
    <t>West Harrison</t>
  </si>
  <si>
    <t>Woodbine</t>
  </si>
  <si>
    <t>Albia</t>
  </si>
  <si>
    <t>Burlington</t>
  </si>
  <si>
    <t>Cardinal</t>
  </si>
  <si>
    <t>Centerville</t>
  </si>
  <si>
    <t>Central Lee</t>
  </si>
  <si>
    <t>Chariton</t>
  </si>
  <si>
    <t>Danville</t>
  </si>
  <si>
    <t>Davis County</t>
  </si>
  <si>
    <t>Eddyville-Blakesburg-Fremont</t>
  </si>
  <si>
    <t>Fairfield</t>
  </si>
  <si>
    <t>Fort Madison</t>
  </si>
  <si>
    <t>Keokuk</t>
  </si>
  <si>
    <t>Keota</t>
  </si>
  <si>
    <t>Mediapolis</t>
  </si>
  <si>
    <t>Moravia</t>
  </si>
  <si>
    <t>Morning Sun</t>
  </si>
  <si>
    <t>Moulton-Udell</t>
  </si>
  <si>
    <t>Mount Pleasant</t>
  </si>
  <si>
    <t>New London</t>
  </si>
  <si>
    <t>North Mahaska</t>
  </si>
  <si>
    <t>Oskaloosa</t>
  </si>
  <si>
    <t>Ottumwa</t>
  </si>
  <si>
    <t>Pekin</t>
  </si>
  <si>
    <t>Seymour</t>
  </si>
  <si>
    <t>Sigourney</t>
  </si>
  <si>
    <t>Tri-County</t>
  </si>
  <si>
    <t>Waco</t>
  </si>
  <si>
    <t>Wapello</t>
  </si>
  <si>
    <t>Wayne</t>
  </si>
  <si>
    <t>West Burlington</t>
  </si>
  <si>
    <t>Winfield-Mt Union</t>
  </si>
  <si>
    <t>Dist</t>
  </si>
  <si>
    <t>Keystone AEA 1</t>
  </si>
  <si>
    <t>Prairie Lakes AEA 8</t>
  </si>
  <si>
    <t>Central Rivers</t>
  </si>
  <si>
    <t>Mississippi Bend AEA 9</t>
  </si>
  <si>
    <t>Grant Wood AEA 10</t>
  </si>
  <si>
    <t>Heartland AEA 11</t>
  </si>
  <si>
    <t>Northwest AEA</t>
  </si>
  <si>
    <t>Green Hills AEA 13</t>
  </si>
  <si>
    <t>Great Prairie AEA 15</t>
  </si>
  <si>
    <t>Van Buren County</t>
  </si>
  <si>
    <t>Southeast Valley</t>
  </si>
  <si>
    <t>State Aid Portion Special Ed</t>
  </si>
  <si>
    <t>State Aid Special Ed Minus Reduction</t>
  </si>
  <si>
    <t>Special Education Property Tax Portion</t>
  </si>
  <si>
    <t>State Aid Portion Sharing Operations</t>
  </si>
  <si>
    <t>AEA Special Ed Support District Cost Formula Generated</t>
  </si>
  <si>
    <t>Sharing Operations Property Tax</t>
  </si>
  <si>
    <t>Total AEA Sharing Operations</t>
  </si>
  <si>
    <t>Total Special Ed Funding Removing Reduction Including Adjustment</t>
  </si>
  <si>
    <t>10% Portion District Can Keep from State Aid portion</t>
  </si>
  <si>
    <t>Total Property Tax Portion District Pays AEA</t>
  </si>
  <si>
    <t>Total Payment from District to AEA</t>
  </si>
  <si>
    <t>State Aid Portion District Sends to AEA</t>
  </si>
  <si>
    <t>FiscalYear</t>
  </si>
  <si>
    <t>DistSub1</t>
  </si>
  <si>
    <t>DistSub2</t>
  </si>
  <si>
    <t>DistrictNumber</t>
  </si>
  <si>
    <t>Label</t>
  </si>
  <si>
    <t/>
  </si>
  <si>
    <t>6417</t>
  </si>
  <si>
    <t>3897</t>
  </si>
  <si>
    <t>1854</t>
  </si>
  <si>
    <t>0216</t>
  </si>
  <si>
    <t>1968</t>
  </si>
  <si>
    <t>5160</t>
  </si>
  <si>
    <t>5510</t>
  </si>
  <si>
    <t>6035</t>
  </si>
  <si>
    <t>6099</t>
  </si>
  <si>
    <t>5323</t>
  </si>
  <si>
    <t>6536</t>
  </si>
  <si>
    <t>4775</t>
  </si>
  <si>
    <t>Line 4.49 A&amp;L</t>
  </si>
  <si>
    <t>Line 5.16 A&amp;L</t>
  </si>
  <si>
    <t>Line 4.54 A&amp;L</t>
  </si>
  <si>
    <t>Column A</t>
  </si>
  <si>
    <t>Column B</t>
  </si>
  <si>
    <t>Column C</t>
  </si>
  <si>
    <t>Column D</t>
  </si>
  <si>
    <t>Column E</t>
  </si>
  <si>
    <t>Column F</t>
  </si>
  <si>
    <t>Calculated</t>
  </si>
  <si>
    <t>B-C</t>
  </si>
  <si>
    <t>A-C+E</t>
  </si>
  <si>
    <t>A-C+E *10%</t>
  </si>
  <si>
    <t>Statewide</t>
  </si>
  <si>
    <t>Column H</t>
  </si>
  <si>
    <t>Column I</t>
  </si>
  <si>
    <t>H+I</t>
  </si>
  <si>
    <t>Column G</t>
  </si>
  <si>
    <t>Column J</t>
  </si>
  <si>
    <t>Column K</t>
  </si>
  <si>
    <t>D-G</t>
  </si>
  <si>
    <t>Column L</t>
  </si>
  <si>
    <t>J+K</t>
  </si>
  <si>
    <t>District Percentage to Pay to AEAs</t>
  </si>
  <si>
    <t>Column M</t>
  </si>
  <si>
    <t>Column N</t>
  </si>
  <si>
    <t>G/F</t>
  </si>
  <si>
    <t>L/F</t>
  </si>
  <si>
    <t>AEA To Generate Funds</t>
  </si>
  <si>
    <t>AEA District Chose to Receive Services From</t>
  </si>
  <si>
    <t>Total</t>
  </si>
  <si>
    <t>District Percentage ability to Retain</t>
  </si>
  <si>
    <t>AEA Media Services Nonpublic Portion</t>
  </si>
  <si>
    <t>AEA Educational Services Nonpublic Portion</t>
  </si>
  <si>
    <t>Total AEA Payment</t>
  </si>
  <si>
    <t>AEA Payment State Aid Portion</t>
  </si>
  <si>
    <t>AEA Payment Property Tax Portion</t>
  </si>
  <si>
    <t>Check</t>
  </si>
  <si>
    <t>State Aid Check</t>
  </si>
  <si>
    <t>Property Tax Check</t>
  </si>
  <si>
    <t>Total Special Ed Weighting in Addition to 1.0</t>
  </si>
  <si>
    <t>Budget Enrollment</t>
  </si>
  <si>
    <t>AEA Weighted Enrollment</t>
  </si>
  <si>
    <t>AEA Supplementary Weight for Sharing</t>
  </si>
  <si>
    <t>Resident Accredited Nonpublic Students</t>
  </si>
  <si>
    <t>Shared-Time Nonpublic Pupils Counted in Line 1.1</t>
  </si>
  <si>
    <t>AEA Special Ed Support Cost Per Pupil</t>
  </si>
  <si>
    <t>AEA Media Cost Per Pupil</t>
  </si>
  <si>
    <t>AEA Ed Services Cost Per Pupil</t>
  </si>
  <si>
    <t>AEA Teacher Salary Supplement District Cost Per Pupil</t>
  </si>
  <si>
    <t>AEA Special Ed Support District Cost without Adjustment</t>
  </si>
  <si>
    <t>Special Education Total Cost</t>
  </si>
  <si>
    <t>District Media Services</t>
  </si>
  <si>
    <t>Total Media Services</t>
  </si>
  <si>
    <t>District Educational Services</t>
  </si>
  <si>
    <t>Total Educational Services</t>
  </si>
  <si>
    <t>AEA Sharing District Cost</t>
  </si>
  <si>
    <t>District/AEA Statewide State Aid Reduction</t>
  </si>
  <si>
    <t>Total Enrollment Served - Media and Ed Services</t>
  </si>
  <si>
    <t>Timothy Christian School</t>
  </si>
  <si>
    <t>Seton Grade School</t>
  </si>
  <si>
    <t>Bishop Garrigan Campus</t>
  </si>
  <si>
    <t>St Patrick School</t>
  </si>
  <si>
    <t>Ames Christian School</t>
  </si>
  <si>
    <t>St Cecilia School</t>
  </si>
  <si>
    <t>St. Patrick School</t>
  </si>
  <si>
    <t>St Luke the Evangelist Catholic School</t>
  </si>
  <si>
    <t>Ankeny Christian Academy</t>
  </si>
  <si>
    <t>Ankeny Christian Academy Elementary</t>
  </si>
  <si>
    <t>Marquette Catholic Elementary</t>
  </si>
  <si>
    <t>Marquette Catholic High School</t>
  </si>
  <si>
    <t>Central Lutheran School</t>
  </si>
  <si>
    <t>Morning Star Academy</t>
  </si>
  <si>
    <t>Rivermont Collegiate</t>
  </si>
  <si>
    <t>Lourdes Catholic School</t>
  </si>
  <si>
    <t>Coram Deo Academy</t>
  </si>
  <si>
    <t>New City Classical Academy</t>
  </si>
  <si>
    <t>Sacred Heart School</t>
  </si>
  <si>
    <t>Trinity Lutheran School</t>
  </si>
  <si>
    <t>Trinity Christian High School</t>
  </si>
  <si>
    <t>Hull Christian School</t>
  </si>
  <si>
    <t>Hull Protestant Reformed Christian School</t>
  </si>
  <si>
    <t>Western Christian High School</t>
  </si>
  <si>
    <t>Notre Dame High School</t>
  </si>
  <si>
    <t>Notre Dame Elementary School</t>
  </si>
  <si>
    <t>Great River Christian School</t>
  </si>
  <si>
    <t>St Pauls Lutheran School</t>
  </si>
  <si>
    <t>Kuemper High School</t>
  </si>
  <si>
    <t>Kuemper Catholic Grade School</t>
  </si>
  <si>
    <t>Valley Lutheran School</t>
  </si>
  <si>
    <t>All Saints School</t>
  </si>
  <si>
    <t>Cedar Valley Christian School</t>
  </si>
  <si>
    <t>Xavier High School</t>
  </si>
  <si>
    <t>St Matthew School</t>
  </si>
  <si>
    <t>St Pius X School</t>
  </si>
  <si>
    <t>LaSalle Catholic Elementary School</t>
  </si>
  <si>
    <t>Summit Schools Inc</t>
  </si>
  <si>
    <t>Regis Middle School</t>
  </si>
  <si>
    <t>LaSalle Catholic Middle School</t>
  </si>
  <si>
    <t>Isaac Newton Christian Academy</t>
  </si>
  <si>
    <t>St Joseph School</t>
  </si>
  <si>
    <t>Northwest Iowa Protestant Reformed School</t>
  </si>
  <si>
    <t>Immaculate Conception School</t>
  </si>
  <si>
    <t>Lighthouse Christian Academy</t>
  </si>
  <si>
    <t>Clarinda Lutheran School Association</t>
  </si>
  <si>
    <t>Clear Lake Classical School</t>
  </si>
  <si>
    <t>Prince of Peace Catholic Elementary Building</t>
  </si>
  <si>
    <t>Prince of Peace Catholic High School</t>
  </si>
  <si>
    <t>The Lighthouse Schools</t>
  </si>
  <si>
    <t>Saint Albert School</t>
  </si>
  <si>
    <t>OneSchool Global - Council Bluffs</t>
  </si>
  <si>
    <t>St Malachy School</t>
  </si>
  <si>
    <t>Assumption High School</t>
  </si>
  <si>
    <t>All Saints Catholic School</t>
  </si>
  <si>
    <t>St Paul The Apostle School</t>
  </si>
  <si>
    <t>Davenport Christian School</t>
  </si>
  <si>
    <t>St Benedict School</t>
  </si>
  <si>
    <t>Northeast Iowa Montessori School</t>
  </si>
  <si>
    <t>St Rose Of Lima School</t>
  </si>
  <si>
    <t>Unity Ridge Lutheran School</t>
  </si>
  <si>
    <t>Joshua Christian Academy (Main)</t>
  </si>
  <si>
    <t>Joshua Christian Academy (South)</t>
  </si>
  <si>
    <t>Joshua Christian Academy (West)</t>
  </si>
  <si>
    <t>St Anthony School</t>
  </si>
  <si>
    <t>St Augustin School</t>
  </si>
  <si>
    <t>Holy Family School</t>
  </si>
  <si>
    <t>St Joseph Elementary School</t>
  </si>
  <si>
    <t>St Theresa School</t>
  </si>
  <si>
    <t>Christ The King School</t>
  </si>
  <si>
    <t>Holy Trinity School</t>
  </si>
  <si>
    <t>OneSchool Global - Des Moines</t>
  </si>
  <si>
    <t>Empigo Academy</t>
  </si>
  <si>
    <t>JW Reed Christian Academy</t>
  </si>
  <si>
    <t>Mt Olive Lutheran School</t>
  </si>
  <si>
    <t>Grand View Christian High School</t>
  </si>
  <si>
    <t>Bergman Academy</t>
  </si>
  <si>
    <t>Grand View Christian Middle School</t>
  </si>
  <si>
    <t>St Columbkille School</t>
  </si>
  <si>
    <t>Our Lady of Guadalupe</t>
  </si>
  <si>
    <t>Mazzuchelli Catholic Middle School</t>
  </si>
  <si>
    <t>Wahlert Catholic High School</t>
  </si>
  <si>
    <t>Resurrection Elementary</t>
  </si>
  <si>
    <t>Tri-State Christian School (Secondary Campus)</t>
  </si>
  <si>
    <t>Tri-State Christian School (Elementary Campus)</t>
  </si>
  <si>
    <t>Dubuque Dream Center Academy</t>
  </si>
  <si>
    <t>Emmetsburg Catholic School</t>
  </si>
  <si>
    <t>Singing Cedars School</t>
  </si>
  <si>
    <t>Maharishi School</t>
  </si>
  <si>
    <t>St Edmond Catholic</t>
  </si>
  <si>
    <t>St Paul Lutheran School</t>
  </si>
  <si>
    <t>Community Christian School</t>
  </si>
  <si>
    <t>Holy Trinity Jr-Sr High</t>
  </si>
  <si>
    <t>Holy Trinity Elementary</t>
  </si>
  <si>
    <t>Clear Lake Classical - Ventura Campus</t>
  </si>
  <si>
    <t>Central Iowa Christian School</t>
  </si>
  <si>
    <t>Shelby County Catholic School</t>
  </si>
  <si>
    <t>Sanborn Christian School</t>
  </si>
  <si>
    <t>St Mary School</t>
  </si>
  <si>
    <t>St John Elementary School</t>
  </si>
  <si>
    <t>Liberty Christian School</t>
  </si>
  <si>
    <t>Strong Roots Christian School</t>
  </si>
  <si>
    <t>Victory Christian Academy</t>
  </si>
  <si>
    <t>Willowwind School</t>
  </si>
  <si>
    <t>Faith Academy</t>
  </si>
  <si>
    <t>Regina Jr Sr High School</t>
  </si>
  <si>
    <t>Heritage Christian</t>
  </si>
  <si>
    <t>Regina Elementary School</t>
  </si>
  <si>
    <t>Montessori School of Iowa City</t>
  </si>
  <si>
    <t>Tamarack Discovery School</t>
  </si>
  <si>
    <t>Hillside Christian School</t>
  </si>
  <si>
    <t>St Athanasius School</t>
  </si>
  <si>
    <t>Gospel Assembly Christian Academy</t>
  </si>
  <si>
    <t>Xceed Oakmoor Academy</t>
  </si>
  <si>
    <t>Keokuk Catholic Schools St. Vincent's School</t>
  </si>
  <si>
    <t>Keokuk Christian Academy</t>
  </si>
  <si>
    <t>Gehlen Catholic High School</t>
  </si>
  <si>
    <t>Gehlen Catholic Elementary School</t>
  </si>
  <si>
    <t>Heartland Christian School</t>
  </si>
  <si>
    <t>Montessori School of Marion</t>
  </si>
  <si>
    <t>Calvary Christian Academy</t>
  </si>
  <si>
    <t>Sully Christian School</t>
  </si>
  <si>
    <t>Danbury Catholic School</t>
  </si>
  <si>
    <t>St Francis Catholic School</t>
  </si>
  <si>
    <t>Marshalltown Christian School</t>
  </si>
  <si>
    <t>Newman Catholic Elementary School</t>
  </si>
  <si>
    <t>Newman Catholic High School</t>
  </si>
  <si>
    <t>North Iowa Christian School</t>
  </si>
  <si>
    <t>Orange City Christian School</t>
  </si>
  <si>
    <t>Unity Christian High School</t>
  </si>
  <si>
    <t>Pathway Christian School</t>
  </si>
  <si>
    <t>Iowa Mennonite School dba Hillcrest Academy</t>
  </si>
  <si>
    <t>Sacred Heart Grade School</t>
  </si>
  <si>
    <t>Saints Mary and Mathias Catholic School</t>
  </si>
  <si>
    <t>Muscatine Christian Academy</t>
  </si>
  <si>
    <t>St Joseph Community School</t>
  </si>
  <si>
    <t>Newton Christian Day School</t>
  </si>
  <si>
    <t>Norwalk Christian Academy</t>
  </si>
  <si>
    <t>Main Street School</t>
  </si>
  <si>
    <t>Oskaloosa Christian School</t>
  </si>
  <si>
    <t>Seton Catholic School</t>
  </si>
  <si>
    <t>Ottumwa Christian School</t>
  </si>
  <si>
    <t>Southeastern Christian School</t>
  </si>
  <si>
    <t>Pella Christian Grade School</t>
  </si>
  <si>
    <t>Pella Christian High School</t>
  </si>
  <si>
    <t>Peoria Christian School</t>
  </si>
  <si>
    <t>Pocahontas Catholic Grade School</t>
  </si>
  <si>
    <t>St Mary's Grade School - RSM</t>
  </si>
  <si>
    <t>Rock Valley Christian School</t>
  </si>
  <si>
    <t>Netherlands Reformed Christian School</t>
  </si>
  <si>
    <t>Grand View Christian Elementary School</t>
  </si>
  <si>
    <t>St Patrick's School</t>
  </si>
  <si>
    <t>Sheldon Christian School</t>
  </si>
  <si>
    <t>Sioux Center Christian School</t>
  </si>
  <si>
    <t>Siouxland Community Christian School</t>
  </si>
  <si>
    <t>Holy Cross Blessed Sacrament School</t>
  </si>
  <si>
    <t>Bishop Heelan Catholic High School</t>
  </si>
  <si>
    <t>Cathedral Dual Language Academy</t>
  </si>
  <si>
    <t>Holy Cross St Michael School</t>
  </si>
  <si>
    <t>Mater Dei Sch Immaculate Conception Center</t>
  </si>
  <si>
    <t>Mater Dei School Nativity Center</t>
  </si>
  <si>
    <t>Zion-St. John Lutheran School</t>
  </si>
  <si>
    <t>St Teresa of Calcutta School - Spillville</t>
  </si>
  <si>
    <t>St Teresa of Calcutta School - Ossian</t>
  </si>
  <si>
    <t>Iowa Great Lakes Lutheran School</t>
  </si>
  <si>
    <t>St Mary's High School</t>
  </si>
  <si>
    <t>St. Mary's Elementary-Storm Lake</t>
  </si>
  <si>
    <t>Trinity Catholic School</t>
  </si>
  <si>
    <t>St Pius X Catholic School</t>
  </si>
  <si>
    <t>Des Moines Christian Elementary School</t>
  </si>
  <si>
    <t>Des Moines Christian Secondary School</t>
  </si>
  <si>
    <t>Community Lutheran School</t>
  </si>
  <si>
    <t>St James Elem School</t>
  </si>
  <si>
    <t>Saint Edward Elementary School</t>
  </si>
  <si>
    <t>Immaculate Conception</t>
  </si>
  <si>
    <t>Blessed Maria Assunta Pallotta Middle School</t>
  </si>
  <si>
    <t>Columbus Catholic High School</t>
  </si>
  <si>
    <t>Don Bosco High School</t>
  </si>
  <si>
    <t>Royal Legacy Christian Academy</t>
  </si>
  <si>
    <t>Waterloo Christian Elementary School</t>
  </si>
  <si>
    <t>Waterloo Christian Middle School</t>
  </si>
  <si>
    <t>Waterloo Christian High School</t>
  </si>
  <si>
    <t>St Francis of Assisi School</t>
  </si>
  <si>
    <t>St Thomas Aquinas School</t>
  </si>
  <si>
    <t>Scattergood Friends School</t>
  </si>
  <si>
    <t>St Marys School</t>
  </si>
  <si>
    <t>Dowling Catholic High School</t>
  </si>
  <si>
    <t>AlRazi Academy</t>
  </si>
  <si>
    <t>St Francis Xavier School</t>
  </si>
  <si>
    <t>Beckman Catholic HS</t>
  </si>
  <si>
    <t>La Salle Catholic School</t>
  </si>
  <si>
    <t>Aquin Elementary School</t>
  </si>
  <si>
    <t>Seton Catholic Elem Sch Farley Center</t>
  </si>
  <si>
    <t>Seton Catholic Elem Sch Peosta Center</t>
  </si>
  <si>
    <t>Inwood Christian School</t>
  </si>
  <si>
    <t>Ireton Christian School</t>
  </si>
  <si>
    <t>Lutheran Interparish School</t>
  </si>
  <si>
    <t>DOM Dist</t>
  </si>
  <si>
    <t>School Number</t>
  </si>
  <si>
    <t>Nonpublic School Name</t>
  </si>
  <si>
    <t>Resident School District</t>
  </si>
  <si>
    <t>Enrollment</t>
  </si>
  <si>
    <t>Keystone AEA</t>
  </si>
  <si>
    <t>Allamakee Comm School District</t>
  </si>
  <si>
    <t>Eastern Allamakee Comm School District</t>
  </si>
  <si>
    <t>MFL MarMac Comm School District</t>
  </si>
  <si>
    <t>Postville Comm School District</t>
  </si>
  <si>
    <t>Dubuque Comm School District</t>
  </si>
  <si>
    <t>Howard-Winneshiek Comm School District</t>
  </si>
  <si>
    <t>New Hampton Comm School District</t>
  </si>
  <si>
    <t>Riceville Comm School District</t>
  </si>
  <si>
    <t>Decorah Community School District</t>
  </si>
  <si>
    <t>South Winneshiek Comm School District</t>
  </si>
  <si>
    <t>Western Dubuque Comm School District</t>
  </si>
  <si>
    <t>Maquoketa Valley Comm School District</t>
  </si>
  <si>
    <t>Oelwein Comm School District</t>
  </si>
  <si>
    <t>Starmont Comm School District</t>
  </si>
  <si>
    <t>Turkey Valley Comm School District</t>
  </si>
  <si>
    <t>North Fayette Valley Comm School District</t>
  </si>
  <si>
    <t>Edgewood-Colesburg Comm School District</t>
  </si>
  <si>
    <t>West Delaware County Comm School District</t>
  </si>
  <si>
    <t>Clayton Ridge Comm School District</t>
  </si>
  <si>
    <t>Prairie Lakes AEA</t>
  </si>
  <si>
    <t>Algona Comm School District</t>
  </si>
  <si>
    <t>North Union Comm School District</t>
  </si>
  <si>
    <t>Emmetsburg Comm School District</t>
  </si>
  <si>
    <t>North Kossuth Comm School District</t>
  </si>
  <si>
    <t>Twin Rivers Comm School District</t>
  </si>
  <si>
    <t>West Bend-Mallard Comm School District</t>
  </si>
  <si>
    <t>Humboldt Comm School District</t>
  </si>
  <si>
    <t>Pocahontas Area Comm School District</t>
  </si>
  <si>
    <t>Greene County Comm School District</t>
  </si>
  <si>
    <t>Manson Northwest Webster Comm School District</t>
  </si>
  <si>
    <t>Southeast Valley Comm School District</t>
  </si>
  <si>
    <t>Paton-Churdan Comm School District</t>
  </si>
  <si>
    <t>South Central Calhoun Comm School District</t>
  </si>
  <si>
    <t>East Sac County Comm School District</t>
  </si>
  <si>
    <t>Clarion-Goldfield-Dows Comm School District</t>
  </si>
  <si>
    <t>Graettinger-Terril Comm School District</t>
  </si>
  <si>
    <t>Ruthven-Ayrshire Comm School District</t>
  </si>
  <si>
    <t>Fort Dodge Comm School District</t>
  </si>
  <si>
    <t>Stratford Comm School District</t>
  </si>
  <si>
    <t>Webster City Comm School District</t>
  </si>
  <si>
    <t>Eagle Grove Comm School District</t>
  </si>
  <si>
    <t>Gilmore City-Bradgate Comm School District</t>
  </si>
  <si>
    <t>Albert City-Truesdale Comm School District</t>
  </si>
  <si>
    <t>Laurens-Marathon Comm School District</t>
  </si>
  <si>
    <t>Newell-Fonda Comm School District</t>
  </si>
  <si>
    <t>Clay Central-Everly Comm School District</t>
  </si>
  <si>
    <t>Okoboji Comm School District</t>
  </si>
  <si>
    <t>Sioux Central Comm School District</t>
  </si>
  <si>
    <t>Spencer Comm School District</t>
  </si>
  <si>
    <t>Alta-Aurelia Comm School District</t>
  </si>
  <si>
    <t>Schaller-Crestland Comm School District</t>
  </si>
  <si>
    <t>Storm Lake Comm School District</t>
  </si>
  <si>
    <t>South Hamilton Comm School District</t>
  </si>
  <si>
    <t>Central Rivers AEA</t>
  </si>
  <si>
    <t>AGWSR Comm School District</t>
  </si>
  <si>
    <t>Aplington-Parkersburg Comm School District</t>
  </si>
  <si>
    <t>Eldora-New Providence Comm School District</t>
  </si>
  <si>
    <t>Grundy Center Comm School District</t>
  </si>
  <si>
    <t>Hampton-Dumont Comm School District</t>
  </si>
  <si>
    <t>Iowa Falls Comm School District</t>
  </si>
  <si>
    <t>West Hancock Comm School District</t>
  </si>
  <si>
    <t>West Marshall Comm School District</t>
  </si>
  <si>
    <t>Waterloo Comm School District</t>
  </si>
  <si>
    <t>Union Comm School District</t>
  </si>
  <si>
    <t>CAL Comm School District</t>
  </si>
  <si>
    <t>Mason City Comm School District</t>
  </si>
  <si>
    <t>West Fork Comm School District</t>
  </si>
  <si>
    <t>Cedar Falls Comm School District</t>
  </si>
  <si>
    <t>Dunkerton Comm School District</t>
  </si>
  <si>
    <t>Hudson Comm School District</t>
  </si>
  <si>
    <t>North Tama County Comm School District</t>
  </si>
  <si>
    <t>Denver Comm School District</t>
  </si>
  <si>
    <t>Independence Comm School District</t>
  </si>
  <si>
    <t>North Butler Comm School District</t>
  </si>
  <si>
    <t>Charles City Comm School District</t>
  </si>
  <si>
    <t>Nashua-Plainfield Comm School District</t>
  </si>
  <si>
    <t>Rudd-Rockford-Marble Rk Comm School District</t>
  </si>
  <si>
    <t>Osage Comm School District</t>
  </si>
  <si>
    <t>Clear Lake Comm School District</t>
  </si>
  <si>
    <t>Forest City Comm School District</t>
  </si>
  <si>
    <t>Garner-Hayfield-Ventura Comm School District</t>
  </si>
  <si>
    <t>Central Springs Comm School District</t>
  </si>
  <si>
    <t>Grinnell-Newburg Comm School District</t>
  </si>
  <si>
    <t>East Buchanan Comm School District</t>
  </si>
  <si>
    <t>Jesup Comm School District</t>
  </si>
  <si>
    <t>BCLUW Comm School District</t>
  </si>
  <si>
    <t>East Marshall Comm School District</t>
  </si>
  <si>
    <t>Gladbrook-Reinbeck Comm School District</t>
  </si>
  <si>
    <t>GMG Comm School District</t>
  </si>
  <si>
    <t>Marshalltown Comm School District</t>
  </si>
  <si>
    <t>South Tama County</t>
  </si>
  <si>
    <t>Lake Mills Comm School District</t>
  </si>
  <si>
    <t>Belmond-Klemme Comm School District</t>
  </si>
  <si>
    <t>Sumner-Fredericksburg Comm School District</t>
  </si>
  <si>
    <t>Montezuma Comm School District</t>
  </si>
  <si>
    <t>Clarksville Comm School District</t>
  </si>
  <si>
    <t>Tripoli Comm School District</t>
  </si>
  <si>
    <t>Wapsie Valley Comm School District</t>
  </si>
  <si>
    <t>Waverly-Shell Rock Comm School District</t>
  </si>
  <si>
    <t>Dike-New Hartford Comm School District</t>
  </si>
  <si>
    <t>Janesville Consolidated School District</t>
  </si>
  <si>
    <t>Mississippi Bend AEA</t>
  </si>
  <si>
    <t>Andrew Comm School District</t>
  </si>
  <si>
    <t>Bellevue Comm School District</t>
  </si>
  <si>
    <t>Easton Valley Comm School District</t>
  </si>
  <si>
    <t>Maquoketa Comm School District</t>
  </si>
  <si>
    <t>Bettendorf Comm School District</t>
  </si>
  <si>
    <t>Central DeWitt School District</t>
  </si>
  <si>
    <t>Clinton Comm School District</t>
  </si>
  <si>
    <t>Davenport Comm School District</t>
  </si>
  <si>
    <t>Durant Comm School District</t>
  </si>
  <si>
    <t>Muscatine Comm School District</t>
  </si>
  <si>
    <t>North Scott Comm School District</t>
  </si>
  <si>
    <t>Pleasant Valley Comm School District</t>
  </si>
  <si>
    <t>Bennett Comm School District</t>
  </si>
  <si>
    <t>Louisa-Muscatine Comm School District</t>
  </si>
  <si>
    <t>Calamus-Wheatland Comm School District</t>
  </si>
  <si>
    <t>Camanche Comm School District</t>
  </si>
  <si>
    <t>Northeast Comm School District</t>
  </si>
  <si>
    <t>John F Kennedy Cath Sch</t>
  </si>
  <si>
    <t>West Liberty Comm School District</t>
  </si>
  <si>
    <t>Columbus Comm School District</t>
  </si>
  <si>
    <t>Grant Wood AEA</t>
  </si>
  <si>
    <t>Anamosa Comm School District</t>
  </si>
  <si>
    <t>Olin Consolidated School District</t>
  </si>
  <si>
    <t>Midland Comm School District</t>
  </si>
  <si>
    <t>Belle Plaine Comm School District</t>
  </si>
  <si>
    <t>Benton Comm School District</t>
  </si>
  <si>
    <t>Cedar Rapids Comm School District</t>
  </si>
  <si>
    <t>Iowa Valley Comm School District</t>
  </si>
  <si>
    <t>Linn-Mar Comm School District</t>
  </si>
  <si>
    <t>Vinton-Shellsburg Comm School District</t>
  </si>
  <si>
    <t>College Comm School District</t>
  </si>
  <si>
    <t>Lisbon Comm School District</t>
  </si>
  <si>
    <t>Mount Vernon Comm School District</t>
  </si>
  <si>
    <t>Center Point-Urbana Comm School District</t>
  </si>
  <si>
    <t>Clear Creek Amana Comm School District</t>
  </si>
  <si>
    <t>Central City Comm School District</t>
  </si>
  <si>
    <t>Iowa City Comm School District</t>
  </si>
  <si>
    <t>Marion Independent School District</t>
  </si>
  <si>
    <t>Solon Comm School District</t>
  </si>
  <si>
    <t>Springville Comm School District</t>
  </si>
  <si>
    <t>Alburnett Comm School District</t>
  </si>
  <si>
    <t>North Linn Comm School District</t>
  </si>
  <si>
    <t>North Cedar Comm School District</t>
  </si>
  <si>
    <t>Highland Comm School District</t>
  </si>
  <si>
    <t>Lone Tree Comm School District</t>
  </si>
  <si>
    <t>Mid-Prairie Comm School District</t>
  </si>
  <si>
    <t>West Branch Comm School District</t>
  </si>
  <si>
    <t>Williamsburg Comm School District</t>
  </si>
  <si>
    <t>Tipton Comm School District</t>
  </si>
  <si>
    <t>English Valleys Comm School District</t>
  </si>
  <si>
    <t>Washington Comm School District</t>
  </si>
  <si>
    <t>Monticello Comm School District</t>
  </si>
  <si>
    <t>H-L-V Comm School District</t>
  </si>
  <si>
    <t>Heartland Area Education Agency</t>
  </si>
  <si>
    <t>Ames Comm School District</t>
  </si>
  <si>
    <t>Ankeny Comm School District</t>
  </si>
  <si>
    <t>Ballard Comm School District</t>
  </si>
  <si>
    <t>Boone Comm School District</t>
  </si>
  <si>
    <t>Gilbert Comm School District</t>
  </si>
  <si>
    <t>Madrid Comm School District</t>
  </si>
  <si>
    <t>Nevada Comm School District</t>
  </si>
  <si>
    <t>Roland-Story Comm School District</t>
  </si>
  <si>
    <t>United Comm School District</t>
  </si>
  <si>
    <t>Ogden Comm School District</t>
  </si>
  <si>
    <t>Des Moines Independent Comm School District</t>
  </si>
  <si>
    <t>Johnston Comm School District</t>
  </si>
  <si>
    <t>North Polk Comm School District</t>
  </si>
  <si>
    <t>Saydel Comm School District</t>
  </si>
  <si>
    <t>Waukee Comm School District</t>
  </si>
  <si>
    <t>West Des Moines Comm School District</t>
  </si>
  <si>
    <t>Bondurant-Farrar Comm School District</t>
  </si>
  <si>
    <t>Newton Comm School District</t>
  </si>
  <si>
    <t>Southeast Polk Comm School District</t>
  </si>
  <si>
    <t>Woodward-Granger Comm School District</t>
  </si>
  <si>
    <t>Dallas Center-Grimes Comm School District</t>
  </si>
  <si>
    <t>Urbandale Comm School District</t>
  </si>
  <si>
    <t>Audubon Comm School District</t>
  </si>
  <si>
    <t>Carroll Comm School District</t>
  </si>
  <si>
    <t>Glidden-Ralston Comm School District</t>
  </si>
  <si>
    <t>Coon Rapids-Bayard Comm School District</t>
  </si>
  <si>
    <t>Colfax-Mingo Comm School District</t>
  </si>
  <si>
    <t>Carlisle Comm School District</t>
  </si>
  <si>
    <t>Indianola Comm School District</t>
  </si>
  <si>
    <t>Norwalk Comm School District</t>
  </si>
  <si>
    <t>Collins-Maxwell Comm School District</t>
  </si>
  <si>
    <t>Pleasantville Comm School District</t>
  </si>
  <si>
    <t>Adel DeSoto Minburn Comm School District</t>
  </si>
  <si>
    <t>Earlham Comm School District</t>
  </si>
  <si>
    <t>Baxter Comm School District</t>
  </si>
  <si>
    <t>Panorama Comm School District</t>
  </si>
  <si>
    <t>Van Meter Comm School District</t>
  </si>
  <si>
    <t>PCM Comm School District</t>
  </si>
  <si>
    <t>Interstate 35 Comm School District</t>
  </si>
  <si>
    <t>Melcher-Dallas Comm School District</t>
  </si>
  <si>
    <t>Southeast Warren Comm School District</t>
  </si>
  <si>
    <t>Winterset Comm School District</t>
  </si>
  <si>
    <t>Lynnville-Sully Comm School District</t>
  </si>
  <si>
    <t>Pella Comm School District</t>
  </si>
  <si>
    <t>Twin Cedars Comm School District</t>
  </si>
  <si>
    <t>Knoxville Comm School District</t>
  </si>
  <si>
    <t>Perry Comm School District</t>
  </si>
  <si>
    <t>Martensdale-St Marys Comm School District</t>
  </si>
  <si>
    <t>West Central Valley Comm School District</t>
  </si>
  <si>
    <t>Boyden-Hull Comm School District</t>
  </si>
  <si>
    <t>Central Lyon Comm School District</t>
  </si>
  <si>
    <t>George-Little Rock Comm School District</t>
  </si>
  <si>
    <t>MOC-Floyd Valley Comm School District</t>
  </si>
  <si>
    <t>Rock Valley Comm School District</t>
  </si>
  <si>
    <t>Sheldon Comm School District</t>
  </si>
  <si>
    <t>Sioux Center Comm School District</t>
  </si>
  <si>
    <t>Remsen-Union Comm School District</t>
  </si>
  <si>
    <t>Sibley-Ocheyedan Comm School District</t>
  </si>
  <si>
    <t>West Lyon Comm School District</t>
  </si>
  <si>
    <t>Hartley-Melvin-Sanborn Comm School District</t>
  </si>
  <si>
    <t>Kingsley-Pierson Comm School District</t>
  </si>
  <si>
    <t>Ar-We-Va Comm School District</t>
  </si>
  <si>
    <t>Odebolt Arthur Battle Creek Ida Grove Comm School District</t>
  </si>
  <si>
    <t>Charter Oak-Ute Comm School District</t>
  </si>
  <si>
    <t>Denison Comm School District</t>
  </si>
  <si>
    <t>Schleswig Comm School District</t>
  </si>
  <si>
    <t>South O'Brien Comm School District</t>
  </si>
  <si>
    <t>Cherokee Comm School District</t>
  </si>
  <si>
    <t>Le Mars Comm School District</t>
  </si>
  <si>
    <t>West Sioux Comm School District</t>
  </si>
  <si>
    <t>Maple Valley-Anthon Oto Comm School District</t>
  </si>
  <si>
    <t>Marcus-Meriden-Cleghorn Comm School District</t>
  </si>
  <si>
    <t>St Mary's High School - RSM</t>
  </si>
  <si>
    <t>Akron Westfield Comm School District</t>
  </si>
  <si>
    <t>Hinton Comm School District</t>
  </si>
  <si>
    <t>Lawton-Bronson Comm School District</t>
  </si>
  <si>
    <t>Sergeant Bluff-Luton Comm School District</t>
  </si>
  <si>
    <t>Sioux City Comm School District</t>
  </si>
  <si>
    <t>West Monona Comm School District</t>
  </si>
  <si>
    <t>Westwood Comm School District</t>
  </si>
  <si>
    <t>Woodbury Central Comm School District</t>
  </si>
  <si>
    <t>AEA 13 Green Hills AEA</t>
  </si>
  <si>
    <t>IKM-Manning Comm School District</t>
  </si>
  <si>
    <t>Bedford Comm School District</t>
  </si>
  <si>
    <t>Clarinda Comm School District</t>
  </si>
  <si>
    <t>Essex Comm School District</t>
  </si>
  <si>
    <t>Shenandoah Comm School District</t>
  </si>
  <si>
    <t>Council Bluffs Comm School District</t>
  </si>
  <si>
    <t>Fremont-Mills Comm School District</t>
  </si>
  <si>
    <t>Glenwood Comm School District</t>
  </si>
  <si>
    <t>Lewis Central Comm School District</t>
  </si>
  <si>
    <t>Logan-Magnolia Comm School District</t>
  </si>
  <si>
    <t>Missouri Valley Comm School District</t>
  </si>
  <si>
    <t>Tri-Center Comm School District</t>
  </si>
  <si>
    <t>Treynor Comm School District</t>
  </si>
  <si>
    <t>Underwood Comm School District</t>
  </si>
  <si>
    <t>Woodbine Comm School District</t>
  </si>
  <si>
    <t>CAM Comm School District</t>
  </si>
  <si>
    <t>Corning Comm School District</t>
  </si>
  <si>
    <t>Creston Comm School District</t>
  </si>
  <si>
    <t>East Union Comm School District</t>
  </si>
  <si>
    <t>Nodaway Valley Comm School District</t>
  </si>
  <si>
    <t>Murray Comm School District</t>
  </si>
  <si>
    <t>Orient-Macksburg Comm School District</t>
  </si>
  <si>
    <t>Boyer Valley Comm School District</t>
  </si>
  <si>
    <t>AHSTW Comm School District</t>
  </si>
  <si>
    <t>Harlan Comm School District</t>
  </si>
  <si>
    <t>Clarke Comm School District</t>
  </si>
  <si>
    <t>Central Decatur Comm School District</t>
  </si>
  <si>
    <t>East Mills Comm School District</t>
  </si>
  <si>
    <t>Riverside Comm School District</t>
  </si>
  <si>
    <t>Sidney Comm School District</t>
  </si>
  <si>
    <t>Great Prairie AEA</t>
  </si>
  <si>
    <t>Burlington Comm School District</t>
  </si>
  <si>
    <t>Danville Comm School District</t>
  </si>
  <si>
    <t>Fort Madison Comm School District</t>
  </si>
  <si>
    <t>Keokuk Comm School District</t>
  </si>
  <si>
    <t>Mediapolis Comm School District</t>
  </si>
  <si>
    <t>Mount Pleasant Comm School District</t>
  </si>
  <si>
    <t>New London Comm School District</t>
  </si>
  <si>
    <t>Van Buren County Comm School District</t>
  </si>
  <si>
    <t>Wapello Comm School District</t>
  </si>
  <si>
    <t>West Burlington Ind School District</t>
  </si>
  <si>
    <t>Fairfield Comm School District</t>
  </si>
  <si>
    <t>Waco Comm School District</t>
  </si>
  <si>
    <t>Central Lee Comm School District</t>
  </si>
  <si>
    <t>Chariton Comm School District</t>
  </si>
  <si>
    <t>Keota Comm School District</t>
  </si>
  <si>
    <t>Albia Comm School District</t>
  </si>
  <si>
    <t>Eddyville-Blakesburg- Fremont CSD</t>
  </si>
  <si>
    <t>North Mahaska Comm School District</t>
  </si>
  <si>
    <t>Oskaloosa Comm School District</t>
  </si>
  <si>
    <t>Ottumwa Comm School District</t>
  </si>
  <si>
    <t>Tri-County Comm School District</t>
  </si>
  <si>
    <t>Davis County Comm School District</t>
  </si>
  <si>
    <t>Cardinal Comm School District</t>
  </si>
  <si>
    <t>Pekin Comm School District</t>
  </si>
  <si>
    <t>Sigourney Comm School District</t>
  </si>
  <si>
    <t>Grand Total</t>
  </si>
  <si>
    <t>Portion of funding attributed to Resident Pupils</t>
  </si>
  <si>
    <t>Total Media Services By AEA and Nonpublic School</t>
  </si>
  <si>
    <t>Total Ed Services By AEA and Nonpublic School</t>
  </si>
  <si>
    <t>Total Media Services By Nonpublic School</t>
  </si>
  <si>
    <t>Total Ed Services By Nonpublic School</t>
  </si>
  <si>
    <t>Download the File Nonpublic Schools Certified Enrollment By AEA: https://educate.iowa.gov/pk-12/data/data-collections/certified-enrollment/nonpublic-schools#nonpublic-schools-certified-enrollment-by-aea</t>
  </si>
  <si>
    <t>Has the Resident Nonpublic Enrollment By AEA or the Number of students that are residents of the public district and where they go to Nonpublic School.</t>
  </si>
  <si>
    <t>Joined the Resident Accredited Nonpublic Students that are counted in the Public School District</t>
  </si>
  <si>
    <t>Determined the Portion of the Nonpublic Enrollment that makes up the total Resident Accredited Nonpublic Students</t>
  </si>
  <si>
    <t>Took that portion or percentage and applied it to the total funding generated from the nonpublic count at the resident district. Did this for Media and Ed Services</t>
  </si>
  <si>
    <t>Created a report that has the amounts generated by Nonpublic School by AEAs - Took the original Report and did not include Resident Districts and Removed Duplicate values</t>
  </si>
  <si>
    <t>Created a report that has the amounts generated for each Nonpublic School - Took the amounts by AEA and Removed the AEA name and numbers and Removed Duplicate values</t>
  </si>
  <si>
    <t>Nonpublic School District Number</t>
  </si>
  <si>
    <t>Resident School District Number</t>
  </si>
  <si>
    <t>Final FY 2026 Media and Educational Services Funding by AEA, Resident School District, and Nonpublic School</t>
  </si>
  <si>
    <t>Final FY 2026 Media and Educational Services Funding by AEA and Nonpublic School</t>
  </si>
  <si>
    <t>Final FY 2026 Media and Educational Services Funding by Nonpublic School</t>
  </si>
  <si>
    <t xml:space="preserve">AEA Payment Summary </t>
  </si>
  <si>
    <t>Breakdown of the Actual Payment from the State to Each AEA</t>
  </si>
  <si>
    <t xml:space="preserve">Includes the share of how much your nonpublic students generate for Media and Ed Services. </t>
  </si>
  <si>
    <t>DetailByDistrict</t>
  </si>
  <si>
    <t>Includes the Detail by school district for Enrollment data, Cost Per Pupil Amounts, and the Total amounts generated for the program areas</t>
  </si>
  <si>
    <t>DetailByAEA</t>
  </si>
  <si>
    <t>Has the same information as the “DetailByDistrict” just summed by AEA.</t>
  </si>
  <si>
    <t>Special Education Breakdown</t>
  </si>
  <si>
    <t>Includes the 90% and 10% split and amount district must pay to the AEAs</t>
  </si>
  <si>
    <t>You can change the AEA number in Column C – “AEA District Chose to Receive Services From” if you have an agreement with a district to provide services to that district. The totals on the tab “Special Education By AEA” will automatically update.</t>
  </si>
  <si>
    <t>Special Education By AEA</t>
  </si>
  <si>
    <t>Totals up the Special Education Breakdown by AEA</t>
  </si>
  <si>
    <t>Has the Nonpublic allocation for Media and Ed services by AEA , Nonpublic School,  and Resident District – so the full breakdown possible</t>
  </si>
  <si>
    <t>Has the Nonpublic allocation for Media and Ed services by AEA and Nonpublic School – Just by AEA and Nonpublic</t>
  </si>
  <si>
    <t>SF 659 (section 6) (2025 Legislative Session) authorizes DOM to pay the nonpublic share directly to AEAs.</t>
  </si>
  <si>
    <t>Media&amp;EdByAEA,Dist,Nonpublic</t>
  </si>
  <si>
    <t>Media&amp;EdByAEA,Nonpublic</t>
  </si>
  <si>
    <t>Media&amp;EdByNonpublic</t>
  </si>
  <si>
    <t>Has the Nonpublic allocation for Media and Ed services by Nonpublic School</t>
  </si>
  <si>
    <t>Click on the Tab name and you will go directly to the tab in the workbook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</si>
</sst>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#,##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337AB7"/>
        <bgColor rgb="FF337AB7"/>
      </patternFill>
    </fill>
    <fill>
      <patternFill patternType="solid">
        <fgColor rgb="FFD5A6BD"/>
        <bgColor rgb="FFD5A6BD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3" fillId="0" borderId="0"/>
    <xf numFmtId="0" fontId="5" fillId="0" borderId="0"/>
    <xf numFmtId="0" fontId="8" fillId="0" borderId="0" applyNumberFormat="0" applyFill="0" applyBorder="0" applyAlignment="0" applyProtection="0"/>
  </cellStyleXfs>
  <cellXfs count="88">
    <xf numFmtId="0" fontId="0" fillId="0" borderId="0" xfId="0"/>
    <xf numFmtId="49" fontId="0" fillId="0" borderId="0" xfId="0" applyNumberFormat="1"/>
    <xf numFmtId="3" fontId="0" fillId="0" borderId="0" xfId="0" applyNumberFormat="1"/>
    <xf numFmtId="0" fontId="0" fillId="2" borderId="0" xfId="0" applyFill="1"/>
    <xf numFmtId="3" fontId="0" fillId="0" borderId="1" xfId="0" applyNumberFormat="1" applyBorder="1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3" fontId="1" fillId="0" borderId="2" xfId="0" applyNumberFormat="1" applyFont="1" applyBorder="1"/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0" borderId="0" xfId="0" applyFont="1" applyAlignment="1">
      <alignment horizontal="right"/>
    </xf>
    <xf numFmtId="0" fontId="0" fillId="4" borderId="0" xfId="0" applyFill="1"/>
    <xf numFmtId="0" fontId="1" fillId="5" borderId="1" xfId="0" applyFont="1" applyFill="1" applyBorder="1" applyAlignment="1">
      <alignment horizontal="center" wrapText="1"/>
    </xf>
    <xf numFmtId="3" fontId="0" fillId="5" borderId="1" xfId="0" applyNumberFormat="1" applyFill="1" applyBorder="1"/>
    <xf numFmtId="3" fontId="1" fillId="3" borderId="1" xfId="0" applyNumberFormat="1" applyFont="1" applyFill="1" applyBorder="1"/>
    <xf numFmtId="0" fontId="1" fillId="6" borderId="1" xfId="0" applyFont="1" applyFill="1" applyBorder="1" applyAlignment="1">
      <alignment horizontal="center" wrapText="1"/>
    </xf>
    <xf numFmtId="3" fontId="0" fillId="6" borderId="1" xfId="0" applyNumberFormat="1" applyFill="1" applyBorder="1"/>
    <xf numFmtId="0" fontId="1" fillId="7" borderId="1" xfId="0" applyFont="1" applyFill="1" applyBorder="1" applyAlignment="1">
      <alignment horizontal="center" wrapText="1"/>
    </xf>
    <xf numFmtId="3" fontId="1" fillId="7" borderId="1" xfId="0" applyNumberFormat="1" applyFont="1" applyFill="1" applyBorder="1"/>
    <xf numFmtId="10" fontId="0" fillId="0" borderId="1" xfId="1" applyNumberFormat="1" applyFont="1" applyBorder="1"/>
    <xf numFmtId="0" fontId="1" fillId="2" borderId="1" xfId="0" applyFont="1" applyFill="1" applyBorder="1"/>
    <xf numFmtId="0" fontId="0" fillId="2" borderId="1" xfId="0" applyFill="1" applyBorder="1"/>
    <xf numFmtId="0" fontId="1" fillId="0" borderId="1" xfId="0" applyFont="1" applyBorder="1" applyAlignment="1">
      <alignment wrapText="1"/>
    </xf>
    <xf numFmtId="0" fontId="0" fillId="7" borderId="1" xfId="0" applyFill="1" applyBorder="1"/>
    <xf numFmtId="0" fontId="1" fillId="0" borderId="3" xfId="0" applyFont="1" applyBorder="1" applyAlignment="1">
      <alignment horizontal="center" wrapText="1"/>
    </xf>
    <xf numFmtId="3" fontId="1" fillId="0" borderId="0" xfId="0" applyNumberFormat="1" applyFont="1"/>
    <xf numFmtId="0" fontId="0" fillId="0" borderId="3" xfId="0" applyBorder="1"/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/>
    <xf numFmtId="164" fontId="0" fillId="0" borderId="1" xfId="1" applyNumberFormat="1" applyFont="1" applyBorder="1"/>
    <xf numFmtId="3" fontId="1" fillId="0" borderId="4" xfId="0" applyNumberFormat="1" applyFont="1" applyBorder="1"/>
    <xf numFmtId="0" fontId="0" fillId="8" borderId="0" xfId="0" applyFill="1"/>
    <xf numFmtId="3" fontId="0" fillId="8" borderId="0" xfId="0" applyNumberFormat="1" applyFill="1"/>
    <xf numFmtId="0" fontId="1" fillId="0" borderId="0" xfId="0" applyFont="1" applyAlignment="1">
      <alignment wrapText="1"/>
    </xf>
    <xf numFmtId="4" fontId="0" fillId="0" borderId="1" xfId="0" applyNumberFormat="1" applyBorder="1"/>
    <xf numFmtId="165" fontId="1" fillId="0" borderId="4" xfId="0" applyNumberFormat="1" applyFont="1" applyBorder="1"/>
    <xf numFmtId="4" fontId="1" fillId="0" borderId="4" xfId="0" applyNumberFormat="1" applyFont="1" applyBorder="1"/>
    <xf numFmtId="165" fontId="0" fillId="0" borderId="1" xfId="0" applyNumberFormat="1" applyBorder="1"/>
    <xf numFmtId="2" fontId="0" fillId="0" borderId="1" xfId="0" applyNumberFormat="1" applyBorder="1"/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49" fontId="1" fillId="0" borderId="6" xfId="0" applyNumberFormat="1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0" fillId="0" borderId="8" xfId="0" quotePrefix="1" applyBorder="1"/>
    <xf numFmtId="49" fontId="0" fillId="0" borderId="1" xfId="0" quotePrefix="1" applyNumberFormat="1" applyBorder="1"/>
    <xf numFmtId="3" fontId="0" fillId="0" borderId="9" xfId="0" applyNumberFormat="1" applyBorder="1"/>
    <xf numFmtId="49" fontId="0" fillId="0" borderId="1" xfId="0" applyNumberFormat="1" applyBorder="1"/>
    <xf numFmtId="0" fontId="0" fillId="0" borderId="8" xfId="0" applyBorder="1"/>
    <xf numFmtId="0" fontId="0" fillId="0" borderId="10" xfId="0" applyBorder="1"/>
    <xf numFmtId="49" fontId="0" fillId="0" borderId="3" xfId="0" applyNumberFormat="1" applyBorder="1"/>
    <xf numFmtId="3" fontId="0" fillId="0" borderId="3" xfId="0" applyNumberFormat="1" applyBorder="1"/>
    <xf numFmtId="3" fontId="0" fillId="0" borderId="11" xfId="0" applyNumberFormat="1" applyBorder="1"/>
    <xf numFmtId="0" fontId="2" fillId="0" borderId="1" xfId="3" applyFont="1" applyBorder="1" applyAlignment="1">
      <alignment horizontal="center"/>
    </xf>
    <xf numFmtId="0" fontId="2" fillId="0" borderId="1" xfId="3" applyFont="1" applyBorder="1"/>
    <xf numFmtId="0" fontId="1" fillId="0" borderId="1" xfId="2" applyFont="1" applyBorder="1" applyAlignment="1">
      <alignment horizontal="center" wrapText="1"/>
    </xf>
    <xf numFmtId="0" fontId="1" fillId="0" borderId="1" xfId="3" applyFont="1" applyBorder="1" applyAlignment="1">
      <alignment wrapText="1"/>
    </xf>
    <xf numFmtId="0" fontId="2" fillId="0" borderId="1" xfId="3" quotePrefix="1" applyFont="1" applyBorder="1" applyAlignment="1">
      <alignment horizontal="center"/>
    </xf>
    <xf numFmtId="0" fontId="2" fillId="0" borderId="1" xfId="2" quotePrefix="1" applyFont="1" applyBorder="1" applyAlignment="1">
      <alignment horizontal="center"/>
    </xf>
    <xf numFmtId="4" fontId="2" fillId="0" borderId="1" xfId="2" applyNumberFormat="1" applyFont="1" applyBorder="1"/>
    <xf numFmtId="0" fontId="2" fillId="9" borderId="1" xfId="3" applyFont="1" applyFill="1" applyBorder="1" applyAlignment="1">
      <alignment horizontal="center"/>
    </xf>
    <xf numFmtId="0" fontId="2" fillId="9" borderId="1" xfId="3" applyFont="1" applyFill="1" applyBorder="1"/>
    <xf numFmtId="0" fontId="6" fillId="9" borderId="1" xfId="3" applyFont="1" applyFill="1" applyBorder="1" applyAlignment="1">
      <alignment horizontal="center"/>
    </xf>
    <xf numFmtId="4" fontId="6" fillId="9" borderId="1" xfId="3" applyNumberFormat="1" applyFont="1" applyFill="1" applyBorder="1" applyAlignment="1">
      <alignment horizontal="right"/>
    </xf>
    <xf numFmtId="0" fontId="6" fillId="9" borderId="1" xfId="3" applyFont="1" applyFill="1" applyBorder="1"/>
    <xf numFmtId="3" fontId="6" fillId="9" borderId="1" xfId="3" applyNumberFormat="1" applyFont="1" applyFill="1" applyBorder="1"/>
    <xf numFmtId="3" fontId="2" fillId="0" borderId="1" xfId="3" applyNumberFormat="1" applyFont="1" applyBorder="1"/>
    <xf numFmtId="0" fontId="2" fillId="0" borderId="1" xfId="3" applyFont="1" applyBorder="1" applyAlignment="1">
      <alignment horizontal="left"/>
    </xf>
    <xf numFmtId="3" fontId="2" fillId="0" borderId="1" xfId="3" applyNumberFormat="1" applyFont="1" applyBorder="1" applyAlignment="1">
      <alignment horizontal="center"/>
    </xf>
    <xf numFmtId="0" fontId="2" fillId="10" borderId="1" xfId="3" applyFont="1" applyFill="1" applyBorder="1" applyAlignment="1">
      <alignment horizontal="center"/>
    </xf>
    <xf numFmtId="0" fontId="2" fillId="10" borderId="1" xfId="3" applyFont="1" applyFill="1" applyBorder="1"/>
    <xf numFmtId="3" fontId="2" fillId="10" borderId="1" xfId="3" applyNumberFormat="1" applyFont="1" applyFill="1" applyBorder="1"/>
    <xf numFmtId="3" fontId="2" fillId="10" borderId="1" xfId="3" applyNumberFormat="1" applyFont="1" applyFill="1" applyBorder="1" applyAlignment="1">
      <alignment horizontal="center"/>
    </xf>
    <xf numFmtId="4" fontId="2" fillId="10" borderId="1" xfId="3" applyNumberFormat="1" applyFont="1" applyFill="1" applyBorder="1" applyAlignment="1">
      <alignment horizontal="right"/>
    </xf>
    <xf numFmtId="0" fontId="1" fillId="0" borderId="0" xfId="3" applyFont="1"/>
    <xf numFmtId="0" fontId="7" fillId="0" borderId="0" xfId="3" applyFont="1"/>
    <xf numFmtId="0" fontId="2" fillId="0" borderId="0" xfId="3" applyFont="1" applyAlignment="1">
      <alignment horizontal="center"/>
    </xf>
    <xf numFmtId="0" fontId="4" fillId="0" borderId="0" xfId="3" applyFont="1"/>
    <xf numFmtId="0" fontId="2" fillId="0" borderId="0" xfId="3" applyFont="1"/>
    <xf numFmtId="0" fontId="1" fillId="0" borderId="0" xfId="0" applyFont="1"/>
    <xf numFmtId="0" fontId="0" fillId="0" borderId="1" xfId="3" quotePrefix="1" applyFont="1" applyBorder="1" applyAlignment="1">
      <alignment horizontal="center"/>
    </xf>
    <xf numFmtId="0" fontId="0" fillId="0" borderId="1" xfId="3" applyFont="1" applyBorder="1"/>
    <xf numFmtId="0" fontId="0" fillId="0" borderId="1" xfId="3" applyFont="1" applyBorder="1" applyAlignment="1">
      <alignment horizontal="center"/>
    </xf>
    <xf numFmtId="3" fontId="0" fillId="0" borderId="1" xfId="3" applyNumberFormat="1" applyFont="1" applyBorder="1"/>
    <xf numFmtId="0" fontId="8" fillId="0" borderId="0" xfId="4"/>
    <xf numFmtId="0" fontId="9" fillId="0" borderId="0" xfId="4" applyFont="1"/>
    <xf numFmtId="0" fontId="9" fillId="0" borderId="0" xfId="4" applyFont="1" applyFill="1"/>
    <xf numFmtId="0" fontId="10" fillId="0" borderId="0" xfId="0" applyFont="1"/>
  </cellXfs>
  <cellStyles count="5">
    <cellStyle name="Hyperlink" xfId="4" builtinId="8"/>
    <cellStyle name="Normal" xfId="0" builtinId="0"/>
    <cellStyle name="Normal 2" xfId="2" xr:uid="{7E562A7F-8C0C-48AA-BFB5-59295DA42511}"/>
    <cellStyle name="Normal 3" xfId="3" xr:uid="{36593EDB-800F-492B-B38B-A0F4AB4CEAE1}"/>
    <cellStyle name="Percent" xfId="1" builtinId="5"/>
  </cellStyles>
  <dxfs count="49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0" formatCode="@"/>
    </dxf>
    <dxf>
      <numFmt numFmtId="30" formatCode="@"/>
    </dxf>
    <dxf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1" xr9:uid="{00000000-0011-0000-FFFF-FFFF00000000}">
      <tableStyleElement type="wholeTable" dxfId="4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4F75D8-5EFF-4A08-9577-12ADD12CFDBE}" name="DetailByDistrict" displayName="DetailByDistrict" ref="A1:AA326" totalsRowShown="0" headerRowDxfId="47" dataDxfId="45" headerRowBorderDxfId="46" tableBorderDxfId="44" totalsRowBorderDxfId="43">
  <autoFilter ref="A1:AA326" xr:uid="{144F75D8-5EFF-4A08-9577-12ADD12CFDBE}"/>
  <tableColumns count="27">
    <tableColumn id="1" xr3:uid="{5CA73C1B-95F9-4F63-BF46-B90F56C06E38}" name="AEA" dataDxfId="42"/>
    <tableColumn id="2" xr3:uid="{0E72E1D7-9AD2-4D75-BB56-B0E7C85A8F50}" name="AEA Name" dataDxfId="41"/>
    <tableColumn id="3" xr3:uid="{B2C53BDB-DB68-44EE-8B14-6153517E09A8}" name="Dist" dataDxfId="40"/>
    <tableColumn id="4" xr3:uid="{B27999B5-756B-40B0-86D8-56DE9BBA4372}" name="District" dataDxfId="39"/>
    <tableColumn id="5" xr3:uid="{9BEA8801-E952-4278-A85F-DD10AAF976CA}" name="Total Special Ed Weighting in Addition to 1.0" dataDxfId="38"/>
    <tableColumn id="6" xr3:uid="{D4DDFA46-25F5-44CA-AA7C-5A6A4F819F4D}" name="Budget Enrollment" dataDxfId="37"/>
    <tableColumn id="7" xr3:uid="{AD64812A-4664-4A94-B99D-1C476D7A1DC9}" name="AEA Weighted Enrollment" dataDxfId="36"/>
    <tableColumn id="8" xr3:uid="{E8FEEEF9-0CFC-4336-90A4-8BDDBD0D9A50}" name="AEA Supplementary Weight for Sharing" dataDxfId="35"/>
    <tableColumn id="9" xr3:uid="{4AB439D0-5B06-48FB-92C9-D8BC0F6BF5FB}" name="Resident Accredited Nonpublic Students" dataDxfId="34"/>
    <tableColumn id="10" xr3:uid="{775F09F6-38DB-47D5-BB04-29B9FCE05753}" name="Shared-Time Nonpublic Pupils Counted in Line 1.1" dataDxfId="33"/>
    <tableColumn id="11" xr3:uid="{F688F50F-2780-47E2-971E-2D4A682DFF21}" name="Total Enrollment Served - Media and Ed Services" dataDxfId="32"/>
    <tableColumn id="12" xr3:uid="{E17509CD-EB62-47BE-8E95-6B3616139711}" name="AEA Special Ed Support Cost Per Pupil" dataDxfId="31"/>
    <tableColumn id="13" xr3:uid="{0D6185A4-9CE8-4F66-9B62-1706794DEF97}" name="AEA Media Cost Per Pupil" dataDxfId="30"/>
    <tableColumn id="14" xr3:uid="{20D4BC8A-9020-4854-A100-FCD81FE134CF}" name="AEA Ed Services Cost Per Pupil" dataDxfId="29"/>
    <tableColumn id="15" xr3:uid="{0F9D67DA-D5BC-4B80-B768-B4E0CB7F877A}" name="AEA Teacher Salary Supplement District Cost Per Pupil" dataDxfId="28"/>
    <tableColumn id="16" xr3:uid="{1F769999-FB72-46EA-B85F-DD1F2D2EF048}" name="AEA Special Ed Support District Cost without Adjustment" dataDxfId="27"/>
    <tableColumn id="17" xr3:uid="{5C9B0130-AAC2-4415-AADE-FD702B9F361F}" name="AEA Special Ed Support Adjustment" dataDxfId="26"/>
    <tableColumn id="18" xr3:uid="{32CB1B2A-C72C-467A-8470-385455A71237}" name="Special Education Total Cost" dataDxfId="25"/>
    <tableColumn id="19" xr3:uid="{9B4CBD76-3B04-4C95-8B7E-152971916FA6}" name="District/AEA Statewide State Aid Reduction" dataDxfId="24"/>
    <tableColumn id="20" xr3:uid="{FB72B6FE-C0C4-4728-9FAC-19A927CC8C69}" name="AEA Media Services Nonpublic Portion" dataDxfId="23"/>
    <tableColumn id="21" xr3:uid="{72FDA575-FA92-48A9-BBF5-BE261EB90206}" name="District Media Services" dataDxfId="22"/>
    <tableColumn id="22" xr3:uid="{452F84C5-43B4-43DB-BAC0-F4BA681D3FD7}" name="Total Media Services" dataDxfId="21"/>
    <tableColumn id="23" xr3:uid="{4C711228-0398-4CB9-A02F-E30C10423590}" name="AEA Educational Services Nonpublic Portion" dataDxfId="20"/>
    <tableColumn id="24" xr3:uid="{81DF7EC6-C273-468E-9042-A4480C346E1E}" name="District Educational Services" dataDxfId="19"/>
    <tableColumn id="25" xr3:uid="{5D405C97-4F60-41E0-94AF-62286A3AB0D3}" name="Total Educational Services" dataDxfId="18"/>
    <tableColumn id="26" xr3:uid="{E9015CF1-DBFF-4540-84A7-AE074F3AA2B6}" name="AEA Sharing District Cost" dataDxfId="17"/>
    <tableColumn id="27" xr3:uid="{568766DD-714D-4A1A-A034-59F4C9A46464}" name="AEA Teacher Salary Supplement District Cost" dataDxfId="1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0A6035-B394-4104-AF2A-7E0922E382B7}" name="Breakdown" displayName="Breakdown" ref="A1:U326" totalsRowShown="0">
  <autoFilter ref="A1:U326" xr:uid="{50AAE653-3C0E-4CE4-8115-B0AAA33589C6}"/>
  <tableColumns count="21">
    <tableColumn id="1" xr3:uid="{BB6F7C9A-5E70-4DEB-B8F2-25E8DF22276E}" name="AEA" dataDxfId="15"/>
    <tableColumn id="2" xr3:uid="{1DFFFA89-7664-4642-9554-486414639FC5}" name="AEA Name"/>
    <tableColumn id="3" xr3:uid="{27EFC537-60F3-48A5-A642-F6ED8259A88E}" name="Dist" dataDxfId="14"/>
    <tableColumn id="4" xr3:uid="{8432758F-F06C-44B1-B52D-B61E1ABB36C1}" name="District"/>
    <tableColumn id="5" xr3:uid="{6EF56C84-0321-4075-ADFE-F9C18F04725A}" name="AEA Special Ed Support District Cost Formula Generated" dataDxfId="13"/>
    <tableColumn id="6" xr3:uid="{7A87F51F-FBC3-4F3B-8F0E-02BEF3306874}" name="State Aid Portion Special Ed" dataDxfId="12"/>
    <tableColumn id="7" xr3:uid="{182A85FD-11E8-4C3F-8FA5-B29FB6F3E4C5}" name="AEA Statewide State Aid Reduction" dataDxfId="11"/>
    <tableColumn id="8" xr3:uid="{4B4DE84C-D2AF-4EA2-98B4-A038A27B3E2D}" name="State Aid Special Ed Minus Reduction" dataDxfId="10"/>
    <tableColumn id="9" xr3:uid="{8DEC4ED8-2CE5-485D-9F09-622F544ACE0F}" name="Special Education Property Tax Portion" dataDxfId="9"/>
    <tableColumn id="10" xr3:uid="{74748503-EE09-48F4-B938-DDF04ECA9474}" name="AEA Special Ed Support Adjustment"/>
    <tableColumn id="11" xr3:uid="{91E09D71-8A59-422C-95F3-B14D290A49C4}" name="Total Special Ed Funding Removing Reduction Including Adjustment"/>
    <tableColumn id="12" xr3:uid="{06EBAD71-97C8-4126-ADA8-F9160C90D5CA}" name="State Aid Portion Sharing Operations"/>
    <tableColumn id="13" xr3:uid="{06ADAC0E-85F7-466E-8566-20400F419DED}" name="Sharing Operations Property Tax" dataDxfId="8"/>
    <tableColumn id="14" xr3:uid="{997335BF-E2B5-402E-93CD-D75BA5CC1E40}" name="Total AEA Sharing Operations" dataDxfId="7"/>
    <tableColumn id="15" xr3:uid="{49EA1A3B-92B3-4A98-8DFA-6F4B52B885D7}" name="AEA Teacher Salary Supplement District Cost" dataDxfId="6"/>
    <tableColumn id="16" xr3:uid="{801D485E-3FF5-400C-9782-FA0FA7C9CBB0}" name="AEA Professional Development Supplement District Cost" dataDxfId="5"/>
    <tableColumn id="17" xr3:uid="{55310980-75BB-41A9-8CEE-4C678F8472FB}" name="AEA Media Services Nonpublic Portion" dataDxfId="4"/>
    <tableColumn id="18" xr3:uid="{394E2127-117F-455F-BB9A-1BD40C1A0C9F}" name="AEA Educational Services Nonpublic Portion" dataDxfId="3"/>
    <tableColumn id="19" xr3:uid="{DF47A1F0-D4BF-4940-A00F-B97C145CA762}" name="Total AEA Payment" dataDxfId="2"/>
    <tableColumn id="20" xr3:uid="{FC3C11CD-D550-4596-8820-A66ADE1EDF74}" name="AEA Payment State Aid Portion" dataDxfId="1"/>
    <tableColumn id="21" xr3:uid="{99FFD5E3-611A-4B7F-B560-F1F07A60FE7C}" name="AEA Payment Property Tax Por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gis.iowa.gov/legislation/BillBook?ga=91&amp;ba=SF%20659&amp;v=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64048-257D-4AFA-B4AE-1AB3AF855713}">
  <sheetPr>
    <tabColor theme="2" tint="-0.749992370372631"/>
  </sheetPr>
  <dimension ref="B1:B28"/>
  <sheetViews>
    <sheetView tabSelected="1" workbookViewId="0">
      <selection activeCell="B1" sqref="B1"/>
    </sheetView>
  </sheetViews>
  <sheetFormatPr defaultRowHeight="15" x14ac:dyDescent="0.25"/>
  <cols>
    <col min="2" max="2" width="221.7109375" bestFit="1" customWidth="1"/>
  </cols>
  <sheetData>
    <row r="1" spans="2:2" ht="15.75" x14ac:dyDescent="0.25">
      <c r="B1" s="87" t="s">
        <v>1299</v>
      </c>
    </row>
    <row r="3" spans="2:2" x14ac:dyDescent="0.25">
      <c r="B3" s="86" t="s">
        <v>1280</v>
      </c>
    </row>
    <row r="4" spans="2:2" x14ac:dyDescent="0.25">
      <c r="B4" t="s">
        <v>1281</v>
      </c>
    </row>
    <row r="5" spans="2:2" x14ac:dyDescent="0.25">
      <c r="B5" t="s">
        <v>1282</v>
      </c>
    </row>
    <row r="6" spans="2:2" x14ac:dyDescent="0.25">
      <c r="B6" s="84" t="s">
        <v>1294</v>
      </c>
    </row>
    <row r="7" spans="2:2" x14ac:dyDescent="0.25">
      <c r="B7" s="84"/>
    </row>
    <row r="8" spans="2:2" x14ac:dyDescent="0.25">
      <c r="B8" s="85" t="s">
        <v>1283</v>
      </c>
    </row>
    <row r="9" spans="2:2" x14ac:dyDescent="0.25">
      <c r="B9" t="s">
        <v>1284</v>
      </c>
    </row>
    <row r="11" spans="2:2" x14ac:dyDescent="0.25">
      <c r="B11" s="85" t="s">
        <v>1285</v>
      </c>
    </row>
    <row r="12" spans="2:2" x14ac:dyDescent="0.25">
      <c r="B12" t="s">
        <v>1286</v>
      </c>
    </row>
    <row r="14" spans="2:2" x14ac:dyDescent="0.25">
      <c r="B14" s="85" t="s">
        <v>1287</v>
      </c>
    </row>
    <row r="15" spans="2:2" x14ac:dyDescent="0.25">
      <c r="B15" t="s">
        <v>1288</v>
      </c>
    </row>
    <row r="16" spans="2:2" x14ac:dyDescent="0.25">
      <c r="B16" t="s">
        <v>1289</v>
      </c>
    </row>
    <row r="18" spans="2:2" x14ac:dyDescent="0.25">
      <c r="B18" s="85" t="s">
        <v>1290</v>
      </c>
    </row>
    <row r="19" spans="2:2" x14ac:dyDescent="0.25">
      <c r="B19" t="s">
        <v>1291</v>
      </c>
    </row>
    <row r="21" spans="2:2" x14ac:dyDescent="0.25">
      <c r="B21" s="85" t="s">
        <v>1295</v>
      </c>
    </row>
    <row r="22" spans="2:2" x14ac:dyDescent="0.25">
      <c r="B22" t="s">
        <v>1292</v>
      </c>
    </row>
    <row r="24" spans="2:2" x14ac:dyDescent="0.25">
      <c r="B24" s="85" t="s">
        <v>1296</v>
      </c>
    </row>
    <row r="25" spans="2:2" x14ac:dyDescent="0.25">
      <c r="B25" t="s">
        <v>1293</v>
      </c>
    </row>
    <row r="27" spans="2:2" x14ac:dyDescent="0.25">
      <c r="B27" s="85" t="s">
        <v>1297</v>
      </c>
    </row>
    <row r="28" spans="2:2" x14ac:dyDescent="0.25">
      <c r="B28" t="s">
        <v>1298</v>
      </c>
    </row>
  </sheetData>
  <hyperlinks>
    <hyperlink ref="B6" r:id="rId1" xr:uid="{FC49FCDF-D964-4D1A-82F9-CDDFDDE1F40A}"/>
    <hyperlink ref="B3" location="'AEA Payment Summary'!A1" display="AEA Payment Summary " xr:uid="{E113E326-F83A-4934-A0E3-4D80BE3F8851}"/>
    <hyperlink ref="B8" location="DetailByDistrict!A1" display="DetailByDistrict" xr:uid="{292DF0E8-FC16-45E6-879B-F42CD96CF033}"/>
    <hyperlink ref="B11" location="DetailByAEA!A1" display="DetailByAEA" xr:uid="{2D8D33B6-CB2D-4825-898D-EA74FBAC4465}"/>
    <hyperlink ref="B14" location="'Special Education Breakdown'!A1" display="Special Education Breakdown" xr:uid="{77815CCD-9F50-4E9D-834F-FF5CAFBD9383}"/>
    <hyperlink ref="B18" location="'Special Education By AEA'!A1" display="Special Education By AEA" xr:uid="{39EEA42F-3B1C-4247-963E-E91118D63BA4}"/>
    <hyperlink ref="B21" location="'Media&amp;EdByAEA,Dist,Nonpublic'!A1" display="Media&amp;EdByAEA,Dist,Nonpublic" xr:uid="{C7DDC962-52B8-4703-8CCC-371DBDDB9CD4}"/>
    <hyperlink ref="B24" location="'Media&amp;EdByAEA,Nonpublic'!A1" display="Media&amp;EdByAEA,Nonpublic" xr:uid="{6EBA0863-C91B-40AA-B400-C134E9EC58B7}"/>
    <hyperlink ref="B27" location="'Media&amp;EdByNonpublic'!A1" display="Media&amp;EdByNonpublic" xr:uid="{574AEABE-035E-462C-B748-3FB245AB8CD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9A932-0CDE-4024-BF03-B79C8DAF62F0}">
  <sheetPr>
    <tabColor rgb="FF92D050"/>
    <pageSetUpPr fitToPage="1"/>
  </sheetPr>
  <dimension ref="C6:T17"/>
  <sheetViews>
    <sheetView workbookViewId="0"/>
  </sheetViews>
  <sheetFormatPr defaultRowHeight="15" x14ac:dyDescent="0.25"/>
  <cols>
    <col min="3" max="3" width="4.5703125" bestFit="1" customWidth="1"/>
    <col min="4" max="4" width="21.5703125" bestFit="1" customWidth="1"/>
    <col min="5" max="5" width="11" customWidth="1"/>
    <col min="6" max="6" width="11.7109375" customWidth="1"/>
    <col min="7" max="7" width="16.5703125" bestFit="1" customWidth="1"/>
    <col min="8" max="8" width="12" bestFit="1" customWidth="1"/>
    <col min="9" max="9" width="10.7109375" bestFit="1" customWidth="1"/>
    <col min="10" max="10" width="11.28515625" bestFit="1" customWidth="1"/>
    <col min="11" max="11" width="10.140625" bestFit="1" customWidth="1"/>
    <col min="12" max="12" width="16.140625" bestFit="1" customWidth="1"/>
    <col min="13" max="13" width="12.85546875" bestFit="1" customWidth="1"/>
    <col min="18" max="20" width="0" style="32" hidden="1" customWidth="1"/>
  </cols>
  <sheetData>
    <row r="6" spans="3:20" ht="75" x14ac:dyDescent="0.25">
      <c r="C6" s="23" t="s">
        <v>343</v>
      </c>
      <c r="D6" s="7" t="s">
        <v>344</v>
      </c>
      <c r="E6" s="25" t="s">
        <v>679</v>
      </c>
      <c r="F6" s="25" t="s">
        <v>681</v>
      </c>
      <c r="G6" s="25" t="s">
        <v>682</v>
      </c>
      <c r="H6" s="6" t="s">
        <v>341</v>
      </c>
      <c r="I6" s="6" t="s">
        <v>738</v>
      </c>
      <c r="J6" s="6" t="s">
        <v>739</v>
      </c>
      <c r="K6" s="6" t="s">
        <v>740</v>
      </c>
      <c r="L6" s="6" t="s">
        <v>741</v>
      </c>
      <c r="M6" s="6" t="s">
        <v>742</v>
      </c>
      <c r="R6" s="32" t="s">
        <v>743</v>
      </c>
      <c r="S6" s="32" t="s">
        <v>744</v>
      </c>
      <c r="T6" s="32" t="s">
        <v>745</v>
      </c>
    </row>
    <row r="7" spans="3:20" x14ac:dyDescent="0.25">
      <c r="C7" s="5" t="s">
        <v>0</v>
      </c>
      <c r="D7" s="5" t="s">
        <v>665</v>
      </c>
      <c r="E7" s="4">
        <f>SUMIF(Breakdown[AEA],$C7,Breakdown[State Aid Portion Sharing Operations])</f>
        <v>22789</v>
      </c>
      <c r="F7" s="4">
        <f>SUMIF(Breakdown[AEA],$C7,Breakdown[Sharing Operations Property Tax])</f>
        <v>7211</v>
      </c>
      <c r="G7" s="4">
        <f>SUMIF(Breakdown[AEA],$C7,Breakdown[Total AEA Sharing Operations])</f>
        <v>30000</v>
      </c>
      <c r="H7" s="4">
        <f>SUMIF(Breakdown[AEA],$C7,Breakdown[AEA Teacher Salary Supplement District Cost])</f>
        <v>1151859</v>
      </c>
      <c r="I7" s="4">
        <f>SUMIF(Breakdown[AEA],$C7,Breakdown[AEA Media Services Nonpublic Portion])</f>
        <v>262085</v>
      </c>
      <c r="J7" s="4">
        <f>SUMIF(Breakdown[AEA],$C7,Breakdown[AEA Educational Services Nonpublic Portion])</f>
        <v>291923</v>
      </c>
      <c r="K7" s="4">
        <f>SUMIF(Breakdown[AEA],$C7,Breakdown[Total AEA Payment])</f>
        <v>1735867</v>
      </c>
      <c r="L7" s="4">
        <f>SUMIF(Breakdown[AEA],$C7,Breakdown[AEA Payment State Aid Portion])</f>
        <v>1174648</v>
      </c>
      <c r="M7" s="4">
        <f>SUMIF(Breakdown[AEA],$C7,Breakdown[AEA Payment Property Tax Portion])</f>
        <v>561219</v>
      </c>
      <c r="R7" s="33">
        <f>K7-J7-I7-H7-G7</f>
        <v>0</v>
      </c>
      <c r="S7" s="33">
        <f>L7-H7-E7</f>
        <v>0</v>
      </c>
      <c r="T7" s="33">
        <f>M7-J7-I7-F7</f>
        <v>0</v>
      </c>
    </row>
    <row r="8" spans="3:20" x14ac:dyDescent="0.25">
      <c r="C8" s="5" t="s">
        <v>22</v>
      </c>
      <c r="D8" s="5" t="s">
        <v>666</v>
      </c>
      <c r="E8" s="4">
        <f>SUMIF(Breakdown[AEA],$C8,Breakdown[State Aid Portion Sharing Operations])</f>
        <v>0</v>
      </c>
      <c r="F8" s="4">
        <f>SUMIF(Breakdown[AEA],$C8,Breakdown[Sharing Operations Property Tax])</f>
        <v>0</v>
      </c>
      <c r="G8" s="4">
        <f>SUMIF(Breakdown[AEA],$C8,Breakdown[Total AEA Sharing Operations])</f>
        <v>0</v>
      </c>
      <c r="H8" s="4">
        <f>SUMIF(Breakdown[AEA],$C8,Breakdown[AEA Teacher Salary Supplement District Cost])</f>
        <v>1276124</v>
      </c>
      <c r="I8" s="4">
        <f>SUMIF(Breakdown[AEA],$C8,Breakdown[AEA Media Services Nonpublic Portion])</f>
        <v>150479</v>
      </c>
      <c r="J8" s="4">
        <f>SUMIF(Breakdown[AEA],$C8,Breakdown[AEA Educational Services Nonpublic Portion])</f>
        <v>168486</v>
      </c>
      <c r="K8" s="4">
        <f>SUMIF(Breakdown[AEA],$C8,Breakdown[Total AEA Payment])</f>
        <v>1595089</v>
      </c>
      <c r="L8" s="4">
        <f>SUMIF(Breakdown[AEA],$C8,Breakdown[AEA Payment State Aid Portion])</f>
        <v>1276124</v>
      </c>
      <c r="M8" s="4">
        <f>SUMIF(Breakdown[AEA],$C8,Breakdown[AEA Payment Property Tax Portion])</f>
        <v>318965</v>
      </c>
      <c r="R8" s="33">
        <f t="shared" ref="R8:R16" si="0">K8-J8-I8-H8-G8</f>
        <v>0</v>
      </c>
      <c r="S8" s="33">
        <f t="shared" ref="S8:S16" si="1">L8-H8-E8</f>
        <v>0</v>
      </c>
      <c r="T8" s="33">
        <f t="shared" ref="T8:T16" si="2">M8-J8-I8-F8</f>
        <v>0</v>
      </c>
    </row>
    <row r="9" spans="3:20" x14ac:dyDescent="0.25">
      <c r="C9" s="5" t="s">
        <v>60</v>
      </c>
      <c r="D9" s="5" t="s">
        <v>667</v>
      </c>
      <c r="E9" s="4">
        <f>SUMIF(Breakdown[AEA],$C9,Breakdown[State Aid Portion Sharing Operations])</f>
        <v>23488</v>
      </c>
      <c r="F9" s="4">
        <f>SUMIF(Breakdown[AEA],$C9,Breakdown[Sharing Operations Property Tax])</f>
        <v>6512</v>
      </c>
      <c r="G9" s="4">
        <f>SUMIF(Breakdown[AEA],$C9,Breakdown[Total AEA Sharing Operations])</f>
        <v>30000</v>
      </c>
      <c r="H9" s="4">
        <f>SUMIF(Breakdown[AEA],$C9,Breakdown[AEA Teacher Salary Supplement District Cost])</f>
        <v>3032137</v>
      </c>
      <c r="I9" s="4">
        <f>SUMIF(Breakdown[AEA],$C9,Breakdown[AEA Media Services Nonpublic Portion])</f>
        <v>253193</v>
      </c>
      <c r="J9" s="4">
        <f>SUMIF(Breakdown[AEA],$C9,Breakdown[AEA Educational Services Nonpublic Portion])</f>
        <v>282243</v>
      </c>
      <c r="K9" s="4">
        <f>SUMIF(Breakdown[AEA],$C9,Breakdown[Total AEA Payment])</f>
        <v>3597573</v>
      </c>
      <c r="L9" s="4">
        <f>SUMIF(Breakdown[AEA],$C9,Breakdown[AEA Payment State Aid Portion])</f>
        <v>3055625</v>
      </c>
      <c r="M9" s="4">
        <f>SUMIF(Breakdown[AEA],$C9,Breakdown[AEA Payment Property Tax Portion])</f>
        <v>541948</v>
      </c>
      <c r="R9" s="33">
        <f t="shared" si="0"/>
        <v>0</v>
      </c>
      <c r="S9" s="33">
        <f t="shared" si="1"/>
        <v>0</v>
      </c>
      <c r="T9" s="33">
        <f t="shared" si="2"/>
        <v>0</v>
      </c>
    </row>
    <row r="10" spans="3:20" x14ac:dyDescent="0.25">
      <c r="C10" s="5" t="s">
        <v>118</v>
      </c>
      <c r="D10" s="5" t="s">
        <v>668</v>
      </c>
      <c r="E10" s="4">
        <f>SUMIF(Breakdown[AEA],$C10,Breakdown[State Aid Portion Sharing Operations])</f>
        <v>23650</v>
      </c>
      <c r="F10" s="4">
        <f>SUMIF(Breakdown[AEA],$C10,Breakdown[Sharing Operations Property Tax])</f>
        <v>6350</v>
      </c>
      <c r="G10" s="4">
        <f>SUMIF(Breakdown[AEA],$C10,Breakdown[Total AEA Sharing Operations])</f>
        <v>30000</v>
      </c>
      <c r="H10" s="4">
        <f>SUMIF(Breakdown[AEA],$C10,Breakdown[AEA Teacher Salary Supplement District Cost])</f>
        <v>1634071</v>
      </c>
      <c r="I10" s="4">
        <f>SUMIF(Breakdown[AEA],$C10,Breakdown[AEA Media Services Nonpublic Portion])</f>
        <v>245851</v>
      </c>
      <c r="J10" s="4">
        <f>SUMIF(Breakdown[AEA],$C10,Breakdown[AEA Educational Services Nonpublic Portion])</f>
        <v>268841</v>
      </c>
      <c r="K10" s="4">
        <f>SUMIF(Breakdown[AEA],$C10,Breakdown[Total AEA Payment])</f>
        <v>2178763</v>
      </c>
      <c r="L10" s="4">
        <f>SUMIF(Breakdown[AEA],$C10,Breakdown[AEA Payment State Aid Portion])</f>
        <v>1657721</v>
      </c>
      <c r="M10" s="4">
        <f>SUMIF(Breakdown[AEA],$C10,Breakdown[AEA Payment Property Tax Portion])</f>
        <v>521042</v>
      </c>
      <c r="R10" s="33">
        <f t="shared" si="0"/>
        <v>0</v>
      </c>
      <c r="S10" s="33">
        <f t="shared" si="1"/>
        <v>0</v>
      </c>
      <c r="T10" s="33">
        <f t="shared" si="2"/>
        <v>0</v>
      </c>
    </row>
    <row r="11" spans="3:20" x14ac:dyDescent="0.25">
      <c r="C11" s="5" t="s">
        <v>140</v>
      </c>
      <c r="D11" s="5" t="s">
        <v>669</v>
      </c>
      <c r="E11" s="4">
        <f>SUMIF(Breakdown[AEA],$C11,Breakdown[State Aid Portion Sharing Operations])</f>
        <v>23785</v>
      </c>
      <c r="F11" s="4">
        <f>SUMIF(Breakdown[AEA],$C11,Breakdown[Sharing Operations Property Tax])</f>
        <v>6216</v>
      </c>
      <c r="G11" s="4">
        <f>SUMIF(Breakdown[AEA],$C11,Breakdown[Total AEA Sharing Operations])</f>
        <v>30001</v>
      </c>
      <c r="H11" s="4">
        <f>SUMIF(Breakdown[AEA],$C11,Breakdown[AEA Teacher Salary Supplement District Cost])</f>
        <v>2570057</v>
      </c>
      <c r="I11" s="4">
        <f>SUMIF(Breakdown[AEA],$C11,Breakdown[AEA Media Services Nonpublic Portion])</f>
        <v>344008</v>
      </c>
      <c r="J11" s="4">
        <f>SUMIF(Breakdown[AEA],$C11,Breakdown[AEA Educational Services Nonpublic Portion])</f>
        <v>378309</v>
      </c>
      <c r="K11" s="4">
        <f>SUMIF(Breakdown[AEA],$C11,Breakdown[Total AEA Payment])</f>
        <v>3322375</v>
      </c>
      <c r="L11" s="4">
        <f>SUMIF(Breakdown[AEA],$C11,Breakdown[AEA Payment State Aid Portion])</f>
        <v>2593842</v>
      </c>
      <c r="M11" s="4">
        <f>SUMIF(Breakdown[AEA],$C11,Breakdown[AEA Payment Property Tax Portion])</f>
        <v>728533</v>
      </c>
      <c r="R11" s="33">
        <f t="shared" si="0"/>
        <v>0</v>
      </c>
      <c r="S11" s="33">
        <f t="shared" si="1"/>
        <v>0</v>
      </c>
      <c r="T11" s="33">
        <f t="shared" si="2"/>
        <v>0</v>
      </c>
    </row>
    <row r="12" spans="3:20" x14ac:dyDescent="0.25">
      <c r="C12" s="5" t="s">
        <v>174</v>
      </c>
      <c r="D12" s="5" t="s">
        <v>670</v>
      </c>
      <c r="E12" s="4">
        <f>SUMIF(Breakdown[AEA],$C12,Breakdown[State Aid Portion Sharing Operations])</f>
        <v>0</v>
      </c>
      <c r="F12" s="4">
        <f>SUMIF(Breakdown[AEA],$C12,Breakdown[Sharing Operations Property Tax])</f>
        <v>0</v>
      </c>
      <c r="G12" s="4">
        <f>SUMIF(Breakdown[AEA],$C12,Breakdown[Total AEA Sharing Operations])</f>
        <v>0</v>
      </c>
      <c r="H12" s="4">
        <f>SUMIF(Breakdown[AEA],$C12,Breakdown[AEA Teacher Salary Supplement District Cost])</f>
        <v>4753653</v>
      </c>
      <c r="I12" s="4">
        <f>SUMIF(Breakdown[AEA],$C12,Breakdown[AEA Media Services Nonpublic Portion])</f>
        <v>752248</v>
      </c>
      <c r="J12" s="4">
        <f>SUMIF(Breakdown[AEA],$C12,Breakdown[AEA Educational Services Nonpublic Portion])</f>
        <v>826706</v>
      </c>
      <c r="K12" s="4">
        <f>SUMIF(Breakdown[AEA],$C12,Breakdown[Total AEA Payment])</f>
        <v>6332607</v>
      </c>
      <c r="L12" s="4">
        <f>SUMIF(Breakdown[AEA],$C12,Breakdown[AEA Payment State Aid Portion])</f>
        <v>4753653</v>
      </c>
      <c r="M12" s="4">
        <f>SUMIF(Breakdown[AEA],$C12,Breakdown[AEA Payment Property Tax Portion])</f>
        <v>1578954</v>
      </c>
      <c r="R12" s="33">
        <f t="shared" si="0"/>
        <v>0</v>
      </c>
      <c r="S12" s="33">
        <f t="shared" si="1"/>
        <v>0</v>
      </c>
      <c r="T12" s="33">
        <f t="shared" si="2"/>
        <v>0</v>
      </c>
    </row>
    <row r="13" spans="3:20" x14ac:dyDescent="0.25">
      <c r="C13" s="5" t="s">
        <v>229</v>
      </c>
      <c r="D13" s="5" t="s">
        <v>671</v>
      </c>
      <c r="E13" s="4">
        <f>SUMIF(Breakdown[AEA],$C13,Breakdown[State Aid Portion Sharing Operations])</f>
        <v>23274</v>
      </c>
      <c r="F13" s="4">
        <f>SUMIF(Breakdown[AEA],$C13,Breakdown[Sharing Operations Property Tax])</f>
        <v>6726</v>
      </c>
      <c r="G13" s="4">
        <f>SUMIF(Breakdown[AEA],$C13,Breakdown[Total AEA Sharing Operations])</f>
        <v>30000</v>
      </c>
      <c r="H13" s="4">
        <f>SUMIF(Breakdown[AEA],$C13,Breakdown[AEA Teacher Salary Supplement District Cost])</f>
        <v>1619590</v>
      </c>
      <c r="I13" s="4">
        <f>SUMIF(Breakdown[AEA],$C13,Breakdown[AEA Media Services Nonpublic Portion])</f>
        <v>377069</v>
      </c>
      <c r="J13" s="4">
        <f>SUMIF(Breakdown[AEA],$C13,Breakdown[AEA Educational Services Nonpublic Portion])</f>
        <v>422065</v>
      </c>
      <c r="K13" s="4">
        <f>SUMIF(Breakdown[AEA],$C13,Breakdown[Total AEA Payment])</f>
        <v>2448724</v>
      </c>
      <c r="L13" s="4">
        <f>SUMIF(Breakdown[AEA],$C13,Breakdown[AEA Payment State Aid Portion])</f>
        <v>1642864</v>
      </c>
      <c r="M13" s="4">
        <f>SUMIF(Breakdown[AEA],$C13,Breakdown[AEA Payment Property Tax Portion])</f>
        <v>805860</v>
      </c>
      <c r="R13" s="33">
        <f t="shared" si="0"/>
        <v>0</v>
      </c>
      <c r="S13" s="33">
        <f t="shared" si="1"/>
        <v>0</v>
      </c>
      <c r="T13" s="33">
        <f t="shared" si="2"/>
        <v>0</v>
      </c>
    </row>
    <row r="14" spans="3:20" x14ac:dyDescent="0.25">
      <c r="C14" s="5" t="s">
        <v>263</v>
      </c>
      <c r="D14" s="5" t="s">
        <v>672</v>
      </c>
      <c r="E14" s="4">
        <f>SUMIF(Breakdown[AEA],$C14,Breakdown[State Aid Portion Sharing Operations])</f>
        <v>23715</v>
      </c>
      <c r="F14" s="4">
        <f>SUMIF(Breakdown[AEA],$C14,Breakdown[Sharing Operations Property Tax])</f>
        <v>6285</v>
      </c>
      <c r="G14" s="4">
        <f>SUMIF(Breakdown[AEA],$C14,Breakdown[Total AEA Sharing Operations])</f>
        <v>30000</v>
      </c>
      <c r="H14" s="4">
        <f>SUMIF(Breakdown[AEA],$C14,Breakdown[AEA Teacher Salary Supplement District Cost])</f>
        <v>1519471</v>
      </c>
      <c r="I14" s="4">
        <f>SUMIF(Breakdown[AEA],$C14,Breakdown[AEA Media Services Nonpublic Portion])</f>
        <v>79679</v>
      </c>
      <c r="J14" s="4">
        <f>SUMIF(Breakdown[AEA],$C14,Breakdown[AEA Educational Services Nonpublic Portion])</f>
        <v>88100</v>
      </c>
      <c r="K14" s="4">
        <f>SUMIF(Breakdown[AEA],$C14,Breakdown[Total AEA Payment])</f>
        <v>1717250</v>
      </c>
      <c r="L14" s="4">
        <f>SUMIF(Breakdown[AEA],$C14,Breakdown[AEA Payment State Aid Portion])</f>
        <v>1543186</v>
      </c>
      <c r="M14" s="4">
        <f>SUMIF(Breakdown[AEA],$C14,Breakdown[AEA Payment Property Tax Portion])</f>
        <v>174064</v>
      </c>
      <c r="R14" s="33">
        <f t="shared" si="0"/>
        <v>0</v>
      </c>
      <c r="S14" s="33">
        <f t="shared" si="1"/>
        <v>0</v>
      </c>
      <c r="T14" s="33">
        <f t="shared" si="2"/>
        <v>0</v>
      </c>
    </row>
    <row r="15" spans="3:20" x14ac:dyDescent="0.25">
      <c r="C15" s="5" t="s">
        <v>308</v>
      </c>
      <c r="D15" s="5" t="s">
        <v>673</v>
      </c>
      <c r="E15" s="4">
        <f>SUMIF(Breakdown[AEA],$C15,Breakdown[State Aid Portion Sharing Operations])</f>
        <v>23898</v>
      </c>
      <c r="F15" s="4">
        <f>SUMIF(Breakdown[AEA],$C15,Breakdown[Sharing Operations Property Tax])</f>
        <v>6104</v>
      </c>
      <c r="G15" s="4">
        <f>SUMIF(Breakdown[AEA],$C15,Breakdown[Total AEA Sharing Operations])</f>
        <v>30002</v>
      </c>
      <c r="H15" s="4">
        <f>SUMIF(Breakdown[AEA],$C15,Breakdown[AEA Teacher Salary Supplement District Cost])</f>
        <v>1327569</v>
      </c>
      <c r="I15" s="4">
        <f>SUMIF(Breakdown[AEA],$C15,Breakdown[AEA Media Services Nonpublic Portion])</f>
        <v>95494</v>
      </c>
      <c r="J15" s="4">
        <f>SUMIF(Breakdown[AEA],$C15,Breakdown[AEA Educational Services Nonpublic Portion])</f>
        <v>105003</v>
      </c>
      <c r="K15" s="4">
        <f>SUMIF(Breakdown[AEA],$C15,Breakdown[Total AEA Payment])</f>
        <v>1558068</v>
      </c>
      <c r="L15" s="4">
        <f>SUMIF(Breakdown[AEA],$C15,Breakdown[AEA Payment State Aid Portion])</f>
        <v>1351467</v>
      </c>
      <c r="M15" s="4">
        <f>SUMIF(Breakdown[AEA],$C15,Breakdown[AEA Payment Property Tax Portion])</f>
        <v>206601</v>
      </c>
      <c r="R15" s="33">
        <f t="shared" si="0"/>
        <v>0</v>
      </c>
      <c r="S15" s="33">
        <f t="shared" si="1"/>
        <v>0</v>
      </c>
      <c r="T15" s="33">
        <f t="shared" si="2"/>
        <v>0</v>
      </c>
    </row>
    <row r="16" spans="3:20" ht="15.75" thickBot="1" x14ac:dyDescent="0.3">
      <c r="E16" s="31">
        <f t="shared" ref="E16:F16" si="3">SUM(E7:E15)</f>
        <v>164599</v>
      </c>
      <c r="F16" s="31">
        <f t="shared" si="3"/>
        <v>45404</v>
      </c>
      <c r="G16" s="31">
        <f>SUM(G7:G15)</f>
        <v>210003</v>
      </c>
      <c r="H16" s="31">
        <f t="shared" ref="H16:M16" si="4">SUM(H7:H15)</f>
        <v>18884531</v>
      </c>
      <c r="I16" s="31">
        <f t="shared" si="4"/>
        <v>2560106</v>
      </c>
      <c r="J16" s="31">
        <f t="shared" si="4"/>
        <v>2831676</v>
      </c>
      <c r="K16" s="31">
        <f t="shared" si="4"/>
        <v>24486316</v>
      </c>
      <c r="L16" s="31">
        <f t="shared" si="4"/>
        <v>19049130</v>
      </c>
      <c r="M16" s="31">
        <f t="shared" si="4"/>
        <v>5437186</v>
      </c>
      <c r="R16" s="33">
        <f t="shared" si="0"/>
        <v>0</v>
      </c>
      <c r="S16" s="33">
        <f t="shared" si="1"/>
        <v>0</v>
      </c>
      <c r="T16" s="33">
        <f t="shared" si="2"/>
        <v>0</v>
      </c>
    </row>
    <row r="17" ht="15.75" thickTop="1" x14ac:dyDescent="0.25"/>
  </sheetData>
  <pageMargins left="0.7" right="0.7" top="0.75" bottom="0.75" header="0.3" footer="0.3"/>
  <pageSetup scale="89" fitToHeight="0" orientation="landscape" horizontalDpi="1200" verticalDpi="1200" r:id="rId1"/>
  <headerFooter>
    <oddHeader>&amp;C&amp;"-,Bold"&amp;16Department of Management - Final FY 2026 Amounts - 2% SSA - $32.5 million Reduction</oddHeader>
    <oddFooter>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AD12D-46D5-4054-94EE-C742EB4B15DD}">
  <sheetPr>
    <tabColor rgb="FFFFFF00"/>
    <pageSetUpPr fitToPage="1"/>
  </sheetPr>
  <dimension ref="A1:AA326"/>
  <sheetViews>
    <sheetView workbookViewId="0">
      <pane xSplit="4" ySplit="1" topLeftCell="Q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2" max="2" width="21.5703125" bestFit="1" customWidth="1"/>
    <col min="3" max="3" width="6.5703125" style="1" customWidth="1"/>
    <col min="4" max="4" width="35.42578125" bestFit="1" customWidth="1"/>
    <col min="5" max="5" width="26.140625" customWidth="1"/>
    <col min="6" max="6" width="13.140625" bestFit="1" customWidth="1"/>
    <col min="7" max="7" width="16.28515625" bestFit="1" customWidth="1"/>
    <col min="8" max="8" width="21.140625" bestFit="1" customWidth="1"/>
    <col min="9" max="9" width="21" bestFit="1" customWidth="1"/>
    <col min="10" max="10" width="20.42578125" bestFit="1" customWidth="1"/>
    <col min="11" max="11" width="18.140625" bestFit="1" customWidth="1"/>
    <col min="12" max="12" width="15.7109375" bestFit="1" customWidth="1"/>
    <col min="13" max="13" width="13" bestFit="1" customWidth="1"/>
    <col min="14" max="14" width="21.7109375" bestFit="1" customWidth="1"/>
    <col min="15" max="15" width="21.140625" bestFit="1" customWidth="1"/>
    <col min="16" max="16" width="21.5703125" bestFit="1" customWidth="1"/>
    <col min="17" max="17" width="16.28515625" bestFit="1" customWidth="1"/>
    <col min="18" max="18" width="12" bestFit="1" customWidth="1"/>
    <col min="19" max="19" width="21" bestFit="1" customWidth="1"/>
    <col min="20" max="20" width="15.85546875" bestFit="1" customWidth="1"/>
    <col min="21" max="21" width="13.85546875" bestFit="1" customWidth="1"/>
    <col min="22" max="22" width="25.7109375" bestFit="1" customWidth="1"/>
    <col min="23" max="23" width="13.5703125" bestFit="1" customWidth="1"/>
    <col min="24" max="24" width="18.5703125" bestFit="1" customWidth="1"/>
    <col min="25" max="25" width="13.85546875" bestFit="1" customWidth="1"/>
    <col min="26" max="26" width="25.5703125" bestFit="1" customWidth="1"/>
    <col min="27" max="27" width="21" bestFit="1" customWidth="1"/>
  </cols>
  <sheetData>
    <row r="1" spans="1:27" s="34" customFormat="1" ht="55.5" customHeight="1" x14ac:dyDescent="0.25">
      <c r="A1" s="40" t="s">
        <v>343</v>
      </c>
      <c r="B1" s="41" t="s">
        <v>344</v>
      </c>
      <c r="C1" s="42" t="s">
        <v>664</v>
      </c>
      <c r="D1" s="41" t="s">
        <v>345</v>
      </c>
      <c r="E1" s="41" t="s">
        <v>746</v>
      </c>
      <c r="F1" s="41" t="s">
        <v>747</v>
      </c>
      <c r="G1" s="41" t="s">
        <v>748</v>
      </c>
      <c r="H1" s="41" t="s">
        <v>749</v>
      </c>
      <c r="I1" s="41" t="s">
        <v>750</v>
      </c>
      <c r="J1" s="41" t="s">
        <v>751</v>
      </c>
      <c r="K1" s="41" t="s">
        <v>764</v>
      </c>
      <c r="L1" s="41" t="s">
        <v>752</v>
      </c>
      <c r="M1" s="41" t="s">
        <v>753</v>
      </c>
      <c r="N1" s="41" t="s">
        <v>754</v>
      </c>
      <c r="O1" s="41" t="s">
        <v>755</v>
      </c>
      <c r="P1" s="41" t="s">
        <v>756</v>
      </c>
      <c r="Q1" s="41" t="s">
        <v>346</v>
      </c>
      <c r="R1" s="41" t="s">
        <v>757</v>
      </c>
      <c r="S1" s="41" t="s">
        <v>763</v>
      </c>
      <c r="T1" s="41" t="s">
        <v>738</v>
      </c>
      <c r="U1" s="41" t="s">
        <v>758</v>
      </c>
      <c r="V1" s="41" t="s">
        <v>759</v>
      </c>
      <c r="W1" s="41" t="s">
        <v>739</v>
      </c>
      <c r="X1" s="41" t="s">
        <v>760</v>
      </c>
      <c r="Y1" s="41" t="s">
        <v>761</v>
      </c>
      <c r="Z1" s="41" t="s">
        <v>762</v>
      </c>
      <c r="AA1" s="43" t="s">
        <v>341</v>
      </c>
    </row>
    <row r="2" spans="1:27" x14ac:dyDescent="0.25">
      <c r="A2" s="44" t="s">
        <v>0</v>
      </c>
      <c r="B2" s="5" t="s">
        <v>665</v>
      </c>
      <c r="C2" s="45" t="s">
        <v>1</v>
      </c>
      <c r="D2" s="5" t="s">
        <v>348</v>
      </c>
      <c r="E2" s="5">
        <v>170.28</v>
      </c>
      <c r="F2" s="35">
        <v>1104.7</v>
      </c>
      <c r="G2" s="35">
        <v>1274.98</v>
      </c>
      <c r="H2" s="5">
        <v>3.3</v>
      </c>
      <c r="I2" s="5">
        <v>155</v>
      </c>
      <c r="J2" s="5">
        <v>1.8</v>
      </c>
      <c r="K2" s="4">
        <v>1258</v>
      </c>
      <c r="L2" s="5">
        <v>363.32</v>
      </c>
      <c r="M2" s="5">
        <v>65.260000000000005</v>
      </c>
      <c r="N2" s="5">
        <v>72.69</v>
      </c>
      <c r="O2" s="5">
        <v>36.03</v>
      </c>
      <c r="P2" s="4">
        <v>463226</v>
      </c>
      <c r="Q2" s="5">
        <v>0</v>
      </c>
      <c r="R2" s="4">
        <v>463226</v>
      </c>
      <c r="S2" s="4">
        <v>75370</v>
      </c>
      <c r="T2" s="4">
        <v>10115</v>
      </c>
      <c r="U2" s="4">
        <v>71982</v>
      </c>
      <c r="V2" s="4">
        <v>82097</v>
      </c>
      <c r="W2" s="4">
        <v>11267</v>
      </c>
      <c r="X2" s="4">
        <v>80177</v>
      </c>
      <c r="Y2" s="4">
        <v>91444</v>
      </c>
      <c r="Z2" s="4">
        <v>1199</v>
      </c>
      <c r="AA2" s="46">
        <v>45938</v>
      </c>
    </row>
    <row r="3" spans="1:27" x14ac:dyDescent="0.25">
      <c r="A3" s="44" t="s">
        <v>0</v>
      </c>
      <c r="B3" s="5" t="s">
        <v>665</v>
      </c>
      <c r="C3" s="47" t="s">
        <v>2</v>
      </c>
      <c r="D3" s="5" t="s">
        <v>349</v>
      </c>
      <c r="E3" s="5">
        <v>66.67</v>
      </c>
      <c r="F3" s="5">
        <v>456.1</v>
      </c>
      <c r="G3" s="5">
        <v>522.77</v>
      </c>
      <c r="H3" s="5">
        <v>1.35</v>
      </c>
      <c r="I3" s="5">
        <v>0</v>
      </c>
      <c r="J3" s="5">
        <v>0</v>
      </c>
      <c r="K3" s="5">
        <v>456</v>
      </c>
      <c r="L3" s="5">
        <v>363.32</v>
      </c>
      <c r="M3" s="5">
        <v>65.260000000000005</v>
      </c>
      <c r="N3" s="5">
        <v>72.69</v>
      </c>
      <c r="O3" s="5">
        <v>36.03</v>
      </c>
      <c r="P3" s="4">
        <v>189933</v>
      </c>
      <c r="Q3" s="4">
        <v>1572</v>
      </c>
      <c r="R3" s="4">
        <v>191505</v>
      </c>
      <c r="S3" s="4">
        <v>30904</v>
      </c>
      <c r="T3" s="4">
        <v>0</v>
      </c>
      <c r="U3" s="4">
        <v>29759</v>
      </c>
      <c r="V3" s="4">
        <v>29759</v>
      </c>
      <c r="W3" s="4">
        <v>0</v>
      </c>
      <c r="X3" s="4">
        <v>33147</v>
      </c>
      <c r="Y3" s="4">
        <v>33147</v>
      </c>
      <c r="Z3" s="4">
        <v>490</v>
      </c>
      <c r="AA3" s="46">
        <v>18980</v>
      </c>
    </row>
    <row r="4" spans="1:27" x14ac:dyDescent="0.25">
      <c r="A4" s="44" t="s">
        <v>0</v>
      </c>
      <c r="B4" s="5" t="s">
        <v>665</v>
      </c>
      <c r="C4" s="47" t="s">
        <v>3</v>
      </c>
      <c r="D4" s="5" t="s">
        <v>350</v>
      </c>
      <c r="E4" s="5">
        <v>79.930000000000007</v>
      </c>
      <c r="F4" s="5">
        <v>638</v>
      </c>
      <c r="G4" s="5">
        <v>717.93</v>
      </c>
      <c r="H4" s="5">
        <v>1.86</v>
      </c>
      <c r="I4" s="5">
        <v>11</v>
      </c>
      <c r="J4" s="5">
        <v>0</v>
      </c>
      <c r="K4" s="5">
        <v>649</v>
      </c>
      <c r="L4" s="5">
        <v>363.32</v>
      </c>
      <c r="M4" s="5">
        <v>65.260000000000005</v>
      </c>
      <c r="N4" s="5">
        <v>72.69</v>
      </c>
      <c r="O4" s="5">
        <v>36.03</v>
      </c>
      <c r="P4" s="4">
        <v>260838</v>
      </c>
      <c r="Q4" s="5">
        <v>0</v>
      </c>
      <c r="R4" s="4">
        <v>260838</v>
      </c>
      <c r="S4" s="4">
        <v>42440</v>
      </c>
      <c r="T4" s="4">
        <v>718</v>
      </c>
      <c r="U4" s="4">
        <v>41636</v>
      </c>
      <c r="V4" s="4">
        <v>42354</v>
      </c>
      <c r="W4" s="4">
        <v>800</v>
      </c>
      <c r="X4" s="4">
        <v>46376</v>
      </c>
      <c r="Y4" s="4">
        <v>47176</v>
      </c>
      <c r="Z4" s="4">
        <v>676</v>
      </c>
      <c r="AA4" s="46">
        <v>25867</v>
      </c>
    </row>
    <row r="5" spans="1:27" x14ac:dyDescent="0.25">
      <c r="A5" s="44" t="s">
        <v>0</v>
      </c>
      <c r="B5" s="5" t="s">
        <v>665</v>
      </c>
      <c r="C5" s="47" t="s">
        <v>4</v>
      </c>
      <c r="D5" s="5" t="s">
        <v>351</v>
      </c>
      <c r="E5" s="5">
        <v>184.18</v>
      </c>
      <c r="F5" s="35">
        <v>1450.4</v>
      </c>
      <c r="G5" s="35">
        <v>1634.58</v>
      </c>
      <c r="H5" s="5">
        <v>4.24</v>
      </c>
      <c r="I5" s="5">
        <v>170</v>
      </c>
      <c r="J5" s="5">
        <v>0.8</v>
      </c>
      <c r="K5" s="4">
        <v>1620</v>
      </c>
      <c r="L5" s="5">
        <v>363.32</v>
      </c>
      <c r="M5" s="5">
        <v>65.260000000000005</v>
      </c>
      <c r="N5" s="5">
        <v>72.69</v>
      </c>
      <c r="O5" s="5">
        <v>36.03</v>
      </c>
      <c r="P5" s="4">
        <v>593876</v>
      </c>
      <c r="Q5" s="4">
        <v>10511</v>
      </c>
      <c r="R5" s="4">
        <v>604387</v>
      </c>
      <c r="S5" s="4">
        <v>96628</v>
      </c>
      <c r="T5" s="4">
        <v>11094</v>
      </c>
      <c r="U5" s="4">
        <v>94627</v>
      </c>
      <c r="V5" s="4">
        <v>105721</v>
      </c>
      <c r="W5" s="4">
        <v>12357</v>
      </c>
      <c r="X5" s="4">
        <v>105401</v>
      </c>
      <c r="Y5" s="4">
        <v>117758</v>
      </c>
      <c r="Z5" s="4">
        <v>1540</v>
      </c>
      <c r="AA5" s="46">
        <v>59900</v>
      </c>
    </row>
    <row r="6" spans="1:27" x14ac:dyDescent="0.25">
      <c r="A6" s="44" t="s">
        <v>0</v>
      </c>
      <c r="B6" s="5" t="s">
        <v>665</v>
      </c>
      <c r="C6" s="47" t="s">
        <v>5</v>
      </c>
      <c r="D6" s="5" t="s">
        <v>352</v>
      </c>
      <c r="E6" s="35">
        <v>1892.58</v>
      </c>
      <c r="F6" s="35">
        <v>9862.9</v>
      </c>
      <c r="G6" s="35">
        <v>11755.48</v>
      </c>
      <c r="H6" s="5">
        <v>30.46</v>
      </c>
      <c r="I6" s="4">
        <v>1933</v>
      </c>
      <c r="J6" s="5">
        <v>12.5</v>
      </c>
      <c r="K6" s="4">
        <v>11783</v>
      </c>
      <c r="L6" s="5">
        <v>363.32</v>
      </c>
      <c r="M6" s="5">
        <v>65.260000000000005</v>
      </c>
      <c r="N6" s="5">
        <v>72.69</v>
      </c>
      <c r="O6" s="5">
        <v>36.03</v>
      </c>
      <c r="P6" s="4">
        <v>4271001</v>
      </c>
      <c r="Q6" s="5">
        <v>0</v>
      </c>
      <c r="R6" s="4">
        <v>4271001</v>
      </c>
      <c r="S6" s="4">
        <v>694923</v>
      </c>
      <c r="T6" s="4">
        <v>126148</v>
      </c>
      <c r="U6" s="4">
        <v>642811</v>
      </c>
      <c r="V6" s="4">
        <v>768959</v>
      </c>
      <c r="W6" s="4">
        <v>140510</v>
      </c>
      <c r="X6" s="4">
        <v>715996</v>
      </c>
      <c r="Y6" s="4">
        <v>856506</v>
      </c>
      <c r="Z6" s="4">
        <v>11067</v>
      </c>
      <c r="AA6" s="46">
        <v>423550</v>
      </c>
    </row>
    <row r="7" spans="1:27" x14ac:dyDescent="0.25">
      <c r="A7" s="44" t="s">
        <v>0</v>
      </c>
      <c r="B7" s="5" t="s">
        <v>665</v>
      </c>
      <c r="C7" s="47" t="s">
        <v>6</v>
      </c>
      <c r="D7" s="5" t="s">
        <v>353</v>
      </c>
      <c r="E7" s="5">
        <v>41.27</v>
      </c>
      <c r="F7" s="5">
        <v>307</v>
      </c>
      <c r="G7" s="5">
        <v>348.27</v>
      </c>
      <c r="H7" s="5">
        <v>0.9</v>
      </c>
      <c r="I7" s="5">
        <v>10</v>
      </c>
      <c r="J7" s="5">
        <v>0</v>
      </c>
      <c r="K7" s="5">
        <v>317</v>
      </c>
      <c r="L7" s="5">
        <v>363.32</v>
      </c>
      <c r="M7" s="5">
        <v>65.260000000000005</v>
      </c>
      <c r="N7" s="5">
        <v>72.69</v>
      </c>
      <c r="O7" s="5">
        <v>36.03</v>
      </c>
      <c r="P7" s="4">
        <v>126533</v>
      </c>
      <c r="Q7" s="4">
        <v>4789</v>
      </c>
      <c r="R7" s="4">
        <v>131322</v>
      </c>
      <c r="S7" s="4">
        <v>20588</v>
      </c>
      <c r="T7" s="4">
        <v>653</v>
      </c>
      <c r="U7" s="4">
        <v>20034</v>
      </c>
      <c r="V7" s="4">
        <v>20687</v>
      </c>
      <c r="W7" s="4">
        <v>727</v>
      </c>
      <c r="X7" s="4">
        <v>22316</v>
      </c>
      <c r="Y7" s="4">
        <v>23043</v>
      </c>
      <c r="Z7" s="4">
        <v>327</v>
      </c>
      <c r="AA7" s="46">
        <v>12548</v>
      </c>
    </row>
    <row r="8" spans="1:27" x14ac:dyDescent="0.25">
      <c r="A8" s="44" t="s">
        <v>0</v>
      </c>
      <c r="B8" s="5" t="s">
        <v>665</v>
      </c>
      <c r="C8" s="47" t="s">
        <v>7</v>
      </c>
      <c r="D8" s="5" t="s">
        <v>354</v>
      </c>
      <c r="E8" s="5">
        <v>35.81</v>
      </c>
      <c r="F8" s="5">
        <v>378</v>
      </c>
      <c r="G8" s="5">
        <v>413.81</v>
      </c>
      <c r="H8" s="5">
        <v>1.07</v>
      </c>
      <c r="I8" s="5">
        <v>21</v>
      </c>
      <c r="J8" s="5">
        <v>0</v>
      </c>
      <c r="K8" s="5">
        <v>399</v>
      </c>
      <c r="L8" s="5">
        <v>363.32</v>
      </c>
      <c r="M8" s="5">
        <v>65.260000000000005</v>
      </c>
      <c r="N8" s="5">
        <v>72.69</v>
      </c>
      <c r="O8" s="5">
        <v>36.03</v>
      </c>
      <c r="P8" s="4">
        <v>150345</v>
      </c>
      <c r="Q8" s="5">
        <v>0</v>
      </c>
      <c r="R8" s="4">
        <v>150345</v>
      </c>
      <c r="S8" s="4">
        <v>24462</v>
      </c>
      <c r="T8" s="4">
        <v>1370</v>
      </c>
      <c r="U8" s="4">
        <v>24669</v>
      </c>
      <c r="V8" s="4">
        <v>26039</v>
      </c>
      <c r="W8" s="4">
        <v>1526</v>
      </c>
      <c r="X8" s="4">
        <v>27477</v>
      </c>
      <c r="Y8" s="4">
        <v>29003</v>
      </c>
      <c r="Z8" s="4">
        <v>389</v>
      </c>
      <c r="AA8" s="46">
        <v>14910</v>
      </c>
    </row>
    <row r="9" spans="1:27" x14ac:dyDescent="0.25">
      <c r="A9" s="44" t="s">
        <v>0</v>
      </c>
      <c r="B9" s="5" t="s">
        <v>665</v>
      </c>
      <c r="C9" s="47" t="s">
        <v>8</v>
      </c>
      <c r="D9" s="5" t="s">
        <v>355</v>
      </c>
      <c r="E9" s="5">
        <v>161.41999999999999</v>
      </c>
      <c r="F9" s="35">
        <v>1147</v>
      </c>
      <c r="G9" s="35">
        <v>1308.42</v>
      </c>
      <c r="H9" s="5">
        <v>3.39</v>
      </c>
      <c r="I9" s="5">
        <v>120</v>
      </c>
      <c r="J9" s="5">
        <v>1.1000000000000001</v>
      </c>
      <c r="K9" s="4">
        <v>1266</v>
      </c>
      <c r="L9" s="5">
        <v>363.32</v>
      </c>
      <c r="M9" s="5">
        <v>65.260000000000005</v>
      </c>
      <c r="N9" s="5">
        <v>72.69</v>
      </c>
      <c r="O9" s="5">
        <v>36.03</v>
      </c>
      <c r="P9" s="4">
        <v>475375</v>
      </c>
      <c r="Q9" s="5">
        <v>0</v>
      </c>
      <c r="R9" s="4">
        <v>475375</v>
      </c>
      <c r="S9" s="4">
        <v>77347</v>
      </c>
      <c r="T9" s="4">
        <v>7831</v>
      </c>
      <c r="U9" s="4">
        <v>74788</v>
      </c>
      <c r="V9" s="4">
        <v>82619</v>
      </c>
      <c r="W9" s="4">
        <v>8723</v>
      </c>
      <c r="X9" s="4">
        <v>83303</v>
      </c>
      <c r="Y9" s="4">
        <v>92026</v>
      </c>
      <c r="Z9" s="4">
        <v>1232</v>
      </c>
      <c r="AA9" s="46">
        <v>47142</v>
      </c>
    </row>
    <row r="10" spans="1:27" x14ac:dyDescent="0.25">
      <c r="A10" s="44" t="s">
        <v>0</v>
      </c>
      <c r="B10" s="5" t="s">
        <v>665</v>
      </c>
      <c r="C10" s="47" t="s">
        <v>10</v>
      </c>
      <c r="D10" s="5" t="s">
        <v>357</v>
      </c>
      <c r="E10" s="5">
        <v>100.57</v>
      </c>
      <c r="F10" s="5">
        <v>794.9</v>
      </c>
      <c r="G10" s="5">
        <v>895.47</v>
      </c>
      <c r="H10" s="5">
        <v>2.3199999999999998</v>
      </c>
      <c r="I10" s="5">
        <v>6</v>
      </c>
      <c r="J10" s="5">
        <v>0</v>
      </c>
      <c r="K10" s="5">
        <v>801</v>
      </c>
      <c r="L10" s="5">
        <v>363.32</v>
      </c>
      <c r="M10" s="5">
        <v>65.260000000000005</v>
      </c>
      <c r="N10" s="5">
        <v>72.69</v>
      </c>
      <c r="O10" s="5">
        <v>36.03</v>
      </c>
      <c r="P10" s="4">
        <v>325342</v>
      </c>
      <c r="Q10" s="5">
        <v>570</v>
      </c>
      <c r="R10" s="4">
        <v>325912</v>
      </c>
      <c r="S10" s="4">
        <v>52936</v>
      </c>
      <c r="T10" s="4">
        <v>392</v>
      </c>
      <c r="U10" s="4">
        <v>51881</v>
      </c>
      <c r="V10" s="4">
        <v>52273</v>
      </c>
      <c r="W10" s="4">
        <v>436</v>
      </c>
      <c r="X10" s="4">
        <v>57789</v>
      </c>
      <c r="Y10" s="4">
        <v>58225</v>
      </c>
      <c r="Z10" s="4">
        <v>843</v>
      </c>
      <c r="AA10" s="46">
        <v>32300</v>
      </c>
    </row>
    <row r="11" spans="1:27" x14ac:dyDescent="0.25">
      <c r="A11" s="44" t="s">
        <v>0</v>
      </c>
      <c r="B11" s="5" t="s">
        <v>665</v>
      </c>
      <c r="C11" s="47" t="s">
        <v>9</v>
      </c>
      <c r="D11" s="5" t="s">
        <v>356</v>
      </c>
      <c r="E11" s="5">
        <v>77.63</v>
      </c>
      <c r="F11" s="5">
        <v>671.9</v>
      </c>
      <c r="G11" s="5">
        <v>749.53</v>
      </c>
      <c r="H11" s="5">
        <v>1.94</v>
      </c>
      <c r="I11" s="5">
        <v>40</v>
      </c>
      <c r="J11" s="5">
        <v>0</v>
      </c>
      <c r="K11" s="5">
        <v>712</v>
      </c>
      <c r="L11" s="5">
        <v>363.32</v>
      </c>
      <c r="M11" s="5">
        <v>65.260000000000005</v>
      </c>
      <c r="N11" s="5">
        <v>72.69</v>
      </c>
      <c r="O11" s="5">
        <v>36.03</v>
      </c>
      <c r="P11" s="4">
        <v>272319</v>
      </c>
      <c r="Q11" s="5">
        <v>0</v>
      </c>
      <c r="R11" s="4">
        <v>272319</v>
      </c>
      <c r="S11" s="4">
        <v>44308</v>
      </c>
      <c r="T11" s="4">
        <v>2610</v>
      </c>
      <c r="U11" s="4">
        <v>43855</v>
      </c>
      <c r="V11" s="4">
        <v>46465</v>
      </c>
      <c r="W11" s="4">
        <v>2908</v>
      </c>
      <c r="X11" s="4">
        <v>48847</v>
      </c>
      <c r="Y11" s="4">
        <v>51755</v>
      </c>
      <c r="Z11" s="4">
        <v>705</v>
      </c>
      <c r="AA11" s="46">
        <v>27006</v>
      </c>
    </row>
    <row r="12" spans="1:27" x14ac:dyDescent="0.25">
      <c r="A12" s="44" t="s">
        <v>0</v>
      </c>
      <c r="B12" s="5" t="s">
        <v>665</v>
      </c>
      <c r="C12" s="47" t="s">
        <v>11</v>
      </c>
      <c r="D12" s="5" t="s">
        <v>358</v>
      </c>
      <c r="E12" s="5">
        <v>101.49</v>
      </c>
      <c r="F12" s="5">
        <v>992.8</v>
      </c>
      <c r="G12" s="35">
        <v>1094.29</v>
      </c>
      <c r="H12" s="5">
        <v>2.83</v>
      </c>
      <c r="I12" s="5">
        <v>71</v>
      </c>
      <c r="J12" s="5">
        <v>0.6</v>
      </c>
      <c r="K12" s="4">
        <v>1063</v>
      </c>
      <c r="L12" s="5">
        <v>363.32</v>
      </c>
      <c r="M12" s="5">
        <v>65.260000000000005</v>
      </c>
      <c r="N12" s="5">
        <v>72.69</v>
      </c>
      <c r="O12" s="5">
        <v>36.03</v>
      </c>
      <c r="P12" s="4">
        <v>397577</v>
      </c>
      <c r="Q12" s="5">
        <v>0</v>
      </c>
      <c r="R12" s="4">
        <v>397577</v>
      </c>
      <c r="S12" s="4">
        <v>64689</v>
      </c>
      <c r="T12" s="4">
        <v>4633</v>
      </c>
      <c r="U12" s="4">
        <v>64738</v>
      </c>
      <c r="V12" s="4">
        <v>69371</v>
      </c>
      <c r="W12" s="4">
        <v>5161</v>
      </c>
      <c r="X12" s="4">
        <v>72108</v>
      </c>
      <c r="Y12" s="4">
        <v>77269</v>
      </c>
      <c r="Z12" s="4">
        <v>1028</v>
      </c>
      <c r="AA12" s="46">
        <v>39427</v>
      </c>
    </row>
    <row r="13" spans="1:27" x14ac:dyDescent="0.25">
      <c r="A13" s="44" t="s">
        <v>0</v>
      </c>
      <c r="B13" s="5" t="s">
        <v>665</v>
      </c>
      <c r="C13" s="47" t="s">
        <v>12</v>
      </c>
      <c r="D13" s="5" t="s">
        <v>359</v>
      </c>
      <c r="E13" s="5">
        <v>213.57</v>
      </c>
      <c r="F13" s="35">
        <v>1108.4000000000001</v>
      </c>
      <c r="G13" s="35">
        <v>1321.97</v>
      </c>
      <c r="H13" s="5">
        <v>3.43</v>
      </c>
      <c r="I13" s="5">
        <v>2</v>
      </c>
      <c r="J13" s="5">
        <v>0</v>
      </c>
      <c r="K13" s="4">
        <v>1110</v>
      </c>
      <c r="L13" s="5">
        <v>363.32</v>
      </c>
      <c r="M13" s="5">
        <v>65.260000000000005</v>
      </c>
      <c r="N13" s="5">
        <v>72.69</v>
      </c>
      <c r="O13" s="5">
        <v>36.03</v>
      </c>
      <c r="P13" s="4">
        <v>480298</v>
      </c>
      <c r="Q13" s="5">
        <v>0</v>
      </c>
      <c r="R13" s="4">
        <v>480298</v>
      </c>
      <c r="S13" s="4">
        <v>78148</v>
      </c>
      <c r="T13" s="4">
        <v>131</v>
      </c>
      <c r="U13" s="4">
        <v>72308</v>
      </c>
      <c r="V13" s="4">
        <v>72439</v>
      </c>
      <c r="W13" s="4">
        <v>145</v>
      </c>
      <c r="X13" s="4">
        <v>80541</v>
      </c>
      <c r="Y13" s="4">
        <v>80686</v>
      </c>
      <c r="Z13" s="4">
        <v>1246</v>
      </c>
      <c r="AA13" s="46">
        <v>47631</v>
      </c>
    </row>
    <row r="14" spans="1:27" x14ac:dyDescent="0.25">
      <c r="A14" s="44" t="s">
        <v>0</v>
      </c>
      <c r="B14" s="5" t="s">
        <v>665</v>
      </c>
      <c r="C14" s="47" t="s">
        <v>13</v>
      </c>
      <c r="D14" s="5" t="s">
        <v>360</v>
      </c>
      <c r="E14" s="5">
        <v>249.11</v>
      </c>
      <c r="F14" s="35">
        <v>1269.8</v>
      </c>
      <c r="G14" s="35">
        <v>1518.91</v>
      </c>
      <c r="H14" s="5">
        <v>3.94</v>
      </c>
      <c r="I14" s="5">
        <v>11</v>
      </c>
      <c r="J14" s="5">
        <v>0</v>
      </c>
      <c r="K14" s="4">
        <v>1281</v>
      </c>
      <c r="L14" s="5">
        <v>363.32</v>
      </c>
      <c r="M14" s="5">
        <v>65.260000000000005</v>
      </c>
      <c r="N14" s="5">
        <v>72.69</v>
      </c>
      <c r="O14" s="5">
        <v>36.03</v>
      </c>
      <c r="P14" s="4">
        <v>551850</v>
      </c>
      <c r="Q14" s="4">
        <v>14083</v>
      </c>
      <c r="R14" s="4">
        <v>565933</v>
      </c>
      <c r="S14" s="4">
        <v>89790</v>
      </c>
      <c r="T14" s="4">
        <v>718</v>
      </c>
      <c r="U14" s="4">
        <v>82880</v>
      </c>
      <c r="V14" s="4">
        <v>83598</v>
      </c>
      <c r="W14" s="4">
        <v>800</v>
      </c>
      <c r="X14" s="4">
        <v>92316</v>
      </c>
      <c r="Y14" s="4">
        <v>93116</v>
      </c>
      <c r="Z14" s="4">
        <v>1431</v>
      </c>
      <c r="AA14" s="46">
        <v>56088</v>
      </c>
    </row>
    <row r="15" spans="1:27" x14ac:dyDescent="0.25">
      <c r="A15" s="44" t="s">
        <v>0</v>
      </c>
      <c r="B15" s="5" t="s">
        <v>665</v>
      </c>
      <c r="C15" s="47" t="s">
        <v>14</v>
      </c>
      <c r="D15" s="5" t="s">
        <v>361</v>
      </c>
      <c r="E15" s="5">
        <v>87.83</v>
      </c>
      <c r="F15" s="5">
        <v>738.5</v>
      </c>
      <c r="G15" s="5">
        <v>826.33</v>
      </c>
      <c r="H15" s="5">
        <v>2.14</v>
      </c>
      <c r="I15" s="5">
        <v>6</v>
      </c>
      <c r="J15" s="5">
        <v>0</v>
      </c>
      <c r="K15" s="5">
        <v>745</v>
      </c>
      <c r="L15" s="5">
        <v>363.32</v>
      </c>
      <c r="M15" s="5">
        <v>65.260000000000005</v>
      </c>
      <c r="N15" s="5">
        <v>72.69</v>
      </c>
      <c r="O15" s="5">
        <v>36.03</v>
      </c>
      <c r="P15" s="4">
        <v>300222</v>
      </c>
      <c r="Q15" s="4">
        <v>5855</v>
      </c>
      <c r="R15" s="4">
        <v>306077</v>
      </c>
      <c r="S15" s="4">
        <v>48849</v>
      </c>
      <c r="T15" s="4">
        <v>392</v>
      </c>
      <c r="U15" s="4">
        <v>48227</v>
      </c>
      <c r="V15" s="4">
        <v>48619</v>
      </c>
      <c r="W15" s="4">
        <v>436</v>
      </c>
      <c r="X15" s="4">
        <v>53718</v>
      </c>
      <c r="Y15" s="4">
        <v>54154</v>
      </c>
      <c r="Z15" s="4">
        <v>778</v>
      </c>
      <c r="AA15" s="46">
        <v>30335</v>
      </c>
    </row>
    <row r="16" spans="1:27" x14ac:dyDescent="0.25">
      <c r="A16" s="44" t="s">
        <v>0</v>
      </c>
      <c r="B16" s="5" t="s">
        <v>665</v>
      </c>
      <c r="C16" s="47" t="s">
        <v>15</v>
      </c>
      <c r="D16" s="5" t="s">
        <v>362</v>
      </c>
      <c r="E16" s="5">
        <v>45.07</v>
      </c>
      <c r="F16" s="5">
        <v>354.1</v>
      </c>
      <c r="G16" s="5">
        <v>399.17</v>
      </c>
      <c r="H16" s="5">
        <v>1.04</v>
      </c>
      <c r="I16" s="5">
        <v>3</v>
      </c>
      <c r="J16" s="5">
        <v>0</v>
      </c>
      <c r="K16" s="5">
        <v>357</v>
      </c>
      <c r="L16" s="5">
        <v>363.32</v>
      </c>
      <c r="M16" s="5">
        <v>65.260000000000005</v>
      </c>
      <c r="N16" s="5">
        <v>72.69</v>
      </c>
      <c r="O16" s="5">
        <v>36.03</v>
      </c>
      <c r="P16" s="4">
        <v>145026</v>
      </c>
      <c r="Q16" s="5">
        <v>0</v>
      </c>
      <c r="R16" s="4">
        <v>145026</v>
      </c>
      <c r="S16" s="4">
        <v>23596</v>
      </c>
      <c r="T16" s="4">
        <v>196</v>
      </c>
      <c r="U16" s="4">
        <v>23102</v>
      </c>
      <c r="V16" s="4">
        <v>23298</v>
      </c>
      <c r="W16" s="4">
        <v>218</v>
      </c>
      <c r="X16" s="4">
        <v>25732</v>
      </c>
      <c r="Y16" s="4">
        <v>25950</v>
      </c>
      <c r="Z16" s="4">
        <v>378</v>
      </c>
      <c r="AA16" s="46">
        <v>14382</v>
      </c>
    </row>
    <row r="17" spans="1:27" x14ac:dyDescent="0.25">
      <c r="A17" s="44" t="s">
        <v>0</v>
      </c>
      <c r="B17" s="5" t="s">
        <v>665</v>
      </c>
      <c r="C17" s="47" t="s">
        <v>16</v>
      </c>
      <c r="D17" s="5" t="s">
        <v>363</v>
      </c>
      <c r="E17" s="5">
        <v>100.59</v>
      </c>
      <c r="F17" s="5">
        <v>538.79999999999995</v>
      </c>
      <c r="G17" s="5">
        <v>639.39</v>
      </c>
      <c r="H17" s="5">
        <v>1.66</v>
      </c>
      <c r="I17" s="5">
        <v>160</v>
      </c>
      <c r="J17" s="5">
        <v>3.7</v>
      </c>
      <c r="K17" s="5">
        <v>695</v>
      </c>
      <c r="L17" s="5">
        <v>363.32</v>
      </c>
      <c r="M17" s="5">
        <v>65.260000000000005</v>
      </c>
      <c r="N17" s="5">
        <v>72.69</v>
      </c>
      <c r="O17" s="5">
        <v>36.03</v>
      </c>
      <c r="P17" s="4">
        <v>232303</v>
      </c>
      <c r="Q17" s="5">
        <v>0</v>
      </c>
      <c r="R17" s="4">
        <v>232303</v>
      </c>
      <c r="S17" s="4">
        <v>37797</v>
      </c>
      <c r="T17" s="4">
        <v>10442</v>
      </c>
      <c r="U17" s="4">
        <v>34914</v>
      </c>
      <c r="V17" s="4">
        <v>45356</v>
      </c>
      <c r="W17" s="4">
        <v>11630</v>
      </c>
      <c r="X17" s="4">
        <v>38890</v>
      </c>
      <c r="Y17" s="4">
        <v>50520</v>
      </c>
      <c r="Z17" s="4">
        <v>603</v>
      </c>
      <c r="AA17" s="46">
        <v>23037</v>
      </c>
    </row>
    <row r="18" spans="1:27" x14ac:dyDescent="0.25">
      <c r="A18" s="44" t="s">
        <v>0</v>
      </c>
      <c r="B18" s="5" t="s">
        <v>665</v>
      </c>
      <c r="C18" s="47" t="s">
        <v>17</v>
      </c>
      <c r="D18" s="5" t="s">
        <v>364</v>
      </c>
      <c r="E18" s="5">
        <v>104.57</v>
      </c>
      <c r="F18" s="5">
        <v>540</v>
      </c>
      <c r="G18" s="5">
        <v>644.57000000000005</v>
      </c>
      <c r="H18" s="5">
        <v>1.67</v>
      </c>
      <c r="I18" s="5">
        <v>4</v>
      </c>
      <c r="J18" s="5">
        <v>0</v>
      </c>
      <c r="K18" s="5">
        <v>544</v>
      </c>
      <c r="L18" s="5">
        <v>363.32</v>
      </c>
      <c r="M18" s="5">
        <v>65.260000000000005</v>
      </c>
      <c r="N18" s="5">
        <v>72.69</v>
      </c>
      <c r="O18" s="5">
        <v>36.03</v>
      </c>
      <c r="P18" s="4">
        <v>234185</v>
      </c>
      <c r="Q18" s="4">
        <v>7751</v>
      </c>
      <c r="R18" s="4">
        <v>241936</v>
      </c>
      <c r="S18" s="4">
        <v>38103</v>
      </c>
      <c r="T18" s="4">
        <v>261</v>
      </c>
      <c r="U18" s="4">
        <v>35240</v>
      </c>
      <c r="V18" s="4">
        <v>35501</v>
      </c>
      <c r="W18" s="4">
        <v>291</v>
      </c>
      <c r="X18" s="4">
        <v>39252</v>
      </c>
      <c r="Y18" s="4">
        <v>39543</v>
      </c>
      <c r="Z18" s="4">
        <v>607</v>
      </c>
      <c r="AA18" s="46">
        <v>23978</v>
      </c>
    </row>
    <row r="19" spans="1:27" x14ac:dyDescent="0.25">
      <c r="A19" s="44" t="s">
        <v>0</v>
      </c>
      <c r="B19" s="5" t="s">
        <v>665</v>
      </c>
      <c r="C19" s="47" t="s">
        <v>18</v>
      </c>
      <c r="D19" s="5" t="s">
        <v>365</v>
      </c>
      <c r="E19" s="5">
        <v>41.83</v>
      </c>
      <c r="F19" s="5">
        <v>356.9</v>
      </c>
      <c r="G19" s="5">
        <v>398.73</v>
      </c>
      <c r="H19" s="5">
        <v>1.03</v>
      </c>
      <c r="I19" s="5">
        <v>54</v>
      </c>
      <c r="J19" s="5">
        <v>0.2</v>
      </c>
      <c r="K19" s="5">
        <v>411</v>
      </c>
      <c r="L19" s="5">
        <v>363.32</v>
      </c>
      <c r="M19" s="5">
        <v>65.260000000000005</v>
      </c>
      <c r="N19" s="5">
        <v>72.69</v>
      </c>
      <c r="O19" s="5">
        <v>36.03</v>
      </c>
      <c r="P19" s="4">
        <v>144867</v>
      </c>
      <c r="Q19" s="4">
        <v>1887</v>
      </c>
      <c r="R19" s="4">
        <v>146754</v>
      </c>
      <c r="S19" s="4">
        <v>23570</v>
      </c>
      <c r="T19" s="4">
        <v>3524</v>
      </c>
      <c r="U19" s="4">
        <v>23298</v>
      </c>
      <c r="V19" s="4">
        <v>26822</v>
      </c>
      <c r="W19" s="4">
        <v>3925</v>
      </c>
      <c r="X19" s="4">
        <v>25951</v>
      </c>
      <c r="Y19" s="4">
        <v>29876</v>
      </c>
      <c r="Z19" s="4">
        <v>374</v>
      </c>
      <c r="AA19" s="46">
        <v>14366</v>
      </c>
    </row>
    <row r="20" spans="1:27" x14ac:dyDescent="0.25">
      <c r="A20" s="44" t="s">
        <v>0</v>
      </c>
      <c r="B20" s="5" t="s">
        <v>665</v>
      </c>
      <c r="C20" s="47" t="s">
        <v>19</v>
      </c>
      <c r="D20" s="5" t="s">
        <v>366</v>
      </c>
      <c r="E20" s="5">
        <v>46.65</v>
      </c>
      <c r="F20" s="5">
        <v>265.60000000000002</v>
      </c>
      <c r="G20" s="5">
        <v>312.25</v>
      </c>
      <c r="H20" s="5">
        <v>0.81</v>
      </c>
      <c r="I20" s="5">
        <v>0</v>
      </c>
      <c r="J20" s="5">
        <v>0</v>
      </c>
      <c r="K20" s="5">
        <v>266</v>
      </c>
      <c r="L20" s="5">
        <v>363.32</v>
      </c>
      <c r="M20" s="5">
        <v>65.260000000000005</v>
      </c>
      <c r="N20" s="5">
        <v>72.69</v>
      </c>
      <c r="O20" s="5">
        <v>36.03</v>
      </c>
      <c r="P20" s="4">
        <v>113447</v>
      </c>
      <c r="Q20" s="5">
        <v>0</v>
      </c>
      <c r="R20" s="4">
        <v>113447</v>
      </c>
      <c r="S20" s="4">
        <v>18459</v>
      </c>
      <c r="T20" s="4">
        <v>0</v>
      </c>
      <c r="U20" s="4">
        <v>17359</v>
      </c>
      <c r="V20" s="4">
        <v>17359</v>
      </c>
      <c r="W20" s="4">
        <v>0</v>
      </c>
      <c r="X20" s="4">
        <v>19336</v>
      </c>
      <c r="Y20" s="4">
        <v>19336</v>
      </c>
      <c r="Z20" s="4">
        <v>294</v>
      </c>
      <c r="AA20" s="46">
        <v>11250</v>
      </c>
    </row>
    <row r="21" spans="1:27" x14ac:dyDescent="0.25">
      <c r="A21" s="44" t="s">
        <v>0</v>
      </c>
      <c r="B21" s="5" t="s">
        <v>665</v>
      </c>
      <c r="C21" s="47" t="s">
        <v>20</v>
      </c>
      <c r="D21" s="5" t="s">
        <v>367</v>
      </c>
      <c r="E21" s="5">
        <v>165.64</v>
      </c>
      <c r="F21" s="35">
        <v>1329.3</v>
      </c>
      <c r="G21" s="35">
        <v>1494.94</v>
      </c>
      <c r="H21" s="5">
        <v>3.88</v>
      </c>
      <c r="I21" s="5">
        <v>209</v>
      </c>
      <c r="J21" s="5">
        <v>1.3</v>
      </c>
      <c r="K21" s="4">
        <v>1537</v>
      </c>
      <c r="L21" s="5">
        <v>363.32</v>
      </c>
      <c r="M21" s="5">
        <v>65.260000000000005</v>
      </c>
      <c r="N21" s="5">
        <v>72.69</v>
      </c>
      <c r="O21" s="5">
        <v>36.03</v>
      </c>
      <c r="P21" s="4">
        <v>543142</v>
      </c>
      <c r="Q21" s="5">
        <v>0</v>
      </c>
      <c r="R21" s="4">
        <v>543142</v>
      </c>
      <c r="S21" s="4">
        <v>88373</v>
      </c>
      <c r="T21" s="4">
        <v>13639</v>
      </c>
      <c r="U21" s="4">
        <v>86666</v>
      </c>
      <c r="V21" s="4">
        <v>100305</v>
      </c>
      <c r="W21" s="4">
        <v>15192</v>
      </c>
      <c r="X21" s="4">
        <v>96533</v>
      </c>
      <c r="Y21" s="4">
        <v>111725</v>
      </c>
      <c r="Z21" s="4">
        <v>1410</v>
      </c>
      <c r="AA21" s="46">
        <v>53863</v>
      </c>
    </row>
    <row r="22" spans="1:27" x14ac:dyDescent="0.25">
      <c r="A22" s="44" t="s">
        <v>0</v>
      </c>
      <c r="B22" s="5" t="s">
        <v>665</v>
      </c>
      <c r="C22" s="47" t="s">
        <v>21</v>
      </c>
      <c r="D22" s="5" t="s">
        <v>368</v>
      </c>
      <c r="E22" s="5">
        <v>405.76</v>
      </c>
      <c r="F22" s="35">
        <v>3184.6</v>
      </c>
      <c r="G22" s="35">
        <v>3590.36</v>
      </c>
      <c r="H22" s="5">
        <v>9.31</v>
      </c>
      <c r="I22" s="4">
        <v>1030</v>
      </c>
      <c r="J22" s="5">
        <v>0.5</v>
      </c>
      <c r="K22" s="4">
        <v>4214</v>
      </c>
      <c r="L22" s="5">
        <v>363.32</v>
      </c>
      <c r="M22" s="5">
        <v>65.260000000000005</v>
      </c>
      <c r="N22" s="5">
        <v>72.69</v>
      </c>
      <c r="O22" s="5">
        <v>36.03</v>
      </c>
      <c r="P22" s="4">
        <v>1304450</v>
      </c>
      <c r="Q22" s="5">
        <v>0</v>
      </c>
      <c r="R22" s="4">
        <v>1304450</v>
      </c>
      <c r="S22" s="4">
        <v>212243</v>
      </c>
      <c r="T22" s="4">
        <v>67218</v>
      </c>
      <c r="U22" s="4">
        <v>207788</v>
      </c>
      <c r="V22" s="4">
        <v>275006</v>
      </c>
      <c r="W22" s="4">
        <v>74871</v>
      </c>
      <c r="X22" s="4">
        <v>231445</v>
      </c>
      <c r="Y22" s="4">
        <v>306316</v>
      </c>
      <c r="Z22" s="4">
        <v>3383</v>
      </c>
      <c r="AA22" s="46">
        <v>129361</v>
      </c>
    </row>
    <row r="23" spans="1:27" x14ac:dyDescent="0.25">
      <c r="A23" s="44" t="s">
        <v>22</v>
      </c>
      <c r="B23" s="5" t="s">
        <v>666</v>
      </c>
      <c r="C23" s="45" t="s">
        <v>23</v>
      </c>
      <c r="D23" s="5" t="s">
        <v>369</v>
      </c>
      <c r="E23" s="5">
        <v>24.09</v>
      </c>
      <c r="F23" s="5">
        <v>206.3</v>
      </c>
      <c r="G23" s="5">
        <v>230.39</v>
      </c>
      <c r="H23" s="5">
        <v>0</v>
      </c>
      <c r="I23" s="5">
        <v>8</v>
      </c>
      <c r="J23" s="5">
        <v>0</v>
      </c>
      <c r="K23" s="5">
        <v>214</v>
      </c>
      <c r="L23" s="5">
        <v>359.07</v>
      </c>
      <c r="M23" s="5">
        <v>65.34</v>
      </c>
      <c r="N23" s="5">
        <v>73.16</v>
      </c>
      <c r="O23" s="5">
        <v>37.99</v>
      </c>
      <c r="P23" s="4">
        <v>82726</v>
      </c>
      <c r="Q23" s="5">
        <v>0</v>
      </c>
      <c r="R23" s="4">
        <v>82726</v>
      </c>
      <c r="S23" s="4">
        <v>13620</v>
      </c>
      <c r="T23" s="4">
        <v>523</v>
      </c>
      <c r="U23" s="4">
        <v>13460</v>
      </c>
      <c r="V23" s="4">
        <v>13983</v>
      </c>
      <c r="W23" s="4">
        <v>585</v>
      </c>
      <c r="X23" s="4">
        <v>15071</v>
      </c>
      <c r="Y23" s="4">
        <v>15656</v>
      </c>
      <c r="Z23" s="4">
        <v>0</v>
      </c>
      <c r="AA23" s="46">
        <v>8753</v>
      </c>
    </row>
    <row r="24" spans="1:27" x14ac:dyDescent="0.25">
      <c r="A24" s="44" t="s">
        <v>22</v>
      </c>
      <c r="B24" s="5" t="s">
        <v>666</v>
      </c>
      <c r="C24" s="45" t="s">
        <v>24</v>
      </c>
      <c r="D24" s="5" t="s">
        <v>370</v>
      </c>
      <c r="E24" s="5">
        <v>187.64</v>
      </c>
      <c r="F24" s="35">
        <v>1447.2</v>
      </c>
      <c r="G24" s="35">
        <v>1634.84</v>
      </c>
      <c r="H24" s="5">
        <v>0</v>
      </c>
      <c r="I24" s="5">
        <v>324</v>
      </c>
      <c r="J24" s="5">
        <v>3.7</v>
      </c>
      <c r="K24" s="4">
        <v>1768</v>
      </c>
      <c r="L24" s="5">
        <v>359.07</v>
      </c>
      <c r="M24" s="5">
        <v>65.34</v>
      </c>
      <c r="N24" s="5">
        <v>73.16</v>
      </c>
      <c r="O24" s="5">
        <v>37.99</v>
      </c>
      <c r="P24" s="4">
        <v>587022</v>
      </c>
      <c r="Q24" s="5">
        <v>0</v>
      </c>
      <c r="R24" s="4">
        <v>587022</v>
      </c>
      <c r="S24" s="4">
        <v>96643</v>
      </c>
      <c r="T24" s="4">
        <v>21170</v>
      </c>
      <c r="U24" s="4">
        <v>94351</v>
      </c>
      <c r="V24" s="4">
        <v>115521</v>
      </c>
      <c r="W24" s="4">
        <v>23704</v>
      </c>
      <c r="X24" s="4">
        <v>105643</v>
      </c>
      <c r="Y24" s="4">
        <v>129347</v>
      </c>
      <c r="Z24" s="4">
        <v>0</v>
      </c>
      <c r="AA24" s="46">
        <v>62108</v>
      </c>
    </row>
    <row r="25" spans="1:27" x14ac:dyDescent="0.25">
      <c r="A25" s="44" t="s">
        <v>22</v>
      </c>
      <c r="B25" s="5" t="s">
        <v>666</v>
      </c>
      <c r="C25" s="45" t="s">
        <v>25</v>
      </c>
      <c r="D25" s="5" t="s">
        <v>371</v>
      </c>
      <c r="E25" s="5">
        <v>75.8</v>
      </c>
      <c r="F25" s="5">
        <v>855.6</v>
      </c>
      <c r="G25" s="5">
        <v>931.4</v>
      </c>
      <c r="H25" s="5">
        <v>0</v>
      </c>
      <c r="I25" s="5">
        <v>18</v>
      </c>
      <c r="J25" s="5">
        <v>0</v>
      </c>
      <c r="K25" s="5">
        <v>874</v>
      </c>
      <c r="L25" s="5">
        <v>359.07</v>
      </c>
      <c r="M25" s="5">
        <v>65.34</v>
      </c>
      <c r="N25" s="5">
        <v>73.16</v>
      </c>
      <c r="O25" s="5">
        <v>37.99</v>
      </c>
      <c r="P25" s="4">
        <v>334438</v>
      </c>
      <c r="Q25" s="5">
        <v>0</v>
      </c>
      <c r="R25" s="4">
        <v>334438</v>
      </c>
      <c r="S25" s="4">
        <v>55059</v>
      </c>
      <c r="T25" s="4">
        <v>1176</v>
      </c>
      <c r="U25" s="4">
        <v>55931</v>
      </c>
      <c r="V25" s="4">
        <v>57107</v>
      </c>
      <c r="W25" s="4">
        <v>1317</v>
      </c>
      <c r="X25" s="4">
        <v>62625</v>
      </c>
      <c r="Y25" s="4">
        <v>63942</v>
      </c>
      <c r="Z25" s="4">
        <v>0</v>
      </c>
      <c r="AA25" s="46">
        <v>35384</v>
      </c>
    </row>
    <row r="26" spans="1:27" x14ac:dyDescent="0.25">
      <c r="A26" s="44" t="s">
        <v>22</v>
      </c>
      <c r="B26" s="5" t="s">
        <v>666</v>
      </c>
      <c r="C26" s="47" t="s">
        <v>26</v>
      </c>
      <c r="D26" s="5" t="s">
        <v>372</v>
      </c>
      <c r="E26" s="5">
        <v>107.77</v>
      </c>
      <c r="F26" s="5">
        <v>972</v>
      </c>
      <c r="G26" s="35">
        <v>1079.77</v>
      </c>
      <c r="H26" s="5">
        <v>0</v>
      </c>
      <c r="I26" s="5">
        <v>5</v>
      </c>
      <c r="J26" s="5">
        <v>0</v>
      </c>
      <c r="K26" s="5">
        <v>977</v>
      </c>
      <c r="L26" s="5">
        <v>359.07</v>
      </c>
      <c r="M26" s="5">
        <v>65.34</v>
      </c>
      <c r="N26" s="5">
        <v>73.16</v>
      </c>
      <c r="O26" s="5">
        <v>37.99</v>
      </c>
      <c r="P26" s="4">
        <v>387713</v>
      </c>
      <c r="Q26" s="4">
        <v>2582</v>
      </c>
      <c r="R26" s="4">
        <v>390295</v>
      </c>
      <c r="S26" s="4">
        <v>63830</v>
      </c>
      <c r="T26" s="4">
        <v>327</v>
      </c>
      <c r="U26" s="4">
        <v>63510</v>
      </c>
      <c r="V26" s="4">
        <v>63837</v>
      </c>
      <c r="W26" s="4">
        <v>366</v>
      </c>
      <c r="X26" s="4">
        <v>71111</v>
      </c>
      <c r="Y26" s="4">
        <v>71477</v>
      </c>
      <c r="Z26" s="4">
        <v>0</v>
      </c>
      <c r="AA26" s="46">
        <v>41020</v>
      </c>
    </row>
    <row r="27" spans="1:27" x14ac:dyDescent="0.25">
      <c r="A27" s="44" t="s">
        <v>22</v>
      </c>
      <c r="B27" s="5" t="s">
        <v>666</v>
      </c>
      <c r="C27" s="47" t="s">
        <v>27</v>
      </c>
      <c r="D27" s="5" t="s">
        <v>373</v>
      </c>
      <c r="E27" s="5">
        <v>27.27</v>
      </c>
      <c r="F27" s="5">
        <v>268</v>
      </c>
      <c r="G27" s="5">
        <v>295.27</v>
      </c>
      <c r="H27" s="5">
        <v>0</v>
      </c>
      <c r="I27" s="5">
        <v>35</v>
      </c>
      <c r="J27" s="5">
        <v>0</v>
      </c>
      <c r="K27" s="5">
        <v>303</v>
      </c>
      <c r="L27" s="5">
        <v>359.07</v>
      </c>
      <c r="M27" s="5">
        <v>65.34</v>
      </c>
      <c r="N27" s="5">
        <v>73.16</v>
      </c>
      <c r="O27" s="5">
        <v>37.99</v>
      </c>
      <c r="P27" s="4">
        <v>106023</v>
      </c>
      <c r="Q27" s="4">
        <v>19010</v>
      </c>
      <c r="R27" s="4">
        <v>125033</v>
      </c>
      <c r="S27" s="4">
        <v>17455</v>
      </c>
      <c r="T27" s="4">
        <v>2287</v>
      </c>
      <c r="U27" s="4">
        <v>17511</v>
      </c>
      <c r="V27" s="4">
        <v>19798</v>
      </c>
      <c r="W27" s="4">
        <v>2561</v>
      </c>
      <c r="X27" s="4">
        <v>19606</v>
      </c>
      <c r="Y27" s="4">
        <v>22167</v>
      </c>
      <c r="Z27" s="4">
        <v>0</v>
      </c>
      <c r="AA27" s="46">
        <v>11217</v>
      </c>
    </row>
    <row r="28" spans="1:27" x14ac:dyDescent="0.25">
      <c r="A28" s="44" t="s">
        <v>22</v>
      </c>
      <c r="B28" s="5" t="s">
        <v>666</v>
      </c>
      <c r="C28" s="47" t="s">
        <v>28</v>
      </c>
      <c r="D28" s="5" t="s">
        <v>374</v>
      </c>
      <c r="E28" s="5">
        <v>123.08</v>
      </c>
      <c r="F28" s="5">
        <v>975.1</v>
      </c>
      <c r="G28" s="35">
        <v>1098.18</v>
      </c>
      <c r="H28" s="5">
        <v>0</v>
      </c>
      <c r="I28" s="5">
        <v>6</v>
      </c>
      <c r="J28" s="5">
        <v>0</v>
      </c>
      <c r="K28" s="5">
        <v>981</v>
      </c>
      <c r="L28" s="5">
        <v>359.07</v>
      </c>
      <c r="M28" s="5">
        <v>65.34</v>
      </c>
      <c r="N28" s="5">
        <v>73.16</v>
      </c>
      <c r="O28" s="5">
        <v>37.99</v>
      </c>
      <c r="P28" s="4">
        <v>394323</v>
      </c>
      <c r="Q28" s="5">
        <v>499</v>
      </c>
      <c r="R28" s="4">
        <v>394822</v>
      </c>
      <c r="S28" s="4">
        <v>64918</v>
      </c>
      <c r="T28" s="4">
        <v>392</v>
      </c>
      <c r="U28" s="4">
        <v>63707</v>
      </c>
      <c r="V28" s="4">
        <v>64099</v>
      </c>
      <c r="W28" s="4">
        <v>439</v>
      </c>
      <c r="X28" s="4">
        <v>71331</v>
      </c>
      <c r="Y28" s="4">
        <v>71770</v>
      </c>
      <c r="Z28" s="4">
        <v>0</v>
      </c>
      <c r="AA28" s="46">
        <v>41799</v>
      </c>
    </row>
    <row r="29" spans="1:27" x14ac:dyDescent="0.25">
      <c r="A29" s="44" t="s">
        <v>22</v>
      </c>
      <c r="B29" s="5" t="s">
        <v>666</v>
      </c>
      <c r="C29" s="47" t="s">
        <v>29</v>
      </c>
      <c r="D29" s="5" t="s">
        <v>375</v>
      </c>
      <c r="E29" s="5">
        <v>95.86</v>
      </c>
      <c r="F29" s="5">
        <v>807</v>
      </c>
      <c r="G29" s="5">
        <v>902.86</v>
      </c>
      <c r="H29" s="5">
        <v>0</v>
      </c>
      <c r="I29" s="5">
        <v>59</v>
      </c>
      <c r="J29" s="5">
        <v>0</v>
      </c>
      <c r="K29" s="5">
        <v>866</v>
      </c>
      <c r="L29" s="5">
        <v>359.07</v>
      </c>
      <c r="M29" s="5">
        <v>65.34</v>
      </c>
      <c r="N29" s="5">
        <v>73.16</v>
      </c>
      <c r="O29" s="5">
        <v>37.99</v>
      </c>
      <c r="P29" s="4">
        <v>324190</v>
      </c>
      <c r="Q29" s="4">
        <v>7392</v>
      </c>
      <c r="R29" s="4">
        <v>331582</v>
      </c>
      <c r="S29" s="4">
        <v>53373</v>
      </c>
      <c r="T29" s="4">
        <v>3855</v>
      </c>
      <c r="U29" s="4">
        <v>52729</v>
      </c>
      <c r="V29" s="4">
        <v>56584</v>
      </c>
      <c r="W29" s="4">
        <v>4316</v>
      </c>
      <c r="X29" s="4">
        <v>59041</v>
      </c>
      <c r="Y29" s="4">
        <v>63357</v>
      </c>
      <c r="Z29" s="4">
        <v>0</v>
      </c>
      <c r="AA29" s="46">
        <v>35104</v>
      </c>
    </row>
    <row r="30" spans="1:27" x14ac:dyDescent="0.25">
      <c r="A30" s="44" t="s">
        <v>22</v>
      </c>
      <c r="B30" s="5" t="s">
        <v>666</v>
      </c>
      <c r="C30" s="47" t="s">
        <v>30</v>
      </c>
      <c r="D30" s="5" t="s">
        <v>376</v>
      </c>
      <c r="E30" s="5">
        <v>97.87</v>
      </c>
      <c r="F30" s="5">
        <v>603.6</v>
      </c>
      <c r="G30" s="5">
        <v>701.47</v>
      </c>
      <c r="H30" s="5">
        <v>0</v>
      </c>
      <c r="I30" s="5">
        <v>86</v>
      </c>
      <c r="J30" s="5">
        <v>1.5</v>
      </c>
      <c r="K30" s="5">
        <v>688</v>
      </c>
      <c r="L30" s="5">
        <v>359.07</v>
      </c>
      <c r="M30" s="5">
        <v>65.34</v>
      </c>
      <c r="N30" s="5">
        <v>73.16</v>
      </c>
      <c r="O30" s="5">
        <v>37.99</v>
      </c>
      <c r="P30" s="4">
        <v>251877</v>
      </c>
      <c r="Q30" s="4">
        <v>13389</v>
      </c>
      <c r="R30" s="4">
        <v>265266</v>
      </c>
      <c r="S30" s="4">
        <v>41467</v>
      </c>
      <c r="T30" s="4">
        <v>5619</v>
      </c>
      <c r="U30" s="4">
        <v>39335</v>
      </c>
      <c r="V30" s="4">
        <v>44954</v>
      </c>
      <c r="W30" s="4">
        <v>6292</v>
      </c>
      <c r="X30" s="4">
        <v>44042</v>
      </c>
      <c r="Y30" s="4">
        <v>50334</v>
      </c>
      <c r="Z30" s="4">
        <v>0</v>
      </c>
      <c r="AA30" s="46">
        <v>27860</v>
      </c>
    </row>
    <row r="31" spans="1:27" x14ac:dyDescent="0.25">
      <c r="A31" s="44" t="s">
        <v>22</v>
      </c>
      <c r="B31" s="5" t="s">
        <v>666</v>
      </c>
      <c r="C31" s="47" t="s">
        <v>31</v>
      </c>
      <c r="D31" s="5" t="s">
        <v>377</v>
      </c>
      <c r="E31" s="5">
        <v>139.78</v>
      </c>
      <c r="F31" s="35">
        <v>1147.7</v>
      </c>
      <c r="G31" s="35">
        <v>1287.48</v>
      </c>
      <c r="H31" s="5">
        <v>0</v>
      </c>
      <c r="I31" s="5">
        <v>0</v>
      </c>
      <c r="J31" s="5">
        <v>0</v>
      </c>
      <c r="K31" s="4">
        <v>1148</v>
      </c>
      <c r="L31" s="5">
        <v>359.07</v>
      </c>
      <c r="M31" s="5">
        <v>65.34</v>
      </c>
      <c r="N31" s="5">
        <v>73.16</v>
      </c>
      <c r="O31" s="5">
        <v>37.99</v>
      </c>
      <c r="P31" s="4">
        <v>462295</v>
      </c>
      <c r="Q31" s="4">
        <v>4719</v>
      </c>
      <c r="R31" s="4">
        <v>467014</v>
      </c>
      <c r="S31" s="4">
        <v>76109</v>
      </c>
      <c r="T31" s="4">
        <v>0</v>
      </c>
      <c r="U31" s="4">
        <v>75010</v>
      </c>
      <c r="V31" s="4">
        <v>75010</v>
      </c>
      <c r="W31" s="4">
        <v>0</v>
      </c>
      <c r="X31" s="4">
        <v>83988</v>
      </c>
      <c r="Y31" s="4">
        <v>83988</v>
      </c>
      <c r="Z31" s="4">
        <v>0</v>
      </c>
      <c r="AA31" s="46">
        <v>48911</v>
      </c>
    </row>
    <row r="32" spans="1:27" x14ac:dyDescent="0.25">
      <c r="A32" s="44" t="s">
        <v>22</v>
      </c>
      <c r="B32" s="5" t="s">
        <v>666</v>
      </c>
      <c r="C32" s="47" t="s">
        <v>32</v>
      </c>
      <c r="D32" s="5" t="s">
        <v>378</v>
      </c>
      <c r="E32" s="5">
        <v>483.67</v>
      </c>
      <c r="F32" s="35">
        <v>3422.9</v>
      </c>
      <c r="G32" s="35">
        <v>3906.57</v>
      </c>
      <c r="H32" s="5">
        <v>0</v>
      </c>
      <c r="I32" s="5">
        <v>677</v>
      </c>
      <c r="J32" s="5">
        <v>12.3</v>
      </c>
      <c r="K32" s="4">
        <v>4088</v>
      </c>
      <c r="L32" s="5">
        <v>359.07</v>
      </c>
      <c r="M32" s="5">
        <v>65.34</v>
      </c>
      <c r="N32" s="5">
        <v>73.16</v>
      </c>
      <c r="O32" s="5">
        <v>37.99</v>
      </c>
      <c r="P32" s="4">
        <v>1402732</v>
      </c>
      <c r="Q32" s="4">
        <v>31911</v>
      </c>
      <c r="R32" s="4">
        <v>1434643</v>
      </c>
      <c r="S32" s="4">
        <v>230936</v>
      </c>
      <c r="T32" s="4">
        <v>44235</v>
      </c>
      <c r="U32" s="4">
        <v>222875</v>
      </c>
      <c r="V32" s="4">
        <v>267110</v>
      </c>
      <c r="W32" s="4">
        <v>49529</v>
      </c>
      <c r="X32" s="4">
        <v>249549</v>
      </c>
      <c r="Y32" s="4">
        <v>299078</v>
      </c>
      <c r="Z32" s="4">
        <v>0</v>
      </c>
      <c r="AA32" s="46">
        <v>151883</v>
      </c>
    </row>
    <row r="33" spans="1:27" x14ac:dyDescent="0.25">
      <c r="A33" s="44" t="s">
        <v>22</v>
      </c>
      <c r="B33" s="5" t="s">
        <v>666</v>
      </c>
      <c r="C33" s="47" t="s">
        <v>33</v>
      </c>
      <c r="D33" s="5" t="s">
        <v>379</v>
      </c>
      <c r="E33" s="5">
        <v>25.02</v>
      </c>
      <c r="F33" s="5">
        <v>158.1</v>
      </c>
      <c r="G33" s="5">
        <v>183.12</v>
      </c>
      <c r="H33" s="5">
        <v>0</v>
      </c>
      <c r="I33" s="5">
        <v>3</v>
      </c>
      <c r="J33" s="5">
        <v>0</v>
      </c>
      <c r="K33" s="5">
        <v>161</v>
      </c>
      <c r="L33" s="5">
        <v>359.07</v>
      </c>
      <c r="M33" s="5">
        <v>65.34</v>
      </c>
      <c r="N33" s="5">
        <v>73.16</v>
      </c>
      <c r="O33" s="5">
        <v>37.99</v>
      </c>
      <c r="P33" s="4">
        <v>65753</v>
      </c>
      <c r="Q33" s="4">
        <v>7575</v>
      </c>
      <c r="R33" s="4">
        <v>73328</v>
      </c>
      <c r="S33" s="4">
        <v>10825</v>
      </c>
      <c r="T33" s="4">
        <v>196</v>
      </c>
      <c r="U33" s="4">
        <v>10324</v>
      </c>
      <c r="V33" s="4">
        <v>10520</v>
      </c>
      <c r="W33" s="4">
        <v>219</v>
      </c>
      <c r="X33" s="4">
        <v>11560</v>
      </c>
      <c r="Y33" s="4">
        <v>11779</v>
      </c>
      <c r="Z33" s="4">
        <v>0</v>
      </c>
      <c r="AA33" s="46">
        <v>7022</v>
      </c>
    </row>
    <row r="34" spans="1:27" x14ac:dyDescent="0.25">
      <c r="A34" s="44" t="s">
        <v>22</v>
      </c>
      <c r="B34" s="5" t="s">
        <v>666</v>
      </c>
      <c r="C34" s="47" t="s">
        <v>34</v>
      </c>
      <c r="D34" s="5" t="s">
        <v>380</v>
      </c>
      <c r="E34" s="5">
        <v>37.19</v>
      </c>
      <c r="F34" s="5">
        <v>376.3</v>
      </c>
      <c r="G34" s="5">
        <v>413.49</v>
      </c>
      <c r="H34" s="5">
        <v>0</v>
      </c>
      <c r="I34" s="5">
        <v>6</v>
      </c>
      <c r="J34" s="5">
        <v>0</v>
      </c>
      <c r="K34" s="5">
        <v>382</v>
      </c>
      <c r="L34" s="5">
        <v>359.07</v>
      </c>
      <c r="M34" s="5">
        <v>65.34</v>
      </c>
      <c r="N34" s="5">
        <v>73.16</v>
      </c>
      <c r="O34" s="5">
        <v>37.99</v>
      </c>
      <c r="P34" s="4">
        <v>148472</v>
      </c>
      <c r="Q34" s="5">
        <v>0</v>
      </c>
      <c r="R34" s="4">
        <v>148472</v>
      </c>
      <c r="S34" s="4">
        <v>24444</v>
      </c>
      <c r="T34" s="4">
        <v>392</v>
      </c>
      <c r="U34" s="4">
        <v>24568</v>
      </c>
      <c r="V34" s="4">
        <v>24960</v>
      </c>
      <c r="W34" s="4">
        <v>439</v>
      </c>
      <c r="X34" s="4">
        <v>27508</v>
      </c>
      <c r="Y34" s="4">
        <v>27947</v>
      </c>
      <c r="Z34" s="4">
        <v>0</v>
      </c>
      <c r="AA34" s="46">
        <v>15708</v>
      </c>
    </row>
    <row r="35" spans="1:27" x14ac:dyDescent="0.25">
      <c r="A35" s="44" t="s">
        <v>22</v>
      </c>
      <c r="B35" s="5" t="s">
        <v>666</v>
      </c>
      <c r="C35" s="47" t="s">
        <v>35</v>
      </c>
      <c r="D35" s="5" t="s">
        <v>381</v>
      </c>
      <c r="E35" s="5">
        <v>163.56</v>
      </c>
      <c r="F35" s="35">
        <v>1199.2</v>
      </c>
      <c r="G35" s="35">
        <v>1362.76</v>
      </c>
      <c r="H35" s="5">
        <v>0</v>
      </c>
      <c r="I35" s="5">
        <v>7</v>
      </c>
      <c r="J35" s="5">
        <v>0</v>
      </c>
      <c r="K35" s="4">
        <v>1206</v>
      </c>
      <c r="L35" s="5">
        <v>359.07</v>
      </c>
      <c r="M35" s="5">
        <v>65.34</v>
      </c>
      <c r="N35" s="5">
        <v>73.16</v>
      </c>
      <c r="O35" s="5">
        <v>37.99</v>
      </c>
      <c r="P35" s="4">
        <v>489326</v>
      </c>
      <c r="Q35" s="5">
        <v>0</v>
      </c>
      <c r="R35" s="4">
        <v>489326</v>
      </c>
      <c r="S35" s="4">
        <v>80560</v>
      </c>
      <c r="T35" s="4">
        <v>457</v>
      </c>
      <c r="U35" s="4">
        <v>78343</v>
      </c>
      <c r="V35" s="4">
        <v>78800</v>
      </c>
      <c r="W35" s="4">
        <v>512</v>
      </c>
      <c r="X35" s="4">
        <v>87719</v>
      </c>
      <c r="Y35" s="4">
        <v>88231</v>
      </c>
      <c r="Z35" s="4">
        <v>0</v>
      </c>
      <c r="AA35" s="46">
        <v>51771</v>
      </c>
    </row>
    <row r="36" spans="1:27" x14ac:dyDescent="0.25">
      <c r="A36" s="44" t="s">
        <v>22</v>
      </c>
      <c r="B36" s="5" t="s">
        <v>666</v>
      </c>
      <c r="C36" s="47" t="s">
        <v>36</v>
      </c>
      <c r="D36" s="5" t="s">
        <v>382</v>
      </c>
      <c r="E36" s="5">
        <v>29.82</v>
      </c>
      <c r="F36" s="5">
        <v>299</v>
      </c>
      <c r="G36" s="5">
        <v>328.82</v>
      </c>
      <c r="H36" s="5">
        <v>0</v>
      </c>
      <c r="I36" s="5">
        <v>0</v>
      </c>
      <c r="J36" s="5">
        <v>0</v>
      </c>
      <c r="K36" s="5">
        <v>299</v>
      </c>
      <c r="L36" s="5">
        <v>359.07</v>
      </c>
      <c r="M36" s="5">
        <v>65.34</v>
      </c>
      <c r="N36" s="5">
        <v>73.16</v>
      </c>
      <c r="O36" s="5">
        <v>37.99</v>
      </c>
      <c r="P36" s="4">
        <v>118069</v>
      </c>
      <c r="Q36" s="5">
        <v>0</v>
      </c>
      <c r="R36" s="4">
        <v>118069</v>
      </c>
      <c r="S36" s="4">
        <v>19438</v>
      </c>
      <c r="T36" s="4">
        <v>0</v>
      </c>
      <c r="U36" s="4">
        <v>19537</v>
      </c>
      <c r="V36" s="4">
        <v>19537</v>
      </c>
      <c r="W36" s="4">
        <v>0</v>
      </c>
      <c r="X36" s="4">
        <v>21875</v>
      </c>
      <c r="Y36" s="4">
        <v>21875</v>
      </c>
      <c r="Z36" s="4">
        <v>0</v>
      </c>
      <c r="AA36" s="46">
        <v>12492</v>
      </c>
    </row>
    <row r="37" spans="1:27" x14ac:dyDescent="0.25">
      <c r="A37" s="44" t="s">
        <v>22</v>
      </c>
      <c r="B37" s="5" t="s">
        <v>666</v>
      </c>
      <c r="C37" s="47" t="s">
        <v>37</v>
      </c>
      <c r="D37" s="5" t="s">
        <v>383</v>
      </c>
      <c r="E37" s="5">
        <v>147.91</v>
      </c>
      <c r="F37" s="35">
        <v>1199.2</v>
      </c>
      <c r="G37" s="35">
        <v>1347.11</v>
      </c>
      <c r="H37" s="5">
        <v>0</v>
      </c>
      <c r="I37" s="5">
        <v>133</v>
      </c>
      <c r="J37" s="5">
        <v>2</v>
      </c>
      <c r="K37" s="4">
        <v>1330</v>
      </c>
      <c r="L37" s="5">
        <v>359.07</v>
      </c>
      <c r="M37" s="5">
        <v>65.34</v>
      </c>
      <c r="N37" s="5">
        <v>73.16</v>
      </c>
      <c r="O37" s="5">
        <v>37.99</v>
      </c>
      <c r="P37" s="4">
        <v>483707</v>
      </c>
      <c r="Q37" s="5">
        <v>0</v>
      </c>
      <c r="R37" s="4">
        <v>483707</v>
      </c>
      <c r="S37" s="4">
        <v>79634</v>
      </c>
      <c r="T37" s="4">
        <v>8690</v>
      </c>
      <c r="U37" s="4">
        <v>78212</v>
      </c>
      <c r="V37" s="4">
        <v>86902</v>
      </c>
      <c r="W37" s="4">
        <v>9730</v>
      </c>
      <c r="X37" s="4">
        <v>87573</v>
      </c>
      <c r="Y37" s="4">
        <v>97303</v>
      </c>
      <c r="Z37" s="4">
        <v>0</v>
      </c>
      <c r="AA37" s="46">
        <v>51177</v>
      </c>
    </row>
    <row r="38" spans="1:27" x14ac:dyDescent="0.25">
      <c r="A38" s="44" t="s">
        <v>22</v>
      </c>
      <c r="B38" s="5" t="s">
        <v>666</v>
      </c>
      <c r="C38" s="47" t="s">
        <v>38</v>
      </c>
      <c r="D38" s="5" t="s">
        <v>384</v>
      </c>
      <c r="E38" s="5">
        <v>47</v>
      </c>
      <c r="F38" s="5">
        <v>315</v>
      </c>
      <c r="G38" s="5">
        <v>362</v>
      </c>
      <c r="H38" s="5">
        <v>0</v>
      </c>
      <c r="I38" s="5">
        <v>2</v>
      </c>
      <c r="J38" s="5">
        <v>0</v>
      </c>
      <c r="K38" s="5">
        <v>317</v>
      </c>
      <c r="L38" s="5">
        <v>359.07</v>
      </c>
      <c r="M38" s="5">
        <v>65.34</v>
      </c>
      <c r="N38" s="5">
        <v>73.16</v>
      </c>
      <c r="O38" s="5">
        <v>37.99</v>
      </c>
      <c r="P38" s="4">
        <v>129983</v>
      </c>
      <c r="Q38" s="4">
        <v>3808</v>
      </c>
      <c r="R38" s="4">
        <v>133791</v>
      </c>
      <c r="S38" s="4">
        <v>21399</v>
      </c>
      <c r="T38" s="4">
        <v>131</v>
      </c>
      <c r="U38" s="4">
        <v>20582</v>
      </c>
      <c r="V38" s="4">
        <v>20713</v>
      </c>
      <c r="W38" s="4">
        <v>146</v>
      </c>
      <c r="X38" s="4">
        <v>23046</v>
      </c>
      <c r="Y38" s="4">
        <v>23192</v>
      </c>
      <c r="Z38" s="4">
        <v>0</v>
      </c>
      <c r="AA38" s="46">
        <v>14164</v>
      </c>
    </row>
    <row r="39" spans="1:27" x14ac:dyDescent="0.25">
      <c r="A39" s="44" t="s">
        <v>22</v>
      </c>
      <c r="B39" s="5" t="s">
        <v>666</v>
      </c>
      <c r="C39" s="47" t="s">
        <v>39</v>
      </c>
      <c r="D39" s="5" t="s">
        <v>385</v>
      </c>
      <c r="E39" s="5">
        <v>63.85</v>
      </c>
      <c r="F39" s="5">
        <v>660.3</v>
      </c>
      <c r="G39" s="5">
        <v>724.15</v>
      </c>
      <c r="H39" s="5">
        <v>0</v>
      </c>
      <c r="I39" s="5">
        <v>78</v>
      </c>
      <c r="J39" s="5">
        <v>0</v>
      </c>
      <c r="K39" s="5">
        <v>738</v>
      </c>
      <c r="L39" s="5">
        <v>359.07</v>
      </c>
      <c r="M39" s="5">
        <v>65.34</v>
      </c>
      <c r="N39" s="5">
        <v>73.16</v>
      </c>
      <c r="O39" s="5">
        <v>37.99</v>
      </c>
      <c r="P39" s="4">
        <v>260021</v>
      </c>
      <c r="Q39" s="5">
        <v>0</v>
      </c>
      <c r="R39" s="4">
        <v>260021</v>
      </c>
      <c r="S39" s="4">
        <v>42808</v>
      </c>
      <c r="T39" s="4">
        <v>5097</v>
      </c>
      <c r="U39" s="4">
        <v>43124</v>
      </c>
      <c r="V39" s="4">
        <v>48221</v>
      </c>
      <c r="W39" s="4">
        <v>5706</v>
      </c>
      <c r="X39" s="4">
        <v>48286</v>
      </c>
      <c r="Y39" s="4">
        <v>53992</v>
      </c>
      <c r="Z39" s="4">
        <v>0</v>
      </c>
      <c r="AA39" s="46">
        <v>27510</v>
      </c>
    </row>
    <row r="40" spans="1:27" x14ac:dyDescent="0.25">
      <c r="A40" s="44" t="s">
        <v>22</v>
      </c>
      <c r="B40" s="5" t="s">
        <v>666</v>
      </c>
      <c r="C40" s="47" t="s">
        <v>40</v>
      </c>
      <c r="D40" s="5" t="s">
        <v>386</v>
      </c>
      <c r="E40" s="5">
        <v>49.98</v>
      </c>
      <c r="F40" s="5">
        <v>451.9</v>
      </c>
      <c r="G40" s="5">
        <v>501.88</v>
      </c>
      <c r="H40" s="5">
        <v>0</v>
      </c>
      <c r="I40" s="5">
        <v>16</v>
      </c>
      <c r="J40" s="5">
        <v>0</v>
      </c>
      <c r="K40" s="5">
        <v>468</v>
      </c>
      <c r="L40" s="5">
        <v>359.07</v>
      </c>
      <c r="M40" s="5">
        <v>65.34</v>
      </c>
      <c r="N40" s="5">
        <v>73.16</v>
      </c>
      <c r="O40" s="5">
        <v>37.99</v>
      </c>
      <c r="P40" s="4">
        <v>180210</v>
      </c>
      <c r="Q40" s="4">
        <v>7932</v>
      </c>
      <c r="R40" s="4">
        <v>188142</v>
      </c>
      <c r="S40" s="4">
        <v>29669</v>
      </c>
      <c r="T40" s="4">
        <v>1045</v>
      </c>
      <c r="U40" s="4">
        <v>29534</v>
      </c>
      <c r="V40" s="4">
        <v>30579</v>
      </c>
      <c r="W40" s="4">
        <v>1171</v>
      </c>
      <c r="X40" s="4">
        <v>33068</v>
      </c>
      <c r="Y40" s="4">
        <v>34239</v>
      </c>
      <c r="Z40" s="4">
        <v>0</v>
      </c>
      <c r="AA40" s="46">
        <v>19647</v>
      </c>
    </row>
    <row r="41" spans="1:27" x14ac:dyDescent="0.25">
      <c r="A41" s="44" t="s">
        <v>22</v>
      </c>
      <c r="B41" s="5" t="s">
        <v>666</v>
      </c>
      <c r="C41" s="47" t="s">
        <v>41</v>
      </c>
      <c r="D41" s="5" t="s">
        <v>387</v>
      </c>
      <c r="E41" s="5">
        <v>41.12</v>
      </c>
      <c r="F41" s="5">
        <v>231.5</v>
      </c>
      <c r="G41" s="5">
        <v>272.62</v>
      </c>
      <c r="H41" s="5">
        <v>0</v>
      </c>
      <c r="I41" s="5">
        <v>25</v>
      </c>
      <c r="J41" s="5">
        <v>0</v>
      </c>
      <c r="K41" s="5">
        <v>257</v>
      </c>
      <c r="L41" s="5">
        <v>359.07</v>
      </c>
      <c r="M41" s="5">
        <v>65.34</v>
      </c>
      <c r="N41" s="5">
        <v>73.16</v>
      </c>
      <c r="O41" s="5">
        <v>37.99</v>
      </c>
      <c r="P41" s="4">
        <v>97890</v>
      </c>
      <c r="Q41" s="4">
        <v>11131</v>
      </c>
      <c r="R41" s="4">
        <v>109021</v>
      </c>
      <c r="S41" s="4">
        <v>16116</v>
      </c>
      <c r="T41" s="4">
        <v>1634</v>
      </c>
      <c r="U41" s="4">
        <v>15158</v>
      </c>
      <c r="V41" s="4">
        <v>16792</v>
      </c>
      <c r="W41" s="4">
        <v>1829</v>
      </c>
      <c r="X41" s="4">
        <v>16973</v>
      </c>
      <c r="Y41" s="4">
        <v>18802</v>
      </c>
      <c r="Z41" s="4">
        <v>0</v>
      </c>
      <c r="AA41" s="46">
        <v>10774</v>
      </c>
    </row>
    <row r="42" spans="1:27" x14ac:dyDescent="0.25">
      <c r="A42" s="44" t="s">
        <v>22</v>
      </c>
      <c r="B42" s="5" t="s">
        <v>666</v>
      </c>
      <c r="C42" s="45" t="s">
        <v>42</v>
      </c>
      <c r="D42" s="5" t="s">
        <v>388</v>
      </c>
      <c r="E42" s="5">
        <v>47.48</v>
      </c>
      <c r="F42" s="5">
        <v>391</v>
      </c>
      <c r="G42" s="5">
        <v>438.48</v>
      </c>
      <c r="H42" s="5">
        <v>0</v>
      </c>
      <c r="I42" s="5">
        <v>14</v>
      </c>
      <c r="J42" s="5">
        <v>0</v>
      </c>
      <c r="K42" s="5">
        <v>405</v>
      </c>
      <c r="L42" s="5">
        <v>359.07</v>
      </c>
      <c r="M42" s="5">
        <v>65.34</v>
      </c>
      <c r="N42" s="5">
        <v>73.16</v>
      </c>
      <c r="O42" s="5">
        <v>37.99</v>
      </c>
      <c r="P42" s="4">
        <v>157445</v>
      </c>
      <c r="Q42" s="4">
        <v>12790</v>
      </c>
      <c r="R42" s="4">
        <v>170235</v>
      </c>
      <c r="S42" s="4">
        <v>25921</v>
      </c>
      <c r="T42" s="4">
        <v>915</v>
      </c>
      <c r="U42" s="4">
        <v>25548</v>
      </c>
      <c r="V42" s="4">
        <v>26463</v>
      </c>
      <c r="W42" s="4">
        <v>1024</v>
      </c>
      <c r="X42" s="4">
        <v>28606</v>
      </c>
      <c r="Y42" s="4">
        <v>29630</v>
      </c>
      <c r="Z42" s="4">
        <v>0</v>
      </c>
      <c r="AA42" s="46">
        <v>16658</v>
      </c>
    </row>
    <row r="43" spans="1:27" x14ac:dyDescent="0.25">
      <c r="A43" s="44" t="s">
        <v>22</v>
      </c>
      <c r="B43" s="5" t="s">
        <v>666</v>
      </c>
      <c r="C43" s="47" t="s">
        <v>44</v>
      </c>
      <c r="D43" s="5" t="s">
        <v>389</v>
      </c>
      <c r="E43" s="5">
        <v>132.27000000000001</v>
      </c>
      <c r="F43" s="35">
        <v>1015.4</v>
      </c>
      <c r="G43" s="35">
        <v>1147.67</v>
      </c>
      <c r="H43" s="5">
        <v>0</v>
      </c>
      <c r="I43" s="5">
        <v>13</v>
      </c>
      <c r="J43" s="5">
        <v>0</v>
      </c>
      <c r="K43" s="4">
        <v>1028</v>
      </c>
      <c r="L43" s="5">
        <v>359.07</v>
      </c>
      <c r="M43" s="5">
        <v>65.34</v>
      </c>
      <c r="N43" s="5">
        <v>73.16</v>
      </c>
      <c r="O43" s="5">
        <v>37.99</v>
      </c>
      <c r="P43" s="4">
        <v>412094</v>
      </c>
      <c r="Q43" s="5">
        <v>0</v>
      </c>
      <c r="R43" s="4">
        <v>412094</v>
      </c>
      <c r="S43" s="4">
        <v>67844</v>
      </c>
      <c r="T43" s="4">
        <v>849</v>
      </c>
      <c r="U43" s="4">
        <v>66321</v>
      </c>
      <c r="V43" s="4">
        <v>67170</v>
      </c>
      <c r="W43" s="4">
        <v>951</v>
      </c>
      <c r="X43" s="4">
        <v>74257</v>
      </c>
      <c r="Y43" s="4">
        <v>75208</v>
      </c>
      <c r="Z43" s="4">
        <v>0</v>
      </c>
      <c r="AA43" s="46">
        <v>43600</v>
      </c>
    </row>
    <row r="44" spans="1:27" x14ac:dyDescent="0.25">
      <c r="A44" s="44" t="s">
        <v>22</v>
      </c>
      <c r="B44" s="5" t="s">
        <v>666</v>
      </c>
      <c r="C44" s="47" t="s">
        <v>45</v>
      </c>
      <c r="D44" s="5" t="s">
        <v>390</v>
      </c>
      <c r="E44" s="5">
        <v>14.69</v>
      </c>
      <c r="F44" s="5">
        <v>188</v>
      </c>
      <c r="G44" s="5">
        <v>202.69</v>
      </c>
      <c r="H44" s="5">
        <v>0</v>
      </c>
      <c r="I44" s="5">
        <v>5</v>
      </c>
      <c r="J44" s="5">
        <v>0</v>
      </c>
      <c r="K44" s="5">
        <v>193</v>
      </c>
      <c r="L44" s="5">
        <v>359.07</v>
      </c>
      <c r="M44" s="5">
        <v>65.34</v>
      </c>
      <c r="N44" s="5">
        <v>73.16</v>
      </c>
      <c r="O44" s="5">
        <v>37.99</v>
      </c>
      <c r="P44" s="4">
        <v>72780</v>
      </c>
      <c r="Q44" s="5">
        <v>0</v>
      </c>
      <c r="R44" s="4">
        <v>72780</v>
      </c>
      <c r="S44" s="4">
        <v>11982</v>
      </c>
      <c r="T44" s="4">
        <v>327</v>
      </c>
      <c r="U44" s="4">
        <v>12284</v>
      </c>
      <c r="V44" s="4">
        <v>12611</v>
      </c>
      <c r="W44" s="4">
        <v>366</v>
      </c>
      <c r="X44" s="4">
        <v>13754</v>
      </c>
      <c r="Y44" s="4">
        <v>14120</v>
      </c>
      <c r="Z44" s="4">
        <v>0</v>
      </c>
      <c r="AA44" s="46">
        <v>7700</v>
      </c>
    </row>
    <row r="45" spans="1:27" x14ac:dyDescent="0.25">
      <c r="A45" s="44" t="s">
        <v>22</v>
      </c>
      <c r="B45" s="5" t="s">
        <v>666</v>
      </c>
      <c r="C45" s="47" t="s">
        <v>46</v>
      </c>
      <c r="D45" s="5" t="s">
        <v>391</v>
      </c>
      <c r="E45" s="5">
        <v>79.930000000000007</v>
      </c>
      <c r="F45" s="5">
        <v>659.8</v>
      </c>
      <c r="G45" s="5">
        <v>739.73</v>
      </c>
      <c r="H45" s="5">
        <v>0</v>
      </c>
      <c r="I45" s="5">
        <v>91</v>
      </c>
      <c r="J45" s="5">
        <v>6.7</v>
      </c>
      <c r="K45" s="5">
        <v>744</v>
      </c>
      <c r="L45" s="5">
        <v>359.07</v>
      </c>
      <c r="M45" s="5">
        <v>65.34</v>
      </c>
      <c r="N45" s="5">
        <v>73.16</v>
      </c>
      <c r="O45" s="5">
        <v>37.99</v>
      </c>
      <c r="P45" s="4">
        <v>265615</v>
      </c>
      <c r="Q45" s="5">
        <v>432</v>
      </c>
      <c r="R45" s="4">
        <v>266047</v>
      </c>
      <c r="S45" s="4">
        <v>43729</v>
      </c>
      <c r="T45" s="4">
        <v>5946</v>
      </c>
      <c r="U45" s="4">
        <v>42667</v>
      </c>
      <c r="V45" s="4">
        <v>48613</v>
      </c>
      <c r="W45" s="4">
        <v>6658</v>
      </c>
      <c r="X45" s="4">
        <v>47773</v>
      </c>
      <c r="Y45" s="4">
        <v>54431</v>
      </c>
      <c r="Z45" s="4">
        <v>0</v>
      </c>
      <c r="AA45" s="46">
        <v>28102</v>
      </c>
    </row>
    <row r="46" spans="1:27" x14ac:dyDescent="0.25">
      <c r="A46" s="44" t="s">
        <v>22</v>
      </c>
      <c r="B46" s="5" t="s">
        <v>666</v>
      </c>
      <c r="C46" s="47" t="s">
        <v>47</v>
      </c>
      <c r="D46" s="5" t="s">
        <v>392</v>
      </c>
      <c r="E46" s="5">
        <v>32.96</v>
      </c>
      <c r="F46" s="5">
        <v>185</v>
      </c>
      <c r="G46" s="5">
        <v>217.96</v>
      </c>
      <c r="H46" s="5">
        <v>0</v>
      </c>
      <c r="I46" s="5">
        <v>10</v>
      </c>
      <c r="J46" s="5">
        <v>0</v>
      </c>
      <c r="K46" s="5">
        <v>195</v>
      </c>
      <c r="L46" s="5">
        <v>359.07</v>
      </c>
      <c r="M46" s="5">
        <v>65.34</v>
      </c>
      <c r="N46" s="5">
        <v>73.16</v>
      </c>
      <c r="O46" s="5">
        <v>37.99</v>
      </c>
      <c r="P46" s="4">
        <v>78263</v>
      </c>
      <c r="Q46" s="4">
        <v>8212</v>
      </c>
      <c r="R46" s="4">
        <v>86475</v>
      </c>
      <c r="S46" s="4">
        <v>12884</v>
      </c>
      <c r="T46" s="4">
        <v>653</v>
      </c>
      <c r="U46" s="4">
        <v>12088</v>
      </c>
      <c r="V46" s="4">
        <v>12741</v>
      </c>
      <c r="W46" s="4">
        <v>732</v>
      </c>
      <c r="X46" s="4">
        <v>13534</v>
      </c>
      <c r="Y46" s="4">
        <v>14266</v>
      </c>
      <c r="Z46" s="4">
        <v>0</v>
      </c>
      <c r="AA46" s="46">
        <v>8280</v>
      </c>
    </row>
    <row r="47" spans="1:27" x14ac:dyDescent="0.25">
      <c r="A47" s="44" t="s">
        <v>22</v>
      </c>
      <c r="B47" s="5" t="s">
        <v>666</v>
      </c>
      <c r="C47" s="47" t="s">
        <v>48</v>
      </c>
      <c r="D47" s="5" t="s">
        <v>393</v>
      </c>
      <c r="E47" s="5">
        <v>52.73</v>
      </c>
      <c r="F47" s="5">
        <v>351</v>
      </c>
      <c r="G47" s="5">
        <v>403.73</v>
      </c>
      <c r="H47" s="5">
        <v>0</v>
      </c>
      <c r="I47" s="5">
        <v>23</v>
      </c>
      <c r="J47" s="5">
        <v>0</v>
      </c>
      <c r="K47" s="5">
        <v>374</v>
      </c>
      <c r="L47" s="5">
        <v>359.07</v>
      </c>
      <c r="M47" s="5">
        <v>65.34</v>
      </c>
      <c r="N47" s="5">
        <v>73.16</v>
      </c>
      <c r="O47" s="5">
        <v>37.99</v>
      </c>
      <c r="P47" s="4">
        <v>144967</v>
      </c>
      <c r="Q47" s="5">
        <v>0</v>
      </c>
      <c r="R47" s="4">
        <v>144967</v>
      </c>
      <c r="S47" s="4">
        <v>23867</v>
      </c>
      <c r="T47" s="4">
        <v>1503</v>
      </c>
      <c r="U47" s="4">
        <v>22934</v>
      </c>
      <c r="V47" s="4">
        <v>24437</v>
      </c>
      <c r="W47" s="4">
        <v>1683</v>
      </c>
      <c r="X47" s="4">
        <v>25679</v>
      </c>
      <c r="Y47" s="4">
        <v>27362</v>
      </c>
      <c r="Z47" s="4">
        <v>0</v>
      </c>
      <c r="AA47" s="46">
        <v>15338</v>
      </c>
    </row>
    <row r="48" spans="1:27" x14ac:dyDescent="0.25">
      <c r="A48" s="44" t="s">
        <v>22</v>
      </c>
      <c r="B48" s="5" t="s">
        <v>666</v>
      </c>
      <c r="C48" s="47" t="s">
        <v>49</v>
      </c>
      <c r="D48" s="5" t="s">
        <v>394</v>
      </c>
      <c r="E48" s="5">
        <v>55.62</v>
      </c>
      <c r="F48" s="5">
        <v>422.5</v>
      </c>
      <c r="G48" s="5">
        <v>478.12</v>
      </c>
      <c r="H48" s="5">
        <v>0</v>
      </c>
      <c r="I48" s="5">
        <v>13</v>
      </c>
      <c r="J48" s="5">
        <v>0</v>
      </c>
      <c r="K48" s="5">
        <v>436</v>
      </c>
      <c r="L48" s="5">
        <v>359.07</v>
      </c>
      <c r="M48" s="5">
        <v>65.34</v>
      </c>
      <c r="N48" s="5">
        <v>73.16</v>
      </c>
      <c r="O48" s="5">
        <v>37.99</v>
      </c>
      <c r="P48" s="4">
        <v>171679</v>
      </c>
      <c r="Q48" s="4">
        <v>2897</v>
      </c>
      <c r="R48" s="4">
        <v>174576</v>
      </c>
      <c r="S48" s="4">
        <v>28264</v>
      </c>
      <c r="T48" s="4">
        <v>849</v>
      </c>
      <c r="U48" s="4">
        <v>27639</v>
      </c>
      <c r="V48" s="4">
        <v>28488</v>
      </c>
      <c r="W48" s="4">
        <v>951</v>
      </c>
      <c r="X48" s="4">
        <v>30947</v>
      </c>
      <c r="Y48" s="4">
        <v>31898</v>
      </c>
      <c r="Z48" s="4">
        <v>0</v>
      </c>
      <c r="AA48" s="46">
        <v>18473</v>
      </c>
    </row>
    <row r="49" spans="1:27" x14ac:dyDescent="0.25">
      <c r="A49" s="44" t="s">
        <v>22</v>
      </c>
      <c r="B49" s="5" t="s">
        <v>666</v>
      </c>
      <c r="C49" s="47" t="s">
        <v>50</v>
      </c>
      <c r="D49" s="5" t="s">
        <v>395</v>
      </c>
      <c r="E49" s="5">
        <v>118.36</v>
      </c>
      <c r="F49" s="5">
        <v>888.3</v>
      </c>
      <c r="G49" s="35">
        <v>1006.66</v>
      </c>
      <c r="H49" s="5">
        <v>0</v>
      </c>
      <c r="I49" s="5">
        <v>38</v>
      </c>
      <c r="J49" s="5">
        <v>0</v>
      </c>
      <c r="K49" s="5">
        <v>926</v>
      </c>
      <c r="L49" s="5">
        <v>359.07</v>
      </c>
      <c r="M49" s="5">
        <v>65.34</v>
      </c>
      <c r="N49" s="5">
        <v>73.16</v>
      </c>
      <c r="O49" s="5">
        <v>37.99</v>
      </c>
      <c r="P49" s="4">
        <v>361461</v>
      </c>
      <c r="Q49" s="4">
        <v>1776</v>
      </c>
      <c r="R49" s="4">
        <v>363237</v>
      </c>
      <c r="S49" s="4">
        <v>59509</v>
      </c>
      <c r="T49" s="4">
        <v>2483</v>
      </c>
      <c r="U49" s="4">
        <v>58022</v>
      </c>
      <c r="V49" s="4">
        <v>60505</v>
      </c>
      <c r="W49" s="4">
        <v>2780</v>
      </c>
      <c r="X49" s="4">
        <v>64966</v>
      </c>
      <c r="Y49" s="4">
        <v>67746</v>
      </c>
      <c r="Z49" s="4">
        <v>0</v>
      </c>
      <c r="AA49" s="46">
        <v>38455</v>
      </c>
    </row>
    <row r="50" spans="1:27" x14ac:dyDescent="0.25">
      <c r="A50" s="44" t="s">
        <v>22</v>
      </c>
      <c r="B50" s="5" t="s">
        <v>666</v>
      </c>
      <c r="C50" s="47" t="s">
        <v>51</v>
      </c>
      <c r="D50" s="5" t="s">
        <v>396</v>
      </c>
      <c r="E50" s="5">
        <v>64.180000000000007</v>
      </c>
      <c r="F50" s="5">
        <v>609.6</v>
      </c>
      <c r="G50" s="5">
        <v>673.78</v>
      </c>
      <c r="H50" s="5">
        <v>0</v>
      </c>
      <c r="I50" s="5">
        <v>3</v>
      </c>
      <c r="J50" s="5">
        <v>0</v>
      </c>
      <c r="K50" s="5">
        <v>613</v>
      </c>
      <c r="L50" s="5">
        <v>359.07</v>
      </c>
      <c r="M50" s="5">
        <v>65.34</v>
      </c>
      <c r="N50" s="5">
        <v>73.16</v>
      </c>
      <c r="O50" s="5">
        <v>37.99</v>
      </c>
      <c r="P50" s="4">
        <v>241934</v>
      </c>
      <c r="Q50" s="5">
        <v>0</v>
      </c>
      <c r="R50" s="4">
        <v>241934</v>
      </c>
      <c r="S50" s="4">
        <v>39831</v>
      </c>
      <c r="T50" s="4">
        <v>196</v>
      </c>
      <c r="U50" s="4">
        <v>39857</v>
      </c>
      <c r="V50" s="4">
        <v>40053</v>
      </c>
      <c r="W50" s="4">
        <v>219</v>
      </c>
      <c r="X50" s="4">
        <v>44628</v>
      </c>
      <c r="Y50" s="4">
        <v>44847</v>
      </c>
      <c r="Z50" s="4">
        <v>0</v>
      </c>
      <c r="AA50" s="46">
        <v>25597</v>
      </c>
    </row>
    <row r="51" spans="1:27" x14ac:dyDescent="0.25">
      <c r="A51" s="44" t="s">
        <v>22</v>
      </c>
      <c r="B51" s="5" t="s">
        <v>666</v>
      </c>
      <c r="C51" s="47" t="s">
        <v>52</v>
      </c>
      <c r="D51" s="5" t="s">
        <v>675</v>
      </c>
      <c r="E51" s="5">
        <v>123.35</v>
      </c>
      <c r="F51" s="35">
        <v>1105.0999999999999</v>
      </c>
      <c r="G51" s="35">
        <v>1228.45</v>
      </c>
      <c r="H51" s="5">
        <v>0</v>
      </c>
      <c r="I51" s="5">
        <v>25</v>
      </c>
      <c r="J51" s="5">
        <v>0</v>
      </c>
      <c r="K51" s="4">
        <v>1130</v>
      </c>
      <c r="L51" s="5">
        <v>359.07</v>
      </c>
      <c r="M51" s="5">
        <v>65.34</v>
      </c>
      <c r="N51" s="5">
        <v>73.16</v>
      </c>
      <c r="O51" s="5">
        <v>37.99</v>
      </c>
      <c r="P51" s="4">
        <v>441100</v>
      </c>
      <c r="Q51" s="5">
        <v>0</v>
      </c>
      <c r="R51" s="4">
        <v>441100</v>
      </c>
      <c r="S51" s="4">
        <v>72619</v>
      </c>
      <c r="T51" s="4">
        <v>1634</v>
      </c>
      <c r="U51" s="4">
        <v>72200</v>
      </c>
      <c r="V51" s="4">
        <v>73834</v>
      </c>
      <c r="W51" s="4">
        <v>1829</v>
      </c>
      <c r="X51" s="4">
        <v>80842</v>
      </c>
      <c r="Y51" s="4">
        <v>82671</v>
      </c>
      <c r="Z51" s="4">
        <v>0</v>
      </c>
      <c r="AA51" s="46">
        <v>46669</v>
      </c>
    </row>
    <row r="52" spans="1:27" x14ac:dyDescent="0.25">
      <c r="A52" s="44" t="s">
        <v>22</v>
      </c>
      <c r="B52" s="5" t="s">
        <v>666</v>
      </c>
      <c r="C52" s="47" t="s">
        <v>53</v>
      </c>
      <c r="D52" s="5" t="s">
        <v>397</v>
      </c>
      <c r="E52" s="5">
        <v>331.37</v>
      </c>
      <c r="F52" s="35">
        <v>1947.2</v>
      </c>
      <c r="G52" s="35">
        <v>2278.5700000000002</v>
      </c>
      <c r="H52" s="5">
        <v>0</v>
      </c>
      <c r="I52" s="5">
        <v>228</v>
      </c>
      <c r="J52" s="5">
        <v>0.6</v>
      </c>
      <c r="K52" s="4">
        <v>2175</v>
      </c>
      <c r="L52" s="5">
        <v>359.07</v>
      </c>
      <c r="M52" s="5">
        <v>65.34</v>
      </c>
      <c r="N52" s="5">
        <v>73.16</v>
      </c>
      <c r="O52" s="5">
        <v>37.99</v>
      </c>
      <c r="P52" s="4">
        <v>818166</v>
      </c>
      <c r="Q52" s="4">
        <v>20254</v>
      </c>
      <c r="R52" s="4">
        <v>838420</v>
      </c>
      <c r="S52" s="4">
        <v>134697</v>
      </c>
      <c r="T52" s="4">
        <v>14898</v>
      </c>
      <c r="U52" s="4">
        <v>127217</v>
      </c>
      <c r="V52" s="4">
        <v>142115</v>
      </c>
      <c r="W52" s="4">
        <v>16680</v>
      </c>
      <c r="X52" s="4">
        <v>142443</v>
      </c>
      <c r="Y52" s="4">
        <v>159123</v>
      </c>
      <c r="Z52" s="4">
        <v>0</v>
      </c>
      <c r="AA52" s="46">
        <v>88762</v>
      </c>
    </row>
    <row r="53" spans="1:27" x14ac:dyDescent="0.25">
      <c r="A53" s="44" t="s">
        <v>22</v>
      </c>
      <c r="B53" s="5" t="s">
        <v>666</v>
      </c>
      <c r="C53" s="47" t="s">
        <v>54</v>
      </c>
      <c r="D53" s="5" t="s">
        <v>398</v>
      </c>
      <c r="E53" s="5">
        <v>123.35</v>
      </c>
      <c r="F53" s="35">
        <v>1149.9000000000001</v>
      </c>
      <c r="G53" s="35">
        <v>1273.25</v>
      </c>
      <c r="H53" s="5">
        <v>0</v>
      </c>
      <c r="I53" s="5">
        <v>0</v>
      </c>
      <c r="J53" s="5">
        <v>0</v>
      </c>
      <c r="K53" s="4">
        <v>1150</v>
      </c>
      <c r="L53" s="5">
        <v>359.07</v>
      </c>
      <c r="M53" s="5">
        <v>65.34</v>
      </c>
      <c r="N53" s="5">
        <v>73.16</v>
      </c>
      <c r="O53" s="5">
        <v>37.99</v>
      </c>
      <c r="P53" s="4">
        <v>457186</v>
      </c>
      <c r="Q53" s="5">
        <v>0</v>
      </c>
      <c r="R53" s="4">
        <v>457186</v>
      </c>
      <c r="S53" s="4">
        <v>75268</v>
      </c>
      <c r="T53" s="4">
        <v>0</v>
      </c>
      <c r="U53" s="4">
        <v>75141</v>
      </c>
      <c r="V53" s="4">
        <v>75141</v>
      </c>
      <c r="W53" s="4">
        <v>0</v>
      </c>
      <c r="X53" s="4">
        <v>84134</v>
      </c>
      <c r="Y53" s="4">
        <v>84134</v>
      </c>
      <c r="Z53" s="4">
        <v>0</v>
      </c>
      <c r="AA53" s="46">
        <v>48384</v>
      </c>
    </row>
    <row r="54" spans="1:27" x14ac:dyDescent="0.25">
      <c r="A54" s="44" t="s">
        <v>22</v>
      </c>
      <c r="B54" s="5" t="s">
        <v>666</v>
      </c>
      <c r="C54" s="47" t="s">
        <v>55</v>
      </c>
      <c r="D54" s="5" t="s">
        <v>399</v>
      </c>
      <c r="E54" s="5">
        <v>372.2</v>
      </c>
      <c r="F54" s="35">
        <v>2662</v>
      </c>
      <c r="G54" s="35">
        <v>3034.2</v>
      </c>
      <c r="H54" s="5">
        <v>0</v>
      </c>
      <c r="I54" s="5">
        <v>198</v>
      </c>
      <c r="J54" s="5">
        <v>1.9</v>
      </c>
      <c r="K54" s="4">
        <v>2858</v>
      </c>
      <c r="L54" s="5">
        <v>359.07</v>
      </c>
      <c r="M54" s="5">
        <v>65.34</v>
      </c>
      <c r="N54" s="5">
        <v>73.16</v>
      </c>
      <c r="O54" s="5">
        <v>37.99</v>
      </c>
      <c r="P54" s="4">
        <v>1089490</v>
      </c>
      <c r="Q54" s="5">
        <v>0</v>
      </c>
      <c r="R54" s="4">
        <v>1089490</v>
      </c>
      <c r="S54" s="4">
        <v>179366</v>
      </c>
      <c r="T54" s="4">
        <v>12937</v>
      </c>
      <c r="U54" s="4">
        <v>173805</v>
      </c>
      <c r="V54" s="4">
        <v>186742</v>
      </c>
      <c r="W54" s="4">
        <v>14486</v>
      </c>
      <c r="X54" s="4">
        <v>194605</v>
      </c>
      <c r="Y54" s="4">
        <v>209091</v>
      </c>
      <c r="Z54" s="4">
        <v>0</v>
      </c>
      <c r="AA54" s="46">
        <v>115269</v>
      </c>
    </row>
    <row r="55" spans="1:27" x14ac:dyDescent="0.25">
      <c r="A55" s="44" t="s">
        <v>22</v>
      </c>
      <c r="B55" s="5" t="s">
        <v>666</v>
      </c>
      <c r="C55" s="47" t="s">
        <v>56</v>
      </c>
      <c r="D55" s="5" t="s">
        <v>400</v>
      </c>
      <c r="E55" s="5">
        <v>20</v>
      </c>
      <c r="F55" s="5">
        <v>137.1</v>
      </c>
      <c r="G55" s="5">
        <v>157.1</v>
      </c>
      <c r="H55" s="5">
        <v>0</v>
      </c>
      <c r="I55" s="5">
        <v>6</v>
      </c>
      <c r="J55" s="5">
        <v>0</v>
      </c>
      <c r="K55" s="5">
        <v>143</v>
      </c>
      <c r="L55" s="5">
        <v>359.07</v>
      </c>
      <c r="M55" s="5">
        <v>65.34</v>
      </c>
      <c r="N55" s="5">
        <v>73.16</v>
      </c>
      <c r="O55" s="5">
        <v>37.99</v>
      </c>
      <c r="P55" s="4">
        <v>56410</v>
      </c>
      <c r="Q55" s="4">
        <v>7101</v>
      </c>
      <c r="R55" s="4">
        <v>63511</v>
      </c>
      <c r="S55" s="4">
        <v>9287</v>
      </c>
      <c r="T55" s="4">
        <v>392</v>
      </c>
      <c r="U55" s="4">
        <v>8952</v>
      </c>
      <c r="V55" s="4">
        <v>9344</v>
      </c>
      <c r="W55" s="4">
        <v>439</v>
      </c>
      <c r="X55" s="4">
        <v>10023</v>
      </c>
      <c r="Y55" s="4">
        <v>10462</v>
      </c>
      <c r="Z55" s="4">
        <v>0</v>
      </c>
      <c r="AA55" s="46">
        <v>6381</v>
      </c>
    </row>
    <row r="56" spans="1:27" x14ac:dyDescent="0.25">
      <c r="A56" s="44" t="s">
        <v>22</v>
      </c>
      <c r="B56" s="5" t="s">
        <v>666</v>
      </c>
      <c r="C56" s="47" t="s">
        <v>57</v>
      </c>
      <c r="D56" s="5" t="s">
        <v>401</v>
      </c>
      <c r="E56" s="5">
        <v>26.36</v>
      </c>
      <c r="F56" s="5">
        <v>162</v>
      </c>
      <c r="G56" s="5">
        <v>188.36</v>
      </c>
      <c r="H56" s="5">
        <v>0</v>
      </c>
      <c r="I56" s="5">
        <v>18</v>
      </c>
      <c r="J56" s="5">
        <v>0</v>
      </c>
      <c r="K56" s="5">
        <v>180</v>
      </c>
      <c r="L56" s="5">
        <v>359.07</v>
      </c>
      <c r="M56" s="5">
        <v>65.34</v>
      </c>
      <c r="N56" s="5">
        <v>73.16</v>
      </c>
      <c r="O56" s="5">
        <v>37.99</v>
      </c>
      <c r="P56" s="4">
        <v>67634</v>
      </c>
      <c r="Q56" s="5">
        <v>0</v>
      </c>
      <c r="R56" s="4">
        <v>67634</v>
      </c>
      <c r="S56" s="4">
        <v>11135</v>
      </c>
      <c r="T56" s="4">
        <v>1176</v>
      </c>
      <c r="U56" s="4">
        <v>10585</v>
      </c>
      <c r="V56" s="4">
        <v>11761</v>
      </c>
      <c r="W56" s="4">
        <v>1317</v>
      </c>
      <c r="X56" s="4">
        <v>11852</v>
      </c>
      <c r="Y56" s="4">
        <v>13169</v>
      </c>
      <c r="Z56" s="4">
        <v>0</v>
      </c>
      <c r="AA56" s="46">
        <v>7156</v>
      </c>
    </row>
    <row r="57" spans="1:27" x14ac:dyDescent="0.25">
      <c r="A57" s="44" t="s">
        <v>22</v>
      </c>
      <c r="B57" s="5" t="s">
        <v>666</v>
      </c>
      <c r="C57" s="47" t="s">
        <v>58</v>
      </c>
      <c r="D57" s="5" t="s">
        <v>402</v>
      </c>
      <c r="E57" s="5">
        <v>184.19</v>
      </c>
      <c r="F57" s="35">
        <v>1745.2</v>
      </c>
      <c r="G57" s="35">
        <v>1929.39</v>
      </c>
      <c r="H57" s="5">
        <v>0</v>
      </c>
      <c r="I57" s="5">
        <v>90</v>
      </c>
      <c r="J57" s="5">
        <v>2.5</v>
      </c>
      <c r="K57" s="4">
        <v>1833</v>
      </c>
      <c r="L57" s="5">
        <v>359.07</v>
      </c>
      <c r="M57" s="5">
        <v>65.34</v>
      </c>
      <c r="N57" s="5">
        <v>73.16</v>
      </c>
      <c r="O57" s="5">
        <v>37.99</v>
      </c>
      <c r="P57" s="4">
        <v>692786</v>
      </c>
      <c r="Q57" s="5">
        <v>0</v>
      </c>
      <c r="R57" s="4">
        <v>692786</v>
      </c>
      <c r="S57" s="4">
        <v>114055</v>
      </c>
      <c r="T57" s="4">
        <v>5881</v>
      </c>
      <c r="U57" s="4">
        <v>113887</v>
      </c>
      <c r="V57" s="4">
        <v>119768</v>
      </c>
      <c r="W57" s="4">
        <v>6584</v>
      </c>
      <c r="X57" s="4">
        <v>127518</v>
      </c>
      <c r="Y57" s="4">
        <v>134102</v>
      </c>
      <c r="Z57" s="4">
        <v>0</v>
      </c>
      <c r="AA57" s="46">
        <v>73298</v>
      </c>
    </row>
    <row r="58" spans="1:27" x14ac:dyDescent="0.25">
      <c r="A58" s="44" t="s">
        <v>22</v>
      </c>
      <c r="B58" s="5" t="s">
        <v>666</v>
      </c>
      <c r="C58" s="47" t="s">
        <v>59</v>
      </c>
      <c r="D58" s="5" t="s">
        <v>403</v>
      </c>
      <c r="E58" s="5">
        <v>20.04</v>
      </c>
      <c r="F58" s="5">
        <v>329.2</v>
      </c>
      <c r="G58" s="5">
        <v>349.24</v>
      </c>
      <c r="H58" s="5">
        <v>0</v>
      </c>
      <c r="I58" s="5">
        <v>40</v>
      </c>
      <c r="J58" s="5">
        <v>0</v>
      </c>
      <c r="K58" s="5">
        <v>369</v>
      </c>
      <c r="L58" s="5">
        <v>359.07</v>
      </c>
      <c r="M58" s="5">
        <v>65.34</v>
      </c>
      <c r="N58" s="5">
        <v>73.16</v>
      </c>
      <c r="O58" s="5">
        <v>37.99</v>
      </c>
      <c r="P58" s="4">
        <v>125402</v>
      </c>
      <c r="Q58" s="4">
        <v>3986</v>
      </c>
      <c r="R58" s="4">
        <v>129388</v>
      </c>
      <c r="S58" s="4">
        <v>20645</v>
      </c>
      <c r="T58" s="4">
        <v>2614</v>
      </c>
      <c r="U58" s="4">
        <v>21496</v>
      </c>
      <c r="V58" s="4">
        <v>24110</v>
      </c>
      <c r="W58" s="4">
        <v>2926</v>
      </c>
      <c r="X58" s="4">
        <v>24070</v>
      </c>
      <c r="Y58" s="4">
        <v>26996</v>
      </c>
      <c r="Z58" s="4">
        <v>0</v>
      </c>
      <c r="AA58" s="46">
        <v>13698</v>
      </c>
    </row>
    <row r="59" spans="1:27" x14ac:dyDescent="0.25">
      <c r="A59" s="44" t="s">
        <v>60</v>
      </c>
      <c r="B59" s="5" t="s">
        <v>667</v>
      </c>
      <c r="C59" s="45" t="s">
        <v>61</v>
      </c>
      <c r="D59" s="5" t="s">
        <v>62</v>
      </c>
      <c r="E59" s="5">
        <v>94.1</v>
      </c>
      <c r="F59" s="5">
        <v>704.3</v>
      </c>
      <c r="G59" s="5">
        <v>798.4</v>
      </c>
      <c r="H59" s="5">
        <v>0.98</v>
      </c>
      <c r="I59" s="5">
        <v>25</v>
      </c>
      <c r="J59" s="5">
        <v>0.2</v>
      </c>
      <c r="K59" s="5">
        <v>729</v>
      </c>
      <c r="L59" s="5">
        <v>352.44</v>
      </c>
      <c r="M59" s="5">
        <v>65.290000000000006</v>
      </c>
      <c r="N59" s="5">
        <v>72.78</v>
      </c>
      <c r="O59" s="5">
        <v>43.26</v>
      </c>
      <c r="P59" s="4">
        <v>281388</v>
      </c>
      <c r="Q59" s="4">
        <v>4081</v>
      </c>
      <c r="R59" s="4">
        <v>285469</v>
      </c>
      <c r="S59" s="4">
        <v>47198</v>
      </c>
      <c r="T59" s="4">
        <v>1632</v>
      </c>
      <c r="U59" s="4">
        <v>45964</v>
      </c>
      <c r="V59" s="4">
        <v>47596</v>
      </c>
      <c r="W59" s="4">
        <v>1820</v>
      </c>
      <c r="X59" s="4">
        <v>51237</v>
      </c>
      <c r="Y59" s="4">
        <v>53057</v>
      </c>
      <c r="Z59" s="4">
        <v>345</v>
      </c>
      <c r="AA59" s="46">
        <v>35155</v>
      </c>
    </row>
    <row r="60" spans="1:27" x14ac:dyDescent="0.25">
      <c r="A60" s="44" t="s">
        <v>60</v>
      </c>
      <c r="B60" s="5" t="s">
        <v>667</v>
      </c>
      <c r="C60" s="45" t="s">
        <v>63</v>
      </c>
      <c r="D60" s="5" t="s">
        <v>404</v>
      </c>
      <c r="E60" s="5">
        <v>14.51</v>
      </c>
      <c r="F60" s="5">
        <v>253.4</v>
      </c>
      <c r="G60" s="5">
        <v>267.91000000000003</v>
      </c>
      <c r="H60" s="5">
        <v>0.33</v>
      </c>
      <c r="I60" s="5">
        <v>0</v>
      </c>
      <c r="J60" s="5">
        <v>0</v>
      </c>
      <c r="K60" s="5">
        <v>253</v>
      </c>
      <c r="L60" s="5">
        <v>352.44</v>
      </c>
      <c r="M60" s="5">
        <v>65.290000000000006</v>
      </c>
      <c r="N60" s="5">
        <v>72.78</v>
      </c>
      <c r="O60" s="5">
        <v>43.26</v>
      </c>
      <c r="P60" s="4">
        <v>94422</v>
      </c>
      <c r="Q60" s="4">
        <v>5533</v>
      </c>
      <c r="R60" s="4">
        <v>99955</v>
      </c>
      <c r="S60" s="4">
        <v>15838</v>
      </c>
      <c r="T60" s="4">
        <v>0</v>
      </c>
      <c r="U60" s="4">
        <v>16518</v>
      </c>
      <c r="V60" s="4">
        <v>16518</v>
      </c>
      <c r="W60" s="4">
        <v>0</v>
      </c>
      <c r="X60" s="4">
        <v>18413</v>
      </c>
      <c r="Y60" s="4">
        <v>18413</v>
      </c>
      <c r="Z60" s="4">
        <v>116</v>
      </c>
      <c r="AA60" s="46">
        <v>12273</v>
      </c>
    </row>
    <row r="61" spans="1:27" x14ac:dyDescent="0.25">
      <c r="A61" s="44" t="s">
        <v>60</v>
      </c>
      <c r="B61" s="5" t="s">
        <v>667</v>
      </c>
      <c r="C61" s="45" t="s">
        <v>64</v>
      </c>
      <c r="D61" s="5" t="s">
        <v>405</v>
      </c>
      <c r="E61" s="5">
        <v>117.52</v>
      </c>
      <c r="F61" s="5">
        <v>794.2</v>
      </c>
      <c r="G61" s="5">
        <v>911.72</v>
      </c>
      <c r="H61" s="5">
        <v>1.1100000000000001</v>
      </c>
      <c r="I61" s="5">
        <v>20</v>
      </c>
      <c r="J61" s="5">
        <v>0</v>
      </c>
      <c r="K61" s="5">
        <v>814</v>
      </c>
      <c r="L61" s="5">
        <v>352.44</v>
      </c>
      <c r="M61" s="5">
        <v>65.290000000000006</v>
      </c>
      <c r="N61" s="5">
        <v>72.78</v>
      </c>
      <c r="O61" s="5">
        <v>43.26</v>
      </c>
      <c r="P61" s="4">
        <v>321327</v>
      </c>
      <c r="Q61" s="5">
        <v>0</v>
      </c>
      <c r="R61" s="4">
        <v>321327</v>
      </c>
      <c r="S61" s="4">
        <v>53897</v>
      </c>
      <c r="T61" s="4">
        <v>1306</v>
      </c>
      <c r="U61" s="4">
        <v>51840</v>
      </c>
      <c r="V61" s="4">
        <v>53146</v>
      </c>
      <c r="W61" s="4">
        <v>1456</v>
      </c>
      <c r="X61" s="4">
        <v>57787</v>
      </c>
      <c r="Y61" s="4">
        <v>59243</v>
      </c>
      <c r="Z61" s="4">
        <v>391</v>
      </c>
      <c r="AA61" s="46">
        <v>39441</v>
      </c>
    </row>
    <row r="62" spans="1:27" x14ac:dyDescent="0.25">
      <c r="A62" s="44" t="s">
        <v>60</v>
      </c>
      <c r="B62" s="5" t="s">
        <v>667</v>
      </c>
      <c r="C62" s="45" t="s">
        <v>65</v>
      </c>
      <c r="D62" s="5" t="s">
        <v>66</v>
      </c>
      <c r="E62" s="5">
        <v>64.569999999999993</v>
      </c>
      <c r="F62" s="5">
        <v>443</v>
      </c>
      <c r="G62" s="5">
        <v>507.57</v>
      </c>
      <c r="H62" s="5">
        <v>0.62</v>
      </c>
      <c r="I62" s="5">
        <v>4</v>
      </c>
      <c r="J62" s="5">
        <v>0</v>
      </c>
      <c r="K62" s="5">
        <v>447</v>
      </c>
      <c r="L62" s="5">
        <v>352.44</v>
      </c>
      <c r="M62" s="5">
        <v>65.290000000000006</v>
      </c>
      <c r="N62" s="5">
        <v>72.78</v>
      </c>
      <c r="O62" s="5">
        <v>43.26</v>
      </c>
      <c r="P62" s="4">
        <v>178888</v>
      </c>
      <c r="Q62" s="4">
        <v>7624</v>
      </c>
      <c r="R62" s="4">
        <v>186512</v>
      </c>
      <c r="S62" s="4">
        <v>30005</v>
      </c>
      <c r="T62" s="4">
        <v>261</v>
      </c>
      <c r="U62" s="4">
        <v>28924</v>
      </c>
      <c r="V62" s="4">
        <v>29185</v>
      </c>
      <c r="W62" s="4">
        <v>291</v>
      </c>
      <c r="X62" s="4">
        <v>32242</v>
      </c>
      <c r="Y62" s="4">
        <v>32533</v>
      </c>
      <c r="Z62" s="4">
        <v>219</v>
      </c>
      <c r="AA62" s="46">
        <v>21957</v>
      </c>
    </row>
    <row r="63" spans="1:27" x14ac:dyDescent="0.25">
      <c r="A63" s="44" t="s">
        <v>60</v>
      </c>
      <c r="B63" s="5" t="s">
        <v>667</v>
      </c>
      <c r="C63" s="45" t="s">
        <v>67</v>
      </c>
      <c r="D63" s="5" t="s">
        <v>406</v>
      </c>
      <c r="E63" s="5">
        <v>99.09</v>
      </c>
      <c r="F63" s="5">
        <v>705.4</v>
      </c>
      <c r="G63" s="5">
        <v>804.49</v>
      </c>
      <c r="H63" s="5">
        <v>0.98</v>
      </c>
      <c r="I63" s="5">
        <v>1</v>
      </c>
      <c r="J63" s="5">
        <v>0</v>
      </c>
      <c r="K63" s="5">
        <v>706</v>
      </c>
      <c r="L63" s="5">
        <v>352.44</v>
      </c>
      <c r="M63" s="5">
        <v>65.290000000000006</v>
      </c>
      <c r="N63" s="5">
        <v>72.78</v>
      </c>
      <c r="O63" s="5">
        <v>43.26</v>
      </c>
      <c r="P63" s="4">
        <v>283534</v>
      </c>
      <c r="Q63" s="4">
        <v>5664</v>
      </c>
      <c r="R63" s="4">
        <v>289198</v>
      </c>
      <c r="S63" s="4">
        <v>47558</v>
      </c>
      <c r="T63" s="4">
        <v>65</v>
      </c>
      <c r="U63" s="4">
        <v>46030</v>
      </c>
      <c r="V63" s="4">
        <v>46095</v>
      </c>
      <c r="W63" s="4">
        <v>73</v>
      </c>
      <c r="X63" s="4">
        <v>51310</v>
      </c>
      <c r="Y63" s="4">
        <v>51383</v>
      </c>
      <c r="Z63" s="4">
        <v>345</v>
      </c>
      <c r="AA63" s="46">
        <v>35614</v>
      </c>
    </row>
    <row r="64" spans="1:27" x14ac:dyDescent="0.25">
      <c r="A64" s="44" t="s">
        <v>60</v>
      </c>
      <c r="B64" s="5" t="s">
        <v>667</v>
      </c>
      <c r="C64" s="45" t="s">
        <v>68</v>
      </c>
      <c r="D64" s="5" t="s">
        <v>407</v>
      </c>
      <c r="E64" s="5">
        <v>77.599999999999994</v>
      </c>
      <c r="F64" s="5">
        <v>518.4</v>
      </c>
      <c r="G64" s="5">
        <v>596</v>
      </c>
      <c r="H64" s="5">
        <v>0.73</v>
      </c>
      <c r="I64" s="5">
        <v>0</v>
      </c>
      <c r="J64" s="5">
        <v>0</v>
      </c>
      <c r="K64" s="5">
        <v>518</v>
      </c>
      <c r="L64" s="5">
        <v>352.44</v>
      </c>
      <c r="M64" s="5">
        <v>65.290000000000006</v>
      </c>
      <c r="N64" s="5">
        <v>72.78</v>
      </c>
      <c r="O64" s="5">
        <v>43.26</v>
      </c>
      <c r="P64" s="4">
        <v>210054</v>
      </c>
      <c r="Q64" s="5">
        <v>0</v>
      </c>
      <c r="R64" s="4">
        <v>210054</v>
      </c>
      <c r="S64" s="4">
        <v>35233</v>
      </c>
      <c r="T64" s="4">
        <v>0</v>
      </c>
      <c r="U64" s="4">
        <v>33820</v>
      </c>
      <c r="V64" s="4">
        <v>33820</v>
      </c>
      <c r="W64" s="4">
        <v>0</v>
      </c>
      <c r="X64" s="4">
        <v>37700</v>
      </c>
      <c r="Y64" s="4">
        <v>37700</v>
      </c>
      <c r="Z64" s="4">
        <v>257</v>
      </c>
      <c r="AA64" s="46">
        <v>25783</v>
      </c>
    </row>
    <row r="65" spans="1:27" x14ac:dyDescent="0.25">
      <c r="A65" s="44" t="s">
        <v>60</v>
      </c>
      <c r="B65" s="5" t="s">
        <v>667</v>
      </c>
      <c r="C65" s="45" t="s">
        <v>69</v>
      </c>
      <c r="D65" s="5" t="s">
        <v>70</v>
      </c>
      <c r="E65" s="5">
        <v>51.76</v>
      </c>
      <c r="F65" s="5">
        <v>277.10000000000002</v>
      </c>
      <c r="G65" s="5">
        <v>328.86</v>
      </c>
      <c r="H65" s="5">
        <v>0.4</v>
      </c>
      <c r="I65" s="5">
        <v>24</v>
      </c>
      <c r="J65" s="5">
        <v>0.5</v>
      </c>
      <c r="K65" s="5">
        <v>301</v>
      </c>
      <c r="L65" s="5">
        <v>352.44</v>
      </c>
      <c r="M65" s="5">
        <v>65.290000000000006</v>
      </c>
      <c r="N65" s="5">
        <v>72.78</v>
      </c>
      <c r="O65" s="5">
        <v>43.26</v>
      </c>
      <c r="P65" s="4">
        <v>115903</v>
      </c>
      <c r="Q65" s="5">
        <v>0</v>
      </c>
      <c r="R65" s="4">
        <v>115903</v>
      </c>
      <c r="S65" s="4">
        <v>19440</v>
      </c>
      <c r="T65" s="4">
        <v>1567</v>
      </c>
      <c r="U65" s="4">
        <v>18085</v>
      </c>
      <c r="V65" s="4">
        <v>19652</v>
      </c>
      <c r="W65" s="4">
        <v>1747</v>
      </c>
      <c r="X65" s="4">
        <v>20160</v>
      </c>
      <c r="Y65" s="4">
        <v>21907</v>
      </c>
      <c r="Z65" s="4">
        <v>141</v>
      </c>
      <c r="AA65" s="46">
        <v>14226</v>
      </c>
    </row>
    <row r="66" spans="1:27" x14ac:dyDescent="0.25">
      <c r="A66" s="44" t="s">
        <v>60</v>
      </c>
      <c r="B66" s="5" t="s">
        <v>667</v>
      </c>
      <c r="C66" s="47" t="s">
        <v>71</v>
      </c>
      <c r="D66" s="5" t="s">
        <v>408</v>
      </c>
      <c r="E66" s="5">
        <v>806.39</v>
      </c>
      <c r="F66" s="35">
        <v>5464.8</v>
      </c>
      <c r="G66" s="35">
        <v>6271.19</v>
      </c>
      <c r="H66" s="5">
        <v>7.66</v>
      </c>
      <c r="I66" s="5">
        <v>387</v>
      </c>
      <c r="J66" s="5">
        <v>2.6</v>
      </c>
      <c r="K66" s="4">
        <v>5849</v>
      </c>
      <c r="L66" s="5">
        <v>352.44</v>
      </c>
      <c r="M66" s="5">
        <v>65.290000000000006</v>
      </c>
      <c r="N66" s="5">
        <v>72.78</v>
      </c>
      <c r="O66" s="5">
        <v>43.26</v>
      </c>
      <c r="P66" s="4">
        <v>2210218</v>
      </c>
      <c r="Q66" s="5">
        <v>0</v>
      </c>
      <c r="R66" s="4">
        <v>2210218</v>
      </c>
      <c r="S66" s="4">
        <v>370720</v>
      </c>
      <c r="T66" s="4">
        <v>25267</v>
      </c>
      <c r="U66" s="4">
        <v>356614</v>
      </c>
      <c r="V66" s="4">
        <v>381881</v>
      </c>
      <c r="W66" s="4">
        <v>28166</v>
      </c>
      <c r="X66" s="4">
        <v>397524</v>
      </c>
      <c r="Y66" s="4">
        <v>425690</v>
      </c>
      <c r="Z66" s="4">
        <v>2700</v>
      </c>
      <c r="AA66" s="46">
        <v>271292</v>
      </c>
    </row>
    <row r="67" spans="1:27" x14ac:dyDescent="0.25">
      <c r="A67" s="44" t="s">
        <v>60</v>
      </c>
      <c r="B67" s="5" t="s">
        <v>667</v>
      </c>
      <c r="C67" s="47" t="s">
        <v>72</v>
      </c>
      <c r="D67" s="5" t="s">
        <v>409</v>
      </c>
      <c r="E67" s="5">
        <v>110.39</v>
      </c>
      <c r="F67" s="5">
        <v>766.6</v>
      </c>
      <c r="G67" s="5">
        <v>876.99</v>
      </c>
      <c r="H67" s="5">
        <v>1.07</v>
      </c>
      <c r="I67" s="5">
        <v>45</v>
      </c>
      <c r="J67" s="5">
        <v>0</v>
      </c>
      <c r="K67" s="5">
        <v>812</v>
      </c>
      <c r="L67" s="5">
        <v>352.44</v>
      </c>
      <c r="M67" s="5">
        <v>65.290000000000006</v>
      </c>
      <c r="N67" s="5">
        <v>72.78</v>
      </c>
      <c r="O67" s="5">
        <v>43.26</v>
      </c>
      <c r="P67" s="4">
        <v>309086</v>
      </c>
      <c r="Q67" s="5">
        <v>549</v>
      </c>
      <c r="R67" s="4">
        <v>309635</v>
      </c>
      <c r="S67" s="4">
        <v>51843</v>
      </c>
      <c r="T67" s="4">
        <v>2938</v>
      </c>
      <c r="U67" s="4">
        <v>50077</v>
      </c>
      <c r="V67" s="4">
        <v>53015</v>
      </c>
      <c r="W67" s="4">
        <v>3275</v>
      </c>
      <c r="X67" s="4">
        <v>55822</v>
      </c>
      <c r="Y67" s="4">
        <v>59097</v>
      </c>
      <c r="Z67" s="4">
        <v>377</v>
      </c>
      <c r="AA67" s="46">
        <v>37939</v>
      </c>
    </row>
    <row r="68" spans="1:27" x14ac:dyDescent="0.25">
      <c r="A68" s="44" t="s">
        <v>60</v>
      </c>
      <c r="B68" s="5" t="s">
        <v>667</v>
      </c>
      <c r="C68" s="47" t="s">
        <v>73</v>
      </c>
      <c r="D68" s="5" t="s">
        <v>410</v>
      </c>
      <c r="E68" s="5">
        <v>297.27</v>
      </c>
      <c r="F68" s="35">
        <v>1420.8</v>
      </c>
      <c r="G68" s="35">
        <v>1718.07</v>
      </c>
      <c r="H68" s="5">
        <v>2.1</v>
      </c>
      <c r="I68" s="5">
        <v>229</v>
      </c>
      <c r="J68" s="5">
        <v>2.7</v>
      </c>
      <c r="K68" s="4">
        <v>1647</v>
      </c>
      <c r="L68" s="5">
        <v>352.44</v>
      </c>
      <c r="M68" s="5">
        <v>65.290000000000006</v>
      </c>
      <c r="N68" s="5">
        <v>72.78</v>
      </c>
      <c r="O68" s="5">
        <v>43.26</v>
      </c>
      <c r="P68" s="4">
        <v>605517</v>
      </c>
      <c r="Q68" s="4">
        <v>8248</v>
      </c>
      <c r="R68" s="4">
        <v>613765</v>
      </c>
      <c r="S68" s="4">
        <v>101564</v>
      </c>
      <c r="T68" s="4">
        <v>14951</v>
      </c>
      <c r="U68" s="4">
        <v>92582</v>
      </c>
      <c r="V68" s="4">
        <v>107533</v>
      </c>
      <c r="W68" s="4">
        <v>16667</v>
      </c>
      <c r="X68" s="4">
        <v>103202</v>
      </c>
      <c r="Y68" s="4">
        <v>119869</v>
      </c>
      <c r="Z68" s="4">
        <v>740</v>
      </c>
      <c r="AA68" s="46">
        <v>75584</v>
      </c>
    </row>
    <row r="69" spans="1:27" x14ac:dyDescent="0.25">
      <c r="A69" s="44" t="s">
        <v>60</v>
      </c>
      <c r="B69" s="5" t="s">
        <v>667</v>
      </c>
      <c r="C69" s="47" t="s">
        <v>74</v>
      </c>
      <c r="D69" s="5" t="s">
        <v>411</v>
      </c>
      <c r="E69" s="5">
        <v>56.79</v>
      </c>
      <c r="F69" s="5">
        <v>272.60000000000002</v>
      </c>
      <c r="G69" s="5">
        <v>329.39</v>
      </c>
      <c r="H69" s="5">
        <v>0.4</v>
      </c>
      <c r="I69" s="5">
        <v>5</v>
      </c>
      <c r="J69" s="5">
        <v>0</v>
      </c>
      <c r="K69" s="5">
        <v>278</v>
      </c>
      <c r="L69" s="5">
        <v>352.44</v>
      </c>
      <c r="M69" s="5">
        <v>65.290000000000006</v>
      </c>
      <c r="N69" s="5">
        <v>72.78</v>
      </c>
      <c r="O69" s="5">
        <v>43.26</v>
      </c>
      <c r="P69" s="4">
        <v>116090</v>
      </c>
      <c r="Q69" s="4">
        <v>1704</v>
      </c>
      <c r="R69" s="4">
        <v>117794</v>
      </c>
      <c r="S69" s="4">
        <v>19471</v>
      </c>
      <c r="T69" s="4">
        <v>326</v>
      </c>
      <c r="U69" s="4">
        <v>17825</v>
      </c>
      <c r="V69" s="4">
        <v>18151</v>
      </c>
      <c r="W69" s="4">
        <v>364</v>
      </c>
      <c r="X69" s="4">
        <v>19869</v>
      </c>
      <c r="Y69" s="4">
        <v>20233</v>
      </c>
      <c r="Z69" s="4">
        <v>141</v>
      </c>
      <c r="AA69" s="46">
        <v>14249</v>
      </c>
    </row>
    <row r="70" spans="1:27" x14ac:dyDescent="0.25">
      <c r="A70" s="44" t="s">
        <v>60</v>
      </c>
      <c r="B70" s="5" t="s">
        <v>667</v>
      </c>
      <c r="C70" s="47" t="s">
        <v>75</v>
      </c>
      <c r="D70" s="5" t="s">
        <v>412</v>
      </c>
      <c r="E70" s="5">
        <v>151.72</v>
      </c>
      <c r="F70" s="35">
        <v>1140.4000000000001</v>
      </c>
      <c r="G70" s="35">
        <v>1292.1199999999999</v>
      </c>
      <c r="H70" s="5">
        <v>1.58</v>
      </c>
      <c r="I70" s="5">
        <v>49</v>
      </c>
      <c r="J70" s="5">
        <v>0</v>
      </c>
      <c r="K70" s="4">
        <v>1189</v>
      </c>
      <c r="L70" s="5">
        <v>352.44</v>
      </c>
      <c r="M70" s="5">
        <v>65.290000000000006</v>
      </c>
      <c r="N70" s="5">
        <v>72.78</v>
      </c>
      <c r="O70" s="5">
        <v>43.26</v>
      </c>
      <c r="P70" s="4">
        <v>455395</v>
      </c>
      <c r="Q70" s="5">
        <v>30</v>
      </c>
      <c r="R70" s="4">
        <v>455425</v>
      </c>
      <c r="S70" s="4">
        <v>76383</v>
      </c>
      <c r="T70" s="4">
        <v>3199</v>
      </c>
      <c r="U70" s="4">
        <v>74431</v>
      </c>
      <c r="V70" s="4">
        <v>77630</v>
      </c>
      <c r="W70" s="4">
        <v>3566</v>
      </c>
      <c r="X70" s="4">
        <v>82969</v>
      </c>
      <c r="Y70" s="4">
        <v>86535</v>
      </c>
      <c r="Z70" s="4">
        <v>557</v>
      </c>
      <c r="AA70" s="46">
        <v>55897</v>
      </c>
    </row>
    <row r="71" spans="1:27" x14ac:dyDescent="0.25">
      <c r="A71" s="44" t="s">
        <v>60</v>
      </c>
      <c r="B71" s="5" t="s">
        <v>667</v>
      </c>
      <c r="C71" s="47" t="s">
        <v>76</v>
      </c>
      <c r="D71" s="5" t="s">
        <v>413</v>
      </c>
      <c r="E71" s="5">
        <v>79.819999999999993</v>
      </c>
      <c r="F71" s="5">
        <v>872.2</v>
      </c>
      <c r="G71" s="5">
        <v>952.02</v>
      </c>
      <c r="H71" s="5">
        <v>1.1599999999999999</v>
      </c>
      <c r="I71" s="5">
        <v>14</v>
      </c>
      <c r="J71" s="5">
        <v>0</v>
      </c>
      <c r="K71" s="5">
        <v>886</v>
      </c>
      <c r="L71" s="5">
        <v>352.44</v>
      </c>
      <c r="M71" s="5">
        <v>65.290000000000006</v>
      </c>
      <c r="N71" s="5">
        <v>72.78</v>
      </c>
      <c r="O71" s="5">
        <v>43.26</v>
      </c>
      <c r="P71" s="4">
        <v>335530</v>
      </c>
      <c r="Q71" s="5">
        <v>0</v>
      </c>
      <c r="R71" s="4">
        <v>335530</v>
      </c>
      <c r="S71" s="4">
        <v>56278</v>
      </c>
      <c r="T71" s="4">
        <v>914</v>
      </c>
      <c r="U71" s="4">
        <v>56933</v>
      </c>
      <c r="V71" s="4">
        <v>57847</v>
      </c>
      <c r="W71" s="4">
        <v>1019</v>
      </c>
      <c r="X71" s="4">
        <v>63464</v>
      </c>
      <c r="Y71" s="4">
        <v>64483</v>
      </c>
      <c r="Z71" s="4">
        <v>409</v>
      </c>
      <c r="AA71" s="46">
        <v>41184</v>
      </c>
    </row>
    <row r="72" spans="1:27" x14ac:dyDescent="0.25">
      <c r="A72" s="44" t="s">
        <v>60</v>
      </c>
      <c r="B72" s="5" t="s">
        <v>667</v>
      </c>
      <c r="C72" s="47" t="s">
        <v>77</v>
      </c>
      <c r="D72" s="5" t="s">
        <v>414</v>
      </c>
      <c r="E72" s="5">
        <v>115.75</v>
      </c>
      <c r="F72" s="5">
        <v>851.6</v>
      </c>
      <c r="G72" s="5">
        <v>967.35</v>
      </c>
      <c r="H72" s="5">
        <v>1.18</v>
      </c>
      <c r="I72" s="5">
        <v>12</v>
      </c>
      <c r="J72" s="5">
        <v>0</v>
      </c>
      <c r="K72" s="5">
        <v>864</v>
      </c>
      <c r="L72" s="5">
        <v>352.44</v>
      </c>
      <c r="M72" s="5">
        <v>65.290000000000006</v>
      </c>
      <c r="N72" s="5">
        <v>72.78</v>
      </c>
      <c r="O72" s="5">
        <v>43.26</v>
      </c>
      <c r="P72" s="4">
        <v>340933</v>
      </c>
      <c r="Q72" s="5">
        <v>178</v>
      </c>
      <c r="R72" s="4">
        <v>341111</v>
      </c>
      <c r="S72" s="4">
        <v>57184</v>
      </c>
      <c r="T72" s="4">
        <v>783</v>
      </c>
      <c r="U72" s="4">
        <v>55628</v>
      </c>
      <c r="V72" s="4">
        <v>56411</v>
      </c>
      <c r="W72" s="4">
        <v>873</v>
      </c>
      <c r="X72" s="4">
        <v>62009</v>
      </c>
      <c r="Y72" s="4">
        <v>62882</v>
      </c>
      <c r="Z72" s="4">
        <v>416</v>
      </c>
      <c r="AA72" s="46">
        <v>42007</v>
      </c>
    </row>
    <row r="73" spans="1:27" x14ac:dyDescent="0.25">
      <c r="A73" s="44" t="s">
        <v>60</v>
      </c>
      <c r="B73" s="5" t="s">
        <v>667</v>
      </c>
      <c r="C73" s="47" t="s">
        <v>78</v>
      </c>
      <c r="D73" s="5" t="s">
        <v>415</v>
      </c>
      <c r="E73" s="5">
        <v>55.32</v>
      </c>
      <c r="F73" s="5">
        <v>344.5</v>
      </c>
      <c r="G73" s="5">
        <v>399.82</v>
      </c>
      <c r="H73" s="5">
        <v>0.49</v>
      </c>
      <c r="I73" s="5">
        <v>16</v>
      </c>
      <c r="J73" s="5">
        <v>0</v>
      </c>
      <c r="K73" s="5">
        <v>361</v>
      </c>
      <c r="L73" s="5">
        <v>352.44</v>
      </c>
      <c r="M73" s="5">
        <v>65.290000000000006</v>
      </c>
      <c r="N73" s="5">
        <v>72.78</v>
      </c>
      <c r="O73" s="5">
        <v>43.26</v>
      </c>
      <c r="P73" s="4">
        <v>140913</v>
      </c>
      <c r="Q73" s="4">
        <v>12769</v>
      </c>
      <c r="R73" s="4">
        <v>153682</v>
      </c>
      <c r="S73" s="4">
        <v>23635</v>
      </c>
      <c r="T73" s="4">
        <v>1045</v>
      </c>
      <c r="U73" s="4">
        <v>22525</v>
      </c>
      <c r="V73" s="4">
        <v>23570</v>
      </c>
      <c r="W73" s="4">
        <v>1164</v>
      </c>
      <c r="X73" s="4">
        <v>25110</v>
      </c>
      <c r="Y73" s="4">
        <v>26274</v>
      </c>
      <c r="Z73" s="4">
        <v>173</v>
      </c>
      <c r="AA73" s="46">
        <v>17626</v>
      </c>
    </row>
    <row r="74" spans="1:27" x14ac:dyDescent="0.25">
      <c r="A74" s="44" t="s">
        <v>60</v>
      </c>
      <c r="B74" s="5" t="s">
        <v>667</v>
      </c>
      <c r="C74" s="47" t="s">
        <v>79</v>
      </c>
      <c r="D74" s="5" t="s">
        <v>416</v>
      </c>
      <c r="E74" s="5">
        <v>61.93</v>
      </c>
      <c r="F74" s="5">
        <v>509.2</v>
      </c>
      <c r="G74" s="5">
        <v>571.13</v>
      </c>
      <c r="H74" s="5">
        <v>0.7</v>
      </c>
      <c r="I74" s="5">
        <v>7</v>
      </c>
      <c r="J74" s="5">
        <v>0</v>
      </c>
      <c r="K74" s="5">
        <v>516</v>
      </c>
      <c r="L74" s="5">
        <v>352.44</v>
      </c>
      <c r="M74" s="5">
        <v>65.290000000000006</v>
      </c>
      <c r="N74" s="5">
        <v>72.78</v>
      </c>
      <c r="O74" s="5">
        <v>43.26</v>
      </c>
      <c r="P74" s="4">
        <v>201289</v>
      </c>
      <c r="Q74" s="4">
        <v>13471</v>
      </c>
      <c r="R74" s="4">
        <v>214760</v>
      </c>
      <c r="S74" s="4">
        <v>33762</v>
      </c>
      <c r="T74" s="4">
        <v>457</v>
      </c>
      <c r="U74" s="4">
        <v>33233</v>
      </c>
      <c r="V74" s="4">
        <v>33690</v>
      </c>
      <c r="W74" s="4">
        <v>509</v>
      </c>
      <c r="X74" s="4">
        <v>37045</v>
      </c>
      <c r="Y74" s="4">
        <v>37554</v>
      </c>
      <c r="Z74" s="4">
        <v>247</v>
      </c>
      <c r="AA74" s="46">
        <v>26401</v>
      </c>
    </row>
    <row r="75" spans="1:27" x14ac:dyDescent="0.25">
      <c r="A75" s="44" t="s">
        <v>60</v>
      </c>
      <c r="B75" s="5" t="s">
        <v>667</v>
      </c>
      <c r="C75" s="47" t="s">
        <v>80</v>
      </c>
      <c r="D75" s="5" t="s">
        <v>417</v>
      </c>
      <c r="E75" s="5">
        <v>78.19</v>
      </c>
      <c r="F75" s="5">
        <v>489.2</v>
      </c>
      <c r="G75" s="5">
        <v>567.39</v>
      </c>
      <c r="H75" s="5">
        <v>0.69</v>
      </c>
      <c r="I75" s="5">
        <v>15</v>
      </c>
      <c r="J75" s="5">
        <v>0</v>
      </c>
      <c r="K75" s="5">
        <v>504</v>
      </c>
      <c r="L75" s="5">
        <v>352.44</v>
      </c>
      <c r="M75" s="5">
        <v>65.290000000000006</v>
      </c>
      <c r="N75" s="5">
        <v>72.78</v>
      </c>
      <c r="O75" s="5">
        <v>43.26</v>
      </c>
      <c r="P75" s="4">
        <v>199971</v>
      </c>
      <c r="Q75" s="4">
        <v>15632</v>
      </c>
      <c r="R75" s="4">
        <v>215603</v>
      </c>
      <c r="S75" s="4">
        <v>33541</v>
      </c>
      <c r="T75" s="4">
        <v>979</v>
      </c>
      <c r="U75" s="4">
        <v>31927</v>
      </c>
      <c r="V75" s="4">
        <v>32906</v>
      </c>
      <c r="W75" s="4">
        <v>1092</v>
      </c>
      <c r="X75" s="4">
        <v>35589</v>
      </c>
      <c r="Y75" s="4">
        <v>36681</v>
      </c>
      <c r="Z75" s="4">
        <v>243</v>
      </c>
      <c r="AA75" s="46">
        <v>24960</v>
      </c>
    </row>
    <row r="76" spans="1:27" x14ac:dyDescent="0.25">
      <c r="A76" s="44" t="s">
        <v>60</v>
      </c>
      <c r="B76" s="5" t="s">
        <v>667</v>
      </c>
      <c r="C76" s="47" t="s">
        <v>81</v>
      </c>
      <c r="D76" s="5" t="s">
        <v>418</v>
      </c>
      <c r="E76" s="5">
        <v>84.49</v>
      </c>
      <c r="F76" s="5">
        <v>528.79999999999995</v>
      </c>
      <c r="G76" s="5">
        <v>613.29</v>
      </c>
      <c r="H76" s="5">
        <v>0.75</v>
      </c>
      <c r="I76" s="5">
        <v>9</v>
      </c>
      <c r="J76" s="5">
        <v>0</v>
      </c>
      <c r="K76" s="5">
        <v>538</v>
      </c>
      <c r="L76" s="5">
        <v>352.44</v>
      </c>
      <c r="M76" s="5">
        <v>65.290000000000006</v>
      </c>
      <c r="N76" s="5">
        <v>72.78</v>
      </c>
      <c r="O76" s="5">
        <v>43.26</v>
      </c>
      <c r="P76" s="4">
        <v>216148</v>
      </c>
      <c r="Q76" s="4">
        <v>19353</v>
      </c>
      <c r="R76" s="4">
        <v>235501</v>
      </c>
      <c r="S76" s="4">
        <v>36254</v>
      </c>
      <c r="T76" s="4">
        <v>588</v>
      </c>
      <c r="U76" s="4">
        <v>34538</v>
      </c>
      <c r="V76" s="4">
        <v>35126</v>
      </c>
      <c r="W76" s="4">
        <v>655</v>
      </c>
      <c r="X76" s="4">
        <v>38501</v>
      </c>
      <c r="Y76" s="4">
        <v>39156</v>
      </c>
      <c r="Z76" s="4">
        <v>264</v>
      </c>
      <c r="AA76" s="46">
        <v>27421</v>
      </c>
    </row>
    <row r="77" spans="1:27" x14ac:dyDescent="0.25">
      <c r="A77" s="44" t="s">
        <v>60</v>
      </c>
      <c r="B77" s="5" t="s">
        <v>667</v>
      </c>
      <c r="C77" s="47" t="s">
        <v>82</v>
      </c>
      <c r="D77" s="5" t="s">
        <v>419</v>
      </c>
      <c r="E77" s="5">
        <v>168.58</v>
      </c>
      <c r="F77" s="35">
        <v>1018.8</v>
      </c>
      <c r="G77" s="35">
        <v>1187.3800000000001</v>
      </c>
      <c r="H77" s="5">
        <v>1.45</v>
      </c>
      <c r="I77" s="5">
        <v>31</v>
      </c>
      <c r="J77" s="5">
        <v>0</v>
      </c>
      <c r="K77" s="4">
        <v>1050</v>
      </c>
      <c r="L77" s="5">
        <v>352.44</v>
      </c>
      <c r="M77" s="5">
        <v>65.290000000000006</v>
      </c>
      <c r="N77" s="5">
        <v>72.78</v>
      </c>
      <c r="O77" s="5">
        <v>43.26</v>
      </c>
      <c r="P77" s="4">
        <v>418480</v>
      </c>
      <c r="Q77" s="4">
        <v>4849</v>
      </c>
      <c r="R77" s="4">
        <v>423329</v>
      </c>
      <c r="S77" s="4">
        <v>70192</v>
      </c>
      <c r="T77" s="4">
        <v>2024</v>
      </c>
      <c r="U77" s="4">
        <v>66531</v>
      </c>
      <c r="V77" s="4">
        <v>68555</v>
      </c>
      <c r="W77" s="4">
        <v>2256</v>
      </c>
      <c r="X77" s="4">
        <v>74163</v>
      </c>
      <c r="Y77" s="4">
        <v>76419</v>
      </c>
      <c r="Z77" s="4">
        <v>511</v>
      </c>
      <c r="AA77" s="46">
        <v>52132</v>
      </c>
    </row>
    <row r="78" spans="1:27" x14ac:dyDescent="0.25">
      <c r="A78" s="44" t="s">
        <v>60</v>
      </c>
      <c r="B78" s="5" t="s">
        <v>667</v>
      </c>
      <c r="C78" s="47" t="s">
        <v>85</v>
      </c>
      <c r="D78" s="5" t="s">
        <v>86</v>
      </c>
      <c r="E78" s="5">
        <v>36.630000000000003</v>
      </c>
      <c r="F78" s="5">
        <v>249.3</v>
      </c>
      <c r="G78" s="5">
        <v>285.93</v>
      </c>
      <c r="H78" s="5">
        <v>0.35</v>
      </c>
      <c r="I78" s="5">
        <v>2</v>
      </c>
      <c r="J78" s="5">
        <v>0</v>
      </c>
      <c r="K78" s="5">
        <v>251</v>
      </c>
      <c r="L78" s="5">
        <v>352.44</v>
      </c>
      <c r="M78" s="5">
        <v>65.290000000000006</v>
      </c>
      <c r="N78" s="5">
        <v>72.78</v>
      </c>
      <c r="O78" s="5">
        <v>43.26</v>
      </c>
      <c r="P78" s="4">
        <v>100773</v>
      </c>
      <c r="Q78" s="4">
        <v>4602</v>
      </c>
      <c r="R78" s="4">
        <v>105375</v>
      </c>
      <c r="S78" s="4">
        <v>16903</v>
      </c>
      <c r="T78" s="4">
        <v>131</v>
      </c>
      <c r="U78" s="4">
        <v>16257</v>
      </c>
      <c r="V78" s="4">
        <v>16388</v>
      </c>
      <c r="W78" s="4">
        <v>146</v>
      </c>
      <c r="X78" s="4">
        <v>18122</v>
      </c>
      <c r="Y78" s="4">
        <v>18268</v>
      </c>
      <c r="Z78" s="4">
        <v>123</v>
      </c>
      <c r="AA78" s="46">
        <v>12369</v>
      </c>
    </row>
    <row r="79" spans="1:27" x14ac:dyDescent="0.25">
      <c r="A79" s="44" t="s">
        <v>60</v>
      </c>
      <c r="B79" s="5" t="s">
        <v>667</v>
      </c>
      <c r="C79" s="47" t="s">
        <v>83</v>
      </c>
      <c r="D79" s="5" t="s">
        <v>420</v>
      </c>
      <c r="E79" s="5">
        <v>94.61</v>
      </c>
      <c r="F79" s="5">
        <v>824.3</v>
      </c>
      <c r="G79" s="5">
        <v>918.91</v>
      </c>
      <c r="H79" s="5">
        <v>1.1200000000000001</v>
      </c>
      <c r="I79" s="5">
        <v>46</v>
      </c>
      <c r="J79" s="5">
        <v>0</v>
      </c>
      <c r="K79" s="5">
        <v>870</v>
      </c>
      <c r="L79" s="5">
        <v>352.44</v>
      </c>
      <c r="M79" s="5">
        <v>65.290000000000006</v>
      </c>
      <c r="N79" s="5">
        <v>72.78</v>
      </c>
      <c r="O79" s="5">
        <v>43.26</v>
      </c>
      <c r="P79" s="4">
        <v>323861</v>
      </c>
      <c r="Q79" s="4">
        <v>12289</v>
      </c>
      <c r="R79" s="4">
        <v>336150</v>
      </c>
      <c r="S79" s="4">
        <v>54322</v>
      </c>
      <c r="T79" s="4">
        <v>3003</v>
      </c>
      <c r="U79" s="4">
        <v>53799</v>
      </c>
      <c r="V79" s="4">
        <v>56802</v>
      </c>
      <c r="W79" s="4">
        <v>3348</v>
      </c>
      <c r="X79" s="4">
        <v>59971</v>
      </c>
      <c r="Y79" s="4">
        <v>63319</v>
      </c>
      <c r="Z79" s="4">
        <v>395</v>
      </c>
      <c r="AA79" s="46">
        <v>39808</v>
      </c>
    </row>
    <row r="80" spans="1:27" x14ac:dyDescent="0.25">
      <c r="A80" s="44" t="s">
        <v>60</v>
      </c>
      <c r="B80" s="5" t="s">
        <v>667</v>
      </c>
      <c r="C80" s="47" t="s">
        <v>84</v>
      </c>
      <c r="D80" s="5" t="s">
        <v>421</v>
      </c>
      <c r="E80" s="5">
        <v>86.74</v>
      </c>
      <c r="F80" s="5">
        <v>615.5</v>
      </c>
      <c r="G80" s="5">
        <v>702.24</v>
      </c>
      <c r="H80" s="5">
        <v>0.86</v>
      </c>
      <c r="I80" s="5">
        <v>4</v>
      </c>
      <c r="J80" s="5">
        <v>0</v>
      </c>
      <c r="K80" s="5">
        <v>620</v>
      </c>
      <c r="L80" s="5">
        <v>352.44</v>
      </c>
      <c r="M80" s="5">
        <v>65.290000000000006</v>
      </c>
      <c r="N80" s="5">
        <v>72.78</v>
      </c>
      <c r="O80" s="5">
        <v>43.26</v>
      </c>
      <c r="P80" s="4">
        <v>247497</v>
      </c>
      <c r="Q80" s="5">
        <v>0</v>
      </c>
      <c r="R80" s="4">
        <v>247497</v>
      </c>
      <c r="S80" s="4">
        <v>41513</v>
      </c>
      <c r="T80" s="4">
        <v>261</v>
      </c>
      <c r="U80" s="4">
        <v>40219</v>
      </c>
      <c r="V80" s="4">
        <v>40480</v>
      </c>
      <c r="W80" s="4">
        <v>291</v>
      </c>
      <c r="X80" s="4">
        <v>44833</v>
      </c>
      <c r="Y80" s="4">
        <v>45124</v>
      </c>
      <c r="Z80" s="4">
        <v>303</v>
      </c>
      <c r="AA80" s="46">
        <v>30379</v>
      </c>
    </row>
    <row r="81" spans="1:27" x14ac:dyDescent="0.25">
      <c r="A81" s="44" t="s">
        <v>60</v>
      </c>
      <c r="B81" s="5" t="s">
        <v>667</v>
      </c>
      <c r="C81" s="47" t="s">
        <v>87</v>
      </c>
      <c r="D81" s="5" t="s">
        <v>422</v>
      </c>
      <c r="E81" s="5">
        <v>221.69</v>
      </c>
      <c r="F81" s="35">
        <v>1502.2</v>
      </c>
      <c r="G81" s="35">
        <v>1723.89</v>
      </c>
      <c r="H81" s="5">
        <v>2.11</v>
      </c>
      <c r="I81" s="5">
        <v>69</v>
      </c>
      <c r="J81" s="5">
        <v>0</v>
      </c>
      <c r="K81" s="4">
        <v>1571</v>
      </c>
      <c r="L81" s="5">
        <v>352.44</v>
      </c>
      <c r="M81" s="5">
        <v>65.290000000000006</v>
      </c>
      <c r="N81" s="5">
        <v>72.78</v>
      </c>
      <c r="O81" s="5">
        <v>43.26</v>
      </c>
      <c r="P81" s="4">
        <v>607568</v>
      </c>
      <c r="Q81" s="5">
        <v>0</v>
      </c>
      <c r="R81" s="4">
        <v>607568</v>
      </c>
      <c r="S81" s="4">
        <v>101907</v>
      </c>
      <c r="T81" s="4">
        <v>4505</v>
      </c>
      <c r="U81" s="4">
        <v>98066</v>
      </c>
      <c r="V81" s="4">
        <v>102571</v>
      </c>
      <c r="W81" s="4">
        <v>5022</v>
      </c>
      <c r="X81" s="4">
        <v>109315</v>
      </c>
      <c r="Y81" s="4">
        <v>114337</v>
      </c>
      <c r="Z81" s="4">
        <v>744</v>
      </c>
      <c r="AA81" s="46">
        <v>74575</v>
      </c>
    </row>
    <row r="82" spans="1:27" x14ac:dyDescent="0.25">
      <c r="A82" s="44" t="s">
        <v>60</v>
      </c>
      <c r="B82" s="5" t="s">
        <v>667</v>
      </c>
      <c r="C82" s="47" t="s">
        <v>88</v>
      </c>
      <c r="D82" s="5" t="s">
        <v>423</v>
      </c>
      <c r="E82" s="5">
        <v>78.5</v>
      </c>
      <c r="F82" s="5">
        <v>681</v>
      </c>
      <c r="G82" s="5">
        <v>759.5</v>
      </c>
      <c r="H82" s="5">
        <v>0.93</v>
      </c>
      <c r="I82" s="5">
        <v>10</v>
      </c>
      <c r="J82" s="5">
        <v>0</v>
      </c>
      <c r="K82" s="5">
        <v>691</v>
      </c>
      <c r="L82" s="5">
        <v>352.44</v>
      </c>
      <c r="M82" s="5">
        <v>65.290000000000006</v>
      </c>
      <c r="N82" s="5">
        <v>72.78</v>
      </c>
      <c r="O82" s="5">
        <v>43.26</v>
      </c>
      <c r="P82" s="4">
        <v>267678</v>
      </c>
      <c r="Q82" s="5">
        <v>0</v>
      </c>
      <c r="R82" s="4">
        <v>267678</v>
      </c>
      <c r="S82" s="4">
        <v>44898</v>
      </c>
      <c r="T82" s="4">
        <v>653</v>
      </c>
      <c r="U82" s="4">
        <v>44462</v>
      </c>
      <c r="V82" s="4">
        <v>45115</v>
      </c>
      <c r="W82" s="4">
        <v>728</v>
      </c>
      <c r="X82" s="4">
        <v>49563</v>
      </c>
      <c r="Y82" s="4">
        <v>50291</v>
      </c>
      <c r="Z82" s="4">
        <v>328</v>
      </c>
      <c r="AA82" s="46">
        <v>32856</v>
      </c>
    </row>
    <row r="83" spans="1:27" x14ac:dyDescent="0.25">
      <c r="A83" s="44" t="s">
        <v>60</v>
      </c>
      <c r="B83" s="5" t="s">
        <v>667</v>
      </c>
      <c r="C83" s="47" t="s">
        <v>89</v>
      </c>
      <c r="D83" s="5" t="s">
        <v>424</v>
      </c>
      <c r="E83" s="5">
        <v>170.64</v>
      </c>
      <c r="F83" s="35">
        <v>1087.8</v>
      </c>
      <c r="G83" s="35">
        <v>1258.44</v>
      </c>
      <c r="H83" s="5">
        <v>1.54</v>
      </c>
      <c r="I83" s="5">
        <v>14</v>
      </c>
      <c r="J83" s="5">
        <v>0.1</v>
      </c>
      <c r="K83" s="4">
        <v>1102</v>
      </c>
      <c r="L83" s="5">
        <v>352.44</v>
      </c>
      <c r="M83" s="5">
        <v>65.290000000000006</v>
      </c>
      <c r="N83" s="5">
        <v>72.78</v>
      </c>
      <c r="O83" s="5">
        <v>43.26</v>
      </c>
      <c r="P83" s="4">
        <v>443525</v>
      </c>
      <c r="Q83" s="5">
        <v>0</v>
      </c>
      <c r="R83" s="4">
        <v>443525</v>
      </c>
      <c r="S83" s="4">
        <v>74392</v>
      </c>
      <c r="T83" s="4">
        <v>914</v>
      </c>
      <c r="U83" s="4">
        <v>71036</v>
      </c>
      <c r="V83" s="4">
        <v>71950</v>
      </c>
      <c r="W83" s="4">
        <v>1019</v>
      </c>
      <c r="X83" s="4">
        <v>79185</v>
      </c>
      <c r="Y83" s="4">
        <v>80204</v>
      </c>
      <c r="Z83" s="4">
        <v>543</v>
      </c>
      <c r="AA83" s="46">
        <v>54440</v>
      </c>
    </row>
    <row r="84" spans="1:27" x14ac:dyDescent="0.25">
      <c r="A84" s="44" t="s">
        <v>60</v>
      </c>
      <c r="B84" s="5" t="s">
        <v>667</v>
      </c>
      <c r="C84" s="47" t="s">
        <v>90</v>
      </c>
      <c r="D84" s="5" t="s">
        <v>425</v>
      </c>
      <c r="E84" s="5">
        <v>43.02</v>
      </c>
      <c r="F84" s="5">
        <v>408.3</v>
      </c>
      <c r="G84" s="5">
        <v>451.32</v>
      </c>
      <c r="H84" s="5">
        <v>0.55000000000000004</v>
      </c>
      <c r="I84" s="5">
        <v>0</v>
      </c>
      <c r="J84" s="5">
        <v>0</v>
      </c>
      <c r="K84" s="5">
        <v>408</v>
      </c>
      <c r="L84" s="5">
        <v>352.44</v>
      </c>
      <c r="M84" s="5">
        <v>65.290000000000006</v>
      </c>
      <c r="N84" s="5">
        <v>72.78</v>
      </c>
      <c r="O84" s="5">
        <v>43.26</v>
      </c>
      <c r="P84" s="4">
        <v>159063</v>
      </c>
      <c r="Q84" s="5">
        <v>0</v>
      </c>
      <c r="R84" s="4">
        <v>159063</v>
      </c>
      <c r="S84" s="4">
        <v>26680</v>
      </c>
      <c r="T84" s="4">
        <v>0</v>
      </c>
      <c r="U84" s="4">
        <v>26638</v>
      </c>
      <c r="V84" s="4">
        <v>26638</v>
      </c>
      <c r="W84" s="4">
        <v>0</v>
      </c>
      <c r="X84" s="4">
        <v>29694</v>
      </c>
      <c r="Y84" s="4">
        <v>29694</v>
      </c>
      <c r="Z84" s="4">
        <v>194</v>
      </c>
      <c r="AA84" s="46">
        <v>19524</v>
      </c>
    </row>
    <row r="85" spans="1:27" x14ac:dyDescent="0.25">
      <c r="A85" s="44" t="s">
        <v>60</v>
      </c>
      <c r="B85" s="5" t="s">
        <v>667</v>
      </c>
      <c r="C85" s="47" t="s">
        <v>91</v>
      </c>
      <c r="D85" s="5" t="s">
        <v>426</v>
      </c>
      <c r="E85" s="5">
        <v>88.73</v>
      </c>
      <c r="F85" s="5">
        <v>776.5</v>
      </c>
      <c r="G85" s="5">
        <v>865.23</v>
      </c>
      <c r="H85" s="5">
        <v>1.06</v>
      </c>
      <c r="I85" s="5">
        <v>26</v>
      </c>
      <c r="J85" s="5">
        <v>0</v>
      </c>
      <c r="K85" s="5">
        <v>803</v>
      </c>
      <c r="L85" s="5">
        <v>352.44</v>
      </c>
      <c r="M85" s="5">
        <v>65.290000000000006</v>
      </c>
      <c r="N85" s="5">
        <v>72.78</v>
      </c>
      <c r="O85" s="5">
        <v>43.26</v>
      </c>
      <c r="P85" s="4">
        <v>304942</v>
      </c>
      <c r="Q85" s="5">
        <v>0</v>
      </c>
      <c r="R85" s="4">
        <v>304942</v>
      </c>
      <c r="S85" s="4">
        <v>51148</v>
      </c>
      <c r="T85" s="4">
        <v>1698</v>
      </c>
      <c r="U85" s="4">
        <v>50730</v>
      </c>
      <c r="V85" s="4">
        <v>52428</v>
      </c>
      <c r="W85" s="4">
        <v>1892</v>
      </c>
      <c r="X85" s="4">
        <v>56550</v>
      </c>
      <c r="Y85" s="4">
        <v>58442</v>
      </c>
      <c r="Z85" s="4">
        <v>374</v>
      </c>
      <c r="AA85" s="46">
        <v>37430</v>
      </c>
    </row>
    <row r="86" spans="1:27" x14ac:dyDescent="0.25">
      <c r="A86" s="44" t="s">
        <v>60</v>
      </c>
      <c r="B86" s="5" t="s">
        <v>667</v>
      </c>
      <c r="C86" s="47" t="s">
        <v>92</v>
      </c>
      <c r="D86" s="5" t="s">
        <v>427</v>
      </c>
      <c r="E86" s="5">
        <v>178.71</v>
      </c>
      <c r="F86" s="35">
        <v>1354.8</v>
      </c>
      <c r="G86" s="35">
        <v>1533.51</v>
      </c>
      <c r="H86" s="5">
        <v>1.87</v>
      </c>
      <c r="I86" s="5">
        <v>137</v>
      </c>
      <c r="J86" s="5">
        <v>1.8</v>
      </c>
      <c r="K86" s="4">
        <v>1490</v>
      </c>
      <c r="L86" s="5">
        <v>352.44</v>
      </c>
      <c r="M86" s="5">
        <v>65.290000000000006</v>
      </c>
      <c r="N86" s="5">
        <v>72.78</v>
      </c>
      <c r="O86" s="5">
        <v>43.26</v>
      </c>
      <c r="P86" s="4">
        <v>540470</v>
      </c>
      <c r="Q86" s="5">
        <v>0</v>
      </c>
      <c r="R86" s="4">
        <v>540470</v>
      </c>
      <c r="S86" s="4">
        <v>90653</v>
      </c>
      <c r="T86" s="4">
        <v>8945</v>
      </c>
      <c r="U86" s="4">
        <v>88337</v>
      </c>
      <c r="V86" s="4">
        <v>97282</v>
      </c>
      <c r="W86" s="4">
        <v>9971</v>
      </c>
      <c r="X86" s="4">
        <v>98471</v>
      </c>
      <c r="Y86" s="4">
        <v>108442</v>
      </c>
      <c r="Z86" s="4">
        <v>659</v>
      </c>
      <c r="AA86" s="46">
        <v>66429</v>
      </c>
    </row>
    <row r="87" spans="1:27" x14ac:dyDescent="0.25">
      <c r="A87" s="44" t="s">
        <v>60</v>
      </c>
      <c r="B87" s="5" t="s">
        <v>667</v>
      </c>
      <c r="C87" s="47" t="s">
        <v>93</v>
      </c>
      <c r="D87" s="5" t="s">
        <v>428</v>
      </c>
      <c r="E87" s="5">
        <v>115.13</v>
      </c>
      <c r="F87" s="5">
        <v>965.8</v>
      </c>
      <c r="G87" s="35">
        <v>1080.93</v>
      </c>
      <c r="H87" s="5">
        <v>1.32</v>
      </c>
      <c r="I87" s="5">
        <v>3</v>
      </c>
      <c r="J87" s="5">
        <v>0</v>
      </c>
      <c r="K87" s="5">
        <v>969</v>
      </c>
      <c r="L87" s="5">
        <v>352.44</v>
      </c>
      <c r="M87" s="5">
        <v>65.290000000000006</v>
      </c>
      <c r="N87" s="5">
        <v>72.78</v>
      </c>
      <c r="O87" s="5">
        <v>43.26</v>
      </c>
      <c r="P87" s="4">
        <v>380963</v>
      </c>
      <c r="Q87" s="4">
        <v>5217</v>
      </c>
      <c r="R87" s="4">
        <v>386180</v>
      </c>
      <c r="S87" s="4">
        <v>63899</v>
      </c>
      <c r="T87" s="4">
        <v>196</v>
      </c>
      <c r="U87" s="4">
        <v>63070</v>
      </c>
      <c r="V87" s="4">
        <v>63266</v>
      </c>
      <c r="W87" s="4">
        <v>218</v>
      </c>
      <c r="X87" s="4">
        <v>70306</v>
      </c>
      <c r="Y87" s="4">
        <v>70524</v>
      </c>
      <c r="Z87" s="4">
        <v>465</v>
      </c>
      <c r="AA87" s="46">
        <v>47557</v>
      </c>
    </row>
    <row r="88" spans="1:27" x14ac:dyDescent="0.25">
      <c r="A88" s="44" t="s">
        <v>60</v>
      </c>
      <c r="B88" s="5" t="s">
        <v>667</v>
      </c>
      <c r="C88" s="47" t="s">
        <v>94</v>
      </c>
      <c r="D88" s="5" t="s">
        <v>429</v>
      </c>
      <c r="E88" s="5">
        <v>42.89</v>
      </c>
      <c r="F88" s="5">
        <v>443.1</v>
      </c>
      <c r="G88" s="5">
        <v>485.99</v>
      </c>
      <c r="H88" s="5">
        <v>0.59</v>
      </c>
      <c r="I88" s="5">
        <v>20</v>
      </c>
      <c r="J88" s="5">
        <v>0</v>
      </c>
      <c r="K88" s="5">
        <v>463</v>
      </c>
      <c r="L88" s="5">
        <v>352.44</v>
      </c>
      <c r="M88" s="5">
        <v>65.290000000000006</v>
      </c>
      <c r="N88" s="5">
        <v>72.78</v>
      </c>
      <c r="O88" s="5">
        <v>43.26</v>
      </c>
      <c r="P88" s="4">
        <v>171282</v>
      </c>
      <c r="Q88" s="5">
        <v>0</v>
      </c>
      <c r="R88" s="4">
        <v>171282</v>
      </c>
      <c r="S88" s="4">
        <v>28729</v>
      </c>
      <c r="T88" s="4">
        <v>1306</v>
      </c>
      <c r="U88" s="4">
        <v>28923</v>
      </c>
      <c r="V88" s="4">
        <v>30229</v>
      </c>
      <c r="W88" s="4">
        <v>1456</v>
      </c>
      <c r="X88" s="4">
        <v>32241</v>
      </c>
      <c r="Y88" s="4">
        <v>33697</v>
      </c>
      <c r="Z88" s="4">
        <v>208</v>
      </c>
      <c r="AA88" s="46">
        <v>21024</v>
      </c>
    </row>
    <row r="89" spans="1:27" x14ac:dyDescent="0.25">
      <c r="A89" s="44" t="s">
        <v>60</v>
      </c>
      <c r="B89" s="5" t="s">
        <v>667</v>
      </c>
      <c r="C89" s="47" t="s">
        <v>95</v>
      </c>
      <c r="D89" s="5" t="s">
        <v>430</v>
      </c>
      <c r="E89" s="5">
        <v>101.03</v>
      </c>
      <c r="F89" s="5">
        <v>869.7</v>
      </c>
      <c r="G89" s="5">
        <v>970.73</v>
      </c>
      <c r="H89" s="5">
        <v>1.19</v>
      </c>
      <c r="I89" s="5">
        <v>122</v>
      </c>
      <c r="J89" s="5">
        <v>0.3</v>
      </c>
      <c r="K89" s="5">
        <v>991</v>
      </c>
      <c r="L89" s="5">
        <v>352.44</v>
      </c>
      <c r="M89" s="5">
        <v>65.290000000000006</v>
      </c>
      <c r="N89" s="5">
        <v>72.78</v>
      </c>
      <c r="O89" s="5">
        <v>43.26</v>
      </c>
      <c r="P89" s="4">
        <v>342124</v>
      </c>
      <c r="Q89" s="5">
        <v>87</v>
      </c>
      <c r="R89" s="4">
        <v>342211</v>
      </c>
      <c r="S89" s="4">
        <v>57385</v>
      </c>
      <c r="T89" s="4">
        <v>7965</v>
      </c>
      <c r="U89" s="4">
        <v>56737</v>
      </c>
      <c r="V89" s="4">
        <v>64702</v>
      </c>
      <c r="W89" s="4">
        <v>8879</v>
      </c>
      <c r="X89" s="4">
        <v>63246</v>
      </c>
      <c r="Y89" s="4">
        <v>72125</v>
      </c>
      <c r="Z89" s="4">
        <v>419</v>
      </c>
      <c r="AA89" s="46">
        <v>41994</v>
      </c>
    </row>
    <row r="90" spans="1:27" x14ac:dyDescent="0.25">
      <c r="A90" s="44" t="s">
        <v>60</v>
      </c>
      <c r="B90" s="5" t="s">
        <v>667</v>
      </c>
      <c r="C90" s="47" t="s">
        <v>96</v>
      </c>
      <c r="D90" s="5" t="s">
        <v>431</v>
      </c>
      <c r="E90" s="5">
        <v>78.94</v>
      </c>
      <c r="F90" s="5">
        <v>552.9</v>
      </c>
      <c r="G90" s="5">
        <v>631.84</v>
      </c>
      <c r="H90" s="5">
        <v>0.77</v>
      </c>
      <c r="I90" s="5">
        <v>2</v>
      </c>
      <c r="J90" s="5">
        <v>0</v>
      </c>
      <c r="K90" s="5">
        <v>555</v>
      </c>
      <c r="L90" s="5">
        <v>352.44</v>
      </c>
      <c r="M90" s="5">
        <v>65.290000000000006</v>
      </c>
      <c r="N90" s="5">
        <v>72.78</v>
      </c>
      <c r="O90" s="5">
        <v>43.26</v>
      </c>
      <c r="P90" s="4">
        <v>222686</v>
      </c>
      <c r="Q90" s="5">
        <v>0</v>
      </c>
      <c r="R90" s="4">
        <v>222686</v>
      </c>
      <c r="S90" s="4">
        <v>37351</v>
      </c>
      <c r="T90" s="4">
        <v>131</v>
      </c>
      <c r="U90" s="4">
        <v>36105</v>
      </c>
      <c r="V90" s="4">
        <v>36236</v>
      </c>
      <c r="W90" s="4">
        <v>146</v>
      </c>
      <c r="X90" s="4">
        <v>40247</v>
      </c>
      <c r="Y90" s="4">
        <v>40393</v>
      </c>
      <c r="Z90" s="4">
        <v>271</v>
      </c>
      <c r="AA90" s="46">
        <v>27333</v>
      </c>
    </row>
    <row r="91" spans="1:27" x14ac:dyDescent="0.25">
      <c r="A91" s="44" t="s">
        <v>60</v>
      </c>
      <c r="B91" s="5" t="s">
        <v>667</v>
      </c>
      <c r="C91" s="47" t="s">
        <v>97</v>
      </c>
      <c r="D91" s="5" t="s">
        <v>432</v>
      </c>
      <c r="E91" s="5">
        <v>784.18</v>
      </c>
      <c r="F91" s="35">
        <v>5380.3</v>
      </c>
      <c r="G91" s="35">
        <v>6164.48</v>
      </c>
      <c r="H91" s="5">
        <v>7.53</v>
      </c>
      <c r="I91" s="5">
        <v>299</v>
      </c>
      <c r="J91" s="5">
        <v>8.3000000000000007</v>
      </c>
      <c r="K91" s="4">
        <v>5671</v>
      </c>
      <c r="L91" s="5">
        <v>352.44</v>
      </c>
      <c r="M91" s="5">
        <v>65.290000000000006</v>
      </c>
      <c r="N91" s="5">
        <v>72.78</v>
      </c>
      <c r="O91" s="5">
        <v>43.26</v>
      </c>
      <c r="P91" s="4">
        <v>2172609</v>
      </c>
      <c r="Q91" s="5">
        <v>0</v>
      </c>
      <c r="R91" s="4">
        <v>2172609</v>
      </c>
      <c r="S91" s="4">
        <v>364412</v>
      </c>
      <c r="T91" s="4">
        <v>19522</v>
      </c>
      <c r="U91" s="4">
        <v>350738</v>
      </c>
      <c r="V91" s="4">
        <v>370260</v>
      </c>
      <c r="W91" s="4">
        <v>21761</v>
      </c>
      <c r="X91" s="4">
        <v>390974</v>
      </c>
      <c r="Y91" s="4">
        <v>412735</v>
      </c>
      <c r="Z91" s="4">
        <v>2654</v>
      </c>
      <c r="AA91" s="46">
        <v>266675</v>
      </c>
    </row>
    <row r="92" spans="1:27" x14ac:dyDescent="0.25">
      <c r="A92" s="44" t="s">
        <v>60</v>
      </c>
      <c r="B92" s="5" t="s">
        <v>667</v>
      </c>
      <c r="C92" s="47" t="s">
        <v>98</v>
      </c>
      <c r="D92" s="5" t="s">
        <v>433</v>
      </c>
      <c r="E92" s="5">
        <v>612.20000000000005</v>
      </c>
      <c r="F92" s="35">
        <v>3280.2</v>
      </c>
      <c r="G92" s="35">
        <v>3892.4</v>
      </c>
      <c r="H92" s="5">
        <v>4.76</v>
      </c>
      <c r="I92" s="5">
        <v>580</v>
      </c>
      <c r="J92" s="5">
        <v>6.5</v>
      </c>
      <c r="K92" s="4">
        <v>3854</v>
      </c>
      <c r="L92" s="5">
        <v>352.44</v>
      </c>
      <c r="M92" s="5">
        <v>65.290000000000006</v>
      </c>
      <c r="N92" s="5">
        <v>72.78</v>
      </c>
      <c r="O92" s="5">
        <v>43.26</v>
      </c>
      <c r="P92" s="4">
        <v>1371837</v>
      </c>
      <c r="Q92" s="4">
        <v>4861</v>
      </c>
      <c r="R92" s="4">
        <v>1376698</v>
      </c>
      <c r="S92" s="4">
        <v>230099</v>
      </c>
      <c r="T92" s="4">
        <v>37868</v>
      </c>
      <c r="U92" s="4">
        <v>213760</v>
      </c>
      <c r="V92" s="4">
        <v>251628</v>
      </c>
      <c r="W92" s="4">
        <v>42212</v>
      </c>
      <c r="X92" s="4">
        <v>238282</v>
      </c>
      <c r="Y92" s="4">
        <v>280494</v>
      </c>
      <c r="Z92" s="4">
        <v>1678</v>
      </c>
      <c r="AA92" s="46">
        <v>169538</v>
      </c>
    </row>
    <row r="93" spans="1:27" x14ac:dyDescent="0.25">
      <c r="A93" s="44" t="s">
        <v>60</v>
      </c>
      <c r="B93" s="5" t="s">
        <v>667</v>
      </c>
      <c r="C93" s="47" t="s">
        <v>99</v>
      </c>
      <c r="D93" s="5" t="s">
        <v>434</v>
      </c>
      <c r="E93" s="5">
        <v>47.08</v>
      </c>
      <c r="F93" s="5">
        <v>454.4</v>
      </c>
      <c r="G93" s="5">
        <v>501.48</v>
      </c>
      <c r="H93" s="5">
        <v>0.61</v>
      </c>
      <c r="I93" s="5">
        <v>6</v>
      </c>
      <c r="J93" s="5">
        <v>0</v>
      </c>
      <c r="K93" s="5">
        <v>460</v>
      </c>
      <c r="L93" s="5">
        <v>352.44</v>
      </c>
      <c r="M93" s="5">
        <v>65.290000000000006</v>
      </c>
      <c r="N93" s="5">
        <v>72.78</v>
      </c>
      <c r="O93" s="5">
        <v>43.26</v>
      </c>
      <c r="P93" s="4">
        <v>176742</v>
      </c>
      <c r="Q93" s="4">
        <v>4637</v>
      </c>
      <c r="R93" s="4">
        <v>181379</v>
      </c>
      <c r="S93" s="4">
        <v>29645</v>
      </c>
      <c r="T93" s="4">
        <v>392</v>
      </c>
      <c r="U93" s="4">
        <v>29641</v>
      </c>
      <c r="V93" s="4">
        <v>30033</v>
      </c>
      <c r="W93" s="4">
        <v>437</v>
      </c>
      <c r="X93" s="4">
        <v>33042</v>
      </c>
      <c r="Y93" s="4">
        <v>33479</v>
      </c>
      <c r="Z93" s="4">
        <v>215</v>
      </c>
      <c r="AA93" s="46">
        <v>21779</v>
      </c>
    </row>
    <row r="94" spans="1:27" x14ac:dyDescent="0.25">
      <c r="A94" s="44" t="s">
        <v>60</v>
      </c>
      <c r="B94" s="5" t="s">
        <v>667</v>
      </c>
      <c r="C94" s="47" t="s">
        <v>100</v>
      </c>
      <c r="D94" s="5" t="s">
        <v>435</v>
      </c>
      <c r="E94" s="5">
        <v>64.2</v>
      </c>
      <c r="F94" s="5">
        <v>573.6</v>
      </c>
      <c r="G94" s="5">
        <v>637.79999999999995</v>
      </c>
      <c r="H94" s="5">
        <v>0.78</v>
      </c>
      <c r="I94" s="5">
        <v>14</v>
      </c>
      <c r="J94" s="5">
        <v>0</v>
      </c>
      <c r="K94" s="5">
        <v>588</v>
      </c>
      <c r="L94" s="5">
        <v>352.44</v>
      </c>
      <c r="M94" s="5">
        <v>65.290000000000006</v>
      </c>
      <c r="N94" s="5">
        <v>72.78</v>
      </c>
      <c r="O94" s="5">
        <v>43.26</v>
      </c>
      <c r="P94" s="4">
        <v>224786</v>
      </c>
      <c r="Q94" s="4">
        <v>4440</v>
      </c>
      <c r="R94" s="4">
        <v>229226</v>
      </c>
      <c r="S94" s="4">
        <v>37704</v>
      </c>
      <c r="T94" s="4">
        <v>914</v>
      </c>
      <c r="U94" s="4">
        <v>37477</v>
      </c>
      <c r="V94" s="4">
        <v>38391</v>
      </c>
      <c r="W94" s="4">
        <v>1019</v>
      </c>
      <c r="X94" s="4">
        <v>41776</v>
      </c>
      <c r="Y94" s="4">
        <v>42795</v>
      </c>
      <c r="Z94" s="4">
        <v>275</v>
      </c>
      <c r="AA94" s="46">
        <v>28229</v>
      </c>
    </row>
    <row r="95" spans="1:27" x14ac:dyDescent="0.25">
      <c r="A95" s="44" t="s">
        <v>60</v>
      </c>
      <c r="B95" s="5" t="s">
        <v>667</v>
      </c>
      <c r="C95" s="45" t="s">
        <v>101</v>
      </c>
      <c r="D95" s="5" t="s">
        <v>436</v>
      </c>
      <c r="E95" s="5">
        <v>85.81</v>
      </c>
      <c r="F95" s="5">
        <v>522.9</v>
      </c>
      <c r="G95" s="5">
        <v>608.71</v>
      </c>
      <c r="H95" s="5">
        <v>0.74</v>
      </c>
      <c r="I95" s="5">
        <v>5</v>
      </c>
      <c r="J95" s="5">
        <v>0</v>
      </c>
      <c r="K95" s="5">
        <v>528</v>
      </c>
      <c r="L95" s="5">
        <v>352.44</v>
      </c>
      <c r="M95" s="5">
        <v>65.290000000000006</v>
      </c>
      <c r="N95" s="5">
        <v>72.78</v>
      </c>
      <c r="O95" s="5">
        <v>43.26</v>
      </c>
      <c r="P95" s="4">
        <v>214534</v>
      </c>
      <c r="Q95" s="5">
        <v>0</v>
      </c>
      <c r="R95" s="4">
        <v>214534</v>
      </c>
      <c r="S95" s="4">
        <v>35984</v>
      </c>
      <c r="T95" s="4">
        <v>326</v>
      </c>
      <c r="U95" s="4">
        <v>34147</v>
      </c>
      <c r="V95" s="4">
        <v>34473</v>
      </c>
      <c r="W95" s="4">
        <v>364</v>
      </c>
      <c r="X95" s="4">
        <v>38064</v>
      </c>
      <c r="Y95" s="4">
        <v>38428</v>
      </c>
      <c r="Z95" s="4">
        <v>261</v>
      </c>
      <c r="AA95" s="46">
        <v>26333</v>
      </c>
    </row>
    <row r="96" spans="1:27" x14ac:dyDescent="0.25">
      <c r="A96" s="44" t="s">
        <v>60</v>
      </c>
      <c r="B96" s="5" t="s">
        <v>667</v>
      </c>
      <c r="C96" s="45" t="s">
        <v>102</v>
      </c>
      <c r="D96" s="5" t="s">
        <v>437</v>
      </c>
      <c r="E96" s="5">
        <v>69.290000000000006</v>
      </c>
      <c r="F96" s="5">
        <v>455.8</v>
      </c>
      <c r="G96" s="5">
        <v>525.09</v>
      </c>
      <c r="H96" s="5">
        <v>0.64</v>
      </c>
      <c r="I96" s="5">
        <v>0</v>
      </c>
      <c r="J96" s="5">
        <v>0</v>
      </c>
      <c r="K96" s="5">
        <v>456</v>
      </c>
      <c r="L96" s="5">
        <v>352.44</v>
      </c>
      <c r="M96" s="5">
        <v>65.290000000000006</v>
      </c>
      <c r="N96" s="5">
        <v>72.78</v>
      </c>
      <c r="O96" s="5">
        <v>43.26</v>
      </c>
      <c r="P96" s="4">
        <v>185063</v>
      </c>
      <c r="Q96" s="4">
        <v>3953</v>
      </c>
      <c r="R96" s="4">
        <v>189016</v>
      </c>
      <c r="S96" s="4">
        <v>31040</v>
      </c>
      <c r="T96" s="4">
        <v>0</v>
      </c>
      <c r="U96" s="4">
        <v>29772</v>
      </c>
      <c r="V96" s="4">
        <v>29772</v>
      </c>
      <c r="W96" s="4">
        <v>0</v>
      </c>
      <c r="X96" s="4">
        <v>33188</v>
      </c>
      <c r="Y96" s="4">
        <v>33188</v>
      </c>
      <c r="Z96" s="4">
        <v>226</v>
      </c>
      <c r="AA96" s="46">
        <v>23277</v>
      </c>
    </row>
    <row r="97" spans="1:27" x14ac:dyDescent="0.25">
      <c r="A97" s="44" t="s">
        <v>60</v>
      </c>
      <c r="B97" s="5" t="s">
        <v>667</v>
      </c>
      <c r="C97" s="47" t="s">
        <v>103</v>
      </c>
      <c r="D97" s="5" t="s">
        <v>438</v>
      </c>
      <c r="E97" s="5">
        <v>54.77</v>
      </c>
      <c r="F97" s="5">
        <v>452.1</v>
      </c>
      <c r="G97" s="5">
        <v>506.87</v>
      </c>
      <c r="H97" s="5">
        <v>0.62</v>
      </c>
      <c r="I97" s="5">
        <v>2</v>
      </c>
      <c r="J97" s="5">
        <v>0</v>
      </c>
      <c r="K97" s="5">
        <v>454</v>
      </c>
      <c r="L97" s="5">
        <v>352.44</v>
      </c>
      <c r="M97" s="5">
        <v>65.290000000000006</v>
      </c>
      <c r="N97" s="5">
        <v>72.78</v>
      </c>
      <c r="O97" s="5">
        <v>43.26</v>
      </c>
      <c r="P97" s="4">
        <v>178641</v>
      </c>
      <c r="Q97" s="5">
        <v>0</v>
      </c>
      <c r="R97" s="4">
        <v>178641</v>
      </c>
      <c r="S97" s="4">
        <v>29964</v>
      </c>
      <c r="T97" s="4">
        <v>131</v>
      </c>
      <c r="U97" s="4">
        <v>29511</v>
      </c>
      <c r="V97" s="4">
        <v>29642</v>
      </c>
      <c r="W97" s="4">
        <v>146</v>
      </c>
      <c r="X97" s="4">
        <v>32896</v>
      </c>
      <c r="Y97" s="4">
        <v>33042</v>
      </c>
      <c r="Z97" s="4">
        <v>219</v>
      </c>
      <c r="AA97" s="46">
        <v>21937</v>
      </c>
    </row>
    <row r="98" spans="1:27" x14ac:dyDescent="0.25">
      <c r="A98" s="44" t="s">
        <v>60</v>
      </c>
      <c r="B98" s="5" t="s">
        <v>667</v>
      </c>
      <c r="C98" s="47" t="s">
        <v>104</v>
      </c>
      <c r="D98" s="5" t="s">
        <v>439</v>
      </c>
      <c r="E98" s="5">
        <v>58.32</v>
      </c>
      <c r="F98" s="5">
        <v>489.6</v>
      </c>
      <c r="G98" s="5">
        <v>547.91999999999996</v>
      </c>
      <c r="H98" s="5">
        <v>0.67</v>
      </c>
      <c r="I98" s="5">
        <v>0</v>
      </c>
      <c r="J98" s="5">
        <v>0</v>
      </c>
      <c r="K98" s="5">
        <v>490</v>
      </c>
      <c r="L98" s="5">
        <v>352.44</v>
      </c>
      <c r="M98" s="5">
        <v>65.290000000000006</v>
      </c>
      <c r="N98" s="5">
        <v>72.78</v>
      </c>
      <c r="O98" s="5">
        <v>43.26</v>
      </c>
      <c r="P98" s="4">
        <v>193109</v>
      </c>
      <c r="Q98" s="4">
        <v>8034</v>
      </c>
      <c r="R98" s="4">
        <v>201143</v>
      </c>
      <c r="S98" s="4">
        <v>32391</v>
      </c>
      <c r="T98" s="4">
        <v>0</v>
      </c>
      <c r="U98" s="4">
        <v>31992</v>
      </c>
      <c r="V98" s="4">
        <v>31992</v>
      </c>
      <c r="W98" s="4">
        <v>0</v>
      </c>
      <c r="X98" s="4">
        <v>35662</v>
      </c>
      <c r="Y98" s="4">
        <v>35662</v>
      </c>
      <c r="Z98" s="4">
        <v>236</v>
      </c>
      <c r="AA98" s="46">
        <v>24770</v>
      </c>
    </row>
    <row r="99" spans="1:27" x14ac:dyDescent="0.25">
      <c r="A99" s="44" t="s">
        <v>60</v>
      </c>
      <c r="B99" s="5" t="s">
        <v>667</v>
      </c>
      <c r="C99" s="47" t="s">
        <v>105</v>
      </c>
      <c r="D99" s="5" t="s">
        <v>440</v>
      </c>
      <c r="E99" s="5">
        <v>77.98</v>
      </c>
      <c r="F99" s="5">
        <v>878.4</v>
      </c>
      <c r="G99" s="5">
        <v>956.38</v>
      </c>
      <c r="H99" s="5">
        <v>1.17</v>
      </c>
      <c r="I99" s="5">
        <v>8</v>
      </c>
      <c r="J99" s="5">
        <v>0</v>
      </c>
      <c r="K99" s="5">
        <v>886</v>
      </c>
      <c r="L99" s="5">
        <v>352.44</v>
      </c>
      <c r="M99" s="5">
        <v>65.290000000000006</v>
      </c>
      <c r="N99" s="5">
        <v>72.78</v>
      </c>
      <c r="O99" s="5">
        <v>43.26</v>
      </c>
      <c r="P99" s="4">
        <v>337067</v>
      </c>
      <c r="Q99" s="4">
        <v>2274</v>
      </c>
      <c r="R99" s="4">
        <v>339341</v>
      </c>
      <c r="S99" s="4">
        <v>56536</v>
      </c>
      <c r="T99" s="4">
        <v>522</v>
      </c>
      <c r="U99" s="4">
        <v>57325</v>
      </c>
      <c r="V99" s="4">
        <v>57847</v>
      </c>
      <c r="W99" s="4">
        <v>582</v>
      </c>
      <c r="X99" s="4">
        <v>63901</v>
      </c>
      <c r="Y99" s="4">
        <v>64483</v>
      </c>
      <c r="Z99" s="4">
        <v>412</v>
      </c>
      <c r="AA99" s="46">
        <v>41789</v>
      </c>
    </row>
    <row r="100" spans="1:27" x14ac:dyDescent="0.25">
      <c r="A100" s="44" t="s">
        <v>60</v>
      </c>
      <c r="B100" s="5" t="s">
        <v>667</v>
      </c>
      <c r="C100" s="47" t="s">
        <v>106</v>
      </c>
      <c r="D100" s="5" t="s">
        <v>441</v>
      </c>
      <c r="E100" s="5">
        <v>68.36</v>
      </c>
      <c r="F100" s="5">
        <v>403</v>
      </c>
      <c r="G100" s="5">
        <v>471.36</v>
      </c>
      <c r="H100" s="5">
        <v>0.57999999999999996</v>
      </c>
      <c r="I100" s="5">
        <v>9</v>
      </c>
      <c r="J100" s="5">
        <v>0</v>
      </c>
      <c r="K100" s="5">
        <v>412</v>
      </c>
      <c r="L100" s="5">
        <v>352.44</v>
      </c>
      <c r="M100" s="5">
        <v>65.290000000000006</v>
      </c>
      <c r="N100" s="5">
        <v>72.78</v>
      </c>
      <c r="O100" s="5">
        <v>43.26</v>
      </c>
      <c r="P100" s="4">
        <v>166126</v>
      </c>
      <c r="Q100" s="4">
        <v>3481</v>
      </c>
      <c r="R100" s="4">
        <v>169607</v>
      </c>
      <c r="S100" s="4">
        <v>27864</v>
      </c>
      <c r="T100" s="4">
        <v>588</v>
      </c>
      <c r="U100" s="4">
        <v>26311</v>
      </c>
      <c r="V100" s="4">
        <v>26899</v>
      </c>
      <c r="W100" s="4">
        <v>655</v>
      </c>
      <c r="X100" s="4">
        <v>29330</v>
      </c>
      <c r="Y100" s="4">
        <v>29985</v>
      </c>
      <c r="Z100" s="4">
        <v>204</v>
      </c>
      <c r="AA100" s="46">
        <v>20887</v>
      </c>
    </row>
    <row r="101" spans="1:27" x14ac:dyDescent="0.25">
      <c r="A101" s="44" t="s">
        <v>60</v>
      </c>
      <c r="B101" s="5" t="s">
        <v>667</v>
      </c>
      <c r="C101" s="47" t="s">
        <v>107</v>
      </c>
      <c r="D101" s="5" t="s">
        <v>442</v>
      </c>
      <c r="E101" s="5">
        <v>216.92</v>
      </c>
      <c r="F101" s="35">
        <v>1365.4</v>
      </c>
      <c r="G101" s="35">
        <v>1582.32</v>
      </c>
      <c r="H101" s="5">
        <v>1.93</v>
      </c>
      <c r="I101" s="5">
        <v>5</v>
      </c>
      <c r="J101" s="5">
        <v>0</v>
      </c>
      <c r="K101" s="4">
        <v>1370</v>
      </c>
      <c r="L101" s="5">
        <v>352.44</v>
      </c>
      <c r="M101" s="5">
        <v>65.290000000000006</v>
      </c>
      <c r="N101" s="5">
        <v>72.78</v>
      </c>
      <c r="O101" s="5">
        <v>43.26</v>
      </c>
      <c r="P101" s="4">
        <v>557673</v>
      </c>
      <c r="Q101" s="4">
        <v>8523</v>
      </c>
      <c r="R101" s="4">
        <v>566196</v>
      </c>
      <c r="S101" s="4">
        <v>93539</v>
      </c>
      <c r="T101" s="4">
        <v>326</v>
      </c>
      <c r="U101" s="4">
        <v>89121</v>
      </c>
      <c r="V101" s="4">
        <v>89447</v>
      </c>
      <c r="W101" s="4">
        <v>364</v>
      </c>
      <c r="X101" s="4">
        <v>99345</v>
      </c>
      <c r="Y101" s="4">
        <v>99709</v>
      </c>
      <c r="Z101" s="4">
        <v>680</v>
      </c>
      <c r="AA101" s="46">
        <v>69726</v>
      </c>
    </row>
    <row r="102" spans="1:27" x14ac:dyDescent="0.25">
      <c r="A102" s="44" t="s">
        <v>60</v>
      </c>
      <c r="B102" s="5" t="s">
        <v>667</v>
      </c>
      <c r="C102" s="47" t="s">
        <v>108</v>
      </c>
      <c r="D102" s="5" t="s">
        <v>443</v>
      </c>
      <c r="E102" s="5">
        <v>68.09</v>
      </c>
      <c r="F102" s="5">
        <v>612.29999999999995</v>
      </c>
      <c r="G102" s="5">
        <v>680.39</v>
      </c>
      <c r="H102" s="5">
        <v>0.83</v>
      </c>
      <c r="I102" s="5">
        <v>0</v>
      </c>
      <c r="J102" s="5">
        <v>0</v>
      </c>
      <c r="K102" s="5">
        <v>612</v>
      </c>
      <c r="L102" s="5">
        <v>352.44</v>
      </c>
      <c r="M102" s="5">
        <v>65.290000000000006</v>
      </c>
      <c r="N102" s="5">
        <v>72.78</v>
      </c>
      <c r="O102" s="5">
        <v>43.26</v>
      </c>
      <c r="P102" s="4">
        <v>239797</v>
      </c>
      <c r="Q102" s="5">
        <v>0</v>
      </c>
      <c r="R102" s="4">
        <v>239797</v>
      </c>
      <c r="S102" s="4">
        <v>40221</v>
      </c>
      <c r="T102" s="4">
        <v>0</v>
      </c>
      <c r="U102" s="4">
        <v>39957</v>
      </c>
      <c r="V102" s="4">
        <v>39957</v>
      </c>
      <c r="W102" s="4">
        <v>0</v>
      </c>
      <c r="X102" s="4">
        <v>44541</v>
      </c>
      <c r="Y102" s="4">
        <v>44541</v>
      </c>
      <c r="Z102" s="4">
        <v>293</v>
      </c>
      <c r="AA102" s="46">
        <v>29434</v>
      </c>
    </row>
    <row r="103" spans="1:27" x14ac:dyDescent="0.25">
      <c r="A103" s="44" t="s">
        <v>60</v>
      </c>
      <c r="B103" s="5" t="s">
        <v>667</v>
      </c>
      <c r="C103" s="47" t="s">
        <v>109</v>
      </c>
      <c r="D103" s="5" t="s">
        <v>444</v>
      </c>
      <c r="E103" s="5">
        <v>132.18</v>
      </c>
      <c r="F103" s="5">
        <v>759</v>
      </c>
      <c r="G103" s="5">
        <v>891.18</v>
      </c>
      <c r="H103" s="5">
        <v>1.0900000000000001</v>
      </c>
      <c r="I103" s="5">
        <v>5</v>
      </c>
      <c r="J103" s="5">
        <v>0</v>
      </c>
      <c r="K103" s="5">
        <v>764</v>
      </c>
      <c r="L103" s="5">
        <v>352.44</v>
      </c>
      <c r="M103" s="5">
        <v>65.290000000000006</v>
      </c>
      <c r="N103" s="5">
        <v>72.78</v>
      </c>
      <c r="O103" s="5">
        <v>43.26</v>
      </c>
      <c r="P103" s="4">
        <v>314087</v>
      </c>
      <c r="Q103" s="5">
        <v>637</v>
      </c>
      <c r="R103" s="4">
        <v>314724</v>
      </c>
      <c r="S103" s="4">
        <v>52682</v>
      </c>
      <c r="T103" s="4">
        <v>326</v>
      </c>
      <c r="U103" s="4">
        <v>49556</v>
      </c>
      <c r="V103" s="4">
        <v>49882</v>
      </c>
      <c r="W103" s="4">
        <v>364</v>
      </c>
      <c r="X103" s="4">
        <v>55240</v>
      </c>
      <c r="Y103" s="4">
        <v>55604</v>
      </c>
      <c r="Z103" s="4">
        <v>384</v>
      </c>
      <c r="AA103" s="46">
        <v>38758</v>
      </c>
    </row>
    <row r="104" spans="1:27" x14ac:dyDescent="0.25">
      <c r="A104" s="44" t="s">
        <v>60</v>
      </c>
      <c r="B104" s="5" t="s">
        <v>667</v>
      </c>
      <c r="C104" s="47" t="s">
        <v>110</v>
      </c>
      <c r="D104" s="5" t="s">
        <v>445</v>
      </c>
      <c r="E104" s="5">
        <v>61.38</v>
      </c>
      <c r="F104" s="5">
        <v>383</v>
      </c>
      <c r="G104" s="5">
        <v>444.38</v>
      </c>
      <c r="H104" s="5">
        <v>0.54</v>
      </c>
      <c r="I104" s="5">
        <v>6</v>
      </c>
      <c r="J104" s="5">
        <v>0</v>
      </c>
      <c r="K104" s="5">
        <v>389</v>
      </c>
      <c r="L104" s="5">
        <v>352.44</v>
      </c>
      <c r="M104" s="5">
        <v>65.290000000000006</v>
      </c>
      <c r="N104" s="5">
        <v>72.78</v>
      </c>
      <c r="O104" s="5">
        <v>43.26</v>
      </c>
      <c r="P104" s="4">
        <v>156617</v>
      </c>
      <c r="Q104" s="5">
        <v>0</v>
      </c>
      <c r="R104" s="4">
        <v>156617</v>
      </c>
      <c r="S104" s="4">
        <v>26269</v>
      </c>
      <c r="T104" s="4">
        <v>392</v>
      </c>
      <c r="U104" s="4">
        <v>25006</v>
      </c>
      <c r="V104" s="4">
        <v>25398</v>
      </c>
      <c r="W104" s="4">
        <v>437</v>
      </c>
      <c r="X104" s="4">
        <v>27874</v>
      </c>
      <c r="Y104" s="4">
        <v>28311</v>
      </c>
      <c r="Z104" s="4">
        <v>190</v>
      </c>
      <c r="AA104" s="46">
        <v>19224</v>
      </c>
    </row>
    <row r="105" spans="1:27" x14ac:dyDescent="0.25">
      <c r="A105" s="44" t="s">
        <v>60</v>
      </c>
      <c r="B105" s="5" t="s">
        <v>667</v>
      </c>
      <c r="C105" s="47" t="s">
        <v>111</v>
      </c>
      <c r="D105" s="5" t="s">
        <v>446</v>
      </c>
      <c r="E105" s="5">
        <v>149.47</v>
      </c>
      <c r="F105" s="5">
        <v>908.9</v>
      </c>
      <c r="G105" s="35">
        <v>1058.3699999999999</v>
      </c>
      <c r="H105" s="5">
        <v>1.29</v>
      </c>
      <c r="I105" s="5">
        <v>35</v>
      </c>
      <c r="J105" s="5">
        <v>0</v>
      </c>
      <c r="K105" s="5">
        <v>944</v>
      </c>
      <c r="L105" s="5">
        <v>352.44</v>
      </c>
      <c r="M105" s="5">
        <v>65.290000000000006</v>
      </c>
      <c r="N105" s="5">
        <v>72.78</v>
      </c>
      <c r="O105" s="5">
        <v>43.26</v>
      </c>
      <c r="P105" s="4">
        <v>373012</v>
      </c>
      <c r="Q105" s="4">
        <v>16858</v>
      </c>
      <c r="R105" s="4">
        <v>389870</v>
      </c>
      <c r="S105" s="4">
        <v>62565</v>
      </c>
      <c r="T105" s="4">
        <v>2285</v>
      </c>
      <c r="U105" s="4">
        <v>59349</v>
      </c>
      <c r="V105" s="4">
        <v>61634</v>
      </c>
      <c r="W105" s="4">
        <v>2547</v>
      </c>
      <c r="X105" s="4">
        <v>66157</v>
      </c>
      <c r="Y105" s="4">
        <v>68704</v>
      </c>
      <c r="Z105" s="4">
        <v>455</v>
      </c>
      <c r="AA105" s="46">
        <v>46560</v>
      </c>
    </row>
    <row r="106" spans="1:27" x14ac:dyDescent="0.25">
      <c r="A106" s="44" t="s">
        <v>60</v>
      </c>
      <c r="B106" s="5" t="s">
        <v>667</v>
      </c>
      <c r="C106" s="47" t="s">
        <v>112</v>
      </c>
      <c r="D106" s="5" t="s">
        <v>447</v>
      </c>
      <c r="E106" s="5">
        <v>88.02</v>
      </c>
      <c r="F106" s="5">
        <v>586.1</v>
      </c>
      <c r="G106" s="5">
        <v>674.12</v>
      </c>
      <c r="H106" s="5">
        <v>0.82</v>
      </c>
      <c r="I106" s="5">
        <v>34</v>
      </c>
      <c r="J106" s="5">
        <v>0.1</v>
      </c>
      <c r="K106" s="5">
        <v>620</v>
      </c>
      <c r="L106" s="5">
        <v>352.44</v>
      </c>
      <c r="M106" s="5">
        <v>65.290000000000006</v>
      </c>
      <c r="N106" s="5">
        <v>72.78</v>
      </c>
      <c r="O106" s="5">
        <v>43.26</v>
      </c>
      <c r="P106" s="4">
        <v>237587</v>
      </c>
      <c r="Q106" s="4">
        <v>12417</v>
      </c>
      <c r="R106" s="4">
        <v>250004</v>
      </c>
      <c r="S106" s="4">
        <v>39850</v>
      </c>
      <c r="T106" s="4">
        <v>2220</v>
      </c>
      <c r="U106" s="4">
        <v>38260</v>
      </c>
      <c r="V106" s="4">
        <v>40480</v>
      </c>
      <c r="W106" s="4">
        <v>2475</v>
      </c>
      <c r="X106" s="4">
        <v>42649</v>
      </c>
      <c r="Y106" s="4">
        <v>45124</v>
      </c>
      <c r="Z106" s="4">
        <v>289</v>
      </c>
      <c r="AA106" s="46">
        <v>30680</v>
      </c>
    </row>
    <row r="107" spans="1:27" x14ac:dyDescent="0.25">
      <c r="A107" s="44" t="s">
        <v>60</v>
      </c>
      <c r="B107" s="5" t="s">
        <v>667</v>
      </c>
      <c r="C107" s="47" t="s">
        <v>113</v>
      </c>
      <c r="D107" s="5" t="s">
        <v>448</v>
      </c>
      <c r="E107" s="35">
        <v>2387.14</v>
      </c>
      <c r="F107" s="35">
        <v>10812.4</v>
      </c>
      <c r="G107" s="35">
        <v>13199.54</v>
      </c>
      <c r="H107" s="5">
        <v>16.12</v>
      </c>
      <c r="I107" s="4">
        <v>1280</v>
      </c>
      <c r="J107" s="5">
        <v>23.6</v>
      </c>
      <c r="K107" s="4">
        <v>12069</v>
      </c>
      <c r="L107" s="5">
        <v>352.44</v>
      </c>
      <c r="M107" s="5">
        <v>65.290000000000006</v>
      </c>
      <c r="N107" s="5">
        <v>72.78</v>
      </c>
      <c r="O107" s="5">
        <v>43.26</v>
      </c>
      <c r="P107" s="4">
        <v>4652046</v>
      </c>
      <c r="Q107" s="5">
        <v>0</v>
      </c>
      <c r="R107" s="4">
        <v>4652046</v>
      </c>
      <c r="S107" s="4">
        <v>780288</v>
      </c>
      <c r="T107" s="4">
        <v>83571</v>
      </c>
      <c r="U107" s="4">
        <v>704414</v>
      </c>
      <c r="V107" s="4">
        <v>787985</v>
      </c>
      <c r="W107" s="4">
        <v>93158</v>
      </c>
      <c r="X107" s="4">
        <v>785224</v>
      </c>
      <c r="Y107" s="4">
        <v>878382</v>
      </c>
      <c r="Z107" s="4">
        <v>5681</v>
      </c>
      <c r="AA107" s="46">
        <v>571012</v>
      </c>
    </row>
    <row r="108" spans="1:27" x14ac:dyDescent="0.25">
      <c r="A108" s="44" t="s">
        <v>60</v>
      </c>
      <c r="B108" s="5" t="s">
        <v>667</v>
      </c>
      <c r="C108" s="47" t="s">
        <v>114</v>
      </c>
      <c r="D108" s="5" t="s">
        <v>449</v>
      </c>
      <c r="E108" s="5">
        <v>268.25</v>
      </c>
      <c r="F108" s="35">
        <v>2167.6</v>
      </c>
      <c r="G108" s="35">
        <v>2435.85</v>
      </c>
      <c r="H108" s="5">
        <v>2.98</v>
      </c>
      <c r="I108" s="5">
        <v>165</v>
      </c>
      <c r="J108" s="5">
        <v>1.8</v>
      </c>
      <c r="K108" s="4">
        <v>2331</v>
      </c>
      <c r="L108" s="5">
        <v>352.44</v>
      </c>
      <c r="M108" s="5">
        <v>65.290000000000006</v>
      </c>
      <c r="N108" s="5">
        <v>72.78</v>
      </c>
      <c r="O108" s="5">
        <v>43.26</v>
      </c>
      <c r="P108" s="4">
        <v>858491</v>
      </c>
      <c r="Q108" s="5">
        <v>0</v>
      </c>
      <c r="R108" s="4">
        <v>858491</v>
      </c>
      <c r="S108" s="4">
        <v>143995</v>
      </c>
      <c r="T108" s="4">
        <v>10773</v>
      </c>
      <c r="U108" s="4">
        <v>141418</v>
      </c>
      <c r="V108" s="4">
        <v>152191</v>
      </c>
      <c r="W108" s="4">
        <v>12009</v>
      </c>
      <c r="X108" s="4">
        <v>157641</v>
      </c>
      <c r="Y108" s="4">
        <v>169650</v>
      </c>
      <c r="Z108" s="4">
        <v>1050</v>
      </c>
      <c r="AA108" s="46">
        <v>105375</v>
      </c>
    </row>
    <row r="109" spans="1:27" x14ac:dyDescent="0.25">
      <c r="A109" s="44" t="s">
        <v>60</v>
      </c>
      <c r="B109" s="5" t="s">
        <v>667</v>
      </c>
      <c r="C109" s="47" t="s">
        <v>115</v>
      </c>
      <c r="D109" s="5" t="s">
        <v>450</v>
      </c>
      <c r="E109" s="5">
        <v>96.94</v>
      </c>
      <c r="F109" s="5">
        <v>748.6</v>
      </c>
      <c r="G109" s="5">
        <v>845.54</v>
      </c>
      <c r="H109" s="5">
        <v>1.03</v>
      </c>
      <c r="I109" s="5">
        <v>60</v>
      </c>
      <c r="J109" s="5">
        <v>0</v>
      </c>
      <c r="K109" s="5">
        <v>809</v>
      </c>
      <c r="L109" s="5">
        <v>352.44</v>
      </c>
      <c r="M109" s="5">
        <v>65.290000000000006</v>
      </c>
      <c r="N109" s="5">
        <v>72.78</v>
      </c>
      <c r="O109" s="5">
        <v>43.26</v>
      </c>
      <c r="P109" s="4">
        <v>298002</v>
      </c>
      <c r="Q109" s="5">
        <v>0</v>
      </c>
      <c r="R109" s="4">
        <v>298002</v>
      </c>
      <c r="S109" s="4">
        <v>49984</v>
      </c>
      <c r="T109" s="4">
        <v>3917</v>
      </c>
      <c r="U109" s="4">
        <v>48903</v>
      </c>
      <c r="V109" s="4">
        <v>52820</v>
      </c>
      <c r="W109" s="4">
        <v>4367</v>
      </c>
      <c r="X109" s="4">
        <v>54512</v>
      </c>
      <c r="Y109" s="4">
        <v>58879</v>
      </c>
      <c r="Z109" s="4">
        <v>363</v>
      </c>
      <c r="AA109" s="46">
        <v>36578</v>
      </c>
    </row>
    <row r="110" spans="1:27" x14ac:dyDescent="0.25">
      <c r="A110" s="44" t="s">
        <v>60</v>
      </c>
      <c r="B110" s="5" t="s">
        <v>667</v>
      </c>
      <c r="C110" s="45" t="s">
        <v>116</v>
      </c>
      <c r="D110" s="5" t="s">
        <v>451</v>
      </c>
      <c r="E110" s="5">
        <v>51.04</v>
      </c>
      <c r="F110" s="5">
        <v>587.9</v>
      </c>
      <c r="G110" s="5">
        <v>638.94000000000005</v>
      </c>
      <c r="H110" s="5">
        <v>0.78</v>
      </c>
      <c r="I110" s="5">
        <v>9</v>
      </c>
      <c r="J110" s="5">
        <v>0</v>
      </c>
      <c r="K110" s="5">
        <v>597</v>
      </c>
      <c r="L110" s="5">
        <v>352.44</v>
      </c>
      <c r="M110" s="5">
        <v>65.290000000000006</v>
      </c>
      <c r="N110" s="5">
        <v>72.78</v>
      </c>
      <c r="O110" s="5">
        <v>43.26</v>
      </c>
      <c r="P110" s="4">
        <v>225188</v>
      </c>
      <c r="Q110" s="5">
        <v>0</v>
      </c>
      <c r="R110" s="4">
        <v>225188</v>
      </c>
      <c r="S110" s="4">
        <v>37770</v>
      </c>
      <c r="T110" s="4">
        <v>588</v>
      </c>
      <c r="U110" s="4">
        <v>38390</v>
      </c>
      <c r="V110" s="4">
        <v>38978</v>
      </c>
      <c r="W110" s="4">
        <v>655</v>
      </c>
      <c r="X110" s="4">
        <v>42795</v>
      </c>
      <c r="Y110" s="4">
        <v>43450</v>
      </c>
      <c r="Z110" s="4">
        <v>275</v>
      </c>
      <c r="AA110" s="46">
        <v>27641</v>
      </c>
    </row>
    <row r="111" spans="1:27" x14ac:dyDescent="0.25">
      <c r="A111" s="44" t="s">
        <v>60</v>
      </c>
      <c r="B111" s="5" t="s">
        <v>667</v>
      </c>
      <c r="C111" s="47" t="s">
        <v>117</v>
      </c>
      <c r="D111" s="5" t="s">
        <v>452</v>
      </c>
      <c r="E111" s="5">
        <v>65.02</v>
      </c>
      <c r="F111" s="5">
        <v>729.5</v>
      </c>
      <c r="G111" s="5">
        <v>794.52</v>
      </c>
      <c r="H111" s="5">
        <v>0.97</v>
      </c>
      <c r="I111" s="5">
        <v>8</v>
      </c>
      <c r="J111" s="5">
        <v>0</v>
      </c>
      <c r="K111" s="5">
        <v>738</v>
      </c>
      <c r="L111" s="5">
        <v>352.44</v>
      </c>
      <c r="M111" s="5">
        <v>65.290000000000006</v>
      </c>
      <c r="N111" s="5">
        <v>72.78</v>
      </c>
      <c r="O111" s="5">
        <v>43.26</v>
      </c>
      <c r="P111" s="4">
        <v>280021</v>
      </c>
      <c r="Q111" s="4">
        <v>14742</v>
      </c>
      <c r="R111" s="4">
        <v>294763</v>
      </c>
      <c r="S111" s="4">
        <v>46968</v>
      </c>
      <c r="T111" s="4">
        <v>522</v>
      </c>
      <c r="U111" s="4">
        <v>47662</v>
      </c>
      <c r="V111" s="4">
        <v>48184</v>
      </c>
      <c r="W111" s="4">
        <v>582</v>
      </c>
      <c r="X111" s="4">
        <v>53130</v>
      </c>
      <c r="Y111" s="4">
        <v>53712</v>
      </c>
      <c r="Z111" s="4">
        <v>342</v>
      </c>
      <c r="AA111" s="46">
        <v>35076</v>
      </c>
    </row>
    <row r="112" spans="1:27" x14ac:dyDescent="0.25">
      <c r="A112" s="44" t="s">
        <v>118</v>
      </c>
      <c r="B112" s="5" t="s">
        <v>668</v>
      </c>
      <c r="C112" s="45" t="s">
        <v>119</v>
      </c>
      <c r="D112" s="5" t="s">
        <v>453</v>
      </c>
      <c r="E112" s="5">
        <v>29.68</v>
      </c>
      <c r="F112" s="5">
        <v>217.3</v>
      </c>
      <c r="G112" s="5">
        <v>246.98</v>
      </c>
      <c r="H112" s="5">
        <v>0.42</v>
      </c>
      <c r="I112" s="5">
        <v>29</v>
      </c>
      <c r="J112" s="5">
        <v>0</v>
      </c>
      <c r="K112" s="5">
        <v>246</v>
      </c>
      <c r="L112" s="5">
        <v>350.08</v>
      </c>
      <c r="M112" s="5">
        <v>64.8</v>
      </c>
      <c r="N112" s="5">
        <v>70.86</v>
      </c>
      <c r="O112" s="5">
        <v>32.33</v>
      </c>
      <c r="P112" s="4">
        <v>86463</v>
      </c>
      <c r="Q112" s="4">
        <v>6868</v>
      </c>
      <c r="R112" s="4">
        <v>93331</v>
      </c>
      <c r="S112" s="4">
        <v>14600</v>
      </c>
      <c r="T112" s="4">
        <v>1879</v>
      </c>
      <c r="U112" s="4">
        <v>14062</v>
      </c>
      <c r="V112" s="4">
        <v>15941</v>
      </c>
      <c r="W112" s="4">
        <v>2055</v>
      </c>
      <c r="X112" s="4">
        <v>15377</v>
      </c>
      <c r="Y112" s="4">
        <v>17432</v>
      </c>
      <c r="Z112" s="4">
        <v>147</v>
      </c>
      <c r="AA112" s="46">
        <v>7985</v>
      </c>
    </row>
    <row r="113" spans="1:27" x14ac:dyDescent="0.25">
      <c r="A113" s="44" t="s">
        <v>118</v>
      </c>
      <c r="B113" s="5" t="s">
        <v>668</v>
      </c>
      <c r="C113" s="45" t="s">
        <v>120</v>
      </c>
      <c r="D113" s="5" t="s">
        <v>454</v>
      </c>
      <c r="E113" s="5">
        <v>46.68</v>
      </c>
      <c r="F113" s="5">
        <v>603.70000000000005</v>
      </c>
      <c r="G113" s="5">
        <v>650.38</v>
      </c>
      <c r="H113" s="5">
        <v>1.1100000000000001</v>
      </c>
      <c r="I113" s="5">
        <v>185</v>
      </c>
      <c r="J113" s="5">
        <v>0</v>
      </c>
      <c r="K113" s="5">
        <v>789</v>
      </c>
      <c r="L113" s="5">
        <v>350.08</v>
      </c>
      <c r="M113" s="5">
        <v>64.8</v>
      </c>
      <c r="N113" s="5">
        <v>70.86</v>
      </c>
      <c r="O113" s="5">
        <v>32.33</v>
      </c>
      <c r="P113" s="4">
        <v>227685</v>
      </c>
      <c r="Q113" s="4">
        <v>2543</v>
      </c>
      <c r="R113" s="4">
        <v>230228</v>
      </c>
      <c r="S113" s="4">
        <v>38447</v>
      </c>
      <c r="T113" s="4">
        <v>11988</v>
      </c>
      <c r="U113" s="4">
        <v>39139</v>
      </c>
      <c r="V113" s="4">
        <v>51127</v>
      </c>
      <c r="W113" s="4">
        <v>13109</v>
      </c>
      <c r="X113" s="4">
        <v>42800</v>
      </c>
      <c r="Y113" s="4">
        <v>55909</v>
      </c>
      <c r="Z113" s="4">
        <v>389</v>
      </c>
      <c r="AA113" s="46">
        <v>21216</v>
      </c>
    </row>
    <row r="114" spans="1:27" x14ac:dyDescent="0.25">
      <c r="A114" s="44" t="s">
        <v>118</v>
      </c>
      <c r="B114" s="5" t="s">
        <v>668</v>
      </c>
      <c r="C114" s="45" t="s">
        <v>121</v>
      </c>
      <c r="D114" s="5" t="s">
        <v>455</v>
      </c>
      <c r="E114" s="5">
        <v>16.739999999999998</v>
      </c>
      <c r="F114" s="5">
        <v>165.1</v>
      </c>
      <c r="G114" s="5">
        <v>181.84</v>
      </c>
      <c r="H114" s="5">
        <v>0.31</v>
      </c>
      <c r="I114" s="5">
        <v>5</v>
      </c>
      <c r="J114" s="5">
        <v>0</v>
      </c>
      <c r="K114" s="5">
        <v>170</v>
      </c>
      <c r="L114" s="5">
        <v>350.08</v>
      </c>
      <c r="M114" s="5">
        <v>64.8</v>
      </c>
      <c r="N114" s="5">
        <v>70.86</v>
      </c>
      <c r="O114" s="5">
        <v>32.33</v>
      </c>
      <c r="P114" s="4">
        <v>63659</v>
      </c>
      <c r="Q114" s="4">
        <v>9128</v>
      </c>
      <c r="R114" s="4">
        <v>72787</v>
      </c>
      <c r="S114" s="4">
        <v>10750</v>
      </c>
      <c r="T114" s="4">
        <v>324</v>
      </c>
      <c r="U114" s="4">
        <v>10692</v>
      </c>
      <c r="V114" s="4">
        <v>11016</v>
      </c>
      <c r="W114" s="4">
        <v>354</v>
      </c>
      <c r="X114" s="4">
        <v>11692</v>
      </c>
      <c r="Y114" s="4">
        <v>12046</v>
      </c>
      <c r="Z114" s="4">
        <v>109</v>
      </c>
      <c r="AA114" s="46">
        <v>5879</v>
      </c>
    </row>
    <row r="115" spans="1:27" x14ac:dyDescent="0.25">
      <c r="A115" s="44" t="s">
        <v>118</v>
      </c>
      <c r="B115" s="5" t="s">
        <v>668</v>
      </c>
      <c r="C115" s="45" t="s">
        <v>122</v>
      </c>
      <c r="D115" s="5" t="s">
        <v>456</v>
      </c>
      <c r="E115" s="5">
        <v>520.20000000000005</v>
      </c>
      <c r="F115" s="35">
        <v>3825.6</v>
      </c>
      <c r="G115" s="35">
        <v>4345.8</v>
      </c>
      <c r="H115" s="5">
        <v>7.38</v>
      </c>
      <c r="I115" s="5">
        <v>406</v>
      </c>
      <c r="J115" s="5">
        <v>0.5</v>
      </c>
      <c r="K115" s="4">
        <v>4231</v>
      </c>
      <c r="L115" s="5">
        <v>350.08</v>
      </c>
      <c r="M115" s="5">
        <v>64.8</v>
      </c>
      <c r="N115" s="5">
        <v>70.86</v>
      </c>
      <c r="O115" s="5">
        <v>32.33</v>
      </c>
      <c r="P115" s="4">
        <v>1521378</v>
      </c>
      <c r="Q115" s="4">
        <v>10523</v>
      </c>
      <c r="R115" s="4">
        <v>1531901</v>
      </c>
      <c r="S115" s="4">
        <v>256901</v>
      </c>
      <c r="T115" s="4">
        <v>26309</v>
      </c>
      <c r="U115" s="4">
        <v>247860</v>
      </c>
      <c r="V115" s="4">
        <v>274169</v>
      </c>
      <c r="W115" s="4">
        <v>28769</v>
      </c>
      <c r="X115" s="4">
        <v>271040</v>
      </c>
      <c r="Y115" s="4">
        <v>299809</v>
      </c>
      <c r="Z115" s="4">
        <v>2584</v>
      </c>
      <c r="AA115" s="46">
        <v>141167</v>
      </c>
    </row>
    <row r="116" spans="1:27" x14ac:dyDescent="0.25">
      <c r="A116" s="44" t="s">
        <v>118</v>
      </c>
      <c r="B116" s="5" t="s">
        <v>668</v>
      </c>
      <c r="C116" s="45" t="s">
        <v>123</v>
      </c>
      <c r="D116" s="5" t="s">
        <v>457</v>
      </c>
      <c r="E116" s="5">
        <v>50.19</v>
      </c>
      <c r="F116" s="5">
        <v>350.6</v>
      </c>
      <c r="G116" s="5">
        <v>400.79</v>
      </c>
      <c r="H116" s="5">
        <v>0.68</v>
      </c>
      <c r="I116" s="5">
        <v>4</v>
      </c>
      <c r="J116" s="5">
        <v>0</v>
      </c>
      <c r="K116" s="5">
        <v>355</v>
      </c>
      <c r="L116" s="5">
        <v>350.08</v>
      </c>
      <c r="M116" s="5">
        <v>64.8</v>
      </c>
      <c r="N116" s="5">
        <v>70.86</v>
      </c>
      <c r="O116" s="5">
        <v>32.33</v>
      </c>
      <c r="P116" s="4">
        <v>140309</v>
      </c>
      <c r="Q116" s="4">
        <v>15410</v>
      </c>
      <c r="R116" s="4">
        <v>155719</v>
      </c>
      <c r="S116" s="4">
        <v>23693</v>
      </c>
      <c r="T116" s="4">
        <v>259</v>
      </c>
      <c r="U116" s="4">
        <v>22745</v>
      </c>
      <c r="V116" s="4">
        <v>23004</v>
      </c>
      <c r="W116" s="4">
        <v>283</v>
      </c>
      <c r="X116" s="4">
        <v>24872</v>
      </c>
      <c r="Y116" s="4">
        <v>25155</v>
      </c>
      <c r="Z116" s="4">
        <v>238</v>
      </c>
      <c r="AA116" s="46">
        <v>13039</v>
      </c>
    </row>
    <row r="117" spans="1:27" x14ac:dyDescent="0.25">
      <c r="A117" s="44" t="s">
        <v>118</v>
      </c>
      <c r="B117" s="5" t="s">
        <v>668</v>
      </c>
      <c r="C117" s="45" t="s">
        <v>124</v>
      </c>
      <c r="D117" s="5" t="s">
        <v>458</v>
      </c>
      <c r="E117" s="5">
        <v>114.19</v>
      </c>
      <c r="F117" s="5">
        <v>808.3</v>
      </c>
      <c r="G117" s="5">
        <v>922.49</v>
      </c>
      <c r="H117" s="5">
        <v>1.57</v>
      </c>
      <c r="I117" s="5">
        <v>19</v>
      </c>
      <c r="J117" s="5">
        <v>0</v>
      </c>
      <c r="K117" s="5">
        <v>827</v>
      </c>
      <c r="L117" s="5">
        <v>350.08</v>
      </c>
      <c r="M117" s="5">
        <v>64.8</v>
      </c>
      <c r="N117" s="5">
        <v>70.86</v>
      </c>
      <c r="O117" s="5">
        <v>32.33</v>
      </c>
      <c r="P117" s="4">
        <v>322945</v>
      </c>
      <c r="Q117" s="5">
        <v>0</v>
      </c>
      <c r="R117" s="4">
        <v>322945</v>
      </c>
      <c r="S117" s="4">
        <v>54532</v>
      </c>
      <c r="T117" s="4">
        <v>1231</v>
      </c>
      <c r="U117" s="4">
        <v>52359</v>
      </c>
      <c r="V117" s="4">
        <v>53590</v>
      </c>
      <c r="W117" s="4">
        <v>1346</v>
      </c>
      <c r="X117" s="4">
        <v>57255</v>
      </c>
      <c r="Y117" s="4">
        <v>58601</v>
      </c>
      <c r="Z117" s="4">
        <v>550</v>
      </c>
      <c r="AA117" s="46">
        <v>29824</v>
      </c>
    </row>
    <row r="118" spans="1:27" x14ac:dyDescent="0.25">
      <c r="A118" s="44" t="s">
        <v>118</v>
      </c>
      <c r="B118" s="5" t="s">
        <v>668</v>
      </c>
      <c r="C118" s="47" t="s">
        <v>125</v>
      </c>
      <c r="D118" s="5" t="s">
        <v>459</v>
      </c>
      <c r="E118" s="5">
        <v>187.61</v>
      </c>
      <c r="F118" s="35">
        <v>1460.4</v>
      </c>
      <c r="G118" s="35">
        <v>1648.01</v>
      </c>
      <c r="H118" s="5">
        <v>2.8</v>
      </c>
      <c r="I118" s="5">
        <v>162</v>
      </c>
      <c r="J118" s="5">
        <v>0.3</v>
      </c>
      <c r="K118" s="4">
        <v>1622</v>
      </c>
      <c r="L118" s="5">
        <v>350.08</v>
      </c>
      <c r="M118" s="5">
        <v>64.8</v>
      </c>
      <c r="N118" s="5">
        <v>70.86</v>
      </c>
      <c r="O118" s="5">
        <v>32.33</v>
      </c>
      <c r="P118" s="4">
        <v>576935</v>
      </c>
      <c r="Q118" s="5">
        <v>0</v>
      </c>
      <c r="R118" s="4">
        <v>576935</v>
      </c>
      <c r="S118" s="4">
        <v>97422</v>
      </c>
      <c r="T118" s="4">
        <v>10498</v>
      </c>
      <c r="U118" s="4">
        <v>94608</v>
      </c>
      <c r="V118" s="4">
        <v>105106</v>
      </c>
      <c r="W118" s="4">
        <v>11479</v>
      </c>
      <c r="X118" s="4">
        <v>103456</v>
      </c>
      <c r="Y118" s="4">
        <v>114935</v>
      </c>
      <c r="Z118" s="4">
        <v>980</v>
      </c>
      <c r="AA118" s="46">
        <v>53280</v>
      </c>
    </row>
    <row r="119" spans="1:27" x14ac:dyDescent="0.25">
      <c r="A119" s="44" t="s">
        <v>118</v>
      </c>
      <c r="B119" s="5" t="s">
        <v>668</v>
      </c>
      <c r="C119" s="47" t="s">
        <v>126</v>
      </c>
      <c r="D119" s="5" t="s">
        <v>460</v>
      </c>
      <c r="E119" s="5">
        <v>798.58</v>
      </c>
      <c r="F119" s="35">
        <v>3584.2</v>
      </c>
      <c r="G119" s="35">
        <v>4382.78</v>
      </c>
      <c r="H119" s="5">
        <v>7.43</v>
      </c>
      <c r="I119" s="5">
        <v>188</v>
      </c>
      <c r="J119" s="5">
        <v>0</v>
      </c>
      <c r="K119" s="4">
        <v>3772</v>
      </c>
      <c r="L119" s="5">
        <v>350.08</v>
      </c>
      <c r="M119" s="5">
        <v>64.8</v>
      </c>
      <c r="N119" s="5">
        <v>70.86</v>
      </c>
      <c r="O119" s="5">
        <v>32.33</v>
      </c>
      <c r="P119" s="4">
        <v>1534324</v>
      </c>
      <c r="Q119" s="5">
        <v>0</v>
      </c>
      <c r="R119" s="4">
        <v>1534324</v>
      </c>
      <c r="S119" s="4">
        <v>259087</v>
      </c>
      <c r="T119" s="4">
        <v>12182</v>
      </c>
      <c r="U119" s="4">
        <v>232244</v>
      </c>
      <c r="V119" s="4">
        <v>244426</v>
      </c>
      <c r="W119" s="4">
        <v>13322</v>
      </c>
      <c r="X119" s="4">
        <v>253962</v>
      </c>
      <c r="Y119" s="4">
        <v>267284</v>
      </c>
      <c r="Z119" s="4">
        <v>2601</v>
      </c>
      <c r="AA119" s="46">
        <v>141695</v>
      </c>
    </row>
    <row r="120" spans="1:27" x14ac:dyDescent="0.25">
      <c r="A120" s="44" t="s">
        <v>118</v>
      </c>
      <c r="B120" s="5" t="s">
        <v>668</v>
      </c>
      <c r="C120" s="47" t="s">
        <v>127</v>
      </c>
      <c r="D120" s="5" t="s">
        <v>461</v>
      </c>
      <c r="E120" s="5">
        <v>120.32</v>
      </c>
      <c r="F120" s="5">
        <v>762.5</v>
      </c>
      <c r="G120" s="5">
        <v>882.82</v>
      </c>
      <c r="H120" s="5">
        <v>1.5</v>
      </c>
      <c r="I120" s="5">
        <v>2</v>
      </c>
      <c r="J120" s="5">
        <v>0</v>
      </c>
      <c r="K120" s="5">
        <v>765</v>
      </c>
      <c r="L120" s="5">
        <v>350.08</v>
      </c>
      <c r="M120" s="5">
        <v>64.8</v>
      </c>
      <c r="N120" s="5">
        <v>70.86</v>
      </c>
      <c r="O120" s="5">
        <v>32.33</v>
      </c>
      <c r="P120" s="4">
        <v>309058</v>
      </c>
      <c r="Q120" s="5">
        <v>0</v>
      </c>
      <c r="R120" s="4">
        <v>309058</v>
      </c>
      <c r="S120" s="4">
        <v>52187</v>
      </c>
      <c r="T120" s="4">
        <v>130</v>
      </c>
      <c r="U120" s="4">
        <v>49442</v>
      </c>
      <c r="V120" s="4">
        <v>49572</v>
      </c>
      <c r="W120" s="4">
        <v>142</v>
      </c>
      <c r="X120" s="4">
        <v>54066</v>
      </c>
      <c r="Y120" s="4">
        <v>54208</v>
      </c>
      <c r="Z120" s="4">
        <v>525</v>
      </c>
      <c r="AA120" s="46">
        <v>28542</v>
      </c>
    </row>
    <row r="121" spans="1:27" x14ac:dyDescent="0.25">
      <c r="A121" s="44" t="s">
        <v>118</v>
      </c>
      <c r="B121" s="5" t="s">
        <v>668</v>
      </c>
      <c r="C121" s="47" t="s">
        <v>128</v>
      </c>
      <c r="D121" s="5" t="s">
        <v>462</v>
      </c>
      <c r="E121" s="35">
        <v>2589.98</v>
      </c>
      <c r="F121" s="35">
        <v>13566.8</v>
      </c>
      <c r="G121" s="35">
        <v>16156.78</v>
      </c>
      <c r="H121" s="5">
        <v>27.44</v>
      </c>
      <c r="I121" s="4">
        <v>2041</v>
      </c>
      <c r="J121" s="5">
        <v>1.8</v>
      </c>
      <c r="K121" s="4">
        <v>15606</v>
      </c>
      <c r="L121" s="5">
        <v>350.08</v>
      </c>
      <c r="M121" s="5">
        <v>64.8</v>
      </c>
      <c r="N121" s="5">
        <v>70.86</v>
      </c>
      <c r="O121" s="5">
        <v>32.33</v>
      </c>
      <c r="P121" s="4">
        <v>5656166</v>
      </c>
      <c r="Q121" s="5">
        <v>0</v>
      </c>
      <c r="R121" s="4">
        <v>5656166</v>
      </c>
      <c r="S121" s="4">
        <v>955105</v>
      </c>
      <c r="T121" s="4">
        <v>132257</v>
      </c>
      <c r="U121" s="4">
        <v>879012</v>
      </c>
      <c r="V121" s="4">
        <v>1011269</v>
      </c>
      <c r="W121" s="4">
        <v>144625</v>
      </c>
      <c r="X121" s="4">
        <v>961216</v>
      </c>
      <c r="Y121" s="4">
        <v>1105841</v>
      </c>
      <c r="Z121" s="4">
        <v>9606</v>
      </c>
      <c r="AA121" s="46">
        <v>522349</v>
      </c>
    </row>
    <row r="122" spans="1:27" x14ac:dyDescent="0.25">
      <c r="A122" s="44" t="s">
        <v>118</v>
      </c>
      <c r="B122" s="5" t="s">
        <v>668</v>
      </c>
      <c r="C122" s="47" t="s">
        <v>129</v>
      </c>
      <c r="D122" s="5" t="s">
        <v>463</v>
      </c>
      <c r="E122" s="5">
        <v>26.33</v>
      </c>
      <c r="F122" s="5">
        <v>172</v>
      </c>
      <c r="G122" s="5">
        <v>198.33</v>
      </c>
      <c r="H122" s="5">
        <v>0.34</v>
      </c>
      <c r="I122" s="5">
        <v>0</v>
      </c>
      <c r="J122" s="5">
        <v>0</v>
      </c>
      <c r="K122" s="5">
        <v>172</v>
      </c>
      <c r="L122" s="5">
        <v>350.08</v>
      </c>
      <c r="M122" s="5">
        <v>64.8</v>
      </c>
      <c r="N122" s="5">
        <v>70.86</v>
      </c>
      <c r="O122" s="5">
        <v>32.33</v>
      </c>
      <c r="P122" s="4">
        <v>69431</v>
      </c>
      <c r="Q122" s="4">
        <v>6427</v>
      </c>
      <c r="R122" s="4">
        <v>75858</v>
      </c>
      <c r="S122" s="4">
        <v>11725</v>
      </c>
      <c r="T122" s="4">
        <v>0</v>
      </c>
      <c r="U122" s="4">
        <v>11146</v>
      </c>
      <c r="V122" s="4">
        <v>11146</v>
      </c>
      <c r="W122" s="4">
        <v>0</v>
      </c>
      <c r="X122" s="4">
        <v>12188</v>
      </c>
      <c r="Y122" s="4">
        <v>12188</v>
      </c>
      <c r="Z122" s="4">
        <v>119</v>
      </c>
      <c r="AA122" s="46">
        <v>6469</v>
      </c>
    </row>
    <row r="123" spans="1:27" x14ac:dyDescent="0.25">
      <c r="A123" s="44" t="s">
        <v>118</v>
      </c>
      <c r="B123" s="5" t="s">
        <v>668</v>
      </c>
      <c r="C123" s="47" t="s">
        <v>130</v>
      </c>
      <c r="D123" s="5" t="s">
        <v>464</v>
      </c>
      <c r="E123" s="5">
        <v>57.15</v>
      </c>
      <c r="F123" s="5">
        <v>470.7</v>
      </c>
      <c r="G123" s="5">
        <v>527.85</v>
      </c>
      <c r="H123" s="5">
        <v>0.9</v>
      </c>
      <c r="I123" s="5">
        <v>5</v>
      </c>
      <c r="J123" s="5">
        <v>0</v>
      </c>
      <c r="K123" s="5">
        <v>476</v>
      </c>
      <c r="L123" s="5">
        <v>350.08</v>
      </c>
      <c r="M123" s="5">
        <v>64.8</v>
      </c>
      <c r="N123" s="5">
        <v>70.86</v>
      </c>
      <c r="O123" s="5">
        <v>32.33</v>
      </c>
      <c r="P123" s="4">
        <v>184790</v>
      </c>
      <c r="Q123" s="4">
        <v>8250</v>
      </c>
      <c r="R123" s="4">
        <v>193040</v>
      </c>
      <c r="S123" s="4">
        <v>31204</v>
      </c>
      <c r="T123" s="4">
        <v>324</v>
      </c>
      <c r="U123" s="4">
        <v>30521</v>
      </c>
      <c r="V123" s="4">
        <v>30845</v>
      </c>
      <c r="W123" s="4">
        <v>354</v>
      </c>
      <c r="X123" s="4">
        <v>33375</v>
      </c>
      <c r="Y123" s="4">
        <v>33729</v>
      </c>
      <c r="Z123" s="4">
        <v>315</v>
      </c>
      <c r="AA123" s="46">
        <v>17310</v>
      </c>
    </row>
    <row r="124" spans="1:27" x14ac:dyDescent="0.25">
      <c r="A124" s="44" t="s">
        <v>118</v>
      </c>
      <c r="B124" s="5" t="s">
        <v>668</v>
      </c>
      <c r="C124" s="47" t="s">
        <v>131</v>
      </c>
      <c r="D124" s="5" t="s">
        <v>465</v>
      </c>
      <c r="E124" s="5">
        <v>72.45</v>
      </c>
      <c r="F124" s="5">
        <v>531.6</v>
      </c>
      <c r="G124" s="5">
        <v>604.04999999999995</v>
      </c>
      <c r="H124" s="5">
        <v>1.03</v>
      </c>
      <c r="I124" s="5">
        <v>6</v>
      </c>
      <c r="J124" s="5">
        <v>4.2</v>
      </c>
      <c r="K124" s="5">
        <v>533</v>
      </c>
      <c r="L124" s="5">
        <v>350.08</v>
      </c>
      <c r="M124" s="5">
        <v>64.8</v>
      </c>
      <c r="N124" s="5">
        <v>70.86</v>
      </c>
      <c r="O124" s="5">
        <v>32.33</v>
      </c>
      <c r="P124" s="4">
        <v>211466</v>
      </c>
      <c r="Q124" s="4">
        <v>10683</v>
      </c>
      <c r="R124" s="4">
        <v>222149</v>
      </c>
      <c r="S124" s="4">
        <v>35708</v>
      </c>
      <c r="T124" s="4">
        <v>389</v>
      </c>
      <c r="U124" s="4">
        <v>34149</v>
      </c>
      <c r="V124" s="4">
        <v>34538</v>
      </c>
      <c r="W124" s="4">
        <v>425</v>
      </c>
      <c r="X124" s="4">
        <v>37343</v>
      </c>
      <c r="Y124" s="4">
        <v>37768</v>
      </c>
      <c r="Z124" s="4">
        <v>361</v>
      </c>
      <c r="AA124" s="46">
        <v>20169</v>
      </c>
    </row>
    <row r="125" spans="1:27" x14ac:dyDescent="0.25">
      <c r="A125" s="44" t="s">
        <v>118</v>
      </c>
      <c r="B125" s="5" t="s">
        <v>668</v>
      </c>
      <c r="C125" s="47" t="s">
        <v>132</v>
      </c>
      <c r="D125" s="5" t="s">
        <v>466</v>
      </c>
      <c r="E125" s="5">
        <v>86.82</v>
      </c>
      <c r="F125" s="5">
        <v>669</v>
      </c>
      <c r="G125" s="5">
        <v>755.82</v>
      </c>
      <c r="H125" s="5">
        <v>1.28</v>
      </c>
      <c r="I125" s="5">
        <v>3</v>
      </c>
      <c r="J125" s="5">
        <v>0</v>
      </c>
      <c r="K125" s="5">
        <v>672</v>
      </c>
      <c r="L125" s="5">
        <v>350.08</v>
      </c>
      <c r="M125" s="5">
        <v>64.8</v>
      </c>
      <c r="N125" s="5">
        <v>70.86</v>
      </c>
      <c r="O125" s="5">
        <v>32.33</v>
      </c>
      <c r="P125" s="4">
        <v>264597</v>
      </c>
      <c r="Q125" s="5">
        <v>0</v>
      </c>
      <c r="R125" s="4">
        <v>264597</v>
      </c>
      <c r="S125" s="4">
        <v>44680</v>
      </c>
      <c r="T125" s="4">
        <v>194</v>
      </c>
      <c r="U125" s="4">
        <v>43352</v>
      </c>
      <c r="V125" s="4">
        <v>43546</v>
      </c>
      <c r="W125" s="4">
        <v>213</v>
      </c>
      <c r="X125" s="4">
        <v>47405</v>
      </c>
      <c r="Y125" s="4">
        <v>47618</v>
      </c>
      <c r="Z125" s="4">
        <v>448</v>
      </c>
      <c r="AA125" s="46">
        <v>24436</v>
      </c>
    </row>
    <row r="126" spans="1:27" x14ac:dyDescent="0.25">
      <c r="A126" s="44" t="s">
        <v>118</v>
      </c>
      <c r="B126" s="5" t="s">
        <v>668</v>
      </c>
      <c r="C126" s="47" t="s">
        <v>133</v>
      </c>
      <c r="D126" s="5" t="s">
        <v>467</v>
      </c>
      <c r="E126" s="5">
        <v>267.85000000000002</v>
      </c>
      <c r="F126" s="35">
        <v>1201.3</v>
      </c>
      <c r="G126" s="35">
        <v>1469.15</v>
      </c>
      <c r="H126" s="5">
        <v>2.4900000000000002</v>
      </c>
      <c r="I126" s="5">
        <v>144</v>
      </c>
      <c r="J126" s="5">
        <v>0.2</v>
      </c>
      <c r="K126" s="4">
        <v>1345</v>
      </c>
      <c r="L126" s="5">
        <v>350.08</v>
      </c>
      <c r="M126" s="5">
        <v>64.8</v>
      </c>
      <c r="N126" s="5">
        <v>70.86</v>
      </c>
      <c r="O126" s="5">
        <v>32.33</v>
      </c>
      <c r="P126" s="4">
        <v>514320</v>
      </c>
      <c r="Q126" s="4">
        <v>1353</v>
      </c>
      <c r="R126" s="4">
        <v>515673</v>
      </c>
      <c r="S126" s="4">
        <v>86849</v>
      </c>
      <c r="T126" s="4">
        <v>9331</v>
      </c>
      <c r="U126" s="4">
        <v>77825</v>
      </c>
      <c r="V126" s="4">
        <v>87156</v>
      </c>
      <c r="W126" s="4">
        <v>10204</v>
      </c>
      <c r="X126" s="4">
        <v>85103</v>
      </c>
      <c r="Y126" s="4">
        <v>95307</v>
      </c>
      <c r="Z126" s="4">
        <v>872</v>
      </c>
      <c r="AA126" s="46">
        <v>47520</v>
      </c>
    </row>
    <row r="127" spans="1:27" x14ac:dyDescent="0.25">
      <c r="A127" s="44" t="s">
        <v>118</v>
      </c>
      <c r="B127" s="5" t="s">
        <v>668</v>
      </c>
      <c r="C127" s="47" t="s">
        <v>134</v>
      </c>
      <c r="D127" s="5" t="s">
        <v>468</v>
      </c>
      <c r="E127" s="5">
        <v>714.39</v>
      </c>
      <c r="F127" s="35">
        <v>4315.8999999999996</v>
      </c>
      <c r="G127" s="35">
        <v>5030.29</v>
      </c>
      <c r="H127" s="5">
        <v>8.5399999999999991</v>
      </c>
      <c r="I127" s="5">
        <v>262</v>
      </c>
      <c r="J127" s="5">
        <v>0.1</v>
      </c>
      <c r="K127" s="4">
        <v>4578</v>
      </c>
      <c r="L127" s="5">
        <v>350.08</v>
      </c>
      <c r="M127" s="5">
        <v>64.8</v>
      </c>
      <c r="N127" s="5">
        <v>70.86</v>
      </c>
      <c r="O127" s="5">
        <v>32.33</v>
      </c>
      <c r="P127" s="4">
        <v>1761004</v>
      </c>
      <c r="Q127" s="5">
        <v>0</v>
      </c>
      <c r="R127" s="4">
        <v>1761004</v>
      </c>
      <c r="S127" s="4">
        <v>297365</v>
      </c>
      <c r="T127" s="4">
        <v>16978</v>
      </c>
      <c r="U127" s="4">
        <v>279676</v>
      </c>
      <c r="V127" s="4">
        <v>296654</v>
      </c>
      <c r="W127" s="4">
        <v>18565</v>
      </c>
      <c r="X127" s="4">
        <v>305832</v>
      </c>
      <c r="Y127" s="4">
        <v>324397</v>
      </c>
      <c r="Z127" s="4">
        <v>2990</v>
      </c>
      <c r="AA127" s="46">
        <v>162629</v>
      </c>
    </row>
    <row r="128" spans="1:27" x14ac:dyDescent="0.25">
      <c r="A128" s="44" t="s">
        <v>118</v>
      </c>
      <c r="B128" s="5" t="s">
        <v>668</v>
      </c>
      <c r="C128" s="47" t="s">
        <v>135</v>
      </c>
      <c r="D128" s="5" t="s">
        <v>469</v>
      </c>
      <c r="E128" s="5">
        <v>263.11</v>
      </c>
      <c r="F128" s="35">
        <v>2991.3</v>
      </c>
      <c r="G128" s="35">
        <v>3254.41</v>
      </c>
      <c r="H128" s="5">
        <v>5.53</v>
      </c>
      <c r="I128" s="5">
        <v>69</v>
      </c>
      <c r="J128" s="5">
        <v>0</v>
      </c>
      <c r="K128" s="4">
        <v>3060</v>
      </c>
      <c r="L128" s="5">
        <v>350.08</v>
      </c>
      <c r="M128" s="5">
        <v>64.8</v>
      </c>
      <c r="N128" s="5">
        <v>70.86</v>
      </c>
      <c r="O128" s="5">
        <v>32.33</v>
      </c>
      <c r="P128" s="4">
        <v>1139304</v>
      </c>
      <c r="Q128" s="5">
        <v>444</v>
      </c>
      <c r="R128" s="4">
        <v>1139748</v>
      </c>
      <c r="S128" s="4">
        <v>192384</v>
      </c>
      <c r="T128" s="4">
        <v>4471</v>
      </c>
      <c r="U128" s="4">
        <v>193817</v>
      </c>
      <c r="V128" s="4">
        <v>198288</v>
      </c>
      <c r="W128" s="4">
        <v>4889</v>
      </c>
      <c r="X128" s="4">
        <v>211943</v>
      </c>
      <c r="Y128" s="4">
        <v>216832</v>
      </c>
      <c r="Z128" s="4">
        <v>1936</v>
      </c>
      <c r="AA128" s="46">
        <v>105215</v>
      </c>
    </row>
    <row r="129" spans="1:27" x14ac:dyDescent="0.25">
      <c r="A129" s="44" t="s">
        <v>118</v>
      </c>
      <c r="B129" s="5" t="s">
        <v>668</v>
      </c>
      <c r="C129" s="47" t="s">
        <v>136</v>
      </c>
      <c r="D129" s="5" t="s">
        <v>470</v>
      </c>
      <c r="E129" s="5">
        <v>62.39</v>
      </c>
      <c r="F129" s="5">
        <v>491</v>
      </c>
      <c r="G129" s="5">
        <v>553.39</v>
      </c>
      <c r="H129" s="5">
        <v>0.94</v>
      </c>
      <c r="I129" s="5">
        <v>6</v>
      </c>
      <c r="J129" s="5">
        <v>0</v>
      </c>
      <c r="K129" s="5">
        <v>497</v>
      </c>
      <c r="L129" s="5">
        <v>350.08</v>
      </c>
      <c r="M129" s="5">
        <v>64.8</v>
      </c>
      <c r="N129" s="5">
        <v>70.86</v>
      </c>
      <c r="O129" s="5">
        <v>32.33</v>
      </c>
      <c r="P129" s="4">
        <v>193731</v>
      </c>
      <c r="Q129" s="4">
        <v>4342</v>
      </c>
      <c r="R129" s="4">
        <v>198073</v>
      </c>
      <c r="S129" s="4">
        <v>32713</v>
      </c>
      <c r="T129" s="4">
        <v>389</v>
      </c>
      <c r="U129" s="4">
        <v>31817</v>
      </c>
      <c r="V129" s="4">
        <v>32206</v>
      </c>
      <c r="W129" s="4">
        <v>425</v>
      </c>
      <c r="X129" s="4">
        <v>34792</v>
      </c>
      <c r="Y129" s="4">
        <v>35217</v>
      </c>
      <c r="Z129" s="4">
        <v>329</v>
      </c>
      <c r="AA129" s="46">
        <v>17891</v>
      </c>
    </row>
    <row r="130" spans="1:27" x14ac:dyDescent="0.25">
      <c r="A130" s="44" t="s">
        <v>118</v>
      </c>
      <c r="B130" s="5" t="s">
        <v>668</v>
      </c>
      <c r="C130" s="47" t="s">
        <v>137</v>
      </c>
      <c r="D130" s="5" t="s">
        <v>471</v>
      </c>
      <c r="E130" s="5">
        <v>471.11</v>
      </c>
      <c r="F130" s="35">
        <v>5497.5</v>
      </c>
      <c r="G130" s="35">
        <v>5968.61</v>
      </c>
      <c r="H130" s="5">
        <v>10.130000000000001</v>
      </c>
      <c r="I130" s="5">
        <v>250</v>
      </c>
      <c r="J130" s="5">
        <v>0</v>
      </c>
      <c r="K130" s="4">
        <v>5748</v>
      </c>
      <c r="L130" s="5">
        <v>350.08</v>
      </c>
      <c r="M130" s="5">
        <v>64.8</v>
      </c>
      <c r="N130" s="5">
        <v>70.86</v>
      </c>
      <c r="O130" s="5">
        <v>32.33</v>
      </c>
      <c r="P130" s="4">
        <v>2089491</v>
      </c>
      <c r="Q130" s="5">
        <v>0</v>
      </c>
      <c r="R130" s="4">
        <v>2089491</v>
      </c>
      <c r="S130" s="4">
        <v>352833</v>
      </c>
      <c r="T130" s="4">
        <v>16200</v>
      </c>
      <c r="U130" s="4">
        <v>356270</v>
      </c>
      <c r="V130" s="4">
        <v>372470</v>
      </c>
      <c r="W130" s="4">
        <v>17715</v>
      </c>
      <c r="X130" s="4">
        <v>389588</v>
      </c>
      <c r="Y130" s="4">
        <v>407303</v>
      </c>
      <c r="Z130" s="4">
        <v>3546</v>
      </c>
      <c r="AA130" s="46">
        <v>192965</v>
      </c>
    </row>
    <row r="131" spans="1:27" x14ac:dyDescent="0.25">
      <c r="A131" s="44" t="s">
        <v>118</v>
      </c>
      <c r="B131" s="5" t="s">
        <v>668</v>
      </c>
      <c r="C131" s="47" t="s">
        <v>138</v>
      </c>
      <c r="D131" s="5" t="s">
        <v>472</v>
      </c>
      <c r="E131" s="5">
        <v>149.36000000000001</v>
      </c>
      <c r="F131" s="35">
        <v>1236.0999999999999</v>
      </c>
      <c r="G131" s="35">
        <v>1385.46</v>
      </c>
      <c r="H131" s="5">
        <v>2.35</v>
      </c>
      <c r="I131" s="5">
        <v>8</v>
      </c>
      <c r="J131" s="5">
        <v>0</v>
      </c>
      <c r="K131" s="4">
        <v>1244</v>
      </c>
      <c r="L131" s="5">
        <v>350.08</v>
      </c>
      <c r="M131" s="5">
        <v>64.8</v>
      </c>
      <c r="N131" s="5">
        <v>70.86</v>
      </c>
      <c r="O131" s="5">
        <v>32.33</v>
      </c>
      <c r="P131" s="4">
        <v>485022</v>
      </c>
      <c r="Q131" s="5">
        <v>0</v>
      </c>
      <c r="R131" s="4">
        <v>485022</v>
      </c>
      <c r="S131" s="4">
        <v>81901</v>
      </c>
      <c r="T131" s="4">
        <v>518</v>
      </c>
      <c r="U131" s="4">
        <v>80093</v>
      </c>
      <c r="V131" s="4">
        <v>80611</v>
      </c>
      <c r="W131" s="4">
        <v>567</v>
      </c>
      <c r="X131" s="4">
        <v>87583</v>
      </c>
      <c r="Y131" s="4">
        <v>88150</v>
      </c>
      <c r="Z131" s="4">
        <v>823</v>
      </c>
      <c r="AA131" s="46">
        <v>44792</v>
      </c>
    </row>
    <row r="132" spans="1:27" x14ac:dyDescent="0.25">
      <c r="A132" s="44" t="s">
        <v>118</v>
      </c>
      <c r="B132" s="5" t="s">
        <v>668</v>
      </c>
      <c r="C132" s="47" t="s">
        <v>139</v>
      </c>
      <c r="D132" s="5" t="s">
        <v>473</v>
      </c>
      <c r="E132" s="5">
        <v>81.58</v>
      </c>
      <c r="F132" s="5">
        <v>815.4</v>
      </c>
      <c r="G132" s="5">
        <v>896.98</v>
      </c>
      <c r="H132" s="5">
        <v>1.52</v>
      </c>
      <c r="I132" s="5">
        <v>0</v>
      </c>
      <c r="J132" s="5">
        <v>0</v>
      </c>
      <c r="K132" s="5">
        <v>815</v>
      </c>
      <c r="L132" s="5">
        <v>350.08</v>
      </c>
      <c r="M132" s="5">
        <v>64.8</v>
      </c>
      <c r="N132" s="5">
        <v>70.86</v>
      </c>
      <c r="O132" s="5">
        <v>32.33</v>
      </c>
      <c r="P132" s="4">
        <v>314015</v>
      </c>
      <c r="Q132" s="4">
        <v>8267</v>
      </c>
      <c r="R132" s="4">
        <v>322282</v>
      </c>
      <c r="S132" s="4">
        <v>53024</v>
      </c>
      <c r="T132" s="4">
        <v>0</v>
      </c>
      <c r="U132" s="4">
        <v>52812</v>
      </c>
      <c r="V132" s="4">
        <v>52812</v>
      </c>
      <c r="W132" s="4">
        <v>0</v>
      </c>
      <c r="X132" s="4">
        <v>57751</v>
      </c>
      <c r="Y132" s="4">
        <v>57751</v>
      </c>
      <c r="Z132" s="4">
        <v>532</v>
      </c>
      <c r="AA132" s="46">
        <v>29699</v>
      </c>
    </row>
    <row r="133" spans="1:27" x14ac:dyDescent="0.25">
      <c r="A133" s="48">
        <v>10</v>
      </c>
      <c r="B133" s="5" t="s">
        <v>669</v>
      </c>
      <c r="C133" s="45" t="s">
        <v>141</v>
      </c>
      <c r="D133" s="5" t="s">
        <v>474</v>
      </c>
      <c r="E133" s="5">
        <v>44.3</v>
      </c>
      <c r="F133" s="5">
        <v>541.5</v>
      </c>
      <c r="G133" s="5">
        <v>585.79999999999995</v>
      </c>
      <c r="H133" s="5">
        <v>0.65</v>
      </c>
      <c r="I133" s="5">
        <v>21</v>
      </c>
      <c r="J133" s="5">
        <v>0</v>
      </c>
      <c r="K133" s="5">
        <v>563</v>
      </c>
      <c r="L133" s="5">
        <v>348.16</v>
      </c>
      <c r="M133" s="5">
        <v>64.98</v>
      </c>
      <c r="N133" s="5">
        <v>71.459999999999994</v>
      </c>
      <c r="O133" s="5">
        <v>33.08</v>
      </c>
      <c r="P133" s="4">
        <v>203952</v>
      </c>
      <c r="Q133" s="5">
        <v>0</v>
      </c>
      <c r="R133" s="4">
        <v>203952</v>
      </c>
      <c r="S133" s="4">
        <v>34629</v>
      </c>
      <c r="T133" s="4">
        <v>1365</v>
      </c>
      <c r="U133" s="4">
        <v>35219</v>
      </c>
      <c r="V133" s="4">
        <v>36584</v>
      </c>
      <c r="W133" s="4">
        <v>1501</v>
      </c>
      <c r="X133" s="4">
        <v>38731</v>
      </c>
      <c r="Y133" s="4">
        <v>40232</v>
      </c>
      <c r="Z133" s="4">
        <v>226</v>
      </c>
      <c r="AA133" s="46">
        <v>19378</v>
      </c>
    </row>
    <row r="134" spans="1:27" x14ac:dyDescent="0.25">
      <c r="A134" s="48">
        <v>10</v>
      </c>
      <c r="B134" s="5" t="s">
        <v>669</v>
      </c>
      <c r="C134" s="45" t="s">
        <v>142</v>
      </c>
      <c r="D134" s="5" t="s">
        <v>475</v>
      </c>
      <c r="E134" s="5">
        <v>114.19</v>
      </c>
      <c r="F134" s="35">
        <v>1202.2</v>
      </c>
      <c r="G134" s="35">
        <v>1316.39</v>
      </c>
      <c r="H134" s="5">
        <v>1.46</v>
      </c>
      <c r="I134" s="5">
        <v>68</v>
      </c>
      <c r="J134" s="5">
        <v>0</v>
      </c>
      <c r="K134" s="4">
        <v>1270</v>
      </c>
      <c r="L134" s="5">
        <v>348.16</v>
      </c>
      <c r="M134" s="5">
        <v>64.98</v>
      </c>
      <c r="N134" s="5">
        <v>71.459999999999994</v>
      </c>
      <c r="O134" s="5">
        <v>33.08</v>
      </c>
      <c r="P134" s="4">
        <v>458314</v>
      </c>
      <c r="Q134" s="4">
        <v>15810</v>
      </c>
      <c r="R134" s="4">
        <v>474124</v>
      </c>
      <c r="S134" s="4">
        <v>77818</v>
      </c>
      <c r="T134" s="4">
        <v>4419</v>
      </c>
      <c r="U134" s="4">
        <v>78106</v>
      </c>
      <c r="V134" s="4">
        <v>82525</v>
      </c>
      <c r="W134" s="4">
        <v>4859</v>
      </c>
      <c r="X134" s="4">
        <v>85895</v>
      </c>
      <c r="Y134" s="4">
        <v>90754</v>
      </c>
      <c r="Z134" s="4">
        <v>508</v>
      </c>
      <c r="AA134" s="46">
        <v>44979</v>
      </c>
    </row>
    <row r="135" spans="1:27" x14ac:dyDescent="0.25">
      <c r="A135" s="48">
        <v>10</v>
      </c>
      <c r="B135" s="5" t="s">
        <v>669</v>
      </c>
      <c r="C135" s="45" t="s">
        <v>143</v>
      </c>
      <c r="D135" s="5" t="s">
        <v>476</v>
      </c>
      <c r="E135" s="5">
        <v>58.41</v>
      </c>
      <c r="F135" s="5">
        <v>466.6</v>
      </c>
      <c r="G135" s="5">
        <v>525.01</v>
      </c>
      <c r="H135" s="5">
        <v>0.57999999999999996</v>
      </c>
      <c r="I135" s="5">
        <v>7</v>
      </c>
      <c r="J135" s="5">
        <v>0</v>
      </c>
      <c r="K135" s="5">
        <v>474</v>
      </c>
      <c r="L135" s="5">
        <v>348.16</v>
      </c>
      <c r="M135" s="5">
        <v>64.98</v>
      </c>
      <c r="N135" s="5">
        <v>71.459999999999994</v>
      </c>
      <c r="O135" s="5">
        <v>33.08</v>
      </c>
      <c r="P135" s="4">
        <v>182787</v>
      </c>
      <c r="Q135" s="5">
        <v>0</v>
      </c>
      <c r="R135" s="4">
        <v>182787</v>
      </c>
      <c r="S135" s="4">
        <v>31036</v>
      </c>
      <c r="T135" s="4">
        <v>455</v>
      </c>
      <c r="U135" s="4">
        <v>30346</v>
      </c>
      <c r="V135" s="4">
        <v>30801</v>
      </c>
      <c r="W135" s="4">
        <v>500</v>
      </c>
      <c r="X135" s="4">
        <v>33372</v>
      </c>
      <c r="Y135" s="4">
        <v>33872</v>
      </c>
      <c r="Z135" s="4">
        <v>202</v>
      </c>
      <c r="AA135" s="46">
        <v>17367</v>
      </c>
    </row>
    <row r="136" spans="1:27" x14ac:dyDescent="0.25">
      <c r="A136" s="48">
        <v>10</v>
      </c>
      <c r="B136" s="5" t="s">
        <v>669</v>
      </c>
      <c r="C136" s="45" t="s">
        <v>144</v>
      </c>
      <c r="D136" s="5" t="s">
        <v>477</v>
      </c>
      <c r="E136" s="5">
        <v>138.16999999999999</v>
      </c>
      <c r="F136" s="35">
        <v>1475.6</v>
      </c>
      <c r="G136" s="35">
        <v>1613.77</v>
      </c>
      <c r="H136" s="5">
        <v>1.8</v>
      </c>
      <c r="I136" s="5">
        <v>140</v>
      </c>
      <c r="J136" s="5">
        <v>0.3</v>
      </c>
      <c r="K136" s="4">
        <v>1615</v>
      </c>
      <c r="L136" s="5">
        <v>348.16</v>
      </c>
      <c r="M136" s="5">
        <v>64.98</v>
      </c>
      <c r="N136" s="5">
        <v>71.459999999999994</v>
      </c>
      <c r="O136" s="5">
        <v>33.08</v>
      </c>
      <c r="P136" s="4">
        <v>561850</v>
      </c>
      <c r="Q136" s="5">
        <v>443</v>
      </c>
      <c r="R136" s="4">
        <v>562293</v>
      </c>
      <c r="S136" s="4">
        <v>95398</v>
      </c>
      <c r="T136" s="4">
        <v>9097</v>
      </c>
      <c r="U136" s="4">
        <v>95846</v>
      </c>
      <c r="V136" s="4">
        <v>104943</v>
      </c>
      <c r="W136" s="4">
        <v>10004</v>
      </c>
      <c r="X136" s="4">
        <v>105404</v>
      </c>
      <c r="Y136" s="4">
        <v>115408</v>
      </c>
      <c r="Z136" s="4">
        <v>627</v>
      </c>
      <c r="AA136" s="46">
        <v>53384</v>
      </c>
    </row>
    <row r="137" spans="1:27" x14ac:dyDescent="0.25">
      <c r="A137" s="48">
        <v>10</v>
      </c>
      <c r="B137" s="5" t="s">
        <v>669</v>
      </c>
      <c r="C137" s="47" t="s">
        <v>145</v>
      </c>
      <c r="D137" s="5" t="s">
        <v>478</v>
      </c>
      <c r="E137" s="35">
        <v>2496.41</v>
      </c>
      <c r="F137" s="35">
        <v>16120.7</v>
      </c>
      <c r="G137" s="35">
        <v>18617.11</v>
      </c>
      <c r="H137" s="5">
        <v>20.69</v>
      </c>
      <c r="I137" s="4">
        <v>2073</v>
      </c>
      <c r="J137" s="5">
        <v>9.1999999999999993</v>
      </c>
      <c r="K137" s="4">
        <v>18185</v>
      </c>
      <c r="L137" s="5">
        <v>348.16</v>
      </c>
      <c r="M137" s="5">
        <v>64.98</v>
      </c>
      <c r="N137" s="5">
        <v>71.459999999999994</v>
      </c>
      <c r="O137" s="5">
        <v>33.08</v>
      </c>
      <c r="P137" s="4">
        <v>6481733</v>
      </c>
      <c r="Q137" s="5">
        <v>0</v>
      </c>
      <c r="R137" s="4">
        <v>6481733</v>
      </c>
      <c r="S137" s="4">
        <v>1100546</v>
      </c>
      <c r="T137" s="4">
        <v>134704</v>
      </c>
      <c r="U137" s="4">
        <v>1046957</v>
      </c>
      <c r="V137" s="4">
        <v>1181661</v>
      </c>
      <c r="W137" s="4">
        <v>148137</v>
      </c>
      <c r="X137" s="4">
        <v>1151363</v>
      </c>
      <c r="Y137" s="4">
        <v>1299500</v>
      </c>
      <c r="Z137" s="4">
        <v>7203</v>
      </c>
      <c r="AA137" s="46">
        <v>615854</v>
      </c>
    </row>
    <row r="138" spans="1:27" x14ac:dyDescent="0.25">
      <c r="A138" s="48">
        <v>10</v>
      </c>
      <c r="B138" s="5" t="s">
        <v>669</v>
      </c>
      <c r="C138" s="47" t="s">
        <v>146</v>
      </c>
      <c r="D138" s="5" t="s">
        <v>479</v>
      </c>
      <c r="E138" s="5">
        <v>90.75</v>
      </c>
      <c r="F138" s="35">
        <v>1131.2</v>
      </c>
      <c r="G138" s="35">
        <v>1221.95</v>
      </c>
      <c r="H138" s="5">
        <v>1.36</v>
      </c>
      <c r="I138" s="5">
        <v>9</v>
      </c>
      <c r="J138" s="5">
        <v>0</v>
      </c>
      <c r="K138" s="4">
        <v>1140</v>
      </c>
      <c r="L138" s="5">
        <v>348.16</v>
      </c>
      <c r="M138" s="5">
        <v>64.98</v>
      </c>
      <c r="N138" s="5">
        <v>71.459999999999994</v>
      </c>
      <c r="O138" s="5">
        <v>33.08</v>
      </c>
      <c r="P138" s="4">
        <v>425434</v>
      </c>
      <c r="Q138" s="4">
        <v>36359</v>
      </c>
      <c r="R138" s="4">
        <v>461793</v>
      </c>
      <c r="S138" s="4">
        <v>72236</v>
      </c>
      <c r="T138" s="4">
        <v>585</v>
      </c>
      <c r="U138" s="4">
        <v>73492</v>
      </c>
      <c r="V138" s="4">
        <v>74077</v>
      </c>
      <c r="W138" s="4">
        <v>643</v>
      </c>
      <c r="X138" s="4">
        <v>80821</v>
      </c>
      <c r="Y138" s="4">
        <v>81464</v>
      </c>
      <c r="Z138" s="4">
        <v>473</v>
      </c>
      <c r="AA138" s="46">
        <v>41321</v>
      </c>
    </row>
    <row r="139" spans="1:27" x14ac:dyDescent="0.25">
      <c r="A139" s="48">
        <v>10</v>
      </c>
      <c r="B139" s="5" t="s">
        <v>669</v>
      </c>
      <c r="C139" s="47" t="s">
        <v>147</v>
      </c>
      <c r="D139" s="5" t="s">
        <v>480</v>
      </c>
      <c r="E139" s="5">
        <v>38.549999999999997</v>
      </c>
      <c r="F139" s="5">
        <v>411.3</v>
      </c>
      <c r="G139" s="5">
        <v>449.85</v>
      </c>
      <c r="H139" s="5">
        <v>0.5</v>
      </c>
      <c r="I139" s="5">
        <v>11</v>
      </c>
      <c r="J139" s="5">
        <v>0</v>
      </c>
      <c r="K139" s="5">
        <v>422</v>
      </c>
      <c r="L139" s="5">
        <v>348.16</v>
      </c>
      <c r="M139" s="5">
        <v>64.98</v>
      </c>
      <c r="N139" s="5">
        <v>71.459999999999994</v>
      </c>
      <c r="O139" s="5">
        <v>33.08</v>
      </c>
      <c r="P139" s="4">
        <v>156620</v>
      </c>
      <c r="Q139" s="4">
        <v>8288</v>
      </c>
      <c r="R139" s="4">
        <v>164908</v>
      </c>
      <c r="S139" s="4">
        <v>26593</v>
      </c>
      <c r="T139" s="4">
        <v>715</v>
      </c>
      <c r="U139" s="4">
        <v>26707</v>
      </c>
      <c r="V139" s="4">
        <v>27422</v>
      </c>
      <c r="W139" s="4">
        <v>786</v>
      </c>
      <c r="X139" s="4">
        <v>29370</v>
      </c>
      <c r="Y139" s="4">
        <v>30156</v>
      </c>
      <c r="Z139" s="4">
        <v>174</v>
      </c>
      <c r="AA139" s="46">
        <v>14881</v>
      </c>
    </row>
    <row r="140" spans="1:27" x14ac:dyDescent="0.25">
      <c r="A140" s="48">
        <v>10</v>
      </c>
      <c r="B140" s="5" t="s">
        <v>669</v>
      </c>
      <c r="C140" s="47" t="s">
        <v>148</v>
      </c>
      <c r="D140" s="5" t="s">
        <v>481</v>
      </c>
      <c r="E140" s="5">
        <v>400.49</v>
      </c>
      <c r="F140" s="35">
        <v>3122.5</v>
      </c>
      <c r="G140" s="35">
        <v>3522.99</v>
      </c>
      <c r="H140" s="5">
        <v>3.91</v>
      </c>
      <c r="I140" s="5">
        <v>71</v>
      </c>
      <c r="J140" s="5">
        <v>0</v>
      </c>
      <c r="K140" s="4">
        <v>3194</v>
      </c>
      <c r="L140" s="5">
        <v>348.16</v>
      </c>
      <c r="M140" s="5">
        <v>64.98</v>
      </c>
      <c r="N140" s="5">
        <v>71.459999999999994</v>
      </c>
      <c r="O140" s="5">
        <v>33.08</v>
      </c>
      <c r="P140" s="4">
        <v>1226564</v>
      </c>
      <c r="Q140" s="5">
        <v>0</v>
      </c>
      <c r="R140" s="4">
        <v>1226564</v>
      </c>
      <c r="S140" s="4">
        <v>208261</v>
      </c>
      <c r="T140" s="4">
        <v>4614</v>
      </c>
      <c r="U140" s="4">
        <v>202932</v>
      </c>
      <c r="V140" s="4">
        <v>207546</v>
      </c>
      <c r="W140" s="4">
        <v>5074</v>
      </c>
      <c r="X140" s="4">
        <v>223169</v>
      </c>
      <c r="Y140" s="4">
        <v>228243</v>
      </c>
      <c r="Z140" s="4">
        <v>1361</v>
      </c>
      <c r="AA140" s="46">
        <v>116541</v>
      </c>
    </row>
    <row r="141" spans="1:27" x14ac:dyDescent="0.25">
      <c r="A141" s="48">
        <v>10</v>
      </c>
      <c r="B141" s="5" t="s">
        <v>669</v>
      </c>
      <c r="C141" s="47" t="s">
        <v>149</v>
      </c>
      <c r="D141" s="5" t="s">
        <v>482</v>
      </c>
      <c r="E141" s="5">
        <v>582.63</v>
      </c>
      <c r="F141" s="35">
        <v>5113.8</v>
      </c>
      <c r="G141" s="35">
        <v>5696.43</v>
      </c>
      <c r="H141" s="5">
        <v>6.33</v>
      </c>
      <c r="I141" s="5">
        <v>168</v>
      </c>
      <c r="J141" s="5">
        <v>0</v>
      </c>
      <c r="K141" s="4">
        <v>5282</v>
      </c>
      <c r="L141" s="5">
        <v>348.16</v>
      </c>
      <c r="M141" s="5">
        <v>64.98</v>
      </c>
      <c r="N141" s="5">
        <v>71.459999999999994</v>
      </c>
      <c r="O141" s="5">
        <v>33.08</v>
      </c>
      <c r="P141" s="4">
        <v>1983269</v>
      </c>
      <c r="Q141" s="5">
        <v>0</v>
      </c>
      <c r="R141" s="4">
        <v>1983269</v>
      </c>
      <c r="S141" s="4">
        <v>336743</v>
      </c>
      <c r="T141" s="4">
        <v>10917</v>
      </c>
      <c r="U141" s="4">
        <v>332307</v>
      </c>
      <c r="V141" s="4">
        <v>343224</v>
      </c>
      <c r="W141" s="4">
        <v>12005</v>
      </c>
      <c r="X141" s="4">
        <v>365447</v>
      </c>
      <c r="Y141" s="4">
        <v>377452</v>
      </c>
      <c r="Z141" s="4">
        <v>2204</v>
      </c>
      <c r="AA141" s="46">
        <v>188438</v>
      </c>
    </row>
    <row r="142" spans="1:27" x14ac:dyDescent="0.25">
      <c r="A142" s="48">
        <v>10</v>
      </c>
      <c r="B142" s="5" t="s">
        <v>669</v>
      </c>
      <c r="C142" s="47" t="s">
        <v>150</v>
      </c>
      <c r="D142" s="5" t="s">
        <v>483</v>
      </c>
      <c r="E142" s="5">
        <v>49.59</v>
      </c>
      <c r="F142" s="5">
        <v>443.4</v>
      </c>
      <c r="G142" s="5">
        <v>492.99</v>
      </c>
      <c r="H142" s="5">
        <v>0.55000000000000004</v>
      </c>
      <c r="I142" s="5">
        <v>7</v>
      </c>
      <c r="J142" s="5">
        <v>0</v>
      </c>
      <c r="K142" s="5">
        <v>450</v>
      </c>
      <c r="L142" s="5">
        <v>348.16</v>
      </c>
      <c r="M142" s="5">
        <v>64.98</v>
      </c>
      <c r="N142" s="5">
        <v>71.459999999999994</v>
      </c>
      <c r="O142" s="5">
        <v>33.08</v>
      </c>
      <c r="P142" s="4">
        <v>171639</v>
      </c>
      <c r="Q142" s="4">
        <v>3547</v>
      </c>
      <c r="R142" s="4">
        <v>175186</v>
      </c>
      <c r="S142" s="4">
        <v>29143</v>
      </c>
      <c r="T142" s="4">
        <v>455</v>
      </c>
      <c r="U142" s="4">
        <v>28786</v>
      </c>
      <c r="V142" s="4">
        <v>29241</v>
      </c>
      <c r="W142" s="4">
        <v>500</v>
      </c>
      <c r="X142" s="4">
        <v>31657</v>
      </c>
      <c r="Y142" s="4">
        <v>32157</v>
      </c>
      <c r="Z142" s="4">
        <v>191</v>
      </c>
      <c r="AA142" s="46">
        <v>16308</v>
      </c>
    </row>
    <row r="143" spans="1:27" x14ac:dyDescent="0.25">
      <c r="A143" s="48">
        <v>10</v>
      </c>
      <c r="B143" s="5" t="s">
        <v>669</v>
      </c>
      <c r="C143" s="47" t="s">
        <v>152</v>
      </c>
      <c r="D143" s="5" t="s">
        <v>153</v>
      </c>
      <c r="E143" s="5">
        <v>29.8</v>
      </c>
      <c r="F143" s="5">
        <v>308</v>
      </c>
      <c r="G143" s="5">
        <v>337.8</v>
      </c>
      <c r="H143" s="5">
        <v>0.38</v>
      </c>
      <c r="I143" s="5">
        <v>5</v>
      </c>
      <c r="J143" s="5">
        <v>0</v>
      </c>
      <c r="K143" s="5">
        <v>313</v>
      </c>
      <c r="L143" s="5">
        <v>348.16</v>
      </c>
      <c r="M143" s="5">
        <v>64.98</v>
      </c>
      <c r="N143" s="5">
        <v>71.459999999999994</v>
      </c>
      <c r="O143" s="5">
        <v>33.08</v>
      </c>
      <c r="P143" s="4">
        <v>117608</v>
      </c>
      <c r="Q143" s="4">
        <v>3088</v>
      </c>
      <c r="R143" s="4">
        <v>120696</v>
      </c>
      <c r="S143" s="4">
        <v>19969</v>
      </c>
      <c r="T143" s="4">
        <v>325</v>
      </c>
      <c r="U143" s="4">
        <v>20014</v>
      </c>
      <c r="V143" s="4">
        <v>20339</v>
      </c>
      <c r="W143" s="4">
        <v>357</v>
      </c>
      <c r="X143" s="4">
        <v>22010</v>
      </c>
      <c r="Y143" s="4">
        <v>22367</v>
      </c>
      <c r="Z143" s="4">
        <v>132</v>
      </c>
      <c r="AA143" s="46">
        <v>11359</v>
      </c>
    </row>
    <row r="144" spans="1:27" x14ac:dyDescent="0.25">
      <c r="A144" s="48">
        <v>10</v>
      </c>
      <c r="B144" s="5" t="s">
        <v>669</v>
      </c>
      <c r="C144" s="47" t="s">
        <v>151</v>
      </c>
      <c r="D144" s="5" t="s">
        <v>484</v>
      </c>
      <c r="E144" s="5">
        <v>67.56</v>
      </c>
      <c r="F144" s="5">
        <v>553.79999999999995</v>
      </c>
      <c r="G144" s="5">
        <v>621.36</v>
      </c>
      <c r="H144" s="5">
        <v>0.69</v>
      </c>
      <c r="I144" s="5">
        <v>19</v>
      </c>
      <c r="J144" s="5">
        <v>0</v>
      </c>
      <c r="K144" s="5">
        <v>573</v>
      </c>
      <c r="L144" s="5">
        <v>348.16</v>
      </c>
      <c r="M144" s="5">
        <v>64.98</v>
      </c>
      <c r="N144" s="5">
        <v>71.459999999999994</v>
      </c>
      <c r="O144" s="5">
        <v>33.08</v>
      </c>
      <c r="P144" s="4">
        <v>216333</v>
      </c>
      <c r="Q144" s="4">
        <v>6569</v>
      </c>
      <c r="R144" s="4">
        <v>222902</v>
      </c>
      <c r="S144" s="4">
        <v>36732</v>
      </c>
      <c r="T144" s="4">
        <v>1235</v>
      </c>
      <c r="U144" s="4">
        <v>35999</v>
      </c>
      <c r="V144" s="4">
        <v>37234</v>
      </c>
      <c r="W144" s="4">
        <v>1358</v>
      </c>
      <c r="X144" s="4">
        <v>39589</v>
      </c>
      <c r="Y144" s="4">
        <v>40947</v>
      </c>
      <c r="Z144" s="4">
        <v>240</v>
      </c>
      <c r="AA144" s="46">
        <v>21146</v>
      </c>
    </row>
    <row r="145" spans="1:27" x14ac:dyDescent="0.25">
      <c r="A145" s="48">
        <v>10</v>
      </c>
      <c r="B145" s="5" t="s">
        <v>669</v>
      </c>
      <c r="C145" s="47" t="s">
        <v>154</v>
      </c>
      <c r="D145" s="5" t="s">
        <v>485</v>
      </c>
      <c r="E145" s="35">
        <v>1652.83</v>
      </c>
      <c r="F145" s="35">
        <v>14550.6</v>
      </c>
      <c r="G145" s="35">
        <v>16203.43</v>
      </c>
      <c r="H145" s="5">
        <v>18.010000000000002</v>
      </c>
      <c r="I145" s="4">
        <v>1378</v>
      </c>
      <c r="J145" s="5">
        <v>12.8</v>
      </c>
      <c r="K145" s="4">
        <v>15916</v>
      </c>
      <c r="L145" s="5">
        <v>348.16</v>
      </c>
      <c r="M145" s="5">
        <v>64.98</v>
      </c>
      <c r="N145" s="5">
        <v>71.459999999999994</v>
      </c>
      <c r="O145" s="5">
        <v>33.08</v>
      </c>
      <c r="P145" s="4">
        <v>5641386</v>
      </c>
      <c r="Q145" s="5">
        <v>0</v>
      </c>
      <c r="R145" s="4">
        <v>5641386</v>
      </c>
      <c r="S145" s="4">
        <v>957862</v>
      </c>
      <c r="T145" s="4">
        <v>89542</v>
      </c>
      <c r="U145" s="4">
        <v>944680</v>
      </c>
      <c r="V145" s="4">
        <v>1034222</v>
      </c>
      <c r="W145" s="4">
        <v>98472</v>
      </c>
      <c r="X145" s="4">
        <v>1038885</v>
      </c>
      <c r="Y145" s="4">
        <v>1137357</v>
      </c>
      <c r="Z145" s="4">
        <v>6270</v>
      </c>
      <c r="AA145" s="46">
        <v>536009</v>
      </c>
    </row>
    <row r="146" spans="1:27" x14ac:dyDescent="0.25">
      <c r="A146" s="48">
        <v>10</v>
      </c>
      <c r="B146" s="5" t="s">
        <v>669</v>
      </c>
      <c r="C146" s="47" t="s">
        <v>155</v>
      </c>
      <c r="D146" s="5" t="s">
        <v>486</v>
      </c>
      <c r="E146" s="5">
        <v>57.08</v>
      </c>
      <c r="F146" s="5">
        <v>484.8</v>
      </c>
      <c r="G146" s="5">
        <v>541.88</v>
      </c>
      <c r="H146" s="5">
        <v>0.6</v>
      </c>
      <c r="I146" s="5">
        <v>2</v>
      </c>
      <c r="J146" s="5">
        <v>0</v>
      </c>
      <c r="K146" s="5">
        <v>487</v>
      </c>
      <c r="L146" s="5">
        <v>348.16</v>
      </c>
      <c r="M146" s="5">
        <v>64.98</v>
      </c>
      <c r="N146" s="5">
        <v>71.459999999999994</v>
      </c>
      <c r="O146" s="5">
        <v>33.08</v>
      </c>
      <c r="P146" s="4">
        <v>188661</v>
      </c>
      <c r="Q146" s="4">
        <v>3338</v>
      </c>
      <c r="R146" s="4">
        <v>191999</v>
      </c>
      <c r="S146" s="4">
        <v>32033</v>
      </c>
      <c r="T146" s="4">
        <v>130</v>
      </c>
      <c r="U146" s="4">
        <v>31515</v>
      </c>
      <c r="V146" s="4">
        <v>31645</v>
      </c>
      <c r="W146" s="4">
        <v>143</v>
      </c>
      <c r="X146" s="4">
        <v>34658</v>
      </c>
      <c r="Y146" s="4">
        <v>34801</v>
      </c>
      <c r="Z146" s="4">
        <v>209</v>
      </c>
      <c r="AA146" s="46">
        <v>18214</v>
      </c>
    </row>
    <row r="147" spans="1:27" x14ac:dyDescent="0.25">
      <c r="A147" s="48">
        <v>10</v>
      </c>
      <c r="B147" s="5" t="s">
        <v>669</v>
      </c>
      <c r="C147" s="47" t="s">
        <v>156</v>
      </c>
      <c r="D147" s="5" t="s">
        <v>487</v>
      </c>
      <c r="E147" s="5">
        <v>818.46</v>
      </c>
      <c r="F147" s="35">
        <v>7493.7</v>
      </c>
      <c r="G147" s="35">
        <v>8312.16</v>
      </c>
      <c r="H147" s="5">
        <v>9.24</v>
      </c>
      <c r="I147" s="5">
        <v>676</v>
      </c>
      <c r="J147" s="5">
        <v>0</v>
      </c>
      <c r="K147" s="4">
        <v>8170</v>
      </c>
      <c r="L147" s="5">
        <v>348.16</v>
      </c>
      <c r="M147" s="5">
        <v>64.98</v>
      </c>
      <c r="N147" s="5">
        <v>71.459999999999994</v>
      </c>
      <c r="O147" s="5">
        <v>33.08</v>
      </c>
      <c r="P147" s="4">
        <v>2893962</v>
      </c>
      <c r="Q147" s="5">
        <v>0</v>
      </c>
      <c r="R147" s="4">
        <v>2893962</v>
      </c>
      <c r="S147" s="4">
        <v>491371</v>
      </c>
      <c r="T147" s="4">
        <v>43926</v>
      </c>
      <c r="U147" s="4">
        <v>486961</v>
      </c>
      <c r="V147" s="4">
        <v>530887</v>
      </c>
      <c r="W147" s="4">
        <v>48307</v>
      </c>
      <c r="X147" s="4">
        <v>535521</v>
      </c>
      <c r="Y147" s="4">
        <v>583828</v>
      </c>
      <c r="Z147" s="4">
        <v>3217</v>
      </c>
      <c r="AA147" s="46">
        <v>274966</v>
      </c>
    </row>
    <row r="148" spans="1:27" x14ac:dyDescent="0.25">
      <c r="A148" s="48">
        <v>10</v>
      </c>
      <c r="B148" s="5" t="s">
        <v>669</v>
      </c>
      <c r="C148" s="47" t="s">
        <v>157</v>
      </c>
      <c r="D148" s="5" t="s">
        <v>488</v>
      </c>
      <c r="E148" s="5">
        <v>75.94</v>
      </c>
      <c r="F148" s="5">
        <v>678.4</v>
      </c>
      <c r="G148" s="5">
        <v>754.34</v>
      </c>
      <c r="H148" s="5">
        <v>0.84</v>
      </c>
      <c r="I148" s="5">
        <v>8</v>
      </c>
      <c r="J148" s="5">
        <v>0</v>
      </c>
      <c r="K148" s="5">
        <v>686</v>
      </c>
      <c r="L148" s="5">
        <v>348.16</v>
      </c>
      <c r="M148" s="5">
        <v>64.98</v>
      </c>
      <c r="N148" s="5">
        <v>71.459999999999994</v>
      </c>
      <c r="O148" s="5">
        <v>33.08</v>
      </c>
      <c r="P148" s="4">
        <v>262631</v>
      </c>
      <c r="Q148" s="5">
        <v>0</v>
      </c>
      <c r="R148" s="4">
        <v>262631</v>
      </c>
      <c r="S148" s="4">
        <v>44593</v>
      </c>
      <c r="T148" s="4">
        <v>520</v>
      </c>
      <c r="U148" s="4">
        <v>44056</v>
      </c>
      <c r="V148" s="4">
        <v>44576</v>
      </c>
      <c r="W148" s="4">
        <v>572</v>
      </c>
      <c r="X148" s="4">
        <v>48450</v>
      </c>
      <c r="Y148" s="4">
        <v>49022</v>
      </c>
      <c r="Z148" s="4">
        <v>292</v>
      </c>
      <c r="AA148" s="46">
        <v>24954</v>
      </c>
    </row>
    <row r="149" spans="1:27" x14ac:dyDescent="0.25">
      <c r="A149" s="48">
        <v>10</v>
      </c>
      <c r="B149" s="5" t="s">
        <v>669</v>
      </c>
      <c r="C149" s="47" t="s">
        <v>158</v>
      </c>
      <c r="D149" s="5" t="s">
        <v>489</v>
      </c>
      <c r="E149" s="5">
        <v>22.99</v>
      </c>
      <c r="F149" s="5">
        <v>299.8</v>
      </c>
      <c r="G149" s="5">
        <v>322.79000000000002</v>
      </c>
      <c r="H149" s="5">
        <v>0.37</v>
      </c>
      <c r="I149" s="5">
        <v>8</v>
      </c>
      <c r="J149" s="5">
        <v>0</v>
      </c>
      <c r="K149" s="5">
        <v>308</v>
      </c>
      <c r="L149" s="5">
        <v>348.16</v>
      </c>
      <c r="M149" s="5">
        <v>64.98</v>
      </c>
      <c r="N149" s="5">
        <v>71.459999999999994</v>
      </c>
      <c r="O149" s="5">
        <v>33.08</v>
      </c>
      <c r="P149" s="4">
        <v>112383</v>
      </c>
      <c r="Q149" s="4">
        <v>16215</v>
      </c>
      <c r="R149" s="4">
        <v>128598</v>
      </c>
      <c r="S149" s="4">
        <v>19081</v>
      </c>
      <c r="T149" s="4">
        <v>520</v>
      </c>
      <c r="U149" s="4">
        <v>19494</v>
      </c>
      <c r="V149" s="4">
        <v>20014</v>
      </c>
      <c r="W149" s="4">
        <v>572</v>
      </c>
      <c r="X149" s="4">
        <v>21438</v>
      </c>
      <c r="Y149" s="4">
        <v>22010</v>
      </c>
      <c r="Z149" s="4">
        <v>129</v>
      </c>
      <c r="AA149" s="46">
        <v>10678</v>
      </c>
    </row>
    <row r="150" spans="1:27" x14ac:dyDescent="0.25">
      <c r="A150" s="48">
        <v>10</v>
      </c>
      <c r="B150" s="5" t="s">
        <v>669</v>
      </c>
      <c r="C150" s="47" t="s">
        <v>159</v>
      </c>
      <c r="D150" s="5" t="s">
        <v>490</v>
      </c>
      <c r="E150" s="5">
        <v>282.72000000000003</v>
      </c>
      <c r="F150" s="35">
        <v>1706.9</v>
      </c>
      <c r="G150" s="35">
        <v>1989.62</v>
      </c>
      <c r="H150" s="5">
        <v>2.21</v>
      </c>
      <c r="I150" s="5">
        <v>108</v>
      </c>
      <c r="J150" s="5">
        <v>0.8</v>
      </c>
      <c r="K150" s="4">
        <v>1814</v>
      </c>
      <c r="L150" s="5">
        <v>348.16</v>
      </c>
      <c r="M150" s="5">
        <v>64.98</v>
      </c>
      <c r="N150" s="5">
        <v>71.459999999999994</v>
      </c>
      <c r="O150" s="5">
        <v>33.08</v>
      </c>
      <c r="P150" s="4">
        <v>692706</v>
      </c>
      <c r="Q150" s="5">
        <v>593</v>
      </c>
      <c r="R150" s="4">
        <v>693299</v>
      </c>
      <c r="S150" s="4">
        <v>117616</v>
      </c>
      <c r="T150" s="4">
        <v>7018</v>
      </c>
      <c r="U150" s="4">
        <v>110856</v>
      </c>
      <c r="V150" s="4">
        <v>117874</v>
      </c>
      <c r="W150" s="4">
        <v>7718</v>
      </c>
      <c r="X150" s="4">
        <v>121910</v>
      </c>
      <c r="Y150" s="4">
        <v>129628</v>
      </c>
      <c r="Z150" s="4">
        <v>769</v>
      </c>
      <c r="AA150" s="46">
        <v>65817</v>
      </c>
    </row>
    <row r="151" spans="1:27" x14ac:dyDescent="0.25">
      <c r="A151" s="48">
        <v>10</v>
      </c>
      <c r="B151" s="5" t="s">
        <v>669</v>
      </c>
      <c r="C151" s="47" t="s">
        <v>160</v>
      </c>
      <c r="D151" s="5" t="s">
        <v>491</v>
      </c>
      <c r="E151" s="5">
        <v>139.47</v>
      </c>
      <c r="F151" s="35">
        <v>1154.5999999999999</v>
      </c>
      <c r="G151" s="35">
        <v>1294.07</v>
      </c>
      <c r="H151" s="5">
        <v>1.44</v>
      </c>
      <c r="I151" s="5">
        <v>164</v>
      </c>
      <c r="J151" s="5">
        <v>1.3</v>
      </c>
      <c r="K151" s="4">
        <v>1317</v>
      </c>
      <c r="L151" s="5">
        <v>348.16</v>
      </c>
      <c r="M151" s="5">
        <v>64.98</v>
      </c>
      <c r="N151" s="5">
        <v>71.459999999999994</v>
      </c>
      <c r="O151" s="5">
        <v>33.08</v>
      </c>
      <c r="P151" s="4">
        <v>450543</v>
      </c>
      <c r="Q151" s="4">
        <v>8270</v>
      </c>
      <c r="R151" s="4">
        <v>458813</v>
      </c>
      <c r="S151" s="4">
        <v>76499</v>
      </c>
      <c r="T151" s="4">
        <v>10657</v>
      </c>
      <c r="U151" s="4">
        <v>74922</v>
      </c>
      <c r="V151" s="4">
        <v>85579</v>
      </c>
      <c r="W151" s="4">
        <v>11719</v>
      </c>
      <c r="X151" s="4">
        <v>82394</v>
      </c>
      <c r="Y151" s="4">
        <v>94113</v>
      </c>
      <c r="Z151" s="4">
        <v>501</v>
      </c>
      <c r="AA151" s="46">
        <v>43066</v>
      </c>
    </row>
    <row r="152" spans="1:27" x14ac:dyDescent="0.25">
      <c r="A152" s="48">
        <v>10</v>
      </c>
      <c r="B152" s="5" t="s">
        <v>669</v>
      </c>
      <c r="C152" s="47" t="s">
        <v>161</v>
      </c>
      <c r="D152" s="5" t="s">
        <v>492</v>
      </c>
      <c r="E152" s="5">
        <v>75.34</v>
      </c>
      <c r="F152" s="5">
        <v>493.7</v>
      </c>
      <c r="G152" s="5">
        <v>569.04</v>
      </c>
      <c r="H152" s="5">
        <v>0.63</v>
      </c>
      <c r="I152" s="5">
        <v>4</v>
      </c>
      <c r="J152" s="5">
        <v>0</v>
      </c>
      <c r="K152" s="5">
        <v>498</v>
      </c>
      <c r="L152" s="5">
        <v>348.16</v>
      </c>
      <c r="M152" s="5">
        <v>64.98</v>
      </c>
      <c r="N152" s="5">
        <v>71.459999999999994</v>
      </c>
      <c r="O152" s="5">
        <v>33.08</v>
      </c>
      <c r="P152" s="4">
        <v>198117</v>
      </c>
      <c r="Q152" s="5">
        <v>0</v>
      </c>
      <c r="R152" s="4">
        <v>198117</v>
      </c>
      <c r="S152" s="4">
        <v>33639</v>
      </c>
      <c r="T152" s="4">
        <v>260</v>
      </c>
      <c r="U152" s="4">
        <v>32100</v>
      </c>
      <c r="V152" s="4">
        <v>32360</v>
      </c>
      <c r="W152" s="4">
        <v>286</v>
      </c>
      <c r="X152" s="4">
        <v>35301</v>
      </c>
      <c r="Y152" s="4">
        <v>35587</v>
      </c>
      <c r="Z152" s="4">
        <v>219</v>
      </c>
      <c r="AA152" s="46">
        <v>18824</v>
      </c>
    </row>
    <row r="153" spans="1:27" x14ac:dyDescent="0.25">
      <c r="A153" s="48">
        <v>10</v>
      </c>
      <c r="B153" s="5" t="s">
        <v>669</v>
      </c>
      <c r="C153" s="47" t="s">
        <v>162</v>
      </c>
      <c r="D153" s="5" t="s">
        <v>493</v>
      </c>
      <c r="E153" s="5">
        <v>127.37</v>
      </c>
      <c r="F153" s="5">
        <v>967.6</v>
      </c>
      <c r="G153" s="35">
        <v>1094.97</v>
      </c>
      <c r="H153" s="5">
        <v>1.22</v>
      </c>
      <c r="I153" s="5">
        <v>46</v>
      </c>
      <c r="J153" s="5">
        <v>0.2</v>
      </c>
      <c r="K153" s="4">
        <v>1013</v>
      </c>
      <c r="L153" s="5">
        <v>348.16</v>
      </c>
      <c r="M153" s="5">
        <v>64.98</v>
      </c>
      <c r="N153" s="5">
        <v>71.459999999999994</v>
      </c>
      <c r="O153" s="5">
        <v>33.08</v>
      </c>
      <c r="P153" s="4">
        <v>381225</v>
      </c>
      <c r="Q153" s="5">
        <v>0</v>
      </c>
      <c r="R153" s="4">
        <v>381225</v>
      </c>
      <c r="S153" s="4">
        <v>64728</v>
      </c>
      <c r="T153" s="4">
        <v>2989</v>
      </c>
      <c r="U153" s="4">
        <v>62836</v>
      </c>
      <c r="V153" s="4">
        <v>65825</v>
      </c>
      <c r="W153" s="4">
        <v>3287</v>
      </c>
      <c r="X153" s="4">
        <v>69102</v>
      </c>
      <c r="Y153" s="4">
        <v>72389</v>
      </c>
      <c r="Z153" s="4">
        <v>425</v>
      </c>
      <c r="AA153" s="46">
        <v>36222</v>
      </c>
    </row>
    <row r="154" spans="1:27" x14ac:dyDescent="0.25">
      <c r="A154" s="48">
        <v>10</v>
      </c>
      <c r="B154" s="5" t="s">
        <v>669</v>
      </c>
      <c r="C154" s="47" t="s">
        <v>163</v>
      </c>
      <c r="D154" s="5" t="s">
        <v>494</v>
      </c>
      <c r="E154" s="5">
        <v>87.41</v>
      </c>
      <c r="F154" s="35">
        <v>1080.3</v>
      </c>
      <c r="G154" s="35">
        <v>1167.71</v>
      </c>
      <c r="H154" s="5">
        <v>1.3</v>
      </c>
      <c r="I154" s="5">
        <v>31</v>
      </c>
      <c r="J154" s="5">
        <v>0</v>
      </c>
      <c r="K154" s="4">
        <v>1111</v>
      </c>
      <c r="L154" s="5">
        <v>348.16</v>
      </c>
      <c r="M154" s="5">
        <v>64.98</v>
      </c>
      <c r="N154" s="5">
        <v>71.459999999999994</v>
      </c>
      <c r="O154" s="5">
        <v>33.08</v>
      </c>
      <c r="P154" s="4">
        <v>406550</v>
      </c>
      <c r="Q154" s="5">
        <v>0</v>
      </c>
      <c r="R154" s="4">
        <v>406550</v>
      </c>
      <c r="S154" s="4">
        <v>69029</v>
      </c>
      <c r="T154" s="4">
        <v>2014</v>
      </c>
      <c r="U154" s="4">
        <v>70179</v>
      </c>
      <c r="V154" s="4">
        <v>72193</v>
      </c>
      <c r="W154" s="4">
        <v>2215</v>
      </c>
      <c r="X154" s="4">
        <v>77177</v>
      </c>
      <c r="Y154" s="4">
        <v>79392</v>
      </c>
      <c r="Z154" s="4">
        <v>453</v>
      </c>
      <c r="AA154" s="46">
        <v>38628</v>
      </c>
    </row>
    <row r="155" spans="1:27" x14ac:dyDescent="0.25">
      <c r="A155" s="48">
        <v>10</v>
      </c>
      <c r="B155" s="5" t="s">
        <v>669</v>
      </c>
      <c r="C155" s="47" t="s">
        <v>164</v>
      </c>
      <c r="D155" s="5" t="s">
        <v>495</v>
      </c>
      <c r="E155" s="5">
        <v>112.26</v>
      </c>
      <c r="F155" s="5">
        <v>703.9</v>
      </c>
      <c r="G155" s="5">
        <v>816.16</v>
      </c>
      <c r="H155" s="5">
        <v>0.91</v>
      </c>
      <c r="I155" s="5">
        <v>3</v>
      </c>
      <c r="J155" s="5">
        <v>0</v>
      </c>
      <c r="K155" s="5">
        <v>707</v>
      </c>
      <c r="L155" s="5">
        <v>348.16</v>
      </c>
      <c r="M155" s="5">
        <v>64.98</v>
      </c>
      <c r="N155" s="5">
        <v>71.459999999999994</v>
      </c>
      <c r="O155" s="5">
        <v>33.08</v>
      </c>
      <c r="P155" s="4">
        <v>284154</v>
      </c>
      <c r="Q155" s="5">
        <v>0</v>
      </c>
      <c r="R155" s="4">
        <v>284154</v>
      </c>
      <c r="S155" s="4">
        <v>48247</v>
      </c>
      <c r="T155" s="4">
        <v>195</v>
      </c>
      <c r="U155" s="4">
        <v>45746</v>
      </c>
      <c r="V155" s="4">
        <v>45941</v>
      </c>
      <c r="W155" s="4">
        <v>214</v>
      </c>
      <c r="X155" s="4">
        <v>50308</v>
      </c>
      <c r="Y155" s="4">
        <v>50522</v>
      </c>
      <c r="Z155" s="4">
        <v>317</v>
      </c>
      <c r="AA155" s="46">
        <v>26999</v>
      </c>
    </row>
    <row r="156" spans="1:27" x14ac:dyDescent="0.25">
      <c r="A156" s="48">
        <v>10</v>
      </c>
      <c r="B156" s="5" t="s">
        <v>669</v>
      </c>
      <c r="C156" s="47" t="s">
        <v>165</v>
      </c>
      <c r="D156" s="5" t="s">
        <v>496</v>
      </c>
      <c r="E156" s="5">
        <v>46.9</v>
      </c>
      <c r="F156" s="5">
        <v>558.5</v>
      </c>
      <c r="G156" s="5">
        <v>605.4</v>
      </c>
      <c r="H156" s="5">
        <v>0.67</v>
      </c>
      <c r="I156" s="5">
        <v>5</v>
      </c>
      <c r="J156" s="5">
        <v>0</v>
      </c>
      <c r="K156" s="5">
        <v>564</v>
      </c>
      <c r="L156" s="5">
        <v>348.16</v>
      </c>
      <c r="M156" s="5">
        <v>64.98</v>
      </c>
      <c r="N156" s="5">
        <v>71.459999999999994</v>
      </c>
      <c r="O156" s="5">
        <v>33.08</v>
      </c>
      <c r="P156" s="4">
        <v>210776</v>
      </c>
      <c r="Q156" s="4">
        <v>4993</v>
      </c>
      <c r="R156" s="4">
        <v>215769</v>
      </c>
      <c r="S156" s="4">
        <v>35788</v>
      </c>
      <c r="T156" s="4">
        <v>325</v>
      </c>
      <c r="U156" s="4">
        <v>36324</v>
      </c>
      <c r="V156" s="4">
        <v>36649</v>
      </c>
      <c r="W156" s="4">
        <v>357</v>
      </c>
      <c r="X156" s="4">
        <v>39946</v>
      </c>
      <c r="Y156" s="4">
        <v>40303</v>
      </c>
      <c r="Z156" s="4">
        <v>233</v>
      </c>
      <c r="AA156" s="46">
        <v>20027</v>
      </c>
    </row>
    <row r="157" spans="1:27" x14ac:dyDescent="0.25">
      <c r="A157" s="48">
        <v>10</v>
      </c>
      <c r="B157" s="5" t="s">
        <v>669</v>
      </c>
      <c r="C157" s="47" t="s">
        <v>166</v>
      </c>
      <c r="D157" s="5" t="s">
        <v>497</v>
      </c>
      <c r="E157" s="5">
        <v>28.88</v>
      </c>
      <c r="F157" s="5">
        <v>193.9</v>
      </c>
      <c r="G157" s="5">
        <v>222.78</v>
      </c>
      <c r="H157" s="5">
        <v>0.25</v>
      </c>
      <c r="I157" s="5">
        <v>5</v>
      </c>
      <c r="J157" s="5">
        <v>0</v>
      </c>
      <c r="K157" s="5">
        <v>199</v>
      </c>
      <c r="L157" s="5">
        <v>348.16</v>
      </c>
      <c r="M157" s="5">
        <v>64.98</v>
      </c>
      <c r="N157" s="5">
        <v>71.459999999999994</v>
      </c>
      <c r="O157" s="5">
        <v>33.08</v>
      </c>
      <c r="P157" s="4">
        <v>77563</v>
      </c>
      <c r="Q157" s="4">
        <v>1716</v>
      </c>
      <c r="R157" s="4">
        <v>79279</v>
      </c>
      <c r="S157" s="4">
        <v>13169</v>
      </c>
      <c r="T157" s="4">
        <v>325</v>
      </c>
      <c r="U157" s="4">
        <v>12606</v>
      </c>
      <c r="V157" s="4">
        <v>12931</v>
      </c>
      <c r="W157" s="4">
        <v>357</v>
      </c>
      <c r="X157" s="4">
        <v>13864</v>
      </c>
      <c r="Y157" s="4">
        <v>14221</v>
      </c>
      <c r="Z157" s="4">
        <v>87</v>
      </c>
      <c r="AA157" s="46">
        <v>7370</v>
      </c>
    </row>
    <row r="158" spans="1:27" x14ac:dyDescent="0.25">
      <c r="A158" s="48">
        <v>10</v>
      </c>
      <c r="B158" s="5" t="s">
        <v>669</v>
      </c>
      <c r="C158" s="47" t="s">
        <v>167</v>
      </c>
      <c r="D158" s="5" t="s">
        <v>498</v>
      </c>
      <c r="E158" s="5">
        <v>107.59</v>
      </c>
      <c r="F158" s="35">
        <v>1427.7</v>
      </c>
      <c r="G158" s="35">
        <v>1535.29</v>
      </c>
      <c r="H158" s="5">
        <v>1.71</v>
      </c>
      <c r="I158" s="5">
        <v>25</v>
      </c>
      <c r="J158" s="5">
        <v>0</v>
      </c>
      <c r="K158" s="4">
        <v>1453</v>
      </c>
      <c r="L158" s="5">
        <v>348.16</v>
      </c>
      <c r="M158" s="5">
        <v>64.98</v>
      </c>
      <c r="N158" s="5">
        <v>71.459999999999994</v>
      </c>
      <c r="O158" s="5">
        <v>33.08</v>
      </c>
      <c r="P158" s="4">
        <v>534527</v>
      </c>
      <c r="Q158" s="5">
        <v>0</v>
      </c>
      <c r="R158" s="4">
        <v>534527</v>
      </c>
      <c r="S158" s="4">
        <v>90758</v>
      </c>
      <c r="T158" s="4">
        <v>1625</v>
      </c>
      <c r="U158" s="4">
        <v>92791</v>
      </c>
      <c r="V158" s="4">
        <v>94416</v>
      </c>
      <c r="W158" s="4">
        <v>1787</v>
      </c>
      <c r="X158" s="4">
        <v>102044</v>
      </c>
      <c r="Y158" s="4">
        <v>103831</v>
      </c>
      <c r="Z158" s="4">
        <v>595</v>
      </c>
      <c r="AA158" s="46">
        <v>50787</v>
      </c>
    </row>
    <row r="159" spans="1:27" x14ac:dyDescent="0.25">
      <c r="A159" s="48">
        <v>10</v>
      </c>
      <c r="B159" s="5" t="s">
        <v>669</v>
      </c>
      <c r="C159" s="47" t="s">
        <v>168</v>
      </c>
      <c r="D159" s="5" t="s">
        <v>499</v>
      </c>
      <c r="E159" s="5">
        <v>35.380000000000003</v>
      </c>
      <c r="F159" s="5">
        <v>404</v>
      </c>
      <c r="G159" s="5">
        <v>439.38</v>
      </c>
      <c r="H159" s="5">
        <v>0.49</v>
      </c>
      <c r="I159" s="5">
        <v>12</v>
      </c>
      <c r="J159" s="5">
        <v>0</v>
      </c>
      <c r="K159" s="5">
        <v>416</v>
      </c>
      <c r="L159" s="5">
        <v>348.16</v>
      </c>
      <c r="M159" s="5">
        <v>64.98</v>
      </c>
      <c r="N159" s="5">
        <v>71.459999999999994</v>
      </c>
      <c r="O159" s="5">
        <v>33.08</v>
      </c>
      <c r="P159" s="4">
        <v>152975</v>
      </c>
      <c r="Q159" s="5">
        <v>0</v>
      </c>
      <c r="R159" s="4">
        <v>152975</v>
      </c>
      <c r="S159" s="4">
        <v>25974</v>
      </c>
      <c r="T159" s="4">
        <v>780</v>
      </c>
      <c r="U159" s="4">
        <v>26252</v>
      </c>
      <c r="V159" s="4">
        <v>27032</v>
      </c>
      <c r="W159" s="4">
        <v>858</v>
      </c>
      <c r="X159" s="4">
        <v>28869</v>
      </c>
      <c r="Y159" s="4">
        <v>29727</v>
      </c>
      <c r="Z159" s="4">
        <v>171</v>
      </c>
      <c r="AA159" s="46">
        <v>14535</v>
      </c>
    </row>
    <row r="160" spans="1:27" x14ac:dyDescent="0.25">
      <c r="A160" s="48">
        <v>10</v>
      </c>
      <c r="B160" s="5" t="s">
        <v>669</v>
      </c>
      <c r="C160" s="47" t="s">
        <v>169</v>
      </c>
      <c r="D160" s="5" t="s">
        <v>500</v>
      </c>
      <c r="E160" s="5">
        <v>109.56</v>
      </c>
      <c r="F160" s="5">
        <v>756.5</v>
      </c>
      <c r="G160" s="5">
        <v>866.06</v>
      </c>
      <c r="H160" s="5">
        <v>0.96</v>
      </c>
      <c r="I160" s="5">
        <v>1</v>
      </c>
      <c r="J160" s="5">
        <v>0</v>
      </c>
      <c r="K160" s="5">
        <v>758</v>
      </c>
      <c r="L160" s="5">
        <v>348.16</v>
      </c>
      <c r="M160" s="5">
        <v>64.98</v>
      </c>
      <c r="N160" s="5">
        <v>71.459999999999994</v>
      </c>
      <c r="O160" s="5">
        <v>33.08</v>
      </c>
      <c r="P160" s="4">
        <v>301527</v>
      </c>
      <c r="Q160" s="4">
        <v>18507</v>
      </c>
      <c r="R160" s="4">
        <v>320034</v>
      </c>
      <c r="S160" s="4">
        <v>51197</v>
      </c>
      <c r="T160" s="4">
        <v>65</v>
      </c>
      <c r="U160" s="4">
        <v>49190</v>
      </c>
      <c r="V160" s="4">
        <v>49255</v>
      </c>
      <c r="W160" s="4">
        <v>71</v>
      </c>
      <c r="X160" s="4">
        <v>54096</v>
      </c>
      <c r="Y160" s="4">
        <v>54167</v>
      </c>
      <c r="Z160" s="4">
        <v>334</v>
      </c>
      <c r="AA160" s="46">
        <v>29814</v>
      </c>
    </row>
    <row r="161" spans="1:27" x14ac:dyDescent="0.25">
      <c r="A161" s="48">
        <v>10</v>
      </c>
      <c r="B161" s="5" t="s">
        <v>669</v>
      </c>
      <c r="C161" s="47" t="s">
        <v>170</v>
      </c>
      <c r="D161" s="5" t="s">
        <v>501</v>
      </c>
      <c r="E161" s="5">
        <v>215.55</v>
      </c>
      <c r="F161" s="35">
        <v>1625</v>
      </c>
      <c r="G161" s="35">
        <v>1840.55</v>
      </c>
      <c r="H161" s="5">
        <v>2.0499999999999998</v>
      </c>
      <c r="I161" s="5">
        <v>12</v>
      </c>
      <c r="J161" s="5">
        <v>0</v>
      </c>
      <c r="K161" s="4">
        <v>1637</v>
      </c>
      <c r="L161" s="5">
        <v>348.16</v>
      </c>
      <c r="M161" s="5">
        <v>64.98</v>
      </c>
      <c r="N161" s="5">
        <v>71.459999999999994</v>
      </c>
      <c r="O161" s="5">
        <v>33.08</v>
      </c>
      <c r="P161" s="4">
        <v>640806</v>
      </c>
      <c r="Q161" s="5">
        <v>0</v>
      </c>
      <c r="R161" s="4">
        <v>640806</v>
      </c>
      <c r="S161" s="4">
        <v>108804</v>
      </c>
      <c r="T161" s="4">
        <v>780</v>
      </c>
      <c r="U161" s="4">
        <v>105592</v>
      </c>
      <c r="V161" s="4">
        <v>106372</v>
      </c>
      <c r="W161" s="4">
        <v>858</v>
      </c>
      <c r="X161" s="4">
        <v>116122</v>
      </c>
      <c r="Y161" s="4">
        <v>116980</v>
      </c>
      <c r="Z161" s="4">
        <v>714</v>
      </c>
      <c r="AA161" s="46">
        <v>60885</v>
      </c>
    </row>
    <row r="162" spans="1:27" x14ac:dyDescent="0.25">
      <c r="A162" s="48">
        <v>10</v>
      </c>
      <c r="B162" s="5" t="s">
        <v>669</v>
      </c>
      <c r="C162" s="47" t="s">
        <v>171</v>
      </c>
      <c r="D162" s="5" t="s">
        <v>502</v>
      </c>
      <c r="E162" s="5">
        <v>214.74</v>
      </c>
      <c r="F162" s="35">
        <v>1610.1</v>
      </c>
      <c r="G162" s="35">
        <v>1824.84</v>
      </c>
      <c r="H162" s="5">
        <v>2.0299999999999998</v>
      </c>
      <c r="I162" s="5">
        <v>109</v>
      </c>
      <c r="J162" s="5">
        <v>0.3</v>
      </c>
      <c r="K162" s="4">
        <v>1719</v>
      </c>
      <c r="L162" s="5">
        <v>348.16</v>
      </c>
      <c r="M162" s="5">
        <v>64.98</v>
      </c>
      <c r="N162" s="5">
        <v>71.459999999999994</v>
      </c>
      <c r="O162" s="5">
        <v>33.08</v>
      </c>
      <c r="P162" s="4">
        <v>635336</v>
      </c>
      <c r="Q162" s="4">
        <v>5632</v>
      </c>
      <c r="R162" s="4">
        <v>640968</v>
      </c>
      <c r="S162" s="4">
        <v>107875</v>
      </c>
      <c r="T162" s="4">
        <v>7083</v>
      </c>
      <c r="U162" s="4">
        <v>104618</v>
      </c>
      <c r="V162" s="4">
        <v>111701</v>
      </c>
      <c r="W162" s="4">
        <v>7789</v>
      </c>
      <c r="X162" s="4">
        <v>115051</v>
      </c>
      <c r="Y162" s="4">
        <v>122840</v>
      </c>
      <c r="Z162" s="4">
        <v>707</v>
      </c>
      <c r="AA162" s="46">
        <v>60807</v>
      </c>
    </row>
    <row r="163" spans="1:27" x14ac:dyDescent="0.25">
      <c r="A163" s="48">
        <v>10</v>
      </c>
      <c r="B163" s="5" t="s">
        <v>669</v>
      </c>
      <c r="C163" s="47" t="s">
        <v>172</v>
      </c>
      <c r="D163" s="5" t="s">
        <v>503</v>
      </c>
      <c r="E163" s="5">
        <v>103.99</v>
      </c>
      <c r="F163" s="5">
        <v>795.9</v>
      </c>
      <c r="G163" s="5">
        <v>899.89</v>
      </c>
      <c r="H163" s="5">
        <v>1</v>
      </c>
      <c r="I163" s="5">
        <v>15</v>
      </c>
      <c r="J163" s="5">
        <v>0</v>
      </c>
      <c r="K163" s="5">
        <v>811</v>
      </c>
      <c r="L163" s="5">
        <v>348.16</v>
      </c>
      <c r="M163" s="5">
        <v>64.98</v>
      </c>
      <c r="N163" s="5">
        <v>71.459999999999994</v>
      </c>
      <c r="O163" s="5">
        <v>33.08</v>
      </c>
      <c r="P163" s="4">
        <v>313306</v>
      </c>
      <c r="Q163" s="5">
        <v>0</v>
      </c>
      <c r="R163" s="4">
        <v>313306</v>
      </c>
      <c r="S163" s="4">
        <v>53197</v>
      </c>
      <c r="T163" s="4">
        <v>975</v>
      </c>
      <c r="U163" s="4">
        <v>51724</v>
      </c>
      <c r="V163" s="4">
        <v>52699</v>
      </c>
      <c r="W163" s="4">
        <v>1072</v>
      </c>
      <c r="X163" s="4">
        <v>56882</v>
      </c>
      <c r="Y163" s="4">
        <v>57954</v>
      </c>
      <c r="Z163" s="4">
        <v>348</v>
      </c>
      <c r="AA163" s="46">
        <v>29768</v>
      </c>
    </row>
    <row r="164" spans="1:27" x14ac:dyDescent="0.25">
      <c r="A164" s="48">
        <v>10</v>
      </c>
      <c r="B164" s="5" t="s">
        <v>669</v>
      </c>
      <c r="C164" s="47" t="s">
        <v>173</v>
      </c>
      <c r="D164" s="5" t="s">
        <v>504</v>
      </c>
      <c r="E164" s="5">
        <v>109.02</v>
      </c>
      <c r="F164" s="35">
        <v>1104.5</v>
      </c>
      <c r="G164" s="35">
        <v>1213.52</v>
      </c>
      <c r="H164" s="5">
        <v>1.35</v>
      </c>
      <c r="I164" s="5">
        <v>83</v>
      </c>
      <c r="J164" s="5">
        <v>0.1</v>
      </c>
      <c r="K164" s="4">
        <v>1187</v>
      </c>
      <c r="L164" s="5">
        <v>348.16</v>
      </c>
      <c r="M164" s="5">
        <v>64.98</v>
      </c>
      <c r="N164" s="5">
        <v>71.459999999999994</v>
      </c>
      <c r="O164" s="5">
        <v>33.08</v>
      </c>
      <c r="P164" s="4">
        <v>422499</v>
      </c>
      <c r="Q164" s="4">
        <v>6851</v>
      </c>
      <c r="R164" s="4">
        <v>429350</v>
      </c>
      <c r="S164" s="4">
        <v>71737</v>
      </c>
      <c r="T164" s="4">
        <v>5393</v>
      </c>
      <c r="U164" s="4">
        <v>71738</v>
      </c>
      <c r="V164" s="4">
        <v>77131</v>
      </c>
      <c r="W164" s="4">
        <v>5931</v>
      </c>
      <c r="X164" s="4">
        <v>78892</v>
      </c>
      <c r="Y164" s="4">
        <v>84823</v>
      </c>
      <c r="Z164" s="4">
        <v>470</v>
      </c>
      <c r="AA164" s="46">
        <v>40731</v>
      </c>
    </row>
    <row r="165" spans="1:27" x14ac:dyDescent="0.25">
      <c r="A165" s="48">
        <v>11</v>
      </c>
      <c r="B165" s="5" t="s">
        <v>670</v>
      </c>
      <c r="C165" s="45" t="s">
        <v>175</v>
      </c>
      <c r="D165" s="5" t="s">
        <v>505</v>
      </c>
      <c r="E165" s="5">
        <v>39.76</v>
      </c>
      <c r="F165" s="5">
        <v>294.10000000000002</v>
      </c>
      <c r="G165" s="5">
        <v>333.86</v>
      </c>
      <c r="H165" s="5">
        <v>0</v>
      </c>
      <c r="I165" s="5">
        <v>0</v>
      </c>
      <c r="J165" s="5">
        <v>0</v>
      </c>
      <c r="K165" s="5">
        <v>294</v>
      </c>
      <c r="L165" s="5">
        <v>341.06</v>
      </c>
      <c r="M165" s="5">
        <v>64.86</v>
      </c>
      <c r="N165" s="5">
        <v>71.28</v>
      </c>
      <c r="O165" s="5">
        <v>29.31</v>
      </c>
      <c r="P165" s="4">
        <v>113866</v>
      </c>
      <c r="Q165" s="4">
        <v>1802</v>
      </c>
      <c r="R165" s="4">
        <v>115668</v>
      </c>
      <c r="S165" s="4">
        <v>19736</v>
      </c>
      <c r="T165" s="4">
        <v>0</v>
      </c>
      <c r="U165" s="4">
        <v>19069</v>
      </c>
      <c r="V165" s="4">
        <v>19069</v>
      </c>
      <c r="W165" s="4">
        <v>0</v>
      </c>
      <c r="X165" s="4">
        <v>20956</v>
      </c>
      <c r="Y165" s="4">
        <v>20956</v>
      </c>
      <c r="Z165" s="4">
        <v>0</v>
      </c>
      <c r="AA165" s="46">
        <v>9785</v>
      </c>
    </row>
    <row r="166" spans="1:27" x14ac:dyDescent="0.25">
      <c r="A166" s="48">
        <v>11</v>
      </c>
      <c r="B166" s="5" t="s">
        <v>670</v>
      </c>
      <c r="C166" s="45" t="s">
        <v>176</v>
      </c>
      <c r="D166" s="5" t="s">
        <v>506</v>
      </c>
      <c r="E166" s="5">
        <v>258.35000000000002</v>
      </c>
      <c r="F166" s="35">
        <v>2171</v>
      </c>
      <c r="G166" s="35">
        <v>2429.35</v>
      </c>
      <c r="H166" s="5">
        <v>0</v>
      </c>
      <c r="I166" s="5">
        <v>51</v>
      </c>
      <c r="J166" s="5">
        <v>0</v>
      </c>
      <c r="K166" s="4">
        <v>2222</v>
      </c>
      <c r="L166" s="5">
        <v>341.06</v>
      </c>
      <c r="M166" s="5">
        <v>64.86</v>
      </c>
      <c r="N166" s="5">
        <v>71.28</v>
      </c>
      <c r="O166" s="5">
        <v>29.31</v>
      </c>
      <c r="P166" s="4">
        <v>828554</v>
      </c>
      <c r="Q166" s="5">
        <v>0</v>
      </c>
      <c r="R166" s="4">
        <v>828554</v>
      </c>
      <c r="S166" s="4">
        <v>143611</v>
      </c>
      <c r="T166" s="4">
        <v>3308</v>
      </c>
      <c r="U166" s="4">
        <v>140811</v>
      </c>
      <c r="V166" s="4">
        <v>144119</v>
      </c>
      <c r="W166" s="4">
        <v>3635</v>
      </c>
      <c r="X166" s="4">
        <v>154749</v>
      </c>
      <c r="Y166" s="4">
        <v>158384</v>
      </c>
      <c r="Z166" s="4">
        <v>0</v>
      </c>
      <c r="AA166" s="46">
        <v>71204</v>
      </c>
    </row>
    <row r="167" spans="1:27" x14ac:dyDescent="0.25">
      <c r="A167" s="48">
        <v>11</v>
      </c>
      <c r="B167" s="5" t="s">
        <v>670</v>
      </c>
      <c r="C167" s="45" t="s">
        <v>177</v>
      </c>
      <c r="D167" s="5" t="s">
        <v>507</v>
      </c>
      <c r="E167" s="5">
        <v>648.84</v>
      </c>
      <c r="F167" s="35">
        <v>4534</v>
      </c>
      <c r="G167" s="35">
        <v>5182.84</v>
      </c>
      <c r="H167" s="5">
        <v>0</v>
      </c>
      <c r="I167" s="5">
        <v>151</v>
      </c>
      <c r="J167" s="5">
        <v>0.5</v>
      </c>
      <c r="K167" s="4">
        <v>4685</v>
      </c>
      <c r="L167" s="5">
        <v>341.06</v>
      </c>
      <c r="M167" s="5">
        <v>64.86</v>
      </c>
      <c r="N167" s="5">
        <v>71.28</v>
      </c>
      <c r="O167" s="5">
        <v>29.31</v>
      </c>
      <c r="P167" s="4">
        <v>1767659</v>
      </c>
      <c r="Q167" s="5">
        <v>0</v>
      </c>
      <c r="R167" s="4">
        <v>1767659</v>
      </c>
      <c r="S167" s="4">
        <v>306383</v>
      </c>
      <c r="T167" s="4">
        <v>9794</v>
      </c>
      <c r="U167" s="4">
        <v>294075</v>
      </c>
      <c r="V167" s="4">
        <v>303869</v>
      </c>
      <c r="W167" s="4">
        <v>10763</v>
      </c>
      <c r="X167" s="4">
        <v>323184</v>
      </c>
      <c r="Y167" s="4">
        <v>333947</v>
      </c>
      <c r="Z167" s="4">
        <v>0</v>
      </c>
      <c r="AA167" s="46">
        <v>151909</v>
      </c>
    </row>
    <row r="168" spans="1:27" x14ac:dyDescent="0.25">
      <c r="A168" s="48">
        <v>11</v>
      </c>
      <c r="B168" s="5" t="s">
        <v>670</v>
      </c>
      <c r="C168" s="45" t="s">
        <v>178</v>
      </c>
      <c r="D168" s="5" t="s">
        <v>508</v>
      </c>
      <c r="E168" s="35">
        <v>1421.27</v>
      </c>
      <c r="F168" s="35">
        <v>12753.8</v>
      </c>
      <c r="G168" s="35">
        <v>14175.07</v>
      </c>
      <c r="H168" s="5">
        <v>0</v>
      </c>
      <c r="I168" s="4">
        <v>1188</v>
      </c>
      <c r="J168" s="5">
        <v>1.5</v>
      </c>
      <c r="K168" s="4">
        <v>13940</v>
      </c>
      <c r="L168" s="5">
        <v>341.06</v>
      </c>
      <c r="M168" s="5">
        <v>64.86</v>
      </c>
      <c r="N168" s="5">
        <v>71.28</v>
      </c>
      <c r="O168" s="5">
        <v>29.31</v>
      </c>
      <c r="P168" s="4">
        <v>4834549</v>
      </c>
      <c r="Q168" s="5">
        <v>0</v>
      </c>
      <c r="R168" s="4">
        <v>4834549</v>
      </c>
      <c r="S168" s="4">
        <v>837957</v>
      </c>
      <c r="T168" s="4">
        <v>77054</v>
      </c>
      <c r="U168" s="4">
        <v>827094</v>
      </c>
      <c r="V168" s="4">
        <v>904148</v>
      </c>
      <c r="W168" s="4">
        <v>84681</v>
      </c>
      <c r="X168" s="4">
        <v>908962</v>
      </c>
      <c r="Y168" s="4">
        <v>993643</v>
      </c>
      <c r="Z168" s="4">
        <v>0</v>
      </c>
      <c r="AA168" s="46">
        <v>415471</v>
      </c>
    </row>
    <row r="169" spans="1:27" x14ac:dyDescent="0.25">
      <c r="A169" s="48">
        <v>11</v>
      </c>
      <c r="B169" s="5" t="s">
        <v>670</v>
      </c>
      <c r="C169" s="45" t="s">
        <v>179</v>
      </c>
      <c r="D169" s="5" t="s">
        <v>509</v>
      </c>
      <c r="E169" s="5">
        <v>62.05</v>
      </c>
      <c r="F169" s="5">
        <v>494.5</v>
      </c>
      <c r="G169" s="5">
        <v>556.54999999999995</v>
      </c>
      <c r="H169" s="5">
        <v>0</v>
      </c>
      <c r="I169" s="5">
        <v>10</v>
      </c>
      <c r="J169" s="5">
        <v>0</v>
      </c>
      <c r="K169" s="5">
        <v>505</v>
      </c>
      <c r="L169" s="5">
        <v>341.06</v>
      </c>
      <c r="M169" s="5">
        <v>64.86</v>
      </c>
      <c r="N169" s="5">
        <v>71.28</v>
      </c>
      <c r="O169" s="5">
        <v>29.31</v>
      </c>
      <c r="P169" s="4">
        <v>189817</v>
      </c>
      <c r="Q169" s="4">
        <v>3269</v>
      </c>
      <c r="R169" s="4">
        <v>193086</v>
      </c>
      <c r="S169" s="4">
        <v>32900</v>
      </c>
      <c r="T169" s="4">
        <v>649</v>
      </c>
      <c r="U169" s="4">
        <v>32105</v>
      </c>
      <c r="V169" s="4">
        <v>32754</v>
      </c>
      <c r="W169" s="4">
        <v>713</v>
      </c>
      <c r="X169" s="4">
        <v>35283</v>
      </c>
      <c r="Y169" s="4">
        <v>35996</v>
      </c>
      <c r="Z169" s="4">
        <v>0</v>
      </c>
      <c r="AA169" s="46">
        <v>16529</v>
      </c>
    </row>
    <row r="170" spans="1:27" x14ac:dyDescent="0.25">
      <c r="A170" s="48">
        <v>11</v>
      </c>
      <c r="B170" s="5" t="s">
        <v>670</v>
      </c>
      <c r="C170" s="45" t="s">
        <v>180</v>
      </c>
      <c r="D170" s="5" t="s">
        <v>510</v>
      </c>
      <c r="E170" s="5">
        <v>174.47</v>
      </c>
      <c r="F170" s="35">
        <v>1767.4</v>
      </c>
      <c r="G170" s="35">
        <v>1941.87</v>
      </c>
      <c r="H170" s="5">
        <v>0</v>
      </c>
      <c r="I170" s="5">
        <v>41</v>
      </c>
      <c r="J170" s="5">
        <v>0</v>
      </c>
      <c r="K170" s="4">
        <v>1808</v>
      </c>
      <c r="L170" s="5">
        <v>341.06</v>
      </c>
      <c r="M170" s="5">
        <v>64.86</v>
      </c>
      <c r="N170" s="5">
        <v>71.28</v>
      </c>
      <c r="O170" s="5">
        <v>29.31</v>
      </c>
      <c r="P170" s="4">
        <v>662294</v>
      </c>
      <c r="Q170" s="5">
        <v>0</v>
      </c>
      <c r="R170" s="4">
        <v>662294</v>
      </c>
      <c r="S170" s="4">
        <v>114794</v>
      </c>
      <c r="T170" s="4">
        <v>2659</v>
      </c>
      <c r="U170" s="4">
        <v>114608</v>
      </c>
      <c r="V170" s="4">
        <v>117267</v>
      </c>
      <c r="W170" s="4">
        <v>2922</v>
      </c>
      <c r="X170" s="4">
        <v>125952</v>
      </c>
      <c r="Y170" s="4">
        <v>128874</v>
      </c>
      <c r="Z170" s="4">
        <v>0</v>
      </c>
      <c r="AA170" s="46">
        <v>56916</v>
      </c>
    </row>
    <row r="171" spans="1:27" x14ac:dyDescent="0.25">
      <c r="A171" s="48">
        <v>11</v>
      </c>
      <c r="B171" s="5" t="s">
        <v>670</v>
      </c>
      <c r="C171" s="45" t="s">
        <v>181</v>
      </c>
      <c r="D171" s="5" t="s">
        <v>511</v>
      </c>
      <c r="E171" s="5">
        <v>37.46</v>
      </c>
      <c r="F171" s="5">
        <v>341.1</v>
      </c>
      <c r="G171" s="5">
        <v>378.56</v>
      </c>
      <c r="H171" s="5">
        <v>0</v>
      </c>
      <c r="I171" s="5">
        <v>8</v>
      </c>
      <c r="J171" s="5">
        <v>0</v>
      </c>
      <c r="K171" s="5">
        <v>349</v>
      </c>
      <c r="L171" s="5">
        <v>341.06</v>
      </c>
      <c r="M171" s="5">
        <v>64.86</v>
      </c>
      <c r="N171" s="5">
        <v>71.28</v>
      </c>
      <c r="O171" s="5">
        <v>29.31</v>
      </c>
      <c r="P171" s="4">
        <v>129112</v>
      </c>
      <c r="Q171" s="5">
        <v>360</v>
      </c>
      <c r="R171" s="4">
        <v>129472</v>
      </c>
      <c r="S171" s="4">
        <v>22378</v>
      </c>
      <c r="T171" s="4">
        <v>519</v>
      </c>
      <c r="U171" s="4">
        <v>22117</v>
      </c>
      <c r="V171" s="4">
        <v>22636</v>
      </c>
      <c r="W171" s="4">
        <v>570</v>
      </c>
      <c r="X171" s="4">
        <v>24307</v>
      </c>
      <c r="Y171" s="4">
        <v>24877</v>
      </c>
      <c r="Z171" s="4">
        <v>0</v>
      </c>
      <c r="AA171" s="46">
        <v>11096</v>
      </c>
    </row>
    <row r="172" spans="1:27" x14ac:dyDescent="0.25">
      <c r="A172" s="48">
        <v>11</v>
      </c>
      <c r="B172" s="5" t="s">
        <v>670</v>
      </c>
      <c r="C172" s="45" t="s">
        <v>182</v>
      </c>
      <c r="D172" s="5" t="s">
        <v>512</v>
      </c>
      <c r="E172" s="5">
        <v>309.36</v>
      </c>
      <c r="F172" s="35">
        <v>2662.4</v>
      </c>
      <c r="G172" s="35">
        <v>2971.76</v>
      </c>
      <c r="H172" s="5">
        <v>0</v>
      </c>
      <c r="I172" s="5">
        <v>80</v>
      </c>
      <c r="J172" s="5">
        <v>0</v>
      </c>
      <c r="K172" s="4">
        <v>2742</v>
      </c>
      <c r="L172" s="5">
        <v>341.06</v>
      </c>
      <c r="M172" s="5">
        <v>64.86</v>
      </c>
      <c r="N172" s="5">
        <v>71.28</v>
      </c>
      <c r="O172" s="5">
        <v>29.31</v>
      </c>
      <c r="P172" s="4">
        <v>1013548</v>
      </c>
      <c r="Q172" s="5">
        <v>0</v>
      </c>
      <c r="R172" s="4">
        <v>1013548</v>
      </c>
      <c r="S172" s="4">
        <v>175675</v>
      </c>
      <c r="T172" s="4">
        <v>5189</v>
      </c>
      <c r="U172" s="4">
        <v>172657</v>
      </c>
      <c r="V172" s="4">
        <v>177846</v>
      </c>
      <c r="W172" s="4">
        <v>5702</v>
      </c>
      <c r="X172" s="4">
        <v>189748</v>
      </c>
      <c r="Y172" s="4">
        <v>195450</v>
      </c>
      <c r="Z172" s="4">
        <v>0</v>
      </c>
      <c r="AA172" s="46">
        <v>87102</v>
      </c>
    </row>
    <row r="173" spans="1:27" x14ac:dyDescent="0.25">
      <c r="A173" s="48">
        <v>11</v>
      </c>
      <c r="B173" s="5" t="s">
        <v>670</v>
      </c>
      <c r="C173" s="45" t="s">
        <v>183</v>
      </c>
      <c r="D173" s="5" t="s">
        <v>513</v>
      </c>
      <c r="E173" s="5">
        <v>354.06</v>
      </c>
      <c r="F173" s="35">
        <v>1984</v>
      </c>
      <c r="G173" s="35">
        <v>2338.06</v>
      </c>
      <c r="H173" s="5">
        <v>0</v>
      </c>
      <c r="I173" s="5">
        <v>167</v>
      </c>
      <c r="J173" s="5">
        <v>3.6</v>
      </c>
      <c r="K173" s="4">
        <v>2147</v>
      </c>
      <c r="L173" s="5">
        <v>341.06</v>
      </c>
      <c r="M173" s="5">
        <v>64.86</v>
      </c>
      <c r="N173" s="5">
        <v>71.28</v>
      </c>
      <c r="O173" s="5">
        <v>29.31</v>
      </c>
      <c r="P173" s="4">
        <v>797419</v>
      </c>
      <c r="Q173" s="5">
        <v>0</v>
      </c>
      <c r="R173" s="4">
        <v>797419</v>
      </c>
      <c r="S173" s="4">
        <v>138214</v>
      </c>
      <c r="T173" s="4">
        <v>10832</v>
      </c>
      <c r="U173" s="4">
        <v>128422</v>
      </c>
      <c r="V173" s="4">
        <v>139254</v>
      </c>
      <c r="W173" s="4">
        <v>11904</v>
      </c>
      <c r="X173" s="4">
        <v>141134</v>
      </c>
      <c r="Y173" s="4">
        <v>153038</v>
      </c>
      <c r="Z173" s="4">
        <v>0</v>
      </c>
      <c r="AA173" s="46">
        <v>68529</v>
      </c>
    </row>
    <row r="174" spans="1:27" x14ac:dyDescent="0.25">
      <c r="A174" s="48">
        <v>11</v>
      </c>
      <c r="B174" s="5" t="s">
        <v>670</v>
      </c>
      <c r="C174" s="45" t="s">
        <v>184</v>
      </c>
      <c r="D174" s="5" t="s">
        <v>514</v>
      </c>
      <c r="E174" s="5">
        <v>218.47</v>
      </c>
      <c r="F174" s="35">
        <v>1927.2</v>
      </c>
      <c r="G174" s="35">
        <v>2145.67</v>
      </c>
      <c r="H174" s="5">
        <v>0</v>
      </c>
      <c r="I174" s="5">
        <v>68</v>
      </c>
      <c r="J174" s="5">
        <v>0</v>
      </c>
      <c r="K174" s="4">
        <v>1995</v>
      </c>
      <c r="L174" s="5">
        <v>341.06</v>
      </c>
      <c r="M174" s="5">
        <v>64.86</v>
      </c>
      <c r="N174" s="5">
        <v>71.28</v>
      </c>
      <c r="O174" s="5">
        <v>29.31</v>
      </c>
      <c r="P174" s="4">
        <v>731802</v>
      </c>
      <c r="Q174" s="4">
        <v>7095</v>
      </c>
      <c r="R174" s="4">
        <v>738897</v>
      </c>
      <c r="S174" s="4">
        <v>126841</v>
      </c>
      <c r="T174" s="4">
        <v>4410</v>
      </c>
      <c r="U174" s="4">
        <v>124986</v>
      </c>
      <c r="V174" s="4">
        <v>129396</v>
      </c>
      <c r="W174" s="4">
        <v>4847</v>
      </c>
      <c r="X174" s="4">
        <v>137357</v>
      </c>
      <c r="Y174" s="4">
        <v>142204</v>
      </c>
      <c r="Z174" s="4">
        <v>0</v>
      </c>
      <c r="AA174" s="46">
        <v>63251</v>
      </c>
    </row>
    <row r="175" spans="1:27" x14ac:dyDescent="0.25">
      <c r="A175" s="48">
        <v>11</v>
      </c>
      <c r="B175" s="5" t="s">
        <v>670</v>
      </c>
      <c r="C175" s="45" t="s">
        <v>185</v>
      </c>
      <c r="D175" s="5" t="s">
        <v>515</v>
      </c>
      <c r="E175" s="5">
        <v>273.64</v>
      </c>
      <c r="F175" s="35">
        <v>1549.1</v>
      </c>
      <c r="G175" s="35">
        <v>1822.74</v>
      </c>
      <c r="H175" s="5">
        <v>0</v>
      </c>
      <c r="I175" s="5">
        <v>947</v>
      </c>
      <c r="J175" s="5">
        <v>22.4</v>
      </c>
      <c r="K175" s="4">
        <v>2474</v>
      </c>
      <c r="L175" s="5">
        <v>341.06</v>
      </c>
      <c r="M175" s="5">
        <v>64.86</v>
      </c>
      <c r="N175" s="5">
        <v>71.28</v>
      </c>
      <c r="O175" s="5">
        <v>29.31</v>
      </c>
      <c r="P175" s="4">
        <v>621664</v>
      </c>
      <c r="Q175" s="4">
        <v>10834</v>
      </c>
      <c r="R175" s="4">
        <v>632498</v>
      </c>
      <c r="S175" s="4">
        <v>107751</v>
      </c>
      <c r="T175" s="4">
        <v>61422</v>
      </c>
      <c r="U175" s="4">
        <v>99042</v>
      </c>
      <c r="V175" s="4">
        <v>160464</v>
      </c>
      <c r="W175" s="4">
        <v>67502</v>
      </c>
      <c r="X175" s="4">
        <v>108845</v>
      </c>
      <c r="Y175" s="4">
        <v>176347</v>
      </c>
      <c r="Z175" s="4">
        <v>0</v>
      </c>
      <c r="AA175" s="46">
        <v>54143</v>
      </c>
    </row>
    <row r="176" spans="1:27" x14ac:dyDescent="0.25">
      <c r="A176" s="48">
        <v>11</v>
      </c>
      <c r="B176" s="5" t="s">
        <v>670</v>
      </c>
      <c r="C176" s="47" t="s">
        <v>186</v>
      </c>
      <c r="D176" s="5" t="s">
        <v>516</v>
      </c>
      <c r="E176" s="5">
        <v>104.17</v>
      </c>
      <c r="F176" s="5">
        <v>684.5</v>
      </c>
      <c r="G176" s="5">
        <v>788.67</v>
      </c>
      <c r="H176" s="5">
        <v>0</v>
      </c>
      <c r="I176" s="5">
        <v>11</v>
      </c>
      <c r="J176" s="5">
        <v>0</v>
      </c>
      <c r="K176" s="5">
        <v>696</v>
      </c>
      <c r="L176" s="5">
        <v>341.06</v>
      </c>
      <c r="M176" s="5">
        <v>64.86</v>
      </c>
      <c r="N176" s="5">
        <v>71.28</v>
      </c>
      <c r="O176" s="5">
        <v>29.31</v>
      </c>
      <c r="P176" s="4">
        <v>268984</v>
      </c>
      <c r="Q176" s="4">
        <v>2934</v>
      </c>
      <c r="R176" s="4">
        <v>271918</v>
      </c>
      <c r="S176" s="4">
        <v>46622</v>
      </c>
      <c r="T176" s="4">
        <v>713</v>
      </c>
      <c r="U176" s="4">
        <v>44430</v>
      </c>
      <c r="V176" s="4">
        <v>45143</v>
      </c>
      <c r="W176" s="4">
        <v>784</v>
      </c>
      <c r="X176" s="4">
        <v>48827</v>
      </c>
      <c r="Y176" s="4">
        <v>49611</v>
      </c>
      <c r="Z176" s="4">
        <v>0</v>
      </c>
      <c r="AA176" s="46">
        <v>23277</v>
      </c>
    </row>
    <row r="177" spans="1:27" x14ac:dyDescent="0.25">
      <c r="A177" s="48">
        <v>11</v>
      </c>
      <c r="B177" s="5" t="s">
        <v>670</v>
      </c>
      <c r="C177" s="47" t="s">
        <v>187</v>
      </c>
      <c r="D177" s="5" t="s">
        <v>517</v>
      </c>
      <c r="E177" s="5">
        <v>58.23</v>
      </c>
      <c r="F177" s="5">
        <v>418.1</v>
      </c>
      <c r="G177" s="5">
        <v>476.33</v>
      </c>
      <c r="H177" s="5">
        <v>0</v>
      </c>
      <c r="I177" s="5">
        <v>3</v>
      </c>
      <c r="J177" s="5">
        <v>0</v>
      </c>
      <c r="K177" s="5">
        <v>421</v>
      </c>
      <c r="L177" s="5">
        <v>341.06</v>
      </c>
      <c r="M177" s="5">
        <v>64.86</v>
      </c>
      <c r="N177" s="5">
        <v>71.28</v>
      </c>
      <c r="O177" s="5">
        <v>29.31</v>
      </c>
      <c r="P177" s="4">
        <v>162457</v>
      </c>
      <c r="Q177" s="4">
        <v>9406</v>
      </c>
      <c r="R177" s="4">
        <v>171863</v>
      </c>
      <c r="S177" s="4">
        <v>28158</v>
      </c>
      <c r="T177" s="4">
        <v>195</v>
      </c>
      <c r="U177" s="4">
        <v>27111</v>
      </c>
      <c r="V177" s="4">
        <v>27306</v>
      </c>
      <c r="W177" s="4">
        <v>214</v>
      </c>
      <c r="X177" s="4">
        <v>29795</v>
      </c>
      <c r="Y177" s="4">
        <v>30009</v>
      </c>
      <c r="Z177" s="4">
        <v>0</v>
      </c>
      <c r="AA177" s="46">
        <v>14631</v>
      </c>
    </row>
    <row r="178" spans="1:27" x14ac:dyDescent="0.25">
      <c r="A178" s="48">
        <v>11</v>
      </c>
      <c r="B178" s="5" t="s">
        <v>670</v>
      </c>
      <c r="C178" s="47" t="s">
        <v>188</v>
      </c>
      <c r="D178" s="5" t="s">
        <v>518</v>
      </c>
      <c r="E178" s="5">
        <v>61.56</v>
      </c>
      <c r="F178" s="5">
        <v>452</v>
      </c>
      <c r="G178" s="5">
        <v>513.55999999999995</v>
      </c>
      <c r="H178" s="5">
        <v>0</v>
      </c>
      <c r="I178" s="5">
        <v>0</v>
      </c>
      <c r="J178" s="5">
        <v>0</v>
      </c>
      <c r="K178" s="5">
        <v>452</v>
      </c>
      <c r="L178" s="5">
        <v>341.06</v>
      </c>
      <c r="M178" s="5">
        <v>64.86</v>
      </c>
      <c r="N178" s="5">
        <v>71.28</v>
      </c>
      <c r="O178" s="5">
        <v>29.31</v>
      </c>
      <c r="P178" s="4">
        <v>175155</v>
      </c>
      <c r="Q178" s="5">
        <v>0</v>
      </c>
      <c r="R178" s="4">
        <v>175155</v>
      </c>
      <c r="S178" s="4">
        <v>30359</v>
      </c>
      <c r="T178" s="4">
        <v>0</v>
      </c>
      <c r="U178" s="4">
        <v>29317</v>
      </c>
      <c r="V178" s="4">
        <v>29317</v>
      </c>
      <c r="W178" s="4">
        <v>0</v>
      </c>
      <c r="X178" s="4">
        <v>32219</v>
      </c>
      <c r="Y178" s="4">
        <v>32219</v>
      </c>
      <c r="Z178" s="4">
        <v>0</v>
      </c>
      <c r="AA178" s="46">
        <v>15052</v>
      </c>
    </row>
    <row r="179" spans="1:27" x14ac:dyDescent="0.25">
      <c r="A179" s="48">
        <v>11</v>
      </c>
      <c r="B179" s="5" t="s">
        <v>670</v>
      </c>
      <c r="C179" s="47" t="s">
        <v>189</v>
      </c>
      <c r="D179" s="5" t="s">
        <v>519</v>
      </c>
      <c r="E179" s="5">
        <v>70.8</v>
      </c>
      <c r="F179" s="5">
        <v>440.4</v>
      </c>
      <c r="G179" s="5">
        <v>511.2</v>
      </c>
      <c r="H179" s="5">
        <v>0</v>
      </c>
      <c r="I179" s="5">
        <v>3</v>
      </c>
      <c r="J179" s="5">
        <v>0</v>
      </c>
      <c r="K179" s="5">
        <v>443</v>
      </c>
      <c r="L179" s="5">
        <v>341.06</v>
      </c>
      <c r="M179" s="5">
        <v>64.86</v>
      </c>
      <c r="N179" s="5">
        <v>71.28</v>
      </c>
      <c r="O179" s="5">
        <v>29.31</v>
      </c>
      <c r="P179" s="4">
        <v>174350</v>
      </c>
      <c r="Q179" s="5">
        <v>0</v>
      </c>
      <c r="R179" s="4">
        <v>174350</v>
      </c>
      <c r="S179" s="4">
        <v>30220</v>
      </c>
      <c r="T179" s="4">
        <v>195</v>
      </c>
      <c r="U179" s="4">
        <v>28538</v>
      </c>
      <c r="V179" s="4">
        <v>28733</v>
      </c>
      <c r="W179" s="4">
        <v>214</v>
      </c>
      <c r="X179" s="4">
        <v>31363</v>
      </c>
      <c r="Y179" s="4">
        <v>31577</v>
      </c>
      <c r="Z179" s="4">
        <v>0</v>
      </c>
      <c r="AA179" s="46">
        <v>14983</v>
      </c>
    </row>
    <row r="180" spans="1:27" x14ac:dyDescent="0.25">
      <c r="A180" s="48">
        <v>11</v>
      </c>
      <c r="B180" s="5" t="s">
        <v>670</v>
      </c>
      <c r="C180" s="47" t="s">
        <v>190</v>
      </c>
      <c r="D180" s="5" t="s">
        <v>520</v>
      </c>
      <c r="E180" s="5">
        <v>398.52</v>
      </c>
      <c r="F180" s="35">
        <v>3446.3</v>
      </c>
      <c r="G180" s="35">
        <v>3844.82</v>
      </c>
      <c r="H180" s="5">
        <v>0</v>
      </c>
      <c r="I180" s="5">
        <v>123</v>
      </c>
      <c r="J180" s="5">
        <v>0</v>
      </c>
      <c r="K180" s="4">
        <v>3569</v>
      </c>
      <c r="L180" s="5">
        <v>341.06</v>
      </c>
      <c r="M180" s="5">
        <v>64.86</v>
      </c>
      <c r="N180" s="5">
        <v>71.28</v>
      </c>
      <c r="O180" s="5">
        <v>29.31</v>
      </c>
      <c r="P180" s="4">
        <v>1311314</v>
      </c>
      <c r="Q180" s="5">
        <v>0</v>
      </c>
      <c r="R180" s="4">
        <v>1311314</v>
      </c>
      <c r="S180" s="4">
        <v>227286</v>
      </c>
      <c r="T180" s="4">
        <v>7978</v>
      </c>
      <c r="U180" s="4">
        <v>223507</v>
      </c>
      <c r="V180" s="4">
        <v>231485</v>
      </c>
      <c r="W180" s="4">
        <v>8767</v>
      </c>
      <c r="X180" s="4">
        <v>245631</v>
      </c>
      <c r="Y180" s="4">
        <v>254398</v>
      </c>
      <c r="Z180" s="4">
        <v>0</v>
      </c>
      <c r="AA180" s="46">
        <v>112692</v>
      </c>
    </row>
    <row r="181" spans="1:27" x14ac:dyDescent="0.25">
      <c r="A181" s="48">
        <v>11</v>
      </c>
      <c r="B181" s="5" t="s">
        <v>670</v>
      </c>
      <c r="C181" s="47" t="s">
        <v>191</v>
      </c>
      <c r="D181" s="5" t="s">
        <v>521</v>
      </c>
      <c r="E181" s="35">
        <v>5502.1</v>
      </c>
      <c r="F181" s="35">
        <v>30836.3</v>
      </c>
      <c r="G181" s="35">
        <v>36338.400000000001</v>
      </c>
      <c r="H181" s="5">
        <v>0</v>
      </c>
      <c r="I181" s="4">
        <v>2968</v>
      </c>
      <c r="J181" s="5">
        <v>56.6</v>
      </c>
      <c r="K181" s="4">
        <v>33748</v>
      </c>
      <c r="L181" s="5">
        <v>341.06</v>
      </c>
      <c r="M181" s="5">
        <v>64.86</v>
      </c>
      <c r="N181" s="5">
        <v>71.28</v>
      </c>
      <c r="O181" s="5">
        <v>29.31</v>
      </c>
      <c r="P181" s="4">
        <v>12393575</v>
      </c>
      <c r="Q181" s="5">
        <v>0</v>
      </c>
      <c r="R181" s="4">
        <v>12393575</v>
      </c>
      <c r="S181" s="4">
        <v>2148134</v>
      </c>
      <c r="T181" s="4">
        <v>192504</v>
      </c>
      <c r="U181" s="4">
        <v>1996391</v>
      </c>
      <c r="V181" s="4">
        <v>2188895</v>
      </c>
      <c r="W181" s="4">
        <v>211559</v>
      </c>
      <c r="X181" s="4">
        <v>2193998</v>
      </c>
      <c r="Y181" s="4">
        <v>2405557</v>
      </c>
      <c r="Z181" s="4">
        <v>0</v>
      </c>
      <c r="AA181" s="46">
        <v>1065079</v>
      </c>
    </row>
    <row r="182" spans="1:27" x14ac:dyDescent="0.25">
      <c r="A182" s="48">
        <v>11</v>
      </c>
      <c r="B182" s="5" t="s">
        <v>670</v>
      </c>
      <c r="C182" s="47" t="s">
        <v>192</v>
      </c>
      <c r="D182" s="5" t="s">
        <v>522</v>
      </c>
      <c r="E182" s="5">
        <v>46.54</v>
      </c>
      <c r="F182" s="5">
        <v>573.79999999999995</v>
      </c>
      <c r="G182" s="5">
        <v>620.34</v>
      </c>
      <c r="H182" s="5">
        <v>0</v>
      </c>
      <c r="I182" s="5">
        <v>7</v>
      </c>
      <c r="J182" s="5">
        <v>0</v>
      </c>
      <c r="K182" s="5">
        <v>581</v>
      </c>
      <c r="L182" s="5">
        <v>341.06</v>
      </c>
      <c r="M182" s="5">
        <v>64.86</v>
      </c>
      <c r="N182" s="5">
        <v>71.28</v>
      </c>
      <c r="O182" s="5">
        <v>29.31</v>
      </c>
      <c r="P182" s="4">
        <v>211573</v>
      </c>
      <c r="Q182" s="5">
        <v>0</v>
      </c>
      <c r="R182" s="4">
        <v>211573</v>
      </c>
      <c r="S182" s="4">
        <v>36672</v>
      </c>
      <c r="T182" s="4">
        <v>454</v>
      </c>
      <c r="U182" s="4">
        <v>37230</v>
      </c>
      <c r="V182" s="4">
        <v>37684</v>
      </c>
      <c r="W182" s="4">
        <v>499</v>
      </c>
      <c r="X182" s="4">
        <v>40915</v>
      </c>
      <c r="Y182" s="4">
        <v>41414</v>
      </c>
      <c r="Z182" s="4">
        <v>0</v>
      </c>
      <c r="AA182" s="46">
        <v>18182</v>
      </c>
    </row>
    <row r="183" spans="1:27" x14ac:dyDescent="0.25">
      <c r="A183" s="48">
        <v>11</v>
      </c>
      <c r="B183" s="5" t="s">
        <v>670</v>
      </c>
      <c r="C183" s="47" t="s">
        <v>193</v>
      </c>
      <c r="D183" s="5" t="s">
        <v>523</v>
      </c>
      <c r="E183" s="5">
        <v>56.72</v>
      </c>
      <c r="F183" s="5">
        <v>423.5</v>
      </c>
      <c r="G183" s="5">
        <v>480.22</v>
      </c>
      <c r="H183" s="5">
        <v>0</v>
      </c>
      <c r="I183" s="5">
        <v>0</v>
      </c>
      <c r="J183" s="5">
        <v>0</v>
      </c>
      <c r="K183" s="5">
        <v>424</v>
      </c>
      <c r="L183" s="5">
        <v>341.06</v>
      </c>
      <c r="M183" s="5">
        <v>64.86</v>
      </c>
      <c r="N183" s="5">
        <v>71.28</v>
      </c>
      <c r="O183" s="5">
        <v>29.31</v>
      </c>
      <c r="P183" s="4">
        <v>163784</v>
      </c>
      <c r="Q183" s="5">
        <v>0</v>
      </c>
      <c r="R183" s="4">
        <v>163784</v>
      </c>
      <c r="S183" s="4">
        <v>28388</v>
      </c>
      <c r="T183" s="4">
        <v>0</v>
      </c>
      <c r="U183" s="4">
        <v>27501</v>
      </c>
      <c r="V183" s="4">
        <v>27501</v>
      </c>
      <c r="W183" s="4">
        <v>0</v>
      </c>
      <c r="X183" s="4">
        <v>30223</v>
      </c>
      <c r="Y183" s="4">
        <v>30223</v>
      </c>
      <c r="Z183" s="4">
        <v>0</v>
      </c>
      <c r="AA183" s="46">
        <v>14075</v>
      </c>
    </row>
    <row r="184" spans="1:27" x14ac:dyDescent="0.25">
      <c r="A184" s="48">
        <v>11</v>
      </c>
      <c r="B184" s="5" t="s">
        <v>670</v>
      </c>
      <c r="C184" s="47" t="s">
        <v>194</v>
      </c>
      <c r="D184" s="5" t="s">
        <v>524</v>
      </c>
      <c r="E184" s="5">
        <v>118.46</v>
      </c>
      <c r="F184" s="35">
        <v>1590.5</v>
      </c>
      <c r="G184" s="35">
        <v>1708.96</v>
      </c>
      <c r="H184" s="5">
        <v>0</v>
      </c>
      <c r="I184" s="5">
        <v>41</v>
      </c>
      <c r="J184" s="5">
        <v>0</v>
      </c>
      <c r="K184" s="4">
        <v>1632</v>
      </c>
      <c r="L184" s="5">
        <v>341.06</v>
      </c>
      <c r="M184" s="5">
        <v>64.86</v>
      </c>
      <c r="N184" s="5">
        <v>71.28</v>
      </c>
      <c r="O184" s="5">
        <v>29.31</v>
      </c>
      <c r="P184" s="4">
        <v>582858</v>
      </c>
      <c r="Q184" s="5">
        <v>0</v>
      </c>
      <c r="R184" s="4">
        <v>582858</v>
      </c>
      <c r="S184" s="4">
        <v>101024</v>
      </c>
      <c r="T184" s="4">
        <v>2659</v>
      </c>
      <c r="U184" s="4">
        <v>103193</v>
      </c>
      <c r="V184" s="4">
        <v>105852</v>
      </c>
      <c r="W184" s="4">
        <v>2922</v>
      </c>
      <c r="X184" s="4">
        <v>113407</v>
      </c>
      <c r="Y184" s="4">
        <v>116329</v>
      </c>
      <c r="Z184" s="4">
        <v>0</v>
      </c>
      <c r="AA184" s="46">
        <v>50090</v>
      </c>
    </row>
    <row r="185" spans="1:27" x14ac:dyDescent="0.25">
      <c r="A185" s="48">
        <v>11</v>
      </c>
      <c r="B185" s="5" t="s">
        <v>670</v>
      </c>
      <c r="C185" s="47" t="s">
        <v>195</v>
      </c>
      <c r="D185" s="5" t="s">
        <v>525</v>
      </c>
      <c r="E185" s="5">
        <v>34.75</v>
      </c>
      <c r="F185" s="5">
        <v>313.3</v>
      </c>
      <c r="G185" s="5">
        <v>348.05</v>
      </c>
      <c r="H185" s="5">
        <v>0</v>
      </c>
      <c r="I185" s="5">
        <v>18</v>
      </c>
      <c r="J185" s="5">
        <v>0</v>
      </c>
      <c r="K185" s="5">
        <v>331</v>
      </c>
      <c r="L185" s="5">
        <v>341.06</v>
      </c>
      <c r="M185" s="5">
        <v>64.86</v>
      </c>
      <c r="N185" s="5">
        <v>71.28</v>
      </c>
      <c r="O185" s="5">
        <v>29.31</v>
      </c>
      <c r="P185" s="4">
        <v>118706</v>
      </c>
      <c r="Q185" s="5">
        <v>0</v>
      </c>
      <c r="R185" s="4">
        <v>118706</v>
      </c>
      <c r="S185" s="4">
        <v>20575</v>
      </c>
      <c r="T185" s="4">
        <v>1167</v>
      </c>
      <c r="U185" s="4">
        <v>20302</v>
      </c>
      <c r="V185" s="4">
        <v>21469</v>
      </c>
      <c r="W185" s="4">
        <v>1283</v>
      </c>
      <c r="X185" s="4">
        <v>22311</v>
      </c>
      <c r="Y185" s="4">
        <v>23594</v>
      </c>
      <c r="Z185" s="4">
        <v>0</v>
      </c>
      <c r="AA185" s="46">
        <v>10201</v>
      </c>
    </row>
    <row r="186" spans="1:27" x14ac:dyDescent="0.25">
      <c r="A186" s="48">
        <v>11</v>
      </c>
      <c r="B186" s="5" t="s">
        <v>670</v>
      </c>
      <c r="C186" s="47" t="s">
        <v>196</v>
      </c>
      <c r="D186" s="5" t="s">
        <v>526</v>
      </c>
      <c r="E186" s="5">
        <v>53.31</v>
      </c>
      <c r="F186" s="5">
        <v>388.2</v>
      </c>
      <c r="G186" s="5">
        <v>441.51</v>
      </c>
      <c r="H186" s="5">
        <v>0</v>
      </c>
      <c r="I186" s="5">
        <v>0</v>
      </c>
      <c r="J186" s="5">
        <v>0</v>
      </c>
      <c r="K186" s="5">
        <v>388</v>
      </c>
      <c r="L186" s="5">
        <v>341.06</v>
      </c>
      <c r="M186" s="5">
        <v>64.86</v>
      </c>
      <c r="N186" s="5">
        <v>71.28</v>
      </c>
      <c r="O186" s="5">
        <v>29.31</v>
      </c>
      <c r="P186" s="4">
        <v>150581</v>
      </c>
      <c r="Q186" s="5">
        <v>0</v>
      </c>
      <c r="R186" s="4">
        <v>150581</v>
      </c>
      <c r="S186" s="4">
        <v>26100</v>
      </c>
      <c r="T186" s="4">
        <v>0</v>
      </c>
      <c r="U186" s="4">
        <v>25166</v>
      </c>
      <c r="V186" s="4">
        <v>25166</v>
      </c>
      <c r="W186" s="4">
        <v>0</v>
      </c>
      <c r="X186" s="4">
        <v>27657</v>
      </c>
      <c r="Y186" s="4">
        <v>27657</v>
      </c>
      <c r="Z186" s="4">
        <v>0</v>
      </c>
      <c r="AA186" s="46">
        <v>12941</v>
      </c>
    </row>
    <row r="187" spans="1:27" x14ac:dyDescent="0.25">
      <c r="A187" s="48">
        <v>11</v>
      </c>
      <c r="B187" s="5" t="s">
        <v>670</v>
      </c>
      <c r="C187" s="47" t="s">
        <v>197</v>
      </c>
      <c r="D187" s="5" t="s">
        <v>527</v>
      </c>
      <c r="E187" s="5">
        <v>480.29</v>
      </c>
      <c r="F187" s="35">
        <v>3430.2</v>
      </c>
      <c r="G187" s="35">
        <v>3910.49</v>
      </c>
      <c r="H187" s="5">
        <v>0</v>
      </c>
      <c r="I187" s="5">
        <v>145</v>
      </c>
      <c r="J187" s="5">
        <v>0.1</v>
      </c>
      <c r="K187" s="4">
        <v>3575</v>
      </c>
      <c r="L187" s="5">
        <v>341.06</v>
      </c>
      <c r="M187" s="5">
        <v>64.86</v>
      </c>
      <c r="N187" s="5">
        <v>71.28</v>
      </c>
      <c r="O187" s="5">
        <v>29.31</v>
      </c>
      <c r="P187" s="4">
        <v>1333712</v>
      </c>
      <c r="Q187" s="5">
        <v>0</v>
      </c>
      <c r="R187" s="4">
        <v>1333712</v>
      </c>
      <c r="S187" s="4">
        <v>231167</v>
      </c>
      <c r="T187" s="4">
        <v>9405</v>
      </c>
      <c r="U187" s="4">
        <v>222470</v>
      </c>
      <c r="V187" s="4">
        <v>231875</v>
      </c>
      <c r="W187" s="4">
        <v>10336</v>
      </c>
      <c r="X187" s="4">
        <v>244490</v>
      </c>
      <c r="Y187" s="4">
        <v>254826</v>
      </c>
      <c r="Z187" s="4">
        <v>0</v>
      </c>
      <c r="AA187" s="46">
        <v>114616</v>
      </c>
    </row>
    <row r="188" spans="1:27" x14ac:dyDescent="0.25">
      <c r="A188" s="48">
        <v>11</v>
      </c>
      <c r="B188" s="5" t="s">
        <v>670</v>
      </c>
      <c r="C188" s="47" t="s">
        <v>198</v>
      </c>
      <c r="D188" s="5" t="s">
        <v>528</v>
      </c>
      <c r="E188" s="5">
        <v>87.22</v>
      </c>
      <c r="F188" s="5">
        <v>820.3</v>
      </c>
      <c r="G188" s="5">
        <v>907.52</v>
      </c>
      <c r="H188" s="5">
        <v>0</v>
      </c>
      <c r="I188" s="5">
        <v>16</v>
      </c>
      <c r="J188" s="5">
        <v>0</v>
      </c>
      <c r="K188" s="5">
        <v>836</v>
      </c>
      <c r="L188" s="5">
        <v>341.06</v>
      </c>
      <c r="M188" s="5">
        <v>64.86</v>
      </c>
      <c r="N188" s="5">
        <v>71.28</v>
      </c>
      <c r="O188" s="5">
        <v>29.31</v>
      </c>
      <c r="P188" s="4">
        <v>309519</v>
      </c>
      <c r="Q188" s="5">
        <v>0</v>
      </c>
      <c r="R188" s="4">
        <v>309519</v>
      </c>
      <c r="S188" s="4">
        <v>53648</v>
      </c>
      <c r="T188" s="4">
        <v>1038</v>
      </c>
      <c r="U188" s="4">
        <v>53185</v>
      </c>
      <c r="V188" s="4">
        <v>54223</v>
      </c>
      <c r="W188" s="4">
        <v>1140</v>
      </c>
      <c r="X188" s="4">
        <v>58450</v>
      </c>
      <c r="Y188" s="4">
        <v>59590</v>
      </c>
      <c r="Z188" s="4">
        <v>0</v>
      </c>
      <c r="AA188" s="46">
        <v>26599</v>
      </c>
    </row>
    <row r="189" spans="1:27" x14ac:dyDescent="0.25">
      <c r="A189" s="48">
        <v>11</v>
      </c>
      <c r="B189" s="5" t="s">
        <v>670</v>
      </c>
      <c r="C189" s="47" t="s">
        <v>199</v>
      </c>
      <c r="D189" s="5" t="s">
        <v>529</v>
      </c>
      <c r="E189" s="5">
        <v>803.86</v>
      </c>
      <c r="F189" s="35">
        <v>6737.5</v>
      </c>
      <c r="G189" s="35">
        <v>7541.36</v>
      </c>
      <c r="H189" s="5">
        <v>0</v>
      </c>
      <c r="I189" s="5">
        <v>509</v>
      </c>
      <c r="J189" s="5">
        <v>0</v>
      </c>
      <c r="K189" s="4">
        <v>7247</v>
      </c>
      <c r="L189" s="5">
        <v>341.06</v>
      </c>
      <c r="M189" s="5">
        <v>64.86</v>
      </c>
      <c r="N189" s="5">
        <v>71.28</v>
      </c>
      <c r="O189" s="5">
        <v>29.31</v>
      </c>
      <c r="P189" s="4">
        <v>2572056</v>
      </c>
      <c r="Q189" s="5">
        <v>0</v>
      </c>
      <c r="R189" s="4">
        <v>2572056</v>
      </c>
      <c r="S189" s="4">
        <v>445806</v>
      </c>
      <c r="T189" s="4">
        <v>33014</v>
      </c>
      <c r="U189" s="4">
        <v>437026</v>
      </c>
      <c r="V189" s="4">
        <v>470040</v>
      </c>
      <c r="W189" s="4">
        <v>36282</v>
      </c>
      <c r="X189" s="4">
        <v>480284</v>
      </c>
      <c r="Y189" s="4">
        <v>516566</v>
      </c>
      <c r="Z189" s="4">
        <v>0</v>
      </c>
      <c r="AA189" s="46">
        <v>221037</v>
      </c>
    </row>
    <row r="190" spans="1:27" x14ac:dyDescent="0.25">
      <c r="A190" s="48">
        <v>11</v>
      </c>
      <c r="B190" s="5" t="s">
        <v>670</v>
      </c>
      <c r="C190" s="47" t="s">
        <v>200</v>
      </c>
      <c r="D190" s="5" t="s">
        <v>530</v>
      </c>
      <c r="E190" s="5">
        <v>248.34</v>
      </c>
      <c r="F190" s="35">
        <v>1719.4</v>
      </c>
      <c r="G190" s="35">
        <v>1967.74</v>
      </c>
      <c r="H190" s="5">
        <v>0</v>
      </c>
      <c r="I190" s="5">
        <v>14</v>
      </c>
      <c r="J190" s="5">
        <v>0</v>
      </c>
      <c r="K190" s="4">
        <v>1733</v>
      </c>
      <c r="L190" s="5">
        <v>341.06</v>
      </c>
      <c r="M190" s="5">
        <v>64.86</v>
      </c>
      <c r="N190" s="5">
        <v>71.28</v>
      </c>
      <c r="O190" s="5">
        <v>29.31</v>
      </c>
      <c r="P190" s="4">
        <v>671117</v>
      </c>
      <c r="Q190" s="5">
        <v>0</v>
      </c>
      <c r="R190" s="4">
        <v>671117</v>
      </c>
      <c r="S190" s="4">
        <v>116323</v>
      </c>
      <c r="T190" s="4">
        <v>908</v>
      </c>
      <c r="U190" s="4">
        <v>111494</v>
      </c>
      <c r="V190" s="4">
        <v>112402</v>
      </c>
      <c r="W190" s="4">
        <v>998</v>
      </c>
      <c r="X190" s="4">
        <v>122530</v>
      </c>
      <c r="Y190" s="4">
        <v>123528</v>
      </c>
      <c r="Z190" s="4">
        <v>0</v>
      </c>
      <c r="AA190" s="46">
        <v>57674</v>
      </c>
    </row>
    <row r="191" spans="1:27" x14ac:dyDescent="0.25">
      <c r="A191" s="48">
        <v>11</v>
      </c>
      <c r="B191" s="5" t="s">
        <v>670</v>
      </c>
      <c r="C191" s="47" t="s">
        <v>201</v>
      </c>
      <c r="D191" s="5" t="s">
        <v>531</v>
      </c>
      <c r="E191" s="5">
        <v>57.4</v>
      </c>
      <c r="F191" s="5">
        <v>425.8</v>
      </c>
      <c r="G191" s="5">
        <v>483.2</v>
      </c>
      <c r="H191" s="5">
        <v>0</v>
      </c>
      <c r="I191" s="5">
        <v>63</v>
      </c>
      <c r="J191" s="5">
        <v>0</v>
      </c>
      <c r="K191" s="5">
        <v>489</v>
      </c>
      <c r="L191" s="5">
        <v>341.06</v>
      </c>
      <c r="M191" s="5">
        <v>64.86</v>
      </c>
      <c r="N191" s="5">
        <v>71.28</v>
      </c>
      <c r="O191" s="5">
        <v>29.31</v>
      </c>
      <c r="P191" s="4">
        <v>164800</v>
      </c>
      <c r="Q191" s="5">
        <v>903</v>
      </c>
      <c r="R191" s="4">
        <v>165703</v>
      </c>
      <c r="S191" s="4">
        <v>28565</v>
      </c>
      <c r="T191" s="4">
        <v>4086</v>
      </c>
      <c r="U191" s="4">
        <v>27631</v>
      </c>
      <c r="V191" s="4">
        <v>31717</v>
      </c>
      <c r="W191" s="4">
        <v>4491</v>
      </c>
      <c r="X191" s="4">
        <v>30365</v>
      </c>
      <c r="Y191" s="4">
        <v>34856</v>
      </c>
      <c r="Z191" s="4">
        <v>0</v>
      </c>
      <c r="AA191" s="46">
        <v>14185</v>
      </c>
    </row>
    <row r="192" spans="1:27" x14ac:dyDescent="0.25">
      <c r="A192" s="48">
        <v>11</v>
      </c>
      <c r="B192" s="5" t="s">
        <v>670</v>
      </c>
      <c r="C192" s="47" t="s">
        <v>202</v>
      </c>
      <c r="D192" s="5" t="s">
        <v>532</v>
      </c>
      <c r="E192" s="5">
        <v>73.27</v>
      </c>
      <c r="F192" s="5">
        <v>619.5</v>
      </c>
      <c r="G192" s="5">
        <v>692.77</v>
      </c>
      <c r="H192" s="5">
        <v>0</v>
      </c>
      <c r="I192" s="5">
        <v>1</v>
      </c>
      <c r="J192" s="5">
        <v>0</v>
      </c>
      <c r="K192" s="5">
        <v>621</v>
      </c>
      <c r="L192" s="5">
        <v>341.06</v>
      </c>
      <c r="M192" s="5">
        <v>64.86</v>
      </c>
      <c r="N192" s="5">
        <v>71.28</v>
      </c>
      <c r="O192" s="5">
        <v>29.31</v>
      </c>
      <c r="P192" s="4">
        <v>236276</v>
      </c>
      <c r="Q192" s="4">
        <v>9532</v>
      </c>
      <c r="R192" s="4">
        <v>245808</v>
      </c>
      <c r="S192" s="4">
        <v>40953</v>
      </c>
      <c r="T192" s="4">
        <v>65</v>
      </c>
      <c r="U192" s="4">
        <v>40213</v>
      </c>
      <c r="V192" s="4">
        <v>40278</v>
      </c>
      <c r="W192" s="4">
        <v>71</v>
      </c>
      <c r="X192" s="4">
        <v>44194</v>
      </c>
      <c r="Y192" s="4">
        <v>44265</v>
      </c>
      <c r="Z192" s="4">
        <v>0</v>
      </c>
      <c r="AA192" s="46">
        <v>20787</v>
      </c>
    </row>
    <row r="193" spans="1:27" x14ac:dyDescent="0.25">
      <c r="A193" s="48">
        <v>11</v>
      </c>
      <c r="B193" s="5" t="s">
        <v>670</v>
      </c>
      <c r="C193" s="47" t="s">
        <v>203</v>
      </c>
      <c r="D193" s="5" t="s">
        <v>533</v>
      </c>
      <c r="E193" s="5">
        <v>53.3</v>
      </c>
      <c r="F193" s="5">
        <v>474</v>
      </c>
      <c r="G193" s="5">
        <v>527.29999999999995</v>
      </c>
      <c r="H193" s="5">
        <v>0</v>
      </c>
      <c r="I193" s="5">
        <v>24</v>
      </c>
      <c r="J193" s="5">
        <v>0</v>
      </c>
      <c r="K193" s="5">
        <v>498</v>
      </c>
      <c r="L193" s="5">
        <v>341.06</v>
      </c>
      <c r="M193" s="5">
        <v>64.86</v>
      </c>
      <c r="N193" s="5">
        <v>71.28</v>
      </c>
      <c r="O193" s="5">
        <v>29.31</v>
      </c>
      <c r="P193" s="4">
        <v>179841</v>
      </c>
      <c r="Q193" s="5">
        <v>691</v>
      </c>
      <c r="R193" s="4">
        <v>180532</v>
      </c>
      <c r="S193" s="4">
        <v>31171</v>
      </c>
      <c r="T193" s="4">
        <v>1557</v>
      </c>
      <c r="U193" s="4">
        <v>30743</v>
      </c>
      <c r="V193" s="4">
        <v>32300</v>
      </c>
      <c r="W193" s="4">
        <v>1711</v>
      </c>
      <c r="X193" s="4">
        <v>33786</v>
      </c>
      <c r="Y193" s="4">
        <v>35497</v>
      </c>
      <c r="Z193" s="4">
        <v>0</v>
      </c>
      <c r="AA193" s="46">
        <v>15455</v>
      </c>
    </row>
    <row r="194" spans="1:27" x14ac:dyDescent="0.25">
      <c r="A194" s="48">
        <v>11</v>
      </c>
      <c r="B194" s="5" t="s">
        <v>670</v>
      </c>
      <c r="C194" s="47" t="s">
        <v>204</v>
      </c>
      <c r="D194" s="5" t="s">
        <v>534</v>
      </c>
      <c r="E194" s="5">
        <v>35.119999999999997</v>
      </c>
      <c r="F194" s="5">
        <v>287.39999999999998</v>
      </c>
      <c r="G194" s="5">
        <v>322.52</v>
      </c>
      <c r="H194" s="5">
        <v>0</v>
      </c>
      <c r="I194" s="5">
        <v>2</v>
      </c>
      <c r="J194" s="5">
        <v>0</v>
      </c>
      <c r="K194" s="5">
        <v>289</v>
      </c>
      <c r="L194" s="5">
        <v>341.06</v>
      </c>
      <c r="M194" s="5">
        <v>64.86</v>
      </c>
      <c r="N194" s="5">
        <v>71.28</v>
      </c>
      <c r="O194" s="5">
        <v>29.31</v>
      </c>
      <c r="P194" s="4">
        <v>109999</v>
      </c>
      <c r="Q194" s="4">
        <v>6906</v>
      </c>
      <c r="R194" s="4">
        <v>116905</v>
      </c>
      <c r="S194" s="4">
        <v>19066</v>
      </c>
      <c r="T194" s="4">
        <v>130</v>
      </c>
      <c r="U194" s="4">
        <v>18615</v>
      </c>
      <c r="V194" s="4">
        <v>18745</v>
      </c>
      <c r="W194" s="4">
        <v>143</v>
      </c>
      <c r="X194" s="4">
        <v>20457</v>
      </c>
      <c r="Y194" s="4">
        <v>20600</v>
      </c>
      <c r="Z194" s="4">
        <v>0</v>
      </c>
      <c r="AA194" s="46">
        <v>9453</v>
      </c>
    </row>
    <row r="195" spans="1:27" x14ac:dyDescent="0.25">
      <c r="A195" s="48">
        <v>11</v>
      </c>
      <c r="B195" s="5" t="s">
        <v>670</v>
      </c>
      <c r="C195" s="47" t="s">
        <v>205</v>
      </c>
      <c r="D195" s="5" t="s">
        <v>535</v>
      </c>
      <c r="E195" s="5">
        <v>178.23</v>
      </c>
      <c r="F195" s="35">
        <v>1398.9</v>
      </c>
      <c r="G195" s="35">
        <v>1577.13</v>
      </c>
      <c r="H195" s="5">
        <v>0</v>
      </c>
      <c r="I195" s="5">
        <v>9</v>
      </c>
      <c r="J195" s="5">
        <v>0</v>
      </c>
      <c r="K195" s="4">
        <v>1408</v>
      </c>
      <c r="L195" s="5">
        <v>341.06</v>
      </c>
      <c r="M195" s="5">
        <v>64.86</v>
      </c>
      <c r="N195" s="5">
        <v>71.28</v>
      </c>
      <c r="O195" s="5">
        <v>29.31</v>
      </c>
      <c r="P195" s="4">
        <v>537896</v>
      </c>
      <c r="Q195" s="5">
        <v>0</v>
      </c>
      <c r="R195" s="4">
        <v>537896</v>
      </c>
      <c r="S195" s="4">
        <v>93232</v>
      </c>
      <c r="T195" s="4">
        <v>584</v>
      </c>
      <c r="U195" s="4">
        <v>90739</v>
      </c>
      <c r="V195" s="4">
        <v>91323</v>
      </c>
      <c r="W195" s="4">
        <v>642</v>
      </c>
      <c r="X195" s="4">
        <v>99720</v>
      </c>
      <c r="Y195" s="4">
        <v>100362</v>
      </c>
      <c r="Z195" s="4">
        <v>0</v>
      </c>
      <c r="AA195" s="46">
        <v>46226</v>
      </c>
    </row>
    <row r="196" spans="1:27" x14ac:dyDescent="0.25">
      <c r="A196" s="48">
        <v>11</v>
      </c>
      <c r="B196" s="5" t="s">
        <v>670</v>
      </c>
      <c r="C196" s="47" t="s">
        <v>206</v>
      </c>
      <c r="D196" s="5" t="s">
        <v>536</v>
      </c>
      <c r="E196" s="5">
        <v>516.9</v>
      </c>
      <c r="F196" s="35">
        <v>2843.8</v>
      </c>
      <c r="G196" s="35">
        <v>3360.7</v>
      </c>
      <c r="H196" s="5">
        <v>0</v>
      </c>
      <c r="I196" s="5">
        <v>115</v>
      </c>
      <c r="J196" s="5">
        <v>0.6</v>
      </c>
      <c r="K196" s="4">
        <v>2958</v>
      </c>
      <c r="L196" s="5">
        <v>341.06</v>
      </c>
      <c r="M196" s="5">
        <v>64.86</v>
      </c>
      <c r="N196" s="5">
        <v>71.28</v>
      </c>
      <c r="O196" s="5">
        <v>29.31</v>
      </c>
      <c r="P196" s="4">
        <v>1146200</v>
      </c>
      <c r="Q196" s="4">
        <v>6989</v>
      </c>
      <c r="R196" s="4">
        <v>1153189</v>
      </c>
      <c r="S196" s="4">
        <v>198667</v>
      </c>
      <c r="T196" s="4">
        <v>7459</v>
      </c>
      <c r="U196" s="4">
        <v>184397</v>
      </c>
      <c r="V196" s="4">
        <v>191856</v>
      </c>
      <c r="W196" s="4">
        <v>8197</v>
      </c>
      <c r="X196" s="4">
        <v>202649</v>
      </c>
      <c r="Y196" s="4">
        <v>210846</v>
      </c>
      <c r="Z196" s="4">
        <v>0</v>
      </c>
      <c r="AA196" s="46">
        <v>98716</v>
      </c>
    </row>
    <row r="197" spans="1:27" x14ac:dyDescent="0.25">
      <c r="A197" s="48">
        <v>11</v>
      </c>
      <c r="B197" s="5" t="s">
        <v>670</v>
      </c>
      <c r="C197" s="47" t="s">
        <v>207</v>
      </c>
      <c r="D197" s="5" t="s">
        <v>537</v>
      </c>
      <c r="E197" s="5">
        <v>178.23</v>
      </c>
      <c r="F197" s="35">
        <v>2191.6999999999998</v>
      </c>
      <c r="G197" s="35">
        <v>2369.9299999999998</v>
      </c>
      <c r="H197" s="5">
        <v>0</v>
      </c>
      <c r="I197" s="5">
        <v>58</v>
      </c>
      <c r="J197" s="5">
        <v>0</v>
      </c>
      <c r="K197" s="4">
        <v>2250</v>
      </c>
      <c r="L197" s="5">
        <v>341.06</v>
      </c>
      <c r="M197" s="5">
        <v>64.86</v>
      </c>
      <c r="N197" s="5">
        <v>71.28</v>
      </c>
      <c r="O197" s="5">
        <v>29.31</v>
      </c>
      <c r="P197" s="4">
        <v>808288</v>
      </c>
      <c r="Q197" s="5">
        <v>0</v>
      </c>
      <c r="R197" s="4">
        <v>808288</v>
      </c>
      <c r="S197" s="4">
        <v>140098</v>
      </c>
      <c r="T197" s="4">
        <v>3762</v>
      </c>
      <c r="U197" s="4">
        <v>142173</v>
      </c>
      <c r="V197" s="4">
        <v>145935</v>
      </c>
      <c r="W197" s="4">
        <v>4134</v>
      </c>
      <c r="X197" s="4">
        <v>156246</v>
      </c>
      <c r="Y197" s="4">
        <v>160380</v>
      </c>
      <c r="Z197" s="4">
        <v>0</v>
      </c>
      <c r="AA197" s="46">
        <v>69463</v>
      </c>
    </row>
    <row r="198" spans="1:27" x14ac:dyDescent="0.25">
      <c r="A198" s="48">
        <v>11</v>
      </c>
      <c r="B198" s="5" t="s">
        <v>670</v>
      </c>
      <c r="C198" s="47" t="s">
        <v>208</v>
      </c>
      <c r="D198" s="5" t="s">
        <v>538</v>
      </c>
      <c r="E198" s="5">
        <v>382.52</v>
      </c>
      <c r="F198" s="35">
        <v>3454.2</v>
      </c>
      <c r="G198" s="35">
        <v>3836.72</v>
      </c>
      <c r="H198" s="5">
        <v>0</v>
      </c>
      <c r="I198" s="5">
        <v>161</v>
      </c>
      <c r="J198" s="5">
        <v>0</v>
      </c>
      <c r="K198" s="4">
        <v>3615</v>
      </c>
      <c r="L198" s="5">
        <v>341.06</v>
      </c>
      <c r="M198" s="5">
        <v>64.86</v>
      </c>
      <c r="N198" s="5">
        <v>71.28</v>
      </c>
      <c r="O198" s="5">
        <v>29.31</v>
      </c>
      <c r="P198" s="4">
        <v>1308552</v>
      </c>
      <c r="Q198" s="5">
        <v>0</v>
      </c>
      <c r="R198" s="4">
        <v>1308552</v>
      </c>
      <c r="S198" s="4">
        <v>226807</v>
      </c>
      <c r="T198" s="4">
        <v>10442</v>
      </c>
      <c r="U198" s="4">
        <v>224027</v>
      </c>
      <c r="V198" s="4">
        <v>234469</v>
      </c>
      <c r="W198" s="4">
        <v>11476</v>
      </c>
      <c r="X198" s="4">
        <v>246201</v>
      </c>
      <c r="Y198" s="4">
        <v>257677</v>
      </c>
      <c r="Z198" s="4">
        <v>0</v>
      </c>
      <c r="AA198" s="46">
        <v>112454</v>
      </c>
    </row>
    <row r="199" spans="1:27" x14ac:dyDescent="0.25">
      <c r="A199" s="48">
        <v>11</v>
      </c>
      <c r="B199" s="5" t="s">
        <v>670</v>
      </c>
      <c r="C199" s="47" t="s">
        <v>209</v>
      </c>
      <c r="D199" s="5" t="s">
        <v>539</v>
      </c>
      <c r="E199" s="5">
        <v>32.340000000000003</v>
      </c>
      <c r="F199" s="5">
        <v>551</v>
      </c>
      <c r="G199" s="5">
        <v>583.34</v>
      </c>
      <c r="H199" s="5">
        <v>0</v>
      </c>
      <c r="I199" s="5">
        <v>19</v>
      </c>
      <c r="J199" s="5">
        <v>0</v>
      </c>
      <c r="K199" s="5">
        <v>570</v>
      </c>
      <c r="L199" s="5">
        <v>341.06</v>
      </c>
      <c r="M199" s="5">
        <v>64.86</v>
      </c>
      <c r="N199" s="5">
        <v>71.28</v>
      </c>
      <c r="O199" s="5">
        <v>29.31</v>
      </c>
      <c r="P199" s="4">
        <v>198954</v>
      </c>
      <c r="Q199" s="4">
        <v>11554</v>
      </c>
      <c r="R199" s="4">
        <v>210508</v>
      </c>
      <c r="S199" s="4">
        <v>34484</v>
      </c>
      <c r="T199" s="4">
        <v>1232</v>
      </c>
      <c r="U199" s="4">
        <v>35738</v>
      </c>
      <c r="V199" s="4">
        <v>36970</v>
      </c>
      <c r="W199" s="4">
        <v>1354</v>
      </c>
      <c r="X199" s="4">
        <v>39276</v>
      </c>
      <c r="Y199" s="4">
        <v>40630</v>
      </c>
      <c r="Z199" s="4">
        <v>0</v>
      </c>
      <c r="AA199" s="46">
        <v>18020</v>
      </c>
    </row>
    <row r="200" spans="1:27" x14ac:dyDescent="0.25">
      <c r="A200" s="48">
        <v>11</v>
      </c>
      <c r="B200" s="5" t="s">
        <v>670</v>
      </c>
      <c r="C200" s="47" t="s">
        <v>211</v>
      </c>
      <c r="D200" s="5" t="s">
        <v>212</v>
      </c>
      <c r="E200" s="5">
        <v>104.57</v>
      </c>
      <c r="F200" s="5">
        <v>990.1</v>
      </c>
      <c r="G200" s="35">
        <v>1094.67</v>
      </c>
      <c r="H200" s="5">
        <v>0</v>
      </c>
      <c r="I200" s="5">
        <v>22</v>
      </c>
      <c r="J200" s="5">
        <v>0</v>
      </c>
      <c r="K200" s="4">
        <v>1012</v>
      </c>
      <c r="L200" s="5">
        <v>341.06</v>
      </c>
      <c r="M200" s="5">
        <v>64.86</v>
      </c>
      <c r="N200" s="5">
        <v>71.28</v>
      </c>
      <c r="O200" s="5">
        <v>29.31</v>
      </c>
      <c r="P200" s="4">
        <v>373348</v>
      </c>
      <c r="Q200" s="5">
        <v>0</v>
      </c>
      <c r="R200" s="4">
        <v>373348</v>
      </c>
      <c r="S200" s="4">
        <v>64711</v>
      </c>
      <c r="T200" s="4">
        <v>1427</v>
      </c>
      <c r="U200" s="4">
        <v>64211</v>
      </c>
      <c r="V200" s="4">
        <v>65638</v>
      </c>
      <c r="W200" s="4">
        <v>1568</v>
      </c>
      <c r="X200" s="4">
        <v>70567</v>
      </c>
      <c r="Y200" s="4">
        <v>72135</v>
      </c>
      <c r="Z200" s="4">
        <v>0</v>
      </c>
      <c r="AA200" s="46">
        <v>32085</v>
      </c>
    </row>
    <row r="201" spans="1:27" x14ac:dyDescent="0.25">
      <c r="A201" s="48">
        <v>11</v>
      </c>
      <c r="B201" s="5" t="s">
        <v>670</v>
      </c>
      <c r="C201" s="47" t="s">
        <v>210</v>
      </c>
      <c r="D201" s="5" t="s">
        <v>540</v>
      </c>
      <c r="E201" s="5">
        <v>98.06</v>
      </c>
      <c r="F201" s="5">
        <v>643.5</v>
      </c>
      <c r="G201" s="5">
        <v>741.56</v>
      </c>
      <c r="H201" s="5">
        <v>0</v>
      </c>
      <c r="I201" s="5">
        <v>2</v>
      </c>
      <c r="J201" s="5">
        <v>0</v>
      </c>
      <c r="K201" s="5">
        <v>646</v>
      </c>
      <c r="L201" s="5">
        <v>341.06</v>
      </c>
      <c r="M201" s="5">
        <v>64.86</v>
      </c>
      <c r="N201" s="5">
        <v>71.28</v>
      </c>
      <c r="O201" s="5">
        <v>29.31</v>
      </c>
      <c r="P201" s="4">
        <v>252916</v>
      </c>
      <c r="Q201" s="5">
        <v>0</v>
      </c>
      <c r="R201" s="4">
        <v>252916</v>
      </c>
      <c r="S201" s="4">
        <v>43837</v>
      </c>
      <c r="T201" s="4">
        <v>130</v>
      </c>
      <c r="U201" s="4">
        <v>41770</v>
      </c>
      <c r="V201" s="4">
        <v>41900</v>
      </c>
      <c r="W201" s="4">
        <v>143</v>
      </c>
      <c r="X201" s="4">
        <v>45904</v>
      </c>
      <c r="Y201" s="4">
        <v>46047</v>
      </c>
      <c r="Z201" s="4">
        <v>0</v>
      </c>
      <c r="AA201" s="46">
        <v>21735</v>
      </c>
    </row>
    <row r="202" spans="1:27" x14ac:dyDescent="0.25">
      <c r="A202" s="48">
        <v>11</v>
      </c>
      <c r="B202" s="5" t="s">
        <v>670</v>
      </c>
      <c r="C202" s="47" t="s">
        <v>213</v>
      </c>
      <c r="D202" s="5" t="s">
        <v>541</v>
      </c>
      <c r="E202" s="5">
        <v>264.27999999999997</v>
      </c>
      <c r="F202" s="35">
        <v>2135.6999999999998</v>
      </c>
      <c r="G202" s="35">
        <v>2399.98</v>
      </c>
      <c r="H202" s="5">
        <v>0</v>
      </c>
      <c r="I202" s="5">
        <v>638</v>
      </c>
      <c r="J202" s="5">
        <v>1.4</v>
      </c>
      <c r="K202" s="4">
        <v>2772</v>
      </c>
      <c r="L202" s="5">
        <v>341.06</v>
      </c>
      <c r="M202" s="5">
        <v>64.86</v>
      </c>
      <c r="N202" s="5">
        <v>71.28</v>
      </c>
      <c r="O202" s="5">
        <v>29.31</v>
      </c>
      <c r="P202" s="4">
        <v>818537</v>
      </c>
      <c r="Q202" s="5">
        <v>0</v>
      </c>
      <c r="R202" s="4">
        <v>818537</v>
      </c>
      <c r="S202" s="4">
        <v>141874</v>
      </c>
      <c r="T202" s="4">
        <v>41381</v>
      </c>
      <c r="U202" s="4">
        <v>138411</v>
      </c>
      <c r="V202" s="4">
        <v>179792</v>
      </c>
      <c r="W202" s="4">
        <v>45477</v>
      </c>
      <c r="X202" s="4">
        <v>152111</v>
      </c>
      <c r="Y202" s="4">
        <v>197588</v>
      </c>
      <c r="Z202" s="4">
        <v>0</v>
      </c>
      <c r="AA202" s="46">
        <v>70343</v>
      </c>
    </row>
    <row r="203" spans="1:27" x14ac:dyDescent="0.25">
      <c r="A203" s="48">
        <v>11</v>
      </c>
      <c r="B203" s="5" t="s">
        <v>670</v>
      </c>
      <c r="C203" s="47" t="s">
        <v>214</v>
      </c>
      <c r="D203" s="5" t="s">
        <v>542</v>
      </c>
      <c r="E203" s="5">
        <v>265.83</v>
      </c>
      <c r="F203" s="35">
        <v>1809.4</v>
      </c>
      <c r="G203" s="35">
        <v>2075.23</v>
      </c>
      <c r="H203" s="5">
        <v>0</v>
      </c>
      <c r="I203" s="5">
        <v>92</v>
      </c>
      <c r="J203" s="5">
        <v>7.2</v>
      </c>
      <c r="K203" s="4">
        <v>1894</v>
      </c>
      <c r="L203" s="5">
        <v>341.06</v>
      </c>
      <c r="M203" s="5">
        <v>64.86</v>
      </c>
      <c r="N203" s="5">
        <v>71.28</v>
      </c>
      <c r="O203" s="5">
        <v>29.31</v>
      </c>
      <c r="P203" s="4">
        <v>707778</v>
      </c>
      <c r="Q203" s="4">
        <v>25868</v>
      </c>
      <c r="R203" s="4">
        <v>733646</v>
      </c>
      <c r="S203" s="4">
        <v>122677</v>
      </c>
      <c r="T203" s="4">
        <v>5967</v>
      </c>
      <c r="U203" s="4">
        <v>116878</v>
      </c>
      <c r="V203" s="4">
        <v>122845</v>
      </c>
      <c r="W203" s="4">
        <v>6558</v>
      </c>
      <c r="X203" s="4">
        <v>128446</v>
      </c>
      <c r="Y203" s="4">
        <v>135004</v>
      </c>
      <c r="Z203" s="4">
        <v>0</v>
      </c>
      <c r="AA203" s="46">
        <v>62802</v>
      </c>
    </row>
    <row r="204" spans="1:27" x14ac:dyDescent="0.25">
      <c r="A204" s="48">
        <v>11</v>
      </c>
      <c r="B204" s="5" t="s">
        <v>670</v>
      </c>
      <c r="C204" s="47" t="s">
        <v>215</v>
      </c>
      <c r="D204" s="5" t="s">
        <v>543</v>
      </c>
      <c r="E204" s="5">
        <v>92.74</v>
      </c>
      <c r="F204" s="5">
        <v>699.9</v>
      </c>
      <c r="G204" s="5">
        <v>792.64</v>
      </c>
      <c r="H204" s="5">
        <v>0</v>
      </c>
      <c r="I204" s="5">
        <v>1</v>
      </c>
      <c r="J204" s="5">
        <v>0</v>
      </c>
      <c r="K204" s="5">
        <v>701</v>
      </c>
      <c r="L204" s="5">
        <v>341.06</v>
      </c>
      <c r="M204" s="5">
        <v>64.86</v>
      </c>
      <c r="N204" s="5">
        <v>71.28</v>
      </c>
      <c r="O204" s="5">
        <v>29.31</v>
      </c>
      <c r="P204" s="4">
        <v>270338</v>
      </c>
      <c r="Q204" s="5">
        <v>0</v>
      </c>
      <c r="R204" s="4">
        <v>270338</v>
      </c>
      <c r="S204" s="4">
        <v>46857</v>
      </c>
      <c r="T204" s="4">
        <v>65</v>
      </c>
      <c r="U204" s="4">
        <v>45402</v>
      </c>
      <c r="V204" s="4">
        <v>45467</v>
      </c>
      <c r="W204" s="4">
        <v>71</v>
      </c>
      <c r="X204" s="4">
        <v>49896</v>
      </c>
      <c r="Y204" s="4">
        <v>49967</v>
      </c>
      <c r="Z204" s="4">
        <v>0</v>
      </c>
      <c r="AA204" s="46">
        <v>23232</v>
      </c>
    </row>
    <row r="205" spans="1:27" x14ac:dyDescent="0.25">
      <c r="A205" s="48">
        <v>11</v>
      </c>
      <c r="B205" s="5" t="s">
        <v>670</v>
      </c>
      <c r="C205" s="47" t="s">
        <v>216</v>
      </c>
      <c r="D205" s="5" t="s">
        <v>544</v>
      </c>
      <c r="E205" s="5">
        <v>106.49</v>
      </c>
      <c r="F205" s="35">
        <v>1007.6</v>
      </c>
      <c r="G205" s="35">
        <v>1114.0899999999999</v>
      </c>
      <c r="H205" s="5">
        <v>0</v>
      </c>
      <c r="I205" s="5">
        <v>8</v>
      </c>
      <c r="J205" s="5">
        <v>0</v>
      </c>
      <c r="K205" s="4">
        <v>1016</v>
      </c>
      <c r="L205" s="5">
        <v>341.06</v>
      </c>
      <c r="M205" s="5">
        <v>64.86</v>
      </c>
      <c r="N205" s="5">
        <v>71.28</v>
      </c>
      <c r="O205" s="5">
        <v>29.31</v>
      </c>
      <c r="P205" s="4">
        <v>379972</v>
      </c>
      <c r="Q205" s="5">
        <v>0</v>
      </c>
      <c r="R205" s="4">
        <v>379972</v>
      </c>
      <c r="S205" s="4">
        <v>65859</v>
      </c>
      <c r="T205" s="4">
        <v>519</v>
      </c>
      <c r="U205" s="4">
        <v>65379</v>
      </c>
      <c r="V205" s="4">
        <v>65898</v>
      </c>
      <c r="W205" s="4">
        <v>570</v>
      </c>
      <c r="X205" s="4">
        <v>71850</v>
      </c>
      <c r="Y205" s="4">
        <v>72420</v>
      </c>
      <c r="Z205" s="4">
        <v>0</v>
      </c>
      <c r="AA205" s="46">
        <v>32654</v>
      </c>
    </row>
    <row r="206" spans="1:27" x14ac:dyDescent="0.25">
      <c r="A206" s="48">
        <v>11</v>
      </c>
      <c r="B206" s="5" t="s">
        <v>670</v>
      </c>
      <c r="C206" s="47" t="s">
        <v>217</v>
      </c>
      <c r="D206" s="5" t="s">
        <v>545</v>
      </c>
      <c r="E206" s="5">
        <v>143.06</v>
      </c>
      <c r="F206" s="35">
        <v>1016.4</v>
      </c>
      <c r="G206" s="35">
        <v>1159.46</v>
      </c>
      <c r="H206" s="5">
        <v>0</v>
      </c>
      <c r="I206" s="5">
        <v>75</v>
      </c>
      <c r="J206" s="5">
        <v>0</v>
      </c>
      <c r="K206" s="4">
        <v>1091</v>
      </c>
      <c r="L206" s="5">
        <v>341.06</v>
      </c>
      <c r="M206" s="5">
        <v>64.86</v>
      </c>
      <c r="N206" s="5">
        <v>71.28</v>
      </c>
      <c r="O206" s="5">
        <v>29.31</v>
      </c>
      <c r="P206" s="4">
        <v>395445</v>
      </c>
      <c r="Q206" s="5">
        <v>0</v>
      </c>
      <c r="R206" s="4">
        <v>395445</v>
      </c>
      <c r="S206" s="4">
        <v>68541</v>
      </c>
      <c r="T206" s="4">
        <v>4865</v>
      </c>
      <c r="U206" s="4">
        <v>65897</v>
      </c>
      <c r="V206" s="4">
        <v>70762</v>
      </c>
      <c r="W206" s="4">
        <v>5346</v>
      </c>
      <c r="X206" s="4">
        <v>72420</v>
      </c>
      <c r="Y206" s="4">
        <v>77766</v>
      </c>
      <c r="Z206" s="4">
        <v>0</v>
      </c>
      <c r="AA206" s="46">
        <v>33984</v>
      </c>
    </row>
    <row r="207" spans="1:27" x14ac:dyDescent="0.25">
      <c r="A207" s="48">
        <v>11</v>
      </c>
      <c r="B207" s="5" t="s">
        <v>670</v>
      </c>
      <c r="C207" s="47" t="s">
        <v>218</v>
      </c>
      <c r="D207" s="5" t="s">
        <v>546</v>
      </c>
      <c r="E207" s="35">
        <v>1061.56</v>
      </c>
      <c r="F207" s="35">
        <v>7288.6</v>
      </c>
      <c r="G207" s="35">
        <v>8350.16</v>
      </c>
      <c r="H207" s="5">
        <v>0</v>
      </c>
      <c r="I207" s="5">
        <v>431</v>
      </c>
      <c r="J207" s="5">
        <v>0</v>
      </c>
      <c r="K207" s="4">
        <v>7720</v>
      </c>
      <c r="L207" s="5">
        <v>341.06</v>
      </c>
      <c r="M207" s="5">
        <v>64.86</v>
      </c>
      <c r="N207" s="5">
        <v>71.28</v>
      </c>
      <c r="O207" s="5">
        <v>29.31</v>
      </c>
      <c r="P207" s="4">
        <v>2847906</v>
      </c>
      <c r="Q207" s="5">
        <v>0</v>
      </c>
      <c r="R207" s="4">
        <v>2847906</v>
      </c>
      <c r="S207" s="4">
        <v>493618</v>
      </c>
      <c r="T207" s="4">
        <v>27955</v>
      </c>
      <c r="U207" s="4">
        <v>472764</v>
      </c>
      <c r="V207" s="4">
        <v>500719</v>
      </c>
      <c r="W207" s="4">
        <v>30722</v>
      </c>
      <c r="X207" s="4">
        <v>519560</v>
      </c>
      <c r="Y207" s="4">
        <v>550282</v>
      </c>
      <c r="Z207" s="4">
        <v>0</v>
      </c>
      <c r="AA207" s="46">
        <v>244743</v>
      </c>
    </row>
    <row r="208" spans="1:27" x14ac:dyDescent="0.25">
      <c r="A208" s="48">
        <v>11</v>
      </c>
      <c r="B208" s="5" t="s">
        <v>670</v>
      </c>
      <c r="C208" s="47" t="s">
        <v>219</v>
      </c>
      <c r="D208" s="5" t="s">
        <v>547</v>
      </c>
      <c r="E208" s="5">
        <v>49.81</v>
      </c>
      <c r="F208" s="5">
        <v>488.9</v>
      </c>
      <c r="G208" s="5">
        <v>538.71</v>
      </c>
      <c r="H208" s="5">
        <v>0</v>
      </c>
      <c r="I208" s="5">
        <v>5</v>
      </c>
      <c r="J208" s="5">
        <v>0</v>
      </c>
      <c r="K208" s="5">
        <v>494</v>
      </c>
      <c r="L208" s="5">
        <v>341.06</v>
      </c>
      <c r="M208" s="5">
        <v>64.86</v>
      </c>
      <c r="N208" s="5">
        <v>71.28</v>
      </c>
      <c r="O208" s="5">
        <v>29.31</v>
      </c>
      <c r="P208" s="4">
        <v>183732</v>
      </c>
      <c r="Q208" s="4">
        <v>6824</v>
      </c>
      <c r="R208" s="4">
        <v>190556</v>
      </c>
      <c r="S208" s="4">
        <v>31846</v>
      </c>
      <c r="T208" s="4">
        <v>324</v>
      </c>
      <c r="U208" s="4">
        <v>31717</v>
      </c>
      <c r="V208" s="4">
        <v>32041</v>
      </c>
      <c r="W208" s="4">
        <v>356</v>
      </c>
      <c r="X208" s="4">
        <v>34856</v>
      </c>
      <c r="Y208" s="4">
        <v>35212</v>
      </c>
      <c r="Z208" s="4">
        <v>0</v>
      </c>
      <c r="AA208" s="46">
        <v>15790</v>
      </c>
    </row>
    <row r="209" spans="1:27" x14ac:dyDescent="0.25">
      <c r="A209" s="48">
        <v>11</v>
      </c>
      <c r="B209" s="5" t="s">
        <v>670</v>
      </c>
      <c r="C209" s="47" t="s">
        <v>220</v>
      </c>
      <c r="D209" s="5" t="s">
        <v>548</v>
      </c>
      <c r="E209" s="5">
        <v>54</v>
      </c>
      <c r="F209" s="5">
        <v>291.8</v>
      </c>
      <c r="G209" s="5">
        <v>345.8</v>
      </c>
      <c r="H209" s="5">
        <v>0</v>
      </c>
      <c r="I209" s="5">
        <v>15</v>
      </c>
      <c r="J209" s="5">
        <v>0</v>
      </c>
      <c r="K209" s="5">
        <v>307</v>
      </c>
      <c r="L209" s="5">
        <v>341.06</v>
      </c>
      <c r="M209" s="5">
        <v>64.86</v>
      </c>
      <c r="N209" s="5">
        <v>71.28</v>
      </c>
      <c r="O209" s="5">
        <v>29.31</v>
      </c>
      <c r="P209" s="4">
        <v>117939</v>
      </c>
      <c r="Q209" s="4">
        <v>10295</v>
      </c>
      <c r="R209" s="4">
        <v>128234</v>
      </c>
      <c r="S209" s="4">
        <v>20442</v>
      </c>
      <c r="T209" s="4">
        <v>973</v>
      </c>
      <c r="U209" s="4">
        <v>18939</v>
      </c>
      <c r="V209" s="4">
        <v>19912</v>
      </c>
      <c r="W209" s="4">
        <v>1069</v>
      </c>
      <c r="X209" s="4">
        <v>20814</v>
      </c>
      <c r="Y209" s="4">
        <v>21883</v>
      </c>
      <c r="Z209" s="4">
        <v>0</v>
      </c>
      <c r="AA209" s="46">
        <v>10888</v>
      </c>
    </row>
    <row r="210" spans="1:27" x14ac:dyDescent="0.25">
      <c r="A210" s="48">
        <v>11</v>
      </c>
      <c r="B210" s="5" t="s">
        <v>670</v>
      </c>
      <c r="C210" s="47" t="s">
        <v>221</v>
      </c>
      <c r="D210" s="5" t="s">
        <v>549</v>
      </c>
      <c r="E210" s="5">
        <v>37.57</v>
      </c>
      <c r="F210" s="5">
        <v>364.7</v>
      </c>
      <c r="G210" s="5">
        <v>402.27</v>
      </c>
      <c r="H210" s="5">
        <v>0</v>
      </c>
      <c r="I210" s="5">
        <v>9</v>
      </c>
      <c r="J210" s="5">
        <v>0</v>
      </c>
      <c r="K210" s="5">
        <v>374</v>
      </c>
      <c r="L210" s="5">
        <v>341.06</v>
      </c>
      <c r="M210" s="5">
        <v>64.86</v>
      </c>
      <c r="N210" s="5">
        <v>71.28</v>
      </c>
      <c r="O210" s="5">
        <v>29.31</v>
      </c>
      <c r="P210" s="4">
        <v>137198</v>
      </c>
      <c r="Q210" s="4">
        <v>1050</v>
      </c>
      <c r="R210" s="4">
        <v>138248</v>
      </c>
      <c r="S210" s="4">
        <v>23780</v>
      </c>
      <c r="T210" s="4">
        <v>584</v>
      </c>
      <c r="U210" s="4">
        <v>23674</v>
      </c>
      <c r="V210" s="4">
        <v>24258</v>
      </c>
      <c r="W210" s="4">
        <v>642</v>
      </c>
      <c r="X210" s="4">
        <v>26017</v>
      </c>
      <c r="Y210" s="4">
        <v>26659</v>
      </c>
      <c r="Z210" s="4">
        <v>0</v>
      </c>
      <c r="AA210" s="46">
        <v>11791</v>
      </c>
    </row>
    <row r="211" spans="1:27" x14ac:dyDescent="0.25">
      <c r="A211" s="48">
        <v>11</v>
      </c>
      <c r="B211" s="5" t="s">
        <v>670</v>
      </c>
      <c r="C211" s="47" t="s">
        <v>222</v>
      </c>
      <c r="D211" s="5" t="s">
        <v>550</v>
      </c>
      <c r="E211" s="5">
        <v>495.16</v>
      </c>
      <c r="F211" s="35">
        <v>3457.3</v>
      </c>
      <c r="G211" s="35">
        <v>3952.46</v>
      </c>
      <c r="H211" s="5">
        <v>0</v>
      </c>
      <c r="I211" s="5">
        <v>484</v>
      </c>
      <c r="J211" s="5">
        <v>3.5</v>
      </c>
      <c r="K211" s="4">
        <v>3938</v>
      </c>
      <c r="L211" s="5">
        <v>341.06</v>
      </c>
      <c r="M211" s="5">
        <v>64.86</v>
      </c>
      <c r="N211" s="5">
        <v>71.28</v>
      </c>
      <c r="O211" s="5">
        <v>29.31</v>
      </c>
      <c r="P211" s="4">
        <v>1348026</v>
      </c>
      <c r="Q211" s="5">
        <v>0</v>
      </c>
      <c r="R211" s="4">
        <v>1348026</v>
      </c>
      <c r="S211" s="4">
        <v>233649</v>
      </c>
      <c r="T211" s="4">
        <v>31392</v>
      </c>
      <c r="U211" s="4">
        <v>224027</v>
      </c>
      <c r="V211" s="4">
        <v>255419</v>
      </c>
      <c r="W211" s="4">
        <v>34500</v>
      </c>
      <c r="X211" s="4">
        <v>246201</v>
      </c>
      <c r="Y211" s="4">
        <v>280701</v>
      </c>
      <c r="Z211" s="4">
        <v>0</v>
      </c>
      <c r="AA211" s="46">
        <v>115847</v>
      </c>
    </row>
    <row r="212" spans="1:27" x14ac:dyDescent="0.25">
      <c r="A212" s="48">
        <v>11</v>
      </c>
      <c r="B212" s="5" t="s">
        <v>670</v>
      </c>
      <c r="C212" s="47" t="s">
        <v>223</v>
      </c>
      <c r="D212" s="5" t="s">
        <v>551</v>
      </c>
      <c r="E212" s="5">
        <v>62.3</v>
      </c>
      <c r="F212" s="5">
        <v>960.5</v>
      </c>
      <c r="G212" s="35">
        <v>1022.8</v>
      </c>
      <c r="H212" s="5">
        <v>0</v>
      </c>
      <c r="I212" s="5">
        <v>42</v>
      </c>
      <c r="J212" s="5">
        <v>0</v>
      </c>
      <c r="K212" s="4">
        <v>1003</v>
      </c>
      <c r="L212" s="5">
        <v>341.06</v>
      </c>
      <c r="M212" s="5">
        <v>64.86</v>
      </c>
      <c r="N212" s="5">
        <v>71.28</v>
      </c>
      <c r="O212" s="5">
        <v>29.31</v>
      </c>
      <c r="P212" s="4">
        <v>348836</v>
      </c>
      <c r="Q212" s="5">
        <v>0</v>
      </c>
      <c r="R212" s="4">
        <v>348836</v>
      </c>
      <c r="S212" s="4">
        <v>60463</v>
      </c>
      <c r="T212" s="4">
        <v>2724</v>
      </c>
      <c r="U212" s="4">
        <v>62331</v>
      </c>
      <c r="V212" s="4">
        <v>65055</v>
      </c>
      <c r="W212" s="4">
        <v>2994</v>
      </c>
      <c r="X212" s="4">
        <v>68500</v>
      </c>
      <c r="Y212" s="4">
        <v>71494</v>
      </c>
      <c r="Z212" s="4">
        <v>0</v>
      </c>
      <c r="AA212" s="46">
        <v>29978</v>
      </c>
    </row>
    <row r="213" spans="1:27" x14ac:dyDescent="0.25">
      <c r="A213" s="48">
        <v>11</v>
      </c>
      <c r="B213" s="5" t="s">
        <v>670</v>
      </c>
      <c r="C213" s="47" t="s">
        <v>224</v>
      </c>
      <c r="D213" s="5" t="s">
        <v>552</v>
      </c>
      <c r="E213" s="35">
        <v>1647.83</v>
      </c>
      <c r="F213" s="35">
        <v>14016.7</v>
      </c>
      <c r="G213" s="35">
        <v>15664.53</v>
      </c>
      <c r="H213" s="5">
        <v>0</v>
      </c>
      <c r="I213" s="4">
        <v>1399</v>
      </c>
      <c r="J213" s="5">
        <v>0.2</v>
      </c>
      <c r="K213" s="4">
        <v>15416</v>
      </c>
      <c r="L213" s="5">
        <v>341.06</v>
      </c>
      <c r="M213" s="5">
        <v>64.86</v>
      </c>
      <c r="N213" s="5">
        <v>71.28</v>
      </c>
      <c r="O213" s="5">
        <v>29.31</v>
      </c>
      <c r="P213" s="4">
        <v>5342545</v>
      </c>
      <c r="Q213" s="5">
        <v>0</v>
      </c>
      <c r="R213" s="4">
        <v>5342545</v>
      </c>
      <c r="S213" s="4">
        <v>926006</v>
      </c>
      <c r="T213" s="4">
        <v>90739</v>
      </c>
      <c r="U213" s="4">
        <v>909143</v>
      </c>
      <c r="V213" s="4">
        <v>999882</v>
      </c>
      <c r="W213" s="4">
        <v>99721</v>
      </c>
      <c r="X213" s="4">
        <v>999131</v>
      </c>
      <c r="Y213" s="4">
        <v>1098852</v>
      </c>
      <c r="Z213" s="4">
        <v>0</v>
      </c>
      <c r="AA213" s="46">
        <v>459127</v>
      </c>
    </row>
    <row r="214" spans="1:27" x14ac:dyDescent="0.25">
      <c r="A214" s="48">
        <v>11</v>
      </c>
      <c r="B214" s="5" t="s">
        <v>670</v>
      </c>
      <c r="C214" s="47" t="s">
        <v>225</v>
      </c>
      <c r="D214" s="5" t="s">
        <v>553</v>
      </c>
      <c r="E214" s="5">
        <v>143.94999999999999</v>
      </c>
      <c r="F214" s="5">
        <v>954.6</v>
      </c>
      <c r="G214" s="35">
        <v>1098.55</v>
      </c>
      <c r="H214" s="5">
        <v>0</v>
      </c>
      <c r="I214" s="5">
        <v>4</v>
      </c>
      <c r="J214" s="5">
        <v>0</v>
      </c>
      <c r="K214" s="5">
        <v>959</v>
      </c>
      <c r="L214" s="5">
        <v>341.06</v>
      </c>
      <c r="M214" s="5">
        <v>64.86</v>
      </c>
      <c r="N214" s="5">
        <v>71.28</v>
      </c>
      <c r="O214" s="5">
        <v>29.31</v>
      </c>
      <c r="P214" s="4">
        <v>374671</v>
      </c>
      <c r="Q214" s="5">
        <v>0</v>
      </c>
      <c r="R214" s="4">
        <v>374671</v>
      </c>
      <c r="S214" s="4">
        <v>64940</v>
      </c>
      <c r="T214" s="4">
        <v>259</v>
      </c>
      <c r="U214" s="4">
        <v>61942</v>
      </c>
      <c r="V214" s="4">
        <v>62201</v>
      </c>
      <c r="W214" s="4">
        <v>285</v>
      </c>
      <c r="X214" s="4">
        <v>68073</v>
      </c>
      <c r="Y214" s="4">
        <v>68358</v>
      </c>
      <c r="Z214" s="4">
        <v>0</v>
      </c>
      <c r="AA214" s="46">
        <v>32199</v>
      </c>
    </row>
    <row r="215" spans="1:27" x14ac:dyDescent="0.25">
      <c r="A215" s="48">
        <v>11</v>
      </c>
      <c r="B215" s="5" t="s">
        <v>670</v>
      </c>
      <c r="C215" s="47" t="s">
        <v>226</v>
      </c>
      <c r="D215" s="5" t="s">
        <v>554</v>
      </c>
      <c r="E215" s="35">
        <v>1155.6500000000001</v>
      </c>
      <c r="F215" s="35">
        <v>8525.7999999999993</v>
      </c>
      <c r="G215" s="35">
        <v>9681.4500000000007</v>
      </c>
      <c r="H215" s="5">
        <v>0</v>
      </c>
      <c r="I215" s="4">
        <v>1305</v>
      </c>
      <c r="J215" s="5">
        <v>2.6</v>
      </c>
      <c r="K215" s="4">
        <v>9828</v>
      </c>
      <c r="L215" s="5">
        <v>341.06</v>
      </c>
      <c r="M215" s="5">
        <v>64.86</v>
      </c>
      <c r="N215" s="5">
        <v>71.28</v>
      </c>
      <c r="O215" s="5">
        <v>29.31</v>
      </c>
      <c r="P215" s="4">
        <v>3301955</v>
      </c>
      <c r="Q215" s="5">
        <v>0</v>
      </c>
      <c r="R215" s="4">
        <v>3301955</v>
      </c>
      <c r="S215" s="4">
        <v>572317</v>
      </c>
      <c r="T215" s="4">
        <v>84642</v>
      </c>
      <c r="U215" s="4">
        <v>552802</v>
      </c>
      <c r="V215" s="4">
        <v>637444</v>
      </c>
      <c r="W215" s="4">
        <v>93020</v>
      </c>
      <c r="X215" s="4">
        <v>607520</v>
      </c>
      <c r="Y215" s="4">
        <v>700540</v>
      </c>
      <c r="Z215" s="4">
        <v>0</v>
      </c>
      <c r="AA215" s="46">
        <v>283763</v>
      </c>
    </row>
    <row r="216" spans="1:27" x14ac:dyDescent="0.25">
      <c r="A216" s="48">
        <v>11</v>
      </c>
      <c r="B216" s="5" t="s">
        <v>670</v>
      </c>
      <c r="C216" s="47" t="s">
        <v>227</v>
      </c>
      <c r="D216" s="5" t="s">
        <v>555</v>
      </c>
      <c r="E216" s="5">
        <v>232.88</v>
      </c>
      <c r="F216" s="35">
        <v>1645.8</v>
      </c>
      <c r="G216" s="35">
        <v>1878.68</v>
      </c>
      <c r="H216" s="5">
        <v>0</v>
      </c>
      <c r="I216" s="5">
        <v>17</v>
      </c>
      <c r="J216" s="5">
        <v>0</v>
      </c>
      <c r="K216" s="4">
        <v>1663</v>
      </c>
      <c r="L216" s="5">
        <v>341.06</v>
      </c>
      <c r="M216" s="5">
        <v>64.86</v>
      </c>
      <c r="N216" s="5">
        <v>71.28</v>
      </c>
      <c r="O216" s="5">
        <v>29.31</v>
      </c>
      <c r="P216" s="4">
        <v>640743</v>
      </c>
      <c r="Q216" s="5">
        <v>0</v>
      </c>
      <c r="R216" s="4">
        <v>640743</v>
      </c>
      <c r="S216" s="4">
        <v>111058</v>
      </c>
      <c r="T216" s="4">
        <v>1103</v>
      </c>
      <c r="U216" s="4">
        <v>106759</v>
      </c>
      <c r="V216" s="4">
        <v>107862</v>
      </c>
      <c r="W216" s="4">
        <v>1212</v>
      </c>
      <c r="X216" s="4">
        <v>117327</v>
      </c>
      <c r="Y216" s="4">
        <v>118539</v>
      </c>
      <c r="Z216" s="4">
        <v>0</v>
      </c>
      <c r="AA216" s="46">
        <v>55064</v>
      </c>
    </row>
    <row r="217" spans="1:27" x14ac:dyDescent="0.25">
      <c r="A217" s="48">
        <v>11</v>
      </c>
      <c r="B217" s="5" t="s">
        <v>670</v>
      </c>
      <c r="C217" s="47" t="s">
        <v>228</v>
      </c>
      <c r="D217" s="5" t="s">
        <v>556</v>
      </c>
      <c r="E217" s="5">
        <v>115.18</v>
      </c>
      <c r="F217" s="35">
        <v>1106.4000000000001</v>
      </c>
      <c r="G217" s="35">
        <v>1221.58</v>
      </c>
      <c r="H217" s="5">
        <v>0</v>
      </c>
      <c r="I217" s="5">
        <v>28</v>
      </c>
      <c r="J217" s="5">
        <v>0</v>
      </c>
      <c r="K217" s="4">
        <v>1134</v>
      </c>
      <c r="L217" s="5">
        <v>341.06</v>
      </c>
      <c r="M217" s="5">
        <v>64.86</v>
      </c>
      <c r="N217" s="5">
        <v>71.28</v>
      </c>
      <c r="O217" s="5">
        <v>29.31</v>
      </c>
      <c r="P217" s="4">
        <v>416632</v>
      </c>
      <c r="Q217" s="5">
        <v>0</v>
      </c>
      <c r="R217" s="4">
        <v>416632</v>
      </c>
      <c r="S217" s="4">
        <v>72214</v>
      </c>
      <c r="T217" s="4">
        <v>1816</v>
      </c>
      <c r="U217" s="4">
        <v>71735</v>
      </c>
      <c r="V217" s="4">
        <v>73551</v>
      </c>
      <c r="W217" s="4">
        <v>1996</v>
      </c>
      <c r="X217" s="4">
        <v>78836</v>
      </c>
      <c r="Y217" s="4">
        <v>80832</v>
      </c>
      <c r="Z217" s="4">
        <v>0</v>
      </c>
      <c r="AA217" s="46">
        <v>35805</v>
      </c>
    </row>
    <row r="218" spans="1:27" x14ac:dyDescent="0.25">
      <c r="A218" s="48">
        <v>12</v>
      </c>
      <c r="B218" s="5" t="s">
        <v>671</v>
      </c>
      <c r="C218" s="45" t="s">
        <v>230</v>
      </c>
      <c r="D218" s="5" t="s">
        <v>557</v>
      </c>
      <c r="E218" s="5">
        <v>74.489999999999995</v>
      </c>
      <c r="F218" s="5">
        <v>527.4</v>
      </c>
      <c r="G218" s="5">
        <v>601.89</v>
      </c>
      <c r="H218" s="5">
        <v>1.1299999999999999</v>
      </c>
      <c r="I218" s="5">
        <v>13</v>
      </c>
      <c r="J218" s="5">
        <v>0</v>
      </c>
      <c r="K218" s="5">
        <v>540</v>
      </c>
      <c r="L218" s="5">
        <v>355.7</v>
      </c>
      <c r="M218" s="5">
        <v>65.27</v>
      </c>
      <c r="N218" s="5">
        <v>73.06</v>
      </c>
      <c r="O218" s="5">
        <v>35.869999999999997</v>
      </c>
      <c r="P218" s="4">
        <v>214092</v>
      </c>
      <c r="Q218" s="4">
        <v>1215</v>
      </c>
      <c r="R218" s="4">
        <v>215307</v>
      </c>
      <c r="S218" s="4">
        <v>35581</v>
      </c>
      <c r="T218" s="4">
        <v>849</v>
      </c>
      <c r="U218" s="4">
        <v>34397</v>
      </c>
      <c r="V218" s="4">
        <v>35246</v>
      </c>
      <c r="W218" s="4">
        <v>950</v>
      </c>
      <c r="X218" s="4">
        <v>38502</v>
      </c>
      <c r="Y218" s="4">
        <v>39452</v>
      </c>
      <c r="Z218" s="4">
        <v>402</v>
      </c>
      <c r="AA218" s="46">
        <v>21590</v>
      </c>
    </row>
    <row r="219" spans="1:27" x14ac:dyDescent="0.25">
      <c r="A219" s="48">
        <v>12</v>
      </c>
      <c r="B219" s="5" t="s">
        <v>671</v>
      </c>
      <c r="C219" s="45" t="s">
        <v>231</v>
      </c>
      <c r="D219" s="5" t="s">
        <v>558</v>
      </c>
      <c r="E219" s="5">
        <v>32.69</v>
      </c>
      <c r="F219" s="5">
        <v>281.7</v>
      </c>
      <c r="G219" s="5">
        <v>314.39</v>
      </c>
      <c r="H219" s="5">
        <v>0.59</v>
      </c>
      <c r="I219" s="5">
        <v>67</v>
      </c>
      <c r="J219" s="5">
        <v>0</v>
      </c>
      <c r="K219" s="5">
        <v>349</v>
      </c>
      <c r="L219" s="5">
        <v>355.7</v>
      </c>
      <c r="M219" s="5">
        <v>65.27</v>
      </c>
      <c r="N219" s="5">
        <v>73.06</v>
      </c>
      <c r="O219" s="5">
        <v>35.869999999999997</v>
      </c>
      <c r="P219" s="4">
        <v>111829</v>
      </c>
      <c r="Q219" s="4">
        <v>4886</v>
      </c>
      <c r="R219" s="4">
        <v>116715</v>
      </c>
      <c r="S219" s="4">
        <v>18585</v>
      </c>
      <c r="T219" s="4">
        <v>4373</v>
      </c>
      <c r="U219" s="4">
        <v>18406</v>
      </c>
      <c r="V219" s="4">
        <v>22779</v>
      </c>
      <c r="W219" s="4">
        <v>4895</v>
      </c>
      <c r="X219" s="4">
        <v>20603</v>
      </c>
      <c r="Y219" s="4">
        <v>25498</v>
      </c>
      <c r="Z219" s="4">
        <v>210</v>
      </c>
      <c r="AA219" s="46">
        <v>11766</v>
      </c>
    </row>
    <row r="220" spans="1:27" x14ac:dyDescent="0.25">
      <c r="A220" s="48">
        <v>12</v>
      </c>
      <c r="B220" s="5" t="s">
        <v>671</v>
      </c>
      <c r="C220" s="45" t="s">
        <v>232</v>
      </c>
      <c r="D220" s="5" t="s">
        <v>559</v>
      </c>
      <c r="E220" s="5">
        <v>75.91</v>
      </c>
      <c r="F220" s="5">
        <v>546.70000000000005</v>
      </c>
      <c r="G220" s="5">
        <v>622.61</v>
      </c>
      <c r="H220" s="5">
        <v>1.17</v>
      </c>
      <c r="I220" s="5">
        <v>399</v>
      </c>
      <c r="J220" s="5">
        <v>4.8</v>
      </c>
      <c r="K220" s="5">
        <v>941</v>
      </c>
      <c r="L220" s="5">
        <v>355.7</v>
      </c>
      <c r="M220" s="5">
        <v>65.27</v>
      </c>
      <c r="N220" s="5">
        <v>73.06</v>
      </c>
      <c r="O220" s="5">
        <v>35.869999999999997</v>
      </c>
      <c r="P220" s="4">
        <v>221462</v>
      </c>
      <c r="Q220" s="4">
        <v>1085</v>
      </c>
      <c r="R220" s="4">
        <v>222547</v>
      </c>
      <c r="S220" s="4">
        <v>36806</v>
      </c>
      <c r="T220" s="4">
        <v>26043</v>
      </c>
      <c r="U220" s="4">
        <v>35376</v>
      </c>
      <c r="V220" s="4">
        <v>61419</v>
      </c>
      <c r="W220" s="4">
        <v>29151</v>
      </c>
      <c r="X220" s="4">
        <v>39598</v>
      </c>
      <c r="Y220" s="4">
        <v>68749</v>
      </c>
      <c r="Z220" s="4">
        <v>416</v>
      </c>
      <c r="AA220" s="46">
        <v>22432</v>
      </c>
    </row>
    <row r="221" spans="1:27" x14ac:dyDescent="0.25">
      <c r="A221" s="48">
        <v>12</v>
      </c>
      <c r="B221" s="5" t="s">
        <v>671</v>
      </c>
      <c r="C221" s="47" t="s">
        <v>233</v>
      </c>
      <c r="D221" s="5" t="s">
        <v>560</v>
      </c>
      <c r="E221" s="5">
        <v>66.900000000000006</v>
      </c>
      <c r="F221" s="5">
        <v>732.8</v>
      </c>
      <c r="G221" s="5">
        <v>799.7</v>
      </c>
      <c r="H221" s="5">
        <v>1.5</v>
      </c>
      <c r="I221" s="5">
        <v>151</v>
      </c>
      <c r="J221" s="5">
        <v>0</v>
      </c>
      <c r="K221" s="5">
        <v>884</v>
      </c>
      <c r="L221" s="5">
        <v>355.7</v>
      </c>
      <c r="M221" s="5">
        <v>65.27</v>
      </c>
      <c r="N221" s="5">
        <v>73.06</v>
      </c>
      <c r="O221" s="5">
        <v>35.869999999999997</v>
      </c>
      <c r="P221" s="4">
        <v>284453</v>
      </c>
      <c r="Q221" s="4">
        <v>11618</v>
      </c>
      <c r="R221" s="4">
        <v>296071</v>
      </c>
      <c r="S221" s="4">
        <v>47274</v>
      </c>
      <c r="T221" s="4">
        <v>9856</v>
      </c>
      <c r="U221" s="4">
        <v>47843</v>
      </c>
      <c r="V221" s="4">
        <v>57699</v>
      </c>
      <c r="W221" s="4">
        <v>11032</v>
      </c>
      <c r="X221" s="4">
        <v>53553</v>
      </c>
      <c r="Y221" s="4">
        <v>64585</v>
      </c>
      <c r="Z221" s="4">
        <v>534</v>
      </c>
      <c r="AA221" s="46">
        <v>29848</v>
      </c>
    </row>
    <row r="222" spans="1:27" x14ac:dyDescent="0.25">
      <c r="A222" s="48">
        <v>12</v>
      </c>
      <c r="B222" s="5" t="s">
        <v>671</v>
      </c>
      <c r="C222" s="47" t="s">
        <v>234</v>
      </c>
      <c r="D222" s="5" t="s">
        <v>561</v>
      </c>
      <c r="E222" s="5">
        <v>52.3</v>
      </c>
      <c r="F222" s="5">
        <v>288.39999999999998</v>
      </c>
      <c r="G222" s="5">
        <v>340.7</v>
      </c>
      <c r="H222" s="5">
        <v>0.64</v>
      </c>
      <c r="I222" s="5">
        <v>4</v>
      </c>
      <c r="J222" s="5">
        <v>0</v>
      </c>
      <c r="K222" s="5">
        <v>292</v>
      </c>
      <c r="L222" s="5">
        <v>355.7</v>
      </c>
      <c r="M222" s="5">
        <v>65.27</v>
      </c>
      <c r="N222" s="5">
        <v>73.06</v>
      </c>
      <c r="O222" s="5">
        <v>35.869999999999997</v>
      </c>
      <c r="P222" s="4">
        <v>121187</v>
      </c>
      <c r="Q222" s="5">
        <v>0</v>
      </c>
      <c r="R222" s="4">
        <v>121187</v>
      </c>
      <c r="S222" s="4">
        <v>20141</v>
      </c>
      <c r="T222" s="4">
        <v>261</v>
      </c>
      <c r="U222" s="4">
        <v>18798</v>
      </c>
      <c r="V222" s="4">
        <v>19059</v>
      </c>
      <c r="W222" s="4">
        <v>292</v>
      </c>
      <c r="X222" s="4">
        <v>21042</v>
      </c>
      <c r="Y222" s="4">
        <v>21334</v>
      </c>
      <c r="Z222" s="4">
        <v>228</v>
      </c>
      <c r="AA222" s="46">
        <v>12221</v>
      </c>
    </row>
    <row r="223" spans="1:27" x14ac:dyDescent="0.25">
      <c r="A223" s="48">
        <v>12</v>
      </c>
      <c r="B223" s="5" t="s">
        <v>671</v>
      </c>
      <c r="C223" s="47" t="s">
        <v>235</v>
      </c>
      <c r="D223" s="5" t="s">
        <v>562</v>
      </c>
      <c r="E223" s="5">
        <v>188.21</v>
      </c>
      <c r="F223" s="35">
        <v>1002</v>
      </c>
      <c r="G223" s="35">
        <v>1190.21</v>
      </c>
      <c r="H223" s="5">
        <v>2.23</v>
      </c>
      <c r="I223" s="5">
        <v>6</v>
      </c>
      <c r="J223" s="5">
        <v>0</v>
      </c>
      <c r="K223" s="4">
        <v>1008</v>
      </c>
      <c r="L223" s="5">
        <v>355.7</v>
      </c>
      <c r="M223" s="5">
        <v>65.27</v>
      </c>
      <c r="N223" s="5">
        <v>73.06</v>
      </c>
      <c r="O223" s="5">
        <v>35.869999999999997</v>
      </c>
      <c r="P223" s="4">
        <v>423358</v>
      </c>
      <c r="Q223" s="5">
        <v>0</v>
      </c>
      <c r="R223" s="4">
        <v>423358</v>
      </c>
      <c r="S223" s="4">
        <v>70359</v>
      </c>
      <c r="T223" s="4">
        <v>392</v>
      </c>
      <c r="U223" s="4">
        <v>65400</v>
      </c>
      <c r="V223" s="4">
        <v>65792</v>
      </c>
      <c r="W223" s="4">
        <v>438</v>
      </c>
      <c r="X223" s="4">
        <v>73206</v>
      </c>
      <c r="Y223" s="4">
        <v>73644</v>
      </c>
      <c r="Z223" s="4">
        <v>793</v>
      </c>
      <c r="AA223" s="46">
        <v>42693</v>
      </c>
    </row>
    <row r="224" spans="1:27" x14ac:dyDescent="0.25">
      <c r="A224" s="48">
        <v>12</v>
      </c>
      <c r="B224" s="5" t="s">
        <v>671</v>
      </c>
      <c r="C224" s="47" t="s">
        <v>236</v>
      </c>
      <c r="D224" s="5" t="s">
        <v>563</v>
      </c>
      <c r="E224" s="5">
        <v>279.86</v>
      </c>
      <c r="F224" s="35">
        <v>1977</v>
      </c>
      <c r="G224" s="35">
        <v>2256.86</v>
      </c>
      <c r="H224" s="5">
        <v>4.2300000000000004</v>
      </c>
      <c r="I224" s="5">
        <v>141</v>
      </c>
      <c r="J224" s="5">
        <v>0</v>
      </c>
      <c r="K224" s="4">
        <v>2118</v>
      </c>
      <c r="L224" s="5">
        <v>355.7</v>
      </c>
      <c r="M224" s="5">
        <v>65.27</v>
      </c>
      <c r="N224" s="5">
        <v>73.06</v>
      </c>
      <c r="O224" s="5">
        <v>35.869999999999997</v>
      </c>
      <c r="P224" s="4">
        <v>802765</v>
      </c>
      <c r="Q224" s="5">
        <v>0</v>
      </c>
      <c r="R224" s="4">
        <v>802765</v>
      </c>
      <c r="S224" s="4">
        <v>133414</v>
      </c>
      <c r="T224" s="4">
        <v>9203</v>
      </c>
      <c r="U224" s="4">
        <v>129039</v>
      </c>
      <c r="V224" s="4">
        <v>138242</v>
      </c>
      <c r="W224" s="4">
        <v>10301</v>
      </c>
      <c r="X224" s="4">
        <v>144440</v>
      </c>
      <c r="Y224" s="4">
        <v>154741</v>
      </c>
      <c r="Z224" s="4">
        <v>1505</v>
      </c>
      <c r="AA224" s="46">
        <v>80954</v>
      </c>
    </row>
    <row r="225" spans="1:27" x14ac:dyDescent="0.25">
      <c r="A225" s="48">
        <v>12</v>
      </c>
      <c r="B225" s="5" t="s">
        <v>671</v>
      </c>
      <c r="C225" s="47" t="s">
        <v>237</v>
      </c>
      <c r="D225" s="5" t="s">
        <v>564</v>
      </c>
      <c r="E225" s="5">
        <v>44.24</v>
      </c>
      <c r="F225" s="5">
        <v>470.4</v>
      </c>
      <c r="G225" s="5">
        <v>514.64</v>
      </c>
      <c r="H225" s="5">
        <v>0.96</v>
      </c>
      <c r="I225" s="5">
        <v>0</v>
      </c>
      <c r="J225" s="5">
        <v>0</v>
      </c>
      <c r="K225" s="5">
        <v>470</v>
      </c>
      <c r="L225" s="5">
        <v>355.7</v>
      </c>
      <c r="M225" s="5">
        <v>65.27</v>
      </c>
      <c r="N225" s="5">
        <v>73.06</v>
      </c>
      <c r="O225" s="5">
        <v>35.869999999999997</v>
      </c>
      <c r="P225" s="4">
        <v>183057</v>
      </c>
      <c r="Q225" s="5">
        <v>0</v>
      </c>
      <c r="R225" s="4">
        <v>183057</v>
      </c>
      <c r="S225" s="4">
        <v>30423</v>
      </c>
      <c r="T225" s="4">
        <v>0</v>
      </c>
      <c r="U225" s="4">
        <v>30677</v>
      </c>
      <c r="V225" s="4">
        <v>30677</v>
      </c>
      <c r="W225" s="4">
        <v>0</v>
      </c>
      <c r="X225" s="4">
        <v>34338</v>
      </c>
      <c r="Y225" s="4">
        <v>34338</v>
      </c>
      <c r="Z225" s="4">
        <v>341</v>
      </c>
      <c r="AA225" s="46">
        <v>18460</v>
      </c>
    </row>
    <row r="226" spans="1:27" x14ac:dyDescent="0.25">
      <c r="A226" s="48">
        <v>12</v>
      </c>
      <c r="B226" s="5" t="s">
        <v>671</v>
      </c>
      <c r="C226" s="47" t="s">
        <v>238</v>
      </c>
      <c r="D226" s="5" t="s">
        <v>565</v>
      </c>
      <c r="E226" s="5">
        <v>60.32</v>
      </c>
      <c r="F226" s="5">
        <v>413.2</v>
      </c>
      <c r="G226" s="5">
        <v>473.52</v>
      </c>
      <c r="H226" s="5">
        <v>0.89</v>
      </c>
      <c r="I226" s="5">
        <v>14</v>
      </c>
      <c r="J226" s="5">
        <v>0</v>
      </c>
      <c r="K226" s="5">
        <v>427</v>
      </c>
      <c r="L226" s="5">
        <v>355.7</v>
      </c>
      <c r="M226" s="5">
        <v>65.27</v>
      </c>
      <c r="N226" s="5">
        <v>73.06</v>
      </c>
      <c r="O226" s="5">
        <v>35.869999999999997</v>
      </c>
      <c r="P226" s="4">
        <v>168431</v>
      </c>
      <c r="Q226" s="4">
        <v>9006</v>
      </c>
      <c r="R226" s="4">
        <v>177437</v>
      </c>
      <c r="S226" s="4">
        <v>27992</v>
      </c>
      <c r="T226" s="4">
        <v>914</v>
      </c>
      <c r="U226" s="4">
        <v>26956</v>
      </c>
      <c r="V226" s="4">
        <v>27870</v>
      </c>
      <c r="W226" s="4">
        <v>1023</v>
      </c>
      <c r="X226" s="4">
        <v>30174</v>
      </c>
      <c r="Y226" s="4">
        <v>31197</v>
      </c>
      <c r="Z226" s="4">
        <v>317</v>
      </c>
      <c r="AA226" s="46">
        <v>17888</v>
      </c>
    </row>
    <row r="227" spans="1:27" x14ac:dyDescent="0.25">
      <c r="A227" s="48">
        <v>12</v>
      </c>
      <c r="B227" s="5" t="s">
        <v>671</v>
      </c>
      <c r="C227" s="47" t="s">
        <v>239</v>
      </c>
      <c r="D227" s="5" t="s">
        <v>566</v>
      </c>
      <c r="E227" s="5">
        <v>114.14</v>
      </c>
      <c r="F227" s="5">
        <v>633.1</v>
      </c>
      <c r="G227" s="5">
        <v>747.24</v>
      </c>
      <c r="H227" s="5">
        <v>1.4</v>
      </c>
      <c r="I227" s="5">
        <v>146</v>
      </c>
      <c r="J227" s="5">
        <v>0</v>
      </c>
      <c r="K227" s="5">
        <v>779</v>
      </c>
      <c r="L227" s="5">
        <v>355.7</v>
      </c>
      <c r="M227" s="5">
        <v>65.27</v>
      </c>
      <c r="N227" s="5">
        <v>73.06</v>
      </c>
      <c r="O227" s="5">
        <v>35.869999999999997</v>
      </c>
      <c r="P227" s="4">
        <v>265793</v>
      </c>
      <c r="Q227" s="5">
        <v>0</v>
      </c>
      <c r="R227" s="4">
        <v>265793</v>
      </c>
      <c r="S227" s="4">
        <v>44173</v>
      </c>
      <c r="T227" s="4">
        <v>9529</v>
      </c>
      <c r="U227" s="4">
        <v>41316</v>
      </c>
      <c r="V227" s="4">
        <v>50845</v>
      </c>
      <c r="W227" s="4">
        <v>10667</v>
      </c>
      <c r="X227" s="4">
        <v>46247</v>
      </c>
      <c r="Y227" s="4">
        <v>56914</v>
      </c>
      <c r="Z227" s="4">
        <v>498</v>
      </c>
      <c r="AA227" s="46">
        <v>26803</v>
      </c>
    </row>
    <row r="228" spans="1:27" x14ac:dyDescent="0.25">
      <c r="A228" s="48">
        <v>12</v>
      </c>
      <c r="B228" s="5" t="s">
        <v>671</v>
      </c>
      <c r="C228" s="47" t="s">
        <v>240</v>
      </c>
      <c r="D228" s="5" t="s">
        <v>567</v>
      </c>
      <c r="E228" s="5">
        <v>53.39</v>
      </c>
      <c r="F228" s="5">
        <v>572.29999999999995</v>
      </c>
      <c r="G228" s="5">
        <v>625.69000000000005</v>
      </c>
      <c r="H228" s="5">
        <v>1.17</v>
      </c>
      <c r="I228" s="5">
        <v>17</v>
      </c>
      <c r="J228" s="5">
        <v>0</v>
      </c>
      <c r="K228" s="5">
        <v>589</v>
      </c>
      <c r="L228" s="5">
        <v>355.7</v>
      </c>
      <c r="M228" s="5">
        <v>65.27</v>
      </c>
      <c r="N228" s="5">
        <v>73.06</v>
      </c>
      <c r="O228" s="5">
        <v>35.869999999999997</v>
      </c>
      <c r="P228" s="4">
        <v>222558</v>
      </c>
      <c r="Q228" s="5">
        <v>0</v>
      </c>
      <c r="R228" s="4">
        <v>222558</v>
      </c>
      <c r="S228" s="4">
        <v>36988</v>
      </c>
      <c r="T228" s="4">
        <v>1110</v>
      </c>
      <c r="U228" s="4">
        <v>37334</v>
      </c>
      <c r="V228" s="4">
        <v>38444</v>
      </c>
      <c r="W228" s="4">
        <v>1242</v>
      </c>
      <c r="X228" s="4">
        <v>41790</v>
      </c>
      <c r="Y228" s="4">
        <v>43032</v>
      </c>
      <c r="Z228" s="4">
        <v>416</v>
      </c>
      <c r="AA228" s="46">
        <v>22444</v>
      </c>
    </row>
    <row r="229" spans="1:27" x14ac:dyDescent="0.25">
      <c r="A229" s="48">
        <v>12</v>
      </c>
      <c r="B229" s="5" t="s">
        <v>671</v>
      </c>
      <c r="C229" s="47" t="s">
        <v>241</v>
      </c>
      <c r="D229" s="5" t="s">
        <v>568</v>
      </c>
      <c r="E229" s="5">
        <v>83.31</v>
      </c>
      <c r="F229" s="5">
        <v>461.2</v>
      </c>
      <c r="G229" s="5">
        <v>544.51</v>
      </c>
      <c r="H229" s="5">
        <v>1.02</v>
      </c>
      <c r="I229" s="5">
        <v>7</v>
      </c>
      <c r="J229" s="5">
        <v>0</v>
      </c>
      <c r="K229" s="5">
        <v>468</v>
      </c>
      <c r="L229" s="5">
        <v>355.7</v>
      </c>
      <c r="M229" s="5">
        <v>65.27</v>
      </c>
      <c r="N229" s="5">
        <v>73.06</v>
      </c>
      <c r="O229" s="5">
        <v>35.869999999999997</v>
      </c>
      <c r="P229" s="4">
        <v>193682</v>
      </c>
      <c r="Q229" s="5">
        <v>0</v>
      </c>
      <c r="R229" s="4">
        <v>193682</v>
      </c>
      <c r="S229" s="4">
        <v>32188</v>
      </c>
      <c r="T229" s="4">
        <v>457</v>
      </c>
      <c r="U229" s="4">
        <v>30089</v>
      </c>
      <c r="V229" s="4">
        <v>30546</v>
      </c>
      <c r="W229" s="4">
        <v>511</v>
      </c>
      <c r="X229" s="4">
        <v>33681</v>
      </c>
      <c r="Y229" s="4">
        <v>34192</v>
      </c>
      <c r="Z229" s="4">
        <v>363</v>
      </c>
      <c r="AA229" s="46">
        <v>19532</v>
      </c>
    </row>
    <row r="230" spans="1:27" x14ac:dyDescent="0.25">
      <c r="A230" s="48">
        <v>12</v>
      </c>
      <c r="B230" s="5" t="s">
        <v>671</v>
      </c>
      <c r="C230" s="47" t="s">
        <v>242</v>
      </c>
      <c r="D230" s="5" t="s">
        <v>569</v>
      </c>
      <c r="E230" s="5">
        <v>65.930000000000007</v>
      </c>
      <c r="F230" s="5">
        <v>601.29999999999995</v>
      </c>
      <c r="G230" s="5">
        <v>667.23</v>
      </c>
      <c r="H230" s="5">
        <v>1.25</v>
      </c>
      <c r="I230" s="5">
        <v>23</v>
      </c>
      <c r="J230" s="5">
        <v>0</v>
      </c>
      <c r="K230" s="5">
        <v>624</v>
      </c>
      <c r="L230" s="5">
        <v>355.7</v>
      </c>
      <c r="M230" s="5">
        <v>65.27</v>
      </c>
      <c r="N230" s="5">
        <v>73.06</v>
      </c>
      <c r="O230" s="5">
        <v>35.869999999999997</v>
      </c>
      <c r="P230" s="4">
        <v>237334</v>
      </c>
      <c r="Q230" s="5">
        <v>0</v>
      </c>
      <c r="R230" s="4">
        <v>237334</v>
      </c>
      <c r="S230" s="4">
        <v>39443</v>
      </c>
      <c r="T230" s="4">
        <v>1501</v>
      </c>
      <c r="U230" s="4">
        <v>39227</v>
      </c>
      <c r="V230" s="4">
        <v>40728</v>
      </c>
      <c r="W230" s="4">
        <v>1680</v>
      </c>
      <c r="X230" s="4">
        <v>43909</v>
      </c>
      <c r="Y230" s="4">
        <v>45589</v>
      </c>
      <c r="Z230" s="4">
        <v>445</v>
      </c>
      <c r="AA230" s="46">
        <v>23934</v>
      </c>
    </row>
    <row r="231" spans="1:27" x14ac:dyDescent="0.25">
      <c r="A231" s="48">
        <v>12</v>
      </c>
      <c r="B231" s="5" t="s">
        <v>671</v>
      </c>
      <c r="C231" s="47" t="s">
        <v>243</v>
      </c>
      <c r="D231" s="5" t="s">
        <v>570</v>
      </c>
      <c r="E231" s="5">
        <v>330.62</v>
      </c>
      <c r="F231" s="35">
        <v>2152.9</v>
      </c>
      <c r="G231" s="35">
        <v>2483.52</v>
      </c>
      <c r="H231" s="5">
        <v>4.66</v>
      </c>
      <c r="I231" s="5">
        <v>503</v>
      </c>
      <c r="J231" s="5">
        <v>0.8</v>
      </c>
      <c r="K231" s="4">
        <v>2655</v>
      </c>
      <c r="L231" s="5">
        <v>355.7</v>
      </c>
      <c r="M231" s="5">
        <v>65.27</v>
      </c>
      <c r="N231" s="5">
        <v>73.06</v>
      </c>
      <c r="O231" s="5">
        <v>35.869999999999997</v>
      </c>
      <c r="P231" s="4">
        <v>883388</v>
      </c>
      <c r="Q231" s="5">
        <v>0</v>
      </c>
      <c r="R231" s="4">
        <v>883388</v>
      </c>
      <c r="S231" s="4">
        <v>146813</v>
      </c>
      <c r="T231" s="4">
        <v>32831</v>
      </c>
      <c r="U231" s="4">
        <v>140461</v>
      </c>
      <c r="V231" s="4">
        <v>173292</v>
      </c>
      <c r="W231" s="4">
        <v>36749</v>
      </c>
      <c r="X231" s="4">
        <v>157225</v>
      </c>
      <c r="Y231" s="4">
        <v>193974</v>
      </c>
      <c r="Z231" s="4">
        <v>1658</v>
      </c>
      <c r="AA231" s="46">
        <v>89084</v>
      </c>
    </row>
    <row r="232" spans="1:27" x14ac:dyDescent="0.25">
      <c r="A232" s="48">
        <v>12</v>
      </c>
      <c r="B232" s="5" t="s">
        <v>671</v>
      </c>
      <c r="C232" s="47" t="s">
        <v>244</v>
      </c>
      <c r="D232" s="5" t="s">
        <v>571</v>
      </c>
      <c r="E232" s="5">
        <v>64.599999999999994</v>
      </c>
      <c r="F232" s="5">
        <v>560.29999999999995</v>
      </c>
      <c r="G232" s="5">
        <v>624.9</v>
      </c>
      <c r="H232" s="5">
        <v>1.17</v>
      </c>
      <c r="I232" s="5">
        <v>37</v>
      </c>
      <c r="J232" s="5">
        <v>0</v>
      </c>
      <c r="K232" s="5">
        <v>597</v>
      </c>
      <c r="L232" s="5">
        <v>355.7</v>
      </c>
      <c r="M232" s="5">
        <v>65.27</v>
      </c>
      <c r="N232" s="5">
        <v>73.06</v>
      </c>
      <c r="O232" s="5">
        <v>35.869999999999997</v>
      </c>
      <c r="P232" s="4">
        <v>222277</v>
      </c>
      <c r="Q232" s="4">
        <v>13100</v>
      </c>
      <c r="R232" s="4">
        <v>235377</v>
      </c>
      <c r="S232" s="4">
        <v>36941</v>
      </c>
      <c r="T232" s="4">
        <v>2415</v>
      </c>
      <c r="U232" s="4">
        <v>36551</v>
      </c>
      <c r="V232" s="4">
        <v>38966</v>
      </c>
      <c r="W232" s="4">
        <v>2703</v>
      </c>
      <c r="X232" s="4">
        <v>40914</v>
      </c>
      <c r="Y232" s="4">
        <v>43617</v>
      </c>
      <c r="Z232" s="4">
        <v>416</v>
      </c>
      <c r="AA232" s="46">
        <v>22583</v>
      </c>
    </row>
    <row r="233" spans="1:27" x14ac:dyDescent="0.25">
      <c r="A233" s="48">
        <v>12</v>
      </c>
      <c r="B233" s="5" t="s">
        <v>671</v>
      </c>
      <c r="C233" s="47" t="s">
        <v>245</v>
      </c>
      <c r="D233" s="5" t="s">
        <v>572</v>
      </c>
      <c r="E233" s="5">
        <v>63.31</v>
      </c>
      <c r="F233" s="5">
        <v>444.8</v>
      </c>
      <c r="G233" s="5">
        <v>508.11</v>
      </c>
      <c r="H233" s="5">
        <v>0.95</v>
      </c>
      <c r="I233" s="5">
        <v>13</v>
      </c>
      <c r="J233" s="5">
        <v>0</v>
      </c>
      <c r="K233" s="5">
        <v>458</v>
      </c>
      <c r="L233" s="5">
        <v>355.7</v>
      </c>
      <c r="M233" s="5">
        <v>65.27</v>
      </c>
      <c r="N233" s="5">
        <v>73.06</v>
      </c>
      <c r="O233" s="5">
        <v>35.869999999999997</v>
      </c>
      <c r="P233" s="4">
        <v>180735</v>
      </c>
      <c r="Q233" s="4">
        <v>2737</v>
      </c>
      <c r="R233" s="4">
        <v>183472</v>
      </c>
      <c r="S233" s="4">
        <v>30037</v>
      </c>
      <c r="T233" s="4">
        <v>849</v>
      </c>
      <c r="U233" s="4">
        <v>29045</v>
      </c>
      <c r="V233" s="4">
        <v>29894</v>
      </c>
      <c r="W233" s="4">
        <v>950</v>
      </c>
      <c r="X233" s="4">
        <v>32511</v>
      </c>
      <c r="Y233" s="4">
        <v>33461</v>
      </c>
      <c r="Z233" s="4">
        <v>338</v>
      </c>
      <c r="AA233" s="46">
        <v>18497</v>
      </c>
    </row>
    <row r="234" spans="1:27" x14ac:dyDescent="0.25">
      <c r="A234" s="48">
        <v>12</v>
      </c>
      <c r="B234" s="5" t="s">
        <v>671</v>
      </c>
      <c r="C234" s="47" t="s">
        <v>246</v>
      </c>
      <c r="D234" s="5" t="s">
        <v>573</v>
      </c>
      <c r="E234" s="5">
        <v>213.84</v>
      </c>
      <c r="F234" s="35">
        <v>1529.5</v>
      </c>
      <c r="G234" s="35">
        <v>1743.34</v>
      </c>
      <c r="H234" s="5">
        <v>3.27</v>
      </c>
      <c r="I234" s="5">
        <v>566</v>
      </c>
      <c r="J234" s="5">
        <v>14.3</v>
      </c>
      <c r="K234" s="4">
        <v>2081</v>
      </c>
      <c r="L234" s="5">
        <v>355.7</v>
      </c>
      <c r="M234" s="5">
        <v>65.27</v>
      </c>
      <c r="N234" s="5">
        <v>73.06</v>
      </c>
      <c r="O234" s="5">
        <v>35.869999999999997</v>
      </c>
      <c r="P234" s="4">
        <v>620106</v>
      </c>
      <c r="Q234" s="5">
        <v>0</v>
      </c>
      <c r="R234" s="4">
        <v>620106</v>
      </c>
      <c r="S234" s="4">
        <v>103057</v>
      </c>
      <c r="T234" s="4">
        <v>36943</v>
      </c>
      <c r="U234" s="4">
        <v>98884</v>
      </c>
      <c r="V234" s="4">
        <v>135827</v>
      </c>
      <c r="W234" s="4">
        <v>41352</v>
      </c>
      <c r="X234" s="4">
        <v>110686</v>
      </c>
      <c r="Y234" s="4">
        <v>152038</v>
      </c>
      <c r="Z234" s="4">
        <v>1163</v>
      </c>
      <c r="AA234" s="46">
        <v>62534</v>
      </c>
    </row>
    <row r="235" spans="1:27" x14ac:dyDescent="0.25">
      <c r="A235" s="48">
        <v>12</v>
      </c>
      <c r="B235" s="5" t="s">
        <v>671</v>
      </c>
      <c r="C235" s="47" t="s">
        <v>43</v>
      </c>
      <c r="D235" s="5" t="s">
        <v>574</v>
      </c>
      <c r="E235" s="5">
        <v>137.01</v>
      </c>
      <c r="F235" s="5">
        <v>907</v>
      </c>
      <c r="G235" s="35">
        <v>1044.01</v>
      </c>
      <c r="H235" s="5">
        <v>1.96</v>
      </c>
      <c r="I235" s="5">
        <v>23</v>
      </c>
      <c r="J235" s="5">
        <v>0</v>
      </c>
      <c r="K235" s="5">
        <v>930</v>
      </c>
      <c r="L235" s="5">
        <v>355.7</v>
      </c>
      <c r="M235" s="5">
        <v>65.27</v>
      </c>
      <c r="N235" s="5">
        <v>73.06</v>
      </c>
      <c r="O235" s="5">
        <v>35.869999999999997</v>
      </c>
      <c r="P235" s="4">
        <v>371354</v>
      </c>
      <c r="Q235" s="5">
        <v>0</v>
      </c>
      <c r="R235" s="4">
        <v>371354</v>
      </c>
      <c r="S235" s="4">
        <v>61716</v>
      </c>
      <c r="T235" s="4">
        <v>1501</v>
      </c>
      <c r="U235" s="4">
        <v>59200</v>
      </c>
      <c r="V235" s="4">
        <v>60701</v>
      </c>
      <c r="W235" s="4">
        <v>1680</v>
      </c>
      <c r="X235" s="4">
        <v>66266</v>
      </c>
      <c r="Y235" s="4">
        <v>67946</v>
      </c>
      <c r="Z235" s="4">
        <v>697</v>
      </c>
      <c r="AA235" s="46">
        <v>37449</v>
      </c>
    </row>
    <row r="236" spans="1:27" x14ac:dyDescent="0.25">
      <c r="A236" s="48">
        <v>12</v>
      </c>
      <c r="B236" s="5" t="s">
        <v>671</v>
      </c>
      <c r="C236" s="47" t="s">
        <v>247</v>
      </c>
      <c r="D236" s="5" t="s">
        <v>575</v>
      </c>
      <c r="E236" s="5">
        <v>73.14</v>
      </c>
      <c r="F236" s="5">
        <v>331.1</v>
      </c>
      <c r="G236" s="5">
        <v>404.24</v>
      </c>
      <c r="H236" s="5">
        <v>0.76</v>
      </c>
      <c r="I236" s="5">
        <v>181</v>
      </c>
      <c r="J236" s="5">
        <v>2.9</v>
      </c>
      <c r="K236" s="5">
        <v>509</v>
      </c>
      <c r="L236" s="5">
        <v>355.7</v>
      </c>
      <c r="M236" s="5">
        <v>65.27</v>
      </c>
      <c r="N236" s="5">
        <v>73.06</v>
      </c>
      <c r="O236" s="5">
        <v>35.869999999999997</v>
      </c>
      <c r="P236" s="4">
        <v>143788</v>
      </c>
      <c r="Q236" s="5">
        <v>0</v>
      </c>
      <c r="R236" s="4">
        <v>143788</v>
      </c>
      <c r="S236" s="4">
        <v>23897</v>
      </c>
      <c r="T236" s="4">
        <v>11814</v>
      </c>
      <c r="U236" s="4">
        <v>21408</v>
      </c>
      <c r="V236" s="4">
        <v>33222</v>
      </c>
      <c r="W236" s="4">
        <v>13224</v>
      </c>
      <c r="X236" s="4">
        <v>23964</v>
      </c>
      <c r="Y236" s="4">
        <v>37188</v>
      </c>
      <c r="Z236" s="4">
        <v>270</v>
      </c>
      <c r="AA236" s="46">
        <v>14500</v>
      </c>
    </row>
    <row r="237" spans="1:27" x14ac:dyDescent="0.25">
      <c r="A237" s="48">
        <v>12</v>
      </c>
      <c r="B237" s="5" t="s">
        <v>671</v>
      </c>
      <c r="C237" s="47" t="s">
        <v>248</v>
      </c>
      <c r="D237" s="5" t="s">
        <v>576</v>
      </c>
      <c r="E237" s="5">
        <v>75.239999999999995</v>
      </c>
      <c r="F237" s="5">
        <v>362.1</v>
      </c>
      <c r="G237" s="5">
        <v>437.34</v>
      </c>
      <c r="H237" s="5">
        <v>0.82</v>
      </c>
      <c r="I237" s="5">
        <v>0</v>
      </c>
      <c r="J237" s="5">
        <v>0</v>
      </c>
      <c r="K237" s="5">
        <v>362</v>
      </c>
      <c r="L237" s="5">
        <v>355.7</v>
      </c>
      <c r="M237" s="5">
        <v>65.27</v>
      </c>
      <c r="N237" s="5">
        <v>73.06</v>
      </c>
      <c r="O237" s="5">
        <v>35.869999999999997</v>
      </c>
      <c r="P237" s="4">
        <v>155562</v>
      </c>
      <c r="Q237" s="5">
        <v>242</v>
      </c>
      <c r="R237" s="4">
        <v>155804</v>
      </c>
      <c r="S237" s="4">
        <v>25853</v>
      </c>
      <c r="T237" s="4">
        <v>0</v>
      </c>
      <c r="U237" s="4">
        <v>23628</v>
      </c>
      <c r="V237" s="4">
        <v>23628</v>
      </c>
      <c r="W237" s="4">
        <v>0</v>
      </c>
      <c r="X237" s="4">
        <v>26448</v>
      </c>
      <c r="Y237" s="4">
        <v>26448</v>
      </c>
      <c r="Z237" s="4">
        <v>292</v>
      </c>
      <c r="AA237" s="46">
        <v>15707</v>
      </c>
    </row>
    <row r="238" spans="1:27" x14ac:dyDescent="0.25">
      <c r="A238" s="48">
        <v>12</v>
      </c>
      <c r="B238" s="5" t="s">
        <v>671</v>
      </c>
      <c r="C238" s="47" t="s">
        <v>249</v>
      </c>
      <c r="D238" s="5" t="s">
        <v>577</v>
      </c>
      <c r="E238" s="5">
        <v>68.540000000000006</v>
      </c>
      <c r="F238" s="5">
        <v>788.7</v>
      </c>
      <c r="G238" s="5">
        <v>857.24</v>
      </c>
      <c r="H238" s="5">
        <v>1.61</v>
      </c>
      <c r="I238" s="5">
        <v>439</v>
      </c>
      <c r="J238" s="5">
        <v>1.4</v>
      </c>
      <c r="K238" s="4">
        <v>1226</v>
      </c>
      <c r="L238" s="5">
        <v>355.7</v>
      </c>
      <c r="M238" s="5">
        <v>65.27</v>
      </c>
      <c r="N238" s="5">
        <v>73.06</v>
      </c>
      <c r="O238" s="5">
        <v>35.869999999999997</v>
      </c>
      <c r="P238" s="4">
        <v>304920</v>
      </c>
      <c r="Q238" s="4">
        <v>11651</v>
      </c>
      <c r="R238" s="4">
        <v>316571</v>
      </c>
      <c r="S238" s="4">
        <v>50675</v>
      </c>
      <c r="T238" s="4">
        <v>28654</v>
      </c>
      <c r="U238" s="4">
        <v>51367</v>
      </c>
      <c r="V238" s="4">
        <v>80021</v>
      </c>
      <c r="W238" s="4">
        <v>32073</v>
      </c>
      <c r="X238" s="4">
        <v>57499</v>
      </c>
      <c r="Y238" s="4">
        <v>89572</v>
      </c>
      <c r="Z238" s="4">
        <v>573</v>
      </c>
      <c r="AA238" s="46">
        <v>31489</v>
      </c>
    </row>
    <row r="239" spans="1:27" x14ac:dyDescent="0.25">
      <c r="A239" s="48">
        <v>12</v>
      </c>
      <c r="B239" s="5" t="s">
        <v>671</v>
      </c>
      <c r="C239" s="47" t="s">
        <v>250</v>
      </c>
      <c r="D239" s="5" t="s">
        <v>578</v>
      </c>
      <c r="E239" s="5">
        <v>34.42</v>
      </c>
      <c r="F239" s="5">
        <v>231.1</v>
      </c>
      <c r="G239" s="5">
        <v>265.52</v>
      </c>
      <c r="H239" s="5">
        <v>0.5</v>
      </c>
      <c r="I239" s="5">
        <v>1</v>
      </c>
      <c r="J239" s="5">
        <v>0</v>
      </c>
      <c r="K239" s="5">
        <v>232</v>
      </c>
      <c r="L239" s="5">
        <v>355.7</v>
      </c>
      <c r="M239" s="5">
        <v>65.27</v>
      </c>
      <c r="N239" s="5">
        <v>73.06</v>
      </c>
      <c r="O239" s="5">
        <v>35.869999999999997</v>
      </c>
      <c r="P239" s="4">
        <v>94445</v>
      </c>
      <c r="Q239" s="4">
        <v>10514</v>
      </c>
      <c r="R239" s="4">
        <v>104959</v>
      </c>
      <c r="S239" s="4">
        <v>15696</v>
      </c>
      <c r="T239" s="4">
        <v>65</v>
      </c>
      <c r="U239" s="4">
        <v>15078</v>
      </c>
      <c r="V239" s="4">
        <v>15143</v>
      </c>
      <c r="W239" s="4">
        <v>73</v>
      </c>
      <c r="X239" s="4">
        <v>16877</v>
      </c>
      <c r="Y239" s="4">
        <v>16950</v>
      </c>
      <c r="Z239" s="4">
        <v>178</v>
      </c>
      <c r="AA239" s="46">
        <v>9560</v>
      </c>
    </row>
    <row r="240" spans="1:27" x14ac:dyDescent="0.25">
      <c r="A240" s="48">
        <v>12</v>
      </c>
      <c r="B240" s="5" t="s">
        <v>671</v>
      </c>
      <c r="C240" s="47" t="s">
        <v>251</v>
      </c>
      <c r="D240" s="5" t="s">
        <v>579</v>
      </c>
      <c r="E240" s="5">
        <v>193.91</v>
      </c>
      <c r="F240" s="35">
        <v>1420.1</v>
      </c>
      <c r="G240" s="35">
        <v>1614.01</v>
      </c>
      <c r="H240" s="5">
        <v>3.03</v>
      </c>
      <c r="I240" s="5">
        <v>51</v>
      </c>
      <c r="J240" s="5">
        <v>0</v>
      </c>
      <c r="K240" s="4">
        <v>1471</v>
      </c>
      <c r="L240" s="5">
        <v>355.7</v>
      </c>
      <c r="M240" s="5">
        <v>65.27</v>
      </c>
      <c r="N240" s="5">
        <v>73.06</v>
      </c>
      <c r="O240" s="5">
        <v>35.869999999999997</v>
      </c>
      <c r="P240" s="4">
        <v>574103</v>
      </c>
      <c r="Q240" s="5">
        <v>0</v>
      </c>
      <c r="R240" s="4">
        <v>574103</v>
      </c>
      <c r="S240" s="4">
        <v>95412</v>
      </c>
      <c r="T240" s="4">
        <v>3329</v>
      </c>
      <c r="U240" s="4">
        <v>92683</v>
      </c>
      <c r="V240" s="4">
        <v>96012</v>
      </c>
      <c r="W240" s="4">
        <v>3726</v>
      </c>
      <c r="X240" s="4">
        <v>103745</v>
      </c>
      <c r="Y240" s="4">
        <v>107471</v>
      </c>
      <c r="Z240" s="4">
        <v>1078</v>
      </c>
      <c r="AA240" s="46">
        <v>57895</v>
      </c>
    </row>
    <row r="241" spans="1:27" x14ac:dyDescent="0.25">
      <c r="A241" s="48">
        <v>12</v>
      </c>
      <c r="B241" s="5" t="s">
        <v>671</v>
      </c>
      <c r="C241" s="47" t="s">
        <v>252</v>
      </c>
      <c r="D241" s="5" t="s">
        <v>580</v>
      </c>
      <c r="E241" s="5">
        <v>157.04</v>
      </c>
      <c r="F241" s="35">
        <v>1141.3</v>
      </c>
      <c r="G241" s="35">
        <v>1298.3399999999999</v>
      </c>
      <c r="H241" s="5">
        <v>2.4300000000000002</v>
      </c>
      <c r="I241" s="5">
        <v>173</v>
      </c>
      <c r="J241" s="5">
        <v>2.1</v>
      </c>
      <c r="K241" s="4">
        <v>1312</v>
      </c>
      <c r="L241" s="5">
        <v>355.7</v>
      </c>
      <c r="M241" s="5">
        <v>65.27</v>
      </c>
      <c r="N241" s="5">
        <v>73.06</v>
      </c>
      <c r="O241" s="5">
        <v>35.869999999999997</v>
      </c>
      <c r="P241" s="4">
        <v>461820</v>
      </c>
      <c r="Q241" s="5">
        <v>0</v>
      </c>
      <c r="R241" s="4">
        <v>461820</v>
      </c>
      <c r="S241" s="4">
        <v>76751</v>
      </c>
      <c r="T241" s="4">
        <v>11292</v>
      </c>
      <c r="U241" s="4">
        <v>74342</v>
      </c>
      <c r="V241" s="4">
        <v>85634</v>
      </c>
      <c r="W241" s="4">
        <v>12639</v>
      </c>
      <c r="X241" s="4">
        <v>83216</v>
      </c>
      <c r="Y241" s="4">
        <v>95855</v>
      </c>
      <c r="Z241" s="4">
        <v>864</v>
      </c>
      <c r="AA241" s="46">
        <v>46571</v>
      </c>
    </row>
    <row r="242" spans="1:27" x14ac:dyDescent="0.25">
      <c r="A242" s="48">
        <v>12</v>
      </c>
      <c r="B242" s="5" t="s">
        <v>671</v>
      </c>
      <c r="C242" s="47" t="s">
        <v>253</v>
      </c>
      <c r="D242" s="5" t="s">
        <v>581</v>
      </c>
      <c r="E242" s="5">
        <v>83.65</v>
      </c>
      <c r="F242" s="5">
        <v>669.3</v>
      </c>
      <c r="G242" s="5">
        <v>752.95</v>
      </c>
      <c r="H242" s="5">
        <v>1.41</v>
      </c>
      <c r="I242" s="5">
        <v>21</v>
      </c>
      <c r="J242" s="5">
        <v>0</v>
      </c>
      <c r="K242" s="5">
        <v>690</v>
      </c>
      <c r="L242" s="5">
        <v>355.7</v>
      </c>
      <c r="M242" s="5">
        <v>65.27</v>
      </c>
      <c r="N242" s="5">
        <v>73.06</v>
      </c>
      <c r="O242" s="5">
        <v>35.869999999999997</v>
      </c>
      <c r="P242" s="4">
        <v>267824</v>
      </c>
      <c r="Q242" s="5">
        <v>0</v>
      </c>
      <c r="R242" s="4">
        <v>267824</v>
      </c>
      <c r="S242" s="4">
        <v>44511</v>
      </c>
      <c r="T242" s="4">
        <v>1371</v>
      </c>
      <c r="U242" s="4">
        <v>43665</v>
      </c>
      <c r="V242" s="4">
        <v>45036</v>
      </c>
      <c r="W242" s="4">
        <v>1534</v>
      </c>
      <c r="X242" s="4">
        <v>48877</v>
      </c>
      <c r="Y242" s="4">
        <v>50411</v>
      </c>
      <c r="Z242" s="4">
        <v>502</v>
      </c>
      <c r="AA242" s="46">
        <v>27008</v>
      </c>
    </row>
    <row r="243" spans="1:27" x14ac:dyDescent="0.25">
      <c r="A243" s="48">
        <v>12</v>
      </c>
      <c r="B243" s="5" t="s">
        <v>671</v>
      </c>
      <c r="C243" s="47" t="s">
        <v>254</v>
      </c>
      <c r="D243" s="5" t="s">
        <v>582</v>
      </c>
      <c r="E243" s="5">
        <v>213.99</v>
      </c>
      <c r="F243" s="35">
        <v>1538</v>
      </c>
      <c r="G243" s="35">
        <v>1751.99</v>
      </c>
      <c r="H243" s="5">
        <v>3.28</v>
      </c>
      <c r="I243" s="5">
        <v>739</v>
      </c>
      <c r="J243" s="5">
        <v>1</v>
      </c>
      <c r="K243" s="4">
        <v>2276</v>
      </c>
      <c r="L243" s="5">
        <v>355.7</v>
      </c>
      <c r="M243" s="5">
        <v>65.27</v>
      </c>
      <c r="N243" s="5">
        <v>73.06</v>
      </c>
      <c r="O243" s="5">
        <v>35.869999999999997</v>
      </c>
      <c r="P243" s="4">
        <v>623183</v>
      </c>
      <c r="Q243" s="5">
        <v>0</v>
      </c>
      <c r="R243" s="4">
        <v>623183</v>
      </c>
      <c r="S243" s="4">
        <v>103568</v>
      </c>
      <c r="T243" s="4">
        <v>48235</v>
      </c>
      <c r="U243" s="4">
        <v>100320</v>
      </c>
      <c r="V243" s="4">
        <v>148555</v>
      </c>
      <c r="W243" s="4">
        <v>53991</v>
      </c>
      <c r="X243" s="4">
        <v>112294</v>
      </c>
      <c r="Y243" s="4">
        <v>166285</v>
      </c>
      <c r="Z243" s="4">
        <v>1167</v>
      </c>
      <c r="AA243" s="46">
        <v>62844</v>
      </c>
    </row>
    <row r="244" spans="1:27" x14ac:dyDescent="0.25">
      <c r="A244" s="48">
        <v>12</v>
      </c>
      <c r="B244" s="5" t="s">
        <v>671</v>
      </c>
      <c r="C244" s="47" t="s">
        <v>255</v>
      </c>
      <c r="D244" s="5" t="s">
        <v>583</v>
      </c>
      <c r="E244" s="35">
        <v>2425.48</v>
      </c>
      <c r="F244" s="35">
        <v>14482.1</v>
      </c>
      <c r="G244" s="35">
        <v>16907.580000000002</v>
      </c>
      <c r="H244" s="5">
        <v>31.68</v>
      </c>
      <c r="I244" s="4">
        <v>1679</v>
      </c>
      <c r="J244" s="5">
        <v>15.8</v>
      </c>
      <c r="K244" s="4">
        <v>16145</v>
      </c>
      <c r="L244" s="5">
        <v>355.7</v>
      </c>
      <c r="M244" s="5">
        <v>65.27</v>
      </c>
      <c r="N244" s="5">
        <v>73.06</v>
      </c>
      <c r="O244" s="5">
        <v>35.869999999999997</v>
      </c>
      <c r="P244" s="4">
        <v>6014026</v>
      </c>
      <c r="Q244" s="5">
        <v>0</v>
      </c>
      <c r="R244" s="4">
        <v>6014026</v>
      </c>
      <c r="S244" s="4">
        <v>999488</v>
      </c>
      <c r="T244" s="4">
        <v>109588</v>
      </c>
      <c r="U244" s="4">
        <v>944196</v>
      </c>
      <c r="V244" s="4">
        <v>1053784</v>
      </c>
      <c r="W244" s="4">
        <v>122668</v>
      </c>
      <c r="X244" s="4">
        <v>1056886</v>
      </c>
      <c r="Y244" s="4">
        <v>1179554</v>
      </c>
      <c r="Z244" s="4">
        <v>11269</v>
      </c>
      <c r="AA244" s="46">
        <v>606475</v>
      </c>
    </row>
    <row r="245" spans="1:27" x14ac:dyDescent="0.25">
      <c r="A245" s="48">
        <v>12</v>
      </c>
      <c r="B245" s="5" t="s">
        <v>671</v>
      </c>
      <c r="C245" s="47" t="s">
        <v>256</v>
      </c>
      <c r="D245" s="5" t="s">
        <v>584</v>
      </c>
      <c r="E245" s="5">
        <v>110.66</v>
      </c>
      <c r="F245" s="5">
        <v>575.79999999999995</v>
      </c>
      <c r="G245" s="5">
        <v>686.46</v>
      </c>
      <c r="H245" s="5">
        <v>1.29</v>
      </c>
      <c r="I245" s="5">
        <v>85</v>
      </c>
      <c r="J245" s="5">
        <v>2.7</v>
      </c>
      <c r="K245" s="5">
        <v>658</v>
      </c>
      <c r="L245" s="5">
        <v>355.7</v>
      </c>
      <c r="M245" s="5">
        <v>65.27</v>
      </c>
      <c r="N245" s="5">
        <v>73.06</v>
      </c>
      <c r="O245" s="5">
        <v>35.869999999999997</v>
      </c>
      <c r="P245" s="4">
        <v>244174</v>
      </c>
      <c r="Q245" s="5">
        <v>0</v>
      </c>
      <c r="R245" s="4">
        <v>244174</v>
      </c>
      <c r="S245" s="4">
        <v>40580</v>
      </c>
      <c r="T245" s="4">
        <v>5548</v>
      </c>
      <c r="U245" s="4">
        <v>37400</v>
      </c>
      <c r="V245" s="4">
        <v>42948</v>
      </c>
      <c r="W245" s="4">
        <v>6210</v>
      </c>
      <c r="X245" s="4">
        <v>41863</v>
      </c>
      <c r="Y245" s="4">
        <v>48073</v>
      </c>
      <c r="Z245" s="4">
        <v>459</v>
      </c>
      <c r="AA245" s="46">
        <v>24623</v>
      </c>
    </row>
    <row r="246" spans="1:27" x14ac:dyDescent="0.25">
      <c r="A246" s="48">
        <v>12</v>
      </c>
      <c r="B246" s="5" t="s">
        <v>671</v>
      </c>
      <c r="C246" s="47" t="s">
        <v>257</v>
      </c>
      <c r="D246" s="5" t="s">
        <v>585</v>
      </c>
      <c r="E246" s="5">
        <v>86.43</v>
      </c>
      <c r="F246" s="5">
        <v>947.4</v>
      </c>
      <c r="G246" s="35">
        <v>1033.83</v>
      </c>
      <c r="H246" s="5">
        <v>1.94</v>
      </c>
      <c r="I246" s="5">
        <v>165</v>
      </c>
      <c r="J246" s="5">
        <v>0</v>
      </c>
      <c r="K246" s="4">
        <v>1112</v>
      </c>
      <c r="L246" s="5">
        <v>355.7</v>
      </c>
      <c r="M246" s="5">
        <v>65.27</v>
      </c>
      <c r="N246" s="5">
        <v>73.06</v>
      </c>
      <c r="O246" s="5">
        <v>35.869999999999997</v>
      </c>
      <c r="P246" s="4">
        <v>367733</v>
      </c>
      <c r="Q246" s="5">
        <v>0</v>
      </c>
      <c r="R246" s="4">
        <v>367733</v>
      </c>
      <c r="S246" s="4">
        <v>61114</v>
      </c>
      <c r="T246" s="4">
        <v>10770</v>
      </c>
      <c r="U246" s="4">
        <v>61810</v>
      </c>
      <c r="V246" s="4">
        <v>72580</v>
      </c>
      <c r="W246" s="4">
        <v>12055</v>
      </c>
      <c r="X246" s="4">
        <v>69188</v>
      </c>
      <c r="Y246" s="4">
        <v>81243</v>
      </c>
      <c r="Z246" s="4">
        <v>690</v>
      </c>
      <c r="AA246" s="46">
        <v>37083</v>
      </c>
    </row>
    <row r="247" spans="1:27" x14ac:dyDescent="0.25">
      <c r="A247" s="48">
        <v>12</v>
      </c>
      <c r="B247" s="5" t="s">
        <v>671</v>
      </c>
      <c r="C247" s="47" t="s">
        <v>258</v>
      </c>
      <c r="D247" s="5" t="s">
        <v>586</v>
      </c>
      <c r="E247" s="5">
        <v>86.84</v>
      </c>
      <c r="F247" s="5">
        <v>571.9</v>
      </c>
      <c r="G247" s="5">
        <v>658.74</v>
      </c>
      <c r="H247" s="5">
        <v>1.23</v>
      </c>
      <c r="I247" s="5">
        <v>2</v>
      </c>
      <c r="J247" s="5">
        <v>0</v>
      </c>
      <c r="K247" s="5">
        <v>574</v>
      </c>
      <c r="L247" s="5">
        <v>355.7</v>
      </c>
      <c r="M247" s="5">
        <v>65.27</v>
      </c>
      <c r="N247" s="5">
        <v>73.06</v>
      </c>
      <c r="O247" s="5">
        <v>35.869999999999997</v>
      </c>
      <c r="P247" s="4">
        <v>234314</v>
      </c>
      <c r="Q247" s="4">
        <v>7908</v>
      </c>
      <c r="R247" s="4">
        <v>242222</v>
      </c>
      <c r="S247" s="4">
        <v>38941</v>
      </c>
      <c r="T247" s="4">
        <v>131</v>
      </c>
      <c r="U247" s="4">
        <v>37334</v>
      </c>
      <c r="V247" s="4">
        <v>37465</v>
      </c>
      <c r="W247" s="4">
        <v>146</v>
      </c>
      <c r="X247" s="4">
        <v>41790</v>
      </c>
      <c r="Y247" s="4">
        <v>41936</v>
      </c>
      <c r="Z247" s="4">
        <v>438</v>
      </c>
      <c r="AA247" s="46">
        <v>23841</v>
      </c>
    </row>
    <row r="248" spans="1:27" x14ac:dyDescent="0.25">
      <c r="A248" s="48">
        <v>12</v>
      </c>
      <c r="B248" s="5" t="s">
        <v>671</v>
      </c>
      <c r="C248" s="47" t="s">
        <v>259</v>
      </c>
      <c r="D248" s="5" t="s">
        <v>587</v>
      </c>
      <c r="E248" s="5">
        <v>108.48</v>
      </c>
      <c r="F248" s="5">
        <v>733.1</v>
      </c>
      <c r="G248" s="5">
        <v>841.58</v>
      </c>
      <c r="H248" s="5">
        <v>1.58</v>
      </c>
      <c r="I248" s="5">
        <v>95</v>
      </c>
      <c r="J248" s="5">
        <v>0</v>
      </c>
      <c r="K248" s="5">
        <v>828</v>
      </c>
      <c r="L248" s="5">
        <v>355.7</v>
      </c>
      <c r="M248" s="5">
        <v>65.27</v>
      </c>
      <c r="N248" s="5">
        <v>73.06</v>
      </c>
      <c r="O248" s="5">
        <v>35.869999999999997</v>
      </c>
      <c r="P248" s="4">
        <v>299350</v>
      </c>
      <c r="Q248" s="4">
        <v>16083</v>
      </c>
      <c r="R248" s="4">
        <v>315433</v>
      </c>
      <c r="S248" s="4">
        <v>49750</v>
      </c>
      <c r="T248" s="4">
        <v>6201</v>
      </c>
      <c r="U248" s="4">
        <v>47843</v>
      </c>
      <c r="V248" s="4">
        <v>54044</v>
      </c>
      <c r="W248" s="4">
        <v>6941</v>
      </c>
      <c r="X248" s="4">
        <v>53553</v>
      </c>
      <c r="Y248" s="4">
        <v>60494</v>
      </c>
      <c r="Z248" s="4">
        <v>562</v>
      </c>
      <c r="AA248" s="46">
        <v>30187</v>
      </c>
    </row>
    <row r="249" spans="1:27" x14ac:dyDescent="0.25">
      <c r="A249" s="48">
        <v>12</v>
      </c>
      <c r="B249" s="5" t="s">
        <v>671</v>
      </c>
      <c r="C249" s="47" t="s">
        <v>260</v>
      </c>
      <c r="D249" s="5" t="s">
        <v>588</v>
      </c>
      <c r="E249" s="5">
        <v>80.930000000000007</v>
      </c>
      <c r="F249" s="5">
        <v>498.9</v>
      </c>
      <c r="G249" s="5">
        <v>579.83000000000004</v>
      </c>
      <c r="H249" s="5">
        <v>1.0900000000000001</v>
      </c>
      <c r="I249" s="5">
        <v>11</v>
      </c>
      <c r="J249" s="5">
        <v>0</v>
      </c>
      <c r="K249" s="5">
        <v>510</v>
      </c>
      <c r="L249" s="5">
        <v>355.7</v>
      </c>
      <c r="M249" s="5">
        <v>65.27</v>
      </c>
      <c r="N249" s="5">
        <v>73.06</v>
      </c>
      <c r="O249" s="5">
        <v>35.869999999999997</v>
      </c>
      <c r="P249" s="4">
        <v>206246</v>
      </c>
      <c r="Q249" s="4">
        <v>10047</v>
      </c>
      <c r="R249" s="4">
        <v>216293</v>
      </c>
      <c r="S249" s="4">
        <v>34277</v>
      </c>
      <c r="T249" s="4">
        <v>718</v>
      </c>
      <c r="U249" s="4">
        <v>32570</v>
      </c>
      <c r="V249" s="4">
        <v>33288</v>
      </c>
      <c r="W249" s="4">
        <v>804</v>
      </c>
      <c r="X249" s="4">
        <v>36457</v>
      </c>
      <c r="Y249" s="4">
        <v>37261</v>
      </c>
      <c r="Z249" s="4">
        <v>388</v>
      </c>
      <c r="AA249" s="46">
        <v>21805</v>
      </c>
    </row>
    <row r="250" spans="1:27" x14ac:dyDescent="0.25">
      <c r="A250" s="48">
        <v>12</v>
      </c>
      <c r="B250" s="5" t="s">
        <v>671</v>
      </c>
      <c r="C250" s="47" t="s">
        <v>261</v>
      </c>
      <c r="D250" s="5" t="s">
        <v>589</v>
      </c>
      <c r="E250" s="5">
        <v>20.9</v>
      </c>
      <c r="F250" s="5">
        <v>171.7</v>
      </c>
      <c r="G250" s="5">
        <v>192.6</v>
      </c>
      <c r="H250" s="5">
        <v>0.36</v>
      </c>
      <c r="I250" s="5">
        <v>0</v>
      </c>
      <c r="J250" s="5">
        <v>0</v>
      </c>
      <c r="K250" s="5">
        <v>172</v>
      </c>
      <c r="L250" s="5">
        <v>355.7</v>
      </c>
      <c r="M250" s="5">
        <v>65.27</v>
      </c>
      <c r="N250" s="5">
        <v>73.06</v>
      </c>
      <c r="O250" s="5">
        <v>35.869999999999997</v>
      </c>
      <c r="P250" s="4">
        <v>68508</v>
      </c>
      <c r="Q250" s="4">
        <v>6877</v>
      </c>
      <c r="R250" s="4">
        <v>75385</v>
      </c>
      <c r="S250" s="4">
        <v>11385</v>
      </c>
      <c r="T250" s="4">
        <v>0</v>
      </c>
      <c r="U250" s="4">
        <v>11226</v>
      </c>
      <c r="V250" s="4">
        <v>11226</v>
      </c>
      <c r="W250" s="4">
        <v>0</v>
      </c>
      <c r="X250" s="4">
        <v>12566</v>
      </c>
      <c r="Y250" s="4">
        <v>12566</v>
      </c>
      <c r="Z250" s="4">
        <v>128</v>
      </c>
      <c r="AA250" s="46">
        <v>7600</v>
      </c>
    </row>
    <row r="251" spans="1:27" x14ac:dyDescent="0.25">
      <c r="A251" s="48">
        <v>12</v>
      </c>
      <c r="B251" s="5" t="s">
        <v>671</v>
      </c>
      <c r="C251" s="47" t="s">
        <v>262</v>
      </c>
      <c r="D251" s="5" t="s">
        <v>590</v>
      </c>
      <c r="E251" s="5">
        <v>88.78</v>
      </c>
      <c r="F251" s="5">
        <v>515.9</v>
      </c>
      <c r="G251" s="5">
        <v>604.67999999999995</v>
      </c>
      <c r="H251" s="5">
        <v>1.1299999999999999</v>
      </c>
      <c r="I251" s="5">
        <v>5</v>
      </c>
      <c r="J251" s="5">
        <v>0</v>
      </c>
      <c r="K251" s="5">
        <v>521</v>
      </c>
      <c r="L251" s="5">
        <v>355.7</v>
      </c>
      <c r="M251" s="5">
        <v>65.27</v>
      </c>
      <c r="N251" s="5">
        <v>73.06</v>
      </c>
      <c r="O251" s="5">
        <v>35.869999999999997</v>
      </c>
      <c r="P251" s="4">
        <v>215085</v>
      </c>
      <c r="Q251" s="5">
        <v>0</v>
      </c>
      <c r="R251" s="4">
        <v>215085</v>
      </c>
      <c r="S251" s="4">
        <v>35746</v>
      </c>
      <c r="T251" s="4">
        <v>326</v>
      </c>
      <c r="U251" s="4">
        <v>33680</v>
      </c>
      <c r="V251" s="4">
        <v>34006</v>
      </c>
      <c r="W251" s="4">
        <v>365</v>
      </c>
      <c r="X251" s="4">
        <v>37699</v>
      </c>
      <c r="Y251" s="4">
        <v>38064</v>
      </c>
      <c r="Z251" s="4">
        <v>402</v>
      </c>
      <c r="AA251" s="46">
        <v>21690</v>
      </c>
    </row>
    <row r="252" spans="1:27" x14ac:dyDescent="0.25">
      <c r="A252" s="48">
        <v>13</v>
      </c>
      <c r="B252" s="5" t="s">
        <v>672</v>
      </c>
      <c r="C252" s="45" t="s">
        <v>264</v>
      </c>
      <c r="D252" s="5" t="s">
        <v>591</v>
      </c>
      <c r="E252" s="5">
        <v>103.56</v>
      </c>
      <c r="F252" s="5">
        <v>788.2</v>
      </c>
      <c r="G252" s="5">
        <v>891.76</v>
      </c>
      <c r="H252" s="5">
        <v>1.82</v>
      </c>
      <c r="I252" s="5">
        <v>3</v>
      </c>
      <c r="J252" s="5">
        <v>0</v>
      </c>
      <c r="K252" s="5">
        <v>791</v>
      </c>
      <c r="L252" s="5">
        <v>349.12</v>
      </c>
      <c r="M252" s="5">
        <v>64.989999999999995</v>
      </c>
      <c r="N252" s="5">
        <v>71.86</v>
      </c>
      <c r="O252" s="5">
        <v>35.85</v>
      </c>
      <c r="P252" s="4">
        <v>311331</v>
      </c>
      <c r="Q252" s="5">
        <v>0</v>
      </c>
      <c r="R252" s="4">
        <v>311331</v>
      </c>
      <c r="S252" s="4">
        <v>52716</v>
      </c>
      <c r="T252" s="4">
        <v>195</v>
      </c>
      <c r="U252" s="4">
        <v>51212</v>
      </c>
      <c r="V252" s="4">
        <v>51407</v>
      </c>
      <c r="W252" s="4">
        <v>216</v>
      </c>
      <c r="X252" s="4">
        <v>56625</v>
      </c>
      <c r="Y252" s="4">
        <v>56841</v>
      </c>
      <c r="Z252" s="4">
        <v>635</v>
      </c>
      <c r="AA252" s="46">
        <v>31970</v>
      </c>
    </row>
    <row r="253" spans="1:27" x14ac:dyDescent="0.25">
      <c r="A253" s="48">
        <v>13</v>
      </c>
      <c r="B253" s="5" t="s">
        <v>672</v>
      </c>
      <c r="C253" s="45" t="s">
        <v>265</v>
      </c>
      <c r="D253" s="5" t="s">
        <v>592</v>
      </c>
      <c r="E253" s="5">
        <v>259.31</v>
      </c>
      <c r="F253" s="35">
        <v>1452.3</v>
      </c>
      <c r="G253" s="35">
        <v>1711.61</v>
      </c>
      <c r="H253" s="5">
        <v>3.49</v>
      </c>
      <c r="I253" s="5">
        <v>0</v>
      </c>
      <c r="J253" s="5">
        <v>0</v>
      </c>
      <c r="K253" s="4">
        <v>1452</v>
      </c>
      <c r="L253" s="5">
        <v>349.12</v>
      </c>
      <c r="M253" s="5">
        <v>64.989999999999995</v>
      </c>
      <c r="N253" s="5">
        <v>71.86</v>
      </c>
      <c r="O253" s="5">
        <v>35.85</v>
      </c>
      <c r="P253" s="4">
        <v>597557</v>
      </c>
      <c r="Q253" s="5">
        <v>0</v>
      </c>
      <c r="R253" s="4">
        <v>597557</v>
      </c>
      <c r="S253" s="4">
        <v>101182</v>
      </c>
      <c r="T253" s="4">
        <v>0</v>
      </c>
      <c r="U253" s="4">
        <v>94365</v>
      </c>
      <c r="V253" s="4">
        <v>94365</v>
      </c>
      <c r="W253" s="4">
        <v>0</v>
      </c>
      <c r="X253" s="4">
        <v>104341</v>
      </c>
      <c r="Y253" s="4">
        <v>104341</v>
      </c>
      <c r="Z253" s="4">
        <v>1218</v>
      </c>
      <c r="AA253" s="46">
        <v>61361</v>
      </c>
    </row>
    <row r="254" spans="1:27" x14ac:dyDescent="0.25">
      <c r="A254" s="48">
        <v>13</v>
      </c>
      <c r="B254" s="5" t="s">
        <v>672</v>
      </c>
      <c r="C254" s="45" t="s">
        <v>266</v>
      </c>
      <c r="D254" s="5" t="s">
        <v>593</v>
      </c>
      <c r="E254" s="5">
        <v>66.900000000000006</v>
      </c>
      <c r="F254" s="5">
        <v>498.5</v>
      </c>
      <c r="G254" s="5">
        <v>565.4</v>
      </c>
      <c r="H254" s="5">
        <v>1.1499999999999999</v>
      </c>
      <c r="I254" s="5">
        <v>4</v>
      </c>
      <c r="J254" s="5">
        <v>0</v>
      </c>
      <c r="K254" s="5">
        <v>503</v>
      </c>
      <c r="L254" s="5">
        <v>349.12</v>
      </c>
      <c r="M254" s="5">
        <v>64.989999999999995</v>
      </c>
      <c r="N254" s="5">
        <v>71.86</v>
      </c>
      <c r="O254" s="5">
        <v>35.85</v>
      </c>
      <c r="P254" s="4">
        <v>197392</v>
      </c>
      <c r="Q254" s="5">
        <v>0</v>
      </c>
      <c r="R254" s="4">
        <v>197392</v>
      </c>
      <c r="S254" s="4">
        <v>33423</v>
      </c>
      <c r="T254" s="4">
        <v>260</v>
      </c>
      <c r="U254" s="4">
        <v>32430</v>
      </c>
      <c r="V254" s="4">
        <v>32690</v>
      </c>
      <c r="W254" s="4">
        <v>287</v>
      </c>
      <c r="X254" s="4">
        <v>35859</v>
      </c>
      <c r="Y254" s="4">
        <v>36146</v>
      </c>
      <c r="Z254" s="4">
        <v>401</v>
      </c>
      <c r="AA254" s="46">
        <v>20270</v>
      </c>
    </row>
    <row r="255" spans="1:27" x14ac:dyDescent="0.25">
      <c r="A255" s="48">
        <v>13</v>
      </c>
      <c r="B255" s="5" t="s">
        <v>672</v>
      </c>
      <c r="C255" s="47" t="s">
        <v>267</v>
      </c>
      <c r="D255" s="5" t="s">
        <v>594</v>
      </c>
      <c r="E255" s="5">
        <v>50.5</v>
      </c>
      <c r="F255" s="5">
        <v>387.2</v>
      </c>
      <c r="G255" s="5">
        <v>437.7</v>
      </c>
      <c r="H255" s="5">
        <v>0.89</v>
      </c>
      <c r="I255" s="5">
        <v>3</v>
      </c>
      <c r="J255" s="5">
        <v>0</v>
      </c>
      <c r="K255" s="5">
        <v>390</v>
      </c>
      <c r="L255" s="5">
        <v>349.12</v>
      </c>
      <c r="M255" s="5">
        <v>64.989999999999995</v>
      </c>
      <c r="N255" s="5">
        <v>71.86</v>
      </c>
      <c r="O255" s="5">
        <v>35.85</v>
      </c>
      <c r="P255" s="4">
        <v>152810</v>
      </c>
      <c r="Q255" s="5">
        <v>0</v>
      </c>
      <c r="R255" s="4">
        <v>152810</v>
      </c>
      <c r="S255" s="4">
        <v>25874</v>
      </c>
      <c r="T255" s="4">
        <v>195</v>
      </c>
      <c r="U255" s="4">
        <v>25151</v>
      </c>
      <c r="V255" s="4">
        <v>25346</v>
      </c>
      <c r="W255" s="4">
        <v>216</v>
      </c>
      <c r="X255" s="4">
        <v>27809</v>
      </c>
      <c r="Y255" s="4">
        <v>28025</v>
      </c>
      <c r="Z255" s="4">
        <v>311</v>
      </c>
      <c r="AA255" s="46">
        <v>15692</v>
      </c>
    </row>
    <row r="256" spans="1:27" x14ac:dyDescent="0.25">
      <c r="A256" s="48">
        <v>13</v>
      </c>
      <c r="B256" s="5" t="s">
        <v>672</v>
      </c>
      <c r="C256" s="45" t="s">
        <v>268</v>
      </c>
      <c r="D256" s="5" t="s">
        <v>269</v>
      </c>
      <c r="E256" s="5">
        <v>61.83</v>
      </c>
      <c r="F256" s="5">
        <v>419.4</v>
      </c>
      <c r="G256" s="5">
        <v>481.23</v>
      </c>
      <c r="H256" s="5">
        <v>0.98</v>
      </c>
      <c r="I256" s="5">
        <v>2</v>
      </c>
      <c r="J256" s="5">
        <v>0</v>
      </c>
      <c r="K256" s="5">
        <v>421</v>
      </c>
      <c r="L256" s="5">
        <v>349.12</v>
      </c>
      <c r="M256" s="5">
        <v>64.989999999999995</v>
      </c>
      <c r="N256" s="5">
        <v>71.86</v>
      </c>
      <c r="O256" s="5">
        <v>35.85</v>
      </c>
      <c r="P256" s="4">
        <v>168007</v>
      </c>
      <c r="Q256" s="4">
        <v>5064</v>
      </c>
      <c r="R256" s="4">
        <v>173071</v>
      </c>
      <c r="S256" s="4">
        <v>28448</v>
      </c>
      <c r="T256" s="4">
        <v>130</v>
      </c>
      <c r="U256" s="4">
        <v>27231</v>
      </c>
      <c r="V256" s="4">
        <v>27361</v>
      </c>
      <c r="W256" s="4">
        <v>144</v>
      </c>
      <c r="X256" s="4">
        <v>30109</v>
      </c>
      <c r="Y256" s="4">
        <v>30253</v>
      </c>
      <c r="Z256" s="4">
        <v>342</v>
      </c>
      <c r="AA256" s="46">
        <v>17769</v>
      </c>
    </row>
    <row r="257" spans="1:27" x14ac:dyDescent="0.25">
      <c r="A257" s="48">
        <v>13</v>
      </c>
      <c r="B257" s="5" t="s">
        <v>672</v>
      </c>
      <c r="C257" s="47" t="s">
        <v>270</v>
      </c>
      <c r="D257" s="5" t="s">
        <v>595</v>
      </c>
      <c r="E257" s="5">
        <v>110.31</v>
      </c>
      <c r="F257" s="5">
        <v>601.5</v>
      </c>
      <c r="G257" s="5">
        <v>711.81</v>
      </c>
      <c r="H257" s="5">
        <v>1.46</v>
      </c>
      <c r="I257" s="5">
        <v>1</v>
      </c>
      <c r="J257" s="5">
        <v>0</v>
      </c>
      <c r="K257" s="5">
        <v>603</v>
      </c>
      <c r="L257" s="5">
        <v>349.12</v>
      </c>
      <c r="M257" s="5">
        <v>64.989999999999995</v>
      </c>
      <c r="N257" s="5">
        <v>71.86</v>
      </c>
      <c r="O257" s="5">
        <v>35.85</v>
      </c>
      <c r="P257" s="4">
        <v>248507</v>
      </c>
      <c r="Q257" s="4">
        <v>9066</v>
      </c>
      <c r="R257" s="4">
        <v>257573</v>
      </c>
      <c r="S257" s="4">
        <v>42078</v>
      </c>
      <c r="T257" s="4">
        <v>65</v>
      </c>
      <c r="U257" s="4">
        <v>39124</v>
      </c>
      <c r="V257" s="4">
        <v>39189</v>
      </c>
      <c r="W257" s="4">
        <v>72</v>
      </c>
      <c r="X257" s="4">
        <v>43260</v>
      </c>
      <c r="Y257" s="4">
        <v>43332</v>
      </c>
      <c r="Z257" s="4">
        <v>510</v>
      </c>
      <c r="AA257" s="46">
        <v>26451</v>
      </c>
    </row>
    <row r="258" spans="1:27" x14ac:dyDescent="0.25">
      <c r="A258" s="48">
        <v>13</v>
      </c>
      <c r="B258" s="5" t="s">
        <v>672</v>
      </c>
      <c r="C258" s="47" t="s">
        <v>271</v>
      </c>
      <c r="D258" s="5" t="s">
        <v>596</v>
      </c>
      <c r="E258" s="5">
        <v>109.65</v>
      </c>
      <c r="F258" s="5">
        <v>966.3</v>
      </c>
      <c r="G258" s="35">
        <v>1075.95</v>
      </c>
      <c r="H258" s="5">
        <v>2.2000000000000002</v>
      </c>
      <c r="I258" s="5">
        <v>58</v>
      </c>
      <c r="J258" s="5">
        <v>1.4</v>
      </c>
      <c r="K258" s="4">
        <v>1023</v>
      </c>
      <c r="L258" s="5">
        <v>349.12</v>
      </c>
      <c r="M258" s="5">
        <v>64.989999999999995</v>
      </c>
      <c r="N258" s="5">
        <v>71.86</v>
      </c>
      <c r="O258" s="5">
        <v>35.85</v>
      </c>
      <c r="P258" s="4">
        <v>375636</v>
      </c>
      <c r="Q258" s="5">
        <v>0</v>
      </c>
      <c r="R258" s="4">
        <v>375636</v>
      </c>
      <c r="S258" s="4">
        <v>63605</v>
      </c>
      <c r="T258" s="4">
        <v>3769</v>
      </c>
      <c r="U258" s="4">
        <v>62716</v>
      </c>
      <c r="V258" s="4">
        <v>66485</v>
      </c>
      <c r="W258" s="4">
        <v>4168</v>
      </c>
      <c r="X258" s="4">
        <v>69345</v>
      </c>
      <c r="Y258" s="4">
        <v>73513</v>
      </c>
      <c r="Z258" s="4">
        <v>768</v>
      </c>
      <c r="AA258" s="46">
        <v>38573</v>
      </c>
    </row>
    <row r="259" spans="1:27" x14ac:dyDescent="0.25">
      <c r="A259" s="48">
        <v>13</v>
      </c>
      <c r="B259" s="5" t="s">
        <v>672</v>
      </c>
      <c r="C259" s="47" t="s">
        <v>272</v>
      </c>
      <c r="D259" s="5" t="s">
        <v>597</v>
      </c>
      <c r="E259" s="5">
        <v>193.22</v>
      </c>
      <c r="F259" s="35">
        <v>1477.4</v>
      </c>
      <c r="G259" s="35">
        <v>1670.62</v>
      </c>
      <c r="H259" s="5">
        <v>3.41</v>
      </c>
      <c r="I259" s="5">
        <v>6</v>
      </c>
      <c r="J259" s="5">
        <v>0</v>
      </c>
      <c r="K259" s="4">
        <v>1483</v>
      </c>
      <c r="L259" s="5">
        <v>349.12</v>
      </c>
      <c r="M259" s="5">
        <v>64.989999999999995</v>
      </c>
      <c r="N259" s="5">
        <v>71.86</v>
      </c>
      <c r="O259" s="5">
        <v>35.85</v>
      </c>
      <c r="P259" s="4">
        <v>583247</v>
      </c>
      <c r="Q259" s="5">
        <v>0</v>
      </c>
      <c r="R259" s="4">
        <v>583247</v>
      </c>
      <c r="S259" s="4">
        <v>98758</v>
      </c>
      <c r="T259" s="4">
        <v>390</v>
      </c>
      <c r="U259" s="4">
        <v>95990</v>
      </c>
      <c r="V259" s="4">
        <v>96380</v>
      </c>
      <c r="W259" s="4">
        <v>431</v>
      </c>
      <c r="X259" s="4">
        <v>106137</v>
      </c>
      <c r="Y259" s="4">
        <v>106568</v>
      </c>
      <c r="Z259" s="4">
        <v>1190</v>
      </c>
      <c r="AA259" s="46">
        <v>59892</v>
      </c>
    </row>
    <row r="260" spans="1:27" x14ac:dyDescent="0.25">
      <c r="A260" s="48">
        <v>13</v>
      </c>
      <c r="B260" s="5" t="s">
        <v>672</v>
      </c>
      <c r="C260" s="47" t="s">
        <v>273</v>
      </c>
      <c r="D260" s="5" t="s">
        <v>598</v>
      </c>
      <c r="E260" s="5">
        <v>59.16</v>
      </c>
      <c r="F260" s="5">
        <v>396.1</v>
      </c>
      <c r="G260" s="5">
        <v>455.26</v>
      </c>
      <c r="H260" s="5">
        <v>0.93</v>
      </c>
      <c r="I260" s="5">
        <v>5</v>
      </c>
      <c r="J260" s="5">
        <v>0</v>
      </c>
      <c r="K260" s="5">
        <v>401</v>
      </c>
      <c r="L260" s="5">
        <v>349.12</v>
      </c>
      <c r="M260" s="5">
        <v>64.989999999999995</v>
      </c>
      <c r="N260" s="5">
        <v>71.86</v>
      </c>
      <c r="O260" s="5">
        <v>35.85</v>
      </c>
      <c r="P260" s="4">
        <v>158940</v>
      </c>
      <c r="Q260" s="5">
        <v>0</v>
      </c>
      <c r="R260" s="4">
        <v>158940</v>
      </c>
      <c r="S260" s="4">
        <v>26913</v>
      </c>
      <c r="T260" s="4">
        <v>325</v>
      </c>
      <c r="U260" s="4">
        <v>25736</v>
      </c>
      <c r="V260" s="4">
        <v>26061</v>
      </c>
      <c r="W260" s="4">
        <v>359</v>
      </c>
      <c r="X260" s="4">
        <v>28457</v>
      </c>
      <c r="Y260" s="4">
        <v>28816</v>
      </c>
      <c r="Z260" s="4">
        <v>325</v>
      </c>
      <c r="AA260" s="46">
        <v>16321</v>
      </c>
    </row>
    <row r="261" spans="1:27" x14ac:dyDescent="0.25">
      <c r="A261" s="48">
        <v>13</v>
      </c>
      <c r="B261" s="5" t="s">
        <v>672</v>
      </c>
      <c r="C261" s="47" t="s">
        <v>274</v>
      </c>
      <c r="D261" s="5" t="s">
        <v>599</v>
      </c>
      <c r="E261" s="35">
        <v>2143.77</v>
      </c>
      <c r="F261" s="35">
        <v>8458.1</v>
      </c>
      <c r="G261" s="35">
        <v>10601.87</v>
      </c>
      <c r="H261" s="5">
        <v>21.65</v>
      </c>
      <c r="I261" s="5">
        <v>498</v>
      </c>
      <c r="J261" s="5">
        <v>0</v>
      </c>
      <c r="K261" s="4">
        <v>8956</v>
      </c>
      <c r="L261" s="5">
        <v>349.12</v>
      </c>
      <c r="M261" s="5">
        <v>64.989999999999995</v>
      </c>
      <c r="N261" s="5">
        <v>71.86</v>
      </c>
      <c r="O261" s="5">
        <v>35.85</v>
      </c>
      <c r="P261" s="4">
        <v>3701325</v>
      </c>
      <c r="Q261" s="4">
        <v>14980</v>
      </c>
      <c r="R261" s="4">
        <v>3716305</v>
      </c>
      <c r="S261" s="4">
        <v>626727</v>
      </c>
      <c r="T261" s="4">
        <v>32365</v>
      </c>
      <c r="U261" s="4">
        <v>549685</v>
      </c>
      <c r="V261" s="4">
        <v>582050</v>
      </c>
      <c r="W261" s="4">
        <v>35786</v>
      </c>
      <c r="X261" s="4">
        <v>607792</v>
      </c>
      <c r="Y261" s="4">
        <v>643578</v>
      </c>
      <c r="Z261" s="4">
        <v>7558</v>
      </c>
      <c r="AA261" s="46">
        <v>381641</v>
      </c>
    </row>
    <row r="262" spans="1:27" x14ac:dyDescent="0.25">
      <c r="A262" s="48">
        <v>13</v>
      </c>
      <c r="B262" s="5" t="s">
        <v>672</v>
      </c>
      <c r="C262" s="47" t="s">
        <v>275</v>
      </c>
      <c r="D262" s="5" t="s">
        <v>600</v>
      </c>
      <c r="E262" s="5">
        <v>178.27</v>
      </c>
      <c r="F262" s="35">
        <v>1330.5</v>
      </c>
      <c r="G262" s="35">
        <v>1508.77</v>
      </c>
      <c r="H262" s="5">
        <v>3.08</v>
      </c>
      <c r="I262" s="5">
        <v>112</v>
      </c>
      <c r="J262" s="5">
        <v>0.4</v>
      </c>
      <c r="K262" s="4">
        <v>1442</v>
      </c>
      <c r="L262" s="5">
        <v>349.12</v>
      </c>
      <c r="M262" s="5">
        <v>64.989999999999995</v>
      </c>
      <c r="N262" s="5">
        <v>71.86</v>
      </c>
      <c r="O262" s="5">
        <v>35.85</v>
      </c>
      <c r="P262" s="4">
        <v>526742</v>
      </c>
      <c r="Q262" s="4">
        <v>7198</v>
      </c>
      <c r="R262" s="4">
        <v>533940</v>
      </c>
      <c r="S262" s="4">
        <v>89190</v>
      </c>
      <c r="T262" s="4">
        <v>7279</v>
      </c>
      <c r="U262" s="4">
        <v>86437</v>
      </c>
      <c r="V262" s="4">
        <v>93716</v>
      </c>
      <c r="W262" s="4">
        <v>8048</v>
      </c>
      <c r="X262" s="4">
        <v>95574</v>
      </c>
      <c r="Y262" s="4">
        <v>103622</v>
      </c>
      <c r="Z262" s="4">
        <v>1075</v>
      </c>
      <c r="AA262" s="46">
        <v>54832</v>
      </c>
    </row>
    <row r="263" spans="1:27" x14ac:dyDescent="0.25">
      <c r="A263" s="48">
        <v>13</v>
      </c>
      <c r="B263" s="5" t="s">
        <v>672</v>
      </c>
      <c r="C263" s="47" t="s">
        <v>276</v>
      </c>
      <c r="D263" s="5" t="s">
        <v>601</v>
      </c>
      <c r="E263" s="5">
        <v>12.87</v>
      </c>
      <c r="F263" s="5">
        <v>90</v>
      </c>
      <c r="G263" s="5">
        <v>102.87</v>
      </c>
      <c r="H263" s="5">
        <v>0.21</v>
      </c>
      <c r="I263" s="5">
        <v>0</v>
      </c>
      <c r="J263" s="5">
        <v>0</v>
      </c>
      <c r="K263" s="5">
        <v>90</v>
      </c>
      <c r="L263" s="5">
        <v>349.12</v>
      </c>
      <c r="M263" s="5">
        <v>64.989999999999995</v>
      </c>
      <c r="N263" s="5">
        <v>71.86</v>
      </c>
      <c r="O263" s="5">
        <v>35.85</v>
      </c>
      <c r="P263" s="4">
        <v>35914</v>
      </c>
      <c r="Q263" s="4">
        <v>6106</v>
      </c>
      <c r="R263" s="4">
        <v>42020</v>
      </c>
      <c r="S263" s="4">
        <v>6081</v>
      </c>
      <c r="T263" s="4">
        <v>0</v>
      </c>
      <c r="U263" s="4">
        <v>5849</v>
      </c>
      <c r="V263" s="4">
        <v>5849</v>
      </c>
      <c r="W263" s="4">
        <v>0</v>
      </c>
      <c r="X263" s="4">
        <v>6467</v>
      </c>
      <c r="Y263" s="4">
        <v>6467</v>
      </c>
      <c r="Z263" s="4">
        <v>73</v>
      </c>
      <c r="AA263" s="46">
        <v>3688</v>
      </c>
    </row>
    <row r="264" spans="1:27" x14ac:dyDescent="0.25">
      <c r="A264" s="48">
        <v>13</v>
      </c>
      <c r="B264" s="5" t="s">
        <v>672</v>
      </c>
      <c r="C264" s="47" t="s">
        <v>277</v>
      </c>
      <c r="D264" s="5" t="s">
        <v>602</v>
      </c>
      <c r="E264" s="5">
        <v>85.02</v>
      </c>
      <c r="F264" s="5">
        <v>550</v>
      </c>
      <c r="G264" s="5">
        <v>635.02</v>
      </c>
      <c r="H264" s="5">
        <v>1.3</v>
      </c>
      <c r="I264" s="5">
        <v>5</v>
      </c>
      <c r="J264" s="5">
        <v>0</v>
      </c>
      <c r="K264" s="5">
        <v>555</v>
      </c>
      <c r="L264" s="5">
        <v>349.12</v>
      </c>
      <c r="M264" s="5">
        <v>64.989999999999995</v>
      </c>
      <c r="N264" s="5">
        <v>71.86</v>
      </c>
      <c r="O264" s="5">
        <v>35.85</v>
      </c>
      <c r="P264" s="4">
        <v>221698</v>
      </c>
      <c r="Q264" s="5">
        <v>0</v>
      </c>
      <c r="R264" s="4">
        <v>221698</v>
      </c>
      <c r="S264" s="4">
        <v>37539</v>
      </c>
      <c r="T264" s="4">
        <v>325</v>
      </c>
      <c r="U264" s="4">
        <v>35744</v>
      </c>
      <c r="V264" s="4">
        <v>36069</v>
      </c>
      <c r="W264" s="4">
        <v>359</v>
      </c>
      <c r="X264" s="4">
        <v>39523</v>
      </c>
      <c r="Y264" s="4">
        <v>39882</v>
      </c>
      <c r="Z264" s="4">
        <v>454</v>
      </c>
      <c r="AA264" s="46">
        <v>22765</v>
      </c>
    </row>
    <row r="265" spans="1:27" x14ac:dyDescent="0.25">
      <c r="A265" s="48">
        <v>13</v>
      </c>
      <c r="B265" s="5" t="s">
        <v>672</v>
      </c>
      <c r="C265" s="47" t="s">
        <v>278</v>
      </c>
      <c r="D265" s="5" t="s">
        <v>603</v>
      </c>
      <c r="E265" s="5">
        <v>54.83</v>
      </c>
      <c r="F265" s="5">
        <v>449</v>
      </c>
      <c r="G265" s="5">
        <v>503.83</v>
      </c>
      <c r="H265" s="5">
        <v>1.03</v>
      </c>
      <c r="I265" s="5">
        <v>10</v>
      </c>
      <c r="J265" s="5">
        <v>0</v>
      </c>
      <c r="K265" s="5">
        <v>459</v>
      </c>
      <c r="L265" s="5">
        <v>349.12</v>
      </c>
      <c r="M265" s="5">
        <v>64.989999999999995</v>
      </c>
      <c r="N265" s="5">
        <v>71.86</v>
      </c>
      <c r="O265" s="5">
        <v>35.85</v>
      </c>
      <c r="P265" s="4">
        <v>175897</v>
      </c>
      <c r="Q265" s="4">
        <v>5242</v>
      </c>
      <c r="R265" s="4">
        <v>181139</v>
      </c>
      <c r="S265" s="4">
        <v>29784</v>
      </c>
      <c r="T265" s="4">
        <v>650</v>
      </c>
      <c r="U265" s="4">
        <v>29180</v>
      </c>
      <c r="V265" s="4">
        <v>29830</v>
      </c>
      <c r="W265" s="4">
        <v>719</v>
      </c>
      <c r="X265" s="4">
        <v>32265</v>
      </c>
      <c r="Y265" s="4">
        <v>32984</v>
      </c>
      <c r="Z265" s="4">
        <v>360</v>
      </c>
      <c r="AA265" s="46">
        <v>18062</v>
      </c>
    </row>
    <row r="266" spans="1:27" x14ac:dyDescent="0.25">
      <c r="A266" s="48">
        <v>13</v>
      </c>
      <c r="B266" s="5" t="s">
        <v>672</v>
      </c>
      <c r="C266" s="47" t="s">
        <v>279</v>
      </c>
      <c r="D266" s="5" t="s">
        <v>604</v>
      </c>
      <c r="E266" s="5">
        <v>21.41</v>
      </c>
      <c r="F266" s="5">
        <v>163</v>
      </c>
      <c r="G266" s="5">
        <v>184.41</v>
      </c>
      <c r="H266" s="5">
        <v>0.38</v>
      </c>
      <c r="I266" s="5">
        <v>5</v>
      </c>
      <c r="J266" s="5">
        <v>0</v>
      </c>
      <c r="K266" s="5">
        <v>168</v>
      </c>
      <c r="L266" s="5">
        <v>349.12</v>
      </c>
      <c r="M266" s="5">
        <v>64.989999999999995</v>
      </c>
      <c r="N266" s="5">
        <v>71.86</v>
      </c>
      <c r="O266" s="5">
        <v>35.85</v>
      </c>
      <c r="P266" s="4">
        <v>64381</v>
      </c>
      <c r="Q266" s="4">
        <v>8764</v>
      </c>
      <c r="R266" s="4">
        <v>73145</v>
      </c>
      <c r="S266" s="4">
        <v>10902</v>
      </c>
      <c r="T266" s="4">
        <v>325</v>
      </c>
      <c r="U266" s="4">
        <v>10593</v>
      </c>
      <c r="V266" s="4">
        <v>10918</v>
      </c>
      <c r="W266" s="4">
        <v>359</v>
      </c>
      <c r="X266" s="4">
        <v>11713</v>
      </c>
      <c r="Y266" s="4">
        <v>12072</v>
      </c>
      <c r="Z266" s="4">
        <v>133</v>
      </c>
      <c r="AA266" s="46">
        <v>6790</v>
      </c>
    </row>
    <row r="267" spans="1:27" x14ac:dyDescent="0.25">
      <c r="A267" s="48">
        <v>13</v>
      </c>
      <c r="B267" s="5" t="s">
        <v>672</v>
      </c>
      <c r="C267" s="47" t="s">
        <v>280</v>
      </c>
      <c r="D267" s="5" t="s">
        <v>605</v>
      </c>
      <c r="E267" s="5">
        <v>67.19</v>
      </c>
      <c r="F267" s="5">
        <v>440</v>
      </c>
      <c r="G267" s="5">
        <v>507.19</v>
      </c>
      <c r="H267" s="5">
        <v>1.04</v>
      </c>
      <c r="I267" s="5">
        <v>5</v>
      </c>
      <c r="J267" s="5">
        <v>0</v>
      </c>
      <c r="K267" s="5">
        <v>445</v>
      </c>
      <c r="L267" s="5">
        <v>349.12</v>
      </c>
      <c r="M267" s="5">
        <v>64.989999999999995</v>
      </c>
      <c r="N267" s="5">
        <v>71.86</v>
      </c>
      <c r="O267" s="5">
        <v>35.85</v>
      </c>
      <c r="P267" s="4">
        <v>177070</v>
      </c>
      <c r="Q267" s="5">
        <v>0</v>
      </c>
      <c r="R267" s="4">
        <v>177070</v>
      </c>
      <c r="S267" s="4">
        <v>29982</v>
      </c>
      <c r="T267" s="4">
        <v>325</v>
      </c>
      <c r="U267" s="4">
        <v>28596</v>
      </c>
      <c r="V267" s="4">
        <v>28921</v>
      </c>
      <c r="W267" s="4">
        <v>359</v>
      </c>
      <c r="X267" s="4">
        <v>31619</v>
      </c>
      <c r="Y267" s="4">
        <v>31978</v>
      </c>
      <c r="Z267" s="4">
        <v>363</v>
      </c>
      <c r="AA267" s="46">
        <v>18183</v>
      </c>
    </row>
    <row r="268" spans="1:27" x14ac:dyDescent="0.25">
      <c r="A268" s="48">
        <v>13</v>
      </c>
      <c r="B268" s="5" t="s">
        <v>672</v>
      </c>
      <c r="C268" s="47" t="s">
        <v>281</v>
      </c>
      <c r="D268" s="5" t="s">
        <v>606</v>
      </c>
      <c r="E268" s="5">
        <v>227.99</v>
      </c>
      <c r="F268" s="35">
        <v>1864.1</v>
      </c>
      <c r="G268" s="35">
        <v>2092.09</v>
      </c>
      <c r="H268" s="5">
        <v>4.2699999999999996</v>
      </c>
      <c r="I268" s="5">
        <v>30</v>
      </c>
      <c r="J268" s="5">
        <v>0</v>
      </c>
      <c r="K268" s="4">
        <v>1894</v>
      </c>
      <c r="L268" s="5">
        <v>349.12</v>
      </c>
      <c r="M268" s="5">
        <v>64.989999999999995</v>
      </c>
      <c r="N268" s="5">
        <v>71.86</v>
      </c>
      <c r="O268" s="5">
        <v>35.85</v>
      </c>
      <c r="P268" s="4">
        <v>730390</v>
      </c>
      <c r="Q268" s="4">
        <v>4838</v>
      </c>
      <c r="R268" s="4">
        <v>735228</v>
      </c>
      <c r="S268" s="4">
        <v>123673</v>
      </c>
      <c r="T268" s="4">
        <v>1950</v>
      </c>
      <c r="U268" s="4">
        <v>121141</v>
      </c>
      <c r="V268" s="4">
        <v>123091</v>
      </c>
      <c r="W268" s="4">
        <v>2156</v>
      </c>
      <c r="X268" s="4">
        <v>133947</v>
      </c>
      <c r="Y268" s="4">
        <v>136103</v>
      </c>
      <c r="Z268" s="4">
        <v>1491</v>
      </c>
      <c r="AA268" s="46">
        <v>75503</v>
      </c>
    </row>
    <row r="269" spans="1:27" x14ac:dyDescent="0.25">
      <c r="A269" s="48">
        <v>13</v>
      </c>
      <c r="B269" s="5" t="s">
        <v>672</v>
      </c>
      <c r="C269" s="47" t="s">
        <v>282</v>
      </c>
      <c r="D269" s="5" t="s">
        <v>607</v>
      </c>
      <c r="E269" s="5">
        <v>85.28</v>
      </c>
      <c r="F269" s="5">
        <v>443.1</v>
      </c>
      <c r="G269" s="5">
        <v>528.38</v>
      </c>
      <c r="H269" s="5">
        <v>1.08</v>
      </c>
      <c r="I269" s="5">
        <v>0</v>
      </c>
      <c r="J269" s="5">
        <v>0</v>
      </c>
      <c r="K269" s="5">
        <v>443</v>
      </c>
      <c r="L269" s="5">
        <v>349.12</v>
      </c>
      <c r="M269" s="5">
        <v>64.989999999999995</v>
      </c>
      <c r="N269" s="5">
        <v>71.86</v>
      </c>
      <c r="O269" s="5">
        <v>35.85</v>
      </c>
      <c r="P269" s="4">
        <v>184468</v>
      </c>
      <c r="Q269" s="4">
        <v>6165</v>
      </c>
      <c r="R269" s="4">
        <v>190633</v>
      </c>
      <c r="S269" s="4">
        <v>31235</v>
      </c>
      <c r="T269" s="4">
        <v>0</v>
      </c>
      <c r="U269" s="4">
        <v>28791</v>
      </c>
      <c r="V269" s="4">
        <v>28791</v>
      </c>
      <c r="W269" s="4">
        <v>0</v>
      </c>
      <c r="X269" s="4">
        <v>31834</v>
      </c>
      <c r="Y269" s="4">
        <v>31834</v>
      </c>
      <c r="Z269" s="4">
        <v>377</v>
      </c>
      <c r="AA269" s="46">
        <v>19577</v>
      </c>
    </row>
    <row r="270" spans="1:27" x14ac:dyDescent="0.25">
      <c r="A270" s="48">
        <v>13</v>
      </c>
      <c r="B270" s="5" t="s">
        <v>672</v>
      </c>
      <c r="C270" s="47" t="s">
        <v>283</v>
      </c>
      <c r="D270" s="5" t="s">
        <v>608</v>
      </c>
      <c r="E270" s="5">
        <v>31.26</v>
      </c>
      <c r="F270" s="5">
        <v>203</v>
      </c>
      <c r="G270" s="5">
        <v>234.26</v>
      </c>
      <c r="H270" s="5">
        <v>0.48</v>
      </c>
      <c r="I270" s="5">
        <v>0</v>
      </c>
      <c r="J270" s="5">
        <v>0</v>
      </c>
      <c r="K270" s="5">
        <v>203</v>
      </c>
      <c r="L270" s="5">
        <v>349.12</v>
      </c>
      <c r="M270" s="5">
        <v>64.989999999999995</v>
      </c>
      <c r="N270" s="5">
        <v>71.86</v>
      </c>
      <c r="O270" s="5">
        <v>35.85</v>
      </c>
      <c r="P270" s="4">
        <v>81785</v>
      </c>
      <c r="Q270" s="4">
        <v>3961</v>
      </c>
      <c r="R270" s="4">
        <v>85746</v>
      </c>
      <c r="S270" s="4">
        <v>13848</v>
      </c>
      <c r="T270" s="4">
        <v>0</v>
      </c>
      <c r="U270" s="4">
        <v>13193</v>
      </c>
      <c r="V270" s="4">
        <v>13193</v>
      </c>
      <c r="W270" s="4">
        <v>0</v>
      </c>
      <c r="X270" s="4">
        <v>14588</v>
      </c>
      <c r="Y270" s="4">
        <v>14588</v>
      </c>
      <c r="Z270" s="4">
        <v>168</v>
      </c>
      <c r="AA270" s="46">
        <v>8440</v>
      </c>
    </row>
    <row r="271" spans="1:27" x14ac:dyDescent="0.25">
      <c r="A271" s="48">
        <v>13</v>
      </c>
      <c r="B271" s="5" t="s">
        <v>672</v>
      </c>
      <c r="C271" s="47" t="s">
        <v>284</v>
      </c>
      <c r="D271" s="5" t="s">
        <v>609</v>
      </c>
      <c r="E271" s="5">
        <v>175.13</v>
      </c>
      <c r="F271" s="35">
        <v>1346.7</v>
      </c>
      <c r="G271" s="35">
        <v>1521.83</v>
      </c>
      <c r="H271" s="5">
        <v>3.11</v>
      </c>
      <c r="I271" s="5">
        <v>75</v>
      </c>
      <c r="J271" s="5">
        <v>0.5</v>
      </c>
      <c r="K271" s="4">
        <v>1421</v>
      </c>
      <c r="L271" s="5">
        <v>349.12</v>
      </c>
      <c r="M271" s="5">
        <v>64.989999999999995</v>
      </c>
      <c r="N271" s="5">
        <v>71.86</v>
      </c>
      <c r="O271" s="5">
        <v>35.85</v>
      </c>
      <c r="P271" s="4">
        <v>531301</v>
      </c>
      <c r="Q271" s="5">
        <v>0</v>
      </c>
      <c r="R271" s="4">
        <v>531301</v>
      </c>
      <c r="S271" s="4">
        <v>89963</v>
      </c>
      <c r="T271" s="4">
        <v>4874</v>
      </c>
      <c r="U271" s="4">
        <v>87477</v>
      </c>
      <c r="V271" s="4">
        <v>92351</v>
      </c>
      <c r="W271" s="4">
        <v>5390</v>
      </c>
      <c r="X271" s="4">
        <v>96723</v>
      </c>
      <c r="Y271" s="4">
        <v>102113</v>
      </c>
      <c r="Z271" s="4">
        <v>1086</v>
      </c>
      <c r="AA271" s="46">
        <v>54558</v>
      </c>
    </row>
    <row r="272" spans="1:27" x14ac:dyDescent="0.25">
      <c r="A272" s="48">
        <v>13</v>
      </c>
      <c r="B272" s="5" t="s">
        <v>672</v>
      </c>
      <c r="C272" s="47" t="s">
        <v>285</v>
      </c>
      <c r="D272" s="5" t="s">
        <v>610</v>
      </c>
      <c r="E272" s="5">
        <v>109.43</v>
      </c>
      <c r="F272" s="5">
        <v>674.7</v>
      </c>
      <c r="G272" s="5">
        <v>784.13</v>
      </c>
      <c r="H272" s="5">
        <v>1.6</v>
      </c>
      <c r="I272" s="5">
        <v>20</v>
      </c>
      <c r="J272" s="5">
        <v>0</v>
      </c>
      <c r="K272" s="5">
        <v>695</v>
      </c>
      <c r="L272" s="5">
        <v>349.12</v>
      </c>
      <c r="M272" s="5">
        <v>64.989999999999995</v>
      </c>
      <c r="N272" s="5">
        <v>71.86</v>
      </c>
      <c r="O272" s="5">
        <v>35.85</v>
      </c>
      <c r="P272" s="4">
        <v>273755</v>
      </c>
      <c r="Q272" s="5">
        <v>0</v>
      </c>
      <c r="R272" s="4">
        <v>273755</v>
      </c>
      <c r="S272" s="4">
        <v>46354</v>
      </c>
      <c r="T272" s="4">
        <v>1300</v>
      </c>
      <c r="U272" s="4">
        <v>43868</v>
      </c>
      <c r="V272" s="4">
        <v>45168</v>
      </c>
      <c r="W272" s="4">
        <v>1437</v>
      </c>
      <c r="X272" s="4">
        <v>48506</v>
      </c>
      <c r="Y272" s="4">
        <v>49943</v>
      </c>
      <c r="Z272" s="4">
        <v>559</v>
      </c>
      <c r="AA272" s="46">
        <v>28111</v>
      </c>
    </row>
    <row r="273" spans="1:27" x14ac:dyDescent="0.25">
      <c r="A273" s="48">
        <v>13</v>
      </c>
      <c r="B273" s="5" t="s">
        <v>672</v>
      </c>
      <c r="C273" s="47" t="s">
        <v>286</v>
      </c>
      <c r="D273" s="5" t="s">
        <v>611</v>
      </c>
      <c r="E273" s="5">
        <v>47.48</v>
      </c>
      <c r="F273" s="5">
        <v>290.3</v>
      </c>
      <c r="G273" s="5">
        <v>337.78</v>
      </c>
      <c r="H273" s="5">
        <v>0.69</v>
      </c>
      <c r="I273" s="5">
        <v>0</v>
      </c>
      <c r="J273" s="5">
        <v>0</v>
      </c>
      <c r="K273" s="5">
        <v>290</v>
      </c>
      <c r="L273" s="5">
        <v>349.12</v>
      </c>
      <c r="M273" s="5">
        <v>64.989999999999995</v>
      </c>
      <c r="N273" s="5">
        <v>71.86</v>
      </c>
      <c r="O273" s="5">
        <v>35.85</v>
      </c>
      <c r="P273" s="4">
        <v>117926</v>
      </c>
      <c r="Q273" s="4">
        <v>13292</v>
      </c>
      <c r="R273" s="4">
        <v>131218</v>
      </c>
      <c r="S273" s="4">
        <v>19968</v>
      </c>
      <c r="T273" s="4">
        <v>0</v>
      </c>
      <c r="U273" s="4">
        <v>18847</v>
      </c>
      <c r="V273" s="4">
        <v>18847</v>
      </c>
      <c r="W273" s="4">
        <v>0</v>
      </c>
      <c r="X273" s="4">
        <v>20839</v>
      </c>
      <c r="Y273" s="4">
        <v>20839</v>
      </c>
      <c r="Z273" s="4">
        <v>241</v>
      </c>
      <c r="AA273" s="46">
        <v>12109</v>
      </c>
    </row>
    <row r="274" spans="1:27" x14ac:dyDescent="0.25">
      <c r="A274" s="48">
        <v>13</v>
      </c>
      <c r="B274" s="5" t="s">
        <v>672</v>
      </c>
      <c r="C274" s="47" t="s">
        <v>287</v>
      </c>
      <c r="D274" s="5" t="s">
        <v>612</v>
      </c>
      <c r="E274" s="5">
        <v>44.67</v>
      </c>
      <c r="F274" s="5">
        <v>453.4</v>
      </c>
      <c r="G274" s="5">
        <v>498.07</v>
      </c>
      <c r="H274" s="5">
        <v>1.02</v>
      </c>
      <c r="I274" s="5">
        <v>0</v>
      </c>
      <c r="J274" s="5">
        <v>0</v>
      </c>
      <c r="K274" s="5">
        <v>453</v>
      </c>
      <c r="L274" s="5">
        <v>349.12</v>
      </c>
      <c r="M274" s="5">
        <v>64.989999999999995</v>
      </c>
      <c r="N274" s="5">
        <v>71.86</v>
      </c>
      <c r="O274" s="5">
        <v>35.85</v>
      </c>
      <c r="P274" s="4">
        <v>173886</v>
      </c>
      <c r="Q274" s="5">
        <v>718</v>
      </c>
      <c r="R274" s="4">
        <v>174604</v>
      </c>
      <c r="S274" s="4">
        <v>29444</v>
      </c>
      <c r="T274" s="4">
        <v>0</v>
      </c>
      <c r="U274" s="4">
        <v>29440</v>
      </c>
      <c r="V274" s="4">
        <v>29440</v>
      </c>
      <c r="W274" s="4">
        <v>0</v>
      </c>
      <c r="X274" s="4">
        <v>32553</v>
      </c>
      <c r="Y274" s="4">
        <v>32553</v>
      </c>
      <c r="Z274" s="4">
        <v>356</v>
      </c>
      <c r="AA274" s="46">
        <v>17931</v>
      </c>
    </row>
    <row r="275" spans="1:27" x14ac:dyDescent="0.25">
      <c r="A275" s="48">
        <v>13</v>
      </c>
      <c r="B275" s="5" t="s">
        <v>672</v>
      </c>
      <c r="C275" s="47" t="s">
        <v>288</v>
      </c>
      <c r="D275" s="5" t="s">
        <v>613</v>
      </c>
      <c r="E275" s="5">
        <v>413.15</v>
      </c>
      <c r="F275" s="35">
        <v>2616.4</v>
      </c>
      <c r="G275" s="35">
        <v>3029.55</v>
      </c>
      <c r="H275" s="5">
        <v>6.19</v>
      </c>
      <c r="I275" s="5">
        <v>251</v>
      </c>
      <c r="J275" s="5">
        <v>1.7</v>
      </c>
      <c r="K275" s="4">
        <v>2866</v>
      </c>
      <c r="L275" s="5">
        <v>349.12</v>
      </c>
      <c r="M275" s="5">
        <v>64.989999999999995</v>
      </c>
      <c r="N275" s="5">
        <v>71.86</v>
      </c>
      <c r="O275" s="5">
        <v>35.85</v>
      </c>
      <c r="P275" s="4">
        <v>1057676</v>
      </c>
      <c r="Q275" s="5">
        <v>106</v>
      </c>
      <c r="R275" s="4">
        <v>1057782</v>
      </c>
      <c r="S275" s="4">
        <v>179091</v>
      </c>
      <c r="T275" s="4">
        <v>16312</v>
      </c>
      <c r="U275" s="4">
        <v>169949</v>
      </c>
      <c r="V275" s="4">
        <v>186261</v>
      </c>
      <c r="W275" s="4">
        <v>18037</v>
      </c>
      <c r="X275" s="4">
        <v>187914</v>
      </c>
      <c r="Y275" s="4">
        <v>205951</v>
      </c>
      <c r="Z275" s="4">
        <v>2161</v>
      </c>
      <c r="AA275" s="46">
        <v>108628</v>
      </c>
    </row>
    <row r="276" spans="1:27" x14ac:dyDescent="0.25">
      <c r="A276" s="48">
        <v>13</v>
      </c>
      <c r="B276" s="5" t="s">
        <v>672</v>
      </c>
      <c r="C276" s="47" t="s">
        <v>289</v>
      </c>
      <c r="D276" s="5" t="s">
        <v>614</v>
      </c>
      <c r="E276" s="5">
        <v>56.36</v>
      </c>
      <c r="F276" s="5">
        <v>586</v>
      </c>
      <c r="G276" s="5">
        <v>642.36</v>
      </c>
      <c r="H276" s="5">
        <v>1.31</v>
      </c>
      <c r="I276" s="5">
        <v>2</v>
      </c>
      <c r="J276" s="5">
        <v>0</v>
      </c>
      <c r="K276" s="5">
        <v>588</v>
      </c>
      <c r="L276" s="5">
        <v>349.12</v>
      </c>
      <c r="M276" s="5">
        <v>64.989999999999995</v>
      </c>
      <c r="N276" s="5">
        <v>71.86</v>
      </c>
      <c r="O276" s="5">
        <v>35.85</v>
      </c>
      <c r="P276" s="4">
        <v>224261</v>
      </c>
      <c r="Q276" s="5">
        <v>0</v>
      </c>
      <c r="R276" s="4">
        <v>224261</v>
      </c>
      <c r="S276" s="4">
        <v>37973</v>
      </c>
      <c r="T276" s="4">
        <v>130</v>
      </c>
      <c r="U276" s="4">
        <v>38084</v>
      </c>
      <c r="V276" s="4">
        <v>38214</v>
      </c>
      <c r="W276" s="4">
        <v>144</v>
      </c>
      <c r="X276" s="4">
        <v>42110</v>
      </c>
      <c r="Y276" s="4">
        <v>42254</v>
      </c>
      <c r="Z276" s="4">
        <v>457</v>
      </c>
      <c r="AA276" s="46">
        <v>23029</v>
      </c>
    </row>
    <row r="277" spans="1:27" x14ac:dyDescent="0.25">
      <c r="A277" s="48">
        <v>13</v>
      </c>
      <c r="B277" s="5" t="s">
        <v>672</v>
      </c>
      <c r="C277" s="47" t="s">
        <v>290</v>
      </c>
      <c r="D277" s="5" t="s">
        <v>615</v>
      </c>
      <c r="E277" s="5">
        <v>122.6</v>
      </c>
      <c r="F277" s="5">
        <v>732.6</v>
      </c>
      <c r="G277" s="5">
        <v>855.2</v>
      </c>
      <c r="H277" s="5">
        <v>1.75</v>
      </c>
      <c r="I277" s="5">
        <v>8</v>
      </c>
      <c r="J277" s="5">
        <v>0</v>
      </c>
      <c r="K277" s="5">
        <v>741</v>
      </c>
      <c r="L277" s="5">
        <v>349.12</v>
      </c>
      <c r="M277" s="5">
        <v>64.989999999999995</v>
      </c>
      <c r="N277" s="5">
        <v>71.86</v>
      </c>
      <c r="O277" s="5">
        <v>35.85</v>
      </c>
      <c r="P277" s="4">
        <v>298567</v>
      </c>
      <c r="Q277" s="5">
        <v>0</v>
      </c>
      <c r="R277" s="4">
        <v>298567</v>
      </c>
      <c r="S277" s="4">
        <v>50555</v>
      </c>
      <c r="T277" s="4">
        <v>520</v>
      </c>
      <c r="U277" s="4">
        <v>47638</v>
      </c>
      <c r="V277" s="4">
        <v>48158</v>
      </c>
      <c r="W277" s="4">
        <v>575</v>
      </c>
      <c r="X277" s="4">
        <v>52673</v>
      </c>
      <c r="Y277" s="4">
        <v>53248</v>
      </c>
      <c r="Z277" s="4">
        <v>611</v>
      </c>
      <c r="AA277" s="46">
        <v>30659</v>
      </c>
    </row>
    <row r="278" spans="1:27" x14ac:dyDescent="0.25">
      <c r="A278" s="48">
        <v>13</v>
      </c>
      <c r="B278" s="5" t="s">
        <v>672</v>
      </c>
      <c r="C278" s="47" t="s">
        <v>291</v>
      </c>
      <c r="D278" s="5" t="s">
        <v>616</v>
      </c>
      <c r="E278" s="5">
        <v>40.99</v>
      </c>
      <c r="F278" s="5">
        <v>206.4</v>
      </c>
      <c r="G278" s="5">
        <v>247.39</v>
      </c>
      <c r="H278" s="5">
        <v>0.5</v>
      </c>
      <c r="I278" s="5">
        <v>0</v>
      </c>
      <c r="J278" s="5">
        <v>0</v>
      </c>
      <c r="K278" s="5">
        <v>206</v>
      </c>
      <c r="L278" s="5">
        <v>349.12</v>
      </c>
      <c r="M278" s="5">
        <v>64.989999999999995</v>
      </c>
      <c r="N278" s="5">
        <v>71.86</v>
      </c>
      <c r="O278" s="5">
        <v>35.85</v>
      </c>
      <c r="P278" s="4">
        <v>86369</v>
      </c>
      <c r="Q278" s="4">
        <v>6499</v>
      </c>
      <c r="R278" s="4">
        <v>92868</v>
      </c>
      <c r="S278" s="4">
        <v>14625</v>
      </c>
      <c r="T278" s="4">
        <v>0</v>
      </c>
      <c r="U278" s="4">
        <v>13388</v>
      </c>
      <c r="V278" s="4">
        <v>13388</v>
      </c>
      <c r="W278" s="4">
        <v>0</v>
      </c>
      <c r="X278" s="4">
        <v>14803</v>
      </c>
      <c r="Y278" s="4">
        <v>14803</v>
      </c>
      <c r="Z278" s="4">
        <v>175</v>
      </c>
      <c r="AA278" s="46">
        <v>9275</v>
      </c>
    </row>
    <row r="279" spans="1:27" x14ac:dyDescent="0.25">
      <c r="A279" s="48">
        <v>13</v>
      </c>
      <c r="B279" s="5" t="s">
        <v>672</v>
      </c>
      <c r="C279" s="47" t="s">
        <v>292</v>
      </c>
      <c r="D279" s="5" t="s">
        <v>617</v>
      </c>
      <c r="E279" s="5">
        <v>97.12</v>
      </c>
      <c r="F279" s="5">
        <v>587.29999999999995</v>
      </c>
      <c r="G279" s="5">
        <v>684.42</v>
      </c>
      <c r="H279" s="5">
        <v>1.4</v>
      </c>
      <c r="I279" s="5">
        <v>0</v>
      </c>
      <c r="J279" s="5">
        <v>0</v>
      </c>
      <c r="K279" s="5">
        <v>587</v>
      </c>
      <c r="L279" s="5">
        <v>349.12</v>
      </c>
      <c r="M279" s="5">
        <v>64.989999999999995</v>
      </c>
      <c r="N279" s="5">
        <v>71.86</v>
      </c>
      <c r="O279" s="5">
        <v>35.85</v>
      </c>
      <c r="P279" s="4">
        <v>238945</v>
      </c>
      <c r="Q279" s="5">
        <v>0</v>
      </c>
      <c r="R279" s="4">
        <v>238945</v>
      </c>
      <c r="S279" s="4">
        <v>40460</v>
      </c>
      <c r="T279" s="4">
        <v>0</v>
      </c>
      <c r="U279" s="4">
        <v>38149</v>
      </c>
      <c r="V279" s="4">
        <v>38149</v>
      </c>
      <c r="W279" s="4">
        <v>0</v>
      </c>
      <c r="X279" s="4">
        <v>42182</v>
      </c>
      <c r="Y279" s="4">
        <v>42182</v>
      </c>
      <c r="Z279" s="4">
        <v>489</v>
      </c>
      <c r="AA279" s="46">
        <v>24536</v>
      </c>
    </row>
    <row r="280" spans="1:27" x14ac:dyDescent="0.25">
      <c r="A280" s="48">
        <v>13</v>
      </c>
      <c r="B280" s="5" t="s">
        <v>672</v>
      </c>
      <c r="C280" s="47" t="s">
        <v>293</v>
      </c>
      <c r="D280" s="5" t="s">
        <v>618</v>
      </c>
      <c r="E280" s="5">
        <v>34.090000000000003</v>
      </c>
      <c r="F280" s="5">
        <v>219.4</v>
      </c>
      <c r="G280" s="5">
        <v>253.49</v>
      </c>
      <c r="H280" s="5">
        <v>0.52</v>
      </c>
      <c r="I280" s="5">
        <v>1</v>
      </c>
      <c r="J280" s="5">
        <v>0</v>
      </c>
      <c r="K280" s="5">
        <v>220</v>
      </c>
      <c r="L280" s="5">
        <v>349.12</v>
      </c>
      <c r="M280" s="5">
        <v>64.989999999999995</v>
      </c>
      <c r="N280" s="5">
        <v>71.86</v>
      </c>
      <c r="O280" s="5">
        <v>35.85</v>
      </c>
      <c r="P280" s="4">
        <v>88498</v>
      </c>
      <c r="Q280" s="5">
        <v>0</v>
      </c>
      <c r="R280" s="4">
        <v>88498</v>
      </c>
      <c r="S280" s="4">
        <v>14985</v>
      </c>
      <c r="T280" s="4">
        <v>65</v>
      </c>
      <c r="U280" s="4">
        <v>14233</v>
      </c>
      <c r="V280" s="4">
        <v>14298</v>
      </c>
      <c r="W280" s="4">
        <v>72</v>
      </c>
      <c r="X280" s="4">
        <v>15737</v>
      </c>
      <c r="Y280" s="4">
        <v>15809</v>
      </c>
      <c r="Z280" s="4">
        <v>182</v>
      </c>
      <c r="AA280" s="46">
        <v>9088</v>
      </c>
    </row>
    <row r="281" spans="1:27" x14ac:dyDescent="0.25">
      <c r="A281" s="48">
        <v>13</v>
      </c>
      <c r="B281" s="5" t="s">
        <v>672</v>
      </c>
      <c r="C281" s="47" t="s">
        <v>294</v>
      </c>
      <c r="D281" s="5" t="s">
        <v>619</v>
      </c>
      <c r="E281" s="5">
        <v>96.25</v>
      </c>
      <c r="F281" s="5">
        <v>635.1</v>
      </c>
      <c r="G281" s="5">
        <v>731.35</v>
      </c>
      <c r="H281" s="5">
        <v>1.49</v>
      </c>
      <c r="I281" s="5">
        <v>11</v>
      </c>
      <c r="J281" s="5">
        <v>0</v>
      </c>
      <c r="K281" s="5">
        <v>646</v>
      </c>
      <c r="L281" s="5">
        <v>349.12</v>
      </c>
      <c r="M281" s="5">
        <v>64.989999999999995</v>
      </c>
      <c r="N281" s="5">
        <v>71.86</v>
      </c>
      <c r="O281" s="5">
        <v>35.85</v>
      </c>
      <c r="P281" s="4">
        <v>255329</v>
      </c>
      <c r="Q281" s="4">
        <v>3589</v>
      </c>
      <c r="R281" s="4">
        <v>258918</v>
      </c>
      <c r="S281" s="4">
        <v>43234</v>
      </c>
      <c r="T281" s="4">
        <v>715</v>
      </c>
      <c r="U281" s="4">
        <v>41269</v>
      </c>
      <c r="V281" s="4">
        <v>41984</v>
      </c>
      <c r="W281" s="4">
        <v>790</v>
      </c>
      <c r="X281" s="4">
        <v>45632</v>
      </c>
      <c r="Y281" s="4">
        <v>46422</v>
      </c>
      <c r="Z281" s="4">
        <v>520</v>
      </c>
      <c r="AA281" s="46">
        <v>26589</v>
      </c>
    </row>
    <row r="282" spans="1:27" x14ac:dyDescent="0.25">
      <c r="A282" s="48">
        <v>13</v>
      </c>
      <c r="B282" s="5" t="s">
        <v>672</v>
      </c>
      <c r="C282" s="47" t="s">
        <v>295</v>
      </c>
      <c r="D282" s="5" t="s">
        <v>620</v>
      </c>
      <c r="E282" s="5">
        <v>29.65</v>
      </c>
      <c r="F282" s="5">
        <v>137</v>
      </c>
      <c r="G282" s="5">
        <v>166.65</v>
      </c>
      <c r="H282" s="5">
        <v>0.35</v>
      </c>
      <c r="I282" s="5">
        <v>7</v>
      </c>
      <c r="J282" s="5">
        <v>0</v>
      </c>
      <c r="K282" s="5">
        <v>144</v>
      </c>
      <c r="L282" s="5">
        <v>349.12</v>
      </c>
      <c r="M282" s="5">
        <v>64.989999999999995</v>
      </c>
      <c r="N282" s="5">
        <v>71.86</v>
      </c>
      <c r="O282" s="5">
        <v>35.85</v>
      </c>
      <c r="P282" s="4">
        <v>58181</v>
      </c>
      <c r="Q282" s="4">
        <v>14585</v>
      </c>
      <c r="R282" s="4">
        <v>72766</v>
      </c>
      <c r="S282" s="4">
        <v>9851</v>
      </c>
      <c r="T282" s="4">
        <v>455</v>
      </c>
      <c r="U282" s="4">
        <v>8904</v>
      </c>
      <c r="V282" s="4">
        <v>9359</v>
      </c>
      <c r="W282" s="4">
        <v>503</v>
      </c>
      <c r="X282" s="4">
        <v>9845</v>
      </c>
      <c r="Y282" s="4">
        <v>10348</v>
      </c>
      <c r="Z282" s="4">
        <v>122</v>
      </c>
      <c r="AA282" s="46">
        <v>6714</v>
      </c>
    </row>
    <row r="283" spans="1:27" x14ac:dyDescent="0.25">
      <c r="A283" s="48">
        <v>13</v>
      </c>
      <c r="B283" s="5" t="s">
        <v>672</v>
      </c>
      <c r="C283" s="47" t="s">
        <v>296</v>
      </c>
      <c r="D283" s="5" t="s">
        <v>621</v>
      </c>
      <c r="E283" s="5">
        <v>116.34</v>
      </c>
      <c r="F283" s="5">
        <v>972.9</v>
      </c>
      <c r="G283" s="35">
        <v>1089.24</v>
      </c>
      <c r="H283" s="5">
        <v>2.23</v>
      </c>
      <c r="I283" s="5">
        <v>0</v>
      </c>
      <c r="J283" s="5">
        <v>0</v>
      </c>
      <c r="K283" s="5">
        <v>973</v>
      </c>
      <c r="L283" s="5">
        <v>349.12</v>
      </c>
      <c r="M283" s="5">
        <v>64.989999999999995</v>
      </c>
      <c r="N283" s="5">
        <v>71.86</v>
      </c>
      <c r="O283" s="5">
        <v>35.85</v>
      </c>
      <c r="P283" s="4">
        <v>380275</v>
      </c>
      <c r="Q283" s="4">
        <v>26248</v>
      </c>
      <c r="R283" s="4">
        <v>406523</v>
      </c>
      <c r="S283" s="4">
        <v>64390</v>
      </c>
      <c r="T283" s="4">
        <v>0</v>
      </c>
      <c r="U283" s="4">
        <v>63235</v>
      </c>
      <c r="V283" s="4">
        <v>63235</v>
      </c>
      <c r="W283" s="4">
        <v>0</v>
      </c>
      <c r="X283" s="4">
        <v>69920</v>
      </c>
      <c r="Y283" s="4">
        <v>69920</v>
      </c>
      <c r="Z283" s="4">
        <v>779</v>
      </c>
      <c r="AA283" s="46">
        <v>41747</v>
      </c>
    </row>
    <row r="284" spans="1:27" x14ac:dyDescent="0.25">
      <c r="A284" s="48">
        <v>13</v>
      </c>
      <c r="B284" s="5" t="s">
        <v>672</v>
      </c>
      <c r="C284" s="47" t="s">
        <v>297</v>
      </c>
      <c r="D284" s="5" t="s">
        <v>622</v>
      </c>
      <c r="E284" s="5">
        <v>117.35</v>
      </c>
      <c r="F284" s="5">
        <v>727</v>
      </c>
      <c r="G284" s="5">
        <v>844.35</v>
      </c>
      <c r="H284" s="5">
        <v>1.72</v>
      </c>
      <c r="I284" s="5">
        <v>1</v>
      </c>
      <c r="J284" s="5">
        <v>0</v>
      </c>
      <c r="K284" s="5">
        <v>728</v>
      </c>
      <c r="L284" s="5">
        <v>349.12</v>
      </c>
      <c r="M284" s="5">
        <v>64.989999999999995</v>
      </c>
      <c r="N284" s="5">
        <v>71.86</v>
      </c>
      <c r="O284" s="5">
        <v>35.85</v>
      </c>
      <c r="P284" s="4">
        <v>294779</v>
      </c>
      <c r="Q284" s="5">
        <v>0</v>
      </c>
      <c r="R284" s="4">
        <v>294779</v>
      </c>
      <c r="S284" s="4">
        <v>49914</v>
      </c>
      <c r="T284" s="4">
        <v>65</v>
      </c>
      <c r="U284" s="4">
        <v>47248</v>
      </c>
      <c r="V284" s="4">
        <v>47313</v>
      </c>
      <c r="W284" s="4">
        <v>72</v>
      </c>
      <c r="X284" s="4">
        <v>52242</v>
      </c>
      <c r="Y284" s="4">
        <v>52314</v>
      </c>
      <c r="Z284" s="4">
        <v>600</v>
      </c>
      <c r="AA284" s="46">
        <v>30270</v>
      </c>
    </row>
    <row r="285" spans="1:27" x14ac:dyDescent="0.25">
      <c r="A285" s="48">
        <v>13</v>
      </c>
      <c r="B285" s="5" t="s">
        <v>672</v>
      </c>
      <c r="C285" s="47" t="s">
        <v>298</v>
      </c>
      <c r="D285" s="5" t="s">
        <v>623</v>
      </c>
      <c r="E285" s="5">
        <v>154.58000000000001</v>
      </c>
      <c r="F285" s="35">
        <v>1060.0999999999999</v>
      </c>
      <c r="G285" s="35">
        <v>1214.68</v>
      </c>
      <c r="H285" s="5">
        <v>2.48</v>
      </c>
      <c r="I285" s="5">
        <v>10</v>
      </c>
      <c r="J285" s="5">
        <v>0</v>
      </c>
      <c r="K285" s="4">
        <v>1070</v>
      </c>
      <c r="L285" s="5">
        <v>349.12</v>
      </c>
      <c r="M285" s="5">
        <v>64.989999999999995</v>
      </c>
      <c r="N285" s="5">
        <v>71.86</v>
      </c>
      <c r="O285" s="5">
        <v>35.85</v>
      </c>
      <c r="P285" s="4">
        <v>424069</v>
      </c>
      <c r="Q285" s="5">
        <v>0</v>
      </c>
      <c r="R285" s="4">
        <v>424069</v>
      </c>
      <c r="S285" s="4">
        <v>71806</v>
      </c>
      <c r="T285" s="4">
        <v>650</v>
      </c>
      <c r="U285" s="4">
        <v>68889</v>
      </c>
      <c r="V285" s="4">
        <v>69539</v>
      </c>
      <c r="W285" s="4">
        <v>719</v>
      </c>
      <c r="X285" s="4">
        <v>76171</v>
      </c>
      <c r="Y285" s="4">
        <v>76890</v>
      </c>
      <c r="Z285" s="4">
        <v>866</v>
      </c>
      <c r="AA285" s="46">
        <v>43546</v>
      </c>
    </row>
    <row r="286" spans="1:27" x14ac:dyDescent="0.25">
      <c r="A286" s="48">
        <v>13</v>
      </c>
      <c r="B286" s="5" t="s">
        <v>672</v>
      </c>
      <c r="C286" s="47" t="s">
        <v>299</v>
      </c>
      <c r="D286" s="5" t="s">
        <v>624</v>
      </c>
      <c r="E286" s="5">
        <v>41.07</v>
      </c>
      <c r="F286" s="5">
        <v>367.2</v>
      </c>
      <c r="G286" s="5">
        <v>408.27</v>
      </c>
      <c r="H286" s="5">
        <v>0.83</v>
      </c>
      <c r="I286" s="5">
        <v>2</v>
      </c>
      <c r="J286" s="5">
        <v>0</v>
      </c>
      <c r="K286" s="5">
        <v>369</v>
      </c>
      <c r="L286" s="5">
        <v>349.12</v>
      </c>
      <c r="M286" s="5">
        <v>64.989999999999995</v>
      </c>
      <c r="N286" s="5">
        <v>71.86</v>
      </c>
      <c r="O286" s="5">
        <v>35.85</v>
      </c>
      <c r="P286" s="4">
        <v>142535</v>
      </c>
      <c r="Q286" s="4">
        <v>7572</v>
      </c>
      <c r="R286" s="4">
        <v>150107</v>
      </c>
      <c r="S286" s="4">
        <v>24135</v>
      </c>
      <c r="T286" s="4">
        <v>130</v>
      </c>
      <c r="U286" s="4">
        <v>23851</v>
      </c>
      <c r="V286" s="4">
        <v>23981</v>
      </c>
      <c r="W286" s="4">
        <v>144</v>
      </c>
      <c r="X286" s="4">
        <v>26372</v>
      </c>
      <c r="Y286" s="4">
        <v>26516</v>
      </c>
      <c r="Z286" s="4">
        <v>290</v>
      </c>
      <c r="AA286" s="46">
        <v>15415</v>
      </c>
    </row>
    <row r="287" spans="1:27" x14ac:dyDescent="0.25">
      <c r="A287" s="48">
        <v>13</v>
      </c>
      <c r="B287" s="5" t="s">
        <v>672</v>
      </c>
      <c r="C287" s="47" t="s">
        <v>300</v>
      </c>
      <c r="D287" s="5" t="s">
        <v>625</v>
      </c>
      <c r="E287" s="5">
        <v>24.01</v>
      </c>
      <c r="F287" s="5">
        <v>188.3</v>
      </c>
      <c r="G287" s="5">
        <v>212.31</v>
      </c>
      <c r="H287" s="5">
        <v>0.43</v>
      </c>
      <c r="I287" s="5">
        <v>0</v>
      </c>
      <c r="J287" s="5">
        <v>0</v>
      </c>
      <c r="K287" s="5">
        <v>188</v>
      </c>
      <c r="L287" s="5">
        <v>349.12</v>
      </c>
      <c r="M287" s="5">
        <v>64.989999999999995</v>
      </c>
      <c r="N287" s="5">
        <v>71.86</v>
      </c>
      <c r="O287" s="5">
        <v>35.85</v>
      </c>
      <c r="P287" s="4">
        <v>74122</v>
      </c>
      <c r="Q287" s="4">
        <v>5654</v>
      </c>
      <c r="R287" s="4">
        <v>79776</v>
      </c>
      <c r="S287" s="4">
        <v>12550</v>
      </c>
      <c r="T287" s="4">
        <v>0</v>
      </c>
      <c r="U287" s="4">
        <v>12218</v>
      </c>
      <c r="V287" s="4">
        <v>12218</v>
      </c>
      <c r="W287" s="4">
        <v>0</v>
      </c>
      <c r="X287" s="4">
        <v>13510</v>
      </c>
      <c r="Y287" s="4">
        <v>13510</v>
      </c>
      <c r="Z287" s="4">
        <v>150</v>
      </c>
      <c r="AA287" s="46">
        <v>8051</v>
      </c>
    </row>
    <row r="288" spans="1:27" x14ac:dyDescent="0.25">
      <c r="A288" s="48">
        <v>13</v>
      </c>
      <c r="B288" s="5" t="s">
        <v>672</v>
      </c>
      <c r="C288" s="47" t="s">
        <v>301</v>
      </c>
      <c r="D288" s="5" t="s">
        <v>626</v>
      </c>
      <c r="E288" s="5">
        <v>26.97</v>
      </c>
      <c r="F288" s="5">
        <v>198.1</v>
      </c>
      <c r="G288" s="5">
        <v>225.07</v>
      </c>
      <c r="H288" s="5">
        <v>0.46</v>
      </c>
      <c r="I288" s="5">
        <v>0</v>
      </c>
      <c r="J288" s="5">
        <v>0</v>
      </c>
      <c r="K288" s="5">
        <v>198</v>
      </c>
      <c r="L288" s="5">
        <v>349.12</v>
      </c>
      <c r="M288" s="5">
        <v>64.989999999999995</v>
      </c>
      <c r="N288" s="5">
        <v>71.86</v>
      </c>
      <c r="O288" s="5">
        <v>35.85</v>
      </c>
      <c r="P288" s="4">
        <v>78576</v>
      </c>
      <c r="Q288" s="5">
        <v>0</v>
      </c>
      <c r="R288" s="4">
        <v>78576</v>
      </c>
      <c r="S288" s="4">
        <v>13305</v>
      </c>
      <c r="T288" s="4">
        <v>0</v>
      </c>
      <c r="U288" s="4">
        <v>12868</v>
      </c>
      <c r="V288" s="4">
        <v>12868</v>
      </c>
      <c r="W288" s="4">
        <v>0</v>
      </c>
      <c r="X288" s="4">
        <v>14228</v>
      </c>
      <c r="Y288" s="4">
        <v>14228</v>
      </c>
      <c r="Z288" s="4">
        <v>161</v>
      </c>
      <c r="AA288" s="46">
        <v>8069</v>
      </c>
    </row>
    <row r="289" spans="1:27" x14ac:dyDescent="0.25">
      <c r="A289" s="48">
        <v>13</v>
      </c>
      <c r="B289" s="5" t="s">
        <v>672</v>
      </c>
      <c r="C289" s="47" t="s">
        <v>302</v>
      </c>
      <c r="D289" s="5" t="s">
        <v>627</v>
      </c>
      <c r="E289" s="5">
        <v>36.94</v>
      </c>
      <c r="F289" s="5">
        <v>578.70000000000005</v>
      </c>
      <c r="G289" s="5">
        <v>615.64</v>
      </c>
      <c r="H289" s="5">
        <v>1.26</v>
      </c>
      <c r="I289" s="5">
        <v>41</v>
      </c>
      <c r="J289" s="5">
        <v>0</v>
      </c>
      <c r="K289" s="5">
        <v>620</v>
      </c>
      <c r="L289" s="5">
        <v>349.12</v>
      </c>
      <c r="M289" s="5">
        <v>64.989999999999995</v>
      </c>
      <c r="N289" s="5">
        <v>71.86</v>
      </c>
      <c r="O289" s="5">
        <v>35.85</v>
      </c>
      <c r="P289" s="4">
        <v>214932</v>
      </c>
      <c r="Q289" s="5">
        <v>0</v>
      </c>
      <c r="R289" s="4">
        <v>214932</v>
      </c>
      <c r="S289" s="4">
        <v>36393</v>
      </c>
      <c r="T289" s="4">
        <v>2665</v>
      </c>
      <c r="U289" s="4">
        <v>37629</v>
      </c>
      <c r="V289" s="4">
        <v>40294</v>
      </c>
      <c r="W289" s="4">
        <v>2946</v>
      </c>
      <c r="X289" s="4">
        <v>41607</v>
      </c>
      <c r="Y289" s="4">
        <v>44553</v>
      </c>
      <c r="Z289" s="4">
        <v>440</v>
      </c>
      <c r="AA289" s="46">
        <v>22071</v>
      </c>
    </row>
    <row r="290" spans="1:27" x14ac:dyDescent="0.25">
      <c r="A290" s="48">
        <v>13</v>
      </c>
      <c r="B290" s="5" t="s">
        <v>672</v>
      </c>
      <c r="C290" s="47" t="s">
        <v>303</v>
      </c>
      <c r="D290" s="5" t="s">
        <v>628</v>
      </c>
      <c r="E290" s="5">
        <v>72.73</v>
      </c>
      <c r="F290" s="5">
        <v>665.7</v>
      </c>
      <c r="G290" s="5">
        <v>738.43</v>
      </c>
      <c r="H290" s="5">
        <v>1.51</v>
      </c>
      <c r="I290" s="5">
        <v>6</v>
      </c>
      <c r="J290" s="5">
        <v>0</v>
      </c>
      <c r="K290" s="5">
        <v>672</v>
      </c>
      <c r="L290" s="5">
        <v>349.12</v>
      </c>
      <c r="M290" s="5">
        <v>64.989999999999995</v>
      </c>
      <c r="N290" s="5">
        <v>71.86</v>
      </c>
      <c r="O290" s="5">
        <v>35.85</v>
      </c>
      <c r="P290" s="4">
        <v>257801</v>
      </c>
      <c r="Q290" s="5">
        <v>0</v>
      </c>
      <c r="R290" s="4">
        <v>257801</v>
      </c>
      <c r="S290" s="4">
        <v>43653</v>
      </c>
      <c r="T290" s="4">
        <v>390</v>
      </c>
      <c r="U290" s="4">
        <v>43283</v>
      </c>
      <c r="V290" s="4">
        <v>43673</v>
      </c>
      <c r="W290" s="4">
        <v>431</v>
      </c>
      <c r="X290" s="4">
        <v>47859</v>
      </c>
      <c r="Y290" s="4">
        <v>48290</v>
      </c>
      <c r="Z290" s="4">
        <v>527</v>
      </c>
      <c r="AA290" s="46">
        <v>26473</v>
      </c>
    </row>
    <row r="291" spans="1:27" x14ac:dyDescent="0.25">
      <c r="A291" s="48">
        <v>13</v>
      </c>
      <c r="B291" s="5" t="s">
        <v>672</v>
      </c>
      <c r="C291" s="47" t="s">
        <v>304</v>
      </c>
      <c r="D291" s="5" t="s">
        <v>629</v>
      </c>
      <c r="E291" s="5">
        <v>80.97</v>
      </c>
      <c r="F291" s="5">
        <v>725.2</v>
      </c>
      <c r="G291" s="5">
        <v>806.17</v>
      </c>
      <c r="H291" s="5">
        <v>1.65</v>
      </c>
      <c r="I291" s="5">
        <v>40</v>
      </c>
      <c r="J291" s="5">
        <v>0</v>
      </c>
      <c r="K291" s="5">
        <v>765</v>
      </c>
      <c r="L291" s="5">
        <v>349.12</v>
      </c>
      <c r="M291" s="5">
        <v>64.989999999999995</v>
      </c>
      <c r="N291" s="5">
        <v>71.86</v>
      </c>
      <c r="O291" s="5">
        <v>35.85</v>
      </c>
      <c r="P291" s="4">
        <v>281450</v>
      </c>
      <c r="Q291" s="5">
        <v>0</v>
      </c>
      <c r="R291" s="4">
        <v>281450</v>
      </c>
      <c r="S291" s="4">
        <v>47657</v>
      </c>
      <c r="T291" s="4">
        <v>2600</v>
      </c>
      <c r="U291" s="4">
        <v>47117</v>
      </c>
      <c r="V291" s="4">
        <v>49717</v>
      </c>
      <c r="W291" s="4">
        <v>2874</v>
      </c>
      <c r="X291" s="4">
        <v>52099</v>
      </c>
      <c r="Y291" s="4">
        <v>54973</v>
      </c>
      <c r="Z291" s="4">
        <v>576</v>
      </c>
      <c r="AA291" s="46">
        <v>28901</v>
      </c>
    </row>
    <row r="292" spans="1:27" x14ac:dyDescent="0.25">
      <c r="A292" s="48">
        <v>13</v>
      </c>
      <c r="B292" s="5" t="s">
        <v>672</v>
      </c>
      <c r="C292" s="47" t="s">
        <v>305</v>
      </c>
      <c r="D292" s="5" t="s">
        <v>630</v>
      </c>
      <c r="E292" s="5">
        <v>37.869999999999997</v>
      </c>
      <c r="F292" s="5">
        <v>272</v>
      </c>
      <c r="G292" s="5">
        <v>309.87</v>
      </c>
      <c r="H292" s="5">
        <v>0.63</v>
      </c>
      <c r="I292" s="5">
        <v>0</v>
      </c>
      <c r="J292" s="5">
        <v>0</v>
      </c>
      <c r="K292" s="5">
        <v>272</v>
      </c>
      <c r="L292" s="5">
        <v>349.12</v>
      </c>
      <c r="M292" s="5">
        <v>64.989999999999995</v>
      </c>
      <c r="N292" s="5">
        <v>71.86</v>
      </c>
      <c r="O292" s="5">
        <v>35.85</v>
      </c>
      <c r="P292" s="4">
        <v>108182</v>
      </c>
      <c r="Q292" s="4">
        <v>8921</v>
      </c>
      <c r="R292" s="4">
        <v>117103</v>
      </c>
      <c r="S292" s="4">
        <v>18318</v>
      </c>
      <c r="T292" s="4">
        <v>0</v>
      </c>
      <c r="U292" s="4">
        <v>17677</v>
      </c>
      <c r="V292" s="4">
        <v>17677</v>
      </c>
      <c r="W292" s="4">
        <v>0</v>
      </c>
      <c r="X292" s="4">
        <v>19546</v>
      </c>
      <c r="Y292" s="4">
        <v>19546</v>
      </c>
      <c r="Z292" s="4">
        <v>220</v>
      </c>
      <c r="AA292" s="46">
        <v>11391</v>
      </c>
    </row>
    <row r="293" spans="1:27" x14ac:dyDescent="0.25">
      <c r="A293" s="48">
        <v>13</v>
      </c>
      <c r="B293" s="5" t="s">
        <v>672</v>
      </c>
      <c r="C293" s="47" t="s">
        <v>306</v>
      </c>
      <c r="D293" s="5" t="s">
        <v>631</v>
      </c>
      <c r="E293" s="5">
        <v>49.56</v>
      </c>
      <c r="F293" s="5">
        <v>335.1</v>
      </c>
      <c r="G293" s="5">
        <v>384.66</v>
      </c>
      <c r="H293" s="5">
        <v>0.78</v>
      </c>
      <c r="I293" s="5">
        <v>0</v>
      </c>
      <c r="J293" s="5">
        <v>0</v>
      </c>
      <c r="K293" s="5">
        <v>335</v>
      </c>
      <c r="L293" s="5">
        <v>349.12</v>
      </c>
      <c r="M293" s="5">
        <v>64.989999999999995</v>
      </c>
      <c r="N293" s="5">
        <v>71.86</v>
      </c>
      <c r="O293" s="5">
        <v>35.85</v>
      </c>
      <c r="P293" s="4">
        <v>134292</v>
      </c>
      <c r="Q293" s="4">
        <v>13668</v>
      </c>
      <c r="R293" s="4">
        <v>147960</v>
      </c>
      <c r="S293" s="4">
        <v>22739</v>
      </c>
      <c r="T293" s="4">
        <v>0</v>
      </c>
      <c r="U293" s="4">
        <v>21772</v>
      </c>
      <c r="V293" s="4">
        <v>21772</v>
      </c>
      <c r="W293" s="4">
        <v>0</v>
      </c>
      <c r="X293" s="4">
        <v>24073</v>
      </c>
      <c r="Y293" s="4">
        <v>24073</v>
      </c>
      <c r="Z293" s="4">
        <v>272</v>
      </c>
      <c r="AA293" s="46">
        <v>14005</v>
      </c>
    </row>
    <row r="294" spans="1:27" x14ac:dyDescent="0.25">
      <c r="A294" s="48">
        <v>13</v>
      </c>
      <c r="B294" s="5" t="s">
        <v>672</v>
      </c>
      <c r="C294" s="47" t="s">
        <v>307</v>
      </c>
      <c r="D294" s="5" t="s">
        <v>632</v>
      </c>
      <c r="E294" s="5">
        <v>60.02</v>
      </c>
      <c r="F294" s="5">
        <v>512.5</v>
      </c>
      <c r="G294" s="5">
        <v>572.52</v>
      </c>
      <c r="H294" s="5">
        <v>1.17</v>
      </c>
      <c r="I294" s="5">
        <v>4</v>
      </c>
      <c r="J294" s="5">
        <v>0</v>
      </c>
      <c r="K294" s="5">
        <v>517</v>
      </c>
      <c r="L294" s="5">
        <v>349.12</v>
      </c>
      <c r="M294" s="5">
        <v>64.989999999999995</v>
      </c>
      <c r="N294" s="5">
        <v>71.86</v>
      </c>
      <c r="O294" s="5">
        <v>35.85</v>
      </c>
      <c r="P294" s="4">
        <v>199878</v>
      </c>
      <c r="Q294" s="5">
        <v>0</v>
      </c>
      <c r="R294" s="4">
        <v>199878</v>
      </c>
      <c r="S294" s="4">
        <v>33844</v>
      </c>
      <c r="T294" s="4">
        <v>260</v>
      </c>
      <c r="U294" s="4">
        <v>33340</v>
      </c>
      <c r="V294" s="4">
        <v>33600</v>
      </c>
      <c r="W294" s="4">
        <v>287</v>
      </c>
      <c r="X294" s="4">
        <v>36865</v>
      </c>
      <c r="Y294" s="4">
        <v>37152</v>
      </c>
      <c r="Z294" s="4">
        <v>408</v>
      </c>
      <c r="AA294" s="46">
        <v>20525</v>
      </c>
    </row>
    <row r="295" spans="1:27" x14ac:dyDescent="0.25">
      <c r="A295" s="48">
        <v>15</v>
      </c>
      <c r="B295" s="5" t="s">
        <v>673</v>
      </c>
      <c r="C295" s="45" t="s">
        <v>309</v>
      </c>
      <c r="D295" s="5" t="s">
        <v>633</v>
      </c>
      <c r="E295" s="5">
        <v>131.04</v>
      </c>
      <c r="F295" s="35">
        <v>1080.8</v>
      </c>
      <c r="G295" s="35">
        <v>1211.8399999999999</v>
      </c>
      <c r="H295" s="5">
        <v>2.77</v>
      </c>
      <c r="I295" s="5">
        <v>7</v>
      </c>
      <c r="J295" s="5">
        <v>0</v>
      </c>
      <c r="K295" s="4">
        <v>1088</v>
      </c>
      <c r="L295" s="5">
        <v>346.48</v>
      </c>
      <c r="M295" s="5">
        <v>64.959999999999994</v>
      </c>
      <c r="N295" s="5">
        <v>71.430000000000007</v>
      </c>
      <c r="O295" s="5">
        <v>34.86</v>
      </c>
      <c r="P295" s="4">
        <v>419878</v>
      </c>
      <c r="Q295" s="5">
        <v>0</v>
      </c>
      <c r="R295" s="4">
        <v>419878</v>
      </c>
      <c r="S295" s="4">
        <v>71638</v>
      </c>
      <c r="T295" s="4">
        <v>455</v>
      </c>
      <c r="U295" s="4">
        <v>70221</v>
      </c>
      <c r="V295" s="4">
        <v>70676</v>
      </c>
      <c r="W295" s="4">
        <v>500</v>
      </c>
      <c r="X295" s="4">
        <v>77216</v>
      </c>
      <c r="Y295" s="4">
        <v>77716</v>
      </c>
      <c r="Z295" s="4">
        <v>960</v>
      </c>
      <c r="AA295" s="46">
        <v>42245</v>
      </c>
    </row>
    <row r="296" spans="1:27" x14ac:dyDescent="0.25">
      <c r="A296" s="48">
        <v>15</v>
      </c>
      <c r="B296" s="5" t="s">
        <v>673</v>
      </c>
      <c r="C296" s="45" t="s">
        <v>310</v>
      </c>
      <c r="D296" s="5" t="s">
        <v>634</v>
      </c>
      <c r="E296" s="5">
        <v>747.82</v>
      </c>
      <c r="F296" s="35">
        <v>3673.1</v>
      </c>
      <c r="G296" s="35">
        <v>4420.92</v>
      </c>
      <c r="H296" s="5">
        <v>10.1</v>
      </c>
      <c r="I296" s="5">
        <v>321</v>
      </c>
      <c r="J296" s="5">
        <v>5.0999999999999996</v>
      </c>
      <c r="K296" s="4">
        <v>3989</v>
      </c>
      <c r="L296" s="5">
        <v>346.48</v>
      </c>
      <c r="M296" s="5">
        <v>64.959999999999994</v>
      </c>
      <c r="N296" s="5">
        <v>71.430000000000007</v>
      </c>
      <c r="O296" s="5">
        <v>34.86</v>
      </c>
      <c r="P296" s="4">
        <v>1531760</v>
      </c>
      <c r="Q296" s="4">
        <v>6605</v>
      </c>
      <c r="R296" s="4">
        <v>1538365</v>
      </c>
      <c r="S296" s="4">
        <v>261342</v>
      </c>
      <c r="T296" s="4">
        <v>20852</v>
      </c>
      <c r="U296" s="4">
        <v>238273</v>
      </c>
      <c r="V296" s="4">
        <v>259125</v>
      </c>
      <c r="W296" s="4">
        <v>22929</v>
      </c>
      <c r="X296" s="4">
        <v>262005</v>
      </c>
      <c r="Y296" s="4">
        <v>284934</v>
      </c>
      <c r="Z296" s="4">
        <v>3499</v>
      </c>
      <c r="AA296" s="46">
        <v>154724</v>
      </c>
    </row>
    <row r="297" spans="1:27" x14ac:dyDescent="0.25">
      <c r="A297" s="48">
        <v>15</v>
      </c>
      <c r="B297" s="5" t="s">
        <v>673</v>
      </c>
      <c r="C297" s="45" t="s">
        <v>311</v>
      </c>
      <c r="D297" s="5" t="s">
        <v>635</v>
      </c>
      <c r="E297" s="5">
        <v>92.42</v>
      </c>
      <c r="F297" s="5">
        <v>546.70000000000005</v>
      </c>
      <c r="G297" s="5">
        <v>639.12</v>
      </c>
      <c r="H297" s="5">
        <v>1.46</v>
      </c>
      <c r="I297" s="5">
        <v>3</v>
      </c>
      <c r="J297" s="5">
        <v>0</v>
      </c>
      <c r="K297" s="5">
        <v>550</v>
      </c>
      <c r="L297" s="5">
        <v>346.48</v>
      </c>
      <c r="M297" s="5">
        <v>64.959999999999994</v>
      </c>
      <c r="N297" s="5">
        <v>71.430000000000007</v>
      </c>
      <c r="O297" s="5">
        <v>34.86</v>
      </c>
      <c r="P297" s="4">
        <v>221442</v>
      </c>
      <c r="Q297" s="5">
        <v>0</v>
      </c>
      <c r="R297" s="4">
        <v>221442</v>
      </c>
      <c r="S297" s="4">
        <v>37782</v>
      </c>
      <c r="T297" s="4">
        <v>195</v>
      </c>
      <c r="U297" s="4">
        <v>35533</v>
      </c>
      <c r="V297" s="4">
        <v>35728</v>
      </c>
      <c r="W297" s="4">
        <v>214</v>
      </c>
      <c r="X297" s="4">
        <v>39073</v>
      </c>
      <c r="Y297" s="4">
        <v>39287</v>
      </c>
      <c r="Z297" s="4">
        <v>506</v>
      </c>
      <c r="AA297" s="46">
        <v>22280</v>
      </c>
    </row>
    <row r="298" spans="1:27" x14ac:dyDescent="0.25">
      <c r="A298" s="48">
        <v>15</v>
      </c>
      <c r="B298" s="5" t="s">
        <v>673</v>
      </c>
      <c r="C298" s="47" t="s">
        <v>312</v>
      </c>
      <c r="D298" s="5" t="s">
        <v>636</v>
      </c>
      <c r="E298" s="5">
        <v>175.71</v>
      </c>
      <c r="F298" s="35">
        <v>1264.0999999999999</v>
      </c>
      <c r="G298" s="35">
        <v>1439.81</v>
      </c>
      <c r="H298" s="5">
        <v>3.29</v>
      </c>
      <c r="I298" s="5">
        <v>0</v>
      </c>
      <c r="J298" s="5">
        <v>0</v>
      </c>
      <c r="K298" s="4">
        <v>1264</v>
      </c>
      <c r="L298" s="5">
        <v>346.48</v>
      </c>
      <c r="M298" s="5">
        <v>64.959999999999994</v>
      </c>
      <c r="N298" s="5">
        <v>71.430000000000007</v>
      </c>
      <c r="O298" s="5">
        <v>34.86</v>
      </c>
      <c r="P298" s="4">
        <v>498865</v>
      </c>
      <c r="Q298" s="4">
        <v>15058</v>
      </c>
      <c r="R298" s="4">
        <v>513923</v>
      </c>
      <c r="S298" s="4">
        <v>85114</v>
      </c>
      <c r="T298" s="4">
        <v>0</v>
      </c>
      <c r="U298" s="4">
        <v>82109</v>
      </c>
      <c r="V298" s="4">
        <v>82109</v>
      </c>
      <c r="W298" s="4">
        <v>0</v>
      </c>
      <c r="X298" s="4">
        <v>90288</v>
      </c>
      <c r="Y298" s="4">
        <v>90288</v>
      </c>
      <c r="Z298" s="4">
        <v>1140</v>
      </c>
      <c r="AA298" s="46">
        <v>51689</v>
      </c>
    </row>
    <row r="299" spans="1:27" x14ac:dyDescent="0.25">
      <c r="A299" s="48">
        <v>15</v>
      </c>
      <c r="B299" s="5" t="s">
        <v>673</v>
      </c>
      <c r="C299" s="47" t="s">
        <v>313</v>
      </c>
      <c r="D299" s="5" t="s">
        <v>637</v>
      </c>
      <c r="E299" s="5">
        <v>101.82</v>
      </c>
      <c r="F299" s="5">
        <v>844.8</v>
      </c>
      <c r="G299" s="5">
        <v>946.62</v>
      </c>
      <c r="H299" s="5">
        <v>2.16</v>
      </c>
      <c r="I299" s="5">
        <v>22</v>
      </c>
      <c r="J299" s="5">
        <v>0</v>
      </c>
      <c r="K299" s="5">
        <v>867</v>
      </c>
      <c r="L299" s="5">
        <v>346.48</v>
      </c>
      <c r="M299" s="5">
        <v>64.959999999999994</v>
      </c>
      <c r="N299" s="5">
        <v>71.430000000000007</v>
      </c>
      <c r="O299" s="5">
        <v>34.86</v>
      </c>
      <c r="P299" s="4">
        <v>327985</v>
      </c>
      <c r="Q299" s="5">
        <v>0</v>
      </c>
      <c r="R299" s="4">
        <v>327985</v>
      </c>
      <c r="S299" s="4">
        <v>55960</v>
      </c>
      <c r="T299" s="4">
        <v>1429</v>
      </c>
      <c r="U299" s="4">
        <v>54891</v>
      </c>
      <c r="V299" s="4">
        <v>56320</v>
      </c>
      <c r="W299" s="4">
        <v>1571</v>
      </c>
      <c r="X299" s="4">
        <v>60359</v>
      </c>
      <c r="Y299" s="4">
        <v>61930</v>
      </c>
      <c r="Z299" s="4">
        <v>748</v>
      </c>
      <c r="AA299" s="46">
        <v>32999</v>
      </c>
    </row>
    <row r="300" spans="1:27" x14ac:dyDescent="0.25">
      <c r="A300" s="48">
        <v>15</v>
      </c>
      <c r="B300" s="5" t="s">
        <v>673</v>
      </c>
      <c r="C300" s="47" t="s">
        <v>314</v>
      </c>
      <c r="D300" s="5" t="s">
        <v>638</v>
      </c>
      <c r="E300" s="5">
        <v>154.72</v>
      </c>
      <c r="F300" s="35">
        <v>1322.6</v>
      </c>
      <c r="G300" s="35">
        <v>1477.32</v>
      </c>
      <c r="H300" s="5">
        <v>3.37</v>
      </c>
      <c r="I300" s="5">
        <v>8</v>
      </c>
      <c r="J300" s="5">
        <v>0</v>
      </c>
      <c r="K300" s="4">
        <v>1331</v>
      </c>
      <c r="L300" s="5">
        <v>346.48</v>
      </c>
      <c r="M300" s="5">
        <v>64.959999999999994</v>
      </c>
      <c r="N300" s="5">
        <v>71.430000000000007</v>
      </c>
      <c r="O300" s="5">
        <v>34.86</v>
      </c>
      <c r="P300" s="4">
        <v>511862</v>
      </c>
      <c r="Q300" s="5">
        <v>0</v>
      </c>
      <c r="R300" s="4">
        <v>511862</v>
      </c>
      <c r="S300" s="4">
        <v>87331</v>
      </c>
      <c r="T300" s="4">
        <v>520</v>
      </c>
      <c r="U300" s="4">
        <v>85942</v>
      </c>
      <c r="V300" s="4">
        <v>86462</v>
      </c>
      <c r="W300" s="4">
        <v>571</v>
      </c>
      <c r="X300" s="4">
        <v>94502</v>
      </c>
      <c r="Y300" s="4">
        <v>95073</v>
      </c>
      <c r="Z300" s="4">
        <v>1168</v>
      </c>
      <c r="AA300" s="46">
        <v>51499</v>
      </c>
    </row>
    <row r="301" spans="1:27" x14ac:dyDescent="0.25">
      <c r="A301" s="48">
        <v>15</v>
      </c>
      <c r="B301" s="5" t="s">
        <v>673</v>
      </c>
      <c r="C301" s="47" t="s">
        <v>315</v>
      </c>
      <c r="D301" s="5" t="s">
        <v>639</v>
      </c>
      <c r="E301" s="5">
        <v>40.56</v>
      </c>
      <c r="F301" s="5">
        <v>419.9</v>
      </c>
      <c r="G301" s="5">
        <v>460.46</v>
      </c>
      <c r="H301" s="5">
        <v>1.05</v>
      </c>
      <c r="I301" s="5">
        <v>11</v>
      </c>
      <c r="J301" s="5">
        <v>0</v>
      </c>
      <c r="K301" s="5">
        <v>431</v>
      </c>
      <c r="L301" s="5">
        <v>346.48</v>
      </c>
      <c r="M301" s="5">
        <v>64.959999999999994</v>
      </c>
      <c r="N301" s="5">
        <v>71.430000000000007</v>
      </c>
      <c r="O301" s="5">
        <v>34.86</v>
      </c>
      <c r="P301" s="4">
        <v>159540</v>
      </c>
      <c r="Q301" s="4">
        <v>13570</v>
      </c>
      <c r="R301" s="4">
        <v>173110</v>
      </c>
      <c r="S301" s="4">
        <v>27220</v>
      </c>
      <c r="T301" s="4">
        <v>715</v>
      </c>
      <c r="U301" s="4">
        <v>27283</v>
      </c>
      <c r="V301" s="4">
        <v>27998</v>
      </c>
      <c r="W301" s="4">
        <v>786</v>
      </c>
      <c r="X301" s="4">
        <v>30000</v>
      </c>
      <c r="Y301" s="4">
        <v>30786</v>
      </c>
      <c r="Z301" s="4">
        <v>364</v>
      </c>
      <c r="AA301" s="46">
        <v>16535</v>
      </c>
    </row>
    <row r="302" spans="1:27" x14ac:dyDescent="0.25">
      <c r="A302" s="48">
        <v>15</v>
      </c>
      <c r="B302" s="5" t="s">
        <v>673</v>
      </c>
      <c r="C302" s="47" t="s">
        <v>316</v>
      </c>
      <c r="D302" s="5" t="s">
        <v>640</v>
      </c>
      <c r="E302" s="5">
        <v>154.21</v>
      </c>
      <c r="F302" s="35">
        <v>1079.2</v>
      </c>
      <c r="G302" s="35">
        <v>1233.4100000000001</v>
      </c>
      <c r="H302" s="5">
        <v>2.82</v>
      </c>
      <c r="I302" s="5">
        <v>5</v>
      </c>
      <c r="J302" s="5">
        <v>0</v>
      </c>
      <c r="K302" s="4">
        <v>1084</v>
      </c>
      <c r="L302" s="5">
        <v>346.48</v>
      </c>
      <c r="M302" s="5">
        <v>64.959999999999994</v>
      </c>
      <c r="N302" s="5">
        <v>71.430000000000007</v>
      </c>
      <c r="O302" s="5">
        <v>34.86</v>
      </c>
      <c r="P302" s="4">
        <v>427352</v>
      </c>
      <c r="Q302" s="5">
        <v>0</v>
      </c>
      <c r="R302" s="4">
        <v>427352</v>
      </c>
      <c r="S302" s="4">
        <v>72913</v>
      </c>
      <c r="T302" s="4">
        <v>325</v>
      </c>
      <c r="U302" s="4">
        <v>70092</v>
      </c>
      <c r="V302" s="4">
        <v>70417</v>
      </c>
      <c r="W302" s="4">
        <v>357</v>
      </c>
      <c r="X302" s="4">
        <v>77073</v>
      </c>
      <c r="Y302" s="4">
        <v>77430</v>
      </c>
      <c r="Z302" s="4">
        <v>977</v>
      </c>
      <c r="AA302" s="46">
        <v>42997</v>
      </c>
    </row>
    <row r="303" spans="1:27" x14ac:dyDescent="0.25">
      <c r="A303" s="48">
        <v>15</v>
      </c>
      <c r="B303" s="5" t="s">
        <v>673</v>
      </c>
      <c r="C303" s="45" t="s">
        <v>317</v>
      </c>
      <c r="D303" s="5" t="s">
        <v>641</v>
      </c>
      <c r="E303" s="5">
        <v>79.23</v>
      </c>
      <c r="F303" s="5">
        <v>789.1</v>
      </c>
      <c r="G303" s="5">
        <v>868.33</v>
      </c>
      <c r="H303" s="5">
        <v>1.99</v>
      </c>
      <c r="I303" s="5">
        <v>18</v>
      </c>
      <c r="J303" s="5">
        <v>0</v>
      </c>
      <c r="K303" s="5">
        <v>807</v>
      </c>
      <c r="L303" s="5">
        <v>346.48</v>
      </c>
      <c r="M303" s="5">
        <v>64.959999999999994</v>
      </c>
      <c r="N303" s="5">
        <v>71.430000000000007</v>
      </c>
      <c r="O303" s="5">
        <v>34.86</v>
      </c>
      <c r="P303" s="4">
        <v>300859</v>
      </c>
      <c r="Q303" s="4">
        <v>6723</v>
      </c>
      <c r="R303" s="4">
        <v>307582</v>
      </c>
      <c r="S303" s="4">
        <v>51332</v>
      </c>
      <c r="T303" s="4">
        <v>1169</v>
      </c>
      <c r="U303" s="4">
        <v>51254</v>
      </c>
      <c r="V303" s="4">
        <v>52423</v>
      </c>
      <c r="W303" s="4">
        <v>1286</v>
      </c>
      <c r="X303" s="4">
        <v>56358</v>
      </c>
      <c r="Y303" s="4">
        <v>57644</v>
      </c>
      <c r="Z303" s="4">
        <v>689</v>
      </c>
      <c r="AA303" s="46">
        <v>30270</v>
      </c>
    </row>
    <row r="304" spans="1:27" x14ac:dyDescent="0.25">
      <c r="A304" s="48">
        <v>15</v>
      </c>
      <c r="B304" s="5" t="s">
        <v>673</v>
      </c>
      <c r="C304" s="47" t="s">
        <v>318</v>
      </c>
      <c r="D304" s="5" t="s">
        <v>642</v>
      </c>
      <c r="E304" s="5">
        <v>228.16</v>
      </c>
      <c r="F304" s="35">
        <v>1479.7</v>
      </c>
      <c r="G304" s="35">
        <v>1707.86</v>
      </c>
      <c r="H304" s="5">
        <v>3.9</v>
      </c>
      <c r="I304" s="5">
        <v>178</v>
      </c>
      <c r="J304" s="5">
        <v>0</v>
      </c>
      <c r="K304" s="4">
        <v>1658</v>
      </c>
      <c r="L304" s="5">
        <v>346.48</v>
      </c>
      <c r="M304" s="5">
        <v>64.959999999999994</v>
      </c>
      <c r="N304" s="5">
        <v>71.430000000000007</v>
      </c>
      <c r="O304" s="5">
        <v>34.86</v>
      </c>
      <c r="P304" s="4">
        <v>591739</v>
      </c>
      <c r="Q304" s="4">
        <v>14616</v>
      </c>
      <c r="R304" s="4">
        <v>606355</v>
      </c>
      <c r="S304" s="4">
        <v>100959</v>
      </c>
      <c r="T304" s="4">
        <v>11563</v>
      </c>
      <c r="U304" s="4">
        <v>96141</v>
      </c>
      <c r="V304" s="4">
        <v>107704</v>
      </c>
      <c r="W304" s="4">
        <v>12715</v>
      </c>
      <c r="X304" s="4">
        <v>105716</v>
      </c>
      <c r="Y304" s="4">
        <v>118431</v>
      </c>
      <c r="Z304" s="4">
        <v>1351</v>
      </c>
      <c r="AA304" s="46">
        <v>60397</v>
      </c>
    </row>
    <row r="305" spans="1:27" x14ac:dyDescent="0.25">
      <c r="A305" s="48">
        <v>15</v>
      </c>
      <c r="B305" s="5" t="s">
        <v>673</v>
      </c>
      <c r="C305" s="47" t="s">
        <v>319</v>
      </c>
      <c r="D305" s="5" t="s">
        <v>643</v>
      </c>
      <c r="E305" s="5">
        <v>341.17</v>
      </c>
      <c r="F305" s="35">
        <v>2080.5</v>
      </c>
      <c r="G305" s="35">
        <v>2421.67</v>
      </c>
      <c r="H305" s="5">
        <v>5.53</v>
      </c>
      <c r="I305" s="5">
        <v>298</v>
      </c>
      <c r="J305" s="5">
        <v>1.8</v>
      </c>
      <c r="K305" s="4">
        <v>2377</v>
      </c>
      <c r="L305" s="5">
        <v>346.48</v>
      </c>
      <c r="M305" s="5">
        <v>64.959999999999994</v>
      </c>
      <c r="N305" s="5">
        <v>71.430000000000007</v>
      </c>
      <c r="O305" s="5">
        <v>34.86</v>
      </c>
      <c r="P305" s="4">
        <v>839060</v>
      </c>
      <c r="Q305" s="5">
        <v>0</v>
      </c>
      <c r="R305" s="4">
        <v>839060</v>
      </c>
      <c r="S305" s="4">
        <v>143156</v>
      </c>
      <c r="T305" s="4">
        <v>19358</v>
      </c>
      <c r="U305" s="4">
        <v>135052</v>
      </c>
      <c r="V305" s="4">
        <v>154410</v>
      </c>
      <c r="W305" s="4">
        <v>21286</v>
      </c>
      <c r="X305" s="4">
        <v>148503</v>
      </c>
      <c r="Y305" s="4">
        <v>169789</v>
      </c>
      <c r="Z305" s="4">
        <v>1916</v>
      </c>
      <c r="AA305" s="46">
        <v>84419</v>
      </c>
    </row>
    <row r="306" spans="1:27" x14ac:dyDescent="0.25">
      <c r="A306" s="48">
        <v>15</v>
      </c>
      <c r="B306" s="5" t="s">
        <v>673</v>
      </c>
      <c r="C306" s="47" t="s">
        <v>320</v>
      </c>
      <c r="D306" s="5" t="s">
        <v>644</v>
      </c>
      <c r="E306" s="5">
        <v>363.73</v>
      </c>
      <c r="F306" s="35">
        <v>1788.3</v>
      </c>
      <c r="G306" s="35">
        <v>2152.0300000000002</v>
      </c>
      <c r="H306" s="5">
        <v>4.92</v>
      </c>
      <c r="I306" s="5">
        <v>104</v>
      </c>
      <c r="J306" s="5">
        <v>0.4</v>
      </c>
      <c r="K306" s="4">
        <v>1892</v>
      </c>
      <c r="L306" s="5">
        <v>346.48</v>
      </c>
      <c r="M306" s="5">
        <v>64.959999999999994</v>
      </c>
      <c r="N306" s="5">
        <v>71.430000000000007</v>
      </c>
      <c r="O306" s="5">
        <v>34.86</v>
      </c>
      <c r="P306" s="4">
        <v>745635</v>
      </c>
      <c r="Q306" s="5">
        <v>0</v>
      </c>
      <c r="R306" s="4">
        <v>745635</v>
      </c>
      <c r="S306" s="4">
        <v>127217</v>
      </c>
      <c r="T306" s="4">
        <v>6756</v>
      </c>
      <c r="U306" s="4">
        <v>116148</v>
      </c>
      <c r="V306" s="4">
        <v>122904</v>
      </c>
      <c r="W306" s="4">
        <v>7429</v>
      </c>
      <c r="X306" s="4">
        <v>127717</v>
      </c>
      <c r="Y306" s="4">
        <v>135146</v>
      </c>
      <c r="Z306" s="4">
        <v>1705</v>
      </c>
      <c r="AA306" s="46">
        <v>75020</v>
      </c>
    </row>
    <row r="307" spans="1:27" x14ac:dyDescent="0.25">
      <c r="A307" s="48">
        <v>15</v>
      </c>
      <c r="B307" s="5" t="s">
        <v>673</v>
      </c>
      <c r="C307" s="47" t="s">
        <v>321</v>
      </c>
      <c r="D307" s="5" t="s">
        <v>645</v>
      </c>
      <c r="E307" s="5">
        <v>35.64</v>
      </c>
      <c r="F307" s="5">
        <v>331.5</v>
      </c>
      <c r="G307" s="5">
        <v>367.14</v>
      </c>
      <c r="H307" s="5">
        <v>0.84</v>
      </c>
      <c r="I307" s="5">
        <v>4</v>
      </c>
      <c r="J307" s="5">
        <v>0</v>
      </c>
      <c r="K307" s="5">
        <v>336</v>
      </c>
      <c r="L307" s="5">
        <v>346.48</v>
      </c>
      <c r="M307" s="5">
        <v>64.959999999999994</v>
      </c>
      <c r="N307" s="5">
        <v>71.430000000000007</v>
      </c>
      <c r="O307" s="5">
        <v>34.86</v>
      </c>
      <c r="P307" s="4">
        <v>127207</v>
      </c>
      <c r="Q307" s="4">
        <v>6377</v>
      </c>
      <c r="R307" s="4">
        <v>133584</v>
      </c>
      <c r="S307" s="4">
        <v>21703</v>
      </c>
      <c r="T307" s="4">
        <v>260</v>
      </c>
      <c r="U307" s="4">
        <v>21567</v>
      </c>
      <c r="V307" s="4">
        <v>21827</v>
      </c>
      <c r="W307" s="4">
        <v>286</v>
      </c>
      <c r="X307" s="4">
        <v>23714</v>
      </c>
      <c r="Y307" s="4">
        <v>24000</v>
      </c>
      <c r="Z307" s="4">
        <v>291</v>
      </c>
      <c r="AA307" s="46">
        <v>13435</v>
      </c>
    </row>
    <row r="308" spans="1:27" x14ac:dyDescent="0.25">
      <c r="A308" s="48">
        <v>15</v>
      </c>
      <c r="B308" s="5" t="s">
        <v>673</v>
      </c>
      <c r="C308" s="47" t="s">
        <v>322</v>
      </c>
      <c r="D308" s="5" t="s">
        <v>646</v>
      </c>
      <c r="E308" s="5">
        <v>89.46</v>
      </c>
      <c r="F308" s="5">
        <v>870.6</v>
      </c>
      <c r="G308" s="5">
        <v>960.06</v>
      </c>
      <c r="H308" s="5">
        <v>2.19</v>
      </c>
      <c r="I308" s="5">
        <v>7</v>
      </c>
      <c r="J308" s="5">
        <v>0</v>
      </c>
      <c r="K308" s="5">
        <v>878</v>
      </c>
      <c r="L308" s="5">
        <v>346.48</v>
      </c>
      <c r="M308" s="5">
        <v>64.959999999999994</v>
      </c>
      <c r="N308" s="5">
        <v>71.430000000000007</v>
      </c>
      <c r="O308" s="5">
        <v>34.86</v>
      </c>
      <c r="P308" s="4">
        <v>332642</v>
      </c>
      <c r="Q308" s="5">
        <v>0</v>
      </c>
      <c r="R308" s="4">
        <v>332642</v>
      </c>
      <c r="S308" s="4">
        <v>56754</v>
      </c>
      <c r="T308" s="4">
        <v>455</v>
      </c>
      <c r="U308" s="4">
        <v>56580</v>
      </c>
      <c r="V308" s="4">
        <v>57035</v>
      </c>
      <c r="W308" s="4">
        <v>500</v>
      </c>
      <c r="X308" s="4">
        <v>62216</v>
      </c>
      <c r="Y308" s="4">
        <v>62716</v>
      </c>
      <c r="Z308" s="4">
        <v>759</v>
      </c>
      <c r="AA308" s="46">
        <v>33468</v>
      </c>
    </row>
    <row r="309" spans="1:27" x14ac:dyDescent="0.25">
      <c r="A309" s="48">
        <v>15</v>
      </c>
      <c r="B309" s="5" t="s">
        <v>673</v>
      </c>
      <c r="C309" s="47" t="s">
        <v>323</v>
      </c>
      <c r="D309" s="5" t="s">
        <v>647</v>
      </c>
      <c r="E309" s="5">
        <v>46.68</v>
      </c>
      <c r="F309" s="5">
        <v>304.39999999999998</v>
      </c>
      <c r="G309" s="5">
        <v>351.08</v>
      </c>
      <c r="H309" s="5">
        <v>0.8</v>
      </c>
      <c r="I309" s="5">
        <v>0</v>
      </c>
      <c r="J309" s="5">
        <v>0</v>
      </c>
      <c r="K309" s="5">
        <v>304</v>
      </c>
      <c r="L309" s="5">
        <v>346.48</v>
      </c>
      <c r="M309" s="5">
        <v>64.959999999999994</v>
      </c>
      <c r="N309" s="5">
        <v>71.430000000000007</v>
      </c>
      <c r="O309" s="5">
        <v>34.86</v>
      </c>
      <c r="P309" s="4">
        <v>121642</v>
      </c>
      <c r="Q309" s="4">
        <v>6922</v>
      </c>
      <c r="R309" s="4">
        <v>128564</v>
      </c>
      <c r="S309" s="4">
        <v>20754</v>
      </c>
      <c r="T309" s="4">
        <v>0</v>
      </c>
      <c r="U309" s="4">
        <v>19748</v>
      </c>
      <c r="V309" s="4">
        <v>19748</v>
      </c>
      <c r="W309" s="4">
        <v>0</v>
      </c>
      <c r="X309" s="4">
        <v>21715</v>
      </c>
      <c r="Y309" s="4">
        <v>21715</v>
      </c>
      <c r="Z309" s="4">
        <v>277</v>
      </c>
      <c r="AA309" s="46">
        <v>12362</v>
      </c>
    </row>
    <row r="310" spans="1:27" x14ac:dyDescent="0.25">
      <c r="A310" s="48">
        <v>15</v>
      </c>
      <c r="B310" s="5" t="s">
        <v>673</v>
      </c>
      <c r="C310" s="47" t="s">
        <v>324</v>
      </c>
      <c r="D310" s="5" t="s">
        <v>648</v>
      </c>
      <c r="E310" s="5">
        <v>28.79</v>
      </c>
      <c r="F310" s="5">
        <v>191</v>
      </c>
      <c r="G310" s="5">
        <v>219.79</v>
      </c>
      <c r="H310" s="5">
        <v>0.5</v>
      </c>
      <c r="I310" s="5">
        <v>0</v>
      </c>
      <c r="J310" s="5">
        <v>0</v>
      </c>
      <c r="K310" s="5">
        <v>191</v>
      </c>
      <c r="L310" s="5">
        <v>346.48</v>
      </c>
      <c r="M310" s="5">
        <v>64.959999999999994</v>
      </c>
      <c r="N310" s="5">
        <v>71.430000000000007</v>
      </c>
      <c r="O310" s="5">
        <v>34.86</v>
      </c>
      <c r="P310" s="4">
        <v>76153</v>
      </c>
      <c r="Q310" s="5">
        <v>49</v>
      </c>
      <c r="R310" s="4">
        <v>76202</v>
      </c>
      <c r="S310" s="4">
        <v>12992</v>
      </c>
      <c r="T310" s="4">
        <v>0</v>
      </c>
      <c r="U310" s="4">
        <v>12407</v>
      </c>
      <c r="V310" s="4">
        <v>12407</v>
      </c>
      <c r="W310" s="4">
        <v>0</v>
      </c>
      <c r="X310" s="4">
        <v>13643</v>
      </c>
      <c r="Y310" s="4">
        <v>13643</v>
      </c>
      <c r="Z310" s="4">
        <v>173</v>
      </c>
      <c r="AA310" s="46">
        <v>7664</v>
      </c>
    </row>
    <row r="311" spans="1:27" x14ac:dyDescent="0.25">
      <c r="A311" s="48">
        <v>15</v>
      </c>
      <c r="B311" s="5" t="s">
        <v>673</v>
      </c>
      <c r="C311" s="47" t="s">
        <v>325</v>
      </c>
      <c r="D311" s="5" t="s">
        <v>649</v>
      </c>
      <c r="E311" s="5">
        <v>20.32</v>
      </c>
      <c r="F311" s="5">
        <v>203.8</v>
      </c>
      <c r="G311" s="5">
        <v>224.12</v>
      </c>
      <c r="H311" s="5">
        <v>0.51</v>
      </c>
      <c r="I311" s="5">
        <v>0</v>
      </c>
      <c r="J311" s="5">
        <v>0</v>
      </c>
      <c r="K311" s="5">
        <v>204</v>
      </c>
      <c r="L311" s="5">
        <v>346.48</v>
      </c>
      <c r="M311" s="5">
        <v>64.959999999999994</v>
      </c>
      <c r="N311" s="5">
        <v>71.430000000000007</v>
      </c>
      <c r="O311" s="5">
        <v>34.86</v>
      </c>
      <c r="P311" s="4">
        <v>77653</v>
      </c>
      <c r="Q311" s="5">
        <v>0</v>
      </c>
      <c r="R311" s="4">
        <v>77653</v>
      </c>
      <c r="S311" s="4">
        <v>13248</v>
      </c>
      <c r="T311" s="4">
        <v>0</v>
      </c>
      <c r="U311" s="4">
        <v>13252</v>
      </c>
      <c r="V311" s="4">
        <v>13252</v>
      </c>
      <c r="W311" s="4">
        <v>0</v>
      </c>
      <c r="X311" s="4">
        <v>14572</v>
      </c>
      <c r="Y311" s="4">
        <v>14572</v>
      </c>
      <c r="Z311" s="4">
        <v>177</v>
      </c>
      <c r="AA311" s="46">
        <v>7813</v>
      </c>
    </row>
    <row r="312" spans="1:27" x14ac:dyDescent="0.25">
      <c r="A312" s="48">
        <v>15</v>
      </c>
      <c r="B312" s="5" t="s">
        <v>673</v>
      </c>
      <c r="C312" s="47" t="s">
        <v>326</v>
      </c>
      <c r="D312" s="5" t="s">
        <v>650</v>
      </c>
      <c r="E312" s="5">
        <v>238.18</v>
      </c>
      <c r="F312" s="35">
        <v>1757.1</v>
      </c>
      <c r="G312" s="35">
        <v>1995.28</v>
      </c>
      <c r="H312" s="5">
        <v>4.5599999999999996</v>
      </c>
      <c r="I312" s="5">
        <v>7</v>
      </c>
      <c r="J312" s="5">
        <v>0</v>
      </c>
      <c r="K312" s="4">
        <v>1764</v>
      </c>
      <c r="L312" s="5">
        <v>346.48</v>
      </c>
      <c r="M312" s="5">
        <v>64.959999999999994</v>
      </c>
      <c r="N312" s="5">
        <v>71.430000000000007</v>
      </c>
      <c r="O312" s="5">
        <v>34.86</v>
      </c>
      <c r="P312" s="4">
        <v>691325</v>
      </c>
      <c r="Q312" s="5">
        <v>0</v>
      </c>
      <c r="R312" s="4">
        <v>691325</v>
      </c>
      <c r="S312" s="4">
        <v>117950</v>
      </c>
      <c r="T312" s="4">
        <v>455</v>
      </c>
      <c r="U312" s="4">
        <v>114134</v>
      </c>
      <c r="V312" s="4">
        <v>114589</v>
      </c>
      <c r="W312" s="4">
        <v>500</v>
      </c>
      <c r="X312" s="4">
        <v>125503</v>
      </c>
      <c r="Y312" s="4">
        <v>126003</v>
      </c>
      <c r="Z312" s="4">
        <v>1580</v>
      </c>
      <c r="AA312" s="46">
        <v>69555</v>
      </c>
    </row>
    <row r="313" spans="1:27" x14ac:dyDescent="0.25">
      <c r="A313" s="48">
        <v>15</v>
      </c>
      <c r="B313" s="5" t="s">
        <v>673</v>
      </c>
      <c r="C313" s="47" t="s">
        <v>327</v>
      </c>
      <c r="D313" s="5" t="s">
        <v>651</v>
      </c>
      <c r="E313" s="5">
        <v>67.88</v>
      </c>
      <c r="F313" s="5">
        <v>544.9</v>
      </c>
      <c r="G313" s="5">
        <v>612.78</v>
      </c>
      <c r="H313" s="5">
        <v>1.4</v>
      </c>
      <c r="I313" s="5">
        <v>11</v>
      </c>
      <c r="J313" s="5">
        <v>0</v>
      </c>
      <c r="K313" s="5">
        <v>556</v>
      </c>
      <c r="L313" s="5">
        <v>346.48</v>
      </c>
      <c r="M313" s="5">
        <v>64.959999999999994</v>
      </c>
      <c r="N313" s="5">
        <v>71.430000000000007</v>
      </c>
      <c r="O313" s="5">
        <v>34.86</v>
      </c>
      <c r="P313" s="4">
        <v>212316</v>
      </c>
      <c r="Q313" s="5">
        <v>0</v>
      </c>
      <c r="R313" s="4">
        <v>212316</v>
      </c>
      <c r="S313" s="4">
        <v>36224</v>
      </c>
      <c r="T313" s="4">
        <v>715</v>
      </c>
      <c r="U313" s="4">
        <v>35403</v>
      </c>
      <c r="V313" s="4">
        <v>36118</v>
      </c>
      <c r="W313" s="4">
        <v>786</v>
      </c>
      <c r="X313" s="4">
        <v>38929</v>
      </c>
      <c r="Y313" s="4">
        <v>39715</v>
      </c>
      <c r="Z313" s="4">
        <v>485</v>
      </c>
      <c r="AA313" s="46">
        <v>21362</v>
      </c>
    </row>
    <row r="314" spans="1:27" x14ac:dyDescent="0.25">
      <c r="A314" s="48">
        <v>15</v>
      </c>
      <c r="B314" s="5" t="s">
        <v>673</v>
      </c>
      <c r="C314" s="47" t="s">
        <v>328</v>
      </c>
      <c r="D314" s="5" t="s">
        <v>652</v>
      </c>
      <c r="E314" s="5">
        <v>53.32</v>
      </c>
      <c r="F314" s="5">
        <v>471.6</v>
      </c>
      <c r="G314" s="5">
        <v>524.91999999999996</v>
      </c>
      <c r="H314" s="5">
        <v>1.2</v>
      </c>
      <c r="I314" s="5">
        <v>32</v>
      </c>
      <c r="J314" s="5">
        <v>0</v>
      </c>
      <c r="K314" s="5">
        <v>504</v>
      </c>
      <c r="L314" s="5">
        <v>346.48</v>
      </c>
      <c r="M314" s="5">
        <v>64.959999999999994</v>
      </c>
      <c r="N314" s="5">
        <v>71.430000000000007</v>
      </c>
      <c r="O314" s="5">
        <v>34.86</v>
      </c>
      <c r="P314" s="4">
        <v>181874</v>
      </c>
      <c r="Q314" s="4">
        <v>4780</v>
      </c>
      <c r="R314" s="4">
        <v>186654</v>
      </c>
      <c r="S314" s="4">
        <v>31031</v>
      </c>
      <c r="T314" s="4">
        <v>2079</v>
      </c>
      <c r="U314" s="4">
        <v>30661</v>
      </c>
      <c r="V314" s="4">
        <v>32740</v>
      </c>
      <c r="W314" s="4">
        <v>2286</v>
      </c>
      <c r="X314" s="4">
        <v>33715</v>
      </c>
      <c r="Y314" s="4">
        <v>36001</v>
      </c>
      <c r="Z314" s="4">
        <v>416</v>
      </c>
      <c r="AA314" s="46">
        <v>18299</v>
      </c>
    </row>
    <row r="315" spans="1:27" x14ac:dyDescent="0.25">
      <c r="A315" s="48">
        <v>15</v>
      </c>
      <c r="B315" s="5" t="s">
        <v>673</v>
      </c>
      <c r="C315" s="47" t="s">
        <v>329</v>
      </c>
      <c r="D315" s="5" t="s">
        <v>653</v>
      </c>
      <c r="E315" s="5">
        <v>253.36</v>
      </c>
      <c r="F315" s="35">
        <v>2196</v>
      </c>
      <c r="G315" s="35">
        <v>2449.36</v>
      </c>
      <c r="H315" s="5">
        <v>5.59</v>
      </c>
      <c r="I315" s="5">
        <v>193</v>
      </c>
      <c r="J315" s="5">
        <v>0</v>
      </c>
      <c r="K315" s="4">
        <v>2389</v>
      </c>
      <c r="L315" s="5">
        <v>346.48</v>
      </c>
      <c r="M315" s="5">
        <v>64.959999999999994</v>
      </c>
      <c r="N315" s="5">
        <v>71.430000000000007</v>
      </c>
      <c r="O315" s="5">
        <v>34.86</v>
      </c>
      <c r="P315" s="4">
        <v>848654</v>
      </c>
      <c r="Q315" s="5">
        <v>0</v>
      </c>
      <c r="R315" s="4">
        <v>848654</v>
      </c>
      <c r="S315" s="4">
        <v>144794</v>
      </c>
      <c r="T315" s="4">
        <v>12537</v>
      </c>
      <c r="U315" s="4">
        <v>142652</v>
      </c>
      <c r="V315" s="4">
        <v>155189</v>
      </c>
      <c r="W315" s="4">
        <v>13786</v>
      </c>
      <c r="X315" s="4">
        <v>156860</v>
      </c>
      <c r="Y315" s="4">
        <v>170646</v>
      </c>
      <c r="Z315" s="4">
        <v>1937</v>
      </c>
      <c r="AA315" s="46">
        <v>85385</v>
      </c>
    </row>
    <row r="316" spans="1:27" x14ac:dyDescent="0.25">
      <c r="A316" s="48">
        <v>15</v>
      </c>
      <c r="B316" s="5" t="s">
        <v>673</v>
      </c>
      <c r="C316" s="47" t="s">
        <v>330</v>
      </c>
      <c r="D316" s="5" t="s">
        <v>654</v>
      </c>
      <c r="E316" s="5">
        <v>727.79</v>
      </c>
      <c r="F316" s="35">
        <v>5124.3</v>
      </c>
      <c r="G316" s="35">
        <v>5852.09</v>
      </c>
      <c r="H316" s="5">
        <v>13.37</v>
      </c>
      <c r="I316" s="5">
        <v>170</v>
      </c>
      <c r="J316" s="5">
        <v>1.9</v>
      </c>
      <c r="K316" s="4">
        <v>5292</v>
      </c>
      <c r="L316" s="5">
        <v>346.48</v>
      </c>
      <c r="M316" s="5">
        <v>64.959999999999994</v>
      </c>
      <c r="N316" s="5">
        <v>71.430000000000007</v>
      </c>
      <c r="O316" s="5">
        <v>34.86</v>
      </c>
      <c r="P316" s="4">
        <v>2027632</v>
      </c>
      <c r="Q316" s="5">
        <v>0</v>
      </c>
      <c r="R316" s="4">
        <v>2027632</v>
      </c>
      <c r="S316" s="4">
        <v>345945</v>
      </c>
      <c r="T316" s="4">
        <v>11043</v>
      </c>
      <c r="U316" s="4">
        <v>332725</v>
      </c>
      <c r="V316" s="4">
        <v>343768</v>
      </c>
      <c r="W316" s="4">
        <v>12143</v>
      </c>
      <c r="X316" s="4">
        <v>365865</v>
      </c>
      <c r="Y316" s="4">
        <v>378008</v>
      </c>
      <c r="Z316" s="4">
        <v>4632</v>
      </c>
      <c r="AA316" s="46">
        <v>204004</v>
      </c>
    </row>
    <row r="317" spans="1:27" x14ac:dyDescent="0.25">
      <c r="A317" s="48">
        <v>15</v>
      </c>
      <c r="B317" s="5" t="s">
        <v>673</v>
      </c>
      <c r="C317" s="47" t="s">
        <v>331</v>
      </c>
      <c r="D317" s="5" t="s">
        <v>655</v>
      </c>
      <c r="E317" s="5">
        <v>62.66</v>
      </c>
      <c r="F317" s="5">
        <v>527.20000000000005</v>
      </c>
      <c r="G317" s="5">
        <v>589.86</v>
      </c>
      <c r="H317" s="5">
        <v>1.35</v>
      </c>
      <c r="I317" s="5">
        <v>18</v>
      </c>
      <c r="J317" s="5">
        <v>0</v>
      </c>
      <c r="K317" s="5">
        <v>545</v>
      </c>
      <c r="L317" s="5">
        <v>346.48</v>
      </c>
      <c r="M317" s="5">
        <v>64.959999999999994</v>
      </c>
      <c r="N317" s="5">
        <v>71.430000000000007</v>
      </c>
      <c r="O317" s="5">
        <v>34.86</v>
      </c>
      <c r="P317" s="4">
        <v>204375</v>
      </c>
      <c r="Q317" s="4">
        <v>5355</v>
      </c>
      <c r="R317" s="4">
        <v>209730</v>
      </c>
      <c r="S317" s="4">
        <v>34870</v>
      </c>
      <c r="T317" s="4">
        <v>1169</v>
      </c>
      <c r="U317" s="4">
        <v>34234</v>
      </c>
      <c r="V317" s="4">
        <v>35403</v>
      </c>
      <c r="W317" s="4">
        <v>1286</v>
      </c>
      <c r="X317" s="4">
        <v>37643</v>
      </c>
      <c r="Y317" s="4">
        <v>38929</v>
      </c>
      <c r="Z317" s="4">
        <v>468</v>
      </c>
      <c r="AA317" s="46">
        <v>20563</v>
      </c>
    </row>
    <row r="318" spans="1:27" x14ac:dyDescent="0.25">
      <c r="A318" s="48">
        <v>15</v>
      </c>
      <c r="B318" s="5" t="s">
        <v>673</v>
      </c>
      <c r="C318" s="47" t="s">
        <v>332</v>
      </c>
      <c r="D318" s="5" t="s">
        <v>656</v>
      </c>
      <c r="E318" s="5">
        <v>19.62</v>
      </c>
      <c r="F318" s="5">
        <v>222</v>
      </c>
      <c r="G318" s="5">
        <v>241.62</v>
      </c>
      <c r="H318" s="5">
        <v>0.55000000000000004</v>
      </c>
      <c r="I318" s="5">
        <v>0</v>
      </c>
      <c r="J318" s="5">
        <v>0</v>
      </c>
      <c r="K318" s="5">
        <v>222</v>
      </c>
      <c r="L318" s="5">
        <v>346.48</v>
      </c>
      <c r="M318" s="5">
        <v>64.959999999999994</v>
      </c>
      <c r="N318" s="5">
        <v>71.430000000000007</v>
      </c>
      <c r="O318" s="5">
        <v>34.86</v>
      </c>
      <c r="P318" s="4">
        <v>83716</v>
      </c>
      <c r="Q318" s="4">
        <v>9183</v>
      </c>
      <c r="R318" s="4">
        <v>92899</v>
      </c>
      <c r="S318" s="4">
        <v>14283</v>
      </c>
      <c r="T318" s="4">
        <v>0</v>
      </c>
      <c r="U318" s="4">
        <v>14421</v>
      </c>
      <c r="V318" s="4">
        <v>14421</v>
      </c>
      <c r="W318" s="4">
        <v>0</v>
      </c>
      <c r="X318" s="4">
        <v>15857</v>
      </c>
      <c r="Y318" s="4">
        <v>15857</v>
      </c>
      <c r="Z318" s="4">
        <v>191</v>
      </c>
      <c r="AA318" s="46">
        <v>8669</v>
      </c>
    </row>
    <row r="319" spans="1:27" x14ac:dyDescent="0.25">
      <c r="A319" s="48">
        <v>15</v>
      </c>
      <c r="B319" s="5" t="s">
        <v>673</v>
      </c>
      <c r="C319" s="47" t="s">
        <v>333</v>
      </c>
      <c r="D319" s="5" t="s">
        <v>657</v>
      </c>
      <c r="E319" s="5">
        <v>56.73</v>
      </c>
      <c r="F319" s="5">
        <v>559</v>
      </c>
      <c r="G319" s="5">
        <v>615.73</v>
      </c>
      <c r="H319" s="5">
        <v>1.41</v>
      </c>
      <c r="I319" s="5">
        <v>4</v>
      </c>
      <c r="J319" s="5">
        <v>0</v>
      </c>
      <c r="K319" s="5">
        <v>563</v>
      </c>
      <c r="L319" s="5">
        <v>346.48</v>
      </c>
      <c r="M319" s="5">
        <v>64.959999999999994</v>
      </c>
      <c r="N319" s="5">
        <v>71.430000000000007</v>
      </c>
      <c r="O319" s="5">
        <v>34.86</v>
      </c>
      <c r="P319" s="4">
        <v>213338</v>
      </c>
      <c r="Q319" s="5">
        <v>0</v>
      </c>
      <c r="R319" s="4">
        <v>213338</v>
      </c>
      <c r="S319" s="4">
        <v>36399</v>
      </c>
      <c r="T319" s="4">
        <v>260</v>
      </c>
      <c r="U319" s="4">
        <v>36312</v>
      </c>
      <c r="V319" s="4">
        <v>36572</v>
      </c>
      <c r="W319" s="4">
        <v>286</v>
      </c>
      <c r="X319" s="4">
        <v>39929</v>
      </c>
      <c r="Y319" s="4">
        <v>40215</v>
      </c>
      <c r="Z319" s="4">
        <v>489</v>
      </c>
      <c r="AA319" s="46">
        <v>21464</v>
      </c>
    </row>
    <row r="320" spans="1:27" x14ac:dyDescent="0.25">
      <c r="A320" s="48">
        <v>15</v>
      </c>
      <c r="B320" s="5" t="s">
        <v>673</v>
      </c>
      <c r="C320" s="47" t="s">
        <v>334</v>
      </c>
      <c r="D320" s="5" t="s">
        <v>658</v>
      </c>
      <c r="E320" s="5">
        <v>26.21</v>
      </c>
      <c r="F320" s="5">
        <v>239.8</v>
      </c>
      <c r="G320" s="5">
        <v>266.01</v>
      </c>
      <c r="H320" s="5">
        <v>0.61</v>
      </c>
      <c r="I320" s="5">
        <v>6</v>
      </c>
      <c r="J320" s="5">
        <v>0</v>
      </c>
      <c r="K320" s="5">
        <v>246</v>
      </c>
      <c r="L320" s="5">
        <v>346.48</v>
      </c>
      <c r="M320" s="5">
        <v>64.959999999999994</v>
      </c>
      <c r="N320" s="5">
        <v>71.430000000000007</v>
      </c>
      <c r="O320" s="5">
        <v>34.86</v>
      </c>
      <c r="P320" s="4">
        <v>92167</v>
      </c>
      <c r="Q320" s="4">
        <v>6360</v>
      </c>
      <c r="R320" s="4">
        <v>98527</v>
      </c>
      <c r="S320" s="4">
        <v>15725</v>
      </c>
      <c r="T320" s="4">
        <v>390</v>
      </c>
      <c r="U320" s="4">
        <v>15590</v>
      </c>
      <c r="V320" s="4">
        <v>15980</v>
      </c>
      <c r="W320" s="4">
        <v>429</v>
      </c>
      <c r="X320" s="4">
        <v>17143</v>
      </c>
      <c r="Y320" s="4">
        <v>17572</v>
      </c>
      <c r="Z320" s="4">
        <v>211</v>
      </c>
      <c r="AA320" s="46">
        <v>9882</v>
      </c>
    </row>
    <row r="321" spans="1:27" x14ac:dyDescent="0.25">
      <c r="A321" s="48">
        <v>15</v>
      </c>
      <c r="B321" s="5" t="s">
        <v>673</v>
      </c>
      <c r="C321" s="47" t="s">
        <v>335</v>
      </c>
      <c r="D321" s="5" t="s">
        <v>674</v>
      </c>
      <c r="E321" s="5">
        <v>134.91</v>
      </c>
      <c r="F321" s="5">
        <v>952.3</v>
      </c>
      <c r="G321" s="35">
        <v>1087.21</v>
      </c>
      <c r="H321" s="5">
        <v>2.48</v>
      </c>
      <c r="I321" s="5">
        <v>8</v>
      </c>
      <c r="J321" s="5">
        <v>0</v>
      </c>
      <c r="K321" s="5">
        <v>960</v>
      </c>
      <c r="L321" s="5">
        <v>346.48</v>
      </c>
      <c r="M321" s="5">
        <v>64.959999999999994</v>
      </c>
      <c r="N321" s="5">
        <v>71.430000000000007</v>
      </c>
      <c r="O321" s="5">
        <v>34.86</v>
      </c>
      <c r="P321" s="4">
        <v>376697</v>
      </c>
      <c r="Q321" s="5">
        <v>0</v>
      </c>
      <c r="R321" s="4">
        <v>376697</v>
      </c>
      <c r="S321" s="4">
        <v>64271</v>
      </c>
      <c r="T321" s="4">
        <v>520</v>
      </c>
      <c r="U321" s="4">
        <v>61842</v>
      </c>
      <c r="V321" s="4">
        <v>62362</v>
      </c>
      <c r="W321" s="4">
        <v>571</v>
      </c>
      <c r="X321" s="4">
        <v>68002</v>
      </c>
      <c r="Y321" s="4">
        <v>68573</v>
      </c>
      <c r="Z321" s="4">
        <v>859</v>
      </c>
      <c r="AA321" s="46">
        <v>37900</v>
      </c>
    </row>
    <row r="322" spans="1:27" x14ac:dyDescent="0.25">
      <c r="A322" s="48">
        <v>15</v>
      </c>
      <c r="B322" s="5" t="s">
        <v>673</v>
      </c>
      <c r="C322" s="47" t="s">
        <v>336</v>
      </c>
      <c r="D322" s="5" t="s">
        <v>659</v>
      </c>
      <c r="E322" s="5">
        <v>73.64</v>
      </c>
      <c r="F322" s="5">
        <v>482.9</v>
      </c>
      <c r="G322" s="5">
        <v>556.54</v>
      </c>
      <c r="H322" s="5">
        <v>1.27</v>
      </c>
      <c r="I322" s="5">
        <v>2</v>
      </c>
      <c r="J322" s="5">
        <v>0</v>
      </c>
      <c r="K322" s="5">
        <v>485</v>
      </c>
      <c r="L322" s="5">
        <v>346.48</v>
      </c>
      <c r="M322" s="5">
        <v>64.959999999999994</v>
      </c>
      <c r="N322" s="5">
        <v>71.430000000000007</v>
      </c>
      <c r="O322" s="5">
        <v>34.86</v>
      </c>
      <c r="P322" s="4">
        <v>192830</v>
      </c>
      <c r="Q322" s="5">
        <v>0</v>
      </c>
      <c r="R322" s="4">
        <v>192830</v>
      </c>
      <c r="S322" s="4">
        <v>32899</v>
      </c>
      <c r="T322" s="4">
        <v>130</v>
      </c>
      <c r="U322" s="4">
        <v>31376</v>
      </c>
      <c r="V322" s="4">
        <v>31506</v>
      </c>
      <c r="W322" s="4">
        <v>143</v>
      </c>
      <c r="X322" s="4">
        <v>34501</v>
      </c>
      <c r="Y322" s="4">
        <v>34644</v>
      </c>
      <c r="Z322" s="4">
        <v>440</v>
      </c>
      <c r="AA322" s="46">
        <v>19401</v>
      </c>
    </row>
    <row r="323" spans="1:27" x14ac:dyDescent="0.25">
      <c r="A323" s="48">
        <v>15</v>
      </c>
      <c r="B323" s="5" t="s">
        <v>673</v>
      </c>
      <c r="C323" s="47" t="s">
        <v>337</v>
      </c>
      <c r="D323" s="5" t="s">
        <v>660</v>
      </c>
      <c r="E323" s="5">
        <v>77.86</v>
      </c>
      <c r="F323" s="5">
        <v>523.29999999999995</v>
      </c>
      <c r="G323" s="5">
        <v>601.16</v>
      </c>
      <c r="H323" s="5">
        <v>1.37</v>
      </c>
      <c r="I323" s="5">
        <v>1</v>
      </c>
      <c r="J323" s="5">
        <v>0</v>
      </c>
      <c r="K323" s="5">
        <v>524</v>
      </c>
      <c r="L323" s="5">
        <v>346.48</v>
      </c>
      <c r="M323" s="5">
        <v>64.959999999999994</v>
      </c>
      <c r="N323" s="5">
        <v>71.430000000000007</v>
      </c>
      <c r="O323" s="5">
        <v>34.86</v>
      </c>
      <c r="P323" s="4">
        <v>208290</v>
      </c>
      <c r="Q323" s="4">
        <v>20716</v>
      </c>
      <c r="R323" s="4">
        <v>229006</v>
      </c>
      <c r="S323" s="4">
        <v>35538</v>
      </c>
      <c r="T323" s="4">
        <v>65</v>
      </c>
      <c r="U323" s="4">
        <v>33974</v>
      </c>
      <c r="V323" s="4">
        <v>34039</v>
      </c>
      <c r="W323" s="4">
        <v>71</v>
      </c>
      <c r="X323" s="4">
        <v>37358</v>
      </c>
      <c r="Y323" s="4">
        <v>37429</v>
      </c>
      <c r="Z323" s="4">
        <v>475</v>
      </c>
      <c r="AA323" s="46">
        <v>20956</v>
      </c>
    </row>
    <row r="324" spans="1:27" x14ac:dyDescent="0.25">
      <c r="A324" s="48">
        <v>15</v>
      </c>
      <c r="B324" s="5" t="s">
        <v>673</v>
      </c>
      <c r="C324" s="47" t="s">
        <v>338</v>
      </c>
      <c r="D324" s="5" t="s">
        <v>661</v>
      </c>
      <c r="E324" s="5">
        <v>83.67</v>
      </c>
      <c r="F324" s="5">
        <v>548.4</v>
      </c>
      <c r="G324" s="5">
        <v>632.07000000000005</v>
      </c>
      <c r="H324" s="5">
        <v>1.44</v>
      </c>
      <c r="I324" s="5">
        <v>0</v>
      </c>
      <c r="J324" s="5">
        <v>0</v>
      </c>
      <c r="K324" s="5">
        <v>548</v>
      </c>
      <c r="L324" s="5">
        <v>346.48</v>
      </c>
      <c r="M324" s="5">
        <v>64.959999999999994</v>
      </c>
      <c r="N324" s="5">
        <v>71.430000000000007</v>
      </c>
      <c r="O324" s="5">
        <v>34.86</v>
      </c>
      <c r="P324" s="4">
        <v>219000</v>
      </c>
      <c r="Q324" s="4">
        <v>6776</v>
      </c>
      <c r="R324" s="4">
        <v>225776</v>
      </c>
      <c r="S324" s="4">
        <v>37365</v>
      </c>
      <c r="T324" s="4">
        <v>0</v>
      </c>
      <c r="U324" s="4">
        <v>35598</v>
      </c>
      <c r="V324" s="4">
        <v>35598</v>
      </c>
      <c r="W324" s="4">
        <v>0</v>
      </c>
      <c r="X324" s="4">
        <v>39144</v>
      </c>
      <c r="Y324" s="4">
        <v>39144</v>
      </c>
      <c r="Z324" s="4">
        <v>499</v>
      </c>
      <c r="AA324" s="46">
        <v>22708</v>
      </c>
    </row>
    <row r="325" spans="1:27" x14ac:dyDescent="0.25">
      <c r="A325" s="48">
        <v>15</v>
      </c>
      <c r="B325" s="5" t="s">
        <v>673</v>
      </c>
      <c r="C325" s="47" t="s">
        <v>339</v>
      </c>
      <c r="D325" s="5" t="s">
        <v>662</v>
      </c>
      <c r="E325" s="5">
        <v>56.14</v>
      </c>
      <c r="F325" s="5">
        <v>386</v>
      </c>
      <c r="G325" s="5">
        <v>442.14</v>
      </c>
      <c r="H325" s="5">
        <v>1.01</v>
      </c>
      <c r="I325" s="5">
        <v>32</v>
      </c>
      <c r="J325" s="5">
        <v>0</v>
      </c>
      <c r="K325" s="5">
        <v>418</v>
      </c>
      <c r="L325" s="5">
        <v>346.48</v>
      </c>
      <c r="M325" s="5">
        <v>64.959999999999994</v>
      </c>
      <c r="N325" s="5">
        <v>71.430000000000007</v>
      </c>
      <c r="O325" s="5">
        <v>34.86</v>
      </c>
      <c r="P325" s="4">
        <v>153193</v>
      </c>
      <c r="Q325" s="4">
        <v>5683</v>
      </c>
      <c r="R325" s="4">
        <v>158876</v>
      </c>
      <c r="S325" s="4">
        <v>26137</v>
      </c>
      <c r="T325" s="4">
        <v>2079</v>
      </c>
      <c r="U325" s="4">
        <v>25074</v>
      </c>
      <c r="V325" s="4">
        <v>27153</v>
      </c>
      <c r="W325" s="4">
        <v>2286</v>
      </c>
      <c r="X325" s="4">
        <v>27572</v>
      </c>
      <c r="Y325" s="4">
        <v>29858</v>
      </c>
      <c r="Z325" s="4">
        <v>350</v>
      </c>
      <c r="AA325" s="46">
        <v>15413</v>
      </c>
    </row>
    <row r="326" spans="1:27" x14ac:dyDescent="0.25">
      <c r="A326" s="49">
        <v>15</v>
      </c>
      <c r="B326" s="27" t="s">
        <v>673</v>
      </c>
      <c r="C326" s="50" t="s">
        <v>340</v>
      </c>
      <c r="D326" s="27" t="s">
        <v>663</v>
      </c>
      <c r="E326" s="27">
        <v>40.36</v>
      </c>
      <c r="F326" s="27">
        <v>302.60000000000002</v>
      </c>
      <c r="G326" s="27">
        <v>342.96</v>
      </c>
      <c r="H326" s="27">
        <v>0.78</v>
      </c>
      <c r="I326" s="27">
        <v>0</v>
      </c>
      <c r="J326" s="27">
        <v>0</v>
      </c>
      <c r="K326" s="27">
        <v>303</v>
      </c>
      <c r="L326" s="27">
        <v>346.48</v>
      </c>
      <c r="M326" s="27">
        <v>64.959999999999994</v>
      </c>
      <c r="N326" s="27">
        <v>71.430000000000007</v>
      </c>
      <c r="O326" s="27">
        <v>34.86</v>
      </c>
      <c r="P326" s="51">
        <v>118829</v>
      </c>
      <c r="Q326" s="51">
        <v>2392</v>
      </c>
      <c r="R326" s="51">
        <v>121221</v>
      </c>
      <c r="S326" s="51">
        <v>20274</v>
      </c>
      <c r="T326" s="51">
        <v>0</v>
      </c>
      <c r="U326" s="51">
        <v>19683</v>
      </c>
      <c r="V326" s="51">
        <v>19683</v>
      </c>
      <c r="W326" s="51">
        <v>0</v>
      </c>
      <c r="X326" s="51">
        <v>21643</v>
      </c>
      <c r="Y326" s="51">
        <v>21643</v>
      </c>
      <c r="Z326" s="51">
        <v>270</v>
      </c>
      <c r="AA326" s="52">
        <v>12192</v>
      </c>
    </row>
  </sheetData>
  <pageMargins left="0.7" right="0.7" top="0.75" bottom="0.75" header="0.3" footer="0.3"/>
  <pageSetup scale="25" fitToHeight="0" orientation="landscape" horizontalDpi="1200" verticalDpi="1200" r:id="rId1"/>
  <headerFooter>
    <oddHeader>&amp;C&amp;"-,Bold"&amp;16Department of Management - Final FY 2026 Amounts - 2% SSA - $32.5 million Reduction</oddHeader>
    <oddFooter>&amp;LDepartment of Management&amp;R&amp;D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26B67-9072-4207-A169-3E22CD971E4A}">
  <sheetPr>
    <tabColor rgb="FFFFFF00"/>
    <pageSetUpPr fitToPage="1"/>
  </sheetPr>
  <dimension ref="B4:J62"/>
  <sheetViews>
    <sheetView zoomScaleNormal="100" workbookViewId="0"/>
  </sheetViews>
  <sheetFormatPr defaultRowHeight="15" x14ac:dyDescent="0.25"/>
  <cols>
    <col min="3" max="3" width="21.5703125" bestFit="1" customWidth="1"/>
    <col min="4" max="4" width="17.42578125" customWidth="1"/>
    <col min="5" max="5" width="15.28515625" customWidth="1"/>
    <col min="6" max="6" width="14.7109375" customWidth="1"/>
    <col min="7" max="7" width="18" customWidth="1"/>
    <col min="8" max="8" width="18.140625" customWidth="1"/>
    <col min="9" max="9" width="14.140625" customWidth="1"/>
    <col min="10" max="10" width="14.7109375" customWidth="1"/>
  </cols>
  <sheetData>
    <row r="4" spans="2:10" ht="69" customHeight="1" x14ac:dyDescent="0.25">
      <c r="B4" s="23" t="s">
        <v>343</v>
      </c>
      <c r="C4" s="7" t="s">
        <v>344</v>
      </c>
      <c r="D4" s="6" t="s">
        <v>746</v>
      </c>
      <c r="E4" s="6" t="s">
        <v>747</v>
      </c>
      <c r="F4" s="6" t="s">
        <v>748</v>
      </c>
      <c r="G4" s="6" t="s">
        <v>749</v>
      </c>
      <c r="H4" s="6" t="s">
        <v>750</v>
      </c>
      <c r="I4" s="6" t="s">
        <v>751</v>
      </c>
      <c r="J4" s="6" t="s">
        <v>764</v>
      </c>
    </row>
    <row r="5" spans="2:10" x14ac:dyDescent="0.25">
      <c r="B5" s="5" t="s">
        <v>0</v>
      </c>
      <c r="C5" s="5" t="s">
        <v>665</v>
      </c>
      <c r="D5" s="35">
        <f>SUMIF(DetailByDistrict[AEA],DetailByAEA!$B5,DetailByDistrict[Total Special Ed Weighting in Addition to 1.0])</f>
        <v>4372.4500000000007</v>
      </c>
      <c r="E5" s="38">
        <f>SUMIF(DetailByDistrict[AEA],DetailByAEA!$B5,DetailByDistrict[Budget Enrollment])</f>
        <v>27489.699999999997</v>
      </c>
      <c r="F5" s="35">
        <f>SUMIF(DetailByDistrict[AEA],DetailByAEA!$B5,DetailByDistrict[AEA Weighted Enrollment])</f>
        <v>31862.149999999998</v>
      </c>
      <c r="G5" s="35">
        <f>SUMIF(DetailByDistrict[AEA],DetailByAEA!$B5,DetailByDistrict[AEA Supplementary Weight for Sharing])</f>
        <v>82.57</v>
      </c>
      <c r="H5" s="4">
        <f>SUMIF(DetailByDistrict[AEA],DetailByAEA!$B5,DetailByDistrict[Resident Accredited Nonpublic Students])</f>
        <v>4016</v>
      </c>
      <c r="I5" s="38">
        <f>SUMIF(DetailByDistrict[AEA],DetailByAEA!$B5,DetailByDistrict[Shared-Time Nonpublic Pupils Counted in Line 1.1])</f>
        <v>22.5</v>
      </c>
      <c r="J5" s="4">
        <f>SUMIF(DetailByDistrict[AEA],DetailByAEA!$B5,DetailByDistrict[Total Enrollment Served - Media and Ed Services])</f>
        <v>31484</v>
      </c>
    </row>
    <row r="6" spans="2:10" x14ac:dyDescent="0.25">
      <c r="B6" s="5" t="s">
        <v>22</v>
      </c>
      <c r="C6" s="5" t="s">
        <v>666</v>
      </c>
      <c r="D6" s="35">
        <f>SUMIF(DetailByDistrict[AEA],DetailByAEA!$B6,DetailByDistrict[Total Special Ed Weighting in Addition to 1.0])</f>
        <v>3767.3599999999992</v>
      </c>
      <c r="E6" s="38">
        <f>SUMIF(DetailByDistrict[AEA],DetailByAEA!$B6,DetailByDistrict[Budget Enrollment])</f>
        <v>29544.199999999997</v>
      </c>
      <c r="F6" s="35">
        <f>SUMIF(DetailByDistrict[AEA],DetailByAEA!$B6,DetailByDistrict[AEA Weighted Enrollment])</f>
        <v>33311.56</v>
      </c>
      <c r="G6" s="35">
        <f>SUMIF(DetailByDistrict[AEA],DetailByAEA!$B6,DetailByDistrict[AEA Supplementary Weight for Sharing])</f>
        <v>0</v>
      </c>
      <c r="H6" s="4">
        <f>SUMIF(DetailByDistrict[AEA],DetailByAEA!$B6,DetailByDistrict[Resident Accredited Nonpublic Students])</f>
        <v>2303</v>
      </c>
      <c r="I6" s="38">
        <f>SUMIF(DetailByDistrict[AEA],DetailByAEA!$B6,DetailByDistrict[Shared-Time Nonpublic Pupils Counted in Line 1.1])</f>
        <v>31.2</v>
      </c>
      <c r="J6" s="4">
        <f>SUMIF(DetailByDistrict[AEA],DetailByAEA!$B6,DetailByDistrict[Total Enrollment Served - Media and Ed Services])</f>
        <v>31817</v>
      </c>
    </row>
    <row r="7" spans="2:10" x14ac:dyDescent="0.25">
      <c r="B7" s="5" t="s">
        <v>60</v>
      </c>
      <c r="C7" s="5" t="s">
        <v>667</v>
      </c>
      <c r="D7" s="35">
        <f>SUMIF(DetailByDistrict[AEA],DetailByAEA!$B7,DetailByDistrict[Total Special Ed Weighting in Addition to 1.0])</f>
        <v>9429.6900000000023</v>
      </c>
      <c r="E7" s="38">
        <f>SUMIF(DetailByDistrict[AEA],DetailByAEA!$B7,DetailByDistrict[Budget Enrollment])</f>
        <v>60257.500000000007</v>
      </c>
      <c r="F7" s="35">
        <f>SUMIF(DetailByDistrict[AEA],DetailByAEA!$B7,DetailByDistrict[AEA Weighted Enrollment])</f>
        <v>69687.19</v>
      </c>
      <c r="G7" s="35">
        <f>SUMIF(DetailByDistrict[AEA],DetailByAEA!$B7,DetailByDistrict[AEA Supplementary Weight for Sharing])</f>
        <v>85.12</v>
      </c>
      <c r="H7" s="4">
        <f>SUMIF(DetailByDistrict[AEA],DetailByAEA!$B7,DetailByDistrict[Resident Accredited Nonpublic Students])</f>
        <v>3878</v>
      </c>
      <c r="I7" s="38">
        <f>SUMIF(DetailByDistrict[AEA],DetailByAEA!$B7,DetailByDistrict[Shared-Time Nonpublic Pupils Counted in Line 1.1])</f>
        <v>48.5</v>
      </c>
      <c r="J7" s="4">
        <f>SUMIF(DetailByDistrict[AEA],DetailByAEA!$B7,DetailByDistrict[Total Enrollment Served - Media and Ed Services])</f>
        <v>64088</v>
      </c>
    </row>
    <row r="8" spans="2:10" x14ac:dyDescent="0.25">
      <c r="B8" s="5" t="s">
        <v>118</v>
      </c>
      <c r="C8" s="5" t="s">
        <v>668</v>
      </c>
      <c r="D8" s="35">
        <f>SUMIF(DetailByDistrict[AEA],DetailByAEA!$B8,DetailByDistrict[Total Special Ed Weighting in Addition to 1.0])</f>
        <v>6726.7099999999991</v>
      </c>
      <c r="E8" s="38">
        <f>SUMIF(DetailByDistrict[AEA],DetailByAEA!$B8,DetailByDistrict[Budget Enrollment])</f>
        <v>43736.3</v>
      </c>
      <c r="F8" s="35">
        <f>SUMIF(DetailByDistrict[AEA],DetailByAEA!$B8,DetailByDistrict[AEA Weighted Enrollment])</f>
        <v>50463.009999999995</v>
      </c>
      <c r="G8" s="35">
        <f>SUMIF(DetailByDistrict[AEA],DetailByAEA!$B8,DetailByDistrict[AEA Supplementary Weight for Sharing])</f>
        <v>85.689999999999984</v>
      </c>
      <c r="H8" s="4">
        <f>SUMIF(DetailByDistrict[AEA],DetailByAEA!$B8,DetailByDistrict[Resident Accredited Nonpublic Students])</f>
        <v>3794</v>
      </c>
      <c r="I8" s="38">
        <f>SUMIF(DetailByDistrict[AEA],DetailByAEA!$B8,DetailByDistrict[Shared-Time Nonpublic Pupils Counted in Line 1.1])</f>
        <v>7.1000000000000005</v>
      </c>
      <c r="J8" s="4">
        <f>SUMIF(DetailByDistrict[AEA],DetailByAEA!$B8,DetailByDistrict[Total Enrollment Served - Media and Ed Services])</f>
        <v>47523</v>
      </c>
    </row>
    <row r="9" spans="2:10" x14ac:dyDescent="0.25">
      <c r="B9" s="5" t="s">
        <v>140</v>
      </c>
      <c r="C9" s="5" t="s">
        <v>669</v>
      </c>
      <c r="D9" s="35">
        <f>SUMIF(DetailByDistrict[AEA],DetailByAEA!$B9,DetailByDistrict[Total Special Ed Weighting in Addition to 1.0])</f>
        <v>8534.3300000000017</v>
      </c>
      <c r="E9" s="38">
        <f>SUMIF(DetailByDistrict[AEA],DetailByAEA!$B9,DetailByDistrict[Budget Enrollment])</f>
        <v>68981</v>
      </c>
      <c r="F9" s="35">
        <f>SUMIF(DetailByDistrict[AEA],DetailByAEA!$B9,DetailByDistrict[AEA Weighted Enrollment])</f>
        <v>77515.33</v>
      </c>
      <c r="G9" s="35">
        <f>SUMIF(DetailByDistrict[AEA],DetailByAEA!$B9,DetailByDistrict[AEA Supplementary Weight for Sharing])</f>
        <v>86.179999999999964</v>
      </c>
      <c r="H9" s="4">
        <f>SUMIF(DetailByDistrict[AEA],DetailByAEA!$B9,DetailByDistrict[Resident Accredited Nonpublic Students])</f>
        <v>5294</v>
      </c>
      <c r="I9" s="38">
        <f>SUMIF(DetailByDistrict[AEA],DetailByAEA!$B9,DetailByDistrict[Shared-Time Nonpublic Pupils Counted in Line 1.1])</f>
        <v>25.000000000000004</v>
      </c>
      <c r="J9" s="4">
        <f>SUMIF(DetailByDistrict[AEA],DetailByAEA!$B9,DetailByDistrict[Total Enrollment Served - Media and Ed Services])</f>
        <v>74252</v>
      </c>
    </row>
    <row r="10" spans="2:10" x14ac:dyDescent="0.25">
      <c r="B10" s="5" t="s">
        <v>174</v>
      </c>
      <c r="C10" s="5" t="s">
        <v>670</v>
      </c>
      <c r="D10" s="35">
        <f>SUMIF(DetailByDistrict[AEA],DetailByAEA!$B10,DetailByDistrict[Total Special Ed Weighting in Addition to 1.0])</f>
        <v>19560.830000000002</v>
      </c>
      <c r="E10" s="38">
        <f>SUMIF(DetailByDistrict[AEA],DetailByAEA!$B10,DetailByDistrict[Budget Enrollment])</f>
        <v>142402.89999999994</v>
      </c>
      <c r="F10" s="35">
        <f>SUMIF(DetailByDistrict[AEA],DetailByAEA!$B10,DetailByDistrict[AEA Weighted Enrollment])</f>
        <v>161963.72999999998</v>
      </c>
      <c r="G10" s="35">
        <f>SUMIF(DetailByDistrict[AEA],DetailByAEA!$B10,DetailByDistrict[AEA Supplementary Weight for Sharing])</f>
        <v>0</v>
      </c>
      <c r="H10" s="4">
        <f>SUMIF(DetailByDistrict[AEA],DetailByAEA!$B10,DetailByDistrict[Resident Accredited Nonpublic Students])</f>
        <v>11598</v>
      </c>
      <c r="I10" s="38">
        <f>SUMIF(DetailByDistrict[AEA],DetailByAEA!$B10,DetailByDistrict[Shared-Time Nonpublic Pupils Counted in Line 1.1])</f>
        <v>100.19999999999999</v>
      </c>
      <c r="J10" s="4">
        <f>SUMIF(DetailByDistrict[AEA],DetailByAEA!$B10,DetailByDistrict[Total Enrollment Served - Media and Ed Services])</f>
        <v>153903</v>
      </c>
    </row>
    <row r="11" spans="2:10" x14ac:dyDescent="0.25">
      <c r="B11" s="5" t="s">
        <v>229</v>
      </c>
      <c r="C11" s="5" t="s">
        <v>671</v>
      </c>
      <c r="D11" s="35">
        <f>SUMIF(DetailByDistrict[AEA],DetailByAEA!$B11,DetailByDistrict[Total Special Ed Weighting in Addition to 1.0])</f>
        <v>5909.4999999999991</v>
      </c>
      <c r="E11" s="38">
        <f>SUMIF(DetailByDistrict[AEA],DetailByAEA!$B11,DetailByDistrict[Budget Enrollment])</f>
        <v>39080.5</v>
      </c>
      <c r="F11" s="35">
        <f>SUMIF(DetailByDistrict[AEA],DetailByAEA!$B11,DetailByDistrict[AEA Weighted Enrollment])</f>
        <v>44990.000000000007</v>
      </c>
      <c r="G11" s="35">
        <f>SUMIF(DetailByDistrict[AEA],DetailByAEA!$B11,DetailByDistrict[AEA Supplementary Weight for Sharing])</f>
        <v>84.330000000000013</v>
      </c>
      <c r="H11" s="4">
        <f>SUMIF(DetailByDistrict[AEA],DetailByAEA!$B11,DetailByDistrict[Resident Accredited Nonpublic Students])</f>
        <v>5777</v>
      </c>
      <c r="I11" s="38">
        <f>SUMIF(DetailByDistrict[AEA],DetailByAEA!$B11,DetailByDistrict[Shared-Time Nonpublic Pupils Counted in Line 1.1])</f>
        <v>45.8</v>
      </c>
      <c r="J11" s="4">
        <f>SUMIF(DetailByDistrict[AEA],DetailByAEA!$B11,DetailByDistrict[Total Enrollment Served - Media and Ed Services])</f>
        <v>44808</v>
      </c>
    </row>
    <row r="12" spans="2:10" x14ac:dyDescent="0.25">
      <c r="B12" s="5" t="s">
        <v>263</v>
      </c>
      <c r="C12" s="5" t="s">
        <v>672</v>
      </c>
      <c r="D12" s="35">
        <f>SUMIF(DetailByDistrict[AEA],DetailByAEA!$B12,DetailByDistrict[Total Special Ed Weighting in Addition to 1.0])</f>
        <v>6007.66</v>
      </c>
      <c r="E12" s="38">
        <f>SUMIF(DetailByDistrict[AEA],DetailByAEA!$B12,DetailByDistrict[Budget Enrollment])</f>
        <v>36065.799999999988</v>
      </c>
      <c r="F12" s="35">
        <f>SUMIF(DetailByDistrict[AEA],DetailByAEA!$B12,DetailByDistrict[AEA Weighted Enrollment])</f>
        <v>42073.459999999992</v>
      </c>
      <c r="G12" s="35">
        <f>SUMIF(DetailByDistrict[AEA],DetailByAEA!$B12,DetailByDistrict[AEA Supplementary Weight for Sharing])</f>
        <v>85.929999999999993</v>
      </c>
      <c r="H12" s="4">
        <f>SUMIF(DetailByDistrict[AEA],DetailByAEA!$B12,DetailByDistrict[Resident Accredited Nonpublic Students])</f>
        <v>1226</v>
      </c>
      <c r="I12" s="38">
        <f>SUMIF(DetailByDistrict[AEA],DetailByAEA!$B12,DetailByDistrict[Shared-Time Nonpublic Pupils Counted in Line 1.1])</f>
        <v>4</v>
      </c>
      <c r="J12" s="4">
        <f>SUMIF(DetailByDistrict[AEA],DetailByAEA!$B12,DetailByDistrict[Total Enrollment Served - Media and Ed Services])</f>
        <v>37286</v>
      </c>
    </row>
    <row r="13" spans="2:10" x14ac:dyDescent="0.25">
      <c r="B13" s="5" t="s">
        <v>308</v>
      </c>
      <c r="C13" s="5" t="s">
        <v>673</v>
      </c>
      <c r="D13" s="35">
        <f>SUMIF(DetailByDistrict[AEA],DetailByAEA!$B13,DetailByDistrict[Total Special Ed Weighting in Addition to 1.0])</f>
        <v>4803.8099999999995</v>
      </c>
      <c r="E13" s="38">
        <f>SUMIF(DetailByDistrict[AEA],DetailByAEA!$B13,DetailByDistrict[Budget Enrollment])</f>
        <v>33107.499999999993</v>
      </c>
      <c r="F13" s="35">
        <f>SUMIF(DetailByDistrict[AEA],DetailByAEA!$B13,DetailByDistrict[AEA Weighted Enrollment])</f>
        <v>37911.310000000005</v>
      </c>
      <c r="G13" s="35">
        <f>SUMIF(DetailByDistrict[AEA],DetailByAEA!$B13,DetailByDistrict[AEA Supplementary Weight for Sharing])</f>
        <v>86.59</v>
      </c>
      <c r="H13" s="4">
        <f>SUMIF(DetailByDistrict[AEA],DetailByAEA!$B13,DetailByDistrict[Resident Accredited Nonpublic Students])</f>
        <v>1470</v>
      </c>
      <c r="I13" s="38">
        <f>SUMIF(DetailByDistrict[AEA],DetailByAEA!$B13,DetailByDistrict[Shared-Time Nonpublic Pupils Counted in Line 1.1])</f>
        <v>9.1999999999999993</v>
      </c>
      <c r="J13" s="4">
        <f>SUMIF(DetailByDistrict[AEA],DetailByAEA!$B13,DetailByDistrict[Total Enrollment Served - Media and Ed Services])</f>
        <v>34570</v>
      </c>
    </row>
    <row r="14" spans="2:10" ht="15.75" thickBot="1" x14ac:dyDescent="0.3">
      <c r="D14" s="37">
        <f t="shared" ref="D14:E14" si="0">SUM(D5:D13)</f>
        <v>69112.34</v>
      </c>
      <c r="E14" s="36">
        <f t="shared" si="0"/>
        <v>480665.39999999997</v>
      </c>
      <c r="F14" s="37">
        <f>SUM(F5:F13)</f>
        <v>549777.74</v>
      </c>
      <c r="G14" s="37">
        <f t="shared" ref="G14:J14" si="1">SUM(G5:G13)</f>
        <v>596.41</v>
      </c>
      <c r="H14" s="31">
        <f t="shared" si="1"/>
        <v>39356</v>
      </c>
      <c r="I14" s="36">
        <f t="shared" si="1"/>
        <v>293.5</v>
      </c>
      <c r="J14" s="31">
        <f t="shared" si="1"/>
        <v>519731</v>
      </c>
    </row>
    <row r="15" spans="2:10" ht="15.75" thickTop="1" x14ac:dyDescent="0.25"/>
    <row r="16" spans="2:10" ht="60" x14ac:dyDescent="0.25">
      <c r="B16" s="23" t="s">
        <v>343</v>
      </c>
      <c r="C16" s="7" t="s">
        <v>344</v>
      </c>
      <c r="D16" s="6" t="s">
        <v>752</v>
      </c>
      <c r="E16" s="6" t="s">
        <v>753</v>
      </c>
      <c r="F16" s="6" t="s">
        <v>754</v>
      </c>
      <c r="G16" s="6" t="s">
        <v>755</v>
      </c>
    </row>
    <row r="17" spans="2:8" x14ac:dyDescent="0.25">
      <c r="B17" s="5" t="s">
        <v>0</v>
      </c>
      <c r="C17" s="5" t="s">
        <v>665</v>
      </c>
      <c r="D17" s="39">
        <f>_xlfn.MINIFS(DetailByDistrict[AEA Special Ed Support Cost Per Pupil],DetailByDistrict[AEA],$B17)</f>
        <v>363.32</v>
      </c>
      <c r="E17" s="39">
        <f>_xlfn.MINIFS(DetailByDistrict[AEA Media Cost Per Pupil],DetailByDistrict[AEA],$B17)</f>
        <v>65.260000000000005</v>
      </c>
      <c r="F17" s="39">
        <f>_xlfn.MINIFS(DetailByDistrict[AEA Ed Services Cost Per Pupil],DetailByDistrict[AEA],$B17)</f>
        <v>72.69</v>
      </c>
      <c r="G17" s="39">
        <f>_xlfn.MINIFS(DetailByDistrict[AEA Teacher Salary Supplement District Cost Per Pupil],DetailByDistrict[AEA],$B17)</f>
        <v>36.03</v>
      </c>
    </row>
    <row r="18" spans="2:8" x14ac:dyDescent="0.25">
      <c r="B18" s="5" t="s">
        <v>22</v>
      </c>
      <c r="C18" s="5" t="s">
        <v>666</v>
      </c>
      <c r="D18" s="39">
        <f>_xlfn.MINIFS(DetailByDistrict[AEA Special Ed Support Cost Per Pupil],DetailByDistrict[AEA],$B18)</f>
        <v>359.07</v>
      </c>
      <c r="E18" s="39">
        <f>_xlfn.MINIFS(DetailByDistrict[AEA Media Cost Per Pupil],DetailByDistrict[AEA],$B18)</f>
        <v>65.34</v>
      </c>
      <c r="F18" s="39">
        <f>_xlfn.MINIFS(DetailByDistrict[AEA Ed Services Cost Per Pupil],DetailByDistrict[AEA],$B18)</f>
        <v>73.16</v>
      </c>
      <c r="G18" s="39">
        <f>_xlfn.MINIFS(DetailByDistrict[AEA Teacher Salary Supplement District Cost Per Pupil],DetailByDistrict[AEA],$B18)</f>
        <v>37.99</v>
      </c>
    </row>
    <row r="19" spans="2:8" x14ac:dyDescent="0.25">
      <c r="B19" s="5" t="s">
        <v>60</v>
      </c>
      <c r="C19" s="5" t="s">
        <v>667</v>
      </c>
      <c r="D19" s="39">
        <f>_xlfn.MINIFS(DetailByDistrict[AEA Special Ed Support Cost Per Pupil],DetailByDistrict[AEA],$B19)</f>
        <v>352.44</v>
      </c>
      <c r="E19" s="39">
        <f>_xlfn.MINIFS(DetailByDistrict[AEA Media Cost Per Pupil],DetailByDistrict[AEA],$B19)</f>
        <v>65.290000000000006</v>
      </c>
      <c r="F19" s="39">
        <f>_xlfn.MINIFS(DetailByDistrict[AEA Ed Services Cost Per Pupil],DetailByDistrict[AEA],$B19)</f>
        <v>72.78</v>
      </c>
      <c r="G19" s="39">
        <f>_xlfn.MINIFS(DetailByDistrict[AEA Teacher Salary Supplement District Cost Per Pupil],DetailByDistrict[AEA],$B19)</f>
        <v>43.26</v>
      </c>
    </row>
    <row r="20" spans="2:8" x14ac:dyDescent="0.25">
      <c r="B20" s="5" t="s">
        <v>118</v>
      </c>
      <c r="C20" s="5" t="s">
        <v>668</v>
      </c>
      <c r="D20" s="39">
        <f>_xlfn.MINIFS(DetailByDistrict[AEA Special Ed Support Cost Per Pupil],DetailByDistrict[AEA],$B20)</f>
        <v>350.08</v>
      </c>
      <c r="E20" s="39">
        <f>_xlfn.MINIFS(DetailByDistrict[AEA Media Cost Per Pupil],DetailByDistrict[AEA],$B20)</f>
        <v>64.8</v>
      </c>
      <c r="F20" s="39">
        <f>_xlfn.MINIFS(DetailByDistrict[AEA Ed Services Cost Per Pupil],DetailByDistrict[AEA],$B20)</f>
        <v>70.86</v>
      </c>
      <c r="G20" s="39">
        <f>_xlfn.MINIFS(DetailByDistrict[AEA Teacher Salary Supplement District Cost Per Pupil],DetailByDistrict[AEA],$B20)</f>
        <v>32.33</v>
      </c>
    </row>
    <row r="21" spans="2:8" x14ac:dyDescent="0.25">
      <c r="B21" s="5" t="s">
        <v>140</v>
      </c>
      <c r="C21" s="5" t="s">
        <v>669</v>
      </c>
      <c r="D21" s="39">
        <f>_xlfn.MINIFS(DetailByDistrict[AEA Special Ed Support Cost Per Pupil],DetailByDistrict[AEA],$B21)</f>
        <v>348.16</v>
      </c>
      <c r="E21" s="39">
        <f>_xlfn.MINIFS(DetailByDistrict[AEA Media Cost Per Pupil],DetailByDistrict[AEA],$B21)</f>
        <v>64.98</v>
      </c>
      <c r="F21" s="39">
        <f>_xlfn.MINIFS(DetailByDistrict[AEA Ed Services Cost Per Pupil],DetailByDistrict[AEA],$B21)</f>
        <v>71.459999999999994</v>
      </c>
      <c r="G21" s="39">
        <f>_xlfn.MINIFS(DetailByDistrict[AEA Teacher Salary Supplement District Cost Per Pupil],DetailByDistrict[AEA],$B21)</f>
        <v>33.08</v>
      </c>
    </row>
    <row r="22" spans="2:8" x14ac:dyDescent="0.25">
      <c r="B22" s="5" t="s">
        <v>174</v>
      </c>
      <c r="C22" s="5" t="s">
        <v>670</v>
      </c>
      <c r="D22" s="39">
        <f>_xlfn.MINIFS(DetailByDistrict[AEA Special Ed Support Cost Per Pupil],DetailByDistrict[AEA],$B22)</f>
        <v>341.06</v>
      </c>
      <c r="E22" s="39">
        <f>_xlfn.MINIFS(DetailByDistrict[AEA Media Cost Per Pupil],DetailByDistrict[AEA],$B22)</f>
        <v>64.86</v>
      </c>
      <c r="F22" s="39">
        <f>_xlfn.MINIFS(DetailByDistrict[AEA Ed Services Cost Per Pupil],DetailByDistrict[AEA],$B22)</f>
        <v>71.28</v>
      </c>
      <c r="G22" s="39">
        <f>_xlfn.MINIFS(DetailByDistrict[AEA Teacher Salary Supplement District Cost Per Pupil],DetailByDistrict[AEA],$B22)</f>
        <v>29.31</v>
      </c>
    </row>
    <row r="23" spans="2:8" x14ac:dyDescent="0.25">
      <c r="B23" s="5" t="s">
        <v>229</v>
      </c>
      <c r="C23" s="5" t="s">
        <v>671</v>
      </c>
      <c r="D23" s="39">
        <f>_xlfn.MINIFS(DetailByDistrict[AEA Special Ed Support Cost Per Pupil],DetailByDistrict[AEA],$B23)</f>
        <v>355.7</v>
      </c>
      <c r="E23" s="39">
        <f>_xlfn.MINIFS(DetailByDistrict[AEA Media Cost Per Pupil],DetailByDistrict[AEA],$B23)</f>
        <v>65.27</v>
      </c>
      <c r="F23" s="39">
        <f>_xlfn.MINIFS(DetailByDistrict[AEA Ed Services Cost Per Pupil],DetailByDistrict[AEA],$B23)</f>
        <v>73.06</v>
      </c>
      <c r="G23" s="39">
        <f>_xlfn.MINIFS(DetailByDistrict[AEA Teacher Salary Supplement District Cost Per Pupil],DetailByDistrict[AEA],$B23)</f>
        <v>35.869999999999997</v>
      </c>
    </row>
    <row r="24" spans="2:8" x14ac:dyDescent="0.25">
      <c r="B24" s="5" t="s">
        <v>263</v>
      </c>
      <c r="C24" s="5" t="s">
        <v>672</v>
      </c>
      <c r="D24" s="39">
        <f>_xlfn.MINIFS(DetailByDistrict[AEA Special Ed Support Cost Per Pupil],DetailByDistrict[AEA],$B24)</f>
        <v>349.12</v>
      </c>
      <c r="E24" s="39">
        <f>_xlfn.MINIFS(DetailByDistrict[AEA Media Cost Per Pupil],DetailByDistrict[AEA],$B24)</f>
        <v>64.989999999999995</v>
      </c>
      <c r="F24" s="39">
        <f>_xlfn.MINIFS(DetailByDistrict[AEA Ed Services Cost Per Pupil],DetailByDistrict[AEA],$B24)</f>
        <v>71.86</v>
      </c>
      <c r="G24" s="39">
        <f>_xlfn.MINIFS(DetailByDistrict[AEA Teacher Salary Supplement District Cost Per Pupil],DetailByDistrict[AEA],$B24)</f>
        <v>35.85</v>
      </c>
    </row>
    <row r="25" spans="2:8" x14ac:dyDescent="0.25">
      <c r="B25" s="5" t="s">
        <v>308</v>
      </c>
      <c r="C25" s="5" t="s">
        <v>673</v>
      </c>
      <c r="D25" s="39">
        <f>_xlfn.MINIFS(DetailByDistrict[AEA Special Ed Support Cost Per Pupil],DetailByDistrict[AEA],$B25)</f>
        <v>346.48</v>
      </c>
      <c r="E25" s="39">
        <f>_xlfn.MINIFS(DetailByDistrict[AEA Media Cost Per Pupil],DetailByDistrict[AEA],$B25)</f>
        <v>64.959999999999994</v>
      </c>
      <c r="F25" s="39">
        <f>_xlfn.MINIFS(DetailByDistrict[AEA Ed Services Cost Per Pupil],DetailByDistrict[AEA],$B25)</f>
        <v>71.430000000000007</v>
      </c>
      <c r="G25" s="39">
        <f>_xlfn.MINIFS(DetailByDistrict[AEA Teacher Salary Supplement District Cost Per Pupil],DetailByDistrict[AEA],$B25)</f>
        <v>34.86</v>
      </c>
    </row>
    <row r="27" spans="2:8" ht="75" x14ac:dyDescent="0.25">
      <c r="B27" s="23" t="s">
        <v>343</v>
      </c>
      <c r="C27" s="7" t="s">
        <v>344</v>
      </c>
      <c r="D27" s="6" t="s">
        <v>756</v>
      </c>
      <c r="E27" s="6" t="s">
        <v>346</v>
      </c>
      <c r="F27" s="6" t="s">
        <v>757</v>
      </c>
      <c r="G27" s="6" t="s">
        <v>763</v>
      </c>
      <c r="H27" s="6" t="s">
        <v>683</v>
      </c>
    </row>
    <row r="28" spans="2:8" x14ac:dyDescent="0.25">
      <c r="B28" s="5" t="s">
        <v>0</v>
      </c>
      <c r="C28" s="5" t="s">
        <v>665</v>
      </c>
      <c r="D28" s="4">
        <f>SUMIF(DetailByDistrict[AEA],DetailByAEA!$B28,DetailByDistrict[AEA Special Ed Support District Cost without Adjustment])</f>
        <v>11576155</v>
      </c>
      <c r="E28" s="4">
        <f>SUMIF(DetailByDistrict[AEA],DetailByAEA!$B28,DetailByDistrict[AEA Special Ed Support Adjustment])</f>
        <v>47018</v>
      </c>
      <c r="F28" s="4">
        <f>SUMIF(DetailByDistrict[AEA],DetailByAEA!$B28,DetailByDistrict[Special Education Total Cost])</f>
        <v>11623173</v>
      </c>
      <c r="G28" s="4">
        <f>SUMIF(DetailByDistrict[AEA],DetailByAEA!$B28,DetailByDistrict[District/AEA Statewide State Aid Reduction])</f>
        <v>1883523</v>
      </c>
      <c r="H28" s="4">
        <f>F28-G28</f>
        <v>9739650</v>
      </c>
    </row>
    <row r="29" spans="2:8" x14ac:dyDescent="0.25">
      <c r="B29" s="5" t="s">
        <v>22</v>
      </c>
      <c r="C29" s="5" t="s">
        <v>666</v>
      </c>
      <c r="D29" s="4">
        <f>SUMIF(DetailByDistrict[AEA],DetailByAEA!$B29,DetailByDistrict[AEA Special Ed Support District Cost without Adjustment])</f>
        <v>11961182</v>
      </c>
      <c r="E29" s="4">
        <f>SUMIF(DetailByDistrict[AEA],DetailByAEA!$B29,DetailByDistrict[AEA Special Ed Support Adjustment])</f>
        <v>167396</v>
      </c>
      <c r="F29" s="4">
        <f>SUMIF(DetailByDistrict[AEA],DetailByAEA!$B29,DetailByDistrict[Special Education Total Cost])</f>
        <v>12128578</v>
      </c>
      <c r="G29" s="4">
        <f>SUMIF(DetailByDistrict[AEA],DetailByAEA!$B29,DetailByDistrict[District/AEA Statewide State Aid Reduction])</f>
        <v>1969206</v>
      </c>
      <c r="H29" s="4">
        <f t="shared" ref="H29:H36" si="2">F29-G29</f>
        <v>10159372</v>
      </c>
    </row>
    <row r="30" spans="2:8" x14ac:dyDescent="0.25">
      <c r="B30" s="5" t="s">
        <v>60</v>
      </c>
      <c r="C30" s="5" t="s">
        <v>667</v>
      </c>
      <c r="D30" s="4">
        <f>SUMIF(DetailByDistrict[AEA],DetailByAEA!$B30,DetailByDistrict[AEA Special Ed Support District Cost without Adjustment])</f>
        <v>24560553</v>
      </c>
      <c r="E30" s="4">
        <f>SUMIF(DetailByDistrict[AEA],DetailByAEA!$B30,DetailByDistrict[AEA Special Ed Support Adjustment])</f>
        <v>206737</v>
      </c>
      <c r="F30" s="4">
        <f>SUMIF(DetailByDistrict[AEA],DetailByAEA!$B30,DetailByDistrict[Special Education Total Cost])</f>
        <v>24767290</v>
      </c>
      <c r="G30" s="4">
        <f>SUMIF(DetailByDistrict[AEA],DetailByAEA!$B30,DetailByDistrict[District/AEA Statewide State Aid Reduction])</f>
        <v>4119546</v>
      </c>
      <c r="H30" s="4">
        <f t="shared" si="2"/>
        <v>20647744</v>
      </c>
    </row>
    <row r="31" spans="2:8" x14ac:dyDescent="0.25">
      <c r="B31" s="5" t="s">
        <v>118</v>
      </c>
      <c r="C31" s="5" t="s">
        <v>668</v>
      </c>
      <c r="D31" s="4">
        <f>SUMIF(DetailByDistrict[AEA],DetailByAEA!$B31,DetailByDistrict[AEA Special Ed Support District Cost without Adjustment])</f>
        <v>17666093</v>
      </c>
      <c r="E31" s="4">
        <f>SUMIF(DetailByDistrict[AEA],DetailByAEA!$B31,DetailByDistrict[AEA Special Ed Support Adjustment])</f>
        <v>84238</v>
      </c>
      <c r="F31" s="4">
        <f>SUMIF(DetailByDistrict[AEA],DetailByAEA!$B31,DetailByDistrict[Special Education Total Cost])</f>
        <v>17750331</v>
      </c>
      <c r="G31" s="4">
        <f>SUMIF(DetailByDistrict[AEA],DetailByAEA!$B31,DetailByDistrict[District/AEA Statewide State Aid Reduction])</f>
        <v>2983110</v>
      </c>
      <c r="H31" s="4">
        <f t="shared" si="2"/>
        <v>14767221</v>
      </c>
    </row>
    <row r="32" spans="2:8" x14ac:dyDescent="0.25">
      <c r="B32" s="5" t="s">
        <v>140</v>
      </c>
      <c r="C32" s="5" t="s">
        <v>669</v>
      </c>
      <c r="D32" s="4">
        <f>SUMIF(DetailByDistrict[AEA],DetailByAEA!$B32,DetailByDistrict[AEA Special Ed Support District Cost without Adjustment])</f>
        <v>26987736</v>
      </c>
      <c r="E32" s="4">
        <f>SUMIF(DetailByDistrict[AEA],DetailByAEA!$B32,DetailByDistrict[AEA Special Ed Support Adjustment])</f>
        <v>140219</v>
      </c>
      <c r="F32" s="4">
        <f>SUMIF(DetailByDistrict[AEA],DetailByAEA!$B32,DetailByDistrict[Special Education Total Cost])</f>
        <v>27127955</v>
      </c>
      <c r="G32" s="4">
        <f>SUMIF(DetailByDistrict[AEA],DetailByAEA!$B32,DetailByDistrict[District/AEA Statewide State Aid Reduction])</f>
        <v>4582301</v>
      </c>
      <c r="H32" s="4">
        <f t="shared" si="2"/>
        <v>22545654</v>
      </c>
    </row>
    <row r="33" spans="2:9" x14ac:dyDescent="0.25">
      <c r="B33" s="5" t="s">
        <v>174</v>
      </c>
      <c r="C33" s="5" t="s">
        <v>670</v>
      </c>
      <c r="D33" s="4">
        <f>SUMIF(DetailByDistrict[AEA],DetailByAEA!$B33,DetailByDistrict[AEA Special Ed Support District Cost without Adjustment])</f>
        <v>55239348</v>
      </c>
      <c r="E33" s="4">
        <f>SUMIF(DetailByDistrict[AEA],DetailByAEA!$B33,DetailByDistrict[AEA Special Ed Support Adjustment])</f>
        <v>116312</v>
      </c>
      <c r="F33" s="4">
        <f>SUMIF(DetailByDistrict[AEA],DetailByAEA!$B33,DetailByDistrict[Special Education Total Cost])</f>
        <v>55355660</v>
      </c>
      <c r="G33" s="4">
        <f>SUMIF(DetailByDistrict[AEA],DetailByAEA!$B33,DetailByDistrict[District/AEA Statewide State Aid Reduction])</f>
        <v>9574454</v>
      </c>
      <c r="H33" s="4">
        <f t="shared" si="2"/>
        <v>45781206</v>
      </c>
    </row>
    <row r="34" spans="2:9" x14ac:dyDescent="0.25">
      <c r="B34" s="5" t="s">
        <v>229</v>
      </c>
      <c r="C34" s="5" t="s">
        <v>671</v>
      </c>
      <c r="D34" s="4">
        <f>SUMIF(DetailByDistrict[AEA],DetailByAEA!$B34,DetailByDistrict[AEA Special Ed Support District Cost without Adjustment])</f>
        <v>16002942</v>
      </c>
      <c r="E34" s="4">
        <f>SUMIF(DetailByDistrict[AEA],DetailByAEA!$B34,DetailByDistrict[AEA Special Ed Support Adjustment])</f>
        <v>106969</v>
      </c>
      <c r="F34" s="4">
        <f>SUMIF(DetailByDistrict[AEA],DetailByAEA!$B34,DetailByDistrict[Special Education Total Cost])</f>
        <v>16109911</v>
      </c>
      <c r="G34" s="4">
        <f>SUMIF(DetailByDistrict[AEA],DetailByAEA!$B34,DetailByDistrict[District/AEA Statewide State Aid Reduction])</f>
        <v>2659575</v>
      </c>
      <c r="H34" s="4">
        <f t="shared" si="2"/>
        <v>13450336</v>
      </c>
    </row>
    <row r="35" spans="2:9" x14ac:dyDescent="0.25">
      <c r="B35" s="5" t="s">
        <v>263</v>
      </c>
      <c r="C35" s="5" t="s">
        <v>672</v>
      </c>
      <c r="D35" s="4">
        <f>SUMIF(DetailByDistrict[AEA],DetailByAEA!$B35,DetailByDistrict[AEA Special Ed Support District Cost without Adjustment])</f>
        <v>14688682</v>
      </c>
      <c r="E35" s="4">
        <f>SUMIF(DetailByDistrict[AEA],DetailByAEA!$B35,DetailByDistrict[AEA Special Ed Support Adjustment])</f>
        <v>172236</v>
      </c>
      <c r="F35" s="4">
        <f>SUMIF(DetailByDistrict[AEA],DetailByAEA!$B35,DetailByDistrict[Special Education Total Cost])</f>
        <v>14860918</v>
      </c>
      <c r="G35" s="4">
        <f>SUMIF(DetailByDistrict[AEA],DetailByAEA!$B35,DetailByDistrict[District/AEA Statewide State Aid Reduction])</f>
        <v>2487165</v>
      </c>
      <c r="H35" s="4">
        <f t="shared" si="2"/>
        <v>12373753</v>
      </c>
    </row>
    <row r="36" spans="2:9" x14ac:dyDescent="0.25">
      <c r="B36" s="5" t="s">
        <v>308</v>
      </c>
      <c r="C36" s="5" t="s">
        <v>673</v>
      </c>
      <c r="D36" s="4">
        <f>SUMIF(DetailByDistrict[AEA],DetailByAEA!$B36,DetailByDistrict[AEA Special Ed Support District Cost without Adjustment])</f>
        <v>13135510</v>
      </c>
      <c r="E36" s="4">
        <f>SUMIF(DetailByDistrict[AEA],DetailByAEA!$B36,DetailByDistrict[AEA Special Ed Support Adjustment])</f>
        <v>131165</v>
      </c>
      <c r="F36" s="4">
        <f>SUMIF(DetailByDistrict[AEA],DetailByAEA!$B36,DetailByDistrict[Special Education Total Cost])</f>
        <v>13266675</v>
      </c>
      <c r="G36" s="4">
        <f>SUMIF(DetailByDistrict[AEA],DetailByAEA!$B36,DetailByDistrict[District/AEA Statewide State Aid Reduction])</f>
        <v>2241120</v>
      </c>
      <c r="H36" s="4">
        <f t="shared" si="2"/>
        <v>11025555</v>
      </c>
    </row>
    <row r="37" spans="2:9" ht="15.75" thickBot="1" x14ac:dyDescent="0.3">
      <c r="D37" s="31">
        <f t="shared" ref="D37:H37" si="3">SUM(D28:D36)</f>
        <v>191818201</v>
      </c>
      <c r="E37" s="31">
        <f t="shared" si="3"/>
        <v>1172290</v>
      </c>
      <c r="F37" s="31">
        <f t="shared" si="3"/>
        <v>192990491</v>
      </c>
      <c r="G37" s="31">
        <f t="shared" si="3"/>
        <v>32500000</v>
      </c>
      <c r="H37" s="31">
        <f t="shared" si="3"/>
        <v>160490491</v>
      </c>
    </row>
    <row r="38" spans="2:9" ht="15.75" thickTop="1" x14ac:dyDescent="0.25"/>
    <row r="39" spans="2:9" ht="45" x14ac:dyDescent="0.25">
      <c r="B39" s="23" t="s">
        <v>343</v>
      </c>
      <c r="C39" s="7" t="s">
        <v>344</v>
      </c>
      <c r="D39" s="6" t="s">
        <v>738</v>
      </c>
      <c r="E39" s="6" t="s">
        <v>758</v>
      </c>
      <c r="F39" s="6" t="s">
        <v>759</v>
      </c>
      <c r="G39" s="6" t="s">
        <v>739</v>
      </c>
      <c r="H39" s="6" t="s">
        <v>760</v>
      </c>
      <c r="I39" s="6" t="s">
        <v>761</v>
      </c>
    </row>
    <row r="40" spans="2:9" x14ac:dyDescent="0.25">
      <c r="B40" s="5" t="s">
        <v>0</v>
      </c>
      <c r="C40" s="5" t="s">
        <v>665</v>
      </c>
      <c r="D40" s="4">
        <f>SUMIF(DetailByDistrict[AEA],DetailByAEA!$B40,DetailByDistrict[AEA Media Services Nonpublic Portion])</f>
        <v>262085</v>
      </c>
      <c r="E40" s="4">
        <f>SUMIF(DetailByDistrict[AEA],DetailByAEA!$B40,DetailByDistrict[District Media Services])</f>
        <v>1792562</v>
      </c>
      <c r="F40" s="4">
        <f>SUMIF(DetailByDistrict[AEA],DetailByAEA!$B40,DetailByDistrict[Total Media Services])</f>
        <v>2054647</v>
      </c>
      <c r="G40" s="4">
        <f>SUMIF(DetailByDistrict[AEA],DetailByAEA!$B40,DetailByDistrict[AEA Educational Services Nonpublic Portion])</f>
        <v>291923</v>
      </c>
      <c r="H40" s="4">
        <f>SUMIF(DetailByDistrict[AEA],DetailByAEA!$B40,DetailByDistrict[District Educational Services])</f>
        <v>1996651</v>
      </c>
      <c r="I40" s="4">
        <f>SUMIF(DetailByDistrict[AEA],DetailByAEA!$B40,DetailByDistrict[Total Educational Services])</f>
        <v>2288574</v>
      </c>
    </row>
    <row r="41" spans="2:9" x14ac:dyDescent="0.25">
      <c r="B41" s="5" t="s">
        <v>22</v>
      </c>
      <c r="C41" s="5" t="s">
        <v>666</v>
      </c>
      <c r="D41" s="4">
        <f>SUMIF(DetailByDistrict[AEA],DetailByAEA!$B41,DetailByDistrict[AEA Media Services Nonpublic Portion])</f>
        <v>150479</v>
      </c>
      <c r="E41" s="4">
        <f>SUMIF(DetailByDistrict[AEA],DetailByAEA!$B41,DetailByDistrict[District Media Services])</f>
        <v>1928444</v>
      </c>
      <c r="F41" s="4">
        <f>SUMIF(DetailByDistrict[AEA],DetailByAEA!$B41,DetailByDistrict[Total Media Services])</f>
        <v>2078923</v>
      </c>
      <c r="G41" s="4">
        <f>SUMIF(DetailByDistrict[AEA],DetailByAEA!$B41,DetailByDistrict[AEA Educational Services Nonpublic Portion])</f>
        <v>168486</v>
      </c>
      <c r="H41" s="4">
        <f>SUMIF(DetailByDistrict[AEA],DetailByAEA!$B41,DetailByDistrict[District Educational Services])</f>
        <v>2159246</v>
      </c>
      <c r="I41" s="4">
        <f>SUMIF(DetailByDistrict[AEA],DetailByAEA!$B41,DetailByDistrict[Total Educational Services])</f>
        <v>2327732</v>
      </c>
    </row>
    <row r="42" spans="2:9" x14ac:dyDescent="0.25">
      <c r="B42" s="5" t="s">
        <v>60</v>
      </c>
      <c r="C42" s="5" t="s">
        <v>667</v>
      </c>
      <c r="D42" s="4">
        <f>SUMIF(DetailByDistrict[AEA],DetailByAEA!$B42,DetailByDistrict[AEA Media Services Nonpublic Portion])</f>
        <v>253193</v>
      </c>
      <c r="E42" s="4">
        <f>SUMIF(DetailByDistrict[AEA],DetailByAEA!$B42,DetailByDistrict[District Media Services])</f>
        <v>3931114</v>
      </c>
      <c r="F42" s="4">
        <f>SUMIF(DetailByDistrict[AEA],DetailByAEA!$B42,DetailByDistrict[Total Media Services])</f>
        <v>4184307</v>
      </c>
      <c r="G42" s="4">
        <f>SUMIF(DetailByDistrict[AEA],DetailByAEA!$B42,DetailByDistrict[AEA Educational Services Nonpublic Portion])</f>
        <v>282243</v>
      </c>
      <c r="H42" s="4">
        <f>SUMIF(DetailByDistrict[AEA],DetailByAEA!$B42,DetailByDistrict[District Educational Services])</f>
        <v>4382083</v>
      </c>
      <c r="I42" s="4">
        <f>SUMIF(DetailByDistrict[AEA],DetailByAEA!$B42,DetailByDistrict[Total Educational Services])</f>
        <v>4664326</v>
      </c>
    </row>
    <row r="43" spans="2:9" x14ac:dyDescent="0.25">
      <c r="B43" s="5" t="s">
        <v>118</v>
      </c>
      <c r="C43" s="5" t="s">
        <v>668</v>
      </c>
      <c r="D43" s="4">
        <f>SUMIF(DetailByDistrict[AEA],DetailByAEA!$B43,DetailByDistrict[AEA Media Services Nonpublic Portion])</f>
        <v>245851</v>
      </c>
      <c r="E43" s="4">
        <f>SUMIF(DetailByDistrict[AEA],DetailByAEA!$B43,DetailByDistrict[District Media Services])</f>
        <v>2833641</v>
      </c>
      <c r="F43" s="4">
        <f>SUMIF(DetailByDistrict[AEA],DetailByAEA!$B43,DetailByDistrict[Total Media Services])</f>
        <v>3079492</v>
      </c>
      <c r="G43" s="4">
        <f>SUMIF(DetailByDistrict[AEA],DetailByAEA!$B43,DetailByDistrict[AEA Educational Services Nonpublic Portion])</f>
        <v>268841</v>
      </c>
      <c r="H43" s="4">
        <f>SUMIF(DetailByDistrict[AEA],DetailByAEA!$B43,DetailByDistrict[District Educational Services])</f>
        <v>3098639</v>
      </c>
      <c r="I43" s="4">
        <f>SUMIF(DetailByDistrict[AEA],DetailByAEA!$B43,DetailByDistrict[Total Educational Services])</f>
        <v>3367480</v>
      </c>
    </row>
    <row r="44" spans="2:9" x14ac:dyDescent="0.25">
      <c r="B44" s="5" t="s">
        <v>140</v>
      </c>
      <c r="C44" s="5" t="s">
        <v>669</v>
      </c>
      <c r="D44" s="4">
        <f>SUMIF(DetailByDistrict[AEA],DetailByAEA!$B44,DetailByDistrict[AEA Media Services Nonpublic Portion])</f>
        <v>344008</v>
      </c>
      <c r="E44" s="4">
        <f>SUMIF(DetailByDistrict[AEA],DetailByAEA!$B44,DetailByDistrict[District Media Services])</f>
        <v>4480891</v>
      </c>
      <c r="F44" s="4">
        <f>SUMIF(DetailByDistrict[AEA],DetailByAEA!$B44,DetailByDistrict[Total Media Services])</f>
        <v>4824899</v>
      </c>
      <c r="G44" s="4">
        <f>SUMIF(DetailByDistrict[AEA],DetailByAEA!$B44,DetailByDistrict[AEA Educational Services Nonpublic Portion])</f>
        <v>378309</v>
      </c>
      <c r="H44" s="4">
        <f>SUMIF(DetailByDistrict[AEA],DetailByAEA!$B44,DetailByDistrict[District Educational Services])</f>
        <v>4927738</v>
      </c>
      <c r="I44" s="4">
        <f>SUMIF(DetailByDistrict[AEA],DetailByAEA!$B44,DetailByDistrict[Total Educational Services])</f>
        <v>5306047</v>
      </c>
    </row>
    <row r="45" spans="2:9" x14ac:dyDescent="0.25">
      <c r="B45" s="5" t="s">
        <v>174</v>
      </c>
      <c r="C45" s="5" t="s">
        <v>670</v>
      </c>
      <c r="D45" s="4">
        <f>SUMIF(DetailByDistrict[AEA],DetailByAEA!$B45,DetailByDistrict[AEA Media Services Nonpublic Portion])</f>
        <v>752248</v>
      </c>
      <c r="E45" s="4">
        <f>SUMIF(DetailByDistrict[AEA],DetailByAEA!$B45,DetailByDistrict[District Media Services])</f>
        <v>9229904</v>
      </c>
      <c r="F45" s="4">
        <f>SUMIF(DetailByDistrict[AEA],DetailByAEA!$B45,DetailByDistrict[Total Media Services])</f>
        <v>9982152</v>
      </c>
      <c r="G45" s="4">
        <f>SUMIF(DetailByDistrict[AEA],DetailByAEA!$B45,DetailByDistrict[AEA Educational Services Nonpublic Portion])</f>
        <v>826706</v>
      </c>
      <c r="H45" s="4">
        <f>SUMIF(DetailByDistrict[AEA],DetailByAEA!$B45,DetailByDistrict[District Educational Services])</f>
        <v>10143500</v>
      </c>
      <c r="I45" s="4">
        <f>SUMIF(DetailByDistrict[AEA],DetailByAEA!$B45,DetailByDistrict[Total Educational Services])</f>
        <v>10970206</v>
      </c>
    </row>
    <row r="46" spans="2:9" x14ac:dyDescent="0.25">
      <c r="B46" s="5" t="s">
        <v>229</v>
      </c>
      <c r="C46" s="5" t="s">
        <v>671</v>
      </c>
      <c r="D46" s="4">
        <f>SUMIF(DetailByDistrict[AEA],DetailByAEA!$B46,DetailByDistrict[AEA Media Services Nonpublic Portion])</f>
        <v>377069</v>
      </c>
      <c r="E46" s="4">
        <f>SUMIF(DetailByDistrict[AEA],DetailByAEA!$B46,DetailByDistrict[District Media Services])</f>
        <v>2547549</v>
      </c>
      <c r="F46" s="4">
        <f>SUMIF(DetailByDistrict[AEA],DetailByAEA!$B46,DetailByDistrict[Total Media Services])</f>
        <v>2924618</v>
      </c>
      <c r="G46" s="4">
        <f>SUMIF(DetailByDistrict[AEA],DetailByAEA!$B46,DetailByDistrict[AEA Educational Services Nonpublic Portion])</f>
        <v>422065</v>
      </c>
      <c r="H46" s="4">
        <f>SUMIF(DetailByDistrict[AEA],DetailByAEA!$B46,DetailByDistrict[District Educational Services])</f>
        <v>2851607</v>
      </c>
      <c r="I46" s="4">
        <f>SUMIF(DetailByDistrict[AEA],DetailByAEA!$B46,DetailByDistrict[Total Educational Services])</f>
        <v>3273672</v>
      </c>
    </row>
    <row r="47" spans="2:9" x14ac:dyDescent="0.25">
      <c r="B47" s="5" t="s">
        <v>263</v>
      </c>
      <c r="C47" s="5" t="s">
        <v>672</v>
      </c>
      <c r="D47" s="4">
        <f>SUMIF(DetailByDistrict[AEA],DetailByAEA!$B47,DetailByDistrict[AEA Media Services Nonpublic Portion])</f>
        <v>79679</v>
      </c>
      <c r="E47" s="4">
        <f>SUMIF(DetailByDistrict[AEA],DetailByAEA!$B47,DetailByDistrict[District Media Services])</f>
        <v>2343537</v>
      </c>
      <c r="F47" s="4">
        <f>SUMIF(DetailByDistrict[AEA],DetailByAEA!$B47,DetailByDistrict[Total Media Services])</f>
        <v>2423216</v>
      </c>
      <c r="G47" s="4">
        <f>SUMIF(DetailByDistrict[AEA],DetailByAEA!$B47,DetailByDistrict[AEA Educational Services Nonpublic Portion])</f>
        <v>88100</v>
      </c>
      <c r="H47" s="4">
        <f>SUMIF(DetailByDistrict[AEA],DetailByAEA!$B47,DetailByDistrict[District Educational Services])</f>
        <v>2591273</v>
      </c>
      <c r="I47" s="4">
        <f>SUMIF(DetailByDistrict[AEA],DetailByAEA!$B47,DetailByDistrict[Total Educational Services])</f>
        <v>2679373</v>
      </c>
    </row>
    <row r="48" spans="2:9" x14ac:dyDescent="0.25">
      <c r="B48" s="5" t="s">
        <v>308</v>
      </c>
      <c r="C48" s="5" t="s">
        <v>673</v>
      </c>
      <c r="D48" s="4">
        <f>SUMIF(DetailByDistrict[AEA],DetailByAEA!$B48,DetailByDistrict[AEA Media Services Nonpublic Portion])</f>
        <v>95494</v>
      </c>
      <c r="E48" s="4">
        <f>SUMIF(DetailByDistrict[AEA],DetailByAEA!$B48,DetailByDistrict[District Media Services])</f>
        <v>2150172</v>
      </c>
      <c r="F48" s="4">
        <f>SUMIF(DetailByDistrict[AEA],DetailByAEA!$B48,DetailByDistrict[Total Media Services])</f>
        <v>2245666</v>
      </c>
      <c r="G48" s="4">
        <f>SUMIF(DetailByDistrict[AEA],DetailByAEA!$B48,DetailByDistrict[AEA Educational Services Nonpublic Portion])</f>
        <v>105003</v>
      </c>
      <c r="H48" s="4">
        <f>SUMIF(DetailByDistrict[AEA],DetailByAEA!$B48,DetailByDistrict[District Educational Services])</f>
        <v>2364334</v>
      </c>
      <c r="I48" s="4">
        <f>SUMIF(DetailByDistrict[AEA],DetailByAEA!$B48,DetailByDistrict[Total Educational Services])</f>
        <v>2469337</v>
      </c>
    </row>
    <row r="49" spans="2:9" ht="15.75" thickBot="1" x14ac:dyDescent="0.3">
      <c r="D49" s="31">
        <f t="shared" ref="D49:I49" si="4">SUM(D40:D48)</f>
        <v>2560106</v>
      </c>
      <c r="E49" s="31">
        <f t="shared" si="4"/>
        <v>31237814</v>
      </c>
      <c r="F49" s="31">
        <f t="shared" si="4"/>
        <v>33797920</v>
      </c>
      <c r="G49" s="31">
        <f t="shared" si="4"/>
        <v>2831676</v>
      </c>
      <c r="H49" s="31">
        <f t="shared" si="4"/>
        <v>34515071</v>
      </c>
      <c r="I49" s="31">
        <f t="shared" si="4"/>
        <v>37346747</v>
      </c>
    </row>
    <row r="50" spans="2:9" ht="15.75" thickTop="1" x14ac:dyDescent="0.25"/>
    <row r="51" spans="2:9" ht="60" x14ac:dyDescent="0.25">
      <c r="B51" s="23" t="s">
        <v>343</v>
      </c>
      <c r="C51" s="7" t="s">
        <v>344</v>
      </c>
      <c r="D51" s="6" t="s">
        <v>762</v>
      </c>
      <c r="E51" s="6" t="s">
        <v>341</v>
      </c>
    </row>
    <row r="52" spans="2:9" x14ac:dyDescent="0.25">
      <c r="B52" s="5" t="s">
        <v>0</v>
      </c>
      <c r="C52" s="5" t="s">
        <v>665</v>
      </c>
      <c r="D52" s="4">
        <f>SUMIF(DetailByDistrict[AEA],DetailByAEA!$B52,DetailByDistrict[AEA Sharing District Cost])</f>
        <v>30000</v>
      </c>
      <c r="E52" s="4">
        <f>SUMIF(DetailByDistrict[AEA],DetailByAEA!$B52,DetailByDistrict[AEA Teacher Salary Supplement District Cost])</f>
        <v>1151859</v>
      </c>
    </row>
    <row r="53" spans="2:9" x14ac:dyDescent="0.25">
      <c r="B53" s="5" t="s">
        <v>22</v>
      </c>
      <c r="C53" s="5" t="s">
        <v>666</v>
      </c>
      <c r="D53" s="4">
        <f>SUMIF(DetailByDistrict[AEA],DetailByAEA!$B53,DetailByDistrict[AEA Sharing District Cost])</f>
        <v>0</v>
      </c>
      <c r="E53" s="4">
        <f>SUMIF(DetailByDistrict[AEA],DetailByAEA!$B53,DetailByDistrict[AEA Teacher Salary Supplement District Cost])</f>
        <v>1276124</v>
      </c>
    </row>
    <row r="54" spans="2:9" x14ac:dyDescent="0.25">
      <c r="B54" s="5" t="s">
        <v>60</v>
      </c>
      <c r="C54" s="5" t="s">
        <v>667</v>
      </c>
      <c r="D54" s="4">
        <f>SUMIF(DetailByDistrict[AEA],DetailByAEA!$B54,DetailByDistrict[AEA Sharing District Cost])</f>
        <v>30000</v>
      </c>
      <c r="E54" s="4">
        <f>SUMIF(DetailByDistrict[AEA],DetailByAEA!$B54,DetailByDistrict[AEA Teacher Salary Supplement District Cost])</f>
        <v>3032137</v>
      </c>
    </row>
    <row r="55" spans="2:9" x14ac:dyDescent="0.25">
      <c r="B55" s="5" t="s">
        <v>118</v>
      </c>
      <c r="C55" s="5" t="s">
        <v>668</v>
      </c>
      <c r="D55" s="4">
        <f>SUMIF(DetailByDistrict[AEA],DetailByAEA!$B55,DetailByDistrict[AEA Sharing District Cost])</f>
        <v>30000</v>
      </c>
      <c r="E55" s="4">
        <f>SUMIF(DetailByDistrict[AEA],DetailByAEA!$B55,DetailByDistrict[AEA Teacher Salary Supplement District Cost])</f>
        <v>1634071</v>
      </c>
    </row>
    <row r="56" spans="2:9" x14ac:dyDescent="0.25">
      <c r="B56" s="5" t="s">
        <v>140</v>
      </c>
      <c r="C56" s="5" t="s">
        <v>669</v>
      </c>
      <c r="D56" s="4">
        <f>SUMIF(DetailByDistrict[AEA],DetailByAEA!$B56,DetailByDistrict[AEA Sharing District Cost])</f>
        <v>30001</v>
      </c>
      <c r="E56" s="4">
        <f>SUMIF(DetailByDistrict[AEA],DetailByAEA!$B56,DetailByDistrict[AEA Teacher Salary Supplement District Cost])</f>
        <v>2570057</v>
      </c>
    </row>
    <row r="57" spans="2:9" x14ac:dyDescent="0.25">
      <c r="B57" s="5" t="s">
        <v>174</v>
      </c>
      <c r="C57" s="5" t="s">
        <v>670</v>
      </c>
      <c r="D57" s="4">
        <f>SUMIF(DetailByDistrict[AEA],DetailByAEA!$B57,DetailByDistrict[AEA Sharing District Cost])</f>
        <v>0</v>
      </c>
      <c r="E57" s="4">
        <f>SUMIF(DetailByDistrict[AEA],DetailByAEA!$B57,DetailByDistrict[AEA Teacher Salary Supplement District Cost])</f>
        <v>4753653</v>
      </c>
    </row>
    <row r="58" spans="2:9" x14ac:dyDescent="0.25">
      <c r="B58" s="5" t="s">
        <v>229</v>
      </c>
      <c r="C58" s="5" t="s">
        <v>671</v>
      </c>
      <c r="D58" s="4">
        <f>SUMIF(DetailByDistrict[AEA],DetailByAEA!$B58,DetailByDistrict[AEA Sharing District Cost])</f>
        <v>30000</v>
      </c>
      <c r="E58" s="4">
        <f>SUMIF(DetailByDistrict[AEA],DetailByAEA!$B58,DetailByDistrict[AEA Teacher Salary Supplement District Cost])</f>
        <v>1619590</v>
      </c>
    </row>
    <row r="59" spans="2:9" x14ac:dyDescent="0.25">
      <c r="B59" s="5" t="s">
        <v>263</v>
      </c>
      <c r="C59" s="5" t="s">
        <v>672</v>
      </c>
      <c r="D59" s="4">
        <f>SUMIF(DetailByDistrict[AEA],DetailByAEA!$B59,DetailByDistrict[AEA Sharing District Cost])</f>
        <v>30000</v>
      </c>
      <c r="E59" s="4">
        <f>SUMIF(DetailByDistrict[AEA],DetailByAEA!$B59,DetailByDistrict[AEA Teacher Salary Supplement District Cost])</f>
        <v>1519471</v>
      </c>
    </row>
    <row r="60" spans="2:9" x14ac:dyDescent="0.25">
      <c r="B60" s="5" t="s">
        <v>308</v>
      </c>
      <c r="C60" s="5" t="s">
        <v>673</v>
      </c>
      <c r="D60" s="4">
        <f>SUMIF(DetailByDistrict[AEA],DetailByAEA!$B60,DetailByDistrict[AEA Sharing District Cost])</f>
        <v>30002</v>
      </c>
      <c r="E60" s="4">
        <f>SUMIF(DetailByDistrict[AEA],DetailByAEA!$B60,DetailByDistrict[AEA Teacher Salary Supplement District Cost])</f>
        <v>1327569</v>
      </c>
    </row>
    <row r="61" spans="2:9" ht="15.75" thickBot="1" x14ac:dyDescent="0.3">
      <c r="D61" s="31">
        <f t="shared" ref="D61:E61" si="5">SUM(D52:D60)</f>
        <v>210003</v>
      </c>
      <c r="E61" s="31">
        <f t="shared" si="5"/>
        <v>18884531</v>
      </c>
    </row>
    <row r="62" spans="2:9" ht="15.75" thickTop="1" x14ac:dyDescent="0.25"/>
  </sheetData>
  <pageMargins left="0.7" right="0.7" top="0.75" bottom="0.75" header="0.3" footer="0.3"/>
  <pageSetup scale="86" fitToHeight="0" orientation="landscape" horizontalDpi="1200" verticalDpi="1200" r:id="rId1"/>
  <headerFooter>
    <oddHeader>&amp;C&amp;"-,Bold"&amp;16Department of Management - Final FY 2026 Amounts - 2% SSA - $32.5 million Reduction</oddHeader>
  </headerFooter>
  <rowBreaks count="2" manualBreakCount="2">
    <brk id="26" min="1" max="9" man="1"/>
    <brk id="50" min="1" max="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B8559-2591-40E0-882A-9954C1436EC5}">
  <sheetPr>
    <tabColor rgb="FF00B0F0"/>
    <pageSetUpPr fitToPage="1"/>
  </sheetPr>
  <dimension ref="A1:X330"/>
  <sheetViews>
    <sheetView workbookViewId="0">
      <pane xSplit="8" ySplit="4" topLeftCell="I307" activePane="bottomRight" state="frozen"/>
      <selection pane="topRight" activeCell="H1" sqref="H1"/>
      <selection pane="bottomLeft" activeCell="A4" sqref="A4"/>
      <selection pane="bottomRight"/>
    </sheetView>
  </sheetViews>
  <sheetFormatPr defaultRowHeight="15" x14ac:dyDescent="0.25"/>
  <cols>
    <col min="3" max="3" width="19.28515625" customWidth="1"/>
    <col min="5" max="6" width="0" style="3" hidden="1" customWidth="1"/>
    <col min="8" max="8" width="35.42578125" bestFit="1" customWidth="1"/>
    <col min="9" max="9" width="14.85546875" bestFit="1" customWidth="1"/>
    <col min="10" max="10" width="11.140625" bestFit="1" customWidth="1"/>
    <col min="11" max="11" width="14.140625" bestFit="1" customWidth="1"/>
    <col min="12" max="12" width="11.140625" bestFit="1" customWidth="1"/>
    <col min="13" max="13" width="14" bestFit="1" customWidth="1"/>
    <col min="14" max="14" width="21.42578125" customWidth="1"/>
    <col min="15" max="15" width="17" customWidth="1"/>
    <col min="16" max="16" width="1.42578125" customWidth="1"/>
    <col min="17" max="18" width="16" customWidth="1"/>
    <col min="19" max="19" width="14.85546875" customWidth="1"/>
    <col min="20" max="20" width="12.85546875" customWidth="1"/>
    <col min="21" max="21" width="13.28515625" customWidth="1"/>
    <col min="22" max="22" width="1.42578125" customWidth="1"/>
    <col min="23" max="23" width="13.85546875" customWidth="1"/>
    <col min="24" max="24" width="15.85546875" customWidth="1"/>
  </cols>
  <sheetData>
    <row r="1" spans="1:24" x14ac:dyDescent="0.25">
      <c r="I1" s="9" t="s">
        <v>706</v>
      </c>
      <c r="J1" s="9" t="s">
        <v>715</v>
      </c>
      <c r="K1" s="9" t="s">
        <v>707</v>
      </c>
      <c r="L1" s="9" t="s">
        <v>715</v>
      </c>
      <c r="M1" s="9" t="s">
        <v>708</v>
      </c>
      <c r="N1" s="9" t="s">
        <v>715</v>
      </c>
      <c r="O1" s="9" t="s">
        <v>715</v>
      </c>
      <c r="Q1" s="9" t="s">
        <v>715</v>
      </c>
      <c r="R1" s="9" t="s">
        <v>708</v>
      </c>
      <c r="S1" s="9" t="s">
        <v>715</v>
      </c>
      <c r="T1" s="9" t="s">
        <v>715</v>
      </c>
      <c r="U1" s="9" t="s">
        <v>715</v>
      </c>
      <c r="W1" s="9" t="s">
        <v>715</v>
      </c>
      <c r="X1" s="9" t="s">
        <v>715</v>
      </c>
    </row>
    <row r="2" spans="1:24" x14ac:dyDescent="0.25">
      <c r="I2" s="9" t="s">
        <v>709</v>
      </c>
      <c r="J2" s="9" t="s">
        <v>710</v>
      </c>
      <c r="K2" s="9" t="s">
        <v>711</v>
      </c>
      <c r="L2" s="9" t="s">
        <v>712</v>
      </c>
      <c r="M2" s="9" t="s">
        <v>713</v>
      </c>
      <c r="N2" s="9" t="s">
        <v>714</v>
      </c>
      <c r="O2" s="9" t="s">
        <v>723</v>
      </c>
      <c r="Q2" s="9" t="s">
        <v>720</v>
      </c>
      <c r="R2" s="9" t="s">
        <v>721</v>
      </c>
      <c r="S2" s="9" t="s">
        <v>724</v>
      </c>
      <c r="T2" s="9" t="s">
        <v>725</v>
      </c>
      <c r="U2" s="9" t="s">
        <v>727</v>
      </c>
      <c r="W2" s="9" t="s">
        <v>730</v>
      </c>
      <c r="X2" s="9" t="s">
        <v>731</v>
      </c>
    </row>
    <row r="3" spans="1:24" x14ac:dyDescent="0.25">
      <c r="L3" s="9" t="s">
        <v>716</v>
      </c>
      <c r="N3" s="9" t="s">
        <v>717</v>
      </c>
      <c r="O3" s="9" t="s">
        <v>718</v>
      </c>
      <c r="S3" s="9" t="s">
        <v>722</v>
      </c>
      <c r="T3" s="9" t="s">
        <v>726</v>
      </c>
      <c r="U3" s="9" t="s">
        <v>728</v>
      </c>
      <c r="W3" s="9" t="s">
        <v>732</v>
      </c>
      <c r="X3" s="9" t="s">
        <v>733</v>
      </c>
    </row>
    <row r="4" spans="1:24" ht="90" x14ac:dyDescent="0.25">
      <c r="A4" s="7" t="s">
        <v>688</v>
      </c>
      <c r="B4" s="23" t="s">
        <v>734</v>
      </c>
      <c r="C4" s="18" t="s">
        <v>735</v>
      </c>
      <c r="D4" s="7" t="s">
        <v>664</v>
      </c>
      <c r="E4" s="21" t="s">
        <v>689</v>
      </c>
      <c r="F4" s="21" t="s">
        <v>690</v>
      </c>
      <c r="G4" s="7" t="s">
        <v>691</v>
      </c>
      <c r="H4" s="7" t="s">
        <v>692</v>
      </c>
      <c r="I4" s="6" t="s">
        <v>680</v>
      </c>
      <c r="J4" s="6" t="s">
        <v>676</v>
      </c>
      <c r="K4" s="6" t="s">
        <v>342</v>
      </c>
      <c r="L4" s="6" t="s">
        <v>677</v>
      </c>
      <c r="M4" s="6" t="s">
        <v>346</v>
      </c>
      <c r="N4" s="6" t="s">
        <v>683</v>
      </c>
      <c r="O4" s="10" t="s">
        <v>684</v>
      </c>
      <c r="P4" s="12"/>
      <c r="Q4" s="6" t="str">
        <f>Breakdown[[#Headers],[Special Education Property Tax Portion]]</f>
        <v>Special Education Property Tax Portion</v>
      </c>
      <c r="R4" s="6" t="str">
        <f>Breakdown[[#Headers],[AEA Special Ed Support Adjustment]]</f>
        <v>AEA Special Ed Support Adjustment</v>
      </c>
      <c r="S4" s="13" t="s">
        <v>685</v>
      </c>
      <c r="T4" s="16" t="s">
        <v>687</v>
      </c>
      <c r="U4" s="18" t="s">
        <v>686</v>
      </c>
      <c r="V4" s="12"/>
      <c r="W4" s="6" t="s">
        <v>737</v>
      </c>
      <c r="X4" s="6" t="s">
        <v>729</v>
      </c>
    </row>
    <row r="5" spans="1:24" x14ac:dyDescent="0.25">
      <c r="A5" s="5">
        <v>2026</v>
      </c>
      <c r="B5" s="5" t="s">
        <v>174</v>
      </c>
      <c r="C5" s="24" t="s">
        <v>174</v>
      </c>
      <c r="D5" s="5" t="s">
        <v>175</v>
      </c>
      <c r="E5" s="22" t="s">
        <v>693</v>
      </c>
      <c r="F5" s="22" t="s">
        <v>693</v>
      </c>
      <c r="G5" s="5" t="s">
        <v>175</v>
      </c>
      <c r="H5" s="5" t="s">
        <v>505</v>
      </c>
      <c r="I5" s="4">
        <f>INDEX(Breakdown[],MATCH($D5,Breakdown[Dist],0),MATCH(I$4,Breakdown[#Headers],0))</f>
        <v>113866</v>
      </c>
      <c r="J5" s="4">
        <f>INDEX(Breakdown[],MATCH($D5,Breakdown[Dist],0),MATCH(J$4,Breakdown[#Headers],0))</f>
        <v>92145</v>
      </c>
      <c r="K5" s="4">
        <f>INDEX(Breakdown[],MATCH($D5,Breakdown[Dist],0),MATCH(K$4,Breakdown[#Headers],0))</f>
        <v>19736</v>
      </c>
      <c r="L5" s="4">
        <f>INDEX(Breakdown[],MATCH($D5,Breakdown[Dist],0),MATCH(L$4,Breakdown[#Headers],0))</f>
        <v>72409</v>
      </c>
      <c r="M5" s="4">
        <f>INDEX(Breakdown[],MATCH($D5,Breakdown[Dist],0),MATCH(M$4,Breakdown[#Headers],0))</f>
        <v>1802</v>
      </c>
      <c r="N5" s="4">
        <f>I5-K5+M5</f>
        <v>95932</v>
      </c>
      <c r="O5" s="15">
        <f>ROUND(N5*0.1,0)</f>
        <v>9593</v>
      </c>
      <c r="P5" s="12"/>
      <c r="Q5" s="4">
        <f>INDEX(Breakdown[],MATCH($D5,Breakdown[Dist],0),MATCH(Q$4,Breakdown[#Headers],0))</f>
        <v>21721</v>
      </c>
      <c r="R5" s="4">
        <f>INDEX(Breakdown[],MATCH($D5,Breakdown[Dist],0),MATCH(R$4,Breakdown[#Headers],0))</f>
        <v>1802</v>
      </c>
      <c r="S5" s="14">
        <f>SUM(Q5:R5)</f>
        <v>23523</v>
      </c>
      <c r="T5" s="17">
        <f>L5-O5</f>
        <v>62816</v>
      </c>
      <c r="U5" s="19">
        <f>SUM(S5:T5)</f>
        <v>86339</v>
      </c>
      <c r="V5" s="12"/>
      <c r="W5" s="20">
        <f>O5/N5</f>
        <v>9.9997915189926193E-2</v>
      </c>
      <c r="X5" s="20">
        <f>U5/N5</f>
        <v>0.90000208481007382</v>
      </c>
    </row>
    <row r="6" spans="1:24" x14ac:dyDescent="0.25">
      <c r="A6" s="5">
        <v>2026</v>
      </c>
      <c r="B6" s="5" t="s">
        <v>174</v>
      </c>
      <c r="C6" s="24" t="s">
        <v>174</v>
      </c>
      <c r="D6" s="5" t="s">
        <v>176</v>
      </c>
      <c r="E6" s="22" t="s">
        <v>693</v>
      </c>
      <c r="F6" s="22" t="s">
        <v>693</v>
      </c>
      <c r="G6" s="5" t="s">
        <v>176</v>
      </c>
      <c r="H6" s="5" t="s">
        <v>506</v>
      </c>
      <c r="I6" s="4">
        <f>INDEX(Breakdown[],MATCH($D6,Breakdown[Dist],0),MATCH(I$4,Breakdown[#Headers],0))</f>
        <v>828554</v>
      </c>
      <c r="J6" s="4">
        <f>INDEX(Breakdown[],MATCH($D6,Breakdown[Dist],0),MATCH(J$4,Breakdown[#Headers],0))</f>
        <v>670501</v>
      </c>
      <c r="K6" s="4">
        <f>INDEX(Breakdown[],MATCH($D6,Breakdown[Dist],0),MATCH(K$4,Breakdown[#Headers],0))</f>
        <v>143611</v>
      </c>
      <c r="L6" s="4">
        <f>INDEX(Breakdown[],MATCH($D6,Breakdown[Dist],0),MATCH(L$4,Breakdown[#Headers],0))</f>
        <v>526890</v>
      </c>
      <c r="M6" s="4">
        <f>INDEX(Breakdown[],MATCH($D6,Breakdown[Dist],0),MATCH(M$4,Breakdown[#Headers],0))</f>
        <v>0</v>
      </c>
      <c r="N6" s="4">
        <f t="shared" ref="N6:N69" si="0">I6-K6+M6</f>
        <v>684943</v>
      </c>
      <c r="O6" s="15">
        <f t="shared" ref="O6:O69" si="1">ROUND(N6*0.1,0)</f>
        <v>68494</v>
      </c>
      <c r="P6" s="12"/>
      <c r="Q6" s="4">
        <f>INDEX(Breakdown[],MATCH($D6,Breakdown[Dist],0),MATCH(Q$4,Breakdown[#Headers],0))</f>
        <v>158053</v>
      </c>
      <c r="R6" s="4">
        <f>INDEX(Breakdown[],MATCH($D6,Breakdown[Dist],0),MATCH(R$4,Breakdown[#Headers],0))</f>
        <v>0</v>
      </c>
      <c r="S6" s="14">
        <f t="shared" ref="S6:S69" si="2">SUM(Q6:R6)</f>
        <v>158053</v>
      </c>
      <c r="T6" s="17">
        <f t="shared" ref="T6:T69" si="3">L6-O6</f>
        <v>458396</v>
      </c>
      <c r="U6" s="19">
        <f t="shared" ref="U6:U69" si="4">SUM(S6:T6)</f>
        <v>616449</v>
      </c>
      <c r="V6" s="12"/>
      <c r="W6" s="20">
        <f t="shared" ref="W6:W69" si="5">O6/N6</f>
        <v>9.999956200734951E-2</v>
      </c>
      <c r="X6" s="20">
        <f t="shared" ref="X6:X69" si="6">U6/N6</f>
        <v>0.9000004379926505</v>
      </c>
    </row>
    <row r="7" spans="1:24" x14ac:dyDescent="0.25">
      <c r="A7" s="5">
        <v>2026</v>
      </c>
      <c r="B7" s="5" t="s">
        <v>60</v>
      </c>
      <c r="C7" s="24" t="s">
        <v>60</v>
      </c>
      <c r="D7" s="5" t="s">
        <v>61</v>
      </c>
      <c r="E7" s="22" t="s">
        <v>693</v>
      </c>
      <c r="F7" s="22" t="s">
        <v>693</v>
      </c>
      <c r="G7" s="5" t="s">
        <v>61</v>
      </c>
      <c r="H7" s="5" t="s">
        <v>62</v>
      </c>
      <c r="I7" s="4">
        <f>INDEX(Breakdown[],MATCH($D7,Breakdown[Dist],0),MATCH(I$4,Breakdown[#Headers],0))</f>
        <v>281388</v>
      </c>
      <c r="J7" s="4">
        <f>INDEX(Breakdown[],MATCH($D7,Breakdown[Dist],0),MATCH(J$4,Breakdown[#Headers],0))</f>
        <v>220358</v>
      </c>
      <c r="K7" s="4">
        <f>INDEX(Breakdown[],MATCH($D7,Breakdown[Dist],0),MATCH(K$4,Breakdown[#Headers],0))</f>
        <v>47198</v>
      </c>
      <c r="L7" s="4">
        <f>INDEX(Breakdown[],MATCH($D7,Breakdown[Dist],0),MATCH(L$4,Breakdown[#Headers],0))</f>
        <v>173160</v>
      </c>
      <c r="M7" s="4">
        <f>INDEX(Breakdown[],MATCH($D7,Breakdown[Dist],0),MATCH(M$4,Breakdown[#Headers],0))</f>
        <v>4081</v>
      </c>
      <c r="N7" s="4">
        <f t="shared" si="0"/>
        <v>238271</v>
      </c>
      <c r="O7" s="15">
        <f t="shared" si="1"/>
        <v>23827</v>
      </c>
      <c r="P7" s="12"/>
      <c r="Q7" s="4">
        <f>INDEX(Breakdown[],MATCH($D7,Breakdown[Dist],0),MATCH(Q$4,Breakdown[#Headers],0))</f>
        <v>61030</v>
      </c>
      <c r="R7" s="4">
        <f>INDEX(Breakdown[],MATCH($D7,Breakdown[Dist],0),MATCH(R$4,Breakdown[#Headers],0))</f>
        <v>4081</v>
      </c>
      <c r="S7" s="14">
        <f t="shared" si="2"/>
        <v>65111</v>
      </c>
      <c r="T7" s="17">
        <f t="shared" si="3"/>
        <v>149333</v>
      </c>
      <c r="U7" s="19">
        <f t="shared" si="4"/>
        <v>214444</v>
      </c>
      <c r="V7" s="12"/>
      <c r="W7" s="20">
        <f t="shared" si="5"/>
        <v>9.9999580309815289E-2</v>
      </c>
      <c r="X7" s="20">
        <f t="shared" si="6"/>
        <v>0.90000041969018474</v>
      </c>
    </row>
    <row r="8" spans="1:24" x14ac:dyDescent="0.25">
      <c r="A8" s="5">
        <v>2026</v>
      </c>
      <c r="B8" s="5" t="s">
        <v>263</v>
      </c>
      <c r="C8" s="24" t="s">
        <v>263</v>
      </c>
      <c r="D8" s="5" t="s">
        <v>264</v>
      </c>
      <c r="E8" s="22" t="s">
        <v>693</v>
      </c>
      <c r="F8" s="22" t="s">
        <v>693</v>
      </c>
      <c r="G8" s="5" t="s">
        <v>264</v>
      </c>
      <c r="H8" s="5" t="s">
        <v>591</v>
      </c>
      <c r="I8" s="4">
        <f>INDEX(Breakdown[],MATCH($D8,Breakdown[Dist],0),MATCH(I$4,Breakdown[#Headers],0))</f>
        <v>311331</v>
      </c>
      <c r="J8" s="4">
        <f>INDEX(Breakdown[],MATCH($D8,Breakdown[Dist],0),MATCH(J$4,Breakdown[#Headers],0))</f>
        <v>246126</v>
      </c>
      <c r="K8" s="4">
        <f>INDEX(Breakdown[],MATCH($D8,Breakdown[Dist],0),MATCH(K$4,Breakdown[#Headers],0))</f>
        <v>52716</v>
      </c>
      <c r="L8" s="4">
        <f>INDEX(Breakdown[],MATCH($D8,Breakdown[Dist],0),MATCH(L$4,Breakdown[#Headers],0))</f>
        <v>193410</v>
      </c>
      <c r="M8" s="4">
        <f>INDEX(Breakdown[],MATCH($D8,Breakdown[Dist],0),MATCH(M$4,Breakdown[#Headers],0))</f>
        <v>0</v>
      </c>
      <c r="N8" s="4">
        <f t="shared" si="0"/>
        <v>258615</v>
      </c>
      <c r="O8" s="15">
        <f t="shared" si="1"/>
        <v>25862</v>
      </c>
      <c r="P8" s="12"/>
      <c r="Q8" s="4">
        <f>INDEX(Breakdown[],MATCH($D8,Breakdown[Dist],0),MATCH(Q$4,Breakdown[#Headers],0))</f>
        <v>65205</v>
      </c>
      <c r="R8" s="4">
        <f>INDEX(Breakdown[],MATCH($D8,Breakdown[Dist],0),MATCH(R$4,Breakdown[#Headers],0))</f>
        <v>0</v>
      </c>
      <c r="S8" s="14">
        <f t="shared" si="2"/>
        <v>65205</v>
      </c>
      <c r="T8" s="17">
        <f t="shared" si="3"/>
        <v>167548</v>
      </c>
      <c r="U8" s="19">
        <f t="shared" si="4"/>
        <v>232753</v>
      </c>
      <c r="V8" s="12"/>
      <c r="W8" s="20">
        <f t="shared" si="5"/>
        <v>0.1000019333758676</v>
      </c>
      <c r="X8" s="20">
        <f t="shared" si="6"/>
        <v>0.8999980666241324</v>
      </c>
    </row>
    <row r="9" spans="1:24" x14ac:dyDescent="0.25">
      <c r="A9" s="5">
        <v>2026</v>
      </c>
      <c r="B9" s="5" t="s">
        <v>229</v>
      </c>
      <c r="C9" s="24" t="s">
        <v>229</v>
      </c>
      <c r="D9" s="5" t="s">
        <v>230</v>
      </c>
      <c r="E9" s="22" t="s">
        <v>693</v>
      </c>
      <c r="F9" s="22" t="s">
        <v>693</v>
      </c>
      <c r="G9" s="5" t="s">
        <v>230</v>
      </c>
      <c r="H9" s="5" t="s">
        <v>557</v>
      </c>
      <c r="I9" s="4">
        <f>INDEX(Breakdown[],MATCH($D9,Breakdown[Dist],0),MATCH(I$4,Breakdown[#Headers],0))</f>
        <v>214092</v>
      </c>
      <c r="J9" s="4">
        <f>INDEX(Breakdown[],MATCH($D9,Breakdown[Dist],0),MATCH(J$4,Breakdown[#Headers],0))</f>
        <v>166122</v>
      </c>
      <c r="K9" s="4">
        <f>INDEX(Breakdown[],MATCH($D9,Breakdown[Dist],0),MATCH(K$4,Breakdown[#Headers],0))</f>
        <v>35581</v>
      </c>
      <c r="L9" s="4">
        <f>INDEX(Breakdown[],MATCH($D9,Breakdown[Dist],0),MATCH(L$4,Breakdown[#Headers],0))</f>
        <v>130541</v>
      </c>
      <c r="M9" s="4">
        <f>INDEX(Breakdown[],MATCH($D9,Breakdown[Dist],0),MATCH(M$4,Breakdown[#Headers],0))</f>
        <v>1215</v>
      </c>
      <c r="N9" s="4">
        <f t="shared" si="0"/>
        <v>179726</v>
      </c>
      <c r="O9" s="15">
        <f t="shared" si="1"/>
        <v>17973</v>
      </c>
      <c r="P9" s="12"/>
      <c r="Q9" s="4">
        <f>INDEX(Breakdown[],MATCH($D9,Breakdown[Dist],0),MATCH(Q$4,Breakdown[#Headers],0))</f>
        <v>47970</v>
      </c>
      <c r="R9" s="4">
        <f>INDEX(Breakdown[],MATCH($D9,Breakdown[Dist],0),MATCH(R$4,Breakdown[#Headers],0))</f>
        <v>1215</v>
      </c>
      <c r="S9" s="14">
        <f t="shared" si="2"/>
        <v>49185</v>
      </c>
      <c r="T9" s="17">
        <f t="shared" si="3"/>
        <v>112568</v>
      </c>
      <c r="U9" s="19">
        <f t="shared" si="4"/>
        <v>161753</v>
      </c>
      <c r="V9" s="12"/>
      <c r="W9" s="20">
        <f t="shared" si="5"/>
        <v>0.10000222561009536</v>
      </c>
      <c r="X9" s="20">
        <f t="shared" si="6"/>
        <v>0.89999777438990458</v>
      </c>
    </row>
    <row r="10" spans="1:24" x14ac:dyDescent="0.25">
      <c r="A10" s="5">
        <v>2026</v>
      </c>
      <c r="B10" s="5" t="s">
        <v>22</v>
      </c>
      <c r="C10" s="24" t="s">
        <v>22</v>
      </c>
      <c r="D10" s="5" t="s">
        <v>23</v>
      </c>
      <c r="E10" s="22" t="s">
        <v>693</v>
      </c>
      <c r="F10" s="22" t="s">
        <v>693</v>
      </c>
      <c r="G10" s="5" t="s">
        <v>23</v>
      </c>
      <c r="H10" s="5" t="s">
        <v>369</v>
      </c>
      <c r="I10" s="4">
        <f>INDEX(Breakdown[],MATCH($D10,Breakdown[Dist],0),MATCH(I$4,Breakdown[#Headers],0))</f>
        <v>82726</v>
      </c>
      <c r="J10" s="4">
        <f>INDEX(Breakdown[],MATCH($D10,Breakdown[Dist],0),MATCH(J$4,Breakdown[#Headers],0))</f>
        <v>63588</v>
      </c>
      <c r="K10" s="4">
        <f>INDEX(Breakdown[],MATCH($D10,Breakdown[Dist],0),MATCH(K$4,Breakdown[#Headers],0))</f>
        <v>13620</v>
      </c>
      <c r="L10" s="4">
        <f>INDEX(Breakdown[],MATCH($D10,Breakdown[Dist],0),MATCH(L$4,Breakdown[#Headers],0))</f>
        <v>49968</v>
      </c>
      <c r="M10" s="4">
        <f>INDEX(Breakdown[],MATCH($D10,Breakdown[Dist],0),MATCH(M$4,Breakdown[#Headers],0))</f>
        <v>0</v>
      </c>
      <c r="N10" s="4">
        <f t="shared" si="0"/>
        <v>69106</v>
      </c>
      <c r="O10" s="15">
        <f t="shared" si="1"/>
        <v>6911</v>
      </c>
      <c r="P10" s="12"/>
      <c r="Q10" s="4">
        <f>INDEX(Breakdown[],MATCH($D10,Breakdown[Dist],0),MATCH(Q$4,Breakdown[#Headers],0))</f>
        <v>19138</v>
      </c>
      <c r="R10" s="4">
        <f>INDEX(Breakdown[],MATCH($D10,Breakdown[Dist],0),MATCH(R$4,Breakdown[#Headers],0))</f>
        <v>0</v>
      </c>
      <c r="S10" s="14">
        <f t="shared" si="2"/>
        <v>19138</v>
      </c>
      <c r="T10" s="17">
        <f t="shared" si="3"/>
        <v>43057</v>
      </c>
      <c r="U10" s="19">
        <f t="shared" si="4"/>
        <v>62195</v>
      </c>
      <c r="V10" s="12"/>
      <c r="W10" s="20">
        <f t="shared" si="5"/>
        <v>0.10000578820941741</v>
      </c>
      <c r="X10" s="20">
        <f t="shared" si="6"/>
        <v>0.89999421179058259</v>
      </c>
    </row>
    <row r="11" spans="1:24" x14ac:dyDescent="0.25">
      <c r="A11" s="5">
        <v>2026</v>
      </c>
      <c r="B11" s="5" t="s">
        <v>308</v>
      </c>
      <c r="C11" s="24" t="s">
        <v>308</v>
      </c>
      <c r="D11" s="5" t="s">
        <v>309</v>
      </c>
      <c r="E11" s="22" t="s">
        <v>693</v>
      </c>
      <c r="F11" s="22" t="s">
        <v>693</v>
      </c>
      <c r="G11" s="5" t="s">
        <v>309</v>
      </c>
      <c r="H11" s="5" t="s">
        <v>633</v>
      </c>
      <c r="I11" s="4">
        <f>INDEX(Breakdown[],MATCH($D11,Breakdown[Dist],0),MATCH(I$4,Breakdown[#Headers],0))</f>
        <v>419878</v>
      </c>
      <c r="J11" s="4">
        <f>INDEX(Breakdown[],MATCH($D11,Breakdown[Dist],0),MATCH(J$4,Breakdown[#Headers],0))</f>
        <v>334468</v>
      </c>
      <c r="K11" s="4">
        <f>INDEX(Breakdown[],MATCH($D11,Breakdown[Dist],0),MATCH(K$4,Breakdown[#Headers],0))</f>
        <v>71638</v>
      </c>
      <c r="L11" s="4">
        <f>INDEX(Breakdown[],MATCH($D11,Breakdown[Dist],0),MATCH(L$4,Breakdown[#Headers],0))</f>
        <v>262830</v>
      </c>
      <c r="M11" s="4">
        <f>INDEX(Breakdown[],MATCH($D11,Breakdown[Dist],0),MATCH(M$4,Breakdown[#Headers],0))</f>
        <v>0</v>
      </c>
      <c r="N11" s="4">
        <f t="shared" si="0"/>
        <v>348240</v>
      </c>
      <c r="O11" s="15">
        <f t="shared" si="1"/>
        <v>34824</v>
      </c>
      <c r="P11" s="12"/>
      <c r="Q11" s="4">
        <f>INDEX(Breakdown[],MATCH($D11,Breakdown[Dist],0),MATCH(Q$4,Breakdown[#Headers],0))</f>
        <v>85410</v>
      </c>
      <c r="R11" s="4">
        <f>INDEX(Breakdown[],MATCH($D11,Breakdown[Dist],0),MATCH(R$4,Breakdown[#Headers],0))</f>
        <v>0</v>
      </c>
      <c r="S11" s="14">
        <f t="shared" si="2"/>
        <v>85410</v>
      </c>
      <c r="T11" s="17">
        <f t="shared" si="3"/>
        <v>228006</v>
      </c>
      <c r="U11" s="19">
        <f t="shared" si="4"/>
        <v>313416</v>
      </c>
      <c r="V11" s="12"/>
      <c r="W11" s="20">
        <f t="shared" si="5"/>
        <v>0.1</v>
      </c>
      <c r="X11" s="20">
        <f t="shared" si="6"/>
        <v>0.9</v>
      </c>
    </row>
    <row r="12" spans="1:24" x14ac:dyDescent="0.25">
      <c r="A12" s="5">
        <v>2026</v>
      </c>
      <c r="B12" s="5" t="s">
        <v>140</v>
      </c>
      <c r="C12" s="24" t="s">
        <v>140</v>
      </c>
      <c r="D12" s="5" t="s">
        <v>141</v>
      </c>
      <c r="E12" s="22" t="s">
        <v>693</v>
      </c>
      <c r="F12" s="22" t="s">
        <v>693</v>
      </c>
      <c r="G12" s="5" t="s">
        <v>141</v>
      </c>
      <c r="H12" s="5" t="s">
        <v>474</v>
      </c>
      <c r="I12" s="4">
        <f>INDEX(Breakdown[],MATCH($D12,Breakdown[Dist],0),MATCH(I$4,Breakdown[#Headers],0))</f>
        <v>203952</v>
      </c>
      <c r="J12" s="4">
        <f>INDEX(Breakdown[],MATCH($D12,Breakdown[Dist],0),MATCH(J$4,Breakdown[#Headers],0))</f>
        <v>161681</v>
      </c>
      <c r="K12" s="4">
        <f>INDEX(Breakdown[],MATCH($D12,Breakdown[Dist],0),MATCH(K$4,Breakdown[#Headers],0))</f>
        <v>34629</v>
      </c>
      <c r="L12" s="4">
        <f>INDEX(Breakdown[],MATCH($D12,Breakdown[Dist],0),MATCH(L$4,Breakdown[#Headers],0))</f>
        <v>127052</v>
      </c>
      <c r="M12" s="4">
        <f>INDEX(Breakdown[],MATCH($D12,Breakdown[Dist],0),MATCH(M$4,Breakdown[#Headers],0))</f>
        <v>0</v>
      </c>
      <c r="N12" s="4">
        <f t="shared" si="0"/>
        <v>169323</v>
      </c>
      <c r="O12" s="15">
        <f t="shared" si="1"/>
        <v>16932</v>
      </c>
      <c r="P12" s="12"/>
      <c r="Q12" s="4">
        <f>INDEX(Breakdown[],MATCH($D12,Breakdown[Dist],0),MATCH(Q$4,Breakdown[#Headers],0))</f>
        <v>42271</v>
      </c>
      <c r="R12" s="4">
        <f>INDEX(Breakdown[],MATCH($D12,Breakdown[Dist],0),MATCH(R$4,Breakdown[#Headers],0))</f>
        <v>0</v>
      </c>
      <c r="S12" s="14">
        <f t="shared" si="2"/>
        <v>42271</v>
      </c>
      <c r="T12" s="17">
        <f t="shared" si="3"/>
        <v>110120</v>
      </c>
      <c r="U12" s="19">
        <f t="shared" si="4"/>
        <v>152391</v>
      </c>
      <c r="V12" s="12"/>
      <c r="W12" s="20">
        <f t="shared" si="5"/>
        <v>9.9998228238337372E-2</v>
      </c>
      <c r="X12" s="20">
        <f t="shared" si="6"/>
        <v>0.90000177176166263</v>
      </c>
    </row>
    <row r="13" spans="1:24" x14ac:dyDescent="0.25">
      <c r="A13" s="5">
        <v>2026</v>
      </c>
      <c r="B13" s="5" t="s">
        <v>60</v>
      </c>
      <c r="C13" s="24" t="s">
        <v>60</v>
      </c>
      <c r="D13" s="5" t="s">
        <v>63</v>
      </c>
      <c r="E13" s="22" t="s">
        <v>693</v>
      </c>
      <c r="F13" s="22" t="s">
        <v>693</v>
      </c>
      <c r="G13" s="5" t="s">
        <v>63</v>
      </c>
      <c r="H13" s="5" t="s">
        <v>404</v>
      </c>
      <c r="I13" s="4">
        <f>INDEX(Breakdown[],MATCH($D13,Breakdown[Dist],0),MATCH(I$4,Breakdown[#Headers],0))</f>
        <v>94422</v>
      </c>
      <c r="J13" s="4">
        <f>INDEX(Breakdown[],MATCH($D13,Breakdown[Dist],0),MATCH(J$4,Breakdown[#Headers],0))</f>
        <v>73943</v>
      </c>
      <c r="K13" s="4">
        <f>INDEX(Breakdown[],MATCH($D13,Breakdown[Dist],0),MATCH(K$4,Breakdown[#Headers],0))</f>
        <v>15838</v>
      </c>
      <c r="L13" s="4">
        <f>INDEX(Breakdown[],MATCH($D13,Breakdown[Dist],0),MATCH(L$4,Breakdown[#Headers],0))</f>
        <v>58105</v>
      </c>
      <c r="M13" s="4">
        <f>INDEX(Breakdown[],MATCH($D13,Breakdown[Dist],0),MATCH(M$4,Breakdown[#Headers],0))</f>
        <v>5533</v>
      </c>
      <c r="N13" s="4">
        <f t="shared" si="0"/>
        <v>84117</v>
      </c>
      <c r="O13" s="15">
        <f t="shared" si="1"/>
        <v>8412</v>
      </c>
      <c r="P13" s="12"/>
      <c r="Q13" s="4">
        <f>INDEX(Breakdown[],MATCH($D13,Breakdown[Dist],0),MATCH(Q$4,Breakdown[#Headers],0))</f>
        <v>20479</v>
      </c>
      <c r="R13" s="4">
        <f>INDEX(Breakdown[],MATCH($D13,Breakdown[Dist],0),MATCH(R$4,Breakdown[#Headers],0))</f>
        <v>5533</v>
      </c>
      <c r="S13" s="14">
        <f t="shared" si="2"/>
        <v>26012</v>
      </c>
      <c r="T13" s="17">
        <f t="shared" si="3"/>
        <v>49693</v>
      </c>
      <c r="U13" s="19">
        <f t="shared" si="4"/>
        <v>75705</v>
      </c>
      <c r="V13" s="12"/>
      <c r="W13" s="20">
        <f t="shared" si="5"/>
        <v>0.10000356646100075</v>
      </c>
      <c r="X13" s="20">
        <f t="shared" si="6"/>
        <v>0.89999643353899927</v>
      </c>
    </row>
    <row r="14" spans="1:24" x14ac:dyDescent="0.25">
      <c r="A14" s="5">
        <v>2026</v>
      </c>
      <c r="B14" s="5" t="s">
        <v>22</v>
      </c>
      <c r="C14" s="24" t="s">
        <v>22</v>
      </c>
      <c r="D14" s="5" t="s">
        <v>24</v>
      </c>
      <c r="E14" s="22" t="s">
        <v>694</v>
      </c>
      <c r="F14" s="22" t="s">
        <v>695</v>
      </c>
      <c r="G14" s="5" t="s">
        <v>24</v>
      </c>
      <c r="H14" s="5" t="s">
        <v>370</v>
      </c>
      <c r="I14" s="4">
        <f>INDEX(Breakdown[],MATCH($D14,Breakdown[Dist],0),MATCH(I$4,Breakdown[#Headers],0))</f>
        <v>587022</v>
      </c>
      <c r="J14" s="4">
        <f>INDEX(Breakdown[],MATCH($D14,Breakdown[Dist],0),MATCH(J$4,Breakdown[#Headers],0))</f>
        <v>451216</v>
      </c>
      <c r="K14" s="4">
        <f>INDEX(Breakdown[],MATCH($D14,Breakdown[Dist],0),MATCH(K$4,Breakdown[#Headers],0))</f>
        <v>96643</v>
      </c>
      <c r="L14" s="4">
        <f>INDEX(Breakdown[],MATCH($D14,Breakdown[Dist],0),MATCH(L$4,Breakdown[#Headers],0))</f>
        <v>354573</v>
      </c>
      <c r="M14" s="4">
        <f>INDEX(Breakdown[],MATCH($D14,Breakdown[Dist],0),MATCH(M$4,Breakdown[#Headers],0))</f>
        <v>0</v>
      </c>
      <c r="N14" s="4">
        <f t="shared" si="0"/>
        <v>490379</v>
      </c>
      <c r="O14" s="15">
        <f t="shared" si="1"/>
        <v>49038</v>
      </c>
      <c r="P14" s="12"/>
      <c r="Q14" s="4">
        <f>INDEX(Breakdown[],MATCH($D14,Breakdown[Dist],0),MATCH(Q$4,Breakdown[#Headers],0))</f>
        <v>135806</v>
      </c>
      <c r="R14" s="4">
        <f>INDEX(Breakdown[],MATCH($D14,Breakdown[Dist],0),MATCH(R$4,Breakdown[#Headers],0))</f>
        <v>0</v>
      </c>
      <c r="S14" s="14">
        <f t="shared" si="2"/>
        <v>135806</v>
      </c>
      <c r="T14" s="17">
        <f t="shared" si="3"/>
        <v>305535</v>
      </c>
      <c r="U14" s="19">
        <f t="shared" si="4"/>
        <v>441341</v>
      </c>
      <c r="V14" s="12"/>
      <c r="W14" s="20">
        <f t="shared" si="5"/>
        <v>0.10000020392390375</v>
      </c>
      <c r="X14" s="20">
        <f t="shared" si="6"/>
        <v>0.89999979607609626</v>
      </c>
    </row>
    <row r="15" spans="1:24" x14ac:dyDescent="0.25">
      <c r="A15" s="5">
        <v>2026</v>
      </c>
      <c r="B15" s="5" t="s">
        <v>0</v>
      </c>
      <c r="C15" s="24" t="s">
        <v>0</v>
      </c>
      <c r="D15" s="5" t="s">
        <v>1</v>
      </c>
      <c r="E15" s="22" t="s">
        <v>693</v>
      </c>
      <c r="F15" s="22" t="s">
        <v>693</v>
      </c>
      <c r="G15" s="5" t="s">
        <v>1</v>
      </c>
      <c r="H15" s="5" t="s">
        <v>348</v>
      </c>
      <c r="I15" s="4">
        <f>INDEX(Breakdown[],MATCH($D15,Breakdown[Dist],0),MATCH(I$4,Breakdown[#Headers],0))</f>
        <v>463226</v>
      </c>
      <c r="J15" s="4">
        <f>INDEX(Breakdown[],MATCH($D15,Breakdown[Dist],0),MATCH(J$4,Breakdown[#Headers],0))</f>
        <v>351894</v>
      </c>
      <c r="K15" s="4">
        <f>INDEX(Breakdown[],MATCH($D15,Breakdown[Dist],0),MATCH(K$4,Breakdown[#Headers],0))</f>
        <v>75370</v>
      </c>
      <c r="L15" s="4">
        <f>INDEX(Breakdown[],MATCH($D15,Breakdown[Dist],0),MATCH(L$4,Breakdown[#Headers],0))</f>
        <v>276524</v>
      </c>
      <c r="M15" s="4">
        <f>INDEX(Breakdown[],MATCH($D15,Breakdown[Dist],0),MATCH(M$4,Breakdown[#Headers],0))</f>
        <v>0</v>
      </c>
      <c r="N15" s="4">
        <f t="shared" si="0"/>
        <v>387856</v>
      </c>
      <c r="O15" s="15">
        <f t="shared" si="1"/>
        <v>38786</v>
      </c>
      <c r="P15" s="12"/>
      <c r="Q15" s="4">
        <f>INDEX(Breakdown[],MATCH($D15,Breakdown[Dist],0),MATCH(Q$4,Breakdown[#Headers],0))</f>
        <v>111332</v>
      </c>
      <c r="R15" s="4">
        <f>INDEX(Breakdown[],MATCH($D15,Breakdown[Dist],0),MATCH(R$4,Breakdown[#Headers],0))</f>
        <v>0</v>
      </c>
      <c r="S15" s="14">
        <f t="shared" si="2"/>
        <v>111332</v>
      </c>
      <c r="T15" s="17">
        <f t="shared" si="3"/>
        <v>237738</v>
      </c>
      <c r="U15" s="19">
        <f t="shared" si="4"/>
        <v>349070</v>
      </c>
      <c r="V15" s="12"/>
      <c r="W15" s="20">
        <f t="shared" si="5"/>
        <v>0.1000010313105895</v>
      </c>
      <c r="X15" s="20">
        <f t="shared" si="6"/>
        <v>0.89999896868941054</v>
      </c>
    </row>
    <row r="16" spans="1:24" x14ac:dyDescent="0.25">
      <c r="A16" s="5">
        <v>2026</v>
      </c>
      <c r="B16" s="5" t="s">
        <v>22</v>
      </c>
      <c r="C16" s="24" t="s">
        <v>22</v>
      </c>
      <c r="D16" s="5" t="s">
        <v>25</v>
      </c>
      <c r="E16" s="22" t="s">
        <v>693</v>
      </c>
      <c r="F16" s="22" t="s">
        <v>693</v>
      </c>
      <c r="G16" s="5" t="s">
        <v>25</v>
      </c>
      <c r="H16" s="5" t="s">
        <v>371</v>
      </c>
      <c r="I16" s="4">
        <f>INDEX(Breakdown[],MATCH($D16,Breakdown[Dist],0),MATCH(I$4,Breakdown[#Headers],0))</f>
        <v>334438</v>
      </c>
      <c r="J16" s="4">
        <f>INDEX(Breakdown[],MATCH($D16,Breakdown[Dist],0),MATCH(J$4,Breakdown[#Headers],0))</f>
        <v>257066</v>
      </c>
      <c r="K16" s="4">
        <f>INDEX(Breakdown[],MATCH($D16,Breakdown[Dist],0),MATCH(K$4,Breakdown[#Headers],0))</f>
        <v>55059</v>
      </c>
      <c r="L16" s="4">
        <f>INDEX(Breakdown[],MATCH($D16,Breakdown[Dist],0),MATCH(L$4,Breakdown[#Headers],0))</f>
        <v>202007</v>
      </c>
      <c r="M16" s="4">
        <f>INDEX(Breakdown[],MATCH($D16,Breakdown[Dist],0),MATCH(M$4,Breakdown[#Headers],0))</f>
        <v>0</v>
      </c>
      <c r="N16" s="4">
        <f t="shared" si="0"/>
        <v>279379</v>
      </c>
      <c r="O16" s="15">
        <f t="shared" si="1"/>
        <v>27938</v>
      </c>
      <c r="P16" s="12"/>
      <c r="Q16" s="4">
        <f>INDEX(Breakdown[],MATCH($D16,Breakdown[Dist],0),MATCH(Q$4,Breakdown[#Headers],0))</f>
        <v>77372</v>
      </c>
      <c r="R16" s="4">
        <f>INDEX(Breakdown[],MATCH($D16,Breakdown[Dist],0),MATCH(R$4,Breakdown[#Headers],0))</f>
        <v>0</v>
      </c>
      <c r="S16" s="14">
        <f t="shared" si="2"/>
        <v>77372</v>
      </c>
      <c r="T16" s="17">
        <f t="shared" si="3"/>
        <v>174069</v>
      </c>
      <c r="U16" s="19">
        <f t="shared" si="4"/>
        <v>251441</v>
      </c>
      <c r="V16" s="12"/>
      <c r="W16" s="20">
        <f t="shared" si="5"/>
        <v>0.10000035793670962</v>
      </c>
      <c r="X16" s="20">
        <f t="shared" si="6"/>
        <v>0.89999964206329042</v>
      </c>
    </row>
    <row r="17" spans="1:24" x14ac:dyDescent="0.25">
      <c r="A17" s="5">
        <v>2026</v>
      </c>
      <c r="B17" s="5" t="s">
        <v>174</v>
      </c>
      <c r="C17" s="24" t="s">
        <v>174</v>
      </c>
      <c r="D17" s="5" t="s">
        <v>177</v>
      </c>
      <c r="E17" s="22" t="s">
        <v>693</v>
      </c>
      <c r="F17" s="22" t="s">
        <v>693</v>
      </c>
      <c r="G17" s="5" t="s">
        <v>177</v>
      </c>
      <c r="H17" s="5" t="s">
        <v>507</v>
      </c>
      <c r="I17" s="4">
        <f>INDEX(Breakdown[],MATCH($D17,Breakdown[Dist],0),MATCH(I$4,Breakdown[#Headers],0))</f>
        <v>1767659</v>
      </c>
      <c r="J17" s="4">
        <f>INDEX(Breakdown[],MATCH($D17,Breakdown[Dist],0),MATCH(J$4,Breakdown[#Headers],0))</f>
        <v>1430464</v>
      </c>
      <c r="K17" s="4">
        <f>INDEX(Breakdown[],MATCH($D17,Breakdown[Dist],0),MATCH(K$4,Breakdown[#Headers],0))</f>
        <v>306383</v>
      </c>
      <c r="L17" s="4">
        <f>INDEX(Breakdown[],MATCH($D17,Breakdown[Dist],0),MATCH(L$4,Breakdown[#Headers],0))</f>
        <v>1124081</v>
      </c>
      <c r="M17" s="4">
        <f>INDEX(Breakdown[],MATCH($D17,Breakdown[Dist],0),MATCH(M$4,Breakdown[#Headers],0))</f>
        <v>0</v>
      </c>
      <c r="N17" s="4">
        <f t="shared" si="0"/>
        <v>1461276</v>
      </c>
      <c r="O17" s="15">
        <f t="shared" si="1"/>
        <v>146128</v>
      </c>
      <c r="P17" s="12"/>
      <c r="Q17" s="4">
        <f>INDEX(Breakdown[],MATCH($D17,Breakdown[Dist],0),MATCH(Q$4,Breakdown[#Headers],0))</f>
        <v>337195</v>
      </c>
      <c r="R17" s="4">
        <f>INDEX(Breakdown[],MATCH($D17,Breakdown[Dist],0),MATCH(R$4,Breakdown[#Headers],0))</f>
        <v>0</v>
      </c>
      <c r="S17" s="14">
        <f t="shared" si="2"/>
        <v>337195</v>
      </c>
      <c r="T17" s="17">
        <f t="shared" si="3"/>
        <v>977953</v>
      </c>
      <c r="U17" s="19">
        <f t="shared" si="4"/>
        <v>1315148</v>
      </c>
      <c r="V17" s="12"/>
      <c r="W17" s="20">
        <f t="shared" si="5"/>
        <v>0.10000027373336727</v>
      </c>
      <c r="X17" s="20">
        <f t="shared" si="6"/>
        <v>0.89999972626663272</v>
      </c>
    </row>
    <row r="18" spans="1:24" x14ac:dyDescent="0.25">
      <c r="A18" s="5">
        <v>2026</v>
      </c>
      <c r="B18" s="5" t="s">
        <v>140</v>
      </c>
      <c r="C18" s="24" t="s">
        <v>140</v>
      </c>
      <c r="D18" s="5" t="s">
        <v>142</v>
      </c>
      <c r="E18" s="22" t="s">
        <v>693</v>
      </c>
      <c r="F18" s="22" t="s">
        <v>693</v>
      </c>
      <c r="G18" s="5" t="s">
        <v>142</v>
      </c>
      <c r="H18" s="5" t="s">
        <v>475</v>
      </c>
      <c r="I18" s="4">
        <f>INDEX(Breakdown[],MATCH($D18,Breakdown[Dist],0),MATCH(I$4,Breakdown[#Headers],0))</f>
        <v>458314</v>
      </c>
      <c r="J18" s="4">
        <f>INDEX(Breakdown[],MATCH($D18,Breakdown[Dist],0),MATCH(J$4,Breakdown[#Headers],0))</f>
        <v>363324</v>
      </c>
      <c r="K18" s="4">
        <f>INDEX(Breakdown[],MATCH($D18,Breakdown[Dist],0),MATCH(K$4,Breakdown[#Headers],0))</f>
        <v>77818</v>
      </c>
      <c r="L18" s="4">
        <f>INDEX(Breakdown[],MATCH($D18,Breakdown[Dist],0),MATCH(L$4,Breakdown[#Headers],0))</f>
        <v>285506</v>
      </c>
      <c r="M18" s="4">
        <f>INDEX(Breakdown[],MATCH($D18,Breakdown[Dist],0),MATCH(M$4,Breakdown[#Headers],0))</f>
        <v>15810</v>
      </c>
      <c r="N18" s="4">
        <f t="shared" si="0"/>
        <v>396306</v>
      </c>
      <c r="O18" s="15">
        <f t="shared" si="1"/>
        <v>39631</v>
      </c>
      <c r="P18" s="12"/>
      <c r="Q18" s="4">
        <f>INDEX(Breakdown[],MATCH($D18,Breakdown[Dist],0),MATCH(Q$4,Breakdown[#Headers],0))</f>
        <v>94990</v>
      </c>
      <c r="R18" s="4">
        <f>INDEX(Breakdown[],MATCH($D18,Breakdown[Dist],0),MATCH(R$4,Breakdown[#Headers],0))</f>
        <v>15810</v>
      </c>
      <c r="S18" s="14">
        <f t="shared" si="2"/>
        <v>110800</v>
      </c>
      <c r="T18" s="17">
        <f t="shared" si="3"/>
        <v>245875</v>
      </c>
      <c r="U18" s="19">
        <f t="shared" si="4"/>
        <v>356675</v>
      </c>
      <c r="V18" s="12"/>
      <c r="W18" s="20">
        <f t="shared" si="5"/>
        <v>0.10000100932108018</v>
      </c>
      <c r="X18" s="20">
        <f t="shared" si="6"/>
        <v>0.89999899067891986</v>
      </c>
    </row>
    <row r="19" spans="1:24" x14ac:dyDescent="0.25">
      <c r="A19" s="5">
        <v>2026</v>
      </c>
      <c r="B19" s="5" t="s">
        <v>118</v>
      </c>
      <c r="C19" s="24" t="s">
        <v>118</v>
      </c>
      <c r="D19" s="5" t="s">
        <v>119</v>
      </c>
      <c r="E19" s="22" t="s">
        <v>693</v>
      </c>
      <c r="F19" s="22" t="s">
        <v>693</v>
      </c>
      <c r="G19" s="5" t="s">
        <v>119</v>
      </c>
      <c r="H19" s="5" t="s">
        <v>453</v>
      </c>
      <c r="I19" s="4">
        <f>INDEX(Breakdown[],MATCH($D19,Breakdown[Dist],0),MATCH(I$4,Breakdown[#Headers],0))</f>
        <v>86463</v>
      </c>
      <c r="J19" s="4">
        <f>INDEX(Breakdown[],MATCH($D19,Breakdown[Dist],0),MATCH(J$4,Breakdown[#Headers],0))</f>
        <v>68166</v>
      </c>
      <c r="K19" s="4">
        <f>INDEX(Breakdown[],MATCH($D19,Breakdown[Dist],0),MATCH(K$4,Breakdown[#Headers],0))</f>
        <v>14600</v>
      </c>
      <c r="L19" s="4">
        <f>INDEX(Breakdown[],MATCH($D19,Breakdown[Dist],0),MATCH(L$4,Breakdown[#Headers],0))</f>
        <v>53566</v>
      </c>
      <c r="M19" s="4">
        <f>INDEX(Breakdown[],MATCH($D19,Breakdown[Dist],0),MATCH(M$4,Breakdown[#Headers],0))</f>
        <v>6868</v>
      </c>
      <c r="N19" s="4">
        <f t="shared" si="0"/>
        <v>78731</v>
      </c>
      <c r="O19" s="15">
        <f t="shared" si="1"/>
        <v>7873</v>
      </c>
      <c r="P19" s="12"/>
      <c r="Q19" s="4">
        <f>INDEX(Breakdown[],MATCH($D19,Breakdown[Dist],0),MATCH(Q$4,Breakdown[#Headers],0))</f>
        <v>18297</v>
      </c>
      <c r="R19" s="4">
        <f>INDEX(Breakdown[],MATCH($D19,Breakdown[Dist],0),MATCH(R$4,Breakdown[#Headers],0))</f>
        <v>6868</v>
      </c>
      <c r="S19" s="14">
        <f t="shared" si="2"/>
        <v>25165</v>
      </c>
      <c r="T19" s="17">
        <f t="shared" si="3"/>
        <v>45693</v>
      </c>
      <c r="U19" s="19">
        <f t="shared" si="4"/>
        <v>70858</v>
      </c>
      <c r="V19" s="12"/>
      <c r="W19" s="20">
        <f t="shared" si="5"/>
        <v>9.9998729852281823E-2</v>
      </c>
      <c r="X19" s="20">
        <f t="shared" si="6"/>
        <v>0.90000127014771814</v>
      </c>
    </row>
    <row r="20" spans="1:24" x14ac:dyDescent="0.25">
      <c r="A20" s="5">
        <v>2026</v>
      </c>
      <c r="B20" s="5" t="s">
        <v>174</v>
      </c>
      <c r="C20" s="24" t="s">
        <v>174</v>
      </c>
      <c r="D20" s="5" t="s">
        <v>178</v>
      </c>
      <c r="E20" s="22" t="s">
        <v>693</v>
      </c>
      <c r="F20" s="22" t="s">
        <v>693</v>
      </c>
      <c r="G20" s="5" t="s">
        <v>178</v>
      </c>
      <c r="H20" s="5" t="s">
        <v>508</v>
      </c>
      <c r="I20" s="4">
        <f>INDEX(Breakdown[],MATCH($D20,Breakdown[Dist],0),MATCH(I$4,Breakdown[#Headers],0))</f>
        <v>4834549</v>
      </c>
      <c r="J20" s="4">
        <f>INDEX(Breakdown[],MATCH($D20,Breakdown[Dist],0),MATCH(J$4,Breakdown[#Headers],0))</f>
        <v>3912319</v>
      </c>
      <c r="K20" s="4">
        <f>INDEX(Breakdown[],MATCH($D20,Breakdown[Dist],0),MATCH(K$4,Breakdown[#Headers],0))</f>
        <v>837957</v>
      </c>
      <c r="L20" s="4">
        <f>INDEX(Breakdown[],MATCH($D20,Breakdown[Dist],0),MATCH(L$4,Breakdown[#Headers],0))</f>
        <v>3074362</v>
      </c>
      <c r="M20" s="4">
        <f>INDEX(Breakdown[],MATCH($D20,Breakdown[Dist],0),MATCH(M$4,Breakdown[#Headers],0))</f>
        <v>0</v>
      </c>
      <c r="N20" s="4">
        <f t="shared" si="0"/>
        <v>3996592</v>
      </c>
      <c r="O20" s="15">
        <f t="shared" si="1"/>
        <v>399659</v>
      </c>
      <c r="P20" s="12"/>
      <c r="Q20" s="4">
        <f>INDEX(Breakdown[],MATCH($D20,Breakdown[Dist],0),MATCH(Q$4,Breakdown[#Headers],0))</f>
        <v>922230</v>
      </c>
      <c r="R20" s="4">
        <f>INDEX(Breakdown[],MATCH($D20,Breakdown[Dist],0),MATCH(R$4,Breakdown[#Headers],0))</f>
        <v>0</v>
      </c>
      <c r="S20" s="14">
        <f t="shared" si="2"/>
        <v>922230</v>
      </c>
      <c r="T20" s="17">
        <f t="shared" si="3"/>
        <v>2674703</v>
      </c>
      <c r="U20" s="19">
        <f t="shared" si="4"/>
        <v>3596933</v>
      </c>
      <c r="V20" s="12"/>
      <c r="W20" s="20">
        <f t="shared" si="5"/>
        <v>9.9999949957363679E-2</v>
      </c>
      <c r="X20" s="20">
        <f t="shared" si="6"/>
        <v>0.90000005004263628</v>
      </c>
    </row>
    <row r="21" spans="1:24" x14ac:dyDescent="0.25">
      <c r="A21" s="5">
        <v>2026</v>
      </c>
      <c r="B21" s="5" t="s">
        <v>60</v>
      </c>
      <c r="C21" s="24" t="s">
        <v>60</v>
      </c>
      <c r="D21" s="5" t="s">
        <v>64</v>
      </c>
      <c r="E21" s="22" t="s">
        <v>693</v>
      </c>
      <c r="F21" s="22" t="s">
        <v>693</v>
      </c>
      <c r="G21" s="5" t="s">
        <v>64</v>
      </c>
      <c r="H21" s="5" t="s">
        <v>405</v>
      </c>
      <c r="I21" s="4">
        <f>INDEX(Breakdown[],MATCH($D21,Breakdown[Dist],0),MATCH(I$4,Breakdown[#Headers],0))</f>
        <v>321327</v>
      </c>
      <c r="J21" s="4">
        <f>INDEX(Breakdown[],MATCH($D21,Breakdown[Dist],0),MATCH(J$4,Breakdown[#Headers],0))</f>
        <v>251635</v>
      </c>
      <c r="K21" s="4">
        <f>INDEX(Breakdown[],MATCH($D21,Breakdown[Dist],0),MATCH(K$4,Breakdown[#Headers],0))</f>
        <v>53897</v>
      </c>
      <c r="L21" s="4">
        <f>INDEX(Breakdown[],MATCH($D21,Breakdown[Dist],0),MATCH(L$4,Breakdown[#Headers],0))</f>
        <v>197738</v>
      </c>
      <c r="M21" s="4">
        <f>INDEX(Breakdown[],MATCH($D21,Breakdown[Dist],0),MATCH(M$4,Breakdown[#Headers],0))</f>
        <v>0</v>
      </c>
      <c r="N21" s="4">
        <f t="shared" si="0"/>
        <v>267430</v>
      </c>
      <c r="O21" s="15">
        <f t="shared" si="1"/>
        <v>26743</v>
      </c>
      <c r="P21" s="12"/>
      <c r="Q21" s="4">
        <f>INDEX(Breakdown[],MATCH($D21,Breakdown[Dist],0),MATCH(Q$4,Breakdown[#Headers],0))</f>
        <v>69692</v>
      </c>
      <c r="R21" s="4">
        <f>INDEX(Breakdown[],MATCH($D21,Breakdown[Dist],0),MATCH(R$4,Breakdown[#Headers],0))</f>
        <v>0</v>
      </c>
      <c r="S21" s="14">
        <f t="shared" si="2"/>
        <v>69692</v>
      </c>
      <c r="T21" s="17">
        <f t="shared" si="3"/>
        <v>170995</v>
      </c>
      <c r="U21" s="19">
        <f t="shared" si="4"/>
        <v>240687</v>
      </c>
      <c r="V21" s="12"/>
      <c r="W21" s="20">
        <f t="shared" si="5"/>
        <v>0.1</v>
      </c>
      <c r="X21" s="20">
        <f t="shared" si="6"/>
        <v>0.9</v>
      </c>
    </row>
    <row r="22" spans="1:24" x14ac:dyDescent="0.25">
      <c r="A22" s="5">
        <v>2026</v>
      </c>
      <c r="B22" s="5" t="s">
        <v>229</v>
      </c>
      <c r="C22" s="24" t="s">
        <v>229</v>
      </c>
      <c r="D22" s="5" t="s">
        <v>231</v>
      </c>
      <c r="E22" s="22" t="s">
        <v>693</v>
      </c>
      <c r="F22" s="22" t="s">
        <v>693</v>
      </c>
      <c r="G22" s="5" t="s">
        <v>231</v>
      </c>
      <c r="H22" s="5" t="s">
        <v>558</v>
      </c>
      <c r="I22" s="4">
        <f>INDEX(Breakdown[],MATCH($D22,Breakdown[Dist],0),MATCH(I$4,Breakdown[#Headers],0))</f>
        <v>111829</v>
      </c>
      <c r="J22" s="4">
        <f>INDEX(Breakdown[],MATCH($D22,Breakdown[Dist],0),MATCH(J$4,Breakdown[#Headers],0))</f>
        <v>86772</v>
      </c>
      <c r="K22" s="4">
        <f>INDEX(Breakdown[],MATCH($D22,Breakdown[Dist],0),MATCH(K$4,Breakdown[#Headers],0))</f>
        <v>18585</v>
      </c>
      <c r="L22" s="4">
        <f>INDEX(Breakdown[],MATCH($D22,Breakdown[Dist],0),MATCH(L$4,Breakdown[#Headers],0))</f>
        <v>68187</v>
      </c>
      <c r="M22" s="4">
        <f>INDEX(Breakdown[],MATCH($D22,Breakdown[Dist],0),MATCH(M$4,Breakdown[#Headers],0))</f>
        <v>4886</v>
      </c>
      <c r="N22" s="4">
        <f t="shared" si="0"/>
        <v>98130</v>
      </c>
      <c r="O22" s="15">
        <f t="shared" si="1"/>
        <v>9813</v>
      </c>
      <c r="P22" s="12"/>
      <c r="Q22" s="4">
        <f>INDEX(Breakdown[],MATCH($D22,Breakdown[Dist],0),MATCH(Q$4,Breakdown[#Headers],0))</f>
        <v>25057</v>
      </c>
      <c r="R22" s="4">
        <f>INDEX(Breakdown[],MATCH($D22,Breakdown[Dist],0),MATCH(R$4,Breakdown[#Headers],0))</f>
        <v>4886</v>
      </c>
      <c r="S22" s="14">
        <f t="shared" si="2"/>
        <v>29943</v>
      </c>
      <c r="T22" s="17">
        <f t="shared" si="3"/>
        <v>58374</v>
      </c>
      <c r="U22" s="19">
        <f t="shared" si="4"/>
        <v>88317</v>
      </c>
      <c r="V22" s="12"/>
      <c r="W22" s="20">
        <f t="shared" si="5"/>
        <v>0.1</v>
      </c>
      <c r="X22" s="20">
        <f t="shared" si="6"/>
        <v>0.9</v>
      </c>
    </row>
    <row r="23" spans="1:24" x14ac:dyDescent="0.25">
      <c r="A23" s="5">
        <v>2026</v>
      </c>
      <c r="B23" s="5" t="s">
        <v>263</v>
      </c>
      <c r="C23" s="24" t="s">
        <v>263</v>
      </c>
      <c r="D23" s="5" t="s">
        <v>265</v>
      </c>
      <c r="E23" s="22" t="s">
        <v>693</v>
      </c>
      <c r="F23" s="22" t="s">
        <v>693</v>
      </c>
      <c r="G23" s="5" t="s">
        <v>265</v>
      </c>
      <c r="H23" s="5" t="s">
        <v>592</v>
      </c>
      <c r="I23" s="4">
        <f>INDEX(Breakdown[],MATCH($D23,Breakdown[Dist],0),MATCH(I$4,Breakdown[#Headers],0))</f>
        <v>597557</v>
      </c>
      <c r="J23" s="4">
        <f>INDEX(Breakdown[],MATCH($D23,Breakdown[Dist],0),MATCH(J$4,Breakdown[#Headers],0))</f>
        <v>472404</v>
      </c>
      <c r="K23" s="4">
        <f>INDEX(Breakdown[],MATCH($D23,Breakdown[Dist],0),MATCH(K$4,Breakdown[#Headers],0))</f>
        <v>101182</v>
      </c>
      <c r="L23" s="4">
        <f>INDEX(Breakdown[],MATCH($D23,Breakdown[Dist],0),MATCH(L$4,Breakdown[#Headers],0))</f>
        <v>371222</v>
      </c>
      <c r="M23" s="4">
        <f>INDEX(Breakdown[],MATCH($D23,Breakdown[Dist],0),MATCH(M$4,Breakdown[#Headers],0))</f>
        <v>0</v>
      </c>
      <c r="N23" s="4">
        <f t="shared" si="0"/>
        <v>496375</v>
      </c>
      <c r="O23" s="15">
        <f t="shared" si="1"/>
        <v>49638</v>
      </c>
      <c r="P23" s="12"/>
      <c r="Q23" s="4">
        <f>INDEX(Breakdown[],MATCH($D23,Breakdown[Dist],0),MATCH(Q$4,Breakdown[#Headers],0))</f>
        <v>125153</v>
      </c>
      <c r="R23" s="4">
        <f>INDEX(Breakdown[],MATCH($D23,Breakdown[Dist],0),MATCH(R$4,Breakdown[#Headers],0))</f>
        <v>0</v>
      </c>
      <c r="S23" s="14">
        <f t="shared" si="2"/>
        <v>125153</v>
      </c>
      <c r="T23" s="17">
        <f t="shared" si="3"/>
        <v>321584</v>
      </c>
      <c r="U23" s="19">
        <f t="shared" si="4"/>
        <v>446737</v>
      </c>
      <c r="V23" s="12"/>
      <c r="W23" s="20">
        <f t="shared" si="5"/>
        <v>0.10000100730294637</v>
      </c>
      <c r="X23" s="20">
        <f t="shared" si="6"/>
        <v>0.89999899269705363</v>
      </c>
    </row>
    <row r="24" spans="1:24" x14ac:dyDescent="0.25">
      <c r="A24" s="5">
        <v>2026</v>
      </c>
      <c r="B24" s="5" t="s">
        <v>174</v>
      </c>
      <c r="C24" s="24" t="s">
        <v>174</v>
      </c>
      <c r="D24" s="5" t="s">
        <v>179</v>
      </c>
      <c r="E24" s="22" t="s">
        <v>693</v>
      </c>
      <c r="F24" s="22" t="s">
        <v>693</v>
      </c>
      <c r="G24" s="5" t="s">
        <v>179</v>
      </c>
      <c r="H24" s="5" t="s">
        <v>509</v>
      </c>
      <c r="I24" s="4">
        <f>INDEX(Breakdown[],MATCH($D24,Breakdown[Dist],0),MATCH(I$4,Breakdown[#Headers],0))</f>
        <v>189817</v>
      </c>
      <c r="J24" s="4">
        <f>INDEX(Breakdown[],MATCH($D24,Breakdown[Dist],0),MATCH(J$4,Breakdown[#Headers],0))</f>
        <v>153608</v>
      </c>
      <c r="K24" s="4">
        <f>INDEX(Breakdown[],MATCH($D24,Breakdown[Dist],0),MATCH(K$4,Breakdown[#Headers],0))</f>
        <v>32900</v>
      </c>
      <c r="L24" s="4">
        <f>INDEX(Breakdown[],MATCH($D24,Breakdown[Dist],0),MATCH(L$4,Breakdown[#Headers],0))</f>
        <v>120708</v>
      </c>
      <c r="M24" s="4">
        <f>INDEX(Breakdown[],MATCH($D24,Breakdown[Dist],0),MATCH(M$4,Breakdown[#Headers],0))</f>
        <v>3269</v>
      </c>
      <c r="N24" s="4">
        <f t="shared" si="0"/>
        <v>160186</v>
      </c>
      <c r="O24" s="15">
        <f t="shared" si="1"/>
        <v>16019</v>
      </c>
      <c r="P24" s="12"/>
      <c r="Q24" s="4">
        <f>INDEX(Breakdown[],MATCH($D24,Breakdown[Dist],0),MATCH(Q$4,Breakdown[#Headers],0))</f>
        <v>36209</v>
      </c>
      <c r="R24" s="4">
        <f>INDEX(Breakdown[],MATCH($D24,Breakdown[Dist],0),MATCH(R$4,Breakdown[#Headers],0))</f>
        <v>3269</v>
      </c>
      <c r="S24" s="14">
        <f t="shared" si="2"/>
        <v>39478</v>
      </c>
      <c r="T24" s="17">
        <f t="shared" si="3"/>
        <v>104689</v>
      </c>
      <c r="U24" s="19">
        <f t="shared" si="4"/>
        <v>144167</v>
      </c>
      <c r="V24" s="12"/>
      <c r="W24" s="20">
        <f t="shared" si="5"/>
        <v>0.1000024970971246</v>
      </c>
      <c r="X24" s="20">
        <f t="shared" si="6"/>
        <v>0.89999750290287539</v>
      </c>
    </row>
    <row r="25" spans="1:24" x14ac:dyDescent="0.25">
      <c r="A25" s="5">
        <v>2026</v>
      </c>
      <c r="B25" s="5" t="s">
        <v>174</v>
      </c>
      <c r="C25" s="24" t="s">
        <v>174</v>
      </c>
      <c r="D25" s="5" t="s">
        <v>180</v>
      </c>
      <c r="E25" s="22" t="s">
        <v>693</v>
      </c>
      <c r="F25" s="22" t="s">
        <v>693</v>
      </c>
      <c r="G25" s="5" t="s">
        <v>180</v>
      </c>
      <c r="H25" s="5" t="s">
        <v>510</v>
      </c>
      <c r="I25" s="4">
        <f>INDEX(Breakdown[],MATCH($D25,Breakdown[Dist],0),MATCH(I$4,Breakdown[#Headers],0))</f>
        <v>662294</v>
      </c>
      <c r="J25" s="4">
        <f>INDEX(Breakdown[],MATCH($D25,Breakdown[Dist],0),MATCH(J$4,Breakdown[#Headers],0))</f>
        <v>535956</v>
      </c>
      <c r="K25" s="4">
        <f>INDEX(Breakdown[],MATCH($D25,Breakdown[Dist],0),MATCH(K$4,Breakdown[#Headers],0))</f>
        <v>114794</v>
      </c>
      <c r="L25" s="4">
        <f>INDEX(Breakdown[],MATCH($D25,Breakdown[Dist],0),MATCH(L$4,Breakdown[#Headers],0))</f>
        <v>421162</v>
      </c>
      <c r="M25" s="4">
        <f>INDEX(Breakdown[],MATCH($D25,Breakdown[Dist],0),MATCH(M$4,Breakdown[#Headers],0))</f>
        <v>0</v>
      </c>
      <c r="N25" s="4">
        <f t="shared" si="0"/>
        <v>547500</v>
      </c>
      <c r="O25" s="15">
        <f t="shared" si="1"/>
        <v>54750</v>
      </c>
      <c r="P25" s="12"/>
      <c r="Q25" s="4">
        <f>INDEX(Breakdown[],MATCH($D25,Breakdown[Dist],0),MATCH(Q$4,Breakdown[#Headers],0))</f>
        <v>126338</v>
      </c>
      <c r="R25" s="4">
        <f>INDEX(Breakdown[],MATCH($D25,Breakdown[Dist],0),MATCH(R$4,Breakdown[#Headers],0))</f>
        <v>0</v>
      </c>
      <c r="S25" s="14">
        <f t="shared" si="2"/>
        <v>126338</v>
      </c>
      <c r="T25" s="17">
        <f t="shared" si="3"/>
        <v>366412</v>
      </c>
      <c r="U25" s="19">
        <f t="shared" si="4"/>
        <v>492750</v>
      </c>
      <c r="V25" s="12"/>
      <c r="W25" s="20">
        <f t="shared" si="5"/>
        <v>0.1</v>
      </c>
      <c r="X25" s="20">
        <f t="shared" si="6"/>
        <v>0.9</v>
      </c>
    </row>
    <row r="26" spans="1:24" x14ac:dyDescent="0.25">
      <c r="A26" s="5">
        <v>2026</v>
      </c>
      <c r="B26" s="5" t="s">
        <v>174</v>
      </c>
      <c r="C26" s="24" t="s">
        <v>174</v>
      </c>
      <c r="D26" s="5" t="s">
        <v>181</v>
      </c>
      <c r="E26" s="22" t="s">
        <v>693</v>
      </c>
      <c r="F26" s="22" t="s">
        <v>693</v>
      </c>
      <c r="G26" s="5" t="s">
        <v>181</v>
      </c>
      <c r="H26" s="5" t="s">
        <v>511</v>
      </c>
      <c r="I26" s="4">
        <f>INDEX(Breakdown[],MATCH($D26,Breakdown[Dist],0),MATCH(I$4,Breakdown[#Headers],0))</f>
        <v>129112</v>
      </c>
      <c r="J26" s="4">
        <f>INDEX(Breakdown[],MATCH($D26,Breakdown[Dist],0),MATCH(J$4,Breakdown[#Headers],0))</f>
        <v>104483</v>
      </c>
      <c r="K26" s="4">
        <f>INDEX(Breakdown[],MATCH($D26,Breakdown[Dist],0),MATCH(K$4,Breakdown[#Headers],0))</f>
        <v>22378</v>
      </c>
      <c r="L26" s="4">
        <f>INDEX(Breakdown[],MATCH($D26,Breakdown[Dist],0),MATCH(L$4,Breakdown[#Headers],0))</f>
        <v>82105</v>
      </c>
      <c r="M26" s="4">
        <f>INDEX(Breakdown[],MATCH($D26,Breakdown[Dist],0),MATCH(M$4,Breakdown[#Headers],0))</f>
        <v>360</v>
      </c>
      <c r="N26" s="4">
        <f t="shared" si="0"/>
        <v>107094</v>
      </c>
      <c r="O26" s="15">
        <f t="shared" si="1"/>
        <v>10709</v>
      </c>
      <c r="P26" s="12"/>
      <c r="Q26" s="4">
        <f>INDEX(Breakdown[],MATCH($D26,Breakdown[Dist],0),MATCH(Q$4,Breakdown[#Headers],0))</f>
        <v>24629</v>
      </c>
      <c r="R26" s="4">
        <f>INDEX(Breakdown[],MATCH($D26,Breakdown[Dist],0),MATCH(R$4,Breakdown[#Headers],0))</f>
        <v>360</v>
      </c>
      <c r="S26" s="14">
        <f t="shared" si="2"/>
        <v>24989</v>
      </c>
      <c r="T26" s="17">
        <f t="shared" si="3"/>
        <v>71396</v>
      </c>
      <c r="U26" s="19">
        <f t="shared" si="4"/>
        <v>96385</v>
      </c>
      <c r="V26" s="12"/>
      <c r="W26" s="20">
        <f t="shared" si="5"/>
        <v>9.9996264963490011E-2</v>
      </c>
      <c r="X26" s="20">
        <f t="shared" si="6"/>
        <v>0.90000373503650999</v>
      </c>
    </row>
    <row r="27" spans="1:24" x14ac:dyDescent="0.25">
      <c r="A27" s="5">
        <v>2026</v>
      </c>
      <c r="B27" s="5" t="s">
        <v>60</v>
      </c>
      <c r="C27" s="24" t="s">
        <v>60</v>
      </c>
      <c r="D27" s="5" t="s">
        <v>65</v>
      </c>
      <c r="E27" s="22" t="s">
        <v>693</v>
      </c>
      <c r="F27" s="22" t="s">
        <v>693</v>
      </c>
      <c r="G27" s="5" t="s">
        <v>65</v>
      </c>
      <c r="H27" s="5" t="s">
        <v>66</v>
      </c>
      <c r="I27" s="4">
        <f>INDEX(Breakdown[],MATCH($D27,Breakdown[Dist],0),MATCH(I$4,Breakdown[#Headers],0))</f>
        <v>178888</v>
      </c>
      <c r="J27" s="4">
        <f>INDEX(Breakdown[],MATCH($D27,Breakdown[Dist],0),MATCH(J$4,Breakdown[#Headers],0))</f>
        <v>140089</v>
      </c>
      <c r="K27" s="4">
        <f>INDEX(Breakdown[],MATCH($D27,Breakdown[Dist],0),MATCH(K$4,Breakdown[#Headers],0))</f>
        <v>30005</v>
      </c>
      <c r="L27" s="4">
        <f>INDEX(Breakdown[],MATCH($D27,Breakdown[Dist],0),MATCH(L$4,Breakdown[#Headers],0))</f>
        <v>110084</v>
      </c>
      <c r="M27" s="4">
        <f>INDEX(Breakdown[],MATCH($D27,Breakdown[Dist],0),MATCH(M$4,Breakdown[#Headers],0))</f>
        <v>7624</v>
      </c>
      <c r="N27" s="4">
        <f t="shared" si="0"/>
        <v>156507</v>
      </c>
      <c r="O27" s="15">
        <f t="shared" si="1"/>
        <v>15651</v>
      </c>
      <c r="P27" s="12"/>
      <c r="Q27" s="4">
        <f>INDEX(Breakdown[],MATCH($D27,Breakdown[Dist],0),MATCH(Q$4,Breakdown[#Headers],0))</f>
        <v>38799</v>
      </c>
      <c r="R27" s="4">
        <f>INDEX(Breakdown[],MATCH($D27,Breakdown[Dist],0),MATCH(R$4,Breakdown[#Headers],0))</f>
        <v>7624</v>
      </c>
      <c r="S27" s="14">
        <f t="shared" si="2"/>
        <v>46423</v>
      </c>
      <c r="T27" s="17">
        <f t="shared" si="3"/>
        <v>94433</v>
      </c>
      <c r="U27" s="19">
        <f t="shared" si="4"/>
        <v>140856</v>
      </c>
      <c r="V27" s="12"/>
      <c r="W27" s="20">
        <f t="shared" si="5"/>
        <v>0.10000191684716978</v>
      </c>
      <c r="X27" s="20">
        <f t="shared" si="6"/>
        <v>0.89999808315283025</v>
      </c>
    </row>
    <row r="28" spans="1:24" x14ac:dyDescent="0.25">
      <c r="A28" s="5">
        <v>2026</v>
      </c>
      <c r="B28" s="5" t="s">
        <v>263</v>
      </c>
      <c r="C28" s="24" t="s">
        <v>263</v>
      </c>
      <c r="D28" s="5" t="s">
        <v>266</v>
      </c>
      <c r="E28" s="22" t="s">
        <v>693</v>
      </c>
      <c r="F28" s="22" t="s">
        <v>693</v>
      </c>
      <c r="G28" s="5" t="s">
        <v>266</v>
      </c>
      <c r="H28" s="5" t="s">
        <v>593</v>
      </c>
      <c r="I28" s="4">
        <f>INDEX(Breakdown[],MATCH($D28,Breakdown[Dist],0),MATCH(I$4,Breakdown[#Headers],0))</f>
        <v>197392</v>
      </c>
      <c r="J28" s="4">
        <f>INDEX(Breakdown[],MATCH($D28,Breakdown[Dist],0),MATCH(J$4,Breakdown[#Headers],0))</f>
        <v>156050</v>
      </c>
      <c r="K28" s="4">
        <f>INDEX(Breakdown[],MATCH($D28,Breakdown[Dist],0),MATCH(K$4,Breakdown[#Headers],0))</f>
        <v>33423</v>
      </c>
      <c r="L28" s="4">
        <f>INDEX(Breakdown[],MATCH($D28,Breakdown[Dist],0),MATCH(L$4,Breakdown[#Headers],0))</f>
        <v>122627</v>
      </c>
      <c r="M28" s="4">
        <f>INDEX(Breakdown[],MATCH($D28,Breakdown[Dist],0),MATCH(M$4,Breakdown[#Headers],0))</f>
        <v>0</v>
      </c>
      <c r="N28" s="4">
        <f t="shared" si="0"/>
        <v>163969</v>
      </c>
      <c r="O28" s="15">
        <f t="shared" si="1"/>
        <v>16397</v>
      </c>
      <c r="P28" s="12"/>
      <c r="Q28" s="4">
        <f>INDEX(Breakdown[],MATCH($D28,Breakdown[Dist],0),MATCH(Q$4,Breakdown[#Headers],0))</f>
        <v>41342</v>
      </c>
      <c r="R28" s="4">
        <f>INDEX(Breakdown[],MATCH($D28,Breakdown[Dist],0),MATCH(R$4,Breakdown[#Headers],0))</f>
        <v>0</v>
      </c>
      <c r="S28" s="14">
        <f t="shared" si="2"/>
        <v>41342</v>
      </c>
      <c r="T28" s="17">
        <f t="shared" si="3"/>
        <v>106230</v>
      </c>
      <c r="U28" s="19">
        <f t="shared" si="4"/>
        <v>147572</v>
      </c>
      <c r="V28" s="12"/>
      <c r="W28" s="20">
        <f t="shared" si="5"/>
        <v>0.10000060987137813</v>
      </c>
      <c r="X28" s="20">
        <f t="shared" si="6"/>
        <v>0.89999939012862185</v>
      </c>
    </row>
    <row r="29" spans="1:24" x14ac:dyDescent="0.25">
      <c r="A29" s="5">
        <v>2026</v>
      </c>
      <c r="B29" s="5" t="s">
        <v>140</v>
      </c>
      <c r="C29" s="24" t="s">
        <v>140</v>
      </c>
      <c r="D29" s="5" t="s">
        <v>143</v>
      </c>
      <c r="E29" s="22" t="s">
        <v>693</v>
      </c>
      <c r="F29" s="22" t="s">
        <v>693</v>
      </c>
      <c r="G29" s="5" t="s">
        <v>143</v>
      </c>
      <c r="H29" s="5" t="s">
        <v>476</v>
      </c>
      <c r="I29" s="4">
        <f>INDEX(Breakdown[],MATCH($D29,Breakdown[Dist],0),MATCH(I$4,Breakdown[#Headers],0))</f>
        <v>182787</v>
      </c>
      <c r="J29" s="4">
        <f>INDEX(Breakdown[],MATCH($D29,Breakdown[Dist],0),MATCH(J$4,Breakdown[#Headers],0))</f>
        <v>144903</v>
      </c>
      <c r="K29" s="4">
        <f>INDEX(Breakdown[],MATCH($D29,Breakdown[Dist],0),MATCH(K$4,Breakdown[#Headers],0))</f>
        <v>31036</v>
      </c>
      <c r="L29" s="4">
        <f>INDEX(Breakdown[],MATCH($D29,Breakdown[Dist],0),MATCH(L$4,Breakdown[#Headers],0))</f>
        <v>113867</v>
      </c>
      <c r="M29" s="4">
        <f>INDEX(Breakdown[],MATCH($D29,Breakdown[Dist],0),MATCH(M$4,Breakdown[#Headers],0))</f>
        <v>0</v>
      </c>
      <c r="N29" s="4">
        <f t="shared" si="0"/>
        <v>151751</v>
      </c>
      <c r="O29" s="15">
        <f t="shared" si="1"/>
        <v>15175</v>
      </c>
      <c r="P29" s="12"/>
      <c r="Q29" s="4">
        <f>INDEX(Breakdown[],MATCH($D29,Breakdown[Dist],0),MATCH(Q$4,Breakdown[#Headers],0))</f>
        <v>37884</v>
      </c>
      <c r="R29" s="4">
        <f>INDEX(Breakdown[],MATCH($D29,Breakdown[Dist],0),MATCH(R$4,Breakdown[#Headers],0))</f>
        <v>0</v>
      </c>
      <c r="S29" s="14">
        <f t="shared" si="2"/>
        <v>37884</v>
      </c>
      <c r="T29" s="17">
        <f t="shared" si="3"/>
        <v>98692</v>
      </c>
      <c r="U29" s="19">
        <f t="shared" si="4"/>
        <v>136576</v>
      </c>
      <c r="V29" s="12"/>
      <c r="W29" s="20">
        <f t="shared" si="5"/>
        <v>9.9999341025759303E-2</v>
      </c>
      <c r="X29" s="20">
        <f t="shared" si="6"/>
        <v>0.90000065897424064</v>
      </c>
    </row>
    <row r="30" spans="1:24" x14ac:dyDescent="0.25">
      <c r="A30" s="5">
        <v>2026</v>
      </c>
      <c r="B30" s="5" t="s">
        <v>118</v>
      </c>
      <c r="C30" s="24" t="s">
        <v>118</v>
      </c>
      <c r="D30" s="5" t="s">
        <v>120</v>
      </c>
      <c r="E30" s="22" t="s">
        <v>693</v>
      </c>
      <c r="F30" s="22" t="s">
        <v>693</v>
      </c>
      <c r="G30" s="5" t="s">
        <v>120</v>
      </c>
      <c r="H30" s="5" t="s">
        <v>454</v>
      </c>
      <c r="I30" s="4">
        <f>INDEX(Breakdown[],MATCH($D30,Breakdown[Dist],0),MATCH(I$4,Breakdown[#Headers],0))</f>
        <v>227685</v>
      </c>
      <c r="J30" s="4">
        <f>INDEX(Breakdown[],MATCH($D30,Breakdown[Dist],0),MATCH(J$4,Breakdown[#Headers],0))</f>
        <v>179505</v>
      </c>
      <c r="K30" s="4">
        <f>INDEX(Breakdown[],MATCH($D30,Breakdown[Dist],0),MATCH(K$4,Breakdown[#Headers],0))</f>
        <v>38447</v>
      </c>
      <c r="L30" s="4">
        <f>INDEX(Breakdown[],MATCH($D30,Breakdown[Dist],0),MATCH(L$4,Breakdown[#Headers],0))</f>
        <v>141058</v>
      </c>
      <c r="M30" s="4">
        <f>INDEX(Breakdown[],MATCH($D30,Breakdown[Dist],0),MATCH(M$4,Breakdown[#Headers],0))</f>
        <v>2543</v>
      </c>
      <c r="N30" s="4">
        <f t="shared" si="0"/>
        <v>191781</v>
      </c>
      <c r="O30" s="15">
        <f t="shared" si="1"/>
        <v>19178</v>
      </c>
      <c r="P30" s="12"/>
      <c r="Q30" s="4">
        <f>INDEX(Breakdown[],MATCH($D30,Breakdown[Dist],0),MATCH(Q$4,Breakdown[#Headers],0))</f>
        <v>48180</v>
      </c>
      <c r="R30" s="4">
        <f>INDEX(Breakdown[],MATCH($D30,Breakdown[Dist],0),MATCH(R$4,Breakdown[#Headers],0))</f>
        <v>2543</v>
      </c>
      <c r="S30" s="14">
        <f t="shared" si="2"/>
        <v>50723</v>
      </c>
      <c r="T30" s="17">
        <f t="shared" si="3"/>
        <v>121880</v>
      </c>
      <c r="U30" s="19">
        <f t="shared" si="4"/>
        <v>172603</v>
      </c>
      <c r="V30" s="12"/>
      <c r="W30" s="20">
        <f t="shared" si="5"/>
        <v>9.9999478571912756E-2</v>
      </c>
      <c r="X30" s="20">
        <f t="shared" si="6"/>
        <v>0.90000052142808729</v>
      </c>
    </row>
    <row r="31" spans="1:24" x14ac:dyDescent="0.25">
      <c r="A31" s="5">
        <v>2026</v>
      </c>
      <c r="B31" s="5" t="s">
        <v>60</v>
      </c>
      <c r="C31" s="24" t="s">
        <v>60</v>
      </c>
      <c r="D31" s="5" t="s">
        <v>67</v>
      </c>
      <c r="E31" s="22" t="s">
        <v>693</v>
      </c>
      <c r="F31" s="22" t="s">
        <v>693</v>
      </c>
      <c r="G31" s="5" t="s">
        <v>67</v>
      </c>
      <c r="H31" s="5" t="s">
        <v>406</v>
      </c>
      <c r="I31" s="4">
        <f>INDEX(Breakdown[],MATCH($D31,Breakdown[Dist],0),MATCH(I$4,Breakdown[#Headers],0))</f>
        <v>283534</v>
      </c>
      <c r="J31" s="4">
        <f>INDEX(Breakdown[],MATCH($D31,Breakdown[Dist],0),MATCH(J$4,Breakdown[#Headers],0))</f>
        <v>222039</v>
      </c>
      <c r="K31" s="4">
        <f>INDEX(Breakdown[],MATCH($D31,Breakdown[Dist],0),MATCH(K$4,Breakdown[#Headers],0))</f>
        <v>47558</v>
      </c>
      <c r="L31" s="4">
        <f>INDEX(Breakdown[],MATCH($D31,Breakdown[Dist],0),MATCH(L$4,Breakdown[#Headers],0))</f>
        <v>174481</v>
      </c>
      <c r="M31" s="4">
        <f>INDEX(Breakdown[],MATCH($D31,Breakdown[Dist],0),MATCH(M$4,Breakdown[#Headers],0))</f>
        <v>5664</v>
      </c>
      <c r="N31" s="4">
        <f t="shared" si="0"/>
        <v>241640</v>
      </c>
      <c r="O31" s="15">
        <f t="shared" si="1"/>
        <v>24164</v>
      </c>
      <c r="P31" s="12"/>
      <c r="Q31" s="4">
        <f>INDEX(Breakdown[],MATCH($D31,Breakdown[Dist],0),MATCH(Q$4,Breakdown[#Headers],0))</f>
        <v>61495</v>
      </c>
      <c r="R31" s="4">
        <f>INDEX(Breakdown[],MATCH($D31,Breakdown[Dist],0),MATCH(R$4,Breakdown[#Headers],0))</f>
        <v>5664</v>
      </c>
      <c r="S31" s="14">
        <f t="shared" si="2"/>
        <v>67159</v>
      </c>
      <c r="T31" s="17">
        <f t="shared" si="3"/>
        <v>150317</v>
      </c>
      <c r="U31" s="19">
        <f t="shared" si="4"/>
        <v>217476</v>
      </c>
      <c r="V31" s="12"/>
      <c r="W31" s="20">
        <f t="shared" si="5"/>
        <v>0.1</v>
      </c>
      <c r="X31" s="20">
        <f t="shared" si="6"/>
        <v>0.9</v>
      </c>
    </row>
    <row r="32" spans="1:24" x14ac:dyDescent="0.25">
      <c r="A32" s="5">
        <v>2026</v>
      </c>
      <c r="B32" s="5" t="s">
        <v>118</v>
      </c>
      <c r="C32" s="24" t="s">
        <v>118</v>
      </c>
      <c r="D32" s="5" t="s">
        <v>121</v>
      </c>
      <c r="E32" s="22" t="s">
        <v>693</v>
      </c>
      <c r="F32" s="22" t="s">
        <v>693</v>
      </c>
      <c r="G32" s="5" t="s">
        <v>121</v>
      </c>
      <c r="H32" s="5" t="s">
        <v>455</v>
      </c>
      <c r="I32" s="4">
        <f>INDEX(Breakdown[],MATCH($D32,Breakdown[Dist],0),MATCH(I$4,Breakdown[#Headers],0))</f>
        <v>63659</v>
      </c>
      <c r="J32" s="4">
        <f>INDEX(Breakdown[],MATCH($D32,Breakdown[Dist],0),MATCH(J$4,Breakdown[#Headers],0))</f>
        <v>50188</v>
      </c>
      <c r="K32" s="4">
        <f>INDEX(Breakdown[],MATCH($D32,Breakdown[Dist],0),MATCH(K$4,Breakdown[#Headers],0))</f>
        <v>10750</v>
      </c>
      <c r="L32" s="4">
        <f>INDEX(Breakdown[],MATCH($D32,Breakdown[Dist],0),MATCH(L$4,Breakdown[#Headers],0))</f>
        <v>39438</v>
      </c>
      <c r="M32" s="4">
        <f>INDEX(Breakdown[],MATCH($D32,Breakdown[Dist],0),MATCH(M$4,Breakdown[#Headers],0))</f>
        <v>9128</v>
      </c>
      <c r="N32" s="4">
        <f t="shared" si="0"/>
        <v>62037</v>
      </c>
      <c r="O32" s="15">
        <f t="shared" si="1"/>
        <v>6204</v>
      </c>
      <c r="P32" s="12"/>
      <c r="Q32" s="4">
        <f>INDEX(Breakdown[],MATCH($D32,Breakdown[Dist],0),MATCH(Q$4,Breakdown[#Headers],0))</f>
        <v>13471</v>
      </c>
      <c r="R32" s="4">
        <f>INDEX(Breakdown[],MATCH($D32,Breakdown[Dist],0),MATCH(R$4,Breakdown[#Headers],0))</f>
        <v>9128</v>
      </c>
      <c r="S32" s="14">
        <f t="shared" si="2"/>
        <v>22599</v>
      </c>
      <c r="T32" s="17">
        <f t="shared" si="3"/>
        <v>33234</v>
      </c>
      <c r="U32" s="19">
        <f t="shared" si="4"/>
        <v>55833</v>
      </c>
      <c r="V32" s="12"/>
      <c r="W32" s="20">
        <f t="shared" si="5"/>
        <v>0.10000483582378258</v>
      </c>
      <c r="X32" s="20">
        <f t="shared" si="6"/>
        <v>0.89999516417621739</v>
      </c>
    </row>
    <row r="33" spans="1:24" x14ac:dyDescent="0.25">
      <c r="A33" s="5">
        <v>2026</v>
      </c>
      <c r="B33" s="5" t="s">
        <v>140</v>
      </c>
      <c r="C33" s="24" t="s">
        <v>140</v>
      </c>
      <c r="D33" s="5" t="s">
        <v>144</v>
      </c>
      <c r="E33" s="22" t="s">
        <v>693</v>
      </c>
      <c r="F33" s="22" t="s">
        <v>693</v>
      </c>
      <c r="G33" s="5" t="s">
        <v>144</v>
      </c>
      <c r="H33" s="5" t="s">
        <v>477</v>
      </c>
      <c r="I33" s="4">
        <f>INDEX(Breakdown[],MATCH($D33,Breakdown[Dist],0),MATCH(I$4,Breakdown[#Headers],0))</f>
        <v>561850</v>
      </c>
      <c r="J33" s="4">
        <f>INDEX(Breakdown[],MATCH($D33,Breakdown[Dist],0),MATCH(J$4,Breakdown[#Headers],0))</f>
        <v>445401</v>
      </c>
      <c r="K33" s="4">
        <f>INDEX(Breakdown[],MATCH($D33,Breakdown[Dist],0),MATCH(K$4,Breakdown[#Headers],0))</f>
        <v>95398</v>
      </c>
      <c r="L33" s="4">
        <f>INDEX(Breakdown[],MATCH($D33,Breakdown[Dist],0),MATCH(L$4,Breakdown[#Headers],0))</f>
        <v>350003</v>
      </c>
      <c r="M33" s="4">
        <f>INDEX(Breakdown[],MATCH($D33,Breakdown[Dist],0),MATCH(M$4,Breakdown[#Headers],0))</f>
        <v>443</v>
      </c>
      <c r="N33" s="4">
        <f t="shared" si="0"/>
        <v>466895</v>
      </c>
      <c r="O33" s="15">
        <f t="shared" si="1"/>
        <v>46690</v>
      </c>
      <c r="P33" s="12"/>
      <c r="Q33" s="4">
        <f>INDEX(Breakdown[],MATCH($D33,Breakdown[Dist],0),MATCH(Q$4,Breakdown[#Headers],0))</f>
        <v>116449</v>
      </c>
      <c r="R33" s="4">
        <f>INDEX(Breakdown[],MATCH($D33,Breakdown[Dist],0),MATCH(R$4,Breakdown[#Headers],0))</f>
        <v>443</v>
      </c>
      <c r="S33" s="14">
        <f t="shared" si="2"/>
        <v>116892</v>
      </c>
      <c r="T33" s="17">
        <f t="shared" si="3"/>
        <v>303313</v>
      </c>
      <c r="U33" s="19">
        <f t="shared" si="4"/>
        <v>420205</v>
      </c>
      <c r="V33" s="12"/>
      <c r="W33" s="20">
        <f t="shared" si="5"/>
        <v>0.10000107090459311</v>
      </c>
      <c r="X33" s="20">
        <f t="shared" si="6"/>
        <v>0.89999892909540691</v>
      </c>
    </row>
    <row r="34" spans="1:24" x14ac:dyDescent="0.25">
      <c r="A34" s="5">
        <v>2026</v>
      </c>
      <c r="B34" s="5" t="s">
        <v>118</v>
      </c>
      <c r="C34" s="24" t="s">
        <v>118</v>
      </c>
      <c r="D34" s="5" t="s">
        <v>122</v>
      </c>
      <c r="E34" s="22" t="s">
        <v>693</v>
      </c>
      <c r="F34" s="22" t="s">
        <v>693</v>
      </c>
      <c r="G34" s="5" t="s">
        <v>122</v>
      </c>
      <c r="H34" s="5" t="s">
        <v>456</v>
      </c>
      <c r="I34" s="4">
        <f>INDEX(Breakdown[],MATCH($D34,Breakdown[Dist],0),MATCH(I$4,Breakdown[#Headers],0))</f>
        <v>1521378</v>
      </c>
      <c r="J34" s="4">
        <f>INDEX(Breakdown[],MATCH($D34,Breakdown[Dist],0),MATCH(J$4,Breakdown[#Headers],0))</f>
        <v>1199441</v>
      </c>
      <c r="K34" s="4">
        <f>INDEX(Breakdown[],MATCH($D34,Breakdown[Dist],0),MATCH(K$4,Breakdown[#Headers],0))</f>
        <v>256901</v>
      </c>
      <c r="L34" s="4">
        <f>INDEX(Breakdown[],MATCH($D34,Breakdown[Dist],0),MATCH(L$4,Breakdown[#Headers],0))</f>
        <v>942540</v>
      </c>
      <c r="M34" s="4">
        <f>INDEX(Breakdown[],MATCH($D34,Breakdown[Dist],0),MATCH(M$4,Breakdown[#Headers],0))</f>
        <v>10523</v>
      </c>
      <c r="N34" s="4">
        <f t="shared" si="0"/>
        <v>1275000</v>
      </c>
      <c r="O34" s="15">
        <f t="shared" si="1"/>
        <v>127500</v>
      </c>
      <c r="P34" s="12"/>
      <c r="Q34" s="4">
        <f>INDEX(Breakdown[],MATCH($D34,Breakdown[Dist],0),MATCH(Q$4,Breakdown[#Headers],0))</f>
        <v>321937</v>
      </c>
      <c r="R34" s="4">
        <f>INDEX(Breakdown[],MATCH($D34,Breakdown[Dist],0),MATCH(R$4,Breakdown[#Headers],0))</f>
        <v>10523</v>
      </c>
      <c r="S34" s="14">
        <f t="shared" si="2"/>
        <v>332460</v>
      </c>
      <c r="T34" s="17">
        <f t="shared" si="3"/>
        <v>815040</v>
      </c>
      <c r="U34" s="19">
        <f t="shared" si="4"/>
        <v>1147500</v>
      </c>
      <c r="V34" s="12"/>
      <c r="W34" s="20">
        <f t="shared" si="5"/>
        <v>0.1</v>
      </c>
      <c r="X34" s="20">
        <f t="shared" si="6"/>
        <v>0.9</v>
      </c>
    </row>
    <row r="35" spans="1:24" x14ac:dyDescent="0.25">
      <c r="A35" s="5">
        <v>2026</v>
      </c>
      <c r="B35" s="5" t="s">
        <v>174</v>
      </c>
      <c r="C35" s="24" t="s">
        <v>174</v>
      </c>
      <c r="D35" s="5" t="s">
        <v>182</v>
      </c>
      <c r="E35" s="22" t="s">
        <v>693</v>
      </c>
      <c r="F35" s="22" t="s">
        <v>693</v>
      </c>
      <c r="G35" s="5" t="s">
        <v>182</v>
      </c>
      <c r="H35" s="5" t="s">
        <v>512</v>
      </c>
      <c r="I35" s="4">
        <f>INDEX(Breakdown[],MATCH($D35,Breakdown[Dist],0),MATCH(I$4,Breakdown[#Headers],0))</f>
        <v>1013548</v>
      </c>
      <c r="J35" s="4">
        <f>INDEX(Breakdown[],MATCH($D35,Breakdown[Dist],0),MATCH(J$4,Breakdown[#Headers],0))</f>
        <v>820206</v>
      </c>
      <c r="K35" s="4">
        <f>INDEX(Breakdown[],MATCH($D35,Breakdown[Dist],0),MATCH(K$4,Breakdown[#Headers],0))</f>
        <v>175675</v>
      </c>
      <c r="L35" s="4">
        <f>INDEX(Breakdown[],MATCH($D35,Breakdown[Dist],0),MATCH(L$4,Breakdown[#Headers],0))</f>
        <v>644531</v>
      </c>
      <c r="M35" s="4">
        <f>INDEX(Breakdown[],MATCH($D35,Breakdown[Dist],0),MATCH(M$4,Breakdown[#Headers],0))</f>
        <v>0</v>
      </c>
      <c r="N35" s="4">
        <f t="shared" si="0"/>
        <v>837873</v>
      </c>
      <c r="O35" s="15">
        <f t="shared" si="1"/>
        <v>83787</v>
      </c>
      <c r="P35" s="12"/>
      <c r="Q35" s="4">
        <f>INDEX(Breakdown[],MATCH($D35,Breakdown[Dist],0),MATCH(Q$4,Breakdown[#Headers],0))</f>
        <v>193342</v>
      </c>
      <c r="R35" s="4">
        <f>INDEX(Breakdown[],MATCH($D35,Breakdown[Dist],0),MATCH(R$4,Breakdown[#Headers],0))</f>
        <v>0</v>
      </c>
      <c r="S35" s="14">
        <f t="shared" si="2"/>
        <v>193342</v>
      </c>
      <c r="T35" s="17">
        <f t="shared" si="3"/>
        <v>560744</v>
      </c>
      <c r="U35" s="19">
        <f t="shared" si="4"/>
        <v>754086</v>
      </c>
      <c r="V35" s="12"/>
      <c r="W35" s="20">
        <f t="shared" si="5"/>
        <v>9.9999641950510393E-2</v>
      </c>
      <c r="X35" s="20">
        <f t="shared" si="6"/>
        <v>0.90000035804948963</v>
      </c>
    </row>
    <row r="36" spans="1:24" x14ac:dyDescent="0.25">
      <c r="A36" s="5">
        <v>2026</v>
      </c>
      <c r="B36" s="5" t="s">
        <v>174</v>
      </c>
      <c r="C36" s="24" t="s">
        <v>174</v>
      </c>
      <c r="D36" s="5" t="s">
        <v>183</v>
      </c>
      <c r="E36" s="22" t="s">
        <v>693</v>
      </c>
      <c r="F36" s="22" t="s">
        <v>693</v>
      </c>
      <c r="G36" s="5" t="s">
        <v>183</v>
      </c>
      <c r="H36" s="5" t="s">
        <v>513</v>
      </c>
      <c r="I36" s="4">
        <f>INDEX(Breakdown[],MATCH($D36,Breakdown[Dist],0),MATCH(I$4,Breakdown[#Headers],0))</f>
        <v>797419</v>
      </c>
      <c r="J36" s="4">
        <f>INDEX(Breakdown[],MATCH($D36,Breakdown[Dist],0),MATCH(J$4,Breakdown[#Headers],0))</f>
        <v>645305</v>
      </c>
      <c r="K36" s="4">
        <f>INDEX(Breakdown[],MATCH($D36,Breakdown[Dist],0),MATCH(K$4,Breakdown[#Headers],0))</f>
        <v>138214</v>
      </c>
      <c r="L36" s="4">
        <f>INDEX(Breakdown[],MATCH($D36,Breakdown[Dist],0),MATCH(L$4,Breakdown[#Headers],0))</f>
        <v>507091</v>
      </c>
      <c r="M36" s="4">
        <f>INDEX(Breakdown[],MATCH($D36,Breakdown[Dist],0),MATCH(M$4,Breakdown[#Headers],0))</f>
        <v>0</v>
      </c>
      <c r="N36" s="4">
        <f t="shared" si="0"/>
        <v>659205</v>
      </c>
      <c r="O36" s="15">
        <f t="shared" si="1"/>
        <v>65921</v>
      </c>
      <c r="P36" s="12"/>
      <c r="Q36" s="4">
        <f>INDEX(Breakdown[],MATCH($D36,Breakdown[Dist],0),MATCH(Q$4,Breakdown[#Headers],0))</f>
        <v>152114</v>
      </c>
      <c r="R36" s="4">
        <f>INDEX(Breakdown[],MATCH($D36,Breakdown[Dist],0),MATCH(R$4,Breakdown[#Headers],0))</f>
        <v>0</v>
      </c>
      <c r="S36" s="14">
        <f t="shared" si="2"/>
        <v>152114</v>
      </c>
      <c r="T36" s="17">
        <f t="shared" si="3"/>
        <v>441170</v>
      </c>
      <c r="U36" s="19">
        <f t="shared" si="4"/>
        <v>593284</v>
      </c>
      <c r="V36" s="12"/>
      <c r="W36" s="20">
        <f t="shared" si="5"/>
        <v>0.10000075848939252</v>
      </c>
      <c r="X36" s="20">
        <f t="shared" si="6"/>
        <v>0.89999924151060751</v>
      </c>
    </row>
    <row r="37" spans="1:24" x14ac:dyDescent="0.25">
      <c r="A37" s="5">
        <v>2026</v>
      </c>
      <c r="B37" s="5" t="s">
        <v>229</v>
      </c>
      <c r="C37" s="24" t="s">
        <v>229</v>
      </c>
      <c r="D37" s="5" t="s">
        <v>232</v>
      </c>
      <c r="E37" s="22" t="s">
        <v>693</v>
      </c>
      <c r="F37" s="22" t="s">
        <v>693</v>
      </c>
      <c r="G37" s="5" t="s">
        <v>232</v>
      </c>
      <c r="H37" s="5" t="s">
        <v>559</v>
      </c>
      <c r="I37" s="4">
        <f>INDEX(Breakdown[],MATCH($D37,Breakdown[Dist],0),MATCH(I$4,Breakdown[#Headers],0))</f>
        <v>221462</v>
      </c>
      <c r="J37" s="4">
        <f>INDEX(Breakdown[],MATCH($D37,Breakdown[Dist],0),MATCH(J$4,Breakdown[#Headers],0))</f>
        <v>171840</v>
      </c>
      <c r="K37" s="4">
        <f>INDEX(Breakdown[],MATCH($D37,Breakdown[Dist],0),MATCH(K$4,Breakdown[#Headers],0))</f>
        <v>36806</v>
      </c>
      <c r="L37" s="4">
        <f>INDEX(Breakdown[],MATCH($D37,Breakdown[Dist],0),MATCH(L$4,Breakdown[#Headers],0))</f>
        <v>135034</v>
      </c>
      <c r="M37" s="4">
        <f>INDEX(Breakdown[],MATCH($D37,Breakdown[Dist],0),MATCH(M$4,Breakdown[#Headers],0))</f>
        <v>1085</v>
      </c>
      <c r="N37" s="4">
        <f t="shared" si="0"/>
        <v>185741</v>
      </c>
      <c r="O37" s="15">
        <f t="shared" si="1"/>
        <v>18574</v>
      </c>
      <c r="P37" s="12"/>
      <c r="Q37" s="4">
        <f>INDEX(Breakdown[],MATCH($D37,Breakdown[Dist],0),MATCH(Q$4,Breakdown[#Headers],0))</f>
        <v>49622</v>
      </c>
      <c r="R37" s="4">
        <f>INDEX(Breakdown[],MATCH($D37,Breakdown[Dist],0),MATCH(R$4,Breakdown[#Headers],0))</f>
        <v>1085</v>
      </c>
      <c r="S37" s="14">
        <f t="shared" si="2"/>
        <v>50707</v>
      </c>
      <c r="T37" s="17">
        <f t="shared" si="3"/>
        <v>116460</v>
      </c>
      <c r="U37" s="19">
        <f t="shared" si="4"/>
        <v>167167</v>
      </c>
      <c r="V37" s="12"/>
      <c r="W37" s="20">
        <f t="shared" si="5"/>
        <v>9.9999461615906018E-2</v>
      </c>
      <c r="X37" s="20">
        <f t="shared" si="6"/>
        <v>0.900000538384094</v>
      </c>
    </row>
    <row r="38" spans="1:24" x14ac:dyDescent="0.25">
      <c r="A38" s="5">
        <v>2026</v>
      </c>
      <c r="B38" s="5" t="s">
        <v>263</v>
      </c>
      <c r="C38" s="24" t="s">
        <v>263</v>
      </c>
      <c r="D38" s="5" t="s">
        <v>267</v>
      </c>
      <c r="E38" s="22" t="s">
        <v>693</v>
      </c>
      <c r="F38" s="22" t="s">
        <v>693</v>
      </c>
      <c r="G38" s="5" t="s">
        <v>267</v>
      </c>
      <c r="H38" s="5" t="s">
        <v>594</v>
      </c>
      <c r="I38" s="4">
        <f>INDEX(Breakdown[],MATCH($D38,Breakdown[Dist],0),MATCH(I$4,Breakdown[#Headers],0))</f>
        <v>152810</v>
      </c>
      <c r="J38" s="4">
        <f>INDEX(Breakdown[],MATCH($D38,Breakdown[Dist],0),MATCH(J$4,Breakdown[#Headers],0))</f>
        <v>120805</v>
      </c>
      <c r="K38" s="4">
        <f>INDEX(Breakdown[],MATCH($D38,Breakdown[Dist],0),MATCH(K$4,Breakdown[#Headers],0))</f>
        <v>25874</v>
      </c>
      <c r="L38" s="4">
        <f>INDEX(Breakdown[],MATCH($D38,Breakdown[Dist],0),MATCH(L$4,Breakdown[#Headers],0))</f>
        <v>94931</v>
      </c>
      <c r="M38" s="4">
        <f>INDEX(Breakdown[],MATCH($D38,Breakdown[Dist],0),MATCH(M$4,Breakdown[#Headers],0))</f>
        <v>0</v>
      </c>
      <c r="N38" s="4">
        <f t="shared" si="0"/>
        <v>126936</v>
      </c>
      <c r="O38" s="15">
        <f t="shared" si="1"/>
        <v>12694</v>
      </c>
      <c r="P38" s="12"/>
      <c r="Q38" s="4">
        <f>INDEX(Breakdown[],MATCH($D38,Breakdown[Dist],0),MATCH(Q$4,Breakdown[#Headers],0))</f>
        <v>32005</v>
      </c>
      <c r="R38" s="4">
        <f>INDEX(Breakdown[],MATCH($D38,Breakdown[Dist],0),MATCH(R$4,Breakdown[#Headers],0))</f>
        <v>0</v>
      </c>
      <c r="S38" s="14">
        <f t="shared" si="2"/>
        <v>32005</v>
      </c>
      <c r="T38" s="17">
        <f t="shared" si="3"/>
        <v>82237</v>
      </c>
      <c r="U38" s="19">
        <f t="shared" si="4"/>
        <v>114242</v>
      </c>
      <c r="V38" s="12"/>
      <c r="W38" s="20">
        <f t="shared" si="5"/>
        <v>0.10000315119430264</v>
      </c>
      <c r="X38" s="20">
        <f t="shared" si="6"/>
        <v>0.89999684880569741</v>
      </c>
    </row>
    <row r="39" spans="1:24" x14ac:dyDescent="0.25">
      <c r="A39" s="5">
        <v>2026</v>
      </c>
      <c r="B39" s="5" t="s">
        <v>60</v>
      </c>
      <c r="C39" s="24" t="s">
        <v>60</v>
      </c>
      <c r="D39" s="5" t="s">
        <v>68</v>
      </c>
      <c r="E39" s="22" t="s">
        <v>693</v>
      </c>
      <c r="F39" s="22" t="s">
        <v>693</v>
      </c>
      <c r="G39" s="5" t="s">
        <v>68</v>
      </c>
      <c r="H39" s="5" t="s">
        <v>407</v>
      </c>
      <c r="I39" s="4">
        <f>INDEX(Breakdown[],MATCH($D39,Breakdown[Dist],0),MATCH(I$4,Breakdown[#Headers],0))</f>
        <v>210054</v>
      </c>
      <c r="J39" s="4">
        <f>INDEX(Breakdown[],MATCH($D39,Breakdown[Dist],0),MATCH(J$4,Breakdown[#Headers],0))</f>
        <v>164496</v>
      </c>
      <c r="K39" s="4">
        <f>INDEX(Breakdown[],MATCH($D39,Breakdown[Dist],0),MATCH(K$4,Breakdown[#Headers],0))</f>
        <v>35233</v>
      </c>
      <c r="L39" s="4">
        <f>INDEX(Breakdown[],MATCH($D39,Breakdown[Dist],0),MATCH(L$4,Breakdown[#Headers],0))</f>
        <v>129263</v>
      </c>
      <c r="M39" s="4">
        <f>INDEX(Breakdown[],MATCH($D39,Breakdown[Dist],0),MATCH(M$4,Breakdown[#Headers],0))</f>
        <v>0</v>
      </c>
      <c r="N39" s="4">
        <f t="shared" si="0"/>
        <v>174821</v>
      </c>
      <c r="O39" s="15">
        <f t="shared" si="1"/>
        <v>17482</v>
      </c>
      <c r="P39" s="12"/>
      <c r="Q39" s="4">
        <f>INDEX(Breakdown[],MATCH($D39,Breakdown[Dist],0),MATCH(Q$4,Breakdown[#Headers],0))</f>
        <v>45558</v>
      </c>
      <c r="R39" s="4">
        <f>INDEX(Breakdown[],MATCH($D39,Breakdown[Dist],0),MATCH(R$4,Breakdown[#Headers],0))</f>
        <v>0</v>
      </c>
      <c r="S39" s="14">
        <f t="shared" si="2"/>
        <v>45558</v>
      </c>
      <c r="T39" s="17">
        <f t="shared" si="3"/>
        <v>111781</v>
      </c>
      <c r="U39" s="19">
        <f t="shared" si="4"/>
        <v>157339</v>
      </c>
      <c r="V39" s="12"/>
      <c r="W39" s="20">
        <f t="shared" si="5"/>
        <v>9.9999427986340317E-2</v>
      </c>
      <c r="X39" s="20">
        <f t="shared" si="6"/>
        <v>0.90000057201365968</v>
      </c>
    </row>
    <row r="40" spans="1:24" x14ac:dyDescent="0.25">
      <c r="A40" s="5">
        <v>2026</v>
      </c>
      <c r="B40" s="5" t="s">
        <v>308</v>
      </c>
      <c r="C40" s="24" t="s">
        <v>308</v>
      </c>
      <c r="D40" s="5" t="s">
        <v>310</v>
      </c>
      <c r="E40" s="22" t="s">
        <v>693</v>
      </c>
      <c r="F40" s="22" t="s">
        <v>693</v>
      </c>
      <c r="G40" s="5" t="s">
        <v>310</v>
      </c>
      <c r="H40" s="5" t="s">
        <v>634</v>
      </c>
      <c r="I40" s="4">
        <f>INDEX(Breakdown[],MATCH($D40,Breakdown[Dist],0),MATCH(I$4,Breakdown[#Headers],0))</f>
        <v>1531760</v>
      </c>
      <c r="J40" s="4">
        <f>INDEX(Breakdown[],MATCH($D40,Breakdown[Dist],0),MATCH(J$4,Breakdown[#Headers],0))</f>
        <v>1220174</v>
      </c>
      <c r="K40" s="4">
        <f>INDEX(Breakdown[],MATCH($D40,Breakdown[Dist],0),MATCH(K$4,Breakdown[#Headers],0))</f>
        <v>261342</v>
      </c>
      <c r="L40" s="4">
        <f>INDEX(Breakdown[],MATCH($D40,Breakdown[Dist],0),MATCH(L$4,Breakdown[#Headers],0))</f>
        <v>958832</v>
      </c>
      <c r="M40" s="4">
        <f>INDEX(Breakdown[],MATCH($D40,Breakdown[Dist],0),MATCH(M$4,Breakdown[#Headers],0))</f>
        <v>6605</v>
      </c>
      <c r="N40" s="4">
        <f t="shared" si="0"/>
        <v>1277023</v>
      </c>
      <c r="O40" s="15">
        <f t="shared" si="1"/>
        <v>127702</v>
      </c>
      <c r="P40" s="12"/>
      <c r="Q40" s="4">
        <f>INDEX(Breakdown[],MATCH($D40,Breakdown[Dist],0),MATCH(Q$4,Breakdown[#Headers],0))</f>
        <v>311586</v>
      </c>
      <c r="R40" s="4">
        <f>INDEX(Breakdown[],MATCH($D40,Breakdown[Dist],0),MATCH(R$4,Breakdown[#Headers],0))</f>
        <v>6605</v>
      </c>
      <c r="S40" s="14">
        <f t="shared" si="2"/>
        <v>318191</v>
      </c>
      <c r="T40" s="17">
        <f t="shared" si="3"/>
        <v>831130</v>
      </c>
      <c r="U40" s="19">
        <f t="shared" si="4"/>
        <v>1149321</v>
      </c>
      <c r="V40" s="12"/>
      <c r="W40" s="20">
        <f t="shared" si="5"/>
        <v>9.9999765078624264E-2</v>
      </c>
      <c r="X40" s="20">
        <f t="shared" si="6"/>
        <v>0.90000023492137571</v>
      </c>
    </row>
    <row r="41" spans="1:24" x14ac:dyDescent="0.25">
      <c r="A41" s="5">
        <v>2026</v>
      </c>
      <c r="B41" s="5" t="s">
        <v>60</v>
      </c>
      <c r="C41" s="24" t="s">
        <v>60</v>
      </c>
      <c r="D41" s="5" t="s">
        <v>69</v>
      </c>
      <c r="E41" s="22" t="s">
        <v>693</v>
      </c>
      <c r="F41" s="22" t="s">
        <v>693</v>
      </c>
      <c r="G41" s="5" t="s">
        <v>69</v>
      </c>
      <c r="H41" s="5" t="s">
        <v>70</v>
      </c>
      <c r="I41" s="4">
        <f>INDEX(Breakdown[],MATCH($D41,Breakdown[Dist],0),MATCH(I$4,Breakdown[#Headers],0))</f>
        <v>115903</v>
      </c>
      <c r="J41" s="4">
        <f>INDEX(Breakdown[],MATCH($D41,Breakdown[Dist],0),MATCH(J$4,Breakdown[#Headers],0))</f>
        <v>90765</v>
      </c>
      <c r="K41" s="4">
        <f>INDEX(Breakdown[],MATCH($D41,Breakdown[Dist],0),MATCH(K$4,Breakdown[#Headers],0))</f>
        <v>19440</v>
      </c>
      <c r="L41" s="4">
        <f>INDEX(Breakdown[],MATCH($D41,Breakdown[Dist],0),MATCH(L$4,Breakdown[#Headers],0))</f>
        <v>71325</v>
      </c>
      <c r="M41" s="4">
        <f>INDEX(Breakdown[],MATCH($D41,Breakdown[Dist],0),MATCH(M$4,Breakdown[#Headers],0))</f>
        <v>0</v>
      </c>
      <c r="N41" s="4">
        <f t="shared" si="0"/>
        <v>96463</v>
      </c>
      <c r="O41" s="15">
        <f t="shared" si="1"/>
        <v>9646</v>
      </c>
      <c r="P41" s="12"/>
      <c r="Q41" s="4">
        <f>INDEX(Breakdown[],MATCH($D41,Breakdown[Dist],0),MATCH(Q$4,Breakdown[#Headers],0))</f>
        <v>25138</v>
      </c>
      <c r="R41" s="4">
        <f>INDEX(Breakdown[],MATCH($D41,Breakdown[Dist],0),MATCH(R$4,Breakdown[#Headers],0))</f>
        <v>0</v>
      </c>
      <c r="S41" s="14">
        <f t="shared" si="2"/>
        <v>25138</v>
      </c>
      <c r="T41" s="17">
        <f t="shared" si="3"/>
        <v>61679</v>
      </c>
      <c r="U41" s="19">
        <f t="shared" si="4"/>
        <v>86817</v>
      </c>
      <c r="V41" s="12"/>
      <c r="W41" s="20">
        <f t="shared" si="5"/>
        <v>9.9996889999274335E-2</v>
      </c>
      <c r="X41" s="20">
        <f t="shared" si="6"/>
        <v>0.90000311000072564</v>
      </c>
    </row>
    <row r="42" spans="1:24" x14ac:dyDescent="0.25">
      <c r="A42" s="5">
        <v>2026</v>
      </c>
      <c r="B42" s="5" t="s">
        <v>118</v>
      </c>
      <c r="C42" s="24" t="s">
        <v>118</v>
      </c>
      <c r="D42" s="5" t="s">
        <v>123</v>
      </c>
      <c r="E42" s="22" t="s">
        <v>693</v>
      </c>
      <c r="F42" s="22" t="s">
        <v>693</v>
      </c>
      <c r="G42" s="5" t="s">
        <v>123</v>
      </c>
      <c r="H42" s="5" t="s">
        <v>457</v>
      </c>
      <c r="I42" s="4">
        <f>INDEX(Breakdown[],MATCH($D42,Breakdown[Dist],0),MATCH(I$4,Breakdown[#Headers],0))</f>
        <v>140309</v>
      </c>
      <c r="J42" s="4">
        <f>INDEX(Breakdown[],MATCH($D42,Breakdown[Dist],0),MATCH(J$4,Breakdown[#Headers],0))</f>
        <v>110618</v>
      </c>
      <c r="K42" s="4">
        <f>INDEX(Breakdown[],MATCH($D42,Breakdown[Dist],0),MATCH(K$4,Breakdown[#Headers],0))</f>
        <v>23693</v>
      </c>
      <c r="L42" s="4">
        <f>INDEX(Breakdown[],MATCH($D42,Breakdown[Dist],0),MATCH(L$4,Breakdown[#Headers],0))</f>
        <v>86925</v>
      </c>
      <c r="M42" s="4">
        <f>INDEX(Breakdown[],MATCH($D42,Breakdown[Dist],0),MATCH(M$4,Breakdown[#Headers],0))</f>
        <v>15410</v>
      </c>
      <c r="N42" s="4">
        <f t="shared" si="0"/>
        <v>132026</v>
      </c>
      <c r="O42" s="15">
        <f t="shared" si="1"/>
        <v>13203</v>
      </c>
      <c r="P42" s="12"/>
      <c r="Q42" s="4">
        <f>INDEX(Breakdown[],MATCH($D42,Breakdown[Dist],0),MATCH(Q$4,Breakdown[#Headers],0))</f>
        <v>29691</v>
      </c>
      <c r="R42" s="4">
        <f>INDEX(Breakdown[],MATCH($D42,Breakdown[Dist],0),MATCH(R$4,Breakdown[#Headers],0))</f>
        <v>15410</v>
      </c>
      <c r="S42" s="14">
        <f t="shared" si="2"/>
        <v>45101</v>
      </c>
      <c r="T42" s="17">
        <f t="shared" si="3"/>
        <v>73722</v>
      </c>
      <c r="U42" s="19">
        <f t="shared" si="4"/>
        <v>118823</v>
      </c>
      <c r="V42" s="12"/>
      <c r="W42" s="20">
        <f t="shared" si="5"/>
        <v>0.10000302970626998</v>
      </c>
      <c r="X42" s="20">
        <f t="shared" si="6"/>
        <v>0.89999697029373005</v>
      </c>
    </row>
    <row r="43" spans="1:24" x14ac:dyDescent="0.25">
      <c r="A43" s="5">
        <v>2026</v>
      </c>
      <c r="B43" s="5" t="s">
        <v>263</v>
      </c>
      <c r="C43" s="24" t="s">
        <v>263</v>
      </c>
      <c r="D43" s="5" t="s">
        <v>268</v>
      </c>
      <c r="E43" s="22" t="s">
        <v>693</v>
      </c>
      <c r="F43" s="22" t="s">
        <v>693</v>
      </c>
      <c r="G43" s="5" t="s">
        <v>268</v>
      </c>
      <c r="H43" s="5" t="s">
        <v>269</v>
      </c>
      <c r="I43" s="4">
        <f>INDEX(Breakdown[],MATCH($D43,Breakdown[Dist],0),MATCH(I$4,Breakdown[#Headers],0))</f>
        <v>168007</v>
      </c>
      <c r="J43" s="4">
        <f>INDEX(Breakdown[],MATCH($D43,Breakdown[Dist],0),MATCH(J$4,Breakdown[#Headers],0))</f>
        <v>132819</v>
      </c>
      <c r="K43" s="4">
        <f>INDEX(Breakdown[],MATCH($D43,Breakdown[Dist],0),MATCH(K$4,Breakdown[#Headers],0))</f>
        <v>28448</v>
      </c>
      <c r="L43" s="4">
        <f>INDEX(Breakdown[],MATCH($D43,Breakdown[Dist],0),MATCH(L$4,Breakdown[#Headers],0))</f>
        <v>104371</v>
      </c>
      <c r="M43" s="4">
        <f>INDEX(Breakdown[],MATCH($D43,Breakdown[Dist],0),MATCH(M$4,Breakdown[#Headers],0))</f>
        <v>5064</v>
      </c>
      <c r="N43" s="4">
        <f t="shared" si="0"/>
        <v>144623</v>
      </c>
      <c r="O43" s="15">
        <f t="shared" si="1"/>
        <v>14462</v>
      </c>
      <c r="P43" s="12"/>
      <c r="Q43" s="4">
        <f>INDEX(Breakdown[],MATCH($D43,Breakdown[Dist],0),MATCH(Q$4,Breakdown[#Headers],0))</f>
        <v>35188</v>
      </c>
      <c r="R43" s="4">
        <f>INDEX(Breakdown[],MATCH($D43,Breakdown[Dist],0),MATCH(R$4,Breakdown[#Headers],0))</f>
        <v>5064</v>
      </c>
      <c r="S43" s="14">
        <f t="shared" si="2"/>
        <v>40252</v>
      </c>
      <c r="T43" s="17">
        <f t="shared" si="3"/>
        <v>89909</v>
      </c>
      <c r="U43" s="19">
        <f t="shared" si="4"/>
        <v>130161</v>
      </c>
      <c r="V43" s="12"/>
      <c r="W43" s="20">
        <f t="shared" si="5"/>
        <v>9.9997925641149746E-2</v>
      </c>
      <c r="X43" s="20">
        <f t="shared" si="6"/>
        <v>0.90000207435885027</v>
      </c>
    </row>
    <row r="44" spans="1:24" x14ac:dyDescent="0.25">
      <c r="A44" s="5">
        <v>2026</v>
      </c>
      <c r="B44" s="5" t="s">
        <v>118</v>
      </c>
      <c r="C44" s="24" t="s">
        <v>118</v>
      </c>
      <c r="D44" s="5" t="s">
        <v>124</v>
      </c>
      <c r="E44" s="22" t="s">
        <v>693</v>
      </c>
      <c r="F44" s="22" t="s">
        <v>693</v>
      </c>
      <c r="G44" s="5" t="s">
        <v>124</v>
      </c>
      <c r="H44" s="5" t="s">
        <v>458</v>
      </c>
      <c r="I44" s="4">
        <f>INDEX(Breakdown[],MATCH($D44,Breakdown[Dist],0),MATCH(I$4,Breakdown[#Headers],0))</f>
        <v>322945</v>
      </c>
      <c r="J44" s="4">
        <f>INDEX(Breakdown[],MATCH($D44,Breakdown[Dist],0),MATCH(J$4,Breakdown[#Headers],0))</f>
        <v>254607</v>
      </c>
      <c r="K44" s="4">
        <f>INDEX(Breakdown[],MATCH($D44,Breakdown[Dist],0),MATCH(K$4,Breakdown[#Headers],0))</f>
        <v>54532</v>
      </c>
      <c r="L44" s="4">
        <f>INDEX(Breakdown[],MATCH($D44,Breakdown[Dist],0),MATCH(L$4,Breakdown[#Headers],0))</f>
        <v>200075</v>
      </c>
      <c r="M44" s="4">
        <f>INDEX(Breakdown[],MATCH($D44,Breakdown[Dist],0),MATCH(M$4,Breakdown[#Headers],0))</f>
        <v>0</v>
      </c>
      <c r="N44" s="4">
        <f t="shared" si="0"/>
        <v>268413</v>
      </c>
      <c r="O44" s="15">
        <f t="shared" si="1"/>
        <v>26841</v>
      </c>
      <c r="P44" s="12"/>
      <c r="Q44" s="4">
        <f>INDEX(Breakdown[],MATCH($D44,Breakdown[Dist],0),MATCH(Q$4,Breakdown[#Headers],0))</f>
        <v>68338</v>
      </c>
      <c r="R44" s="4">
        <f>INDEX(Breakdown[],MATCH($D44,Breakdown[Dist],0),MATCH(R$4,Breakdown[#Headers],0))</f>
        <v>0</v>
      </c>
      <c r="S44" s="14">
        <f t="shared" si="2"/>
        <v>68338</v>
      </c>
      <c r="T44" s="17">
        <f t="shared" si="3"/>
        <v>173234</v>
      </c>
      <c r="U44" s="19">
        <f t="shared" si="4"/>
        <v>241572</v>
      </c>
      <c r="V44" s="12"/>
      <c r="W44" s="20">
        <f t="shared" si="5"/>
        <v>9.9998882319410759E-2</v>
      </c>
      <c r="X44" s="20">
        <f t="shared" si="6"/>
        <v>0.90000111768058921</v>
      </c>
    </row>
    <row r="45" spans="1:24" x14ac:dyDescent="0.25">
      <c r="A45" s="5">
        <v>2026</v>
      </c>
      <c r="B45" s="5" t="s">
        <v>308</v>
      </c>
      <c r="C45" s="24" t="s">
        <v>308</v>
      </c>
      <c r="D45" s="5" t="s">
        <v>311</v>
      </c>
      <c r="E45" s="22" t="s">
        <v>693</v>
      </c>
      <c r="F45" s="22" t="s">
        <v>693</v>
      </c>
      <c r="G45" s="5" t="s">
        <v>311</v>
      </c>
      <c r="H45" s="5" t="s">
        <v>635</v>
      </c>
      <c r="I45" s="4">
        <f>INDEX(Breakdown[],MATCH($D45,Breakdown[Dist],0),MATCH(I$4,Breakdown[#Headers],0))</f>
        <v>221442</v>
      </c>
      <c r="J45" s="4">
        <f>INDEX(Breakdown[],MATCH($D45,Breakdown[Dist],0),MATCH(J$4,Breakdown[#Headers],0))</f>
        <v>176397</v>
      </c>
      <c r="K45" s="4">
        <f>INDEX(Breakdown[],MATCH($D45,Breakdown[Dist],0),MATCH(K$4,Breakdown[#Headers],0))</f>
        <v>37782</v>
      </c>
      <c r="L45" s="4">
        <f>INDEX(Breakdown[],MATCH($D45,Breakdown[Dist],0),MATCH(L$4,Breakdown[#Headers],0))</f>
        <v>138615</v>
      </c>
      <c r="M45" s="4">
        <f>INDEX(Breakdown[],MATCH($D45,Breakdown[Dist],0),MATCH(M$4,Breakdown[#Headers],0))</f>
        <v>0</v>
      </c>
      <c r="N45" s="4">
        <f t="shared" si="0"/>
        <v>183660</v>
      </c>
      <c r="O45" s="15">
        <f t="shared" si="1"/>
        <v>18366</v>
      </c>
      <c r="P45" s="12"/>
      <c r="Q45" s="4">
        <f>INDEX(Breakdown[],MATCH($D45,Breakdown[Dist],0),MATCH(Q$4,Breakdown[#Headers],0))</f>
        <v>45045</v>
      </c>
      <c r="R45" s="4">
        <f>INDEX(Breakdown[],MATCH($D45,Breakdown[Dist],0),MATCH(R$4,Breakdown[#Headers],0))</f>
        <v>0</v>
      </c>
      <c r="S45" s="14">
        <f t="shared" si="2"/>
        <v>45045</v>
      </c>
      <c r="T45" s="17">
        <f t="shared" si="3"/>
        <v>120249</v>
      </c>
      <c r="U45" s="19">
        <f t="shared" si="4"/>
        <v>165294</v>
      </c>
      <c r="V45" s="12"/>
      <c r="W45" s="20">
        <f t="shared" si="5"/>
        <v>0.1</v>
      </c>
      <c r="X45" s="20">
        <f t="shared" si="6"/>
        <v>0.9</v>
      </c>
    </row>
    <row r="46" spans="1:24" x14ac:dyDescent="0.25">
      <c r="A46" s="5">
        <v>2026</v>
      </c>
      <c r="B46" s="5" t="s">
        <v>174</v>
      </c>
      <c r="C46" s="24" t="s">
        <v>174</v>
      </c>
      <c r="D46" s="5" t="s">
        <v>184</v>
      </c>
      <c r="E46" s="22" t="s">
        <v>693</v>
      </c>
      <c r="F46" s="22" t="s">
        <v>693</v>
      </c>
      <c r="G46" s="5" t="s">
        <v>184</v>
      </c>
      <c r="H46" s="5" t="s">
        <v>514</v>
      </c>
      <c r="I46" s="4">
        <f>INDEX(Breakdown[],MATCH($D46,Breakdown[Dist],0),MATCH(I$4,Breakdown[#Headers],0))</f>
        <v>731802</v>
      </c>
      <c r="J46" s="4">
        <f>INDEX(Breakdown[],MATCH($D46,Breakdown[Dist],0),MATCH(J$4,Breakdown[#Headers],0))</f>
        <v>592205</v>
      </c>
      <c r="K46" s="4">
        <f>INDEX(Breakdown[],MATCH($D46,Breakdown[Dist],0),MATCH(K$4,Breakdown[#Headers],0))</f>
        <v>126841</v>
      </c>
      <c r="L46" s="4">
        <f>INDEX(Breakdown[],MATCH($D46,Breakdown[Dist],0),MATCH(L$4,Breakdown[#Headers],0))</f>
        <v>465364</v>
      </c>
      <c r="M46" s="4">
        <f>INDEX(Breakdown[],MATCH($D46,Breakdown[Dist],0),MATCH(M$4,Breakdown[#Headers],0))</f>
        <v>7095</v>
      </c>
      <c r="N46" s="4">
        <f t="shared" si="0"/>
        <v>612056</v>
      </c>
      <c r="O46" s="15">
        <f t="shared" si="1"/>
        <v>61206</v>
      </c>
      <c r="P46" s="12"/>
      <c r="Q46" s="4">
        <f>INDEX(Breakdown[],MATCH($D46,Breakdown[Dist],0),MATCH(Q$4,Breakdown[#Headers],0))</f>
        <v>139597</v>
      </c>
      <c r="R46" s="4">
        <f>INDEX(Breakdown[],MATCH($D46,Breakdown[Dist],0),MATCH(R$4,Breakdown[#Headers],0))</f>
        <v>7095</v>
      </c>
      <c r="S46" s="14">
        <f t="shared" si="2"/>
        <v>146692</v>
      </c>
      <c r="T46" s="17">
        <f t="shared" si="3"/>
        <v>404158</v>
      </c>
      <c r="U46" s="19">
        <f t="shared" si="4"/>
        <v>550850</v>
      </c>
      <c r="V46" s="12"/>
      <c r="W46" s="20">
        <f t="shared" si="5"/>
        <v>0.10000065353497066</v>
      </c>
      <c r="X46" s="20">
        <f t="shared" si="6"/>
        <v>0.89999934646502933</v>
      </c>
    </row>
    <row r="47" spans="1:24" x14ac:dyDescent="0.25">
      <c r="A47" s="5">
        <v>2026</v>
      </c>
      <c r="B47" s="5" t="s">
        <v>174</v>
      </c>
      <c r="C47" s="24" t="s">
        <v>174</v>
      </c>
      <c r="D47" s="5" t="s">
        <v>185</v>
      </c>
      <c r="E47" s="22" t="s">
        <v>693</v>
      </c>
      <c r="F47" s="22" t="s">
        <v>693</v>
      </c>
      <c r="G47" s="5" t="s">
        <v>185</v>
      </c>
      <c r="H47" s="5" t="s">
        <v>515</v>
      </c>
      <c r="I47" s="4">
        <f>INDEX(Breakdown[],MATCH($D47,Breakdown[Dist],0),MATCH(I$4,Breakdown[#Headers],0))</f>
        <v>621664</v>
      </c>
      <c r="J47" s="4">
        <f>INDEX(Breakdown[],MATCH($D47,Breakdown[Dist],0),MATCH(J$4,Breakdown[#Headers],0))</f>
        <v>503076</v>
      </c>
      <c r="K47" s="4">
        <f>INDEX(Breakdown[],MATCH($D47,Breakdown[Dist],0),MATCH(K$4,Breakdown[#Headers],0))</f>
        <v>107751</v>
      </c>
      <c r="L47" s="4">
        <f>INDEX(Breakdown[],MATCH($D47,Breakdown[Dist],0),MATCH(L$4,Breakdown[#Headers],0))</f>
        <v>395325</v>
      </c>
      <c r="M47" s="4">
        <f>INDEX(Breakdown[],MATCH($D47,Breakdown[Dist],0),MATCH(M$4,Breakdown[#Headers],0))</f>
        <v>10834</v>
      </c>
      <c r="N47" s="4">
        <f t="shared" si="0"/>
        <v>524747</v>
      </c>
      <c r="O47" s="15">
        <f t="shared" si="1"/>
        <v>52475</v>
      </c>
      <c r="P47" s="12"/>
      <c r="Q47" s="4">
        <f>INDEX(Breakdown[],MATCH($D47,Breakdown[Dist],0),MATCH(Q$4,Breakdown[#Headers],0))</f>
        <v>118588</v>
      </c>
      <c r="R47" s="4">
        <f>INDEX(Breakdown[],MATCH($D47,Breakdown[Dist],0),MATCH(R$4,Breakdown[#Headers],0))</f>
        <v>10834</v>
      </c>
      <c r="S47" s="14">
        <f t="shared" si="2"/>
        <v>129422</v>
      </c>
      <c r="T47" s="17">
        <f t="shared" si="3"/>
        <v>342850</v>
      </c>
      <c r="U47" s="19">
        <f t="shared" si="4"/>
        <v>472272</v>
      </c>
      <c r="V47" s="12"/>
      <c r="W47" s="20">
        <f t="shared" si="5"/>
        <v>0.10000057170407835</v>
      </c>
      <c r="X47" s="20">
        <f t="shared" si="6"/>
        <v>0.89999942829592161</v>
      </c>
    </row>
    <row r="48" spans="1:24" x14ac:dyDescent="0.25">
      <c r="A48" s="5">
        <v>2026</v>
      </c>
      <c r="B48" s="5" t="s">
        <v>60</v>
      </c>
      <c r="C48" s="24" t="s">
        <v>60</v>
      </c>
      <c r="D48" s="5" t="s">
        <v>71</v>
      </c>
      <c r="E48" s="22" t="s">
        <v>693</v>
      </c>
      <c r="F48" s="22" t="s">
        <v>693</v>
      </c>
      <c r="G48" s="5" t="s">
        <v>71</v>
      </c>
      <c r="H48" s="5" t="s">
        <v>408</v>
      </c>
      <c r="I48" s="4">
        <f>INDEX(Breakdown[],MATCH($D48,Breakdown[Dist],0),MATCH(I$4,Breakdown[#Headers],0))</f>
        <v>2210218</v>
      </c>
      <c r="J48" s="4">
        <f>INDEX(Breakdown[],MATCH($D48,Breakdown[Dist],0),MATCH(J$4,Breakdown[#Headers],0))</f>
        <v>1730848</v>
      </c>
      <c r="K48" s="4">
        <f>INDEX(Breakdown[],MATCH($D48,Breakdown[Dist],0),MATCH(K$4,Breakdown[#Headers],0))</f>
        <v>370720</v>
      </c>
      <c r="L48" s="4">
        <f>INDEX(Breakdown[],MATCH($D48,Breakdown[Dist],0),MATCH(L$4,Breakdown[#Headers],0))</f>
        <v>1360128</v>
      </c>
      <c r="M48" s="4">
        <f>INDEX(Breakdown[],MATCH($D48,Breakdown[Dist],0),MATCH(M$4,Breakdown[#Headers],0))</f>
        <v>0</v>
      </c>
      <c r="N48" s="4">
        <f t="shared" si="0"/>
        <v>1839498</v>
      </c>
      <c r="O48" s="15">
        <f t="shared" si="1"/>
        <v>183950</v>
      </c>
      <c r="P48" s="12"/>
      <c r="Q48" s="4">
        <f>INDEX(Breakdown[],MATCH($D48,Breakdown[Dist],0),MATCH(Q$4,Breakdown[#Headers],0))</f>
        <v>479370</v>
      </c>
      <c r="R48" s="4">
        <f>INDEX(Breakdown[],MATCH($D48,Breakdown[Dist],0),MATCH(R$4,Breakdown[#Headers],0))</f>
        <v>0</v>
      </c>
      <c r="S48" s="14">
        <f t="shared" si="2"/>
        <v>479370</v>
      </c>
      <c r="T48" s="17">
        <f t="shared" si="3"/>
        <v>1176178</v>
      </c>
      <c r="U48" s="19">
        <f t="shared" si="4"/>
        <v>1655548</v>
      </c>
      <c r="V48" s="12"/>
      <c r="W48" s="20">
        <f t="shared" si="5"/>
        <v>0.10000010872531527</v>
      </c>
      <c r="X48" s="20">
        <f t="shared" si="6"/>
        <v>0.89999989127468472</v>
      </c>
    </row>
    <row r="49" spans="1:24" x14ac:dyDescent="0.25">
      <c r="A49" s="5">
        <v>2026</v>
      </c>
      <c r="B49" s="5" t="s">
        <v>140</v>
      </c>
      <c r="C49" s="24" t="s">
        <v>140</v>
      </c>
      <c r="D49" s="5" t="s">
        <v>145</v>
      </c>
      <c r="E49" s="22" t="s">
        <v>693</v>
      </c>
      <c r="F49" s="22" t="s">
        <v>693</v>
      </c>
      <c r="G49" s="5" t="s">
        <v>145</v>
      </c>
      <c r="H49" s="5" t="s">
        <v>478</v>
      </c>
      <c r="I49" s="4">
        <f>INDEX(Breakdown[],MATCH($D49,Breakdown[Dist],0),MATCH(I$4,Breakdown[#Headers],0))</f>
        <v>6481733</v>
      </c>
      <c r="J49" s="4">
        <f>INDEX(Breakdown[],MATCH($D49,Breakdown[Dist],0),MATCH(J$4,Breakdown[#Headers],0))</f>
        <v>5138322</v>
      </c>
      <c r="K49" s="4">
        <f>INDEX(Breakdown[],MATCH($D49,Breakdown[Dist],0),MATCH(K$4,Breakdown[#Headers],0))</f>
        <v>1100546</v>
      </c>
      <c r="L49" s="4">
        <f>INDEX(Breakdown[],MATCH($D49,Breakdown[Dist],0),MATCH(L$4,Breakdown[#Headers],0))</f>
        <v>4037776</v>
      </c>
      <c r="M49" s="4">
        <f>INDEX(Breakdown[],MATCH($D49,Breakdown[Dist],0),MATCH(M$4,Breakdown[#Headers],0))</f>
        <v>0</v>
      </c>
      <c r="N49" s="4">
        <f t="shared" si="0"/>
        <v>5381187</v>
      </c>
      <c r="O49" s="15">
        <f t="shared" si="1"/>
        <v>538119</v>
      </c>
      <c r="P49" s="12"/>
      <c r="Q49" s="4">
        <f>INDEX(Breakdown[],MATCH($D49,Breakdown[Dist],0),MATCH(Q$4,Breakdown[#Headers],0))</f>
        <v>1343411</v>
      </c>
      <c r="R49" s="4">
        <f>INDEX(Breakdown[],MATCH($D49,Breakdown[Dist],0),MATCH(R$4,Breakdown[#Headers],0))</f>
        <v>0</v>
      </c>
      <c r="S49" s="14">
        <f t="shared" si="2"/>
        <v>1343411</v>
      </c>
      <c r="T49" s="17">
        <f t="shared" si="3"/>
        <v>3499657</v>
      </c>
      <c r="U49" s="19">
        <f t="shared" si="4"/>
        <v>4843068</v>
      </c>
      <c r="V49" s="12"/>
      <c r="W49" s="20">
        <f t="shared" si="5"/>
        <v>0.1000000557497816</v>
      </c>
      <c r="X49" s="20">
        <f t="shared" si="6"/>
        <v>0.89999994425021845</v>
      </c>
    </row>
    <row r="50" spans="1:24" x14ac:dyDescent="0.25">
      <c r="A50" s="5">
        <v>2026</v>
      </c>
      <c r="B50" s="5" t="s">
        <v>140</v>
      </c>
      <c r="C50" s="24" t="s">
        <v>140</v>
      </c>
      <c r="D50" s="5" t="s">
        <v>146</v>
      </c>
      <c r="E50" s="22" t="s">
        <v>693</v>
      </c>
      <c r="F50" s="22" t="s">
        <v>693</v>
      </c>
      <c r="G50" s="5" t="s">
        <v>146</v>
      </c>
      <c r="H50" s="5" t="s">
        <v>479</v>
      </c>
      <c r="I50" s="4">
        <f>INDEX(Breakdown[],MATCH($D50,Breakdown[Dist],0),MATCH(I$4,Breakdown[#Headers],0))</f>
        <v>425434</v>
      </c>
      <c r="J50" s="4">
        <f>INDEX(Breakdown[],MATCH($D50,Breakdown[Dist],0),MATCH(J$4,Breakdown[#Headers],0))</f>
        <v>337258</v>
      </c>
      <c r="K50" s="4">
        <f>INDEX(Breakdown[],MATCH($D50,Breakdown[Dist],0),MATCH(K$4,Breakdown[#Headers],0))</f>
        <v>72236</v>
      </c>
      <c r="L50" s="4">
        <f>INDEX(Breakdown[],MATCH($D50,Breakdown[Dist],0),MATCH(L$4,Breakdown[#Headers],0))</f>
        <v>265022</v>
      </c>
      <c r="M50" s="4">
        <f>INDEX(Breakdown[],MATCH($D50,Breakdown[Dist],0),MATCH(M$4,Breakdown[#Headers],0))</f>
        <v>36359</v>
      </c>
      <c r="N50" s="4">
        <f t="shared" si="0"/>
        <v>389557</v>
      </c>
      <c r="O50" s="15">
        <f t="shared" si="1"/>
        <v>38956</v>
      </c>
      <c r="P50" s="12"/>
      <c r="Q50" s="4">
        <f>INDEX(Breakdown[],MATCH($D50,Breakdown[Dist],0),MATCH(Q$4,Breakdown[#Headers],0))</f>
        <v>88176</v>
      </c>
      <c r="R50" s="4">
        <f>INDEX(Breakdown[],MATCH($D50,Breakdown[Dist],0),MATCH(R$4,Breakdown[#Headers],0))</f>
        <v>36359</v>
      </c>
      <c r="S50" s="14">
        <f t="shared" si="2"/>
        <v>124535</v>
      </c>
      <c r="T50" s="17">
        <f t="shared" si="3"/>
        <v>226066</v>
      </c>
      <c r="U50" s="19">
        <f t="shared" si="4"/>
        <v>350601</v>
      </c>
      <c r="V50" s="12"/>
      <c r="W50" s="20">
        <f t="shared" si="5"/>
        <v>0.10000077010553013</v>
      </c>
      <c r="X50" s="20">
        <f t="shared" si="6"/>
        <v>0.8999992298944699</v>
      </c>
    </row>
    <row r="51" spans="1:24" x14ac:dyDescent="0.25">
      <c r="A51" s="5">
        <v>2026</v>
      </c>
      <c r="B51" s="5" t="s">
        <v>308</v>
      </c>
      <c r="C51" s="24" t="s">
        <v>308</v>
      </c>
      <c r="D51" s="5" t="s">
        <v>312</v>
      </c>
      <c r="E51" s="22" t="s">
        <v>693</v>
      </c>
      <c r="F51" s="22" t="s">
        <v>693</v>
      </c>
      <c r="G51" s="5" t="s">
        <v>312</v>
      </c>
      <c r="H51" s="5" t="s">
        <v>636</v>
      </c>
      <c r="I51" s="4">
        <f>INDEX(Breakdown[],MATCH($D51,Breakdown[Dist],0),MATCH(I$4,Breakdown[#Headers],0))</f>
        <v>498865</v>
      </c>
      <c r="J51" s="4">
        <f>INDEX(Breakdown[],MATCH($D51,Breakdown[Dist],0),MATCH(J$4,Breakdown[#Headers],0))</f>
        <v>397388</v>
      </c>
      <c r="K51" s="4">
        <f>INDEX(Breakdown[],MATCH($D51,Breakdown[Dist],0),MATCH(K$4,Breakdown[#Headers],0))</f>
        <v>85114</v>
      </c>
      <c r="L51" s="4">
        <f>INDEX(Breakdown[],MATCH($D51,Breakdown[Dist],0),MATCH(L$4,Breakdown[#Headers],0))</f>
        <v>312274</v>
      </c>
      <c r="M51" s="4">
        <f>INDEX(Breakdown[],MATCH($D51,Breakdown[Dist],0),MATCH(M$4,Breakdown[#Headers],0))</f>
        <v>15058</v>
      </c>
      <c r="N51" s="4">
        <f t="shared" si="0"/>
        <v>428809</v>
      </c>
      <c r="O51" s="15">
        <f t="shared" si="1"/>
        <v>42881</v>
      </c>
      <c r="P51" s="12"/>
      <c r="Q51" s="4">
        <f>INDEX(Breakdown[],MATCH($D51,Breakdown[Dist],0),MATCH(Q$4,Breakdown[#Headers],0))</f>
        <v>101477</v>
      </c>
      <c r="R51" s="4">
        <f>INDEX(Breakdown[],MATCH($D51,Breakdown[Dist],0),MATCH(R$4,Breakdown[#Headers],0))</f>
        <v>15058</v>
      </c>
      <c r="S51" s="14">
        <f t="shared" si="2"/>
        <v>116535</v>
      </c>
      <c r="T51" s="17">
        <f t="shared" si="3"/>
        <v>269393</v>
      </c>
      <c r="U51" s="19">
        <f t="shared" si="4"/>
        <v>385928</v>
      </c>
      <c r="V51" s="12"/>
      <c r="W51" s="20">
        <f t="shared" si="5"/>
        <v>0.10000023320406055</v>
      </c>
      <c r="X51" s="20">
        <f t="shared" si="6"/>
        <v>0.8999997667959394</v>
      </c>
    </row>
    <row r="52" spans="1:24" x14ac:dyDescent="0.25">
      <c r="A52" s="5">
        <v>2026</v>
      </c>
      <c r="B52" s="5" t="s">
        <v>140</v>
      </c>
      <c r="C52" s="24" t="s">
        <v>140</v>
      </c>
      <c r="D52" s="5" t="s">
        <v>147</v>
      </c>
      <c r="E52" s="22" t="s">
        <v>693</v>
      </c>
      <c r="F52" s="22" t="s">
        <v>693</v>
      </c>
      <c r="G52" s="5" t="s">
        <v>147</v>
      </c>
      <c r="H52" s="5" t="s">
        <v>480</v>
      </c>
      <c r="I52" s="4">
        <f>INDEX(Breakdown[],MATCH($D52,Breakdown[Dist],0),MATCH(I$4,Breakdown[#Headers],0))</f>
        <v>156620</v>
      </c>
      <c r="J52" s="4">
        <f>INDEX(Breakdown[],MATCH($D52,Breakdown[Dist],0),MATCH(J$4,Breakdown[#Headers],0))</f>
        <v>124159</v>
      </c>
      <c r="K52" s="4">
        <f>INDEX(Breakdown[],MATCH($D52,Breakdown[Dist],0),MATCH(K$4,Breakdown[#Headers],0))</f>
        <v>26593</v>
      </c>
      <c r="L52" s="4">
        <f>INDEX(Breakdown[],MATCH($D52,Breakdown[Dist],0),MATCH(L$4,Breakdown[#Headers],0))</f>
        <v>97566</v>
      </c>
      <c r="M52" s="4">
        <f>INDEX(Breakdown[],MATCH($D52,Breakdown[Dist],0),MATCH(M$4,Breakdown[#Headers],0))</f>
        <v>8288</v>
      </c>
      <c r="N52" s="4">
        <f t="shared" si="0"/>
        <v>138315</v>
      </c>
      <c r="O52" s="15">
        <f t="shared" si="1"/>
        <v>13832</v>
      </c>
      <c r="P52" s="12"/>
      <c r="Q52" s="4">
        <f>INDEX(Breakdown[],MATCH($D52,Breakdown[Dist],0),MATCH(Q$4,Breakdown[#Headers],0))</f>
        <v>32461</v>
      </c>
      <c r="R52" s="4">
        <f>INDEX(Breakdown[],MATCH($D52,Breakdown[Dist],0),MATCH(R$4,Breakdown[#Headers],0))</f>
        <v>8288</v>
      </c>
      <c r="S52" s="14">
        <f t="shared" si="2"/>
        <v>40749</v>
      </c>
      <c r="T52" s="17">
        <f t="shared" si="3"/>
        <v>83734</v>
      </c>
      <c r="U52" s="19">
        <f t="shared" si="4"/>
        <v>124483</v>
      </c>
      <c r="V52" s="12"/>
      <c r="W52" s="20">
        <f t="shared" si="5"/>
        <v>0.10000361493691935</v>
      </c>
      <c r="X52" s="20">
        <f t="shared" si="6"/>
        <v>0.89999638506308066</v>
      </c>
    </row>
    <row r="53" spans="1:24" x14ac:dyDescent="0.25">
      <c r="A53" s="5">
        <v>2026</v>
      </c>
      <c r="B53" s="5" t="s">
        <v>0</v>
      </c>
      <c r="C53" s="24" t="s">
        <v>0</v>
      </c>
      <c r="D53" s="5" t="s">
        <v>2</v>
      </c>
      <c r="E53" s="22" t="s">
        <v>693</v>
      </c>
      <c r="F53" s="22" t="s">
        <v>693</v>
      </c>
      <c r="G53" s="5" t="s">
        <v>2</v>
      </c>
      <c r="H53" s="5" t="s">
        <v>349</v>
      </c>
      <c r="I53" s="4">
        <f>INDEX(Breakdown[],MATCH($D53,Breakdown[Dist],0),MATCH(I$4,Breakdown[#Headers],0))</f>
        <v>189933</v>
      </c>
      <c r="J53" s="4">
        <f>INDEX(Breakdown[],MATCH($D53,Breakdown[Dist],0),MATCH(J$4,Breakdown[#Headers],0))</f>
        <v>144285</v>
      </c>
      <c r="K53" s="4">
        <f>INDEX(Breakdown[],MATCH($D53,Breakdown[Dist],0),MATCH(K$4,Breakdown[#Headers],0))</f>
        <v>30904</v>
      </c>
      <c r="L53" s="4">
        <f>INDEX(Breakdown[],MATCH($D53,Breakdown[Dist],0),MATCH(L$4,Breakdown[#Headers],0))</f>
        <v>113381</v>
      </c>
      <c r="M53" s="4">
        <f>INDEX(Breakdown[],MATCH($D53,Breakdown[Dist],0),MATCH(M$4,Breakdown[#Headers],0))</f>
        <v>1572</v>
      </c>
      <c r="N53" s="4">
        <f t="shared" si="0"/>
        <v>160601</v>
      </c>
      <c r="O53" s="15">
        <f t="shared" si="1"/>
        <v>16060</v>
      </c>
      <c r="P53" s="12"/>
      <c r="Q53" s="4">
        <f>INDEX(Breakdown[],MATCH($D53,Breakdown[Dist],0),MATCH(Q$4,Breakdown[#Headers],0))</f>
        <v>45648</v>
      </c>
      <c r="R53" s="4">
        <f>INDEX(Breakdown[],MATCH($D53,Breakdown[Dist],0),MATCH(R$4,Breakdown[#Headers],0))</f>
        <v>1572</v>
      </c>
      <c r="S53" s="14">
        <f t="shared" si="2"/>
        <v>47220</v>
      </c>
      <c r="T53" s="17">
        <f t="shared" si="3"/>
        <v>97321</v>
      </c>
      <c r="U53" s="19">
        <f t="shared" si="4"/>
        <v>144541</v>
      </c>
      <c r="V53" s="12"/>
      <c r="W53" s="20">
        <f t="shared" si="5"/>
        <v>9.9999377338870862E-2</v>
      </c>
      <c r="X53" s="20">
        <f t="shared" si="6"/>
        <v>0.90000062266112912</v>
      </c>
    </row>
    <row r="54" spans="1:24" x14ac:dyDescent="0.25">
      <c r="A54" s="5">
        <v>2026</v>
      </c>
      <c r="B54" s="5" t="s">
        <v>118</v>
      </c>
      <c r="C54" s="24" t="s">
        <v>118</v>
      </c>
      <c r="D54" s="5" t="s">
        <v>125</v>
      </c>
      <c r="E54" s="22" t="s">
        <v>693</v>
      </c>
      <c r="F54" s="22" t="s">
        <v>693</v>
      </c>
      <c r="G54" s="5" t="s">
        <v>125</v>
      </c>
      <c r="H54" s="5" t="s">
        <v>459</v>
      </c>
      <c r="I54" s="4">
        <f>INDEX(Breakdown[],MATCH($D54,Breakdown[Dist],0),MATCH(I$4,Breakdown[#Headers],0))</f>
        <v>576935</v>
      </c>
      <c r="J54" s="4">
        <f>INDEX(Breakdown[],MATCH($D54,Breakdown[Dist],0),MATCH(J$4,Breakdown[#Headers],0))</f>
        <v>454851</v>
      </c>
      <c r="K54" s="4">
        <f>INDEX(Breakdown[],MATCH($D54,Breakdown[Dist],0),MATCH(K$4,Breakdown[#Headers],0))</f>
        <v>97422</v>
      </c>
      <c r="L54" s="4">
        <f>INDEX(Breakdown[],MATCH($D54,Breakdown[Dist],0),MATCH(L$4,Breakdown[#Headers],0))</f>
        <v>357429</v>
      </c>
      <c r="M54" s="4">
        <f>INDEX(Breakdown[],MATCH($D54,Breakdown[Dist],0),MATCH(M$4,Breakdown[#Headers],0))</f>
        <v>0</v>
      </c>
      <c r="N54" s="4">
        <f t="shared" si="0"/>
        <v>479513</v>
      </c>
      <c r="O54" s="15">
        <f t="shared" si="1"/>
        <v>47951</v>
      </c>
      <c r="P54" s="12"/>
      <c r="Q54" s="4">
        <f>INDEX(Breakdown[],MATCH($D54,Breakdown[Dist],0),MATCH(Q$4,Breakdown[#Headers],0))</f>
        <v>122084</v>
      </c>
      <c r="R54" s="4">
        <f>INDEX(Breakdown[],MATCH($D54,Breakdown[Dist],0),MATCH(R$4,Breakdown[#Headers],0))</f>
        <v>0</v>
      </c>
      <c r="S54" s="14">
        <f t="shared" si="2"/>
        <v>122084</v>
      </c>
      <c r="T54" s="17">
        <f t="shared" si="3"/>
        <v>309478</v>
      </c>
      <c r="U54" s="19">
        <f t="shared" si="4"/>
        <v>431562</v>
      </c>
      <c r="V54" s="12"/>
      <c r="W54" s="20">
        <f t="shared" si="5"/>
        <v>9.9999374365241395E-2</v>
      </c>
      <c r="X54" s="20">
        <f t="shared" si="6"/>
        <v>0.90000062563475858</v>
      </c>
    </row>
    <row r="55" spans="1:24" x14ac:dyDescent="0.25">
      <c r="A55" s="5">
        <v>2026</v>
      </c>
      <c r="B55" s="5" t="s">
        <v>263</v>
      </c>
      <c r="C55" s="24" t="s">
        <v>263</v>
      </c>
      <c r="D55" s="5" t="s">
        <v>270</v>
      </c>
      <c r="E55" s="22" t="s">
        <v>693</v>
      </c>
      <c r="F55" s="22" t="s">
        <v>693</v>
      </c>
      <c r="G55" s="5" t="s">
        <v>270</v>
      </c>
      <c r="H55" s="5" t="s">
        <v>595</v>
      </c>
      <c r="I55" s="4">
        <f>INDEX(Breakdown[],MATCH($D55,Breakdown[Dist],0),MATCH(I$4,Breakdown[#Headers],0))</f>
        <v>248507</v>
      </c>
      <c r="J55" s="4">
        <f>INDEX(Breakdown[],MATCH($D55,Breakdown[Dist],0),MATCH(J$4,Breakdown[#Headers],0))</f>
        <v>196460</v>
      </c>
      <c r="K55" s="4">
        <f>INDEX(Breakdown[],MATCH($D55,Breakdown[Dist],0),MATCH(K$4,Breakdown[#Headers],0))</f>
        <v>42078</v>
      </c>
      <c r="L55" s="4">
        <f>INDEX(Breakdown[],MATCH($D55,Breakdown[Dist],0),MATCH(L$4,Breakdown[#Headers],0))</f>
        <v>154382</v>
      </c>
      <c r="M55" s="4">
        <f>INDEX(Breakdown[],MATCH($D55,Breakdown[Dist],0),MATCH(M$4,Breakdown[#Headers],0))</f>
        <v>9066</v>
      </c>
      <c r="N55" s="4">
        <f t="shared" si="0"/>
        <v>215495</v>
      </c>
      <c r="O55" s="15">
        <f t="shared" si="1"/>
        <v>21550</v>
      </c>
      <c r="P55" s="12"/>
      <c r="Q55" s="4">
        <f>INDEX(Breakdown[],MATCH($D55,Breakdown[Dist],0),MATCH(Q$4,Breakdown[#Headers],0))</f>
        <v>52047</v>
      </c>
      <c r="R55" s="4">
        <f>INDEX(Breakdown[],MATCH($D55,Breakdown[Dist],0),MATCH(R$4,Breakdown[#Headers],0))</f>
        <v>9066</v>
      </c>
      <c r="S55" s="14">
        <f t="shared" si="2"/>
        <v>61113</v>
      </c>
      <c r="T55" s="17">
        <f t="shared" si="3"/>
        <v>132832</v>
      </c>
      <c r="U55" s="19">
        <f t="shared" si="4"/>
        <v>193945</v>
      </c>
      <c r="V55" s="12"/>
      <c r="W55" s="20">
        <f t="shared" si="5"/>
        <v>0.10000232023944872</v>
      </c>
      <c r="X55" s="20">
        <f t="shared" si="6"/>
        <v>0.89999767976055134</v>
      </c>
    </row>
    <row r="56" spans="1:24" x14ac:dyDescent="0.25">
      <c r="A56" s="5">
        <v>2026</v>
      </c>
      <c r="B56" s="5" t="s">
        <v>308</v>
      </c>
      <c r="C56" s="24" t="s">
        <v>308</v>
      </c>
      <c r="D56" s="5" t="s">
        <v>313</v>
      </c>
      <c r="E56" s="22" t="s">
        <v>693</v>
      </c>
      <c r="F56" s="22" t="s">
        <v>693</v>
      </c>
      <c r="G56" s="5" t="s">
        <v>313</v>
      </c>
      <c r="H56" s="5" t="s">
        <v>637</v>
      </c>
      <c r="I56" s="4">
        <f>INDEX(Breakdown[],MATCH($D56,Breakdown[Dist],0),MATCH(I$4,Breakdown[#Headers],0))</f>
        <v>327985</v>
      </c>
      <c r="J56" s="4">
        <f>INDEX(Breakdown[],MATCH($D56,Breakdown[Dist],0),MATCH(J$4,Breakdown[#Headers],0))</f>
        <v>261267</v>
      </c>
      <c r="K56" s="4">
        <f>INDEX(Breakdown[],MATCH($D56,Breakdown[Dist],0),MATCH(K$4,Breakdown[#Headers],0))</f>
        <v>55960</v>
      </c>
      <c r="L56" s="4">
        <f>INDEX(Breakdown[],MATCH($D56,Breakdown[Dist],0),MATCH(L$4,Breakdown[#Headers],0))</f>
        <v>205307</v>
      </c>
      <c r="M56" s="4">
        <f>INDEX(Breakdown[],MATCH($D56,Breakdown[Dist],0),MATCH(M$4,Breakdown[#Headers],0))</f>
        <v>0</v>
      </c>
      <c r="N56" s="4">
        <f t="shared" si="0"/>
        <v>272025</v>
      </c>
      <c r="O56" s="15">
        <f t="shared" si="1"/>
        <v>27203</v>
      </c>
      <c r="P56" s="12"/>
      <c r="Q56" s="4">
        <f>INDEX(Breakdown[],MATCH($D56,Breakdown[Dist],0),MATCH(Q$4,Breakdown[#Headers],0))</f>
        <v>66718</v>
      </c>
      <c r="R56" s="4">
        <f>INDEX(Breakdown[],MATCH($D56,Breakdown[Dist],0),MATCH(R$4,Breakdown[#Headers],0))</f>
        <v>0</v>
      </c>
      <c r="S56" s="14">
        <f t="shared" si="2"/>
        <v>66718</v>
      </c>
      <c r="T56" s="17">
        <f t="shared" si="3"/>
        <v>178104</v>
      </c>
      <c r="U56" s="19">
        <f t="shared" si="4"/>
        <v>244822</v>
      </c>
      <c r="V56" s="12"/>
      <c r="W56" s="20">
        <f t="shared" si="5"/>
        <v>0.1000018380663542</v>
      </c>
      <c r="X56" s="20">
        <f t="shared" si="6"/>
        <v>0.89999816193364579</v>
      </c>
    </row>
    <row r="57" spans="1:24" x14ac:dyDescent="0.25">
      <c r="A57" s="5">
        <v>2026</v>
      </c>
      <c r="B57" s="5" t="s">
        <v>229</v>
      </c>
      <c r="C57" s="24" t="s">
        <v>229</v>
      </c>
      <c r="D57" s="5" t="s">
        <v>233</v>
      </c>
      <c r="E57" s="22" t="s">
        <v>693</v>
      </c>
      <c r="F57" s="22" t="s">
        <v>693</v>
      </c>
      <c r="G57" s="5" t="s">
        <v>233</v>
      </c>
      <c r="H57" s="5" t="s">
        <v>560</v>
      </c>
      <c r="I57" s="4">
        <f>INDEX(Breakdown[],MATCH($D57,Breakdown[Dist],0),MATCH(I$4,Breakdown[#Headers],0))</f>
        <v>284453</v>
      </c>
      <c r="J57" s="4">
        <f>INDEX(Breakdown[],MATCH($D57,Breakdown[Dist],0),MATCH(J$4,Breakdown[#Headers],0))</f>
        <v>220717</v>
      </c>
      <c r="K57" s="4">
        <f>INDEX(Breakdown[],MATCH($D57,Breakdown[Dist],0),MATCH(K$4,Breakdown[#Headers],0))</f>
        <v>47274</v>
      </c>
      <c r="L57" s="4">
        <f>INDEX(Breakdown[],MATCH($D57,Breakdown[Dist],0),MATCH(L$4,Breakdown[#Headers],0))</f>
        <v>173443</v>
      </c>
      <c r="M57" s="4">
        <f>INDEX(Breakdown[],MATCH($D57,Breakdown[Dist],0),MATCH(M$4,Breakdown[#Headers],0))</f>
        <v>11618</v>
      </c>
      <c r="N57" s="4">
        <f t="shared" si="0"/>
        <v>248797</v>
      </c>
      <c r="O57" s="15">
        <f t="shared" si="1"/>
        <v>24880</v>
      </c>
      <c r="P57" s="12"/>
      <c r="Q57" s="4">
        <f>INDEX(Breakdown[],MATCH($D57,Breakdown[Dist],0),MATCH(Q$4,Breakdown[#Headers],0))</f>
        <v>63736</v>
      </c>
      <c r="R57" s="4">
        <f>INDEX(Breakdown[],MATCH($D57,Breakdown[Dist],0),MATCH(R$4,Breakdown[#Headers],0))</f>
        <v>11618</v>
      </c>
      <c r="S57" s="14">
        <f t="shared" si="2"/>
        <v>75354</v>
      </c>
      <c r="T57" s="17">
        <f t="shared" si="3"/>
        <v>148563</v>
      </c>
      <c r="U57" s="19">
        <f t="shared" si="4"/>
        <v>223917</v>
      </c>
      <c r="V57" s="12"/>
      <c r="W57" s="20">
        <f t="shared" si="5"/>
        <v>0.10000120580232076</v>
      </c>
      <c r="X57" s="20">
        <f t="shared" si="6"/>
        <v>0.89999879419767925</v>
      </c>
    </row>
    <row r="58" spans="1:24" x14ac:dyDescent="0.25">
      <c r="A58" s="5">
        <v>2026</v>
      </c>
      <c r="B58" s="5" t="s">
        <v>60</v>
      </c>
      <c r="C58" s="24" t="s">
        <v>60</v>
      </c>
      <c r="D58" s="5" t="s">
        <v>72</v>
      </c>
      <c r="E58" s="22" t="s">
        <v>693</v>
      </c>
      <c r="F58" s="22" t="s">
        <v>693</v>
      </c>
      <c r="G58" s="5" t="s">
        <v>72</v>
      </c>
      <c r="H58" s="5" t="s">
        <v>409</v>
      </c>
      <c r="I58" s="4">
        <f>INDEX(Breakdown[],MATCH($D58,Breakdown[Dist],0),MATCH(I$4,Breakdown[#Headers],0))</f>
        <v>309086</v>
      </c>
      <c r="J58" s="4">
        <f>INDEX(Breakdown[],MATCH($D58,Breakdown[Dist],0),MATCH(J$4,Breakdown[#Headers],0))</f>
        <v>242049</v>
      </c>
      <c r="K58" s="4">
        <f>INDEX(Breakdown[],MATCH($D58,Breakdown[Dist],0),MATCH(K$4,Breakdown[#Headers],0))</f>
        <v>51843</v>
      </c>
      <c r="L58" s="4">
        <f>INDEX(Breakdown[],MATCH($D58,Breakdown[Dist],0),MATCH(L$4,Breakdown[#Headers],0))</f>
        <v>190206</v>
      </c>
      <c r="M58" s="4">
        <f>INDEX(Breakdown[],MATCH($D58,Breakdown[Dist],0),MATCH(M$4,Breakdown[#Headers],0))</f>
        <v>549</v>
      </c>
      <c r="N58" s="4">
        <f t="shared" si="0"/>
        <v>257792</v>
      </c>
      <c r="O58" s="15">
        <f t="shared" si="1"/>
        <v>25779</v>
      </c>
      <c r="P58" s="12"/>
      <c r="Q58" s="4">
        <f>INDEX(Breakdown[],MATCH($D58,Breakdown[Dist],0),MATCH(Q$4,Breakdown[#Headers],0))</f>
        <v>67037</v>
      </c>
      <c r="R58" s="4">
        <f>INDEX(Breakdown[],MATCH($D58,Breakdown[Dist],0),MATCH(R$4,Breakdown[#Headers],0))</f>
        <v>549</v>
      </c>
      <c r="S58" s="14">
        <f t="shared" si="2"/>
        <v>67586</v>
      </c>
      <c r="T58" s="17">
        <f t="shared" si="3"/>
        <v>164427</v>
      </c>
      <c r="U58" s="19">
        <f t="shared" si="4"/>
        <v>232013</v>
      </c>
      <c r="V58" s="12"/>
      <c r="W58" s="20">
        <f t="shared" si="5"/>
        <v>9.9999224180734855E-2</v>
      </c>
      <c r="X58" s="20">
        <f t="shared" si="6"/>
        <v>0.90000077581926519</v>
      </c>
    </row>
    <row r="59" spans="1:24" x14ac:dyDescent="0.25">
      <c r="A59" s="5">
        <v>2026</v>
      </c>
      <c r="B59" s="5" t="s">
        <v>308</v>
      </c>
      <c r="C59" s="24" t="s">
        <v>308</v>
      </c>
      <c r="D59" s="5" t="s">
        <v>314</v>
      </c>
      <c r="E59" s="22" t="s">
        <v>693</v>
      </c>
      <c r="F59" s="22" t="s">
        <v>693</v>
      </c>
      <c r="G59" s="5" t="s">
        <v>314</v>
      </c>
      <c r="H59" s="5" t="s">
        <v>638</v>
      </c>
      <c r="I59" s="4">
        <f>INDEX(Breakdown[],MATCH($D59,Breakdown[Dist],0),MATCH(I$4,Breakdown[#Headers],0))</f>
        <v>511862</v>
      </c>
      <c r="J59" s="4">
        <f>INDEX(Breakdown[],MATCH($D59,Breakdown[Dist],0),MATCH(J$4,Breakdown[#Headers],0))</f>
        <v>407740</v>
      </c>
      <c r="K59" s="4">
        <f>INDEX(Breakdown[],MATCH($D59,Breakdown[Dist],0),MATCH(K$4,Breakdown[#Headers],0))</f>
        <v>87331</v>
      </c>
      <c r="L59" s="4">
        <f>INDEX(Breakdown[],MATCH($D59,Breakdown[Dist],0),MATCH(L$4,Breakdown[#Headers],0))</f>
        <v>320409</v>
      </c>
      <c r="M59" s="4">
        <f>INDEX(Breakdown[],MATCH($D59,Breakdown[Dist],0),MATCH(M$4,Breakdown[#Headers],0))</f>
        <v>0</v>
      </c>
      <c r="N59" s="4">
        <f t="shared" si="0"/>
        <v>424531</v>
      </c>
      <c r="O59" s="15">
        <f t="shared" si="1"/>
        <v>42453</v>
      </c>
      <c r="P59" s="12"/>
      <c r="Q59" s="4">
        <f>INDEX(Breakdown[],MATCH($D59,Breakdown[Dist],0),MATCH(Q$4,Breakdown[#Headers],0))</f>
        <v>104122</v>
      </c>
      <c r="R59" s="4">
        <f>INDEX(Breakdown[],MATCH($D59,Breakdown[Dist],0),MATCH(R$4,Breakdown[#Headers],0))</f>
        <v>0</v>
      </c>
      <c r="S59" s="14">
        <f t="shared" si="2"/>
        <v>104122</v>
      </c>
      <c r="T59" s="17">
        <f t="shared" si="3"/>
        <v>277956</v>
      </c>
      <c r="U59" s="19">
        <f t="shared" si="4"/>
        <v>382078</v>
      </c>
      <c r="V59" s="12"/>
      <c r="W59" s="20">
        <f t="shared" si="5"/>
        <v>9.9999764445941525E-2</v>
      </c>
      <c r="X59" s="20">
        <f t="shared" si="6"/>
        <v>0.9000002355540585</v>
      </c>
    </row>
    <row r="60" spans="1:24" x14ac:dyDescent="0.25">
      <c r="A60" s="5">
        <v>2026</v>
      </c>
      <c r="B60" s="5" t="s">
        <v>60</v>
      </c>
      <c r="C60" s="24" t="s">
        <v>60</v>
      </c>
      <c r="D60" s="5" t="s">
        <v>73</v>
      </c>
      <c r="E60" s="22" t="s">
        <v>693</v>
      </c>
      <c r="F60" s="22" t="s">
        <v>693</v>
      </c>
      <c r="G60" s="5" t="s">
        <v>73</v>
      </c>
      <c r="H60" s="5" t="s">
        <v>410</v>
      </c>
      <c r="I60" s="4">
        <f>INDEX(Breakdown[],MATCH($D60,Breakdown[Dist],0),MATCH(I$4,Breakdown[#Headers],0))</f>
        <v>605517</v>
      </c>
      <c r="J60" s="4">
        <f>INDEX(Breakdown[],MATCH($D60,Breakdown[Dist],0),MATCH(J$4,Breakdown[#Headers],0))</f>
        <v>474187</v>
      </c>
      <c r="K60" s="4">
        <f>INDEX(Breakdown[],MATCH($D60,Breakdown[Dist],0),MATCH(K$4,Breakdown[#Headers],0))</f>
        <v>101564</v>
      </c>
      <c r="L60" s="4">
        <f>INDEX(Breakdown[],MATCH($D60,Breakdown[Dist],0),MATCH(L$4,Breakdown[#Headers],0))</f>
        <v>372623</v>
      </c>
      <c r="M60" s="4">
        <f>INDEX(Breakdown[],MATCH($D60,Breakdown[Dist],0),MATCH(M$4,Breakdown[#Headers],0))</f>
        <v>8248</v>
      </c>
      <c r="N60" s="4">
        <f t="shared" si="0"/>
        <v>512201</v>
      </c>
      <c r="O60" s="15">
        <f t="shared" si="1"/>
        <v>51220</v>
      </c>
      <c r="P60" s="12"/>
      <c r="Q60" s="4">
        <f>INDEX(Breakdown[],MATCH($D60,Breakdown[Dist],0),MATCH(Q$4,Breakdown[#Headers],0))</f>
        <v>131330</v>
      </c>
      <c r="R60" s="4">
        <f>INDEX(Breakdown[],MATCH($D60,Breakdown[Dist],0),MATCH(R$4,Breakdown[#Headers],0))</f>
        <v>8248</v>
      </c>
      <c r="S60" s="14">
        <f t="shared" si="2"/>
        <v>139578</v>
      </c>
      <c r="T60" s="17">
        <f t="shared" si="3"/>
        <v>321403</v>
      </c>
      <c r="U60" s="19">
        <f t="shared" si="4"/>
        <v>460981</v>
      </c>
      <c r="V60" s="12"/>
      <c r="W60" s="20">
        <f t="shared" si="5"/>
        <v>9.9999804764145328E-2</v>
      </c>
      <c r="X60" s="20">
        <f t="shared" si="6"/>
        <v>0.90000019523585473</v>
      </c>
    </row>
    <row r="61" spans="1:24" x14ac:dyDescent="0.25">
      <c r="A61" s="5">
        <v>2026</v>
      </c>
      <c r="B61" s="5" t="s">
        <v>229</v>
      </c>
      <c r="C61" s="24" t="s">
        <v>229</v>
      </c>
      <c r="D61" s="5" t="s">
        <v>234</v>
      </c>
      <c r="E61" s="22" t="s">
        <v>693</v>
      </c>
      <c r="F61" s="22" t="s">
        <v>693</v>
      </c>
      <c r="G61" s="5" t="s">
        <v>234</v>
      </c>
      <c r="H61" s="5" t="s">
        <v>561</v>
      </c>
      <c r="I61" s="4">
        <f>INDEX(Breakdown[],MATCH($D61,Breakdown[Dist],0),MATCH(I$4,Breakdown[#Headers],0))</f>
        <v>121187</v>
      </c>
      <c r="J61" s="4">
        <f>INDEX(Breakdown[],MATCH($D61,Breakdown[Dist],0),MATCH(J$4,Breakdown[#Headers],0))</f>
        <v>94033</v>
      </c>
      <c r="K61" s="4">
        <f>INDEX(Breakdown[],MATCH($D61,Breakdown[Dist],0),MATCH(K$4,Breakdown[#Headers],0))</f>
        <v>20141</v>
      </c>
      <c r="L61" s="4">
        <f>INDEX(Breakdown[],MATCH($D61,Breakdown[Dist],0),MATCH(L$4,Breakdown[#Headers],0))</f>
        <v>73892</v>
      </c>
      <c r="M61" s="4">
        <f>INDEX(Breakdown[],MATCH($D61,Breakdown[Dist],0),MATCH(M$4,Breakdown[#Headers],0))</f>
        <v>0</v>
      </c>
      <c r="N61" s="4">
        <f t="shared" si="0"/>
        <v>101046</v>
      </c>
      <c r="O61" s="15">
        <f t="shared" si="1"/>
        <v>10105</v>
      </c>
      <c r="P61" s="12"/>
      <c r="Q61" s="4">
        <f>INDEX(Breakdown[],MATCH($D61,Breakdown[Dist],0),MATCH(Q$4,Breakdown[#Headers],0))</f>
        <v>27154</v>
      </c>
      <c r="R61" s="4">
        <f>INDEX(Breakdown[],MATCH($D61,Breakdown[Dist],0),MATCH(R$4,Breakdown[#Headers],0))</f>
        <v>0</v>
      </c>
      <c r="S61" s="14">
        <f t="shared" si="2"/>
        <v>27154</v>
      </c>
      <c r="T61" s="17">
        <f t="shared" si="3"/>
        <v>63787</v>
      </c>
      <c r="U61" s="19">
        <f t="shared" si="4"/>
        <v>90941</v>
      </c>
      <c r="V61" s="12"/>
      <c r="W61" s="20">
        <f t="shared" si="5"/>
        <v>0.100003958593116</v>
      </c>
      <c r="X61" s="20">
        <f t="shared" si="6"/>
        <v>0.89999604140688394</v>
      </c>
    </row>
    <row r="62" spans="1:24" x14ac:dyDescent="0.25">
      <c r="A62" s="5">
        <v>2026</v>
      </c>
      <c r="B62" s="5" t="s">
        <v>229</v>
      </c>
      <c r="C62" s="24" t="s">
        <v>229</v>
      </c>
      <c r="D62" s="5" t="s">
        <v>235</v>
      </c>
      <c r="E62" s="22" t="s">
        <v>693</v>
      </c>
      <c r="F62" s="22" t="s">
        <v>693</v>
      </c>
      <c r="G62" s="5" t="s">
        <v>235</v>
      </c>
      <c r="H62" s="5" t="s">
        <v>562</v>
      </c>
      <c r="I62" s="4">
        <f>INDEX(Breakdown[],MATCH($D62,Breakdown[Dist],0),MATCH(I$4,Breakdown[#Headers],0))</f>
        <v>423358</v>
      </c>
      <c r="J62" s="4">
        <f>INDEX(Breakdown[],MATCH($D62,Breakdown[Dist],0),MATCH(J$4,Breakdown[#Headers],0))</f>
        <v>328498</v>
      </c>
      <c r="K62" s="4">
        <f>INDEX(Breakdown[],MATCH($D62,Breakdown[Dist],0),MATCH(K$4,Breakdown[#Headers],0))</f>
        <v>70359</v>
      </c>
      <c r="L62" s="4">
        <f>INDEX(Breakdown[],MATCH($D62,Breakdown[Dist],0),MATCH(L$4,Breakdown[#Headers],0))</f>
        <v>258139</v>
      </c>
      <c r="M62" s="4">
        <f>INDEX(Breakdown[],MATCH($D62,Breakdown[Dist],0),MATCH(M$4,Breakdown[#Headers],0))</f>
        <v>0</v>
      </c>
      <c r="N62" s="4">
        <f t="shared" si="0"/>
        <v>352999</v>
      </c>
      <c r="O62" s="15">
        <f t="shared" si="1"/>
        <v>35300</v>
      </c>
      <c r="P62" s="12"/>
      <c r="Q62" s="4">
        <f>INDEX(Breakdown[],MATCH($D62,Breakdown[Dist],0),MATCH(Q$4,Breakdown[#Headers],0))</f>
        <v>94860</v>
      </c>
      <c r="R62" s="4">
        <f>INDEX(Breakdown[],MATCH($D62,Breakdown[Dist],0),MATCH(R$4,Breakdown[#Headers],0))</f>
        <v>0</v>
      </c>
      <c r="S62" s="14">
        <f t="shared" si="2"/>
        <v>94860</v>
      </c>
      <c r="T62" s="17">
        <f t="shared" si="3"/>
        <v>222839</v>
      </c>
      <c r="U62" s="19">
        <f t="shared" si="4"/>
        <v>317699</v>
      </c>
      <c r="V62" s="12"/>
      <c r="W62" s="20">
        <f t="shared" si="5"/>
        <v>0.1000002832869215</v>
      </c>
      <c r="X62" s="20">
        <f t="shared" si="6"/>
        <v>0.89999971671307855</v>
      </c>
    </row>
    <row r="63" spans="1:24" x14ac:dyDescent="0.25">
      <c r="A63" s="5">
        <v>2026</v>
      </c>
      <c r="B63" s="5" t="s">
        <v>263</v>
      </c>
      <c r="C63" s="24" t="s">
        <v>263</v>
      </c>
      <c r="D63" s="5" t="s">
        <v>271</v>
      </c>
      <c r="E63" s="22" t="s">
        <v>693</v>
      </c>
      <c r="F63" s="22" t="s">
        <v>693</v>
      </c>
      <c r="G63" s="5" t="s">
        <v>271</v>
      </c>
      <c r="H63" s="5" t="s">
        <v>596</v>
      </c>
      <c r="I63" s="4">
        <f>INDEX(Breakdown[],MATCH($D63,Breakdown[Dist],0),MATCH(I$4,Breakdown[#Headers],0))</f>
        <v>375636</v>
      </c>
      <c r="J63" s="4">
        <f>INDEX(Breakdown[],MATCH($D63,Breakdown[Dist],0),MATCH(J$4,Breakdown[#Headers],0))</f>
        <v>296962</v>
      </c>
      <c r="K63" s="4">
        <f>INDEX(Breakdown[],MATCH($D63,Breakdown[Dist],0),MATCH(K$4,Breakdown[#Headers],0))</f>
        <v>63605</v>
      </c>
      <c r="L63" s="4">
        <f>INDEX(Breakdown[],MATCH($D63,Breakdown[Dist],0),MATCH(L$4,Breakdown[#Headers],0))</f>
        <v>233357</v>
      </c>
      <c r="M63" s="4">
        <f>INDEX(Breakdown[],MATCH($D63,Breakdown[Dist],0),MATCH(M$4,Breakdown[#Headers],0))</f>
        <v>0</v>
      </c>
      <c r="N63" s="4">
        <f t="shared" si="0"/>
        <v>312031</v>
      </c>
      <c r="O63" s="15">
        <f t="shared" si="1"/>
        <v>31203</v>
      </c>
      <c r="P63" s="12"/>
      <c r="Q63" s="4">
        <f>INDEX(Breakdown[],MATCH($D63,Breakdown[Dist],0),MATCH(Q$4,Breakdown[#Headers],0))</f>
        <v>78674</v>
      </c>
      <c r="R63" s="4">
        <f>INDEX(Breakdown[],MATCH($D63,Breakdown[Dist],0),MATCH(R$4,Breakdown[#Headers],0))</f>
        <v>0</v>
      </c>
      <c r="S63" s="14">
        <f t="shared" si="2"/>
        <v>78674</v>
      </c>
      <c r="T63" s="17">
        <f t="shared" si="3"/>
        <v>202154</v>
      </c>
      <c r="U63" s="19">
        <f t="shared" si="4"/>
        <v>280828</v>
      </c>
      <c r="V63" s="12"/>
      <c r="W63" s="20">
        <f t="shared" si="5"/>
        <v>9.9999679519022153E-2</v>
      </c>
      <c r="X63" s="20">
        <f t="shared" si="6"/>
        <v>0.90000032048097789</v>
      </c>
    </row>
    <row r="64" spans="1:24" x14ac:dyDescent="0.25">
      <c r="A64" s="5">
        <v>2026</v>
      </c>
      <c r="B64" s="5" t="s">
        <v>22</v>
      </c>
      <c r="C64" s="24" t="s">
        <v>22</v>
      </c>
      <c r="D64" s="5" t="s">
        <v>26</v>
      </c>
      <c r="E64" s="22" t="s">
        <v>696</v>
      </c>
      <c r="F64" s="22" t="s">
        <v>693</v>
      </c>
      <c r="G64" s="5" t="s">
        <v>26</v>
      </c>
      <c r="H64" s="5" t="s">
        <v>372</v>
      </c>
      <c r="I64" s="4">
        <f>INDEX(Breakdown[],MATCH($D64,Breakdown[Dist],0),MATCH(I$4,Breakdown[#Headers],0))</f>
        <v>387713</v>
      </c>
      <c r="J64" s="4">
        <f>INDEX(Breakdown[],MATCH($D64,Breakdown[Dist],0),MATCH(J$4,Breakdown[#Headers],0))</f>
        <v>298017</v>
      </c>
      <c r="K64" s="4">
        <f>INDEX(Breakdown[],MATCH($D64,Breakdown[Dist],0),MATCH(K$4,Breakdown[#Headers],0))</f>
        <v>63830</v>
      </c>
      <c r="L64" s="4">
        <f>INDEX(Breakdown[],MATCH($D64,Breakdown[Dist],0),MATCH(L$4,Breakdown[#Headers],0))</f>
        <v>234187</v>
      </c>
      <c r="M64" s="4">
        <f>INDEX(Breakdown[],MATCH($D64,Breakdown[Dist],0),MATCH(M$4,Breakdown[#Headers],0))</f>
        <v>2582</v>
      </c>
      <c r="N64" s="4">
        <f t="shared" si="0"/>
        <v>326465</v>
      </c>
      <c r="O64" s="15">
        <f t="shared" si="1"/>
        <v>32647</v>
      </c>
      <c r="P64" s="12"/>
      <c r="Q64" s="4">
        <f>INDEX(Breakdown[],MATCH($D64,Breakdown[Dist],0),MATCH(Q$4,Breakdown[#Headers],0))</f>
        <v>89696</v>
      </c>
      <c r="R64" s="4">
        <f>INDEX(Breakdown[],MATCH($D64,Breakdown[Dist],0),MATCH(R$4,Breakdown[#Headers],0))</f>
        <v>2582</v>
      </c>
      <c r="S64" s="14">
        <f t="shared" si="2"/>
        <v>92278</v>
      </c>
      <c r="T64" s="17">
        <f t="shared" si="3"/>
        <v>201540</v>
      </c>
      <c r="U64" s="19">
        <f t="shared" si="4"/>
        <v>293818</v>
      </c>
      <c r="V64" s="12"/>
      <c r="W64" s="20">
        <f t="shared" si="5"/>
        <v>0.10000153155774738</v>
      </c>
      <c r="X64" s="20">
        <f t="shared" si="6"/>
        <v>0.89999846844225262</v>
      </c>
    </row>
    <row r="65" spans="1:24" x14ac:dyDescent="0.25">
      <c r="A65" s="5">
        <v>2026</v>
      </c>
      <c r="B65" s="5" t="s">
        <v>263</v>
      </c>
      <c r="C65" s="24" t="s">
        <v>263</v>
      </c>
      <c r="D65" s="5" t="s">
        <v>272</v>
      </c>
      <c r="E65" s="22" t="s">
        <v>693</v>
      </c>
      <c r="F65" s="22" t="s">
        <v>693</v>
      </c>
      <c r="G65" s="5" t="s">
        <v>272</v>
      </c>
      <c r="H65" s="5" t="s">
        <v>597</v>
      </c>
      <c r="I65" s="4">
        <f>INDEX(Breakdown[],MATCH($D65,Breakdown[Dist],0),MATCH(I$4,Breakdown[#Headers],0))</f>
        <v>583247</v>
      </c>
      <c r="J65" s="4">
        <f>INDEX(Breakdown[],MATCH($D65,Breakdown[Dist],0),MATCH(J$4,Breakdown[#Headers],0))</f>
        <v>461091</v>
      </c>
      <c r="K65" s="4">
        <f>INDEX(Breakdown[],MATCH($D65,Breakdown[Dist],0),MATCH(K$4,Breakdown[#Headers],0))</f>
        <v>98758</v>
      </c>
      <c r="L65" s="4">
        <f>INDEX(Breakdown[],MATCH($D65,Breakdown[Dist],0),MATCH(L$4,Breakdown[#Headers],0))</f>
        <v>362333</v>
      </c>
      <c r="M65" s="4">
        <f>INDEX(Breakdown[],MATCH($D65,Breakdown[Dist],0),MATCH(M$4,Breakdown[#Headers],0))</f>
        <v>0</v>
      </c>
      <c r="N65" s="4">
        <f t="shared" si="0"/>
        <v>484489</v>
      </c>
      <c r="O65" s="15">
        <f t="shared" si="1"/>
        <v>48449</v>
      </c>
      <c r="P65" s="12"/>
      <c r="Q65" s="4">
        <f>INDEX(Breakdown[],MATCH($D65,Breakdown[Dist],0),MATCH(Q$4,Breakdown[#Headers],0))</f>
        <v>122156</v>
      </c>
      <c r="R65" s="4">
        <f>INDEX(Breakdown[],MATCH($D65,Breakdown[Dist],0),MATCH(R$4,Breakdown[#Headers],0))</f>
        <v>0</v>
      </c>
      <c r="S65" s="14">
        <f t="shared" si="2"/>
        <v>122156</v>
      </c>
      <c r="T65" s="17">
        <f t="shared" si="3"/>
        <v>313884</v>
      </c>
      <c r="U65" s="19">
        <f t="shared" si="4"/>
        <v>436040</v>
      </c>
      <c r="V65" s="12"/>
      <c r="W65" s="20">
        <f t="shared" si="5"/>
        <v>0.10000020640303495</v>
      </c>
      <c r="X65" s="20">
        <f t="shared" si="6"/>
        <v>0.89999979359696503</v>
      </c>
    </row>
    <row r="66" spans="1:24" x14ac:dyDescent="0.25">
      <c r="A66" s="5">
        <v>2026</v>
      </c>
      <c r="B66" s="5" t="s">
        <v>60</v>
      </c>
      <c r="C66" s="24" t="s">
        <v>60</v>
      </c>
      <c r="D66" s="5" t="s">
        <v>74</v>
      </c>
      <c r="E66" s="22" t="s">
        <v>693</v>
      </c>
      <c r="F66" s="22" t="s">
        <v>693</v>
      </c>
      <c r="G66" s="5" t="s">
        <v>74</v>
      </c>
      <c r="H66" s="5" t="s">
        <v>411</v>
      </c>
      <c r="I66" s="4">
        <f>INDEX(Breakdown[],MATCH($D66,Breakdown[Dist],0),MATCH(I$4,Breakdown[#Headers],0))</f>
        <v>116090</v>
      </c>
      <c r="J66" s="4">
        <f>INDEX(Breakdown[],MATCH($D66,Breakdown[Dist],0),MATCH(J$4,Breakdown[#Headers],0))</f>
        <v>90912</v>
      </c>
      <c r="K66" s="4">
        <f>INDEX(Breakdown[],MATCH($D66,Breakdown[Dist],0),MATCH(K$4,Breakdown[#Headers],0))</f>
        <v>19471</v>
      </c>
      <c r="L66" s="4">
        <f>INDEX(Breakdown[],MATCH($D66,Breakdown[Dist],0),MATCH(L$4,Breakdown[#Headers],0))</f>
        <v>71441</v>
      </c>
      <c r="M66" s="4">
        <f>INDEX(Breakdown[],MATCH($D66,Breakdown[Dist],0),MATCH(M$4,Breakdown[#Headers],0))</f>
        <v>1704</v>
      </c>
      <c r="N66" s="4">
        <f t="shared" si="0"/>
        <v>98323</v>
      </c>
      <c r="O66" s="15">
        <f t="shared" si="1"/>
        <v>9832</v>
      </c>
      <c r="P66" s="12"/>
      <c r="Q66" s="4">
        <f>INDEX(Breakdown[],MATCH($D66,Breakdown[Dist],0),MATCH(Q$4,Breakdown[#Headers],0))</f>
        <v>25178</v>
      </c>
      <c r="R66" s="4">
        <f>INDEX(Breakdown[],MATCH($D66,Breakdown[Dist],0),MATCH(R$4,Breakdown[#Headers],0))</f>
        <v>1704</v>
      </c>
      <c r="S66" s="14">
        <f t="shared" si="2"/>
        <v>26882</v>
      </c>
      <c r="T66" s="17">
        <f t="shared" si="3"/>
        <v>61609</v>
      </c>
      <c r="U66" s="19">
        <f t="shared" si="4"/>
        <v>88491</v>
      </c>
      <c r="V66" s="12"/>
      <c r="W66" s="20">
        <f t="shared" si="5"/>
        <v>9.9996948831911153E-2</v>
      </c>
      <c r="X66" s="20">
        <f t="shared" si="6"/>
        <v>0.90000305116808887</v>
      </c>
    </row>
    <row r="67" spans="1:24" x14ac:dyDescent="0.25">
      <c r="A67" s="5">
        <v>2026</v>
      </c>
      <c r="B67" s="5" t="s">
        <v>22</v>
      </c>
      <c r="C67" s="24" t="s">
        <v>22</v>
      </c>
      <c r="D67" s="5" t="s">
        <v>27</v>
      </c>
      <c r="E67" s="22" t="s">
        <v>693</v>
      </c>
      <c r="F67" s="22" t="s">
        <v>693</v>
      </c>
      <c r="G67" s="5" t="s">
        <v>27</v>
      </c>
      <c r="H67" s="5" t="s">
        <v>373</v>
      </c>
      <c r="I67" s="4">
        <f>INDEX(Breakdown[],MATCH($D67,Breakdown[Dist],0),MATCH(I$4,Breakdown[#Headers],0))</f>
        <v>106023</v>
      </c>
      <c r="J67" s="4">
        <f>INDEX(Breakdown[],MATCH($D67,Breakdown[Dist],0),MATCH(J$4,Breakdown[#Headers],0))</f>
        <v>81495</v>
      </c>
      <c r="K67" s="4">
        <f>INDEX(Breakdown[],MATCH($D67,Breakdown[Dist],0),MATCH(K$4,Breakdown[#Headers],0))</f>
        <v>17455</v>
      </c>
      <c r="L67" s="4">
        <f>INDEX(Breakdown[],MATCH($D67,Breakdown[Dist],0),MATCH(L$4,Breakdown[#Headers],0))</f>
        <v>64040</v>
      </c>
      <c r="M67" s="4">
        <f>INDEX(Breakdown[],MATCH($D67,Breakdown[Dist],0),MATCH(M$4,Breakdown[#Headers],0))</f>
        <v>19010</v>
      </c>
      <c r="N67" s="4">
        <f t="shared" si="0"/>
        <v>107578</v>
      </c>
      <c r="O67" s="15">
        <f t="shared" si="1"/>
        <v>10758</v>
      </c>
      <c r="P67" s="12"/>
      <c r="Q67" s="4">
        <f>INDEX(Breakdown[],MATCH($D67,Breakdown[Dist],0),MATCH(Q$4,Breakdown[#Headers],0))</f>
        <v>24528</v>
      </c>
      <c r="R67" s="4">
        <f>INDEX(Breakdown[],MATCH($D67,Breakdown[Dist],0),MATCH(R$4,Breakdown[#Headers],0))</f>
        <v>19010</v>
      </c>
      <c r="S67" s="14">
        <f t="shared" si="2"/>
        <v>43538</v>
      </c>
      <c r="T67" s="17">
        <f t="shared" si="3"/>
        <v>53282</v>
      </c>
      <c r="U67" s="19">
        <f t="shared" si="4"/>
        <v>96820</v>
      </c>
      <c r="V67" s="12"/>
      <c r="W67" s="20">
        <f t="shared" si="5"/>
        <v>0.10000185911617616</v>
      </c>
      <c r="X67" s="20">
        <f t="shared" si="6"/>
        <v>0.89999814088382379</v>
      </c>
    </row>
    <row r="68" spans="1:24" x14ac:dyDescent="0.25">
      <c r="A68" s="5">
        <v>2026</v>
      </c>
      <c r="B68" s="5" t="s">
        <v>0</v>
      </c>
      <c r="C68" s="24" t="s">
        <v>0</v>
      </c>
      <c r="D68" s="5" t="s">
        <v>3</v>
      </c>
      <c r="E68" s="22" t="s">
        <v>693</v>
      </c>
      <c r="F68" s="22" t="s">
        <v>693</v>
      </c>
      <c r="G68" s="5" t="s">
        <v>3</v>
      </c>
      <c r="H68" s="5" t="s">
        <v>350</v>
      </c>
      <c r="I68" s="4">
        <f>INDEX(Breakdown[],MATCH($D68,Breakdown[Dist],0),MATCH(I$4,Breakdown[#Headers],0))</f>
        <v>260838</v>
      </c>
      <c r="J68" s="4">
        <f>INDEX(Breakdown[],MATCH($D68,Breakdown[Dist],0),MATCH(J$4,Breakdown[#Headers],0))</f>
        <v>198149</v>
      </c>
      <c r="K68" s="4">
        <f>INDEX(Breakdown[],MATCH($D68,Breakdown[Dist],0),MATCH(K$4,Breakdown[#Headers],0))</f>
        <v>42440</v>
      </c>
      <c r="L68" s="4">
        <f>INDEX(Breakdown[],MATCH($D68,Breakdown[Dist],0),MATCH(L$4,Breakdown[#Headers],0))</f>
        <v>155709</v>
      </c>
      <c r="M68" s="4">
        <f>INDEX(Breakdown[],MATCH($D68,Breakdown[Dist],0),MATCH(M$4,Breakdown[#Headers],0))</f>
        <v>0</v>
      </c>
      <c r="N68" s="4">
        <f t="shared" si="0"/>
        <v>218398</v>
      </c>
      <c r="O68" s="15">
        <f t="shared" si="1"/>
        <v>21840</v>
      </c>
      <c r="P68" s="12"/>
      <c r="Q68" s="4">
        <f>INDEX(Breakdown[],MATCH($D68,Breakdown[Dist],0),MATCH(Q$4,Breakdown[#Headers],0))</f>
        <v>62689</v>
      </c>
      <c r="R68" s="4">
        <f>INDEX(Breakdown[],MATCH($D68,Breakdown[Dist],0),MATCH(R$4,Breakdown[#Headers],0))</f>
        <v>0</v>
      </c>
      <c r="S68" s="14">
        <f t="shared" si="2"/>
        <v>62689</v>
      </c>
      <c r="T68" s="17">
        <f t="shared" si="3"/>
        <v>133869</v>
      </c>
      <c r="U68" s="19">
        <f t="shared" si="4"/>
        <v>196558</v>
      </c>
      <c r="V68" s="12"/>
      <c r="W68" s="20">
        <f t="shared" si="5"/>
        <v>0.10000091575930183</v>
      </c>
      <c r="X68" s="20">
        <f t="shared" si="6"/>
        <v>0.89999908424069819</v>
      </c>
    </row>
    <row r="69" spans="1:24" x14ac:dyDescent="0.25">
      <c r="A69" s="5">
        <v>2026</v>
      </c>
      <c r="B69" s="5" t="s">
        <v>140</v>
      </c>
      <c r="C69" s="24" t="s">
        <v>140</v>
      </c>
      <c r="D69" s="5" t="s">
        <v>148</v>
      </c>
      <c r="E69" s="22" t="s">
        <v>697</v>
      </c>
      <c r="F69" s="22" t="s">
        <v>693</v>
      </c>
      <c r="G69" s="5" t="s">
        <v>148</v>
      </c>
      <c r="H69" s="5" t="s">
        <v>481</v>
      </c>
      <c r="I69" s="4">
        <f>INDEX(Breakdown[],MATCH($D69,Breakdown[Dist],0),MATCH(I$4,Breakdown[#Headers],0))</f>
        <v>1226564</v>
      </c>
      <c r="J69" s="4">
        <f>INDEX(Breakdown[],MATCH($D69,Breakdown[Dist],0),MATCH(J$4,Breakdown[#Headers],0))</f>
        <v>972345</v>
      </c>
      <c r="K69" s="4">
        <f>INDEX(Breakdown[],MATCH($D69,Breakdown[Dist],0),MATCH(K$4,Breakdown[#Headers],0))</f>
        <v>208261</v>
      </c>
      <c r="L69" s="4">
        <f>INDEX(Breakdown[],MATCH($D69,Breakdown[Dist],0),MATCH(L$4,Breakdown[#Headers],0))</f>
        <v>764084</v>
      </c>
      <c r="M69" s="4">
        <f>INDEX(Breakdown[],MATCH($D69,Breakdown[Dist],0),MATCH(M$4,Breakdown[#Headers],0))</f>
        <v>0</v>
      </c>
      <c r="N69" s="4">
        <f t="shared" si="0"/>
        <v>1018303</v>
      </c>
      <c r="O69" s="15">
        <f t="shared" si="1"/>
        <v>101830</v>
      </c>
      <c r="P69" s="12"/>
      <c r="Q69" s="4">
        <f>INDEX(Breakdown[],MATCH($D69,Breakdown[Dist],0),MATCH(Q$4,Breakdown[#Headers],0))</f>
        <v>254219</v>
      </c>
      <c r="R69" s="4">
        <f>INDEX(Breakdown[],MATCH($D69,Breakdown[Dist],0),MATCH(R$4,Breakdown[#Headers],0))</f>
        <v>0</v>
      </c>
      <c r="S69" s="14">
        <f t="shared" si="2"/>
        <v>254219</v>
      </c>
      <c r="T69" s="17">
        <f t="shared" si="3"/>
        <v>662254</v>
      </c>
      <c r="U69" s="19">
        <f t="shared" si="4"/>
        <v>916473</v>
      </c>
      <c r="V69" s="12"/>
      <c r="W69" s="20">
        <f t="shared" si="5"/>
        <v>9.9999705392206442E-2</v>
      </c>
      <c r="X69" s="20">
        <f t="shared" si="6"/>
        <v>0.90000029460779352</v>
      </c>
    </row>
    <row r="70" spans="1:24" x14ac:dyDescent="0.25">
      <c r="A70" s="5">
        <v>2026</v>
      </c>
      <c r="B70" s="5" t="s">
        <v>60</v>
      </c>
      <c r="C70" s="24" t="s">
        <v>60</v>
      </c>
      <c r="D70" s="5" t="s">
        <v>75</v>
      </c>
      <c r="E70" s="22" t="s">
        <v>693</v>
      </c>
      <c r="F70" s="22" t="s">
        <v>693</v>
      </c>
      <c r="G70" s="5" t="s">
        <v>75</v>
      </c>
      <c r="H70" s="5" t="s">
        <v>412</v>
      </c>
      <c r="I70" s="4">
        <f>INDEX(Breakdown[],MATCH($D70,Breakdown[Dist],0),MATCH(I$4,Breakdown[#Headers],0))</f>
        <v>455395</v>
      </c>
      <c r="J70" s="4">
        <f>INDEX(Breakdown[],MATCH($D70,Breakdown[Dist],0),MATCH(J$4,Breakdown[#Headers],0))</f>
        <v>356625</v>
      </c>
      <c r="K70" s="4">
        <f>INDEX(Breakdown[],MATCH($D70,Breakdown[Dist],0),MATCH(K$4,Breakdown[#Headers],0))</f>
        <v>76383</v>
      </c>
      <c r="L70" s="4">
        <f>INDEX(Breakdown[],MATCH($D70,Breakdown[Dist],0),MATCH(L$4,Breakdown[#Headers],0))</f>
        <v>280242</v>
      </c>
      <c r="M70" s="4">
        <f>INDEX(Breakdown[],MATCH($D70,Breakdown[Dist],0),MATCH(M$4,Breakdown[#Headers],0))</f>
        <v>30</v>
      </c>
      <c r="N70" s="4">
        <f t="shared" ref="N70:N133" si="7">I70-K70+M70</f>
        <v>379042</v>
      </c>
      <c r="O70" s="15">
        <f t="shared" ref="O70:O133" si="8">ROUND(N70*0.1,0)</f>
        <v>37904</v>
      </c>
      <c r="P70" s="12"/>
      <c r="Q70" s="4">
        <f>INDEX(Breakdown[],MATCH($D70,Breakdown[Dist],0),MATCH(Q$4,Breakdown[#Headers],0))</f>
        <v>98770</v>
      </c>
      <c r="R70" s="4">
        <f>INDEX(Breakdown[],MATCH($D70,Breakdown[Dist],0),MATCH(R$4,Breakdown[#Headers],0))</f>
        <v>30</v>
      </c>
      <c r="S70" s="14">
        <f t="shared" ref="S70:S133" si="9">SUM(Q70:R70)</f>
        <v>98800</v>
      </c>
      <c r="T70" s="17">
        <f t="shared" ref="T70:T133" si="10">L70-O70</f>
        <v>242338</v>
      </c>
      <c r="U70" s="19">
        <f t="shared" ref="U70:U133" si="11">SUM(S70:T70)</f>
        <v>341138</v>
      </c>
      <c r="V70" s="12"/>
      <c r="W70" s="20">
        <f t="shared" ref="W70:W133" si="12">O70/N70</f>
        <v>9.9999472353987151E-2</v>
      </c>
      <c r="X70" s="20">
        <f t="shared" ref="X70:X133" si="13">U70/N70</f>
        <v>0.90000052764601279</v>
      </c>
    </row>
    <row r="71" spans="1:24" x14ac:dyDescent="0.25">
      <c r="A71" s="5">
        <v>2026</v>
      </c>
      <c r="B71" s="5" t="s">
        <v>118</v>
      </c>
      <c r="C71" s="24" t="s">
        <v>118</v>
      </c>
      <c r="D71" s="5" t="s">
        <v>126</v>
      </c>
      <c r="E71" s="22" t="s">
        <v>693</v>
      </c>
      <c r="F71" s="22" t="s">
        <v>693</v>
      </c>
      <c r="G71" s="5" t="s">
        <v>126</v>
      </c>
      <c r="H71" s="5" t="s">
        <v>460</v>
      </c>
      <c r="I71" s="4">
        <f>INDEX(Breakdown[],MATCH($D71,Breakdown[Dist],0),MATCH(I$4,Breakdown[#Headers],0))</f>
        <v>1534324</v>
      </c>
      <c r="J71" s="4">
        <f>INDEX(Breakdown[],MATCH($D71,Breakdown[Dist],0),MATCH(J$4,Breakdown[#Headers],0))</f>
        <v>1209647</v>
      </c>
      <c r="K71" s="4">
        <f>INDEX(Breakdown[],MATCH($D71,Breakdown[Dist],0),MATCH(K$4,Breakdown[#Headers],0))</f>
        <v>259087</v>
      </c>
      <c r="L71" s="4">
        <f>INDEX(Breakdown[],MATCH($D71,Breakdown[Dist],0),MATCH(L$4,Breakdown[#Headers],0))</f>
        <v>950560</v>
      </c>
      <c r="M71" s="4">
        <f>INDEX(Breakdown[],MATCH($D71,Breakdown[Dist],0),MATCH(M$4,Breakdown[#Headers],0))</f>
        <v>0</v>
      </c>
      <c r="N71" s="4">
        <f t="shared" si="7"/>
        <v>1275237</v>
      </c>
      <c r="O71" s="15">
        <f t="shared" si="8"/>
        <v>127524</v>
      </c>
      <c r="P71" s="12"/>
      <c r="Q71" s="4">
        <f>INDEX(Breakdown[],MATCH($D71,Breakdown[Dist],0),MATCH(Q$4,Breakdown[#Headers],0))</f>
        <v>324677</v>
      </c>
      <c r="R71" s="4">
        <f>INDEX(Breakdown[],MATCH($D71,Breakdown[Dist],0),MATCH(R$4,Breakdown[#Headers],0))</f>
        <v>0</v>
      </c>
      <c r="S71" s="14">
        <f t="shared" si="9"/>
        <v>324677</v>
      </c>
      <c r="T71" s="17">
        <f t="shared" si="10"/>
        <v>823036</v>
      </c>
      <c r="U71" s="19">
        <f t="shared" si="11"/>
        <v>1147713</v>
      </c>
      <c r="V71" s="12"/>
      <c r="W71" s="20">
        <f t="shared" si="12"/>
        <v>0.10000023525038876</v>
      </c>
      <c r="X71" s="20">
        <f t="shared" si="13"/>
        <v>0.8999997647496113</v>
      </c>
    </row>
    <row r="72" spans="1:24" x14ac:dyDescent="0.25">
      <c r="A72" s="5">
        <v>2026</v>
      </c>
      <c r="B72" s="5" t="s">
        <v>174</v>
      </c>
      <c r="C72" s="24" t="s">
        <v>174</v>
      </c>
      <c r="D72" s="5" t="s">
        <v>186</v>
      </c>
      <c r="E72" s="22" t="s">
        <v>693</v>
      </c>
      <c r="F72" s="22" t="s">
        <v>693</v>
      </c>
      <c r="G72" s="5" t="s">
        <v>186</v>
      </c>
      <c r="H72" s="5" t="s">
        <v>516</v>
      </c>
      <c r="I72" s="4">
        <f>INDEX(Breakdown[],MATCH($D72,Breakdown[Dist],0),MATCH(I$4,Breakdown[#Headers],0))</f>
        <v>268984</v>
      </c>
      <c r="J72" s="4">
        <f>INDEX(Breakdown[],MATCH($D72,Breakdown[Dist],0),MATCH(J$4,Breakdown[#Headers],0))</f>
        <v>217673</v>
      </c>
      <c r="K72" s="4">
        <f>INDEX(Breakdown[],MATCH($D72,Breakdown[Dist],0),MATCH(K$4,Breakdown[#Headers],0))</f>
        <v>46622</v>
      </c>
      <c r="L72" s="4">
        <f>INDEX(Breakdown[],MATCH($D72,Breakdown[Dist],0),MATCH(L$4,Breakdown[#Headers],0))</f>
        <v>171051</v>
      </c>
      <c r="M72" s="4">
        <f>INDEX(Breakdown[],MATCH($D72,Breakdown[Dist],0),MATCH(M$4,Breakdown[#Headers],0))</f>
        <v>2934</v>
      </c>
      <c r="N72" s="4">
        <f t="shared" si="7"/>
        <v>225296</v>
      </c>
      <c r="O72" s="15">
        <f t="shared" si="8"/>
        <v>22530</v>
      </c>
      <c r="P72" s="12"/>
      <c r="Q72" s="4">
        <f>INDEX(Breakdown[],MATCH($D72,Breakdown[Dist],0),MATCH(Q$4,Breakdown[#Headers],0))</f>
        <v>51311</v>
      </c>
      <c r="R72" s="4">
        <f>INDEX(Breakdown[],MATCH($D72,Breakdown[Dist],0),MATCH(R$4,Breakdown[#Headers],0))</f>
        <v>2934</v>
      </c>
      <c r="S72" s="14">
        <f t="shared" si="9"/>
        <v>54245</v>
      </c>
      <c r="T72" s="17">
        <f t="shared" si="10"/>
        <v>148521</v>
      </c>
      <c r="U72" s="19">
        <f t="shared" si="11"/>
        <v>202766</v>
      </c>
      <c r="V72" s="12"/>
      <c r="W72" s="20">
        <f t="shared" si="12"/>
        <v>0.10000177544208508</v>
      </c>
      <c r="X72" s="20">
        <f t="shared" si="13"/>
        <v>0.89999822455791489</v>
      </c>
    </row>
    <row r="73" spans="1:24" x14ac:dyDescent="0.25">
      <c r="A73" s="5">
        <v>2026</v>
      </c>
      <c r="B73" s="5" t="s">
        <v>140</v>
      </c>
      <c r="C73" s="24" t="s">
        <v>140</v>
      </c>
      <c r="D73" s="5" t="s">
        <v>149</v>
      </c>
      <c r="E73" s="22" t="s">
        <v>693</v>
      </c>
      <c r="F73" s="22" t="s">
        <v>693</v>
      </c>
      <c r="G73" s="5" t="s">
        <v>149</v>
      </c>
      <c r="H73" s="5" t="s">
        <v>482</v>
      </c>
      <c r="I73" s="4">
        <f>INDEX(Breakdown[],MATCH($D73,Breakdown[Dist],0),MATCH(I$4,Breakdown[#Headers],0))</f>
        <v>1983269</v>
      </c>
      <c r="J73" s="4">
        <f>INDEX(Breakdown[],MATCH($D73,Breakdown[Dist],0),MATCH(J$4,Breakdown[#Headers],0))</f>
        <v>1572215</v>
      </c>
      <c r="K73" s="4">
        <f>INDEX(Breakdown[],MATCH($D73,Breakdown[Dist],0),MATCH(K$4,Breakdown[#Headers],0))</f>
        <v>336743</v>
      </c>
      <c r="L73" s="4">
        <f>INDEX(Breakdown[],MATCH($D73,Breakdown[Dist],0),MATCH(L$4,Breakdown[#Headers],0))</f>
        <v>1235472</v>
      </c>
      <c r="M73" s="4">
        <f>INDEX(Breakdown[],MATCH($D73,Breakdown[Dist],0),MATCH(M$4,Breakdown[#Headers],0))</f>
        <v>0</v>
      </c>
      <c r="N73" s="4">
        <f t="shared" si="7"/>
        <v>1646526</v>
      </c>
      <c r="O73" s="15">
        <f t="shared" si="8"/>
        <v>164653</v>
      </c>
      <c r="P73" s="12"/>
      <c r="Q73" s="4">
        <f>INDEX(Breakdown[],MATCH($D73,Breakdown[Dist],0),MATCH(Q$4,Breakdown[#Headers],0))</f>
        <v>411054</v>
      </c>
      <c r="R73" s="4">
        <f>INDEX(Breakdown[],MATCH($D73,Breakdown[Dist],0),MATCH(R$4,Breakdown[#Headers],0))</f>
        <v>0</v>
      </c>
      <c r="S73" s="14">
        <f t="shared" si="9"/>
        <v>411054</v>
      </c>
      <c r="T73" s="17">
        <f t="shared" si="10"/>
        <v>1070819</v>
      </c>
      <c r="U73" s="19">
        <f t="shared" si="11"/>
        <v>1481873</v>
      </c>
      <c r="V73" s="12"/>
      <c r="W73" s="20">
        <f t="shared" si="12"/>
        <v>0.10000024293573256</v>
      </c>
      <c r="X73" s="20">
        <f t="shared" si="13"/>
        <v>0.89999975706426738</v>
      </c>
    </row>
    <row r="74" spans="1:24" x14ac:dyDescent="0.25">
      <c r="A74" s="5">
        <v>2026</v>
      </c>
      <c r="B74" s="5" t="s">
        <v>174</v>
      </c>
      <c r="C74" s="24" t="s">
        <v>174</v>
      </c>
      <c r="D74" s="5" t="s">
        <v>187</v>
      </c>
      <c r="E74" s="22" t="s">
        <v>693</v>
      </c>
      <c r="F74" s="22" t="s">
        <v>693</v>
      </c>
      <c r="G74" s="5" t="s">
        <v>187</v>
      </c>
      <c r="H74" s="5" t="s">
        <v>517</v>
      </c>
      <c r="I74" s="4">
        <f>INDEX(Breakdown[],MATCH($D74,Breakdown[Dist],0),MATCH(I$4,Breakdown[#Headers],0))</f>
        <v>162457</v>
      </c>
      <c r="J74" s="4">
        <f>INDEX(Breakdown[],MATCH($D74,Breakdown[Dist],0),MATCH(J$4,Breakdown[#Headers],0))</f>
        <v>131467</v>
      </c>
      <c r="K74" s="4">
        <f>INDEX(Breakdown[],MATCH($D74,Breakdown[Dist],0),MATCH(K$4,Breakdown[#Headers],0))</f>
        <v>28158</v>
      </c>
      <c r="L74" s="4">
        <f>INDEX(Breakdown[],MATCH($D74,Breakdown[Dist],0),MATCH(L$4,Breakdown[#Headers],0))</f>
        <v>103309</v>
      </c>
      <c r="M74" s="4">
        <f>INDEX(Breakdown[],MATCH($D74,Breakdown[Dist],0),MATCH(M$4,Breakdown[#Headers],0))</f>
        <v>9406</v>
      </c>
      <c r="N74" s="4">
        <f t="shared" si="7"/>
        <v>143705</v>
      </c>
      <c r="O74" s="15">
        <f t="shared" si="8"/>
        <v>14371</v>
      </c>
      <c r="P74" s="12"/>
      <c r="Q74" s="4">
        <f>INDEX(Breakdown[],MATCH($D74,Breakdown[Dist],0),MATCH(Q$4,Breakdown[#Headers],0))</f>
        <v>30990</v>
      </c>
      <c r="R74" s="4">
        <f>INDEX(Breakdown[],MATCH($D74,Breakdown[Dist],0),MATCH(R$4,Breakdown[#Headers],0))</f>
        <v>9406</v>
      </c>
      <c r="S74" s="14">
        <f t="shared" si="9"/>
        <v>40396</v>
      </c>
      <c r="T74" s="17">
        <f t="shared" si="10"/>
        <v>88938</v>
      </c>
      <c r="U74" s="19">
        <f t="shared" si="11"/>
        <v>129334</v>
      </c>
      <c r="V74" s="12"/>
      <c r="W74" s="20">
        <f t="shared" si="12"/>
        <v>0.10000347935005741</v>
      </c>
      <c r="X74" s="20">
        <f t="shared" si="13"/>
        <v>0.89999652064994262</v>
      </c>
    </row>
    <row r="75" spans="1:24" x14ac:dyDescent="0.25">
      <c r="A75" s="5">
        <v>2026</v>
      </c>
      <c r="B75" s="5" t="s">
        <v>174</v>
      </c>
      <c r="C75" s="24" t="s">
        <v>174</v>
      </c>
      <c r="D75" s="5" t="s">
        <v>188</v>
      </c>
      <c r="E75" s="22" t="s">
        <v>693</v>
      </c>
      <c r="F75" s="22" t="s">
        <v>693</v>
      </c>
      <c r="G75" s="5" t="s">
        <v>188</v>
      </c>
      <c r="H75" s="5" t="s">
        <v>518</v>
      </c>
      <c r="I75" s="4">
        <f>INDEX(Breakdown[],MATCH($D75,Breakdown[Dist],0),MATCH(I$4,Breakdown[#Headers],0))</f>
        <v>175155</v>
      </c>
      <c r="J75" s="4">
        <f>INDEX(Breakdown[],MATCH($D75,Breakdown[Dist],0),MATCH(J$4,Breakdown[#Headers],0))</f>
        <v>141743</v>
      </c>
      <c r="K75" s="4">
        <f>INDEX(Breakdown[],MATCH($D75,Breakdown[Dist],0),MATCH(K$4,Breakdown[#Headers],0))</f>
        <v>30359</v>
      </c>
      <c r="L75" s="4">
        <f>INDEX(Breakdown[],MATCH($D75,Breakdown[Dist],0),MATCH(L$4,Breakdown[#Headers],0))</f>
        <v>111384</v>
      </c>
      <c r="M75" s="4">
        <f>INDEX(Breakdown[],MATCH($D75,Breakdown[Dist],0),MATCH(M$4,Breakdown[#Headers],0))</f>
        <v>0</v>
      </c>
      <c r="N75" s="4">
        <f t="shared" si="7"/>
        <v>144796</v>
      </c>
      <c r="O75" s="15">
        <f t="shared" si="8"/>
        <v>14480</v>
      </c>
      <c r="P75" s="12"/>
      <c r="Q75" s="4">
        <f>INDEX(Breakdown[],MATCH($D75,Breakdown[Dist],0),MATCH(Q$4,Breakdown[#Headers],0))</f>
        <v>33412</v>
      </c>
      <c r="R75" s="4">
        <f>INDEX(Breakdown[],MATCH($D75,Breakdown[Dist],0),MATCH(R$4,Breakdown[#Headers],0))</f>
        <v>0</v>
      </c>
      <c r="S75" s="14">
        <f t="shared" si="9"/>
        <v>33412</v>
      </c>
      <c r="T75" s="17">
        <f t="shared" si="10"/>
        <v>96904</v>
      </c>
      <c r="U75" s="19">
        <f t="shared" si="11"/>
        <v>130316</v>
      </c>
      <c r="V75" s="12"/>
      <c r="W75" s="20">
        <f t="shared" si="12"/>
        <v>0.10000276250725158</v>
      </c>
      <c r="X75" s="20">
        <f t="shared" si="13"/>
        <v>0.8999972374927484</v>
      </c>
    </row>
    <row r="76" spans="1:24" x14ac:dyDescent="0.25">
      <c r="A76" s="5">
        <v>2026</v>
      </c>
      <c r="B76" s="5" t="s">
        <v>118</v>
      </c>
      <c r="C76" s="24" t="s">
        <v>118</v>
      </c>
      <c r="D76" s="5" t="s">
        <v>127</v>
      </c>
      <c r="E76" s="22" t="s">
        <v>693</v>
      </c>
      <c r="F76" s="22" t="s">
        <v>693</v>
      </c>
      <c r="G76" s="5" t="s">
        <v>127</v>
      </c>
      <c r="H76" s="5" t="s">
        <v>461</v>
      </c>
      <c r="I76" s="4">
        <f>INDEX(Breakdown[],MATCH($D76,Breakdown[Dist],0),MATCH(I$4,Breakdown[#Headers],0))</f>
        <v>309058</v>
      </c>
      <c r="J76" s="4">
        <f>INDEX(Breakdown[],MATCH($D76,Breakdown[Dist],0),MATCH(J$4,Breakdown[#Headers],0))</f>
        <v>243658</v>
      </c>
      <c r="K76" s="4">
        <f>INDEX(Breakdown[],MATCH($D76,Breakdown[Dist],0),MATCH(K$4,Breakdown[#Headers],0))</f>
        <v>52187</v>
      </c>
      <c r="L76" s="4">
        <f>INDEX(Breakdown[],MATCH($D76,Breakdown[Dist],0),MATCH(L$4,Breakdown[#Headers],0))</f>
        <v>191471</v>
      </c>
      <c r="M76" s="4">
        <f>INDEX(Breakdown[],MATCH($D76,Breakdown[Dist],0),MATCH(M$4,Breakdown[#Headers],0))</f>
        <v>0</v>
      </c>
      <c r="N76" s="4">
        <f t="shared" si="7"/>
        <v>256871</v>
      </c>
      <c r="O76" s="15">
        <f t="shared" si="8"/>
        <v>25687</v>
      </c>
      <c r="P76" s="12"/>
      <c r="Q76" s="4">
        <f>INDEX(Breakdown[],MATCH($D76,Breakdown[Dist],0),MATCH(Q$4,Breakdown[#Headers],0))</f>
        <v>65400</v>
      </c>
      <c r="R76" s="4">
        <f>INDEX(Breakdown[],MATCH($D76,Breakdown[Dist],0),MATCH(R$4,Breakdown[#Headers],0))</f>
        <v>0</v>
      </c>
      <c r="S76" s="14">
        <f t="shared" si="9"/>
        <v>65400</v>
      </c>
      <c r="T76" s="17">
        <f t="shared" si="10"/>
        <v>165784</v>
      </c>
      <c r="U76" s="19">
        <f t="shared" si="11"/>
        <v>231184</v>
      </c>
      <c r="V76" s="12"/>
      <c r="W76" s="20">
        <f t="shared" si="12"/>
        <v>9.9999610699534003E-2</v>
      </c>
      <c r="X76" s="20">
        <f t="shared" si="13"/>
        <v>0.900000389300466</v>
      </c>
    </row>
    <row r="77" spans="1:24" x14ac:dyDescent="0.25">
      <c r="A77" s="5">
        <v>2026</v>
      </c>
      <c r="B77" s="5" t="s">
        <v>174</v>
      </c>
      <c r="C77" s="24" t="s">
        <v>174</v>
      </c>
      <c r="D77" s="5" t="s">
        <v>189</v>
      </c>
      <c r="E77" s="22" t="s">
        <v>693</v>
      </c>
      <c r="F77" s="22" t="s">
        <v>693</v>
      </c>
      <c r="G77" s="5" t="s">
        <v>189</v>
      </c>
      <c r="H77" s="5" t="s">
        <v>519</v>
      </c>
      <c r="I77" s="4">
        <f>INDEX(Breakdown[],MATCH($D77,Breakdown[Dist],0),MATCH(I$4,Breakdown[#Headers],0))</f>
        <v>174350</v>
      </c>
      <c r="J77" s="4">
        <f>INDEX(Breakdown[],MATCH($D77,Breakdown[Dist],0),MATCH(J$4,Breakdown[#Headers],0))</f>
        <v>141091</v>
      </c>
      <c r="K77" s="4">
        <f>INDEX(Breakdown[],MATCH($D77,Breakdown[Dist],0),MATCH(K$4,Breakdown[#Headers],0))</f>
        <v>30220</v>
      </c>
      <c r="L77" s="4">
        <f>INDEX(Breakdown[],MATCH($D77,Breakdown[Dist],0),MATCH(L$4,Breakdown[#Headers],0))</f>
        <v>110871</v>
      </c>
      <c r="M77" s="4">
        <f>INDEX(Breakdown[],MATCH($D77,Breakdown[Dist],0),MATCH(M$4,Breakdown[#Headers],0))</f>
        <v>0</v>
      </c>
      <c r="N77" s="4">
        <f t="shared" si="7"/>
        <v>144130</v>
      </c>
      <c r="O77" s="15">
        <f t="shared" si="8"/>
        <v>14413</v>
      </c>
      <c r="P77" s="12"/>
      <c r="Q77" s="4">
        <f>INDEX(Breakdown[],MATCH($D77,Breakdown[Dist],0),MATCH(Q$4,Breakdown[#Headers],0))</f>
        <v>33259</v>
      </c>
      <c r="R77" s="4">
        <f>INDEX(Breakdown[],MATCH($D77,Breakdown[Dist],0),MATCH(R$4,Breakdown[#Headers],0))</f>
        <v>0</v>
      </c>
      <c r="S77" s="14">
        <f t="shared" si="9"/>
        <v>33259</v>
      </c>
      <c r="T77" s="17">
        <f t="shared" si="10"/>
        <v>96458</v>
      </c>
      <c r="U77" s="19">
        <f t="shared" si="11"/>
        <v>129717</v>
      </c>
      <c r="V77" s="12"/>
      <c r="W77" s="20">
        <f t="shared" si="12"/>
        <v>0.1</v>
      </c>
      <c r="X77" s="20">
        <f t="shared" si="13"/>
        <v>0.9</v>
      </c>
    </row>
    <row r="78" spans="1:24" x14ac:dyDescent="0.25">
      <c r="A78" s="5">
        <v>2026</v>
      </c>
      <c r="B78" s="5" t="s">
        <v>263</v>
      </c>
      <c r="C78" s="24" t="s">
        <v>263</v>
      </c>
      <c r="D78" s="5" t="s">
        <v>273</v>
      </c>
      <c r="E78" s="22" t="s">
        <v>693</v>
      </c>
      <c r="F78" s="22" t="s">
        <v>693</v>
      </c>
      <c r="G78" s="5" t="s">
        <v>273</v>
      </c>
      <c r="H78" s="5" t="s">
        <v>598</v>
      </c>
      <c r="I78" s="4">
        <f>INDEX(Breakdown[],MATCH($D78,Breakdown[Dist],0),MATCH(I$4,Breakdown[#Headers],0))</f>
        <v>158940</v>
      </c>
      <c r="J78" s="4">
        <f>INDEX(Breakdown[],MATCH($D78,Breakdown[Dist],0),MATCH(J$4,Breakdown[#Headers],0))</f>
        <v>125652</v>
      </c>
      <c r="K78" s="4">
        <f>INDEX(Breakdown[],MATCH($D78,Breakdown[Dist],0),MATCH(K$4,Breakdown[#Headers],0))</f>
        <v>26913</v>
      </c>
      <c r="L78" s="4">
        <f>INDEX(Breakdown[],MATCH($D78,Breakdown[Dist],0),MATCH(L$4,Breakdown[#Headers],0))</f>
        <v>98739</v>
      </c>
      <c r="M78" s="4">
        <f>INDEX(Breakdown[],MATCH($D78,Breakdown[Dist],0),MATCH(M$4,Breakdown[#Headers],0))</f>
        <v>0</v>
      </c>
      <c r="N78" s="4">
        <f t="shared" si="7"/>
        <v>132027</v>
      </c>
      <c r="O78" s="15">
        <f t="shared" si="8"/>
        <v>13203</v>
      </c>
      <c r="P78" s="12"/>
      <c r="Q78" s="4">
        <f>INDEX(Breakdown[],MATCH($D78,Breakdown[Dist],0),MATCH(Q$4,Breakdown[#Headers],0))</f>
        <v>33288</v>
      </c>
      <c r="R78" s="4">
        <f>INDEX(Breakdown[],MATCH($D78,Breakdown[Dist],0),MATCH(R$4,Breakdown[#Headers],0))</f>
        <v>0</v>
      </c>
      <c r="S78" s="14">
        <f t="shared" si="9"/>
        <v>33288</v>
      </c>
      <c r="T78" s="17">
        <f t="shared" si="10"/>
        <v>85536</v>
      </c>
      <c r="U78" s="19">
        <f t="shared" si="11"/>
        <v>118824</v>
      </c>
      <c r="V78" s="12"/>
      <c r="W78" s="20">
        <f t="shared" si="12"/>
        <v>0.10000227226249177</v>
      </c>
      <c r="X78" s="20">
        <f t="shared" si="13"/>
        <v>0.89999772773750819</v>
      </c>
    </row>
    <row r="79" spans="1:24" x14ac:dyDescent="0.25">
      <c r="A79" s="5">
        <v>2026</v>
      </c>
      <c r="B79" s="5" t="s">
        <v>263</v>
      </c>
      <c r="C79" s="24" t="s">
        <v>263</v>
      </c>
      <c r="D79" s="5" t="s">
        <v>274</v>
      </c>
      <c r="E79" s="22" t="s">
        <v>693</v>
      </c>
      <c r="F79" s="22" t="s">
        <v>693</v>
      </c>
      <c r="G79" s="5" t="s">
        <v>274</v>
      </c>
      <c r="H79" s="5" t="s">
        <v>599</v>
      </c>
      <c r="I79" s="4">
        <f>INDEX(Breakdown[],MATCH($D79,Breakdown[Dist],0),MATCH(I$4,Breakdown[#Headers],0))</f>
        <v>3701325</v>
      </c>
      <c r="J79" s="4">
        <f>INDEX(Breakdown[],MATCH($D79,Breakdown[Dist],0),MATCH(J$4,Breakdown[#Headers],0))</f>
        <v>2926116</v>
      </c>
      <c r="K79" s="4">
        <f>INDEX(Breakdown[],MATCH($D79,Breakdown[Dist],0),MATCH(K$4,Breakdown[#Headers],0))</f>
        <v>626727</v>
      </c>
      <c r="L79" s="4">
        <f>INDEX(Breakdown[],MATCH($D79,Breakdown[Dist],0),MATCH(L$4,Breakdown[#Headers],0))</f>
        <v>2299389</v>
      </c>
      <c r="M79" s="4">
        <f>INDEX(Breakdown[],MATCH($D79,Breakdown[Dist],0),MATCH(M$4,Breakdown[#Headers],0))</f>
        <v>14980</v>
      </c>
      <c r="N79" s="4">
        <f t="shared" si="7"/>
        <v>3089578</v>
      </c>
      <c r="O79" s="15">
        <f t="shared" si="8"/>
        <v>308958</v>
      </c>
      <c r="P79" s="12"/>
      <c r="Q79" s="4">
        <f>INDEX(Breakdown[],MATCH($D79,Breakdown[Dist],0),MATCH(Q$4,Breakdown[#Headers],0))</f>
        <v>775209</v>
      </c>
      <c r="R79" s="4">
        <f>INDEX(Breakdown[],MATCH($D79,Breakdown[Dist],0),MATCH(R$4,Breakdown[#Headers],0))</f>
        <v>14980</v>
      </c>
      <c r="S79" s="14">
        <f t="shared" si="9"/>
        <v>790189</v>
      </c>
      <c r="T79" s="17">
        <f t="shared" si="10"/>
        <v>1990431</v>
      </c>
      <c r="U79" s="19">
        <f t="shared" si="11"/>
        <v>2780620</v>
      </c>
      <c r="V79" s="12"/>
      <c r="W79" s="20">
        <f t="shared" si="12"/>
        <v>0.10000006473375976</v>
      </c>
      <c r="X79" s="20">
        <f t="shared" si="13"/>
        <v>0.89999993526624023</v>
      </c>
    </row>
    <row r="80" spans="1:24" x14ac:dyDescent="0.25">
      <c r="A80" s="5">
        <v>2026</v>
      </c>
      <c r="B80" s="5" t="s">
        <v>263</v>
      </c>
      <c r="C80" s="24" t="s">
        <v>263</v>
      </c>
      <c r="D80" s="5" t="s">
        <v>275</v>
      </c>
      <c r="E80" s="22" t="s">
        <v>693</v>
      </c>
      <c r="F80" s="22" t="s">
        <v>693</v>
      </c>
      <c r="G80" s="5" t="s">
        <v>275</v>
      </c>
      <c r="H80" s="5" t="s">
        <v>600</v>
      </c>
      <c r="I80" s="4">
        <f>INDEX(Breakdown[],MATCH($D80,Breakdown[Dist],0),MATCH(I$4,Breakdown[#Headers],0))</f>
        <v>526742</v>
      </c>
      <c r="J80" s="4">
        <f>INDEX(Breakdown[],MATCH($D80,Breakdown[Dist],0),MATCH(J$4,Breakdown[#Headers],0))</f>
        <v>416421</v>
      </c>
      <c r="K80" s="4">
        <f>INDEX(Breakdown[],MATCH($D80,Breakdown[Dist],0),MATCH(K$4,Breakdown[#Headers],0))</f>
        <v>89190</v>
      </c>
      <c r="L80" s="4">
        <f>INDEX(Breakdown[],MATCH($D80,Breakdown[Dist],0),MATCH(L$4,Breakdown[#Headers],0))</f>
        <v>327231</v>
      </c>
      <c r="M80" s="4">
        <f>INDEX(Breakdown[],MATCH($D80,Breakdown[Dist],0),MATCH(M$4,Breakdown[#Headers],0))</f>
        <v>7198</v>
      </c>
      <c r="N80" s="4">
        <f t="shared" si="7"/>
        <v>444750</v>
      </c>
      <c r="O80" s="15">
        <f t="shared" si="8"/>
        <v>44475</v>
      </c>
      <c r="P80" s="12"/>
      <c r="Q80" s="4">
        <f>INDEX(Breakdown[],MATCH($D80,Breakdown[Dist],0),MATCH(Q$4,Breakdown[#Headers],0))</f>
        <v>110321</v>
      </c>
      <c r="R80" s="4">
        <f>INDEX(Breakdown[],MATCH($D80,Breakdown[Dist],0),MATCH(R$4,Breakdown[#Headers],0))</f>
        <v>7198</v>
      </c>
      <c r="S80" s="14">
        <f t="shared" si="9"/>
        <v>117519</v>
      </c>
      <c r="T80" s="17">
        <f t="shared" si="10"/>
        <v>282756</v>
      </c>
      <c r="U80" s="19">
        <f t="shared" si="11"/>
        <v>400275</v>
      </c>
      <c r="V80" s="12"/>
      <c r="W80" s="20">
        <f t="shared" si="12"/>
        <v>0.1</v>
      </c>
      <c r="X80" s="20">
        <f t="shared" si="13"/>
        <v>0.9</v>
      </c>
    </row>
    <row r="81" spans="1:24" x14ac:dyDescent="0.25">
      <c r="A81" s="5">
        <v>2026</v>
      </c>
      <c r="B81" s="5" t="s">
        <v>174</v>
      </c>
      <c r="C81" s="24" t="s">
        <v>174</v>
      </c>
      <c r="D81" s="5" t="s">
        <v>190</v>
      </c>
      <c r="E81" s="22" t="s">
        <v>693</v>
      </c>
      <c r="F81" s="22" t="s">
        <v>693</v>
      </c>
      <c r="G81" s="5" t="s">
        <v>190</v>
      </c>
      <c r="H81" s="5" t="s">
        <v>520</v>
      </c>
      <c r="I81" s="4">
        <f>INDEX(Breakdown[],MATCH($D81,Breakdown[Dist],0),MATCH(I$4,Breakdown[#Headers],0))</f>
        <v>1311314</v>
      </c>
      <c r="J81" s="4">
        <f>INDEX(Breakdown[],MATCH($D81,Breakdown[Dist],0),MATCH(J$4,Breakdown[#Headers],0))</f>
        <v>1061170</v>
      </c>
      <c r="K81" s="4">
        <f>INDEX(Breakdown[],MATCH($D81,Breakdown[Dist],0),MATCH(K$4,Breakdown[#Headers],0))</f>
        <v>227286</v>
      </c>
      <c r="L81" s="4">
        <f>INDEX(Breakdown[],MATCH($D81,Breakdown[Dist],0),MATCH(L$4,Breakdown[#Headers],0))</f>
        <v>833884</v>
      </c>
      <c r="M81" s="4">
        <f>INDEX(Breakdown[],MATCH($D81,Breakdown[Dist],0),MATCH(M$4,Breakdown[#Headers],0))</f>
        <v>0</v>
      </c>
      <c r="N81" s="4">
        <f t="shared" si="7"/>
        <v>1084028</v>
      </c>
      <c r="O81" s="15">
        <f t="shared" si="8"/>
        <v>108403</v>
      </c>
      <c r="P81" s="12"/>
      <c r="Q81" s="4">
        <f>INDEX(Breakdown[],MATCH($D81,Breakdown[Dist],0),MATCH(Q$4,Breakdown[#Headers],0))</f>
        <v>250144</v>
      </c>
      <c r="R81" s="4">
        <f>INDEX(Breakdown[],MATCH($D81,Breakdown[Dist],0),MATCH(R$4,Breakdown[#Headers],0))</f>
        <v>0</v>
      </c>
      <c r="S81" s="14">
        <f t="shared" si="9"/>
        <v>250144</v>
      </c>
      <c r="T81" s="17">
        <f t="shared" si="10"/>
        <v>725481</v>
      </c>
      <c r="U81" s="19">
        <f t="shared" si="11"/>
        <v>975625</v>
      </c>
      <c r="V81" s="12"/>
      <c r="W81" s="20">
        <f t="shared" si="12"/>
        <v>0.10000018449707941</v>
      </c>
      <c r="X81" s="20">
        <f t="shared" si="13"/>
        <v>0.89999981550292063</v>
      </c>
    </row>
    <row r="82" spans="1:24" x14ac:dyDescent="0.25">
      <c r="A82" s="5">
        <v>2026</v>
      </c>
      <c r="B82" s="5" t="s">
        <v>308</v>
      </c>
      <c r="C82" s="24" t="s">
        <v>308</v>
      </c>
      <c r="D82" s="5" t="s">
        <v>315</v>
      </c>
      <c r="E82" s="22" t="s">
        <v>693</v>
      </c>
      <c r="F82" s="22" t="s">
        <v>693</v>
      </c>
      <c r="G82" s="5" t="s">
        <v>315</v>
      </c>
      <c r="H82" s="5" t="s">
        <v>639</v>
      </c>
      <c r="I82" s="4">
        <f>INDEX(Breakdown[],MATCH($D82,Breakdown[Dist],0),MATCH(I$4,Breakdown[#Headers],0))</f>
        <v>159540</v>
      </c>
      <c r="J82" s="4">
        <f>INDEX(Breakdown[],MATCH($D82,Breakdown[Dist],0),MATCH(J$4,Breakdown[#Headers],0))</f>
        <v>127087</v>
      </c>
      <c r="K82" s="4">
        <f>INDEX(Breakdown[],MATCH($D82,Breakdown[Dist],0),MATCH(K$4,Breakdown[#Headers],0))</f>
        <v>27220</v>
      </c>
      <c r="L82" s="4">
        <f>INDEX(Breakdown[],MATCH($D82,Breakdown[Dist],0),MATCH(L$4,Breakdown[#Headers],0))</f>
        <v>99867</v>
      </c>
      <c r="M82" s="4">
        <f>INDEX(Breakdown[],MATCH($D82,Breakdown[Dist],0),MATCH(M$4,Breakdown[#Headers],0))</f>
        <v>13570</v>
      </c>
      <c r="N82" s="4">
        <f t="shared" si="7"/>
        <v>145890</v>
      </c>
      <c r="O82" s="15">
        <f t="shared" si="8"/>
        <v>14589</v>
      </c>
      <c r="P82" s="12"/>
      <c r="Q82" s="4">
        <f>INDEX(Breakdown[],MATCH($D82,Breakdown[Dist],0),MATCH(Q$4,Breakdown[#Headers],0))</f>
        <v>32453</v>
      </c>
      <c r="R82" s="4">
        <f>INDEX(Breakdown[],MATCH($D82,Breakdown[Dist],0),MATCH(R$4,Breakdown[#Headers],0))</f>
        <v>13570</v>
      </c>
      <c r="S82" s="14">
        <f t="shared" si="9"/>
        <v>46023</v>
      </c>
      <c r="T82" s="17">
        <f t="shared" si="10"/>
        <v>85278</v>
      </c>
      <c r="U82" s="19">
        <f t="shared" si="11"/>
        <v>131301</v>
      </c>
      <c r="V82" s="12"/>
      <c r="W82" s="20">
        <f t="shared" si="12"/>
        <v>0.1</v>
      </c>
      <c r="X82" s="20">
        <f t="shared" si="13"/>
        <v>0.9</v>
      </c>
    </row>
    <row r="83" spans="1:24" x14ac:dyDescent="0.25">
      <c r="A83" s="5">
        <v>2026</v>
      </c>
      <c r="B83" s="5" t="s">
        <v>118</v>
      </c>
      <c r="C83" s="24" t="s">
        <v>118</v>
      </c>
      <c r="D83" s="5" t="s">
        <v>128</v>
      </c>
      <c r="E83" s="22" t="s">
        <v>693</v>
      </c>
      <c r="F83" s="22" t="s">
        <v>693</v>
      </c>
      <c r="G83" s="5" t="s">
        <v>128</v>
      </c>
      <c r="H83" s="5" t="s">
        <v>462</v>
      </c>
      <c r="I83" s="4">
        <f>INDEX(Breakdown[],MATCH($D83,Breakdown[Dist],0),MATCH(I$4,Breakdown[#Headers],0))</f>
        <v>5656166</v>
      </c>
      <c r="J83" s="4">
        <f>INDEX(Breakdown[],MATCH($D83,Breakdown[Dist],0),MATCH(J$4,Breakdown[#Headers],0))</f>
        <v>4459271</v>
      </c>
      <c r="K83" s="4">
        <f>INDEX(Breakdown[],MATCH($D83,Breakdown[Dist],0),MATCH(K$4,Breakdown[#Headers],0))</f>
        <v>955105</v>
      </c>
      <c r="L83" s="4">
        <f>INDEX(Breakdown[],MATCH($D83,Breakdown[Dist],0),MATCH(L$4,Breakdown[#Headers],0))</f>
        <v>3504166</v>
      </c>
      <c r="M83" s="4">
        <f>INDEX(Breakdown[],MATCH($D83,Breakdown[Dist],0),MATCH(M$4,Breakdown[#Headers],0))</f>
        <v>0</v>
      </c>
      <c r="N83" s="4">
        <f t="shared" si="7"/>
        <v>4701061</v>
      </c>
      <c r="O83" s="15">
        <f t="shared" si="8"/>
        <v>470106</v>
      </c>
      <c r="P83" s="12"/>
      <c r="Q83" s="4">
        <f>INDEX(Breakdown[],MATCH($D83,Breakdown[Dist],0),MATCH(Q$4,Breakdown[#Headers],0))</f>
        <v>1196895</v>
      </c>
      <c r="R83" s="4">
        <f>INDEX(Breakdown[],MATCH($D83,Breakdown[Dist],0),MATCH(R$4,Breakdown[#Headers],0))</f>
        <v>0</v>
      </c>
      <c r="S83" s="14">
        <f t="shared" si="9"/>
        <v>1196895</v>
      </c>
      <c r="T83" s="17">
        <f t="shared" si="10"/>
        <v>3034060</v>
      </c>
      <c r="U83" s="19">
        <f t="shared" si="11"/>
        <v>4230955</v>
      </c>
      <c r="V83" s="12"/>
      <c r="W83" s="20">
        <f t="shared" si="12"/>
        <v>9.9999978728206249E-2</v>
      </c>
      <c r="X83" s="20">
        <f t="shared" si="13"/>
        <v>0.90000002127179379</v>
      </c>
    </row>
    <row r="84" spans="1:24" x14ac:dyDescent="0.25">
      <c r="A84" s="5">
        <v>2026</v>
      </c>
      <c r="B84" s="5" t="s">
        <v>308</v>
      </c>
      <c r="C84" s="24" t="s">
        <v>308</v>
      </c>
      <c r="D84" s="5" t="s">
        <v>316</v>
      </c>
      <c r="E84" s="22" t="s">
        <v>693</v>
      </c>
      <c r="F84" s="22" t="s">
        <v>693</v>
      </c>
      <c r="G84" s="5" t="s">
        <v>316</v>
      </c>
      <c r="H84" s="5" t="s">
        <v>640</v>
      </c>
      <c r="I84" s="4">
        <f>INDEX(Breakdown[],MATCH($D84,Breakdown[Dist],0),MATCH(I$4,Breakdown[#Headers],0))</f>
        <v>427352</v>
      </c>
      <c r="J84" s="4">
        <f>INDEX(Breakdown[],MATCH($D84,Breakdown[Dist],0),MATCH(J$4,Breakdown[#Headers],0))</f>
        <v>340421</v>
      </c>
      <c r="K84" s="4">
        <f>INDEX(Breakdown[],MATCH($D84,Breakdown[Dist],0),MATCH(K$4,Breakdown[#Headers],0))</f>
        <v>72913</v>
      </c>
      <c r="L84" s="4">
        <f>INDEX(Breakdown[],MATCH($D84,Breakdown[Dist],0),MATCH(L$4,Breakdown[#Headers],0))</f>
        <v>267508</v>
      </c>
      <c r="M84" s="4">
        <f>INDEX(Breakdown[],MATCH($D84,Breakdown[Dist],0),MATCH(M$4,Breakdown[#Headers],0))</f>
        <v>0</v>
      </c>
      <c r="N84" s="4">
        <f t="shared" si="7"/>
        <v>354439</v>
      </c>
      <c r="O84" s="15">
        <f t="shared" si="8"/>
        <v>35444</v>
      </c>
      <c r="P84" s="12"/>
      <c r="Q84" s="4">
        <f>INDEX(Breakdown[],MATCH($D84,Breakdown[Dist],0),MATCH(Q$4,Breakdown[#Headers],0))</f>
        <v>86931</v>
      </c>
      <c r="R84" s="4">
        <f>INDEX(Breakdown[],MATCH($D84,Breakdown[Dist],0),MATCH(R$4,Breakdown[#Headers],0))</f>
        <v>0</v>
      </c>
      <c r="S84" s="14">
        <f t="shared" si="9"/>
        <v>86931</v>
      </c>
      <c r="T84" s="17">
        <f t="shared" si="10"/>
        <v>232064</v>
      </c>
      <c r="U84" s="19">
        <f t="shared" si="11"/>
        <v>318995</v>
      </c>
      <c r="V84" s="12"/>
      <c r="W84" s="20">
        <f t="shared" si="12"/>
        <v>0.1000002821359952</v>
      </c>
      <c r="X84" s="20">
        <f t="shared" si="13"/>
        <v>0.89999971786400479</v>
      </c>
    </row>
    <row r="85" spans="1:24" x14ac:dyDescent="0.25">
      <c r="A85" s="5">
        <v>2026</v>
      </c>
      <c r="B85" s="5" t="s">
        <v>0</v>
      </c>
      <c r="C85" s="24" t="s">
        <v>0</v>
      </c>
      <c r="D85" s="5" t="s">
        <v>4</v>
      </c>
      <c r="E85" s="22" t="s">
        <v>693</v>
      </c>
      <c r="F85" s="22" t="s">
        <v>693</v>
      </c>
      <c r="G85" s="5" t="s">
        <v>4</v>
      </c>
      <c r="H85" s="5" t="s">
        <v>351</v>
      </c>
      <c r="I85" s="4">
        <f>INDEX(Breakdown[],MATCH($D85,Breakdown[Dist],0),MATCH(I$4,Breakdown[#Headers],0))</f>
        <v>593876</v>
      </c>
      <c r="J85" s="4">
        <f>INDEX(Breakdown[],MATCH($D85,Breakdown[Dist],0),MATCH(J$4,Breakdown[#Headers],0))</f>
        <v>451144</v>
      </c>
      <c r="K85" s="4">
        <f>INDEX(Breakdown[],MATCH($D85,Breakdown[Dist],0),MATCH(K$4,Breakdown[#Headers],0))</f>
        <v>96628</v>
      </c>
      <c r="L85" s="4">
        <f>INDEX(Breakdown[],MATCH($D85,Breakdown[Dist],0),MATCH(L$4,Breakdown[#Headers],0))</f>
        <v>354516</v>
      </c>
      <c r="M85" s="4">
        <f>INDEX(Breakdown[],MATCH($D85,Breakdown[Dist],0),MATCH(M$4,Breakdown[#Headers],0))</f>
        <v>10511</v>
      </c>
      <c r="N85" s="4">
        <f t="shared" si="7"/>
        <v>507759</v>
      </c>
      <c r="O85" s="15">
        <f t="shared" si="8"/>
        <v>50776</v>
      </c>
      <c r="P85" s="12"/>
      <c r="Q85" s="4">
        <f>INDEX(Breakdown[],MATCH($D85,Breakdown[Dist],0),MATCH(Q$4,Breakdown[#Headers],0))</f>
        <v>142732</v>
      </c>
      <c r="R85" s="4">
        <f>INDEX(Breakdown[],MATCH($D85,Breakdown[Dist],0),MATCH(R$4,Breakdown[#Headers],0))</f>
        <v>10511</v>
      </c>
      <c r="S85" s="14">
        <f t="shared" si="9"/>
        <v>153243</v>
      </c>
      <c r="T85" s="17">
        <f t="shared" si="10"/>
        <v>303740</v>
      </c>
      <c r="U85" s="19">
        <f t="shared" si="11"/>
        <v>456983</v>
      </c>
      <c r="V85" s="12"/>
      <c r="W85" s="20">
        <f t="shared" si="12"/>
        <v>0.10000019694382571</v>
      </c>
      <c r="X85" s="20">
        <f t="shared" si="13"/>
        <v>0.89999980305617433</v>
      </c>
    </row>
    <row r="86" spans="1:24" x14ac:dyDescent="0.25">
      <c r="A86" s="5">
        <v>2026</v>
      </c>
      <c r="B86" s="5" t="s">
        <v>118</v>
      </c>
      <c r="C86" s="24" t="s">
        <v>118</v>
      </c>
      <c r="D86" s="5" t="s">
        <v>129</v>
      </c>
      <c r="E86" s="22" t="s">
        <v>693</v>
      </c>
      <c r="F86" s="22" t="s">
        <v>693</v>
      </c>
      <c r="G86" s="5" t="s">
        <v>129</v>
      </c>
      <c r="H86" s="5" t="s">
        <v>463</v>
      </c>
      <c r="I86" s="4">
        <f>INDEX(Breakdown[],MATCH($D86,Breakdown[Dist],0),MATCH(I$4,Breakdown[#Headers],0))</f>
        <v>69431</v>
      </c>
      <c r="J86" s="4">
        <f>INDEX(Breakdown[],MATCH($D86,Breakdown[Dist],0),MATCH(J$4,Breakdown[#Headers],0))</f>
        <v>54739</v>
      </c>
      <c r="K86" s="4">
        <f>INDEX(Breakdown[],MATCH($D86,Breakdown[Dist],0),MATCH(K$4,Breakdown[#Headers],0))</f>
        <v>11725</v>
      </c>
      <c r="L86" s="4">
        <f>INDEX(Breakdown[],MATCH($D86,Breakdown[Dist],0),MATCH(L$4,Breakdown[#Headers],0))</f>
        <v>43014</v>
      </c>
      <c r="M86" s="4">
        <f>INDEX(Breakdown[],MATCH($D86,Breakdown[Dist],0),MATCH(M$4,Breakdown[#Headers],0))</f>
        <v>6427</v>
      </c>
      <c r="N86" s="4">
        <f t="shared" si="7"/>
        <v>64133</v>
      </c>
      <c r="O86" s="15">
        <f t="shared" si="8"/>
        <v>6413</v>
      </c>
      <c r="P86" s="12"/>
      <c r="Q86" s="4">
        <f>INDEX(Breakdown[],MATCH($D86,Breakdown[Dist],0),MATCH(Q$4,Breakdown[#Headers],0))</f>
        <v>14692</v>
      </c>
      <c r="R86" s="4">
        <f>INDEX(Breakdown[],MATCH($D86,Breakdown[Dist],0),MATCH(R$4,Breakdown[#Headers],0))</f>
        <v>6427</v>
      </c>
      <c r="S86" s="14">
        <f t="shared" si="9"/>
        <v>21119</v>
      </c>
      <c r="T86" s="17">
        <f t="shared" si="10"/>
        <v>36601</v>
      </c>
      <c r="U86" s="19">
        <f t="shared" si="11"/>
        <v>57720</v>
      </c>
      <c r="V86" s="12"/>
      <c r="W86" s="20">
        <f t="shared" si="12"/>
        <v>9.9995322221009458E-2</v>
      </c>
      <c r="X86" s="20">
        <f t="shared" si="13"/>
        <v>0.90000467777899051</v>
      </c>
    </row>
    <row r="87" spans="1:24" x14ac:dyDescent="0.25">
      <c r="A87" s="5">
        <v>2026</v>
      </c>
      <c r="B87" s="5" t="s">
        <v>229</v>
      </c>
      <c r="C87" s="24" t="s">
        <v>229</v>
      </c>
      <c r="D87" s="5" t="s">
        <v>236</v>
      </c>
      <c r="E87" s="22" t="s">
        <v>693</v>
      </c>
      <c r="F87" s="22" t="s">
        <v>693</v>
      </c>
      <c r="G87" s="5" t="s">
        <v>236</v>
      </c>
      <c r="H87" s="5" t="s">
        <v>563</v>
      </c>
      <c r="I87" s="4">
        <f>INDEX(Breakdown[],MATCH($D87,Breakdown[Dist],0),MATCH(I$4,Breakdown[#Headers],0))</f>
        <v>802765</v>
      </c>
      <c r="J87" s="4">
        <f>INDEX(Breakdown[],MATCH($D87,Breakdown[Dist],0),MATCH(J$4,Breakdown[#Headers],0))</f>
        <v>622893</v>
      </c>
      <c r="K87" s="4">
        <f>INDEX(Breakdown[],MATCH($D87,Breakdown[Dist],0),MATCH(K$4,Breakdown[#Headers],0))</f>
        <v>133414</v>
      </c>
      <c r="L87" s="4">
        <f>INDEX(Breakdown[],MATCH($D87,Breakdown[Dist],0),MATCH(L$4,Breakdown[#Headers],0))</f>
        <v>489479</v>
      </c>
      <c r="M87" s="4">
        <f>INDEX(Breakdown[],MATCH($D87,Breakdown[Dist],0),MATCH(M$4,Breakdown[#Headers],0))</f>
        <v>0</v>
      </c>
      <c r="N87" s="4">
        <f t="shared" si="7"/>
        <v>669351</v>
      </c>
      <c r="O87" s="15">
        <f t="shared" si="8"/>
        <v>66935</v>
      </c>
      <c r="P87" s="12"/>
      <c r="Q87" s="4">
        <f>INDEX(Breakdown[],MATCH($D87,Breakdown[Dist],0),MATCH(Q$4,Breakdown[#Headers],0))</f>
        <v>179872</v>
      </c>
      <c r="R87" s="4">
        <f>INDEX(Breakdown[],MATCH($D87,Breakdown[Dist],0),MATCH(R$4,Breakdown[#Headers],0))</f>
        <v>0</v>
      </c>
      <c r="S87" s="14">
        <f t="shared" si="9"/>
        <v>179872</v>
      </c>
      <c r="T87" s="17">
        <f t="shared" si="10"/>
        <v>422544</v>
      </c>
      <c r="U87" s="19">
        <f t="shared" si="11"/>
        <v>602416</v>
      </c>
      <c r="V87" s="12"/>
      <c r="W87" s="20">
        <f t="shared" si="12"/>
        <v>9.999985060155285E-2</v>
      </c>
      <c r="X87" s="20">
        <f t="shared" si="13"/>
        <v>0.90000014939844719</v>
      </c>
    </row>
    <row r="88" spans="1:24" x14ac:dyDescent="0.25">
      <c r="A88" s="5">
        <v>2026</v>
      </c>
      <c r="B88" s="5" t="s">
        <v>60</v>
      </c>
      <c r="C88" s="24" t="s">
        <v>60</v>
      </c>
      <c r="D88" s="5" t="s">
        <v>76</v>
      </c>
      <c r="E88" s="22" t="s">
        <v>693</v>
      </c>
      <c r="F88" s="22" t="s">
        <v>693</v>
      </c>
      <c r="G88" s="5" t="s">
        <v>76</v>
      </c>
      <c r="H88" s="5" t="s">
        <v>413</v>
      </c>
      <c r="I88" s="4">
        <f>INDEX(Breakdown[],MATCH($D88,Breakdown[Dist],0),MATCH(I$4,Breakdown[#Headers],0))</f>
        <v>335530</v>
      </c>
      <c r="J88" s="4">
        <f>INDEX(Breakdown[],MATCH($D88,Breakdown[Dist],0),MATCH(J$4,Breakdown[#Headers],0))</f>
        <v>262758</v>
      </c>
      <c r="K88" s="4">
        <f>INDEX(Breakdown[],MATCH($D88,Breakdown[Dist],0),MATCH(K$4,Breakdown[#Headers],0))</f>
        <v>56278</v>
      </c>
      <c r="L88" s="4">
        <f>INDEX(Breakdown[],MATCH($D88,Breakdown[Dist],0),MATCH(L$4,Breakdown[#Headers],0))</f>
        <v>206480</v>
      </c>
      <c r="M88" s="4">
        <f>INDEX(Breakdown[],MATCH($D88,Breakdown[Dist],0),MATCH(M$4,Breakdown[#Headers],0))</f>
        <v>0</v>
      </c>
      <c r="N88" s="4">
        <f t="shared" si="7"/>
        <v>279252</v>
      </c>
      <c r="O88" s="15">
        <f t="shared" si="8"/>
        <v>27925</v>
      </c>
      <c r="P88" s="12"/>
      <c r="Q88" s="4">
        <f>INDEX(Breakdown[],MATCH($D88,Breakdown[Dist],0),MATCH(Q$4,Breakdown[#Headers],0))</f>
        <v>72772</v>
      </c>
      <c r="R88" s="4">
        <f>INDEX(Breakdown[],MATCH($D88,Breakdown[Dist],0),MATCH(R$4,Breakdown[#Headers],0))</f>
        <v>0</v>
      </c>
      <c r="S88" s="14">
        <f t="shared" si="9"/>
        <v>72772</v>
      </c>
      <c r="T88" s="17">
        <f t="shared" si="10"/>
        <v>178555</v>
      </c>
      <c r="U88" s="19">
        <f t="shared" si="11"/>
        <v>251327</v>
      </c>
      <c r="V88" s="12"/>
      <c r="W88" s="20">
        <f t="shared" si="12"/>
        <v>9.9999283801011279E-2</v>
      </c>
      <c r="X88" s="20">
        <f t="shared" si="13"/>
        <v>0.90000071619898869</v>
      </c>
    </row>
    <row r="89" spans="1:24" x14ac:dyDescent="0.25">
      <c r="A89" s="5">
        <v>2026</v>
      </c>
      <c r="B89" s="5" t="s">
        <v>174</v>
      </c>
      <c r="C89" s="24" t="s">
        <v>174</v>
      </c>
      <c r="D89" s="5" t="s">
        <v>191</v>
      </c>
      <c r="E89" s="22" t="s">
        <v>693</v>
      </c>
      <c r="F89" s="22" t="s">
        <v>693</v>
      </c>
      <c r="G89" s="5" t="s">
        <v>191</v>
      </c>
      <c r="H89" s="5" t="s">
        <v>521</v>
      </c>
      <c r="I89" s="4">
        <f>INDEX(Breakdown[],MATCH($D89,Breakdown[Dist],0),MATCH(I$4,Breakdown[#Headers],0))</f>
        <v>12393575</v>
      </c>
      <c r="J89" s="4">
        <f>INDEX(Breakdown[],MATCH($D89,Breakdown[Dist],0),MATCH(J$4,Breakdown[#Headers],0))</f>
        <v>10029398</v>
      </c>
      <c r="K89" s="4">
        <f>INDEX(Breakdown[],MATCH($D89,Breakdown[Dist],0),MATCH(K$4,Breakdown[#Headers],0))</f>
        <v>2148134</v>
      </c>
      <c r="L89" s="4">
        <f>INDEX(Breakdown[],MATCH($D89,Breakdown[Dist],0),MATCH(L$4,Breakdown[#Headers],0))</f>
        <v>7881264</v>
      </c>
      <c r="M89" s="4">
        <f>INDEX(Breakdown[],MATCH($D89,Breakdown[Dist],0),MATCH(M$4,Breakdown[#Headers],0))</f>
        <v>0</v>
      </c>
      <c r="N89" s="4">
        <f t="shared" si="7"/>
        <v>10245441</v>
      </c>
      <c r="O89" s="15">
        <f t="shared" si="8"/>
        <v>1024544</v>
      </c>
      <c r="P89" s="12"/>
      <c r="Q89" s="4">
        <f>INDEX(Breakdown[],MATCH($D89,Breakdown[Dist],0),MATCH(Q$4,Breakdown[#Headers],0))</f>
        <v>2364177</v>
      </c>
      <c r="R89" s="4">
        <f>INDEX(Breakdown[],MATCH($D89,Breakdown[Dist],0),MATCH(R$4,Breakdown[#Headers],0))</f>
        <v>0</v>
      </c>
      <c r="S89" s="14">
        <f t="shared" si="9"/>
        <v>2364177</v>
      </c>
      <c r="T89" s="17">
        <f t="shared" si="10"/>
        <v>6856720</v>
      </c>
      <c r="U89" s="19">
        <f t="shared" si="11"/>
        <v>9220897</v>
      </c>
      <c r="V89" s="12"/>
      <c r="W89" s="20">
        <f t="shared" si="12"/>
        <v>9.9999990239561187E-2</v>
      </c>
      <c r="X89" s="20">
        <f t="shared" si="13"/>
        <v>0.90000000976043881</v>
      </c>
    </row>
    <row r="90" spans="1:24" x14ac:dyDescent="0.25">
      <c r="A90" s="5">
        <v>2026</v>
      </c>
      <c r="B90" s="5" t="s">
        <v>263</v>
      </c>
      <c r="C90" s="24" t="s">
        <v>263</v>
      </c>
      <c r="D90" s="5" t="s">
        <v>276</v>
      </c>
      <c r="E90" s="22" t="s">
        <v>693</v>
      </c>
      <c r="F90" s="22" t="s">
        <v>693</v>
      </c>
      <c r="G90" s="5" t="s">
        <v>276</v>
      </c>
      <c r="H90" s="5" t="s">
        <v>601</v>
      </c>
      <c r="I90" s="4">
        <f>INDEX(Breakdown[],MATCH($D90,Breakdown[Dist],0),MATCH(I$4,Breakdown[#Headers],0))</f>
        <v>35914</v>
      </c>
      <c r="J90" s="4">
        <f>INDEX(Breakdown[],MATCH($D90,Breakdown[Dist],0),MATCH(J$4,Breakdown[#Headers],0))</f>
        <v>28392</v>
      </c>
      <c r="K90" s="4">
        <f>INDEX(Breakdown[],MATCH($D90,Breakdown[Dist],0),MATCH(K$4,Breakdown[#Headers],0))</f>
        <v>6081</v>
      </c>
      <c r="L90" s="4">
        <f>INDEX(Breakdown[],MATCH($D90,Breakdown[Dist],0),MATCH(L$4,Breakdown[#Headers],0))</f>
        <v>22311</v>
      </c>
      <c r="M90" s="4">
        <f>INDEX(Breakdown[],MATCH($D90,Breakdown[Dist],0),MATCH(M$4,Breakdown[#Headers],0))</f>
        <v>6106</v>
      </c>
      <c r="N90" s="4">
        <f t="shared" si="7"/>
        <v>35939</v>
      </c>
      <c r="O90" s="15">
        <f t="shared" si="8"/>
        <v>3594</v>
      </c>
      <c r="P90" s="12"/>
      <c r="Q90" s="4">
        <f>INDEX(Breakdown[],MATCH($D90,Breakdown[Dist],0),MATCH(Q$4,Breakdown[#Headers],0))</f>
        <v>7522</v>
      </c>
      <c r="R90" s="4">
        <f>INDEX(Breakdown[],MATCH($D90,Breakdown[Dist],0),MATCH(R$4,Breakdown[#Headers],0))</f>
        <v>6106</v>
      </c>
      <c r="S90" s="14">
        <f t="shared" si="9"/>
        <v>13628</v>
      </c>
      <c r="T90" s="17">
        <f t="shared" si="10"/>
        <v>18717</v>
      </c>
      <c r="U90" s="19">
        <f t="shared" si="11"/>
        <v>32345</v>
      </c>
      <c r="V90" s="12"/>
      <c r="W90" s="20">
        <f t="shared" si="12"/>
        <v>0.10000278249255683</v>
      </c>
      <c r="X90" s="20">
        <f t="shared" si="13"/>
        <v>0.89999721750744321</v>
      </c>
    </row>
    <row r="91" spans="1:24" x14ac:dyDescent="0.25">
      <c r="A91" s="5">
        <v>2026</v>
      </c>
      <c r="B91" s="5" t="s">
        <v>60</v>
      </c>
      <c r="C91" s="24" t="s">
        <v>60</v>
      </c>
      <c r="D91" s="5" t="s">
        <v>77</v>
      </c>
      <c r="E91" s="22" t="s">
        <v>693</v>
      </c>
      <c r="F91" s="22" t="s">
        <v>693</v>
      </c>
      <c r="G91" s="5" t="s">
        <v>77</v>
      </c>
      <c r="H91" s="5" t="s">
        <v>414</v>
      </c>
      <c r="I91" s="4">
        <f>INDEX(Breakdown[],MATCH($D91,Breakdown[Dist],0),MATCH(I$4,Breakdown[#Headers],0))</f>
        <v>340933</v>
      </c>
      <c r="J91" s="4">
        <f>INDEX(Breakdown[],MATCH($D91,Breakdown[Dist],0),MATCH(J$4,Breakdown[#Headers],0))</f>
        <v>266989</v>
      </c>
      <c r="K91" s="4">
        <f>INDEX(Breakdown[],MATCH($D91,Breakdown[Dist],0),MATCH(K$4,Breakdown[#Headers],0))</f>
        <v>57184</v>
      </c>
      <c r="L91" s="4">
        <f>INDEX(Breakdown[],MATCH($D91,Breakdown[Dist],0),MATCH(L$4,Breakdown[#Headers],0))</f>
        <v>209805</v>
      </c>
      <c r="M91" s="4">
        <f>INDEX(Breakdown[],MATCH($D91,Breakdown[Dist],0),MATCH(M$4,Breakdown[#Headers],0))</f>
        <v>178</v>
      </c>
      <c r="N91" s="4">
        <f t="shared" si="7"/>
        <v>283927</v>
      </c>
      <c r="O91" s="15">
        <f t="shared" si="8"/>
        <v>28393</v>
      </c>
      <c r="P91" s="12"/>
      <c r="Q91" s="4">
        <f>INDEX(Breakdown[],MATCH($D91,Breakdown[Dist],0),MATCH(Q$4,Breakdown[#Headers],0))</f>
        <v>73944</v>
      </c>
      <c r="R91" s="4">
        <f>INDEX(Breakdown[],MATCH($D91,Breakdown[Dist],0),MATCH(R$4,Breakdown[#Headers],0))</f>
        <v>178</v>
      </c>
      <c r="S91" s="14">
        <f t="shared" si="9"/>
        <v>74122</v>
      </c>
      <c r="T91" s="17">
        <f t="shared" si="10"/>
        <v>181412</v>
      </c>
      <c r="U91" s="19">
        <f t="shared" si="11"/>
        <v>255534</v>
      </c>
      <c r="V91" s="12"/>
      <c r="W91" s="20">
        <f t="shared" si="12"/>
        <v>0.10000105660962148</v>
      </c>
      <c r="X91" s="20">
        <f t="shared" si="13"/>
        <v>0.89999894339037856</v>
      </c>
    </row>
    <row r="92" spans="1:24" x14ac:dyDescent="0.25">
      <c r="A92" s="5">
        <v>2026</v>
      </c>
      <c r="B92" s="5" t="s">
        <v>0</v>
      </c>
      <c r="C92" s="24" t="s">
        <v>0</v>
      </c>
      <c r="D92" s="5" t="s">
        <v>5</v>
      </c>
      <c r="E92" s="22" t="s">
        <v>693</v>
      </c>
      <c r="F92" s="22" t="s">
        <v>693</v>
      </c>
      <c r="G92" s="5" t="s">
        <v>5</v>
      </c>
      <c r="H92" s="5" t="s">
        <v>352</v>
      </c>
      <c r="I92" s="4">
        <f>INDEX(Breakdown[],MATCH($D92,Breakdown[Dist],0),MATCH(I$4,Breakdown[#Headers],0))</f>
        <v>4271001</v>
      </c>
      <c r="J92" s="4">
        <f>INDEX(Breakdown[],MATCH($D92,Breakdown[Dist],0),MATCH(J$4,Breakdown[#Headers],0))</f>
        <v>3244512</v>
      </c>
      <c r="K92" s="4">
        <f>INDEX(Breakdown[],MATCH($D92,Breakdown[Dist],0),MATCH(K$4,Breakdown[#Headers],0))</f>
        <v>694923</v>
      </c>
      <c r="L92" s="4">
        <f>INDEX(Breakdown[],MATCH($D92,Breakdown[Dist],0),MATCH(L$4,Breakdown[#Headers],0))</f>
        <v>2549589</v>
      </c>
      <c r="M92" s="4">
        <f>INDEX(Breakdown[],MATCH($D92,Breakdown[Dist],0),MATCH(M$4,Breakdown[#Headers],0))</f>
        <v>0</v>
      </c>
      <c r="N92" s="4">
        <f t="shared" si="7"/>
        <v>3576078</v>
      </c>
      <c r="O92" s="15">
        <f t="shared" si="8"/>
        <v>357608</v>
      </c>
      <c r="P92" s="12"/>
      <c r="Q92" s="4">
        <f>INDEX(Breakdown[],MATCH($D92,Breakdown[Dist],0),MATCH(Q$4,Breakdown[#Headers],0))</f>
        <v>1026489</v>
      </c>
      <c r="R92" s="4">
        <f>INDEX(Breakdown[],MATCH($D92,Breakdown[Dist],0),MATCH(R$4,Breakdown[#Headers],0))</f>
        <v>0</v>
      </c>
      <c r="S92" s="14">
        <f t="shared" si="9"/>
        <v>1026489</v>
      </c>
      <c r="T92" s="17">
        <f t="shared" si="10"/>
        <v>2191981</v>
      </c>
      <c r="U92" s="19">
        <f t="shared" si="11"/>
        <v>3218470</v>
      </c>
      <c r="V92" s="12"/>
      <c r="W92" s="20">
        <f t="shared" si="12"/>
        <v>0.10000005592719174</v>
      </c>
      <c r="X92" s="20">
        <f t="shared" si="13"/>
        <v>0.89999994407280826</v>
      </c>
    </row>
    <row r="93" spans="1:24" x14ac:dyDescent="0.25">
      <c r="A93" s="5">
        <v>2026</v>
      </c>
      <c r="B93" s="5" t="s">
        <v>60</v>
      </c>
      <c r="C93" s="24" t="s">
        <v>60</v>
      </c>
      <c r="D93" s="5" t="s">
        <v>78</v>
      </c>
      <c r="E93" s="22" t="s">
        <v>693</v>
      </c>
      <c r="F93" s="22" t="s">
        <v>693</v>
      </c>
      <c r="G93" s="5" t="s">
        <v>78</v>
      </c>
      <c r="H93" s="5" t="s">
        <v>415</v>
      </c>
      <c r="I93" s="4">
        <f>INDEX(Breakdown[],MATCH($D93,Breakdown[Dist],0),MATCH(I$4,Breakdown[#Headers],0))</f>
        <v>140913</v>
      </c>
      <c r="J93" s="4">
        <f>INDEX(Breakdown[],MATCH($D93,Breakdown[Dist],0),MATCH(J$4,Breakdown[#Headers],0))</f>
        <v>110350</v>
      </c>
      <c r="K93" s="4">
        <f>INDEX(Breakdown[],MATCH($D93,Breakdown[Dist],0),MATCH(K$4,Breakdown[#Headers],0))</f>
        <v>23635</v>
      </c>
      <c r="L93" s="4">
        <f>INDEX(Breakdown[],MATCH($D93,Breakdown[Dist],0),MATCH(L$4,Breakdown[#Headers],0))</f>
        <v>86715</v>
      </c>
      <c r="M93" s="4">
        <f>INDEX(Breakdown[],MATCH($D93,Breakdown[Dist],0),MATCH(M$4,Breakdown[#Headers],0))</f>
        <v>12769</v>
      </c>
      <c r="N93" s="4">
        <f t="shared" si="7"/>
        <v>130047</v>
      </c>
      <c r="O93" s="15">
        <f t="shared" si="8"/>
        <v>13005</v>
      </c>
      <c r="P93" s="12"/>
      <c r="Q93" s="4">
        <f>INDEX(Breakdown[],MATCH($D93,Breakdown[Dist],0),MATCH(Q$4,Breakdown[#Headers],0))</f>
        <v>30563</v>
      </c>
      <c r="R93" s="4">
        <f>INDEX(Breakdown[],MATCH($D93,Breakdown[Dist],0),MATCH(R$4,Breakdown[#Headers],0))</f>
        <v>12769</v>
      </c>
      <c r="S93" s="14">
        <f t="shared" si="9"/>
        <v>43332</v>
      </c>
      <c r="T93" s="17">
        <f t="shared" si="10"/>
        <v>73710</v>
      </c>
      <c r="U93" s="19">
        <f t="shared" si="11"/>
        <v>117042</v>
      </c>
      <c r="V93" s="12"/>
      <c r="W93" s="20">
        <f t="shared" si="12"/>
        <v>0.10000230685828969</v>
      </c>
      <c r="X93" s="20">
        <f t="shared" si="13"/>
        <v>0.8999976931417103</v>
      </c>
    </row>
    <row r="94" spans="1:24" x14ac:dyDescent="0.25">
      <c r="A94" s="5">
        <v>2026</v>
      </c>
      <c r="B94" s="5" t="s">
        <v>118</v>
      </c>
      <c r="C94" s="24" t="s">
        <v>118</v>
      </c>
      <c r="D94" s="5" t="s">
        <v>130</v>
      </c>
      <c r="E94" s="22" t="s">
        <v>693</v>
      </c>
      <c r="F94" s="22" t="s">
        <v>693</v>
      </c>
      <c r="G94" s="5" t="s">
        <v>130</v>
      </c>
      <c r="H94" s="5" t="s">
        <v>464</v>
      </c>
      <c r="I94" s="4">
        <f>INDEX(Breakdown[],MATCH($D94,Breakdown[Dist],0),MATCH(I$4,Breakdown[#Headers],0))</f>
        <v>184790</v>
      </c>
      <c r="J94" s="4">
        <f>INDEX(Breakdown[],MATCH($D94,Breakdown[Dist],0),MATCH(J$4,Breakdown[#Headers],0))</f>
        <v>145687</v>
      </c>
      <c r="K94" s="4">
        <f>INDEX(Breakdown[],MATCH($D94,Breakdown[Dist],0),MATCH(K$4,Breakdown[#Headers],0))</f>
        <v>31204</v>
      </c>
      <c r="L94" s="4">
        <f>INDEX(Breakdown[],MATCH($D94,Breakdown[Dist],0),MATCH(L$4,Breakdown[#Headers],0))</f>
        <v>114483</v>
      </c>
      <c r="M94" s="4">
        <f>INDEX(Breakdown[],MATCH($D94,Breakdown[Dist],0),MATCH(M$4,Breakdown[#Headers],0))</f>
        <v>8250</v>
      </c>
      <c r="N94" s="4">
        <f t="shared" si="7"/>
        <v>161836</v>
      </c>
      <c r="O94" s="15">
        <f t="shared" si="8"/>
        <v>16184</v>
      </c>
      <c r="P94" s="12"/>
      <c r="Q94" s="4">
        <f>INDEX(Breakdown[],MATCH($D94,Breakdown[Dist],0),MATCH(Q$4,Breakdown[#Headers],0))</f>
        <v>39103</v>
      </c>
      <c r="R94" s="4">
        <f>INDEX(Breakdown[],MATCH($D94,Breakdown[Dist],0),MATCH(R$4,Breakdown[#Headers],0))</f>
        <v>8250</v>
      </c>
      <c r="S94" s="14">
        <f t="shared" si="9"/>
        <v>47353</v>
      </c>
      <c r="T94" s="17">
        <f t="shared" si="10"/>
        <v>98299</v>
      </c>
      <c r="U94" s="19">
        <f t="shared" si="11"/>
        <v>145652</v>
      </c>
      <c r="V94" s="12"/>
      <c r="W94" s="20">
        <f t="shared" si="12"/>
        <v>0.10000247163795448</v>
      </c>
      <c r="X94" s="20">
        <f t="shared" si="13"/>
        <v>0.8999975283620455</v>
      </c>
    </row>
    <row r="95" spans="1:24" x14ac:dyDescent="0.25">
      <c r="A95" s="5">
        <v>2026</v>
      </c>
      <c r="B95" s="5" t="s">
        <v>22</v>
      </c>
      <c r="C95" s="24" t="s">
        <v>22</v>
      </c>
      <c r="D95" s="5" t="s">
        <v>28</v>
      </c>
      <c r="E95" s="22" t="s">
        <v>693</v>
      </c>
      <c r="F95" s="22" t="s">
        <v>693</v>
      </c>
      <c r="G95" s="5" t="s">
        <v>28</v>
      </c>
      <c r="H95" s="5" t="s">
        <v>374</v>
      </c>
      <c r="I95" s="4">
        <f>INDEX(Breakdown[],MATCH($D95,Breakdown[Dist],0),MATCH(I$4,Breakdown[#Headers],0))</f>
        <v>394323</v>
      </c>
      <c r="J95" s="4">
        <f>INDEX(Breakdown[],MATCH($D95,Breakdown[Dist],0),MATCH(J$4,Breakdown[#Headers],0))</f>
        <v>303098</v>
      </c>
      <c r="K95" s="4">
        <f>INDEX(Breakdown[],MATCH($D95,Breakdown[Dist],0),MATCH(K$4,Breakdown[#Headers],0))</f>
        <v>64918</v>
      </c>
      <c r="L95" s="4">
        <f>INDEX(Breakdown[],MATCH($D95,Breakdown[Dist],0),MATCH(L$4,Breakdown[#Headers],0))</f>
        <v>238180</v>
      </c>
      <c r="M95" s="4">
        <f>INDEX(Breakdown[],MATCH($D95,Breakdown[Dist],0),MATCH(M$4,Breakdown[#Headers],0))</f>
        <v>499</v>
      </c>
      <c r="N95" s="4">
        <f t="shared" si="7"/>
        <v>329904</v>
      </c>
      <c r="O95" s="15">
        <f t="shared" si="8"/>
        <v>32990</v>
      </c>
      <c r="P95" s="12"/>
      <c r="Q95" s="4">
        <f>INDEX(Breakdown[],MATCH($D95,Breakdown[Dist],0),MATCH(Q$4,Breakdown[#Headers],0))</f>
        <v>91225</v>
      </c>
      <c r="R95" s="4">
        <f>INDEX(Breakdown[],MATCH($D95,Breakdown[Dist],0),MATCH(R$4,Breakdown[#Headers],0))</f>
        <v>499</v>
      </c>
      <c r="S95" s="14">
        <f t="shared" si="9"/>
        <v>91724</v>
      </c>
      <c r="T95" s="17">
        <f t="shared" si="10"/>
        <v>205190</v>
      </c>
      <c r="U95" s="19">
        <f t="shared" si="11"/>
        <v>296914</v>
      </c>
      <c r="V95" s="12"/>
      <c r="W95" s="20">
        <f t="shared" si="12"/>
        <v>9.9998787526068195E-2</v>
      </c>
      <c r="X95" s="20">
        <f t="shared" si="13"/>
        <v>0.90000121247393183</v>
      </c>
    </row>
    <row r="96" spans="1:24" x14ac:dyDescent="0.25">
      <c r="A96" s="5">
        <v>2026</v>
      </c>
      <c r="B96" s="5" t="s">
        <v>174</v>
      </c>
      <c r="C96" s="24" t="s">
        <v>174</v>
      </c>
      <c r="D96" s="5" t="s">
        <v>192</v>
      </c>
      <c r="E96" s="22" t="s">
        <v>693</v>
      </c>
      <c r="F96" s="22" t="s">
        <v>693</v>
      </c>
      <c r="G96" s="5" t="s">
        <v>192</v>
      </c>
      <c r="H96" s="5" t="s">
        <v>522</v>
      </c>
      <c r="I96" s="4">
        <f>INDEX(Breakdown[],MATCH($D96,Breakdown[Dist],0),MATCH(I$4,Breakdown[#Headers],0))</f>
        <v>211573</v>
      </c>
      <c r="J96" s="4">
        <f>INDEX(Breakdown[],MATCH($D96,Breakdown[Dist],0),MATCH(J$4,Breakdown[#Headers],0))</f>
        <v>171214</v>
      </c>
      <c r="K96" s="4">
        <f>INDEX(Breakdown[],MATCH($D96,Breakdown[Dist],0),MATCH(K$4,Breakdown[#Headers],0))</f>
        <v>36672</v>
      </c>
      <c r="L96" s="4">
        <f>INDEX(Breakdown[],MATCH($D96,Breakdown[Dist],0),MATCH(L$4,Breakdown[#Headers],0))</f>
        <v>134542</v>
      </c>
      <c r="M96" s="4">
        <f>INDEX(Breakdown[],MATCH($D96,Breakdown[Dist],0),MATCH(M$4,Breakdown[#Headers],0))</f>
        <v>0</v>
      </c>
      <c r="N96" s="4">
        <f t="shared" si="7"/>
        <v>174901</v>
      </c>
      <c r="O96" s="15">
        <f t="shared" si="8"/>
        <v>17490</v>
      </c>
      <c r="P96" s="12"/>
      <c r="Q96" s="4">
        <f>INDEX(Breakdown[],MATCH($D96,Breakdown[Dist],0),MATCH(Q$4,Breakdown[#Headers],0))</f>
        <v>40359</v>
      </c>
      <c r="R96" s="4">
        <f>INDEX(Breakdown[],MATCH($D96,Breakdown[Dist],0),MATCH(R$4,Breakdown[#Headers],0))</f>
        <v>0</v>
      </c>
      <c r="S96" s="14">
        <f t="shared" si="9"/>
        <v>40359</v>
      </c>
      <c r="T96" s="17">
        <f t="shared" si="10"/>
        <v>117052</v>
      </c>
      <c r="U96" s="19">
        <f t="shared" si="11"/>
        <v>157411</v>
      </c>
      <c r="V96" s="12"/>
      <c r="W96" s="20">
        <f t="shared" si="12"/>
        <v>9.999942824798029E-2</v>
      </c>
      <c r="X96" s="20">
        <f t="shared" si="13"/>
        <v>0.90000057175201975</v>
      </c>
    </row>
    <row r="97" spans="1:24" x14ac:dyDescent="0.25">
      <c r="A97" s="5">
        <v>2026</v>
      </c>
      <c r="B97" s="5" t="s">
        <v>60</v>
      </c>
      <c r="C97" s="24" t="s">
        <v>60</v>
      </c>
      <c r="D97" s="5" t="s">
        <v>79</v>
      </c>
      <c r="E97" s="22" t="s">
        <v>693</v>
      </c>
      <c r="F97" s="22" t="s">
        <v>693</v>
      </c>
      <c r="G97" s="5" t="s">
        <v>79</v>
      </c>
      <c r="H97" s="5" t="s">
        <v>416</v>
      </c>
      <c r="I97" s="4">
        <f>INDEX(Breakdown[],MATCH($D97,Breakdown[Dist],0),MATCH(I$4,Breakdown[#Headers],0))</f>
        <v>201289</v>
      </c>
      <c r="J97" s="4">
        <f>INDEX(Breakdown[],MATCH($D97,Breakdown[Dist],0),MATCH(J$4,Breakdown[#Headers],0))</f>
        <v>157632</v>
      </c>
      <c r="K97" s="4">
        <f>INDEX(Breakdown[],MATCH($D97,Breakdown[Dist],0),MATCH(K$4,Breakdown[#Headers],0))</f>
        <v>33762</v>
      </c>
      <c r="L97" s="4">
        <f>INDEX(Breakdown[],MATCH($D97,Breakdown[Dist],0),MATCH(L$4,Breakdown[#Headers],0))</f>
        <v>123870</v>
      </c>
      <c r="M97" s="4">
        <f>INDEX(Breakdown[],MATCH($D97,Breakdown[Dist],0),MATCH(M$4,Breakdown[#Headers],0))</f>
        <v>13471</v>
      </c>
      <c r="N97" s="4">
        <f t="shared" si="7"/>
        <v>180998</v>
      </c>
      <c r="O97" s="15">
        <f t="shared" si="8"/>
        <v>18100</v>
      </c>
      <c r="P97" s="12"/>
      <c r="Q97" s="4">
        <f>INDEX(Breakdown[],MATCH($D97,Breakdown[Dist],0),MATCH(Q$4,Breakdown[#Headers],0))</f>
        <v>43657</v>
      </c>
      <c r="R97" s="4">
        <f>INDEX(Breakdown[],MATCH($D97,Breakdown[Dist],0),MATCH(R$4,Breakdown[#Headers],0))</f>
        <v>13471</v>
      </c>
      <c r="S97" s="14">
        <f t="shared" si="9"/>
        <v>57128</v>
      </c>
      <c r="T97" s="17">
        <f t="shared" si="10"/>
        <v>105770</v>
      </c>
      <c r="U97" s="19">
        <f t="shared" si="11"/>
        <v>162898</v>
      </c>
      <c r="V97" s="12"/>
      <c r="W97" s="20">
        <f t="shared" si="12"/>
        <v>0.10000110498458546</v>
      </c>
      <c r="X97" s="20">
        <f t="shared" si="13"/>
        <v>0.89999889501541452</v>
      </c>
    </row>
    <row r="98" spans="1:24" x14ac:dyDescent="0.25">
      <c r="A98" s="5">
        <v>2026</v>
      </c>
      <c r="B98" s="5" t="s">
        <v>60</v>
      </c>
      <c r="C98" s="24" t="s">
        <v>60</v>
      </c>
      <c r="D98" s="5" t="s">
        <v>80</v>
      </c>
      <c r="E98" s="22" t="s">
        <v>693</v>
      </c>
      <c r="F98" s="22" t="s">
        <v>693</v>
      </c>
      <c r="G98" s="5" t="s">
        <v>698</v>
      </c>
      <c r="H98" s="5" t="s">
        <v>417</v>
      </c>
      <c r="I98" s="4">
        <f>INDEX(Breakdown[],MATCH($D98,Breakdown[Dist],0),MATCH(I$4,Breakdown[#Headers],0))</f>
        <v>199971</v>
      </c>
      <c r="J98" s="4">
        <f>INDEX(Breakdown[],MATCH($D98,Breakdown[Dist],0),MATCH(J$4,Breakdown[#Headers],0))</f>
        <v>156600</v>
      </c>
      <c r="K98" s="4">
        <f>INDEX(Breakdown[],MATCH($D98,Breakdown[Dist],0),MATCH(K$4,Breakdown[#Headers],0))</f>
        <v>33541</v>
      </c>
      <c r="L98" s="4">
        <f>INDEX(Breakdown[],MATCH($D98,Breakdown[Dist],0),MATCH(L$4,Breakdown[#Headers],0))</f>
        <v>123059</v>
      </c>
      <c r="M98" s="4">
        <f>INDEX(Breakdown[],MATCH($D98,Breakdown[Dist],0),MATCH(M$4,Breakdown[#Headers],0))</f>
        <v>15632</v>
      </c>
      <c r="N98" s="4">
        <f t="shared" si="7"/>
        <v>182062</v>
      </c>
      <c r="O98" s="15">
        <f t="shared" si="8"/>
        <v>18206</v>
      </c>
      <c r="P98" s="12"/>
      <c r="Q98" s="4">
        <f>INDEX(Breakdown[],MATCH($D98,Breakdown[Dist],0),MATCH(Q$4,Breakdown[#Headers],0))</f>
        <v>43371</v>
      </c>
      <c r="R98" s="4">
        <f>INDEX(Breakdown[],MATCH($D98,Breakdown[Dist],0),MATCH(R$4,Breakdown[#Headers],0))</f>
        <v>15632</v>
      </c>
      <c r="S98" s="14">
        <f t="shared" si="9"/>
        <v>59003</v>
      </c>
      <c r="T98" s="17">
        <f t="shared" si="10"/>
        <v>104853</v>
      </c>
      <c r="U98" s="19">
        <f t="shared" si="11"/>
        <v>163856</v>
      </c>
      <c r="V98" s="12"/>
      <c r="W98" s="20">
        <f t="shared" si="12"/>
        <v>9.9998901473124541E-2</v>
      </c>
      <c r="X98" s="20">
        <f t="shared" si="13"/>
        <v>0.90000109852687549</v>
      </c>
    </row>
    <row r="99" spans="1:24" x14ac:dyDescent="0.25">
      <c r="A99" s="5">
        <v>2026</v>
      </c>
      <c r="B99" s="5" t="s">
        <v>263</v>
      </c>
      <c r="C99" s="24" t="s">
        <v>263</v>
      </c>
      <c r="D99" s="5" t="s">
        <v>277</v>
      </c>
      <c r="E99" s="22" t="s">
        <v>693</v>
      </c>
      <c r="F99" s="22" t="s">
        <v>693</v>
      </c>
      <c r="G99" s="5" t="s">
        <v>277</v>
      </c>
      <c r="H99" s="5" t="s">
        <v>602</v>
      </c>
      <c r="I99" s="4">
        <f>INDEX(Breakdown[],MATCH($D99,Breakdown[Dist],0),MATCH(I$4,Breakdown[#Headers],0))</f>
        <v>221698</v>
      </c>
      <c r="J99" s="4">
        <f>INDEX(Breakdown[],MATCH($D99,Breakdown[Dist],0),MATCH(J$4,Breakdown[#Headers],0))</f>
        <v>175266</v>
      </c>
      <c r="K99" s="4">
        <f>INDEX(Breakdown[],MATCH($D99,Breakdown[Dist],0),MATCH(K$4,Breakdown[#Headers],0))</f>
        <v>37539</v>
      </c>
      <c r="L99" s="4">
        <f>INDEX(Breakdown[],MATCH($D99,Breakdown[Dist],0),MATCH(L$4,Breakdown[#Headers],0))</f>
        <v>137727</v>
      </c>
      <c r="M99" s="4">
        <f>INDEX(Breakdown[],MATCH($D99,Breakdown[Dist],0),MATCH(M$4,Breakdown[#Headers],0))</f>
        <v>0</v>
      </c>
      <c r="N99" s="4">
        <f t="shared" si="7"/>
        <v>184159</v>
      </c>
      <c r="O99" s="15">
        <f t="shared" si="8"/>
        <v>18416</v>
      </c>
      <c r="P99" s="12"/>
      <c r="Q99" s="4">
        <f>INDEX(Breakdown[],MATCH($D99,Breakdown[Dist],0),MATCH(Q$4,Breakdown[#Headers],0))</f>
        <v>46432</v>
      </c>
      <c r="R99" s="4">
        <f>INDEX(Breakdown[],MATCH($D99,Breakdown[Dist],0),MATCH(R$4,Breakdown[#Headers],0))</f>
        <v>0</v>
      </c>
      <c r="S99" s="14">
        <f t="shared" si="9"/>
        <v>46432</v>
      </c>
      <c r="T99" s="17">
        <f t="shared" si="10"/>
        <v>119311</v>
      </c>
      <c r="U99" s="19">
        <f t="shared" si="11"/>
        <v>165743</v>
      </c>
      <c r="V99" s="12"/>
      <c r="W99" s="20">
        <f t="shared" si="12"/>
        <v>0.10000054300903025</v>
      </c>
      <c r="X99" s="20">
        <f t="shared" si="13"/>
        <v>0.89999945699096973</v>
      </c>
    </row>
    <row r="100" spans="1:24" x14ac:dyDescent="0.25">
      <c r="A100" s="5">
        <v>2026</v>
      </c>
      <c r="B100" s="5" t="s">
        <v>22</v>
      </c>
      <c r="C100" s="24" t="s">
        <v>22</v>
      </c>
      <c r="D100" s="5" t="s">
        <v>29</v>
      </c>
      <c r="E100" s="22" t="s">
        <v>693</v>
      </c>
      <c r="F100" s="22" t="s">
        <v>693</v>
      </c>
      <c r="G100" s="5" t="s">
        <v>29</v>
      </c>
      <c r="H100" s="5" t="s">
        <v>375</v>
      </c>
      <c r="I100" s="4">
        <f>INDEX(Breakdown[],MATCH($D100,Breakdown[Dist],0),MATCH(I$4,Breakdown[#Headers],0))</f>
        <v>324190</v>
      </c>
      <c r="J100" s="4">
        <f>INDEX(Breakdown[],MATCH($D100,Breakdown[Dist],0),MATCH(J$4,Breakdown[#Headers],0))</f>
        <v>249189</v>
      </c>
      <c r="K100" s="4">
        <f>INDEX(Breakdown[],MATCH($D100,Breakdown[Dist],0),MATCH(K$4,Breakdown[#Headers],0))</f>
        <v>53373</v>
      </c>
      <c r="L100" s="4">
        <f>INDEX(Breakdown[],MATCH($D100,Breakdown[Dist],0),MATCH(L$4,Breakdown[#Headers],0))</f>
        <v>195816</v>
      </c>
      <c r="M100" s="4">
        <f>INDEX(Breakdown[],MATCH($D100,Breakdown[Dist],0),MATCH(M$4,Breakdown[#Headers],0))</f>
        <v>7392</v>
      </c>
      <c r="N100" s="4">
        <f t="shared" si="7"/>
        <v>278209</v>
      </c>
      <c r="O100" s="15">
        <f t="shared" si="8"/>
        <v>27821</v>
      </c>
      <c r="P100" s="12"/>
      <c r="Q100" s="4">
        <f>INDEX(Breakdown[],MATCH($D100,Breakdown[Dist],0),MATCH(Q$4,Breakdown[#Headers],0))</f>
        <v>75001</v>
      </c>
      <c r="R100" s="4">
        <f>INDEX(Breakdown[],MATCH($D100,Breakdown[Dist],0),MATCH(R$4,Breakdown[#Headers],0))</f>
        <v>7392</v>
      </c>
      <c r="S100" s="14">
        <f t="shared" si="9"/>
        <v>82393</v>
      </c>
      <c r="T100" s="17">
        <f t="shared" si="10"/>
        <v>167995</v>
      </c>
      <c r="U100" s="19">
        <f t="shared" si="11"/>
        <v>250388</v>
      </c>
      <c r="V100" s="12"/>
      <c r="W100" s="20">
        <f t="shared" si="12"/>
        <v>0.10000035944200224</v>
      </c>
      <c r="X100" s="20">
        <f t="shared" si="13"/>
        <v>0.89999964055799775</v>
      </c>
    </row>
    <row r="101" spans="1:24" x14ac:dyDescent="0.25">
      <c r="A101" s="5">
        <v>2026</v>
      </c>
      <c r="B101" s="5" t="s">
        <v>263</v>
      </c>
      <c r="C101" s="24" t="s">
        <v>263</v>
      </c>
      <c r="D101" s="5" t="s">
        <v>278</v>
      </c>
      <c r="E101" s="22" t="s">
        <v>693</v>
      </c>
      <c r="F101" s="22" t="s">
        <v>693</v>
      </c>
      <c r="G101" s="5" t="s">
        <v>278</v>
      </c>
      <c r="H101" s="5" t="s">
        <v>603</v>
      </c>
      <c r="I101" s="4">
        <f>INDEX(Breakdown[],MATCH($D101,Breakdown[Dist],0),MATCH(I$4,Breakdown[#Headers],0))</f>
        <v>175897</v>
      </c>
      <c r="J101" s="4">
        <f>INDEX(Breakdown[],MATCH($D101,Breakdown[Dist],0),MATCH(J$4,Breakdown[#Headers],0))</f>
        <v>139057</v>
      </c>
      <c r="K101" s="4">
        <f>INDEX(Breakdown[],MATCH($D101,Breakdown[Dist],0),MATCH(K$4,Breakdown[#Headers],0))</f>
        <v>29784</v>
      </c>
      <c r="L101" s="4">
        <f>INDEX(Breakdown[],MATCH($D101,Breakdown[Dist],0),MATCH(L$4,Breakdown[#Headers],0))</f>
        <v>109273</v>
      </c>
      <c r="M101" s="4">
        <f>INDEX(Breakdown[],MATCH($D101,Breakdown[Dist],0),MATCH(M$4,Breakdown[#Headers],0))</f>
        <v>5242</v>
      </c>
      <c r="N101" s="4">
        <f t="shared" si="7"/>
        <v>151355</v>
      </c>
      <c r="O101" s="15">
        <f t="shared" si="8"/>
        <v>15136</v>
      </c>
      <c r="P101" s="12"/>
      <c r="Q101" s="4">
        <f>INDEX(Breakdown[],MATCH($D101,Breakdown[Dist],0),MATCH(Q$4,Breakdown[#Headers],0))</f>
        <v>36840</v>
      </c>
      <c r="R101" s="4">
        <f>INDEX(Breakdown[],MATCH($D101,Breakdown[Dist],0),MATCH(R$4,Breakdown[#Headers],0))</f>
        <v>5242</v>
      </c>
      <c r="S101" s="14">
        <f t="shared" si="9"/>
        <v>42082</v>
      </c>
      <c r="T101" s="17">
        <f t="shared" si="10"/>
        <v>94137</v>
      </c>
      <c r="U101" s="19">
        <f t="shared" si="11"/>
        <v>136219</v>
      </c>
      <c r="V101" s="12"/>
      <c r="W101" s="20">
        <f t="shared" si="12"/>
        <v>0.10000330349179082</v>
      </c>
      <c r="X101" s="20">
        <f t="shared" si="13"/>
        <v>0.89999669650820913</v>
      </c>
    </row>
    <row r="102" spans="1:24" x14ac:dyDescent="0.25">
      <c r="A102" s="5">
        <v>2026</v>
      </c>
      <c r="B102" s="5" t="s">
        <v>0</v>
      </c>
      <c r="C102" s="24" t="s">
        <v>0</v>
      </c>
      <c r="D102" s="5" t="s">
        <v>6</v>
      </c>
      <c r="E102" s="22" t="s">
        <v>693</v>
      </c>
      <c r="F102" s="22" t="s">
        <v>693</v>
      </c>
      <c r="G102" s="5" t="s">
        <v>6</v>
      </c>
      <c r="H102" s="5" t="s">
        <v>353</v>
      </c>
      <c r="I102" s="4">
        <f>INDEX(Breakdown[],MATCH($D102,Breakdown[Dist],0),MATCH(I$4,Breakdown[#Headers],0))</f>
        <v>126533</v>
      </c>
      <c r="J102" s="4">
        <f>INDEX(Breakdown[],MATCH($D102,Breakdown[Dist],0),MATCH(J$4,Breakdown[#Headers],0))</f>
        <v>96123</v>
      </c>
      <c r="K102" s="4">
        <f>INDEX(Breakdown[],MATCH($D102,Breakdown[Dist],0),MATCH(K$4,Breakdown[#Headers],0))</f>
        <v>20588</v>
      </c>
      <c r="L102" s="4">
        <f>INDEX(Breakdown[],MATCH($D102,Breakdown[Dist],0),MATCH(L$4,Breakdown[#Headers],0))</f>
        <v>75535</v>
      </c>
      <c r="M102" s="4">
        <f>INDEX(Breakdown[],MATCH($D102,Breakdown[Dist],0),MATCH(M$4,Breakdown[#Headers],0))</f>
        <v>4789</v>
      </c>
      <c r="N102" s="4">
        <f t="shared" si="7"/>
        <v>110734</v>
      </c>
      <c r="O102" s="15">
        <f t="shared" si="8"/>
        <v>11073</v>
      </c>
      <c r="P102" s="12"/>
      <c r="Q102" s="4">
        <f>INDEX(Breakdown[],MATCH($D102,Breakdown[Dist],0),MATCH(Q$4,Breakdown[#Headers],0))</f>
        <v>30410</v>
      </c>
      <c r="R102" s="4">
        <f>INDEX(Breakdown[],MATCH($D102,Breakdown[Dist],0),MATCH(R$4,Breakdown[#Headers],0))</f>
        <v>4789</v>
      </c>
      <c r="S102" s="14">
        <f t="shared" si="9"/>
        <v>35199</v>
      </c>
      <c r="T102" s="17">
        <f t="shared" si="10"/>
        <v>64462</v>
      </c>
      <c r="U102" s="19">
        <f t="shared" si="11"/>
        <v>99661</v>
      </c>
      <c r="V102" s="12"/>
      <c r="W102" s="20">
        <f t="shared" si="12"/>
        <v>9.999638773998952E-2</v>
      </c>
      <c r="X102" s="20">
        <f t="shared" si="13"/>
        <v>0.90000361226001047</v>
      </c>
    </row>
    <row r="103" spans="1:24" x14ac:dyDescent="0.25">
      <c r="A103" s="5">
        <v>2026</v>
      </c>
      <c r="B103" s="5" t="s">
        <v>118</v>
      </c>
      <c r="C103" s="24" t="s">
        <v>118</v>
      </c>
      <c r="D103" s="5" t="s">
        <v>131</v>
      </c>
      <c r="E103" s="22" t="s">
        <v>693</v>
      </c>
      <c r="F103" s="22" t="s">
        <v>693</v>
      </c>
      <c r="G103" s="5" t="s">
        <v>131</v>
      </c>
      <c r="H103" s="5" t="s">
        <v>465</v>
      </c>
      <c r="I103" s="4">
        <f>INDEX(Breakdown[],MATCH($D103,Breakdown[Dist],0),MATCH(I$4,Breakdown[#Headers],0))</f>
        <v>211466</v>
      </c>
      <c r="J103" s="4">
        <f>INDEX(Breakdown[],MATCH($D103,Breakdown[Dist],0),MATCH(J$4,Breakdown[#Headers],0))</f>
        <v>166718</v>
      </c>
      <c r="K103" s="4">
        <f>INDEX(Breakdown[],MATCH($D103,Breakdown[Dist],0),MATCH(K$4,Breakdown[#Headers],0))</f>
        <v>35708</v>
      </c>
      <c r="L103" s="4">
        <f>INDEX(Breakdown[],MATCH($D103,Breakdown[Dist],0),MATCH(L$4,Breakdown[#Headers],0))</f>
        <v>131010</v>
      </c>
      <c r="M103" s="4">
        <f>INDEX(Breakdown[],MATCH($D103,Breakdown[Dist],0),MATCH(M$4,Breakdown[#Headers],0))</f>
        <v>10683</v>
      </c>
      <c r="N103" s="4">
        <f t="shared" si="7"/>
        <v>186441</v>
      </c>
      <c r="O103" s="15">
        <f t="shared" si="8"/>
        <v>18644</v>
      </c>
      <c r="P103" s="12"/>
      <c r="Q103" s="4">
        <f>INDEX(Breakdown[],MATCH($D103,Breakdown[Dist],0),MATCH(Q$4,Breakdown[#Headers],0))</f>
        <v>44748</v>
      </c>
      <c r="R103" s="4">
        <f>INDEX(Breakdown[],MATCH($D103,Breakdown[Dist],0),MATCH(R$4,Breakdown[#Headers],0))</f>
        <v>10683</v>
      </c>
      <c r="S103" s="14">
        <f t="shared" si="9"/>
        <v>55431</v>
      </c>
      <c r="T103" s="17">
        <f t="shared" si="10"/>
        <v>112366</v>
      </c>
      <c r="U103" s="19">
        <f t="shared" si="11"/>
        <v>167797</v>
      </c>
      <c r="V103" s="12"/>
      <c r="W103" s="20">
        <f t="shared" si="12"/>
        <v>9.9999463637290079E-2</v>
      </c>
      <c r="X103" s="20">
        <f t="shared" si="13"/>
        <v>0.90000053636270994</v>
      </c>
    </row>
    <row r="104" spans="1:24" x14ac:dyDescent="0.25">
      <c r="A104" s="5">
        <v>2026</v>
      </c>
      <c r="B104" s="5" t="s">
        <v>308</v>
      </c>
      <c r="C104" s="24" t="s">
        <v>308</v>
      </c>
      <c r="D104" s="5" t="s">
        <v>317</v>
      </c>
      <c r="E104" s="22" t="s">
        <v>693</v>
      </c>
      <c r="F104" s="22" t="s">
        <v>693</v>
      </c>
      <c r="G104" s="5" t="s">
        <v>317</v>
      </c>
      <c r="H104" s="5" t="s">
        <v>641</v>
      </c>
      <c r="I104" s="4">
        <f>INDEX(Breakdown[],MATCH($D104,Breakdown[Dist],0),MATCH(I$4,Breakdown[#Headers],0))</f>
        <v>300859</v>
      </c>
      <c r="J104" s="4">
        <f>INDEX(Breakdown[],MATCH($D104,Breakdown[Dist],0),MATCH(J$4,Breakdown[#Headers],0))</f>
        <v>239659</v>
      </c>
      <c r="K104" s="4">
        <f>INDEX(Breakdown[],MATCH($D104,Breakdown[Dist],0),MATCH(K$4,Breakdown[#Headers],0))</f>
        <v>51332</v>
      </c>
      <c r="L104" s="4">
        <f>INDEX(Breakdown[],MATCH($D104,Breakdown[Dist],0),MATCH(L$4,Breakdown[#Headers],0))</f>
        <v>188327</v>
      </c>
      <c r="M104" s="4">
        <f>INDEX(Breakdown[],MATCH($D104,Breakdown[Dist],0),MATCH(M$4,Breakdown[#Headers],0))</f>
        <v>6723</v>
      </c>
      <c r="N104" s="4">
        <f t="shared" si="7"/>
        <v>256250</v>
      </c>
      <c r="O104" s="15">
        <f t="shared" si="8"/>
        <v>25625</v>
      </c>
      <c r="P104" s="12"/>
      <c r="Q104" s="4">
        <f>INDEX(Breakdown[],MATCH($D104,Breakdown[Dist],0),MATCH(Q$4,Breakdown[#Headers],0))</f>
        <v>61200</v>
      </c>
      <c r="R104" s="4">
        <f>INDEX(Breakdown[],MATCH($D104,Breakdown[Dist],0),MATCH(R$4,Breakdown[#Headers],0))</f>
        <v>6723</v>
      </c>
      <c r="S104" s="14">
        <f t="shared" si="9"/>
        <v>67923</v>
      </c>
      <c r="T104" s="17">
        <f t="shared" si="10"/>
        <v>162702</v>
      </c>
      <c r="U104" s="19">
        <f t="shared" si="11"/>
        <v>230625</v>
      </c>
      <c r="V104" s="12"/>
      <c r="W104" s="20">
        <f t="shared" si="12"/>
        <v>0.1</v>
      </c>
      <c r="X104" s="20">
        <f t="shared" si="13"/>
        <v>0.9</v>
      </c>
    </row>
    <row r="105" spans="1:24" x14ac:dyDescent="0.25">
      <c r="A105" s="5">
        <v>2026</v>
      </c>
      <c r="B105" s="5" t="s">
        <v>0</v>
      </c>
      <c r="C105" s="24" t="s">
        <v>0</v>
      </c>
      <c r="D105" s="5" t="s">
        <v>7</v>
      </c>
      <c r="E105" s="22" t="s">
        <v>693</v>
      </c>
      <c r="F105" s="22" t="s">
        <v>693</v>
      </c>
      <c r="G105" s="5" t="s">
        <v>7</v>
      </c>
      <c r="H105" s="5" t="s">
        <v>354</v>
      </c>
      <c r="I105" s="4">
        <f>INDEX(Breakdown[],MATCH($D105,Breakdown[Dist],0),MATCH(I$4,Breakdown[#Headers],0))</f>
        <v>150345</v>
      </c>
      <c r="J105" s="4">
        <f>INDEX(Breakdown[],MATCH($D105,Breakdown[Dist],0),MATCH(J$4,Breakdown[#Headers],0))</f>
        <v>114212</v>
      </c>
      <c r="K105" s="4">
        <f>INDEX(Breakdown[],MATCH($D105,Breakdown[Dist],0),MATCH(K$4,Breakdown[#Headers],0))</f>
        <v>24462</v>
      </c>
      <c r="L105" s="4">
        <f>INDEX(Breakdown[],MATCH($D105,Breakdown[Dist],0),MATCH(L$4,Breakdown[#Headers],0))</f>
        <v>89750</v>
      </c>
      <c r="M105" s="4">
        <f>INDEX(Breakdown[],MATCH($D105,Breakdown[Dist],0),MATCH(M$4,Breakdown[#Headers],0))</f>
        <v>0</v>
      </c>
      <c r="N105" s="4">
        <f t="shared" si="7"/>
        <v>125883</v>
      </c>
      <c r="O105" s="15">
        <f t="shared" si="8"/>
        <v>12588</v>
      </c>
      <c r="P105" s="12"/>
      <c r="Q105" s="4">
        <f>INDEX(Breakdown[],MATCH($D105,Breakdown[Dist],0),MATCH(Q$4,Breakdown[#Headers],0))</f>
        <v>36133</v>
      </c>
      <c r="R105" s="4">
        <f>INDEX(Breakdown[],MATCH($D105,Breakdown[Dist],0),MATCH(R$4,Breakdown[#Headers],0))</f>
        <v>0</v>
      </c>
      <c r="S105" s="14">
        <f t="shared" si="9"/>
        <v>36133</v>
      </c>
      <c r="T105" s="17">
        <f t="shared" si="10"/>
        <v>77162</v>
      </c>
      <c r="U105" s="19">
        <f t="shared" si="11"/>
        <v>113295</v>
      </c>
      <c r="V105" s="12"/>
      <c r="W105" s="20">
        <f t="shared" si="12"/>
        <v>9.9997616834679823E-2</v>
      </c>
      <c r="X105" s="20">
        <f t="shared" si="13"/>
        <v>0.90000238316532022</v>
      </c>
    </row>
    <row r="106" spans="1:24" x14ac:dyDescent="0.25">
      <c r="A106" s="5">
        <v>2026</v>
      </c>
      <c r="B106" s="5" t="s">
        <v>60</v>
      </c>
      <c r="C106" s="24" t="s">
        <v>60</v>
      </c>
      <c r="D106" s="5" t="s">
        <v>81</v>
      </c>
      <c r="E106" s="22" t="s">
        <v>693</v>
      </c>
      <c r="F106" s="22" t="s">
        <v>693</v>
      </c>
      <c r="G106" s="5" t="s">
        <v>81</v>
      </c>
      <c r="H106" s="5" t="s">
        <v>418</v>
      </c>
      <c r="I106" s="4">
        <f>INDEX(Breakdown[],MATCH($D106,Breakdown[Dist],0),MATCH(I$4,Breakdown[#Headers],0))</f>
        <v>216148</v>
      </c>
      <c r="J106" s="4">
        <f>INDEX(Breakdown[],MATCH($D106,Breakdown[Dist],0),MATCH(J$4,Breakdown[#Headers],0))</f>
        <v>169268</v>
      </c>
      <c r="K106" s="4">
        <f>INDEX(Breakdown[],MATCH($D106,Breakdown[Dist],0),MATCH(K$4,Breakdown[#Headers],0))</f>
        <v>36254</v>
      </c>
      <c r="L106" s="4">
        <f>INDEX(Breakdown[],MATCH($D106,Breakdown[Dist],0),MATCH(L$4,Breakdown[#Headers],0))</f>
        <v>133014</v>
      </c>
      <c r="M106" s="4">
        <f>INDEX(Breakdown[],MATCH($D106,Breakdown[Dist],0),MATCH(M$4,Breakdown[#Headers],0))</f>
        <v>19353</v>
      </c>
      <c r="N106" s="4">
        <f t="shared" si="7"/>
        <v>199247</v>
      </c>
      <c r="O106" s="15">
        <f t="shared" si="8"/>
        <v>19925</v>
      </c>
      <c r="P106" s="12"/>
      <c r="Q106" s="4">
        <f>INDEX(Breakdown[],MATCH($D106,Breakdown[Dist],0),MATCH(Q$4,Breakdown[#Headers],0))</f>
        <v>46880</v>
      </c>
      <c r="R106" s="4">
        <f>INDEX(Breakdown[],MATCH($D106,Breakdown[Dist],0),MATCH(R$4,Breakdown[#Headers],0))</f>
        <v>19353</v>
      </c>
      <c r="S106" s="14">
        <f t="shared" si="9"/>
        <v>66233</v>
      </c>
      <c r="T106" s="17">
        <f t="shared" si="10"/>
        <v>113089</v>
      </c>
      <c r="U106" s="19">
        <f t="shared" si="11"/>
        <v>179322</v>
      </c>
      <c r="V106" s="12"/>
      <c r="W106" s="20">
        <f t="shared" si="12"/>
        <v>0.10000150566884319</v>
      </c>
      <c r="X106" s="20">
        <f t="shared" si="13"/>
        <v>0.89999849433115675</v>
      </c>
    </row>
    <row r="107" spans="1:24" x14ac:dyDescent="0.25">
      <c r="A107" s="5">
        <v>2026</v>
      </c>
      <c r="B107" s="5" t="s">
        <v>22</v>
      </c>
      <c r="C107" s="24" t="s">
        <v>22</v>
      </c>
      <c r="D107" s="5" t="s">
        <v>30</v>
      </c>
      <c r="E107" s="22" t="s">
        <v>693</v>
      </c>
      <c r="F107" s="22" t="s">
        <v>693</v>
      </c>
      <c r="G107" s="5" t="s">
        <v>30</v>
      </c>
      <c r="H107" s="5" t="s">
        <v>376</v>
      </c>
      <c r="I107" s="4">
        <f>INDEX(Breakdown[],MATCH($D107,Breakdown[Dist],0),MATCH(I$4,Breakdown[#Headers],0))</f>
        <v>251877</v>
      </c>
      <c r="J107" s="4">
        <f>INDEX(Breakdown[],MATCH($D107,Breakdown[Dist],0),MATCH(J$4,Breakdown[#Headers],0))</f>
        <v>193606</v>
      </c>
      <c r="K107" s="4">
        <f>INDEX(Breakdown[],MATCH($D107,Breakdown[Dist],0),MATCH(K$4,Breakdown[#Headers],0))</f>
        <v>41467</v>
      </c>
      <c r="L107" s="4">
        <f>INDEX(Breakdown[],MATCH($D107,Breakdown[Dist],0),MATCH(L$4,Breakdown[#Headers],0))</f>
        <v>152139</v>
      </c>
      <c r="M107" s="4">
        <f>INDEX(Breakdown[],MATCH($D107,Breakdown[Dist],0),MATCH(M$4,Breakdown[#Headers],0))</f>
        <v>13389</v>
      </c>
      <c r="N107" s="4">
        <f t="shared" si="7"/>
        <v>223799</v>
      </c>
      <c r="O107" s="15">
        <f t="shared" si="8"/>
        <v>22380</v>
      </c>
      <c r="P107" s="12"/>
      <c r="Q107" s="4">
        <f>INDEX(Breakdown[],MATCH($D107,Breakdown[Dist],0),MATCH(Q$4,Breakdown[#Headers],0))</f>
        <v>58271</v>
      </c>
      <c r="R107" s="4">
        <f>INDEX(Breakdown[],MATCH($D107,Breakdown[Dist],0),MATCH(R$4,Breakdown[#Headers],0))</f>
        <v>13389</v>
      </c>
      <c r="S107" s="14">
        <f t="shared" si="9"/>
        <v>71660</v>
      </c>
      <c r="T107" s="17">
        <f t="shared" si="10"/>
        <v>129759</v>
      </c>
      <c r="U107" s="19">
        <f t="shared" si="11"/>
        <v>201419</v>
      </c>
      <c r="V107" s="12"/>
      <c r="W107" s="20">
        <f t="shared" si="12"/>
        <v>0.10000044682952114</v>
      </c>
      <c r="X107" s="20">
        <f t="shared" si="13"/>
        <v>0.89999955317047886</v>
      </c>
    </row>
    <row r="108" spans="1:24" x14ac:dyDescent="0.25">
      <c r="A108" s="5">
        <v>2026</v>
      </c>
      <c r="B108" s="5" t="s">
        <v>140</v>
      </c>
      <c r="C108" s="24" t="s">
        <v>140</v>
      </c>
      <c r="D108" s="5" t="s">
        <v>150</v>
      </c>
      <c r="E108" s="22" t="s">
        <v>693</v>
      </c>
      <c r="F108" s="22" t="s">
        <v>693</v>
      </c>
      <c r="G108" s="5" t="s">
        <v>150</v>
      </c>
      <c r="H108" s="5" t="s">
        <v>483</v>
      </c>
      <c r="I108" s="4">
        <f>INDEX(Breakdown[],MATCH($D108,Breakdown[Dist],0),MATCH(I$4,Breakdown[#Headers],0))</f>
        <v>171639</v>
      </c>
      <c r="J108" s="4">
        <f>INDEX(Breakdown[],MATCH($D108,Breakdown[Dist],0),MATCH(J$4,Breakdown[#Headers],0))</f>
        <v>136065</v>
      </c>
      <c r="K108" s="4">
        <f>INDEX(Breakdown[],MATCH($D108,Breakdown[Dist],0),MATCH(K$4,Breakdown[#Headers],0))</f>
        <v>29143</v>
      </c>
      <c r="L108" s="4">
        <f>INDEX(Breakdown[],MATCH($D108,Breakdown[Dist],0),MATCH(L$4,Breakdown[#Headers],0))</f>
        <v>106922</v>
      </c>
      <c r="M108" s="4">
        <f>INDEX(Breakdown[],MATCH($D108,Breakdown[Dist],0),MATCH(M$4,Breakdown[#Headers],0))</f>
        <v>3547</v>
      </c>
      <c r="N108" s="4">
        <f t="shared" si="7"/>
        <v>146043</v>
      </c>
      <c r="O108" s="15">
        <f t="shared" si="8"/>
        <v>14604</v>
      </c>
      <c r="P108" s="12"/>
      <c r="Q108" s="4">
        <f>INDEX(Breakdown[],MATCH($D108,Breakdown[Dist],0),MATCH(Q$4,Breakdown[#Headers],0))</f>
        <v>35574</v>
      </c>
      <c r="R108" s="4">
        <f>INDEX(Breakdown[],MATCH($D108,Breakdown[Dist],0),MATCH(R$4,Breakdown[#Headers],0))</f>
        <v>3547</v>
      </c>
      <c r="S108" s="14">
        <f t="shared" si="9"/>
        <v>39121</v>
      </c>
      <c r="T108" s="17">
        <f t="shared" si="10"/>
        <v>92318</v>
      </c>
      <c r="U108" s="19">
        <f t="shared" si="11"/>
        <v>131439</v>
      </c>
      <c r="V108" s="12"/>
      <c r="W108" s="20">
        <f t="shared" si="12"/>
        <v>9.9997945810480479E-2</v>
      </c>
      <c r="X108" s="20">
        <f t="shared" si="13"/>
        <v>0.90000205418951951</v>
      </c>
    </row>
    <row r="109" spans="1:24" x14ac:dyDescent="0.25">
      <c r="A109" s="5">
        <v>2026</v>
      </c>
      <c r="B109" s="5" t="s">
        <v>263</v>
      </c>
      <c r="C109" s="24" t="s">
        <v>263</v>
      </c>
      <c r="D109" s="5" t="s">
        <v>279</v>
      </c>
      <c r="E109" s="22" t="s">
        <v>693</v>
      </c>
      <c r="F109" s="22" t="s">
        <v>693</v>
      </c>
      <c r="G109" s="5" t="s">
        <v>279</v>
      </c>
      <c r="H109" s="5" t="s">
        <v>604</v>
      </c>
      <c r="I109" s="4">
        <f>INDEX(Breakdown[],MATCH($D109,Breakdown[Dist],0),MATCH(I$4,Breakdown[#Headers],0))</f>
        <v>64381</v>
      </c>
      <c r="J109" s="4">
        <f>INDEX(Breakdown[],MATCH($D109,Breakdown[Dist],0),MATCH(J$4,Breakdown[#Headers],0))</f>
        <v>50897</v>
      </c>
      <c r="K109" s="4">
        <f>INDEX(Breakdown[],MATCH($D109,Breakdown[Dist],0),MATCH(K$4,Breakdown[#Headers],0))</f>
        <v>10902</v>
      </c>
      <c r="L109" s="4">
        <f>INDEX(Breakdown[],MATCH($D109,Breakdown[Dist],0),MATCH(L$4,Breakdown[#Headers],0))</f>
        <v>39995</v>
      </c>
      <c r="M109" s="4">
        <f>INDEX(Breakdown[],MATCH($D109,Breakdown[Dist],0),MATCH(M$4,Breakdown[#Headers],0))</f>
        <v>8764</v>
      </c>
      <c r="N109" s="4">
        <f t="shared" si="7"/>
        <v>62243</v>
      </c>
      <c r="O109" s="15">
        <f t="shared" si="8"/>
        <v>6224</v>
      </c>
      <c r="P109" s="12"/>
      <c r="Q109" s="4">
        <f>INDEX(Breakdown[],MATCH($D109,Breakdown[Dist],0),MATCH(Q$4,Breakdown[#Headers],0))</f>
        <v>13484</v>
      </c>
      <c r="R109" s="4">
        <f>INDEX(Breakdown[],MATCH($D109,Breakdown[Dist],0),MATCH(R$4,Breakdown[#Headers],0))</f>
        <v>8764</v>
      </c>
      <c r="S109" s="14">
        <f t="shared" si="9"/>
        <v>22248</v>
      </c>
      <c r="T109" s="17">
        <f t="shared" si="10"/>
        <v>33771</v>
      </c>
      <c r="U109" s="19">
        <f t="shared" si="11"/>
        <v>56019</v>
      </c>
      <c r="V109" s="12"/>
      <c r="W109" s="20">
        <f t="shared" si="12"/>
        <v>9.9995180180903878E-2</v>
      </c>
      <c r="X109" s="20">
        <f t="shared" si="13"/>
        <v>0.90000481981909608</v>
      </c>
    </row>
    <row r="110" spans="1:24" x14ac:dyDescent="0.25">
      <c r="A110" s="5">
        <v>2026</v>
      </c>
      <c r="B110" s="5" t="s">
        <v>22</v>
      </c>
      <c r="C110" s="24" t="s">
        <v>22</v>
      </c>
      <c r="D110" s="5" t="s">
        <v>31</v>
      </c>
      <c r="E110" s="22" t="s">
        <v>693</v>
      </c>
      <c r="F110" s="22" t="s">
        <v>693</v>
      </c>
      <c r="G110" s="5" t="s">
        <v>31</v>
      </c>
      <c r="H110" s="5" t="s">
        <v>377</v>
      </c>
      <c r="I110" s="4">
        <f>INDEX(Breakdown[],MATCH($D110,Breakdown[Dist],0),MATCH(I$4,Breakdown[#Headers],0))</f>
        <v>462295</v>
      </c>
      <c r="J110" s="4">
        <f>INDEX(Breakdown[],MATCH($D110,Breakdown[Dist],0),MATCH(J$4,Breakdown[#Headers],0))</f>
        <v>355344</v>
      </c>
      <c r="K110" s="4">
        <f>INDEX(Breakdown[],MATCH($D110,Breakdown[Dist],0),MATCH(K$4,Breakdown[#Headers],0))</f>
        <v>76109</v>
      </c>
      <c r="L110" s="4">
        <f>INDEX(Breakdown[],MATCH($D110,Breakdown[Dist],0),MATCH(L$4,Breakdown[#Headers],0))</f>
        <v>279235</v>
      </c>
      <c r="M110" s="4">
        <f>INDEX(Breakdown[],MATCH($D110,Breakdown[Dist],0),MATCH(M$4,Breakdown[#Headers],0))</f>
        <v>4719</v>
      </c>
      <c r="N110" s="4">
        <f t="shared" si="7"/>
        <v>390905</v>
      </c>
      <c r="O110" s="15">
        <f t="shared" si="8"/>
        <v>39091</v>
      </c>
      <c r="P110" s="12"/>
      <c r="Q110" s="4">
        <f>INDEX(Breakdown[],MATCH($D110,Breakdown[Dist],0),MATCH(Q$4,Breakdown[#Headers],0))</f>
        <v>106951</v>
      </c>
      <c r="R110" s="4">
        <f>INDEX(Breakdown[],MATCH($D110,Breakdown[Dist],0),MATCH(R$4,Breakdown[#Headers],0))</f>
        <v>4719</v>
      </c>
      <c r="S110" s="14">
        <f t="shared" si="9"/>
        <v>111670</v>
      </c>
      <c r="T110" s="17">
        <f t="shared" si="10"/>
        <v>240144</v>
      </c>
      <c r="U110" s="19">
        <f t="shared" si="11"/>
        <v>351814</v>
      </c>
      <c r="V110" s="12"/>
      <c r="W110" s="20">
        <f t="shared" si="12"/>
        <v>0.10000127908315319</v>
      </c>
      <c r="X110" s="20">
        <f t="shared" si="13"/>
        <v>0.89999872091684685</v>
      </c>
    </row>
    <row r="111" spans="1:24" x14ac:dyDescent="0.25">
      <c r="A111" s="5">
        <v>2026</v>
      </c>
      <c r="B111" s="5" t="s">
        <v>174</v>
      </c>
      <c r="C111" s="24" t="s">
        <v>174</v>
      </c>
      <c r="D111" s="5" t="s">
        <v>193</v>
      </c>
      <c r="E111" s="22" t="s">
        <v>693</v>
      </c>
      <c r="F111" s="22" t="s">
        <v>693</v>
      </c>
      <c r="G111" s="5" t="s">
        <v>193</v>
      </c>
      <c r="H111" s="5" t="s">
        <v>523</v>
      </c>
      <c r="I111" s="4">
        <f>INDEX(Breakdown[],MATCH($D111,Breakdown[Dist],0),MATCH(I$4,Breakdown[#Headers],0))</f>
        <v>163784</v>
      </c>
      <c r="J111" s="4">
        <f>INDEX(Breakdown[],MATCH($D111,Breakdown[Dist],0),MATCH(J$4,Breakdown[#Headers],0))</f>
        <v>132541</v>
      </c>
      <c r="K111" s="4">
        <f>INDEX(Breakdown[],MATCH($D111,Breakdown[Dist],0),MATCH(K$4,Breakdown[#Headers],0))</f>
        <v>28388</v>
      </c>
      <c r="L111" s="4">
        <f>INDEX(Breakdown[],MATCH($D111,Breakdown[Dist],0),MATCH(L$4,Breakdown[#Headers],0))</f>
        <v>104153</v>
      </c>
      <c r="M111" s="4">
        <f>INDEX(Breakdown[],MATCH($D111,Breakdown[Dist],0),MATCH(M$4,Breakdown[#Headers],0))</f>
        <v>0</v>
      </c>
      <c r="N111" s="4">
        <f t="shared" si="7"/>
        <v>135396</v>
      </c>
      <c r="O111" s="15">
        <f t="shared" si="8"/>
        <v>13540</v>
      </c>
      <c r="P111" s="12"/>
      <c r="Q111" s="4">
        <f>INDEX(Breakdown[],MATCH($D111,Breakdown[Dist],0),MATCH(Q$4,Breakdown[#Headers],0))</f>
        <v>31243</v>
      </c>
      <c r="R111" s="4">
        <f>INDEX(Breakdown[],MATCH($D111,Breakdown[Dist],0),MATCH(R$4,Breakdown[#Headers],0))</f>
        <v>0</v>
      </c>
      <c r="S111" s="14">
        <f t="shared" si="9"/>
        <v>31243</v>
      </c>
      <c r="T111" s="17">
        <f t="shared" si="10"/>
        <v>90613</v>
      </c>
      <c r="U111" s="19">
        <f t="shared" si="11"/>
        <v>121856</v>
      </c>
      <c r="V111" s="12"/>
      <c r="W111" s="20">
        <f t="shared" si="12"/>
        <v>0.10000295429702502</v>
      </c>
      <c r="X111" s="20">
        <f t="shared" si="13"/>
        <v>0.89999704570297501</v>
      </c>
    </row>
    <row r="112" spans="1:24" x14ac:dyDescent="0.25">
      <c r="A112" s="5">
        <v>2026</v>
      </c>
      <c r="B112" s="5" t="s">
        <v>308</v>
      </c>
      <c r="C112" s="24" t="s">
        <v>308</v>
      </c>
      <c r="D112" s="5" t="s">
        <v>318</v>
      </c>
      <c r="E112" s="22" t="s">
        <v>693</v>
      </c>
      <c r="F112" s="22" t="s">
        <v>693</v>
      </c>
      <c r="G112" s="5" t="s">
        <v>318</v>
      </c>
      <c r="H112" s="5" t="s">
        <v>642</v>
      </c>
      <c r="I112" s="4">
        <f>INDEX(Breakdown[],MATCH($D112,Breakdown[Dist],0),MATCH(I$4,Breakdown[#Headers],0))</f>
        <v>591739</v>
      </c>
      <c r="J112" s="4">
        <f>INDEX(Breakdown[],MATCH($D112,Breakdown[Dist],0),MATCH(J$4,Breakdown[#Headers],0))</f>
        <v>471369</v>
      </c>
      <c r="K112" s="4">
        <f>INDEX(Breakdown[],MATCH($D112,Breakdown[Dist],0),MATCH(K$4,Breakdown[#Headers],0))</f>
        <v>100959</v>
      </c>
      <c r="L112" s="4">
        <f>INDEX(Breakdown[],MATCH($D112,Breakdown[Dist],0),MATCH(L$4,Breakdown[#Headers],0))</f>
        <v>370410</v>
      </c>
      <c r="M112" s="4">
        <f>INDEX(Breakdown[],MATCH($D112,Breakdown[Dist],0),MATCH(M$4,Breakdown[#Headers],0))</f>
        <v>14616</v>
      </c>
      <c r="N112" s="4">
        <f t="shared" si="7"/>
        <v>505396</v>
      </c>
      <c r="O112" s="15">
        <f t="shared" si="8"/>
        <v>50540</v>
      </c>
      <c r="P112" s="12"/>
      <c r="Q112" s="4">
        <f>INDEX(Breakdown[],MATCH($D112,Breakdown[Dist],0),MATCH(Q$4,Breakdown[#Headers],0))</f>
        <v>120370</v>
      </c>
      <c r="R112" s="4">
        <f>INDEX(Breakdown[],MATCH($D112,Breakdown[Dist],0),MATCH(R$4,Breakdown[#Headers],0))</f>
        <v>14616</v>
      </c>
      <c r="S112" s="14">
        <f t="shared" si="9"/>
        <v>134986</v>
      </c>
      <c r="T112" s="17">
        <f t="shared" si="10"/>
        <v>319870</v>
      </c>
      <c r="U112" s="19">
        <f t="shared" si="11"/>
        <v>454856</v>
      </c>
      <c r="V112" s="12"/>
      <c r="W112" s="20">
        <f t="shared" si="12"/>
        <v>0.10000079145857901</v>
      </c>
      <c r="X112" s="20">
        <f t="shared" si="13"/>
        <v>0.89999920854142101</v>
      </c>
    </row>
    <row r="113" spans="1:24" x14ac:dyDescent="0.25">
      <c r="A113" s="5">
        <v>2026</v>
      </c>
      <c r="B113" s="5" t="s">
        <v>60</v>
      </c>
      <c r="C113" s="24" t="s">
        <v>60</v>
      </c>
      <c r="D113" s="5" t="s">
        <v>82</v>
      </c>
      <c r="E113" s="22" t="s">
        <v>693</v>
      </c>
      <c r="F113" s="22" t="s">
        <v>693</v>
      </c>
      <c r="G113" s="5" t="s">
        <v>82</v>
      </c>
      <c r="H113" s="5" t="s">
        <v>419</v>
      </c>
      <c r="I113" s="4">
        <f>INDEX(Breakdown[],MATCH($D113,Breakdown[Dist],0),MATCH(I$4,Breakdown[#Headers],0))</f>
        <v>418480</v>
      </c>
      <c r="J113" s="4">
        <f>INDEX(Breakdown[],MATCH($D113,Breakdown[Dist],0),MATCH(J$4,Breakdown[#Headers],0))</f>
        <v>327717</v>
      </c>
      <c r="K113" s="4">
        <f>INDEX(Breakdown[],MATCH($D113,Breakdown[Dist],0),MATCH(K$4,Breakdown[#Headers],0))</f>
        <v>70192</v>
      </c>
      <c r="L113" s="4">
        <f>INDEX(Breakdown[],MATCH($D113,Breakdown[Dist],0),MATCH(L$4,Breakdown[#Headers],0))</f>
        <v>257525</v>
      </c>
      <c r="M113" s="4">
        <f>INDEX(Breakdown[],MATCH($D113,Breakdown[Dist],0),MATCH(M$4,Breakdown[#Headers],0))</f>
        <v>4849</v>
      </c>
      <c r="N113" s="4">
        <f t="shared" si="7"/>
        <v>353137</v>
      </c>
      <c r="O113" s="15">
        <f t="shared" si="8"/>
        <v>35314</v>
      </c>
      <c r="P113" s="12"/>
      <c r="Q113" s="4">
        <f>INDEX(Breakdown[],MATCH($D113,Breakdown[Dist],0),MATCH(Q$4,Breakdown[#Headers],0))</f>
        <v>90763</v>
      </c>
      <c r="R113" s="4">
        <f>INDEX(Breakdown[],MATCH($D113,Breakdown[Dist],0),MATCH(R$4,Breakdown[#Headers],0))</f>
        <v>4849</v>
      </c>
      <c r="S113" s="14">
        <f t="shared" si="9"/>
        <v>95612</v>
      </c>
      <c r="T113" s="17">
        <f t="shared" si="10"/>
        <v>222211</v>
      </c>
      <c r="U113" s="19">
        <f t="shared" si="11"/>
        <v>317823</v>
      </c>
      <c r="V113" s="12"/>
      <c r="W113" s="20">
        <f t="shared" si="12"/>
        <v>0.10000084952865318</v>
      </c>
      <c r="X113" s="20">
        <f t="shared" si="13"/>
        <v>0.89999915047134682</v>
      </c>
    </row>
    <row r="114" spans="1:24" x14ac:dyDescent="0.25">
      <c r="A114" s="5">
        <v>2026</v>
      </c>
      <c r="B114" s="5" t="s">
        <v>22</v>
      </c>
      <c r="C114" s="24" t="s">
        <v>22</v>
      </c>
      <c r="D114" s="5" t="s">
        <v>32</v>
      </c>
      <c r="E114" s="22" t="s">
        <v>693</v>
      </c>
      <c r="F114" s="22" t="s">
        <v>693</v>
      </c>
      <c r="G114" s="5" t="s">
        <v>32</v>
      </c>
      <c r="H114" s="5" t="s">
        <v>378</v>
      </c>
      <c r="I114" s="4">
        <f>INDEX(Breakdown[],MATCH($D114,Breakdown[Dist],0),MATCH(I$4,Breakdown[#Headers],0))</f>
        <v>1402732</v>
      </c>
      <c r="J114" s="4">
        <f>INDEX(Breakdown[],MATCH($D114,Breakdown[Dist],0),MATCH(J$4,Breakdown[#Headers],0))</f>
        <v>1078213</v>
      </c>
      <c r="K114" s="4">
        <f>INDEX(Breakdown[],MATCH($D114,Breakdown[Dist],0),MATCH(K$4,Breakdown[#Headers],0))</f>
        <v>230936</v>
      </c>
      <c r="L114" s="4">
        <f>INDEX(Breakdown[],MATCH($D114,Breakdown[Dist],0),MATCH(L$4,Breakdown[#Headers],0))</f>
        <v>847277</v>
      </c>
      <c r="M114" s="4">
        <f>INDEX(Breakdown[],MATCH($D114,Breakdown[Dist],0),MATCH(M$4,Breakdown[#Headers],0))</f>
        <v>31911</v>
      </c>
      <c r="N114" s="4">
        <f t="shared" si="7"/>
        <v>1203707</v>
      </c>
      <c r="O114" s="15">
        <f t="shared" si="8"/>
        <v>120371</v>
      </c>
      <c r="P114" s="12"/>
      <c r="Q114" s="4">
        <f>INDEX(Breakdown[],MATCH($D114,Breakdown[Dist],0),MATCH(Q$4,Breakdown[#Headers],0))</f>
        <v>324519</v>
      </c>
      <c r="R114" s="4">
        <f>INDEX(Breakdown[],MATCH($D114,Breakdown[Dist],0),MATCH(R$4,Breakdown[#Headers],0))</f>
        <v>31911</v>
      </c>
      <c r="S114" s="14">
        <f t="shared" si="9"/>
        <v>356430</v>
      </c>
      <c r="T114" s="17">
        <f t="shared" si="10"/>
        <v>726906</v>
      </c>
      <c r="U114" s="19">
        <f t="shared" si="11"/>
        <v>1083336</v>
      </c>
      <c r="V114" s="12"/>
      <c r="W114" s="20">
        <f t="shared" si="12"/>
        <v>0.10000024923008673</v>
      </c>
      <c r="X114" s="20">
        <f t="shared" si="13"/>
        <v>0.89999975076991323</v>
      </c>
    </row>
    <row r="115" spans="1:24" x14ac:dyDescent="0.25">
      <c r="A115" s="5">
        <v>2026</v>
      </c>
      <c r="B115" s="5" t="s">
        <v>308</v>
      </c>
      <c r="C115" s="24" t="s">
        <v>308</v>
      </c>
      <c r="D115" s="5" t="s">
        <v>319</v>
      </c>
      <c r="E115" s="22" t="s">
        <v>693</v>
      </c>
      <c r="F115" s="22" t="s">
        <v>693</v>
      </c>
      <c r="G115" s="5" t="s">
        <v>319</v>
      </c>
      <c r="H115" s="5" t="s">
        <v>643</v>
      </c>
      <c r="I115" s="4">
        <f>INDEX(Breakdown[],MATCH($D115,Breakdown[Dist],0),MATCH(I$4,Breakdown[#Headers],0))</f>
        <v>839060</v>
      </c>
      <c r="J115" s="4">
        <f>INDEX(Breakdown[],MATCH($D115,Breakdown[Dist],0),MATCH(J$4,Breakdown[#Headers],0))</f>
        <v>668381</v>
      </c>
      <c r="K115" s="4">
        <f>INDEX(Breakdown[],MATCH($D115,Breakdown[Dist],0),MATCH(K$4,Breakdown[#Headers],0))</f>
        <v>143156</v>
      </c>
      <c r="L115" s="4">
        <f>INDEX(Breakdown[],MATCH($D115,Breakdown[Dist],0),MATCH(L$4,Breakdown[#Headers],0))</f>
        <v>525225</v>
      </c>
      <c r="M115" s="4">
        <f>INDEX(Breakdown[],MATCH($D115,Breakdown[Dist],0),MATCH(M$4,Breakdown[#Headers],0))</f>
        <v>0</v>
      </c>
      <c r="N115" s="4">
        <f t="shared" si="7"/>
        <v>695904</v>
      </c>
      <c r="O115" s="15">
        <f t="shared" si="8"/>
        <v>69590</v>
      </c>
      <c r="P115" s="12"/>
      <c r="Q115" s="4">
        <f>INDEX(Breakdown[],MATCH($D115,Breakdown[Dist],0),MATCH(Q$4,Breakdown[#Headers],0))</f>
        <v>170679</v>
      </c>
      <c r="R115" s="4">
        <f>INDEX(Breakdown[],MATCH($D115,Breakdown[Dist],0),MATCH(R$4,Breakdown[#Headers],0))</f>
        <v>0</v>
      </c>
      <c r="S115" s="14">
        <f t="shared" si="9"/>
        <v>170679</v>
      </c>
      <c r="T115" s="17">
        <f t="shared" si="10"/>
        <v>455635</v>
      </c>
      <c r="U115" s="19">
        <f t="shared" si="11"/>
        <v>626314</v>
      </c>
      <c r="V115" s="12"/>
      <c r="W115" s="20">
        <f t="shared" si="12"/>
        <v>9.9999425208074672E-2</v>
      </c>
      <c r="X115" s="20">
        <f t="shared" si="13"/>
        <v>0.9000005747919253</v>
      </c>
    </row>
    <row r="116" spans="1:24" x14ac:dyDescent="0.25">
      <c r="A116" s="5">
        <v>2026</v>
      </c>
      <c r="B116" s="5" t="s">
        <v>263</v>
      </c>
      <c r="C116" s="24" t="s">
        <v>263</v>
      </c>
      <c r="D116" s="5" t="s">
        <v>280</v>
      </c>
      <c r="E116" s="22" t="s">
        <v>693</v>
      </c>
      <c r="F116" s="22" t="s">
        <v>693</v>
      </c>
      <c r="G116" s="5" t="s">
        <v>280</v>
      </c>
      <c r="H116" s="5" t="s">
        <v>605</v>
      </c>
      <c r="I116" s="4">
        <f>INDEX(Breakdown[],MATCH($D116,Breakdown[Dist],0),MATCH(I$4,Breakdown[#Headers],0))</f>
        <v>177070</v>
      </c>
      <c r="J116" s="4">
        <f>INDEX(Breakdown[],MATCH($D116,Breakdown[Dist],0),MATCH(J$4,Breakdown[#Headers],0))</f>
        <v>139984</v>
      </c>
      <c r="K116" s="4">
        <f>INDEX(Breakdown[],MATCH($D116,Breakdown[Dist],0),MATCH(K$4,Breakdown[#Headers],0))</f>
        <v>29982</v>
      </c>
      <c r="L116" s="4">
        <f>INDEX(Breakdown[],MATCH($D116,Breakdown[Dist],0),MATCH(L$4,Breakdown[#Headers],0))</f>
        <v>110002</v>
      </c>
      <c r="M116" s="4">
        <f>INDEX(Breakdown[],MATCH($D116,Breakdown[Dist],0),MATCH(M$4,Breakdown[#Headers],0))</f>
        <v>0</v>
      </c>
      <c r="N116" s="4">
        <f t="shared" si="7"/>
        <v>147088</v>
      </c>
      <c r="O116" s="15">
        <f t="shared" si="8"/>
        <v>14709</v>
      </c>
      <c r="P116" s="12"/>
      <c r="Q116" s="4">
        <f>INDEX(Breakdown[],MATCH($D116,Breakdown[Dist],0),MATCH(Q$4,Breakdown[#Headers],0))</f>
        <v>37086</v>
      </c>
      <c r="R116" s="4">
        <f>INDEX(Breakdown[],MATCH($D116,Breakdown[Dist],0),MATCH(R$4,Breakdown[#Headers],0))</f>
        <v>0</v>
      </c>
      <c r="S116" s="14">
        <f t="shared" si="9"/>
        <v>37086</v>
      </c>
      <c r="T116" s="17">
        <f t="shared" si="10"/>
        <v>95293</v>
      </c>
      <c r="U116" s="19">
        <f t="shared" si="11"/>
        <v>132379</v>
      </c>
      <c r="V116" s="12"/>
      <c r="W116" s="20">
        <f t="shared" si="12"/>
        <v>0.10000135973022953</v>
      </c>
      <c r="X116" s="20">
        <f t="shared" si="13"/>
        <v>0.8999986402697705</v>
      </c>
    </row>
    <row r="117" spans="1:24" x14ac:dyDescent="0.25">
      <c r="A117" s="5">
        <v>2026</v>
      </c>
      <c r="B117" s="5" t="s">
        <v>229</v>
      </c>
      <c r="C117" s="24" t="s">
        <v>229</v>
      </c>
      <c r="D117" s="5" t="s">
        <v>237</v>
      </c>
      <c r="E117" s="22" t="s">
        <v>693</v>
      </c>
      <c r="F117" s="22" t="s">
        <v>693</v>
      </c>
      <c r="G117" s="5" t="s">
        <v>237</v>
      </c>
      <c r="H117" s="5" t="s">
        <v>564</v>
      </c>
      <c r="I117" s="4">
        <f>INDEX(Breakdown[],MATCH($D117,Breakdown[Dist],0),MATCH(I$4,Breakdown[#Headers],0))</f>
        <v>183057</v>
      </c>
      <c r="J117" s="4">
        <f>INDEX(Breakdown[],MATCH($D117,Breakdown[Dist],0),MATCH(J$4,Breakdown[#Headers],0))</f>
        <v>142041</v>
      </c>
      <c r="K117" s="4">
        <f>INDEX(Breakdown[],MATCH($D117,Breakdown[Dist],0),MATCH(K$4,Breakdown[#Headers],0))</f>
        <v>30423</v>
      </c>
      <c r="L117" s="4">
        <f>INDEX(Breakdown[],MATCH($D117,Breakdown[Dist],0),MATCH(L$4,Breakdown[#Headers],0))</f>
        <v>111618</v>
      </c>
      <c r="M117" s="4">
        <f>INDEX(Breakdown[],MATCH($D117,Breakdown[Dist],0),MATCH(M$4,Breakdown[#Headers],0))</f>
        <v>0</v>
      </c>
      <c r="N117" s="4">
        <f t="shared" si="7"/>
        <v>152634</v>
      </c>
      <c r="O117" s="15">
        <f t="shared" si="8"/>
        <v>15263</v>
      </c>
      <c r="P117" s="12"/>
      <c r="Q117" s="4">
        <f>INDEX(Breakdown[],MATCH($D117,Breakdown[Dist],0),MATCH(Q$4,Breakdown[#Headers],0))</f>
        <v>41016</v>
      </c>
      <c r="R117" s="4">
        <f>INDEX(Breakdown[],MATCH($D117,Breakdown[Dist],0),MATCH(R$4,Breakdown[#Headers],0))</f>
        <v>0</v>
      </c>
      <c r="S117" s="14">
        <f t="shared" si="9"/>
        <v>41016</v>
      </c>
      <c r="T117" s="17">
        <f t="shared" si="10"/>
        <v>96355</v>
      </c>
      <c r="U117" s="19">
        <f t="shared" si="11"/>
        <v>137371</v>
      </c>
      <c r="V117" s="12"/>
      <c r="W117" s="20">
        <f t="shared" si="12"/>
        <v>9.9997379351913732E-2</v>
      </c>
      <c r="X117" s="20">
        <f t="shared" si="13"/>
        <v>0.90000262064808623</v>
      </c>
    </row>
    <row r="118" spans="1:24" x14ac:dyDescent="0.25">
      <c r="A118" s="5">
        <v>2026</v>
      </c>
      <c r="B118" s="5" t="s">
        <v>60</v>
      </c>
      <c r="C118" s="24" t="s">
        <v>60</v>
      </c>
      <c r="D118" s="5" t="s">
        <v>83</v>
      </c>
      <c r="E118" s="22" t="s">
        <v>693</v>
      </c>
      <c r="F118" s="22" t="s">
        <v>693</v>
      </c>
      <c r="G118" s="5" t="s">
        <v>83</v>
      </c>
      <c r="H118" s="5" t="s">
        <v>420</v>
      </c>
      <c r="I118" s="4">
        <f>INDEX(Breakdown[],MATCH($D118,Breakdown[Dist],0),MATCH(I$4,Breakdown[#Headers],0))</f>
        <v>323861</v>
      </c>
      <c r="J118" s="4">
        <f>INDEX(Breakdown[],MATCH($D118,Breakdown[Dist],0),MATCH(J$4,Breakdown[#Headers],0))</f>
        <v>253619</v>
      </c>
      <c r="K118" s="4">
        <f>INDEX(Breakdown[],MATCH($D118,Breakdown[Dist],0),MATCH(K$4,Breakdown[#Headers],0))</f>
        <v>54322</v>
      </c>
      <c r="L118" s="4">
        <f>INDEX(Breakdown[],MATCH($D118,Breakdown[Dist],0),MATCH(L$4,Breakdown[#Headers],0))</f>
        <v>199297</v>
      </c>
      <c r="M118" s="4">
        <f>INDEX(Breakdown[],MATCH($D118,Breakdown[Dist],0),MATCH(M$4,Breakdown[#Headers],0))</f>
        <v>12289</v>
      </c>
      <c r="N118" s="4">
        <f t="shared" si="7"/>
        <v>281828</v>
      </c>
      <c r="O118" s="15">
        <f t="shared" si="8"/>
        <v>28183</v>
      </c>
      <c r="P118" s="12"/>
      <c r="Q118" s="4">
        <f>INDEX(Breakdown[],MATCH($D118,Breakdown[Dist],0),MATCH(Q$4,Breakdown[#Headers],0))</f>
        <v>70242</v>
      </c>
      <c r="R118" s="4">
        <f>INDEX(Breakdown[],MATCH($D118,Breakdown[Dist],0),MATCH(R$4,Breakdown[#Headers],0))</f>
        <v>12289</v>
      </c>
      <c r="S118" s="14">
        <f t="shared" si="9"/>
        <v>82531</v>
      </c>
      <c r="T118" s="17">
        <f t="shared" si="10"/>
        <v>171114</v>
      </c>
      <c r="U118" s="19">
        <f t="shared" si="11"/>
        <v>253645</v>
      </c>
      <c r="V118" s="12"/>
      <c r="W118" s="20">
        <f t="shared" si="12"/>
        <v>0.10000070965269597</v>
      </c>
      <c r="X118" s="20">
        <f t="shared" si="13"/>
        <v>0.89999929034730408</v>
      </c>
    </row>
    <row r="119" spans="1:24" x14ac:dyDescent="0.25">
      <c r="A119" s="5">
        <v>2026</v>
      </c>
      <c r="B119" s="5" t="s">
        <v>229</v>
      </c>
      <c r="C119" s="24" t="s">
        <v>229</v>
      </c>
      <c r="D119" s="5" t="s">
        <v>238</v>
      </c>
      <c r="E119" s="22" t="s">
        <v>693</v>
      </c>
      <c r="F119" s="22" t="s">
        <v>693</v>
      </c>
      <c r="G119" s="5" t="s">
        <v>238</v>
      </c>
      <c r="H119" s="5" t="s">
        <v>565</v>
      </c>
      <c r="I119" s="4">
        <f>INDEX(Breakdown[],MATCH($D119,Breakdown[Dist],0),MATCH(I$4,Breakdown[#Headers],0))</f>
        <v>168431</v>
      </c>
      <c r="J119" s="4">
        <f>INDEX(Breakdown[],MATCH($D119,Breakdown[Dist],0),MATCH(J$4,Breakdown[#Headers],0))</f>
        <v>130692</v>
      </c>
      <c r="K119" s="4">
        <f>INDEX(Breakdown[],MATCH($D119,Breakdown[Dist],0),MATCH(K$4,Breakdown[#Headers],0))</f>
        <v>27992</v>
      </c>
      <c r="L119" s="4">
        <f>INDEX(Breakdown[],MATCH($D119,Breakdown[Dist],0),MATCH(L$4,Breakdown[#Headers],0))</f>
        <v>102700</v>
      </c>
      <c r="M119" s="4">
        <f>INDEX(Breakdown[],MATCH($D119,Breakdown[Dist],0),MATCH(M$4,Breakdown[#Headers],0))</f>
        <v>9006</v>
      </c>
      <c r="N119" s="4">
        <f t="shared" si="7"/>
        <v>149445</v>
      </c>
      <c r="O119" s="15">
        <f t="shared" si="8"/>
        <v>14945</v>
      </c>
      <c r="P119" s="12"/>
      <c r="Q119" s="4">
        <f>INDEX(Breakdown[],MATCH($D119,Breakdown[Dist],0),MATCH(Q$4,Breakdown[#Headers],0))</f>
        <v>37739</v>
      </c>
      <c r="R119" s="4">
        <f>INDEX(Breakdown[],MATCH($D119,Breakdown[Dist],0),MATCH(R$4,Breakdown[#Headers],0))</f>
        <v>9006</v>
      </c>
      <c r="S119" s="14">
        <f t="shared" si="9"/>
        <v>46745</v>
      </c>
      <c r="T119" s="17">
        <f t="shared" si="10"/>
        <v>87755</v>
      </c>
      <c r="U119" s="19">
        <f t="shared" si="11"/>
        <v>134500</v>
      </c>
      <c r="V119" s="12"/>
      <c r="W119" s="20">
        <f t="shared" si="12"/>
        <v>0.10000334571246947</v>
      </c>
      <c r="X119" s="20">
        <f t="shared" si="13"/>
        <v>0.89999665428753051</v>
      </c>
    </row>
    <row r="120" spans="1:24" x14ac:dyDescent="0.25">
      <c r="A120" s="5">
        <v>2026</v>
      </c>
      <c r="B120" s="5" t="s">
        <v>174</v>
      </c>
      <c r="C120" s="24" t="s">
        <v>174</v>
      </c>
      <c r="D120" s="5" t="s">
        <v>194</v>
      </c>
      <c r="E120" s="22" t="s">
        <v>693</v>
      </c>
      <c r="F120" s="22" t="s">
        <v>693</v>
      </c>
      <c r="G120" s="5" t="s">
        <v>194</v>
      </c>
      <c r="H120" s="5" t="s">
        <v>524</v>
      </c>
      <c r="I120" s="4">
        <f>INDEX(Breakdown[],MATCH($D120,Breakdown[Dist],0),MATCH(I$4,Breakdown[#Headers],0))</f>
        <v>582858</v>
      </c>
      <c r="J120" s="4">
        <f>INDEX(Breakdown[],MATCH($D120,Breakdown[Dist],0),MATCH(J$4,Breakdown[#Headers],0))</f>
        <v>471673</v>
      </c>
      <c r="K120" s="4">
        <f>INDEX(Breakdown[],MATCH($D120,Breakdown[Dist],0),MATCH(K$4,Breakdown[#Headers],0))</f>
        <v>101024</v>
      </c>
      <c r="L120" s="4">
        <f>INDEX(Breakdown[],MATCH($D120,Breakdown[Dist],0),MATCH(L$4,Breakdown[#Headers],0))</f>
        <v>370649</v>
      </c>
      <c r="M120" s="4">
        <f>INDEX(Breakdown[],MATCH($D120,Breakdown[Dist],0),MATCH(M$4,Breakdown[#Headers],0))</f>
        <v>0</v>
      </c>
      <c r="N120" s="4">
        <f t="shared" si="7"/>
        <v>481834</v>
      </c>
      <c r="O120" s="15">
        <f t="shared" si="8"/>
        <v>48183</v>
      </c>
      <c r="P120" s="12"/>
      <c r="Q120" s="4">
        <f>INDEX(Breakdown[],MATCH($D120,Breakdown[Dist],0),MATCH(Q$4,Breakdown[#Headers],0))</f>
        <v>111185</v>
      </c>
      <c r="R120" s="4">
        <f>INDEX(Breakdown[],MATCH($D120,Breakdown[Dist],0),MATCH(R$4,Breakdown[#Headers],0))</f>
        <v>0</v>
      </c>
      <c r="S120" s="14">
        <f t="shared" si="9"/>
        <v>111185</v>
      </c>
      <c r="T120" s="17">
        <f t="shared" si="10"/>
        <v>322466</v>
      </c>
      <c r="U120" s="19">
        <f t="shared" si="11"/>
        <v>433651</v>
      </c>
      <c r="V120" s="12"/>
      <c r="W120" s="20">
        <f t="shared" si="12"/>
        <v>9.9999169838575111E-2</v>
      </c>
      <c r="X120" s="20">
        <f t="shared" si="13"/>
        <v>0.90000083016142485</v>
      </c>
    </row>
    <row r="121" spans="1:24" x14ac:dyDescent="0.25">
      <c r="A121" s="5">
        <v>2026</v>
      </c>
      <c r="B121" s="5" t="s">
        <v>22</v>
      </c>
      <c r="C121" s="24" t="s">
        <v>22</v>
      </c>
      <c r="D121" s="5" t="s">
        <v>33</v>
      </c>
      <c r="E121" s="22" t="s">
        <v>693</v>
      </c>
      <c r="F121" s="22" t="s">
        <v>693</v>
      </c>
      <c r="G121" s="5" t="s">
        <v>33</v>
      </c>
      <c r="H121" s="5" t="s">
        <v>379</v>
      </c>
      <c r="I121" s="4">
        <f>INDEX(Breakdown[],MATCH($D121,Breakdown[Dist],0),MATCH(I$4,Breakdown[#Headers],0))</f>
        <v>65753</v>
      </c>
      <c r="J121" s="4">
        <f>INDEX(Breakdown[],MATCH($D121,Breakdown[Dist],0),MATCH(J$4,Breakdown[#Headers],0))</f>
        <v>50541</v>
      </c>
      <c r="K121" s="4">
        <f>INDEX(Breakdown[],MATCH($D121,Breakdown[Dist],0),MATCH(K$4,Breakdown[#Headers],0))</f>
        <v>10825</v>
      </c>
      <c r="L121" s="4">
        <f>INDEX(Breakdown[],MATCH($D121,Breakdown[Dist],0),MATCH(L$4,Breakdown[#Headers],0))</f>
        <v>39716</v>
      </c>
      <c r="M121" s="4">
        <f>INDEX(Breakdown[],MATCH($D121,Breakdown[Dist],0),MATCH(M$4,Breakdown[#Headers],0))</f>
        <v>7575</v>
      </c>
      <c r="N121" s="4">
        <f t="shared" si="7"/>
        <v>62503</v>
      </c>
      <c r="O121" s="15">
        <f t="shared" si="8"/>
        <v>6250</v>
      </c>
      <c r="P121" s="12"/>
      <c r="Q121" s="4">
        <f>INDEX(Breakdown[],MATCH($D121,Breakdown[Dist],0),MATCH(Q$4,Breakdown[#Headers],0))</f>
        <v>15212</v>
      </c>
      <c r="R121" s="4">
        <f>INDEX(Breakdown[],MATCH($D121,Breakdown[Dist],0),MATCH(R$4,Breakdown[#Headers],0))</f>
        <v>7575</v>
      </c>
      <c r="S121" s="14">
        <f t="shared" si="9"/>
        <v>22787</v>
      </c>
      <c r="T121" s="17">
        <f t="shared" si="10"/>
        <v>33466</v>
      </c>
      <c r="U121" s="19">
        <f t="shared" si="11"/>
        <v>56253</v>
      </c>
      <c r="V121" s="12"/>
      <c r="W121" s="20">
        <f t="shared" si="12"/>
        <v>9.9995200230388936E-2</v>
      </c>
      <c r="X121" s="20">
        <f t="shared" si="13"/>
        <v>0.90000479976961101</v>
      </c>
    </row>
    <row r="122" spans="1:24" x14ac:dyDescent="0.25">
      <c r="A122" s="5">
        <v>2026</v>
      </c>
      <c r="B122" s="5" t="s">
        <v>60</v>
      </c>
      <c r="C122" s="24" t="s">
        <v>60</v>
      </c>
      <c r="D122" s="5" t="s">
        <v>84</v>
      </c>
      <c r="E122" s="22" t="s">
        <v>693</v>
      </c>
      <c r="F122" s="22" t="s">
        <v>693</v>
      </c>
      <c r="G122" s="5" t="s">
        <v>84</v>
      </c>
      <c r="H122" s="5" t="s">
        <v>421</v>
      </c>
      <c r="I122" s="4">
        <f>INDEX(Breakdown[],MATCH($D122,Breakdown[Dist],0),MATCH(I$4,Breakdown[#Headers],0))</f>
        <v>247497</v>
      </c>
      <c r="J122" s="4">
        <f>INDEX(Breakdown[],MATCH($D122,Breakdown[Dist],0),MATCH(J$4,Breakdown[#Headers],0))</f>
        <v>193818</v>
      </c>
      <c r="K122" s="4">
        <f>INDEX(Breakdown[],MATCH($D122,Breakdown[Dist],0),MATCH(K$4,Breakdown[#Headers],0))</f>
        <v>41513</v>
      </c>
      <c r="L122" s="4">
        <f>INDEX(Breakdown[],MATCH($D122,Breakdown[Dist],0),MATCH(L$4,Breakdown[#Headers],0))</f>
        <v>152305</v>
      </c>
      <c r="M122" s="4">
        <f>INDEX(Breakdown[],MATCH($D122,Breakdown[Dist],0),MATCH(M$4,Breakdown[#Headers],0))</f>
        <v>0</v>
      </c>
      <c r="N122" s="4">
        <f t="shared" si="7"/>
        <v>205984</v>
      </c>
      <c r="O122" s="15">
        <f t="shared" si="8"/>
        <v>20598</v>
      </c>
      <c r="P122" s="12"/>
      <c r="Q122" s="4">
        <f>INDEX(Breakdown[],MATCH($D122,Breakdown[Dist],0),MATCH(Q$4,Breakdown[#Headers],0))</f>
        <v>53679</v>
      </c>
      <c r="R122" s="4">
        <f>INDEX(Breakdown[],MATCH($D122,Breakdown[Dist],0),MATCH(R$4,Breakdown[#Headers],0))</f>
        <v>0</v>
      </c>
      <c r="S122" s="14">
        <f t="shared" si="9"/>
        <v>53679</v>
      </c>
      <c r="T122" s="17">
        <f t="shared" si="10"/>
        <v>131707</v>
      </c>
      <c r="U122" s="19">
        <f t="shared" si="11"/>
        <v>185386</v>
      </c>
      <c r="V122" s="12"/>
      <c r="W122" s="20">
        <f t="shared" si="12"/>
        <v>9.9998058101600118E-2</v>
      </c>
      <c r="X122" s="20">
        <f t="shared" si="13"/>
        <v>0.90000194189839988</v>
      </c>
    </row>
    <row r="123" spans="1:24" x14ac:dyDescent="0.25">
      <c r="A123" s="5">
        <v>2026</v>
      </c>
      <c r="B123" s="5" t="s">
        <v>263</v>
      </c>
      <c r="C123" s="24" t="s">
        <v>263</v>
      </c>
      <c r="D123" s="5" t="s">
        <v>281</v>
      </c>
      <c r="E123" s="22" t="s">
        <v>693</v>
      </c>
      <c r="F123" s="22" t="s">
        <v>693</v>
      </c>
      <c r="G123" s="5" t="s">
        <v>281</v>
      </c>
      <c r="H123" s="5" t="s">
        <v>606</v>
      </c>
      <c r="I123" s="4">
        <f>INDEX(Breakdown[],MATCH($D123,Breakdown[Dist],0),MATCH(I$4,Breakdown[#Headers],0))</f>
        <v>730390</v>
      </c>
      <c r="J123" s="4">
        <f>INDEX(Breakdown[],MATCH($D123,Breakdown[Dist],0),MATCH(J$4,Breakdown[#Headers],0))</f>
        <v>577417</v>
      </c>
      <c r="K123" s="4">
        <f>INDEX(Breakdown[],MATCH($D123,Breakdown[Dist],0),MATCH(K$4,Breakdown[#Headers],0))</f>
        <v>123673</v>
      </c>
      <c r="L123" s="4">
        <f>INDEX(Breakdown[],MATCH($D123,Breakdown[Dist],0),MATCH(L$4,Breakdown[#Headers],0))</f>
        <v>453744</v>
      </c>
      <c r="M123" s="4">
        <f>INDEX(Breakdown[],MATCH($D123,Breakdown[Dist],0),MATCH(M$4,Breakdown[#Headers],0))</f>
        <v>4838</v>
      </c>
      <c r="N123" s="4">
        <f t="shared" si="7"/>
        <v>611555</v>
      </c>
      <c r="O123" s="15">
        <f t="shared" si="8"/>
        <v>61156</v>
      </c>
      <c r="P123" s="12"/>
      <c r="Q123" s="4">
        <f>INDEX(Breakdown[],MATCH($D123,Breakdown[Dist],0),MATCH(Q$4,Breakdown[#Headers],0))</f>
        <v>152973</v>
      </c>
      <c r="R123" s="4">
        <f>INDEX(Breakdown[],MATCH($D123,Breakdown[Dist],0),MATCH(R$4,Breakdown[#Headers],0))</f>
        <v>4838</v>
      </c>
      <c r="S123" s="14">
        <f t="shared" si="9"/>
        <v>157811</v>
      </c>
      <c r="T123" s="17">
        <f t="shared" si="10"/>
        <v>392588</v>
      </c>
      <c r="U123" s="19">
        <f t="shared" si="11"/>
        <v>550399</v>
      </c>
      <c r="V123" s="12"/>
      <c r="W123" s="20">
        <f t="shared" si="12"/>
        <v>0.10000081758795203</v>
      </c>
      <c r="X123" s="20">
        <f t="shared" si="13"/>
        <v>0.89999918241204802</v>
      </c>
    </row>
    <row r="124" spans="1:24" x14ac:dyDescent="0.25">
      <c r="A124" s="5">
        <v>2026</v>
      </c>
      <c r="B124" s="5" t="s">
        <v>174</v>
      </c>
      <c r="C124" s="24" t="s">
        <v>174</v>
      </c>
      <c r="D124" s="5" t="s">
        <v>195</v>
      </c>
      <c r="E124" s="22" t="s">
        <v>693</v>
      </c>
      <c r="F124" s="22" t="s">
        <v>693</v>
      </c>
      <c r="G124" s="5" t="s">
        <v>195</v>
      </c>
      <c r="H124" s="5" t="s">
        <v>525</v>
      </c>
      <c r="I124" s="4">
        <f>INDEX(Breakdown[],MATCH($D124,Breakdown[Dist],0),MATCH(I$4,Breakdown[#Headers],0))</f>
        <v>118706</v>
      </c>
      <c r="J124" s="4">
        <f>INDEX(Breakdown[],MATCH($D124,Breakdown[Dist],0),MATCH(J$4,Breakdown[#Headers],0))</f>
        <v>96062</v>
      </c>
      <c r="K124" s="4">
        <f>INDEX(Breakdown[],MATCH($D124,Breakdown[Dist],0),MATCH(K$4,Breakdown[#Headers],0))</f>
        <v>20575</v>
      </c>
      <c r="L124" s="4">
        <f>INDEX(Breakdown[],MATCH($D124,Breakdown[Dist],0),MATCH(L$4,Breakdown[#Headers],0))</f>
        <v>75487</v>
      </c>
      <c r="M124" s="4">
        <f>INDEX(Breakdown[],MATCH($D124,Breakdown[Dist],0),MATCH(M$4,Breakdown[#Headers],0))</f>
        <v>0</v>
      </c>
      <c r="N124" s="4">
        <f t="shared" si="7"/>
        <v>98131</v>
      </c>
      <c r="O124" s="15">
        <f t="shared" si="8"/>
        <v>9813</v>
      </c>
      <c r="P124" s="12"/>
      <c r="Q124" s="4">
        <f>INDEX(Breakdown[],MATCH($D124,Breakdown[Dist],0),MATCH(Q$4,Breakdown[#Headers],0))</f>
        <v>22644</v>
      </c>
      <c r="R124" s="4">
        <f>INDEX(Breakdown[],MATCH($D124,Breakdown[Dist],0),MATCH(R$4,Breakdown[#Headers],0))</f>
        <v>0</v>
      </c>
      <c r="S124" s="14">
        <f t="shared" si="9"/>
        <v>22644</v>
      </c>
      <c r="T124" s="17">
        <f t="shared" si="10"/>
        <v>65674</v>
      </c>
      <c r="U124" s="19">
        <f t="shared" si="11"/>
        <v>88318</v>
      </c>
      <c r="V124" s="12"/>
      <c r="W124" s="20">
        <f t="shared" si="12"/>
        <v>9.9998980954030842E-2</v>
      </c>
      <c r="X124" s="20">
        <f t="shared" si="13"/>
        <v>0.90000101904596919</v>
      </c>
    </row>
    <row r="125" spans="1:24" x14ac:dyDescent="0.25">
      <c r="A125" s="5">
        <v>2026</v>
      </c>
      <c r="B125" s="5" t="s">
        <v>60</v>
      </c>
      <c r="C125" s="24" t="s">
        <v>60</v>
      </c>
      <c r="D125" s="5" t="s">
        <v>85</v>
      </c>
      <c r="E125" s="22" t="s">
        <v>693</v>
      </c>
      <c r="F125" s="22" t="s">
        <v>693</v>
      </c>
      <c r="G125" s="5" t="s">
        <v>85</v>
      </c>
      <c r="H125" s="5" t="s">
        <v>86</v>
      </c>
      <c r="I125" s="4">
        <f>INDEX(Breakdown[],MATCH($D125,Breakdown[Dist],0),MATCH(I$4,Breakdown[#Headers],0))</f>
        <v>100773</v>
      </c>
      <c r="J125" s="4">
        <f>INDEX(Breakdown[],MATCH($D125,Breakdown[Dist],0),MATCH(J$4,Breakdown[#Headers],0))</f>
        <v>78917</v>
      </c>
      <c r="K125" s="4">
        <f>INDEX(Breakdown[],MATCH($D125,Breakdown[Dist],0),MATCH(K$4,Breakdown[#Headers],0))</f>
        <v>16903</v>
      </c>
      <c r="L125" s="4">
        <f>INDEX(Breakdown[],MATCH($D125,Breakdown[Dist],0),MATCH(L$4,Breakdown[#Headers],0))</f>
        <v>62014</v>
      </c>
      <c r="M125" s="4">
        <f>INDEX(Breakdown[],MATCH($D125,Breakdown[Dist],0),MATCH(M$4,Breakdown[#Headers],0))</f>
        <v>4602</v>
      </c>
      <c r="N125" s="4">
        <f t="shared" si="7"/>
        <v>88472</v>
      </c>
      <c r="O125" s="15">
        <f t="shared" si="8"/>
        <v>8847</v>
      </c>
      <c r="P125" s="12"/>
      <c r="Q125" s="4">
        <f>INDEX(Breakdown[],MATCH($D125,Breakdown[Dist],0),MATCH(Q$4,Breakdown[#Headers],0))</f>
        <v>21856</v>
      </c>
      <c r="R125" s="4">
        <f>INDEX(Breakdown[],MATCH($D125,Breakdown[Dist],0),MATCH(R$4,Breakdown[#Headers],0))</f>
        <v>4602</v>
      </c>
      <c r="S125" s="14">
        <f t="shared" si="9"/>
        <v>26458</v>
      </c>
      <c r="T125" s="17">
        <f t="shared" si="10"/>
        <v>53167</v>
      </c>
      <c r="U125" s="19">
        <f t="shared" si="11"/>
        <v>79625</v>
      </c>
      <c r="V125" s="12"/>
      <c r="W125" s="20">
        <f t="shared" si="12"/>
        <v>9.9997739397775565E-2</v>
      </c>
      <c r="X125" s="20">
        <f t="shared" si="13"/>
        <v>0.90000226060222444</v>
      </c>
    </row>
    <row r="126" spans="1:24" x14ac:dyDescent="0.25">
      <c r="A126" s="5">
        <v>2026</v>
      </c>
      <c r="B126" s="5" t="s">
        <v>22</v>
      </c>
      <c r="C126" s="24" t="s">
        <v>22</v>
      </c>
      <c r="D126" s="5" t="s">
        <v>34</v>
      </c>
      <c r="E126" s="22" t="s">
        <v>693</v>
      </c>
      <c r="F126" s="22" t="s">
        <v>693</v>
      </c>
      <c r="G126" s="5" t="s">
        <v>34</v>
      </c>
      <c r="H126" s="5" t="s">
        <v>380</v>
      </c>
      <c r="I126" s="4">
        <f>INDEX(Breakdown[],MATCH($D126,Breakdown[Dist],0),MATCH(I$4,Breakdown[#Headers],0))</f>
        <v>148472</v>
      </c>
      <c r="J126" s="4">
        <f>INDEX(Breakdown[],MATCH($D126,Breakdown[Dist],0),MATCH(J$4,Breakdown[#Headers],0))</f>
        <v>114123</v>
      </c>
      <c r="K126" s="4">
        <f>INDEX(Breakdown[],MATCH($D126,Breakdown[Dist],0),MATCH(K$4,Breakdown[#Headers],0))</f>
        <v>24444</v>
      </c>
      <c r="L126" s="4">
        <f>INDEX(Breakdown[],MATCH($D126,Breakdown[Dist],0),MATCH(L$4,Breakdown[#Headers],0))</f>
        <v>89679</v>
      </c>
      <c r="M126" s="4">
        <f>INDEX(Breakdown[],MATCH($D126,Breakdown[Dist],0),MATCH(M$4,Breakdown[#Headers],0))</f>
        <v>0</v>
      </c>
      <c r="N126" s="4">
        <f t="shared" si="7"/>
        <v>124028</v>
      </c>
      <c r="O126" s="15">
        <f t="shared" si="8"/>
        <v>12403</v>
      </c>
      <c r="P126" s="12"/>
      <c r="Q126" s="4">
        <f>INDEX(Breakdown[],MATCH($D126,Breakdown[Dist],0),MATCH(Q$4,Breakdown[#Headers],0))</f>
        <v>34349</v>
      </c>
      <c r="R126" s="4">
        <f>INDEX(Breakdown[],MATCH($D126,Breakdown[Dist],0),MATCH(R$4,Breakdown[#Headers],0))</f>
        <v>0</v>
      </c>
      <c r="S126" s="14">
        <f t="shared" si="9"/>
        <v>34349</v>
      </c>
      <c r="T126" s="17">
        <f t="shared" si="10"/>
        <v>77276</v>
      </c>
      <c r="U126" s="19">
        <f t="shared" si="11"/>
        <v>111625</v>
      </c>
      <c r="V126" s="12"/>
      <c r="W126" s="20">
        <f t="shared" si="12"/>
        <v>0.10000161253910407</v>
      </c>
      <c r="X126" s="20">
        <f t="shared" si="13"/>
        <v>0.89999838746089589</v>
      </c>
    </row>
    <row r="127" spans="1:24" x14ac:dyDescent="0.25">
      <c r="A127" s="5">
        <v>2026</v>
      </c>
      <c r="B127" s="5" t="s">
        <v>22</v>
      </c>
      <c r="C127" s="24" t="s">
        <v>22</v>
      </c>
      <c r="D127" s="5" t="s">
        <v>35</v>
      </c>
      <c r="E127" s="22" t="s">
        <v>693</v>
      </c>
      <c r="F127" s="22" t="s">
        <v>693</v>
      </c>
      <c r="G127" s="5" t="s">
        <v>35</v>
      </c>
      <c r="H127" s="5" t="s">
        <v>381</v>
      </c>
      <c r="I127" s="4">
        <f>INDEX(Breakdown[],MATCH($D127,Breakdown[Dist],0),MATCH(I$4,Breakdown[#Headers],0))</f>
        <v>489326</v>
      </c>
      <c r="J127" s="4">
        <f>INDEX(Breakdown[],MATCH($D127,Breakdown[Dist],0),MATCH(J$4,Breakdown[#Headers],0))</f>
        <v>376122</v>
      </c>
      <c r="K127" s="4">
        <f>INDEX(Breakdown[],MATCH($D127,Breakdown[Dist],0),MATCH(K$4,Breakdown[#Headers],0))</f>
        <v>80560</v>
      </c>
      <c r="L127" s="4">
        <f>INDEX(Breakdown[],MATCH($D127,Breakdown[Dist],0),MATCH(L$4,Breakdown[#Headers],0))</f>
        <v>295562</v>
      </c>
      <c r="M127" s="4">
        <f>INDEX(Breakdown[],MATCH($D127,Breakdown[Dist],0),MATCH(M$4,Breakdown[#Headers],0))</f>
        <v>0</v>
      </c>
      <c r="N127" s="4">
        <f t="shared" si="7"/>
        <v>408766</v>
      </c>
      <c r="O127" s="15">
        <f t="shared" si="8"/>
        <v>40877</v>
      </c>
      <c r="P127" s="12"/>
      <c r="Q127" s="4">
        <f>INDEX(Breakdown[],MATCH($D127,Breakdown[Dist],0),MATCH(Q$4,Breakdown[#Headers],0))</f>
        <v>113204</v>
      </c>
      <c r="R127" s="4">
        <f>INDEX(Breakdown[],MATCH($D127,Breakdown[Dist],0),MATCH(R$4,Breakdown[#Headers],0))</f>
        <v>0</v>
      </c>
      <c r="S127" s="14">
        <f t="shared" si="9"/>
        <v>113204</v>
      </c>
      <c r="T127" s="17">
        <f t="shared" si="10"/>
        <v>254685</v>
      </c>
      <c r="U127" s="19">
        <f t="shared" si="11"/>
        <v>367889</v>
      </c>
      <c r="V127" s="12"/>
      <c r="W127" s="20">
        <f t="shared" si="12"/>
        <v>0.10000097855496788</v>
      </c>
      <c r="X127" s="20">
        <f t="shared" si="13"/>
        <v>0.89999902144503208</v>
      </c>
    </row>
    <row r="128" spans="1:24" x14ac:dyDescent="0.25">
      <c r="A128" s="5">
        <v>2026</v>
      </c>
      <c r="B128" s="5" t="s">
        <v>60</v>
      </c>
      <c r="C128" s="24" t="s">
        <v>60</v>
      </c>
      <c r="D128" s="5" t="s">
        <v>87</v>
      </c>
      <c r="E128" s="22" t="s">
        <v>693</v>
      </c>
      <c r="F128" s="22" t="s">
        <v>693</v>
      </c>
      <c r="G128" s="5" t="s">
        <v>87</v>
      </c>
      <c r="H128" s="5" t="s">
        <v>422</v>
      </c>
      <c r="I128" s="4">
        <f>INDEX(Breakdown[],MATCH($D128,Breakdown[Dist],0),MATCH(I$4,Breakdown[#Headers],0))</f>
        <v>607568</v>
      </c>
      <c r="J128" s="4">
        <f>INDEX(Breakdown[],MATCH($D128,Breakdown[Dist],0),MATCH(J$4,Breakdown[#Headers],0))</f>
        <v>475794</v>
      </c>
      <c r="K128" s="4">
        <f>INDEX(Breakdown[],MATCH($D128,Breakdown[Dist],0),MATCH(K$4,Breakdown[#Headers],0))</f>
        <v>101907</v>
      </c>
      <c r="L128" s="4">
        <f>INDEX(Breakdown[],MATCH($D128,Breakdown[Dist],0),MATCH(L$4,Breakdown[#Headers],0))</f>
        <v>373887</v>
      </c>
      <c r="M128" s="4">
        <f>INDEX(Breakdown[],MATCH($D128,Breakdown[Dist],0),MATCH(M$4,Breakdown[#Headers],0))</f>
        <v>0</v>
      </c>
      <c r="N128" s="4">
        <f t="shared" si="7"/>
        <v>505661</v>
      </c>
      <c r="O128" s="15">
        <f t="shared" si="8"/>
        <v>50566</v>
      </c>
      <c r="P128" s="12"/>
      <c r="Q128" s="4">
        <f>INDEX(Breakdown[],MATCH($D128,Breakdown[Dist],0),MATCH(Q$4,Breakdown[#Headers],0))</f>
        <v>131774</v>
      </c>
      <c r="R128" s="4">
        <f>INDEX(Breakdown[],MATCH($D128,Breakdown[Dist],0),MATCH(R$4,Breakdown[#Headers],0))</f>
        <v>0</v>
      </c>
      <c r="S128" s="14">
        <f t="shared" si="9"/>
        <v>131774</v>
      </c>
      <c r="T128" s="17">
        <f t="shared" si="10"/>
        <v>323321</v>
      </c>
      <c r="U128" s="19">
        <f t="shared" si="11"/>
        <v>455095</v>
      </c>
      <c r="V128" s="12"/>
      <c r="W128" s="20">
        <f t="shared" si="12"/>
        <v>9.9999802239049487E-2</v>
      </c>
      <c r="X128" s="20">
        <f t="shared" si="13"/>
        <v>0.90000019776095053</v>
      </c>
    </row>
    <row r="129" spans="1:24" x14ac:dyDescent="0.25">
      <c r="A129" s="5">
        <v>2026</v>
      </c>
      <c r="B129" s="5" t="s">
        <v>263</v>
      </c>
      <c r="C129" s="24" t="s">
        <v>263</v>
      </c>
      <c r="D129" s="5" t="s">
        <v>282</v>
      </c>
      <c r="E129" s="22" t="s">
        <v>693</v>
      </c>
      <c r="F129" s="22" t="s">
        <v>693</v>
      </c>
      <c r="G129" s="5" t="s">
        <v>282</v>
      </c>
      <c r="H129" s="5" t="s">
        <v>607</v>
      </c>
      <c r="I129" s="4">
        <f>INDEX(Breakdown[],MATCH($D129,Breakdown[Dist],0),MATCH(I$4,Breakdown[#Headers],0))</f>
        <v>184468</v>
      </c>
      <c r="J129" s="4">
        <f>INDEX(Breakdown[],MATCH($D129,Breakdown[Dist],0),MATCH(J$4,Breakdown[#Headers],0))</f>
        <v>145833</v>
      </c>
      <c r="K129" s="4">
        <f>INDEX(Breakdown[],MATCH($D129,Breakdown[Dist],0),MATCH(K$4,Breakdown[#Headers],0))</f>
        <v>31235</v>
      </c>
      <c r="L129" s="4">
        <f>INDEX(Breakdown[],MATCH($D129,Breakdown[Dist],0),MATCH(L$4,Breakdown[#Headers],0))</f>
        <v>114598</v>
      </c>
      <c r="M129" s="4">
        <f>INDEX(Breakdown[],MATCH($D129,Breakdown[Dist],0),MATCH(M$4,Breakdown[#Headers],0))</f>
        <v>6165</v>
      </c>
      <c r="N129" s="4">
        <f t="shared" si="7"/>
        <v>159398</v>
      </c>
      <c r="O129" s="15">
        <f t="shared" si="8"/>
        <v>15940</v>
      </c>
      <c r="P129" s="12"/>
      <c r="Q129" s="4">
        <f>INDEX(Breakdown[],MATCH($D129,Breakdown[Dist],0),MATCH(Q$4,Breakdown[#Headers],0))</f>
        <v>38635</v>
      </c>
      <c r="R129" s="4">
        <f>INDEX(Breakdown[],MATCH($D129,Breakdown[Dist],0),MATCH(R$4,Breakdown[#Headers],0))</f>
        <v>6165</v>
      </c>
      <c r="S129" s="14">
        <f t="shared" si="9"/>
        <v>44800</v>
      </c>
      <c r="T129" s="17">
        <f t="shared" si="10"/>
        <v>98658</v>
      </c>
      <c r="U129" s="19">
        <f t="shared" si="11"/>
        <v>143458</v>
      </c>
      <c r="V129" s="12"/>
      <c r="W129" s="20">
        <f t="shared" si="12"/>
        <v>0.10000125472088733</v>
      </c>
      <c r="X129" s="20">
        <f t="shared" si="13"/>
        <v>0.89999874527911261</v>
      </c>
    </row>
    <row r="130" spans="1:24" x14ac:dyDescent="0.25">
      <c r="A130" s="5">
        <v>2026</v>
      </c>
      <c r="B130" s="5" t="s">
        <v>60</v>
      </c>
      <c r="C130" s="24" t="s">
        <v>60</v>
      </c>
      <c r="D130" s="5" t="s">
        <v>88</v>
      </c>
      <c r="E130" s="22" t="s">
        <v>693</v>
      </c>
      <c r="F130" s="22" t="s">
        <v>693</v>
      </c>
      <c r="G130" s="5" t="s">
        <v>88</v>
      </c>
      <c r="H130" s="5" t="s">
        <v>423</v>
      </c>
      <c r="I130" s="4">
        <f>INDEX(Breakdown[],MATCH($D130,Breakdown[Dist],0),MATCH(I$4,Breakdown[#Headers],0))</f>
        <v>267678</v>
      </c>
      <c r="J130" s="4">
        <f>INDEX(Breakdown[],MATCH($D130,Breakdown[Dist],0),MATCH(J$4,Breakdown[#Headers],0))</f>
        <v>209622</v>
      </c>
      <c r="K130" s="4">
        <f>INDEX(Breakdown[],MATCH($D130,Breakdown[Dist],0),MATCH(K$4,Breakdown[#Headers],0))</f>
        <v>44898</v>
      </c>
      <c r="L130" s="4">
        <f>INDEX(Breakdown[],MATCH($D130,Breakdown[Dist],0),MATCH(L$4,Breakdown[#Headers],0))</f>
        <v>164724</v>
      </c>
      <c r="M130" s="4">
        <f>INDEX(Breakdown[],MATCH($D130,Breakdown[Dist],0),MATCH(M$4,Breakdown[#Headers],0))</f>
        <v>0</v>
      </c>
      <c r="N130" s="4">
        <f t="shared" si="7"/>
        <v>222780</v>
      </c>
      <c r="O130" s="15">
        <f t="shared" si="8"/>
        <v>22278</v>
      </c>
      <c r="P130" s="12"/>
      <c r="Q130" s="4">
        <f>INDEX(Breakdown[],MATCH($D130,Breakdown[Dist],0),MATCH(Q$4,Breakdown[#Headers],0))</f>
        <v>58056</v>
      </c>
      <c r="R130" s="4">
        <f>INDEX(Breakdown[],MATCH($D130,Breakdown[Dist],0),MATCH(R$4,Breakdown[#Headers],0))</f>
        <v>0</v>
      </c>
      <c r="S130" s="14">
        <f t="shared" si="9"/>
        <v>58056</v>
      </c>
      <c r="T130" s="17">
        <f t="shared" si="10"/>
        <v>142446</v>
      </c>
      <c r="U130" s="19">
        <f t="shared" si="11"/>
        <v>200502</v>
      </c>
      <c r="V130" s="12"/>
      <c r="W130" s="20">
        <f t="shared" si="12"/>
        <v>0.1</v>
      </c>
      <c r="X130" s="20">
        <f t="shared" si="13"/>
        <v>0.9</v>
      </c>
    </row>
    <row r="131" spans="1:24" x14ac:dyDescent="0.25">
      <c r="A131" s="5">
        <v>2026</v>
      </c>
      <c r="B131" s="5" t="s">
        <v>174</v>
      </c>
      <c r="C131" s="24" t="s">
        <v>174</v>
      </c>
      <c r="D131" s="5" t="s">
        <v>196</v>
      </c>
      <c r="E131" s="22" t="s">
        <v>693</v>
      </c>
      <c r="F131" s="22" t="s">
        <v>693</v>
      </c>
      <c r="G131" s="5" t="s">
        <v>196</v>
      </c>
      <c r="H131" s="5" t="s">
        <v>526</v>
      </c>
      <c r="I131" s="4">
        <f>INDEX(Breakdown[],MATCH($D131,Breakdown[Dist],0),MATCH(I$4,Breakdown[#Headers],0))</f>
        <v>150581</v>
      </c>
      <c r="J131" s="4">
        <f>INDEX(Breakdown[],MATCH($D131,Breakdown[Dist],0),MATCH(J$4,Breakdown[#Headers],0))</f>
        <v>121857</v>
      </c>
      <c r="K131" s="4">
        <f>INDEX(Breakdown[],MATCH($D131,Breakdown[Dist],0),MATCH(K$4,Breakdown[#Headers],0))</f>
        <v>26100</v>
      </c>
      <c r="L131" s="4">
        <f>INDEX(Breakdown[],MATCH($D131,Breakdown[Dist],0),MATCH(L$4,Breakdown[#Headers],0))</f>
        <v>95757</v>
      </c>
      <c r="M131" s="4">
        <f>INDEX(Breakdown[],MATCH($D131,Breakdown[Dist],0),MATCH(M$4,Breakdown[#Headers],0))</f>
        <v>0</v>
      </c>
      <c r="N131" s="4">
        <f t="shared" si="7"/>
        <v>124481</v>
      </c>
      <c r="O131" s="15">
        <f t="shared" si="8"/>
        <v>12448</v>
      </c>
      <c r="P131" s="12"/>
      <c r="Q131" s="4">
        <f>INDEX(Breakdown[],MATCH($D131,Breakdown[Dist],0),MATCH(Q$4,Breakdown[#Headers],0))</f>
        <v>28724</v>
      </c>
      <c r="R131" s="4">
        <f>INDEX(Breakdown[],MATCH($D131,Breakdown[Dist],0),MATCH(R$4,Breakdown[#Headers],0))</f>
        <v>0</v>
      </c>
      <c r="S131" s="14">
        <f t="shared" si="9"/>
        <v>28724</v>
      </c>
      <c r="T131" s="17">
        <f t="shared" si="10"/>
        <v>83309</v>
      </c>
      <c r="U131" s="19">
        <f t="shared" si="11"/>
        <v>112033</v>
      </c>
      <c r="V131" s="12"/>
      <c r="W131" s="20">
        <f t="shared" si="12"/>
        <v>9.9999196664551218E-2</v>
      </c>
      <c r="X131" s="20">
        <f t="shared" si="13"/>
        <v>0.90000080333544874</v>
      </c>
    </row>
    <row r="132" spans="1:24" x14ac:dyDescent="0.25">
      <c r="A132" s="5">
        <v>2026</v>
      </c>
      <c r="B132" s="5" t="s">
        <v>263</v>
      </c>
      <c r="C132" s="24" t="s">
        <v>263</v>
      </c>
      <c r="D132" s="5" t="s">
        <v>283</v>
      </c>
      <c r="E132" s="22" t="s">
        <v>693</v>
      </c>
      <c r="F132" s="22" t="s">
        <v>693</v>
      </c>
      <c r="G132" s="5" t="s">
        <v>283</v>
      </c>
      <c r="H132" s="5" t="s">
        <v>608</v>
      </c>
      <c r="I132" s="4">
        <f>INDEX(Breakdown[],MATCH($D132,Breakdown[Dist],0),MATCH(I$4,Breakdown[#Headers],0))</f>
        <v>81785</v>
      </c>
      <c r="J132" s="4">
        <f>INDEX(Breakdown[],MATCH($D132,Breakdown[Dist],0),MATCH(J$4,Breakdown[#Headers],0))</f>
        <v>64656</v>
      </c>
      <c r="K132" s="4">
        <f>INDEX(Breakdown[],MATCH($D132,Breakdown[Dist],0),MATCH(K$4,Breakdown[#Headers],0))</f>
        <v>13848</v>
      </c>
      <c r="L132" s="4">
        <f>INDEX(Breakdown[],MATCH($D132,Breakdown[Dist],0),MATCH(L$4,Breakdown[#Headers],0))</f>
        <v>50808</v>
      </c>
      <c r="M132" s="4">
        <f>INDEX(Breakdown[],MATCH($D132,Breakdown[Dist],0),MATCH(M$4,Breakdown[#Headers],0))</f>
        <v>3961</v>
      </c>
      <c r="N132" s="4">
        <f t="shared" si="7"/>
        <v>71898</v>
      </c>
      <c r="O132" s="15">
        <f t="shared" si="8"/>
        <v>7190</v>
      </c>
      <c r="P132" s="12"/>
      <c r="Q132" s="4">
        <f>INDEX(Breakdown[],MATCH($D132,Breakdown[Dist],0),MATCH(Q$4,Breakdown[#Headers],0))</f>
        <v>17129</v>
      </c>
      <c r="R132" s="4">
        <f>INDEX(Breakdown[],MATCH($D132,Breakdown[Dist],0),MATCH(R$4,Breakdown[#Headers],0))</f>
        <v>3961</v>
      </c>
      <c r="S132" s="14">
        <f t="shared" si="9"/>
        <v>21090</v>
      </c>
      <c r="T132" s="17">
        <f t="shared" si="10"/>
        <v>43618</v>
      </c>
      <c r="U132" s="19">
        <f t="shared" si="11"/>
        <v>64708</v>
      </c>
      <c r="V132" s="12"/>
      <c r="W132" s="20">
        <f t="shared" si="12"/>
        <v>0.10000278171854572</v>
      </c>
      <c r="X132" s="20">
        <f t="shared" si="13"/>
        <v>0.89999721828145429</v>
      </c>
    </row>
    <row r="133" spans="1:24" x14ac:dyDescent="0.25">
      <c r="A133" s="5">
        <v>2026</v>
      </c>
      <c r="B133" s="5" t="s">
        <v>60</v>
      </c>
      <c r="C133" s="24" t="s">
        <v>60</v>
      </c>
      <c r="D133" s="5" t="s">
        <v>89</v>
      </c>
      <c r="E133" s="22" t="s">
        <v>693</v>
      </c>
      <c r="F133" s="22" t="s">
        <v>693</v>
      </c>
      <c r="G133" s="5" t="s">
        <v>89</v>
      </c>
      <c r="H133" s="5" t="s">
        <v>424</v>
      </c>
      <c r="I133" s="4">
        <f>INDEX(Breakdown[],MATCH($D133,Breakdown[Dist],0),MATCH(I$4,Breakdown[#Headers],0))</f>
        <v>443525</v>
      </c>
      <c r="J133" s="4">
        <f>INDEX(Breakdown[],MATCH($D133,Breakdown[Dist],0),MATCH(J$4,Breakdown[#Headers],0))</f>
        <v>347329</v>
      </c>
      <c r="K133" s="4">
        <f>INDEX(Breakdown[],MATCH($D133,Breakdown[Dist],0),MATCH(K$4,Breakdown[#Headers],0))</f>
        <v>74392</v>
      </c>
      <c r="L133" s="4">
        <f>INDEX(Breakdown[],MATCH($D133,Breakdown[Dist],0),MATCH(L$4,Breakdown[#Headers],0))</f>
        <v>272937</v>
      </c>
      <c r="M133" s="4">
        <f>INDEX(Breakdown[],MATCH($D133,Breakdown[Dist],0),MATCH(M$4,Breakdown[#Headers],0))</f>
        <v>0</v>
      </c>
      <c r="N133" s="4">
        <f t="shared" si="7"/>
        <v>369133</v>
      </c>
      <c r="O133" s="15">
        <f t="shared" si="8"/>
        <v>36913</v>
      </c>
      <c r="P133" s="12"/>
      <c r="Q133" s="4">
        <f>INDEX(Breakdown[],MATCH($D133,Breakdown[Dist],0),MATCH(Q$4,Breakdown[#Headers],0))</f>
        <v>96196</v>
      </c>
      <c r="R133" s="4">
        <f>INDEX(Breakdown[],MATCH($D133,Breakdown[Dist],0),MATCH(R$4,Breakdown[#Headers],0))</f>
        <v>0</v>
      </c>
      <c r="S133" s="14">
        <f t="shared" si="9"/>
        <v>96196</v>
      </c>
      <c r="T133" s="17">
        <f t="shared" si="10"/>
        <v>236024</v>
      </c>
      <c r="U133" s="19">
        <f t="shared" si="11"/>
        <v>332220</v>
      </c>
      <c r="V133" s="12"/>
      <c r="W133" s="20">
        <f t="shared" si="12"/>
        <v>9.9999187284799784E-2</v>
      </c>
      <c r="X133" s="20">
        <f t="shared" si="13"/>
        <v>0.90000081271520016</v>
      </c>
    </row>
    <row r="134" spans="1:24" x14ac:dyDescent="0.25">
      <c r="A134" s="5">
        <v>2026</v>
      </c>
      <c r="B134" s="5" t="s">
        <v>263</v>
      </c>
      <c r="C134" s="24" t="s">
        <v>263</v>
      </c>
      <c r="D134" s="5" t="s">
        <v>284</v>
      </c>
      <c r="E134" s="22" t="s">
        <v>693</v>
      </c>
      <c r="F134" s="22" t="s">
        <v>693</v>
      </c>
      <c r="G134" s="5" t="s">
        <v>284</v>
      </c>
      <c r="H134" s="5" t="s">
        <v>609</v>
      </c>
      <c r="I134" s="4">
        <f>INDEX(Breakdown[],MATCH($D134,Breakdown[Dist],0),MATCH(I$4,Breakdown[#Headers],0))</f>
        <v>531301</v>
      </c>
      <c r="J134" s="4">
        <f>INDEX(Breakdown[],MATCH($D134,Breakdown[Dist],0),MATCH(J$4,Breakdown[#Headers],0))</f>
        <v>420025</v>
      </c>
      <c r="K134" s="4">
        <f>INDEX(Breakdown[],MATCH($D134,Breakdown[Dist],0),MATCH(K$4,Breakdown[#Headers],0))</f>
        <v>89963</v>
      </c>
      <c r="L134" s="4">
        <f>INDEX(Breakdown[],MATCH($D134,Breakdown[Dist],0),MATCH(L$4,Breakdown[#Headers],0))</f>
        <v>330062</v>
      </c>
      <c r="M134" s="4">
        <f>INDEX(Breakdown[],MATCH($D134,Breakdown[Dist],0),MATCH(M$4,Breakdown[#Headers],0))</f>
        <v>0</v>
      </c>
      <c r="N134" s="4">
        <f t="shared" ref="N134:N197" si="14">I134-K134+M134</f>
        <v>441338</v>
      </c>
      <c r="O134" s="15">
        <f t="shared" ref="O134:O197" si="15">ROUND(N134*0.1,0)</f>
        <v>44134</v>
      </c>
      <c r="P134" s="12"/>
      <c r="Q134" s="4">
        <f>INDEX(Breakdown[],MATCH($D134,Breakdown[Dist],0),MATCH(Q$4,Breakdown[#Headers],0))</f>
        <v>111276</v>
      </c>
      <c r="R134" s="4">
        <f>INDEX(Breakdown[],MATCH($D134,Breakdown[Dist],0),MATCH(R$4,Breakdown[#Headers],0))</f>
        <v>0</v>
      </c>
      <c r="S134" s="14">
        <f t="shared" ref="S134:S197" si="16">SUM(Q134:R134)</f>
        <v>111276</v>
      </c>
      <c r="T134" s="17">
        <f t="shared" ref="T134:T197" si="17">L134-O134</f>
        <v>285928</v>
      </c>
      <c r="U134" s="19">
        <f t="shared" ref="U134:U197" si="18">SUM(S134:T134)</f>
        <v>397204</v>
      </c>
      <c r="V134" s="12"/>
      <c r="W134" s="20">
        <f t="shared" ref="W134:W197" si="19">O134/N134</f>
        <v>0.10000045316741364</v>
      </c>
      <c r="X134" s="20">
        <f t="shared" ref="X134:X197" si="20">U134/N134</f>
        <v>0.89999954683258632</v>
      </c>
    </row>
    <row r="135" spans="1:24" x14ac:dyDescent="0.25">
      <c r="A135" s="5">
        <v>2026</v>
      </c>
      <c r="B135" s="5" t="s">
        <v>22</v>
      </c>
      <c r="C135" s="24" t="s">
        <v>22</v>
      </c>
      <c r="D135" s="5" t="s">
        <v>36</v>
      </c>
      <c r="E135" s="22" t="s">
        <v>693</v>
      </c>
      <c r="F135" s="22" t="s">
        <v>693</v>
      </c>
      <c r="G135" s="5" t="s">
        <v>36</v>
      </c>
      <c r="H135" s="5" t="s">
        <v>382</v>
      </c>
      <c r="I135" s="4">
        <f>INDEX(Breakdown[],MATCH($D135,Breakdown[Dist],0),MATCH(I$4,Breakdown[#Headers],0))</f>
        <v>118069</v>
      </c>
      <c r="J135" s="4">
        <f>INDEX(Breakdown[],MATCH($D135,Breakdown[Dist],0),MATCH(J$4,Breakdown[#Headers],0))</f>
        <v>90754</v>
      </c>
      <c r="K135" s="4">
        <f>INDEX(Breakdown[],MATCH($D135,Breakdown[Dist],0),MATCH(K$4,Breakdown[#Headers],0))</f>
        <v>19438</v>
      </c>
      <c r="L135" s="4">
        <f>INDEX(Breakdown[],MATCH($D135,Breakdown[Dist],0),MATCH(L$4,Breakdown[#Headers],0))</f>
        <v>71316</v>
      </c>
      <c r="M135" s="4">
        <f>INDEX(Breakdown[],MATCH($D135,Breakdown[Dist],0),MATCH(M$4,Breakdown[#Headers],0))</f>
        <v>0</v>
      </c>
      <c r="N135" s="4">
        <f t="shared" si="14"/>
        <v>98631</v>
      </c>
      <c r="O135" s="15">
        <f t="shared" si="15"/>
        <v>9863</v>
      </c>
      <c r="P135" s="12"/>
      <c r="Q135" s="4">
        <f>INDEX(Breakdown[],MATCH($D135,Breakdown[Dist],0),MATCH(Q$4,Breakdown[#Headers],0))</f>
        <v>27315</v>
      </c>
      <c r="R135" s="4">
        <f>INDEX(Breakdown[],MATCH($D135,Breakdown[Dist],0),MATCH(R$4,Breakdown[#Headers],0))</f>
        <v>0</v>
      </c>
      <c r="S135" s="14">
        <f t="shared" si="16"/>
        <v>27315</v>
      </c>
      <c r="T135" s="17">
        <f t="shared" si="17"/>
        <v>61453</v>
      </c>
      <c r="U135" s="19">
        <f t="shared" si="18"/>
        <v>88768</v>
      </c>
      <c r="V135" s="12"/>
      <c r="W135" s="20">
        <f t="shared" si="19"/>
        <v>9.9998986119982564E-2</v>
      </c>
      <c r="X135" s="20">
        <f t="shared" si="20"/>
        <v>0.90000101388001741</v>
      </c>
    </row>
    <row r="136" spans="1:24" x14ac:dyDescent="0.25">
      <c r="A136" s="5">
        <v>2026</v>
      </c>
      <c r="B136" s="5" t="s">
        <v>229</v>
      </c>
      <c r="C136" s="24" t="s">
        <v>229</v>
      </c>
      <c r="D136" s="5" t="s">
        <v>239</v>
      </c>
      <c r="E136" s="22" t="s">
        <v>693</v>
      </c>
      <c r="F136" s="22" t="s">
        <v>693</v>
      </c>
      <c r="G136" s="5" t="s">
        <v>239</v>
      </c>
      <c r="H136" s="5" t="s">
        <v>566</v>
      </c>
      <c r="I136" s="4">
        <f>INDEX(Breakdown[],MATCH($D136,Breakdown[Dist],0),MATCH(I$4,Breakdown[#Headers],0))</f>
        <v>265793</v>
      </c>
      <c r="J136" s="4">
        <f>INDEX(Breakdown[],MATCH($D136,Breakdown[Dist],0),MATCH(J$4,Breakdown[#Headers],0))</f>
        <v>206238</v>
      </c>
      <c r="K136" s="4">
        <f>INDEX(Breakdown[],MATCH($D136,Breakdown[Dist],0),MATCH(K$4,Breakdown[#Headers],0))</f>
        <v>44173</v>
      </c>
      <c r="L136" s="4">
        <f>INDEX(Breakdown[],MATCH($D136,Breakdown[Dist],0),MATCH(L$4,Breakdown[#Headers],0))</f>
        <v>162065</v>
      </c>
      <c r="M136" s="4">
        <f>INDEX(Breakdown[],MATCH($D136,Breakdown[Dist],0),MATCH(M$4,Breakdown[#Headers],0))</f>
        <v>0</v>
      </c>
      <c r="N136" s="4">
        <f t="shared" si="14"/>
        <v>221620</v>
      </c>
      <c r="O136" s="15">
        <f t="shared" si="15"/>
        <v>22162</v>
      </c>
      <c r="P136" s="12"/>
      <c r="Q136" s="4">
        <f>INDEX(Breakdown[],MATCH($D136,Breakdown[Dist],0),MATCH(Q$4,Breakdown[#Headers],0))</f>
        <v>59555</v>
      </c>
      <c r="R136" s="4">
        <f>INDEX(Breakdown[],MATCH($D136,Breakdown[Dist],0),MATCH(R$4,Breakdown[#Headers],0))</f>
        <v>0</v>
      </c>
      <c r="S136" s="14">
        <f t="shared" si="16"/>
        <v>59555</v>
      </c>
      <c r="T136" s="17">
        <f t="shared" si="17"/>
        <v>139903</v>
      </c>
      <c r="U136" s="19">
        <f t="shared" si="18"/>
        <v>199458</v>
      </c>
      <c r="V136" s="12"/>
      <c r="W136" s="20">
        <f t="shared" si="19"/>
        <v>0.1</v>
      </c>
      <c r="X136" s="20">
        <f t="shared" si="20"/>
        <v>0.9</v>
      </c>
    </row>
    <row r="137" spans="1:24" x14ac:dyDescent="0.25">
      <c r="A137" s="5">
        <v>2026</v>
      </c>
      <c r="B137" s="5" t="s">
        <v>140</v>
      </c>
      <c r="C137" s="24" t="s">
        <v>140</v>
      </c>
      <c r="D137" s="5" t="s">
        <v>151</v>
      </c>
      <c r="E137" s="22" t="s">
        <v>693</v>
      </c>
      <c r="F137" s="22" t="s">
        <v>693</v>
      </c>
      <c r="G137" s="5" t="s">
        <v>151</v>
      </c>
      <c r="H137" s="5" t="s">
        <v>484</v>
      </c>
      <c r="I137" s="4">
        <f>INDEX(Breakdown[],MATCH($D137,Breakdown[Dist],0),MATCH(I$4,Breakdown[#Headers],0))</f>
        <v>216333</v>
      </c>
      <c r="J137" s="4">
        <f>INDEX(Breakdown[],MATCH($D137,Breakdown[Dist],0),MATCH(J$4,Breakdown[#Headers],0))</f>
        <v>171495</v>
      </c>
      <c r="K137" s="4">
        <f>INDEX(Breakdown[],MATCH($D137,Breakdown[Dist],0),MATCH(K$4,Breakdown[#Headers],0))</f>
        <v>36732</v>
      </c>
      <c r="L137" s="4">
        <f>INDEX(Breakdown[],MATCH($D137,Breakdown[Dist],0),MATCH(L$4,Breakdown[#Headers],0))</f>
        <v>134763</v>
      </c>
      <c r="M137" s="4">
        <f>INDEX(Breakdown[],MATCH($D137,Breakdown[Dist],0),MATCH(M$4,Breakdown[#Headers],0))</f>
        <v>6569</v>
      </c>
      <c r="N137" s="4">
        <f t="shared" si="14"/>
        <v>186170</v>
      </c>
      <c r="O137" s="15">
        <f t="shared" si="15"/>
        <v>18617</v>
      </c>
      <c r="P137" s="12"/>
      <c r="Q137" s="4">
        <f>INDEX(Breakdown[],MATCH($D137,Breakdown[Dist],0),MATCH(Q$4,Breakdown[#Headers],0))</f>
        <v>44838</v>
      </c>
      <c r="R137" s="4">
        <f>INDEX(Breakdown[],MATCH($D137,Breakdown[Dist],0),MATCH(R$4,Breakdown[#Headers],0))</f>
        <v>6569</v>
      </c>
      <c r="S137" s="14">
        <f t="shared" si="16"/>
        <v>51407</v>
      </c>
      <c r="T137" s="17">
        <f t="shared" si="17"/>
        <v>116146</v>
      </c>
      <c r="U137" s="19">
        <f t="shared" si="18"/>
        <v>167553</v>
      </c>
      <c r="V137" s="12"/>
      <c r="W137" s="20">
        <f t="shared" si="19"/>
        <v>0.1</v>
      </c>
      <c r="X137" s="20">
        <f t="shared" si="20"/>
        <v>0.9</v>
      </c>
    </row>
    <row r="138" spans="1:24" x14ac:dyDescent="0.25">
      <c r="A138" s="5">
        <v>2026</v>
      </c>
      <c r="B138" s="5" t="s">
        <v>229</v>
      </c>
      <c r="C138" s="24" t="s">
        <v>229</v>
      </c>
      <c r="D138" s="5" t="s">
        <v>240</v>
      </c>
      <c r="E138" s="22" t="s">
        <v>693</v>
      </c>
      <c r="F138" s="22" t="s">
        <v>693</v>
      </c>
      <c r="G138" s="5" t="s">
        <v>240</v>
      </c>
      <c r="H138" s="5" t="s">
        <v>567</v>
      </c>
      <c r="I138" s="4">
        <f>INDEX(Breakdown[],MATCH($D138,Breakdown[Dist],0),MATCH(I$4,Breakdown[#Headers],0))</f>
        <v>222558</v>
      </c>
      <c r="J138" s="4">
        <f>INDEX(Breakdown[],MATCH($D138,Breakdown[Dist],0),MATCH(J$4,Breakdown[#Headers],0))</f>
        <v>172690</v>
      </c>
      <c r="K138" s="4">
        <f>INDEX(Breakdown[],MATCH($D138,Breakdown[Dist],0),MATCH(K$4,Breakdown[#Headers],0))</f>
        <v>36988</v>
      </c>
      <c r="L138" s="4">
        <f>INDEX(Breakdown[],MATCH($D138,Breakdown[Dist],0),MATCH(L$4,Breakdown[#Headers],0))</f>
        <v>135702</v>
      </c>
      <c r="M138" s="4">
        <f>INDEX(Breakdown[],MATCH($D138,Breakdown[Dist],0),MATCH(M$4,Breakdown[#Headers],0))</f>
        <v>0</v>
      </c>
      <c r="N138" s="4">
        <f t="shared" si="14"/>
        <v>185570</v>
      </c>
      <c r="O138" s="15">
        <f t="shared" si="15"/>
        <v>18557</v>
      </c>
      <c r="P138" s="12"/>
      <c r="Q138" s="4">
        <f>INDEX(Breakdown[],MATCH($D138,Breakdown[Dist],0),MATCH(Q$4,Breakdown[#Headers],0))</f>
        <v>49868</v>
      </c>
      <c r="R138" s="4">
        <f>INDEX(Breakdown[],MATCH($D138,Breakdown[Dist],0),MATCH(R$4,Breakdown[#Headers],0))</f>
        <v>0</v>
      </c>
      <c r="S138" s="14">
        <f t="shared" si="16"/>
        <v>49868</v>
      </c>
      <c r="T138" s="17">
        <f t="shared" si="17"/>
        <v>117145</v>
      </c>
      <c r="U138" s="19">
        <f t="shared" si="18"/>
        <v>167013</v>
      </c>
      <c r="V138" s="12"/>
      <c r="W138" s="20">
        <f t="shared" si="19"/>
        <v>0.1</v>
      </c>
      <c r="X138" s="20">
        <f t="shared" si="20"/>
        <v>0.9</v>
      </c>
    </row>
    <row r="139" spans="1:24" x14ac:dyDescent="0.25">
      <c r="A139" s="5">
        <v>2026</v>
      </c>
      <c r="B139" s="5" t="s">
        <v>140</v>
      </c>
      <c r="C139" s="24" t="s">
        <v>140</v>
      </c>
      <c r="D139" s="5" t="s">
        <v>152</v>
      </c>
      <c r="E139" s="22" t="s">
        <v>693</v>
      </c>
      <c r="F139" s="22" t="s">
        <v>693</v>
      </c>
      <c r="G139" s="5" t="s">
        <v>152</v>
      </c>
      <c r="H139" s="5" t="s">
        <v>153</v>
      </c>
      <c r="I139" s="4">
        <f>INDEX(Breakdown[],MATCH($D139,Breakdown[Dist],0),MATCH(I$4,Breakdown[#Headers],0))</f>
        <v>117608</v>
      </c>
      <c r="J139" s="4">
        <f>INDEX(Breakdown[],MATCH($D139,Breakdown[Dist],0),MATCH(J$4,Breakdown[#Headers],0))</f>
        <v>93233</v>
      </c>
      <c r="K139" s="4">
        <f>INDEX(Breakdown[],MATCH($D139,Breakdown[Dist],0),MATCH(K$4,Breakdown[#Headers],0))</f>
        <v>19969</v>
      </c>
      <c r="L139" s="4">
        <f>INDEX(Breakdown[],MATCH($D139,Breakdown[Dist],0),MATCH(L$4,Breakdown[#Headers],0))</f>
        <v>73264</v>
      </c>
      <c r="M139" s="4">
        <f>INDEX(Breakdown[],MATCH($D139,Breakdown[Dist],0),MATCH(M$4,Breakdown[#Headers],0))</f>
        <v>3088</v>
      </c>
      <c r="N139" s="4">
        <f t="shared" si="14"/>
        <v>100727</v>
      </c>
      <c r="O139" s="15">
        <f t="shared" si="15"/>
        <v>10073</v>
      </c>
      <c r="P139" s="12"/>
      <c r="Q139" s="4">
        <f>INDEX(Breakdown[],MATCH($D139,Breakdown[Dist],0),MATCH(Q$4,Breakdown[#Headers],0))</f>
        <v>24375</v>
      </c>
      <c r="R139" s="4">
        <f>INDEX(Breakdown[],MATCH($D139,Breakdown[Dist],0),MATCH(R$4,Breakdown[#Headers],0))</f>
        <v>3088</v>
      </c>
      <c r="S139" s="14">
        <f t="shared" si="16"/>
        <v>27463</v>
      </c>
      <c r="T139" s="17">
        <f t="shared" si="17"/>
        <v>63191</v>
      </c>
      <c r="U139" s="19">
        <f t="shared" si="18"/>
        <v>90654</v>
      </c>
      <c r="V139" s="12"/>
      <c r="W139" s="20">
        <f t="shared" si="19"/>
        <v>0.1000029783474143</v>
      </c>
      <c r="X139" s="20">
        <f t="shared" si="20"/>
        <v>0.89999702165258566</v>
      </c>
    </row>
    <row r="140" spans="1:24" x14ac:dyDescent="0.25">
      <c r="A140" s="5">
        <v>2026</v>
      </c>
      <c r="B140" s="5" t="s">
        <v>0</v>
      </c>
      <c r="C140" s="24" t="s">
        <v>0</v>
      </c>
      <c r="D140" s="5" t="s">
        <v>8</v>
      </c>
      <c r="E140" s="22" t="s">
        <v>693</v>
      </c>
      <c r="F140" s="22" t="s">
        <v>693</v>
      </c>
      <c r="G140" s="5" t="s">
        <v>8</v>
      </c>
      <c r="H140" s="5" t="s">
        <v>355</v>
      </c>
      <c r="I140" s="4">
        <f>INDEX(Breakdown[],MATCH($D140,Breakdown[Dist],0),MATCH(I$4,Breakdown[#Headers],0))</f>
        <v>475375</v>
      </c>
      <c r="J140" s="4">
        <f>INDEX(Breakdown[],MATCH($D140,Breakdown[Dist],0),MATCH(J$4,Breakdown[#Headers],0))</f>
        <v>361124</v>
      </c>
      <c r="K140" s="4">
        <f>INDEX(Breakdown[],MATCH($D140,Breakdown[Dist],0),MATCH(K$4,Breakdown[#Headers],0))</f>
        <v>77347</v>
      </c>
      <c r="L140" s="4">
        <f>INDEX(Breakdown[],MATCH($D140,Breakdown[Dist],0),MATCH(L$4,Breakdown[#Headers],0))</f>
        <v>283777</v>
      </c>
      <c r="M140" s="4">
        <f>INDEX(Breakdown[],MATCH($D140,Breakdown[Dist],0),MATCH(M$4,Breakdown[#Headers],0))</f>
        <v>0</v>
      </c>
      <c r="N140" s="4">
        <f t="shared" si="14"/>
        <v>398028</v>
      </c>
      <c r="O140" s="15">
        <f t="shared" si="15"/>
        <v>39803</v>
      </c>
      <c r="P140" s="12"/>
      <c r="Q140" s="4">
        <f>INDEX(Breakdown[],MATCH($D140,Breakdown[Dist],0),MATCH(Q$4,Breakdown[#Headers],0))</f>
        <v>114251</v>
      </c>
      <c r="R140" s="4">
        <f>INDEX(Breakdown[],MATCH($D140,Breakdown[Dist],0),MATCH(R$4,Breakdown[#Headers],0))</f>
        <v>0</v>
      </c>
      <c r="S140" s="14">
        <f t="shared" si="16"/>
        <v>114251</v>
      </c>
      <c r="T140" s="17">
        <f t="shared" si="17"/>
        <v>243974</v>
      </c>
      <c r="U140" s="19">
        <f t="shared" si="18"/>
        <v>358225</v>
      </c>
      <c r="V140" s="12"/>
      <c r="W140" s="20">
        <f t="shared" si="19"/>
        <v>0.10000050247721266</v>
      </c>
      <c r="X140" s="20">
        <f t="shared" si="20"/>
        <v>0.8999994975227873</v>
      </c>
    </row>
    <row r="141" spans="1:24" x14ac:dyDescent="0.25">
      <c r="A141" s="5">
        <v>2026</v>
      </c>
      <c r="B141" s="5" t="s">
        <v>60</v>
      </c>
      <c r="C141" s="24" t="s">
        <v>60</v>
      </c>
      <c r="D141" s="5" t="s">
        <v>90</v>
      </c>
      <c r="E141" s="22" t="s">
        <v>693</v>
      </c>
      <c r="F141" s="22" t="s">
        <v>693</v>
      </c>
      <c r="G141" s="5" t="s">
        <v>90</v>
      </c>
      <c r="H141" s="5" t="s">
        <v>425</v>
      </c>
      <c r="I141" s="4">
        <f>INDEX(Breakdown[],MATCH($D141,Breakdown[Dist],0),MATCH(I$4,Breakdown[#Headers],0))</f>
        <v>159063</v>
      </c>
      <c r="J141" s="4">
        <f>INDEX(Breakdown[],MATCH($D141,Breakdown[Dist],0),MATCH(J$4,Breakdown[#Headers],0))</f>
        <v>124564</v>
      </c>
      <c r="K141" s="4">
        <f>INDEX(Breakdown[],MATCH($D141,Breakdown[Dist],0),MATCH(K$4,Breakdown[#Headers],0))</f>
        <v>26680</v>
      </c>
      <c r="L141" s="4">
        <f>INDEX(Breakdown[],MATCH($D141,Breakdown[Dist],0),MATCH(L$4,Breakdown[#Headers],0))</f>
        <v>97884</v>
      </c>
      <c r="M141" s="4">
        <f>INDEX(Breakdown[],MATCH($D141,Breakdown[Dist],0),MATCH(M$4,Breakdown[#Headers],0))</f>
        <v>0</v>
      </c>
      <c r="N141" s="4">
        <f t="shared" si="14"/>
        <v>132383</v>
      </c>
      <c r="O141" s="15">
        <f t="shared" si="15"/>
        <v>13238</v>
      </c>
      <c r="P141" s="12"/>
      <c r="Q141" s="4">
        <f>INDEX(Breakdown[],MATCH($D141,Breakdown[Dist],0),MATCH(Q$4,Breakdown[#Headers],0))</f>
        <v>34499</v>
      </c>
      <c r="R141" s="4">
        <f>INDEX(Breakdown[],MATCH($D141,Breakdown[Dist],0),MATCH(R$4,Breakdown[#Headers],0))</f>
        <v>0</v>
      </c>
      <c r="S141" s="14">
        <f t="shared" si="16"/>
        <v>34499</v>
      </c>
      <c r="T141" s="17">
        <f t="shared" si="17"/>
        <v>84646</v>
      </c>
      <c r="U141" s="19">
        <f t="shared" si="18"/>
        <v>119145</v>
      </c>
      <c r="V141" s="12"/>
      <c r="W141" s="20">
        <f t="shared" si="19"/>
        <v>9.9997733848001633E-2</v>
      </c>
      <c r="X141" s="20">
        <f t="shared" si="20"/>
        <v>0.90000226615199841</v>
      </c>
    </row>
    <row r="142" spans="1:24" x14ac:dyDescent="0.25">
      <c r="A142" s="5">
        <v>2026</v>
      </c>
      <c r="B142" s="5" t="s">
        <v>60</v>
      </c>
      <c r="C142" s="24" t="s">
        <v>60</v>
      </c>
      <c r="D142" s="5" t="s">
        <v>91</v>
      </c>
      <c r="E142" s="22" t="s">
        <v>693</v>
      </c>
      <c r="F142" s="22" t="s">
        <v>693</v>
      </c>
      <c r="G142" s="5" t="s">
        <v>91</v>
      </c>
      <c r="H142" s="5" t="s">
        <v>426</v>
      </c>
      <c r="I142" s="4">
        <f>INDEX(Breakdown[],MATCH($D142,Breakdown[Dist],0),MATCH(I$4,Breakdown[#Headers],0))</f>
        <v>304942</v>
      </c>
      <c r="J142" s="4">
        <f>INDEX(Breakdown[],MATCH($D142,Breakdown[Dist],0),MATCH(J$4,Breakdown[#Headers],0))</f>
        <v>238803</v>
      </c>
      <c r="K142" s="4">
        <f>INDEX(Breakdown[],MATCH($D142,Breakdown[Dist],0),MATCH(K$4,Breakdown[#Headers],0))</f>
        <v>51148</v>
      </c>
      <c r="L142" s="4">
        <f>INDEX(Breakdown[],MATCH($D142,Breakdown[Dist],0),MATCH(L$4,Breakdown[#Headers],0))</f>
        <v>187655</v>
      </c>
      <c r="M142" s="4">
        <f>INDEX(Breakdown[],MATCH($D142,Breakdown[Dist],0),MATCH(M$4,Breakdown[#Headers],0))</f>
        <v>0</v>
      </c>
      <c r="N142" s="4">
        <f t="shared" si="14"/>
        <v>253794</v>
      </c>
      <c r="O142" s="15">
        <f t="shared" si="15"/>
        <v>25379</v>
      </c>
      <c r="P142" s="12"/>
      <c r="Q142" s="4">
        <f>INDEX(Breakdown[],MATCH($D142,Breakdown[Dist],0),MATCH(Q$4,Breakdown[#Headers],0))</f>
        <v>66139</v>
      </c>
      <c r="R142" s="4">
        <f>INDEX(Breakdown[],MATCH($D142,Breakdown[Dist],0),MATCH(R$4,Breakdown[#Headers],0))</f>
        <v>0</v>
      </c>
      <c r="S142" s="14">
        <f t="shared" si="16"/>
        <v>66139</v>
      </c>
      <c r="T142" s="17">
        <f t="shared" si="17"/>
        <v>162276</v>
      </c>
      <c r="U142" s="19">
        <f t="shared" si="18"/>
        <v>228415</v>
      </c>
      <c r="V142" s="12"/>
      <c r="W142" s="20">
        <f t="shared" si="19"/>
        <v>9.9998423918611162E-2</v>
      </c>
      <c r="X142" s="20">
        <f t="shared" si="20"/>
        <v>0.90000157608138887</v>
      </c>
    </row>
    <row r="143" spans="1:24" x14ac:dyDescent="0.25">
      <c r="A143" s="5">
        <v>2026</v>
      </c>
      <c r="B143" s="5" t="s">
        <v>22</v>
      </c>
      <c r="C143" s="24" t="s">
        <v>22</v>
      </c>
      <c r="D143" s="5" t="s">
        <v>37</v>
      </c>
      <c r="E143" s="22" t="s">
        <v>693</v>
      </c>
      <c r="F143" s="22" t="s">
        <v>693</v>
      </c>
      <c r="G143" s="5" t="s">
        <v>37</v>
      </c>
      <c r="H143" s="5" t="s">
        <v>383</v>
      </c>
      <c r="I143" s="4">
        <f>INDEX(Breakdown[],MATCH($D143,Breakdown[Dist],0),MATCH(I$4,Breakdown[#Headers],0))</f>
        <v>483707</v>
      </c>
      <c r="J143" s="4">
        <f>INDEX(Breakdown[],MATCH($D143,Breakdown[Dist],0),MATCH(J$4,Breakdown[#Headers],0))</f>
        <v>371802</v>
      </c>
      <c r="K143" s="4">
        <f>INDEX(Breakdown[],MATCH($D143,Breakdown[Dist],0),MATCH(K$4,Breakdown[#Headers],0))</f>
        <v>79634</v>
      </c>
      <c r="L143" s="4">
        <f>INDEX(Breakdown[],MATCH($D143,Breakdown[Dist],0),MATCH(L$4,Breakdown[#Headers],0))</f>
        <v>292168</v>
      </c>
      <c r="M143" s="4">
        <f>INDEX(Breakdown[],MATCH($D143,Breakdown[Dist],0),MATCH(M$4,Breakdown[#Headers],0))</f>
        <v>0</v>
      </c>
      <c r="N143" s="4">
        <f t="shared" si="14"/>
        <v>404073</v>
      </c>
      <c r="O143" s="15">
        <f t="shared" si="15"/>
        <v>40407</v>
      </c>
      <c r="P143" s="12"/>
      <c r="Q143" s="4">
        <f>INDEX(Breakdown[],MATCH($D143,Breakdown[Dist],0),MATCH(Q$4,Breakdown[#Headers],0))</f>
        <v>111905</v>
      </c>
      <c r="R143" s="4">
        <f>INDEX(Breakdown[],MATCH($D143,Breakdown[Dist],0),MATCH(R$4,Breakdown[#Headers],0))</f>
        <v>0</v>
      </c>
      <c r="S143" s="14">
        <f t="shared" si="16"/>
        <v>111905</v>
      </c>
      <c r="T143" s="17">
        <f t="shared" si="17"/>
        <v>251761</v>
      </c>
      <c r="U143" s="19">
        <f t="shared" si="18"/>
        <v>363666</v>
      </c>
      <c r="V143" s="12"/>
      <c r="W143" s="20">
        <f t="shared" si="19"/>
        <v>9.999925755989636E-2</v>
      </c>
      <c r="X143" s="20">
        <f t="shared" si="20"/>
        <v>0.90000074244010364</v>
      </c>
    </row>
    <row r="144" spans="1:24" x14ac:dyDescent="0.25">
      <c r="A144" s="5">
        <v>2026</v>
      </c>
      <c r="B144" s="5" t="s">
        <v>263</v>
      </c>
      <c r="C144" s="24" t="s">
        <v>263</v>
      </c>
      <c r="D144" s="5" t="s">
        <v>285</v>
      </c>
      <c r="E144" s="22" t="s">
        <v>693</v>
      </c>
      <c r="F144" s="22" t="s">
        <v>693</v>
      </c>
      <c r="G144" s="5" t="s">
        <v>285</v>
      </c>
      <c r="H144" s="5" t="s">
        <v>610</v>
      </c>
      <c r="I144" s="4">
        <f>INDEX(Breakdown[],MATCH($D144,Breakdown[Dist],0),MATCH(I$4,Breakdown[#Headers],0))</f>
        <v>273755</v>
      </c>
      <c r="J144" s="4">
        <f>INDEX(Breakdown[],MATCH($D144,Breakdown[Dist],0),MATCH(J$4,Breakdown[#Headers],0))</f>
        <v>216420</v>
      </c>
      <c r="K144" s="4">
        <f>INDEX(Breakdown[],MATCH($D144,Breakdown[Dist],0),MATCH(K$4,Breakdown[#Headers],0))</f>
        <v>46354</v>
      </c>
      <c r="L144" s="4">
        <f>INDEX(Breakdown[],MATCH($D144,Breakdown[Dist],0),MATCH(L$4,Breakdown[#Headers],0))</f>
        <v>170066</v>
      </c>
      <c r="M144" s="4">
        <f>INDEX(Breakdown[],MATCH($D144,Breakdown[Dist],0),MATCH(M$4,Breakdown[#Headers],0))</f>
        <v>0</v>
      </c>
      <c r="N144" s="4">
        <f t="shared" si="14"/>
        <v>227401</v>
      </c>
      <c r="O144" s="15">
        <f t="shared" si="15"/>
        <v>22740</v>
      </c>
      <c r="P144" s="12"/>
      <c r="Q144" s="4">
        <f>INDEX(Breakdown[],MATCH($D144,Breakdown[Dist],0),MATCH(Q$4,Breakdown[#Headers],0))</f>
        <v>57335</v>
      </c>
      <c r="R144" s="4">
        <f>INDEX(Breakdown[],MATCH($D144,Breakdown[Dist],0),MATCH(R$4,Breakdown[#Headers],0))</f>
        <v>0</v>
      </c>
      <c r="S144" s="14">
        <f t="shared" si="16"/>
        <v>57335</v>
      </c>
      <c r="T144" s="17">
        <f t="shared" si="17"/>
        <v>147326</v>
      </c>
      <c r="U144" s="19">
        <f t="shared" si="18"/>
        <v>204661</v>
      </c>
      <c r="V144" s="12"/>
      <c r="W144" s="20">
        <f t="shared" si="19"/>
        <v>9.9999560248195923E-2</v>
      </c>
      <c r="X144" s="20">
        <f t="shared" si="20"/>
        <v>0.9000004397518041</v>
      </c>
    </row>
    <row r="145" spans="1:24" x14ac:dyDescent="0.25">
      <c r="A145" s="5">
        <v>2026</v>
      </c>
      <c r="B145" s="5" t="s">
        <v>60</v>
      </c>
      <c r="C145" s="24" t="s">
        <v>60</v>
      </c>
      <c r="D145" s="5" t="s">
        <v>92</v>
      </c>
      <c r="E145" s="22" t="s">
        <v>693</v>
      </c>
      <c r="F145" s="22" t="s">
        <v>693</v>
      </c>
      <c r="G145" s="5" t="s">
        <v>92</v>
      </c>
      <c r="H145" s="5" t="s">
        <v>427</v>
      </c>
      <c r="I145" s="4">
        <f>INDEX(Breakdown[],MATCH($D145,Breakdown[Dist],0),MATCH(I$4,Breakdown[#Headers],0))</f>
        <v>540470</v>
      </c>
      <c r="J145" s="4">
        <f>INDEX(Breakdown[],MATCH($D145,Breakdown[Dist],0),MATCH(J$4,Breakdown[#Headers],0))</f>
        <v>423249</v>
      </c>
      <c r="K145" s="4">
        <f>INDEX(Breakdown[],MATCH($D145,Breakdown[Dist],0),MATCH(K$4,Breakdown[#Headers],0))</f>
        <v>90653</v>
      </c>
      <c r="L145" s="4">
        <f>INDEX(Breakdown[],MATCH($D145,Breakdown[Dist],0),MATCH(L$4,Breakdown[#Headers],0))</f>
        <v>332596</v>
      </c>
      <c r="M145" s="4">
        <f>INDEX(Breakdown[],MATCH($D145,Breakdown[Dist],0),MATCH(M$4,Breakdown[#Headers],0))</f>
        <v>0</v>
      </c>
      <c r="N145" s="4">
        <f t="shared" si="14"/>
        <v>449817</v>
      </c>
      <c r="O145" s="15">
        <f t="shared" si="15"/>
        <v>44982</v>
      </c>
      <c r="P145" s="12"/>
      <c r="Q145" s="4">
        <f>INDEX(Breakdown[],MATCH($D145,Breakdown[Dist],0),MATCH(Q$4,Breakdown[#Headers],0))</f>
        <v>117221</v>
      </c>
      <c r="R145" s="4">
        <f>INDEX(Breakdown[],MATCH($D145,Breakdown[Dist],0),MATCH(R$4,Breakdown[#Headers],0))</f>
        <v>0</v>
      </c>
      <c r="S145" s="14">
        <f t="shared" si="16"/>
        <v>117221</v>
      </c>
      <c r="T145" s="17">
        <f t="shared" si="17"/>
        <v>287614</v>
      </c>
      <c r="U145" s="19">
        <f t="shared" si="18"/>
        <v>404835</v>
      </c>
      <c r="V145" s="12"/>
      <c r="W145" s="20">
        <f t="shared" si="19"/>
        <v>0.10000066693788807</v>
      </c>
      <c r="X145" s="20">
        <f t="shared" si="20"/>
        <v>0.89999933306211188</v>
      </c>
    </row>
    <row r="146" spans="1:24" x14ac:dyDescent="0.25">
      <c r="A146" s="5">
        <v>2026</v>
      </c>
      <c r="B146" s="5" t="s">
        <v>174</v>
      </c>
      <c r="C146" s="24" t="s">
        <v>174</v>
      </c>
      <c r="D146" s="5" t="s">
        <v>197</v>
      </c>
      <c r="E146" s="22" t="s">
        <v>693</v>
      </c>
      <c r="F146" s="22" t="s">
        <v>693</v>
      </c>
      <c r="G146" s="5" t="s">
        <v>197</v>
      </c>
      <c r="H146" s="5" t="s">
        <v>527</v>
      </c>
      <c r="I146" s="4">
        <f>INDEX(Breakdown[],MATCH($D146,Breakdown[Dist],0),MATCH(I$4,Breakdown[#Headers],0))</f>
        <v>1333712</v>
      </c>
      <c r="J146" s="4">
        <f>INDEX(Breakdown[],MATCH($D146,Breakdown[Dist],0),MATCH(J$4,Breakdown[#Headers],0))</f>
        <v>1079295</v>
      </c>
      <c r="K146" s="4">
        <f>INDEX(Breakdown[],MATCH($D146,Breakdown[Dist],0),MATCH(K$4,Breakdown[#Headers],0))</f>
        <v>231167</v>
      </c>
      <c r="L146" s="4">
        <f>INDEX(Breakdown[],MATCH($D146,Breakdown[Dist],0),MATCH(L$4,Breakdown[#Headers],0))</f>
        <v>848128</v>
      </c>
      <c r="M146" s="4">
        <f>INDEX(Breakdown[],MATCH($D146,Breakdown[Dist],0),MATCH(M$4,Breakdown[#Headers],0))</f>
        <v>0</v>
      </c>
      <c r="N146" s="4">
        <f t="shared" si="14"/>
        <v>1102545</v>
      </c>
      <c r="O146" s="15">
        <f t="shared" si="15"/>
        <v>110255</v>
      </c>
      <c r="P146" s="12"/>
      <c r="Q146" s="4">
        <f>INDEX(Breakdown[],MATCH($D146,Breakdown[Dist],0),MATCH(Q$4,Breakdown[#Headers],0))</f>
        <v>254417</v>
      </c>
      <c r="R146" s="4">
        <f>INDEX(Breakdown[],MATCH($D146,Breakdown[Dist],0),MATCH(R$4,Breakdown[#Headers],0))</f>
        <v>0</v>
      </c>
      <c r="S146" s="14">
        <f t="shared" si="16"/>
        <v>254417</v>
      </c>
      <c r="T146" s="17">
        <f t="shared" si="17"/>
        <v>737873</v>
      </c>
      <c r="U146" s="19">
        <f t="shared" si="18"/>
        <v>992290</v>
      </c>
      <c r="V146" s="12"/>
      <c r="W146" s="20">
        <f t="shared" si="19"/>
        <v>0.10000045349622919</v>
      </c>
      <c r="X146" s="20">
        <f t="shared" si="20"/>
        <v>0.89999954650377079</v>
      </c>
    </row>
    <row r="147" spans="1:24" x14ac:dyDescent="0.25">
      <c r="A147" s="5">
        <v>2026</v>
      </c>
      <c r="B147" s="5" t="s">
        <v>174</v>
      </c>
      <c r="C147" s="24" t="s">
        <v>174</v>
      </c>
      <c r="D147" s="5" t="s">
        <v>198</v>
      </c>
      <c r="E147" s="22" t="s">
        <v>693</v>
      </c>
      <c r="F147" s="22" t="s">
        <v>693</v>
      </c>
      <c r="G147" s="5" t="s">
        <v>198</v>
      </c>
      <c r="H147" s="5" t="s">
        <v>528</v>
      </c>
      <c r="I147" s="4">
        <f>INDEX(Breakdown[],MATCH($D147,Breakdown[Dist],0),MATCH(I$4,Breakdown[#Headers],0))</f>
        <v>309519</v>
      </c>
      <c r="J147" s="4">
        <f>INDEX(Breakdown[],MATCH($D147,Breakdown[Dist],0),MATCH(J$4,Breakdown[#Headers],0))</f>
        <v>250476</v>
      </c>
      <c r="K147" s="4">
        <f>INDEX(Breakdown[],MATCH($D147,Breakdown[Dist],0),MATCH(K$4,Breakdown[#Headers],0))</f>
        <v>53648</v>
      </c>
      <c r="L147" s="4">
        <f>INDEX(Breakdown[],MATCH($D147,Breakdown[Dist],0),MATCH(L$4,Breakdown[#Headers],0))</f>
        <v>196828</v>
      </c>
      <c r="M147" s="4">
        <f>INDEX(Breakdown[],MATCH($D147,Breakdown[Dist],0),MATCH(M$4,Breakdown[#Headers],0))</f>
        <v>0</v>
      </c>
      <c r="N147" s="4">
        <f t="shared" si="14"/>
        <v>255871</v>
      </c>
      <c r="O147" s="15">
        <f t="shared" si="15"/>
        <v>25587</v>
      </c>
      <c r="P147" s="12"/>
      <c r="Q147" s="4">
        <f>INDEX(Breakdown[],MATCH($D147,Breakdown[Dist],0),MATCH(Q$4,Breakdown[#Headers],0))</f>
        <v>59043</v>
      </c>
      <c r="R147" s="4">
        <f>INDEX(Breakdown[],MATCH($D147,Breakdown[Dist],0),MATCH(R$4,Breakdown[#Headers],0))</f>
        <v>0</v>
      </c>
      <c r="S147" s="14">
        <f t="shared" si="16"/>
        <v>59043</v>
      </c>
      <c r="T147" s="17">
        <f t="shared" si="17"/>
        <v>171241</v>
      </c>
      <c r="U147" s="19">
        <f t="shared" si="18"/>
        <v>230284</v>
      </c>
      <c r="V147" s="12"/>
      <c r="W147" s="20">
        <f t="shared" si="19"/>
        <v>9.9999609178062387E-2</v>
      </c>
      <c r="X147" s="20">
        <f t="shared" si="20"/>
        <v>0.90000039082193761</v>
      </c>
    </row>
    <row r="148" spans="1:24" x14ac:dyDescent="0.25">
      <c r="A148" s="5">
        <v>2026</v>
      </c>
      <c r="B148" s="5" t="s">
        <v>140</v>
      </c>
      <c r="C148" s="24" t="s">
        <v>140</v>
      </c>
      <c r="D148" s="5" t="s">
        <v>154</v>
      </c>
      <c r="E148" s="22" t="s">
        <v>693</v>
      </c>
      <c r="F148" s="22" t="s">
        <v>693</v>
      </c>
      <c r="G148" s="5" t="s">
        <v>154</v>
      </c>
      <c r="H148" s="5" t="s">
        <v>485</v>
      </c>
      <c r="I148" s="4">
        <f>INDEX(Breakdown[],MATCH($D148,Breakdown[Dist],0),MATCH(I$4,Breakdown[#Headers],0))</f>
        <v>5641386</v>
      </c>
      <c r="J148" s="4">
        <f>INDEX(Breakdown[],MATCH($D148,Breakdown[Dist],0),MATCH(J$4,Breakdown[#Headers],0))</f>
        <v>4472147</v>
      </c>
      <c r="K148" s="4">
        <f>INDEX(Breakdown[],MATCH($D148,Breakdown[Dist],0),MATCH(K$4,Breakdown[#Headers],0))</f>
        <v>957862</v>
      </c>
      <c r="L148" s="4">
        <f>INDEX(Breakdown[],MATCH($D148,Breakdown[Dist],0),MATCH(L$4,Breakdown[#Headers],0))</f>
        <v>3514285</v>
      </c>
      <c r="M148" s="4">
        <f>INDEX(Breakdown[],MATCH($D148,Breakdown[Dist],0),MATCH(M$4,Breakdown[#Headers],0))</f>
        <v>0</v>
      </c>
      <c r="N148" s="4">
        <f t="shared" si="14"/>
        <v>4683524</v>
      </c>
      <c r="O148" s="15">
        <f t="shared" si="15"/>
        <v>468352</v>
      </c>
      <c r="P148" s="12"/>
      <c r="Q148" s="4">
        <f>INDEX(Breakdown[],MATCH($D148,Breakdown[Dist],0),MATCH(Q$4,Breakdown[#Headers],0))</f>
        <v>1169239</v>
      </c>
      <c r="R148" s="4">
        <f>INDEX(Breakdown[],MATCH($D148,Breakdown[Dist],0),MATCH(R$4,Breakdown[#Headers],0))</f>
        <v>0</v>
      </c>
      <c r="S148" s="14">
        <f t="shared" si="16"/>
        <v>1169239</v>
      </c>
      <c r="T148" s="17">
        <f t="shared" si="17"/>
        <v>3045933</v>
      </c>
      <c r="U148" s="19">
        <f t="shared" si="18"/>
        <v>4215172</v>
      </c>
      <c r="V148" s="12"/>
      <c r="W148" s="20">
        <f t="shared" si="19"/>
        <v>9.9999914594224346E-2</v>
      </c>
      <c r="X148" s="20">
        <f t="shared" si="20"/>
        <v>0.9000000854057757</v>
      </c>
    </row>
    <row r="149" spans="1:24" x14ac:dyDescent="0.25">
      <c r="A149" s="5">
        <v>2026</v>
      </c>
      <c r="B149" s="5" t="s">
        <v>60</v>
      </c>
      <c r="C149" s="24" t="s">
        <v>60</v>
      </c>
      <c r="D149" s="5" t="s">
        <v>93</v>
      </c>
      <c r="E149" s="22" t="s">
        <v>693</v>
      </c>
      <c r="F149" s="22" t="s">
        <v>693</v>
      </c>
      <c r="G149" s="5" t="s">
        <v>93</v>
      </c>
      <c r="H149" s="5" t="s">
        <v>428</v>
      </c>
      <c r="I149" s="4">
        <f>INDEX(Breakdown[],MATCH($D149,Breakdown[Dist],0),MATCH(I$4,Breakdown[#Headers],0))</f>
        <v>380963</v>
      </c>
      <c r="J149" s="4">
        <f>INDEX(Breakdown[],MATCH($D149,Breakdown[Dist],0),MATCH(J$4,Breakdown[#Headers],0))</f>
        <v>298337</v>
      </c>
      <c r="K149" s="4">
        <f>INDEX(Breakdown[],MATCH($D149,Breakdown[Dist],0),MATCH(K$4,Breakdown[#Headers],0))</f>
        <v>63899</v>
      </c>
      <c r="L149" s="4">
        <f>INDEX(Breakdown[],MATCH($D149,Breakdown[Dist],0),MATCH(L$4,Breakdown[#Headers],0))</f>
        <v>234438</v>
      </c>
      <c r="M149" s="4">
        <f>INDEX(Breakdown[],MATCH($D149,Breakdown[Dist],0),MATCH(M$4,Breakdown[#Headers],0))</f>
        <v>5217</v>
      </c>
      <c r="N149" s="4">
        <f t="shared" si="14"/>
        <v>322281</v>
      </c>
      <c r="O149" s="15">
        <f t="shared" si="15"/>
        <v>32228</v>
      </c>
      <c r="P149" s="12"/>
      <c r="Q149" s="4">
        <f>INDEX(Breakdown[],MATCH($D149,Breakdown[Dist],0),MATCH(Q$4,Breakdown[#Headers],0))</f>
        <v>82626</v>
      </c>
      <c r="R149" s="4">
        <f>INDEX(Breakdown[],MATCH($D149,Breakdown[Dist],0),MATCH(R$4,Breakdown[#Headers],0))</f>
        <v>5217</v>
      </c>
      <c r="S149" s="14">
        <f t="shared" si="16"/>
        <v>87843</v>
      </c>
      <c r="T149" s="17">
        <f t="shared" si="17"/>
        <v>202210</v>
      </c>
      <c r="U149" s="19">
        <f t="shared" si="18"/>
        <v>290053</v>
      </c>
      <c r="V149" s="12"/>
      <c r="W149" s="20">
        <f t="shared" si="19"/>
        <v>9.9999689711773268E-2</v>
      </c>
      <c r="X149" s="20">
        <f t="shared" si="20"/>
        <v>0.90000031028822669</v>
      </c>
    </row>
    <row r="150" spans="1:24" x14ac:dyDescent="0.25">
      <c r="A150" s="5">
        <v>2026</v>
      </c>
      <c r="B150" s="5" t="s">
        <v>140</v>
      </c>
      <c r="C150" s="24" t="s">
        <v>140</v>
      </c>
      <c r="D150" s="5" t="s">
        <v>155</v>
      </c>
      <c r="E150" s="22" t="s">
        <v>693</v>
      </c>
      <c r="F150" s="22" t="s">
        <v>693</v>
      </c>
      <c r="G150" s="5" t="s">
        <v>155</v>
      </c>
      <c r="H150" s="5" t="s">
        <v>486</v>
      </c>
      <c r="I150" s="4">
        <f>INDEX(Breakdown[],MATCH($D150,Breakdown[Dist],0),MATCH(I$4,Breakdown[#Headers],0))</f>
        <v>188661</v>
      </c>
      <c r="J150" s="4">
        <f>INDEX(Breakdown[],MATCH($D150,Breakdown[Dist],0),MATCH(J$4,Breakdown[#Headers],0))</f>
        <v>149559</v>
      </c>
      <c r="K150" s="4">
        <f>INDEX(Breakdown[],MATCH($D150,Breakdown[Dist],0),MATCH(K$4,Breakdown[#Headers],0))</f>
        <v>32033</v>
      </c>
      <c r="L150" s="4">
        <f>INDEX(Breakdown[],MATCH($D150,Breakdown[Dist],0),MATCH(L$4,Breakdown[#Headers],0))</f>
        <v>117526</v>
      </c>
      <c r="M150" s="4">
        <f>INDEX(Breakdown[],MATCH($D150,Breakdown[Dist],0),MATCH(M$4,Breakdown[#Headers],0))</f>
        <v>3338</v>
      </c>
      <c r="N150" s="4">
        <f t="shared" si="14"/>
        <v>159966</v>
      </c>
      <c r="O150" s="15">
        <f t="shared" si="15"/>
        <v>15997</v>
      </c>
      <c r="P150" s="12"/>
      <c r="Q150" s="4">
        <f>INDEX(Breakdown[],MATCH($D150,Breakdown[Dist],0),MATCH(Q$4,Breakdown[#Headers],0))</f>
        <v>39102</v>
      </c>
      <c r="R150" s="4">
        <f>INDEX(Breakdown[],MATCH($D150,Breakdown[Dist],0),MATCH(R$4,Breakdown[#Headers],0))</f>
        <v>3338</v>
      </c>
      <c r="S150" s="14">
        <f t="shared" si="16"/>
        <v>42440</v>
      </c>
      <c r="T150" s="17">
        <f t="shared" si="17"/>
        <v>101529</v>
      </c>
      <c r="U150" s="19">
        <f t="shared" si="18"/>
        <v>143969</v>
      </c>
      <c r="V150" s="12"/>
      <c r="W150" s="20">
        <f t="shared" si="19"/>
        <v>0.10000250053136292</v>
      </c>
      <c r="X150" s="20">
        <f t="shared" si="20"/>
        <v>0.89999749946863705</v>
      </c>
    </row>
    <row r="151" spans="1:24" x14ac:dyDescent="0.25">
      <c r="A151" s="5">
        <v>2026</v>
      </c>
      <c r="B151" s="5" t="s">
        <v>60</v>
      </c>
      <c r="C151" s="24" t="s">
        <v>60</v>
      </c>
      <c r="D151" s="5" t="s">
        <v>94</v>
      </c>
      <c r="E151" s="22" t="s">
        <v>693</v>
      </c>
      <c r="F151" s="22" t="s">
        <v>693</v>
      </c>
      <c r="G151" s="5" t="s">
        <v>94</v>
      </c>
      <c r="H151" s="5" t="s">
        <v>429</v>
      </c>
      <c r="I151" s="4">
        <f>INDEX(Breakdown[],MATCH($D151,Breakdown[Dist],0),MATCH(I$4,Breakdown[#Headers],0))</f>
        <v>171282</v>
      </c>
      <c r="J151" s="4">
        <f>INDEX(Breakdown[],MATCH($D151,Breakdown[Dist],0),MATCH(J$4,Breakdown[#Headers],0))</f>
        <v>134133</v>
      </c>
      <c r="K151" s="4">
        <f>INDEX(Breakdown[],MATCH($D151,Breakdown[Dist],0),MATCH(K$4,Breakdown[#Headers],0))</f>
        <v>28729</v>
      </c>
      <c r="L151" s="4">
        <f>INDEX(Breakdown[],MATCH($D151,Breakdown[Dist],0),MATCH(L$4,Breakdown[#Headers],0))</f>
        <v>105404</v>
      </c>
      <c r="M151" s="4">
        <f>INDEX(Breakdown[],MATCH($D151,Breakdown[Dist],0),MATCH(M$4,Breakdown[#Headers],0))</f>
        <v>0</v>
      </c>
      <c r="N151" s="4">
        <f t="shared" si="14"/>
        <v>142553</v>
      </c>
      <c r="O151" s="15">
        <f t="shared" si="15"/>
        <v>14255</v>
      </c>
      <c r="P151" s="12"/>
      <c r="Q151" s="4">
        <f>INDEX(Breakdown[],MATCH($D151,Breakdown[Dist],0),MATCH(Q$4,Breakdown[#Headers],0))</f>
        <v>37149</v>
      </c>
      <c r="R151" s="4">
        <f>INDEX(Breakdown[],MATCH($D151,Breakdown[Dist],0),MATCH(R$4,Breakdown[#Headers],0))</f>
        <v>0</v>
      </c>
      <c r="S151" s="14">
        <f t="shared" si="16"/>
        <v>37149</v>
      </c>
      <c r="T151" s="17">
        <f t="shared" si="17"/>
        <v>91149</v>
      </c>
      <c r="U151" s="19">
        <f t="shared" si="18"/>
        <v>128298</v>
      </c>
      <c r="V151" s="12"/>
      <c r="W151" s="20">
        <f t="shared" si="19"/>
        <v>9.9997895519561147E-2</v>
      </c>
      <c r="X151" s="20">
        <f t="shared" si="20"/>
        <v>0.90000210448043882</v>
      </c>
    </row>
    <row r="152" spans="1:24" x14ac:dyDescent="0.25">
      <c r="A152" s="5">
        <v>2026</v>
      </c>
      <c r="B152" s="5" t="s">
        <v>60</v>
      </c>
      <c r="C152" s="24" t="s">
        <v>60</v>
      </c>
      <c r="D152" s="5" t="s">
        <v>95</v>
      </c>
      <c r="E152" s="22" t="s">
        <v>693</v>
      </c>
      <c r="F152" s="22" t="s">
        <v>693</v>
      </c>
      <c r="G152" s="5" t="s">
        <v>95</v>
      </c>
      <c r="H152" s="5" t="s">
        <v>430</v>
      </c>
      <c r="I152" s="4">
        <f>INDEX(Breakdown[],MATCH($D152,Breakdown[Dist],0),MATCH(I$4,Breakdown[#Headers],0))</f>
        <v>342124</v>
      </c>
      <c r="J152" s="4">
        <f>INDEX(Breakdown[],MATCH($D152,Breakdown[Dist],0),MATCH(J$4,Breakdown[#Headers],0))</f>
        <v>267921</v>
      </c>
      <c r="K152" s="4">
        <f>INDEX(Breakdown[],MATCH($D152,Breakdown[Dist],0),MATCH(K$4,Breakdown[#Headers],0))</f>
        <v>57385</v>
      </c>
      <c r="L152" s="4">
        <f>INDEX(Breakdown[],MATCH($D152,Breakdown[Dist],0),MATCH(L$4,Breakdown[#Headers],0))</f>
        <v>210536</v>
      </c>
      <c r="M152" s="4">
        <f>INDEX(Breakdown[],MATCH($D152,Breakdown[Dist],0),MATCH(M$4,Breakdown[#Headers],0))</f>
        <v>87</v>
      </c>
      <c r="N152" s="4">
        <f t="shared" si="14"/>
        <v>284826</v>
      </c>
      <c r="O152" s="15">
        <f t="shared" si="15"/>
        <v>28483</v>
      </c>
      <c r="P152" s="12"/>
      <c r="Q152" s="4">
        <f>INDEX(Breakdown[],MATCH($D152,Breakdown[Dist],0),MATCH(Q$4,Breakdown[#Headers],0))</f>
        <v>74203</v>
      </c>
      <c r="R152" s="4">
        <f>INDEX(Breakdown[],MATCH($D152,Breakdown[Dist],0),MATCH(R$4,Breakdown[#Headers],0))</f>
        <v>87</v>
      </c>
      <c r="S152" s="14">
        <f t="shared" si="16"/>
        <v>74290</v>
      </c>
      <c r="T152" s="17">
        <f t="shared" si="17"/>
        <v>182053</v>
      </c>
      <c r="U152" s="19">
        <f t="shared" si="18"/>
        <v>256343</v>
      </c>
      <c r="V152" s="12"/>
      <c r="W152" s="20">
        <f t="shared" si="19"/>
        <v>0.10000140436617444</v>
      </c>
      <c r="X152" s="20">
        <f t="shared" si="20"/>
        <v>0.89999859563382556</v>
      </c>
    </row>
    <row r="153" spans="1:24" x14ac:dyDescent="0.25">
      <c r="A153" s="5">
        <v>2026</v>
      </c>
      <c r="B153" s="5" t="s">
        <v>174</v>
      </c>
      <c r="C153" s="24" t="s">
        <v>174</v>
      </c>
      <c r="D153" s="5" t="s">
        <v>199</v>
      </c>
      <c r="E153" s="22" t="s">
        <v>693</v>
      </c>
      <c r="F153" s="22" t="s">
        <v>693</v>
      </c>
      <c r="G153" s="5" t="s">
        <v>199</v>
      </c>
      <c r="H153" s="5" t="s">
        <v>529</v>
      </c>
      <c r="I153" s="4">
        <f>INDEX(Breakdown[],MATCH($D153,Breakdown[Dist],0),MATCH(I$4,Breakdown[#Headers],0))</f>
        <v>2572056</v>
      </c>
      <c r="J153" s="4">
        <f>INDEX(Breakdown[],MATCH($D153,Breakdown[Dist],0),MATCH(J$4,Breakdown[#Headers],0))</f>
        <v>2081415</v>
      </c>
      <c r="K153" s="4">
        <f>INDEX(Breakdown[],MATCH($D153,Breakdown[Dist],0),MATCH(K$4,Breakdown[#Headers],0))</f>
        <v>445806</v>
      </c>
      <c r="L153" s="4">
        <f>INDEX(Breakdown[],MATCH($D153,Breakdown[Dist],0),MATCH(L$4,Breakdown[#Headers],0))</f>
        <v>1635609</v>
      </c>
      <c r="M153" s="4">
        <f>INDEX(Breakdown[],MATCH($D153,Breakdown[Dist],0),MATCH(M$4,Breakdown[#Headers],0))</f>
        <v>0</v>
      </c>
      <c r="N153" s="4">
        <f t="shared" si="14"/>
        <v>2126250</v>
      </c>
      <c r="O153" s="15">
        <f t="shared" si="15"/>
        <v>212625</v>
      </c>
      <c r="P153" s="12"/>
      <c r="Q153" s="4">
        <f>INDEX(Breakdown[],MATCH($D153,Breakdown[Dist],0),MATCH(Q$4,Breakdown[#Headers],0))</f>
        <v>490641</v>
      </c>
      <c r="R153" s="4">
        <f>INDEX(Breakdown[],MATCH($D153,Breakdown[Dist],0),MATCH(R$4,Breakdown[#Headers],0))</f>
        <v>0</v>
      </c>
      <c r="S153" s="14">
        <f t="shared" si="16"/>
        <v>490641</v>
      </c>
      <c r="T153" s="17">
        <f t="shared" si="17"/>
        <v>1422984</v>
      </c>
      <c r="U153" s="19">
        <f t="shared" si="18"/>
        <v>1913625</v>
      </c>
      <c r="V153" s="12"/>
      <c r="W153" s="20">
        <f t="shared" si="19"/>
        <v>0.1</v>
      </c>
      <c r="X153" s="20">
        <f t="shared" si="20"/>
        <v>0.9</v>
      </c>
    </row>
    <row r="154" spans="1:24" x14ac:dyDescent="0.25">
      <c r="A154" s="5">
        <v>2026</v>
      </c>
      <c r="B154" s="5" t="s">
        <v>308</v>
      </c>
      <c r="C154" s="24" t="s">
        <v>308</v>
      </c>
      <c r="D154" s="5" t="s">
        <v>320</v>
      </c>
      <c r="E154" s="22" t="s">
        <v>693</v>
      </c>
      <c r="F154" s="22" t="s">
        <v>693</v>
      </c>
      <c r="G154" s="5" t="s">
        <v>320</v>
      </c>
      <c r="H154" s="5" t="s">
        <v>644</v>
      </c>
      <c r="I154" s="4">
        <f>INDEX(Breakdown[],MATCH($D154,Breakdown[Dist],0),MATCH(I$4,Breakdown[#Headers],0))</f>
        <v>745635</v>
      </c>
      <c r="J154" s="4">
        <f>INDEX(Breakdown[],MATCH($D154,Breakdown[Dist],0),MATCH(J$4,Breakdown[#Headers],0))</f>
        <v>593960</v>
      </c>
      <c r="K154" s="4">
        <f>INDEX(Breakdown[],MATCH($D154,Breakdown[Dist],0),MATCH(K$4,Breakdown[#Headers],0))</f>
        <v>127217</v>
      </c>
      <c r="L154" s="4">
        <f>INDEX(Breakdown[],MATCH($D154,Breakdown[Dist],0),MATCH(L$4,Breakdown[#Headers],0))</f>
        <v>466743</v>
      </c>
      <c r="M154" s="4">
        <f>INDEX(Breakdown[],MATCH($D154,Breakdown[Dist],0),MATCH(M$4,Breakdown[#Headers],0))</f>
        <v>0</v>
      </c>
      <c r="N154" s="4">
        <f t="shared" si="14"/>
        <v>618418</v>
      </c>
      <c r="O154" s="15">
        <f t="shared" si="15"/>
        <v>61842</v>
      </c>
      <c r="P154" s="12"/>
      <c r="Q154" s="4">
        <f>INDEX(Breakdown[],MATCH($D154,Breakdown[Dist],0),MATCH(Q$4,Breakdown[#Headers],0))</f>
        <v>151675</v>
      </c>
      <c r="R154" s="4">
        <f>INDEX(Breakdown[],MATCH($D154,Breakdown[Dist],0),MATCH(R$4,Breakdown[#Headers],0))</f>
        <v>0</v>
      </c>
      <c r="S154" s="14">
        <f t="shared" si="16"/>
        <v>151675</v>
      </c>
      <c r="T154" s="17">
        <f t="shared" si="17"/>
        <v>404901</v>
      </c>
      <c r="U154" s="19">
        <f t="shared" si="18"/>
        <v>556576</v>
      </c>
      <c r="V154" s="12"/>
      <c r="W154" s="20">
        <f t="shared" si="19"/>
        <v>0.1000003234058517</v>
      </c>
      <c r="X154" s="20">
        <f t="shared" si="20"/>
        <v>0.89999967659414826</v>
      </c>
    </row>
    <row r="155" spans="1:24" x14ac:dyDescent="0.25">
      <c r="A155" s="5">
        <v>2026</v>
      </c>
      <c r="B155" s="5" t="s">
        <v>308</v>
      </c>
      <c r="C155" s="24" t="s">
        <v>308</v>
      </c>
      <c r="D155" s="5" t="s">
        <v>321</v>
      </c>
      <c r="E155" s="22" t="s">
        <v>693</v>
      </c>
      <c r="F155" s="22" t="s">
        <v>693</v>
      </c>
      <c r="G155" s="5" t="s">
        <v>321</v>
      </c>
      <c r="H155" s="5" t="s">
        <v>645</v>
      </c>
      <c r="I155" s="4">
        <f>INDEX(Breakdown[],MATCH($D155,Breakdown[Dist],0),MATCH(I$4,Breakdown[#Headers],0))</f>
        <v>127207</v>
      </c>
      <c r="J155" s="4">
        <f>INDEX(Breakdown[],MATCH($D155,Breakdown[Dist],0),MATCH(J$4,Breakdown[#Headers],0))</f>
        <v>101331</v>
      </c>
      <c r="K155" s="4">
        <f>INDEX(Breakdown[],MATCH($D155,Breakdown[Dist],0),MATCH(K$4,Breakdown[#Headers],0))</f>
        <v>21703</v>
      </c>
      <c r="L155" s="4">
        <f>INDEX(Breakdown[],MATCH($D155,Breakdown[Dist],0),MATCH(L$4,Breakdown[#Headers],0))</f>
        <v>79628</v>
      </c>
      <c r="M155" s="4">
        <f>INDEX(Breakdown[],MATCH($D155,Breakdown[Dist],0),MATCH(M$4,Breakdown[#Headers],0))</f>
        <v>6377</v>
      </c>
      <c r="N155" s="4">
        <f t="shared" si="14"/>
        <v>111881</v>
      </c>
      <c r="O155" s="15">
        <f t="shared" si="15"/>
        <v>11188</v>
      </c>
      <c r="P155" s="12"/>
      <c r="Q155" s="4">
        <f>INDEX(Breakdown[],MATCH($D155,Breakdown[Dist],0),MATCH(Q$4,Breakdown[#Headers],0))</f>
        <v>25876</v>
      </c>
      <c r="R155" s="4">
        <f>INDEX(Breakdown[],MATCH($D155,Breakdown[Dist],0),MATCH(R$4,Breakdown[#Headers],0))</f>
        <v>6377</v>
      </c>
      <c r="S155" s="14">
        <f t="shared" si="16"/>
        <v>32253</v>
      </c>
      <c r="T155" s="17">
        <f t="shared" si="17"/>
        <v>68440</v>
      </c>
      <c r="U155" s="19">
        <f t="shared" si="18"/>
        <v>100693</v>
      </c>
      <c r="V155" s="12"/>
      <c r="W155" s="20">
        <f t="shared" si="19"/>
        <v>9.9999106193187401E-2</v>
      </c>
      <c r="X155" s="20">
        <f t="shared" si="20"/>
        <v>0.90000089380681259</v>
      </c>
    </row>
    <row r="156" spans="1:24" x14ac:dyDescent="0.25">
      <c r="A156" s="5">
        <v>2026</v>
      </c>
      <c r="B156" s="5" t="s">
        <v>229</v>
      </c>
      <c r="C156" s="24" t="s">
        <v>229</v>
      </c>
      <c r="D156" s="5" t="s">
        <v>241</v>
      </c>
      <c r="E156" s="22" t="s">
        <v>693</v>
      </c>
      <c r="F156" s="22" t="s">
        <v>693</v>
      </c>
      <c r="G156" s="5" t="s">
        <v>241</v>
      </c>
      <c r="H156" s="5" t="s">
        <v>568</v>
      </c>
      <c r="I156" s="4">
        <f>INDEX(Breakdown[],MATCH($D156,Breakdown[Dist],0),MATCH(I$4,Breakdown[#Headers],0))</f>
        <v>193682</v>
      </c>
      <c r="J156" s="4">
        <f>INDEX(Breakdown[],MATCH($D156,Breakdown[Dist],0),MATCH(J$4,Breakdown[#Headers],0))</f>
        <v>150285</v>
      </c>
      <c r="K156" s="4">
        <f>INDEX(Breakdown[],MATCH($D156,Breakdown[Dist],0),MATCH(K$4,Breakdown[#Headers],0))</f>
        <v>32188</v>
      </c>
      <c r="L156" s="4">
        <f>INDEX(Breakdown[],MATCH($D156,Breakdown[Dist],0),MATCH(L$4,Breakdown[#Headers],0))</f>
        <v>118097</v>
      </c>
      <c r="M156" s="4">
        <f>INDEX(Breakdown[],MATCH($D156,Breakdown[Dist],0),MATCH(M$4,Breakdown[#Headers],0))</f>
        <v>0</v>
      </c>
      <c r="N156" s="4">
        <f t="shared" si="14"/>
        <v>161494</v>
      </c>
      <c r="O156" s="15">
        <f t="shared" si="15"/>
        <v>16149</v>
      </c>
      <c r="P156" s="12"/>
      <c r="Q156" s="4">
        <f>INDEX(Breakdown[],MATCH($D156,Breakdown[Dist],0),MATCH(Q$4,Breakdown[#Headers],0))</f>
        <v>43397</v>
      </c>
      <c r="R156" s="4">
        <f>INDEX(Breakdown[],MATCH($D156,Breakdown[Dist],0),MATCH(R$4,Breakdown[#Headers],0))</f>
        <v>0</v>
      </c>
      <c r="S156" s="14">
        <f t="shared" si="16"/>
        <v>43397</v>
      </c>
      <c r="T156" s="17">
        <f t="shared" si="17"/>
        <v>101948</v>
      </c>
      <c r="U156" s="19">
        <f t="shared" si="18"/>
        <v>145345</v>
      </c>
      <c r="V156" s="12"/>
      <c r="W156" s="20">
        <f t="shared" si="19"/>
        <v>9.9997523127794224E-2</v>
      </c>
      <c r="X156" s="20">
        <f t="shared" si="20"/>
        <v>0.9000024768722058</v>
      </c>
    </row>
    <row r="157" spans="1:24" x14ac:dyDescent="0.25">
      <c r="A157" s="5">
        <v>2026</v>
      </c>
      <c r="B157" s="5" t="s">
        <v>174</v>
      </c>
      <c r="C157" s="24" t="s">
        <v>174</v>
      </c>
      <c r="D157" s="5" t="s">
        <v>200</v>
      </c>
      <c r="E157" s="22" t="s">
        <v>693</v>
      </c>
      <c r="F157" s="22" t="s">
        <v>693</v>
      </c>
      <c r="G157" s="5" t="s">
        <v>200</v>
      </c>
      <c r="H157" s="5" t="s">
        <v>530</v>
      </c>
      <c r="I157" s="4">
        <f>INDEX(Breakdown[],MATCH($D157,Breakdown[Dist],0),MATCH(I$4,Breakdown[#Headers],0))</f>
        <v>671117</v>
      </c>
      <c r="J157" s="4">
        <f>INDEX(Breakdown[],MATCH($D157,Breakdown[Dist],0),MATCH(J$4,Breakdown[#Headers],0))</f>
        <v>543096</v>
      </c>
      <c r="K157" s="4">
        <f>INDEX(Breakdown[],MATCH($D157,Breakdown[Dist],0),MATCH(K$4,Breakdown[#Headers],0))</f>
        <v>116323</v>
      </c>
      <c r="L157" s="4">
        <f>INDEX(Breakdown[],MATCH($D157,Breakdown[Dist],0),MATCH(L$4,Breakdown[#Headers],0))</f>
        <v>426773</v>
      </c>
      <c r="M157" s="4">
        <f>INDEX(Breakdown[],MATCH($D157,Breakdown[Dist],0),MATCH(M$4,Breakdown[#Headers],0))</f>
        <v>0</v>
      </c>
      <c r="N157" s="4">
        <f t="shared" si="14"/>
        <v>554794</v>
      </c>
      <c r="O157" s="15">
        <f t="shared" si="15"/>
        <v>55479</v>
      </c>
      <c r="P157" s="12"/>
      <c r="Q157" s="4">
        <f>INDEX(Breakdown[],MATCH($D157,Breakdown[Dist],0),MATCH(Q$4,Breakdown[#Headers],0))</f>
        <v>128021</v>
      </c>
      <c r="R157" s="4">
        <f>INDEX(Breakdown[],MATCH($D157,Breakdown[Dist],0),MATCH(R$4,Breakdown[#Headers],0))</f>
        <v>0</v>
      </c>
      <c r="S157" s="14">
        <f t="shared" si="16"/>
        <v>128021</v>
      </c>
      <c r="T157" s="17">
        <f t="shared" si="17"/>
        <v>371294</v>
      </c>
      <c r="U157" s="19">
        <f t="shared" si="18"/>
        <v>499315</v>
      </c>
      <c r="V157" s="12"/>
      <c r="W157" s="20">
        <f t="shared" si="19"/>
        <v>9.999927901166919E-2</v>
      </c>
      <c r="X157" s="20">
        <f t="shared" si="20"/>
        <v>0.90000072098833084</v>
      </c>
    </row>
    <row r="158" spans="1:24" x14ac:dyDescent="0.25">
      <c r="A158" s="5">
        <v>2026</v>
      </c>
      <c r="B158" s="5" t="s">
        <v>60</v>
      </c>
      <c r="C158" s="24" t="s">
        <v>60</v>
      </c>
      <c r="D158" s="5" t="s">
        <v>96</v>
      </c>
      <c r="E158" s="22" t="s">
        <v>693</v>
      </c>
      <c r="F158" s="22" t="s">
        <v>693</v>
      </c>
      <c r="G158" s="5" t="s">
        <v>96</v>
      </c>
      <c r="H158" s="5" t="s">
        <v>431</v>
      </c>
      <c r="I158" s="4">
        <f>INDEX(Breakdown[],MATCH($D158,Breakdown[Dist],0),MATCH(I$4,Breakdown[#Headers],0))</f>
        <v>222686</v>
      </c>
      <c r="J158" s="4">
        <f>INDEX(Breakdown[],MATCH($D158,Breakdown[Dist],0),MATCH(J$4,Breakdown[#Headers],0))</f>
        <v>174388</v>
      </c>
      <c r="K158" s="4">
        <f>INDEX(Breakdown[],MATCH($D158,Breakdown[Dist],0),MATCH(K$4,Breakdown[#Headers],0))</f>
        <v>37351</v>
      </c>
      <c r="L158" s="4">
        <f>INDEX(Breakdown[],MATCH($D158,Breakdown[Dist],0),MATCH(L$4,Breakdown[#Headers],0))</f>
        <v>137037</v>
      </c>
      <c r="M158" s="4">
        <f>INDEX(Breakdown[],MATCH($D158,Breakdown[Dist],0),MATCH(M$4,Breakdown[#Headers],0))</f>
        <v>0</v>
      </c>
      <c r="N158" s="4">
        <f t="shared" si="14"/>
        <v>185335</v>
      </c>
      <c r="O158" s="15">
        <f t="shared" si="15"/>
        <v>18534</v>
      </c>
      <c r="P158" s="12"/>
      <c r="Q158" s="4">
        <f>INDEX(Breakdown[],MATCH($D158,Breakdown[Dist],0),MATCH(Q$4,Breakdown[#Headers],0))</f>
        <v>48298</v>
      </c>
      <c r="R158" s="4">
        <f>INDEX(Breakdown[],MATCH($D158,Breakdown[Dist],0),MATCH(R$4,Breakdown[#Headers],0))</f>
        <v>0</v>
      </c>
      <c r="S158" s="14">
        <f t="shared" si="16"/>
        <v>48298</v>
      </c>
      <c r="T158" s="17">
        <f t="shared" si="17"/>
        <v>118503</v>
      </c>
      <c r="U158" s="19">
        <f t="shared" si="18"/>
        <v>166801</v>
      </c>
      <c r="V158" s="12"/>
      <c r="W158" s="20">
        <f t="shared" si="19"/>
        <v>0.10000269781746567</v>
      </c>
      <c r="X158" s="20">
        <f t="shared" si="20"/>
        <v>0.89999730218253438</v>
      </c>
    </row>
    <row r="159" spans="1:24" x14ac:dyDescent="0.25">
      <c r="A159" s="5">
        <v>2026</v>
      </c>
      <c r="B159" s="5" t="s">
        <v>263</v>
      </c>
      <c r="C159" s="24" t="s">
        <v>263</v>
      </c>
      <c r="D159" s="5" t="s">
        <v>286</v>
      </c>
      <c r="E159" s="22" t="s">
        <v>693</v>
      </c>
      <c r="F159" s="22" t="s">
        <v>693</v>
      </c>
      <c r="G159" s="5" t="s">
        <v>286</v>
      </c>
      <c r="H159" s="5" t="s">
        <v>611</v>
      </c>
      <c r="I159" s="4">
        <f>INDEX(Breakdown[],MATCH($D159,Breakdown[Dist],0),MATCH(I$4,Breakdown[#Headers],0))</f>
        <v>117926</v>
      </c>
      <c r="J159" s="4">
        <f>INDEX(Breakdown[],MATCH($D159,Breakdown[Dist],0),MATCH(J$4,Breakdown[#Headers],0))</f>
        <v>93227</v>
      </c>
      <c r="K159" s="4">
        <f>INDEX(Breakdown[],MATCH($D159,Breakdown[Dist],0),MATCH(K$4,Breakdown[#Headers],0))</f>
        <v>19968</v>
      </c>
      <c r="L159" s="4">
        <f>INDEX(Breakdown[],MATCH($D159,Breakdown[Dist],0),MATCH(L$4,Breakdown[#Headers],0))</f>
        <v>73259</v>
      </c>
      <c r="M159" s="4">
        <f>INDEX(Breakdown[],MATCH($D159,Breakdown[Dist],0),MATCH(M$4,Breakdown[#Headers],0))</f>
        <v>13292</v>
      </c>
      <c r="N159" s="4">
        <f t="shared" si="14"/>
        <v>111250</v>
      </c>
      <c r="O159" s="15">
        <f t="shared" si="15"/>
        <v>11125</v>
      </c>
      <c r="P159" s="12"/>
      <c r="Q159" s="4">
        <f>INDEX(Breakdown[],MATCH($D159,Breakdown[Dist],0),MATCH(Q$4,Breakdown[#Headers],0))</f>
        <v>24699</v>
      </c>
      <c r="R159" s="4">
        <f>INDEX(Breakdown[],MATCH($D159,Breakdown[Dist],0),MATCH(R$4,Breakdown[#Headers],0))</f>
        <v>13292</v>
      </c>
      <c r="S159" s="14">
        <f t="shared" si="16"/>
        <v>37991</v>
      </c>
      <c r="T159" s="17">
        <f t="shared" si="17"/>
        <v>62134</v>
      </c>
      <c r="U159" s="19">
        <f t="shared" si="18"/>
        <v>100125</v>
      </c>
      <c r="V159" s="12"/>
      <c r="W159" s="20">
        <f t="shared" si="19"/>
        <v>0.1</v>
      </c>
      <c r="X159" s="20">
        <f t="shared" si="20"/>
        <v>0.9</v>
      </c>
    </row>
    <row r="160" spans="1:24" x14ac:dyDescent="0.25">
      <c r="A160" s="5">
        <v>2026</v>
      </c>
      <c r="B160" s="5" t="s">
        <v>22</v>
      </c>
      <c r="C160" s="24" t="s">
        <v>22</v>
      </c>
      <c r="D160" s="5" t="s">
        <v>38</v>
      </c>
      <c r="E160" s="22" t="s">
        <v>693</v>
      </c>
      <c r="F160" s="22" t="s">
        <v>693</v>
      </c>
      <c r="G160" s="5" t="s">
        <v>38</v>
      </c>
      <c r="H160" s="5" t="s">
        <v>384</v>
      </c>
      <c r="I160" s="4">
        <f>INDEX(Breakdown[],MATCH($D160,Breakdown[Dist],0),MATCH(I$4,Breakdown[#Headers],0))</f>
        <v>129983</v>
      </c>
      <c r="J160" s="4">
        <f>INDEX(Breakdown[],MATCH($D160,Breakdown[Dist],0),MATCH(J$4,Breakdown[#Headers],0))</f>
        <v>99912</v>
      </c>
      <c r="K160" s="4">
        <f>INDEX(Breakdown[],MATCH($D160,Breakdown[Dist],0),MATCH(K$4,Breakdown[#Headers],0))</f>
        <v>21399</v>
      </c>
      <c r="L160" s="4">
        <f>INDEX(Breakdown[],MATCH($D160,Breakdown[Dist],0),MATCH(L$4,Breakdown[#Headers],0))</f>
        <v>78513</v>
      </c>
      <c r="M160" s="4">
        <f>INDEX(Breakdown[],MATCH($D160,Breakdown[Dist],0),MATCH(M$4,Breakdown[#Headers],0))</f>
        <v>3808</v>
      </c>
      <c r="N160" s="4">
        <f t="shared" si="14"/>
        <v>112392</v>
      </c>
      <c r="O160" s="15">
        <f t="shared" si="15"/>
        <v>11239</v>
      </c>
      <c r="P160" s="12"/>
      <c r="Q160" s="4">
        <f>INDEX(Breakdown[],MATCH($D160,Breakdown[Dist],0),MATCH(Q$4,Breakdown[#Headers],0))</f>
        <v>30071</v>
      </c>
      <c r="R160" s="4">
        <f>INDEX(Breakdown[],MATCH($D160,Breakdown[Dist],0),MATCH(R$4,Breakdown[#Headers],0))</f>
        <v>3808</v>
      </c>
      <c r="S160" s="14">
        <f t="shared" si="16"/>
        <v>33879</v>
      </c>
      <c r="T160" s="17">
        <f t="shared" si="17"/>
        <v>67274</v>
      </c>
      <c r="U160" s="19">
        <f t="shared" si="18"/>
        <v>101153</v>
      </c>
      <c r="V160" s="12"/>
      <c r="W160" s="20">
        <f t="shared" si="19"/>
        <v>9.9998220513915576E-2</v>
      </c>
      <c r="X160" s="20">
        <f t="shared" si="20"/>
        <v>0.9000017794860844</v>
      </c>
    </row>
    <row r="161" spans="1:24" x14ac:dyDescent="0.25">
      <c r="A161" s="5">
        <v>2026</v>
      </c>
      <c r="B161" s="5" t="s">
        <v>229</v>
      </c>
      <c r="C161" s="24" t="s">
        <v>229</v>
      </c>
      <c r="D161" s="5" t="s">
        <v>242</v>
      </c>
      <c r="E161" s="22" t="s">
        <v>693</v>
      </c>
      <c r="F161" s="22" t="s">
        <v>693</v>
      </c>
      <c r="G161" s="5" t="s">
        <v>242</v>
      </c>
      <c r="H161" s="5" t="s">
        <v>569</v>
      </c>
      <c r="I161" s="4">
        <f>INDEX(Breakdown[],MATCH($D161,Breakdown[Dist],0),MATCH(I$4,Breakdown[#Headers],0))</f>
        <v>237334</v>
      </c>
      <c r="J161" s="4">
        <f>INDEX(Breakdown[],MATCH($D161,Breakdown[Dist],0),MATCH(J$4,Breakdown[#Headers],0))</f>
        <v>184155</v>
      </c>
      <c r="K161" s="4">
        <f>INDEX(Breakdown[],MATCH($D161,Breakdown[Dist],0),MATCH(K$4,Breakdown[#Headers],0))</f>
        <v>39443</v>
      </c>
      <c r="L161" s="4">
        <f>INDEX(Breakdown[],MATCH($D161,Breakdown[Dist],0),MATCH(L$4,Breakdown[#Headers],0))</f>
        <v>144712</v>
      </c>
      <c r="M161" s="4">
        <f>INDEX(Breakdown[],MATCH($D161,Breakdown[Dist],0),MATCH(M$4,Breakdown[#Headers],0))</f>
        <v>0</v>
      </c>
      <c r="N161" s="4">
        <f t="shared" si="14"/>
        <v>197891</v>
      </c>
      <c r="O161" s="15">
        <f t="shared" si="15"/>
        <v>19789</v>
      </c>
      <c r="P161" s="12"/>
      <c r="Q161" s="4">
        <f>INDEX(Breakdown[],MATCH($D161,Breakdown[Dist],0),MATCH(Q$4,Breakdown[#Headers],0))</f>
        <v>53179</v>
      </c>
      <c r="R161" s="4">
        <f>INDEX(Breakdown[],MATCH($D161,Breakdown[Dist],0),MATCH(R$4,Breakdown[#Headers],0))</f>
        <v>0</v>
      </c>
      <c r="S161" s="14">
        <f t="shared" si="16"/>
        <v>53179</v>
      </c>
      <c r="T161" s="17">
        <f t="shared" si="17"/>
        <v>124923</v>
      </c>
      <c r="U161" s="19">
        <f t="shared" si="18"/>
        <v>178102</v>
      </c>
      <c r="V161" s="12"/>
      <c r="W161" s="20">
        <f t="shared" si="19"/>
        <v>9.9999494671308947E-2</v>
      </c>
      <c r="X161" s="20">
        <f t="shared" si="20"/>
        <v>0.90000050532869103</v>
      </c>
    </row>
    <row r="162" spans="1:24" x14ac:dyDescent="0.25">
      <c r="A162" s="5">
        <v>2026</v>
      </c>
      <c r="B162" s="5" t="s">
        <v>229</v>
      </c>
      <c r="C162" s="24" t="s">
        <v>229</v>
      </c>
      <c r="D162" s="5" t="s">
        <v>243</v>
      </c>
      <c r="E162" s="22" t="s">
        <v>693</v>
      </c>
      <c r="F162" s="22" t="s">
        <v>693</v>
      </c>
      <c r="G162" s="5" t="s">
        <v>243</v>
      </c>
      <c r="H162" s="5" t="s">
        <v>570</v>
      </c>
      <c r="I162" s="4">
        <f>INDEX(Breakdown[],MATCH($D162,Breakdown[Dist],0),MATCH(I$4,Breakdown[#Headers],0))</f>
        <v>883388</v>
      </c>
      <c r="J162" s="4">
        <f>INDEX(Breakdown[],MATCH($D162,Breakdown[Dist],0),MATCH(J$4,Breakdown[#Headers],0))</f>
        <v>685452</v>
      </c>
      <c r="K162" s="4">
        <f>INDEX(Breakdown[],MATCH($D162,Breakdown[Dist],0),MATCH(K$4,Breakdown[#Headers],0))</f>
        <v>146813</v>
      </c>
      <c r="L162" s="4">
        <f>INDEX(Breakdown[],MATCH($D162,Breakdown[Dist],0),MATCH(L$4,Breakdown[#Headers],0))</f>
        <v>538639</v>
      </c>
      <c r="M162" s="4">
        <f>INDEX(Breakdown[],MATCH($D162,Breakdown[Dist],0),MATCH(M$4,Breakdown[#Headers],0))</f>
        <v>0</v>
      </c>
      <c r="N162" s="4">
        <f t="shared" si="14"/>
        <v>736575</v>
      </c>
      <c r="O162" s="15">
        <f t="shared" si="15"/>
        <v>73658</v>
      </c>
      <c r="P162" s="12"/>
      <c r="Q162" s="4">
        <f>INDEX(Breakdown[],MATCH($D162,Breakdown[Dist],0),MATCH(Q$4,Breakdown[#Headers],0))</f>
        <v>197936</v>
      </c>
      <c r="R162" s="4">
        <f>INDEX(Breakdown[],MATCH($D162,Breakdown[Dist],0),MATCH(R$4,Breakdown[#Headers],0))</f>
        <v>0</v>
      </c>
      <c r="S162" s="14">
        <f t="shared" si="16"/>
        <v>197936</v>
      </c>
      <c r="T162" s="17">
        <f t="shared" si="17"/>
        <v>464981</v>
      </c>
      <c r="U162" s="19">
        <f t="shared" si="18"/>
        <v>662917</v>
      </c>
      <c r="V162" s="12"/>
      <c r="W162" s="20">
        <f t="shared" si="19"/>
        <v>0.10000067881749991</v>
      </c>
      <c r="X162" s="20">
        <f t="shared" si="20"/>
        <v>0.89999932118250003</v>
      </c>
    </row>
    <row r="163" spans="1:24" x14ac:dyDescent="0.25">
      <c r="A163" s="5">
        <v>2026</v>
      </c>
      <c r="B163" s="5" t="s">
        <v>263</v>
      </c>
      <c r="C163" s="24" t="s">
        <v>263</v>
      </c>
      <c r="D163" s="5" t="s">
        <v>287</v>
      </c>
      <c r="E163" s="22" t="s">
        <v>693</v>
      </c>
      <c r="F163" s="22" t="s">
        <v>693</v>
      </c>
      <c r="G163" s="5" t="s">
        <v>287</v>
      </c>
      <c r="H163" s="5" t="s">
        <v>612</v>
      </c>
      <c r="I163" s="4">
        <f>INDEX(Breakdown[],MATCH($D163,Breakdown[Dist],0),MATCH(I$4,Breakdown[#Headers],0))</f>
        <v>173886</v>
      </c>
      <c r="J163" s="4">
        <f>INDEX(Breakdown[],MATCH($D163,Breakdown[Dist],0),MATCH(J$4,Breakdown[#Headers],0))</f>
        <v>137467</v>
      </c>
      <c r="K163" s="4">
        <f>INDEX(Breakdown[],MATCH($D163,Breakdown[Dist],0),MATCH(K$4,Breakdown[#Headers],0))</f>
        <v>29444</v>
      </c>
      <c r="L163" s="4">
        <f>INDEX(Breakdown[],MATCH($D163,Breakdown[Dist],0),MATCH(L$4,Breakdown[#Headers],0))</f>
        <v>108023</v>
      </c>
      <c r="M163" s="4">
        <f>INDEX(Breakdown[],MATCH($D163,Breakdown[Dist],0),MATCH(M$4,Breakdown[#Headers],0))</f>
        <v>718</v>
      </c>
      <c r="N163" s="4">
        <f t="shared" si="14"/>
        <v>145160</v>
      </c>
      <c r="O163" s="15">
        <f t="shared" si="15"/>
        <v>14516</v>
      </c>
      <c r="P163" s="12"/>
      <c r="Q163" s="4">
        <f>INDEX(Breakdown[],MATCH($D163,Breakdown[Dist],0),MATCH(Q$4,Breakdown[#Headers],0))</f>
        <v>36419</v>
      </c>
      <c r="R163" s="4">
        <f>INDEX(Breakdown[],MATCH($D163,Breakdown[Dist],0),MATCH(R$4,Breakdown[#Headers],0))</f>
        <v>718</v>
      </c>
      <c r="S163" s="14">
        <f t="shared" si="16"/>
        <v>37137</v>
      </c>
      <c r="T163" s="17">
        <f t="shared" si="17"/>
        <v>93507</v>
      </c>
      <c r="U163" s="19">
        <f t="shared" si="18"/>
        <v>130644</v>
      </c>
      <c r="V163" s="12"/>
      <c r="W163" s="20">
        <f t="shared" si="19"/>
        <v>0.1</v>
      </c>
      <c r="X163" s="20">
        <f t="shared" si="20"/>
        <v>0.9</v>
      </c>
    </row>
    <row r="164" spans="1:24" x14ac:dyDescent="0.25">
      <c r="A164" s="5">
        <v>2026</v>
      </c>
      <c r="B164" s="5" t="s">
        <v>263</v>
      </c>
      <c r="C164" s="24" t="s">
        <v>263</v>
      </c>
      <c r="D164" s="5" t="s">
        <v>288</v>
      </c>
      <c r="E164" s="22" t="s">
        <v>693</v>
      </c>
      <c r="F164" s="22" t="s">
        <v>693</v>
      </c>
      <c r="G164" s="5" t="s">
        <v>288</v>
      </c>
      <c r="H164" s="5" t="s">
        <v>613</v>
      </c>
      <c r="I164" s="4">
        <f>INDEX(Breakdown[],MATCH($D164,Breakdown[Dist],0),MATCH(I$4,Breakdown[#Headers],0))</f>
        <v>1057676</v>
      </c>
      <c r="J164" s="4">
        <f>INDEX(Breakdown[],MATCH($D164,Breakdown[Dist],0),MATCH(J$4,Breakdown[#Headers],0))</f>
        <v>836156</v>
      </c>
      <c r="K164" s="4">
        <f>INDEX(Breakdown[],MATCH($D164,Breakdown[Dist],0),MATCH(K$4,Breakdown[#Headers],0))</f>
        <v>179091</v>
      </c>
      <c r="L164" s="4">
        <f>INDEX(Breakdown[],MATCH($D164,Breakdown[Dist],0),MATCH(L$4,Breakdown[#Headers],0))</f>
        <v>657065</v>
      </c>
      <c r="M164" s="4">
        <f>INDEX(Breakdown[],MATCH($D164,Breakdown[Dist],0),MATCH(M$4,Breakdown[#Headers],0))</f>
        <v>106</v>
      </c>
      <c r="N164" s="4">
        <f t="shared" si="14"/>
        <v>878691</v>
      </c>
      <c r="O164" s="15">
        <f t="shared" si="15"/>
        <v>87869</v>
      </c>
      <c r="P164" s="12"/>
      <c r="Q164" s="4">
        <f>INDEX(Breakdown[],MATCH($D164,Breakdown[Dist],0),MATCH(Q$4,Breakdown[#Headers],0))</f>
        <v>221520</v>
      </c>
      <c r="R164" s="4">
        <f>INDEX(Breakdown[],MATCH($D164,Breakdown[Dist],0),MATCH(R$4,Breakdown[#Headers],0))</f>
        <v>106</v>
      </c>
      <c r="S164" s="14">
        <f t="shared" si="16"/>
        <v>221626</v>
      </c>
      <c r="T164" s="17">
        <f t="shared" si="17"/>
        <v>569196</v>
      </c>
      <c r="U164" s="19">
        <f t="shared" si="18"/>
        <v>790822</v>
      </c>
      <c r="V164" s="12"/>
      <c r="W164" s="20">
        <f t="shared" si="19"/>
        <v>9.9999886194350462E-2</v>
      </c>
      <c r="X164" s="20">
        <f t="shared" si="20"/>
        <v>0.90000011380564959</v>
      </c>
    </row>
    <row r="165" spans="1:24" x14ac:dyDescent="0.25">
      <c r="A165" s="5">
        <v>2026</v>
      </c>
      <c r="B165" s="5" t="s">
        <v>140</v>
      </c>
      <c r="C165" s="24" t="s">
        <v>140</v>
      </c>
      <c r="D165" s="5" t="s">
        <v>156</v>
      </c>
      <c r="E165" s="22" t="s">
        <v>693</v>
      </c>
      <c r="F165" s="22" t="s">
        <v>693</v>
      </c>
      <c r="G165" s="5" t="s">
        <v>156</v>
      </c>
      <c r="H165" s="5" t="s">
        <v>487</v>
      </c>
      <c r="I165" s="4">
        <f>INDEX(Breakdown[],MATCH($D165,Breakdown[Dist],0),MATCH(I$4,Breakdown[#Headers],0))</f>
        <v>2893962</v>
      </c>
      <c r="J165" s="4">
        <f>INDEX(Breakdown[],MATCH($D165,Breakdown[Dist],0),MATCH(J$4,Breakdown[#Headers],0))</f>
        <v>2294156</v>
      </c>
      <c r="K165" s="4">
        <f>INDEX(Breakdown[],MATCH($D165,Breakdown[Dist],0),MATCH(K$4,Breakdown[#Headers],0))</f>
        <v>491371</v>
      </c>
      <c r="L165" s="4">
        <f>INDEX(Breakdown[],MATCH($D165,Breakdown[Dist],0),MATCH(L$4,Breakdown[#Headers],0))</f>
        <v>1802785</v>
      </c>
      <c r="M165" s="4">
        <f>INDEX(Breakdown[],MATCH($D165,Breakdown[Dist],0),MATCH(M$4,Breakdown[#Headers],0))</f>
        <v>0</v>
      </c>
      <c r="N165" s="4">
        <f t="shared" si="14"/>
        <v>2402591</v>
      </c>
      <c r="O165" s="15">
        <f t="shared" si="15"/>
        <v>240259</v>
      </c>
      <c r="P165" s="12"/>
      <c r="Q165" s="4">
        <f>INDEX(Breakdown[],MATCH($D165,Breakdown[Dist],0),MATCH(Q$4,Breakdown[#Headers],0))</f>
        <v>599806</v>
      </c>
      <c r="R165" s="4">
        <f>INDEX(Breakdown[],MATCH($D165,Breakdown[Dist],0),MATCH(R$4,Breakdown[#Headers],0))</f>
        <v>0</v>
      </c>
      <c r="S165" s="14">
        <f t="shared" si="16"/>
        <v>599806</v>
      </c>
      <c r="T165" s="17">
        <f t="shared" si="17"/>
        <v>1562526</v>
      </c>
      <c r="U165" s="19">
        <f t="shared" si="18"/>
        <v>2162332</v>
      </c>
      <c r="V165" s="12"/>
      <c r="W165" s="20">
        <f t="shared" si="19"/>
        <v>9.9999958378267459E-2</v>
      </c>
      <c r="X165" s="20">
        <f t="shared" si="20"/>
        <v>0.90000004162173253</v>
      </c>
    </row>
    <row r="166" spans="1:24" x14ac:dyDescent="0.25">
      <c r="A166" s="5">
        <v>2026</v>
      </c>
      <c r="B166" s="5" t="s">
        <v>140</v>
      </c>
      <c r="C166" s="24" t="s">
        <v>140</v>
      </c>
      <c r="D166" s="5" t="s">
        <v>157</v>
      </c>
      <c r="E166" s="22" t="s">
        <v>693</v>
      </c>
      <c r="F166" s="22" t="s">
        <v>693</v>
      </c>
      <c r="G166" s="5" t="s">
        <v>157</v>
      </c>
      <c r="H166" s="5" t="s">
        <v>488</v>
      </c>
      <c r="I166" s="4">
        <f>INDEX(Breakdown[],MATCH($D166,Breakdown[Dist],0),MATCH(I$4,Breakdown[#Headers],0))</f>
        <v>262631</v>
      </c>
      <c r="J166" s="4">
        <f>INDEX(Breakdown[],MATCH($D166,Breakdown[Dist],0),MATCH(J$4,Breakdown[#Headers],0))</f>
        <v>208198</v>
      </c>
      <c r="K166" s="4">
        <f>INDEX(Breakdown[],MATCH($D166,Breakdown[Dist],0),MATCH(K$4,Breakdown[#Headers],0))</f>
        <v>44593</v>
      </c>
      <c r="L166" s="4">
        <f>INDEX(Breakdown[],MATCH($D166,Breakdown[Dist],0),MATCH(L$4,Breakdown[#Headers],0))</f>
        <v>163605</v>
      </c>
      <c r="M166" s="4">
        <f>INDEX(Breakdown[],MATCH($D166,Breakdown[Dist],0),MATCH(M$4,Breakdown[#Headers],0))</f>
        <v>0</v>
      </c>
      <c r="N166" s="4">
        <f t="shared" si="14"/>
        <v>218038</v>
      </c>
      <c r="O166" s="15">
        <f t="shared" si="15"/>
        <v>21804</v>
      </c>
      <c r="P166" s="12"/>
      <c r="Q166" s="4">
        <f>INDEX(Breakdown[],MATCH($D166,Breakdown[Dist],0),MATCH(Q$4,Breakdown[#Headers],0))</f>
        <v>54433</v>
      </c>
      <c r="R166" s="4">
        <f>INDEX(Breakdown[],MATCH($D166,Breakdown[Dist],0),MATCH(R$4,Breakdown[#Headers],0))</f>
        <v>0</v>
      </c>
      <c r="S166" s="14">
        <f t="shared" si="16"/>
        <v>54433</v>
      </c>
      <c r="T166" s="17">
        <f t="shared" si="17"/>
        <v>141801</v>
      </c>
      <c r="U166" s="19">
        <f t="shared" si="18"/>
        <v>196234</v>
      </c>
      <c r="V166" s="12"/>
      <c r="W166" s="20">
        <f t="shared" si="19"/>
        <v>0.10000091727130134</v>
      </c>
      <c r="X166" s="20">
        <f t="shared" si="20"/>
        <v>0.89999908272869866</v>
      </c>
    </row>
    <row r="167" spans="1:24" x14ac:dyDescent="0.25">
      <c r="A167" s="5">
        <v>2026</v>
      </c>
      <c r="B167" s="5" t="s">
        <v>263</v>
      </c>
      <c r="C167" s="24" t="s">
        <v>263</v>
      </c>
      <c r="D167" s="5" t="s">
        <v>289</v>
      </c>
      <c r="E167" s="22" t="s">
        <v>693</v>
      </c>
      <c r="F167" s="22" t="s">
        <v>693</v>
      </c>
      <c r="G167" s="5" t="s">
        <v>289</v>
      </c>
      <c r="H167" s="5" t="s">
        <v>614</v>
      </c>
      <c r="I167" s="4">
        <f>INDEX(Breakdown[],MATCH($D167,Breakdown[Dist],0),MATCH(I$4,Breakdown[#Headers],0))</f>
        <v>224261</v>
      </c>
      <c r="J167" s="4">
        <f>INDEX(Breakdown[],MATCH($D167,Breakdown[Dist],0),MATCH(J$4,Breakdown[#Headers],0))</f>
        <v>177291</v>
      </c>
      <c r="K167" s="4">
        <f>INDEX(Breakdown[],MATCH($D167,Breakdown[Dist],0),MATCH(K$4,Breakdown[#Headers],0))</f>
        <v>37973</v>
      </c>
      <c r="L167" s="4">
        <f>INDEX(Breakdown[],MATCH($D167,Breakdown[Dist],0),MATCH(L$4,Breakdown[#Headers],0))</f>
        <v>139318</v>
      </c>
      <c r="M167" s="4">
        <f>INDEX(Breakdown[],MATCH($D167,Breakdown[Dist],0),MATCH(M$4,Breakdown[#Headers],0))</f>
        <v>0</v>
      </c>
      <c r="N167" s="4">
        <f t="shared" si="14"/>
        <v>186288</v>
      </c>
      <c r="O167" s="15">
        <f t="shared" si="15"/>
        <v>18629</v>
      </c>
      <c r="P167" s="12"/>
      <c r="Q167" s="4">
        <f>INDEX(Breakdown[],MATCH($D167,Breakdown[Dist],0),MATCH(Q$4,Breakdown[#Headers],0))</f>
        <v>46970</v>
      </c>
      <c r="R167" s="4">
        <f>INDEX(Breakdown[],MATCH($D167,Breakdown[Dist],0),MATCH(R$4,Breakdown[#Headers],0))</f>
        <v>0</v>
      </c>
      <c r="S167" s="14">
        <f t="shared" si="16"/>
        <v>46970</v>
      </c>
      <c r="T167" s="17">
        <f t="shared" si="17"/>
        <v>120689</v>
      </c>
      <c r="U167" s="19">
        <f t="shared" si="18"/>
        <v>167659</v>
      </c>
      <c r="V167" s="12"/>
      <c r="W167" s="20">
        <f t="shared" si="19"/>
        <v>0.10000107360645881</v>
      </c>
      <c r="X167" s="20">
        <f t="shared" si="20"/>
        <v>0.89999892639354118</v>
      </c>
    </row>
    <row r="168" spans="1:24" x14ac:dyDescent="0.25">
      <c r="A168" s="5">
        <v>2026</v>
      </c>
      <c r="B168" s="5" t="s">
        <v>140</v>
      </c>
      <c r="C168" s="24" t="s">
        <v>140</v>
      </c>
      <c r="D168" s="5" t="s">
        <v>158</v>
      </c>
      <c r="E168" s="22" t="s">
        <v>693</v>
      </c>
      <c r="F168" s="22" t="s">
        <v>693</v>
      </c>
      <c r="G168" s="5" t="s">
        <v>158</v>
      </c>
      <c r="H168" s="5" t="s">
        <v>489</v>
      </c>
      <c r="I168" s="4">
        <f>INDEX(Breakdown[],MATCH($D168,Breakdown[Dist],0),MATCH(I$4,Breakdown[#Headers],0))</f>
        <v>112383</v>
      </c>
      <c r="J168" s="4">
        <f>INDEX(Breakdown[],MATCH($D168,Breakdown[Dist],0),MATCH(J$4,Breakdown[#Headers],0))</f>
        <v>89090</v>
      </c>
      <c r="K168" s="4">
        <f>INDEX(Breakdown[],MATCH($D168,Breakdown[Dist],0),MATCH(K$4,Breakdown[#Headers],0))</f>
        <v>19081</v>
      </c>
      <c r="L168" s="4">
        <f>INDEX(Breakdown[],MATCH($D168,Breakdown[Dist],0),MATCH(L$4,Breakdown[#Headers],0))</f>
        <v>70009</v>
      </c>
      <c r="M168" s="4">
        <f>INDEX(Breakdown[],MATCH($D168,Breakdown[Dist],0),MATCH(M$4,Breakdown[#Headers],0))</f>
        <v>16215</v>
      </c>
      <c r="N168" s="4">
        <f t="shared" si="14"/>
        <v>109517</v>
      </c>
      <c r="O168" s="15">
        <f t="shared" si="15"/>
        <v>10952</v>
      </c>
      <c r="P168" s="12"/>
      <c r="Q168" s="4">
        <f>INDEX(Breakdown[],MATCH($D168,Breakdown[Dist],0),MATCH(Q$4,Breakdown[#Headers],0))</f>
        <v>23293</v>
      </c>
      <c r="R168" s="4">
        <f>INDEX(Breakdown[],MATCH($D168,Breakdown[Dist],0),MATCH(R$4,Breakdown[#Headers],0))</f>
        <v>16215</v>
      </c>
      <c r="S168" s="14">
        <f t="shared" si="16"/>
        <v>39508</v>
      </c>
      <c r="T168" s="17">
        <f t="shared" si="17"/>
        <v>59057</v>
      </c>
      <c r="U168" s="19">
        <f t="shared" si="18"/>
        <v>98565</v>
      </c>
      <c r="V168" s="12"/>
      <c r="W168" s="20">
        <f t="shared" si="19"/>
        <v>0.10000273930074782</v>
      </c>
      <c r="X168" s="20">
        <f t="shared" si="20"/>
        <v>0.89999726069925212</v>
      </c>
    </row>
    <row r="169" spans="1:24" x14ac:dyDescent="0.25">
      <c r="A169" s="5">
        <v>2026</v>
      </c>
      <c r="B169" s="5" t="s">
        <v>118</v>
      </c>
      <c r="C169" s="24" t="s">
        <v>118</v>
      </c>
      <c r="D169" s="5" t="s">
        <v>132</v>
      </c>
      <c r="E169" s="22" t="s">
        <v>693</v>
      </c>
      <c r="F169" s="22" t="s">
        <v>693</v>
      </c>
      <c r="G169" s="5" t="s">
        <v>132</v>
      </c>
      <c r="H169" s="5" t="s">
        <v>466</v>
      </c>
      <c r="I169" s="4">
        <f>INDEX(Breakdown[],MATCH($D169,Breakdown[Dist],0),MATCH(I$4,Breakdown[#Headers],0))</f>
        <v>264597</v>
      </c>
      <c r="J169" s="4">
        <f>INDEX(Breakdown[],MATCH($D169,Breakdown[Dist],0),MATCH(J$4,Breakdown[#Headers],0))</f>
        <v>208606</v>
      </c>
      <c r="K169" s="4">
        <f>INDEX(Breakdown[],MATCH($D169,Breakdown[Dist],0),MATCH(K$4,Breakdown[#Headers],0))</f>
        <v>44680</v>
      </c>
      <c r="L169" s="4">
        <f>INDEX(Breakdown[],MATCH($D169,Breakdown[Dist],0),MATCH(L$4,Breakdown[#Headers],0))</f>
        <v>163926</v>
      </c>
      <c r="M169" s="4">
        <f>INDEX(Breakdown[],MATCH($D169,Breakdown[Dist],0),MATCH(M$4,Breakdown[#Headers],0))</f>
        <v>0</v>
      </c>
      <c r="N169" s="4">
        <f t="shared" si="14"/>
        <v>219917</v>
      </c>
      <c r="O169" s="15">
        <f t="shared" si="15"/>
        <v>21992</v>
      </c>
      <c r="P169" s="12"/>
      <c r="Q169" s="4">
        <f>INDEX(Breakdown[],MATCH($D169,Breakdown[Dist],0),MATCH(Q$4,Breakdown[#Headers],0))</f>
        <v>55991</v>
      </c>
      <c r="R169" s="4">
        <f>INDEX(Breakdown[],MATCH($D169,Breakdown[Dist],0),MATCH(R$4,Breakdown[#Headers],0))</f>
        <v>0</v>
      </c>
      <c r="S169" s="14">
        <f t="shared" si="16"/>
        <v>55991</v>
      </c>
      <c r="T169" s="17">
        <f t="shared" si="17"/>
        <v>141934</v>
      </c>
      <c r="U169" s="19">
        <f t="shared" si="18"/>
        <v>197925</v>
      </c>
      <c r="V169" s="12"/>
      <c r="W169" s="20">
        <f t="shared" si="19"/>
        <v>0.10000136415102061</v>
      </c>
      <c r="X169" s="20">
        <f t="shared" si="20"/>
        <v>0.89999863584897943</v>
      </c>
    </row>
    <row r="170" spans="1:24" x14ac:dyDescent="0.25">
      <c r="A170" s="5">
        <v>2026</v>
      </c>
      <c r="B170" s="5" t="s">
        <v>174</v>
      </c>
      <c r="C170" s="24" t="s">
        <v>174</v>
      </c>
      <c r="D170" s="5" t="s">
        <v>201</v>
      </c>
      <c r="E170" s="22" t="s">
        <v>693</v>
      </c>
      <c r="F170" s="22" t="s">
        <v>693</v>
      </c>
      <c r="G170" s="5" t="s">
        <v>201</v>
      </c>
      <c r="H170" s="5" t="s">
        <v>531</v>
      </c>
      <c r="I170" s="4">
        <f>INDEX(Breakdown[],MATCH($D170,Breakdown[Dist],0),MATCH(I$4,Breakdown[#Headers],0))</f>
        <v>164800</v>
      </c>
      <c r="J170" s="4">
        <f>INDEX(Breakdown[],MATCH($D170,Breakdown[Dist],0),MATCH(J$4,Breakdown[#Headers],0))</f>
        <v>133363</v>
      </c>
      <c r="K170" s="4">
        <f>INDEX(Breakdown[],MATCH($D170,Breakdown[Dist],0),MATCH(K$4,Breakdown[#Headers],0))</f>
        <v>28565</v>
      </c>
      <c r="L170" s="4">
        <f>INDEX(Breakdown[],MATCH($D170,Breakdown[Dist],0),MATCH(L$4,Breakdown[#Headers],0))</f>
        <v>104798</v>
      </c>
      <c r="M170" s="4">
        <f>INDEX(Breakdown[],MATCH($D170,Breakdown[Dist],0),MATCH(M$4,Breakdown[#Headers],0))</f>
        <v>903</v>
      </c>
      <c r="N170" s="4">
        <f t="shared" si="14"/>
        <v>137138</v>
      </c>
      <c r="O170" s="15">
        <f t="shared" si="15"/>
        <v>13714</v>
      </c>
      <c r="P170" s="12"/>
      <c r="Q170" s="4">
        <f>INDEX(Breakdown[],MATCH($D170,Breakdown[Dist],0),MATCH(Q$4,Breakdown[#Headers],0))</f>
        <v>31437</v>
      </c>
      <c r="R170" s="4">
        <f>INDEX(Breakdown[],MATCH($D170,Breakdown[Dist],0),MATCH(R$4,Breakdown[#Headers],0))</f>
        <v>903</v>
      </c>
      <c r="S170" s="14">
        <f t="shared" si="16"/>
        <v>32340</v>
      </c>
      <c r="T170" s="17">
        <f t="shared" si="17"/>
        <v>91084</v>
      </c>
      <c r="U170" s="19">
        <f t="shared" si="18"/>
        <v>123424</v>
      </c>
      <c r="V170" s="12"/>
      <c r="W170" s="20">
        <f t="shared" si="19"/>
        <v>0.10000145838498446</v>
      </c>
      <c r="X170" s="20">
        <f t="shared" si="20"/>
        <v>0.89999854161501558</v>
      </c>
    </row>
    <row r="171" spans="1:24" x14ac:dyDescent="0.25">
      <c r="A171" s="5">
        <v>2026</v>
      </c>
      <c r="B171" s="5" t="s">
        <v>174</v>
      </c>
      <c r="C171" s="24" t="s">
        <v>174</v>
      </c>
      <c r="D171" s="5" t="s">
        <v>202</v>
      </c>
      <c r="E171" s="22" t="s">
        <v>693</v>
      </c>
      <c r="F171" s="22" t="s">
        <v>693</v>
      </c>
      <c r="G171" s="5" t="s">
        <v>202</v>
      </c>
      <c r="H171" s="5" t="s">
        <v>532</v>
      </c>
      <c r="I171" s="4">
        <f>INDEX(Breakdown[],MATCH($D171,Breakdown[Dist],0),MATCH(I$4,Breakdown[#Headers],0))</f>
        <v>236276</v>
      </c>
      <c r="J171" s="4">
        <f>INDEX(Breakdown[],MATCH($D171,Breakdown[Dist],0),MATCH(J$4,Breakdown[#Headers],0))</f>
        <v>191205</v>
      </c>
      <c r="K171" s="4">
        <f>INDEX(Breakdown[],MATCH($D171,Breakdown[Dist],0),MATCH(K$4,Breakdown[#Headers],0))</f>
        <v>40953</v>
      </c>
      <c r="L171" s="4">
        <f>INDEX(Breakdown[],MATCH($D171,Breakdown[Dist],0),MATCH(L$4,Breakdown[#Headers],0))</f>
        <v>150252</v>
      </c>
      <c r="M171" s="4">
        <f>INDEX(Breakdown[],MATCH($D171,Breakdown[Dist],0),MATCH(M$4,Breakdown[#Headers],0))</f>
        <v>9532</v>
      </c>
      <c r="N171" s="4">
        <f t="shared" si="14"/>
        <v>204855</v>
      </c>
      <c r="O171" s="15">
        <f t="shared" si="15"/>
        <v>20486</v>
      </c>
      <c r="P171" s="12"/>
      <c r="Q171" s="4">
        <f>INDEX(Breakdown[],MATCH($D171,Breakdown[Dist],0),MATCH(Q$4,Breakdown[#Headers],0))</f>
        <v>45071</v>
      </c>
      <c r="R171" s="4">
        <f>INDEX(Breakdown[],MATCH($D171,Breakdown[Dist],0),MATCH(R$4,Breakdown[#Headers],0))</f>
        <v>9532</v>
      </c>
      <c r="S171" s="14">
        <f t="shared" si="16"/>
        <v>54603</v>
      </c>
      <c r="T171" s="17">
        <f t="shared" si="17"/>
        <v>129766</v>
      </c>
      <c r="U171" s="19">
        <f t="shared" si="18"/>
        <v>184369</v>
      </c>
      <c r="V171" s="12"/>
      <c r="W171" s="20">
        <f t="shared" si="19"/>
        <v>0.10000244075077494</v>
      </c>
      <c r="X171" s="20">
        <f t="shared" si="20"/>
        <v>0.89999755924922509</v>
      </c>
    </row>
    <row r="172" spans="1:24" x14ac:dyDescent="0.25">
      <c r="A172" s="5">
        <v>2026</v>
      </c>
      <c r="B172" s="5" t="s">
        <v>22</v>
      </c>
      <c r="C172" s="24" t="s">
        <v>22</v>
      </c>
      <c r="D172" s="5" t="s">
        <v>39</v>
      </c>
      <c r="E172" s="22" t="s">
        <v>693</v>
      </c>
      <c r="F172" s="22" t="s">
        <v>693</v>
      </c>
      <c r="G172" s="5" t="s">
        <v>39</v>
      </c>
      <c r="H172" s="5" t="s">
        <v>385</v>
      </c>
      <c r="I172" s="4">
        <f>INDEX(Breakdown[],MATCH($D172,Breakdown[Dist],0),MATCH(I$4,Breakdown[#Headers],0))</f>
        <v>260021</v>
      </c>
      <c r="J172" s="4">
        <f>INDEX(Breakdown[],MATCH($D172,Breakdown[Dist],0),MATCH(J$4,Breakdown[#Headers],0))</f>
        <v>199865</v>
      </c>
      <c r="K172" s="4">
        <f>INDEX(Breakdown[],MATCH($D172,Breakdown[Dist],0),MATCH(K$4,Breakdown[#Headers],0))</f>
        <v>42808</v>
      </c>
      <c r="L172" s="4">
        <f>INDEX(Breakdown[],MATCH($D172,Breakdown[Dist],0),MATCH(L$4,Breakdown[#Headers],0))</f>
        <v>157057</v>
      </c>
      <c r="M172" s="4">
        <f>INDEX(Breakdown[],MATCH($D172,Breakdown[Dist],0),MATCH(M$4,Breakdown[#Headers],0))</f>
        <v>0</v>
      </c>
      <c r="N172" s="4">
        <f t="shared" si="14"/>
        <v>217213</v>
      </c>
      <c r="O172" s="15">
        <f t="shared" si="15"/>
        <v>21721</v>
      </c>
      <c r="P172" s="12"/>
      <c r="Q172" s="4">
        <f>INDEX(Breakdown[],MATCH($D172,Breakdown[Dist],0),MATCH(Q$4,Breakdown[#Headers],0))</f>
        <v>60156</v>
      </c>
      <c r="R172" s="4">
        <f>INDEX(Breakdown[],MATCH($D172,Breakdown[Dist],0),MATCH(R$4,Breakdown[#Headers],0))</f>
        <v>0</v>
      </c>
      <c r="S172" s="14">
        <f t="shared" si="16"/>
        <v>60156</v>
      </c>
      <c r="T172" s="17">
        <f t="shared" si="17"/>
        <v>135336</v>
      </c>
      <c r="U172" s="19">
        <f t="shared" si="18"/>
        <v>195492</v>
      </c>
      <c r="V172" s="12"/>
      <c r="W172" s="20">
        <f t="shared" si="19"/>
        <v>9.9998618867194869E-2</v>
      </c>
      <c r="X172" s="20">
        <f t="shared" si="20"/>
        <v>0.90000138113280514</v>
      </c>
    </row>
    <row r="173" spans="1:24" x14ac:dyDescent="0.25">
      <c r="A173" s="5">
        <v>2026</v>
      </c>
      <c r="B173" s="5" t="s">
        <v>229</v>
      </c>
      <c r="C173" s="24" t="s">
        <v>229</v>
      </c>
      <c r="D173" s="5" t="s">
        <v>244</v>
      </c>
      <c r="E173" s="22" t="s">
        <v>693</v>
      </c>
      <c r="F173" s="22" t="s">
        <v>693</v>
      </c>
      <c r="G173" s="5" t="s">
        <v>244</v>
      </c>
      <c r="H173" s="5" t="s">
        <v>571</v>
      </c>
      <c r="I173" s="4">
        <f>INDEX(Breakdown[],MATCH($D173,Breakdown[Dist],0),MATCH(I$4,Breakdown[#Headers],0))</f>
        <v>222277</v>
      </c>
      <c r="J173" s="4">
        <f>INDEX(Breakdown[],MATCH($D173,Breakdown[Dist],0),MATCH(J$4,Breakdown[#Headers],0))</f>
        <v>172472</v>
      </c>
      <c r="K173" s="4">
        <f>INDEX(Breakdown[],MATCH($D173,Breakdown[Dist],0),MATCH(K$4,Breakdown[#Headers],0))</f>
        <v>36941</v>
      </c>
      <c r="L173" s="4">
        <f>INDEX(Breakdown[],MATCH($D173,Breakdown[Dist],0),MATCH(L$4,Breakdown[#Headers],0))</f>
        <v>135531</v>
      </c>
      <c r="M173" s="4">
        <f>INDEX(Breakdown[],MATCH($D173,Breakdown[Dist],0),MATCH(M$4,Breakdown[#Headers],0))</f>
        <v>13100</v>
      </c>
      <c r="N173" s="4">
        <f t="shared" si="14"/>
        <v>198436</v>
      </c>
      <c r="O173" s="15">
        <f t="shared" si="15"/>
        <v>19844</v>
      </c>
      <c r="P173" s="12"/>
      <c r="Q173" s="4">
        <f>INDEX(Breakdown[],MATCH($D173,Breakdown[Dist],0),MATCH(Q$4,Breakdown[#Headers],0))</f>
        <v>49805</v>
      </c>
      <c r="R173" s="4">
        <f>INDEX(Breakdown[],MATCH($D173,Breakdown[Dist],0),MATCH(R$4,Breakdown[#Headers],0))</f>
        <v>13100</v>
      </c>
      <c r="S173" s="14">
        <f t="shared" si="16"/>
        <v>62905</v>
      </c>
      <c r="T173" s="17">
        <f t="shared" si="17"/>
        <v>115687</v>
      </c>
      <c r="U173" s="19">
        <f t="shared" si="18"/>
        <v>178592</v>
      </c>
      <c r="V173" s="12"/>
      <c r="W173" s="20">
        <f t="shared" si="19"/>
        <v>0.10000201576326877</v>
      </c>
      <c r="X173" s="20">
        <f t="shared" si="20"/>
        <v>0.89999798423673127</v>
      </c>
    </row>
    <row r="174" spans="1:24" x14ac:dyDescent="0.25">
      <c r="A174" s="5">
        <v>2026</v>
      </c>
      <c r="B174" s="5" t="s">
        <v>118</v>
      </c>
      <c r="C174" s="24" t="s">
        <v>118</v>
      </c>
      <c r="D174" s="5" t="s">
        <v>133</v>
      </c>
      <c r="E174" s="22" t="s">
        <v>693</v>
      </c>
      <c r="F174" s="22" t="s">
        <v>693</v>
      </c>
      <c r="G174" s="5" t="s">
        <v>133</v>
      </c>
      <c r="H174" s="5" t="s">
        <v>467</v>
      </c>
      <c r="I174" s="4">
        <f>INDEX(Breakdown[],MATCH($D174,Breakdown[Dist],0),MATCH(I$4,Breakdown[#Headers],0))</f>
        <v>514320</v>
      </c>
      <c r="J174" s="4">
        <f>INDEX(Breakdown[],MATCH($D174,Breakdown[Dist],0),MATCH(J$4,Breakdown[#Headers],0))</f>
        <v>405485</v>
      </c>
      <c r="K174" s="4">
        <f>INDEX(Breakdown[],MATCH($D174,Breakdown[Dist],0),MATCH(K$4,Breakdown[#Headers],0))</f>
        <v>86849</v>
      </c>
      <c r="L174" s="4">
        <f>INDEX(Breakdown[],MATCH($D174,Breakdown[Dist],0),MATCH(L$4,Breakdown[#Headers],0))</f>
        <v>318636</v>
      </c>
      <c r="M174" s="4">
        <f>INDEX(Breakdown[],MATCH($D174,Breakdown[Dist],0),MATCH(M$4,Breakdown[#Headers],0))</f>
        <v>1353</v>
      </c>
      <c r="N174" s="4">
        <f t="shared" si="14"/>
        <v>428824</v>
      </c>
      <c r="O174" s="15">
        <f t="shared" si="15"/>
        <v>42882</v>
      </c>
      <c r="P174" s="12"/>
      <c r="Q174" s="4">
        <f>INDEX(Breakdown[],MATCH($D174,Breakdown[Dist],0),MATCH(Q$4,Breakdown[#Headers],0))</f>
        <v>108835</v>
      </c>
      <c r="R174" s="4">
        <f>INDEX(Breakdown[],MATCH($D174,Breakdown[Dist],0),MATCH(R$4,Breakdown[#Headers],0))</f>
        <v>1353</v>
      </c>
      <c r="S174" s="14">
        <f t="shared" si="16"/>
        <v>110188</v>
      </c>
      <c r="T174" s="17">
        <f t="shared" si="17"/>
        <v>275754</v>
      </c>
      <c r="U174" s="19">
        <f t="shared" si="18"/>
        <v>385942</v>
      </c>
      <c r="V174" s="12"/>
      <c r="W174" s="20">
        <f t="shared" si="19"/>
        <v>9.9999067216387141E-2</v>
      </c>
      <c r="X174" s="20">
        <f t="shared" si="20"/>
        <v>0.90000093278361282</v>
      </c>
    </row>
    <row r="175" spans="1:24" x14ac:dyDescent="0.25">
      <c r="A175" s="5">
        <v>2026</v>
      </c>
      <c r="B175" s="5" t="s">
        <v>0</v>
      </c>
      <c r="C175" s="24" t="s">
        <v>0</v>
      </c>
      <c r="D175" s="5" t="s">
        <v>9</v>
      </c>
      <c r="E175" s="22" t="s">
        <v>693</v>
      </c>
      <c r="F175" s="22" t="s">
        <v>693</v>
      </c>
      <c r="G175" s="5" t="s">
        <v>9</v>
      </c>
      <c r="H175" s="5" t="s">
        <v>356</v>
      </c>
      <c r="I175" s="4">
        <f>INDEX(Breakdown[],MATCH($D175,Breakdown[Dist],0),MATCH(I$4,Breakdown[#Headers],0))</f>
        <v>272319</v>
      </c>
      <c r="J175" s="4">
        <f>INDEX(Breakdown[],MATCH($D175,Breakdown[Dist],0),MATCH(J$4,Breakdown[#Headers],0))</f>
        <v>206870</v>
      </c>
      <c r="K175" s="4">
        <f>INDEX(Breakdown[],MATCH($D175,Breakdown[Dist],0),MATCH(K$4,Breakdown[#Headers],0))</f>
        <v>44308</v>
      </c>
      <c r="L175" s="4">
        <f>INDEX(Breakdown[],MATCH($D175,Breakdown[Dist],0),MATCH(L$4,Breakdown[#Headers],0))</f>
        <v>162562</v>
      </c>
      <c r="M175" s="4">
        <f>INDEX(Breakdown[],MATCH($D175,Breakdown[Dist],0),MATCH(M$4,Breakdown[#Headers],0))</f>
        <v>0</v>
      </c>
      <c r="N175" s="4">
        <f t="shared" si="14"/>
        <v>228011</v>
      </c>
      <c r="O175" s="15">
        <f t="shared" si="15"/>
        <v>22801</v>
      </c>
      <c r="P175" s="12"/>
      <c r="Q175" s="4">
        <f>INDEX(Breakdown[],MATCH($D175,Breakdown[Dist],0),MATCH(Q$4,Breakdown[#Headers],0))</f>
        <v>65449</v>
      </c>
      <c r="R175" s="4">
        <f>INDEX(Breakdown[],MATCH($D175,Breakdown[Dist],0),MATCH(R$4,Breakdown[#Headers],0))</f>
        <v>0</v>
      </c>
      <c r="S175" s="14">
        <f t="shared" si="16"/>
        <v>65449</v>
      </c>
      <c r="T175" s="17">
        <f t="shared" si="17"/>
        <v>139761</v>
      </c>
      <c r="U175" s="19">
        <f t="shared" si="18"/>
        <v>205210</v>
      </c>
      <c r="V175" s="12"/>
      <c r="W175" s="20">
        <f t="shared" si="19"/>
        <v>9.9999561424668107E-2</v>
      </c>
      <c r="X175" s="20">
        <f t="shared" si="20"/>
        <v>0.90000043857533185</v>
      </c>
    </row>
    <row r="176" spans="1:24" x14ac:dyDescent="0.25">
      <c r="A176" s="5">
        <v>2026</v>
      </c>
      <c r="B176" s="5" t="s">
        <v>229</v>
      </c>
      <c r="C176" s="24" t="s">
        <v>229</v>
      </c>
      <c r="D176" s="5" t="s">
        <v>245</v>
      </c>
      <c r="E176" s="22" t="s">
        <v>693</v>
      </c>
      <c r="F176" s="22" t="s">
        <v>693</v>
      </c>
      <c r="G176" s="5" t="s">
        <v>245</v>
      </c>
      <c r="H176" s="5" t="s">
        <v>572</v>
      </c>
      <c r="I176" s="4">
        <f>INDEX(Breakdown[],MATCH($D176,Breakdown[Dist],0),MATCH(I$4,Breakdown[#Headers],0))</f>
        <v>180735</v>
      </c>
      <c r="J176" s="4">
        <f>INDEX(Breakdown[],MATCH($D176,Breakdown[Dist],0),MATCH(J$4,Breakdown[#Headers],0))</f>
        <v>140238</v>
      </c>
      <c r="K176" s="4">
        <f>INDEX(Breakdown[],MATCH($D176,Breakdown[Dist],0),MATCH(K$4,Breakdown[#Headers],0))</f>
        <v>30037</v>
      </c>
      <c r="L176" s="4">
        <f>INDEX(Breakdown[],MATCH($D176,Breakdown[Dist],0),MATCH(L$4,Breakdown[#Headers],0))</f>
        <v>110201</v>
      </c>
      <c r="M176" s="4">
        <f>INDEX(Breakdown[],MATCH($D176,Breakdown[Dist],0),MATCH(M$4,Breakdown[#Headers],0))</f>
        <v>2737</v>
      </c>
      <c r="N176" s="4">
        <f t="shared" si="14"/>
        <v>153435</v>
      </c>
      <c r="O176" s="15">
        <f t="shared" si="15"/>
        <v>15344</v>
      </c>
      <c r="P176" s="12"/>
      <c r="Q176" s="4">
        <f>INDEX(Breakdown[],MATCH($D176,Breakdown[Dist],0),MATCH(Q$4,Breakdown[#Headers],0))</f>
        <v>40497</v>
      </c>
      <c r="R176" s="4">
        <f>INDEX(Breakdown[],MATCH($D176,Breakdown[Dist],0),MATCH(R$4,Breakdown[#Headers],0))</f>
        <v>2737</v>
      </c>
      <c r="S176" s="14">
        <f t="shared" si="16"/>
        <v>43234</v>
      </c>
      <c r="T176" s="17">
        <f t="shared" si="17"/>
        <v>94857</v>
      </c>
      <c r="U176" s="19">
        <f t="shared" si="18"/>
        <v>138091</v>
      </c>
      <c r="V176" s="12"/>
      <c r="W176" s="20">
        <f t="shared" si="19"/>
        <v>0.10000325870889953</v>
      </c>
      <c r="X176" s="20">
        <f t="shared" si="20"/>
        <v>0.89999674129110041</v>
      </c>
    </row>
    <row r="177" spans="1:24" x14ac:dyDescent="0.25">
      <c r="A177" s="5">
        <v>2026</v>
      </c>
      <c r="B177" s="5" t="s">
        <v>140</v>
      </c>
      <c r="C177" s="24" t="s">
        <v>140</v>
      </c>
      <c r="D177" s="5" t="s">
        <v>159</v>
      </c>
      <c r="E177" s="22" t="s">
        <v>693</v>
      </c>
      <c r="F177" s="22" t="s">
        <v>693</v>
      </c>
      <c r="G177" s="5" t="s">
        <v>159</v>
      </c>
      <c r="H177" s="5" t="s">
        <v>490</v>
      </c>
      <c r="I177" s="4">
        <f>INDEX(Breakdown[],MATCH($D177,Breakdown[Dist],0),MATCH(I$4,Breakdown[#Headers],0))</f>
        <v>692706</v>
      </c>
      <c r="J177" s="4">
        <f>INDEX(Breakdown[],MATCH($D177,Breakdown[Dist],0),MATCH(J$4,Breakdown[#Headers],0))</f>
        <v>549135</v>
      </c>
      <c r="K177" s="4">
        <f>INDEX(Breakdown[],MATCH($D177,Breakdown[Dist],0),MATCH(K$4,Breakdown[#Headers],0))</f>
        <v>117616</v>
      </c>
      <c r="L177" s="4">
        <f>INDEX(Breakdown[],MATCH($D177,Breakdown[Dist],0),MATCH(L$4,Breakdown[#Headers],0))</f>
        <v>431519</v>
      </c>
      <c r="M177" s="4">
        <f>INDEX(Breakdown[],MATCH($D177,Breakdown[Dist],0),MATCH(M$4,Breakdown[#Headers],0))</f>
        <v>593</v>
      </c>
      <c r="N177" s="4">
        <f t="shared" si="14"/>
        <v>575683</v>
      </c>
      <c r="O177" s="15">
        <f t="shared" si="15"/>
        <v>57568</v>
      </c>
      <c r="P177" s="12"/>
      <c r="Q177" s="4">
        <f>INDEX(Breakdown[],MATCH($D177,Breakdown[Dist],0),MATCH(Q$4,Breakdown[#Headers],0))</f>
        <v>143571</v>
      </c>
      <c r="R177" s="4">
        <f>INDEX(Breakdown[],MATCH($D177,Breakdown[Dist],0),MATCH(R$4,Breakdown[#Headers],0))</f>
        <v>593</v>
      </c>
      <c r="S177" s="14">
        <f t="shared" si="16"/>
        <v>144164</v>
      </c>
      <c r="T177" s="17">
        <f t="shared" si="17"/>
        <v>373951</v>
      </c>
      <c r="U177" s="19">
        <f t="shared" si="18"/>
        <v>518115</v>
      </c>
      <c r="V177" s="12"/>
      <c r="W177" s="20">
        <f t="shared" si="19"/>
        <v>9.9999478879869652E-2</v>
      </c>
      <c r="X177" s="20">
        <f t="shared" si="20"/>
        <v>0.9000005211201304</v>
      </c>
    </row>
    <row r="178" spans="1:24" x14ac:dyDescent="0.25">
      <c r="A178" s="5">
        <v>2026</v>
      </c>
      <c r="B178" s="5" t="s">
        <v>60</v>
      </c>
      <c r="C178" s="24" t="s">
        <v>60</v>
      </c>
      <c r="D178" s="5" t="s">
        <v>97</v>
      </c>
      <c r="E178" s="22" t="s">
        <v>693</v>
      </c>
      <c r="F178" s="22" t="s">
        <v>693</v>
      </c>
      <c r="G178" s="5" t="s">
        <v>97</v>
      </c>
      <c r="H178" s="5" t="s">
        <v>432</v>
      </c>
      <c r="I178" s="4">
        <f>INDEX(Breakdown[],MATCH($D178,Breakdown[Dist],0),MATCH(I$4,Breakdown[#Headers],0))</f>
        <v>2172609</v>
      </c>
      <c r="J178" s="4">
        <f>INDEX(Breakdown[],MATCH($D178,Breakdown[Dist],0),MATCH(J$4,Breakdown[#Headers],0))</f>
        <v>1701396</v>
      </c>
      <c r="K178" s="4">
        <f>INDEX(Breakdown[],MATCH($D178,Breakdown[Dist],0),MATCH(K$4,Breakdown[#Headers],0))</f>
        <v>364412</v>
      </c>
      <c r="L178" s="4">
        <f>INDEX(Breakdown[],MATCH($D178,Breakdown[Dist],0),MATCH(L$4,Breakdown[#Headers],0))</f>
        <v>1336984</v>
      </c>
      <c r="M178" s="4">
        <f>INDEX(Breakdown[],MATCH($D178,Breakdown[Dist],0),MATCH(M$4,Breakdown[#Headers],0))</f>
        <v>0</v>
      </c>
      <c r="N178" s="4">
        <f t="shared" si="14"/>
        <v>1808197</v>
      </c>
      <c r="O178" s="15">
        <f t="shared" si="15"/>
        <v>180820</v>
      </c>
      <c r="P178" s="12"/>
      <c r="Q178" s="4">
        <f>INDEX(Breakdown[],MATCH($D178,Breakdown[Dist],0),MATCH(Q$4,Breakdown[#Headers],0))</f>
        <v>471213</v>
      </c>
      <c r="R178" s="4">
        <f>INDEX(Breakdown[],MATCH($D178,Breakdown[Dist],0),MATCH(R$4,Breakdown[#Headers],0))</f>
        <v>0</v>
      </c>
      <c r="S178" s="14">
        <f t="shared" si="16"/>
        <v>471213</v>
      </c>
      <c r="T178" s="17">
        <f t="shared" si="17"/>
        <v>1156164</v>
      </c>
      <c r="U178" s="19">
        <f t="shared" si="18"/>
        <v>1627377</v>
      </c>
      <c r="V178" s="12"/>
      <c r="W178" s="20">
        <f t="shared" si="19"/>
        <v>0.10000016591112583</v>
      </c>
      <c r="X178" s="20">
        <f t="shared" si="20"/>
        <v>0.89999983408887418</v>
      </c>
    </row>
    <row r="179" spans="1:24" x14ac:dyDescent="0.25">
      <c r="A179" s="5">
        <v>2026</v>
      </c>
      <c r="B179" s="5" t="s">
        <v>174</v>
      </c>
      <c r="C179" s="24" t="s">
        <v>174</v>
      </c>
      <c r="D179" s="5" t="s">
        <v>203</v>
      </c>
      <c r="E179" s="22" t="s">
        <v>693</v>
      </c>
      <c r="F179" s="22" t="s">
        <v>693</v>
      </c>
      <c r="G179" s="5" t="s">
        <v>203</v>
      </c>
      <c r="H179" s="5" t="s">
        <v>533</v>
      </c>
      <c r="I179" s="4">
        <f>INDEX(Breakdown[],MATCH($D179,Breakdown[Dist],0),MATCH(I$4,Breakdown[#Headers],0))</f>
        <v>179841</v>
      </c>
      <c r="J179" s="4">
        <f>INDEX(Breakdown[],MATCH($D179,Breakdown[Dist],0),MATCH(J$4,Breakdown[#Headers],0))</f>
        <v>145535</v>
      </c>
      <c r="K179" s="4">
        <f>INDEX(Breakdown[],MATCH($D179,Breakdown[Dist],0),MATCH(K$4,Breakdown[#Headers],0))</f>
        <v>31171</v>
      </c>
      <c r="L179" s="4">
        <f>INDEX(Breakdown[],MATCH($D179,Breakdown[Dist],0),MATCH(L$4,Breakdown[#Headers],0))</f>
        <v>114364</v>
      </c>
      <c r="M179" s="4">
        <f>INDEX(Breakdown[],MATCH($D179,Breakdown[Dist],0),MATCH(M$4,Breakdown[#Headers],0))</f>
        <v>691</v>
      </c>
      <c r="N179" s="4">
        <f t="shared" si="14"/>
        <v>149361</v>
      </c>
      <c r="O179" s="15">
        <f t="shared" si="15"/>
        <v>14936</v>
      </c>
      <c r="P179" s="12"/>
      <c r="Q179" s="4">
        <f>INDEX(Breakdown[],MATCH($D179,Breakdown[Dist],0),MATCH(Q$4,Breakdown[#Headers],0))</f>
        <v>34306</v>
      </c>
      <c r="R179" s="4">
        <f>INDEX(Breakdown[],MATCH($D179,Breakdown[Dist],0),MATCH(R$4,Breakdown[#Headers],0))</f>
        <v>691</v>
      </c>
      <c r="S179" s="14">
        <f t="shared" si="16"/>
        <v>34997</v>
      </c>
      <c r="T179" s="17">
        <f t="shared" si="17"/>
        <v>99428</v>
      </c>
      <c r="U179" s="19">
        <f t="shared" si="18"/>
        <v>134425</v>
      </c>
      <c r="V179" s="12"/>
      <c r="W179" s="20">
        <f t="shared" si="19"/>
        <v>9.9999330481183174E-2</v>
      </c>
      <c r="X179" s="20">
        <f t="shared" si="20"/>
        <v>0.90000066951881685</v>
      </c>
    </row>
    <row r="180" spans="1:24" x14ac:dyDescent="0.25">
      <c r="A180" s="5">
        <v>2026</v>
      </c>
      <c r="B180" s="5" t="s">
        <v>60</v>
      </c>
      <c r="C180" s="24" t="s">
        <v>60</v>
      </c>
      <c r="D180" s="5" t="s">
        <v>98</v>
      </c>
      <c r="E180" s="22" t="s">
        <v>693</v>
      </c>
      <c r="F180" s="22" t="s">
        <v>693</v>
      </c>
      <c r="G180" s="5" t="s">
        <v>98</v>
      </c>
      <c r="H180" s="5" t="s">
        <v>433</v>
      </c>
      <c r="I180" s="4">
        <f>INDEX(Breakdown[],MATCH($D180,Breakdown[Dist],0),MATCH(I$4,Breakdown[#Headers],0))</f>
        <v>1371837</v>
      </c>
      <c r="J180" s="4">
        <f>INDEX(Breakdown[],MATCH($D180,Breakdown[Dist],0),MATCH(J$4,Breakdown[#Headers],0))</f>
        <v>1074302</v>
      </c>
      <c r="K180" s="4">
        <f>INDEX(Breakdown[],MATCH($D180,Breakdown[Dist],0),MATCH(K$4,Breakdown[#Headers],0))</f>
        <v>230099</v>
      </c>
      <c r="L180" s="4">
        <f>INDEX(Breakdown[],MATCH($D180,Breakdown[Dist],0),MATCH(L$4,Breakdown[#Headers],0))</f>
        <v>844203</v>
      </c>
      <c r="M180" s="4">
        <f>INDEX(Breakdown[],MATCH($D180,Breakdown[Dist],0),MATCH(M$4,Breakdown[#Headers],0))</f>
        <v>4861</v>
      </c>
      <c r="N180" s="4">
        <f t="shared" si="14"/>
        <v>1146599</v>
      </c>
      <c r="O180" s="15">
        <f t="shared" si="15"/>
        <v>114660</v>
      </c>
      <c r="P180" s="12"/>
      <c r="Q180" s="4">
        <f>INDEX(Breakdown[],MATCH($D180,Breakdown[Dist],0),MATCH(Q$4,Breakdown[#Headers],0))</f>
        <v>297535</v>
      </c>
      <c r="R180" s="4">
        <f>INDEX(Breakdown[],MATCH($D180,Breakdown[Dist],0),MATCH(R$4,Breakdown[#Headers],0))</f>
        <v>4861</v>
      </c>
      <c r="S180" s="14">
        <f t="shared" si="16"/>
        <v>302396</v>
      </c>
      <c r="T180" s="17">
        <f t="shared" si="17"/>
        <v>729543</v>
      </c>
      <c r="U180" s="19">
        <f t="shared" si="18"/>
        <v>1031939</v>
      </c>
      <c r="V180" s="12"/>
      <c r="W180" s="20">
        <f t="shared" si="19"/>
        <v>0.10000008721444899</v>
      </c>
      <c r="X180" s="20">
        <f t="shared" si="20"/>
        <v>0.89999991278555103</v>
      </c>
    </row>
    <row r="181" spans="1:24" x14ac:dyDescent="0.25">
      <c r="A181" s="5">
        <v>2026</v>
      </c>
      <c r="B181" s="5" t="s">
        <v>308</v>
      </c>
      <c r="C181" s="24" t="s">
        <v>308</v>
      </c>
      <c r="D181" s="5" t="s">
        <v>322</v>
      </c>
      <c r="E181" s="22" t="s">
        <v>693</v>
      </c>
      <c r="F181" s="22" t="s">
        <v>693</v>
      </c>
      <c r="G181" s="5" t="s">
        <v>322</v>
      </c>
      <c r="H181" s="5" t="s">
        <v>646</v>
      </c>
      <c r="I181" s="4">
        <f>INDEX(Breakdown[],MATCH($D181,Breakdown[Dist],0),MATCH(I$4,Breakdown[#Headers],0))</f>
        <v>332642</v>
      </c>
      <c r="J181" s="4">
        <f>INDEX(Breakdown[],MATCH($D181,Breakdown[Dist],0),MATCH(J$4,Breakdown[#Headers],0))</f>
        <v>264977</v>
      </c>
      <c r="K181" s="4">
        <f>INDEX(Breakdown[],MATCH($D181,Breakdown[Dist],0),MATCH(K$4,Breakdown[#Headers],0))</f>
        <v>56754</v>
      </c>
      <c r="L181" s="4">
        <f>INDEX(Breakdown[],MATCH($D181,Breakdown[Dist],0),MATCH(L$4,Breakdown[#Headers],0))</f>
        <v>208223</v>
      </c>
      <c r="M181" s="4">
        <f>INDEX(Breakdown[],MATCH($D181,Breakdown[Dist],0),MATCH(M$4,Breakdown[#Headers],0))</f>
        <v>0</v>
      </c>
      <c r="N181" s="4">
        <f t="shared" si="14"/>
        <v>275888</v>
      </c>
      <c r="O181" s="15">
        <f t="shared" si="15"/>
        <v>27589</v>
      </c>
      <c r="P181" s="12"/>
      <c r="Q181" s="4">
        <f>INDEX(Breakdown[],MATCH($D181,Breakdown[Dist],0),MATCH(Q$4,Breakdown[#Headers],0))</f>
        <v>67665</v>
      </c>
      <c r="R181" s="4">
        <f>INDEX(Breakdown[],MATCH($D181,Breakdown[Dist],0),MATCH(R$4,Breakdown[#Headers],0))</f>
        <v>0</v>
      </c>
      <c r="S181" s="14">
        <f t="shared" si="16"/>
        <v>67665</v>
      </c>
      <c r="T181" s="17">
        <f t="shared" si="17"/>
        <v>180634</v>
      </c>
      <c r="U181" s="19">
        <f t="shared" si="18"/>
        <v>248299</v>
      </c>
      <c r="V181" s="12"/>
      <c r="W181" s="20">
        <f t="shared" si="19"/>
        <v>0.10000072493185641</v>
      </c>
      <c r="X181" s="20">
        <f t="shared" si="20"/>
        <v>0.89999927506814359</v>
      </c>
    </row>
    <row r="182" spans="1:24" x14ac:dyDescent="0.25">
      <c r="A182" s="5">
        <v>2026</v>
      </c>
      <c r="B182" s="5" t="s">
        <v>174</v>
      </c>
      <c r="C182" s="24" t="s">
        <v>174</v>
      </c>
      <c r="D182" s="5" t="s">
        <v>204</v>
      </c>
      <c r="E182" s="22" t="s">
        <v>693</v>
      </c>
      <c r="F182" s="22" t="s">
        <v>693</v>
      </c>
      <c r="G182" s="5" t="s">
        <v>204</v>
      </c>
      <c r="H182" s="5" t="s">
        <v>534</v>
      </c>
      <c r="I182" s="4">
        <f>INDEX(Breakdown[],MATCH($D182,Breakdown[Dist],0),MATCH(I$4,Breakdown[#Headers],0))</f>
        <v>109999</v>
      </c>
      <c r="J182" s="4">
        <f>INDEX(Breakdown[],MATCH($D182,Breakdown[Dist],0),MATCH(J$4,Breakdown[#Headers],0))</f>
        <v>89016</v>
      </c>
      <c r="K182" s="4">
        <f>INDEX(Breakdown[],MATCH($D182,Breakdown[Dist],0),MATCH(K$4,Breakdown[#Headers],0))</f>
        <v>19066</v>
      </c>
      <c r="L182" s="4">
        <f>INDEX(Breakdown[],MATCH($D182,Breakdown[Dist],0),MATCH(L$4,Breakdown[#Headers],0))</f>
        <v>69950</v>
      </c>
      <c r="M182" s="4">
        <f>INDEX(Breakdown[],MATCH($D182,Breakdown[Dist],0),MATCH(M$4,Breakdown[#Headers],0))</f>
        <v>6906</v>
      </c>
      <c r="N182" s="4">
        <f t="shared" si="14"/>
        <v>97839</v>
      </c>
      <c r="O182" s="15">
        <f t="shared" si="15"/>
        <v>9784</v>
      </c>
      <c r="P182" s="12"/>
      <c r="Q182" s="4">
        <f>INDEX(Breakdown[],MATCH($D182,Breakdown[Dist],0),MATCH(Q$4,Breakdown[#Headers],0))</f>
        <v>20983</v>
      </c>
      <c r="R182" s="4">
        <f>INDEX(Breakdown[],MATCH($D182,Breakdown[Dist],0),MATCH(R$4,Breakdown[#Headers],0))</f>
        <v>6906</v>
      </c>
      <c r="S182" s="14">
        <f t="shared" si="16"/>
        <v>27889</v>
      </c>
      <c r="T182" s="17">
        <f t="shared" si="17"/>
        <v>60166</v>
      </c>
      <c r="U182" s="19">
        <f t="shared" si="18"/>
        <v>88055</v>
      </c>
      <c r="V182" s="12"/>
      <c r="W182" s="20">
        <f t="shared" si="19"/>
        <v>0.1000010220873067</v>
      </c>
      <c r="X182" s="20">
        <f t="shared" si="20"/>
        <v>0.89999897791269334</v>
      </c>
    </row>
    <row r="183" spans="1:24" x14ac:dyDescent="0.25">
      <c r="A183" s="5">
        <v>2026</v>
      </c>
      <c r="B183" s="5" t="s">
        <v>0</v>
      </c>
      <c r="C183" s="24" t="s">
        <v>0</v>
      </c>
      <c r="D183" s="5" t="s">
        <v>10</v>
      </c>
      <c r="E183" s="22" t="s">
        <v>693</v>
      </c>
      <c r="F183" s="22" t="s">
        <v>693</v>
      </c>
      <c r="G183" s="5" t="s">
        <v>10</v>
      </c>
      <c r="H183" s="5" t="s">
        <v>357</v>
      </c>
      <c r="I183" s="4">
        <f>INDEX(Breakdown[],MATCH($D183,Breakdown[Dist],0),MATCH(I$4,Breakdown[#Headers],0))</f>
        <v>325342</v>
      </c>
      <c r="J183" s="4">
        <f>INDEX(Breakdown[],MATCH($D183,Breakdown[Dist],0),MATCH(J$4,Breakdown[#Headers],0))</f>
        <v>247150</v>
      </c>
      <c r="K183" s="4">
        <f>INDEX(Breakdown[],MATCH($D183,Breakdown[Dist],0),MATCH(K$4,Breakdown[#Headers],0))</f>
        <v>52936</v>
      </c>
      <c r="L183" s="4">
        <f>INDEX(Breakdown[],MATCH($D183,Breakdown[Dist],0),MATCH(L$4,Breakdown[#Headers],0))</f>
        <v>194214</v>
      </c>
      <c r="M183" s="4">
        <f>INDEX(Breakdown[],MATCH($D183,Breakdown[Dist],0),MATCH(M$4,Breakdown[#Headers],0))</f>
        <v>570</v>
      </c>
      <c r="N183" s="4">
        <f t="shared" si="14"/>
        <v>272976</v>
      </c>
      <c r="O183" s="15">
        <f t="shared" si="15"/>
        <v>27298</v>
      </c>
      <c r="P183" s="12"/>
      <c r="Q183" s="4">
        <f>INDEX(Breakdown[],MATCH($D183,Breakdown[Dist],0),MATCH(Q$4,Breakdown[#Headers],0))</f>
        <v>78192</v>
      </c>
      <c r="R183" s="4">
        <f>INDEX(Breakdown[],MATCH($D183,Breakdown[Dist],0),MATCH(R$4,Breakdown[#Headers],0))</f>
        <v>570</v>
      </c>
      <c r="S183" s="14">
        <f t="shared" si="16"/>
        <v>78762</v>
      </c>
      <c r="T183" s="17">
        <f t="shared" si="17"/>
        <v>166916</v>
      </c>
      <c r="U183" s="19">
        <f t="shared" si="18"/>
        <v>245678</v>
      </c>
      <c r="V183" s="12"/>
      <c r="W183" s="20">
        <f t="shared" si="19"/>
        <v>0.10000146533028545</v>
      </c>
      <c r="X183" s="20">
        <f t="shared" si="20"/>
        <v>0.89999853466971458</v>
      </c>
    </row>
    <row r="184" spans="1:24" x14ac:dyDescent="0.25">
      <c r="A184" s="5">
        <v>2026</v>
      </c>
      <c r="B184" s="5" t="s">
        <v>140</v>
      </c>
      <c r="C184" s="24" t="s">
        <v>140</v>
      </c>
      <c r="D184" s="5" t="s">
        <v>161</v>
      </c>
      <c r="E184" s="22" t="s">
        <v>693</v>
      </c>
      <c r="F184" s="22" t="s">
        <v>693</v>
      </c>
      <c r="G184" s="5" t="s">
        <v>161</v>
      </c>
      <c r="H184" s="5" t="s">
        <v>492</v>
      </c>
      <c r="I184" s="4">
        <f>INDEX(Breakdown[],MATCH($D184,Breakdown[Dist],0),MATCH(I$4,Breakdown[#Headers],0))</f>
        <v>198117</v>
      </c>
      <c r="J184" s="4">
        <f>INDEX(Breakdown[],MATCH($D184,Breakdown[Dist],0),MATCH(J$4,Breakdown[#Headers],0))</f>
        <v>157055</v>
      </c>
      <c r="K184" s="4">
        <f>INDEX(Breakdown[],MATCH($D184,Breakdown[Dist],0),MATCH(K$4,Breakdown[#Headers],0))</f>
        <v>33639</v>
      </c>
      <c r="L184" s="4">
        <f>INDEX(Breakdown[],MATCH($D184,Breakdown[Dist],0),MATCH(L$4,Breakdown[#Headers],0))</f>
        <v>123416</v>
      </c>
      <c r="M184" s="4">
        <f>INDEX(Breakdown[],MATCH($D184,Breakdown[Dist],0),MATCH(M$4,Breakdown[#Headers],0))</f>
        <v>0</v>
      </c>
      <c r="N184" s="4">
        <f t="shared" si="14"/>
        <v>164478</v>
      </c>
      <c r="O184" s="15">
        <f t="shared" si="15"/>
        <v>16448</v>
      </c>
      <c r="P184" s="12"/>
      <c r="Q184" s="4">
        <f>INDEX(Breakdown[],MATCH($D184,Breakdown[Dist],0),MATCH(Q$4,Breakdown[#Headers],0))</f>
        <v>41062</v>
      </c>
      <c r="R184" s="4">
        <f>INDEX(Breakdown[],MATCH($D184,Breakdown[Dist],0),MATCH(R$4,Breakdown[#Headers],0))</f>
        <v>0</v>
      </c>
      <c r="S184" s="14">
        <f t="shared" si="16"/>
        <v>41062</v>
      </c>
      <c r="T184" s="17">
        <f t="shared" si="17"/>
        <v>106968</v>
      </c>
      <c r="U184" s="19">
        <f t="shared" si="18"/>
        <v>148030</v>
      </c>
      <c r="V184" s="12"/>
      <c r="W184" s="20">
        <f t="shared" si="19"/>
        <v>0.100001215968093</v>
      </c>
      <c r="X184" s="20">
        <f t="shared" si="20"/>
        <v>0.89999878403190703</v>
      </c>
    </row>
    <row r="185" spans="1:24" x14ac:dyDescent="0.25">
      <c r="A185" s="5">
        <v>2026</v>
      </c>
      <c r="B185" s="5" t="s">
        <v>140</v>
      </c>
      <c r="C185" s="24" t="s">
        <v>140</v>
      </c>
      <c r="D185" s="5" t="s">
        <v>160</v>
      </c>
      <c r="E185" s="22" t="s">
        <v>693</v>
      </c>
      <c r="F185" s="22" t="s">
        <v>693</v>
      </c>
      <c r="G185" s="5" t="s">
        <v>160</v>
      </c>
      <c r="H185" s="5" t="s">
        <v>491</v>
      </c>
      <c r="I185" s="4">
        <f>INDEX(Breakdown[],MATCH($D185,Breakdown[Dist],0),MATCH(I$4,Breakdown[#Headers],0))</f>
        <v>450543</v>
      </c>
      <c r="J185" s="4">
        <f>INDEX(Breakdown[],MATCH($D185,Breakdown[Dist],0),MATCH(J$4,Breakdown[#Headers],0))</f>
        <v>357163</v>
      </c>
      <c r="K185" s="4">
        <f>INDEX(Breakdown[],MATCH($D185,Breakdown[Dist],0),MATCH(K$4,Breakdown[#Headers],0))</f>
        <v>76499</v>
      </c>
      <c r="L185" s="4">
        <f>INDEX(Breakdown[],MATCH($D185,Breakdown[Dist],0),MATCH(L$4,Breakdown[#Headers],0))</f>
        <v>280664</v>
      </c>
      <c r="M185" s="4">
        <f>INDEX(Breakdown[],MATCH($D185,Breakdown[Dist],0),MATCH(M$4,Breakdown[#Headers],0))</f>
        <v>8270</v>
      </c>
      <c r="N185" s="4">
        <f t="shared" si="14"/>
        <v>382314</v>
      </c>
      <c r="O185" s="15">
        <f t="shared" si="15"/>
        <v>38231</v>
      </c>
      <c r="P185" s="12"/>
      <c r="Q185" s="4">
        <f>INDEX(Breakdown[],MATCH($D185,Breakdown[Dist],0),MATCH(Q$4,Breakdown[#Headers],0))</f>
        <v>93380</v>
      </c>
      <c r="R185" s="4">
        <f>INDEX(Breakdown[],MATCH($D185,Breakdown[Dist],0),MATCH(R$4,Breakdown[#Headers],0))</f>
        <v>8270</v>
      </c>
      <c r="S185" s="14">
        <f t="shared" si="16"/>
        <v>101650</v>
      </c>
      <c r="T185" s="17">
        <f t="shared" si="17"/>
        <v>242433</v>
      </c>
      <c r="U185" s="19">
        <f t="shared" si="18"/>
        <v>344083</v>
      </c>
      <c r="V185" s="12"/>
      <c r="W185" s="20">
        <f t="shared" si="19"/>
        <v>9.9998953739596247E-2</v>
      </c>
      <c r="X185" s="20">
        <f t="shared" si="20"/>
        <v>0.90000104626040378</v>
      </c>
    </row>
    <row r="186" spans="1:24" x14ac:dyDescent="0.25">
      <c r="A186" s="5">
        <v>2026</v>
      </c>
      <c r="B186" s="5" t="s">
        <v>263</v>
      </c>
      <c r="C186" s="24" t="s">
        <v>263</v>
      </c>
      <c r="D186" s="5" t="s">
        <v>290</v>
      </c>
      <c r="E186" s="22" t="s">
        <v>693</v>
      </c>
      <c r="F186" s="22" t="s">
        <v>693</v>
      </c>
      <c r="G186" s="5" t="s">
        <v>290</v>
      </c>
      <c r="H186" s="5" t="s">
        <v>615</v>
      </c>
      <c r="I186" s="4">
        <f>INDEX(Breakdown[],MATCH($D186,Breakdown[Dist],0),MATCH(I$4,Breakdown[#Headers],0))</f>
        <v>298567</v>
      </c>
      <c r="J186" s="4">
        <f>INDEX(Breakdown[],MATCH($D186,Breakdown[Dist],0),MATCH(J$4,Breakdown[#Headers],0))</f>
        <v>236035</v>
      </c>
      <c r="K186" s="4">
        <f>INDEX(Breakdown[],MATCH($D186,Breakdown[Dist],0),MATCH(K$4,Breakdown[#Headers],0))</f>
        <v>50555</v>
      </c>
      <c r="L186" s="4">
        <f>INDEX(Breakdown[],MATCH($D186,Breakdown[Dist],0),MATCH(L$4,Breakdown[#Headers],0))</f>
        <v>185480</v>
      </c>
      <c r="M186" s="4">
        <f>INDEX(Breakdown[],MATCH($D186,Breakdown[Dist],0),MATCH(M$4,Breakdown[#Headers],0))</f>
        <v>0</v>
      </c>
      <c r="N186" s="4">
        <f t="shared" si="14"/>
        <v>248012</v>
      </c>
      <c r="O186" s="15">
        <f t="shared" si="15"/>
        <v>24801</v>
      </c>
      <c r="P186" s="12"/>
      <c r="Q186" s="4">
        <f>INDEX(Breakdown[],MATCH($D186,Breakdown[Dist],0),MATCH(Q$4,Breakdown[#Headers],0))</f>
        <v>62532</v>
      </c>
      <c r="R186" s="4">
        <f>INDEX(Breakdown[],MATCH($D186,Breakdown[Dist],0),MATCH(R$4,Breakdown[#Headers],0))</f>
        <v>0</v>
      </c>
      <c r="S186" s="14">
        <f t="shared" si="16"/>
        <v>62532</v>
      </c>
      <c r="T186" s="17">
        <f t="shared" si="17"/>
        <v>160679</v>
      </c>
      <c r="U186" s="19">
        <f t="shared" si="18"/>
        <v>223211</v>
      </c>
      <c r="V186" s="12"/>
      <c r="W186" s="20">
        <f t="shared" si="19"/>
        <v>9.9999193587407068E-2</v>
      </c>
      <c r="X186" s="20">
        <f t="shared" si="20"/>
        <v>0.90000080641259295</v>
      </c>
    </row>
    <row r="187" spans="1:24" x14ac:dyDescent="0.25">
      <c r="A187" s="5">
        <v>2026</v>
      </c>
      <c r="B187" s="5" t="s">
        <v>229</v>
      </c>
      <c r="C187" s="24" t="s">
        <v>229</v>
      </c>
      <c r="D187" s="5" t="s">
        <v>246</v>
      </c>
      <c r="E187" s="22" t="s">
        <v>693</v>
      </c>
      <c r="F187" s="22" t="s">
        <v>693</v>
      </c>
      <c r="G187" s="5" t="s">
        <v>246</v>
      </c>
      <c r="H187" s="5" t="s">
        <v>573</v>
      </c>
      <c r="I187" s="4">
        <f>INDEX(Breakdown[],MATCH($D187,Breakdown[Dist],0),MATCH(I$4,Breakdown[#Headers],0))</f>
        <v>620106</v>
      </c>
      <c r="J187" s="4">
        <f>INDEX(Breakdown[],MATCH($D187,Breakdown[Dist],0),MATCH(J$4,Breakdown[#Headers],0))</f>
        <v>481162</v>
      </c>
      <c r="K187" s="4">
        <f>INDEX(Breakdown[],MATCH($D187,Breakdown[Dist],0),MATCH(K$4,Breakdown[#Headers],0))</f>
        <v>103057</v>
      </c>
      <c r="L187" s="4">
        <f>INDEX(Breakdown[],MATCH($D187,Breakdown[Dist],0),MATCH(L$4,Breakdown[#Headers],0))</f>
        <v>378105</v>
      </c>
      <c r="M187" s="4">
        <f>INDEX(Breakdown[],MATCH($D187,Breakdown[Dist],0),MATCH(M$4,Breakdown[#Headers],0))</f>
        <v>0</v>
      </c>
      <c r="N187" s="4">
        <f t="shared" si="14"/>
        <v>517049</v>
      </c>
      <c r="O187" s="15">
        <f t="shared" si="15"/>
        <v>51705</v>
      </c>
      <c r="P187" s="12"/>
      <c r="Q187" s="4">
        <f>INDEX(Breakdown[],MATCH($D187,Breakdown[Dist],0),MATCH(Q$4,Breakdown[#Headers],0))</f>
        <v>138944</v>
      </c>
      <c r="R187" s="4">
        <f>INDEX(Breakdown[],MATCH($D187,Breakdown[Dist],0),MATCH(R$4,Breakdown[#Headers],0))</f>
        <v>0</v>
      </c>
      <c r="S187" s="14">
        <f t="shared" si="16"/>
        <v>138944</v>
      </c>
      <c r="T187" s="17">
        <f t="shared" si="17"/>
        <v>326400</v>
      </c>
      <c r="U187" s="19">
        <f t="shared" si="18"/>
        <v>465344</v>
      </c>
      <c r="V187" s="12"/>
      <c r="W187" s="20">
        <f t="shared" si="19"/>
        <v>0.1000001934052672</v>
      </c>
      <c r="X187" s="20">
        <f t="shared" si="20"/>
        <v>0.89999980659473278</v>
      </c>
    </row>
    <row r="188" spans="1:24" x14ac:dyDescent="0.25">
      <c r="A188" s="5">
        <v>2026</v>
      </c>
      <c r="B188" s="5" t="s">
        <v>60</v>
      </c>
      <c r="C188" s="24" t="s">
        <v>60</v>
      </c>
      <c r="D188" s="5" t="s">
        <v>99</v>
      </c>
      <c r="E188" s="22" t="s">
        <v>693</v>
      </c>
      <c r="F188" s="22" t="s">
        <v>693</v>
      </c>
      <c r="G188" s="5" t="s">
        <v>99</v>
      </c>
      <c r="H188" s="5" t="s">
        <v>434</v>
      </c>
      <c r="I188" s="4">
        <f>INDEX(Breakdown[],MATCH($D188,Breakdown[Dist],0),MATCH(I$4,Breakdown[#Headers],0))</f>
        <v>176742</v>
      </c>
      <c r="J188" s="4">
        <f>INDEX(Breakdown[],MATCH($D188,Breakdown[Dist],0),MATCH(J$4,Breakdown[#Headers],0))</f>
        <v>138408</v>
      </c>
      <c r="K188" s="4">
        <f>INDEX(Breakdown[],MATCH($D188,Breakdown[Dist],0),MATCH(K$4,Breakdown[#Headers],0))</f>
        <v>29645</v>
      </c>
      <c r="L188" s="4">
        <f>INDEX(Breakdown[],MATCH($D188,Breakdown[Dist],0),MATCH(L$4,Breakdown[#Headers],0))</f>
        <v>108763</v>
      </c>
      <c r="M188" s="4">
        <f>INDEX(Breakdown[],MATCH($D188,Breakdown[Dist],0),MATCH(M$4,Breakdown[#Headers],0))</f>
        <v>4637</v>
      </c>
      <c r="N188" s="4">
        <f t="shared" si="14"/>
        <v>151734</v>
      </c>
      <c r="O188" s="15">
        <f t="shared" si="15"/>
        <v>15173</v>
      </c>
      <c r="P188" s="12"/>
      <c r="Q188" s="4">
        <f>INDEX(Breakdown[],MATCH($D188,Breakdown[Dist],0),MATCH(Q$4,Breakdown[#Headers],0))</f>
        <v>38334</v>
      </c>
      <c r="R188" s="4">
        <f>INDEX(Breakdown[],MATCH($D188,Breakdown[Dist],0),MATCH(R$4,Breakdown[#Headers],0))</f>
        <v>4637</v>
      </c>
      <c r="S188" s="14">
        <f t="shared" si="16"/>
        <v>42971</v>
      </c>
      <c r="T188" s="17">
        <f t="shared" si="17"/>
        <v>93590</v>
      </c>
      <c r="U188" s="19">
        <f t="shared" si="18"/>
        <v>136561</v>
      </c>
      <c r="V188" s="12"/>
      <c r="W188" s="20">
        <f t="shared" si="19"/>
        <v>9.9997363807716136E-2</v>
      </c>
      <c r="X188" s="20">
        <f t="shared" si="20"/>
        <v>0.90000263619228382</v>
      </c>
    </row>
    <row r="189" spans="1:24" x14ac:dyDescent="0.25">
      <c r="A189" s="5">
        <v>2026</v>
      </c>
      <c r="B189" s="5" t="s">
        <v>140</v>
      </c>
      <c r="C189" s="24" t="s">
        <v>140</v>
      </c>
      <c r="D189" s="5" t="s">
        <v>162</v>
      </c>
      <c r="E189" s="22" t="s">
        <v>693</v>
      </c>
      <c r="F189" s="22" t="s">
        <v>693</v>
      </c>
      <c r="G189" s="5" t="s">
        <v>162</v>
      </c>
      <c r="H189" s="5" t="s">
        <v>493</v>
      </c>
      <c r="I189" s="4">
        <f>INDEX(Breakdown[],MATCH($D189,Breakdown[Dist],0),MATCH(I$4,Breakdown[#Headers],0))</f>
        <v>381225</v>
      </c>
      <c r="J189" s="4">
        <f>INDEX(Breakdown[],MATCH($D189,Breakdown[Dist],0),MATCH(J$4,Breakdown[#Headers],0))</f>
        <v>302212</v>
      </c>
      <c r="K189" s="4">
        <f>INDEX(Breakdown[],MATCH($D189,Breakdown[Dist],0),MATCH(K$4,Breakdown[#Headers],0))</f>
        <v>64728</v>
      </c>
      <c r="L189" s="4">
        <f>INDEX(Breakdown[],MATCH($D189,Breakdown[Dist],0),MATCH(L$4,Breakdown[#Headers],0))</f>
        <v>237484</v>
      </c>
      <c r="M189" s="4">
        <f>INDEX(Breakdown[],MATCH($D189,Breakdown[Dist],0),MATCH(M$4,Breakdown[#Headers],0))</f>
        <v>0</v>
      </c>
      <c r="N189" s="4">
        <f t="shared" si="14"/>
        <v>316497</v>
      </c>
      <c r="O189" s="15">
        <f t="shared" si="15"/>
        <v>31650</v>
      </c>
      <c r="P189" s="12"/>
      <c r="Q189" s="4">
        <f>INDEX(Breakdown[],MATCH($D189,Breakdown[Dist],0),MATCH(Q$4,Breakdown[#Headers],0))</f>
        <v>79013</v>
      </c>
      <c r="R189" s="4">
        <f>INDEX(Breakdown[],MATCH($D189,Breakdown[Dist],0),MATCH(R$4,Breakdown[#Headers],0))</f>
        <v>0</v>
      </c>
      <c r="S189" s="14">
        <f t="shared" si="16"/>
        <v>79013</v>
      </c>
      <c r="T189" s="17">
        <f t="shared" si="17"/>
        <v>205834</v>
      </c>
      <c r="U189" s="19">
        <f t="shared" si="18"/>
        <v>284847</v>
      </c>
      <c r="V189" s="12"/>
      <c r="W189" s="20">
        <f t="shared" si="19"/>
        <v>0.10000094787628319</v>
      </c>
      <c r="X189" s="20">
        <f t="shared" si="20"/>
        <v>0.89999905212371678</v>
      </c>
    </row>
    <row r="190" spans="1:24" x14ac:dyDescent="0.25">
      <c r="A190" s="5">
        <v>2026</v>
      </c>
      <c r="B190" s="5" t="s">
        <v>308</v>
      </c>
      <c r="C190" s="24" t="s">
        <v>308</v>
      </c>
      <c r="D190" s="5" t="s">
        <v>323</v>
      </c>
      <c r="E190" s="22" t="s">
        <v>693</v>
      </c>
      <c r="F190" s="22" t="s">
        <v>693</v>
      </c>
      <c r="G190" s="5" t="s">
        <v>323</v>
      </c>
      <c r="H190" s="5" t="s">
        <v>647</v>
      </c>
      <c r="I190" s="4">
        <f>INDEX(Breakdown[],MATCH($D190,Breakdown[Dist],0),MATCH(I$4,Breakdown[#Headers],0))</f>
        <v>121642</v>
      </c>
      <c r="J190" s="4">
        <f>INDEX(Breakdown[],MATCH($D190,Breakdown[Dist],0),MATCH(J$4,Breakdown[#Headers],0))</f>
        <v>96898</v>
      </c>
      <c r="K190" s="4">
        <f>INDEX(Breakdown[],MATCH($D190,Breakdown[Dist],0),MATCH(K$4,Breakdown[#Headers],0))</f>
        <v>20754</v>
      </c>
      <c r="L190" s="4">
        <f>INDEX(Breakdown[],MATCH($D190,Breakdown[Dist],0),MATCH(L$4,Breakdown[#Headers],0))</f>
        <v>76144</v>
      </c>
      <c r="M190" s="4">
        <f>INDEX(Breakdown[],MATCH($D190,Breakdown[Dist],0),MATCH(M$4,Breakdown[#Headers],0))</f>
        <v>6922</v>
      </c>
      <c r="N190" s="4">
        <f t="shared" si="14"/>
        <v>107810</v>
      </c>
      <c r="O190" s="15">
        <f t="shared" si="15"/>
        <v>10781</v>
      </c>
      <c r="P190" s="12"/>
      <c r="Q190" s="4">
        <f>INDEX(Breakdown[],MATCH($D190,Breakdown[Dist],0),MATCH(Q$4,Breakdown[#Headers],0))</f>
        <v>24744</v>
      </c>
      <c r="R190" s="4">
        <f>INDEX(Breakdown[],MATCH($D190,Breakdown[Dist],0),MATCH(R$4,Breakdown[#Headers],0))</f>
        <v>6922</v>
      </c>
      <c r="S190" s="14">
        <f t="shared" si="16"/>
        <v>31666</v>
      </c>
      <c r="T190" s="17">
        <f t="shared" si="17"/>
        <v>65363</v>
      </c>
      <c r="U190" s="19">
        <f t="shared" si="18"/>
        <v>97029</v>
      </c>
      <c r="V190" s="12"/>
      <c r="W190" s="20">
        <f t="shared" si="19"/>
        <v>0.1</v>
      </c>
      <c r="X190" s="20">
        <f t="shared" si="20"/>
        <v>0.9</v>
      </c>
    </row>
    <row r="191" spans="1:24" x14ac:dyDescent="0.25">
      <c r="A191" s="5">
        <v>2026</v>
      </c>
      <c r="B191" s="5" t="s">
        <v>263</v>
      </c>
      <c r="C191" s="24" t="s">
        <v>263</v>
      </c>
      <c r="D191" s="5" t="s">
        <v>291</v>
      </c>
      <c r="E191" s="22" t="s">
        <v>693</v>
      </c>
      <c r="F191" s="22" t="s">
        <v>693</v>
      </c>
      <c r="G191" s="5" t="s">
        <v>291</v>
      </c>
      <c r="H191" s="5" t="s">
        <v>616</v>
      </c>
      <c r="I191" s="4">
        <f>INDEX(Breakdown[],MATCH($D191,Breakdown[Dist],0),MATCH(I$4,Breakdown[#Headers],0))</f>
        <v>86369</v>
      </c>
      <c r="J191" s="4">
        <f>INDEX(Breakdown[],MATCH($D191,Breakdown[Dist],0),MATCH(J$4,Breakdown[#Headers],0))</f>
        <v>68280</v>
      </c>
      <c r="K191" s="4">
        <f>INDEX(Breakdown[],MATCH($D191,Breakdown[Dist],0),MATCH(K$4,Breakdown[#Headers],0))</f>
        <v>14625</v>
      </c>
      <c r="L191" s="4">
        <f>INDEX(Breakdown[],MATCH($D191,Breakdown[Dist],0),MATCH(L$4,Breakdown[#Headers],0))</f>
        <v>53655</v>
      </c>
      <c r="M191" s="4">
        <f>INDEX(Breakdown[],MATCH($D191,Breakdown[Dist],0),MATCH(M$4,Breakdown[#Headers],0))</f>
        <v>6499</v>
      </c>
      <c r="N191" s="4">
        <f t="shared" si="14"/>
        <v>78243</v>
      </c>
      <c r="O191" s="15">
        <f t="shared" si="15"/>
        <v>7824</v>
      </c>
      <c r="P191" s="12"/>
      <c r="Q191" s="4">
        <f>INDEX(Breakdown[],MATCH($D191,Breakdown[Dist],0),MATCH(Q$4,Breakdown[#Headers],0))</f>
        <v>18089</v>
      </c>
      <c r="R191" s="4">
        <f>INDEX(Breakdown[],MATCH($D191,Breakdown[Dist],0),MATCH(R$4,Breakdown[#Headers],0))</f>
        <v>6499</v>
      </c>
      <c r="S191" s="14">
        <f t="shared" si="16"/>
        <v>24588</v>
      </c>
      <c r="T191" s="17">
        <f t="shared" si="17"/>
        <v>45831</v>
      </c>
      <c r="U191" s="19">
        <f t="shared" si="18"/>
        <v>70419</v>
      </c>
      <c r="V191" s="12"/>
      <c r="W191" s="20">
        <f t="shared" si="19"/>
        <v>9.9996165791188987E-2</v>
      </c>
      <c r="X191" s="20">
        <f t="shared" si="20"/>
        <v>0.90000383420881103</v>
      </c>
    </row>
    <row r="192" spans="1:24" x14ac:dyDescent="0.25">
      <c r="A192" s="5">
        <v>2026</v>
      </c>
      <c r="B192" s="5" t="s">
        <v>308</v>
      </c>
      <c r="C192" s="24" t="s">
        <v>308</v>
      </c>
      <c r="D192" s="5" t="s">
        <v>324</v>
      </c>
      <c r="E192" s="22" t="s">
        <v>693</v>
      </c>
      <c r="F192" s="22" t="s">
        <v>693</v>
      </c>
      <c r="G192" s="5" t="s">
        <v>324</v>
      </c>
      <c r="H192" s="5" t="s">
        <v>648</v>
      </c>
      <c r="I192" s="4">
        <f>INDEX(Breakdown[],MATCH($D192,Breakdown[Dist],0),MATCH(I$4,Breakdown[#Headers],0))</f>
        <v>76153</v>
      </c>
      <c r="J192" s="4">
        <f>INDEX(Breakdown[],MATCH($D192,Breakdown[Dist],0),MATCH(J$4,Breakdown[#Headers],0))</f>
        <v>60662</v>
      </c>
      <c r="K192" s="4">
        <f>INDEX(Breakdown[],MATCH($D192,Breakdown[Dist],0),MATCH(K$4,Breakdown[#Headers],0))</f>
        <v>12992</v>
      </c>
      <c r="L192" s="4">
        <f>INDEX(Breakdown[],MATCH($D192,Breakdown[Dist],0),MATCH(L$4,Breakdown[#Headers],0))</f>
        <v>47670</v>
      </c>
      <c r="M192" s="4">
        <f>INDEX(Breakdown[],MATCH($D192,Breakdown[Dist],0),MATCH(M$4,Breakdown[#Headers],0))</f>
        <v>49</v>
      </c>
      <c r="N192" s="4">
        <f t="shared" si="14"/>
        <v>63210</v>
      </c>
      <c r="O192" s="15">
        <f t="shared" si="15"/>
        <v>6321</v>
      </c>
      <c r="P192" s="12"/>
      <c r="Q192" s="4">
        <f>INDEX(Breakdown[],MATCH($D192,Breakdown[Dist],0),MATCH(Q$4,Breakdown[#Headers],0))</f>
        <v>15491</v>
      </c>
      <c r="R192" s="4">
        <f>INDEX(Breakdown[],MATCH($D192,Breakdown[Dist],0),MATCH(R$4,Breakdown[#Headers],0))</f>
        <v>49</v>
      </c>
      <c r="S192" s="14">
        <f t="shared" si="16"/>
        <v>15540</v>
      </c>
      <c r="T192" s="17">
        <f t="shared" si="17"/>
        <v>41349</v>
      </c>
      <c r="U192" s="19">
        <f t="shared" si="18"/>
        <v>56889</v>
      </c>
      <c r="V192" s="12"/>
      <c r="W192" s="20">
        <f t="shared" si="19"/>
        <v>0.1</v>
      </c>
      <c r="X192" s="20">
        <f t="shared" si="20"/>
        <v>0.9</v>
      </c>
    </row>
    <row r="193" spans="1:24" x14ac:dyDescent="0.25">
      <c r="A193" s="5">
        <v>2026</v>
      </c>
      <c r="B193" s="5" t="s">
        <v>308</v>
      </c>
      <c r="C193" s="24" t="s">
        <v>308</v>
      </c>
      <c r="D193" s="5" t="s">
        <v>325</v>
      </c>
      <c r="E193" s="22" t="s">
        <v>693</v>
      </c>
      <c r="F193" s="22" t="s">
        <v>693</v>
      </c>
      <c r="G193" s="5" t="s">
        <v>325</v>
      </c>
      <c r="H193" s="5" t="s">
        <v>649</v>
      </c>
      <c r="I193" s="4">
        <f>INDEX(Breakdown[],MATCH($D193,Breakdown[Dist],0),MATCH(I$4,Breakdown[#Headers],0))</f>
        <v>77653</v>
      </c>
      <c r="J193" s="4">
        <f>INDEX(Breakdown[],MATCH($D193,Breakdown[Dist],0),MATCH(J$4,Breakdown[#Headers],0))</f>
        <v>61857</v>
      </c>
      <c r="K193" s="4">
        <f>INDEX(Breakdown[],MATCH($D193,Breakdown[Dist],0),MATCH(K$4,Breakdown[#Headers],0))</f>
        <v>13248</v>
      </c>
      <c r="L193" s="4">
        <f>INDEX(Breakdown[],MATCH($D193,Breakdown[Dist],0),MATCH(L$4,Breakdown[#Headers],0))</f>
        <v>48609</v>
      </c>
      <c r="M193" s="4">
        <f>INDEX(Breakdown[],MATCH($D193,Breakdown[Dist],0),MATCH(M$4,Breakdown[#Headers],0))</f>
        <v>0</v>
      </c>
      <c r="N193" s="4">
        <f t="shared" si="14"/>
        <v>64405</v>
      </c>
      <c r="O193" s="15">
        <f t="shared" si="15"/>
        <v>6441</v>
      </c>
      <c r="P193" s="12"/>
      <c r="Q193" s="4">
        <f>INDEX(Breakdown[],MATCH($D193,Breakdown[Dist],0),MATCH(Q$4,Breakdown[#Headers],0))</f>
        <v>15796</v>
      </c>
      <c r="R193" s="4">
        <f>INDEX(Breakdown[],MATCH($D193,Breakdown[Dist],0),MATCH(R$4,Breakdown[#Headers],0))</f>
        <v>0</v>
      </c>
      <c r="S193" s="14">
        <f t="shared" si="16"/>
        <v>15796</v>
      </c>
      <c r="T193" s="17">
        <f t="shared" si="17"/>
        <v>42168</v>
      </c>
      <c r="U193" s="19">
        <f t="shared" si="18"/>
        <v>57964</v>
      </c>
      <c r="V193" s="12"/>
      <c r="W193" s="20">
        <f t="shared" si="19"/>
        <v>0.10000776337240898</v>
      </c>
      <c r="X193" s="20">
        <f t="shared" si="20"/>
        <v>0.89999223662759098</v>
      </c>
    </row>
    <row r="194" spans="1:24" x14ac:dyDescent="0.25">
      <c r="A194" s="5">
        <v>2026</v>
      </c>
      <c r="B194" s="5" t="s">
        <v>263</v>
      </c>
      <c r="C194" s="24" t="s">
        <v>263</v>
      </c>
      <c r="D194" s="5" t="s">
        <v>292</v>
      </c>
      <c r="E194" s="22" t="s">
        <v>693</v>
      </c>
      <c r="F194" s="22" t="s">
        <v>693</v>
      </c>
      <c r="G194" s="5" t="s">
        <v>292</v>
      </c>
      <c r="H194" s="5" t="s">
        <v>617</v>
      </c>
      <c r="I194" s="4">
        <f>INDEX(Breakdown[],MATCH($D194,Breakdown[Dist],0),MATCH(I$4,Breakdown[#Headers],0))</f>
        <v>238945</v>
      </c>
      <c r="J194" s="4">
        <f>INDEX(Breakdown[],MATCH($D194,Breakdown[Dist],0),MATCH(J$4,Breakdown[#Headers],0))</f>
        <v>188900</v>
      </c>
      <c r="K194" s="4">
        <f>INDEX(Breakdown[],MATCH($D194,Breakdown[Dist],0),MATCH(K$4,Breakdown[#Headers],0))</f>
        <v>40460</v>
      </c>
      <c r="L194" s="4">
        <f>INDEX(Breakdown[],MATCH($D194,Breakdown[Dist],0),MATCH(L$4,Breakdown[#Headers],0))</f>
        <v>148440</v>
      </c>
      <c r="M194" s="4">
        <f>INDEX(Breakdown[],MATCH($D194,Breakdown[Dist],0),MATCH(M$4,Breakdown[#Headers],0))</f>
        <v>0</v>
      </c>
      <c r="N194" s="4">
        <f t="shared" si="14"/>
        <v>198485</v>
      </c>
      <c r="O194" s="15">
        <f t="shared" si="15"/>
        <v>19849</v>
      </c>
      <c r="P194" s="12"/>
      <c r="Q194" s="4">
        <f>INDEX(Breakdown[],MATCH($D194,Breakdown[Dist],0),MATCH(Q$4,Breakdown[#Headers],0))</f>
        <v>50045</v>
      </c>
      <c r="R194" s="4">
        <f>INDEX(Breakdown[],MATCH($D194,Breakdown[Dist],0),MATCH(R$4,Breakdown[#Headers],0))</f>
        <v>0</v>
      </c>
      <c r="S194" s="14">
        <f t="shared" si="16"/>
        <v>50045</v>
      </c>
      <c r="T194" s="17">
        <f t="shared" si="17"/>
        <v>128591</v>
      </c>
      <c r="U194" s="19">
        <f t="shared" si="18"/>
        <v>178636</v>
      </c>
      <c r="V194" s="12"/>
      <c r="W194" s="20">
        <f t="shared" si="19"/>
        <v>0.10000251908204651</v>
      </c>
      <c r="X194" s="20">
        <f t="shared" si="20"/>
        <v>0.89999748091795351</v>
      </c>
    </row>
    <row r="195" spans="1:24" x14ac:dyDescent="0.25">
      <c r="A195" s="5">
        <v>2026</v>
      </c>
      <c r="B195" s="5" t="s">
        <v>308</v>
      </c>
      <c r="C195" s="24" t="s">
        <v>308</v>
      </c>
      <c r="D195" s="5" t="s">
        <v>326</v>
      </c>
      <c r="E195" s="22" t="s">
        <v>693</v>
      </c>
      <c r="F195" s="22" t="s">
        <v>693</v>
      </c>
      <c r="G195" s="5" t="s">
        <v>326</v>
      </c>
      <c r="H195" s="5" t="s">
        <v>650</v>
      </c>
      <c r="I195" s="4">
        <f>INDEX(Breakdown[],MATCH($D195,Breakdown[Dist],0),MATCH(I$4,Breakdown[#Headers],0))</f>
        <v>691325</v>
      </c>
      <c r="J195" s="4">
        <f>INDEX(Breakdown[],MATCH($D195,Breakdown[Dist],0),MATCH(J$4,Breakdown[#Headers],0))</f>
        <v>550697</v>
      </c>
      <c r="K195" s="4">
        <f>INDEX(Breakdown[],MATCH($D195,Breakdown[Dist],0),MATCH(K$4,Breakdown[#Headers],0))</f>
        <v>117950</v>
      </c>
      <c r="L195" s="4">
        <f>INDEX(Breakdown[],MATCH($D195,Breakdown[Dist],0),MATCH(L$4,Breakdown[#Headers],0))</f>
        <v>432747</v>
      </c>
      <c r="M195" s="4">
        <f>INDEX(Breakdown[],MATCH($D195,Breakdown[Dist],0),MATCH(M$4,Breakdown[#Headers],0))</f>
        <v>0</v>
      </c>
      <c r="N195" s="4">
        <f t="shared" si="14"/>
        <v>573375</v>
      </c>
      <c r="O195" s="15">
        <f t="shared" si="15"/>
        <v>57338</v>
      </c>
      <c r="P195" s="12"/>
      <c r="Q195" s="4">
        <f>INDEX(Breakdown[],MATCH($D195,Breakdown[Dist],0),MATCH(Q$4,Breakdown[#Headers],0))</f>
        <v>140628</v>
      </c>
      <c r="R195" s="4">
        <f>INDEX(Breakdown[],MATCH($D195,Breakdown[Dist],0),MATCH(R$4,Breakdown[#Headers],0))</f>
        <v>0</v>
      </c>
      <c r="S195" s="14">
        <f t="shared" si="16"/>
        <v>140628</v>
      </c>
      <c r="T195" s="17">
        <f t="shared" si="17"/>
        <v>375409</v>
      </c>
      <c r="U195" s="19">
        <f t="shared" si="18"/>
        <v>516037</v>
      </c>
      <c r="V195" s="12"/>
      <c r="W195" s="20">
        <f t="shared" si="19"/>
        <v>0.10000087202964901</v>
      </c>
      <c r="X195" s="20">
        <f t="shared" si="20"/>
        <v>0.89999912797035098</v>
      </c>
    </row>
    <row r="196" spans="1:24" x14ac:dyDescent="0.25">
      <c r="A196" s="5">
        <v>2026</v>
      </c>
      <c r="B196" s="5" t="s">
        <v>140</v>
      </c>
      <c r="C196" s="24" t="s">
        <v>140</v>
      </c>
      <c r="D196" s="5" t="s">
        <v>163</v>
      </c>
      <c r="E196" s="22" t="s">
        <v>693</v>
      </c>
      <c r="F196" s="22" t="s">
        <v>693</v>
      </c>
      <c r="G196" s="5" t="s">
        <v>163</v>
      </c>
      <c r="H196" s="5" t="s">
        <v>494</v>
      </c>
      <c r="I196" s="4">
        <f>INDEX(Breakdown[],MATCH($D196,Breakdown[Dist],0),MATCH(I$4,Breakdown[#Headers],0))</f>
        <v>406550</v>
      </c>
      <c r="J196" s="4">
        <f>INDEX(Breakdown[],MATCH($D196,Breakdown[Dist],0),MATCH(J$4,Breakdown[#Headers],0))</f>
        <v>322288</v>
      </c>
      <c r="K196" s="4">
        <f>INDEX(Breakdown[],MATCH($D196,Breakdown[Dist],0),MATCH(K$4,Breakdown[#Headers],0))</f>
        <v>69029</v>
      </c>
      <c r="L196" s="4">
        <f>INDEX(Breakdown[],MATCH($D196,Breakdown[Dist],0),MATCH(L$4,Breakdown[#Headers],0))</f>
        <v>253259</v>
      </c>
      <c r="M196" s="4">
        <f>INDEX(Breakdown[],MATCH($D196,Breakdown[Dist],0),MATCH(M$4,Breakdown[#Headers],0))</f>
        <v>0</v>
      </c>
      <c r="N196" s="4">
        <f t="shared" si="14"/>
        <v>337521</v>
      </c>
      <c r="O196" s="15">
        <f t="shared" si="15"/>
        <v>33752</v>
      </c>
      <c r="P196" s="12"/>
      <c r="Q196" s="4">
        <f>INDEX(Breakdown[],MATCH($D196,Breakdown[Dist],0),MATCH(Q$4,Breakdown[#Headers],0))</f>
        <v>84262</v>
      </c>
      <c r="R196" s="4">
        <f>INDEX(Breakdown[],MATCH($D196,Breakdown[Dist],0),MATCH(R$4,Breakdown[#Headers],0))</f>
        <v>0</v>
      </c>
      <c r="S196" s="14">
        <f t="shared" si="16"/>
        <v>84262</v>
      </c>
      <c r="T196" s="17">
        <f t="shared" si="17"/>
        <v>219507</v>
      </c>
      <c r="U196" s="19">
        <f t="shared" si="18"/>
        <v>303769</v>
      </c>
      <c r="V196" s="12"/>
      <c r="W196" s="20">
        <f t="shared" si="19"/>
        <v>9.9999703722138775E-2</v>
      </c>
      <c r="X196" s="20">
        <f t="shared" si="20"/>
        <v>0.90000029627786127</v>
      </c>
    </row>
    <row r="197" spans="1:24" x14ac:dyDescent="0.25">
      <c r="A197" s="5">
        <v>2026</v>
      </c>
      <c r="B197" s="5" t="s">
        <v>263</v>
      </c>
      <c r="C197" s="24" t="s">
        <v>263</v>
      </c>
      <c r="D197" s="5" t="s">
        <v>293</v>
      </c>
      <c r="E197" s="22" t="s">
        <v>693</v>
      </c>
      <c r="F197" s="22" t="s">
        <v>693</v>
      </c>
      <c r="G197" s="5" t="s">
        <v>293</v>
      </c>
      <c r="H197" s="5" t="s">
        <v>618</v>
      </c>
      <c r="I197" s="4">
        <f>INDEX(Breakdown[],MATCH($D197,Breakdown[Dist],0),MATCH(I$4,Breakdown[#Headers],0))</f>
        <v>88498</v>
      </c>
      <c r="J197" s="4">
        <f>INDEX(Breakdown[],MATCH($D197,Breakdown[Dist],0),MATCH(J$4,Breakdown[#Headers],0))</f>
        <v>69963</v>
      </c>
      <c r="K197" s="4">
        <f>INDEX(Breakdown[],MATCH($D197,Breakdown[Dist],0),MATCH(K$4,Breakdown[#Headers],0))</f>
        <v>14985</v>
      </c>
      <c r="L197" s="4">
        <f>INDEX(Breakdown[],MATCH($D197,Breakdown[Dist],0),MATCH(L$4,Breakdown[#Headers],0))</f>
        <v>54978</v>
      </c>
      <c r="M197" s="4">
        <f>INDEX(Breakdown[],MATCH($D197,Breakdown[Dist],0),MATCH(M$4,Breakdown[#Headers],0))</f>
        <v>0</v>
      </c>
      <c r="N197" s="4">
        <f t="shared" si="14"/>
        <v>73513</v>
      </c>
      <c r="O197" s="15">
        <f t="shared" si="15"/>
        <v>7351</v>
      </c>
      <c r="P197" s="12"/>
      <c r="Q197" s="4">
        <f>INDEX(Breakdown[],MATCH($D197,Breakdown[Dist],0),MATCH(Q$4,Breakdown[#Headers],0))</f>
        <v>18535</v>
      </c>
      <c r="R197" s="4">
        <f>INDEX(Breakdown[],MATCH($D197,Breakdown[Dist],0),MATCH(R$4,Breakdown[#Headers],0))</f>
        <v>0</v>
      </c>
      <c r="S197" s="14">
        <f t="shared" si="16"/>
        <v>18535</v>
      </c>
      <c r="T197" s="17">
        <f t="shared" si="17"/>
        <v>47627</v>
      </c>
      <c r="U197" s="19">
        <f t="shared" si="18"/>
        <v>66162</v>
      </c>
      <c r="V197" s="12"/>
      <c r="W197" s="20">
        <f t="shared" si="19"/>
        <v>9.9995919089140697E-2</v>
      </c>
      <c r="X197" s="20">
        <f t="shared" si="20"/>
        <v>0.90000408091085926</v>
      </c>
    </row>
    <row r="198" spans="1:24" x14ac:dyDescent="0.25">
      <c r="A198" s="5">
        <v>2026</v>
      </c>
      <c r="B198" s="5" t="s">
        <v>118</v>
      </c>
      <c r="C198" s="24" t="s">
        <v>118</v>
      </c>
      <c r="D198" s="5" t="s">
        <v>134</v>
      </c>
      <c r="E198" s="22" t="s">
        <v>693</v>
      </c>
      <c r="F198" s="22" t="s">
        <v>693</v>
      </c>
      <c r="G198" s="5" t="s">
        <v>134</v>
      </c>
      <c r="H198" s="5" t="s">
        <v>468</v>
      </c>
      <c r="I198" s="4">
        <f>INDEX(Breakdown[],MATCH($D198,Breakdown[Dist],0),MATCH(I$4,Breakdown[#Headers],0))</f>
        <v>1761004</v>
      </c>
      <c r="J198" s="4">
        <f>INDEX(Breakdown[],MATCH($D198,Breakdown[Dist],0),MATCH(J$4,Breakdown[#Headers],0))</f>
        <v>1388360</v>
      </c>
      <c r="K198" s="4">
        <f>INDEX(Breakdown[],MATCH($D198,Breakdown[Dist],0),MATCH(K$4,Breakdown[#Headers],0))</f>
        <v>297365</v>
      </c>
      <c r="L198" s="4">
        <f>INDEX(Breakdown[],MATCH($D198,Breakdown[Dist],0),MATCH(L$4,Breakdown[#Headers],0))</f>
        <v>1090995</v>
      </c>
      <c r="M198" s="4">
        <f>INDEX(Breakdown[],MATCH($D198,Breakdown[Dist],0),MATCH(M$4,Breakdown[#Headers],0))</f>
        <v>0</v>
      </c>
      <c r="N198" s="4">
        <f t="shared" ref="N198:N261" si="21">I198-K198+M198</f>
        <v>1463639</v>
      </c>
      <c r="O198" s="15">
        <f t="shared" ref="O198:O261" si="22">ROUND(N198*0.1,0)</f>
        <v>146364</v>
      </c>
      <c r="P198" s="12"/>
      <c r="Q198" s="4">
        <f>INDEX(Breakdown[],MATCH($D198,Breakdown[Dist],0),MATCH(Q$4,Breakdown[#Headers],0))</f>
        <v>372644</v>
      </c>
      <c r="R198" s="4">
        <f>INDEX(Breakdown[],MATCH($D198,Breakdown[Dist],0),MATCH(R$4,Breakdown[#Headers],0))</f>
        <v>0</v>
      </c>
      <c r="S198" s="14">
        <f t="shared" ref="S198:S261" si="23">SUM(Q198:R198)</f>
        <v>372644</v>
      </c>
      <c r="T198" s="17">
        <f t="shared" ref="T198:T261" si="24">L198-O198</f>
        <v>944631</v>
      </c>
      <c r="U198" s="19">
        <f t="shared" ref="U198:U261" si="25">SUM(S198:T198)</f>
        <v>1317275</v>
      </c>
      <c r="V198" s="12"/>
      <c r="W198" s="20">
        <f t="shared" ref="W198:W261" si="26">O198/N198</f>
        <v>0.10000006832285831</v>
      </c>
      <c r="X198" s="20">
        <f t="shared" ref="X198:X261" si="27">U198/N198</f>
        <v>0.89999993167714165</v>
      </c>
    </row>
    <row r="199" spans="1:24" x14ac:dyDescent="0.25">
      <c r="A199" s="5">
        <v>2026</v>
      </c>
      <c r="B199" s="5" t="s">
        <v>60</v>
      </c>
      <c r="C199" s="24" t="s">
        <v>60</v>
      </c>
      <c r="D199" s="5" t="s">
        <v>100</v>
      </c>
      <c r="E199" s="22" t="s">
        <v>693</v>
      </c>
      <c r="F199" s="22" t="s">
        <v>693</v>
      </c>
      <c r="G199" s="5" t="s">
        <v>100</v>
      </c>
      <c r="H199" s="5" t="s">
        <v>435</v>
      </c>
      <c r="I199" s="4">
        <f>INDEX(Breakdown[],MATCH($D199,Breakdown[Dist],0),MATCH(I$4,Breakdown[#Headers],0))</f>
        <v>224786</v>
      </c>
      <c r="J199" s="4">
        <f>INDEX(Breakdown[],MATCH($D199,Breakdown[Dist],0),MATCH(J$4,Breakdown[#Headers],0))</f>
        <v>176033</v>
      </c>
      <c r="K199" s="4">
        <f>INDEX(Breakdown[],MATCH($D199,Breakdown[Dist],0),MATCH(K$4,Breakdown[#Headers],0))</f>
        <v>37704</v>
      </c>
      <c r="L199" s="4">
        <f>INDEX(Breakdown[],MATCH($D199,Breakdown[Dist],0),MATCH(L$4,Breakdown[#Headers],0))</f>
        <v>138329</v>
      </c>
      <c r="M199" s="4">
        <f>INDEX(Breakdown[],MATCH($D199,Breakdown[Dist],0),MATCH(M$4,Breakdown[#Headers],0))</f>
        <v>4440</v>
      </c>
      <c r="N199" s="4">
        <f t="shared" si="21"/>
        <v>191522</v>
      </c>
      <c r="O199" s="15">
        <f t="shared" si="22"/>
        <v>19152</v>
      </c>
      <c r="P199" s="12"/>
      <c r="Q199" s="4">
        <f>INDEX(Breakdown[],MATCH($D199,Breakdown[Dist],0),MATCH(Q$4,Breakdown[#Headers],0))</f>
        <v>48753</v>
      </c>
      <c r="R199" s="4">
        <f>INDEX(Breakdown[],MATCH($D199,Breakdown[Dist],0),MATCH(R$4,Breakdown[#Headers],0))</f>
        <v>4440</v>
      </c>
      <c r="S199" s="14">
        <f t="shared" si="23"/>
        <v>53193</v>
      </c>
      <c r="T199" s="17">
        <f t="shared" si="24"/>
        <v>119177</v>
      </c>
      <c r="U199" s="19">
        <f t="shared" si="25"/>
        <v>172370</v>
      </c>
      <c r="V199" s="12"/>
      <c r="W199" s="20">
        <f t="shared" si="26"/>
        <v>9.9998955733544975E-2</v>
      </c>
      <c r="X199" s="20">
        <f t="shared" si="27"/>
        <v>0.900001044266455</v>
      </c>
    </row>
    <row r="200" spans="1:24" x14ac:dyDescent="0.25">
      <c r="A200" s="5">
        <v>2026</v>
      </c>
      <c r="B200" s="5" t="s">
        <v>174</v>
      </c>
      <c r="C200" s="24" t="s">
        <v>174</v>
      </c>
      <c r="D200" s="5" t="s">
        <v>205</v>
      </c>
      <c r="E200" s="22" t="s">
        <v>693</v>
      </c>
      <c r="F200" s="22" t="s">
        <v>693</v>
      </c>
      <c r="G200" s="5" t="s">
        <v>205</v>
      </c>
      <c r="H200" s="5" t="s">
        <v>535</v>
      </c>
      <c r="I200" s="4">
        <f>INDEX(Breakdown[],MATCH($D200,Breakdown[Dist],0),MATCH(I$4,Breakdown[#Headers],0))</f>
        <v>537896</v>
      </c>
      <c r="J200" s="4">
        <f>INDEX(Breakdown[],MATCH($D200,Breakdown[Dist],0),MATCH(J$4,Breakdown[#Headers],0))</f>
        <v>435288</v>
      </c>
      <c r="K200" s="4">
        <f>INDEX(Breakdown[],MATCH($D200,Breakdown[Dist],0),MATCH(K$4,Breakdown[#Headers],0))</f>
        <v>93232</v>
      </c>
      <c r="L200" s="4">
        <f>INDEX(Breakdown[],MATCH($D200,Breakdown[Dist],0),MATCH(L$4,Breakdown[#Headers],0))</f>
        <v>342056</v>
      </c>
      <c r="M200" s="4">
        <f>INDEX(Breakdown[],MATCH($D200,Breakdown[Dist],0),MATCH(M$4,Breakdown[#Headers],0))</f>
        <v>0</v>
      </c>
      <c r="N200" s="4">
        <f t="shared" si="21"/>
        <v>444664</v>
      </c>
      <c r="O200" s="15">
        <f t="shared" si="22"/>
        <v>44466</v>
      </c>
      <c r="P200" s="12"/>
      <c r="Q200" s="4">
        <f>INDEX(Breakdown[],MATCH($D200,Breakdown[Dist],0),MATCH(Q$4,Breakdown[#Headers],0))</f>
        <v>102608</v>
      </c>
      <c r="R200" s="4">
        <f>INDEX(Breakdown[],MATCH($D200,Breakdown[Dist],0),MATCH(R$4,Breakdown[#Headers],0))</f>
        <v>0</v>
      </c>
      <c r="S200" s="14">
        <f t="shared" si="23"/>
        <v>102608</v>
      </c>
      <c r="T200" s="17">
        <f t="shared" si="24"/>
        <v>297590</v>
      </c>
      <c r="U200" s="19">
        <f t="shared" si="25"/>
        <v>400198</v>
      </c>
      <c r="V200" s="12"/>
      <c r="W200" s="20">
        <f t="shared" si="26"/>
        <v>9.999910044438047E-2</v>
      </c>
      <c r="X200" s="20">
        <f t="shared" si="27"/>
        <v>0.90000089955561957</v>
      </c>
    </row>
    <row r="201" spans="1:24" x14ac:dyDescent="0.25">
      <c r="A201" s="5">
        <v>2026</v>
      </c>
      <c r="B201" s="5" t="s">
        <v>0</v>
      </c>
      <c r="C201" s="24" t="s">
        <v>0</v>
      </c>
      <c r="D201" s="5" t="s">
        <v>11</v>
      </c>
      <c r="E201" s="22" t="s">
        <v>693</v>
      </c>
      <c r="F201" s="22" t="s">
        <v>693</v>
      </c>
      <c r="G201" s="5" t="s">
        <v>11</v>
      </c>
      <c r="H201" s="5" t="s">
        <v>358</v>
      </c>
      <c r="I201" s="4">
        <f>INDEX(Breakdown[],MATCH($D201,Breakdown[Dist],0),MATCH(I$4,Breakdown[#Headers],0))</f>
        <v>397577</v>
      </c>
      <c r="J201" s="4">
        <f>INDEX(Breakdown[],MATCH($D201,Breakdown[Dist],0),MATCH(J$4,Breakdown[#Headers],0))</f>
        <v>302024</v>
      </c>
      <c r="K201" s="4">
        <f>INDEX(Breakdown[],MATCH($D201,Breakdown[Dist],0),MATCH(K$4,Breakdown[#Headers],0))</f>
        <v>64689</v>
      </c>
      <c r="L201" s="4">
        <f>INDEX(Breakdown[],MATCH($D201,Breakdown[Dist],0),MATCH(L$4,Breakdown[#Headers],0))</f>
        <v>237335</v>
      </c>
      <c r="M201" s="4">
        <f>INDEX(Breakdown[],MATCH($D201,Breakdown[Dist],0),MATCH(M$4,Breakdown[#Headers],0))</f>
        <v>0</v>
      </c>
      <c r="N201" s="4">
        <f t="shared" si="21"/>
        <v>332888</v>
      </c>
      <c r="O201" s="15">
        <f t="shared" si="22"/>
        <v>33289</v>
      </c>
      <c r="P201" s="12"/>
      <c r="Q201" s="4">
        <f>INDEX(Breakdown[],MATCH($D201,Breakdown[Dist],0),MATCH(Q$4,Breakdown[#Headers],0))</f>
        <v>95553</v>
      </c>
      <c r="R201" s="4">
        <f>INDEX(Breakdown[],MATCH($D201,Breakdown[Dist],0),MATCH(R$4,Breakdown[#Headers],0))</f>
        <v>0</v>
      </c>
      <c r="S201" s="14">
        <f t="shared" si="23"/>
        <v>95553</v>
      </c>
      <c r="T201" s="17">
        <f t="shared" si="24"/>
        <v>204046</v>
      </c>
      <c r="U201" s="19">
        <f t="shared" si="25"/>
        <v>299599</v>
      </c>
      <c r="V201" s="12"/>
      <c r="W201" s="20">
        <f t="shared" si="26"/>
        <v>0.10000060080267237</v>
      </c>
      <c r="X201" s="20">
        <f t="shared" si="27"/>
        <v>0.89999939919732763</v>
      </c>
    </row>
    <row r="202" spans="1:24" x14ac:dyDescent="0.25">
      <c r="A202" s="5">
        <v>2026</v>
      </c>
      <c r="B202" s="5" t="s">
        <v>308</v>
      </c>
      <c r="C202" s="24" t="s">
        <v>308</v>
      </c>
      <c r="D202" s="5" t="s">
        <v>327</v>
      </c>
      <c r="E202" s="22" t="s">
        <v>693</v>
      </c>
      <c r="F202" s="22" t="s">
        <v>693</v>
      </c>
      <c r="G202" s="5" t="s">
        <v>327</v>
      </c>
      <c r="H202" s="5" t="s">
        <v>651</v>
      </c>
      <c r="I202" s="4">
        <f>INDEX(Breakdown[],MATCH($D202,Breakdown[Dist],0),MATCH(I$4,Breakdown[#Headers],0))</f>
        <v>212316</v>
      </c>
      <c r="J202" s="4">
        <f>INDEX(Breakdown[],MATCH($D202,Breakdown[Dist],0),MATCH(J$4,Breakdown[#Headers],0))</f>
        <v>169127</v>
      </c>
      <c r="K202" s="4">
        <f>INDEX(Breakdown[],MATCH($D202,Breakdown[Dist],0),MATCH(K$4,Breakdown[#Headers],0))</f>
        <v>36224</v>
      </c>
      <c r="L202" s="4">
        <f>INDEX(Breakdown[],MATCH($D202,Breakdown[Dist],0),MATCH(L$4,Breakdown[#Headers],0))</f>
        <v>132903</v>
      </c>
      <c r="M202" s="4">
        <f>INDEX(Breakdown[],MATCH($D202,Breakdown[Dist],0),MATCH(M$4,Breakdown[#Headers],0))</f>
        <v>0</v>
      </c>
      <c r="N202" s="4">
        <f t="shared" si="21"/>
        <v>176092</v>
      </c>
      <c r="O202" s="15">
        <f t="shared" si="22"/>
        <v>17609</v>
      </c>
      <c r="P202" s="12"/>
      <c r="Q202" s="4">
        <f>INDEX(Breakdown[],MATCH($D202,Breakdown[Dist],0),MATCH(Q$4,Breakdown[#Headers],0))</f>
        <v>43189</v>
      </c>
      <c r="R202" s="4">
        <f>INDEX(Breakdown[],MATCH($D202,Breakdown[Dist],0),MATCH(R$4,Breakdown[#Headers],0))</f>
        <v>0</v>
      </c>
      <c r="S202" s="14">
        <f t="shared" si="23"/>
        <v>43189</v>
      </c>
      <c r="T202" s="17">
        <f t="shared" si="24"/>
        <v>115294</v>
      </c>
      <c r="U202" s="19">
        <f t="shared" si="25"/>
        <v>158483</v>
      </c>
      <c r="V202" s="12"/>
      <c r="W202" s="20">
        <f t="shared" si="26"/>
        <v>9.999886423006156E-2</v>
      </c>
      <c r="X202" s="20">
        <f t="shared" si="27"/>
        <v>0.90000113576993845</v>
      </c>
    </row>
    <row r="203" spans="1:24" x14ac:dyDescent="0.25">
      <c r="A203" s="5">
        <v>2026</v>
      </c>
      <c r="B203" s="5" t="s">
        <v>22</v>
      </c>
      <c r="C203" s="24" t="s">
        <v>22</v>
      </c>
      <c r="D203" s="5" t="s">
        <v>40</v>
      </c>
      <c r="E203" s="22" t="s">
        <v>693</v>
      </c>
      <c r="F203" s="22" t="s">
        <v>693</v>
      </c>
      <c r="G203" s="5" t="s">
        <v>40</v>
      </c>
      <c r="H203" s="5" t="s">
        <v>386</v>
      </c>
      <c r="I203" s="4">
        <f>INDEX(Breakdown[],MATCH($D203,Breakdown[Dist],0),MATCH(I$4,Breakdown[#Headers],0))</f>
        <v>180210</v>
      </c>
      <c r="J203" s="4">
        <f>INDEX(Breakdown[],MATCH($D203,Breakdown[Dist],0),MATCH(J$4,Breakdown[#Headers],0))</f>
        <v>138519</v>
      </c>
      <c r="K203" s="4">
        <f>INDEX(Breakdown[],MATCH($D203,Breakdown[Dist],0),MATCH(K$4,Breakdown[#Headers],0))</f>
        <v>29669</v>
      </c>
      <c r="L203" s="4">
        <f>INDEX(Breakdown[],MATCH($D203,Breakdown[Dist],0),MATCH(L$4,Breakdown[#Headers],0))</f>
        <v>108850</v>
      </c>
      <c r="M203" s="4">
        <f>INDEX(Breakdown[],MATCH($D203,Breakdown[Dist],0),MATCH(M$4,Breakdown[#Headers],0))</f>
        <v>7932</v>
      </c>
      <c r="N203" s="4">
        <f t="shared" si="21"/>
        <v>158473</v>
      </c>
      <c r="O203" s="15">
        <f t="shared" si="22"/>
        <v>15847</v>
      </c>
      <c r="P203" s="12"/>
      <c r="Q203" s="4">
        <f>INDEX(Breakdown[],MATCH($D203,Breakdown[Dist],0),MATCH(Q$4,Breakdown[#Headers],0))</f>
        <v>41691</v>
      </c>
      <c r="R203" s="4">
        <f>INDEX(Breakdown[],MATCH($D203,Breakdown[Dist],0),MATCH(R$4,Breakdown[#Headers],0))</f>
        <v>7932</v>
      </c>
      <c r="S203" s="14">
        <f t="shared" si="23"/>
        <v>49623</v>
      </c>
      <c r="T203" s="17">
        <f t="shared" si="24"/>
        <v>93003</v>
      </c>
      <c r="U203" s="19">
        <f t="shared" si="25"/>
        <v>142626</v>
      </c>
      <c r="V203" s="12"/>
      <c r="W203" s="20">
        <f t="shared" si="26"/>
        <v>9.9998106933042216E-2</v>
      </c>
      <c r="X203" s="20">
        <f t="shared" si="27"/>
        <v>0.90000189306695777</v>
      </c>
    </row>
    <row r="204" spans="1:24" x14ac:dyDescent="0.25">
      <c r="A204" s="5">
        <v>2026</v>
      </c>
      <c r="B204" s="5" t="s">
        <v>174</v>
      </c>
      <c r="C204" s="24" t="s">
        <v>174</v>
      </c>
      <c r="D204" s="5" t="s">
        <v>206</v>
      </c>
      <c r="E204" s="22" t="s">
        <v>693</v>
      </c>
      <c r="F204" s="22" t="s">
        <v>693</v>
      </c>
      <c r="G204" s="5" t="s">
        <v>206</v>
      </c>
      <c r="H204" s="5" t="s">
        <v>536</v>
      </c>
      <c r="I204" s="4">
        <f>INDEX(Breakdown[],MATCH($D204,Breakdown[Dist],0),MATCH(I$4,Breakdown[#Headers],0))</f>
        <v>1146200</v>
      </c>
      <c r="J204" s="4">
        <f>INDEX(Breakdown[],MATCH($D204,Breakdown[Dist],0),MATCH(J$4,Breakdown[#Headers],0))</f>
        <v>927553</v>
      </c>
      <c r="K204" s="4">
        <f>INDEX(Breakdown[],MATCH($D204,Breakdown[Dist],0),MATCH(K$4,Breakdown[#Headers],0))</f>
        <v>198667</v>
      </c>
      <c r="L204" s="4">
        <f>INDEX(Breakdown[],MATCH($D204,Breakdown[Dist],0),MATCH(L$4,Breakdown[#Headers],0))</f>
        <v>728886</v>
      </c>
      <c r="M204" s="4">
        <f>INDEX(Breakdown[],MATCH($D204,Breakdown[Dist],0),MATCH(M$4,Breakdown[#Headers],0))</f>
        <v>6989</v>
      </c>
      <c r="N204" s="4">
        <f t="shared" si="21"/>
        <v>954522</v>
      </c>
      <c r="O204" s="15">
        <f t="shared" si="22"/>
        <v>95452</v>
      </c>
      <c r="P204" s="12"/>
      <c r="Q204" s="4">
        <f>INDEX(Breakdown[],MATCH($D204,Breakdown[Dist],0),MATCH(Q$4,Breakdown[#Headers],0))</f>
        <v>218647</v>
      </c>
      <c r="R204" s="4">
        <f>INDEX(Breakdown[],MATCH($D204,Breakdown[Dist],0),MATCH(R$4,Breakdown[#Headers],0))</f>
        <v>6989</v>
      </c>
      <c r="S204" s="14">
        <f t="shared" si="23"/>
        <v>225636</v>
      </c>
      <c r="T204" s="17">
        <f t="shared" si="24"/>
        <v>633434</v>
      </c>
      <c r="U204" s="19">
        <f t="shared" si="25"/>
        <v>859070</v>
      </c>
      <c r="V204" s="12"/>
      <c r="W204" s="20">
        <f t="shared" si="26"/>
        <v>9.9999790471042044E-2</v>
      </c>
      <c r="X204" s="20">
        <f t="shared" si="27"/>
        <v>0.90000020952895798</v>
      </c>
    </row>
    <row r="205" spans="1:24" x14ac:dyDescent="0.25">
      <c r="A205" s="5">
        <v>2026</v>
      </c>
      <c r="B205" s="5" t="s">
        <v>263</v>
      </c>
      <c r="C205" s="24" t="s">
        <v>263</v>
      </c>
      <c r="D205" s="5" t="s">
        <v>294</v>
      </c>
      <c r="E205" s="22" t="s">
        <v>693</v>
      </c>
      <c r="F205" s="22" t="s">
        <v>693</v>
      </c>
      <c r="G205" s="5" t="s">
        <v>294</v>
      </c>
      <c r="H205" s="5" t="s">
        <v>619</v>
      </c>
      <c r="I205" s="4">
        <f>INDEX(Breakdown[],MATCH($D205,Breakdown[Dist],0),MATCH(I$4,Breakdown[#Headers],0))</f>
        <v>255329</v>
      </c>
      <c r="J205" s="4">
        <f>INDEX(Breakdown[],MATCH($D205,Breakdown[Dist],0),MATCH(J$4,Breakdown[#Headers],0))</f>
        <v>201853</v>
      </c>
      <c r="K205" s="4">
        <f>INDEX(Breakdown[],MATCH($D205,Breakdown[Dist],0),MATCH(K$4,Breakdown[#Headers],0))</f>
        <v>43234</v>
      </c>
      <c r="L205" s="4">
        <f>INDEX(Breakdown[],MATCH($D205,Breakdown[Dist],0),MATCH(L$4,Breakdown[#Headers],0))</f>
        <v>158619</v>
      </c>
      <c r="M205" s="4">
        <f>INDEX(Breakdown[],MATCH($D205,Breakdown[Dist],0),MATCH(M$4,Breakdown[#Headers],0))</f>
        <v>3589</v>
      </c>
      <c r="N205" s="4">
        <f t="shared" si="21"/>
        <v>215684</v>
      </c>
      <c r="O205" s="15">
        <f t="shared" si="22"/>
        <v>21568</v>
      </c>
      <c r="P205" s="12"/>
      <c r="Q205" s="4">
        <f>INDEX(Breakdown[],MATCH($D205,Breakdown[Dist],0),MATCH(Q$4,Breakdown[#Headers],0))</f>
        <v>53476</v>
      </c>
      <c r="R205" s="4">
        <f>INDEX(Breakdown[],MATCH($D205,Breakdown[Dist],0),MATCH(R$4,Breakdown[#Headers],0))</f>
        <v>3589</v>
      </c>
      <c r="S205" s="14">
        <f t="shared" si="23"/>
        <v>57065</v>
      </c>
      <c r="T205" s="17">
        <f t="shared" si="24"/>
        <v>137051</v>
      </c>
      <c r="U205" s="19">
        <f t="shared" si="25"/>
        <v>194116</v>
      </c>
      <c r="V205" s="12"/>
      <c r="W205" s="20">
        <f t="shared" si="26"/>
        <v>9.9998145434988223E-2</v>
      </c>
      <c r="X205" s="20">
        <f t="shared" si="27"/>
        <v>0.90000185456501181</v>
      </c>
    </row>
    <row r="206" spans="1:24" x14ac:dyDescent="0.25">
      <c r="A206" s="5">
        <v>2026</v>
      </c>
      <c r="B206" s="5" t="s">
        <v>60</v>
      </c>
      <c r="C206" s="24" t="s">
        <v>60</v>
      </c>
      <c r="D206" s="5" t="s">
        <v>101</v>
      </c>
      <c r="E206" s="22" t="s">
        <v>693</v>
      </c>
      <c r="F206" s="22" t="s">
        <v>693</v>
      </c>
      <c r="G206" s="5" t="s">
        <v>101</v>
      </c>
      <c r="H206" s="5" t="s">
        <v>436</v>
      </c>
      <c r="I206" s="4">
        <f>INDEX(Breakdown[],MATCH($D206,Breakdown[Dist],0),MATCH(I$4,Breakdown[#Headers],0))</f>
        <v>214534</v>
      </c>
      <c r="J206" s="4">
        <f>INDEX(Breakdown[],MATCH($D206,Breakdown[Dist],0),MATCH(J$4,Breakdown[#Headers],0))</f>
        <v>168004</v>
      </c>
      <c r="K206" s="4">
        <f>INDEX(Breakdown[],MATCH($D206,Breakdown[Dist],0),MATCH(K$4,Breakdown[#Headers],0))</f>
        <v>35984</v>
      </c>
      <c r="L206" s="4">
        <f>INDEX(Breakdown[],MATCH($D206,Breakdown[Dist],0),MATCH(L$4,Breakdown[#Headers],0))</f>
        <v>132020</v>
      </c>
      <c r="M206" s="4">
        <f>INDEX(Breakdown[],MATCH($D206,Breakdown[Dist],0),MATCH(M$4,Breakdown[#Headers],0))</f>
        <v>0</v>
      </c>
      <c r="N206" s="4">
        <f t="shared" si="21"/>
        <v>178550</v>
      </c>
      <c r="O206" s="15">
        <f t="shared" si="22"/>
        <v>17855</v>
      </c>
      <c r="P206" s="12"/>
      <c r="Q206" s="4">
        <f>INDEX(Breakdown[],MATCH($D206,Breakdown[Dist],0),MATCH(Q$4,Breakdown[#Headers],0))</f>
        <v>46530</v>
      </c>
      <c r="R206" s="4">
        <f>INDEX(Breakdown[],MATCH($D206,Breakdown[Dist],0),MATCH(R$4,Breakdown[#Headers],0))</f>
        <v>0</v>
      </c>
      <c r="S206" s="14">
        <f t="shared" si="23"/>
        <v>46530</v>
      </c>
      <c r="T206" s="17">
        <f t="shared" si="24"/>
        <v>114165</v>
      </c>
      <c r="U206" s="19">
        <f t="shared" si="25"/>
        <v>160695</v>
      </c>
      <c r="V206" s="12"/>
      <c r="W206" s="20">
        <f t="shared" si="26"/>
        <v>0.1</v>
      </c>
      <c r="X206" s="20">
        <f t="shared" si="27"/>
        <v>0.9</v>
      </c>
    </row>
    <row r="207" spans="1:24" x14ac:dyDescent="0.25">
      <c r="A207" s="5">
        <v>2026</v>
      </c>
      <c r="B207" s="5" t="s">
        <v>140</v>
      </c>
      <c r="C207" s="24" t="s">
        <v>140</v>
      </c>
      <c r="D207" s="5" t="s">
        <v>164</v>
      </c>
      <c r="E207" s="22" t="s">
        <v>693</v>
      </c>
      <c r="F207" s="22" t="s">
        <v>693</v>
      </c>
      <c r="G207" s="5" t="s">
        <v>164</v>
      </c>
      <c r="H207" s="5" t="s">
        <v>495</v>
      </c>
      <c r="I207" s="4">
        <f>INDEX(Breakdown[],MATCH($D207,Breakdown[Dist],0),MATCH(I$4,Breakdown[#Headers],0))</f>
        <v>284154</v>
      </c>
      <c r="J207" s="4">
        <f>INDEX(Breakdown[],MATCH($D207,Breakdown[Dist],0),MATCH(J$4,Breakdown[#Headers],0))</f>
        <v>225260</v>
      </c>
      <c r="K207" s="4">
        <f>INDEX(Breakdown[],MATCH($D207,Breakdown[Dist],0),MATCH(K$4,Breakdown[#Headers],0))</f>
        <v>48247</v>
      </c>
      <c r="L207" s="4">
        <f>INDEX(Breakdown[],MATCH($D207,Breakdown[Dist],0),MATCH(L$4,Breakdown[#Headers],0))</f>
        <v>177013</v>
      </c>
      <c r="M207" s="4">
        <f>INDEX(Breakdown[],MATCH($D207,Breakdown[Dist],0),MATCH(M$4,Breakdown[#Headers],0))</f>
        <v>0</v>
      </c>
      <c r="N207" s="4">
        <f t="shared" si="21"/>
        <v>235907</v>
      </c>
      <c r="O207" s="15">
        <f t="shared" si="22"/>
        <v>23591</v>
      </c>
      <c r="P207" s="12"/>
      <c r="Q207" s="4">
        <f>INDEX(Breakdown[],MATCH($D207,Breakdown[Dist],0),MATCH(Q$4,Breakdown[#Headers],0))</f>
        <v>58894</v>
      </c>
      <c r="R207" s="4">
        <f>INDEX(Breakdown[],MATCH($D207,Breakdown[Dist],0),MATCH(R$4,Breakdown[#Headers],0))</f>
        <v>0</v>
      </c>
      <c r="S207" s="14">
        <f t="shared" si="23"/>
        <v>58894</v>
      </c>
      <c r="T207" s="17">
        <f t="shared" si="24"/>
        <v>153422</v>
      </c>
      <c r="U207" s="19">
        <f t="shared" si="25"/>
        <v>212316</v>
      </c>
      <c r="V207" s="12"/>
      <c r="W207" s="20">
        <f t="shared" si="26"/>
        <v>0.10000127168757179</v>
      </c>
      <c r="X207" s="20">
        <f t="shared" si="27"/>
        <v>0.89999872831242822</v>
      </c>
    </row>
    <row r="208" spans="1:24" x14ac:dyDescent="0.25">
      <c r="A208" s="5">
        <v>2026</v>
      </c>
      <c r="B208" s="5" t="s">
        <v>0</v>
      </c>
      <c r="C208" s="24" t="s">
        <v>0</v>
      </c>
      <c r="D208" s="5" t="s">
        <v>12</v>
      </c>
      <c r="E208" s="22" t="s">
        <v>693</v>
      </c>
      <c r="F208" s="22" t="s">
        <v>693</v>
      </c>
      <c r="G208" s="5" t="s">
        <v>12</v>
      </c>
      <c r="H208" s="5" t="s">
        <v>359</v>
      </c>
      <c r="I208" s="4">
        <f>INDEX(Breakdown[],MATCH($D208,Breakdown[Dist],0),MATCH(I$4,Breakdown[#Headers],0))</f>
        <v>480298</v>
      </c>
      <c r="J208" s="4">
        <f>INDEX(Breakdown[],MATCH($D208,Breakdown[Dist],0),MATCH(J$4,Breakdown[#Headers],0))</f>
        <v>364864</v>
      </c>
      <c r="K208" s="4">
        <f>INDEX(Breakdown[],MATCH($D208,Breakdown[Dist],0),MATCH(K$4,Breakdown[#Headers],0))</f>
        <v>78148</v>
      </c>
      <c r="L208" s="4">
        <f>INDEX(Breakdown[],MATCH($D208,Breakdown[Dist],0),MATCH(L$4,Breakdown[#Headers],0))</f>
        <v>286716</v>
      </c>
      <c r="M208" s="4">
        <f>INDEX(Breakdown[],MATCH($D208,Breakdown[Dist],0),MATCH(M$4,Breakdown[#Headers],0))</f>
        <v>0</v>
      </c>
      <c r="N208" s="4">
        <f t="shared" si="21"/>
        <v>402150</v>
      </c>
      <c r="O208" s="15">
        <f t="shared" si="22"/>
        <v>40215</v>
      </c>
      <c r="P208" s="12"/>
      <c r="Q208" s="4">
        <f>INDEX(Breakdown[],MATCH($D208,Breakdown[Dist],0),MATCH(Q$4,Breakdown[#Headers],0))</f>
        <v>115434</v>
      </c>
      <c r="R208" s="4">
        <f>INDEX(Breakdown[],MATCH($D208,Breakdown[Dist],0),MATCH(R$4,Breakdown[#Headers],0))</f>
        <v>0</v>
      </c>
      <c r="S208" s="14">
        <f t="shared" si="23"/>
        <v>115434</v>
      </c>
      <c r="T208" s="17">
        <f t="shared" si="24"/>
        <v>246501</v>
      </c>
      <c r="U208" s="19">
        <f t="shared" si="25"/>
        <v>361935</v>
      </c>
      <c r="V208" s="12"/>
      <c r="W208" s="20">
        <f t="shared" si="26"/>
        <v>0.1</v>
      </c>
      <c r="X208" s="20">
        <f t="shared" si="27"/>
        <v>0.9</v>
      </c>
    </row>
    <row r="209" spans="1:24" x14ac:dyDescent="0.25">
      <c r="A209" s="5">
        <v>2026</v>
      </c>
      <c r="B209" s="5" t="s">
        <v>60</v>
      </c>
      <c r="C209" s="24" t="s">
        <v>60</v>
      </c>
      <c r="D209" s="5" t="s">
        <v>102</v>
      </c>
      <c r="E209" s="22" t="s">
        <v>693</v>
      </c>
      <c r="F209" s="22" t="s">
        <v>693</v>
      </c>
      <c r="G209" s="5" t="s">
        <v>102</v>
      </c>
      <c r="H209" s="5" t="s">
        <v>437</v>
      </c>
      <c r="I209" s="4">
        <f>INDEX(Breakdown[],MATCH($D209,Breakdown[Dist],0),MATCH(I$4,Breakdown[#Headers],0))</f>
        <v>185063</v>
      </c>
      <c r="J209" s="4">
        <f>INDEX(Breakdown[],MATCH($D209,Breakdown[Dist],0),MATCH(J$4,Breakdown[#Headers],0))</f>
        <v>144925</v>
      </c>
      <c r="K209" s="4">
        <f>INDEX(Breakdown[],MATCH($D209,Breakdown[Dist],0),MATCH(K$4,Breakdown[#Headers],0))</f>
        <v>31040</v>
      </c>
      <c r="L209" s="4">
        <f>INDEX(Breakdown[],MATCH($D209,Breakdown[Dist],0),MATCH(L$4,Breakdown[#Headers],0))</f>
        <v>113885</v>
      </c>
      <c r="M209" s="4">
        <f>INDEX(Breakdown[],MATCH($D209,Breakdown[Dist],0),MATCH(M$4,Breakdown[#Headers],0))</f>
        <v>3953</v>
      </c>
      <c r="N209" s="4">
        <f t="shared" si="21"/>
        <v>157976</v>
      </c>
      <c r="O209" s="15">
        <f t="shared" si="22"/>
        <v>15798</v>
      </c>
      <c r="P209" s="12"/>
      <c r="Q209" s="4">
        <f>INDEX(Breakdown[],MATCH($D209,Breakdown[Dist],0),MATCH(Q$4,Breakdown[#Headers],0))</f>
        <v>40138</v>
      </c>
      <c r="R209" s="4">
        <f>INDEX(Breakdown[],MATCH($D209,Breakdown[Dist],0),MATCH(R$4,Breakdown[#Headers],0))</f>
        <v>3953</v>
      </c>
      <c r="S209" s="14">
        <f t="shared" si="23"/>
        <v>44091</v>
      </c>
      <c r="T209" s="17">
        <f t="shared" si="24"/>
        <v>98087</v>
      </c>
      <c r="U209" s="19">
        <f t="shared" si="25"/>
        <v>142178</v>
      </c>
      <c r="V209" s="12"/>
      <c r="W209" s="20">
        <f t="shared" si="26"/>
        <v>0.10000253203018181</v>
      </c>
      <c r="X209" s="20">
        <f t="shared" si="27"/>
        <v>0.89999746796981817</v>
      </c>
    </row>
    <row r="210" spans="1:24" x14ac:dyDescent="0.25">
      <c r="A210" s="5">
        <v>2026</v>
      </c>
      <c r="B210" s="5" t="s">
        <v>22</v>
      </c>
      <c r="C210" s="24" t="s">
        <v>22</v>
      </c>
      <c r="D210" s="5" t="s">
        <v>41</v>
      </c>
      <c r="E210" s="22" t="s">
        <v>693</v>
      </c>
      <c r="F210" s="22" t="s">
        <v>693</v>
      </c>
      <c r="G210" s="5" t="s">
        <v>41</v>
      </c>
      <c r="H210" s="5" t="s">
        <v>387</v>
      </c>
      <c r="I210" s="4">
        <f>INDEX(Breakdown[],MATCH($D210,Breakdown[Dist],0),MATCH(I$4,Breakdown[#Headers],0))</f>
        <v>97890</v>
      </c>
      <c r="J210" s="4">
        <f>INDEX(Breakdown[],MATCH($D210,Breakdown[Dist],0),MATCH(J$4,Breakdown[#Headers],0))</f>
        <v>75243</v>
      </c>
      <c r="K210" s="4">
        <f>INDEX(Breakdown[],MATCH($D210,Breakdown[Dist],0),MATCH(K$4,Breakdown[#Headers],0))</f>
        <v>16116</v>
      </c>
      <c r="L210" s="4">
        <f>INDEX(Breakdown[],MATCH($D210,Breakdown[Dist],0),MATCH(L$4,Breakdown[#Headers],0))</f>
        <v>59127</v>
      </c>
      <c r="M210" s="4">
        <f>INDEX(Breakdown[],MATCH($D210,Breakdown[Dist],0),MATCH(M$4,Breakdown[#Headers],0))</f>
        <v>11131</v>
      </c>
      <c r="N210" s="4">
        <f t="shared" si="21"/>
        <v>92905</v>
      </c>
      <c r="O210" s="15">
        <f t="shared" si="22"/>
        <v>9291</v>
      </c>
      <c r="P210" s="12"/>
      <c r="Q210" s="4">
        <f>INDEX(Breakdown[],MATCH($D210,Breakdown[Dist],0),MATCH(Q$4,Breakdown[#Headers],0))</f>
        <v>22647</v>
      </c>
      <c r="R210" s="4">
        <f>INDEX(Breakdown[],MATCH($D210,Breakdown[Dist],0),MATCH(R$4,Breakdown[#Headers],0))</f>
        <v>11131</v>
      </c>
      <c r="S210" s="14">
        <f t="shared" si="23"/>
        <v>33778</v>
      </c>
      <c r="T210" s="17">
        <f t="shared" si="24"/>
        <v>49836</v>
      </c>
      <c r="U210" s="19">
        <f t="shared" si="25"/>
        <v>83614</v>
      </c>
      <c r="V210" s="12"/>
      <c r="W210" s="20">
        <f t="shared" si="26"/>
        <v>0.10000538184166621</v>
      </c>
      <c r="X210" s="20">
        <f t="shared" si="27"/>
        <v>0.89999461815833381</v>
      </c>
    </row>
    <row r="211" spans="1:24" x14ac:dyDescent="0.25">
      <c r="A211" s="5">
        <v>2026</v>
      </c>
      <c r="B211" s="5" t="s">
        <v>140</v>
      </c>
      <c r="C211" s="24" t="s">
        <v>140</v>
      </c>
      <c r="D211" s="5" t="s">
        <v>165</v>
      </c>
      <c r="E211" s="22" t="s">
        <v>693</v>
      </c>
      <c r="F211" s="22" t="s">
        <v>693</v>
      </c>
      <c r="G211" s="5" t="s">
        <v>165</v>
      </c>
      <c r="H211" s="5" t="s">
        <v>496</v>
      </c>
      <c r="I211" s="4">
        <f>INDEX(Breakdown[],MATCH($D211,Breakdown[Dist],0),MATCH(I$4,Breakdown[#Headers],0))</f>
        <v>210776</v>
      </c>
      <c r="J211" s="4">
        <f>INDEX(Breakdown[],MATCH($D211,Breakdown[Dist],0),MATCH(J$4,Breakdown[#Headers],0))</f>
        <v>167090</v>
      </c>
      <c r="K211" s="4">
        <f>INDEX(Breakdown[],MATCH($D211,Breakdown[Dist],0),MATCH(K$4,Breakdown[#Headers],0))</f>
        <v>35788</v>
      </c>
      <c r="L211" s="4">
        <f>INDEX(Breakdown[],MATCH($D211,Breakdown[Dist],0),MATCH(L$4,Breakdown[#Headers],0))</f>
        <v>131302</v>
      </c>
      <c r="M211" s="4">
        <f>INDEX(Breakdown[],MATCH($D211,Breakdown[Dist],0),MATCH(M$4,Breakdown[#Headers],0))</f>
        <v>4993</v>
      </c>
      <c r="N211" s="4">
        <f t="shared" si="21"/>
        <v>179981</v>
      </c>
      <c r="O211" s="15">
        <f t="shared" si="22"/>
        <v>17998</v>
      </c>
      <c r="P211" s="12"/>
      <c r="Q211" s="4">
        <f>INDEX(Breakdown[],MATCH($D211,Breakdown[Dist],0),MATCH(Q$4,Breakdown[#Headers],0))</f>
        <v>43686</v>
      </c>
      <c r="R211" s="4">
        <f>INDEX(Breakdown[],MATCH($D211,Breakdown[Dist],0),MATCH(R$4,Breakdown[#Headers],0))</f>
        <v>4993</v>
      </c>
      <c r="S211" s="14">
        <f t="shared" si="23"/>
        <v>48679</v>
      </c>
      <c r="T211" s="17">
        <f t="shared" si="24"/>
        <v>113304</v>
      </c>
      <c r="U211" s="19">
        <f t="shared" si="25"/>
        <v>161983</v>
      </c>
      <c r="V211" s="12"/>
      <c r="W211" s="20">
        <f t="shared" si="26"/>
        <v>9.9999444385796277E-2</v>
      </c>
      <c r="X211" s="20">
        <f t="shared" si="27"/>
        <v>0.90000055561420367</v>
      </c>
    </row>
    <row r="212" spans="1:24" x14ac:dyDescent="0.25">
      <c r="A212" s="5">
        <v>2026</v>
      </c>
      <c r="B212" s="5" t="s">
        <v>308</v>
      </c>
      <c r="C212" s="24" t="s">
        <v>308</v>
      </c>
      <c r="D212" s="5" t="s">
        <v>328</v>
      </c>
      <c r="E212" s="22" t="s">
        <v>693</v>
      </c>
      <c r="F212" s="22" t="s">
        <v>693</v>
      </c>
      <c r="G212" s="5" t="s">
        <v>328</v>
      </c>
      <c r="H212" s="5" t="s">
        <v>652</v>
      </c>
      <c r="I212" s="4">
        <f>INDEX(Breakdown[],MATCH($D212,Breakdown[Dist],0),MATCH(I$4,Breakdown[#Headers],0))</f>
        <v>181874</v>
      </c>
      <c r="J212" s="4">
        <f>INDEX(Breakdown[],MATCH($D212,Breakdown[Dist],0),MATCH(J$4,Breakdown[#Headers],0))</f>
        <v>144878</v>
      </c>
      <c r="K212" s="4">
        <f>INDEX(Breakdown[],MATCH($D212,Breakdown[Dist],0),MATCH(K$4,Breakdown[#Headers],0))</f>
        <v>31031</v>
      </c>
      <c r="L212" s="4">
        <f>INDEX(Breakdown[],MATCH($D212,Breakdown[Dist],0),MATCH(L$4,Breakdown[#Headers],0))</f>
        <v>113847</v>
      </c>
      <c r="M212" s="4">
        <f>INDEX(Breakdown[],MATCH($D212,Breakdown[Dist],0),MATCH(M$4,Breakdown[#Headers],0))</f>
        <v>4780</v>
      </c>
      <c r="N212" s="4">
        <f t="shared" si="21"/>
        <v>155623</v>
      </c>
      <c r="O212" s="15">
        <f t="shared" si="22"/>
        <v>15562</v>
      </c>
      <c r="P212" s="12"/>
      <c r="Q212" s="4">
        <f>INDEX(Breakdown[],MATCH($D212,Breakdown[Dist],0),MATCH(Q$4,Breakdown[#Headers],0))</f>
        <v>36996</v>
      </c>
      <c r="R212" s="4">
        <f>INDEX(Breakdown[],MATCH($D212,Breakdown[Dist],0),MATCH(R$4,Breakdown[#Headers],0))</f>
        <v>4780</v>
      </c>
      <c r="S212" s="14">
        <f t="shared" si="23"/>
        <v>41776</v>
      </c>
      <c r="T212" s="17">
        <f t="shared" si="24"/>
        <v>98285</v>
      </c>
      <c r="U212" s="19">
        <f t="shared" si="25"/>
        <v>140061</v>
      </c>
      <c r="V212" s="12"/>
      <c r="W212" s="20">
        <f t="shared" si="26"/>
        <v>9.9998072264382509E-2</v>
      </c>
      <c r="X212" s="20">
        <f t="shared" si="27"/>
        <v>0.90000192773561749</v>
      </c>
    </row>
    <row r="213" spans="1:24" x14ac:dyDescent="0.25">
      <c r="A213" s="5">
        <v>2026</v>
      </c>
      <c r="B213" s="5" t="s">
        <v>174</v>
      </c>
      <c r="C213" s="24" t="s">
        <v>174</v>
      </c>
      <c r="D213" s="5" t="s">
        <v>207</v>
      </c>
      <c r="E213" s="22" t="s">
        <v>693</v>
      </c>
      <c r="F213" s="22" t="s">
        <v>693</v>
      </c>
      <c r="G213" s="5" t="s">
        <v>207</v>
      </c>
      <c r="H213" s="5" t="s">
        <v>537</v>
      </c>
      <c r="I213" s="4">
        <f>INDEX(Breakdown[],MATCH($D213,Breakdown[Dist],0),MATCH(I$4,Breakdown[#Headers],0))</f>
        <v>808288</v>
      </c>
      <c r="J213" s="4">
        <f>INDEX(Breakdown[],MATCH($D213,Breakdown[Dist],0),MATCH(J$4,Breakdown[#Headers],0))</f>
        <v>654101</v>
      </c>
      <c r="K213" s="4">
        <f>INDEX(Breakdown[],MATCH($D213,Breakdown[Dist],0),MATCH(K$4,Breakdown[#Headers],0))</f>
        <v>140098</v>
      </c>
      <c r="L213" s="4">
        <f>INDEX(Breakdown[],MATCH($D213,Breakdown[Dist],0),MATCH(L$4,Breakdown[#Headers],0))</f>
        <v>514003</v>
      </c>
      <c r="M213" s="4">
        <f>INDEX(Breakdown[],MATCH($D213,Breakdown[Dist],0),MATCH(M$4,Breakdown[#Headers],0))</f>
        <v>0</v>
      </c>
      <c r="N213" s="4">
        <f t="shared" si="21"/>
        <v>668190</v>
      </c>
      <c r="O213" s="15">
        <f t="shared" si="22"/>
        <v>66819</v>
      </c>
      <c r="P213" s="12"/>
      <c r="Q213" s="4">
        <f>INDEX(Breakdown[],MATCH($D213,Breakdown[Dist],0),MATCH(Q$4,Breakdown[#Headers],0))</f>
        <v>154187</v>
      </c>
      <c r="R213" s="4">
        <f>INDEX(Breakdown[],MATCH($D213,Breakdown[Dist],0),MATCH(R$4,Breakdown[#Headers],0))</f>
        <v>0</v>
      </c>
      <c r="S213" s="14">
        <f t="shared" si="23"/>
        <v>154187</v>
      </c>
      <c r="T213" s="17">
        <f t="shared" si="24"/>
        <v>447184</v>
      </c>
      <c r="U213" s="19">
        <f t="shared" si="25"/>
        <v>601371</v>
      </c>
      <c r="V213" s="12"/>
      <c r="W213" s="20">
        <f t="shared" si="26"/>
        <v>0.1</v>
      </c>
      <c r="X213" s="20">
        <f t="shared" si="27"/>
        <v>0.9</v>
      </c>
    </row>
    <row r="214" spans="1:24" x14ac:dyDescent="0.25">
      <c r="A214" s="5">
        <v>2026</v>
      </c>
      <c r="B214" s="5" t="s">
        <v>118</v>
      </c>
      <c r="C214" s="24" t="s">
        <v>118</v>
      </c>
      <c r="D214" s="5" t="s">
        <v>135</v>
      </c>
      <c r="E214" s="22" t="s">
        <v>693</v>
      </c>
      <c r="F214" s="22" t="s">
        <v>693</v>
      </c>
      <c r="G214" s="5" t="s">
        <v>135</v>
      </c>
      <c r="H214" s="5" t="s">
        <v>469</v>
      </c>
      <c r="I214" s="4">
        <f>INDEX(Breakdown[],MATCH($D214,Breakdown[Dist],0),MATCH(I$4,Breakdown[#Headers],0))</f>
        <v>1139304</v>
      </c>
      <c r="J214" s="4">
        <f>INDEX(Breakdown[],MATCH($D214,Breakdown[Dist],0),MATCH(J$4,Breakdown[#Headers],0))</f>
        <v>898217</v>
      </c>
      <c r="K214" s="4">
        <f>INDEX(Breakdown[],MATCH($D214,Breakdown[Dist],0),MATCH(K$4,Breakdown[#Headers],0))</f>
        <v>192384</v>
      </c>
      <c r="L214" s="4">
        <f>INDEX(Breakdown[],MATCH($D214,Breakdown[Dist],0),MATCH(L$4,Breakdown[#Headers],0))</f>
        <v>705833</v>
      </c>
      <c r="M214" s="4">
        <f>INDEX(Breakdown[],MATCH($D214,Breakdown[Dist],0),MATCH(M$4,Breakdown[#Headers],0))</f>
        <v>444</v>
      </c>
      <c r="N214" s="4">
        <f t="shared" si="21"/>
        <v>947364</v>
      </c>
      <c r="O214" s="15">
        <f t="shared" si="22"/>
        <v>94736</v>
      </c>
      <c r="P214" s="12"/>
      <c r="Q214" s="4">
        <f>INDEX(Breakdown[],MATCH($D214,Breakdown[Dist],0),MATCH(Q$4,Breakdown[#Headers],0))</f>
        <v>241087</v>
      </c>
      <c r="R214" s="4">
        <f>INDEX(Breakdown[],MATCH($D214,Breakdown[Dist],0),MATCH(R$4,Breakdown[#Headers],0))</f>
        <v>444</v>
      </c>
      <c r="S214" s="14">
        <f t="shared" si="23"/>
        <v>241531</v>
      </c>
      <c r="T214" s="17">
        <f t="shared" si="24"/>
        <v>611097</v>
      </c>
      <c r="U214" s="19">
        <f t="shared" si="25"/>
        <v>852628</v>
      </c>
      <c r="V214" s="12"/>
      <c r="W214" s="20">
        <f t="shared" si="26"/>
        <v>9.9999577775807397E-2</v>
      </c>
      <c r="X214" s="20">
        <f t="shared" si="27"/>
        <v>0.90000042222419263</v>
      </c>
    </row>
    <row r="215" spans="1:24" x14ac:dyDescent="0.25">
      <c r="A215" s="5">
        <v>2026</v>
      </c>
      <c r="B215" s="5" t="s">
        <v>60</v>
      </c>
      <c r="C215" s="24" t="s">
        <v>60</v>
      </c>
      <c r="D215" s="5" t="s">
        <v>103</v>
      </c>
      <c r="E215" s="22" t="s">
        <v>693</v>
      </c>
      <c r="F215" s="22" t="s">
        <v>693</v>
      </c>
      <c r="G215" s="5" t="s">
        <v>103</v>
      </c>
      <c r="H215" s="5" t="s">
        <v>438</v>
      </c>
      <c r="I215" s="4">
        <f>INDEX(Breakdown[],MATCH($D215,Breakdown[Dist],0),MATCH(I$4,Breakdown[#Headers],0))</f>
        <v>178641</v>
      </c>
      <c r="J215" s="4">
        <f>INDEX(Breakdown[],MATCH($D215,Breakdown[Dist],0),MATCH(J$4,Breakdown[#Headers],0))</f>
        <v>139896</v>
      </c>
      <c r="K215" s="4">
        <f>INDEX(Breakdown[],MATCH($D215,Breakdown[Dist],0),MATCH(K$4,Breakdown[#Headers],0))</f>
        <v>29964</v>
      </c>
      <c r="L215" s="4">
        <f>INDEX(Breakdown[],MATCH($D215,Breakdown[Dist],0),MATCH(L$4,Breakdown[#Headers],0))</f>
        <v>109932</v>
      </c>
      <c r="M215" s="4">
        <f>INDEX(Breakdown[],MATCH($D215,Breakdown[Dist],0),MATCH(M$4,Breakdown[#Headers],0))</f>
        <v>0</v>
      </c>
      <c r="N215" s="4">
        <f t="shared" si="21"/>
        <v>148677</v>
      </c>
      <c r="O215" s="15">
        <f t="shared" si="22"/>
        <v>14868</v>
      </c>
      <c r="P215" s="12"/>
      <c r="Q215" s="4">
        <f>INDEX(Breakdown[],MATCH($D215,Breakdown[Dist],0),MATCH(Q$4,Breakdown[#Headers],0))</f>
        <v>38745</v>
      </c>
      <c r="R215" s="4">
        <f>INDEX(Breakdown[],MATCH($D215,Breakdown[Dist],0),MATCH(R$4,Breakdown[#Headers],0))</f>
        <v>0</v>
      </c>
      <c r="S215" s="14">
        <f t="shared" si="23"/>
        <v>38745</v>
      </c>
      <c r="T215" s="17">
        <f t="shared" si="24"/>
        <v>95064</v>
      </c>
      <c r="U215" s="19">
        <f t="shared" si="25"/>
        <v>133809</v>
      </c>
      <c r="V215" s="12"/>
      <c r="W215" s="20">
        <f t="shared" si="26"/>
        <v>0.10000201779696927</v>
      </c>
      <c r="X215" s="20">
        <f t="shared" si="27"/>
        <v>0.89999798220303073</v>
      </c>
    </row>
    <row r="216" spans="1:24" x14ac:dyDescent="0.25">
      <c r="A216" s="5">
        <v>2026</v>
      </c>
      <c r="B216" s="5" t="s">
        <v>22</v>
      </c>
      <c r="C216" s="24" t="s">
        <v>22</v>
      </c>
      <c r="D216" s="5" t="s">
        <v>42</v>
      </c>
      <c r="E216" s="22" t="s">
        <v>693</v>
      </c>
      <c r="F216" s="22" t="s">
        <v>693</v>
      </c>
      <c r="G216" s="5" t="s">
        <v>42</v>
      </c>
      <c r="H216" s="5" t="s">
        <v>388</v>
      </c>
      <c r="I216" s="4">
        <f>INDEX(Breakdown[],MATCH($D216,Breakdown[Dist],0),MATCH(I$4,Breakdown[#Headers],0))</f>
        <v>157445</v>
      </c>
      <c r="J216" s="4">
        <f>INDEX(Breakdown[],MATCH($D216,Breakdown[Dist],0),MATCH(J$4,Breakdown[#Headers],0))</f>
        <v>121020</v>
      </c>
      <c r="K216" s="4">
        <f>INDEX(Breakdown[],MATCH($D216,Breakdown[Dist],0),MATCH(K$4,Breakdown[#Headers],0))</f>
        <v>25921</v>
      </c>
      <c r="L216" s="4">
        <f>INDEX(Breakdown[],MATCH($D216,Breakdown[Dist],0),MATCH(L$4,Breakdown[#Headers],0))</f>
        <v>95099</v>
      </c>
      <c r="M216" s="4">
        <f>INDEX(Breakdown[],MATCH($D216,Breakdown[Dist],0),MATCH(M$4,Breakdown[#Headers],0))</f>
        <v>12790</v>
      </c>
      <c r="N216" s="4">
        <f t="shared" si="21"/>
        <v>144314</v>
      </c>
      <c r="O216" s="15">
        <f t="shared" si="22"/>
        <v>14431</v>
      </c>
      <c r="P216" s="12"/>
      <c r="Q216" s="4">
        <f>INDEX(Breakdown[],MATCH($D216,Breakdown[Dist],0),MATCH(Q$4,Breakdown[#Headers],0))</f>
        <v>36425</v>
      </c>
      <c r="R216" s="4">
        <f>INDEX(Breakdown[],MATCH($D216,Breakdown[Dist],0),MATCH(R$4,Breakdown[#Headers],0))</f>
        <v>12790</v>
      </c>
      <c r="S216" s="14">
        <f t="shared" si="23"/>
        <v>49215</v>
      </c>
      <c r="T216" s="17">
        <f t="shared" si="24"/>
        <v>80668</v>
      </c>
      <c r="U216" s="19">
        <f t="shared" si="25"/>
        <v>129883</v>
      </c>
      <c r="V216" s="12"/>
      <c r="W216" s="20">
        <f t="shared" si="26"/>
        <v>9.999722826614188E-2</v>
      </c>
      <c r="X216" s="20">
        <f t="shared" si="27"/>
        <v>0.90000277173385812</v>
      </c>
    </row>
    <row r="217" spans="1:24" x14ac:dyDescent="0.25">
      <c r="A217" s="5">
        <v>2026</v>
      </c>
      <c r="B217" s="5" t="s">
        <v>118</v>
      </c>
      <c r="C217" s="24" t="s">
        <v>118</v>
      </c>
      <c r="D217" s="5" t="s">
        <v>136</v>
      </c>
      <c r="E217" s="22" t="s">
        <v>693</v>
      </c>
      <c r="F217" s="22" t="s">
        <v>693</v>
      </c>
      <c r="G217" s="5" t="s">
        <v>136</v>
      </c>
      <c r="H217" s="5" t="s">
        <v>470</v>
      </c>
      <c r="I217" s="4">
        <f>INDEX(Breakdown[],MATCH($D217,Breakdown[Dist],0),MATCH(I$4,Breakdown[#Headers],0))</f>
        <v>193731</v>
      </c>
      <c r="J217" s="4">
        <f>INDEX(Breakdown[],MATCH($D217,Breakdown[Dist],0),MATCH(J$4,Breakdown[#Headers],0))</f>
        <v>152736</v>
      </c>
      <c r="K217" s="4">
        <f>INDEX(Breakdown[],MATCH($D217,Breakdown[Dist],0),MATCH(K$4,Breakdown[#Headers],0))</f>
        <v>32713</v>
      </c>
      <c r="L217" s="4">
        <f>INDEX(Breakdown[],MATCH($D217,Breakdown[Dist],0),MATCH(L$4,Breakdown[#Headers],0))</f>
        <v>120023</v>
      </c>
      <c r="M217" s="4">
        <f>INDEX(Breakdown[],MATCH($D217,Breakdown[Dist],0),MATCH(M$4,Breakdown[#Headers],0))</f>
        <v>4342</v>
      </c>
      <c r="N217" s="4">
        <f t="shared" si="21"/>
        <v>165360</v>
      </c>
      <c r="O217" s="15">
        <f t="shared" si="22"/>
        <v>16536</v>
      </c>
      <c r="P217" s="12"/>
      <c r="Q217" s="4">
        <f>INDEX(Breakdown[],MATCH($D217,Breakdown[Dist],0),MATCH(Q$4,Breakdown[#Headers],0))</f>
        <v>40995</v>
      </c>
      <c r="R217" s="4">
        <f>INDEX(Breakdown[],MATCH($D217,Breakdown[Dist],0),MATCH(R$4,Breakdown[#Headers],0))</f>
        <v>4342</v>
      </c>
      <c r="S217" s="14">
        <f t="shared" si="23"/>
        <v>45337</v>
      </c>
      <c r="T217" s="17">
        <f t="shared" si="24"/>
        <v>103487</v>
      </c>
      <c r="U217" s="19">
        <f t="shared" si="25"/>
        <v>148824</v>
      </c>
      <c r="V217" s="12"/>
      <c r="W217" s="20">
        <f t="shared" si="26"/>
        <v>0.1</v>
      </c>
      <c r="X217" s="20">
        <f t="shared" si="27"/>
        <v>0.9</v>
      </c>
    </row>
    <row r="218" spans="1:24" x14ac:dyDescent="0.25">
      <c r="A218" s="5">
        <v>2026</v>
      </c>
      <c r="B218" s="5" t="s">
        <v>60</v>
      </c>
      <c r="C218" s="24" t="s">
        <v>60</v>
      </c>
      <c r="D218" s="5" t="s">
        <v>104</v>
      </c>
      <c r="E218" s="22" t="s">
        <v>693</v>
      </c>
      <c r="F218" s="22" t="s">
        <v>693</v>
      </c>
      <c r="G218" s="5" t="s">
        <v>104</v>
      </c>
      <c r="H218" s="5" t="s">
        <v>439</v>
      </c>
      <c r="I218" s="4">
        <f>INDEX(Breakdown[],MATCH($D218,Breakdown[Dist],0),MATCH(I$4,Breakdown[#Headers],0))</f>
        <v>193109</v>
      </c>
      <c r="J218" s="4">
        <f>INDEX(Breakdown[],MATCH($D218,Breakdown[Dist],0),MATCH(J$4,Breakdown[#Headers],0))</f>
        <v>151226</v>
      </c>
      <c r="K218" s="4">
        <f>INDEX(Breakdown[],MATCH($D218,Breakdown[Dist],0),MATCH(K$4,Breakdown[#Headers],0))</f>
        <v>32391</v>
      </c>
      <c r="L218" s="4">
        <f>INDEX(Breakdown[],MATCH($D218,Breakdown[Dist],0),MATCH(L$4,Breakdown[#Headers],0))</f>
        <v>118835</v>
      </c>
      <c r="M218" s="4">
        <f>INDEX(Breakdown[],MATCH($D218,Breakdown[Dist],0),MATCH(M$4,Breakdown[#Headers],0))</f>
        <v>8034</v>
      </c>
      <c r="N218" s="4">
        <f t="shared" si="21"/>
        <v>168752</v>
      </c>
      <c r="O218" s="15">
        <f t="shared" si="22"/>
        <v>16875</v>
      </c>
      <c r="P218" s="12"/>
      <c r="Q218" s="4">
        <f>INDEX(Breakdown[],MATCH($D218,Breakdown[Dist],0),MATCH(Q$4,Breakdown[#Headers],0))</f>
        <v>41883</v>
      </c>
      <c r="R218" s="4">
        <f>INDEX(Breakdown[],MATCH($D218,Breakdown[Dist],0),MATCH(R$4,Breakdown[#Headers],0))</f>
        <v>8034</v>
      </c>
      <c r="S218" s="14">
        <f t="shared" si="23"/>
        <v>49917</v>
      </c>
      <c r="T218" s="17">
        <f t="shared" si="24"/>
        <v>101960</v>
      </c>
      <c r="U218" s="19">
        <f t="shared" si="25"/>
        <v>151877</v>
      </c>
      <c r="V218" s="12"/>
      <c r="W218" s="20">
        <f t="shared" si="26"/>
        <v>9.999881482886129E-2</v>
      </c>
      <c r="X218" s="20">
        <f t="shared" si="27"/>
        <v>0.9000011851711387</v>
      </c>
    </row>
    <row r="219" spans="1:24" x14ac:dyDescent="0.25">
      <c r="A219" s="5">
        <v>2026</v>
      </c>
      <c r="B219" s="5" t="s">
        <v>174</v>
      </c>
      <c r="C219" s="24" t="s">
        <v>174</v>
      </c>
      <c r="D219" s="5" t="s">
        <v>208</v>
      </c>
      <c r="E219" s="22" t="s">
        <v>693</v>
      </c>
      <c r="F219" s="22" t="s">
        <v>693</v>
      </c>
      <c r="G219" s="5" t="s">
        <v>208</v>
      </c>
      <c r="H219" s="5" t="s">
        <v>538</v>
      </c>
      <c r="I219" s="4">
        <f>INDEX(Breakdown[],MATCH($D219,Breakdown[Dist],0),MATCH(I$4,Breakdown[#Headers],0))</f>
        <v>1308552</v>
      </c>
      <c r="J219" s="4">
        <f>INDEX(Breakdown[],MATCH($D219,Breakdown[Dist],0),MATCH(J$4,Breakdown[#Headers],0))</f>
        <v>1058935</v>
      </c>
      <c r="K219" s="4">
        <f>INDEX(Breakdown[],MATCH($D219,Breakdown[Dist],0),MATCH(K$4,Breakdown[#Headers],0))</f>
        <v>226807</v>
      </c>
      <c r="L219" s="4">
        <f>INDEX(Breakdown[],MATCH($D219,Breakdown[Dist],0),MATCH(L$4,Breakdown[#Headers],0))</f>
        <v>832128</v>
      </c>
      <c r="M219" s="4">
        <f>INDEX(Breakdown[],MATCH($D219,Breakdown[Dist],0),MATCH(M$4,Breakdown[#Headers],0))</f>
        <v>0</v>
      </c>
      <c r="N219" s="4">
        <f t="shared" si="21"/>
        <v>1081745</v>
      </c>
      <c r="O219" s="15">
        <f t="shared" si="22"/>
        <v>108175</v>
      </c>
      <c r="P219" s="12"/>
      <c r="Q219" s="4">
        <f>INDEX(Breakdown[],MATCH($D219,Breakdown[Dist],0),MATCH(Q$4,Breakdown[#Headers],0))</f>
        <v>249617</v>
      </c>
      <c r="R219" s="4">
        <f>INDEX(Breakdown[],MATCH($D219,Breakdown[Dist],0),MATCH(R$4,Breakdown[#Headers],0))</f>
        <v>0</v>
      </c>
      <c r="S219" s="14">
        <f t="shared" si="23"/>
        <v>249617</v>
      </c>
      <c r="T219" s="17">
        <f t="shared" si="24"/>
        <v>723953</v>
      </c>
      <c r="U219" s="19">
        <f t="shared" si="25"/>
        <v>973570</v>
      </c>
      <c r="V219" s="12"/>
      <c r="W219" s="20">
        <f t="shared" si="26"/>
        <v>0.10000046221614151</v>
      </c>
      <c r="X219" s="20">
        <f t="shared" si="27"/>
        <v>0.89999953778385844</v>
      </c>
    </row>
    <row r="220" spans="1:24" x14ac:dyDescent="0.25">
      <c r="A220" s="5">
        <v>2026</v>
      </c>
      <c r="B220" s="5" t="s">
        <v>229</v>
      </c>
      <c r="C220" s="24" t="s">
        <v>229</v>
      </c>
      <c r="D220" s="5" t="s">
        <v>43</v>
      </c>
      <c r="E220" s="22" t="s">
        <v>693</v>
      </c>
      <c r="F220" s="22" t="s">
        <v>693</v>
      </c>
      <c r="G220" s="5" t="s">
        <v>43</v>
      </c>
      <c r="H220" s="5" t="s">
        <v>574</v>
      </c>
      <c r="I220" s="4">
        <f>INDEX(Breakdown[],MATCH($D220,Breakdown[Dist],0),MATCH(I$4,Breakdown[#Headers],0))</f>
        <v>371354</v>
      </c>
      <c r="J220" s="4">
        <f>INDEX(Breakdown[],MATCH($D220,Breakdown[Dist],0),MATCH(J$4,Breakdown[#Headers],0))</f>
        <v>288147</v>
      </c>
      <c r="K220" s="4">
        <f>INDEX(Breakdown[],MATCH($D220,Breakdown[Dist],0),MATCH(K$4,Breakdown[#Headers],0))</f>
        <v>61716</v>
      </c>
      <c r="L220" s="4">
        <f>INDEX(Breakdown[],MATCH($D220,Breakdown[Dist],0),MATCH(L$4,Breakdown[#Headers],0))</f>
        <v>226431</v>
      </c>
      <c r="M220" s="4">
        <f>INDEX(Breakdown[],MATCH($D220,Breakdown[Dist],0),MATCH(M$4,Breakdown[#Headers],0))</f>
        <v>0</v>
      </c>
      <c r="N220" s="4">
        <f t="shared" si="21"/>
        <v>309638</v>
      </c>
      <c r="O220" s="15">
        <f t="shared" si="22"/>
        <v>30964</v>
      </c>
      <c r="P220" s="12"/>
      <c r="Q220" s="4">
        <f>INDEX(Breakdown[],MATCH($D220,Breakdown[Dist],0),MATCH(Q$4,Breakdown[#Headers],0))</f>
        <v>83207</v>
      </c>
      <c r="R220" s="4">
        <f>INDEX(Breakdown[],MATCH($D220,Breakdown[Dist],0),MATCH(R$4,Breakdown[#Headers],0))</f>
        <v>0</v>
      </c>
      <c r="S220" s="14">
        <f t="shared" si="23"/>
        <v>83207</v>
      </c>
      <c r="T220" s="17">
        <f t="shared" si="24"/>
        <v>195467</v>
      </c>
      <c r="U220" s="19">
        <f t="shared" si="25"/>
        <v>278674</v>
      </c>
      <c r="V220" s="12"/>
      <c r="W220" s="20">
        <f t="shared" si="26"/>
        <v>0.10000064591555301</v>
      </c>
      <c r="X220" s="20">
        <f t="shared" si="27"/>
        <v>0.89999935408444698</v>
      </c>
    </row>
    <row r="221" spans="1:24" x14ac:dyDescent="0.25">
      <c r="A221" s="5">
        <v>2026</v>
      </c>
      <c r="B221" s="5" t="s">
        <v>0</v>
      </c>
      <c r="C221" s="24" t="s">
        <v>0</v>
      </c>
      <c r="D221" s="5" t="s">
        <v>13</v>
      </c>
      <c r="E221" s="22" t="s">
        <v>693</v>
      </c>
      <c r="F221" s="22" t="s">
        <v>693</v>
      </c>
      <c r="G221" s="5" t="s">
        <v>13</v>
      </c>
      <c r="H221" s="5" t="s">
        <v>360</v>
      </c>
      <c r="I221" s="4">
        <f>INDEX(Breakdown[],MATCH($D221,Breakdown[Dist],0),MATCH(I$4,Breakdown[#Headers],0))</f>
        <v>551850</v>
      </c>
      <c r="J221" s="4">
        <f>INDEX(Breakdown[],MATCH($D221,Breakdown[Dist],0),MATCH(J$4,Breakdown[#Headers],0))</f>
        <v>419219</v>
      </c>
      <c r="K221" s="4">
        <f>INDEX(Breakdown[],MATCH($D221,Breakdown[Dist],0),MATCH(K$4,Breakdown[#Headers],0))</f>
        <v>89790</v>
      </c>
      <c r="L221" s="4">
        <f>INDEX(Breakdown[],MATCH($D221,Breakdown[Dist],0),MATCH(L$4,Breakdown[#Headers],0))</f>
        <v>329429</v>
      </c>
      <c r="M221" s="4">
        <f>INDEX(Breakdown[],MATCH($D221,Breakdown[Dist],0),MATCH(M$4,Breakdown[#Headers],0))</f>
        <v>14083</v>
      </c>
      <c r="N221" s="4">
        <f t="shared" si="21"/>
        <v>476143</v>
      </c>
      <c r="O221" s="15">
        <f t="shared" si="22"/>
        <v>47614</v>
      </c>
      <c r="P221" s="12"/>
      <c r="Q221" s="4">
        <f>INDEX(Breakdown[],MATCH($D221,Breakdown[Dist],0),MATCH(Q$4,Breakdown[#Headers],0))</f>
        <v>132631</v>
      </c>
      <c r="R221" s="4">
        <f>INDEX(Breakdown[],MATCH($D221,Breakdown[Dist],0),MATCH(R$4,Breakdown[#Headers],0))</f>
        <v>14083</v>
      </c>
      <c r="S221" s="14">
        <f t="shared" si="23"/>
        <v>146714</v>
      </c>
      <c r="T221" s="17">
        <f t="shared" si="24"/>
        <v>281815</v>
      </c>
      <c r="U221" s="19">
        <f t="shared" si="25"/>
        <v>428529</v>
      </c>
      <c r="V221" s="12"/>
      <c r="W221" s="20">
        <f t="shared" si="26"/>
        <v>9.9999369937182739E-2</v>
      </c>
      <c r="X221" s="20">
        <f t="shared" si="27"/>
        <v>0.90000063006281728</v>
      </c>
    </row>
    <row r="222" spans="1:24" x14ac:dyDescent="0.25">
      <c r="A222" s="5">
        <v>2026</v>
      </c>
      <c r="B222" s="5" t="s">
        <v>174</v>
      </c>
      <c r="C222" s="24" t="s">
        <v>174</v>
      </c>
      <c r="D222" s="5" t="s">
        <v>209</v>
      </c>
      <c r="E222" s="22" t="s">
        <v>693</v>
      </c>
      <c r="F222" s="22" t="s">
        <v>693</v>
      </c>
      <c r="G222" s="5" t="s">
        <v>209</v>
      </c>
      <c r="H222" s="5" t="s">
        <v>539</v>
      </c>
      <c r="I222" s="4">
        <f>INDEX(Breakdown[],MATCH($D222,Breakdown[Dist],0),MATCH(I$4,Breakdown[#Headers],0))</f>
        <v>198954</v>
      </c>
      <c r="J222" s="4">
        <f>INDEX(Breakdown[],MATCH($D222,Breakdown[Dist],0),MATCH(J$4,Breakdown[#Headers],0))</f>
        <v>161002</v>
      </c>
      <c r="K222" s="4">
        <f>INDEX(Breakdown[],MATCH($D222,Breakdown[Dist],0),MATCH(K$4,Breakdown[#Headers],0))</f>
        <v>34484</v>
      </c>
      <c r="L222" s="4">
        <f>INDEX(Breakdown[],MATCH($D222,Breakdown[Dist],0),MATCH(L$4,Breakdown[#Headers],0))</f>
        <v>126518</v>
      </c>
      <c r="M222" s="4">
        <f>INDEX(Breakdown[],MATCH($D222,Breakdown[Dist],0),MATCH(M$4,Breakdown[#Headers],0))</f>
        <v>11554</v>
      </c>
      <c r="N222" s="4">
        <f t="shared" si="21"/>
        <v>176024</v>
      </c>
      <c r="O222" s="15">
        <f t="shared" si="22"/>
        <v>17602</v>
      </c>
      <c r="P222" s="12"/>
      <c r="Q222" s="4">
        <f>INDEX(Breakdown[],MATCH($D222,Breakdown[Dist],0),MATCH(Q$4,Breakdown[#Headers],0))</f>
        <v>37952</v>
      </c>
      <c r="R222" s="4">
        <f>INDEX(Breakdown[],MATCH($D222,Breakdown[Dist],0),MATCH(R$4,Breakdown[#Headers],0))</f>
        <v>11554</v>
      </c>
      <c r="S222" s="14">
        <f t="shared" si="23"/>
        <v>49506</v>
      </c>
      <c r="T222" s="17">
        <f t="shared" si="24"/>
        <v>108916</v>
      </c>
      <c r="U222" s="19">
        <f t="shared" si="25"/>
        <v>158422</v>
      </c>
      <c r="V222" s="12"/>
      <c r="W222" s="20">
        <f t="shared" si="26"/>
        <v>9.9997727582602378E-2</v>
      </c>
      <c r="X222" s="20">
        <f t="shared" si="27"/>
        <v>0.90000227241739761</v>
      </c>
    </row>
    <row r="223" spans="1:24" x14ac:dyDescent="0.25">
      <c r="A223" s="5">
        <v>2026</v>
      </c>
      <c r="B223" s="5" t="s">
        <v>22</v>
      </c>
      <c r="C223" s="24" t="s">
        <v>22</v>
      </c>
      <c r="D223" s="5" t="s">
        <v>44</v>
      </c>
      <c r="E223" s="22" t="s">
        <v>693</v>
      </c>
      <c r="F223" s="22" t="s">
        <v>693</v>
      </c>
      <c r="G223" s="5" t="s">
        <v>44</v>
      </c>
      <c r="H223" s="5" t="s">
        <v>389</v>
      </c>
      <c r="I223" s="4">
        <f>INDEX(Breakdown[],MATCH($D223,Breakdown[Dist],0),MATCH(I$4,Breakdown[#Headers],0))</f>
        <v>412094</v>
      </c>
      <c r="J223" s="4">
        <f>INDEX(Breakdown[],MATCH($D223,Breakdown[Dist],0),MATCH(J$4,Breakdown[#Headers],0))</f>
        <v>316757</v>
      </c>
      <c r="K223" s="4">
        <f>INDEX(Breakdown[],MATCH($D223,Breakdown[Dist],0),MATCH(K$4,Breakdown[#Headers],0))</f>
        <v>67844</v>
      </c>
      <c r="L223" s="4">
        <f>INDEX(Breakdown[],MATCH($D223,Breakdown[Dist],0),MATCH(L$4,Breakdown[#Headers],0))</f>
        <v>248913</v>
      </c>
      <c r="M223" s="4">
        <f>INDEX(Breakdown[],MATCH($D223,Breakdown[Dist],0),MATCH(M$4,Breakdown[#Headers],0))</f>
        <v>0</v>
      </c>
      <c r="N223" s="4">
        <f t="shared" si="21"/>
        <v>344250</v>
      </c>
      <c r="O223" s="15">
        <f t="shared" si="22"/>
        <v>34425</v>
      </c>
      <c r="P223" s="12"/>
      <c r="Q223" s="4">
        <f>INDEX(Breakdown[],MATCH($D223,Breakdown[Dist],0),MATCH(Q$4,Breakdown[#Headers],0))</f>
        <v>95337</v>
      </c>
      <c r="R223" s="4">
        <f>INDEX(Breakdown[],MATCH($D223,Breakdown[Dist],0),MATCH(R$4,Breakdown[#Headers],0))</f>
        <v>0</v>
      </c>
      <c r="S223" s="14">
        <f t="shared" si="23"/>
        <v>95337</v>
      </c>
      <c r="T223" s="17">
        <f t="shared" si="24"/>
        <v>214488</v>
      </c>
      <c r="U223" s="19">
        <f t="shared" si="25"/>
        <v>309825</v>
      </c>
      <c r="V223" s="12"/>
      <c r="W223" s="20">
        <f t="shared" si="26"/>
        <v>0.1</v>
      </c>
      <c r="X223" s="20">
        <f t="shared" si="27"/>
        <v>0.9</v>
      </c>
    </row>
    <row r="224" spans="1:24" x14ac:dyDescent="0.25">
      <c r="A224" s="5">
        <v>2026</v>
      </c>
      <c r="B224" s="5" t="s">
        <v>140</v>
      </c>
      <c r="C224" s="24" t="s">
        <v>140</v>
      </c>
      <c r="D224" s="5" t="s">
        <v>166</v>
      </c>
      <c r="E224" s="22" t="s">
        <v>693</v>
      </c>
      <c r="F224" s="22" t="s">
        <v>693</v>
      </c>
      <c r="G224" s="5" t="s">
        <v>166</v>
      </c>
      <c r="H224" s="5" t="s">
        <v>497</v>
      </c>
      <c r="I224" s="4">
        <f>INDEX(Breakdown[],MATCH($D224,Breakdown[Dist],0),MATCH(I$4,Breakdown[#Headers],0))</f>
        <v>77563</v>
      </c>
      <c r="J224" s="4">
        <f>INDEX(Breakdown[],MATCH($D224,Breakdown[Dist],0),MATCH(J$4,Breakdown[#Headers],0))</f>
        <v>61487</v>
      </c>
      <c r="K224" s="4">
        <f>INDEX(Breakdown[],MATCH($D224,Breakdown[Dist],0),MATCH(K$4,Breakdown[#Headers],0))</f>
        <v>13169</v>
      </c>
      <c r="L224" s="4">
        <f>INDEX(Breakdown[],MATCH($D224,Breakdown[Dist],0),MATCH(L$4,Breakdown[#Headers],0))</f>
        <v>48318</v>
      </c>
      <c r="M224" s="4">
        <f>INDEX(Breakdown[],MATCH($D224,Breakdown[Dist],0),MATCH(M$4,Breakdown[#Headers],0))</f>
        <v>1716</v>
      </c>
      <c r="N224" s="4">
        <f t="shared" si="21"/>
        <v>66110</v>
      </c>
      <c r="O224" s="15">
        <f t="shared" si="22"/>
        <v>6611</v>
      </c>
      <c r="P224" s="12"/>
      <c r="Q224" s="4">
        <f>INDEX(Breakdown[],MATCH($D224,Breakdown[Dist],0),MATCH(Q$4,Breakdown[#Headers],0))</f>
        <v>16076</v>
      </c>
      <c r="R224" s="4">
        <f>INDEX(Breakdown[],MATCH($D224,Breakdown[Dist],0),MATCH(R$4,Breakdown[#Headers],0))</f>
        <v>1716</v>
      </c>
      <c r="S224" s="14">
        <f t="shared" si="23"/>
        <v>17792</v>
      </c>
      <c r="T224" s="17">
        <f t="shared" si="24"/>
        <v>41707</v>
      </c>
      <c r="U224" s="19">
        <f t="shared" si="25"/>
        <v>59499</v>
      </c>
      <c r="V224" s="12"/>
      <c r="W224" s="20">
        <f t="shared" si="26"/>
        <v>0.1</v>
      </c>
      <c r="X224" s="20">
        <f t="shared" si="27"/>
        <v>0.9</v>
      </c>
    </row>
    <row r="225" spans="1:24" x14ac:dyDescent="0.25">
      <c r="A225" s="5">
        <v>2026</v>
      </c>
      <c r="B225" s="5" t="s">
        <v>263</v>
      </c>
      <c r="C225" s="24" t="s">
        <v>263</v>
      </c>
      <c r="D225" s="5" t="s">
        <v>295</v>
      </c>
      <c r="E225" s="22" t="s">
        <v>693</v>
      </c>
      <c r="F225" s="22" t="s">
        <v>693</v>
      </c>
      <c r="G225" s="5" t="s">
        <v>295</v>
      </c>
      <c r="H225" s="5" t="s">
        <v>620</v>
      </c>
      <c r="I225" s="4">
        <f>INDEX(Breakdown[],MATCH($D225,Breakdown[Dist],0),MATCH(I$4,Breakdown[#Headers],0))</f>
        <v>58181</v>
      </c>
      <c r="J225" s="4">
        <f>INDEX(Breakdown[],MATCH($D225,Breakdown[Dist],0),MATCH(J$4,Breakdown[#Headers],0))</f>
        <v>45995</v>
      </c>
      <c r="K225" s="4">
        <f>INDEX(Breakdown[],MATCH($D225,Breakdown[Dist],0),MATCH(K$4,Breakdown[#Headers],0))</f>
        <v>9851</v>
      </c>
      <c r="L225" s="4">
        <f>INDEX(Breakdown[],MATCH($D225,Breakdown[Dist],0),MATCH(L$4,Breakdown[#Headers],0))</f>
        <v>36144</v>
      </c>
      <c r="M225" s="4">
        <f>INDEX(Breakdown[],MATCH($D225,Breakdown[Dist],0),MATCH(M$4,Breakdown[#Headers],0))</f>
        <v>14585</v>
      </c>
      <c r="N225" s="4">
        <f t="shared" si="21"/>
        <v>62915</v>
      </c>
      <c r="O225" s="15">
        <f t="shared" si="22"/>
        <v>6292</v>
      </c>
      <c r="P225" s="12"/>
      <c r="Q225" s="4">
        <f>INDEX(Breakdown[],MATCH($D225,Breakdown[Dist],0),MATCH(Q$4,Breakdown[#Headers],0))</f>
        <v>12186</v>
      </c>
      <c r="R225" s="4">
        <f>INDEX(Breakdown[],MATCH($D225,Breakdown[Dist],0),MATCH(R$4,Breakdown[#Headers],0))</f>
        <v>14585</v>
      </c>
      <c r="S225" s="14">
        <f t="shared" si="23"/>
        <v>26771</v>
      </c>
      <c r="T225" s="17">
        <f t="shared" si="24"/>
        <v>29852</v>
      </c>
      <c r="U225" s="19">
        <f t="shared" si="25"/>
        <v>56623</v>
      </c>
      <c r="V225" s="12"/>
      <c r="W225" s="20">
        <f t="shared" si="26"/>
        <v>0.10000794723039021</v>
      </c>
      <c r="X225" s="20">
        <f t="shared" si="27"/>
        <v>0.89999205276960981</v>
      </c>
    </row>
    <row r="226" spans="1:24" x14ac:dyDescent="0.25">
      <c r="A226" s="5">
        <v>2026</v>
      </c>
      <c r="B226" s="5" t="s">
        <v>60</v>
      </c>
      <c r="C226" s="24" t="s">
        <v>60</v>
      </c>
      <c r="D226" s="5" t="s">
        <v>105</v>
      </c>
      <c r="E226" s="22" t="s">
        <v>693</v>
      </c>
      <c r="F226" s="22" t="s">
        <v>693</v>
      </c>
      <c r="G226" s="5" t="s">
        <v>105</v>
      </c>
      <c r="H226" s="5" t="s">
        <v>440</v>
      </c>
      <c r="I226" s="4">
        <f>INDEX(Breakdown[],MATCH($D226,Breakdown[Dist],0),MATCH(I$4,Breakdown[#Headers],0))</f>
        <v>337067</v>
      </c>
      <c r="J226" s="4">
        <f>INDEX(Breakdown[],MATCH($D226,Breakdown[Dist],0),MATCH(J$4,Breakdown[#Headers],0))</f>
        <v>263961</v>
      </c>
      <c r="K226" s="4">
        <f>INDEX(Breakdown[],MATCH($D226,Breakdown[Dist],0),MATCH(K$4,Breakdown[#Headers],0))</f>
        <v>56536</v>
      </c>
      <c r="L226" s="4">
        <f>INDEX(Breakdown[],MATCH($D226,Breakdown[Dist],0),MATCH(L$4,Breakdown[#Headers],0))</f>
        <v>207425</v>
      </c>
      <c r="M226" s="4">
        <f>INDEX(Breakdown[],MATCH($D226,Breakdown[Dist],0),MATCH(M$4,Breakdown[#Headers],0))</f>
        <v>2274</v>
      </c>
      <c r="N226" s="4">
        <f t="shared" si="21"/>
        <v>282805</v>
      </c>
      <c r="O226" s="15">
        <f t="shared" si="22"/>
        <v>28281</v>
      </c>
      <c r="P226" s="12"/>
      <c r="Q226" s="4">
        <f>INDEX(Breakdown[],MATCH($D226,Breakdown[Dist],0),MATCH(Q$4,Breakdown[#Headers],0))</f>
        <v>73106</v>
      </c>
      <c r="R226" s="4">
        <f>INDEX(Breakdown[],MATCH($D226,Breakdown[Dist],0),MATCH(R$4,Breakdown[#Headers],0))</f>
        <v>2274</v>
      </c>
      <c r="S226" s="14">
        <f t="shared" si="23"/>
        <v>75380</v>
      </c>
      <c r="T226" s="17">
        <f t="shared" si="24"/>
        <v>179144</v>
      </c>
      <c r="U226" s="19">
        <f t="shared" si="25"/>
        <v>254524</v>
      </c>
      <c r="V226" s="12"/>
      <c r="W226" s="20">
        <f t="shared" si="26"/>
        <v>0.10000176800268737</v>
      </c>
      <c r="X226" s="20">
        <f t="shared" si="27"/>
        <v>0.89999823199731266</v>
      </c>
    </row>
    <row r="227" spans="1:24" x14ac:dyDescent="0.25">
      <c r="A227" s="5">
        <v>2026</v>
      </c>
      <c r="B227" s="5" t="s">
        <v>308</v>
      </c>
      <c r="C227" s="24" t="s">
        <v>308</v>
      </c>
      <c r="D227" s="5" t="s">
        <v>329</v>
      </c>
      <c r="E227" s="22" t="s">
        <v>693</v>
      </c>
      <c r="F227" s="22" t="s">
        <v>693</v>
      </c>
      <c r="G227" s="5" t="s">
        <v>329</v>
      </c>
      <c r="H227" s="5" t="s">
        <v>653</v>
      </c>
      <c r="I227" s="4">
        <f>INDEX(Breakdown[],MATCH($D227,Breakdown[Dist],0),MATCH(I$4,Breakdown[#Headers],0))</f>
        <v>848654</v>
      </c>
      <c r="J227" s="4">
        <f>INDEX(Breakdown[],MATCH($D227,Breakdown[Dist],0),MATCH(J$4,Breakdown[#Headers],0))</f>
        <v>676023</v>
      </c>
      <c r="K227" s="4">
        <f>INDEX(Breakdown[],MATCH($D227,Breakdown[Dist],0),MATCH(K$4,Breakdown[#Headers],0))</f>
        <v>144794</v>
      </c>
      <c r="L227" s="4">
        <f>INDEX(Breakdown[],MATCH($D227,Breakdown[Dist],0),MATCH(L$4,Breakdown[#Headers],0))</f>
        <v>531229</v>
      </c>
      <c r="M227" s="4">
        <f>INDEX(Breakdown[],MATCH($D227,Breakdown[Dist],0),MATCH(M$4,Breakdown[#Headers],0))</f>
        <v>0</v>
      </c>
      <c r="N227" s="4">
        <f t="shared" si="21"/>
        <v>703860</v>
      </c>
      <c r="O227" s="15">
        <f t="shared" si="22"/>
        <v>70386</v>
      </c>
      <c r="P227" s="12"/>
      <c r="Q227" s="4">
        <f>INDEX(Breakdown[],MATCH($D227,Breakdown[Dist],0),MATCH(Q$4,Breakdown[#Headers],0))</f>
        <v>172631</v>
      </c>
      <c r="R227" s="4">
        <f>INDEX(Breakdown[],MATCH($D227,Breakdown[Dist],0),MATCH(R$4,Breakdown[#Headers],0))</f>
        <v>0</v>
      </c>
      <c r="S227" s="14">
        <f t="shared" si="23"/>
        <v>172631</v>
      </c>
      <c r="T227" s="17">
        <f t="shared" si="24"/>
        <v>460843</v>
      </c>
      <c r="U227" s="19">
        <f t="shared" si="25"/>
        <v>633474</v>
      </c>
      <c r="V227" s="12"/>
      <c r="W227" s="20">
        <f t="shared" si="26"/>
        <v>0.1</v>
      </c>
      <c r="X227" s="20">
        <f t="shared" si="27"/>
        <v>0.9</v>
      </c>
    </row>
    <row r="228" spans="1:24" x14ac:dyDescent="0.25">
      <c r="A228" s="5">
        <v>2026</v>
      </c>
      <c r="B228" s="5" t="s">
        <v>308</v>
      </c>
      <c r="C228" s="24" t="s">
        <v>308</v>
      </c>
      <c r="D228" s="5" t="s">
        <v>330</v>
      </c>
      <c r="E228" s="22" t="s">
        <v>693</v>
      </c>
      <c r="F228" s="22" t="s">
        <v>693</v>
      </c>
      <c r="G228" s="5" t="s">
        <v>330</v>
      </c>
      <c r="H228" s="5" t="s">
        <v>654</v>
      </c>
      <c r="I228" s="4">
        <f>INDEX(Breakdown[],MATCH($D228,Breakdown[Dist],0),MATCH(I$4,Breakdown[#Headers],0))</f>
        <v>2027632</v>
      </c>
      <c r="J228" s="4">
        <f>INDEX(Breakdown[],MATCH($D228,Breakdown[Dist],0),MATCH(J$4,Breakdown[#Headers],0))</f>
        <v>1615177</v>
      </c>
      <c r="K228" s="4">
        <f>INDEX(Breakdown[],MATCH($D228,Breakdown[Dist],0),MATCH(K$4,Breakdown[#Headers],0))</f>
        <v>345945</v>
      </c>
      <c r="L228" s="4">
        <f>INDEX(Breakdown[],MATCH($D228,Breakdown[Dist],0),MATCH(L$4,Breakdown[#Headers],0))</f>
        <v>1269232</v>
      </c>
      <c r="M228" s="4">
        <f>INDEX(Breakdown[],MATCH($D228,Breakdown[Dist],0),MATCH(M$4,Breakdown[#Headers],0))</f>
        <v>0</v>
      </c>
      <c r="N228" s="4">
        <f t="shared" si="21"/>
        <v>1681687</v>
      </c>
      <c r="O228" s="15">
        <f t="shared" si="22"/>
        <v>168169</v>
      </c>
      <c r="P228" s="12"/>
      <c r="Q228" s="4">
        <f>INDEX(Breakdown[],MATCH($D228,Breakdown[Dist],0),MATCH(Q$4,Breakdown[#Headers],0))</f>
        <v>412455</v>
      </c>
      <c r="R228" s="4">
        <f>INDEX(Breakdown[],MATCH($D228,Breakdown[Dist],0),MATCH(R$4,Breakdown[#Headers],0))</f>
        <v>0</v>
      </c>
      <c r="S228" s="14">
        <f t="shared" si="23"/>
        <v>412455</v>
      </c>
      <c r="T228" s="17">
        <f t="shared" si="24"/>
        <v>1101063</v>
      </c>
      <c r="U228" s="19">
        <f t="shared" si="25"/>
        <v>1513518</v>
      </c>
      <c r="V228" s="12"/>
      <c r="W228" s="20">
        <f t="shared" si="26"/>
        <v>0.10000017839229297</v>
      </c>
      <c r="X228" s="20">
        <f t="shared" si="27"/>
        <v>0.89999982160770697</v>
      </c>
    </row>
    <row r="229" spans="1:24" x14ac:dyDescent="0.25">
      <c r="A229" s="5">
        <v>2026</v>
      </c>
      <c r="B229" s="5" t="s">
        <v>174</v>
      </c>
      <c r="C229" s="24" t="s">
        <v>174</v>
      </c>
      <c r="D229" s="5" t="s">
        <v>210</v>
      </c>
      <c r="E229" s="22" t="s">
        <v>693</v>
      </c>
      <c r="F229" s="22" t="s">
        <v>693</v>
      </c>
      <c r="G229" s="5" t="s">
        <v>210</v>
      </c>
      <c r="H229" s="5" t="s">
        <v>540</v>
      </c>
      <c r="I229" s="4">
        <f>INDEX(Breakdown[],MATCH($D229,Breakdown[Dist],0),MATCH(I$4,Breakdown[#Headers],0))</f>
        <v>252916</v>
      </c>
      <c r="J229" s="4">
        <f>INDEX(Breakdown[],MATCH($D229,Breakdown[Dist],0),MATCH(J$4,Breakdown[#Headers],0))</f>
        <v>204671</v>
      </c>
      <c r="K229" s="4">
        <f>INDEX(Breakdown[],MATCH($D229,Breakdown[Dist],0),MATCH(K$4,Breakdown[#Headers],0))</f>
        <v>43837</v>
      </c>
      <c r="L229" s="4">
        <f>INDEX(Breakdown[],MATCH($D229,Breakdown[Dist],0),MATCH(L$4,Breakdown[#Headers],0))</f>
        <v>160834</v>
      </c>
      <c r="M229" s="4">
        <f>INDEX(Breakdown[],MATCH($D229,Breakdown[Dist],0),MATCH(M$4,Breakdown[#Headers],0))</f>
        <v>0</v>
      </c>
      <c r="N229" s="4">
        <f t="shared" si="21"/>
        <v>209079</v>
      </c>
      <c r="O229" s="15">
        <f t="shared" si="22"/>
        <v>20908</v>
      </c>
      <c r="P229" s="12"/>
      <c r="Q229" s="4">
        <f>INDEX(Breakdown[],MATCH($D229,Breakdown[Dist],0),MATCH(Q$4,Breakdown[#Headers],0))</f>
        <v>48245</v>
      </c>
      <c r="R229" s="4">
        <f>INDEX(Breakdown[],MATCH($D229,Breakdown[Dist],0),MATCH(R$4,Breakdown[#Headers],0))</f>
        <v>0</v>
      </c>
      <c r="S229" s="14">
        <f t="shared" si="23"/>
        <v>48245</v>
      </c>
      <c r="T229" s="17">
        <f t="shared" si="24"/>
        <v>139926</v>
      </c>
      <c r="U229" s="19">
        <f t="shared" si="25"/>
        <v>188171</v>
      </c>
      <c r="V229" s="12"/>
      <c r="W229" s="20">
        <f t="shared" si="26"/>
        <v>0.10000047828811119</v>
      </c>
      <c r="X229" s="20">
        <f t="shared" si="27"/>
        <v>0.89999952171188879</v>
      </c>
    </row>
    <row r="230" spans="1:24" x14ac:dyDescent="0.25">
      <c r="A230" s="5">
        <v>2026</v>
      </c>
      <c r="B230" s="5" t="s">
        <v>22</v>
      </c>
      <c r="C230" s="24" t="s">
        <v>22</v>
      </c>
      <c r="D230" s="5" t="s">
        <v>45</v>
      </c>
      <c r="E230" s="22" t="s">
        <v>693</v>
      </c>
      <c r="F230" s="22" t="s">
        <v>693</v>
      </c>
      <c r="G230" s="5" t="s">
        <v>45</v>
      </c>
      <c r="H230" s="5" t="s">
        <v>390</v>
      </c>
      <c r="I230" s="4">
        <f>INDEX(Breakdown[],MATCH($D230,Breakdown[Dist],0),MATCH(I$4,Breakdown[#Headers],0))</f>
        <v>72780</v>
      </c>
      <c r="J230" s="4">
        <f>INDEX(Breakdown[],MATCH($D230,Breakdown[Dist],0),MATCH(J$4,Breakdown[#Headers],0))</f>
        <v>55942</v>
      </c>
      <c r="K230" s="4">
        <f>INDEX(Breakdown[],MATCH($D230,Breakdown[Dist],0),MATCH(K$4,Breakdown[#Headers],0))</f>
        <v>11982</v>
      </c>
      <c r="L230" s="4">
        <f>INDEX(Breakdown[],MATCH($D230,Breakdown[Dist],0),MATCH(L$4,Breakdown[#Headers],0))</f>
        <v>43960</v>
      </c>
      <c r="M230" s="4">
        <f>INDEX(Breakdown[],MATCH($D230,Breakdown[Dist],0),MATCH(M$4,Breakdown[#Headers],0))</f>
        <v>0</v>
      </c>
      <c r="N230" s="4">
        <f t="shared" si="21"/>
        <v>60798</v>
      </c>
      <c r="O230" s="15">
        <f t="shared" si="22"/>
        <v>6080</v>
      </c>
      <c r="P230" s="12"/>
      <c r="Q230" s="4">
        <f>INDEX(Breakdown[],MATCH($D230,Breakdown[Dist],0),MATCH(Q$4,Breakdown[#Headers],0))</f>
        <v>16838</v>
      </c>
      <c r="R230" s="4">
        <f>INDEX(Breakdown[],MATCH($D230,Breakdown[Dist],0),MATCH(R$4,Breakdown[#Headers],0))</f>
        <v>0</v>
      </c>
      <c r="S230" s="14">
        <f t="shared" si="23"/>
        <v>16838</v>
      </c>
      <c r="T230" s="17">
        <f t="shared" si="24"/>
        <v>37880</v>
      </c>
      <c r="U230" s="19">
        <f t="shared" si="25"/>
        <v>54718</v>
      </c>
      <c r="V230" s="12"/>
      <c r="W230" s="20">
        <f t="shared" si="26"/>
        <v>0.10000328958189414</v>
      </c>
      <c r="X230" s="20">
        <f t="shared" si="27"/>
        <v>0.89999671041810581</v>
      </c>
    </row>
    <row r="231" spans="1:24" x14ac:dyDescent="0.25">
      <c r="A231" s="5">
        <v>2026</v>
      </c>
      <c r="B231" s="5" t="s">
        <v>174</v>
      </c>
      <c r="C231" s="24" t="s">
        <v>174</v>
      </c>
      <c r="D231" s="5" t="s">
        <v>211</v>
      </c>
      <c r="E231" s="22" t="s">
        <v>693</v>
      </c>
      <c r="F231" s="22" t="s">
        <v>693</v>
      </c>
      <c r="G231" s="5" t="s">
        <v>699</v>
      </c>
      <c r="H231" s="5" t="s">
        <v>212</v>
      </c>
      <c r="I231" s="4">
        <f>INDEX(Breakdown[],MATCH($D231,Breakdown[Dist],0),MATCH(I$4,Breakdown[#Headers],0))</f>
        <v>373348</v>
      </c>
      <c r="J231" s="4">
        <f>INDEX(Breakdown[],MATCH($D231,Breakdown[Dist],0),MATCH(J$4,Breakdown[#Headers],0))</f>
        <v>302129</v>
      </c>
      <c r="K231" s="4">
        <f>INDEX(Breakdown[],MATCH($D231,Breakdown[Dist],0),MATCH(K$4,Breakdown[#Headers],0))</f>
        <v>64711</v>
      </c>
      <c r="L231" s="4">
        <f>INDEX(Breakdown[],MATCH($D231,Breakdown[Dist],0),MATCH(L$4,Breakdown[#Headers],0))</f>
        <v>237418</v>
      </c>
      <c r="M231" s="4">
        <f>INDEX(Breakdown[],MATCH($D231,Breakdown[Dist],0),MATCH(M$4,Breakdown[#Headers],0))</f>
        <v>0</v>
      </c>
      <c r="N231" s="4">
        <f t="shared" si="21"/>
        <v>308637</v>
      </c>
      <c r="O231" s="15">
        <f t="shared" si="22"/>
        <v>30864</v>
      </c>
      <c r="P231" s="12"/>
      <c r="Q231" s="4">
        <f>INDEX(Breakdown[],MATCH($D231,Breakdown[Dist],0),MATCH(Q$4,Breakdown[#Headers],0))</f>
        <v>71219</v>
      </c>
      <c r="R231" s="4">
        <f>INDEX(Breakdown[],MATCH($D231,Breakdown[Dist],0),MATCH(R$4,Breakdown[#Headers],0))</f>
        <v>0</v>
      </c>
      <c r="S231" s="14">
        <f t="shared" si="23"/>
        <v>71219</v>
      </c>
      <c r="T231" s="17">
        <f t="shared" si="24"/>
        <v>206554</v>
      </c>
      <c r="U231" s="19">
        <f t="shared" si="25"/>
        <v>277773</v>
      </c>
      <c r="V231" s="12"/>
      <c r="W231" s="20">
        <f t="shared" si="26"/>
        <v>0.10000097201566889</v>
      </c>
      <c r="X231" s="20">
        <f t="shared" si="27"/>
        <v>0.89999902798433107</v>
      </c>
    </row>
    <row r="232" spans="1:24" x14ac:dyDescent="0.25">
      <c r="A232" s="5">
        <v>2026</v>
      </c>
      <c r="B232" s="5" t="s">
        <v>308</v>
      </c>
      <c r="C232" s="24" t="s">
        <v>308</v>
      </c>
      <c r="D232" s="5" t="s">
        <v>331</v>
      </c>
      <c r="E232" s="22" t="s">
        <v>693</v>
      </c>
      <c r="F232" s="22" t="s">
        <v>693</v>
      </c>
      <c r="G232" s="5" t="s">
        <v>331</v>
      </c>
      <c r="H232" s="5" t="s">
        <v>655</v>
      </c>
      <c r="I232" s="4">
        <f>INDEX(Breakdown[],MATCH($D232,Breakdown[Dist],0),MATCH(I$4,Breakdown[#Headers],0))</f>
        <v>204375</v>
      </c>
      <c r="J232" s="4">
        <f>INDEX(Breakdown[],MATCH($D232,Breakdown[Dist],0),MATCH(J$4,Breakdown[#Headers],0))</f>
        <v>162801</v>
      </c>
      <c r="K232" s="4">
        <f>INDEX(Breakdown[],MATCH($D232,Breakdown[Dist],0),MATCH(K$4,Breakdown[#Headers],0))</f>
        <v>34870</v>
      </c>
      <c r="L232" s="4">
        <f>INDEX(Breakdown[],MATCH($D232,Breakdown[Dist],0),MATCH(L$4,Breakdown[#Headers],0))</f>
        <v>127931</v>
      </c>
      <c r="M232" s="4">
        <f>INDEX(Breakdown[],MATCH($D232,Breakdown[Dist],0),MATCH(M$4,Breakdown[#Headers],0))</f>
        <v>5355</v>
      </c>
      <c r="N232" s="4">
        <f t="shared" si="21"/>
        <v>174860</v>
      </c>
      <c r="O232" s="15">
        <f t="shared" si="22"/>
        <v>17486</v>
      </c>
      <c r="P232" s="12"/>
      <c r="Q232" s="4">
        <f>INDEX(Breakdown[],MATCH($D232,Breakdown[Dist],0),MATCH(Q$4,Breakdown[#Headers],0))</f>
        <v>41574</v>
      </c>
      <c r="R232" s="4">
        <f>INDEX(Breakdown[],MATCH($D232,Breakdown[Dist],0),MATCH(R$4,Breakdown[#Headers],0))</f>
        <v>5355</v>
      </c>
      <c r="S232" s="14">
        <f t="shared" si="23"/>
        <v>46929</v>
      </c>
      <c r="T232" s="17">
        <f t="shared" si="24"/>
        <v>110445</v>
      </c>
      <c r="U232" s="19">
        <f t="shared" si="25"/>
        <v>157374</v>
      </c>
      <c r="V232" s="12"/>
      <c r="W232" s="20">
        <f t="shared" si="26"/>
        <v>0.1</v>
      </c>
      <c r="X232" s="20">
        <f t="shared" si="27"/>
        <v>0.9</v>
      </c>
    </row>
    <row r="233" spans="1:24" x14ac:dyDescent="0.25">
      <c r="A233" s="5">
        <v>2026</v>
      </c>
      <c r="B233" s="5" t="s">
        <v>174</v>
      </c>
      <c r="C233" s="24" t="s">
        <v>174</v>
      </c>
      <c r="D233" s="5" t="s">
        <v>213</v>
      </c>
      <c r="E233" s="22" t="s">
        <v>693</v>
      </c>
      <c r="F233" s="22" t="s">
        <v>693</v>
      </c>
      <c r="G233" s="5" t="s">
        <v>213</v>
      </c>
      <c r="H233" s="5" t="s">
        <v>541</v>
      </c>
      <c r="I233" s="4">
        <f>INDEX(Breakdown[],MATCH($D233,Breakdown[Dist],0),MATCH(I$4,Breakdown[#Headers],0))</f>
        <v>818537</v>
      </c>
      <c r="J233" s="4">
        <f>INDEX(Breakdown[],MATCH($D233,Breakdown[Dist],0),MATCH(J$4,Breakdown[#Headers],0))</f>
        <v>662394</v>
      </c>
      <c r="K233" s="4">
        <f>INDEX(Breakdown[],MATCH($D233,Breakdown[Dist],0),MATCH(K$4,Breakdown[#Headers],0))</f>
        <v>141874</v>
      </c>
      <c r="L233" s="4">
        <f>INDEX(Breakdown[],MATCH($D233,Breakdown[Dist],0),MATCH(L$4,Breakdown[#Headers],0))</f>
        <v>520520</v>
      </c>
      <c r="M233" s="4">
        <f>INDEX(Breakdown[],MATCH($D233,Breakdown[Dist],0),MATCH(M$4,Breakdown[#Headers],0))</f>
        <v>0</v>
      </c>
      <c r="N233" s="4">
        <f t="shared" si="21"/>
        <v>676663</v>
      </c>
      <c r="O233" s="15">
        <f t="shared" si="22"/>
        <v>67666</v>
      </c>
      <c r="P233" s="12"/>
      <c r="Q233" s="4">
        <f>INDEX(Breakdown[],MATCH($D233,Breakdown[Dist],0),MATCH(Q$4,Breakdown[#Headers],0))</f>
        <v>156143</v>
      </c>
      <c r="R233" s="4">
        <f>INDEX(Breakdown[],MATCH($D233,Breakdown[Dist],0),MATCH(R$4,Breakdown[#Headers],0))</f>
        <v>0</v>
      </c>
      <c r="S233" s="14">
        <f t="shared" si="23"/>
        <v>156143</v>
      </c>
      <c r="T233" s="17">
        <f t="shared" si="24"/>
        <v>452854</v>
      </c>
      <c r="U233" s="19">
        <f t="shared" si="25"/>
        <v>608997</v>
      </c>
      <c r="V233" s="12"/>
      <c r="W233" s="20">
        <f t="shared" si="26"/>
        <v>9.9999556647843907E-2</v>
      </c>
      <c r="X233" s="20">
        <f t="shared" si="27"/>
        <v>0.90000044335215612</v>
      </c>
    </row>
    <row r="234" spans="1:24" x14ac:dyDescent="0.25">
      <c r="A234" s="5">
        <v>2026</v>
      </c>
      <c r="B234" s="5" t="s">
        <v>174</v>
      </c>
      <c r="C234" s="24" t="s">
        <v>174</v>
      </c>
      <c r="D234" s="5" t="s">
        <v>214</v>
      </c>
      <c r="E234" s="22" t="s">
        <v>693</v>
      </c>
      <c r="F234" s="22" t="s">
        <v>693</v>
      </c>
      <c r="G234" s="5" t="s">
        <v>214</v>
      </c>
      <c r="H234" s="5" t="s">
        <v>542</v>
      </c>
      <c r="I234" s="4">
        <f>INDEX(Breakdown[],MATCH($D234,Breakdown[Dist],0),MATCH(I$4,Breakdown[#Headers],0))</f>
        <v>707778</v>
      </c>
      <c r="J234" s="4">
        <f>INDEX(Breakdown[],MATCH($D234,Breakdown[Dist],0),MATCH(J$4,Breakdown[#Headers],0))</f>
        <v>572763</v>
      </c>
      <c r="K234" s="4">
        <f>INDEX(Breakdown[],MATCH($D234,Breakdown[Dist],0),MATCH(K$4,Breakdown[#Headers],0))</f>
        <v>122677</v>
      </c>
      <c r="L234" s="4">
        <f>INDEX(Breakdown[],MATCH($D234,Breakdown[Dist],0),MATCH(L$4,Breakdown[#Headers],0))</f>
        <v>450086</v>
      </c>
      <c r="M234" s="4">
        <f>INDEX(Breakdown[],MATCH($D234,Breakdown[Dist],0),MATCH(M$4,Breakdown[#Headers],0))</f>
        <v>25868</v>
      </c>
      <c r="N234" s="4">
        <f t="shared" si="21"/>
        <v>610969</v>
      </c>
      <c r="O234" s="15">
        <f t="shared" si="22"/>
        <v>61097</v>
      </c>
      <c r="P234" s="12"/>
      <c r="Q234" s="4">
        <f>INDEX(Breakdown[],MATCH($D234,Breakdown[Dist],0),MATCH(Q$4,Breakdown[#Headers],0))</f>
        <v>135015</v>
      </c>
      <c r="R234" s="4">
        <f>INDEX(Breakdown[],MATCH($D234,Breakdown[Dist],0),MATCH(R$4,Breakdown[#Headers],0))</f>
        <v>25868</v>
      </c>
      <c r="S234" s="14">
        <f t="shared" si="23"/>
        <v>160883</v>
      </c>
      <c r="T234" s="17">
        <f t="shared" si="24"/>
        <v>388989</v>
      </c>
      <c r="U234" s="19">
        <f t="shared" si="25"/>
        <v>549872</v>
      </c>
      <c r="V234" s="12"/>
      <c r="W234" s="20">
        <f t="shared" si="26"/>
        <v>0.10000016367442538</v>
      </c>
      <c r="X234" s="20">
        <f t="shared" si="27"/>
        <v>0.89999983632557456</v>
      </c>
    </row>
    <row r="235" spans="1:24" x14ac:dyDescent="0.25">
      <c r="A235" s="5">
        <v>2026</v>
      </c>
      <c r="B235" s="5" t="s">
        <v>118</v>
      </c>
      <c r="C235" s="24" t="s">
        <v>118</v>
      </c>
      <c r="D235" s="5" t="s">
        <v>137</v>
      </c>
      <c r="E235" s="22" t="s">
        <v>693</v>
      </c>
      <c r="F235" s="22" t="s">
        <v>693</v>
      </c>
      <c r="G235" s="5" t="s">
        <v>137</v>
      </c>
      <c r="H235" s="5" t="s">
        <v>471</v>
      </c>
      <c r="I235" s="4">
        <f>INDEX(Breakdown[],MATCH($D235,Breakdown[Dist],0),MATCH(I$4,Breakdown[#Headers],0))</f>
        <v>2089491</v>
      </c>
      <c r="J235" s="4">
        <f>INDEX(Breakdown[],MATCH($D235,Breakdown[Dist],0),MATCH(J$4,Breakdown[#Headers],0))</f>
        <v>1647336</v>
      </c>
      <c r="K235" s="4">
        <f>INDEX(Breakdown[],MATCH($D235,Breakdown[Dist],0),MATCH(K$4,Breakdown[#Headers],0))</f>
        <v>352833</v>
      </c>
      <c r="L235" s="4">
        <f>INDEX(Breakdown[],MATCH($D235,Breakdown[Dist],0),MATCH(L$4,Breakdown[#Headers],0))</f>
        <v>1294503</v>
      </c>
      <c r="M235" s="4">
        <f>INDEX(Breakdown[],MATCH($D235,Breakdown[Dist],0),MATCH(M$4,Breakdown[#Headers],0))</f>
        <v>0</v>
      </c>
      <c r="N235" s="4">
        <f t="shared" si="21"/>
        <v>1736658</v>
      </c>
      <c r="O235" s="15">
        <f t="shared" si="22"/>
        <v>173666</v>
      </c>
      <c r="P235" s="12"/>
      <c r="Q235" s="4">
        <f>INDEX(Breakdown[],MATCH($D235,Breakdown[Dist],0),MATCH(Q$4,Breakdown[#Headers],0))</f>
        <v>442155</v>
      </c>
      <c r="R235" s="4">
        <f>INDEX(Breakdown[],MATCH($D235,Breakdown[Dist],0),MATCH(R$4,Breakdown[#Headers],0))</f>
        <v>0</v>
      </c>
      <c r="S235" s="14">
        <f t="shared" si="23"/>
        <v>442155</v>
      </c>
      <c r="T235" s="17">
        <f t="shared" si="24"/>
        <v>1120837</v>
      </c>
      <c r="U235" s="19">
        <f t="shared" si="25"/>
        <v>1562992</v>
      </c>
      <c r="V235" s="12"/>
      <c r="W235" s="20">
        <f t="shared" si="26"/>
        <v>0.10000011516372251</v>
      </c>
      <c r="X235" s="20">
        <f t="shared" si="27"/>
        <v>0.89999988483627746</v>
      </c>
    </row>
    <row r="236" spans="1:24" x14ac:dyDescent="0.25">
      <c r="A236" s="5">
        <v>2026</v>
      </c>
      <c r="B236" s="5" t="s">
        <v>174</v>
      </c>
      <c r="C236" s="24" t="s">
        <v>174</v>
      </c>
      <c r="D236" s="5" t="s">
        <v>215</v>
      </c>
      <c r="E236" s="22" t="s">
        <v>693</v>
      </c>
      <c r="F236" s="22" t="s">
        <v>693</v>
      </c>
      <c r="G236" s="5" t="s">
        <v>215</v>
      </c>
      <c r="H236" s="5" t="s">
        <v>543</v>
      </c>
      <c r="I236" s="4">
        <f>INDEX(Breakdown[],MATCH($D236,Breakdown[Dist],0),MATCH(I$4,Breakdown[#Headers],0))</f>
        <v>270338</v>
      </c>
      <c r="J236" s="4">
        <f>INDEX(Breakdown[],MATCH($D236,Breakdown[Dist],0),MATCH(J$4,Breakdown[#Headers],0))</f>
        <v>218769</v>
      </c>
      <c r="K236" s="4">
        <f>INDEX(Breakdown[],MATCH($D236,Breakdown[Dist],0),MATCH(K$4,Breakdown[#Headers],0))</f>
        <v>46857</v>
      </c>
      <c r="L236" s="4">
        <f>INDEX(Breakdown[],MATCH($D236,Breakdown[Dist],0),MATCH(L$4,Breakdown[#Headers],0))</f>
        <v>171912</v>
      </c>
      <c r="M236" s="4">
        <f>INDEX(Breakdown[],MATCH($D236,Breakdown[Dist],0),MATCH(M$4,Breakdown[#Headers],0))</f>
        <v>0</v>
      </c>
      <c r="N236" s="4">
        <f t="shared" si="21"/>
        <v>223481</v>
      </c>
      <c r="O236" s="15">
        <f t="shared" si="22"/>
        <v>22348</v>
      </c>
      <c r="P236" s="12"/>
      <c r="Q236" s="4">
        <f>INDEX(Breakdown[],MATCH($D236,Breakdown[Dist],0),MATCH(Q$4,Breakdown[#Headers],0))</f>
        <v>51569</v>
      </c>
      <c r="R236" s="4">
        <f>INDEX(Breakdown[],MATCH($D236,Breakdown[Dist],0),MATCH(R$4,Breakdown[#Headers],0))</f>
        <v>0</v>
      </c>
      <c r="S236" s="14">
        <f t="shared" si="23"/>
        <v>51569</v>
      </c>
      <c r="T236" s="17">
        <f t="shared" si="24"/>
        <v>149564</v>
      </c>
      <c r="U236" s="19">
        <f t="shared" si="25"/>
        <v>201133</v>
      </c>
      <c r="V236" s="12"/>
      <c r="W236" s="20">
        <f t="shared" si="26"/>
        <v>9.9999552534667371E-2</v>
      </c>
      <c r="X236" s="20">
        <f t="shared" si="27"/>
        <v>0.90000044746533259</v>
      </c>
    </row>
    <row r="237" spans="1:24" x14ac:dyDescent="0.25">
      <c r="A237" s="5">
        <v>2026</v>
      </c>
      <c r="B237" s="5" t="s">
        <v>22</v>
      </c>
      <c r="C237" s="24" t="s">
        <v>22</v>
      </c>
      <c r="D237" s="5" t="s">
        <v>46</v>
      </c>
      <c r="E237" s="22" t="s">
        <v>693</v>
      </c>
      <c r="F237" s="22" t="s">
        <v>693</v>
      </c>
      <c r="G237" s="5" t="s">
        <v>46</v>
      </c>
      <c r="H237" s="5" t="s">
        <v>391</v>
      </c>
      <c r="I237" s="4">
        <f>INDEX(Breakdown[],MATCH($D237,Breakdown[Dist],0),MATCH(I$4,Breakdown[#Headers],0))</f>
        <v>265615</v>
      </c>
      <c r="J237" s="4">
        <f>INDEX(Breakdown[],MATCH($D237,Breakdown[Dist],0),MATCH(J$4,Breakdown[#Headers],0))</f>
        <v>204165</v>
      </c>
      <c r="K237" s="4">
        <f>INDEX(Breakdown[],MATCH($D237,Breakdown[Dist],0),MATCH(K$4,Breakdown[#Headers],0))</f>
        <v>43729</v>
      </c>
      <c r="L237" s="4">
        <f>INDEX(Breakdown[],MATCH($D237,Breakdown[Dist],0),MATCH(L$4,Breakdown[#Headers],0))</f>
        <v>160436</v>
      </c>
      <c r="M237" s="4">
        <f>INDEX(Breakdown[],MATCH($D237,Breakdown[Dist],0),MATCH(M$4,Breakdown[#Headers],0))</f>
        <v>432</v>
      </c>
      <c r="N237" s="4">
        <f t="shared" si="21"/>
        <v>222318</v>
      </c>
      <c r="O237" s="15">
        <f t="shared" si="22"/>
        <v>22232</v>
      </c>
      <c r="P237" s="12"/>
      <c r="Q237" s="4">
        <f>INDEX(Breakdown[],MATCH($D237,Breakdown[Dist],0),MATCH(Q$4,Breakdown[#Headers],0))</f>
        <v>61450</v>
      </c>
      <c r="R237" s="4">
        <f>INDEX(Breakdown[],MATCH($D237,Breakdown[Dist],0),MATCH(R$4,Breakdown[#Headers],0))</f>
        <v>432</v>
      </c>
      <c r="S237" s="14">
        <f t="shared" si="23"/>
        <v>61882</v>
      </c>
      <c r="T237" s="17">
        <f t="shared" si="24"/>
        <v>138204</v>
      </c>
      <c r="U237" s="19">
        <f t="shared" si="25"/>
        <v>200086</v>
      </c>
      <c r="V237" s="12"/>
      <c r="W237" s="20">
        <f t="shared" si="26"/>
        <v>0.10000089961226712</v>
      </c>
      <c r="X237" s="20">
        <f t="shared" si="27"/>
        <v>0.8999991003877329</v>
      </c>
    </row>
    <row r="238" spans="1:24" x14ac:dyDescent="0.25">
      <c r="A238" s="5">
        <v>2026</v>
      </c>
      <c r="B238" s="5" t="s">
        <v>0</v>
      </c>
      <c r="C238" s="24" t="s">
        <v>0</v>
      </c>
      <c r="D238" s="5" t="s">
        <v>14</v>
      </c>
      <c r="E238" s="22" t="s">
        <v>693</v>
      </c>
      <c r="F238" s="22" t="s">
        <v>693</v>
      </c>
      <c r="G238" s="5" t="s">
        <v>14</v>
      </c>
      <c r="H238" s="5" t="s">
        <v>361</v>
      </c>
      <c r="I238" s="4">
        <f>INDEX(Breakdown[],MATCH($D238,Breakdown[Dist],0),MATCH(I$4,Breakdown[#Headers],0))</f>
        <v>300222</v>
      </c>
      <c r="J238" s="4">
        <f>INDEX(Breakdown[],MATCH($D238,Breakdown[Dist],0),MATCH(J$4,Breakdown[#Headers],0))</f>
        <v>228067</v>
      </c>
      <c r="K238" s="4">
        <f>INDEX(Breakdown[],MATCH($D238,Breakdown[Dist],0),MATCH(K$4,Breakdown[#Headers],0))</f>
        <v>48849</v>
      </c>
      <c r="L238" s="4">
        <f>INDEX(Breakdown[],MATCH($D238,Breakdown[Dist],0),MATCH(L$4,Breakdown[#Headers],0))</f>
        <v>179218</v>
      </c>
      <c r="M238" s="4">
        <f>INDEX(Breakdown[],MATCH($D238,Breakdown[Dist],0),MATCH(M$4,Breakdown[#Headers],0))</f>
        <v>5855</v>
      </c>
      <c r="N238" s="4">
        <f t="shared" si="21"/>
        <v>257228</v>
      </c>
      <c r="O238" s="15">
        <f t="shared" si="22"/>
        <v>25723</v>
      </c>
      <c r="P238" s="12"/>
      <c r="Q238" s="4">
        <f>INDEX(Breakdown[],MATCH($D238,Breakdown[Dist],0),MATCH(Q$4,Breakdown[#Headers],0))</f>
        <v>72155</v>
      </c>
      <c r="R238" s="4">
        <f>INDEX(Breakdown[],MATCH($D238,Breakdown[Dist],0),MATCH(R$4,Breakdown[#Headers],0))</f>
        <v>5855</v>
      </c>
      <c r="S238" s="14">
        <f t="shared" si="23"/>
        <v>78010</v>
      </c>
      <c r="T238" s="17">
        <f t="shared" si="24"/>
        <v>153495</v>
      </c>
      <c r="U238" s="19">
        <f t="shared" si="25"/>
        <v>231505</v>
      </c>
      <c r="V238" s="12"/>
      <c r="W238" s="20">
        <f t="shared" si="26"/>
        <v>0.10000077752033215</v>
      </c>
      <c r="X238" s="20">
        <f t="shared" si="27"/>
        <v>0.89999922247966779</v>
      </c>
    </row>
    <row r="239" spans="1:24" x14ac:dyDescent="0.25">
      <c r="A239" s="5">
        <v>2026</v>
      </c>
      <c r="B239" s="5" t="s">
        <v>263</v>
      </c>
      <c r="C239" s="24" t="s">
        <v>263</v>
      </c>
      <c r="D239" s="5" t="s">
        <v>296</v>
      </c>
      <c r="E239" s="22" t="s">
        <v>693</v>
      </c>
      <c r="F239" s="22" t="s">
        <v>693</v>
      </c>
      <c r="G239" s="5" t="s">
        <v>296</v>
      </c>
      <c r="H239" s="5" t="s">
        <v>621</v>
      </c>
      <c r="I239" s="4">
        <f>INDEX(Breakdown[],MATCH($D239,Breakdown[Dist],0),MATCH(I$4,Breakdown[#Headers],0))</f>
        <v>380275</v>
      </c>
      <c r="J239" s="4">
        <f>INDEX(Breakdown[],MATCH($D239,Breakdown[Dist],0),MATCH(J$4,Breakdown[#Headers],0))</f>
        <v>300630</v>
      </c>
      <c r="K239" s="4">
        <f>INDEX(Breakdown[],MATCH($D239,Breakdown[Dist],0),MATCH(K$4,Breakdown[#Headers],0))</f>
        <v>64390</v>
      </c>
      <c r="L239" s="4">
        <f>INDEX(Breakdown[],MATCH($D239,Breakdown[Dist],0),MATCH(L$4,Breakdown[#Headers],0))</f>
        <v>236240</v>
      </c>
      <c r="M239" s="4">
        <f>INDEX(Breakdown[],MATCH($D239,Breakdown[Dist],0),MATCH(M$4,Breakdown[#Headers],0))</f>
        <v>26248</v>
      </c>
      <c r="N239" s="4">
        <f t="shared" si="21"/>
        <v>342133</v>
      </c>
      <c r="O239" s="15">
        <f t="shared" si="22"/>
        <v>34213</v>
      </c>
      <c r="P239" s="12"/>
      <c r="Q239" s="4">
        <f>INDEX(Breakdown[],MATCH($D239,Breakdown[Dist],0),MATCH(Q$4,Breakdown[#Headers],0))</f>
        <v>79645</v>
      </c>
      <c r="R239" s="4">
        <f>INDEX(Breakdown[],MATCH($D239,Breakdown[Dist],0),MATCH(R$4,Breakdown[#Headers],0))</f>
        <v>26248</v>
      </c>
      <c r="S239" s="14">
        <f t="shared" si="23"/>
        <v>105893</v>
      </c>
      <c r="T239" s="17">
        <f t="shared" si="24"/>
        <v>202027</v>
      </c>
      <c r="U239" s="19">
        <f t="shared" si="25"/>
        <v>307920</v>
      </c>
      <c r="V239" s="12"/>
      <c r="W239" s="20">
        <f t="shared" si="26"/>
        <v>9.999912314801554E-2</v>
      </c>
      <c r="X239" s="20">
        <f t="shared" si="27"/>
        <v>0.90000087685198449</v>
      </c>
    </row>
    <row r="240" spans="1:24" x14ac:dyDescent="0.25">
      <c r="A240" s="5">
        <v>2026</v>
      </c>
      <c r="B240" s="5" t="s">
        <v>229</v>
      </c>
      <c r="C240" s="24" t="s">
        <v>229</v>
      </c>
      <c r="D240" s="5" t="s">
        <v>247</v>
      </c>
      <c r="E240" s="22" t="s">
        <v>693</v>
      </c>
      <c r="F240" s="22" t="s">
        <v>693</v>
      </c>
      <c r="G240" s="5" t="s">
        <v>247</v>
      </c>
      <c r="H240" s="5" t="s">
        <v>575</v>
      </c>
      <c r="I240" s="4">
        <f>INDEX(Breakdown[],MATCH($D240,Breakdown[Dist],0),MATCH(I$4,Breakdown[#Headers],0))</f>
        <v>143788</v>
      </c>
      <c r="J240" s="4">
        <f>INDEX(Breakdown[],MATCH($D240,Breakdown[Dist],0),MATCH(J$4,Breakdown[#Headers],0))</f>
        <v>111570</v>
      </c>
      <c r="K240" s="4">
        <f>INDEX(Breakdown[],MATCH($D240,Breakdown[Dist],0),MATCH(K$4,Breakdown[#Headers],0))</f>
        <v>23897</v>
      </c>
      <c r="L240" s="4">
        <f>INDEX(Breakdown[],MATCH($D240,Breakdown[Dist],0),MATCH(L$4,Breakdown[#Headers],0))</f>
        <v>87673</v>
      </c>
      <c r="M240" s="4">
        <f>INDEX(Breakdown[],MATCH($D240,Breakdown[Dist],0),MATCH(M$4,Breakdown[#Headers],0))</f>
        <v>0</v>
      </c>
      <c r="N240" s="4">
        <f t="shared" si="21"/>
        <v>119891</v>
      </c>
      <c r="O240" s="15">
        <f t="shared" si="22"/>
        <v>11989</v>
      </c>
      <c r="P240" s="12"/>
      <c r="Q240" s="4">
        <f>INDEX(Breakdown[],MATCH($D240,Breakdown[Dist],0),MATCH(Q$4,Breakdown[#Headers],0))</f>
        <v>32218</v>
      </c>
      <c r="R240" s="4">
        <f>INDEX(Breakdown[],MATCH($D240,Breakdown[Dist],0),MATCH(R$4,Breakdown[#Headers],0))</f>
        <v>0</v>
      </c>
      <c r="S240" s="14">
        <f t="shared" si="23"/>
        <v>32218</v>
      </c>
      <c r="T240" s="17">
        <f t="shared" si="24"/>
        <v>75684</v>
      </c>
      <c r="U240" s="19">
        <f t="shared" si="25"/>
        <v>107902</v>
      </c>
      <c r="V240" s="12"/>
      <c r="W240" s="20">
        <f t="shared" si="26"/>
        <v>9.9999165909034043E-2</v>
      </c>
      <c r="X240" s="20">
        <f t="shared" si="27"/>
        <v>0.90000083409096598</v>
      </c>
    </row>
    <row r="241" spans="1:24" x14ac:dyDescent="0.25">
      <c r="A241" s="5">
        <v>2026</v>
      </c>
      <c r="B241" s="5" t="s">
        <v>0</v>
      </c>
      <c r="C241" s="24" t="s">
        <v>0</v>
      </c>
      <c r="D241" s="5" t="s">
        <v>15</v>
      </c>
      <c r="E241" s="22" t="s">
        <v>693</v>
      </c>
      <c r="F241" s="22" t="s">
        <v>693</v>
      </c>
      <c r="G241" s="5" t="s">
        <v>15</v>
      </c>
      <c r="H241" s="5" t="s">
        <v>362</v>
      </c>
      <c r="I241" s="4">
        <f>INDEX(Breakdown[],MATCH($D241,Breakdown[Dist],0),MATCH(I$4,Breakdown[#Headers],0))</f>
        <v>145026</v>
      </c>
      <c r="J241" s="4">
        <f>INDEX(Breakdown[],MATCH($D241,Breakdown[Dist],0),MATCH(J$4,Breakdown[#Headers],0))</f>
        <v>110171</v>
      </c>
      <c r="K241" s="4">
        <f>INDEX(Breakdown[],MATCH($D241,Breakdown[Dist],0),MATCH(K$4,Breakdown[#Headers],0))</f>
        <v>23596</v>
      </c>
      <c r="L241" s="4">
        <f>INDEX(Breakdown[],MATCH($D241,Breakdown[Dist],0),MATCH(L$4,Breakdown[#Headers],0))</f>
        <v>86575</v>
      </c>
      <c r="M241" s="4">
        <f>INDEX(Breakdown[],MATCH($D241,Breakdown[Dist],0),MATCH(M$4,Breakdown[#Headers],0))</f>
        <v>0</v>
      </c>
      <c r="N241" s="4">
        <f t="shared" si="21"/>
        <v>121430</v>
      </c>
      <c r="O241" s="15">
        <f t="shared" si="22"/>
        <v>12143</v>
      </c>
      <c r="P241" s="12"/>
      <c r="Q241" s="4">
        <f>INDEX(Breakdown[],MATCH($D241,Breakdown[Dist],0),MATCH(Q$4,Breakdown[#Headers],0))</f>
        <v>34855</v>
      </c>
      <c r="R241" s="4">
        <f>INDEX(Breakdown[],MATCH($D241,Breakdown[Dist],0),MATCH(R$4,Breakdown[#Headers],0))</f>
        <v>0</v>
      </c>
      <c r="S241" s="14">
        <f t="shared" si="23"/>
        <v>34855</v>
      </c>
      <c r="T241" s="17">
        <f t="shared" si="24"/>
        <v>74432</v>
      </c>
      <c r="U241" s="19">
        <f t="shared" si="25"/>
        <v>109287</v>
      </c>
      <c r="V241" s="12"/>
      <c r="W241" s="20">
        <f t="shared" si="26"/>
        <v>0.1</v>
      </c>
      <c r="X241" s="20">
        <f t="shared" si="27"/>
        <v>0.9</v>
      </c>
    </row>
    <row r="242" spans="1:24" x14ac:dyDescent="0.25">
      <c r="A242" s="5">
        <v>2026</v>
      </c>
      <c r="B242" s="5" t="s">
        <v>229</v>
      </c>
      <c r="C242" s="24" t="s">
        <v>229</v>
      </c>
      <c r="D242" s="5" t="s">
        <v>248</v>
      </c>
      <c r="E242" s="22" t="s">
        <v>693</v>
      </c>
      <c r="F242" s="22" t="s">
        <v>693</v>
      </c>
      <c r="G242" s="5" t="s">
        <v>248</v>
      </c>
      <c r="H242" s="5" t="s">
        <v>576</v>
      </c>
      <c r="I242" s="4">
        <f>INDEX(Breakdown[],MATCH($D242,Breakdown[Dist],0),MATCH(I$4,Breakdown[#Headers],0))</f>
        <v>155562</v>
      </c>
      <c r="J242" s="4">
        <f>INDEX(Breakdown[],MATCH($D242,Breakdown[Dist],0),MATCH(J$4,Breakdown[#Headers],0))</f>
        <v>120706</v>
      </c>
      <c r="K242" s="4">
        <f>INDEX(Breakdown[],MATCH($D242,Breakdown[Dist],0),MATCH(K$4,Breakdown[#Headers],0))</f>
        <v>25853</v>
      </c>
      <c r="L242" s="4">
        <f>INDEX(Breakdown[],MATCH($D242,Breakdown[Dist],0),MATCH(L$4,Breakdown[#Headers],0))</f>
        <v>94853</v>
      </c>
      <c r="M242" s="4">
        <f>INDEX(Breakdown[],MATCH($D242,Breakdown[Dist],0),MATCH(M$4,Breakdown[#Headers],0))</f>
        <v>242</v>
      </c>
      <c r="N242" s="4">
        <f t="shared" si="21"/>
        <v>129951</v>
      </c>
      <c r="O242" s="15">
        <f t="shared" si="22"/>
        <v>12995</v>
      </c>
      <c r="P242" s="12"/>
      <c r="Q242" s="4">
        <f>INDEX(Breakdown[],MATCH($D242,Breakdown[Dist],0),MATCH(Q$4,Breakdown[#Headers],0))</f>
        <v>34856</v>
      </c>
      <c r="R242" s="4">
        <f>INDEX(Breakdown[],MATCH($D242,Breakdown[Dist],0),MATCH(R$4,Breakdown[#Headers],0))</f>
        <v>242</v>
      </c>
      <c r="S242" s="14">
        <f t="shared" si="23"/>
        <v>35098</v>
      </c>
      <c r="T242" s="17">
        <f t="shared" si="24"/>
        <v>81858</v>
      </c>
      <c r="U242" s="19">
        <f t="shared" si="25"/>
        <v>116956</v>
      </c>
      <c r="V242" s="12"/>
      <c r="W242" s="20">
        <f t="shared" si="26"/>
        <v>9.999923047918062E-2</v>
      </c>
      <c r="X242" s="20">
        <f t="shared" si="27"/>
        <v>0.90000076952081942</v>
      </c>
    </row>
    <row r="243" spans="1:24" x14ac:dyDescent="0.25">
      <c r="A243" s="5">
        <v>2026</v>
      </c>
      <c r="B243" s="5" t="s">
        <v>263</v>
      </c>
      <c r="C243" s="24" t="s">
        <v>263</v>
      </c>
      <c r="D243" s="5" t="s">
        <v>297</v>
      </c>
      <c r="E243" s="22" t="s">
        <v>693</v>
      </c>
      <c r="F243" s="22" t="s">
        <v>693</v>
      </c>
      <c r="G243" s="5" t="s">
        <v>700</v>
      </c>
      <c r="H243" s="5" t="s">
        <v>622</v>
      </c>
      <c r="I243" s="4">
        <f>INDEX(Breakdown[],MATCH($D243,Breakdown[Dist],0),MATCH(I$4,Breakdown[#Headers],0))</f>
        <v>294779</v>
      </c>
      <c r="J243" s="4">
        <f>INDEX(Breakdown[],MATCH($D243,Breakdown[Dist],0),MATCH(J$4,Breakdown[#Headers],0))</f>
        <v>233041</v>
      </c>
      <c r="K243" s="4">
        <f>INDEX(Breakdown[],MATCH($D243,Breakdown[Dist],0),MATCH(K$4,Breakdown[#Headers],0))</f>
        <v>49914</v>
      </c>
      <c r="L243" s="4">
        <f>INDEX(Breakdown[],MATCH($D243,Breakdown[Dist],0),MATCH(L$4,Breakdown[#Headers],0))</f>
        <v>183127</v>
      </c>
      <c r="M243" s="4">
        <f>INDEX(Breakdown[],MATCH($D243,Breakdown[Dist],0),MATCH(M$4,Breakdown[#Headers],0))</f>
        <v>0</v>
      </c>
      <c r="N243" s="4">
        <f t="shared" si="21"/>
        <v>244865</v>
      </c>
      <c r="O243" s="15">
        <f t="shared" si="22"/>
        <v>24487</v>
      </c>
      <c r="P243" s="12"/>
      <c r="Q243" s="4">
        <f>INDEX(Breakdown[],MATCH($D243,Breakdown[Dist],0),MATCH(Q$4,Breakdown[#Headers],0))</f>
        <v>61738</v>
      </c>
      <c r="R243" s="4">
        <f>INDEX(Breakdown[],MATCH($D243,Breakdown[Dist],0),MATCH(R$4,Breakdown[#Headers],0))</f>
        <v>0</v>
      </c>
      <c r="S243" s="14">
        <f t="shared" si="23"/>
        <v>61738</v>
      </c>
      <c r="T243" s="17">
        <f t="shared" si="24"/>
        <v>158640</v>
      </c>
      <c r="U243" s="19">
        <f t="shared" si="25"/>
        <v>220378</v>
      </c>
      <c r="V243" s="12"/>
      <c r="W243" s="20">
        <f t="shared" si="26"/>
        <v>0.10000204194147795</v>
      </c>
      <c r="X243" s="20">
        <f t="shared" si="27"/>
        <v>0.89999795805852201</v>
      </c>
    </row>
    <row r="244" spans="1:24" x14ac:dyDescent="0.25">
      <c r="A244" s="5">
        <v>2026</v>
      </c>
      <c r="B244" s="5" t="s">
        <v>229</v>
      </c>
      <c r="C244" s="24" t="s">
        <v>229</v>
      </c>
      <c r="D244" s="5" t="s">
        <v>249</v>
      </c>
      <c r="E244" s="22" t="s">
        <v>693</v>
      </c>
      <c r="F244" s="22" t="s">
        <v>693</v>
      </c>
      <c r="G244" s="5" t="s">
        <v>249</v>
      </c>
      <c r="H244" s="5" t="s">
        <v>577</v>
      </c>
      <c r="I244" s="4">
        <f>INDEX(Breakdown[],MATCH($D244,Breakdown[Dist],0),MATCH(I$4,Breakdown[#Headers],0))</f>
        <v>304920</v>
      </c>
      <c r="J244" s="4">
        <f>INDEX(Breakdown[],MATCH($D244,Breakdown[Dist],0),MATCH(J$4,Breakdown[#Headers],0))</f>
        <v>236598</v>
      </c>
      <c r="K244" s="4">
        <f>INDEX(Breakdown[],MATCH($D244,Breakdown[Dist],0),MATCH(K$4,Breakdown[#Headers],0))</f>
        <v>50675</v>
      </c>
      <c r="L244" s="4">
        <f>INDEX(Breakdown[],MATCH($D244,Breakdown[Dist],0),MATCH(L$4,Breakdown[#Headers],0))</f>
        <v>185923</v>
      </c>
      <c r="M244" s="4">
        <f>INDEX(Breakdown[],MATCH($D244,Breakdown[Dist],0),MATCH(M$4,Breakdown[#Headers],0))</f>
        <v>11651</v>
      </c>
      <c r="N244" s="4">
        <f t="shared" si="21"/>
        <v>265896</v>
      </c>
      <c r="O244" s="15">
        <f t="shared" si="22"/>
        <v>26590</v>
      </c>
      <c r="P244" s="12"/>
      <c r="Q244" s="4">
        <f>INDEX(Breakdown[],MATCH($D244,Breakdown[Dist],0),MATCH(Q$4,Breakdown[#Headers],0))</f>
        <v>68322</v>
      </c>
      <c r="R244" s="4">
        <f>INDEX(Breakdown[],MATCH($D244,Breakdown[Dist],0),MATCH(R$4,Breakdown[#Headers],0))</f>
        <v>11651</v>
      </c>
      <c r="S244" s="14">
        <f t="shared" si="23"/>
        <v>79973</v>
      </c>
      <c r="T244" s="17">
        <f t="shared" si="24"/>
        <v>159333</v>
      </c>
      <c r="U244" s="19">
        <f t="shared" si="25"/>
        <v>239306</v>
      </c>
      <c r="V244" s="12"/>
      <c r="W244" s="20">
        <f t="shared" si="26"/>
        <v>0.10000150434756445</v>
      </c>
      <c r="X244" s="20">
        <f t="shared" si="27"/>
        <v>0.8999984956524355</v>
      </c>
    </row>
    <row r="245" spans="1:24" x14ac:dyDescent="0.25">
      <c r="A245" s="5">
        <v>2026</v>
      </c>
      <c r="B245" s="5" t="s">
        <v>174</v>
      </c>
      <c r="C245" s="24" t="s">
        <v>174</v>
      </c>
      <c r="D245" s="5" t="s">
        <v>216</v>
      </c>
      <c r="E245" s="22" t="s">
        <v>693</v>
      </c>
      <c r="F245" s="22" t="s">
        <v>693</v>
      </c>
      <c r="G245" s="5" t="s">
        <v>216</v>
      </c>
      <c r="H245" s="5" t="s">
        <v>544</v>
      </c>
      <c r="I245" s="4">
        <f>INDEX(Breakdown[],MATCH($D245,Breakdown[Dist],0),MATCH(I$4,Breakdown[#Headers],0))</f>
        <v>379972</v>
      </c>
      <c r="J245" s="4">
        <f>INDEX(Breakdown[],MATCH($D245,Breakdown[Dist],0),MATCH(J$4,Breakdown[#Headers],0))</f>
        <v>307489</v>
      </c>
      <c r="K245" s="4">
        <f>INDEX(Breakdown[],MATCH($D245,Breakdown[Dist],0),MATCH(K$4,Breakdown[#Headers],0))</f>
        <v>65859</v>
      </c>
      <c r="L245" s="4">
        <f>INDEX(Breakdown[],MATCH($D245,Breakdown[Dist],0),MATCH(L$4,Breakdown[#Headers],0))</f>
        <v>241630</v>
      </c>
      <c r="M245" s="4">
        <f>INDEX(Breakdown[],MATCH($D245,Breakdown[Dist],0),MATCH(M$4,Breakdown[#Headers],0))</f>
        <v>0</v>
      </c>
      <c r="N245" s="4">
        <f t="shared" si="21"/>
        <v>314113</v>
      </c>
      <c r="O245" s="15">
        <f t="shared" si="22"/>
        <v>31411</v>
      </c>
      <c r="P245" s="12"/>
      <c r="Q245" s="4">
        <f>INDEX(Breakdown[],MATCH($D245,Breakdown[Dist],0),MATCH(Q$4,Breakdown[#Headers],0))</f>
        <v>72483</v>
      </c>
      <c r="R245" s="4">
        <f>INDEX(Breakdown[],MATCH($D245,Breakdown[Dist],0),MATCH(R$4,Breakdown[#Headers],0))</f>
        <v>0</v>
      </c>
      <c r="S245" s="14">
        <f t="shared" si="23"/>
        <v>72483</v>
      </c>
      <c r="T245" s="17">
        <f t="shared" si="24"/>
        <v>210219</v>
      </c>
      <c r="U245" s="19">
        <f t="shared" si="25"/>
        <v>282702</v>
      </c>
      <c r="V245" s="12"/>
      <c r="W245" s="20">
        <f t="shared" si="26"/>
        <v>9.9999044929690903E-2</v>
      </c>
      <c r="X245" s="20">
        <f t="shared" si="27"/>
        <v>0.90000095507030908</v>
      </c>
    </row>
    <row r="246" spans="1:24" x14ac:dyDescent="0.25">
      <c r="A246" s="5">
        <v>2026</v>
      </c>
      <c r="B246" s="5" t="s">
        <v>60</v>
      </c>
      <c r="C246" s="24" t="s">
        <v>60</v>
      </c>
      <c r="D246" s="5" t="s">
        <v>106</v>
      </c>
      <c r="E246" s="22" t="s">
        <v>693</v>
      </c>
      <c r="F246" s="22" t="s">
        <v>693</v>
      </c>
      <c r="G246" s="5" t="s">
        <v>106</v>
      </c>
      <c r="H246" s="5" t="s">
        <v>441</v>
      </c>
      <c r="I246" s="4">
        <f>INDEX(Breakdown[],MATCH($D246,Breakdown[Dist],0),MATCH(I$4,Breakdown[#Headers],0))</f>
        <v>166126</v>
      </c>
      <c r="J246" s="4">
        <f>INDEX(Breakdown[],MATCH($D246,Breakdown[Dist],0),MATCH(J$4,Breakdown[#Headers],0))</f>
        <v>130095</v>
      </c>
      <c r="K246" s="4">
        <f>INDEX(Breakdown[],MATCH($D246,Breakdown[Dist],0),MATCH(K$4,Breakdown[#Headers],0))</f>
        <v>27864</v>
      </c>
      <c r="L246" s="4">
        <f>INDEX(Breakdown[],MATCH($D246,Breakdown[Dist],0),MATCH(L$4,Breakdown[#Headers],0))</f>
        <v>102231</v>
      </c>
      <c r="M246" s="4">
        <f>INDEX(Breakdown[],MATCH($D246,Breakdown[Dist],0),MATCH(M$4,Breakdown[#Headers],0))</f>
        <v>3481</v>
      </c>
      <c r="N246" s="4">
        <f t="shared" si="21"/>
        <v>141743</v>
      </c>
      <c r="O246" s="15">
        <f t="shared" si="22"/>
        <v>14174</v>
      </c>
      <c r="P246" s="12"/>
      <c r="Q246" s="4">
        <f>INDEX(Breakdown[],MATCH($D246,Breakdown[Dist],0),MATCH(Q$4,Breakdown[#Headers],0))</f>
        <v>36031</v>
      </c>
      <c r="R246" s="4">
        <f>INDEX(Breakdown[],MATCH($D246,Breakdown[Dist],0),MATCH(R$4,Breakdown[#Headers],0))</f>
        <v>3481</v>
      </c>
      <c r="S246" s="14">
        <f t="shared" si="23"/>
        <v>39512</v>
      </c>
      <c r="T246" s="17">
        <f t="shared" si="24"/>
        <v>88057</v>
      </c>
      <c r="U246" s="19">
        <f t="shared" si="25"/>
        <v>127569</v>
      </c>
      <c r="V246" s="12"/>
      <c r="W246" s="20">
        <f t="shared" si="26"/>
        <v>9.9997883493364748E-2</v>
      </c>
      <c r="X246" s="20">
        <f t="shared" si="27"/>
        <v>0.9000021165066352</v>
      </c>
    </row>
    <row r="247" spans="1:24" x14ac:dyDescent="0.25">
      <c r="A247" s="5">
        <v>2026</v>
      </c>
      <c r="B247" s="5" t="s">
        <v>22</v>
      </c>
      <c r="C247" s="24" t="s">
        <v>22</v>
      </c>
      <c r="D247" s="5" t="s">
        <v>47</v>
      </c>
      <c r="E247" s="22" t="s">
        <v>693</v>
      </c>
      <c r="F247" s="22" t="s">
        <v>693</v>
      </c>
      <c r="G247" s="5" t="s">
        <v>47</v>
      </c>
      <c r="H247" s="5" t="s">
        <v>392</v>
      </c>
      <c r="I247" s="4">
        <f>INDEX(Breakdown[],MATCH($D247,Breakdown[Dist],0),MATCH(I$4,Breakdown[#Headers],0))</f>
        <v>78263</v>
      </c>
      <c r="J247" s="4">
        <f>INDEX(Breakdown[],MATCH($D247,Breakdown[Dist],0),MATCH(J$4,Breakdown[#Headers],0))</f>
        <v>60157</v>
      </c>
      <c r="K247" s="4">
        <f>INDEX(Breakdown[],MATCH($D247,Breakdown[Dist],0),MATCH(K$4,Breakdown[#Headers],0))</f>
        <v>12884</v>
      </c>
      <c r="L247" s="4">
        <f>INDEX(Breakdown[],MATCH($D247,Breakdown[Dist],0),MATCH(L$4,Breakdown[#Headers],0))</f>
        <v>47273</v>
      </c>
      <c r="M247" s="4">
        <f>INDEX(Breakdown[],MATCH($D247,Breakdown[Dist],0),MATCH(M$4,Breakdown[#Headers],0))</f>
        <v>8212</v>
      </c>
      <c r="N247" s="4">
        <f t="shared" si="21"/>
        <v>73591</v>
      </c>
      <c r="O247" s="15">
        <f t="shared" si="22"/>
        <v>7359</v>
      </c>
      <c r="P247" s="12"/>
      <c r="Q247" s="4">
        <f>INDEX(Breakdown[],MATCH($D247,Breakdown[Dist],0),MATCH(Q$4,Breakdown[#Headers],0))</f>
        <v>18106</v>
      </c>
      <c r="R247" s="4">
        <f>INDEX(Breakdown[],MATCH($D247,Breakdown[Dist],0),MATCH(R$4,Breakdown[#Headers],0))</f>
        <v>8212</v>
      </c>
      <c r="S247" s="14">
        <f t="shared" si="23"/>
        <v>26318</v>
      </c>
      <c r="T247" s="17">
        <f t="shared" si="24"/>
        <v>39914</v>
      </c>
      <c r="U247" s="19">
        <f t="shared" si="25"/>
        <v>66232</v>
      </c>
      <c r="V247" s="12"/>
      <c r="W247" s="20">
        <f t="shared" si="26"/>
        <v>9.9998641138182659E-2</v>
      </c>
      <c r="X247" s="20">
        <f t="shared" si="27"/>
        <v>0.90000135886181731</v>
      </c>
    </row>
    <row r="248" spans="1:24" x14ac:dyDescent="0.25">
      <c r="A248" s="5">
        <v>2026</v>
      </c>
      <c r="B248" s="5" t="s">
        <v>174</v>
      </c>
      <c r="C248" s="24" t="s">
        <v>174</v>
      </c>
      <c r="D248" s="5" t="s">
        <v>217</v>
      </c>
      <c r="E248" s="22" t="s">
        <v>693</v>
      </c>
      <c r="F248" s="22" t="s">
        <v>693</v>
      </c>
      <c r="G248" s="5" t="s">
        <v>217</v>
      </c>
      <c r="H248" s="5" t="s">
        <v>545</v>
      </c>
      <c r="I248" s="4">
        <f>INDEX(Breakdown[],MATCH($D248,Breakdown[Dist],0),MATCH(I$4,Breakdown[#Headers],0))</f>
        <v>395445</v>
      </c>
      <c r="J248" s="4">
        <f>INDEX(Breakdown[],MATCH($D248,Breakdown[Dist],0),MATCH(J$4,Breakdown[#Headers],0))</f>
        <v>320011</v>
      </c>
      <c r="K248" s="4">
        <f>INDEX(Breakdown[],MATCH($D248,Breakdown[Dist],0),MATCH(K$4,Breakdown[#Headers],0))</f>
        <v>68541</v>
      </c>
      <c r="L248" s="4">
        <f>INDEX(Breakdown[],MATCH($D248,Breakdown[Dist],0),MATCH(L$4,Breakdown[#Headers],0))</f>
        <v>251470</v>
      </c>
      <c r="M248" s="4">
        <f>INDEX(Breakdown[],MATCH($D248,Breakdown[Dist],0),MATCH(M$4,Breakdown[#Headers],0))</f>
        <v>0</v>
      </c>
      <c r="N248" s="4">
        <f t="shared" si="21"/>
        <v>326904</v>
      </c>
      <c r="O248" s="15">
        <f t="shared" si="22"/>
        <v>32690</v>
      </c>
      <c r="P248" s="12"/>
      <c r="Q248" s="4">
        <f>INDEX(Breakdown[],MATCH($D248,Breakdown[Dist],0),MATCH(Q$4,Breakdown[#Headers],0))</f>
        <v>75434</v>
      </c>
      <c r="R248" s="4">
        <f>INDEX(Breakdown[],MATCH($D248,Breakdown[Dist],0),MATCH(R$4,Breakdown[#Headers],0))</f>
        <v>0</v>
      </c>
      <c r="S248" s="14">
        <f t="shared" si="23"/>
        <v>75434</v>
      </c>
      <c r="T248" s="17">
        <f t="shared" si="24"/>
        <v>218780</v>
      </c>
      <c r="U248" s="19">
        <f t="shared" si="25"/>
        <v>294214</v>
      </c>
      <c r="V248" s="12"/>
      <c r="W248" s="20">
        <f t="shared" si="26"/>
        <v>9.9998776399187528E-2</v>
      </c>
      <c r="X248" s="20">
        <f t="shared" si="27"/>
        <v>0.90000122360081247</v>
      </c>
    </row>
    <row r="249" spans="1:24" x14ac:dyDescent="0.25">
      <c r="A249" s="5">
        <v>2026</v>
      </c>
      <c r="B249" s="5" t="s">
        <v>22</v>
      </c>
      <c r="C249" s="24" t="s">
        <v>22</v>
      </c>
      <c r="D249" s="5" t="s">
        <v>48</v>
      </c>
      <c r="E249" s="22" t="s">
        <v>693</v>
      </c>
      <c r="F249" s="22" t="s">
        <v>693</v>
      </c>
      <c r="G249" s="5" t="s">
        <v>48</v>
      </c>
      <c r="H249" s="5" t="s">
        <v>393</v>
      </c>
      <c r="I249" s="4">
        <f>INDEX(Breakdown[],MATCH($D249,Breakdown[Dist],0),MATCH(I$4,Breakdown[#Headers],0))</f>
        <v>144967</v>
      </c>
      <c r="J249" s="4">
        <f>INDEX(Breakdown[],MATCH($D249,Breakdown[Dist],0),MATCH(J$4,Breakdown[#Headers],0))</f>
        <v>111429</v>
      </c>
      <c r="K249" s="4">
        <f>INDEX(Breakdown[],MATCH($D249,Breakdown[Dist],0),MATCH(K$4,Breakdown[#Headers],0))</f>
        <v>23867</v>
      </c>
      <c r="L249" s="4">
        <f>INDEX(Breakdown[],MATCH($D249,Breakdown[Dist],0),MATCH(L$4,Breakdown[#Headers],0))</f>
        <v>87562</v>
      </c>
      <c r="M249" s="4">
        <f>INDEX(Breakdown[],MATCH($D249,Breakdown[Dist],0),MATCH(M$4,Breakdown[#Headers],0))</f>
        <v>0</v>
      </c>
      <c r="N249" s="4">
        <f t="shared" si="21"/>
        <v>121100</v>
      </c>
      <c r="O249" s="15">
        <f t="shared" si="22"/>
        <v>12110</v>
      </c>
      <c r="P249" s="12"/>
      <c r="Q249" s="4">
        <f>INDEX(Breakdown[],MATCH($D249,Breakdown[Dist],0),MATCH(Q$4,Breakdown[#Headers],0))</f>
        <v>33538</v>
      </c>
      <c r="R249" s="4">
        <f>INDEX(Breakdown[],MATCH($D249,Breakdown[Dist],0),MATCH(R$4,Breakdown[#Headers],0))</f>
        <v>0</v>
      </c>
      <c r="S249" s="14">
        <f t="shared" si="23"/>
        <v>33538</v>
      </c>
      <c r="T249" s="17">
        <f t="shared" si="24"/>
        <v>75452</v>
      </c>
      <c r="U249" s="19">
        <f t="shared" si="25"/>
        <v>108990</v>
      </c>
      <c r="V249" s="12"/>
      <c r="W249" s="20">
        <f t="shared" si="26"/>
        <v>0.1</v>
      </c>
      <c r="X249" s="20">
        <f t="shared" si="27"/>
        <v>0.9</v>
      </c>
    </row>
    <row r="250" spans="1:24" x14ac:dyDescent="0.25">
      <c r="A250" s="5">
        <v>2026</v>
      </c>
      <c r="B250" s="5" t="s">
        <v>229</v>
      </c>
      <c r="C250" s="24" t="s">
        <v>229</v>
      </c>
      <c r="D250" s="5" t="s">
        <v>250</v>
      </c>
      <c r="E250" s="22" t="s">
        <v>693</v>
      </c>
      <c r="F250" s="22" t="s">
        <v>693</v>
      </c>
      <c r="G250" s="5" t="s">
        <v>250</v>
      </c>
      <c r="H250" s="5" t="s">
        <v>578</v>
      </c>
      <c r="I250" s="4">
        <f>INDEX(Breakdown[],MATCH($D250,Breakdown[Dist],0),MATCH(I$4,Breakdown[#Headers],0))</f>
        <v>94445</v>
      </c>
      <c r="J250" s="4">
        <f>INDEX(Breakdown[],MATCH($D250,Breakdown[Dist],0),MATCH(J$4,Breakdown[#Headers],0))</f>
        <v>73284</v>
      </c>
      <c r="K250" s="4">
        <f>INDEX(Breakdown[],MATCH($D250,Breakdown[Dist],0),MATCH(K$4,Breakdown[#Headers],0))</f>
        <v>15696</v>
      </c>
      <c r="L250" s="4">
        <f>INDEX(Breakdown[],MATCH($D250,Breakdown[Dist],0),MATCH(L$4,Breakdown[#Headers],0))</f>
        <v>57588</v>
      </c>
      <c r="M250" s="4">
        <f>INDEX(Breakdown[],MATCH($D250,Breakdown[Dist],0),MATCH(M$4,Breakdown[#Headers],0))</f>
        <v>10514</v>
      </c>
      <c r="N250" s="4">
        <f t="shared" si="21"/>
        <v>89263</v>
      </c>
      <c r="O250" s="15">
        <f t="shared" si="22"/>
        <v>8926</v>
      </c>
      <c r="P250" s="12"/>
      <c r="Q250" s="4">
        <f>INDEX(Breakdown[],MATCH($D250,Breakdown[Dist],0),MATCH(Q$4,Breakdown[#Headers],0))</f>
        <v>21161</v>
      </c>
      <c r="R250" s="4">
        <f>INDEX(Breakdown[],MATCH($D250,Breakdown[Dist],0),MATCH(R$4,Breakdown[#Headers],0))</f>
        <v>10514</v>
      </c>
      <c r="S250" s="14">
        <f t="shared" si="23"/>
        <v>31675</v>
      </c>
      <c r="T250" s="17">
        <f t="shared" si="24"/>
        <v>48662</v>
      </c>
      <c r="U250" s="19">
        <f t="shared" si="25"/>
        <v>80337</v>
      </c>
      <c r="V250" s="12"/>
      <c r="W250" s="20">
        <f t="shared" si="26"/>
        <v>9.9996639144998484E-2</v>
      </c>
      <c r="X250" s="20">
        <f t="shared" si="27"/>
        <v>0.90000336085500154</v>
      </c>
    </row>
    <row r="251" spans="1:24" x14ac:dyDescent="0.25">
      <c r="A251" s="5">
        <v>2026</v>
      </c>
      <c r="B251" s="5" t="s">
        <v>229</v>
      </c>
      <c r="C251" s="24" t="s">
        <v>229</v>
      </c>
      <c r="D251" s="5" t="s">
        <v>251</v>
      </c>
      <c r="E251" s="22" t="s">
        <v>693</v>
      </c>
      <c r="F251" s="22" t="s">
        <v>693</v>
      </c>
      <c r="G251" s="5" t="s">
        <v>251</v>
      </c>
      <c r="H251" s="5" t="s">
        <v>579</v>
      </c>
      <c r="I251" s="4">
        <f>INDEX(Breakdown[],MATCH($D251,Breakdown[Dist],0),MATCH(I$4,Breakdown[#Headers],0))</f>
        <v>574103</v>
      </c>
      <c r="J251" s="4">
        <f>INDEX(Breakdown[],MATCH($D251,Breakdown[Dist],0),MATCH(J$4,Breakdown[#Headers],0))</f>
        <v>445467</v>
      </c>
      <c r="K251" s="4">
        <f>INDEX(Breakdown[],MATCH($D251,Breakdown[Dist],0),MATCH(K$4,Breakdown[#Headers],0))</f>
        <v>95412</v>
      </c>
      <c r="L251" s="4">
        <f>INDEX(Breakdown[],MATCH($D251,Breakdown[Dist],0),MATCH(L$4,Breakdown[#Headers],0))</f>
        <v>350055</v>
      </c>
      <c r="M251" s="4">
        <f>INDEX(Breakdown[],MATCH($D251,Breakdown[Dist],0),MATCH(M$4,Breakdown[#Headers],0))</f>
        <v>0</v>
      </c>
      <c r="N251" s="4">
        <f t="shared" si="21"/>
        <v>478691</v>
      </c>
      <c r="O251" s="15">
        <f t="shared" si="22"/>
        <v>47869</v>
      </c>
      <c r="P251" s="12"/>
      <c r="Q251" s="4">
        <f>INDEX(Breakdown[],MATCH($D251,Breakdown[Dist],0),MATCH(Q$4,Breakdown[#Headers],0))</f>
        <v>128636</v>
      </c>
      <c r="R251" s="4">
        <f>INDEX(Breakdown[],MATCH($D251,Breakdown[Dist],0),MATCH(R$4,Breakdown[#Headers],0))</f>
        <v>0</v>
      </c>
      <c r="S251" s="14">
        <f t="shared" si="23"/>
        <v>128636</v>
      </c>
      <c r="T251" s="17">
        <f t="shared" si="24"/>
        <v>302186</v>
      </c>
      <c r="U251" s="19">
        <f t="shared" si="25"/>
        <v>430822</v>
      </c>
      <c r="V251" s="12"/>
      <c r="W251" s="20">
        <f t="shared" si="26"/>
        <v>9.99997910969707E-2</v>
      </c>
      <c r="X251" s="20">
        <f t="shared" si="27"/>
        <v>0.90000020890302934</v>
      </c>
    </row>
    <row r="252" spans="1:24" x14ac:dyDescent="0.25">
      <c r="A252" s="5">
        <v>2026</v>
      </c>
      <c r="B252" s="5" t="s">
        <v>308</v>
      </c>
      <c r="C252" s="24" t="s">
        <v>308</v>
      </c>
      <c r="D252" s="5" t="s">
        <v>332</v>
      </c>
      <c r="E252" s="22" t="s">
        <v>693</v>
      </c>
      <c r="F252" s="22" t="s">
        <v>693</v>
      </c>
      <c r="G252" s="5" t="s">
        <v>332</v>
      </c>
      <c r="H252" s="5" t="s">
        <v>656</v>
      </c>
      <c r="I252" s="4">
        <f>INDEX(Breakdown[],MATCH($D252,Breakdown[Dist],0),MATCH(I$4,Breakdown[#Headers],0))</f>
        <v>83716</v>
      </c>
      <c r="J252" s="4">
        <f>INDEX(Breakdown[],MATCH($D252,Breakdown[Dist],0),MATCH(J$4,Breakdown[#Headers],0))</f>
        <v>66687</v>
      </c>
      <c r="K252" s="4">
        <f>INDEX(Breakdown[],MATCH($D252,Breakdown[Dist],0),MATCH(K$4,Breakdown[#Headers],0))</f>
        <v>14283</v>
      </c>
      <c r="L252" s="4">
        <f>INDEX(Breakdown[],MATCH($D252,Breakdown[Dist],0),MATCH(L$4,Breakdown[#Headers],0))</f>
        <v>52404</v>
      </c>
      <c r="M252" s="4">
        <f>INDEX(Breakdown[],MATCH($D252,Breakdown[Dist],0),MATCH(M$4,Breakdown[#Headers],0))</f>
        <v>9183</v>
      </c>
      <c r="N252" s="4">
        <f t="shared" si="21"/>
        <v>78616</v>
      </c>
      <c r="O252" s="15">
        <f t="shared" si="22"/>
        <v>7862</v>
      </c>
      <c r="P252" s="12"/>
      <c r="Q252" s="4">
        <f>INDEX(Breakdown[],MATCH($D252,Breakdown[Dist],0),MATCH(Q$4,Breakdown[#Headers],0))</f>
        <v>17029</v>
      </c>
      <c r="R252" s="4">
        <f>INDEX(Breakdown[],MATCH($D252,Breakdown[Dist],0),MATCH(R$4,Breakdown[#Headers],0))</f>
        <v>9183</v>
      </c>
      <c r="S252" s="14">
        <f t="shared" si="23"/>
        <v>26212</v>
      </c>
      <c r="T252" s="17">
        <f t="shared" si="24"/>
        <v>44542</v>
      </c>
      <c r="U252" s="19">
        <f t="shared" si="25"/>
        <v>70754</v>
      </c>
      <c r="V252" s="12"/>
      <c r="W252" s="20">
        <f t="shared" si="26"/>
        <v>0.10000508802279434</v>
      </c>
      <c r="X252" s="20">
        <f t="shared" si="27"/>
        <v>0.8999949119772056</v>
      </c>
    </row>
    <row r="253" spans="1:24" x14ac:dyDescent="0.25">
      <c r="A253" s="5">
        <v>2026</v>
      </c>
      <c r="B253" s="5" t="s">
        <v>229</v>
      </c>
      <c r="C253" s="24" t="s">
        <v>229</v>
      </c>
      <c r="D253" s="5" t="s">
        <v>252</v>
      </c>
      <c r="E253" s="22" t="s">
        <v>693</v>
      </c>
      <c r="F253" s="22" t="s">
        <v>693</v>
      </c>
      <c r="G253" s="5" t="s">
        <v>252</v>
      </c>
      <c r="H253" s="5" t="s">
        <v>580</v>
      </c>
      <c r="I253" s="4">
        <f>INDEX(Breakdown[],MATCH($D253,Breakdown[Dist],0),MATCH(I$4,Breakdown[#Headers],0))</f>
        <v>461820</v>
      </c>
      <c r="J253" s="4">
        <f>INDEX(Breakdown[],MATCH($D253,Breakdown[Dist],0),MATCH(J$4,Breakdown[#Headers],0))</f>
        <v>358342</v>
      </c>
      <c r="K253" s="4">
        <f>INDEX(Breakdown[],MATCH($D253,Breakdown[Dist],0),MATCH(K$4,Breakdown[#Headers],0))</f>
        <v>76751</v>
      </c>
      <c r="L253" s="4">
        <f>INDEX(Breakdown[],MATCH($D253,Breakdown[Dist],0),MATCH(L$4,Breakdown[#Headers],0))</f>
        <v>281591</v>
      </c>
      <c r="M253" s="4">
        <f>INDEX(Breakdown[],MATCH($D253,Breakdown[Dist],0),MATCH(M$4,Breakdown[#Headers],0))</f>
        <v>0</v>
      </c>
      <c r="N253" s="4">
        <f t="shared" si="21"/>
        <v>385069</v>
      </c>
      <c r="O253" s="15">
        <f t="shared" si="22"/>
        <v>38507</v>
      </c>
      <c r="P253" s="12"/>
      <c r="Q253" s="4">
        <f>INDEX(Breakdown[],MATCH($D253,Breakdown[Dist],0),MATCH(Q$4,Breakdown[#Headers],0))</f>
        <v>103478</v>
      </c>
      <c r="R253" s="4">
        <f>INDEX(Breakdown[],MATCH($D253,Breakdown[Dist],0),MATCH(R$4,Breakdown[#Headers],0))</f>
        <v>0</v>
      </c>
      <c r="S253" s="14">
        <f t="shared" si="23"/>
        <v>103478</v>
      </c>
      <c r="T253" s="17">
        <f t="shared" si="24"/>
        <v>243084</v>
      </c>
      <c r="U253" s="19">
        <f t="shared" si="25"/>
        <v>346562</v>
      </c>
      <c r="V253" s="12"/>
      <c r="W253" s="20">
        <f t="shared" si="26"/>
        <v>0.10000025969371723</v>
      </c>
      <c r="X253" s="20">
        <f t="shared" si="27"/>
        <v>0.89999974030628282</v>
      </c>
    </row>
    <row r="254" spans="1:24" x14ac:dyDescent="0.25">
      <c r="A254" s="5">
        <v>2026</v>
      </c>
      <c r="B254" s="5" t="s">
        <v>263</v>
      </c>
      <c r="C254" s="24" t="s">
        <v>263</v>
      </c>
      <c r="D254" s="5" t="s">
        <v>298</v>
      </c>
      <c r="E254" s="22" t="s">
        <v>693</v>
      </c>
      <c r="F254" s="22" t="s">
        <v>693</v>
      </c>
      <c r="G254" s="5" t="s">
        <v>298</v>
      </c>
      <c r="H254" s="5" t="s">
        <v>623</v>
      </c>
      <c r="I254" s="4">
        <f>INDEX(Breakdown[],MATCH($D254,Breakdown[Dist],0),MATCH(I$4,Breakdown[#Headers],0))</f>
        <v>424069</v>
      </c>
      <c r="J254" s="4">
        <f>INDEX(Breakdown[],MATCH($D254,Breakdown[Dist],0),MATCH(J$4,Breakdown[#Headers],0))</f>
        <v>335252</v>
      </c>
      <c r="K254" s="4">
        <f>INDEX(Breakdown[],MATCH($D254,Breakdown[Dist],0),MATCH(K$4,Breakdown[#Headers],0))</f>
        <v>71806</v>
      </c>
      <c r="L254" s="4">
        <f>INDEX(Breakdown[],MATCH($D254,Breakdown[Dist],0),MATCH(L$4,Breakdown[#Headers],0))</f>
        <v>263446</v>
      </c>
      <c r="M254" s="4">
        <f>INDEX(Breakdown[],MATCH($D254,Breakdown[Dist],0),MATCH(M$4,Breakdown[#Headers],0))</f>
        <v>0</v>
      </c>
      <c r="N254" s="4">
        <f t="shared" si="21"/>
        <v>352263</v>
      </c>
      <c r="O254" s="15">
        <f t="shared" si="22"/>
        <v>35226</v>
      </c>
      <c r="P254" s="12"/>
      <c r="Q254" s="4">
        <f>INDEX(Breakdown[],MATCH($D254,Breakdown[Dist],0),MATCH(Q$4,Breakdown[#Headers],0))</f>
        <v>88817</v>
      </c>
      <c r="R254" s="4">
        <f>INDEX(Breakdown[],MATCH($D254,Breakdown[Dist],0),MATCH(R$4,Breakdown[#Headers],0))</f>
        <v>0</v>
      </c>
      <c r="S254" s="14">
        <f t="shared" si="23"/>
        <v>88817</v>
      </c>
      <c r="T254" s="17">
        <f t="shared" si="24"/>
        <v>228220</v>
      </c>
      <c r="U254" s="19">
        <f t="shared" si="25"/>
        <v>317037</v>
      </c>
      <c r="V254" s="12"/>
      <c r="W254" s="20">
        <f t="shared" si="26"/>
        <v>9.999914836358062E-2</v>
      </c>
      <c r="X254" s="20">
        <f t="shared" si="27"/>
        <v>0.90000085163641941</v>
      </c>
    </row>
    <row r="255" spans="1:24" x14ac:dyDescent="0.25">
      <c r="A255" s="5">
        <v>2026</v>
      </c>
      <c r="B255" s="5" t="s">
        <v>229</v>
      </c>
      <c r="C255" s="24" t="s">
        <v>229</v>
      </c>
      <c r="D255" s="5" t="s">
        <v>253</v>
      </c>
      <c r="E255" s="22" t="s">
        <v>693</v>
      </c>
      <c r="F255" s="22" t="s">
        <v>693</v>
      </c>
      <c r="G255" s="5" t="s">
        <v>253</v>
      </c>
      <c r="H255" s="5" t="s">
        <v>581</v>
      </c>
      <c r="I255" s="4">
        <f>INDEX(Breakdown[],MATCH($D255,Breakdown[Dist],0),MATCH(I$4,Breakdown[#Headers],0))</f>
        <v>267824</v>
      </c>
      <c r="J255" s="4">
        <f>INDEX(Breakdown[],MATCH($D255,Breakdown[Dist],0),MATCH(J$4,Breakdown[#Headers],0))</f>
        <v>207814</v>
      </c>
      <c r="K255" s="4">
        <f>INDEX(Breakdown[],MATCH($D255,Breakdown[Dist],0),MATCH(K$4,Breakdown[#Headers],0))</f>
        <v>44511</v>
      </c>
      <c r="L255" s="4">
        <f>INDEX(Breakdown[],MATCH($D255,Breakdown[Dist],0),MATCH(L$4,Breakdown[#Headers],0))</f>
        <v>163303</v>
      </c>
      <c r="M255" s="4">
        <f>INDEX(Breakdown[],MATCH($D255,Breakdown[Dist],0),MATCH(M$4,Breakdown[#Headers],0))</f>
        <v>0</v>
      </c>
      <c r="N255" s="4">
        <f t="shared" si="21"/>
        <v>223313</v>
      </c>
      <c r="O255" s="15">
        <f t="shared" si="22"/>
        <v>22331</v>
      </c>
      <c r="P255" s="12"/>
      <c r="Q255" s="4">
        <f>INDEX(Breakdown[],MATCH($D255,Breakdown[Dist],0),MATCH(Q$4,Breakdown[#Headers],0))</f>
        <v>60010</v>
      </c>
      <c r="R255" s="4">
        <f>INDEX(Breakdown[],MATCH($D255,Breakdown[Dist],0),MATCH(R$4,Breakdown[#Headers],0))</f>
        <v>0</v>
      </c>
      <c r="S255" s="14">
        <f t="shared" si="23"/>
        <v>60010</v>
      </c>
      <c r="T255" s="17">
        <f t="shared" si="24"/>
        <v>140972</v>
      </c>
      <c r="U255" s="19">
        <f t="shared" si="25"/>
        <v>200982</v>
      </c>
      <c r="V255" s="12"/>
      <c r="W255" s="20">
        <f t="shared" si="26"/>
        <v>9.9998656594107824E-2</v>
      </c>
      <c r="X255" s="20">
        <f t="shared" si="27"/>
        <v>0.90000134340589222</v>
      </c>
    </row>
    <row r="256" spans="1:24" x14ac:dyDescent="0.25">
      <c r="A256" s="5">
        <v>2026</v>
      </c>
      <c r="B256" s="5" t="s">
        <v>263</v>
      </c>
      <c r="C256" s="24" t="s">
        <v>263</v>
      </c>
      <c r="D256" s="5" t="s">
        <v>299</v>
      </c>
      <c r="E256" s="22" t="s">
        <v>693</v>
      </c>
      <c r="F256" s="22" t="s">
        <v>693</v>
      </c>
      <c r="G256" s="5" t="s">
        <v>299</v>
      </c>
      <c r="H256" s="5" t="s">
        <v>624</v>
      </c>
      <c r="I256" s="4">
        <f>INDEX(Breakdown[],MATCH($D256,Breakdown[Dist],0),MATCH(I$4,Breakdown[#Headers],0))</f>
        <v>142535</v>
      </c>
      <c r="J256" s="4">
        <f>INDEX(Breakdown[],MATCH($D256,Breakdown[Dist],0),MATCH(J$4,Breakdown[#Headers],0))</f>
        <v>112683</v>
      </c>
      <c r="K256" s="4">
        <f>INDEX(Breakdown[],MATCH($D256,Breakdown[Dist],0),MATCH(K$4,Breakdown[#Headers],0))</f>
        <v>24135</v>
      </c>
      <c r="L256" s="4">
        <f>INDEX(Breakdown[],MATCH($D256,Breakdown[Dist],0),MATCH(L$4,Breakdown[#Headers],0))</f>
        <v>88548</v>
      </c>
      <c r="M256" s="4">
        <f>INDEX(Breakdown[],MATCH($D256,Breakdown[Dist],0),MATCH(M$4,Breakdown[#Headers],0))</f>
        <v>7572</v>
      </c>
      <c r="N256" s="4">
        <f t="shared" si="21"/>
        <v>125972</v>
      </c>
      <c r="O256" s="15">
        <f t="shared" si="22"/>
        <v>12597</v>
      </c>
      <c r="P256" s="12"/>
      <c r="Q256" s="4">
        <f>INDEX(Breakdown[],MATCH($D256,Breakdown[Dist],0),MATCH(Q$4,Breakdown[#Headers],0))</f>
        <v>29852</v>
      </c>
      <c r="R256" s="4">
        <f>INDEX(Breakdown[],MATCH($D256,Breakdown[Dist],0),MATCH(R$4,Breakdown[#Headers],0))</f>
        <v>7572</v>
      </c>
      <c r="S256" s="14">
        <f t="shared" si="23"/>
        <v>37424</v>
      </c>
      <c r="T256" s="17">
        <f t="shared" si="24"/>
        <v>75951</v>
      </c>
      <c r="U256" s="19">
        <f t="shared" si="25"/>
        <v>113375</v>
      </c>
      <c r="V256" s="12"/>
      <c r="W256" s="20">
        <f t="shared" si="26"/>
        <v>9.9998412345600612E-2</v>
      </c>
      <c r="X256" s="20">
        <f t="shared" si="27"/>
        <v>0.90000158765439942</v>
      </c>
    </row>
    <row r="257" spans="1:24" x14ac:dyDescent="0.25">
      <c r="A257" s="5">
        <v>2026</v>
      </c>
      <c r="B257" s="5" t="s">
        <v>308</v>
      </c>
      <c r="C257" s="24" t="s">
        <v>308</v>
      </c>
      <c r="D257" s="5" t="s">
        <v>333</v>
      </c>
      <c r="E257" s="22" t="s">
        <v>693</v>
      </c>
      <c r="F257" s="22" t="s">
        <v>693</v>
      </c>
      <c r="G257" s="5" t="s">
        <v>333</v>
      </c>
      <c r="H257" s="5" t="s">
        <v>657</v>
      </c>
      <c r="I257" s="4">
        <f>INDEX(Breakdown[],MATCH($D257,Breakdown[Dist],0),MATCH(I$4,Breakdown[#Headers],0))</f>
        <v>213338</v>
      </c>
      <c r="J257" s="4">
        <f>INDEX(Breakdown[],MATCH($D257,Breakdown[Dist],0),MATCH(J$4,Breakdown[#Headers],0))</f>
        <v>169941</v>
      </c>
      <c r="K257" s="4">
        <f>INDEX(Breakdown[],MATCH($D257,Breakdown[Dist],0),MATCH(K$4,Breakdown[#Headers],0))</f>
        <v>36399</v>
      </c>
      <c r="L257" s="4">
        <f>INDEX(Breakdown[],MATCH($D257,Breakdown[Dist],0),MATCH(L$4,Breakdown[#Headers],0))</f>
        <v>133542</v>
      </c>
      <c r="M257" s="4">
        <f>INDEX(Breakdown[],MATCH($D257,Breakdown[Dist],0),MATCH(M$4,Breakdown[#Headers],0))</f>
        <v>0</v>
      </c>
      <c r="N257" s="4">
        <f t="shared" si="21"/>
        <v>176939</v>
      </c>
      <c r="O257" s="15">
        <f t="shared" si="22"/>
        <v>17694</v>
      </c>
      <c r="P257" s="12"/>
      <c r="Q257" s="4">
        <f>INDEX(Breakdown[],MATCH($D257,Breakdown[Dist],0),MATCH(Q$4,Breakdown[#Headers],0))</f>
        <v>43397</v>
      </c>
      <c r="R257" s="4">
        <f>INDEX(Breakdown[],MATCH($D257,Breakdown[Dist],0),MATCH(R$4,Breakdown[#Headers],0))</f>
        <v>0</v>
      </c>
      <c r="S257" s="14">
        <f t="shared" si="23"/>
        <v>43397</v>
      </c>
      <c r="T257" s="17">
        <f t="shared" si="24"/>
        <v>115848</v>
      </c>
      <c r="U257" s="19">
        <f t="shared" si="25"/>
        <v>159245</v>
      </c>
      <c r="V257" s="12"/>
      <c r="W257" s="20">
        <f t="shared" si="26"/>
        <v>0.10000056516652632</v>
      </c>
      <c r="X257" s="20">
        <f t="shared" si="27"/>
        <v>0.89999943483347367</v>
      </c>
    </row>
    <row r="258" spans="1:24" x14ac:dyDescent="0.25">
      <c r="A258" s="5">
        <v>2026</v>
      </c>
      <c r="B258" s="5" t="s">
        <v>229</v>
      </c>
      <c r="C258" s="24" t="s">
        <v>229</v>
      </c>
      <c r="D258" s="5" t="s">
        <v>254</v>
      </c>
      <c r="E258" s="22" t="s">
        <v>693</v>
      </c>
      <c r="F258" s="22" t="s">
        <v>693</v>
      </c>
      <c r="G258" s="5" t="s">
        <v>254</v>
      </c>
      <c r="H258" s="5" t="s">
        <v>582</v>
      </c>
      <c r="I258" s="4">
        <f>INDEX(Breakdown[],MATCH($D258,Breakdown[Dist],0),MATCH(I$4,Breakdown[#Headers],0))</f>
        <v>623183</v>
      </c>
      <c r="J258" s="4">
        <f>INDEX(Breakdown[],MATCH($D258,Breakdown[Dist],0),MATCH(J$4,Breakdown[#Headers],0))</f>
        <v>483549</v>
      </c>
      <c r="K258" s="4">
        <f>INDEX(Breakdown[],MATCH($D258,Breakdown[Dist],0),MATCH(K$4,Breakdown[#Headers],0))</f>
        <v>103568</v>
      </c>
      <c r="L258" s="4">
        <f>INDEX(Breakdown[],MATCH($D258,Breakdown[Dist],0),MATCH(L$4,Breakdown[#Headers],0))</f>
        <v>379981</v>
      </c>
      <c r="M258" s="4">
        <f>INDEX(Breakdown[],MATCH($D258,Breakdown[Dist],0),MATCH(M$4,Breakdown[#Headers],0))</f>
        <v>0</v>
      </c>
      <c r="N258" s="4">
        <f t="shared" si="21"/>
        <v>519615</v>
      </c>
      <c r="O258" s="15">
        <f t="shared" si="22"/>
        <v>51962</v>
      </c>
      <c r="P258" s="12"/>
      <c r="Q258" s="4">
        <f>INDEX(Breakdown[],MATCH($D258,Breakdown[Dist],0),MATCH(Q$4,Breakdown[#Headers],0))</f>
        <v>139634</v>
      </c>
      <c r="R258" s="4">
        <f>INDEX(Breakdown[],MATCH($D258,Breakdown[Dist],0),MATCH(R$4,Breakdown[#Headers],0))</f>
        <v>0</v>
      </c>
      <c r="S258" s="14">
        <f t="shared" si="23"/>
        <v>139634</v>
      </c>
      <c r="T258" s="17">
        <f t="shared" si="24"/>
        <v>328019</v>
      </c>
      <c r="U258" s="19">
        <f t="shared" si="25"/>
        <v>467653</v>
      </c>
      <c r="V258" s="12"/>
      <c r="W258" s="20">
        <f t="shared" si="26"/>
        <v>0.1000009622508973</v>
      </c>
      <c r="X258" s="20">
        <f t="shared" si="27"/>
        <v>0.89999903774910273</v>
      </c>
    </row>
    <row r="259" spans="1:24" x14ac:dyDescent="0.25">
      <c r="A259" s="5">
        <v>2026</v>
      </c>
      <c r="B259" s="5" t="s">
        <v>22</v>
      </c>
      <c r="C259" s="24" t="s">
        <v>22</v>
      </c>
      <c r="D259" s="5" t="s">
        <v>49</v>
      </c>
      <c r="E259" s="22" t="s">
        <v>693</v>
      </c>
      <c r="F259" s="22" t="s">
        <v>693</v>
      </c>
      <c r="G259" s="5" t="s">
        <v>701</v>
      </c>
      <c r="H259" s="5" t="s">
        <v>394</v>
      </c>
      <c r="I259" s="4">
        <f>INDEX(Breakdown[],MATCH($D259,Breakdown[Dist],0),MATCH(I$4,Breakdown[#Headers],0))</f>
        <v>171679</v>
      </c>
      <c r="J259" s="4">
        <f>INDEX(Breakdown[],MATCH($D259,Breakdown[Dist],0),MATCH(J$4,Breakdown[#Headers],0))</f>
        <v>131961</v>
      </c>
      <c r="K259" s="4">
        <f>INDEX(Breakdown[],MATCH($D259,Breakdown[Dist],0),MATCH(K$4,Breakdown[#Headers],0))</f>
        <v>28264</v>
      </c>
      <c r="L259" s="4">
        <f>INDEX(Breakdown[],MATCH($D259,Breakdown[Dist],0),MATCH(L$4,Breakdown[#Headers],0))</f>
        <v>103697</v>
      </c>
      <c r="M259" s="4">
        <f>INDEX(Breakdown[],MATCH($D259,Breakdown[Dist],0),MATCH(M$4,Breakdown[#Headers],0))</f>
        <v>2897</v>
      </c>
      <c r="N259" s="4">
        <f t="shared" si="21"/>
        <v>146312</v>
      </c>
      <c r="O259" s="15">
        <f t="shared" si="22"/>
        <v>14631</v>
      </c>
      <c r="P259" s="12"/>
      <c r="Q259" s="4">
        <f>INDEX(Breakdown[],MATCH($D259,Breakdown[Dist],0),MATCH(Q$4,Breakdown[#Headers],0))</f>
        <v>39718</v>
      </c>
      <c r="R259" s="4">
        <f>INDEX(Breakdown[],MATCH($D259,Breakdown[Dist],0),MATCH(R$4,Breakdown[#Headers],0))</f>
        <v>2897</v>
      </c>
      <c r="S259" s="14">
        <f t="shared" si="23"/>
        <v>42615</v>
      </c>
      <c r="T259" s="17">
        <f t="shared" si="24"/>
        <v>89066</v>
      </c>
      <c r="U259" s="19">
        <f t="shared" si="25"/>
        <v>131681</v>
      </c>
      <c r="V259" s="12"/>
      <c r="W259" s="20">
        <f t="shared" si="26"/>
        <v>9.9998633058122371E-2</v>
      </c>
      <c r="X259" s="20">
        <f t="shared" si="27"/>
        <v>0.9000013669418776</v>
      </c>
    </row>
    <row r="260" spans="1:24" x14ac:dyDescent="0.25">
      <c r="A260" s="5">
        <v>2026</v>
      </c>
      <c r="B260" s="5" t="s">
        <v>229</v>
      </c>
      <c r="C260" s="24" t="s">
        <v>229</v>
      </c>
      <c r="D260" s="5" t="s">
        <v>255</v>
      </c>
      <c r="E260" s="22" t="s">
        <v>693</v>
      </c>
      <c r="F260" s="22" t="s">
        <v>693</v>
      </c>
      <c r="G260" s="5" t="s">
        <v>255</v>
      </c>
      <c r="H260" s="5" t="s">
        <v>583</v>
      </c>
      <c r="I260" s="4">
        <f>INDEX(Breakdown[],MATCH($D260,Breakdown[Dist],0),MATCH(I$4,Breakdown[#Headers],0))</f>
        <v>6014026</v>
      </c>
      <c r="J260" s="4">
        <f>INDEX(Breakdown[],MATCH($D260,Breakdown[Dist],0),MATCH(J$4,Breakdown[#Headers],0))</f>
        <v>4666492</v>
      </c>
      <c r="K260" s="4">
        <f>INDEX(Breakdown[],MATCH($D260,Breakdown[Dist],0),MATCH(K$4,Breakdown[#Headers],0))</f>
        <v>999488</v>
      </c>
      <c r="L260" s="4">
        <f>INDEX(Breakdown[],MATCH($D260,Breakdown[Dist],0),MATCH(L$4,Breakdown[#Headers],0))</f>
        <v>3667004</v>
      </c>
      <c r="M260" s="4">
        <f>INDEX(Breakdown[],MATCH($D260,Breakdown[Dist],0),MATCH(M$4,Breakdown[#Headers],0))</f>
        <v>0</v>
      </c>
      <c r="N260" s="4">
        <f t="shared" si="21"/>
        <v>5014538</v>
      </c>
      <c r="O260" s="15">
        <f t="shared" si="22"/>
        <v>501454</v>
      </c>
      <c r="P260" s="12"/>
      <c r="Q260" s="4">
        <f>INDEX(Breakdown[],MATCH($D260,Breakdown[Dist],0),MATCH(Q$4,Breakdown[#Headers],0))</f>
        <v>1347534</v>
      </c>
      <c r="R260" s="4">
        <f>INDEX(Breakdown[],MATCH($D260,Breakdown[Dist],0),MATCH(R$4,Breakdown[#Headers],0))</f>
        <v>0</v>
      </c>
      <c r="S260" s="14">
        <f t="shared" si="23"/>
        <v>1347534</v>
      </c>
      <c r="T260" s="17">
        <f t="shared" si="24"/>
        <v>3165550</v>
      </c>
      <c r="U260" s="19">
        <f t="shared" si="25"/>
        <v>4513084</v>
      </c>
      <c r="V260" s="12"/>
      <c r="W260" s="20">
        <f t="shared" si="26"/>
        <v>0.10000003988403318</v>
      </c>
      <c r="X260" s="20">
        <f t="shared" si="27"/>
        <v>0.89999996011596683</v>
      </c>
    </row>
    <row r="261" spans="1:24" x14ac:dyDescent="0.25">
      <c r="A261" s="5">
        <v>2026</v>
      </c>
      <c r="B261" s="5" t="s">
        <v>140</v>
      </c>
      <c r="C261" s="24" t="s">
        <v>140</v>
      </c>
      <c r="D261" s="5" t="s">
        <v>167</v>
      </c>
      <c r="E261" s="22" t="s">
        <v>693</v>
      </c>
      <c r="F261" s="22" t="s">
        <v>693</v>
      </c>
      <c r="G261" s="5" t="s">
        <v>167</v>
      </c>
      <c r="H261" s="5" t="s">
        <v>498</v>
      </c>
      <c r="I261" s="4">
        <f>INDEX(Breakdown[],MATCH($D261,Breakdown[Dist],0),MATCH(I$4,Breakdown[#Headers],0))</f>
        <v>534527</v>
      </c>
      <c r="J261" s="4">
        <f>INDEX(Breakdown[],MATCH($D261,Breakdown[Dist],0),MATCH(J$4,Breakdown[#Headers],0))</f>
        <v>423740</v>
      </c>
      <c r="K261" s="4">
        <f>INDEX(Breakdown[],MATCH($D261,Breakdown[Dist],0),MATCH(K$4,Breakdown[#Headers],0))</f>
        <v>90758</v>
      </c>
      <c r="L261" s="4">
        <f>INDEX(Breakdown[],MATCH($D261,Breakdown[Dist],0),MATCH(L$4,Breakdown[#Headers],0))</f>
        <v>332982</v>
      </c>
      <c r="M261" s="4">
        <f>INDEX(Breakdown[],MATCH($D261,Breakdown[Dist],0),MATCH(M$4,Breakdown[#Headers],0))</f>
        <v>0</v>
      </c>
      <c r="N261" s="4">
        <f t="shared" si="21"/>
        <v>443769</v>
      </c>
      <c r="O261" s="15">
        <f t="shared" si="22"/>
        <v>44377</v>
      </c>
      <c r="P261" s="12"/>
      <c r="Q261" s="4">
        <f>INDEX(Breakdown[],MATCH($D261,Breakdown[Dist],0),MATCH(Q$4,Breakdown[#Headers],0))</f>
        <v>110787</v>
      </c>
      <c r="R261" s="4">
        <f>INDEX(Breakdown[],MATCH($D261,Breakdown[Dist],0),MATCH(R$4,Breakdown[#Headers],0))</f>
        <v>0</v>
      </c>
      <c r="S261" s="14">
        <f t="shared" si="23"/>
        <v>110787</v>
      </c>
      <c r="T261" s="17">
        <f t="shared" si="24"/>
        <v>288605</v>
      </c>
      <c r="U261" s="19">
        <f t="shared" si="25"/>
        <v>399392</v>
      </c>
      <c r="V261" s="12"/>
      <c r="W261" s="20">
        <f t="shared" si="26"/>
        <v>0.10000022534246421</v>
      </c>
      <c r="X261" s="20">
        <f t="shared" si="27"/>
        <v>0.89999977465753578</v>
      </c>
    </row>
    <row r="262" spans="1:24" x14ac:dyDescent="0.25">
      <c r="A262" s="5">
        <v>2026</v>
      </c>
      <c r="B262" s="5" t="s">
        <v>22</v>
      </c>
      <c r="C262" s="24" t="s">
        <v>22</v>
      </c>
      <c r="D262" s="5" t="s">
        <v>50</v>
      </c>
      <c r="E262" s="22" t="s">
        <v>693</v>
      </c>
      <c r="F262" s="22" t="s">
        <v>693</v>
      </c>
      <c r="G262" s="5" t="s">
        <v>50</v>
      </c>
      <c r="H262" s="5" t="s">
        <v>395</v>
      </c>
      <c r="I262" s="4">
        <f>INDEX(Breakdown[],MATCH($D262,Breakdown[Dist],0),MATCH(I$4,Breakdown[#Headers],0))</f>
        <v>361461</v>
      </c>
      <c r="J262" s="4">
        <f>INDEX(Breakdown[],MATCH($D262,Breakdown[Dist],0),MATCH(J$4,Breakdown[#Headers],0))</f>
        <v>277838</v>
      </c>
      <c r="K262" s="4">
        <f>INDEX(Breakdown[],MATCH($D262,Breakdown[Dist],0),MATCH(K$4,Breakdown[#Headers],0))</f>
        <v>59509</v>
      </c>
      <c r="L262" s="4">
        <f>INDEX(Breakdown[],MATCH($D262,Breakdown[Dist],0),MATCH(L$4,Breakdown[#Headers],0))</f>
        <v>218329</v>
      </c>
      <c r="M262" s="4">
        <f>INDEX(Breakdown[],MATCH($D262,Breakdown[Dist],0),MATCH(M$4,Breakdown[#Headers],0))</f>
        <v>1776</v>
      </c>
      <c r="N262" s="4">
        <f t="shared" ref="N262:N325" si="28">I262-K262+M262</f>
        <v>303728</v>
      </c>
      <c r="O262" s="15">
        <f t="shared" ref="O262:O325" si="29">ROUND(N262*0.1,0)</f>
        <v>30373</v>
      </c>
      <c r="P262" s="12"/>
      <c r="Q262" s="4">
        <f>INDEX(Breakdown[],MATCH($D262,Breakdown[Dist],0),MATCH(Q$4,Breakdown[#Headers],0))</f>
        <v>83623</v>
      </c>
      <c r="R262" s="4">
        <f>INDEX(Breakdown[],MATCH($D262,Breakdown[Dist],0),MATCH(R$4,Breakdown[#Headers],0))</f>
        <v>1776</v>
      </c>
      <c r="S262" s="14">
        <f t="shared" ref="S262:S325" si="30">SUM(Q262:R262)</f>
        <v>85399</v>
      </c>
      <c r="T262" s="17">
        <f t="shared" ref="T262:T325" si="31">L262-O262</f>
        <v>187956</v>
      </c>
      <c r="U262" s="19">
        <f t="shared" ref="U262:U325" si="32">SUM(S262:T262)</f>
        <v>273355</v>
      </c>
      <c r="V262" s="12"/>
      <c r="W262" s="20">
        <f t="shared" ref="W262:W325" si="33">O262/N262</f>
        <v>0.10000065848390666</v>
      </c>
      <c r="X262" s="20">
        <f t="shared" ref="X262:X325" si="34">U262/N262</f>
        <v>0.8999993415160934</v>
      </c>
    </row>
    <row r="263" spans="1:24" x14ac:dyDescent="0.25">
      <c r="A263" s="5">
        <v>2026</v>
      </c>
      <c r="B263" s="5" t="s">
        <v>22</v>
      </c>
      <c r="C263" s="24" t="s">
        <v>22</v>
      </c>
      <c r="D263" s="5" t="s">
        <v>51</v>
      </c>
      <c r="E263" s="22" t="s">
        <v>693</v>
      </c>
      <c r="F263" s="22" t="s">
        <v>693</v>
      </c>
      <c r="G263" s="5" t="s">
        <v>51</v>
      </c>
      <c r="H263" s="5" t="s">
        <v>396</v>
      </c>
      <c r="I263" s="4">
        <f>INDEX(Breakdown[],MATCH($D263,Breakdown[Dist],0),MATCH(I$4,Breakdown[#Headers],0))</f>
        <v>241934</v>
      </c>
      <c r="J263" s="4">
        <f>INDEX(Breakdown[],MATCH($D263,Breakdown[Dist],0),MATCH(J$4,Breakdown[#Headers],0))</f>
        <v>185963</v>
      </c>
      <c r="K263" s="4">
        <f>INDEX(Breakdown[],MATCH($D263,Breakdown[Dist],0),MATCH(K$4,Breakdown[#Headers],0))</f>
        <v>39831</v>
      </c>
      <c r="L263" s="4">
        <f>INDEX(Breakdown[],MATCH($D263,Breakdown[Dist],0),MATCH(L$4,Breakdown[#Headers],0))</f>
        <v>146132</v>
      </c>
      <c r="M263" s="4">
        <f>INDEX(Breakdown[],MATCH($D263,Breakdown[Dist],0),MATCH(M$4,Breakdown[#Headers],0))</f>
        <v>0</v>
      </c>
      <c r="N263" s="4">
        <f t="shared" si="28"/>
        <v>202103</v>
      </c>
      <c r="O263" s="15">
        <f t="shared" si="29"/>
        <v>20210</v>
      </c>
      <c r="P263" s="12"/>
      <c r="Q263" s="4">
        <f>INDEX(Breakdown[],MATCH($D263,Breakdown[Dist],0),MATCH(Q$4,Breakdown[#Headers],0))</f>
        <v>55971</v>
      </c>
      <c r="R263" s="4">
        <f>INDEX(Breakdown[],MATCH($D263,Breakdown[Dist],0),MATCH(R$4,Breakdown[#Headers],0))</f>
        <v>0</v>
      </c>
      <c r="S263" s="14">
        <f t="shared" si="30"/>
        <v>55971</v>
      </c>
      <c r="T263" s="17">
        <f t="shared" si="31"/>
        <v>125922</v>
      </c>
      <c r="U263" s="19">
        <f t="shared" si="32"/>
        <v>181893</v>
      </c>
      <c r="V263" s="12"/>
      <c r="W263" s="20">
        <f t="shared" si="33"/>
        <v>9.99985156083779E-2</v>
      </c>
      <c r="X263" s="20">
        <f t="shared" si="34"/>
        <v>0.90000148439162209</v>
      </c>
    </row>
    <row r="264" spans="1:24" x14ac:dyDescent="0.25">
      <c r="A264" s="5">
        <v>2026</v>
      </c>
      <c r="B264" s="5" t="s">
        <v>229</v>
      </c>
      <c r="C264" s="24" t="s">
        <v>229</v>
      </c>
      <c r="D264" s="5" t="s">
        <v>256</v>
      </c>
      <c r="E264" s="22" t="s">
        <v>693</v>
      </c>
      <c r="F264" s="22" t="s">
        <v>693</v>
      </c>
      <c r="G264" s="5" t="s">
        <v>702</v>
      </c>
      <c r="H264" s="5" t="s">
        <v>584</v>
      </c>
      <c r="I264" s="4">
        <f>INDEX(Breakdown[],MATCH($D264,Breakdown[Dist],0),MATCH(I$4,Breakdown[#Headers],0))</f>
        <v>244174</v>
      </c>
      <c r="J264" s="4">
        <f>INDEX(Breakdown[],MATCH($D264,Breakdown[Dist],0),MATCH(J$4,Breakdown[#Headers],0))</f>
        <v>189463</v>
      </c>
      <c r="K264" s="4">
        <f>INDEX(Breakdown[],MATCH($D264,Breakdown[Dist],0),MATCH(K$4,Breakdown[#Headers],0))</f>
        <v>40580</v>
      </c>
      <c r="L264" s="4">
        <f>INDEX(Breakdown[],MATCH($D264,Breakdown[Dist],0),MATCH(L$4,Breakdown[#Headers],0))</f>
        <v>148883</v>
      </c>
      <c r="M264" s="4">
        <f>INDEX(Breakdown[],MATCH($D264,Breakdown[Dist],0),MATCH(M$4,Breakdown[#Headers],0))</f>
        <v>0</v>
      </c>
      <c r="N264" s="4">
        <f t="shared" si="28"/>
        <v>203594</v>
      </c>
      <c r="O264" s="15">
        <f t="shared" si="29"/>
        <v>20359</v>
      </c>
      <c r="P264" s="12"/>
      <c r="Q264" s="4">
        <f>INDEX(Breakdown[],MATCH($D264,Breakdown[Dist],0),MATCH(Q$4,Breakdown[#Headers],0))</f>
        <v>54711</v>
      </c>
      <c r="R264" s="4">
        <f>INDEX(Breakdown[],MATCH($D264,Breakdown[Dist],0),MATCH(R$4,Breakdown[#Headers],0))</f>
        <v>0</v>
      </c>
      <c r="S264" s="14">
        <f t="shared" si="30"/>
        <v>54711</v>
      </c>
      <c r="T264" s="17">
        <f t="shared" si="31"/>
        <v>128524</v>
      </c>
      <c r="U264" s="19">
        <f t="shared" si="32"/>
        <v>183235</v>
      </c>
      <c r="V264" s="12"/>
      <c r="W264" s="20">
        <f t="shared" si="33"/>
        <v>9.9998035305559105E-2</v>
      </c>
      <c r="X264" s="20">
        <f t="shared" si="34"/>
        <v>0.90000196469444094</v>
      </c>
    </row>
    <row r="265" spans="1:24" x14ac:dyDescent="0.25">
      <c r="A265" s="5">
        <v>2026</v>
      </c>
      <c r="B265" s="5" t="s">
        <v>263</v>
      </c>
      <c r="C265" s="24" t="s">
        <v>263</v>
      </c>
      <c r="D265" s="5" t="s">
        <v>300</v>
      </c>
      <c r="E265" s="22" t="s">
        <v>693</v>
      </c>
      <c r="F265" s="22" t="s">
        <v>693</v>
      </c>
      <c r="G265" s="5" t="s">
        <v>300</v>
      </c>
      <c r="H265" s="5" t="s">
        <v>625</v>
      </c>
      <c r="I265" s="4">
        <f>INDEX(Breakdown[],MATCH($D265,Breakdown[Dist],0),MATCH(I$4,Breakdown[#Headers],0))</f>
        <v>74122</v>
      </c>
      <c r="J265" s="4">
        <f>INDEX(Breakdown[],MATCH($D265,Breakdown[Dist],0),MATCH(J$4,Breakdown[#Headers],0))</f>
        <v>58598</v>
      </c>
      <c r="K265" s="4">
        <f>INDEX(Breakdown[],MATCH($D265,Breakdown[Dist],0),MATCH(K$4,Breakdown[#Headers],0))</f>
        <v>12550</v>
      </c>
      <c r="L265" s="4">
        <f>INDEX(Breakdown[],MATCH($D265,Breakdown[Dist],0),MATCH(L$4,Breakdown[#Headers],0))</f>
        <v>46048</v>
      </c>
      <c r="M265" s="4">
        <f>INDEX(Breakdown[],MATCH($D265,Breakdown[Dist],0),MATCH(M$4,Breakdown[#Headers],0))</f>
        <v>5654</v>
      </c>
      <c r="N265" s="4">
        <f t="shared" si="28"/>
        <v>67226</v>
      </c>
      <c r="O265" s="15">
        <f t="shared" si="29"/>
        <v>6723</v>
      </c>
      <c r="P265" s="12"/>
      <c r="Q265" s="4">
        <f>INDEX(Breakdown[],MATCH($D265,Breakdown[Dist],0),MATCH(Q$4,Breakdown[#Headers],0))</f>
        <v>15524</v>
      </c>
      <c r="R265" s="4">
        <f>INDEX(Breakdown[],MATCH($D265,Breakdown[Dist],0),MATCH(R$4,Breakdown[#Headers],0))</f>
        <v>5654</v>
      </c>
      <c r="S265" s="14">
        <f t="shared" si="30"/>
        <v>21178</v>
      </c>
      <c r="T265" s="17">
        <f t="shared" si="31"/>
        <v>39325</v>
      </c>
      <c r="U265" s="19">
        <f t="shared" si="32"/>
        <v>60503</v>
      </c>
      <c r="V265" s="12"/>
      <c r="W265" s="20">
        <f t="shared" si="33"/>
        <v>0.10000595007883854</v>
      </c>
      <c r="X265" s="20">
        <f t="shared" si="34"/>
        <v>0.8999940499211615</v>
      </c>
    </row>
    <row r="266" spans="1:24" x14ac:dyDescent="0.25">
      <c r="A266" s="5">
        <v>2026</v>
      </c>
      <c r="B266" s="5" t="s">
        <v>60</v>
      </c>
      <c r="C266" s="24" t="s">
        <v>60</v>
      </c>
      <c r="D266" s="5" t="s">
        <v>107</v>
      </c>
      <c r="E266" s="22" t="s">
        <v>693</v>
      </c>
      <c r="F266" s="22" t="s">
        <v>693</v>
      </c>
      <c r="G266" s="5" t="s">
        <v>107</v>
      </c>
      <c r="H266" s="5" t="s">
        <v>442</v>
      </c>
      <c r="I266" s="4">
        <f>INDEX(Breakdown[],MATCH($D266,Breakdown[Dist],0),MATCH(I$4,Breakdown[#Headers],0))</f>
        <v>557673</v>
      </c>
      <c r="J266" s="4">
        <f>INDEX(Breakdown[],MATCH($D266,Breakdown[Dist],0),MATCH(J$4,Breakdown[#Headers],0))</f>
        <v>436720</v>
      </c>
      <c r="K266" s="4">
        <f>INDEX(Breakdown[],MATCH($D266,Breakdown[Dist],0),MATCH(K$4,Breakdown[#Headers],0))</f>
        <v>93539</v>
      </c>
      <c r="L266" s="4">
        <f>INDEX(Breakdown[],MATCH($D266,Breakdown[Dist],0),MATCH(L$4,Breakdown[#Headers],0))</f>
        <v>343181</v>
      </c>
      <c r="M266" s="4">
        <f>INDEX(Breakdown[],MATCH($D266,Breakdown[Dist],0),MATCH(M$4,Breakdown[#Headers],0))</f>
        <v>8523</v>
      </c>
      <c r="N266" s="4">
        <f t="shared" si="28"/>
        <v>472657</v>
      </c>
      <c r="O266" s="15">
        <f t="shared" si="29"/>
        <v>47266</v>
      </c>
      <c r="P266" s="12"/>
      <c r="Q266" s="4">
        <f>INDEX(Breakdown[],MATCH($D266,Breakdown[Dist],0),MATCH(Q$4,Breakdown[#Headers],0))</f>
        <v>120953</v>
      </c>
      <c r="R266" s="4">
        <f>INDEX(Breakdown[],MATCH($D266,Breakdown[Dist],0),MATCH(R$4,Breakdown[#Headers],0))</f>
        <v>8523</v>
      </c>
      <c r="S266" s="14">
        <f t="shared" si="30"/>
        <v>129476</v>
      </c>
      <c r="T266" s="17">
        <f t="shared" si="31"/>
        <v>295915</v>
      </c>
      <c r="U266" s="19">
        <f t="shared" si="32"/>
        <v>425391</v>
      </c>
      <c r="V266" s="12"/>
      <c r="W266" s="20">
        <f t="shared" si="33"/>
        <v>0.10000063470973666</v>
      </c>
      <c r="X266" s="20">
        <f t="shared" si="34"/>
        <v>0.89999936529026336</v>
      </c>
    </row>
    <row r="267" spans="1:24" x14ac:dyDescent="0.25">
      <c r="A267" s="5">
        <v>2026</v>
      </c>
      <c r="B267" s="5" t="s">
        <v>0</v>
      </c>
      <c r="C267" s="24" t="s">
        <v>0</v>
      </c>
      <c r="D267" s="5" t="s">
        <v>16</v>
      </c>
      <c r="E267" s="22" t="s">
        <v>693</v>
      </c>
      <c r="F267" s="22" t="s">
        <v>693</v>
      </c>
      <c r="G267" s="5" t="s">
        <v>16</v>
      </c>
      <c r="H267" s="5" t="s">
        <v>363</v>
      </c>
      <c r="I267" s="4">
        <f>INDEX(Breakdown[],MATCH($D267,Breakdown[Dist],0),MATCH(I$4,Breakdown[#Headers],0))</f>
        <v>232303</v>
      </c>
      <c r="J267" s="4">
        <f>INDEX(Breakdown[],MATCH($D267,Breakdown[Dist],0),MATCH(J$4,Breakdown[#Headers],0))</f>
        <v>176472</v>
      </c>
      <c r="K267" s="4">
        <f>INDEX(Breakdown[],MATCH($D267,Breakdown[Dist],0),MATCH(K$4,Breakdown[#Headers],0))</f>
        <v>37797</v>
      </c>
      <c r="L267" s="4">
        <f>INDEX(Breakdown[],MATCH($D267,Breakdown[Dist],0),MATCH(L$4,Breakdown[#Headers],0))</f>
        <v>138675</v>
      </c>
      <c r="M267" s="4">
        <f>INDEX(Breakdown[],MATCH($D267,Breakdown[Dist],0),MATCH(M$4,Breakdown[#Headers],0))</f>
        <v>0</v>
      </c>
      <c r="N267" s="4">
        <f t="shared" si="28"/>
        <v>194506</v>
      </c>
      <c r="O267" s="15">
        <f t="shared" si="29"/>
        <v>19451</v>
      </c>
      <c r="P267" s="12"/>
      <c r="Q267" s="4">
        <f>INDEX(Breakdown[],MATCH($D267,Breakdown[Dist],0),MATCH(Q$4,Breakdown[#Headers],0))</f>
        <v>55831</v>
      </c>
      <c r="R267" s="4">
        <f>INDEX(Breakdown[],MATCH($D267,Breakdown[Dist],0),MATCH(R$4,Breakdown[#Headers],0))</f>
        <v>0</v>
      </c>
      <c r="S267" s="14">
        <f t="shared" si="30"/>
        <v>55831</v>
      </c>
      <c r="T267" s="17">
        <f t="shared" si="31"/>
        <v>119224</v>
      </c>
      <c r="U267" s="19">
        <f t="shared" si="32"/>
        <v>175055</v>
      </c>
      <c r="V267" s="12"/>
      <c r="W267" s="20">
        <f t="shared" si="33"/>
        <v>0.10000205649183058</v>
      </c>
      <c r="X267" s="20">
        <f t="shared" si="34"/>
        <v>0.89999794350816942</v>
      </c>
    </row>
    <row r="268" spans="1:24" x14ac:dyDescent="0.25">
      <c r="A268" s="5">
        <v>2026</v>
      </c>
      <c r="B268" s="5" t="s">
        <v>174</v>
      </c>
      <c r="C268" s="24" t="s">
        <v>174</v>
      </c>
      <c r="D268" s="5" t="s">
        <v>218</v>
      </c>
      <c r="E268" s="22" t="s">
        <v>693</v>
      </c>
      <c r="F268" s="22" t="s">
        <v>693</v>
      </c>
      <c r="G268" s="5" t="s">
        <v>218</v>
      </c>
      <c r="H268" s="5" t="s">
        <v>546</v>
      </c>
      <c r="I268" s="4">
        <f>INDEX(Breakdown[],MATCH($D268,Breakdown[Dist],0),MATCH(I$4,Breakdown[#Headers],0))</f>
        <v>2847906</v>
      </c>
      <c r="J268" s="4">
        <f>INDEX(Breakdown[],MATCH($D268,Breakdown[Dist],0),MATCH(J$4,Breakdown[#Headers],0))</f>
        <v>2304644</v>
      </c>
      <c r="K268" s="4">
        <f>INDEX(Breakdown[],MATCH($D268,Breakdown[Dist],0),MATCH(K$4,Breakdown[#Headers],0))</f>
        <v>493618</v>
      </c>
      <c r="L268" s="4">
        <f>INDEX(Breakdown[],MATCH($D268,Breakdown[Dist],0),MATCH(L$4,Breakdown[#Headers],0))</f>
        <v>1811026</v>
      </c>
      <c r="M268" s="4">
        <f>INDEX(Breakdown[],MATCH($D268,Breakdown[Dist],0),MATCH(M$4,Breakdown[#Headers],0))</f>
        <v>0</v>
      </c>
      <c r="N268" s="4">
        <f t="shared" si="28"/>
        <v>2354288</v>
      </c>
      <c r="O268" s="15">
        <f t="shared" si="29"/>
        <v>235429</v>
      </c>
      <c r="P268" s="12"/>
      <c r="Q268" s="4">
        <f>INDEX(Breakdown[],MATCH($D268,Breakdown[Dist],0),MATCH(Q$4,Breakdown[#Headers],0))</f>
        <v>543262</v>
      </c>
      <c r="R268" s="4">
        <f>INDEX(Breakdown[],MATCH($D268,Breakdown[Dist],0),MATCH(R$4,Breakdown[#Headers],0))</f>
        <v>0</v>
      </c>
      <c r="S268" s="14">
        <f t="shared" si="30"/>
        <v>543262</v>
      </c>
      <c r="T268" s="17">
        <f t="shared" si="31"/>
        <v>1575597</v>
      </c>
      <c r="U268" s="19">
        <f t="shared" si="32"/>
        <v>2118859</v>
      </c>
      <c r="V268" s="12"/>
      <c r="W268" s="20">
        <f t="shared" si="33"/>
        <v>0.10000008495137383</v>
      </c>
      <c r="X268" s="20">
        <f t="shared" si="34"/>
        <v>0.8999999150486262</v>
      </c>
    </row>
    <row r="269" spans="1:24" x14ac:dyDescent="0.25">
      <c r="A269" s="5">
        <v>2026</v>
      </c>
      <c r="B269" s="5" t="s">
        <v>174</v>
      </c>
      <c r="C269" s="24" t="s">
        <v>174</v>
      </c>
      <c r="D269" s="5" t="s">
        <v>219</v>
      </c>
      <c r="E269" s="22" t="s">
        <v>693</v>
      </c>
      <c r="F269" s="22" t="s">
        <v>693</v>
      </c>
      <c r="G269" s="5" t="s">
        <v>219</v>
      </c>
      <c r="H269" s="5" t="s">
        <v>547</v>
      </c>
      <c r="I269" s="4">
        <f>INDEX(Breakdown[],MATCH($D269,Breakdown[Dist],0),MATCH(I$4,Breakdown[#Headers],0))</f>
        <v>183732</v>
      </c>
      <c r="J269" s="4">
        <f>INDEX(Breakdown[],MATCH($D269,Breakdown[Dist],0),MATCH(J$4,Breakdown[#Headers],0))</f>
        <v>148684</v>
      </c>
      <c r="K269" s="4">
        <f>INDEX(Breakdown[],MATCH($D269,Breakdown[Dist],0),MATCH(K$4,Breakdown[#Headers],0))</f>
        <v>31846</v>
      </c>
      <c r="L269" s="4">
        <f>INDEX(Breakdown[],MATCH($D269,Breakdown[Dist],0),MATCH(L$4,Breakdown[#Headers],0))</f>
        <v>116838</v>
      </c>
      <c r="M269" s="4">
        <f>INDEX(Breakdown[],MATCH($D269,Breakdown[Dist],0),MATCH(M$4,Breakdown[#Headers],0))</f>
        <v>6824</v>
      </c>
      <c r="N269" s="4">
        <f t="shared" si="28"/>
        <v>158710</v>
      </c>
      <c r="O269" s="15">
        <f t="shared" si="29"/>
        <v>15871</v>
      </c>
      <c r="P269" s="12"/>
      <c r="Q269" s="4">
        <f>INDEX(Breakdown[],MATCH($D269,Breakdown[Dist],0),MATCH(Q$4,Breakdown[#Headers],0))</f>
        <v>35048</v>
      </c>
      <c r="R269" s="4">
        <f>INDEX(Breakdown[],MATCH($D269,Breakdown[Dist],0),MATCH(R$4,Breakdown[#Headers],0))</f>
        <v>6824</v>
      </c>
      <c r="S269" s="14">
        <f t="shared" si="30"/>
        <v>41872</v>
      </c>
      <c r="T269" s="17">
        <f t="shared" si="31"/>
        <v>100967</v>
      </c>
      <c r="U269" s="19">
        <f t="shared" si="32"/>
        <v>142839</v>
      </c>
      <c r="V269" s="12"/>
      <c r="W269" s="20">
        <f t="shared" si="33"/>
        <v>0.1</v>
      </c>
      <c r="X269" s="20">
        <f t="shared" si="34"/>
        <v>0.9</v>
      </c>
    </row>
    <row r="270" spans="1:24" x14ac:dyDescent="0.25">
      <c r="A270" s="5">
        <v>2026</v>
      </c>
      <c r="B270" s="5" t="s">
        <v>22</v>
      </c>
      <c r="C270" s="24" t="s">
        <v>22</v>
      </c>
      <c r="D270" s="5" t="s">
        <v>52</v>
      </c>
      <c r="E270" s="22" t="s">
        <v>703</v>
      </c>
      <c r="F270" s="22" t="s">
        <v>693</v>
      </c>
      <c r="G270" s="5" t="s">
        <v>52</v>
      </c>
      <c r="H270" s="5" t="s">
        <v>675</v>
      </c>
      <c r="I270" s="4">
        <f>INDEX(Breakdown[],MATCH($D270,Breakdown[Dist],0),MATCH(I$4,Breakdown[#Headers],0))</f>
        <v>441100</v>
      </c>
      <c r="J270" s="4">
        <f>INDEX(Breakdown[],MATCH($D270,Breakdown[Dist],0),MATCH(J$4,Breakdown[#Headers],0))</f>
        <v>339052</v>
      </c>
      <c r="K270" s="4">
        <f>INDEX(Breakdown[],MATCH($D270,Breakdown[Dist],0),MATCH(K$4,Breakdown[#Headers],0))</f>
        <v>72619</v>
      </c>
      <c r="L270" s="4">
        <f>INDEX(Breakdown[],MATCH($D270,Breakdown[Dist],0),MATCH(L$4,Breakdown[#Headers],0))</f>
        <v>266433</v>
      </c>
      <c r="M270" s="4">
        <f>INDEX(Breakdown[],MATCH($D270,Breakdown[Dist],0),MATCH(M$4,Breakdown[#Headers],0))</f>
        <v>0</v>
      </c>
      <c r="N270" s="4">
        <f t="shared" si="28"/>
        <v>368481</v>
      </c>
      <c r="O270" s="15">
        <f t="shared" si="29"/>
        <v>36848</v>
      </c>
      <c r="P270" s="12"/>
      <c r="Q270" s="4">
        <f>INDEX(Breakdown[],MATCH($D270,Breakdown[Dist],0),MATCH(Q$4,Breakdown[#Headers],0))</f>
        <v>102048</v>
      </c>
      <c r="R270" s="4">
        <f>INDEX(Breakdown[],MATCH($D270,Breakdown[Dist],0),MATCH(R$4,Breakdown[#Headers],0))</f>
        <v>0</v>
      </c>
      <c r="S270" s="14">
        <f t="shared" si="30"/>
        <v>102048</v>
      </c>
      <c r="T270" s="17">
        <f t="shared" si="31"/>
        <v>229585</v>
      </c>
      <c r="U270" s="19">
        <f t="shared" si="32"/>
        <v>331633</v>
      </c>
      <c r="V270" s="12"/>
      <c r="W270" s="20">
        <f t="shared" si="33"/>
        <v>9.9999728615586689E-2</v>
      </c>
      <c r="X270" s="20">
        <f t="shared" si="34"/>
        <v>0.9000002713844133</v>
      </c>
    </row>
    <row r="271" spans="1:24" x14ac:dyDescent="0.25">
      <c r="A271" s="5">
        <v>2026</v>
      </c>
      <c r="B271" s="5" t="s">
        <v>22</v>
      </c>
      <c r="C271" s="24" t="s">
        <v>22</v>
      </c>
      <c r="D271" s="5" t="s">
        <v>53</v>
      </c>
      <c r="E271" s="22" t="s">
        <v>693</v>
      </c>
      <c r="F271" s="22" t="s">
        <v>693</v>
      </c>
      <c r="G271" s="5" t="s">
        <v>53</v>
      </c>
      <c r="H271" s="5" t="s">
        <v>397</v>
      </c>
      <c r="I271" s="4">
        <f>INDEX(Breakdown[],MATCH($D271,Breakdown[Dist],0),MATCH(I$4,Breakdown[#Headers],0))</f>
        <v>818166</v>
      </c>
      <c r="J271" s="4">
        <f>INDEX(Breakdown[],MATCH($D271,Breakdown[Dist],0),MATCH(J$4,Breakdown[#Headers],0))</f>
        <v>628885</v>
      </c>
      <c r="K271" s="4">
        <f>INDEX(Breakdown[],MATCH($D271,Breakdown[Dist],0),MATCH(K$4,Breakdown[#Headers],0))</f>
        <v>134697</v>
      </c>
      <c r="L271" s="4">
        <f>INDEX(Breakdown[],MATCH($D271,Breakdown[Dist],0),MATCH(L$4,Breakdown[#Headers],0))</f>
        <v>494188</v>
      </c>
      <c r="M271" s="4">
        <f>INDEX(Breakdown[],MATCH($D271,Breakdown[Dist],0),MATCH(M$4,Breakdown[#Headers],0))</f>
        <v>20254</v>
      </c>
      <c r="N271" s="4">
        <f t="shared" si="28"/>
        <v>703723</v>
      </c>
      <c r="O271" s="15">
        <f t="shared" si="29"/>
        <v>70372</v>
      </c>
      <c r="P271" s="12"/>
      <c r="Q271" s="4">
        <f>INDEX(Breakdown[],MATCH($D271,Breakdown[Dist],0),MATCH(Q$4,Breakdown[#Headers],0))</f>
        <v>189281</v>
      </c>
      <c r="R271" s="4">
        <f>INDEX(Breakdown[],MATCH($D271,Breakdown[Dist],0),MATCH(R$4,Breakdown[#Headers],0))</f>
        <v>20254</v>
      </c>
      <c r="S271" s="14">
        <f t="shared" si="30"/>
        <v>209535</v>
      </c>
      <c r="T271" s="17">
        <f t="shared" si="31"/>
        <v>423816</v>
      </c>
      <c r="U271" s="19">
        <f t="shared" si="32"/>
        <v>633351</v>
      </c>
      <c r="V271" s="12"/>
      <c r="W271" s="20">
        <f t="shared" si="33"/>
        <v>9.9999573695900235E-2</v>
      </c>
      <c r="X271" s="20">
        <f t="shared" si="34"/>
        <v>0.90000042630409982</v>
      </c>
    </row>
    <row r="272" spans="1:24" x14ac:dyDescent="0.25">
      <c r="A272" s="5">
        <v>2026</v>
      </c>
      <c r="B272" s="5" t="s">
        <v>22</v>
      </c>
      <c r="C272" s="24" t="s">
        <v>22</v>
      </c>
      <c r="D272" s="5" t="s">
        <v>54</v>
      </c>
      <c r="E272" s="22" t="s">
        <v>693</v>
      </c>
      <c r="F272" s="22" t="s">
        <v>693</v>
      </c>
      <c r="G272" s="5" t="s">
        <v>54</v>
      </c>
      <c r="H272" s="5" t="s">
        <v>398</v>
      </c>
      <c r="I272" s="4">
        <f>INDEX(Breakdown[],MATCH($D272,Breakdown[Dist],0),MATCH(I$4,Breakdown[#Headers],0))</f>
        <v>457186</v>
      </c>
      <c r="J272" s="4">
        <f>INDEX(Breakdown[],MATCH($D272,Breakdown[Dist],0),MATCH(J$4,Breakdown[#Headers],0))</f>
        <v>351417</v>
      </c>
      <c r="K272" s="4">
        <f>INDEX(Breakdown[],MATCH($D272,Breakdown[Dist],0),MATCH(K$4,Breakdown[#Headers],0))</f>
        <v>75268</v>
      </c>
      <c r="L272" s="4">
        <f>INDEX(Breakdown[],MATCH($D272,Breakdown[Dist],0),MATCH(L$4,Breakdown[#Headers],0))</f>
        <v>276149</v>
      </c>
      <c r="M272" s="4">
        <f>INDEX(Breakdown[],MATCH($D272,Breakdown[Dist],0),MATCH(M$4,Breakdown[#Headers],0))</f>
        <v>0</v>
      </c>
      <c r="N272" s="4">
        <f t="shared" si="28"/>
        <v>381918</v>
      </c>
      <c r="O272" s="15">
        <f t="shared" si="29"/>
        <v>38192</v>
      </c>
      <c r="P272" s="12"/>
      <c r="Q272" s="4">
        <f>INDEX(Breakdown[],MATCH($D272,Breakdown[Dist],0),MATCH(Q$4,Breakdown[#Headers],0))</f>
        <v>105769</v>
      </c>
      <c r="R272" s="4">
        <f>INDEX(Breakdown[],MATCH($D272,Breakdown[Dist],0),MATCH(R$4,Breakdown[#Headers],0))</f>
        <v>0</v>
      </c>
      <c r="S272" s="14">
        <f t="shared" si="30"/>
        <v>105769</v>
      </c>
      <c r="T272" s="17">
        <f t="shared" si="31"/>
        <v>237957</v>
      </c>
      <c r="U272" s="19">
        <f t="shared" si="32"/>
        <v>343726</v>
      </c>
      <c r="V272" s="12"/>
      <c r="W272" s="20">
        <f t="shared" si="33"/>
        <v>0.10000052367262083</v>
      </c>
      <c r="X272" s="20">
        <f t="shared" si="34"/>
        <v>0.8999994763273792</v>
      </c>
    </row>
    <row r="273" spans="1:24" x14ac:dyDescent="0.25">
      <c r="A273" s="5">
        <v>2026</v>
      </c>
      <c r="B273" s="5" t="s">
        <v>140</v>
      </c>
      <c r="C273" s="24" t="s">
        <v>140</v>
      </c>
      <c r="D273" s="5" t="s">
        <v>168</v>
      </c>
      <c r="E273" s="22" t="s">
        <v>693</v>
      </c>
      <c r="F273" s="22" t="s">
        <v>693</v>
      </c>
      <c r="G273" s="5" t="s">
        <v>168</v>
      </c>
      <c r="H273" s="5" t="s">
        <v>499</v>
      </c>
      <c r="I273" s="4">
        <f>INDEX(Breakdown[],MATCH($D273,Breakdown[Dist],0),MATCH(I$4,Breakdown[#Headers],0))</f>
        <v>152975</v>
      </c>
      <c r="J273" s="4">
        <f>INDEX(Breakdown[],MATCH($D273,Breakdown[Dist],0),MATCH(J$4,Breakdown[#Headers],0))</f>
        <v>121269</v>
      </c>
      <c r="K273" s="4">
        <f>INDEX(Breakdown[],MATCH($D273,Breakdown[Dist],0),MATCH(K$4,Breakdown[#Headers],0))</f>
        <v>25974</v>
      </c>
      <c r="L273" s="4">
        <f>INDEX(Breakdown[],MATCH($D273,Breakdown[Dist],0),MATCH(L$4,Breakdown[#Headers],0))</f>
        <v>95295</v>
      </c>
      <c r="M273" s="4">
        <f>INDEX(Breakdown[],MATCH($D273,Breakdown[Dist],0),MATCH(M$4,Breakdown[#Headers],0))</f>
        <v>0</v>
      </c>
      <c r="N273" s="4">
        <f t="shared" si="28"/>
        <v>127001</v>
      </c>
      <c r="O273" s="15">
        <f t="shared" si="29"/>
        <v>12700</v>
      </c>
      <c r="P273" s="12"/>
      <c r="Q273" s="4">
        <f>INDEX(Breakdown[],MATCH($D273,Breakdown[Dist],0),MATCH(Q$4,Breakdown[#Headers],0))</f>
        <v>31706</v>
      </c>
      <c r="R273" s="4">
        <f>INDEX(Breakdown[],MATCH($D273,Breakdown[Dist],0),MATCH(R$4,Breakdown[#Headers],0))</f>
        <v>0</v>
      </c>
      <c r="S273" s="14">
        <f t="shared" si="30"/>
        <v>31706</v>
      </c>
      <c r="T273" s="17">
        <f t="shared" si="31"/>
        <v>82595</v>
      </c>
      <c r="U273" s="19">
        <f t="shared" si="32"/>
        <v>114301</v>
      </c>
      <c r="V273" s="12"/>
      <c r="W273" s="20">
        <f t="shared" si="33"/>
        <v>9.9999212604625159E-2</v>
      </c>
      <c r="X273" s="20">
        <f t="shared" si="34"/>
        <v>0.90000078739537481</v>
      </c>
    </row>
    <row r="274" spans="1:24" x14ac:dyDescent="0.25">
      <c r="A274" s="5">
        <v>2026</v>
      </c>
      <c r="B274" s="5" t="s">
        <v>60</v>
      </c>
      <c r="C274" s="24" t="s">
        <v>60</v>
      </c>
      <c r="D274" s="5" t="s">
        <v>108</v>
      </c>
      <c r="E274" s="22" t="s">
        <v>693</v>
      </c>
      <c r="F274" s="22" t="s">
        <v>693</v>
      </c>
      <c r="G274" s="5" t="s">
        <v>108</v>
      </c>
      <c r="H274" s="5" t="s">
        <v>443</v>
      </c>
      <c r="I274" s="4">
        <f>INDEX(Breakdown[],MATCH($D274,Breakdown[Dist],0),MATCH(I$4,Breakdown[#Headers],0))</f>
        <v>239797</v>
      </c>
      <c r="J274" s="4">
        <f>INDEX(Breakdown[],MATCH($D274,Breakdown[Dist],0),MATCH(J$4,Breakdown[#Headers],0))</f>
        <v>187788</v>
      </c>
      <c r="K274" s="4">
        <f>INDEX(Breakdown[],MATCH($D274,Breakdown[Dist],0),MATCH(K$4,Breakdown[#Headers],0))</f>
        <v>40221</v>
      </c>
      <c r="L274" s="4">
        <f>INDEX(Breakdown[],MATCH($D274,Breakdown[Dist],0),MATCH(L$4,Breakdown[#Headers],0))</f>
        <v>147567</v>
      </c>
      <c r="M274" s="4">
        <f>INDEX(Breakdown[],MATCH($D274,Breakdown[Dist],0),MATCH(M$4,Breakdown[#Headers],0))</f>
        <v>0</v>
      </c>
      <c r="N274" s="4">
        <f t="shared" si="28"/>
        <v>199576</v>
      </c>
      <c r="O274" s="15">
        <f t="shared" si="29"/>
        <v>19958</v>
      </c>
      <c r="P274" s="12"/>
      <c r="Q274" s="4">
        <f>INDEX(Breakdown[],MATCH($D274,Breakdown[Dist],0),MATCH(Q$4,Breakdown[#Headers],0))</f>
        <v>52009</v>
      </c>
      <c r="R274" s="4">
        <f>INDEX(Breakdown[],MATCH($D274,Breakdown[Dist],0),MATCH(R$4,Breakdown[#Headers],0))</f>
        <v>0</v>
      </c>
      <c r="S274" s="14">
        <f t="shared" si="30"/>
        <v>52009</v>
      </c>
      <c r="T274" s="17">
        <f t="shared" si="31"/>
        <v>127609</v>
      </c>
      <c r="U274" s="19">
        <f t="shared" si="32"/>
        <v>179618</v>
      </c>
      <c r="V274" s="12"/>
      <c r="W274" s="20">
        <f t="shared" si="33"/>
        <v>0.1000020042490079</v>
      </c>
      <c r="X274" s="20">
        <f t="shared" si="34"/>
        <v>0.89999799575099215</v>
      </c>
    </row>
    <row r="275" spans="1:24" x14ac:dyDescent="0.25">
      <c r="A275" s="5">
        <v>2026</v>
      </c>
      <c r="B275" s="5" t="s">
        <v>263</v>
      </c>
      <c r="C275" s="24" t="s">
        <v>263</v>
      </c>
      <c r="D275" s="5" t="s">
        <v>301</v>
      </c>
      <c r="E275" s="22" t="s">
        <v>693</v>
      </c>
      <c r="F275" s="22" t="s">
        <v>693</v>
      </c>
      <c r="G275" s="5" t="s">
        <v>301</v>
      </c>
      <c r="H275" s="5" t="s">
        <v>626</v>
      </c>
      <c r="I275" s="4">
        <f>INDEX(Breakdown[],MATCH($D275,Breakdown[Dist],0),MATCH(I$4,Breakdown[#Headers],0))</f>
        <v>78576</v>
      </c>
      <c r="J275" s="4">
        <f>INDEX(Breakdown[],MATCH($D275,Breakdown[Dist],0),MATCH(J$4,Breakdown[#Headers],0))</f>
        <v>62119</v>
      </c>
      <c r="K275" s="4">
        <f>INDEX(Breakdown[],MATCH($D275,Breakdown[Dist],0),MATCH(K$4,Breakdown[#Headers],0))</f>
        <v>13305</v>
      </c>
      <c r="L275" s="4">
        <f>INDEX(Breakdown[],MATCH($D275,Breakdown[Dist],0),MATCH(L$4,Breakdown[#Headers],0))</f>
        <v>48814</v>
      </c>
      <c r="M275" s="4">
        <f>INDEX(Breakdown[],MATCH($D275,Breakdown[Dist],0),MATCH(M$4,Breakdown[#Headers],0))</f>
        <v>0</v>
      </c>
      <c r="N275" s="4">
        <f t="shared" si="28"/>
        <v>65271</v>
      </c>
      <c r="O275" s="15">
        <f t="shared" si="29"/>
        <v>6527</v>
      </c>
      <c r="P275" s="12"/>
      <c r="Q275" s="4">
        <f>INDEX(Breakdown[],MATCH($D275,Breakdown[Dist],0),MATCH(Q$4,Breakdown[#Headers],0))</f>
        <v>16457</v>
      </c>
      <c r="R275" s="4">
        <f>INDEX(Breakdown[],MATCH($D275,Breakdown[Dist],0),MATCH(R$4,Breakdown[#Headers],0))</f>
        <v>0</v>
      </c>
      <c r="S275" s="14">
        <f t="shared" si="30"/>
        <v>16457</v>
      </c>
      <c r="T275" s="17">
        <f t="shared" si="31"/>
        <v>42287</v>
      </c>
      <c r="U275" s="19">
        <f t="shared" si="32"/>
        <v>58744</v>
      </c>
      <c r="V275" s="12"/>
      <c r="W275" s="20">
        <f t="shared" si="33"/>
        <v>9.9998467926031467E-2</v>
      </c>
      <c r="X275" s="20">
        <f t="shared" si="34"/>
        <v>0.90000153207396849</v>
      </c>
    </row>
    <row r="276" spans="1:24" x14ac:dyDescent="0.25">
      <c r="A276" s="5">
        <v>2026</v>
      </c>
      <c r="B276" s="5" t="s">
        <v>0</v>
      </c>
      <c r="C276" s="24" t="s">
        <v>0</v>
      </c>
      <c r="D276" s="5" t="s">
        <v>17</v>
      </c>
      <c r="E276" s="22" t="s">
        <v>693</v>
      </c>
      <c r="F276" s="22" t="s">
        <v>693</v>
      </c>
      <c r="G276" s="5" t="s">
        <v>17</v>
      </c>
      <c r="H276" s="5" t="s">
        <v>364</v>
      </c>
      <c r="I276" s="4">
        <f>INDEX(Breakdown[],MATCH($D276,Breakdown[Dist],0),MATCH(I$4,Breakdown[#Headers],0))</f>
        <v>234185</v>
      </c>
      <c r="J276" s="4">
        <f>INDEX(Breakdown[],MATCH($D276,Breakdown[Dist],0),MATCH(J$4,Breakdown[#Headers],0))</f>
        <v>177901</v>
      </c>
      <c r="K276" s="4">
        <f>INDEX(Breakdown[],MATCH($D276,Breakdown[Dist],0),MATCH(K$4,Breakdown[#Headers],0))</f>
        <v>38103</v>
      </c>
      <c r="L276" s="4">
        <f>INDEX(Breakdown[],MATCH($D276,Breakdown[Dist],0),MATCH(L$4,Breakdown[#Headers],0))</f>
        <v>139798</v>
      </c>
      <c r="M276" s="4">
        <f>INDEX(Breakdown[],MATCH($D276,Breakdown[Dist],0),MATCH(M$4,Breakdown[#Headers],0))</f>
        <v>7751</v>
      </c>
      <c r="N276" s="4">
        <f t="shared" si="28"/>
        <v>203833</v>
      </c>
      <c r="O276" s="15">
        <f t="shared" si="29"/>
        <v>20383</v>
      </c>
      <c r="P276" s="12"/>
      <c r="Q276" s="4">
        <f>INDEX(Breakdown[],MATCH($D276,Breakdown[Dist],0),MATCH(Q$4,Breakdown[#Headers],0))</f>
        <v>56284</v>
      </c>
      <c r="R276" s="4">
        <f>INDEX(Breakdown[],MATCH($D276,Breakdown[Dist],0),MATCH(R$4,Breakdown[#Headers],0))</f>
        <v>7751</v>
      </c>
      <c r="S276" s="14">
        <f t="shared" si="30"/>
        <v>64035</v>
      </c>
      <c r="T276" s="17">
        <f t="shared" si="31"/>
        <v>119415</v>
      </c>
      <c r="U276" s="19">
        <f t="shared" si="32"/>
        <v>183450</v>
      </c>
      <c r="V276" s="12"/>
      <c r="W276" s="20">
        <f t="shared" si="33"/>
        <v>9.9998528206914489E-2</v>
      </c>
      <c r="X276" s="20">
        <f t="shared" si="34"/>
        <v>0.90000147179308554</v>
      </c>
    </row>
    <row r="277" spans="1:24" x14ac:dyDescent="0.25">
      <c r="A277" s="5">
        <v>2026</v>
      </c>
      <c r="B277" s="5" t="s">
        <v>22</v>
      </c>
      <c r="C277" s="24" t="s">
        <v>22</v>
      </c>
      <c r="D277" s="5" t="s">
        <v>55</v>
      </c>
      <c r="E277" s="22" t="s">
        <v>693</v>
      </c>
      <c r="F277" s="22" t="s">
        <v>693</v>
      </c>
      <c r="G277" s="5" t="s">
        <v>55</v>
      </c>
      <c r="H277" s="5" t="s">
        <v>399</v>
      </c>
      <c r="I277" s="4">
        <f>INDEX(Breakdown[],MATCH($D277,Breakdown[Dist],0),MATCH(I$4,Breakdown[#Headers],0))</f>
        <v>1089490</v>
      </c>
      <c r="J277" s="4">
        <f>INDEX(Breakdown[],MATCH($D277,Breakdown[Dist],0),MATCH(J$4,Breakdown[#Headers],0))</f>
        <v>837439</v>
      </c>
      <c r="K277" s="4">
        <f>INDEX(Breakdown[],MATCH($D277,Breakdown[Dist],0),MATCH(K$4,Breakdown[#Headers],0))</f>
        <v>179366</v>
      </c>
      <c r="L277" s="4">
        <f>INDEX(Breakdown[],MATCH($D277,Breakdown[Dist],0),MATCH(L$4,Breakdown[#Headers],0))</f>
        <v>658073</v>
      </c>
      <c r="M277" s="4">
        <f>INDEX(Breakdown[],MATCH($D277,Breakdown[Dist],0),MATCH(M$4,Breakdown[#Headers],0))</f>
        <v>0</v>
      </c>
      <c r="N277" s="4">
        <f t="shared" si="28"/>
        <v>910124</v>
      </c>
      <c r="O277" s="15">
        <f t="shared" si="29"/>
        <v>91012</v>
      </c>
      <c r="P277" s="12"/>
      <c r="Q277" s="4">
        <f>INDEX(Breakdown[],MATCH($D277,Breakdown[Dist],0),MATCH(Q$4,Breakdown[#Headers],0))</f>
        <v>252051</v>
      </c>
      <c r="R277" s="4">
        <f>INDEX(Breakdown[],MATCH($D277,Breakdown[Dist],0),MATCH(R$4,Breakdown[#Headers],0))</f>
        <v>0</v>
      </c>
      <c r="S277" s="14">
        <f t="shared" si="30"/>
        <v>252051</v>
      </c>
      <c r="T277" s="17">
        <f t="shared" si="31"/>
        <v>567061</v>
      </c>
      <c r="U277" s="19">
        <f t="shared" si="32"/>
        <v>819112</v>
      </c>
      <c r="V277" s="12"/>
      <c r="W277" s="20">
        <f t="shared" si="33"/>
        <v>9.9999560499448428E-2</v>
      </c>
      <c r="X277" s="20">
        <f t="shared" si="34"/>
        <v>0.90000043950055153</v>
      </c>
    </row>
    <row r="278" spans="1:24" x14ac:dyDescent="0.25">
      <c r="A278" s="5">
        <v>2026</v>
      </c>
      <c r="B278" s="5" t="s">
        <v>22</v>
      </c>
      <c r="C278" s="24" t="s">
        <v>22</v>
      </c>
      <c r="D278" s="5" t="s">
        <v>56</v>
      </c>
      <c r="E278" s="22" t="s">
        <v>693</v>
      </c>
      <c r="F278" s="22" t="s">
        <v>693</v>
      </c>
      <c r="G278" s="5" t="s">
        <v>56</v>
      </c>
      <c r="H278" s="5" t="s">
        <v>400</v>
      </c>
      <c r="I278" s="4">
        <f>INDEX(Breakdown[],MATCH($D278,Breakdown[Dist],0),MATCH(I$4,Breakdown[#Headers],0))</f>
        <v>56410</v>
      </c>
      <c r="J278" s="4">
        <f>INDEX(Breakdown[],MATCH($D278,Breakdown[Dist],0),MATCH(J$4,Breakdown[#Headers],0))</f>
        <v>43360</v>
      </c>
      <c r="K278" s="4">
        <f>INDEX(Breakdown[],MATCH($D278,Breakdown[Dist],0),MATCH(K$4,Breakdown[#Headers],0))</f>
        <v>9287</v>
      </c>
      <c r="L278" s="4">
        <f>INDEX(Breakdown[],MATCH($D278,Breakdown[Dist],0),MATCH(L$4,Breakdown[#Headers],0))</f>
        <v>34073</v>
      </c>
      <c r="M278" s="4">
        <f>INDEX(Breakdown[],MATCH($D278,Breakdown[Dist],0),MATCH(M$4,Breakdown[#Headers],0))</f>
        <v>7101</v>
      </c>
      <c r="N278" s="4">
        <f t="shared" si="28"/>
        <v>54224</v>
      </c>
      <c r="O278" s="15">
        <f t="shared" si="29"/>
        <v>5422</v>
      </c>
      <c r="P278" s="12"/>
      <c r="Q278" s="4">
        <f>INDEX(Breakdown[],MATCH($D278,Breakdown[Dist],0),MATCH(Q$4,Breakdown[#Headers],0))</f>
        <v>13050</v>
      </c>
      <c r="R278" s="4">
        <f>INDEX(Breakdown[],MATCH($D278,Breakdown[Dist],0),MATCH(R$4,Breakdown[#Headers],0))</f>
        <v>7101</v>
      </c>
      <c r="S278" s="14">
        <f t="shared" si="30"/>
        <v>20151</v>
      </c>
      <c r="T278" s="17">
        <f t="shared" si="31"/>
        <v>28651</v>
      </c>
      <c r="U278" s="19">
        <f t="shared" si="32"/>
        <v>48802</v>
      </c>
      <c r="V278" s="12"/>
      <c r="W278" s="20">
        <f t="shared" si="33"/>
        <v>9.9992623192682206E-2</v>
      </c>
      <c r="X278" s="20">
        <f t="shared" si="34"/>
        <v>0.90000737680731779</v>
      </c>
    </row>
    <row r="279" spans="1:24" x14ac:dyDescent="0.25">
      <c r="A279" s="5">
        <v>2026</v>
      </c>
      <c r="B279" s="5" t="s">
        <v>60</v>
      </c>
      <c r="C279" s="24" t="s">
        <v>60</v>
      </c>
      <c r="D279" s="5" t="s">
        <v>109</v>
      </c>
      <c r="E279" s="22" t="s">
        <v>693</v>
      </c>
      <c r="F279" s="22" t="s">
        <v>693</v>
      </c>
      <c r="G279" s="5" t="s">
        <v>109</v>
      </c>
      <c r="H279" s="5" t="s">
        <v>444</v>
      </c>
      <c r="I279" s="4">
        <f>INDEX(Breakdown[],MATCH($D279,Breakdown[Dist],0),MATCH(I$4,Breakdown[#Headers],0))</f>
        <v>314087</v>
      </c>
      <c r="J279" s="4">
        <f>INDEX(Breakdown[],MATCH($D279,Breakdown[Dist],0),MATCH(J$4,Breakdown[#Headers],0))</f>
        <v>245966</v>
      </c>
      <c r="K279" s="4">
        <f>INDEX(Breakdown[],MATCH($D279,Breakdown[Dist],0),MATCH(K$4,Breakdown[#Headers],0))</f>
        <v>52682</v>
      </c>
      <c r="L279" s="4">
        <f>INDEX(Breakdown[],MATCH($D279,Breakdown[Dist],0),MATCH(L$4,Breakdown[#Headers],0))</f>
        <v>193284</v>
      </c>
      <c r="M279" s="4">
        <f>INDEX(Breakdown[],MATCH($D279,Breakdown[Dist],0),MATCH(M$4,Breakdown[#Headers],0))</f>
        <v>637</v>
      </c>
      <c r="N279" s="4">
        <f t="shared" si="28"/>
        <v>262042</v>
      </c>
      <c r="O279" s="15">
        <f t="shared" si="29"/>
        <v>26204</v>
      </c>
      <c r="P279" s="12"/>
      <c r="Q279" s="4">
        <f>INDEX(Breakdown[],MATCH($D279,Breakdown[Dist],0),MATCH(Q$4,Breakdown[#Headers],0))</f>
        <v>68121</v>
      </c>
      <c r="R279" s="4">
        <f>INDEX(Breakdown[],MATCH($D279,Breakdown[Dist],0),MATCH(R$4,Breakdown[#Headers],0))</f>
        <v>637</v>
      </c>
      <c r="S279" s="14">
        <f t="shared" si="30"/>
        <v>68758</v>
      </c>
      <c r="T279" s="17">
        <f t="shared" si="31"/>
        <v>167080</v>
      </c>
      <c r="U279" s="19">
        <f t="shared" si="32"/>
        <v>235838</v>
      </c>
      <c r="V279" s="12"/>
      <c r="W279" s="20">
        <f t="shared" si="33"/>
        <v>9.9999236763572252E-2</v>
      </c>
      <c r="X279" s="20">
        <f t="shared" si="34"/>
        <v>0.90000076323642775</v>
      </c>
    </row>
    <row r="280" spans="1:24" x14ac:dyDescent="0.25">
      <c r="A280" s="5">
        <v>2026</v>
      </c>
      <c r="B280" s="5" t="s">
        <v>140</v>
      </c>
      <c r="C280" s="24" t="s">
        <v>140</v>
      </c>
      <c r="D280" s="5" t="s">
        <v>169</v>
      </c>
      <c r="E280" s="22" t="s">
        <v>693</v>
      </c>
      <c r="F280" s="22" t="s">
        <v>693</v>
      </c>
      <c r="G280" s="5" t="s">
        <v>169</v>
      </c>
      <c r="H280" s="5" t="s">
        <v>500</v>
      </c>
      <c r="I280" s="4">
        <f>INDEX(Breakdown[],MATCH($D280,Breakdown[Dist],0),MATCH(I$4,Breakdown[#Headers],0))</f>
        <v>301527</v>
      </c>
      <c r="J280" s="4">
        <f>INDEX(Breakdown[],MATCH($D280,Breakdown[Dist],0),MATCH(J$4,Breakdown[#Headers],0))</f>
        <v>239033</v>
      </c>
      <c r="K280" s="4">
        <f>INDEX(Breakdown[],MATCH($D280,Breakdown[Dist],0),MATCH(K$4,Breakdown[#Headers],0))</f>
        <v>51197</v>
      </c>
      <c r="L280" s="4">
        <f>INDEX(Breakdown[],MATCH($D280,Breakdown[Dist],0),MATCH(L$4,Breakdown[#Headers],0))</f>
        <v>187836</v>
      </c>
      <c r="M280" s="4">
        <f>INDEX(Breakdown[],MATCH($D280,Breakdown[Dist],0),MATCH(M$4,Breakdown[#Headers],0))</f>
        <v>18507</v>
      </c>
      <c r="N280" s="4">
        <f t="shared" si="28"/>
        <v>268837</v>
      </c>
      <c r="O280" s="15">
        <f t="shared" si="29"/>
        <v>26884</v>
      </c>
      <c r="P280" s="12"/>
      <c r="Q280" s="4">
        <f>INDEX(Breakdown[],MATCH($D280,Breakdown[Dist],0),MATCH(Q$4,Breakdown[#Headers],0))</f>
        <v>62494</v>
      </c>
      <c r="R280" s="4">
        <f>INDEX(Breakdown[],MATCH($D280,Breakdown[Dist],0),MATCH(R$4,Breakdown[#Headers],0))</f>
        <v>18507</v>
      </c>
      <c r="S280" s="14">
        <f t="shared" si="30"/>
        <v>81001</v>
      </c>
      <c r="T280" s="17">
        <f t="shared" si="31"/>
        <v>160952</v>
      </c>
      <c r="U280" s="19">
        <f t="shared" si="32"/>
        <v>241953</v>
      </c>
      <c r="V280" s="12"/>
      <c r="W280" s="20">
        <f t="shared" si="33"/>
        <v>0.1000011159178238</v>
      </c>
      <c r="X280" s="20">
        <f t="shared" si="34"/>
        <v>0.89999888408217621</v>
      </c>
    </row>
    <row r="281" spans="1:24" x14ac:dyDescent="0.25">
      <c r="A281" s="5">
        <v>2026</v>
      </c>
      <c r="B281" s="5" t="s">
        <v>263</v>
      </c>
      <c r="C281" s="24" t="s">
        <v>263</v>
      </c>
      <c r="D281" s="5" t="s">
        <v>302</v>
      </c>
      <c r="E281" s="22" t="s">
        <v>693</v>
      </c>
      <c r="F281" s="22" t="s">
        <v>693</v>
      </c>
      <c r="G281" s="5" t="s">
        <v>302</v>
      </c>
      <c r="H281" s="5" t="s">
        <v>627</v>
      </c>
      <c r="I281" s="4">
        <f>INDEX(Breakdown[],MATCH($D281,Breakdown[Dist],0),MATCH(I$4,Breakdown[#Headers],0))</f>
        <v>214932</v>
      </c>
      <c r="J281" s="4">
        <f>INDEX(Breakdown[],MATCH($D281,Breakdown[Dist],0),MATCH(J$4,Breakdown[#Headers],0))</f>
        <v>169917</v>
      </c>
      <c r="K281" s="4">
        <f>INDEX(Breakdown[],MATCH($D281,Breakdown[Dist],0),MATCH(K$4,Breakdown[#Headers],0))</f>
        <v>36393</v>
      </c>
      <c r="L281" s="4">
        <f>INDEX(Breakdown[],MATCH($D281,Breakdown[Dist],0),MATCH(L$4,Breakdown[#Headers],0))</f>
        <v>133524</v>
      </c>
      <c r="M281" s="4">
        <f>INDEX(Breakdown[],MATCH($D281,Breakdown[Dist],0),MATCH(M$4,Breakdown[#Headers],0))</f>
        <v>0</v>
      </c>
      <c r="N281" s="4">
        <f t="shared" si="28"/>
        <v>178539</v>
      </c>
      <c r="O281" s="15">
        <f t="shared" si="29"/>
        <v>17854</v>
      </c>
      <c r="P281" s="12"/>
      <c r="Q281" s="4">
        <f>INDEX(Breakdown[],MATCH($D281,Breakdown[Dist],0),MATCH(Q$4,Breakdown[#Headers],0))</f>
        <v>45015</v>
      </c>
      <c r="R281" s="4">
        <f>INDEX(Breakdown[],MATCH($D281,Breakdown[Dist],0),MATCH(R$4,Breakdown[#Headers],0))</f>
        <v>0</v>
      </c>
      <c r="S281" s="14">
        <f t="shared" si="30"/>
        <v>45015</v>
      </c>
      <c r="T281" s="17">
        <f t="shared" si="31"/>
        <v>115670</v>
      </c>
      <c r="U281" s="19">
        <f t="shared" si="32"/>
        <v>160685</v>
      </c>
      <c r="V281" s="12"/>
      <c r="W281" s="20">
        <f t="shared" si="33"/>
        <v>0.10000056010171447</v>
      </c>
      <c r="X281" s="20">
        <f t="shared" si="34"/>
        <v>0.89999943989828557</v>
      </c>
    </row>
    <row r="282" spans="1:24" x14ac:dyDescent="0.25">
      <c r="A282" s="5">
        <v>2026</v>
      </c>
      <c r="B282" s="5" t="s">
        <v>263</v>
      </c>
      <c r="C282" s="24" t="s">
        <v>263</v>
      </c>
      <c r="D282" s="5" t="s">
        <v>303</v>
      </c>
      <c r="E282" s="22" t="s">
        <v>693</v>
      </c>
      <c r="F282" s="22" t="s">
        <v>693</v>
      </c>
      <c r="G282" s="5" t="s">
        <v>303</v>
      </c>
      <c r="H282" s="5" t="s">
        <v>628</v>
      </c>
      <c r="I282" s="4">
        <f>INDEX(Breakdown[],MATCH($D282,Breakdown[Dist],0),MATCH(I$4,Breakdown[#Headers],0))</f>
        <v>257801</v>
      </c>
      <c r="J282" s="4">
        <f>INDEX(Breakdown[],MATCH($D282,Breakdown[Dist],0),MATCH(J$4,Breakdown[#Headers],0))</f>
        <v>203807</v>
      </c>
      <c r="K282" s="4">
        <f>INDEX(Breakdown[],MATCH($D282,Breakdown[Dist],0),MATCH(K$4,Breakdown[#Headers],0))</f>
        <v>43653</v>
      </c>
      <c r="L282" s="4">
        <f>INDEX(Breakdown[],MATCH($D282,Breakdown[Dist],0),MATCH(L$4,Breakdown[#Headers],0))</f>
        <v>160154</v>
      </c>
      <c r="M282" s="4">
        <f>INDEX(Breakdown[],MATCH($D282,Breakdown[Dist],0),MATCH(M$4,Breakdown[#Headers],0))</f>
        <v>0</v>
      </c>
      <c r="N282" s="4">
        <f t="shared" si="28"/>
        <v>214148</v>
      </c>
      <c r="O282" s="15">
        <f t="shared" si="29"/>
        <v>21415</v>
      </c>
      <c r="P282" s="12"/>
      <c r="Q282" s="4">
        <f>INDEX(Breakdown[],MATCH($D282,Breakdown[Dist],0),MATCH(Q$4,Breakdown[#Headers],0))</f>
        <v>53994</v>
      </c>
      <c r="R282" s="4">
        <f>INDEX(Breakdown[],MATCH($D282,Breakdown[Dist],0),MATCH(R$4,Breakdown[#Headers],0))</f>
        <v>0</v>
      </c>
      <c r="S282" s="14">
        <f t="shared" si="30"/>
        <v>53994</v>
      </c>
      <c r="T282" s="17">
        <f t="shared" si="31"/>
        <v>138739</v>
      </c>
      <c r="U282" s="19">
        <f t="shared" si="32"/>
        <v>192733</v>
      </c>
      <c r="V282" s="12"/>
      <c r="W282" s="20">
        <f t="shared" si="33"/>
        <v>0.10000093393354129</v>
      </c>
      <c r="X282" s="20">
        <f t="shared" si="34"/>
        <v>0.89999906606645874</v>
      </c>
    </row>
    <row r="283" spans="1:24" x14ac:dyDescent="0.25">
      <c r="A283" s="5">
        <v>2026</v>
      </c>
      <c r="B283" s="5" t="s">
        <v>308</v>
      </c>
      <c r="C283" s="24" t="s">
        <v>308</v>
      </c>
      <c r="D283" s="5" t="s">
        <v>334</v>
      </c>
      <c r="E283" s="22" t="s">
        <v>693</v>
      </c>
      <c r="F283" s="22" t="s">
        <v>693</v>
      </c>
      <c r="G283" s="5" t="s">
        <v>334</v>
      </c>
      <c r="H283" s="5" t="s">
        <v>658</v>
      </c>
      <c r="I283" s="4">
        <f>INDEX(Breakdown[],MATCH($D283,Breakdown[Dist],0),MATCH(I$4,Breakdown[#Headers],0))</f>
        <v>92167</v>
      </c>
      <c r="J283" s="4">
        <f>INDEX(Breakdown[],MATCH($D283,Breakdown[Dist],0),MATCH(J$4,Breakdown[#Headers],0))</f>
        <v>73419</v>
      </c>
      <c r="K283" s="4">
        <f>INDEX(Breakdown[],MATCH($D283,Breakdown[Dist],0),MATCH(K$4,Breakdown[#Headers],0))</f>
        <v>15725</v>
      </c>
      <c r="L283" s="4">
        <f>INDEX(Breakdown[],MATCH($D283,Breakdown[Dist],0),MATCH(L$4,Breakdown[#Headers],0))</f>
        <v>57694</v>
      </c>
      <c r="M283" s="4">
        <f>INDEX(Breakdown[],MATCH($D283,Breakdown[Dist],0),MATCH(M$4,Breakdown[#Headers],0))</f>
        <v>6360</v>
      </c>
      <c r="N283" s="4">
        <f t="shared" si="28"/>
        <v>82802</v>
      </c>
      <c r="O283" s="15">
        <f t="shared" si="29"/>
        <v>8280</v>
      </c>
      <c r="P283" s="12"/>
      <c r="Q283" s="4">
        <f>INDEX(Breakdown[],MATCH($D283,Breakdown[Dist],0),MATCH(Q$4,Breakdown[#Headers],0))</f>
        <v>18748</v>
      </c>
      <c r="R283" s="4">
        <f>INDEX(Breakdown[],MATCH($D283,Breakdown[Dist],0),MATCH(R$4,Breakdown[#Headers],0))</f>
        <v>6360</v>
      </c>
      <c r="S283" s="14">
        <f t="shared" si="30"/>
        <v>25108</v>
      </c>
      <c r="T283" s="17">
        <f t="shared" si="31"/>
        <v>49414</v>
      </c>
      <c r="U283" s="19">
        <f t="shared" si="32"/>
        <v>74522</v>
      </c>
      <c r="V283" s="12"/>
      <c r="W283" s="20">
        <f t="shared" si="33"/>
        <v>9.9997584599405817E-2</v>
      </c>
      <c r="X283" s="20">
        <f t="shared" si="34"/>
        <v>0.90000241540059422</v>
      </c>
    </row>
    <row r="284" spans="1:24" x14ac:dyDescent="0.25">
      <c r="A284" s="5">
        <v>2026</v>
      </c>
      <c r="B284" s="5" t="s">
        <v>60</v>
      </c>
      <c r="C284" s="24" t="s">
        <v>60</v>
      </c>
      <c r="D284" s="5" t="s">
        <v>110</v>
      </c>
      <c r="E284" s="22" t="s">
        <v>693</v>
      </c>
      <c r="F284" s="22" t="s">
        <v>693</v>
      </c>
      <c r="G284" s="5" t="s">
        <v>110</v>
      </c>
      <c r="H284" s="5" t="s">
        <v>445</v>
      </c>
      <c r="I284" s="4">
        <f>INDEX(Breakdown[],MATCH($D284,Breakdown[Dist],0),MATCH(I$4,Breakdown[#Headers],0))</f>
        <v>156617</v>
      </c>
      <c r="J284" s="4">
        <f>INDEX(Breakdown[],MATCH($D284,Breakdown[Dist],0),MATCH(J$4,Breakdown[#Headers],0))</f>
        <v>122649</v>
      </c>
      <c r="K284" s="4">
        <f>INDEX(Breakdown[],MATCH($D284,Breakdown[Dist],0),MATCH(K$4,Breakdown[#Headers],0))</f>
        <v>26269</v>
      </c>
      <c r="L284" s="4">
        <f>INDEX(Breakdown[],MATCH($D284,Breakdown[Dist],0),MATCH(L$4,Breakdown[#Headers],0))</f>
        <v>96380</v>
      </c>
      <c r="M284" s="4">
        <f>INDEX(Breakdown[],MATCH($D284,Breakdown[Dist],0),MATCH(M$4,Breakdown[#Headers],0))</f>
        <v>0</v>
      </c>
      <c r="N284" s="4">
        <f t="shared" si="28"/>
        <v>130348</v>
      </c>
      <c r="O284" s="15">
        <f t="shared" si="29"/>
        <v>13035</v>
      </c>
      <c r="P284" s="12"/>
      <c r="Q284" s="4">
        <f>INDEX(Breakdown[],MATCH($D284,Breakdown[Dist],0),MATCH(Q$4,Breakdown[#Headers],0))</f>
        <v>33968</v>
      </c>
      <c r="R284" s="4">
        <f>INDEX(Breakdown[],MATCH($D284,Breakdown[Dist],0),MATCH(R$4,Breakdown[#Headers],0))</f>
        <v>0</v>
      </c>
      <c r="S284" s="14">
        <f t="shared" si="30"/>
        <v>33968</v>
      </c>
      <c r="T284" s="17">
        <f t="shared" si="31"/>
        <v>83345</v>
      </c>
      <c r="U284" s="19">
        <f t="shared" si="32"/>
        <v>117313</v>
      </c>
      <c r="V284" s="12"/>
      <c r="W284" s="20">
        <f t="shared" si="33"/>
        <v>0.10000153435419032</v>
      </c>
      <c r="X284" s="20">
        <f t="shared" si="34"/>
        <v>0.89999846564580965</v>
      </c>
    </row>
    <row r="285" spans="1:24" x14ac:dyDescent="0.25">
      <c r="A285" s="5">
        <v>2026</v>
      </c>
      <c r="B285" s="5" t="s">
        <v>0</v>
      </c>
      <c r="C285" s="24" t="s">
        <v>0</v>
      </c>
      <c r="D285" s="5" t="s">
        <v>18</v>
      </c>
      <c r="E285" s="22" t="s">
        <v>693</v>
      </c>
      <c r="F285" s="22" t="s">
        <v>693</v>
      </c>
      <c r="G285" s="5" t="s">
        <v>18</v>
      </c>
      <c r="H285" s="5" t="s">
        <v>365</v>
      </c>
      <c r="I285" s="4">
        <f>INDEX(Breakdown[],MATCH($D285,Breakdown[Dist],0),MATCH(I$4,Breakdown[#Headers],0))</f>
        <v>144867</v>
      </c>
      <c r="J285" s="4">
        <f>INDEX(Breakdown[],MATCH($D285,Breakdown[Dist],0),MATCH(J$4,Breakdown[#Headers],0))</f>
        <v>110049</v>
      </c>
      <c r="K285" s="4">
        <f>INDEX(Breakdown[],MATCH($D285,Breakdown[Dist],0),MATCH(K$4,Breakdown[#Headers],0))</f>
        <v>23570</v>
      </c>
      <c r="L285" s="4">
        <f>INDEX(Breakdown[],MATCH($D285,Breakdown[Dist],0),MATCH(L$4,Breakdown[#Headers],0))</f>
        <v>86479</v>
      </c>
      <c r="M285" s="4">
        <f>INDEX(Breakdown[],MATCH($D285,Breakdown[Dist],0),MATCH(M$4,Breakdown[#Headers],0))</f>
        <v>1887</v>
      </c>
      <c r="N285" s="4">
        <f t="shared" si="28"/>
        <v>123184</v>
      </c>
      <c r="O285" s="15">
        <f t="shared" si="29"/>
        <v>12318</v>
      </c>
      <c r="P285" s="12"/>
      <c r="Q285" s="4">
        <f>INDEX(Breakdown[],MATCH($D285,Breakdown[Dist],0),MATCH(Q$4,Breakdown[#Headers],0))</f>
        <v>34818</v>
      </c>
      <c r="R285" s="4">
        <f>INDEX(Breakdown[],MATCH($D285,Breakdown[Dist],0),MATCH(R$4,Breakdown[#Headers],0))</f>
        <v>1887</v>
      </c>
      <c r="S285" s="14">
        <f t="shared" si="30"/>
        <v>36705</v>
      </c>
      <c r="T285" s="17">
        <f t="shared" si="31"/>
        <v>74161</v>
      </c>
      <c r="U285" s="19">
        <f t="shared" si="32"/>
        <v>110866</v>
      </c>
      <c r="V285" s="12"/>
      <c r="W285" s="20">
        <f t="shared" si="33"/>
        <v>9.9996752825042209E-2</v>
      </c>
      <c r="X285" s="20">
        <f t="shared" si="34"/>
        <v>0.90000324717495783</v>
      </c>
    </row>
    <row r="286" spans="1:24" x14ac:dyDescent="0.25">
      <c r="A286" s="5">
        <v>2026</v>
      </c>
      <c r="B286" s="5" t="s">
        <v>174</v>
      </c>
      <c r="C286" s="24" t="s">
        <v>174</v>
      </c>
      <c r="D286" s="5" t="s">
        <v>220</v>
      </c>
      <c r="E286" s="22" t="s">
        <v>693</v>
      </c>
      <c r="F286" s="22" t="s">
        <v>693</v>
      </c>
      <c r="G286" s="5" t="s">
        <v>220</v>
      </c>
      <c r="H286" s="5" t="s">
        <v>548</v>
      </c>
      <c r="I286" s="4">
        <f>INDEX(Breakdown[],MATCH($D286,Breakdown[Dist],0),MATCH(I$4,Breakdown[#Headers],0))</f>
        <v>117939</v>
      </c>
      <c r="J286" s="4">
        <f>INDEX(Breakdown[],MATCH($D286,Breakdown[Dist],0),MATCH(J$4,Breakdown[#Headers],0))</f>
        <v>95441</v>
      </c>
      <c r="K286" s="4">
        <f>INDEX(Breakdown[],MATCH($D286,Breakdown[Dist],0),MATCH(K$4,Breakdown[#Headers],0))</f>
        <v>20442</v>
      </c>
      <c r="L286" s="4">
        <f>INDEX(Breakdown[],MATCH($D286,Breakdown[Dist],0),MATCH(L$4,Breakdown[#Headers],0))</f>
        <v>74999</v>
      </c>
      <c r="M286" s="4">
        <f>INDEX(Breakdown[],MATCH($D286,Breakdown[Dist],0),MATCH(M$4,Breakdown[#Headers],0))</f>
        <v>10295</v>
      </c>
      <c r="N286" s="4">
        <f t="shared" si="28"/>
        <v>107792</v>
      </c>
      <c r="O286" s="15">
        <f t="shared" si="29"/>
        <v>10779</v>
      </c>
      <c r="P286" s="12"/>
      <c r="Q286" s="4">
        <f>INDEX(Breakdown[],MATCH($D286,Breakdown[Dist],0),MATCH(Q$4,Breakdown[#Headers],0))</f>
        <v>22498</v>
      </c>
      <c r="R286" s="4">
        <f>INDEX(Breakdown[],MATCH($D286,Breakdown[Dist],0),MATCH(R$4,Breakdown[#Headers],0))</f>
        <v>10295</v>
      </c>
      <c r="S286" s="14">
        <f t="shared" si="30"/>
        <v>32793</v>
      </c>
      <c r="T286" s="17">
        <f t="shared" si="31"/>
        <v>64220</v>
      </c>
      <c r="U286" s="19">
        <f t="shared" si="32"/>
        <v>97013</v>
      </c>
      <c r="V286" s="12"/>
      <c r="W286" s="20">
        <f t="shared" si="33"/>
        <v>9.9998144574736533E-2</v>
      </c>
      <c r="X286" s="20">
        <f t="shared" si="34"/>
        <v>0.90000185542526345</v>
      </c>
    </row>
    <row r="287" spans="1:24" x14ac:dyDescent="0.25">
      <c r="A287" s="5">
        <v>2026</v>
      </c>
      <c r="B287" s="5" t="s">
        <v>22</v>
      </c>
      <c r="C287" s="24" t="s">
        <v>22</v>
      </c>
      <c r="D287" s="5" t="s">
        <v>57</v>
      </c>
      <c r="E287" s="22" t="s">
        <v>693</v>
      </c>
      <c r="F287" s="22" t="s">
        <v>693</v>
      </c>
      <c r="G287" s="5" t="s">
        <v>57</v>
      </c>
      <c r="H287" s="5" t="s">
        <v>401</v>
      </c>
      <c r="I287" s="4">
        <f>INDEX(Breakdown[],MATCH($D287,Breakdown[Dist],0),MATCH(I$4,Breakdown[#Headers],0))</f>
        <v>67634</v>
      </c>
      <c r="J287" s="4">
        <f>INDEX(Breakdown[],MATCH($D287,Breakdown[Dist],0),MATCH(J$4,Breakdown[#Headers],0))</f>
        <v>51987</v>
      </c>
      <c r="K287" s="4">
        <f>INDEX(Breakdown[],MATCH($D287,Breakdown[Dist],0),MATCH(K$4,Breakdown[#Headers],0))</f>
        <v>11135</v>
      </c>
      <c r="L287" s="4">
        <f>INDEX(Breakdown[],MATCH($D287,Breakdown[Dist],0),MATCH(L$4,Breakdown[#Headers],0))</f>
        <v>40852</v>
      </c>
      <c r="M287" s="4">
        <f>INDEX(Breakdown[],MATCH($D287,Breakdown[Dist],0),MATCH(M$4,Breakdown[#Headers],0))</f>
        <v>0</v>
      </c>
      <c r="N287" s="4">
        <f t="shared" si="28"/>
        <v>56499</v>
      </c>
      <c r="O287" s="15">
        <f t="shared" si="29"/>
        <v>5650</v>
      </c>
      <c r="P287" s="12"/>
      <c r="Q287" s="4">
        <f>INDEX(Breakdown[],MATCH($D287,Breakdown[Dist],0),MATCH(Q$4,Breakdown[#Headers],0))</f>
        <v>15647</v>
      </c>
      <c r="R287" s="4">
        <f>INDEX(Breakdown[],MATCH($D287,Breakdown[Dist],0),MATCH(R$4,Breakdown[#Headers],0))</f>
        <v>0</v>
      </c>
      <c r="S287" s="14">
        <f t="shared" si="30"/>
        <v>15647</v>
      </c>
      <c r="T287" s="17">
        <f t="shared" si="31"/>
        <v>35202</v>
      </c>
      <c r="U287" s="19">
        <f t="shared" si="32"/>
        <v>50849</v>
      </c>
      <c r="V287" s="12"/>
      <c r="W287" s="20">
        <f t="shared" si="33"/>
        <v>0.10000176994283085</v>
      </c>
      <c r="X287" s="20">
        <f t="shared" si="34"/>
        <v>0.89999823005716917</v>
      </c>
    </row>
    <row r="288" spans="1:24" x14ac:dyDescent="0.25">
      <c r="A288" s="5">
        <v>2026</v>
      </c>
      <c r="B288" s="5" t="s">
        <v>263</v>
      </c>
      <c r="C288" s="24" t="s">
        <v>263</v>
      </c>
      <c r="D288" s="5" t="s">
        <v>304</v>
      </c>
      <c r="E288" s="22" t="s">
        <v>693</v>
      </c>
      <c r="F288" s="22" t="s">
        <v>693</v>
      </c>
      <c r="G288" s="5" t="s">
        <v>304</v>
      </c>
      <c r="H288" s="5" t="s">
        <v>629</v>
      </c>
      <c r="I288" s="4">
        <f>INDEX(Breakdown[],MATCH($D288,Breakdown[Dist],0),MATCH(I$4,Breakdown[#Headers],0))</f>
        <v>281450</v>
      </c>
      <c r="J288" s="4">
        <f>INDEX(Breakdown[],MATCH($D288,Breakdown[Dist],0),MATCH(J$4,Breakdown[#Headers],0))</f>
        <v>222503</v>
      </c>
      <c r="K288" s="4">
        <f>INDEX(Breakdown[],MATCH($D288,Breakdown[Dist],0),MATCH(K$4,Breakdown[#Headers],0))</f>
        <v>47657</v>
      </c>
      <c r="L288" s="4">
        <f>INDEX(Breakdown[],MATCH($D288,Breakdown[Dist],0),MATCH(L$4,Breakdown[#Headers],0))</f>
        <v>174846</v>
      </c>
      <c r="M288" s="4">
        <f>INDEX(Breakdown[],MATCH($D288,Breakdown[Dist],0),MATCH(M$4,Breakdown[#Headers],0))</f>
        <v>0</v>
      </c>
      <c r="N288" s="4">
        <f t="shared" si="28"/>
        <v>233793</v>
      </c>
      <c r="O288" s="15">
        <f t="shared" si="29"/>
        <v>23379</v>
      </c>
      <c r="P288" s="12"/>
      <c r="Q288" s="4">
        <f>INDEX(Breakdown[],MATCH($D288,Breakdown[Dist],0),MATCH(Q$4,Breakdown[#Headers],0))</f>
        <v>58947</v>
      </c>
      <c r="R288" s="4">
        <f>INDEX(Breakdown[],MATCH($D288,Breakdown[Dist],0),MATCH(R$4,Breakdown[#Headers],0))</f>
        <v>0</v>
      </c>
      <c r="S288" s="14">
        <f t="shared" si="30"/>
        <v>58947</v>
      </c>
      <c r="T288" s="17">
        <f t="shared" si="31"/>
        <v>151467</v>
      </c>
      <c r="U288" s="19">
        <f t="shared" si="32"/>
        <v>210414</v>
      </c>
      <c r="V288" s="12"/>
      <c r="W288" s="20">
        <f t="shared" si="33"/>
        <v>9.9998716813591515E-2</v>
      </c>
      <c r="X288" s="20">
        <f t="shared" si="34"/>
        <v>0.90000128318640849</v>
      </c>
    </row>
    <row r="289" spans="1:24" x14ac:dyDescent="0.25">
      <c r="A289" s="5">
        <v>2026</v>
      </c>
      <c r="B289" s="5" t="s">
        <v>60</v>
      </c>
      <c r="C289" s="24" t="s">
        <v>60</v>
      </c>
      <c r="D289" s="5" t="s">
        <v>111</v>
      </c>
      <c r="E289" s="22" t="s">
        <v>693</v>
      </c>
      <c r="F289" s="22" t="s">
        <v>693</v>
      </c>
      <c r="G289" s="5" t="s">
        <v>704</v>
      </c>
      <c r="H289" s="5" t="s">
        <v>446</v>
      </c>
      <c r="I289" s="4">
        <f>INDEX(Breakdown[],MATCH($D289,Breakdown[Dist],0),MATCH(I$4,Breakdown[#Headers],0))</f>
        <v>373012</v>
      </c>
      <c r="J289" s="4">
        <f>INDEX(Breakdown[],MATCH($D289,Breakdown[Dist],0),MATCH(J$4,Breakdown[#Headers],0))</f>
        <v>292110</v>
      </c>
      <c r="K289" s="4">
        <f>INDEX(Breakdown[],MATCH($D289,Breakdown[Dist],0),MATCH(K$4,Breakdown[#Headers],0))</f>
        <v>62565</v>
      </c>
      <c r="L289" s="4">
        <f>INDEX(Breakdown[],MATCH($D289,Breakdown[Dist],0),MATCH(L$4,Breakdown[#Headers],0))</f>
        <v>229545</v>
      </c>
      <c r="M289" s="4">
        <f>INDEX(Breakdown[],MATCH($D289,Breakdown[Dist],0),MATCH(M$4,Breakdown[#Headers],0))</f>
        <v>16858</v>
      </c>
      <c r="N289" s="4">
        <f t="shared" si="28"/>
        <v>327305</v>
      </c>
      <c r="O289" s="15">
        <f t="shared" si="29"/>
        <v>32731</v>
      </c>
      <c r="P289" s="12"/>
      <c r="Q289" s="4">
        <f>INDEX(Breakdown[],MATCH($D289,Breakdown[Dist],0),MATCH(Q$4,Breakdown[#Headers],0))</f>
        <v>80902</v>
      </c>
      <c r="R289" s="4">
        <f>INDEX(Breakdown[],MATCH($D289,Breakdown[Dist],0),MATCH(R$4,Breakdown[#Headers],0))</f>
        <v>16858</v>
      </c>
      <c r="S289" s="14">
        <f t="shared" si="30"/>
        <v>97760</v>
      </c>
      <c r="T289" s="17">
        <f t="shared" si="31"/>
        <v>196814</v>
      </c>
      <c r="U289" s="19">
        <f t="shared" si="32"/>
        <v>294574</v>
      </c>
      <c r="V289" s="12"/>
      <c r="W289" s="20">
        <f t="shared" si="33"/>
        <v>0.10000152762713677</v>
      </c>
      <c r="X289" s="20">
        <f t="shared" si="34"/>
        <v>0.89999847237286323</v>
      </c>
    </row>
    <row r="290" spans="1:24" x14ac:dyDescent="0.25">
      <c r="A290" s="5">
        <v>2026</v>
      </c>
      <c r="B290" s="5" t="s">
        <v>174</v>
      </c>
      <c r="C290" s="24" t="s">
        <v>174</v>
      </c>
      <c r="D290" s="5" t="s">
        <v>221</v>
      </c>
      <c r="E290" s="22" t="s">
        <v>693</v>
      </c>
      <c r="F290" s="22" t="s">
        <v>693</v>
      </c>
      <c r="G290" s="5" t="s">
        <v>221</v>
      </c>
      <c r="H290" s="5" t="s">
        <v>549</v>
      </c>
      <c r="I290" s="4">
        <f>INDEX(Breakdown[],MATCH($D290,Breakdown[Dist],0),MATCH(I$4,Breakdown[#Headers],0))</f>
        <v>137198</v>
      </c>
      <c r="J290" s="4">
        <f>INDEX(Breakdown[],MATCH($D290,Breakdown[Dist],0),MATCH(J$4,Breakdown[#Headers],0))</f>
        <v>111027</v>
      </c>
      <c r="K290" s="4">
        <f>INDEX(Breakdown[],MATCH($D290,Breakdown[Dist],0),MATCH(K$4,Breakdown[#Headers],0))</f>
        <v>23780</v>
      </c>
      <c r="L290" s="4">
        <f>INDEX(Breakdown[],MATCH($D290,Breakdown[Dist],0),MATCH(L$4,Breakdown[#Headers],0))</f>
        <v>87247</v>
      </c>
      <c r="M290" s="4">
        <f>INDEX(Breakdown[],MATCH($D290,Breakdown[Dist],0),MATCH(M$4,Breakdown[#Headers],0))</f>
        <v>1050</v>
      </c>
      <c r="N290" s="4">
        <f t="shared" si="28"/>
        <v>114468</v>
      </c>
      <c r="O290" s="15">
        <f t="shared" si="29"/>
        <v>11447</v>
      </c>
      <c r="P290" s="12"/>
      <c r="Q290" s="4">
        <f>INDEX(Breakdown[],MATCH($D290,Breakdown[Dist],0),MATCH(Q$4,Breakdown[#Headers],0))</f>
        <v>26171</v>
      </c>
      <c r="R290" s="4">
        <f>INDEX(Breakdown[],MATCH($D290,Breakdown[Dist],0),MATCH(R$4,Breakdown[#Headers],0))</f>
        <v>1050</v>
      </c>
      <c r="S290" s="14">
        <f t="shared" si="30"/>
        <v>27221</v>
      </c>
      <c r="T290" s="17">
        <f t="shared" si="31"/>
        <v>75800</v>
      </c>
      <c r="U290" s="19">
        <f t="shared" si="32"/>
        <v>103021</v>
      </c>
      <c r="V290" s="12"/>
      <c r="W290" s="20">
        <f t="shared" si="33"/>
        <v>0.10000174721319495</v>
      </c>
      <c r="X290" s="20">
        <f t="shared" si="34"/>
        <v>0.89999825278680501</v>
      </c>
    </row>
    <row r="291" spans="1:24" x14ac:dyDescent="0.25">
      <c r="A291" s="5">
        <v>2026</v>
      </c>
      <c r="B291" s="5" t="s">
        <v>174</v>
      </c>
      <c r="C291" s="24" t="s">
        <v>174</v>
      </c>
      <c r="D291" s="5" t="s">
        <v>222</v>
      </c>
      <c r="E291" s="22" t="s">
        <v>693</v>
      </c>
      <c r="F291" s="22" t="s">
        <v>693</v>
      </c>
      <c r="G291" s="5" t="s">
        <v>222</v>
      </c>
      <c r="H291" s="5" t="s">
        <v>550</v>
      </c>
      <c r="I291" s="4">
        <f>INDEX(Breakdown[],MATCH($D291,Breakdown[Dist],0),MATCH(I$4,Breakdown[#Headers],0))</f>
        <v>1348026</v>
      </c>
      <c r="J291" s="4">
        <f>INDEX(Breakdown[],MATCH($D291,Breakdown[Dist],0),MATCH(J$4,Breakdown[#Headers],0))</f>
        <v>1090879</v>
      </c>
      <c r="K291" s="4">
        <f>INDEX(Breakdown[],MATCH($D291,Breakdown[Dist],0),MATCH(K$4,Breakdown[#Headers],0))</f>
        <v>233649</v>
      </c>
      <c r="L291" s="4">
        <f>INDEX(Breakdown[],MATCH($D291,Breakdown[Dist],0),MATCH(L$4,Breakdown[#Headers],0))</f>
        <v>857230</v>
      </c>
      <c r="M291" s="4">
        <f>INDEX(Breakdown[],MATCH($D291,Breakdown[Dist],0),MATCH(M$4,Breakdown[#Headers],0))</f>
        <v>0</v>
      </c>
      <c r="N291" s="4">
        <f t="shared" si="28"/>
        <v>1114377</v>
      </c>
      <c r="O291" s="15">
        <f t="shared" si="29"/>
        <v>111438</v>
      </c>
      <c r="P291" s="12"/>
      <c r="Q291" s="4">
        <f>INDEX(Breakdown[],MATCH($D291,Breakdown[Dist],0),MATCH(Q$4,Breakdown[#Headers],0))</f>
        <v>257147</v>
      </c>
      <c r="R291" s="4">
        <f>INDEX(Breakdown[],MATCH($D291,Breakdown[Dist],0),MATCH(R$4,Breakdown[#Headers],0))</f>
        <v>0</v>
      </c>
      <c r="S291" s="14">
        <f t="shared" si="30"/>
        <v>257147</v>
      </c>
      <c r="T291" s="17">
        <f t="shared" si="31"/>
        <v>745792</v>
      </c>
      <c r="U291" s="19">
        <f t="shared" si="32"/>
        <v>1002939</v>
      </c>
      <c r="V291" s="12"/>
      <c r="W291" s="20">
        <f t="shared" si="33"/>
        <v>0.10000026920871483</v>
      </c>
      <c r="X291" s="20">
        <f t="shared" si="34"/>
        <v>0.89999973079128515</v>
      </c>
    </row>
    <row r="292" spans="1:24" x14ac:dyDescent="0.25">
      <c r="A292" s="5">
        <v>2026</v>
      </c>
      <c r="B292" s="5" t="s">
        <v>308</v>
      </c>
      <c r="C292" s="24" t="s">
        <v>308</v>
      </c>
      <c r="D292" s="5" t="s">
        <v>335</v>
      </c>
      <c r="E292" s="22" t="s">
        <v>693</v>
      </c>
      <c r="F292" s="22" t="s">
        <v>693</v>
      </c>
      <c r="G292" s="5" t="s">
        <v>335</v>
      </c>
      <c r="H292" s="5" t="s">
        <v>674</v>
      </c>
      <c r="I292" s="4">
        <f>INDEX(Breakdown[],MATCH($D292,Breakdown[Dist],0),MATCH(I$4,Breakdown[#Headers],0))</f>
        <v>376697</v>
      </c>
      <c r="J292" s="4">
        <f>INDEX(Breakdown[],MATCH($D292,Breakdown[Dist],0),MATCH(J$4,Breakdown[#Headers],0))</f>
        <v>300070</v>
      </c>
      <c r="K292" s="4">
        <f>INDEX(Breakdown[],MATCH($D292,Breakdown[Dist],0),MATCH(K$4,Breakdown[#Headers],0))</f>
        <v>64271</v>
      </c>
      <c r="L292" s="4">
        <f>INDEX(Breakdown[],MATCH($D292,Breakdown[Dist],0),MATCH(L$4,Breakdown[#Headers],0))</f>
        <v>235799</v>
      </c>
      <c r="M292" s="4">
        <f>INDEX(Breakdown[],MATCH($D292,Breakdown[Dist],0),MATCH(M$4,Breakdown[#Headers],0))</f>
        <v>0</v>
      </c>
      <c r="N292" s="4">
        <f t="shared" si="28"/>
        <v>312426</v>
      </c>
      <c r="O292" s="15">
        <f t="shared" si="29"/>
        <v>31243</v>
      </c>
      <c r="P292" s="12"/>
      <c r="Q292" s="4">
        <f>INDEX(Breakdown[],MATCH($D292,Breakdown[Dist],0),MATCH(Q$4,Breakdown[#Headers],0))</f>
        <v>76627</v>
      </c>
      <c r="R292" s="4">
        <f>INDEX(Breakdown[],MATCH($D292,Breakdown[Dist],0),MATCH(R$4,Breakdown[#Headers],0))</f>
        <v>0</v>
      </c>
      <c r="S292" s="14">
        <f t="shared" si="30"/>
        <v>76627</v>
      </c>
      <c r="T292" s="17">
        <f t="shared" si="31"/>
        <v>204556</v>
      </c>
      <c r="U292" s="19">
        <f t="shared" si="32"/>
        <v>281183</v>
      </c>
      <c r="V292" s="12"/>
      <c r="W292" s="20">
        <f t="shared" si="33"/>
        <v>0.10000128030317579</v>
      </c>
      <c r="X292" s="20">
        <f t="shared" si="34"/>
        <v>0.89999871969682421</v>
      </c>
    </row>
    <row r="293" spans="1:24" x14ac:dyDescent="0.25">
      <c r="A293" s="5">
        <v>2026</v>
      </c>
      <c r="B293" s="5" t="s">
        <v>174</v>
      </c>
      <c r="C293" s="24" t="s">
        <v>174</v>
      </c>
      <c r="D293" s="5" t="s">
        <v>223</v>
      </c>
      <c r="E293" s="22" t="s">
        <v>693</v>
      </c>
      <c r="F293" s="22" t="s">
        <v>693</v>
      </c>
      <c r="G293" s="5" t="s">
        <v>223</v>
      </c>
      <c r="H293" s="5" t="s">
        <v>551</v>
      </c>
      <c r="I293" s="4">
        <f>INDEX(Breakdown[],MATCH($D293,Breakdown[Dist],0),MATCH(I$4,Breakdown[#Headers],0))</f>
        <v>348836</v>
      </c>
      <c r="J293" s="4">
        <f>INDEX(Breakdown[],MATCH($D293,Breakdown[Dist],0),MATCH(J$4,Breakdown[#Headers],0))</f>
        <v>282293</v>
      </c>
      <c r="K293" s="4">
        <f>INDEX(Breakdown[],MATCH($D293,Breakdown[Dist],0),MATCH(K$4,Breakdown[#Headers],0))</f>
        <v>60463</v>
      </c>
      <c r="L293" s="4">
        <f>INDEX(Breakdown[],MATCH($D293,Breakdown[Dist],0),MATCH(L$4,Breakdown[#Headers],0))</f>
        <v>221830</v>
      </c>
      <c r="M293" s="4">
        <f>INDEX(Breakdown[],MATCH($D293,Breakdown[Dist],0),MATCH(M$4,Breakdown[#Headers],0))</f>
        <v>0</v>
      </c>
      <c r="N293" s="4">
        <f t="shared" si="28"/>
        <v>288373</v>
      </c>
      <c r="O293" s="15">
        <f t="shared" si="29"/>
        <v>28837</v>
      </c>
      <c r="P293" s="12"/>
      <c r="Q293" s="4">
        <f>INDEX(Breakdown[],MATCH($D293,Breakdown[Dist],0),MATCH(Q$4,Breakdown[#Headers],0))</f>
        <v>66543</v>
      </c>
      <c r="R293" s="4">
        <f>INDEX(Breakdown[],MATCH($D293,Breakdown[Dist],0),MATCH(R$4,Breakdown[#Headers],0))</f>
        <v>0</v>
      </c>
      <c r="S293" s="14">
        <f t="shared" si="30"/>
        <v>66543</v>
      </c>
      <c r="T293" s="17">
        <f t="shared" si="31"/>
        <v>192993</v>
      </c>
      <c r="U293" s="19">
        <f t="shared" si="32"/>
        <v>259536</v>
      </c>
      <c r="V293" s="12"/>
      <c r="W293" s="20">
        <f t="shared" si="33"/>
        <v>9.9998959680691321E-2</v>
      </c>
      <c r="X293" s="20">
        <f t="shared" si="34"/>
        <v>0.90000104031930872</v>
      </c>
    </row>
    <row r="294" spans="1:24" x14ac:dyDescent="0.25">
      <c r="A294" s="5">
        <v>2026</v>
      </c>
      <c r="B294" s="5" t="s">
        <v>263</v>
      </c>
      <c r="C294" s="24" t="s">
        <v>263</v>
      </c>
      <c r="D294" s="5" t="s">
        <v>305</v>
      </c>
      <c r="E294" s="22" t="s">
        <v>693</v>
      </c>
      <c r="F294" s="22" t="s">
        <v>693</v>
      </c>
      <c r="G294" s="5" t="s">
        <v>305</v>
      </c>
      <c r="H294" s="5" t="s">
        <v>630</v>
      </c>
      <c r="I294" s="4">
        <f>INDEX(Breakdown[],MATCH($D294,Breakdown[Dist],0),MATCH(I$4,Breakdown[#Headers],0))</f>
        <v>108182</v>
      </c>
      <c r="J294" s="4">
        <f>INDEX(Breakdown[],MATCH($D294,Breakdown[Dist],0),MATCH(J$4,Breakdown[#Headers],0))</f>
        <v>85524</v>
      </c>
      <c r="K294" s="4">
        <f>INDEX(Breakdown[],MATCH($D294,Breakdown[Dist],0),MATCH(K$4,Breakdown[#Headers],0))</f>
        <v>18318</v>
      </c>
      <c r="L294" s="4">
        <f>INDEX(Breakdown[],MATCH($D294,Breakdown[Dist],0),MATCH(L$4,Breakdown[#Headers],0))</f>
        <v>67206</v>
      </c>
      <c r="M294" s="4">
        <f>INDEX(Breakdown[],MATCH($D294,Breakdown[Dist],0),MATCH(M$4,Breakdown[#Headers],0))</f>
        <v>8921</v>
      </c>
      <c r="N294" s="4">
        <f t="shared" si="28"/>
        <v>98785</v>
      </c>
      <c r="O294" s="15">
        <f t="shared" si="29"/>
        <v>9879</v>
      </c>
      <c r="P294" s="12"/>
      <c r="Q294" s="4">
        <f>INDEX(Breakdown[],MATCH($D294,Breakdown[Dist],0),MATCH(Q$4,Breakdown[#Headers],0))</f>
        <v>22658</v>
      </c>
      <c r="R294" s="4">
        <f>INDEX(Breakdown[],MATCH($D294,Breakdown[Dist],0),MATCH(R$4,Breakdown[#Headers],0))</f>
        <v>8921</v>
      </c>
      <c r="S294" s="14">
        <f t="shared" si="30"/>
        <v>31579</v>
      </c>
      <c r="T294" s="17">
        <f t="shared" si="31"/>
        <v>57327</v>
      </c>
      <c r="U294" s="19">
        <f t="shared" si="32"/>
        <v>88906</v>
      </c>
      <c r="V294" s="12"/>
      <c r="W294" s="20">
        <f t="shared" si="33"/>
        <v>0.10000506149719086</v>
      </c>
      <c r="X294" s="20">
        <f t="shared" si="34"/>
        <v>0.89999493850280909</v>
      </c>
    </row>
    <row r="295" spans="1:24" x14ac:dyDescent="0.25">
      <c r="A295" s="5">
        <v>2026</v>
      </c>
      <c r="B295" s="5" t="s">
        <v>140</v>
      </c>
      <c r="C295" s="24" t="s">
        <v>140</v>
      </c>
      <c r="D295" s="5" t="s">
        <v>170</v>
      </c>
      <c r="E295" s="22" t="s">
        <v>693</v>
      </c>
      <c r="F295" s="22" t="s">
        <v>693</v>
      </c>
      <c r="G295" s="5" t="s">
        <v>170</v>
      </c>
      <c r="H295" s="5" t="s">
        <v>501</v>
      </c>
      <c r="I295" s="4">
        <f>INDEX(Breakdown[],MATCH($D295,Breakdown[Dist],0),MATCH(I$4,Breakdown[#Headers],0))</f>
        <v>640806</v>
      </c>
      <c r="J295" s="4">
        <f>INDEX(Breakdown[],MATCH($D295,Breakdown[Dist],0),MATCH(J$4,Breakdown[#Headers],0))</f>
        <v>507992</v>
      </c>
      <c r="K295" s="4">
        <f>INDEX(Breakdown[],MATCH($D295,Breakdown[Dist],0),MATCH(K$4,Breakdown[#Headers],0))</f>
        <v>108804</v>
      </c>
      <c r="L295" s="4">
        <f>INDEX(Breakdown[],MATCH($D295,Breakdown[Dist],0),MATCH(L$4,Breakdown[#Headers],0))</f>
        <v>399188</v>
      </c>
      <c r="M295" s="4">
        <f>INDEX(Breakdown[],MATCH($D295,Breakdown[Dist],0),MATCH(M$4,Breakdown[#Headers],0))</f>
        <v>0</v>
      </c>
      <c r="N295" s="4">
        <f t="shared" si="28"/>
        <v>532002</v>
      </c>
      <c r="O295" s="15">
        <f t="shared" si="29"/>
        <v>53200</v>
      </c>
      <c r="P295" s="12"/>
      <c r="Q295" s="4">
        <f>INDEX(Breakdown[],MATCH($D295,Breakdown[Dist],0),MATCH(Q$4,Breakdown[#Headers],0))</f>
        <v>132814</v>
      </c>
      <c r="R295" s="4">
        <f>INDEX(Breakdown[],MATCH($D295,Breakdown[Dist],0),MATCH(R$4,Breakdown[#Headers],0))</f>
        <v>0</v>
      </c>
      <c r="S295" s="14">
        <f t="shared" si="30"/>
        <v>132814</v>
      </c>
      <c r="T295" s="17">
        <f t="shared" si="31"/>
        <v>345988</v>
      </c>
      <c r="U295" s="19">
        <f t="shared" si="32"/>
        <v>478802</v>
      </c>
      <c r="V295" s="12"/>
      <c r="W295" s="20">
        <f t="shared" si="33"/>
        <v>9.999962406156368E-2</v>
      </c>
      <c r="X295" s="20">
        <f t="shared" si="34"/>
        <v>0.90000037593843629</v>
      </c>
    </row>
    <row r="296" spans="1:24" x14ac:dyDescent="0.25">
      <c r="A296" s="5">
        <v>2026</v>
      </c>
      <c r="B296" s="5" t="s">
        <v>308</v>
      </c>
      <c r="C296" s="24" t="s">
        <v>308</v>
      </c>
      <c r="D296" s="5" t="s">
        <v>336</v>
      </c>
      <c r="E296" s="22" t="s">
        <v>693</v>
      </c>
      <c r="F296" s="22" t="s">
        <v>693</v>
      </c>
      <c r="G296" s="5" t="s">
        <v>336</v>
      </c>
      <c r="H296" s="5" t="s">
        <v>659</v>
      </c>
      <c r="I296" s="4">
        <f>INDEX(Breakdown[],MATCH($D296,Breakdown[Dist],0),MATCH(I$4,Breakdown[#Headers],0))</f>
        <v>192830</v>
      </c>
      <c r="J296" s="4">
        <f>INDEX(Breakdown[],MATCH($D296,Breakdown[Dist],0),MATCH(J$4,Breakdown[#Headers],0))</f>
        <v>153605</v>
      </c>
      <c r="K296" s="4">
        <f>INDEX(Breakdown[],MATCH($D296,Breakdown[Dist],0),MATCH(K$4,Breakdown[#Headers],0))</f>
        <v>32899</v>
      </c>
      <c r="L296" s="4">
        <f>INDEX(Breakdown[],MATCH($D296,Breakdown[Dist],0),MATCH(L$4,Breakdown[#Headers],0))</f>
        <v>120706</v>
      </c>
      <c r="M296" s="4">
        <f>INDEX(Breakdown[],MATCH($D296,Breakdown[Dist],0),MATCH(M$4,Breakdown[#Headers],0))</f>
        <v>0</v>
      </c>
      <c r="N296" s="4">
        <f t="shared" si="28"/>
        <v>159931</v>
      </c>
      <c r="O296" s="15">
        <f t="shared" si="29"/>
        <v>15993</v>
      </c>
      <c r="P296" s="12"/>
      <c r="Q296" s="4">
        <f>INDEX(Breakdown[],MATCH($D296,Breakdown[Dist],0),MATCH(Q$4,Breakdown[#Headers],0))</f>
        <v>39225</v>
      </c>
      <c r="R296" s="4">
        <f>INDEX(Breakdown[],MATCH($D296,Breakdown[Dist],0),MATCH(R$4,Breakdown[#Headers],0))</f>
        <v>0</v>
      </c>
      <c r="S296" s="14">
        <f t="shared" si="30"/>
        <v>39225</v>
      </c>
      <c r="T296" s="17">
        <f t="shared" si="31"/>
        <v>104713</v>
      </c>
      <c r="U296" s="19">
        <f t="shared" si="32"/>
        <v>143938</v>
      </c>
      <c r="V296" s="12"/>
      <c r="W296" s="20">
        <f t="shared" si="33"/>
        <v>9.9999374730352461E-2</v>
      </c>
      <c r="X296" s="20">
        <f t="shared" si="34"/>
        <v>0.90000062526964753</v>
      </c>
    </row>
    <row r="297" spans="1:24" x14ac:dyDescent="0.25">
      <c r="A297" s="5">
        <v>2026</v>
      </c>
      <c r="B297" s="5" t="s">
        <v>308</v>
      </c>
      <c r="C297" s="24" t="s">
        <v>308</v>
      </c>
      <c r="D297" s="5" t="s">
        <v>337</v>
      </c>
      <c r="E297" s="22" t="s">
        <v>693</v>
      </c>
      <c r="F297" s="22" t="s">
        <v>693</v>
      </c>
      <c r="G297" s="5" t="s">
        <v>337</v>
      </c>
      <c r="H297" s="5" t="s">
        <v>660</v>
      </c>
      <c r="I297" s="4">
        <f>INDEX(Breakdown[],MATCH($D297,Breakdown[Dist],0),MATCH(I$4,Breakdown[#Headers],0))</f>
        <v>208290</v>
      </c>
      <c r="J297" s="4">
        <f>INDEX(Breakdown[],MATCH($D297,Breakdown[Dist],0),MATCH(J$4,Breakdown[#Headers],0))</f>
        <v>165920</v>
      </c>
      <c r="K297" s="4">
        <f>INDEX(Breakdown[],MATCH($D297,Breakdown[Dist],0),MATCH(K$4,Breakdown[#Headers],0))</f>
        <v>35538</v>
      </c>
      <c r="L297" s="4">
        <f>INDEX(Breakdown[],MATCH($D297,Breakdown[Dist],0),MATCH(L$4,Breakdown[#Headers],0))</f>
        <v>130382</v>
      </c>
      <c r="M297" s="4">
        <f>INDEX(Breakdown[],MATCH($D297,Breakdown[Dist],0),MATCH(M$4,Breakdown[#Headers],0))</f>
        <v>20716</v>
      </c>
      <c r="N297" s="4">
        <f t="shared" si="28"/>
        <v>193468</v>
      </c>
      <c r="O297" s="15">
        <f t="shared" si="29"/>
        <v>19347</v>
      </c>
      <c r="P297" s="12"/>
      <c r="Q297" s="4">
        <f>INDEX(Breakdown[],MATCH($D297,Breakdown[Dist],0),MATCH(Q$4,Breakdown[#Headers],0))</f>
        <v>42370</v>
      </c>
      <c r="R297" s="4">
        <f>INDEX(Breakdown[],MATCH($D297,Breakdown[Dist],0),MATCH(R$4,Breakdown[#Headers],0))</f>
        <v>20716</v>
      </c>
      <c r="S297" s="14">
        <f t="shared" si="30"/>
        <v>63086</v>
      </c>
      <c r="T297" s="17">
        <f t="shared" si="31"/>
        <v>111035</v>
      </c>
      <c r="U297" s="19">
        <f t="shared" si="32"/>
        <v>174121</v>
      </c>
      <c r="V297" s="12"/>
      <c r="W297" s="20">
        <f t="shared" si="33"/>
        <v>0.10000103376268944</v>
      </c>
      <c r="X297" s="20">
        <f t="shared" si="34"/>
        <v>0.89999896623731057</v>
      </c>
    </row>
    <row r="298" spans="1:24" x14ac:dyDescent="0.25">
      <c r="A298" s="5">
        <v>2026</v>
      </c>
      <c r="B298" s="5" t="s">
        <v>60</v>
      </c>
      <c r="C298" s="24" t="s">
        <v>60</v>
      </c>
      <c r="D298" s="5" t="s">
        <v>112</v>
      </c>
      <c r="E298" s="22" t="s">
        <v>693</v>
      </c>
      <c r="F298" s="22" t="s">
        <v>693</v>
      </c>
      <c r="G298" s="5" t="s">
        <v>112</v>
      </c>
      <c r="H298" s="5" t="s">
        <v>447</v>
      </c>
      <c r="I298" s="4">
        <f>INDEX(Breakdown[],MATCH($D298,Breakdown[Dist],0),MATCH(I$4,Breakdown[#Headers],0))</f>
        <v>237587</v>
      </c>
      <c r="J298" s="4">
        <f>INDEX(Breakdown[],MATCH($D298,Breakdown[Dist],0),MATCH(J$4,Breakdown[#Headers],0))</f>
        <v>186057</v>
      </c>
      <c r="K298" s="4">
        <f>INDEX(Breakdown[],MATCH($D298,Breakdown[Dist],0),MATCH(K$4,Breakdown[#Headers],0))</f>
        <v>39850</v>
      </c>
      <c r="L298" s="4">
        <f>INDEX(Breakdown[],MATCH($D298,Breakdown[Dist],0),MATCH(L$4,Breakdown[#Headers],0))</f>
        <v>146207</v>
      </c>
      <c r="M298" s="4">
        <f>INDEX(Breakdown[],MATCH($D298,Breakdown[Dist],0),MATCH(M$4,Breakdown[#Headers],0))</f>
        <v>12417</v>
      </c>
      <c r="N298" s="4">
        <f t="shared" si="28"/>
        <v>210154</v>
      </c>
      <c r="O298" s="15">
        <f t="shared" si="29"/>
        <v>21015</v>
      </c>
      <c r="P298" s="12"/>
      <c r="Q298" s="4">
        <f>INDEX(Breakdown[],MATCH($D298,Breakdown[Dist],0),MATCH(Q$4,Breakdown[#Headers],0))</f>
        <v>51530</v>
      </c>
      <c r="R298" s="4">
        <f>INDEX(Breakdown[],MATCH($D298,Breakdown[Dist],0),MATCH(R$4,Breakdown[#Headers],0))</f>
        <v>12417</v>
      </c>
      <c r="S298" s="14">
        <f t="shared" si="30"/>
        <v>63947</v>
      </c>
      <c r="T298" s="17">
        <f t="shared" si="31"/>
        <v>125192</v>
      </c>
      <c r="U298" s="19">
        <f t="shared" si="32"/>
        <v>189139</v>
      </c>
      <c r="V298" s="12"/>
      <c r="W298" s="20">
        <f t="shared" si="33"/>
        <v>9.9998096633897041E-2</v>
      </c>
      <c r="X298" s="20">
        <f t="shared" si="34"/>
        <v>0.90000190336610297</v>
      </c>
    </row>
    <row r="299" spans="1:24" x14ac:dyDescent="0.25">
      <c r="A299" s="5">
        <v>2026</v>
      </c>
      <c r="B299" s="5" t="s">
        <v>140</v>
      </c>
      <c r="C299" s="24" t="s">
        <v>140</v>
      </c>
      <c r="D299" s="5" t="s">
        <v>171</v>
      </c>
      <c r="E299" s="22" t="s">
        <v>693</v>
      </c>
      <c r="F299" s="22" t="s">
        <v>693</v>
      </c>
      <c r="G299" s="5" t="s">
        <v>171</v>
      </c>
      <c r="H299" s="5" t="s">
        <v>502</v>
      </c>
      <c r="I299" s="4">
        <f>INDEX(Breakdown[],MATCH($D299,Breakdown[Dist],0),MATCH(I$4,Breakdown[#Headers],0))</f>
        <v>635336</v>
      </c>
      <c r="J299" s="4">
        <f>INDEX(Breakdown[],MATCH($D299,Breakdown[Dist],0),MATCH(J$4,Breakdown[#Headers],0))</f>
        <v>503656</v>
      </c>
      <c r="K299" s="4">
        <f>INDEX(Breakdown[],MATCH($D299,Breakdown[Dist],0),MATCH(K$4,Breakdown[#Headers],0))</f>
        <v>107875</v>
      </c>
      <c r="L299" s="4">
        <f>INDEX(Breakdown[],MATCH($D299,Breakdown[Dist],0),MATCH(L$4,Breakdown[#Headers],0))</f>
        <v>395781</v>
      </c>
      <c r="M299" s="4">
        <f>INDEX(Breakdown[],MATCH($D299,Breakdown[Dist],0),MATCH(M$4,Breakdown[#Headers],0))</f>
        <v>5632</v>
      </c>
      <c r="N299" s="4">
        <f t="shared" si="28"/>
        <v>533093</v>
      </c>
      <c r="O299" s="15">
        <f t="shared" si="29"/>
        <v>53309</v>
      </c>
      <c r="P299" s="12"/>
      <c r="Q299" s="4">
        <f>INDEX(Breakdown[],MATCH($D299,Breakdown[Dist],0),MATCH(Q$4,Breakdown[#Headers],0))</f>
        <v>131680</v>
      </c>
      <c r="R299" s="4">
        <f>INDEX(Breakdown[],MATCH($D299,Breakdown[Dist],0),MATCH(R$4,Breakdown[#Headers],0))</f>
        <v>5632</v>
      </c>
      <c r="S299" s="14">
        <f t="shared" si="30"/>
        <v>137312</v>
      </c>
      <c r="T299" s="17">
        <f t="shared" si="31"/>
        <v>342472</v>
      </c>
      <c r="U299" s="19">
        <f t="shared" si="32"/>
        <v>479784</v>
      </c>
      <c r="V299" s="12"/>
      <c r="W299" s="20">
        <f t="shared" si="33"/>
        <v>9.9999437246409167E-2</v>
      </c>
      <c r="X299" s="20">
        <f t="shared" si="34"/>
        <v>0.90000056275359086</v>
      </c>
    </row>
    <row r="300" spans="1:24" x14ac:dyDescent="0.25">
      <c r="A300" s="5">
        <v>2026</v>
      </c>
      <c r="B300" s="5" t="s">
        <v>60</v>
      </c>
      <c r="C300" s="24" t="s">
        <v>60</v>
      </c>
      <c r="D300" s="5" t="s">
        <v>113</v>
      </c>
      <c r="E300" s="22" t="s">
        <v>693</v>
      </c>
      <c r="F300" s="22" t="s">
        <v>693</v>
      </c>
      <c r="G300" s="5" t="s">
        <v>113</v>
      </c>
      <c r="H300" s="5" t="s">
        <v>448</v>
      </c>
      <c r="I300" s="4">
        <f>INDEX(Breakdown[],MATCH($D300,Breakdown[Dist],0),MATCH(I$4,Breakdown[#Headers],0))</f>
        <v>4652046</v>
      </c>
      <c r="J300" s="4">
        <f>INDEX(Breakdown[],MATCH($D300,Breakdown[Dist],0),MATCH(J$4,Breakdown[#Headers],0))</f>
        <v>3643073</v>
      </c>
      <c r="K300" s="4">
        <f>INDEX(Breakdown[],MATCH($D300,Breakdown[Dist],0),MATCH(K$4,Breakdown[#Headers],0))</f>
        <v>780288</v>
      </c>
      <c r="L300" s="4">
        <f>INDEX(Breakdown[],MATCH($D300,Breakdown[Dist],0),MATCH(L$4,Breakdown[#Headers],0))</f>
        <v>2862785</v>
      </c>
      <c r="M300" s="4">
        <f>INDEX(Breakdown[],MATCH($D300,Breakdown[Dist],0),MATCH(M$4,Breakdown[#Headers],0))</f>
        <v>0</v>
      </c>
      <c r="N300" s="4">
        <f t="shared" si="28"/>
        <v>3871758</v>
      </c>
      <c r="O300" s="15">
        <f t="shared" si="29"/>
        <v>387176</v>
      </c>
      <c r="P300" s="12"/>
      <c r="Q300" s="4">
        <f>INDEX(Breakdown[],MATCH($D300,Breakdown[Dist],0),MATCH(Q$4,Breakdown[#Headers],0))</f>
        <v>1008973</v>
      </c>
      <c r="R300" s="4">
        <f>INDEX(Breakdown[],MATCH($D300,Breakdown[Dist],0),MATCH(R$4,Breakdown[#Headers],0))</f>
        <v>0</v>
      </c>
      <c r="S300" s="14">
        <f t="shared" si="30"/>
        <v>1008973</v>
      </c>
      <c r="T300" s="17">
        <f t="shared" si="31"/>
        <v>2475609</v>
      </c>
      <c r="U300" s="19">
        <f t="shared" si="32"/>
        <v>3484582</v>
      </c>
      <c r="V300" s="12"/>
      <c r="W300" s="20">
        <f t="shared" si="33"/>
        <v>0.10000005165612107</v>
      </c>
      <c r="X300" s="20">
        <f t="shared" si="34"/>
        <v>0.89999994834387897</v>
      </c>
    </row>
    <row r="301" spans="1:24" x14ac:dyDescent="0.25">
      <c r="A301" s="5">
        <v>2026</v>
      </c>
      <c r="B301" s="5" t="s">
        <v>174</v>
      </c>
      <c r="C301" s="24" t="s">
        <v>174</v>
      </c>
      <c r="D301" s="5" t="s">
        <v>224</v>
      </c>
      <c r="E301" s="22" t="s">
        <v>693</v>
      </c>
      <c r="F301" s="22" t="s">
        <v>693</v>
      </c>
      <c r="G301" s="5" t="s">
        <v>224</v>
      </c>
      <c r="H301" s="5" t="s">
        <v>552</v>
      </c>
      <c r="I301" s="4">
        <f>INDEX(Breakdown[],MATCH($D301,Breakdown[Dist],0),MATCH(I$4,Breakdown[#Headers],0))</f>
        <v>5342545</v>
      </c>
      <c r="J301" s="4">
        <f>INDEX(Breakdown[],MATCH($D301,Breakdown[Dist],0),MATCH(J$4,Breakdown[#Headers],0))</f>
        <v>4323410</v>
      </c>
      <c r="K301" s="4">
        <f>INDEX(Breakdown[],MATCH($D301,Breakdown[Dist],0),MATCH(K$4,Breakdown[#Headers],0))</f>
        <v>926006</v>
      </c>
      <c r="L301" s="4">
        <f>INDEX(Breakdown[],MATCH($D301,Breakdown[Dist],0),MATCH(L$4,Breakdown[#Headers],0))</f>
        <v>3397404</v>
      </c>
      <c r="M301" s="4">
        <f>INDEX(Breakdown[],MATCH($D301,Breakdown[Dist],0),MATCH(M$4,Breakdown[#Headers],0))</f>
        <v>0</v>
      </c>
      <c r="N301" s="4">
        <f t="shared" si="28"/>
        <v>4416539</v>
      </c>
      <c r="O301" s="15">
        <f t="shared" si="29"/>
        <v>441654</v>
      </c>
      <c r="P301" s="12"/>
      <c r="Q301" s="4">
        <f>INDEX(Breakdown[],MATCH($D301,Breakdown[Dist],0),MATCH(Q$4,Breakdown[#Headers],0))</f>
        <v>1019135</v>
      </c>
      <c r="R301" s="4">
        <f>INDEX(Breakdown[],MATCH($D301,Breakdown[Dist],0),MATCH(R$4,Breakdown[#Headers],0))</f>
        <v>0</v>
      </c>
      <c r="S301" s="14">
        <f t="shared" si="30"/>
        <v>1019135</v>
      </c>
      <c r="T301" s="17">
        <f t="shared" si="31"/>
        <v>2955750</v>
      </c>
      <c r="U301" s="19">
        <f t="shared" si="32"/>
        <v>3974885</v>
      </c>
      <c r="V301" s="12"/>
      <c r="W301" s="20">
        <f t="shared" si="33"/>
        <v>0.10000002264216393</v>
      </c>
      <c r="X301" s="20">
        <f t="shared" si="34"/>
        <v>0.8999999773578361</v>
      </c>
    </row>
    <row r="302" spans="1:24" x14ac:dyDescent="0.25">
      <c r="A302" s="5">
        <v>2026</v>
      </c>
      <c r="B302" s="5" t="s">
        <v>60</v>
      </c>
      <c r="C302" s="24" t="s">
        <v>60</v>
      </c>
      <c r="D302" s="5" t="s">
        <v>114</v>
      </c>
      <c r="E302" s="22" t="s">
        <v>693</v>
      </c>
      <c r="F302" s="22" t="s">
        <v>693</v>
      </c>
      <c r="G302" s="5" t="s">
        <v>114</v>
      </c>
      <c r="H302" s="5" t="s">
        <v>449</v>
      </c>
      <c r="I302" s="4">
        <f>INDEX(Breakdown[],MATCH($D302,Breakdown[Dist],0),MATCH(I$4,Breakdown[#Headers],0))</f>
        <v>858491</v>
      </c>
      <c r="J302" s="4">
        <f>INDEX(Breakdown[],MATCH($D302,Breakdown[Dist],0),MATCH(J$4,Breakdown[#Headers],0))</f>
        <v>672295</v>
      </c>
      <c r="K302" s="4">
        <f>INDEX(Breakdown[],MATCH($D302,Breakdown[Dist],0),MATCH(K$4,Breakdown[#Headers],0))</f>
        <v>143995</v>
      </c>
      <c r="L302" s="4">
        <f>INDEX(Breakdown[],MATCH($D302,Breakdown[Dist],0),MATCH(L$4,Breakdown[#Headers],0))</f>
        <v>528300</v>
      </c>
      <c r="M302" s="4">
        <f>INDEX(Breakdown[],MATCH($D302,Breakdown[Dist],0),MATCH(M$4,Breakdown[#Headers],0))</f>
        <v>0</v>
      </c>
      <c r="N302" s="4">
        <f t="shared" si="28"/>
        <v>714496</v>
      </c>
      <c r="O302" s="15">
        <f t="shared" si="29"/>
        <v>71450</v>
      </c>
      <c r="P302" s="12"/>
      <c r="Q302" s="4">
        <f>INDEX(Breakdown[],MATCH($D302,Breakdown[Dist],0),MATCH(Q$4,Breakdown[#Headers],0))</f>
        <v>186196</v>
      </c>
      <c r="R302" s="4">
        <f>INDEX(Breakdown[],MATCH($D302,Breakdown[Dist],0),MATCH(R$4,Breakdown[#Headers],0))</f>
        <v>0</v>
      </c>
      <c r="S302" s="14">
        <f t="shared" si="30"/>
        <v>186196</v>
      </c>
      <c r="T302" s="17">
        <f t="shared" si="31"/>
        <v>456850</v>
      </c>
      <c r="U302" s="19">
        <f t="shared" si="32"/>
        <v>643046</v>
      </c>
      <c r="V302" s="12"/>
      <c r="W302" s="20">
        <f t="shared" si="33"/>
        <v>0.10000055983518452</v>
      </c>
      <c r="X302" s="20">
        <f t="shared" si="34"/>
        <v>0.89999944016481548</v>
      </c>
    </row>
    <row r="303" spans="1:24" x14ac:dyDescent="0.25">
      <c r="A303" s="5">
        <v>2026</v>
      </c>
      <c r="B303" s="5" t="s">
        <v>308</v>
      </c>
      <c r="C303" s="24" t="s">
        <v>308</v>
      </c>
      <c r="D303" s="5" t="s">
        <v>338</v>
      </c>
      <c r="E303" s="22" t="s">
        <v>693</v>
      </c>
      <c r="F303" s="22" t="s">
        <v>693</v>
      </c>
      <c r="G303" s="5" t="s">
        <v>338</v>
      </c>
      <c r="H303" s="5" t="s">
        <v>661</v>
      </c>
      <c r="I303" s="4">
        <f>INDEX(Breakdown[],MATCH($D303,Breakdown[Dist],0),MATCH(I$4,Breakdown[#Headers],0))</f>
        <v>219000</v>
      </c>
      <c r="J303" s="4">
        <f>INDEX(Breakdown[],MATCH($D303,Breakdown[Dist],0),MATCH(J$4,Breakdown[#Headers],0))</f>
        <v>174451</v>
      </c>
      <c r="K303" s="4">
        <f>INDEX(Breakdown[],MATCH($D303,Breakdown[Dist],0),MATCH(K$4,Breakdown[#Headers],0))</f>
        <v>37365</v>
      </c>
      <c r="L303" s="4">
        <f>INDEX(Breakdown[],MATCH($D303,Breakdown[Dist],0),MATCH(L$4,Breakdown[#Headers],0))</f>
        <v>137086</v>
      </c>
      <c r="M303" s="4">
        <f>INDEX(Breakdown[],MATCH($D303,Breakdown[Dist],0),MATCH(M$4,Breakdown[#Headers],0))</f>
        <v>6776</v>
      </c>
      <c r="N303" s="4">
        <f t="shared" si="28"/>
        <v>188411</v>
      </c>
      <c r="O303" s="15">
        <f t="shared" si="29"/>
        <v>18841</v>
      </c>
      <c r="P303" s="12"/>
      <c r="Q303" s="4">
        <f>INDEX(Breakdown[],MATCH($D303,Breakdown[Dist],0),MATCH(Q$4,Breakdown[#Headers],0))</f>
        <v>44549</v>
      </c>
      <c r="R303" s="4">
        <f>INDEX(Breakdown[],MATCH($D303,Breakdown[Dist],0),MATCH(R$4,Breakdown[#Headers],0))</f>
        <v>6776</v>
      </c>
      <c r="S303" s="14">
        <f t="shared" si="30"/>
        <v>51325</v>
      </c>
      <c r="T303" s="17">
        <f t="shared" si="31"/>
        <v>118245</v>
      </c>
      <c r="U303" s="19">
        <f t="shared" si="32"/>
        <v>169570</v>
      </c>
      <c r="V303" s="12"/>
      <c r="W303" s="20">
        <f t="shared" si="33"/>
        <v>9.9999469245426229E-2</v>
      </c>
      <c r="X303" s="20">
        <f t="shared" si="34"/>
        <v>0.90000053075457376</v>
      </c>
    </row>
    <row r="304" spans="1:24" x14ac:dyDescent="0.25">
      <c r="A304" s="5">
        <v>2026</v>
      </c>
      <c r="B304" s="5" t="s">
        <v>22</v>
      </c>
      <c r="C304" s="24" t="s">
        <v>22</v>
      </c>
      <c r="D304" s="5" t="s">
        <v>58</v>
      </c>
      <c r="E304" s="22" t="s">
        <v>705</v>
      </c>
      <c r="F304" s="22" t="s">
        <v>693</v>
      </c>
      <c r="G304" s="5" t="s">
        <v>58</v>
      </c>
      <c r="H304" s="5" t="s">
        <v>402</v>
      </c>
      <c r="I304" s="4">
        <f>INDEX(Breakdown[],MATCH($D304,Breakdown[Dist],0),MATCH(I$4,Breakdown[#Headers],0))</f>
        <v>692786</v>
      </c>
      <c r="J304" s="4">
        <f>INDEX(Breakdown[],MATCH($D304,Breakdown[Dist],0),MATCH(J$4,Breakdown[#Headers],0))</f>
        <v>532512</v>
      </c>
      <c r="K304" s="4">
        <f>INDEX(Breakdown[],MATCH($D304,Breakdown[Dist],0),MATCH(K$4,Breakdown[#Headers],0))</f>
        <v>114055</v>
      </c>
      <c r="L304" s="4">
        <f>INDEX(Breakdown[],MATCH($D304,Breakdown[Dist],0),MATCH(L$4,Breakdown[#Headers],0))</f>
        <v>418457</v>
      </c>
      <c r="M304" s="4">
        <f>INDEX(Breakdown[],MATCH($D304,Breakdown[Dist],0),MATCH(M$4,Breakdown[#Headers],0))</f>
        <v>0</v>
      </c>
      <c r="N304" s="4">
        <f t="shared" si="28"/>
        <v>578731</v>
      </c>
      <c r="O304" s="15">
        <f t="shared" si="29"/>
        <v>57873</v>
      </c>
      <c r="P304" s="12"/>
      <c r="Q304" s="4">
        <f>INDEX(Breakdown[],MATCH($D304,Breakdown[Dist],0),MATCH(Q$4,Breakdown[#Headers],0))</f>
        <v>160274</v>
      </c>
      <c r="R304" s="4">
        <f>INDEX(Breakdown[],MATCH($D304,Breakdown[Dist],0),MATCH(R$4,Breakdown[#Headers],0))</f>
        <v>0</v>
      </c>
      <c r="S304" s="14">
        <f t="shared" si="30"/>
        <v>160274</v>
      </c>
      <c r="T304" s="17">
        <f t="shared" si="31"/>
        <v>360584</v>
      </c>
      <c r="U304" s="19">
        <f t="shared" si="32"/>
        <v>520858</v>
      </c>
      <c r="V304" s="12"/>
      <c r="W304" s="20">
        <f t="shared" si="33"/>
        <v>9.9999827208150247E-2</v>
      </c>
      <c r="X304" s="20">
        <f t="shared" si="34"/>
        <v>0.90000017279184974</v>
      </c>
    </row>
    <row r="305" spans="1:24" x14ac:dyDescent="0.25">
      <c r="A305" s="5">
        <v>2026</v>
      </c>
      <c r="B305" s="5" t="s">
        <v>22</v>
      </c>
      <c r="C305" s="24" t="s">
        <v>22</v>
      </c>
      <c r="D305" s="5" t="s">
        <v>59</v>
      </c>
      <c r="E305" s="22" t="s">
        <v>693</v>
      </c>
      <c r="F305" s="22" t="s">
        <v>693</v>
      </c>
      <c r="G305" s="5" t="s">
        <v>59</v>
      </c>
      <c r="H305" s="5" t="s">
        <v>403</v>
      </c>
      <c r="I305" s="4">
        <f>INDEX(Breakdown[],MATCH($D305,Breakdown[Dist],0),MATCH(I$4,Breakdown[#Headers],0))</f>
        <v>125402</v>
      </c>
      <c r="J305" s="4">
        <f>INDEX(Breakdown[],MATCH($D305,Breakdown[Dist],0),MATCH(J$4,Breakdown[#Headers],0))</f>
        <v>96390</v>
      </c>
      <c r="K305" s="4">
        <f>INDEX(Breakdown[],MATCH($D305,Breakdown[Dist],0),MATCH(K$4,Breakdown[#Headers],0))</f>
        <v>20645</v>
      </c>
      <c r="L305" s="4">
        <f>INDEX(Breakdown[],MATCH($D305,Breakdown[Dist],0),MATCH(L$4,Breakdown[#Headers],0))</f>
        <v>75745</v>
      </c>
      <c r="M305" s="4">
        <f>INDEX(Breakdown[],MATCH($D305,Breakdown[Dist],0),MATCH(M$4,Breakdown[#Headers],0))</f>
        <v>3986</v>
      </c>
      <c r="N305" s="4">
        <f t="shared" si="28"/>
        <v>108743</v>
      </c>
      <c r="O305" s="15">
        <f t="shared" si="29"/>
        <v>10874</v>
      </c>
      <c r="P305" s="12"/>
      <c r="Q305" s="4">
        <f>INDEX(Breakdown[],MATCH($D305,Breakdown[Dist],0),MATCH(Q$4,Breakdown[#Headers],0))</f>
        <v>29012</v>
      </c>
      <c r="R305" s="4">
        <f>INDEX(Breakdown[],MATCH($D305,Breakdown[Dist],0),MATCH(R$4,Breakdown[#Headers],0))</f>
        <v>3986</v>
      </c>
      <c r="S305" s="14">
        <f t="shared" si="30"/>
        <v>32998</v>
      </c>
      <c r="T305" s="17">
        <f t="shared" si="31"/>
        <v>64871</v>
      </c>
      <c r="U305" s="19">
        <f t="shared" si="32"/>
        <v>97869</v>
      </c>
      <c r="V305" s="12"/>
      <c r="W305" s="20">
        <f t="shared" si="33"/>
        <v>9.999724120173252E-2</v>
      </c>
      <c r="X305" s="20">
        <f t="shared" si="34"/>
        <v>0.90000275879826752</v>
      </c>
    </row>
    <row r="306" spans="1:24" x14ac:dyDescent="0.25">
      <c r="A306" s="5">
        <v>2026</v>
      </c>
      <c r="B306" s="5" t="s">
        <v>140</v>
      </c>
      <c r="C306" s="24" t="s">
        <v>140</v>
      </c>
      <c r="D306" s="5" t="s">
        <v>172</v>
      </c>
      <c r="E306" s="22" t="s">
        <v>693</v>
      </c>
      <c r="F306" s="22" t="s">
        <v>693</v>
      </c>
      <c r="G306" s="5" t="s">
        <v>172</v>
      </c>
      <c r="H306" s="5" t="s">
        <v>503</v>
      </c>
      <c r="I306" s="4">
        <f>INDEX(Breakdown[],MATCH($D306,Breakdown[Dist],0),MATCH(I$4,Breakdown[#Headers],0))</f>
        <v>313306</v>
      </c>
      <c r="J306" s="4">
        <f>INDEX(Breakdown[],MATCH($D306,Breakdown[Dist],0),MATCH(J$4,Breakdown[#Headers],0))</f>
        <v>248370</v>
      </c>
      <c r="K306" s="4">
        <f>INDEX(Breakdown[],MATCH($D306,Breakdown[Dist],0),MATCH(K$4,Breakdown[#Headers],0))</f>
        <v>53197</v>
      </c>
      <c r="L306" s="4">
        <f>INDEX(Breakdown[],MATCH($D306,Breakdown[Dist],0),MATCH(L$4,Breakdown[#Headers],0))</f>
        <v>195173</v>
      </c>
      <c r="M306" s="4">
        <f>INDEX(Breakdown[],MATCH($D306,Breakdown[Dist],0),MATCH(M$4,Breakdown[#Headers],0))</f>
        <v>0</v>
      </c>
      <c r="N306" s="4">
        <f t="shared" si="28"/>
        <v>260109</v>
      </c>
      <c r="O306" s="15">
        <f t="shared" si="29"/>
        <v>26011</v>
      </c>
      <c r="P306" s="12"/>
      <c r="Q306" s="4">
        <f>INDEX(Breakdown[],MATCH($D306,Breakdown[Dist],0),MATCH(Q$4,Breakdown[#Headers],0))</f>
        <v>64936</v>
      </c>
      <c r="R306" s="4">
        <f>INDEX(Breakdown[],MATCH($D306,Breakdown[Dist],0),MATCH(R$4,Breakdown[#Headers],0))</f>
        <v>0</v>
      </c>
      <c r="S306" s="14">
        <f t="shared" si="30"/>
        <v>64936</v>
      </c>
      <c r="T306" s="17">
        <f t="shared" si="31"/>
        <v>169162</v>
      </c>
      <c r="U306" s="19">
        <f t="shared" si="32"/>
        <v>234098</v>
      </c>
      <c r="V306" s="12"/>
      <c r="W306" s="20">
        <f>O306/N306</f>
        <v>0.10000038445420958</v>
      </c>
      <c r="X306" s="20">
        <f>U306/N306</f>
        <v>0.89999961554579044</v>
      </c>
    </row>
    <row r="307" spans="1:24" x14ac:dyDescent="0.25">
      <c r="A307" s="5">
        <v>2026</v>
      </c>
      <c r="B307" s="5" t="s">
        <v>308</v>
      </c>
      <c r="C307" s="24" t="s">
        <v>308</v>
      </c>
      <c r="D307" s="5" t="s">
        <v>339</v>
      </c>
      <c r="E307" s="22" t="s">
        <v>693</v>
      </c>
      <c r="F307" s="22" t="s">
        <v>693</v>
      </c>
      <c r="G307" s="5" t="s">
        <v>339</v>
      </c>
      <c r="H307" s="5" t="s">
        <v>662</v>
      </c>
      <c r="I307" s="4">
        <f>INDEX(Breakdown[],MATCH($D307,Breakdown[Dist],0),MATCH(I$4,Breakdown[#Headers],0))</f>
        <v>153193</v>
      </c>
      <c r="J307" s="4">
        <f>INDEX(Breakdown[],MATCH($D307,Breakdown[Dist],0),MATCH(J$4,Breakdown[#Headers],0))</f>
        <v>122031</v>
      </c>
      <c r="K307" s="4">
        <f>INDEX(Breakdown[],MATCH($D307,Breakdown[Dist],0),MATCH(K$4,Breakdown[#Headers],0))</f>
        <v>26137</v>
      </c>
      <c r="L307" s="4">
        <f>INDEX(Breakdown[],MATCH($D307,Breakdown[Dist],0),MATCH(L$4,Breakdown[#Headers],0))</f>
        <v>95894</v>
      </c>
      <c r="M307" s="4">
        <f>INDEX(Breakdown[],MATCH($D307,Breakdown[Dist],0),MATCH(M$4,Breakdown[#Headers],0))</f>
        <v>5683</v>
      </c>
      <c r="N307" s="4">
        <f t="shared" si="28"/>
        <v>132739</v>
      </c>
      <c r="O307" s="15">
        <f t="shared" si="29"/>
        <v>13274</v>
      </c>
      <c r="P307" s="12"/>
      <c r="Q307" s="4">
        <f>INDEX(Breakdown[],MATCH($D307,Breakdown[Dist],0),MATCH(Q$4,Breakdown[#Headers],0))</f>
        <v>31162</v>
      </c>
      <c r="R307" s="4">
        <f>INDEX(Breakdown[],MATCH($D307,Breakdown[Dist],0),MATCH(R$4,Breakdown[#Headers],0))</f>
        <v>5683</v>
      </c>
      <c r="S307" s="14">
        <f t="shared" si="30"/>
        <v>36845</v>
      </c>
      <c r="T307" s="17">
        <f t="shared" si="31"/>
        <v>82620</v>
      </c>
      <c r="U307" s="19">
        <f t="shared" si="32"/>
        <v>119465</v>
      </c>
      <c r="V307" s="12"/>
      <c r="W307" s="20">
        <f t="shared" si="33"/>
        <v>0.10000075335809371</v>
      </c>
      <c r="X307" s="20">
        <f t="shared" si="34"/>
        <v>0.89999924664190634</v>
      </c>
    </row>
    <row r="308" spans="1:24" x14ac:dyDescent="0.25">
      <c r="A308" s="5">
        <v>2026</v>
      </c>
      <c r="B308" s="5" t="s">
        <v>0</v>
      </c>
      <c r="C308" s="24" t="s">
        <v>0</v>
      </c>
      <c r="D308" s="5" t="s">
        <v>19</v>
      </c>
      <c r="E308" s="22" t="s">
        <v>693</v>
      </c>
      <c r="F308" s="22" t="s">
        <v>693</v>
      </c>
      <c r="G308" s="5" t="s">
        <v>19</v>
      </c>
      <c r="H308" s="5" t="s">
        <v>366</v>
      </c>
      <c r="I308" s="4">
        <f>INDEX(Breakdown[],MATCH($D308,Breakdown[Dist],0),MATCH(I$4,Breakdown[#Headers],0))</f>
        <v>113447</v>
      </c>
      <c r="J308" s="4">
        <f>INDEX(Breakdown[],MATCH($D308,Breakdown[Dist],0),MATCH(J$4,Breakdown[#Headers],0))</f>
        <v>86181</v>
      </c>
      <c r="K308" s="4">
        <f>INDEX(Breakdown[],MATCH($D308,Breakdown[Dist],0),MATCH(K$4,Breakdown[#Headers],0))</f>
        <v>18459</v>
      </c>
      <c r="L308" s="4">
        <f>INDEX(Breakdown[],MATCH($D308,Breakdown[Dist],0),MATCH(L$4,Breakdown[#Headers],0))</f>
        <v>67722</v>
      </c>
      <c r="M308" s="4">
        <f>INDEX(Breakdown[],MATCH($D308,Breakdown[Dist],0),MATCH(M$4,Breakdown[#Headers],0))</f>
        <v>0</v>
      </c>
      <c r="N308" s="4">
        <f t="shared" si="28"/>
        <v>94988</v>
      </c>
      <c r="O308" s="15">
        <f t="shared" si="29"/>
        <v>9499</v>
      </c>
      <c r="P308" s="12"/>
      <c r="Q308" s="4">
        <f>INDEX(Breakdown[],MATCH($D308,Breakdown[Dist],0),MATCH(Q$4,Breakdown[#Headers],0))</f>
        <v>27266</v>
      </c>
      <c r="R308" s="4">
        <f>INDEX(Breakdown[],MATCH($D308,Breakdown[Dist],0),MATCH(R$4,Breakdown[#Headers],0))</f>
        <v>0</v>
      </c>
      <c r="S308" s="14">
        <f t="shared" si="30"/>
        <v>27266</v>
      </c>
      <c r="T308" s="17">
        <f t="shared" si="31"/>
        <v>58223</v>
      </c>
      <c r="U308" s="19">
        <f t="shared" si="32"/>
        <v>85489</v>
      </c>
      <c r="V308" s="12"/>
      <c r="W308" s="20">
        <f t="shared" si="33"/>
        <v>0.10000210552911946</v>
      </c>
      <c r="X308" s="20">
        <f t="shared" si="34"/>
        <v>0.89999789447088052</v>
      </c>
    </row>
    <row r="309" spans="1:24" x14ac:dyDescent="0.25">
      <c r="A309" s="5">
        <v>2026</v>
      </c>
      <c r="B309" s="5" t="s">
        <v>174</v>
      </c>
      <c r="C309" s="24" t="s">
        <v>174</v>
      </c>
      <c r="D309" s="5" t="s">
        <v>225</v>
      </c>
      <c r="E309" s="22" t="s">
        <v>693</v>
      </c>
      <c r="F309" s="22" t="s">
        <v>693</v>
      </c>
      <c r="G309" s="5" t="s">
        <v>225</v>
      </c>
      <c r="H309" s="5" t="s">
        <v>553</v>
      </c>
      <c r="I309" s="4">
        <f>INDEX(Breakdown[],MATCH($D309,Breakdown[Dist],0),MATCH(I$4,Breakdown[#Headers],0))</f>
        <v>374671</v>
      </c>
      <c r="J309" s="4">
        <f>INDEX(Breakdown[],MATCH($D309,Breakdown[Dist],0),MATCH(J$4,Breakdown[#Headers],0))</f>
        <v>303200</v>
      </c>
      <c r="K309" s="4">
        <f>INDEX(Breakdown[],MATCH($D309,Breakdown[Dist],0),MATCH(K$4,Breakdown[#Headers],0))</f>
        <v>64940</v>
      </c>
      <c r="L309" s="4">
        <f>INDEX(Breakdown[],MATCH($D309,Breakdown[Dist],0),MATCH(L$4,Breakdown[#Headers],0))</f>
        <v>238260</v>
      </c>
      <c r="M309" s="4">
        <f>INDEX(Breakdown[],MATCH($D309,Breakdown[Dist],0),MATCH(M$4,Breakdown[#Headers],0))</f>
        <v>0</v>
      </c>
      <c r="N309" s="4">
        <f t="shared" si="28"/>
        <v>309731</v>
      </c>
      <c r="O309" s="15">
        <f t="shared" si="29"/>
        <v>30973</v>
      </c>
      <c r="P309" s="12"/>
      <c r="Q309" s="4">
        <f>INDEX(Breakdown[],MATCH($D309,Breakdown[Dist],0),MATCH(Q$4,Breakdown[#Headers],0))</f>
        <v>71471</v>
      </c>
      <c r="R309" s="4">
        <f>INDEX(Breakdown[],MATCH($D309,Breakdown[Dist],0),MATCH(R$4,Breakdown[#Headers],0))</f>
        <v>0</v>
      </c>
      <c r="S309" s="14">
        <f t="shared" si="30"/>
        <v>71471</v>
      </c>
      <c r="T309" s="17">
        <f t="shared" si="31"/>
        <v>207287</v>
      </c>
      <c r="U309" s="19">
        <f t="shared" si="32"/>
        <v>278758</v>
      </c>
      <c r="V309" s="12"/>
      <c r="W309" s="20">
        <f t="shared" si="33"/>
        <v>9.9999677139194984E-2</v>
      </c>
      <c r="X309" s="20">
        <f t="shared" si="34"/>
        <v>0.900000322860805</v>
      </c>
    </row>
    <row r="310" spans="1:24" x14ac:dyDescent="0.25">
      <c r="A310" s="5">
        <v>2026</v>
      </c>
      <c r="B310" s="5" t="s">
        <v>0</v>
      </c>
      <c r="C310" s="24" t="s">
        <v>0</v>
      </c>
      <c r="D310" s="5" t="s">
        <v>20</v>
      </c>
      <c r="E310" s="22" t="s">
        <v>693</v>
      </c>
      <c r="F310" s="22" t="s">
        <v>693</v>
      </c>
      <c r="G310" s="5" t="s">
        <v>20</v>
      </c>
      <c r="H310" s="5" t="s">
        <v>367</v>
      </c>
      <c r="I310" s="4">
        <f>INDEX(Breakdown[],MATCH($D310,Breakdown[Dist],0),MATCH(I$4,Breakdown[#Headers],0))</f>
        <v>543142</v>
      </c>
      <c r="J310" s="4">
        <f>INDEX(Breakdown[],MATCH($D310,Breakdown[Dist],0),MATCH(J$4,Breakdown[#Headers],0))</f>
        <v>412603</v>
      </c>
      <c r="K310" s="4">
        <f>INDEX(Breakdown[],MATCH($D310,Breakdown[Dist],0),MATCH(K$4,Breakdown[#Headers],0))</f>
        <v>88373</v>
      </c>
      <c r="L310" s="4">
        <f>INDEX(Breakdown[],MATCH($D310,Breakdown[Dist],0),MATCH(L$4,Breakdown[#Headers],0))</f>
        <v>324230</v>
      </c>
      <c r="M310" s="4">
        <f>INDEX(Breakdown[],MATCH($D310,Breakdown[Dist],0),MATCH(M$4,Breakdown[#Headers],0))</f>
        <v>0</v>
      </c>
      <c r="N310" s="4">
        <f t="shared" si="28"/>
        <v>454769</v>
      </c>
      <c r="O310" s="15">
        <f t="shared" si="29"/>
        <v>45477</v>
      </c>
      <c r="P310" s="12"/>
      <c r="Q310" s="4">
        <f>INDEX(Breakdown[],MATCH($D310,Breakdown[Dist],0),MATCH(Q$4,Breakdown[#Headers],0))</f>
        <v>130539</v>
      </c>
      <c r="R310" s="4">
        <f>INDEX(Breakdown[],MATCH($D310,Breakdown[Dist],0),MATCH(R$4,Breakdown[#Headers],0))</f>
        <v>0</v>
      </c>
      <c r="S310" s="14">
        <f t="shared" si="30"/>
        <v>130539</v>
      </c>
      <c r="T310" s="17">
        <f t="shared" si="31"/>
        <v>278753</v>
      </c>
      <c r="U310" s="19">
        <f t="shared" si="32"/>
        <v>409292</v>
      </c>
      <c r="V310" s="12"/>
      <c r="W310" s="20">
        <f t="shared" si="33"/>
        <v>0.10000021989185719</v>
      </c>
      <c r="X310" s="20">
        <f t="shared" si="34"/>
        <v>0.89999978010814286</v>
      </c>
    </row>
    <row r="311" spans="1:24" x14ac:dyDescent="0.25">
      <c r="A311" s="5">
        <v>2026</v>
      </c>
      <c r="B311" s="5" t="s">
        <v>174</v>
      </c>
      <c r="C311" s="24" t="s">
        <v>174</v>
      </c>
      <c r="D311" s="5" t="s">
        <v>226</v>
      </c>
      <c r="E311" s="22" t="s">
        <v>693</v>
      </c>
      <c r="F311" s="22" t="s">
        <v>693</v>
      </c>
      <c r="G311" s="5" t="s">
        <v>226</v>
      </c>
      <c r="H311" s="5" t="s">
        <v>554</v>
      </c>
      <c r="I311" s="4">
        <f>INDEX(Breakdown[],MATCH($D311,Breakdown[Dist],0),MATCH(I$4,Breakdown[#Headers],0))</f>
        <v>3301955</v>
      </c>
      <c r="J311" s="4">
        <f>INDEX(Breakdown[],MATCH($D311,Breakdown[Dist],0),MATCH(J$4,Breakdown[#Headers],0))</f>
        <v>2672080</v>
      </c>
      <c r="K311" s="4">
        <f>INDEX(Breakdown[],MATCH($D311,Breakdown[Dist],0),MATCH(K$4,Breakdown[#Headers],0))</f>
        <v>572317</v>
      </c>
      <c r="L311" s="4">
        <f>INDEX(Breakdown[],MATCH($D311,Breakdown[Dist],0),MATCH(L$4,Breakdown[#Headers],0))</f>
        <v>2099763</v>
      </c>
      <c r="M311" s="4">
        <f>INDEX(Breakdown[],MATCH($D311,Breakdown[Dist],0),MATCH(M$4,Breakdown[#Headers],0))</f>
        <v>0</v>
      </c>
      <c r="N311" s="4">
        <f t="shared" si="28"/>
        <v>2729638</v>
      </c>
      <c r="O311" s="15">
        <f t="shared" si="29"/>
        <v>272964</v>
      </c>
      <c r="P311" s="12"/>
      <c r="Q311" s="4">
        <f>INDEX(Breakdown[],MATCH($D311,Breakdown[Dist],0),MATCH(Q$4,Breakdown[#Headers],0))</f>
        <v>629875</v>
      </c>
      <c r="R311" s="4">
        <f>INDEX(Breakdown[],MATCH($D311,Breakdown[Dist],0),MATCH(R$4,Breakdown[#Headers],0))</f>
        <v>0</v>
      </c>
      <c r="S311" s="14">
        <f t="shared" si="30"/>
        <v>629875</v>
      </c>
      <c r="T311" s="17">
        <f t="shared" si="31"/>
        <v>1826799</v>
      </c>
      <c r="U311" s="19">
        <f t="shared" si="32"/>
        <v>2456674</v>
      </c>
      <c r="V311" s="12"/>
      <c r="W311" s="20">
        <f t="shared" si="33"/>
        <v>0.10000007326978889</v>
      </c>
      <c r="X311" s="20">
        <f t="shared" si="34"/>
        <v>0.89999992673021112</v>
      </c>
    </row>
    <row r="312" spans="1:24" x14ac:dyDescent="0.25">
      <c r="A312" s="5">
        <v>2026</v>
      </c>
      <c r="B312" s="5" t="s">
        <v>60</v>
      </c>
      <c r="C312" s="24" t="s">
        <v>60</v>
      </c>
      <c r="D312" s="5" t="s">
        <v>115</v>
      </c>
      <c r="E312" s="22" t="s">
        <v>693</v>
      </c>
      <c r="F312" s="22" t="s">
        <v>693</v>
      </c>
      <c r="G312" s="5" t="s">
        <v>115</v>
      </c>
      <c r="H312" s="5" t="s">
        <v>450</v>
      </c>
      <c r="I312" s="4">
        <f>INDEX(Breakdown[],MATCH($D312,Breakdown[Dist],0),MATCH(I$4,Breakdown[#Headers],0))</f>
        <v>298002</v>
      </c>
      <c r="J312" s="4">
        <f>INDEX(Breakdown[],MATCH($D312,Breakdown[Dist],0),MATCH(J$4,Breakdown[#Headers],0))</f>
        <v>233369</v>
      </c>
      <c r="K312" s="4">
        <f>INDEX(Breakdown[],MATCH($D312,Breakdown[Dist],0),MATCH(K$4,Breakdown[#Headers],0))</f>
        <v>49984</v>
      </c>
      <c r="L312" s="4">
        <f>INDEX(Breakdown[],MATCH($D312,Breakdown[Dist],0),MATCH(L$4,Breakdown[#Headers],0))</f>
        <v>183385</v>
      </c>
      <c r="M312" s="4">
        <f>INDEX(Breakdown[],MATCH($D312,Breakdown[Dist],0),MATCH(M$4,Breakdown[#Headers],0))</f>
        <v>0</v>
      </c>
      <c r="N312" s="4">
        <f t="shared" si="28"/>
        <v>248018</v>
      </c>
      <c r="O312" s="15">
        <f t="shared" si="29"/>
        <v>24802</v>
      </c>
      <c r="P312" s="12"/>
      <c r="Q312" s="4">
        <f>INDEX(Breakdown[],MATCH($D312,Breakdown[Dist],0),MATCH(Q$4,Breakdown[#Headers],0))</f>
        <v>64633</v>
      </c>
      <c r="R312" s="4">
        <f>INDEX(Breakdown[],MATCH($D312,Breakdown[Dist],0),MATCH(R$4,Breakdown[#Headers],0))</f>
        <v>0</v>
      </c>
      <c r="S312" s="14">
        <f t="shared" si="30"/>
        <v>64633</v>
      </c>
      <c r="T312" s="17">
        <f t="shared" si="31"/>
        <v>158583</v>
      </c>
      <c r="U312" s="19">
        <f t="shared" si="32"/>
        <v>223216</v>
      </c>
      <c r="V312" s="12"/>
      <c r="W312" s="20">
        <f t="shared" si="33"/>
        <v>0.10000080639308437</v>
      </c>
      <c r="X312" s="20">
        <f t="shared" si="34"/>
        <v>0.8999991936069156</v>
      </c>
    </row>
    <row r="313" spans="1:24" x14ac:dyDescent="0.25">
      <c r="A313" s="5">
        <v>2026</v>
      </c>
      <c r="B313" s="5" t="s">
        <v>60</v>
      </c>
      <c r="C313" s="24" t="s">
        <v>60</v>
      </c>
      <c r="D313" s="5" t="s">
        <v>116</v>
      </c>
      <c r="E313" s="22" t="s">
        <v>693</v>
      </c>
      <c r="F313" s="22" t="s">
        <v>693</v>
      </c>
      <c r="G313" s="5" t="s">
        <v>116</v>
      </c>
      <c r="H313" s="5" t="s">
        <v>451</v>
      </c>
      <c r="I313" s="4">
        <f>INDEX(Breakdown[],MATCH($D313,Breakdown[Dist],0),MATCH(I$4,Breakdown[#Headers],0))</f>
        <v>225188</v>
      </c>
      <c r="J313" s="4">
        <f>INDEX(Breakdown[],MATCH($D313,Breakdown[Dist],0),MATCH(J$4,Breakdown[#Headers],0))</f>
        <v>176347</v>
      </c>
      <c r="K313" s="4">
        <f>INDEX(Breakdown[],MATCH($D313,Breakdown[Dist],0),MATCH(K$4,Breakdown[#Headers],0))</f>
        <v>37770</v>
      </c>
      <c r="L313" s="4">
        <f>INDEX(Breakdown[],MATCH($D313,Breakdown[Dist],0),MATCH(L$4,Breakdown[#Headers],0))</f>
        <v>138577</v>
      </c>
      <c r="M313" s="4">
        <f>INDEX(Breakdown[],MATCH($D313,Breakdown[Dist],0),MATCH(M$4,Breakdown[#Headers],0))</f>
        <v>0</v>
      </c>
      <c r="N313" s="4">
        <f t="shared" si="28"/>
        <v>187418</v>
      </c>
      <c r="O313" s="15">
        <f t="shared" si="29"/>
        <v>18742</v>
      </c>
      <c r="P313" s="12"/>
      <c r="Q313" s="4">
        <f>INDEX(Breakdown[],MATCH($D313,Breakdown[Dist],0),MATCH(Q$4,Breakdown[#Headers],0))</f>
        <v>48841</v>
      </c>
      <c r="R313" s="4">
        <f>INDEX(Breakdown[],MATCH($D313,Breakdown[Dist],0),MATCH(R$4,Breakdown[#Headers],0))</f>
        <v>0</v>
      </c>
      <c r="S313" s="14">
        <f t="shared" si="30"/>
        <v>48841</v>
      </c>
      <c r="T313" s="17">
        <f t="shared" si="31"/>
        <v>119835</v>
      </c>
      <c r="U313" s="19">
        <f t="shared" si="32"/>
        <v>168676</v>
      </c>
      <c r="V313" s="12"/>
      <c r="W313" s="20">
        <f t="shared" si="33"/>
        <v>0.10000106713335966</v>
      </c>
      <c r="X313" s="20">
        <f t="shared" si="34"/>
        <v>0.89999893286664034</v>
      </c>
    </row>
    <row r="314" spans="1:24" x14ac:dyDescent="0.25">
      <c r="A314" s="5">
        <v>2026</v>
      </c>
      <c r="B314" s="5" t="s">
        <v>263</v>
      </c>
      <c r="C314" s="24" t="s">
        <v>263</v>
      </c>
      <c r="D314" s="5" t="s">
        <v>306</v>
      </c>
      <c r="E314" s="22" t="s">
        <v>693</v>
      </c>
      <c r="F314" s="22" t="s">
        <v>693</v>
      </c>
      <c r="G314" s="5" t="s">
        <v>306</v>
      </c>
      <c r="H314" s="5" t="s">
        <v>631</v>
      </c>
      <c r="I314" s="4">
        <f>INDEX(Breakdown[],MATCH($D314,Breakdown[Dist],0),MATCH(I$4,Breakdown[#Headers],0))</f>
        <v>134292</v>
      </c>
      <c r="J314" s="4">
        <f>INDEX(Breakdown[],MATCH($D314,Breakdown[Dist],0),MATCH(J$4,Breakdown[#Headers],0))</f>
        <v>106166</v>
      </c>
      <c r="K314" s="4">
        <f>INDEX(Breakdown[],MATCH($D314,Breakdown[Dist],0),MATCH(K$4,Breakdown[#Headers],0))</f>
        <v>22739</v>
      </c>
      <c r="L314" s="4">
        <f>INDEX(Breakdown[],MATCH($D314,Breakdown[Dist],0),MATCH(L$4,Breakdown[#Headers],0))</f>
        <v>83427</v>
      </c>
      <c r="M314" s="4">
        <f>INDEX(Breakdown[],MATCH($D314,Breakdown[Dist],0),MATCH(M$4,Breakdown[#Headers],0))</f>
        <v>13668</v>
      </c>
      <c r="N314" s="4">
        <f t="shared" si="28"/>
        <v>125221</v>
      </c>
      <c r="O314" s="15">
        <f t="shared" si="29"/>
        <v>12522</v>
      </c>
      <c r="P314" s="12"/>
      <c r="Q314" s="4">
        <f>INDEX(Breakdown[],MATCH($D314,Breakdown[Dist],0),MATCH(Q$4,Breakdown[#Headers],0))</f>
        <v>28126</v>
      </c>
      <c r="R314" s="4">
        <f>INDEX(Breakdown[],MATCH($D314,Breakdown[Dist],0),MATCH(R$4,Breakdown[#Headers],0))</f>
        <v>13668</v>
      </c>
      <c r="S314" s="14">
        <f t="shared" si="30"/>
        <v>41794</v>
      </c>
      <c r="T314" s="17">
        <f t="shared" si="31"/>
        <v>70905</v>
      </c>
      <c r="U314" s="19">
        <f t="shared" si="32"/>
        <v>112699</v>
      </c>
      <c r="V314" s="12"/>
      <c r="W314" s="20">
        <f t="shared" si="33"/>
        <v>9.9999201411903757E-2</v>
      </c>
      <c r="X314" s="20">
        <f t="shared" si="34"/>
        <v>0.90000079858809623</v>
      </c>
    </row>
    <row r="315" spans="1:24" x14ac:dyDescent="0.25">
      <c r="A315" s="5">
        <v>2026</v>
      </c>
      <c r="B315" s="5" t="s">
        <v>118</v>
      </c>
      <c r="C315" s="24" t="s">
        <v>118</v>
      </c>
      <c r="D315" s="5" t="s">
        <v>138</v>
      </c>
      <c r="E315" s="22" t="s">
        <v>693</v>
      </c>
      <c r="F315" s="22" t="s">
        <v>693</v>
      </c>
      <c r="G315" s="5" t="s">
        <v>138</v>
      </c>
      <c r="H315" s="5" t="s">
        <v>472</v>
      </c>
      <c r="I315" s="4">
        <f>INDEX(Breakdown[],MATCH($D315,Breakdown[Dist],0),MATCH(I$4,Breakdown[#Headers],0))</f>
        <v>485022</v>
      </c>
      <c r="J315" s="4">
        <f>INDEX(Breakdown[],MATCH($D315,Breakdown[Dist],0),MATCH(J$4,Breakdown[#Headers],0))</f>
        <v>382387</v>
      </c>
      <c r="K315" s="4">
        <f>INDEX(Breakdown[],MATCH($D315,Breakdown[Dist],0),MATCH(K$4,Breakdown[#Headers],0))</f>
        <v>81901</v>
      </c>
      <c r="L315" s="4">
        <f>INDEX(Breakdown[],MATCH($D315,Breakdown[Dist],0),MATCH(L$4,Breakdown[#Headers],0))</f>
        <v>300486</v>
      </c>
      <c r="M315" s="4">
        <f>INDEX(Breakdown[],MATCH($D315,Breakdown[Dist],0),MATCH(M$4,Breakdown[#Headers],0))</f>
        <v>0</v>
      </c>
      <c r="N315" s="4">
        <f t="shared" si="28"/>
        <v>403121</v>
      </c>
      <c r="O315" s="15">
        <f>ROUND(N315*0.1,0)</f>
        <v>40312</v>
      </c>
      <c r="P315" s="12"/>
      <c r="Q315" s="4">
        <f>INDEX(Breakdown[],MATCH($D315,Breakdown[Dist],0),MATCH(Q$4,Breakdown[#Headers],0))</f>
        <v>102635</v>
      </c>
      <c r="R315" s="4">
        <f>INDEX(Breakdown[],MATCH($D315,Breakdown[Dist],0),MATCH(R$4,Breakdown[#Headers],0))</f>
        <v>0</v>
      </c>
      <c r="S315" s="14">
        <f t="shared" si="30"/>
        <v>102635</v>
      </c>
      <c r="T315" s="17">
        <f t="shared" si="31"/>
        <v>260174</v>
      </c>
      <c r="U315" s="19">
        <f t="shared" si="32"/>
        <v>362809</v>
      </c>
      <c r="V315" s="12"/>
      <c r="W315" s="20">
        <f t="shared" si="33"/>
        <v>9.9999751935523087E-2</v>
      </c>
      <c r="X315" s="20">
        <f t="shared" si="34"/>
        <v>0.90000024806447687</v>
      </c>
    </row>
    <row r="316" spans="1:24" x14ac:dyDescent="0.25">
      <c r="A316" s="5">
        <v>2026</v>
      </c>
      <c r="B316" s="5" t="s">
        <v>229</v>
      </c>
      <c r="C316" s="24" t="s">
        <v>229</v>
      </c>
      <c r="D316" s="5" t="s">
        <v>257</v>
      </c>
      <c r="E316" s="22" t="s">
        <v>693</v>
      </c>
      <c r="F316" s="22" t="s">
        <v>693</v>
      </c>
      <c r="G316" s="5" t="s">
        <v>257</v>
      </c>
      <c r="H316" s="5" t="s">
        <v>585</v>
      </c>
      <c r="I316" s="4">
        <f>INDEX(Breakdown[],MATCH($D316,Breakdown[Dist],0),MATCH(I$4,Breakdown[#Headers],0))</f>
        <v>367733</v>
      </c>
      <c r="J316" s="4">
        <f>INDEX(Breakdown[],MATCH($D316,Breakdown[Dist],0),MATCH(J$4,Breakdown[#Headers],0))</f>
        <v>285337</v>
      </c>
      <c r="K316" s="4">
        <f>INDEX(Breakdown[],MATCH($D316,Breakdown[Dist],0),MATCH(K$4,Breakdown[#Headers],0))</f>
        <v>61114</v>
      </c>
      <c r="L316" s="4">
        <f>INDEX(Breakdown[],MATCH($D316,Breakdown[Dist],0),MATCH(L$4,Breakdown[#Headers],0))</f>
        <v>224223</v>
      </c>
      <c r="M316" s="4">
        <f>INDEX(Breakdown[],MATCH($D316,Breakdown[Dist],0),MATCH(M$4,Breakdown[#Headers],0))</f>
        <v>0</v>
      </c>
      <c r="N316" s="4">
        <f>I316-K316+M316</f>
        <v>306619</v>
      </c>
      <c r="O316" s="15">
        <f>ROUND(N316*0.1,0)</f>
        <v>30662</v>
      </c>
      <c r="P316" s="12"/>
      <c r="Q316" s="4">
        <f>INDEX(Breakdown[],MATCH($D316,Breakdown[Dist],0),MATCH(Q$4,Breakdown[#Headers],0))</f>
        <v>82396</v>
      </c>
      <c r="R316" s="4">
        <f>INDEX(Breakdown[],MATCH($D316,Breakdown[Dist],0),MATCH(R$4,Breakdown[#Headers],0))</f>
        <v>0</v>
      </c>
      <c r="S316" s="14">
        <f t="shared" si="30"/>
        <v>82396</v>
      </c>
      <c r="T316" s="17">
        <f t="shared" si="31"/>
        <v>193561</v>
      </c>
      <c r="U316" s="19">
        <f t="shared" si="32"/>
        <v>275957</v>
      </c>
      <c r="V316" s="12"/>
      <c r="W316" s="20">
        <f t="shared" si="33"/>
        <v>0.10000032613764966</v>
      </c>
      <c r="X316" s="20">
        <f t="shared" si="34"/>
        <v>0.89999967386235036</v>
      </c>
    </row>
    <row r="317" spans="1:24" x14ac:dyDescent="0.25">
      <c r="A317" s="5">
        <v>2026</v>
      </c>
      <c r="B317" s="5" t="s">
        <v>60</v>
      </c>
      <c r="C317" s="24" t="s">
        <v>60</v>
      </c>
      <c r="D317" s="5" t="s">
        <v>117</v>
      </c>
      <c r="E317" s="22" t="s">
        <v>693</v>
      </c>
      <c r="F317" s="22" t="s">
        <v>693</v>
      </c>
      <c r="G317" s="5" t="s">
        <v>117</v>
      </c>
      <c r="H317" s="5" t="s">
        <v>452</v>
      </c>
      <c r="I317" s="4">
        <f>INDEX(Breakdown[],MATCH($D317,Breakdown[Dist],0),MATCH(I$4,Breakdown[#Headers],0))</f>
        <v>280021</v>
      </c>
      <c r="J317" s="4">
        <f>INDEX(Breakdown[],MATCH($D317,Breakdown[Dist],0),MATCH(J$4,Breakdown[#Headers],0))</f>
        <v>219288</v>
      </c>
      <c r="K317" s="4">
        <f>INDEX(Breakdown[],MATCH($D317,Breakdown[Dist],0),MATCH(K$4,Breakdown[#Headers],0))</f>
        <v>46968</v>
      </c>
      <c r="L317" s="4">
        <f>INDEX(Breakdown[],MATCH($D317,Breakdown[Dist],0),MATCH(L$4,Breakdown[#Headers],0))</f>
        <v>172320</v>
      </c>
      <c r="M317" s="4">
        <f>INDEX(Breakdown[],MATCH($D317,Breakdown[Dist],0),MATCH(M$4,Breakdown[#Headers],0))</f>
        <v>14742</v>
      </c>
      <c r="N317" s="4">
        <f>I317-K317+M317</f>
        <v>247795</v>
      </c>
      <c r="O317" s="15">
        <f t="shared" si="29"/>
        <v>24780</v>
      </c>
      <c r="P317" s="12"/>
      <c r="Q317" s="4">
        <f>INDEX(Breakdown[],MATCH($D317,Breakdown[Dist],0),MATCH(Q$4,Breakdown[#Headers],0))</f>
        <v>60733</v>
      </c>
      <c r="R317" s="4">
        <f>INDEX(Breakdown[],MATCH($D317,Breakdown[Dist],0),MATCH(R$4,Breakdown[#Headers],0))</f>
        <v>14742</v>
      </c>
      <c r="S317" s="14">
        <f t="shared" si="30"/>
        <v>75475</v>
      </c>
      <c r="T317" s="17">
        <f t="shared" si="31"/>
        <v>147540</v>
      </c>
      <c r="U317" s="19">
        <f t="shared" si="32"/>
        <v>223015</v>
      </c>
      <c r="V317" s="12"/>
      <c r="W317" s="20">
        <f t="shared" si="33"/>
        <v>0.10000201779696927</v>
      </c>
      <c r="X317" s="20">
        <f t="shared" si="34"/>
        <v>0.89999798220303073</v>
      </c>
    </row>
    <row r="318" spans="1:24" x14ac:dyDescent="0.25">
      <c r="A318" s="5">
        <v>2026</v>
      </c>
      <c r="B318" s="5" t="s">
        <v>229</v>
      </c>
      <c r="C318" s="24" t="s">
        <v>229</v>
      </c>
      <c r="D318" s="5" t="s">
        <v>258</v>
      </c>
      <c r="E318" s="22" t="s">
        <v>693</v>
      </c>
      <c r="F318" s="22" t="s">
        <v>693</v>
      </c>
      <c r="G318" s="5" t="s">
        <v>258</v>
      </c>
      <c r="H318" s="5" t="s">
        <v>586</v>
      </c>
      <c r="I318" s="4">
        <f>INDEX(Breakdown[],MATCH($D318,Breakdown[Dist],0),MATCH(I$4,Breakdown[#Headers],0))</f>
        <v>234314</v>
      </c>
      <c r="J318" s="4">
        <f>INDEX(Breakdown[],MATCH($D318,Breakdown[Dist],0),MATCH(J$4,Breakdown[#Headers],0))</f>
        <v>181812</v>
      </c>
      <c r="K318" s="4">
        <f>INDEX(Breakdown[],MATCH($D318,Breakdown[Dist],0),MATCH(K$4,Breakdown[#Headers],0))</f>
        <v>38941</v>
      </c>
      <c r="L318" s="4">
        <f>INDEX(Breakdown[],MATCH($D318,Breakdown[Dist],0),MATCH(L$4,Breakdown[#Headers],0))</f>
        <v>142871</v>
      </c>
      <c r="M318" s="4">
        <f>INDEX(Breakdown[],MATCH($D318,Breakdown[Dist],0),MATCH(M$4,Breakdown[#Headers],0))</f>
        <v>7908</v>
      </c>
      <c r="N318" s="4">
        <f t="shared" si="28"/>
        <v>203281</v>
      </c>
      <c r="O318" s="15">
        <f t="shared" si="29"/>
        <v>20328</v>
      </c>
      <c r="P318" s="12"/>
      <c r="Q318" s="4">
        <f>INDEX(Breakdown[],MATCH($D318,Breakdown[Dist],0),MATCH(Q$4,Breakdown[#Headers],0))</f>
        <v>52502</v>
      </c>
      <c r="R318" s="4">
        <f>INDEX(Breakdown[],MATCH($D318,Breakdown[Dist],0),MATCH(R$4,Breakdown[#Headers],0))</f>
        <v>7908</v>
      </c>
      <c r="S318" s="14">
        <f t="shared" si="30"/>
        <v>60410</v>
      </c>
      <c r="T318" s="17">
        <f t="shared" si="31"/>
        <v>122543</v>
      </c>
      <c r="U318" s="19">
        <f t="shared" si="32"/>
        <v>182953</v>
      </c>
      <c r="V318" s="12"/>
      <c r="W318" s="20">
        <f t="shared" si="33"/>
        <v>9.9999508070109849E-2</v>
      </c>
      <c r="X318" s="20">
        <f t="shared" si="34"/>
        <v>0.90000049192989018</v>
      </c>
    </row>
    <row r="319" spans="1:24" x14ac:dyDescent="0.25">
      <c r="A319" s="5">
        <v>2026</v>
      </c>
      <c r="B319" s="5" t="s">
        <v>229</v>
      </c>
      <c r="C319" s="24" t="s">
        <v>229</v>
      </c>
      <c r="D319" s="5" t="s">
        <v>259</v>
      </c>
      <c r="E319" s="22" t="s">
        <v>693</v>
      </c>
      <c r="F319" s="22" t="s">
        <v>693</v>
      </c>
      <c r="G319" s="5" t="s">
        <v>259</v>
      </c>
      <c r="H319" s="5" t="s">
        <v>587</v>
      </c>
      <c r="I319" s="4">
        <f>INDEX(Breakdown[],MATCH($D319,Breakdown[Dist],0),MATCH(I$4,Breakdown[#Headers],0))</f>
        <v>299350</v>
      </c>
      <c r="J319" s="4">
        <f>INDEX(Breakdown[],MATCH($D319,Breakdown[Dist],0),MATCH(J$4,Breakdown[#Headers],0))</f>
        <v>232276</v>
      </c>
      <c r="K319" s="4">
        <f>INDEX(Breakdown[],MATCH($D319,Breakdown[Dist],0),MATCH(K$4,Breakdown[#Headers],0))</f>
        <v>49750</v>
      </c>
      <c r="L319" s="4">
        <f>INDEX(Breakdown[],MATCH($D319,Breakdown[Dist],0),MATCH(L$4,Breakdown[#Headers],0))</f>
        <v>182526</v>
      </c>
      <c r="M319" s="4">
        <f>INDEX(Breakdown[],MATCH($D319,Breakdown[Dist],0),MATCH(M$4,Breakdown[#Headers],0))</f>
        <v>16083</v>
      </c>
      <c r="N319" s="4">
        <f t="shared" si="28"/>
        <v>265683</v>
      </c>
      <c r="O319" s="15">
        <f>ROUND(N319*0.1,0)</f>
        <v>26568</v>
      </c>
      <c r="P319" s="12"/>
      <c r="Q319" s="4">
        <f>INDEX(Breakdown[],MATCH($D319,Breakdown[Dist],0),MATCH(Q$4,Breakdown[#Headers],0))</f>
        <v>67074</v>
      </c>
      <c r="R319" s="4">
        <f>INDEX(Breakdown[],MATCH($D319,Breakdown[Dist],0),MATCH(R$4,Breakdown[#Headers],0))</f>
        <v>16083</v>
      </c>
      <c r="S319" s="14">
        <f t="shared" si="30"/>
        <v>83157</v>
      </c>
      <c r="T319" s="17">
        <f>L319-O319</f>
        <v>155958</v>
      </c>
      <c r="U319" s="19">
        <f t="shared" si="32"/>
        <v>239115</v>
      </c>
      <c r="V319" s="12"/>
      <c r="W319" s="20">
        <f t="shared" si="33"/>
        <v>9.9998870834791836E-2</v>
      </c>
      <c r="X319" s="20">
        <f t="shared" si="34"/>
        <v>0.90000112916520814</v>
      </c>
    </row>
    <row r="320" spans="1:24" x14ac:dyDescent="0.25">
      <c r="A320" s="5">
        <v>2026</v>
      </c>
      <c r="B320" s="5" t="s">
        <v>0</v>
      </c>
      <c r="C320" s="24" t="s">
        <v>0</v>
      </c>
      <c r="D320" s="5" t="s">
        <v>21</v>
      </c>
      <c r="E320" s="22" t="s">
        <v>693</v>
      </c>
      <c r="F320" s="22" t="s">
        <v>693</v>
      </c>
      <c r="G320" s="5" t="s">
        <v>21</v>
      </c>
      <c r="H320" s="5" t="s">
        <v>368</v>
      </c>
      <c r="I320" s="4">
        <f>INDEX(Breakdown[],MATCH($D320,Breakdown[Dist],0),MATCH(I$4,Breakdown[#Headers],0))</f>
        <v>1304450</v>
      </c>
      <c r="J320" s="4">
        <f>INDEX(Breakdown[],MATCH($D320,Breakdown[Dist],0),MATCH(J$4,Breakdown[#Headers],0))</f>
        <v>990939</v>
      </c>
      <c r="K320" s="4">
        <f>INDEX(Breakdown[],MATCH($D320,Breakdown[Dist],0),MATCH(K$4,Breakdown[#Headers],0))</f>
        <v>212243</v>
      </c>
      <c r="L320" s="4">
        <f>INDEX(Breakdown[],MATCH($D320,Breakdown[Dist],0),MATCH(L$4,Breakdown[#Headers],0))</f>
        <v>778696</v>
      </c>
      <c r="M320" s="4">
        <f>INDEX(Breakdown[],MATCH($D320,Breakdown[Dist],0),MATCH(M$4,Breakdown[#Headers],0))</f>
        <v>0</v>
      </c>
      <c r="N320" s="4">
        <f t="shared" si="28"/>
        <v>1092207</v>
      </c>
      <c r="O320" s="15">
        <f t="shared" si="29"/>
        <v>109221</v>
      </c>
      <c r="P320" s="12"/>
      <c r="Q320" s="4">
        <f>INDEX(Breakdown[],MATCH($D320,Breakdown[Dist],0),MATCH(Q$4,Breakdown[#Headers],0))</f>
        <v>313511</v>
      </c>
      <c r="R320" s="4">
        <f>INDEX(Breakdown[],MATCH($D320,Breakdown[Dist],0),MATCH(R$4,Breakdown[#Headers],0))</f>
        <v>0</v>
      </c>
      <c r="S320" s="14">
        <f>SUM(Q320:R320)</f>
        <v>313511</v>
      </c>
      <c r="T320" s="17">
        <f t="shared" si="31"/>
        <v>669475</v>
      </c>
      <c r="U320" s="19">
        <f t="shared" si="32"/>
        <v>982986</v>
      </c>
      <c r="V320" s="12"/>
      <c r="W320" s="20">
        <f t="shared" si="33"/>
        <v>0.10000027467320755</v>
      </c>
      <c r="X320" s="20">
        <f t="shared" si="34"/>
        <v>0.8999997253267924</v>
      </c>
    </row>
    <row r="321" spans="1:24" x14ac:dyDescent="0.25">
      <c r="A321" s="5">
        <v>2026</v>
      </c>
      <c r="B321" s="5" t="s">
        <v>229</v>
      </c>
      <c r="C321" s="24" t="s">
        <v>229</v>
      </c>
      <c r="D321" s="5" t="s">
        <v>260</v>
      </c>
      <c r="E321" s="22" t="s">
        <v>693</v>
      </c>
      <c r="F321" s="22" t="s">
        <v>693</v>
      </c>
      <c r="G321" s="5" t="s">
        <v>260</v>
      </c>
      <c r="H321" s="5" t="s">
        <v>588</v>
      </c>
      <c r="I321" s="4">
        <f>INDEX(Breakdown[],MATCH($D321,Breakdown[Dist],0),MATCH(I$4,Breakdown[#Headers],0))</f>
        <v>206246</v>
      </c>
      <c r="J321" s="4">
        <f>INDEX(Breakdown[],MATCH($D321,Breakdown[Dist],0),MATCH(J$4,Breakdown[#Headers],0))</f>
        <v>160033</v>
      </c>
      <c r="K321" s="4">
        <f>INDEX(Breakdown[],MATCH($D321,Breakdown[Dist],0),MATCH(K$4,Breakdown[#Headers],0))</f>
        <v>34277</v>
      </c>
      <c r="L321" s="4">
        <f>INDEX(Breakdown[],MATCH($D321,Breakdown[Dist],0),MATCH(L$4,Breakdown[#Headers],0))</f>
        <v>125756</v>
      </c>
      <c r="M321" s="4">
        <f>INDEX(Breakdown[],MATCH($D321,Breakdown[Dist],0),MATCH(M$4,Breakdown[#Headers],0))</f>
        <v>10047</v>
      </c>
      <c r="N321" s="4">
        <f t="shared" si="28"/>
        <v>182016</v>
      </c>
      <c r="O321" s="15">
        <f t="shared" si="29"/>
        <v>18202</v>
      </c>
      <c r="P321" s="12"/>
      <c r="Q321" s="4">
        <f>INDEX(Breakdown[],MATCH($D321,Breakdown[Dist],0),MATCH(Q$4,Breakdown[#Headers],0))</f>
        <v>46213</v>
      </c>
      <c r="R321" s="4">
        <f>INDEX(Breakdown[],MATCH($D321,Breakdown[Dist],0),MATCH(R$4,Breakdown[#Headers],0))</f>
        <v>10047</v>
      </c>
      <c r="S321" s="14">
        <f t="shared" si="30"/>
        <v>56260</v>
      </c>
      <c r="T321" s="17">
        <f t="shared" si="31"/>
        <v>107554</v>
      </c>
      <c r="U321" s="19">
        <f t="shared" si="32"/>
        <v>163814</v>
      </c>
      <c r="V321" s="12"/>
      <c r="W321" s="20">
        <f t="shared" si="33"/>
        <v>0.10000219760900141</v>
      </c>
      <c r="X321" s="20">
        <f t="shared" si="34"/>
        <v>0.89999780239099858</v>
      </c>
    </row>
    <row r="322" spans="1:24" x14ac:dyDescent="0.25">
      <c r="A322" s="5">
        <v>2026</v>
      </c>
      <c r="B322" s="5" t="s">
        <v>229</v>
      </c>
      <c r="C322" s="24" t="s">
        <v>229</v>
      </c>
      <c r="D322" s="5" t="s">
        <v>261</v>
      </c>
      <c r="E322" s="22" t="s">
        <v>693</v>
      </c>
      <c r="F322" s="22" t="s">
        <v>693</v>
      </c>
      <c r="G322" s="5" t="s">
        <v>261</v>
      </c>
      <c r="H322" s="5" t="s">
        <v>589</v>
      </c>
      <c r="I322" s="4">
        <f>INDEX(Breakdown[],MATCH($D322,Breakdown[Dist],0),MATCH(I$4,Breakdown[#Headers],0))</f>
        <v>68508</v>
      </c>
      <c r="J322" s="4">
        <f>INDEX(Breakdown[],MATCH($D322,Breakdown[Dist],0),MATCH(J$4,Breakdown[#Headers],0))</f>
        <v>53158</v>
      </c>
      <c r="K322" s="4">
        <f>INDEX(Breakdown[],MATCH($D322,Breakdown[Dist],0),MATCH(K$4,Breakdown[#Headers],0))</f>
        <v>11385</v>
      </c>
      <c r="L322" s="4">
        <f>INDEX(Breakdown[],MATCH($D322,Breakdown[Dist],0),MATCH(L$4,Breakdown[#Headers],0))</f>
        <v>41773</v>
      </c>
      <c r="M322" s="4">
        <f>INDEX(Breakdown[],MATCH($D322,Breakdown[Dist],0),MATCH(M$4,Breakdown[#Headers],0))</f>
        <v>6877</v>
      </c>
      <c r="N322" s="4">
        <f t="shared" si="28"/>
        <v>64000</v>
      </c>
      <c r="O322" s="15">
        <f t="shared" si="29"/>
        <v>6400</v>
      </c>
      <c r="P322" s="12"/>
      <c r="Q322" s="4">
        <f>INDEX(Breakdown[],MATCH($D322,Breakdown[Dist],0),MATCH(Q$4,Breakdown[#Headers],0))</f>
        <v>15350</v>
      </c>
      <c r="R322" s="4">
        <f>INDEX(Breakdown[],MATCH($D322,Breakdown[Dist],0),MATCH(R$4,Breakdown[#Headers],0))</f>
        <v>6877</v>
      </c>
      <c r="S322" s="14">
        <f t="shared" si="30"/>
        <v>22227</v>
      </c>
      <c r="T322" s="17">
        <f t="shared" si="31"/>
        <v>35373</v>
      </c>
      <c r="U322" s="19">
        <f t="shared" si="32"/>
        <v>57600</v>
      </c>
      <c r="V322" s="12"/>
      <c r="W322" s="20">
        <f t="shared" si="33"/>
        <v>0.1</v>
      </c>
      <c r="X322" s="20">
        <f t="shared" si="34"/>
        <v>0.9</v>
      </c>
    </row>
    <row r="323" spans="1:24" x14ac:dyDescent="0.25">
      <c r="A323" s="5">
        <v>2026</v>
      </c>
      <c r="B323" s="5" t="s">
        <v>140</v>
      </c>
      <c r="C323" s="24" t="s">
        <v>140</v>
      </c>
      <c r="D323" s="5" t="s">
        <v>173</v>
      </c>
      <c r="E323" s="22" t="s">
        <v>693</v>
      </c>
      <c r="F323" s="22" t="s">
        <v>693</v>
      </c>
      <c r="G323" s="5" t="s">
        <v>173</v>
      </c>
      <c r="H323" s="5" t="s">
        <v>504</v>
      </c>
      <c r="I323" s="4">
        <f>INDEX(Breakdown[],MATCH($D323,Breakdown[Dist],0),MATCH(I$4,Breakdown[#Headers],0))</f>
        <v>422499</v>
      </c>
      <c r="J323" s="4">
        <f>INDEX(Breakdown[],MATCH($D323,Breakdown[Dist],0),MATCH(J$4,Breakdown[#Headers],0))</f>
        <v>334932</v>
      </c>
      <c r="K323" s="4">
        <f>INDEX(Breakdown[],MATCH($D323,Breakdown[Dist],0),MATCH(K$4,Breakdown[#Headers],0))</f>
        <v>71737</v>
      </c>
      <c r="L323" s="4">
        <f>INDEX(Breakdown[],MATCH($D323,Breakdown[Dist],0),MATCH(L$4,Breakdown[#Headers],0))</f>
        <v>263195</v>
      </c>
      <c r="M323" s="4">
        <f>INDEX(Breakdown[],MATCH($D323,Breakdown[Dist],0),MATCH(M$4,Breakdown[#Headers],0))</f>
        <v>6851</v>
      </c>
      <c r="N323" s="4">
        <f t="shared" si="28"/>
        <v>357613</v>
      </c>
      <c r="O323" s="15">
        <f t="shared" si="29"/>
        <v>35761</v>
      </c>
      <c r="P323" s="12"/>
      <c r="Q323" s="4">
        <f>INDEX(Breakdown[],MATCH($D323,Breakdown[Dist],0),MATCH(Q$4,Breakdown[#Headers],0))</f>
        <v>87567</v>
      </c>
      <c r="R323" s="4">
        <f>INDEX(Breakdown[],MATCH($D323,Breakdown[Dist],0),MATCH(R$4,Breakdown[#Headers],0))</f>
        <v>6851</v>
      </c>
      <c r="S323" s="14">
        <f t="shared" si="30"/>
        <v>94418</v>
      </c>
      <c r="T323" s="17">
        <f t="shared" si="31"/>
        <v>227434</v>
      </c>
      <c r="U323" s="19">
        <f t="shared" si="32"/>
        <v>321852</v>
      </c>
      <c r="V323" s="12"/>
      <c r="W323" s="20">
        <f t="shared" si="33"/>
        <v>9.9999161104322276E-2</v>
      </c>
      <c r="X323" s="20">
        <f t="shared" si="34"/>
        <v>0.90000083889567772</v>
      </c>
    </row>
    <row r="324" spans="1:24" x14ac:dyDescent="0.25">
      <c r="A324" s="5">
        <v>2026</v>
      </c>
      <c r="B324" s="5" t="s">
        <v>118</v>
      </c>
      <c r="C324" s="24" t="s">
        <v>118</v>
      </c>
      <c r="D324" s="5" t="s">
        <v>139</v>
      </c>
      <c r="E324" s="22" t="s">
        <v>693</v>
      </c>
      <c r="F324" s="22" t="s">
        <v>693</v>
      </c>
      <c r="G324" s="5" t="s">
        <v>139</v>
      </c>
      <c r="H324" s="5" t="s">
        <v>473</v>
      </c>
      <c r="I324" s="4">
        <f>INDEX(Breakdown[],MATCH($D324,Breakdown[Dist],0),MATCH(I$4,Breakdown[#Headers],0))</f>
        <v>314015</v>
      </c>
      <c r="J324" s="4">
        <f>INDEX(Breakdown[],MATCH($D324,Breakdown[Dist],0),MATCH(J$4,Breakdown[#Headers],0))</f>
        <v>247566</v>
      </c>
      <c r="K324" s="4">
        <f>INDEX(Breakdown[],MATCH($D324,Breakdown[Dist],0),MATCH(K$4,Breakdown[#Headers],0))</f>
        <v>53024</v>
      </c>
      <c r="L324" s="4">
        <f>INDEX(Breakdown[],MATCH($D324,Breakdown[Dist],0),MATCH(L$4,Breakdown[#Headers],0))</f>
        <v>194542</v>
      </c>
      <c r="M324" s="4">
        <f>INDEX(Breakdown[],MATCH($D324,Breakdown[Dist],0),MATCH(M$4,Breakdown[#Headers],0))</f>
        <v>8267</v>
      </c>
      <c r="N324" s="4">
        <f t="shared" si="28"/>
        <v>269258</v>
      </c>
      <c r="O324" s="15">
        <f t="shared" si="29"/>
        <v>26926</v>
      </c>
      <c r="P324" s="12"/>
      <c r="Q324" s="4">
        <f>INDEX(Breakdown[],MATCH($D324,Breakdown[Dist],0),MATCH(Q$4,Breakdown[#Headers],0))</f>
        <v>66449</v>
      </c>
      <c r="R324" s="4">
        <f>INDEX(Breakdown[],MATCH($D324,Breakdown[Dist],0),MATCH(R$4,Breakdown[#Headers],0))</f>
        <v>8267</v>
      </c>
      <c r="S324" s="14">
        <f t="shared" si="30"/>
        <v>74716</v>
      </c>
      <c r="T324" s="17">
        <f t="shared" si="31"/>
        <v>167616</v>
      </c>
      <c r="U324" s="19">
        <f t="shared" si="32"/>
        <v>242332</v>
      </c>
      <c r="V324" s="12"/>
      <c r="W324" s="20">
        <f t="shared" si="33"/>
        <v>0.10000074278201576</v>
      </c>
      <c r="X324" s="20">
        <f t="shared" si="34"/>
        <v>0.89999925721798424</v>
      </c>
    </row>
    <row r="325" spans="1:24" x14ac:dyDescent="0.25">
      <c r="A325" s="5">
        <v>2026</v>
      </c>
      <c r="B325" s="5" t="s">
        <v>308</v>
      </c>
      <c r="C325" s="24" t="s">
        <v>308</v>
      </c>
      <c r="D325" s="5" t="s">
        <v>340</v>
      </c>
      <c r="E325" s="22" t="s">
        <v>693</v>
      </c>
      <c r="F325" s="22" t="s">
        <v>693</v>
      </c>
      <c r="G325" s="5" t="s">
        <v>340</v>
      </c>
      <c r="H325" s="5" t="s">
        <v>663</v>
      </c>
      <c r="I325" s="4">
        <f>INDEX(Breakdown[],MATCH($D325,Breakdown[Dist],0),MATCH(I$4,Breakdown[#Headers],0))</f>
        <v>118829</v>
      </c>
      <c r="J325" s="4">
        <f>INDEX(Breakdown[],MATCH($D325,Breakdown[Dist],0),MATCH(J$4,Breakdown[#Headers],0))</f>
        <v>94657</v>
      </c>
      <c r="K325" s="4">
        <f>INDEX(Breakdown[],MATCH($D325,Breakdown[Dist],0),MATCH(K$4,Breakdown[#Headers],0))</f>
        <v>20274</v>
      </c>
      <c r="L325" s="4">
        <f>INDEX(Breakdown[],MATCH($D325,Breakdown[Dist],0),MATCH(L$4,Breakdown[#Headers],0))</f>
        <v>74383</v>
      </c>
      <c r="M325" s="4">
        <f>INDEX(Breakdown[],MATCH($D325,Breakdown[Dist],0),MATCH(M$4,Breakdown[#Headers],0))</f>
        <v>2392</v>
      </c>
      <c r="N325" s="4">
        <f t="shared" si="28"/>
        <v>100947</v>
      </c>
      <c r="O325" s="15">
        <f t="shared" si="29"/>
        <v>10095</v>
      </c>
      <c r="P325" s="12"/>
      <c r="Q325" s="4">
        <f>INDEX(Breakdown[],MATCH($D325,Breakdown[Dist],0),MATCH(Q$4,Breakdown[#Headers],0))</f>
        <v>24172</v>
      </c>
      <c r="R325" s="4">
        <f>INDEX(Breakdown[],MATCH($D325,Breakdown[Dist],0),MATCH(R$4,Breakdown[#Headers],0))</f>
        <v>2392</v>
      </c>
      <c r="S325" s="14">
        <f t="shared" si="30"/>
        <v>26564</v>
      </c>
      <c r="T325" s="17">
        <f t="shared" si="31"/>
        <v>64288</v>
      </c>
      <c r="U325" s="19">
        <f t="shared" si="32"/>
        <v>90852</v>
      </c>
      <c r="V325" s="12"/>
      <c r="W325" s="20">
        <f t="shared" si="33"/>
        <v>0.10000297185651877</v>
      </c>
      <c r="X325" s="20">
        <f t="shared" si="34"/>
        <v>0.89999702814348126</v>
      </c>
    </row>
    <row r="326" spans="1:24" x14ac:dyDescent="0.25">
      <c r="A326" s="5">
        <v>2026</v>
      </c>
      <c r="B326" s="5" t="s">
        <v>174</v>
      </c>
      <c r="C326" s="24" t="s">
        <v>174</v>
      </c>
      <c r="D326" s="5" t="s">
        <v>227</v>
      </c>
      <c r="E326" s="22" t="s">
        <v>693</v>
      </c>
      <c r="F326" s="22" t="s">
        <v>693</v>
      </c>
      <c r="G326" s="5" t="s">
        <v>227</v>
      </c>
      <c r="H326" s="5" t="s">
        <v>555</v>
      </c>
      <c r="I326" s="4">
        <f>INDEX(Breakdown[],MATCH($D326,Breakdown[Dist],0),MATCH(I$4,Breakdown[#Headers],0))</f>
        <v>640743</v>
      </c>
      <c r="J326" s="4">
        <f>INDEX(Breakdown[],MATCH($D326,Breakdown[Dist],0),MATCH(J$4,Breakdown[#Headers],0))</f>
        <v>518516</v>
      </c>
      <c r="K326" s="4">
        <f>INDEX(Breakdown[],MATCH($D326,Breakdown[Dist],0),MATCH(K$4,Breakdown[#Headers],0))</f>
        <v>111058</v>
      </c>
      <c r="L326" s="4">
        <f>INDEX(Breakdown[],MATCH($D326,Breakdown[Dist],0),MATCH(L$4,Breakdown[#Headers],0))</f>
        <v>407458</v>
      </c>
      <c r="M326" s="4">
        <f>INDEX(Breakdown[],MATCH($D326,Breakdown[Dist],0),MATCH(M$4,Breakdown[#Headers],0))</f>
        <v>0</v>
      </c>
      <c r="N326" s="4">
        <f t="shared" ref="N326:N329" si="35">I326-K326+M326</f>
        <v>529685</v>
      </c>
      <c r="O326" s="15">
        <f t="shared" ref="O326:O328" si="36">ROUND(N326*0.1,0)</f>
        <v>52969</v>
      </c>
      <c r="P326" s="12"/>
      <c r="Q326" s="4">
        <f>INDEX(Breakdown[],MATCH($D326,Breakdown[Dist],0),MATCH(Q$4,Breakdown[#Headers],0))</f>
        <v>122227</v>
      </c>
      <c r="R326" s="4">
        <f>INDEX(Breakdown[],MATCH($D326,Breakdown[Dist],0),MATCH(R$4,Breakdown[#Headers],0))</f>
        <v>0</v>
      </c>
      <c r="S326" s="14">
        <f t="shared" ref="S326:S329" si="37">SUM(Q326:R326)</f>
        <v>122227</v>
      </c>
      <c r="T326" s="17">
        <f t="shared" ref="T326:T329" si="38">L326-O326</f>
        <v>354489</v>
      </c>
      <c r="U326" s="19">
        <f t="shared" ref="U326:U328" si="39">SUM(S326:T326)</f>
        <v>476716</v>
      </c>
      <c r="V326" s="12"/>
      <c r="W326" s="20">
        <f t="shared" ref="W326:W328" si="40">O326/N326</f>
        <v>0.10000094395725762</v>
      </c>
      <c r="X326" s="20">
        <f t="shared" ref="X326:X328" si="41">U326/N326</f>
        <v>0.89999905604274233</v>
      </c>
    </row>
    <row r="327" spans="1:24" x14ac:dyDescent="0.25">
      <c r="A327" s="5">
        <v>2026</v>
      </c>
      <c r="B327" s="5" t="s">
        <v>263</v>
      </c>
      <c r="C327" s="24" t="s">
        <v>263</v>
      </c>
      <c r="D327" s="5" t="s">
        <v>307</v>
      </c>
      <c r="E327" s="22" t="s">
        <v>693</v>
      </c>
      <c r="F327" s="22" t="s">
        <v>693</v>
      </c>
      <c r="G327" s="5" t="s">
        <v>307</v>
      </c>
      <c r="H327" s="5" t="s">
        <v>632</v>
      </c>
      <c r="I327" s="4">
        <f>INDEX(Breakdown[],MATCH($D327,Breakdown[Dist],0),MATCH(I$4,Breakdown[#Headers],0))</f>
        <v>199878</v>
      </c>
      <c r="J327" s="4">
        <f>INDEX(Breakdown[],MATCH($D327,Breakdown[Dist],0),MATCH(J$4,Breakdown[#Headers],0))</f>
        <v>158016</v>
      </c>
      <c r="K327" s="4">
        <f>INDEX(Breakdown[],MATCH($D327,Breakdown[Dist],0),MATCH(K$4,Breakdown[#Headers],0))</f>
        <v>33844</v>
      </c>
      <c r="L327" s="4">
        <f>INDEX(Breakdown[],MATCH($D327,Breakdown[Dist],0),MATCH(L$4,Breakdown[#Headers],0))</f>
        <v>124172</v>
      </c>
      <c r="M327" s="4">
        <f>INDEX(Breakdown[],MATCH($D327,Breakdown[Dist],0),MATCH(M$4,Breakdown[#Headers],0))</f>
        <v>0</v>
      </c>
      <c r="N327" s="4">
        <f t="shared" si="35"/>
        <v>166034</v>
      </c>
      <c r="O327" s="15">
        <f t="shared" si="36"/>
        <v>16603</v>
      </c>
      <c r="P327" s="12"/>
      <c r="Q327" s="4">
        <f>INDEX(Breakdown[],MATCH($D327,Breakdown[Dist],0),MATCH(Q$4,Breakdown[#Headers],0))</f>
        <v>41862</v>
      </c>
      <c r="R327" s="4">
        <f>INDEX(Breakdown[],MATCH($D327,Breakdown[Dist],0),MATCH(R$4,Breakdown[#Headers],0))</f>
        <v>0</v>
      </c>
      <c r="S327" s="14">
        <f t="shared" si="37"/>
        <v>41862</v>
      </c>
      <c r="T327" s="17">
        <f t="shared" si="38"/>
        <v>107569</v>
      </c>
      <c r="U327" s="19">
        <f t="shared" si="39"/>
        <v>149431</v>
      </c>
      <c r="V327" s="12"/>
      <c r="W327" s="20">
        <f t="shared" si="40"/>
        <v>9.9997590854885146E-2</v>
      </c>
      <c r="X327" s="20">
        <f t="shared" si="41"/>
        <v>0.90000240914511487</v>
      </c>
    </row>
    <row r="328" spans="1:24" x14ac:dyDescent="0.25">
      <c r="A328" s="5">
        <v>2026</v>
      </c>
      <c r="B328" s="5" t="s">
        <v>229</v>
      </c>
      <c r="C328" s="24" t="s">
        <v>229</v>
      </c>
      <c r="D328" s="5" t="s">
        <v>262</v>
      </c>
      <c r="E328" s="22" t="s">
        <v>693</v>
      </c>
      <c r="F328" s="22" t="s">
        <v>693</v>
      </c>
      <c r="G328" s="5" t="s">
        <v>262</v>
      </c>
      <c r="H328" s="5" t="s">
        <v>590</v>
      </c>
      <c r="I328" s="4">
        <f>INDEX(Breakdown[],MATCH($D328,Breakdown[Dist],0),MATCH(I$4,Breakdown[#Headers],0))</f>
        <v>215085</v>
      </c>
      <c r="J328" s="4">
        <f>INDEX(Breakdown[],MATCH($D328,Breakdown[Dist],0),MATCH(J$4,Breakdown[#Headers],0))</f>
        <v>166892</v>
      </c>
      <c r="K328" s="4">
        <f>INDEX(Breakdown[],MATCH($D328,Breakdown[Dist],0),MATCH(K$4,Breakdown[#Headers],0))</f>
        <v>35746</v>
      </c>
      <c r="L328" s="4">
        <f>INDEX(Breakdown[],MATCH($D328,Breakdown[Dist],0),MATCH(L$4,Breakdown[#Headers],0))</f>
        <v>131146</v>
      </c>
      <c r="M328" s="4">
        <f>INDEX(Breakdown[],MATCH($D328,Breakdown[Dist],0),MATCH(M$4,Breakdown[#Headers],0))</f>
        <v>0</v>
      </c>
      <c r="N328" s="4">
        <f t="shared" si="35"/>
        <v>179339</v>
      </c>
      <c r="O328" s="15">
        <f t="shared" si="36"/>
        <v>17934</v>
      </c>
      <c r="P328" s="12"/>
      <c r="Q328" s="4">
        <f>INDEX(Breakdown[],MATCH($D328,Breakdown[Dist],0),MATCH(Q$4,Breakdown[#Headers],0))</f>
        <v>48193</v>
      </c>
      <c r="R328" s="4">
        <f>INDEX(Breakdown[],MATCH($D328,Breakdown[Dist],0),MATCH(R$4,Breakdown[#Headers],0))</f>
        <v>0</v>
      </c>
      <c r="S328" s="14">
        <f t="shared" si="37"/>
        <v>48193</v>
      </c>
      <c r="T328" s="17">
        <f t="shared" si="38"/>
        <v>113212</v>
      </c>
      <c r="U328" s="19">
        <f t="shared" si="39"/>
        <v>161405</v>
      </c>
      <c r="V328" s="12"/>
      <c r="W328" s="20">
        <f t="shared" si="40"/>
        <v>0.10000055760319841</v>
      </c>
      <c r="X328" s="20">
        <f t="shared" si="41"/>
        <v>0.89999944239680163</v>
      </c>
    </row>
    <row r="329" spans="1:24" x14ac:dyDescent="0.25">
      <c r="A329" s="5">
        <v>2026</v>
      </c>
      <c r="B329" s="5" t="s">
        <v>174</v>
      </c>
      <c r="C329" s="24" t="s">
        <v>174</v>
      </c>
      <c r="D329" s="5" t="s">
        <v>228</v>
      </c>
      <c r="E329" s="22" t="s">
        <v>693</v>
      </c>
      <c r="F329" s="22" t="s">
        <v>693</v>
      </c>
      <c r="G329" s="5" t="s">
        <v>228</v>
      </c>
      <c r="H329" s="5" t="s">
        <v>556</v>
      </c>
      <c r="I329" s="4">
        <f>INDEX(Breakdown[],MATCH($D329,Breakdown[Dist],0),MATCH(I$4,Breakdown[#Headers],0))</f>
        <v>416632</v>
      </c>
      <c r="J329" s="4">
        <f>INDEX(Breakdown[],MATCH($D329,Breakdown[Dist],0),MATCH(J$4,Breakdown[#Headers],0))</f>
        <v>337156</v>
      </c>
      <c r="K329" s="4">
        <f>INDEX(Breakdown[],MATCH($D329,Breakdown[Dist],0),MATCH(K$4,Breakdown[#Headers],0))</f>
        <v>72214</v>
      </c>
      <c r="L329" s="4">
        <f>INDEX(Breakdown[],MATCH($D329,Breakdown[Dist],0),MATCH(L$4,Breakdown[#Headers],0))</f>
        <v>264942</v>
      </c>
      <c r="M329" s="4">
        <f>INDEX(Breakdown[],MATCH($D329,Breakdown[Dist],0),MATCH(M$4,Breakdown[#Headers],0))</f>
        <v>0</v>
      </c>
      <c r="N329" s="4">
        <f t="shared" si="35"/>
        <v>344418</v>
      </c>
      <c r="O329" s="15">
        <f>ROUND(N329*0.1,0)</f>
        <v>34442</v>
      </c>
      <c r="P329" s="12"/>
      <c r="Q329" s="4">
        <f>INDEX(Breakdown[],MATCH($D329,Breakdown[Dist],0),MATCH(Q$4,Breakdown[#Headers],0))</f>
        <v>79476</v>
      </c>
      <c r="R329" s="4">
        <f>INDEX(Breakdown[],MATCH($D329,Breakdown[Dist],0),MATCH(R$4,Breakdown[#Headers],0))</f>
        <v>0</v>
      </c>
      <c r="S329" s="14">
        <f t="shared" si="37"/>
        <v>79476</v>
      </c>
      <c r="T329" s="17">
        <f t="shared" si="38"/>
        <v>230500</v>
      </c>
      <c r="U329" s="19">
        <f>SUM(S329:T329)</f>
        <v>309976</v>
      </c>
      <c r="V329" s="12"/>
      <c r="W329" s="20">
        <f>O329/N329</f>
        <v>0.10000058068974328</v>
      </c>
      <c r="X329" s="20">
        <f>U329/N329</f>
        <v>0.89999941931025673</v>
      </c>
    </row>
    <row r="330" spans="1:24" ht="15.75" thickBot="1" x14ac:dyDescent="0.3">
      <c r="H330" s="11" t="s">
        <v>719</v>
      </c>
      <c r="I330" s="8">
        <f>SUM(I5:I329)</f>
        <v>191818201</v>
      </c>
      <c r="J330" s="8">
        <f t="shared" ref="J330:Q330" si="42">SUM(J5:J329)</f>
        <v>151738653</v>
      </c>
      <c r="K330" s="8">
        <f t="shared" si="42"/>
        <v>32500000</v>
      </c>
      <c r="L330" s="8">
        <f t="shared" si="42"/>
        <v>119238653</v>
      </c>
      <c r="M330" s="8">
        <f t="shared" si="42"/>
        <v>1172290</v>
      </c>
      <c r="N330" s="8">
        <f t="shared" si="42"/>
        <v>160490491</v>
      </c>
      <c r="O330" s="8">
        <f t="shared" si="42"/>
        <v>16049065</v>
      </c>
      <c r="P330" s="12"/>
      <c r="Q330" s="8">
        <f t="shared" si="42"/>
        <v>40079548</v>
      </c>
      <c r="R330" s="8">
        <f t="shared" ref="R330" si="43">SUM(R5:R329)</f>
        <v>1172290</v>
      </c>
      <c r="S330" s="8">
        <f t="shared" ref="S330" si="44">SUM(S5:S329)</f>
        <v>41251838</v>
      </c>
      <c r="T330" s="8">
        <f t="shared" ref="T330" si="45">SUM(T5:T329)</f>
        <v>103189588</v>
      </c>
      <c r="U330" s="8">
        <f t="shared" ref="U330" si="46">SUM(U5:U329)</f>
        <v>144441426</v>
      </c>
      <c r="V330" s="12"/>
    </row>
  </sheetData>
  <pageMargins left="0.7" right="0.7" top="0.75" bottom="0.75" header="0.3" footer="0.3"/>
  <pageSetup scale="41" fitToHeight="0" orientation="landscape" r:id="rId1"/>
  <headerFooter>
    <oddHeader>&amp;C&amp;"-,Bold"&amp;16Department of Management - Final FY 2026 Amounts - 2% SSA - $32.5 million Reduction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AAF82D-1449-4B4F-B54D-73D2D6E14F98}">
          <x14:formula1>
            <xm:f>'Special Education By AEA'!$B$5:$B$13</xm:f>
          </x14:formula1>
          <xm:sqref>C5:C329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BF02B-A32D-4E6E-BF84-855B0290D27F}">
  <sheetPr>
    <tabColor rgb="FF00B0F0"/>
    <pageSetUpPr fitToPage="1"/>
  </sheetPr>
  <dimension ref="B1:J29"/>
  <sheetViews>
    <sheetView workbookViewId="0"/>
  </sheetViews>
  <sheetFormatPr defaultRowHeight="15" x14ac:dyDescent="0.25"/>
  <cols>
    <col min="2" max="2" width="16.140625" customWidth="1"/>
    <col min="3" max="3" width="21.5703125" bestFit="1" customWidth="1"/>
    <col min="4" max="4" width="19.28515625" customWidth="1"/>
    <col min="5" max="5" width="12.5703125" customWidth="1"/>
    <col min="6" max="6" width="14.42578125" customWidth="1"/>
    <col min="7" max="7" width="13.85546875" customWidth="1"/>
    <col min="8" max="8" width="12.85546875" bestFit="1" customWidth="1"/>
    <col min="9" max="9" width="18.85546875" bestFit="1" customWidth="1"/>
    <col min="10" max="10" width="16.140625" bestFit="1" customWidth="1"/>
    <col min="11" max="11" width="13.7109375" customWidth="1"/>
  </cols>
  <sheetData>
    <row r="1" spans="2:10" x14ac:dyDescent="0.25">
      <c r="D1" s="9" t="s">
        <v>706</v>
      </c>
      <c r="E1" s="9" t="s">
        <v>715</v>
      </c>
      <c r="F1" s="9" t="s">
        <v>707</v>
      </c>
      <c r="G1" s="9" t="s">
        <v>715</v>
      </c>
      <c r="H1" s="9" t="s">
        <v>708</v>
      </c>
      <c r="I1" s="9" t="s">
        <v>715</v>
      </c>
      <c r="J1" s="9" t="s">
        <v>715</v>
      </c>
    </row>
    <row r="2" spans="2:10" x14ac:dyDescent="0.25">
      <c r="D2" s="9" t="s">
        <v>709</v>
      </c>
      <c r="E2" s="9" t="s">
        <v>710</v>
      </c>
      <c r="F2" s="9" t="s">
        <v>711</v>
      </c>
      <c r="G2" s="9" t="s">
        <v>712</v>
      </c>
      <c r="H2" s="9" t="s">
        <v>713</v>
      </c>
      <c r="I2" s="9" t="s">
        <v>714</v>
      </c>
      <c r="J2" s="9" t="s">
        <v>723</v>
      </c>
    </row>
    <row r="3" spans="2:10" x14ac:dyDescent="0.25">
      <c r="G3" s="9" t="s">
        <v>716</v>
      </c>
      <c r="I3" s="9" t="s">
        <v>717</v>
      </c>
      <c r="J3" s="9" t="s">
        <v>718</v>
      </c>
    </row>
    <row r="4" spans="2:10" ht="60" x14ac:dyDescent="0.25">
      <c r="B4" s="23" t="s">
        <v>735</v>
      </c>
      <c r="C4" s="7" t="s">
        <v>344</v>
      </c>
      <c r="D4" s="25" t="s">
        <v>680</v>
      </c>
      <c r="E4" s="6" t="s">
        <v>676</v>
      </c>
      <c r="F4" s="6" t="s">
        <v>342</v>
      </c>
      <c r="G4" s="6" t="s">
        <v>677</v>
      </c>
      <c r="H4" s="6" t="s">
        <v>346</v>
      </c>
      <c r="I4" s="6" t="s">
        <v>683</v>
      </c>
      <c r="J4" s="10" t="s">
        <v>684</v>
      </c>
    </row>
    <row r="5" spans="2:10" x14ac:dyDescent="0.25">
      <c r="B5" s="5" t="s">
        <v>0</v>
      </c>
      <c r="C5" s="5" t="s">
        <v>665</v>
      </c>
      <c r="D5" s="4">
        <f>SUMIF('Special Education Breakdown'!$C$5:$C$329,'Special Education By AEA'!$B5,'Special Education Breakdown'!I$5:I$329)</f>
        <v>11576155</v>
      </c>
      <c r="E5" s="4">
        <f>SUMIF('Special Education Breakdown'!$C$5:$C$329,'Special Education By AEA'!$B5,'Special Education Breakdown'!J$5:J$329)</f>
        <v>8793953</v>
      </c>
      <c r="F5" s="4">
        <f>SUMIF('Special Education Breakdown'!$C$5:$C$329,'Special Education By AEA'!$B5,'Special Education Breakdown'!K$5:K$329)</f>
        <v>1883523</v>
      </c>
      <c r="G5" s="4">
        <f>SUMIF('Special Education Breakdown'!$C$5:$C$329,'Special Education By AEA'!$B5,'Special Education Breakdown'!L$5:L$329)</f>
        <v>6910430</v>
      </c>
      <c r="H5" s="4">
        <f>SUMIF('Special Education Breakdown'!$C$5:$C$329,'Special Education By AEA'!$B5,'Special Education Breakdown'!M$5:M$329)</f>
        <v>47018</v>
      </c>
      <c r="I5" s="4">
        <f>SUMIF('Special Education Breakdown'!$C$5:$C$329,'Special Education By AEA'!$B5,'Special Education Breakdown'!N$5:N$329)</f>
        <v>9739650</v>
      </c>
      <c r="J5" s="4">
        <f>SUMIF('Special Education Breakdown'!$C$5:$C$329,'Special Education By AEA'!$B5,'Special Education Breakdown'!O$5:O$329)</f>
        <v>973966</v>
      </c>
    </row>
    <row r="6" spans="2:10" x14ac:dyDescent="0.25">
      <c r="B6" s="5" t="s">
        <v>22</v>
      </c>
      <c r="C6" s="5" t="s">
        <v>666</v>
      </c>
      <c r="D6" s="4">
        <f>SUMIF('Special Education Breakdown'!$C$5:$C$329,'Special Education By AEA'!$B6,'Special Education Breakdown'!I$5:I$329)</f>
        <v>11961182</v>
      </c>
      <c r="E6" s="4">
        <f>SUMIF('Special Education Breakdown'!$C$5:$C$329,'Special Education By AEA'!$B6,'Special Education Breakdown'!J$5:J$329)</f>
        <v>9193987</v>
      </c>
      <c r="F6" s="4">
        <f>SUMIF('Special Education Breakdown'!$C$5:$C$329,'Special Education By AEA'!$B6,'Special Education Breakdown'!K$5:K$329)</f>
        <v>1969206</v>
      </c>
      <c r="G6" s="4">
        <f>SUMIF('Special Education Breakdown'!$C$5:$C$329,'Special Education By AEA'!$B6,'Special Education Breakdown'!L$5:L$329)</f>
        <v>7224781</v>
      </c>
      <c r="H6" s="4">
        <f>SUMIF('Special Education Breakdown'!$C$5:$C$329,'Special Education By AEA'!$B6,'Special Education Breakdown'!M$5:M$329)</f>
        <v>167396</v>
      </c>
      <c r="I6" s="4">
        <f>SUMIF('Special Education Breakdown'!$C$5:$C$329,'Special Education By AEA'!$B6,'Special Education Breakdown'!N$5:N$329)</f>
        <v>10159372</v>
      </c>
      <c r="J6" s="4">
        <f>SUMIF('Special Education Breakdown'!$C$5:$C$329,'Special Education By AEA'!$B6,'Special Education Breakdown'!O$5:O$329)</f>
        <v>1015937</v>
      </c>
    </row>
    <row r="7" spans="2:10" x14ac:dyDescent="0.25">
      <c r="B7" s="5" t="s">
        <v>60</v>
      </c>
      <c r="C7" s="5" t="s">
        <v>667</v>
      </c>
      <c r="D7" s="4">
        <f>SUMIF('Special Education Breakdown'!$C$5:$C$329,'Special Education By AEA'!$B7,'Special Education Breakdown'!I$5:I$329)</f>
        <v>24560553</v>
      </c>
      <c r="E7" s="4">
        <f>SUMIF('Special Education Breakdown'!$C$5:$C$329,'Special Education By AEA'!$B7,'Special Education Breakdown'!J$5:J$329)</f>
        <v>19233662</v>
      </c>
      <c r="F7" s="4">
        <f>SUMIF('Special Education Breakdown'!$C$5:$C$329,'Special Education By AEA'!$B7,'Special Education Breakdown'!K$5:K$329)</f>
        <v>4119546</v>
      </c>
      <c r="G7" s="4">
        <f>SUMIF('Special Education Breakdown'!$C$5:$C$329,'Special Education By AEA'!$B7,'Special Education Breakdown'!L$5:L$329)</f>
        <v>15114116</v>
      </c>
      <c r="H7" s="4">
        <f>SUMIF('Special Education Breakdown'!$C$5:$C$329,'Special Education By AEA'!$B7,'Special Education Breakdown'!M$5:M$329)</f>
        <v>206737</v>
      </c>
      <c r="I7" s="4">
        <f>SUMIF('Special Education Breakdown'!$C$5:$C$329,'Special Education By AEA'!$B7,'Special Education Breakdown'!N$5:N$329)</f>
        <v>20647744</v>
      </c>
      <c r="J7" s="4">
        <f>SUMIF('Special Education Breakdown'!$C$5:$C$329,'Special Education By AEA'!$B7,'Special Education Breakdown'!O$5:O$329)</f>
        <v>2064777</v>
      </c>
    </row>
    <row r="8" spans="2:10" x14ac:dyDescent="0.25">
      <c r="B8" s="5" t="s">
        <v>118</v>
      </c>
      <c r="C8" s="5" t="s">
        <v>668</v>
      </c>
      <c r="D8" s="4">
        <f>SUMIF('Special Education Breakdown'!$C$5:$C$329,'Special Education By AEA'!$B8,'Special Education Breakdown'!I$5:I$329)</f>
        <v>17666093</v>
      </c>
      <c r="E8" s="4">
        <f>SUMIF('Special Education Breakdown'!$C$5:$C$329,'Special Education By AEA'!$B8,'Special Education Breakdown'!J$5:J$329)</f>
        <v>13927789</v>
      </c>
      <c r="F8" s="4">
        <f>SUMIF('Special Education Breakdown'!$C$5:$C$329,'Special Education By AEA'!$B8,'Special Education Breakdown'!K$5:K$329)</f>
        <v>2983110</v>
      </c>
      <c r="G8" s="4">
        <f>SUMIF('Special Education Breakdown'!$C$5:$C$329,'Special Education By AEA'!$B8,'Special Education Breakdown'!L$5:L$329)</f>
        <v>10944679</v>
      </c>
      <c r="H8" s="4">
        <f>SUMIF('Special Education Breakdown'!$C$5:$C$329,'Special Education By AEA'!$B8,'Special Education Breakdown'!M$5:M$329)</f>
        <v>84238</v>
      </c>
      <c r="I8" s="4">
        <f>SUMIF('Special Education Breakdown'!$C$5:$C$329,'Special Education By AEA'!$B8,'Special Education Breakdown'!N$5:N$329)</f>
        <v>14767221</v>
      </c>
      <c r="J8" s="4">
        <f>SUMIF('Special Education Breakdown'!$C$5:$C$329,'Special Education By AEA'!$B8,'Special Education Breakdown'!O$5:O$329)</f>
        <v>1476722</v>
      </c>
    </row>
    <row r="9" spans="2:10" x14ac:dyDescent="0.25">
      <c r="B9" s="5" t="s">
        <v>140</v>
      </c>
      <c r="C9" s="5" t="s">
        <v>669</v>
      </c>
      <c r="D9" s="4">
        <f>SUMIF('Special Education Breakdown'!$C$5:$C$329,'Special Education By AEA'!$B9,'Special Education Breakdown'!I$5:I$329)</f>
        <v>26987736</v>
      </c>
      <c r="E9" s="4">
        <f>SUMIF('Special Education Breakdown'!$C$5:$C$329,'Special Education By AEA'!$B9,'Special Education Breakdown'!J$5:J$329)</f>
        <v>21394233</v>
      </c>
      <c r="F9" s="4">
        <f>SUMIF('Special Education Breakdown'!$C$5:$C$329,'Special Education By AEA'!$B9,'Special Education Breakdown'!K$5:K$329)</f>
        <v>4582301</v>
      </c>
      <c r="G9" s="4">
        <f>SUMIF('Special Education Breakdown'!$C$5:$C$329,'Special Education By AEA'!$B9,'Special Education Breakdown'!L$5:L$329)</f>
        <v>16811932</v>
      </c>
      <c r="H9" s="4">
        <f>SUMIF('Special Education Breakdown'!$C$5:$C$329,'Special Education By AEA'!$B9,'Special Education Breakdown'!M$5:M$329)</f>
        <v>140219</v>
      </c>
      <c r="I9" s="4">
        <f>SUMIF('Special Education Breakdown'!$C$5:$C$329,'Special Education By AEA'!$B9,'Special Education Breakdown'!N$5:N$329)</f>
        <v>22545654</v>
      </c>
      <c r="J9" s="4">
        <f>SUMIF('Special Education Breakdown'!$C$5:$C$329,'Special Education By AEA'!$B9,'Special Education Breakdown'!O$5:O$329)</f>
        <v>2254567</v>
      </c>
    </row>
    <row r="10" spans="2:10" x14ac:dyDescent="0.25">
      <c r="B10" s="5" t="s">
        <v>174</v>
      </c>
      <c r="C10" s="5" t="s">
        <v>670</v>
      </c>
      <c r="D10" s="4">
        <f>SUMIF('Special Education Breakdown'!$C$5:$C$329,'Special Education By AEA'!$B10,'Special Education Breakdown'!I$5:I$329)</f>
        <v>55239348</v>
      </c>
      <c r="E10" s="4">
        <f>SUMIF('Special Education Breakdown'!$C$5:$C$329,'Special Education By AEA'!$B10,'Special Education Breakdown'!J$5:J$329)</f>
        <v>44701993</v>
      </c>
      <c r="F10" s="4">
        <f>SUMIF('Special Education Breakdown'!$C$5:$C$329,'Special Education By AEA'!$B10,'Special Education Breakdown'!K$5:K$329)</f>
        <v>9574454</v>
      </c>
      <c r="G10" s="4">
        <f>SUMIF('Special Education Breakdown'!$C$5:$C$329,'Special Education By AEA'!$B10,'Special Education Breakdown'!L$5:L$329)</f>
        <v>35127539</v>
      </c>
      <c r="H10" s="4">
        <f>SUMIF('Special Education Breakdown'!$C$5:$C$329,'Special Education By AEA'!$B10,'Special Education Breakdown'!M$5:M$329)</f>
        <v>116312</v>
      </c>
      <c r="I10" s="4">
        <f>SUMIF('Special Education Breakdown'!$C$5:$C$329,'Special Education By AEA'!$B10,'Special Education Breakdown'!N$5:N$329)</f>
        <v>45781206</v>
      </c>
      <c r="J10" s="4">
        <f>SUMIF('Special Education Breakdown'!$C$5:$C$329,'Special Education By AEA'!$B10,'Special Education Breakdown'!O$5:O$329)</f>
        <v>4578123</v>
      </c>
    </row>
    <row r="11" spans="2:10" x14ac:dyDescent="0.25">
      <c r="B11" s="5" t="s">
        <v>229</v>
      </c>
      <c r="C11" s="5" t="s">
        <v>671</v>
      </c>
      <c r="D11" s="4">
        <f>SUMIF('Special Education Breakdown'!$C$5:$C$329,'Special Education By AEA'!$B11,'Special Education Breakdown'!I$5:I$329)</f>
        <v>16002942</v>
      </c>
      <c r="E11" s="4">
        <f>SUMIF('Special Education Breakdown'!$C$5:$C$329,'Special Education By AEA'!$B11,'Special Education Breakdown'!J$5:J$329)</f>
        <v>12417240</v>
      </c>
      <c r="F11" s="4">
        <f>SUMIF('Special Education Breakdown'!$C$5:$C$329,'Special Education By AEA'!$B11,'Special Education Breakdown'!K$5:K$329)</f>
        <v>2659575</v>
      </c>
      <c r="G11" s="4">
        <f>SUMIF('Special Education Breakdown'!$C$5:$C$329,'Special Education By AEA'!$B11,'Special Education Breakdown'!L$5:L$329)</f>
        <v>9757665</v>
      </c>
      <c r="H11" s="4">
        <f>SUMIF('Special Education Breakdown'!$C$5:$C$329,'Special Education By AEA'!$B11,'Special Education Breakdown'!M$5:M$329)</f>
        <v>106969</v>
      </c>
      <c r="I11" s="4">
        <f>SUMIF('Special Education Breakdown'!$C$5:$C$329,'Special Education By AEA'!$B11,'Special Education Breakdown'!N$5:N$329)</f>
        <v>13450336</v>
      </c>
      <c r="J11" s="4">
        <f>SUMIF('Special Education Breakdown'!$C$5:$C$329,'Special Education By AEA'!$B11,'Special Education Breakdown'!O$5:O$329)</f>
        <v>1345036</v>
      </c>
    </row>
    <row r="12" spans="2:10" x14ac:dyDescent="0.25">
      <c r="B12" s="5" t="s">
        <v>263</v>
      </c>
      <c r="C12" s="5" t="s">
        <v>672</v>
      </c>
      <c r="D12" s="4">
        <f>SUMIF('Special Education Breakdown'!$C$5:$C$329,'Special Education By AEA'!$B12,'Special Education Breakdown'!I$5:I$329)</f>
        <v>14688682</v>
      </c>
      <c r="E12" s="4">
        <f>SUMIF('Special Education Breakdown'!$C$5:$C$329,'Special Education By AEA'!$B12,'Special Education Breakdown'!J$5:J$329)</f>
        <v>11612276</v>
      </c>
      <c r="F12" s="4">
        <f>SUMIF('Special Education Breakdown'!$C$5:$C$329,'Special Education By AEA'!$B12,'Special Education Breakdown'!K$5:K$329)</f>
        <v>2487165</v>
      </c>
      <c r="G12" s="4">
        <f>SUMIF('Special Education Breakdown'!$C$5:$C$329,'Special Education By AEA'!$B12,'Special Education Breakdown'!L$5:L$329)</f>
        <v>9125111</v>
      </c>
      <c r="H12" s="4">
        <f>SUMIF('Special Education Breakdown'!$C$5:$C$329,'Special Education By AEA'!$B12,'Special Education Breakdown'!M$5:M$329)</f>
        <v>172236</v>
      </c>
      <c r="I12" s="4">
        <f>SUMIF('Special Education Breakdown'!$C$5:$C$329,'Special Education By AEA'!$B12,'Special Education Breakdown'!N$5:N$329)</f>
        <v>12373753</v>
      </c>
      <c r="J12" s="4">
        <f>SUMIF('Special Education Breakdown'!$C$5:$C$329,'Special Education By AEA'!$B12,'Special Education Breakdown'!O$5:O$329)</f>
        <v>1237379</v>
      </c>
    </row>
    <row r="13" spans="2:10" x14ac:dyDescent="0.25">
      <c r="B13" s="5" t="s">
        <v>308</v>
      </c>
      <c r="C13" s="27" t="s">
        <v>673</v>
      </c>
      <c r="D13" s="4">
        <f>SUMIF('Special Education Breakdown'!$C$5:$C$329,'Special Education By AEA'!$B13,'Special Education Breakdown'!I$5:I$329)</f>
        <v>13135510</v>
      </c>
      <c r="E13" s="4">
        <f>SUMIF('Special Education Breakdown'!$C$5:$C$329,'Special Education By AEA'!$B13,'Special Education Breakdown'!J$5:J$329)</f>
        <v>10463520</v>
      </c>
      <c r="F13" s="4">
        <f>SUMIF('Special Education Breakdown'!$C$5:$C$329,'Special Education By AEA'!$B13,'Special Education Breakdown'!K$5:K$329)</f>
        <v>2241120</v>
      </c>
      <c r="G13" s="4">
        <f>SUMIF('Special Education Breakdown'!$C$5:$C$329,'Special Education By AEA'!$B13,'Special Education Breakdown'!L$5:L$329)</f>
        <v>8222400</v>
      </c>
      <c r="H13" s="4">
        <f>SUMIF('Special Education Breakdown'!$C$5:$C$329,'Special Education By AEA'!$B13,'Special Education Breakdown'!M$5:M$329)</f>
        <v>131165</v>
      </c>
      <c r="I13" s="4">
        <f>SUMIF('Special Education Breakdown'!$C$5:$C$329,'Special Education By AEA'!$B13,'Special Education Breakdown'!N$5:N$329)</f>
        <v>11025555</v>
      </c>
      <c r="J13" s="4">
        <f>SUMIF('Special Education Breakdown'!$C$5:$C$329,'Special Education By AEA'!$B13,'Special Education Breakdown'!O$5:O$329)</f>
        <v>1102558</v>
      </c>
    </row>
    <row r="14" spans="2:10" x14ac:dyDescent="0.25">
      <c r="C14" s="28" t="s">
        <v>736</v>
      </c>
      <c r="D14" s="29">
        <f>SUM(D5:D13)</f>
        <v>191818201</v>
      </c>
      <c r="E14" s="29">
        <f t="shared" ref="E14:J14" si="0">SUM(E5:E13)</f>
        <v>151738653</v>
      </c>
      <c r="F14" s="29">
        <f t="shared" si="0"/>
        <v>32500000</v>
      </c>
      <c r="G14" s="29">
        <f t="shared" si="0"/>
        <v>119238653</v>
      </c>
      <c r="H14" s="29">
        <f t="shared" si="0"/>
        <v>1172290</v>
      </c>
      <c r="I14" s="29">
        <f t="shared" si="0"/>
        <v>160490491</v>
      </c>
      <c r="J14" s="29">
        <f t="shared" si="0"/>
        <v>16049065</v>
      </c>
    </row>
    <row r="16" spans="2:10" x14ac:dyDescent="0.25">
      <c r="D16" s="9" t="s">
        <v>715</v>
      </c>
      <c r="E16" s="9" t="s">
        <v>708</v>
      </c>
      <c r="F16" s="9" t="s">
        <v>715</v>
      </c>
      <c r="G16" s="9" t="s">
        <v>715</v>
      </c>
      <c r="H16" s="9" t="s">
        <v>715</v>
      </c>
      <c r="I16" s="9" t="s">
        <v>715</v>
      </c>
      <c r="J16" s="9" t="s">
        <v>715</v>
      </c>
    </row>
    <row r="17" spans="2:10" x14ac:dyDescent="0.25">
      <c r="D17" s="9" t="s">
        <v>720</v>
      </c>
      <c r="E17" s="9" t="s">
        <v>721</v>
      </c>
      <c r="F17" s="9" t="s">
        <v>724</v>
      </c>
      <c r="G17" s="9" t="s">
        <v>725</v>
      </c>
      <c r="H17" s="9" t="s">
        <v>727</v>
      </c>
      <c r="I17" s="9" t="s">
        <v>730</v>
      </c>
      <c r="J17" s="9" t="s">
        <v>731</v>
      </c>
    </row>
    <row r="18" spans="2:10" x14ac:dyDescent="0.25">
      <c r="F18" s="9" t="s">
        <v>722</v>
      </c>
      <c r="G18" s="9" t="s">
        <v>726</v>
      </c>
      <c r="H18" s="9" t="s">
        <v>728</v>
      </c>
      <c r="I18" s="9" t="s">
        <v>732</v>
      </c>
      <c r="J18" s="9" t="s">
        <v>733</v>
      </c>
    </row>
    <row r="19" spans="2:10" ht="60" x14ac:dyDescent="0.25">
      <c r="B19" s="23" t="s">
        <v>735</v>
      </c>
      <c r="C19" s="7" t="s">
        <v>344</v>
      </c>
      <c r="D19" s="6" t="str">
        <f>Breakdown[[#Headers],[Special Education Property Tax Portion]]</f>
        <v>Special Education Property Tax Portion</v>
      </c>
      <c r="E19" s="6" t="str">
        <f>Breakdown[[#Headers],[AEA Special Ed Support Adjustment]]</f>
        <v>AEA Special Ed Support Adjustment</v>
      </c>
      <c r="F19" s="13" t="s">
        <v>685</v>
      </c>
      <c r="G19" s="16" t="s">
        <v>687</v>
      </c>
      <c r="H19" s="18" t="s">
        <v>686</v>
      </c>
      <c r="I19" s="6" t="s">
        <v>737</v>
      </c>
      <c r="J19" s="6" t="s">
        <v>729</v>
      </c>
    </row>
    <row r="20" spans="2:10" x14ac:dyDescent="0.25">
      <c r="B20" s="5" t="s">
        <v>0</v>
      </c>
      <c r="C20" s="5" t="s">
        <v>665</v>
      </c>
      <c r="D20" s="4">
        <f>SUMIF('Special Education Breakdown'!$C$5:$C$329,'Special Education By AEA'!$B20,'Special Education Breakdown'!Q$5:Q$329)</f>
        <v>2782202</v>
      </c>
      <c r="E20" s="4">
        <f>SUMIF('Special Education Breakdown'!$C$5:$C$329,'Special Education By AEA'!$B20,'Special Education Breakdown'!R$5:R$329)</f>
        <v>47018</v>
      </c>
      <c r="F20" s="4">
        <f>SUMIF('Special Education Breakdown'!$C$5:$C$329,'Special Education By AEA'!$B20,'Special Education Breakdown'!S$5:S$329)</f>
        <v>2829220</v>
      </c>
      <c r="G20" s="4">
        <f>SUMIF('Special Education Breakdown'!$C$5:$C$329,'Special Education By AEA'!$B20,'Special Education Breakdown'!T$5:T$329)</f>
        <v>5936464</v>
      </c>
      <c r="H20" s="4">
        <f>SUMIF('Special Education Breakdown'!$C$5:$C$329,'Special Education By AEA'!$B20,'Special Education Breakdown'!U$5:U$329)</f>
        <v>8765684</v>
      </c>
      <c r="I20" s="30">
        <f t="shared" ref="I20:I28" si="1">J5/I5</f>
        <v>0.100000102673094</v>
      </c>
      <c r="J20" s="30">
        <f t="shared" ref="J20:J28" si="2">H20/I5</f>
        <v>0.899999897326906</v>
      </c>
    </row>
    <row r="21" spans="2:10" x14ac:dyDescent="0.25">
      <c r="B21" s="5" t="s">
        <v>22</v>
      </c>
      <c r="C21" s="5" t="s">
        <v>666</v>
      </c>
      <c r="D21" s="4">
        <f>SUMIF('Special Education Breakdown'!$C$5:$C$329,'Special Education By AEA'!$B21,'Special Education Breakdown'!Q$5:Q$329)</f>
        <v>2767195</v>
      </c>
      <c r="E21" s="4">
        <f>SUMIF('Special Education Breakdown'!$C$5:$C$329,'Special Education By AEA'!$B21,'Special Education Breakdown'!R$5:R$329)</f>
        <v>167396</v>
      </c>
      <c r="F21" s="4">
        <f>SUMIF('Special Education Breakdown'!$C$5:$C$329,'Special Education By AEA'!$B21,'Special Education Breakdown'!S$5:S$329)</f>
        <v>2934591</v>
      </c>
      <c r="G21" s="4">
        <f>SUMIF('Special Education Breakdown'!$C$5:$C$329,'Special Education By AEA'!$B21,'Special Education Breakdown'!T$5:T$329)</f>
        <v>6208844</v>
      </c>
      <c r="H21" s="4">
        <f>SUMIF('Special Education Breakdown'!$C$5:$C$329,'Special Education By AEA'!$B21,'Special Education Breakdown'!U$5:U$329)</f>
        <v>9143435</v>
      </c>
      <c r="I21" s="30">
        <f t="shared" si="1"/>
        <v>9.9999980313743797E-2</v>
      </c>
      <c r="J21" s="30">
        <f t="shared" si="2"/>
        <v>0.9000000196862562</v>
      </c>
    </row>
    <row r="22" spans="2:10" x14ac:dyDescent="0.25">
      <c r="B22" s="5" t="s">
        <v>60</v>
      </c>
      <c r="C22" s="5" t="s">
        <v>667</v>
      </c>
      <c r="D22" s="4">
        <f>SUMIF('Special Education Breakdown'!$C$5:$C$329,'Special Education By AEA'!$B22,'Special Education Breakdown'!Q$5:Q$329)</f>
        <v>5326891</v>
      </c>
      <c r="E22" s="4">
        <f>SUMIF('Special Education Breakdown'!$C$5:$C$329,'Special Education By AEA'!$B22,'Special Education Breakdown'!R$5:R$329)</f>
        <v>206737</v>
      </c>
      <c r="F22" s="4">
        <f>SUMIF('Special Education Breakdown'!$C$5:$C$329,'Special Education By AEA'!$B22,'Special Education Breakdown'!S$5:S$329)</f>
        <v>5533628</v>
      </c>
      <c r="G22" s="4">
        <f>SUMIF('Special Education Breakdown'!$C$5:$C$329,'Special Education By AEA'!$B22,'Special Education Breakdown'!T$5:T$329)</f>
        <v>13049339</v>
      </c>
      <c r="H22" s="4">
        <f>SUMIF('Special Education Breakdown'!$C$5:$C$329,'Special Education By AEA'!$B22,'Special Education Breakdown'!U$5:U$329)</f>
        <v>18582967</v>
      </c>
      <c r="I22" s="30">
        <f t="shared" si="1"/>
        <v>0.10000012592174719</v>
      </c>
      <c r="J22" s="30">
        <f t="shared" si="2"/>
        <v>0.89999987407825277</v>
      </c>
    </row>
    <row r="23" spans="2:10" x14ac:dyDescent="0.25">
      <c r="B23" s="5" t="s">
        <v>118</v>
      </c>
      <c r="C23" s="5" t="s">
        <v>668</v>
      </c>
      <c r="D23" s="4">
        <f>SUMIF('Special Education Breakdown'!$C$5:$C$329,'Special Education By AEA'!$B23,'Special Education Breakdown'!Q$5:Q$329)</f>
        <v>3738304</v>
      </c>
      <c r="E23" s="4">
        <f>SUMIF('Special Education Breakdown'!$C$5:$C$329,'Special Education By AEA'!$B23,'Special Education Breakdown'!R$5:R$329)</f>
        <v>84238</v>
      </c>
      <c r="F23" s="4">
        <f>SUMIF('Special Education Breakdown'!$C$5:$C$329,'Special Education By AEA'!$B23,'Special Education Breakdown'!S$5:S$329)</f>
        <v>3822542</v>
      </c>
      <c r="G23" s="4">
        <f>SUMIF('Special Education Breakdown'!$C$5:$C$329,'Special Education By AEA'!$B23,'Special Education Breakdown'!T$5:T$329)</f>
        <v>9467957</v>
      </c>
      <c r="H23" s="4">
        <f>SUMIF('Special Education Breakdown'!$C$5:$C$329,'Special Education By AEA'!$B23,'Special Education Breakdown'!U$5:U$329)</f>
        <v>13290499</v>
      </c>
      <c r="I23" s="30">
        <f t="shared" si="1"/>
        <v>9.9999993228245182E-2</v>
      </c>
      <c r="J23" s="30">
        <f t="shared" si="2"/>
        <v>0.90000000677175485</v>
      </c>
    </row>
    <row r="24" spans="2:10" x14ac:dyDescent="0.25">
      <c r="B24" s="5" t="s">
        <v>140</v>
      </c>
      <c r="C24" s="5" t="s">
        <v>669</v>
      </c>
      <c r="D24" s="4">
        <f>SUMIF('Special Education Breakdown'!$C$5:$C$329,'Special Education By AEA'!$B24,'Special Education Breakdown'!Q$5:Q$329)</f>
        <v>5593503</v>
      </c>
      <c r="E24" s="4">
        <f>SUMIF('Special Education Breakdown'!$C$5:$C$329,'Special Education By AEA'!$B24,'Special Education Breakdown'!R$5:R$329)</f>
        <v>140219</v>
      </c>
      <c r="F24" s="4">
        <f>SUMIF('Special Education Breakdown'!$C$5:$C$329,'Special Education By AEA'!$B24,'Special Education Breakdown'!S$5:S$329)</f>
        <v>5733722</v>
      </c>
      <c r="G24" s="4">
        <f>SUMIF('Special Education Breakdown'!$C$5:$C$329,'Special Education By AEA'!$B24,'Special Education Breakdown'!T$5:T$329)</f>
        <v>14557365</v>
      </c>
      <c r="H24" s="4">
        <f>SUMIF('Special Education Breakdown'!$C$5:$C$329,'Special Education By AEA'!$B24,'Special Education Breakdown'!U$5:U$329)</f>
        <v>20291087</v>
      </c>
      <c r="I24" s="30">
        <f t="shared" si="1"/>
        <v>0.10000007096711411</v>
      </c>
      <c r="J24" s="30">
        <f t="shared" si="2"/>
        <v>0.89999992903288595</v>
      </c>
    </row>
    <row r="25" spans="2:10" x14ac:dyDescent="0.25">
      <c r="B25" s="5" t="s">
        <v>174</v>
      </c>
      <c r="C25" s="5" t="s">
        <v>670</v>
      </c>
      <c r="D25" s="4">
        <f>SUMIF('Special Education Breakdown'!$C$5:$C$329,'Special Education By AEA'!$B25,'Special Education Breakdown'!Q$5:Q$329)</f>
        <v>10537355</v>
      </c>
      <c r="E25" s="4">
        <f>SUMIF('Special Education Breakdown'!$C$5:$C$329,'Special Education By AEA'!$B25,'Special Education Breakdown'!R$5:R$329)</f>
        <v>116312</v>
      </c>
      <c r="F25" s="4">
        <f>SUMIF('Special Education Breakdown'!$C$5:$C$329,'Special Education By AEA'!$B25,'Special Education Breakdown'!S$5:S$329)</f>
        <v>10653667</v>
      </c>
      <c r="G25" s="4">
        <f>SUMIF('Special Education Breakdown'!$C$5:$C$329,'Special Education By AEA'!$B25,'Special Education Breakdown'!T$5:T$329)</f>
        <v>30549416</v>
      </c>
      <c r="H25" s="4">
        <f>SUMIF('Special Education Breakdown'!$C$5:$C$329,'Special Education By AEA'!$B25,'Special Education Breakdown'!U$5:U$329)</f>
        <v>41203083</v>
      </c>
      <c r="I25" s="30">
        <f t="shared" si="1"/>
        <v>0.10000005242325857</v>
      </c>
      <c r="J25" s="30">
        <f t="shared" si="2"/>
        <v>0.8999999475767414</v>
      </c>
    </row>
    <row r="26" spans="2:10" x14ac:dyDescent="0.25">
      <c r="B26" s="5" t="s">
        <v>229</v>
      </c>
      <c r="C26" s="5" t="s">
        <v>671</v>
      </c>
      <c r="D26" s="4">
        <f>SUMIF('Special Education Breakdown'!$C$5:$C$329,'Special Education By AEA'!$B26,'Special Education Breakdown'!Q$5:Q$329)</f>
        <v>3585702</v>
      </c>
      <c r="E26" s="4">
        <f>SUMIF('Special Education Breakdown'!$C$5:$C$329,'Special Education By AEA'!$B26,'Special Education Breakdown'!R$5:R$329)</f>
        <v>106969</v>
      </c>
      <c r="F26" s="4">
        <f>SUMIF('Special Education Breakdown'!$C$5:$C$329,'Special Education By AEA'!$B26,'Special Education Breakdown'!S$5:S$329)</f>
        <v>3692671</v>
      </c>
      <c r="G26" s="4">
        <f>SUMIF('Special Education Breakdown'!$C$5:$C$329,'Special Education By AEA'!$B26,'Special Education Breakdown'!T$5:T$329)</f>
        <v>8412629</v>
      </c>
      <c r="H26" s="4">
        <f>SUMIF('Special Education Breakdown'!$C$5:$C$329,'Special Education By AEA'!$B26,'Special Education Breakdown'!U$5:U$329)</f>
        <v>12105300</v>
      </c>
      <c r="I26" s="30">
        <f t="shared" si="1"/>
        <v>0.10000017843420417</v>
      </c>
      <c r="J26" s="30">
        <f t="shared" si="2"/>
        <v>0.89999982156579583</v>
      </c>
    </row>
    <row r="27" spans="2:10" x14ac:dyDescent="0.25">
      <c r="B27" s="5" t="s">
        <v>263</v>
      </c>
      <c r="C27" s="5" t="s">
        <v>672</v>
      </c>
      <c r="D27" s="4">
        <f>SUMIF('Special Education Breakdown'!$C$5:$C$329,'Special Education By AEA'!$B27,'Special Education Breakdown'!Q$5:Q$329)</f>
        <v>3076406</v>
      </c>
      <c r="E27" s="4">
        <f>SUMIF('Special Education Breakdown'!$C$5:$C$329,'Special Education By AEA'!$B27,'Special Education Breakdown'!R$5:R$329)</f>
        <v>172236</v>
      </c>
      <c r="F27" s="4">
        <f>SUMIF('Special Education Breakdown'!$C$5:$C$329,'Special Education By AEA'!$B27,'Special Education Breakdown'!S$5:S$329)</f>
        <v>3248642</v>
      </c>
      <c r="G27" s="4">
        <f>SUMIF('Special Education Breakdown'!$C$5:$C$329,'Special Education By AEA'!$B27,'Special Education Breakdown'!T$5:T$329)</f>
        <v>7887732</v>
      </c>
      <c r="H27" s="4">
        <f>SUMIF('Special Education Breakdown'!$C$5:$C$329,'Special Education By AEA'!$B27,'Special Education Breakdown'!U$5:U$329)</f>
        <v>11136374</v>
      </c>
      <c r="I27" s="30">
        <f t="shared" si="1"/>
        <v>0.10000029902003055</v>
      </c>
      <c r="J27" s="30">
        <f t="shared" si="2"/>
        <v>0.89999970097996951</v>
      </c>
    </row>
    <row r="28" spans="2:10" x14ac:dyDescent="0.25">
      <c r="B28" s="5" t="s">
        <v>308</v>
      </c>
      <c r="C28" s="5" t="s">
        <v>673</v>
      </c>
      <c r="D28" s="4">
        <f>SUMIF('Special Education Breakdown'!$C$5:$C$329,'Special Education By AEA'!$B28,'Special Education Breakdown'!Q$5:Q$329)</f>
        <v>2671990</v>
      </c>
      <c r="E28" s="4">
        <f>SUMIF('Special Education Breakdown'!$C$5:$C$329,'Special Education By AEA'!$B28,'Special Education Breakdown'!R$5:R$329)</f>
        <v>131165</v>
      </c>
      <c r="F28" s="4">
        <f>SUMIF('Special Education Breakdown'!$C$5:$C$329,'Special Education By AEA'!$B28,'Special Education Breakdown'!S$5:S$329)</f>
        <v>2803155</v>
      </c>
      <c r="G28" s="4">
        <f>SUMIF('Special Education Breakdown'!$C$5:$C$329,'Special Education By AEA'!$B28,'Special Education Breakdown'!T$5:T$329)</f>
        <v>7119842</v>
      </c>
      <c r="H28" s="4">
        <f>SUMIF('Special Education Breakdown'!$C$5:$C$329,'Special Education By AEA'!$B28,'Special Education Breakdown'!U$5:U$329)</f>
        <v>9922997</v>
      </c>
      <c r="I28" s="30">
        <f t="shared" si="1"/>
        <v>0.1000002267459552</v>
      </c>
      <c r="J28" s="30">
        <f t="shared" si="2"/>
        <v>0.89999977325404479</v>
      </c>
    </row>
    <row r="29" spans="2:10" x14ac:dyDescent="0.25">
      <c r="B29" s="5"/>
      <c r="C29" s="28" t="s">
        <v>736</v>
      </c>
      <c r="D29" s="29">
        <f>SUM(D20:D28)</f>
        <v>40079548</v>
      </c>
      <c r="E29" s="29">
        <f t="shared" ref="E29" si="3">SUM(E20:E28)</f>
        <v>1172290</v>
      </c>
      <c r="F29" s="29">
        <f t="shared" ref="F29" si="4">SUM(F20:F28)</f>
        <v>41251838</v>
      </c>
      <c r="G29" s="29">
        <f t="shared" ref="G29" si="5">SUM(G20:G28)</f>
        <v>103189588</v>
      </c>
      <c r="H29" s="29">
        <f t="shared" ref="H29" si="6">SUM(H20:H28)</f>
        <v>144441426</v>
      </c>
      <c r="I29" s="26"/>
      <c r="J29" s="26"/>
    </row>
  </sheetData>
  <pageMargins left="0.7" right="0.7" top="0.75" bottom="0.75" header="0.3" footer="0.3"/>
  <pageSetup scale="84" fitToHeight="0" orientation="landscape" r:id="rId1"/>
  <headerFooter>
    <oddHeader>&amp;C&amp;"-,Bold"&amp;16Department of Management - Final FY 2026 Amounts - 2% SSA - $32.5 million Reduction</oddHeader>
    <oddFooter>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91EC2-6D1C-4E7B-BBC0-6BF1FFD8FE98}">
  <dimension ref="A1:G326"/>
  <sheetViews>
    <sheetView workbookViewId="0">
      <selection activeCell="P30" sqref="O30:P30"/>
    </sheetView>
  </sheetViews>
  <sheetFormatPr defaultRowHeight="15" x14ac:dyDescent="0.25"/>
  <sheetData>
    <row r="1" spans="1:7" x14ac:dyDescent="0.25">
      <c r="A1" t="s">
        <v>688</v>
      </c>
      <c r="B1" t="s">
        <v>343</v>
      </c>
      <c r="C1" t="s">
        <v>664</v>
      </c>
      <c r="D1" t="s">
        <v>689</v>
      </c>
      <c r="E1" t="s">
        <v>690</v>
      </c>
      <c r="F1" t="s">
        <v>691</v>
      </c>
      <c r="G1" t="s">
        <v>692</v>
      </c>
    </row>
    <row r="2" spans="1:7" x14ac:dyDescent="0.25">
      <c r="A2">
        <v>2026</v>
      </c>
      <c r="B2" t="s">
        <v>174</v>
      </c>
      <c r="C2" t="s">
        <v>175</v>
      </c>
      <c r="D2" t="s">
        <v>693</v>
      </c>
      <c r="E2" t="s">
        <v>693</v>
      </c>
      <c r="F2" t="s">
        <v>175</v>
      </c>
      <c r="G2" t="s">
        <v>505</v>
      </c>
    </row>
    <row r="3" spans="1:7" x14ac:dyDescent="0.25">
      <c r="A3">
        <v>2026</v>
      </c>
      <c r="B3" t="s">
        <v>174</v>
      </c>
      <c r="C3" t="s">
        <v>176</v>
      </c>
      <c r="D3" t="s">
        <v>693</v>
      </c>
      <c r="E3" t="s">
        <v>693</v>
      </c>
      <c r="F3" t="s">
        <v>176</v>
      </c>
      <c r="G3" t="s">
        <v>506</v>
      </c>
    </row>
    <row r="4" spans="1:7" x14ac:dyDescent="0.25">
      <c r="A4">
        <v>2026</v>
      </c>
      <c r="B4" t="s">
        <v>60</v>
      </c>
      <c r="C4" t="s">
        <v>61</v>
      </c>
      <c r="D4" t="s">
        <v>693</v>
      </c>
      <c r="E4" t="s">
        <v>693</v>
      </c>
      <c r="F4" t="s">
        <v>61</v>
      </c>
      <c r="G4" t="s">
        <v>62</v>
      </c>
    </row>
    <row r="5" spans="1:7" x14ac:dyDescent="0.25">
      <c r="A5">
        <v>2026</v>
      </c>
      <c r="B5" t="s">
        <v>263</v>
      </c>
      <c r="C5" t="s">
        <v>264</v>
      </c>
      <c r="D5" t="s">
        <v>693</v>
      </c>
      <c r="E5" t="s">
        <v>693</v>
      </c>
      <c r="F5" t="s">
        <v>264</v>
      </c>
      <c r="G5" t="s">
        <v>591</v>
      </c>
    </row>
    <row r="6" spans="1:7" x14ac:dyDescent="0.25">
      <c r="A6">
        <v>2026</v>
      </c>
      <c r="B6" t="s">
        <v>229</v>
      </c>
      <c r="C6" t="s">
        <v>230</v>
      </c>
      <c r="D6" t="s">
        <v>693</v>
      </c>
      <c r="E6" t="s">
        <v>693</v>
      </c>
      <c r="F6" t="s">
        <v>230</v>
      </c>
      <c r="G6" t="s">
        <v>557</v>
      </c>
    </row>
    <row r="7" spans="1:7" x14ac:dyDescent="0.25">
      <c r="A7">
        <v>2026</v>
      </c>
      <c r="B7" t="s">
        <v>22</v>
      </c>
      <c r="C7" t="s">
        <v>23</v>
      </c>
      <c r="D7" t="s">
        <v>693</v>
      </c>
      <c r="E7" t="s">
        <v>693</v>
      </c>
      <c r="F7" t="s">
        <v>23</v>
      </c>
      <c r="G7" t="s">
        <v>369</v>
      </c>
    </row>
    <row r="8" spans="1:7" x14ac:dyDescent="0.25">
      <c r="A8">
        <v>2026</v>
      </c>
      <c r="B8" t="s">
        <v>308</v>
      </c>
      <c r="C8" t="s">
        <v>309</v>
      </c>
      <c r="D8" t="s">
        <v>693</v>
      </c>
      <c r="E8" t="s">
        <v>693</v>
      </c>
      <c r="F8" t="s">
        <v>309</v>
      </c>
      <c r="G8" t="s">
        <v>633</v>
      </c>
    </row>
    <row r="9" spans="1:7" x14ac:dyDescent="0.25">
      <c r="A9">
        <v>2026</v>
      </c>
      <c r="B9" t="s">
        <v>140</v>
      </c>
      <c r="C9" t="s">
        <v>141</v>
      </c>
      <c r="D9" t="s">
        <v>693</v>
      </c>
      <c r="E9" t="s">
        <v>693</v>
      </c>
      <c r="F9" t="s">
        <v>141</v>
      </c>
      <c r="G9" t="s">
        <v>474</v>
      </c>
    </row>
    <row r="10" spans="1:7" x14ac:dyDescent="0.25">
      <c r="A10">
        <v>2026</v>
      </c>
      <c r="B10" t="s">
        <v>60</v>
      </c>
      <c r="C10" t="s">
        <v>63</v>
      </c>
      <c r="D10" t="s">
        <v>693</v>
      </c>
      <c r="E10" t="s">
        <v>693</v>
      </c>
      <c r="F10" t="s">
        <v>63</v>
      </c>
      <c r="G10" t="s">
        <v>404</v>
      </c>
    </row>
    <row r="11" spans="1:7" x14ac:dyDescent="0.25">
      <c r="A11">
        <v>2026</v>
      </c>
      <c r="B11" t="s">
        <v>22</v>
      </c>
      <c r="C11" t="s">
        <v>24</v>
      </c>
      <c r="D11" t="s">
        <v>694</v>
      </c>
      <c r="E11" t="s">
        <v>695</v>
      </c>
      <c r="F11" t="s">
        <v>24</v>
      </c>
      <c r="G11" t="s">
        <v>370</v>
      </c>
    </row>
    <row r="12" spans="1:7" x14ac:dyDescent="0.25">
      <c r="A12">
        <v>2026</v>
      </c>
      <c r="B12" t="s">
        <v>0</v>
      </c>
      <c r="C12" t="s">
        <v>1</v>
      </c>
      <c r="D12" t="s">
        <v>693</v>
      </c>
      <c r="E12" t="s">
        <v>693</v>
      </c>
      <c r="F12" t="s">
        <v>1</v>
      </c>
      <c r="G12" t="s">
        <v>348</v>
      </c>
    </row>
    <row r="13" spans="1:7" x14ac:dyDescent="0.25">
      <c r="A13">
        <v>2026</v>
      </c>
      <c r="B13" t="s">
        <v>22</v>
      </c>
      <c r="C13" t="s">
        <v>25</v>
      </c>
      <c r="D13" t="s">
        <v>693</v>
      </c>
      <c r="E13" t="s">
        <v>693</v>
      </c>
      <c r="F13" t="s">
        <v>25</v>
      </c>
      <c r="G13" t="s">
        <v>371</v>
      </c>
    </row>
    <row r="14" spans="1:7" x14ac:dyDescent="0.25">
      <c r="A14">
        <v>2026</v>
      </c>
      <c r="B14" t="s">
        <v>174</v>
      </c>
      <c r="C14" t="s">
        <v>177</v>
      </c>
      <c r="D14" t="s">
        <v>693</v>
      </c>
      <c r="E14" t="s">
        <v>693</v>
      </c>
      <c r="F14" t="s">
        <v>177</v>
      </c>
      <c r="G14" t="s">
        <v>507</v>
      </c>
    </row>
    <row r="15" spans="1:7" x14ac:dyDescent="0.25">
      <c r="A15">
        <v>2026</v>
      </c>
      <c r="B15" t="s">
        <v>140</v>
      </c>
      <c r="C15" t="s">
        <v>142</v>
      </c>
      <c r="D15" t="s">
        <v>693</v>
      </c>
      <c r="E15" t="s">
        <v>693</v>
      </c>
      <c r="F15" t="s">
        <v>142</v>
      </c>
      <c r="G15" t="s">
        <v>475</v>
      </c>
    </row>
    <row r="16" spans="1:7" x14ac:dyDescent="0.25">
      <c r="A16">
        <v>2026</v>
      </c>
      <c r="B16" t="s">
        <v>118</v>
      </c>
      <c r="C16" t="s">
        <v>119</v>
      </c>
      <c r="D16" t="s">
        <v>693</v>
      </c>
      <c r="E16" t="s">
        <v>693</v>
      </c>
      <c r="F16" t="s">
        <v>119</v>
      </c>
      <c r="G16" t="s">
        <v>453</v>
      </c>
    </row>
    <row r="17" spans="1:7" x14ac:dyDescent="0.25">
      <c r="A17">
        <v>2026</v>
      </c>
      <c r="B17" t="s">
        <v>174</v>
      </c>
      <c r="C17" t="s">
        <v>178</v>
      </c>
      <c r="D17" t="s">
        <v>693</v>
      </c>
      <c r="E17" t="s">
        <v>693</v>
      </c>
      <c r="F17" t="s">
        <v>178</v>
      </c>
      <c r="G17" t="s">
        <v>508</v>
      </c>
    </row>
    <row r="18" spans="1:7" x14ac:dyDescent="0.25">
      <c r="A18">
        <v>2026</v>
      </c>
      <c r="B18" t="s">
        <v>60</v>
      </c>
      <c r="C18" t="s">
        <v>64</v>
      </c>
      <c r="D18" t="s">
        <v>693</v>
      </c>
      <c r="E18" t="s">
        <v>693</v>
      </c>
      <c r="F18" t="s">
        <v>64</v>
      </c>
      <c r="G18" t="s">
        <v>405</v>
      </c>
    </row>
    <row r="19" spans="1:7" x14ac:dyDescent="0.25">
      <c r="A19">
        <v>2026</v>
      </c>
      <c r="B19" t="s">
        <v>229</v>
      </c>
      <c r="C19" t="s">
        <v>231</v>
      </c>
      <c r="D19" t="s">
        <v>693</v>
      </c>
      <c r="E19" t="s">
        <v>693</v>
      </c>
      <c r="F19" t="s">
        <v>231</v>
      </c>
      <c r="G19" t="s">
        <v>558</v>
      </c>
    </row>
    <row r="20" spans="1:7" x14ac:dyDescent="0.25">
      <c r="A20">
        <v>2026</v>
      </c>
      <c r="B20" t="s">
        <v>263</v>
      </c>
      <c r="C20" t="s">
        <v>265</v>
      </c>
      <c r="D20" t="s">
        <v>693</v>
      </c>
      <c r="E20" t="s">
        <v>693</v>
      </c>
      <c r="F20" t="s">
        <v>265</v>
      </c>
      <c r="G20" t="s">
        <v>592</v>
      </c>
    </row>
    <row r="21" spans="1:7" x14ac:dyDescent="0.25">
      <c r="A21">
        <v>2026</v>
      </c>
      <c r="B21" t="s">
        <v>174</v>
      </c>
      <c r="C21" t="s">
        <v>179</v>
      </c>
      <c r="D21" t="s">
        <v>693</v>
      </c>
      <c r="E21" t="s">
        <v>693</v>
      </c>
      <c r="F21" t="s">
        <v>179</v>
      </c>
      <c r="G21" t="s">
        <v>509</v>
      </c>
    </row>
    <row r="22" spans="1:7" x14ac:dyDescent="0.25">
      <c r="A22">
        <v>2026</v>
      </c>
      <c r="B22" t="s">
        <v>174</v>
      </c>
      <c r="C22" t="s">
        <v>180</v>
      </c>
      <c r="D22" t="s">
        <v>693</v>
      </c>
      <c r="E22" t="s">
        <v>693</v>
      </c>
      <c r="F22" t="s">
        <v>180</v>
      </c>
      <c r="G22" t="s">
        <v>510</v>
      </c>
    </row>
    <row r="23" spans="1:7" x14ac:dyDescent="0.25">
      <c r="A23">
        <v>2026</v>
      </c>
      <c r="B23" t="s">
        <v>174</v>
      </c>
      <c r="C23" t="s">
        <v>181</v>
      </c>
      <c r="D23" t="s">
        <v>693</v>
      </c>
      <c r="E23" t="s">
        <v>693</v>
      </c>
      <c r="F23" t="s">
        <v>181</v>
      </c>
      <c r="G23" t="s">
        <v>511</v>
      </c>
    </row>
    <row r="24" spans="1:7" x14ac:dyDescent="0.25">
      <c r="A24">
        <v>2026</v>
      </c>
      <c r="B24" t="s">
        <v>60</v>
      </c>
      <c r="C24" t="s">
        <v>65</v>
      </c>
      <c r="D24" t="s">
        <v>693</v>
      </c>
      <c r="E24" t="s">
        <v>693</v>
      </c>
      <c r="F24" t="s">
        <v>65</v>
      </c>
      <c r="G24" t="s">
        <v>66</v>
      </c>
    </row>
    <row r="25" spans="1:7" x14ac:dyDescent="0.25">
      <c r="A25">
        <v>2026</v>
      </c>
      <c r="B25" t="s">
        <v>263</v>
      </c>
      <c r="C25" t="s">
        <v>266</v>
      </c>
      <c r="D25" t="s">
        <v>693</v>
      </c>
      <c r="E25" t="s">
        <v>693</v>
      </c>
      <c r="F25" t="s">
        <v>266</v>
      </c>
      <c r="G25" t="s">
        <v>593</v>
      </c>
    </row>
    <row r="26" spans="1:7" x14ac:dyDescent="0.25">
      <c r="A26">
        <v>2026</v>
      </c>
      <c r="B26" t="s">
        <v>140</v>
      </c>
      <c r="C26" t="s">
        <v>143</v>
      </c>
      <c r="D26" t="s">
        <v>693</v>
      </c>
      <c r="E26" t="s">
        <v>693</v>
      </c>
      <c r="F26" t="s">
        <v>143</v>
      </c>
      <c r="G26" t="s">
        <v>476</v>
      </c>
    </row>
    <row r="27" spans="1:7" x14ac:dyDescent="0.25">
      <c r="A27">
        <v>2026</v>
      </c>
      <c r="B27" t="s">
        <v>118</v>
      </c>
      <c r="C27" t="s">
        <v>120</v>
      </c>
      <c r="D27" t="s">
        <v>693</v>
      </c>
      <c r="E27" t="s">
        <v>693</v>
      </c>
      <c r="F27" t="s">
        <v>120</v>
      </c>
      <c r="G27" t="s">
        <v>454</v>
      </c>
    </row>
    <row r="28" spans="1:7" x14ac:dyDescent="0.25">
      <c r="A28">
        <v>2026</v>
      </c>
      <c r="B28" t="s">
        <v>60</v>
      </c>
      <c r="C28" t="s">
        <v>67</v>
      </c>
      <c r="D28" t="s">
        <v>693</v>
      </c>
      <c r="E28" t="s">
        <v>693</v>
      </c>
      <c r="F28" t="s">
        <v>67</v>
      </c>
      <c r="G28" t="s">
        <v>406</v>
      </c>
    </row>
    <row r="29" spans="1:7" x14ac:dyDescent="0.25">
      <c r="A29">
        <v>2026</v>
      </c>
      <c r="B29" t="s">
        <v>118</v>
      </c>
      <c r="C29" t="s">
        <v>121</v>
      </c>
      <c r="D29" t="s">
        <v>693</v>
      </c>
      <c r="E29" t="s">
        <v>693</v>
      </c>
      <c r="F29" t="s">
        <v>121</v>
      </c>
      <c r="G29" t="s">
        <v>455</v>
      </c>
    </row>
    <row r="30" spans="1:7" x14ac:dyDescent="0.25">
      <c r="A30">
        <v>2026</v>
      </c>
      <c r="B30" t="s">
        <v>140</v>
      </c>
      <c r="C30" t="s">
        <v>144</v>
      </c>
      <c r="D30" t="s">
        <v>693</v>
      </c>
      <c r="E30" t="s">
        <v>693</v>
      </c>
      <c r="F30" t="s">
        <v>144</v>
      </c>
      <c r="G30" t="s">
        <v>477</v>
      </c>
    </row>
    <row r="31" spans="1:7" x14ac:dyDescent="0.25">
      <c r="A31">
        <v>2026</v>
      </c>
      <c r="B31" t="s">
        <v>118</v>
      </c>
      <c r="C31" t="s">
        <v>122</v>
      </c>
      <c r="D31" t="s">
        <v>693</v>
      </c>
      <c r="E31" t="s">
        <v>693</v>
      </c>
      <c r="F31" t="s">
        <v>122</v>
      </c>
      <c r="G31" t="s">
        <v>456</v>
      </c>
    </row>
    <row r="32" spans="1:7" x14ac:dyDescent="0.25">
      <c r="A32">
        <v>2026</v>
      </c>
      <c r="B32" t="s">
        <v>174</v>
      </c>
      <c r="C32" t="s">
        <v>182</v>
      </c>
      <c r="D32" t="s">
        <v>693</v>
      </c>
      <c r="E32" t="s">
        <v>693</v>
      </c>
      <c r="F32" t="s">
        <v>182</v>
      </c>
      <c r="G32" t="s">
        <v>512</v>
      </c>
    </row>
    <row r="33" spans="1:7" x14ac:dyDescent="0.25">
      <c r="A33">
        <v>2026</v>
      </c>
      <c r="B33" t="s">
        <v>174</v>
      </c>
      <c r="C33" t="s">
        <v>183</v>
      </c>
      <c r="D33" t="s">
        <v>693</v>
      </c>
      <c r="E33" t="s">
        <v>693</v>
      </c>
      <c r="F33" t="s">
        <v>183</v>
      </c>
      <c r="G33" t="s">
        <v>513</v>
      </c>
    </row>
    <row r="34" spans="1:7" x14ac:dyDescent="0.25">
      <c r="A34">
        <v>2026</v>
      </c>
      <c r="B34" t="s">
        <v>229</v>
      </c>
      <c r="C34" t="s">
        <v>232</v>
      </c>
      <c r="D34" t="s">
        <v>693</v>
      </c>
      <c r="E34" t="s">
        <v>693</v>
      </c>
      <c r="F34" t="s">
        <v>232</v>
      </c>
      <c r="G34" t="s">
        <v>559</v>
      </c>
    </row>
    <row r="35" spans="1:7" x14ac:dyDescent="0.25">
      <c r="A35">
        <v>2026</v>
      </c>
      <c r="B35" t="s">
        <v>263</v>
      </c>
      <c r="C35" t="s">
        <v>267</v>
      </c>
      <c r="D35" t="s">
        <v>693</v>
      </c>
      <c r="E35" t="s">
        <v>693</v>
      </c>
      <c r="F35" t="s">
        <v>267</v>
      </c>
      <c r="G35" t="s">
        <v>594</v>
      </c>
    </row>
    <row r="36" spans="1:7" x14ac:dyDescent="0.25">
      <c r="A36">
        <v>2026</v>
      </c>
      <c r="B36" t="s">
        <v>60</v>
      </c>
      <c r="C36" t="s">
        <v>68</v>
      </c>
      <c r="D36" t="s">
        <v>693</v>
      </c>
      <c r="E36" t="s">
        <v>693</v>
      </c>
      <c r="F36" t="s">
        <v>68</v>
      </c>
      <c r="G36" t="s">
        <v>407</v>
      </c>
    </row>
    <row r="37" spans="1:7" x14ac:dyDescent="0.25">
      <c r="A37">
        <v>2026</v>
      </c>
      <c r="B37" t="s">
        <v>308</v>
      </c>
      <c r="C37" t="s">
        <v>310</v>
      </c>
      <c r="D37" t="s">
        <v>693</v>
      </c>
      <c r="E37" t="s">
        <v>693</v>
      </c>
      <c r="F37" t="s">
        <v>310</v>
      </c>
      <c r="G37" t="s">
        <v>634</v>
      </c>
    </row>
    <row r="38" spans="1:7" x14ac:dyDescent="0.25">
      <c r="A38">
        <v>2026</v>
      </c>
      <c r="B38" t="s">
        <v>60</v>
      </c>
      <c r="C38" t="s">
        <v>69</v>
      </c>
      <c r="D38" t="s">
        <v>693</v>
      </c>
      <c r="E38" t="s">
        <v>693</v>
      </c>
      <c r="F38" t="s">
        <v>69</v>
      </c>
      <c r="G38" t="s">
        <v>70</v>
      </c>
    </row>
    <row r="39" spans="1:7" x14ac:dyDescent="0.25">
      <c r="A39">
        <v>2026</v>
      </c>
      <c r="B39" t="s">
        <v>118</v>
      </c>
      <c r="C39" t="s">
        <v>123</v>
      </c>
      <c r="D39" t="s">
        <v>693</v>
      </c>
      <c r="E39" t="s">
        <v>693</v>
      </c>
      <c r="F39" t="s">
        <v>123</v>
      </c>
      <c r="G39" t="s">
        <v>457</v>
      </c>
    </row>
    <row r="40" spans="1:7" x14ac:dyDescent="0.25">
      <c r="A40">
        <v>2026</v>
      </c>
      <c r="B40" t="s">
        <v>263</v>
      </c>
      <c r="C40" t="s">
        <v>268</v>
      </c>
      <c r="D40" t="s">
        <v>693</v>
      </c>
      <c r="E40" t="s">
        <v>693</v>
      </c>
      <c r="F40" t="s">
        <v>268</v>
      </c>
      <c r="G40" t="s">
        <v>269</v>
      </c>
    </row>
    <row r="41" spans="1:7" x14ac:dyDescent="0.25">
      <c r="A41">
        <v>2026</v>
      </c>
      <c r="B41" t="s">
        <v>118</v>
      </c>
      <c r="C41" t="s">
        <v>124</v>
      </c>
      <c r="D41" t="s">
        <v>693</v>
      </c>
      <c r="E41" t="s">
        <v>693</v>
      </c>
      <c r="F41" t="s">
        <v>124</v>
      </c>
      <c r="G41" t="s">
        <v>458</v>
      </c>
    </row>
    <row r="42" spans="1:7" x14ac:dyDescent="0.25">
      <c r="A42">
        <v>2026</v>
      </c>
      <c r="B42" t="s">
        <v>308</v>
      </c>
      <c r="C42" t="s">
        <v>311</v>
      </c>
      <c r="D42" t="s">
        <v>693</v>
      </c>
      <c r="E42" t="s">
        <v>693</v>
      </c>
      <c r="F42" t="s">
        <v>311</v>
      </c>
      <c r="G42" t="s">
        <v>635</v>
      </c>
    </row>
    <row r="43" spans="1:7" x14ac:dyDescent="0.25">
      <c r="A43">
        <v>2026</v>
      </c>
      <c r="B43" t="s">
        <v>174</v>
      </c>
      <c r="C43" t="s">
        <v>184</v>
      </c>
      <c r="D43" t="s">
        <v>693</v>
      </c>
      <c r="E43" t="s">
        <v>693</v>
      </c>
      <c r="F43" t="s">
        <v>184</v>
      </c>
      <c r="G43" t="s">
        <v>514</v>
      </c>
    </row>
    <row r="44" spans="1:7" x14ac:dyDescent="0.25">
      <c r="A44">
        <v>2026</v>
      </c>
      <c r="B44" t="s">
        <v>174</v>
      </c>
      <c r="C44" t="s">
        <v>185</v>
      </c>
      <c r="D44" t="s">
        <v>693</v>
      </c>
      <c r="E44" t="s">
        <v>693</v>
      </c>
      <c r="F44" t="s">
        <v>185</v>
      </c>
      <c r="G44" t="s">
        <v>515</v>
      </c>
    </row>
    <row r="45" spans="1:7" x14ac:dyDescent="0.25">
      <c r="A45">
        <v>2026</v>
      </c>
      <c r="B45" t="s">
        <v>60</v>
      </c>
      <c r="C45" t="s">
        <v>71</v>
      </c>
      <c r="D45" t="s">
        <v>693</v>
      </c>
      <c r="E45" t="s">
        <v>693</v>
      </c>
      <c r="F45" t="s">
        <v>71</v>
      </c>
      <c r="G45" t="s">
        <v>408</v>
      </c>
    </row>
    <row r="46" spans="1:7" x14ac:dyDescent="0.25">
      <c r="A46">
        <v>2026</v>
      </c>
      <c r="B46" t="s">
        <v>140</v>
      </c>
      <c r="C46" t="s">
        <v>145</v>
      </c>
      <c r="D46" t="s">
        <v>693</v>
      </c>
      <c r="E46" t="s">
        <v>693</v>
      </c>
      <c r="F46" t="s">
        <v>145</v>
      </c>
      <c r="G46" t="s">
        <v>478</v>
      </c>
    </row>
    <row r="47" spans="1:7" x14ac:dyDescent="0.25">
      <c r="A47">
        <v>2026</v>
      </c>
      <c r="B47" t="s">
        <v>140</v>
      </c>
      <c r="C47" t="s">
        <v>146</v>
      </c>
      <c r="D47" t="s">
        <v>693</v>
      </c>
      <c r="E47" t="s">
        <v>693</v>
      </c>
      <c r="F47" t="s">
        <v>146</v>
      </c>
      <c r="G47" t="s">
        <v>479</v>
      </c>
    </row>
    <row r="48" spans="1:7" x14ac:dyDescent="0.25">
      <c r="A48">
        <v>2026</v>
      </c>
      <c r="B48" t="s">
        <v>308</v>
      </c>
      <c r="C48" t="s">
        <v>312</v>
      </c>
      <c r="D48" t="s">
        <v>693</v>
      </c>
      <c r="E48" t="s">
        <v>693</v>
      </c>
      <c r="F48" t="s">
        <v>312</v>
      </c>
      <c r="G48" t="s">
        <v>636</v>
      </c>
    </row>
    <row r="49" spans="1:7" x14ac:dyDescent="0.25">
      <c r="A49">
        <v>2026</v>
      </c>
      <c r="B49" t="s">
        <v>140</v>
      </c>
      <c r="C49" t="s">
        <v>147</v>
      </c>
      <c r="D49" t="s">
        <v>693</v>
      </c>
      <c r="E49" t="s">
        <v>693</v>
      </c>
      <c r="F49" t="s">
        <v>147</v>
      </c>
      <c r="G49" t="s">
        <v>480</v>
      </c>
    </row>
    <row r="50" spans="1:7" x14ac:dyDescent="0.25">
      <c r="A50">
        <v>2026</v>
      </c>
      <c r="B50" t="s">
        <v>0</v>
      </c>
      <c r="C50" t="s">
        <v>2</v>
      </c>
      <c r="D50" t="s">
        <v>693</v>
      </c>
      <c r="E50" t="s">
        <v>693</v>
      </c>
      <c r="F50" t="s">
        <v>2</v>
      </c>
      <c r="G50" t="s">
        <v>349</v>
      </c>
    </row>
    <row r="51" spans="1:7" x14ac:dyDescent="0.25">
      <c r="A51">
        <v>2026</v>
      </c>
      <c r="B51" t="s">
        <v>118</v>
      </c>
      <c r="C51" t="s">
        <v>125</v>
      </c>
      <c r="D51" t="s">
        <v>693</v>
      </c>
      <c r="E51" t="s">
        <v>693</v>
      </c>
      <c r="F51" t="s">
        <v>125</v>
      </c>
      <c r="G51" t="s">
        <v>459</v>
      </c>
    </row>
    <row r="52" spans="1:7" x14ac:dyDescent="0.25">
      <c r="A52">
        <v>2026</v>
      </c>
      <c r="B52" t="s">
        <v>263</v>
      </c>
      <c r="C52" t="s">
        <v>270</v>
      </c>
      <c r="D52" t="s">
        <v>693</v>
      </c>
      <c r="E52" t="s">
        <v>693</v>
      </c>
      <c r="F52" t="s">
        <v>270</v>
      </c>
      <c r="G52" t="s">
        <v>595</v>
      </c>
    </row>
    <row r="53" spans="1:7" x14ac:dyDescent="0.25">
      <c r="A53">
        <v>2026</v>
      </c>
      <c r="B53" t="s">
        <v>308</v>
      </c>
      <c r="C53" t="s">
        <v>313</v>
      </c>
      <c r="D53" t="s">
        <v>693</v>
      </c>
      <c r="E53" t="s">
        <v>693</v>
      </c>
      <c r="F53" t="s">
        <v>313</v>
      </c>
      <c r="G53" t="s">
        <v>637</v>
      </c>
    </row>
    <row r="54" spans="1:7" x14ac:dyDescent="0.25">
      <c r="A54">
        <v>2026</v>
      </c>
      <c r="B54" t="s">
        <v>229</v>
      </c>
      <c r="C54" t="s">
        <v>233</v>
      </c>
      <c r="D54" t="s">
        <v>693</v>
      </c>
      <c r="E54" t="s">
        <v>693</v>
      </c>
      <c r="F54" t="s">
        <v>233</v>
      </c>
      <c r="G54" t="s">
        <v>560</v>
      </c>
    </row>
    <row r="55" spans="1:7" x14ac:dyDescent="0.25">
      <c r="A55">
        <v>2026</v>
      </c>
      <c r="B55" t="s">
        <v>60</v>
      </c>
      <c r="C55" t="s">
        <v>72</v>
      </c>
      <c r="D55" t="s">
        <v>693</v>
      </c>
      <c r="E55" t="s">
        <v>693</v>
      </c>
      <c r="F55" t="s">
        <v>72</v>
      </c>
      <c r="G55" t="s">
        <v>409</v>
      </c>
    </row>
    <row r="56" spans="1:7" x14ac:dyDescent="0.25">
      <c r="A56">
        <v>2026</v>
      </c>
      <c r="B56" t="s">
        <v>308</v>
      </c>
      <c r="C56" t="s">
        <v>314</v>
      </c>
      <c r="D56" t="s">
        <v>693</v>
      </c>
      <c r="E56" t="s">
        <v>693</v>
      </c>
      <c r="F56" t="s">
        <v>314</v>
      </c>
      <c r="G56" t="s">
        <v>638</v>
      </c>
    </row>
    <row r="57" spans="1:7" x14ac:dyDescent="0.25">
      <c r="A57">
        <v>2026</v>
      </c>
      <c r="B57" t="s">
        <v>60</v>
      </c>
      <c r="C57" t="s">
        <v>73</v>
      </c>
      <c r="D57" t="s">
        <v>693</v>
      </c>
      <c r="E57" t="s">
        <v>693</v>
      </c>
      <c r="F57" t="s">
        <v>73</v>
      </c>
      <c r="G57" t="s">
        <v>410</v>
      </c>
    </row>
    <row r="58" spans="1:7" x14ac:dyDescent="0.25">
      <c r="A58">
        <v>2026</v>
      </c>
      <c r="B58" t="s">
        <v>229</v>
      </c>
      <c r="C58" t="s">
        <v>234</v>
      </c>
      <c r="D58" t="s">
        <v>693</v>
      </c>
      <c r="E58" t="s">
        <v>693</v>
      </c>
      <c r="F58" t="s">
        <v>234</v>
      </c>
      <c r="G58" t="s">
        <v>561</v>
      </c>
    </row>
    <row r="59" spans="1:7" x14ac:dyDescent="0.25">
      <c r="A59">
        <v>2026</v>
      </c>
      <c r="B59" t="s">
        <v>229</v>
      </c>
      <c r="C59" t="s">
        <v>235</v>
      </c>
      <c r="D59" t="s">
        <v>693</v>
      </c>
      <c r="E59" t="s">
        <v>693</v>
      </c>
      <c r="F59" t="s">
        <v>235</v>
      </c>
      <c r="G59" t="s">
        <v>562</v>
      </c>
    </row>
    <row r="60" spans="1:7" x14ac:dyDescent="0.25">
      <c r="A60">
        <v>2026</v>
      </c>
      <c r="B60" t="s">
        <v>263</v>
      </c>
      <c r="C60" t="s">
        <v>271</v>
      </c>
      <c r="D60" t="s">
        <v>693</v>
      </c>
      <c r="E60" t="s">
        <v>693</v>
      </c>
      <c r="F60" t="s">
        <v>271</v>
      </c>
      <c r="G60" t="s">
        <v>596</v>
      </c>
    </row>
    <row r="61" spans="1:7" x14ac:dyDescent="0.25">
      <c r="A61">
        <v>2026</v>
      </c>
      <c r="B61" t="s">
        <v>22</v>
      </c>
      <c r="C61" t="s">
        <v>26</v>
      </c>
      <c r="D61" t="s">
        <v>696</v>
      </c>
      <c r="E61" t="s">
        <v>693</v>
      </c>
      <c r="F61" t="s">
        <v>26</v>
      </c>
      <c r="G61" t="s">
        <v>372</v>
      </c>
    </row>
    <row r="62" spans="1:7" x14ac:dyDescent="0.25">
      <c r="A62">
        <v>2026</v>
      </c>
      <c r="B62" t="s">
        <v>263</v>
      </c>
      <c r="C62" t="s">
        <v>272</v>
      </c>
      <c r="D62" t="s">
        <v>693</v>
      </c>
      <c r="E62" t="s">
        <v>693</v>
      </c>
      <c r="F62" t="s">
        <v>272</v>
      </c>
      <c r="G62" t="s">
        <v>597</v>
      </c>
    </row>
    <row r="63" spans="1:7" x14ac:dyDescent="0.25">
      <c r="A63">
        <v>2026</v>
      </c>
      <c r="B63" t="s">
        <v>60</v>
      </c>
      <c r="C63" t="s">
        <v>74</v>
      </c>
      <c r="D63" t="s">
        <v>693</v>
      </c>
      <c r="E63" t="s">
        <v>693</v>
      </c>
      <c r="F63" t="s">
        <v>74</v>
      </c>
      <c r="G63" t="s">
        <v>411</v>
      </c>
    </row>
    <row r="64" spans="1:7" x14ac:dyDescent="0.25">
      <c r="A64">
        <v>2026</v>
      </c>
      <c r="B64" t="s">
        <v>22</v>
      </c>
      <c r="C64" t="s">
        <v>27</v>
      </c>
      <c r="D64" t="s">
        <v>693</v>
      </c>
      <c r="E64" t="s">
        <v>693</v>
      </c>
      <c r="F64" t="s">
        <v>27</v>
      </c>
      <c r="G64" t="s">
        <v>373</v>
      </c>
    </row>
    <row r="65" spans="1:7" x14ac:dyDescent="0.25">
      <c r="A65">
        <v>2026</v>
      </c>
      <c r="B65" t="s">
        <v>0</v>
      </c>
      <c r="C65" t="s">
        <v>3</v>
      </c>
      <c r="D65" t="s">
        <v>693</v>
      </c>
      <c r="E65" t="s">
        <v>693</v>
      </c>
      <c r="F65" t="s">
        <v>3</v>
      </c>
      <c r="G65" t="s">
        <v>350</v>
      </c>
    </row>
    <row r="66" spans="1:7" x14ac:dyDescent="0.25">
      <c r="A66">
        <v>2026</v>
      </c>
      <c r="B66" t="s">
        <v>140</v>
      </c>
      <c r="C66" t="s">
        <v>148</v>
      </c>
      <c r="D66" t="s">
        <v>697</v>
      </c>
      <c r="E66" t="s">
        <v>693</v>
      </c>
      <c r="F66" t="s">
        <v>148</v>
      </c>
      <c r="G66" t="s">
        <v>481</v>
      </c>
    </row>
    <row r="67" spans="1:7" x14ac:dyDescent="0.25">
      <c r="A67">
        <v>2026</v>
      </c>
      <c r="B67" t="s">
        <v>60</v>
      </c>
      <c r="C67" t="s">
        <v>75</v>
      </c>
      <c r="D67" t="s">
        <v>693</v>
      </c>
      <c r="E67" t="s">
        <v>693</v>
      </c>
      <c r="F67" t="s">
        <v>75</v>
      </c>
      <c r="G67" t="s">
        <v>412</v>
      </c>
    </row>
    <row r="68" spans="1:7" x14ac:dyDescent="0.25">
      <c r="A68">
        <v>2026</v>
      </c>
      <c r="B68" t="s">
        <v>118</v>
      </c>
      <c r="C68" t="s">
        <v>126</v>
      </c>
      <c r="D68" t="s">
        <v>693</v>
      </c>
      <c r="E68" t="s">
        <v>693</v>
      </c>
      <c r="F68" t="s">
        <v>126</v>
      </c>
      <c r="G68" t="s">
        <v>460</v>
      </c>
    </row>
    <row r="69" spans="1:7" x14ac:dyDescent="0.25">
      <c r="A69">
        <v>2026</v>
      </c>
      <c r="B69" t="s">
        <v>174</v>
      </c>
      <c r="C69" t="s">
        <v>186</v>
      </c>
      <c r="D69" t="s">
        <v>693</v>
      </c>
      <c r="E69" t="s">
        <v>693</v>
      </c>
      <c r="F69" t="s">
        <v>186</v>
      </c>
      <c r="G69" t="s">
        <v>516</v>
      </c>
    </row>
    <row r="70" spans="1:7" x14ac:dyDescent="0.25">
      <c r="A70">
        <v>2026</v>
      </c>
      <c r="B70" t="s">
        <v>140</v>
      </c>
      <c r="C70" t="s">
        <v>149</v>
      </c>
      <c r="D70" t="s">
        <v>693</v>
      </c>
      <c r="E70" t="s">
        <v>693</v>
      </c>
      <c r="F70" t="s">
        <v>149</v>
      </c>
      <c r="G70" t="s">
        <v>482</v>
      </c>
    </row>
    <row r="71" spans="1:7" x14ac:dyDescent="0.25">
      <c r="A71">
        <v>2026</v>
      </c>
      <c r="B71" t="s">
        <v>174</v>
      </c>
      <c r="C71" t="s">
        <v>187</v>
      </c>
      <c r="D71" t="s">
        <v>693</v>
      </c>
      <c r="E71" t="s">
        <v>693</v>
      </c>
      <c r="F71" t="s">
        <v>187</v>
      </c>
      <c r="G71" t="s">
        <v>517</v>
      </c>
    </row>
    <row r="72" spans="1:7" x14ac:dyDescent="0.25">
      <c r="A72">
        <v>2026</v>
      </c>
      <c r="B72" t="s">
        <v>174</v>
      </c>
      <c r="C72" t="s">
        <v>188</v>
      </c>
      <c r="D72" t="s">
        <v>693</v>
      </c>
      <c r="E72" t="s">
        <v>693</v>
      </c>
      <c r="F72" t="s">
        <v>188</v>
      </c>
      <c r="G72" t="s">
        <v>518</v>
      </c>
    </row>
    <row r="73" spans="1:7" x14ac:dyDescent="0.25">
      <c r="A73">
        <v>2026</v>
      </c>
      <c r="B73" t="s">
        <v>118</v>
      </c>
      <c r="C73" t="s">
        <v>127</v>
      </c>
      <c r="D73" t="s">
        <v>693</v>
      </c>
      <c r="E73" t="s">
        <v>693</v>
      </c>
      <c r="F73" t="s">
        <v>127</v>
      </c>
      <c r="G73" t="s">
        <v>461</v>
      </c>
    </row>
    <row r="74" spans="1:7" x14ac:dyDescent="0.25">
      <c r="A74">
        <v>2026</v>
      </c>
      <c r="B74" t="s">
        <v>174</v>
      </c>
      <c r="C74" t="s">
        <v>189</v>
      </c>
      <c r="D74" t="s">
        <v>693</v>
      </c>
      <c r="E74" t="s">
        <v>693</v>
      </c>
      <c r="F74" t="s">
        <v>189</v>
      </c>
      <c r="G74" t="s">
        <v>519</v>
      </c>
    </row>
    <row r="75" spans="1:7" x14ac:dyDescent="0.25">
      <c r="A75">
        <v>2026</v>
      </c>
      <c r="B75" t="s">
        <v>263</v>
      </c>
      <c r="C75" t="s">
        <v>273</v>
      </c>
      <c r="D75" t="s">
        <v>693</v>
      </c>
      <c r="E75" t="s">
        <v>693</v>
      </c>
      <c r="F75" t="s">
        <v>273</v>
      </c>
      <c r="G75" t="s">
        <v>598</v>
      </c>
    </row>
    <row r="76" spans="1:7" x14ac:dyDescent="0.25">
      <c r="A76">
        <v>2026</v>
      </c>
      <c r="B76" t="s">
        <v>263</v>
      </c>
      <c r="C76" t="s">
        <v>274</v>
      </c>
      <c r="D76" t="s">
        <v>693</v>
      </c>
      <c r="E76" t="s">
        <v>693</v>
      </c>
      <c r="F76" t="s">
        <v>274</v>
      </c>
      <c r="G76" t="s">
        <v>599</v>
      </c>
    </row>
    <row r="77" spans="1:7" x14ac:dyDescent="0.25">
      <c r="A77">
        <v>2026</v>
      </c>
      <c r="B77" t="s">
        <v>263</v>
      </c>
      <c r="C77" t="s">
        <v>275</v>
      </c>
      <c r="D77" t="s">
        <v>693</v>
      </c>
      <c r="E77" t="s">
        <v>693</v>
      </c>
      <c r="F77" t="s">
        <v>275</v>
      </c>
      <c r="G77" t="s">
        <v>600</v>
      </c>
    </row>
    <row r="78" spans="1:7" x14ac:dyDescent="0.25">
      <c r="A78">
        <v>2026</v>
      </c>
      <c r="B78" t="s">
        <v>174</v>
      </c>
      <c r="C78" t="s">
        <v>190</v>
      </c>
      <c r="D78" t="s">
        <v>693</v>
      </c>
      <c r="E78" t="s">
        <v>693</v>
      </c>
      <c r="F78" t="s">
        <v>190</v>
      </c>
      <c r="G78" t="s">
        <v>520</v>
      </c>
    </row>
    <row r="79" spans="1:7" x14ac:dyDescent="0.25">
      <c r="A79">
        <v>2026</v>
      </c>
      <c r="B79" t="s">
        <v>308</v>
      </c>
      <c r="C79" t="s">
        <v>315</v>
      </c>
      <c r="D79" t="s">
        <v>693</v>
      </c>
      <c r="E79" t="s">
        <v>693</v>
      </c>
      <c r="F79" t="s">
        <v>315</v>
      </c>
      <c r="G79" t="s">
        <v>639</v>
      </c>
    </row>
    <row r="80" spans="1:7" x14ac:dyDescent="0.25">
      <c r="A80">
        <v>2026</v>
      </c>
      <c r="B80" t="s">
        <v>118</v>
      </c>
      <c r="C80" t="s">
        <v>128</v>
      </c>
      <c r="D80" t="s">
        <v>693</v>
      </c>
      <c r="E80" t="s">
        <v>693</v>
      </c>
      <c r="F80" t="s">
        <v>128</v>
      </c>
      <c r="G80" t="s">
        <v>462</v>
      </c>
    </row>
    <row r="81" spans="1:7" x14ac:dyDescent="0.25">
      <c r="A81">
        <v>2026</v>
      </c>
      <c r="B81" t="s">
        <v>308</v>
      </c>
      <c r="C81" t="s">
        <v>316</v>
      </c>
      <c r="D81" t="s">
        <v>693</v>
      </c>
      <c r="E81" t="s">
        <v>693</v>
      </c>
      <c r="F81" t="s">
        <v>316</v>
      </c>
      <c r="G81" t="s">
        <v>640</v>
      </c>
    </row>
    <row r="82" spans="1:7" x14ac:dyDescent="0.25">
      <c r="A82">
        <v>2026</v>
      </c>
      <c r="B82" t="s">
        <v>0</v>
      </c>
      <c r="C82" t="s">
        <v>4</v>
      </c>
      <c r="D82" t="s">
        <v>693</v>
      </c>
      <c r="E82" t="s">
        <v>693</v>
      </c>
      <c r="F82" t="s">
        <v>4</v>
      </c>
      <c r="G82" t="s">
        <v>351</v>
      </c>
    </row>
    <row r="83" spans="1:7" x14ac:dyDescent="0.25">
      <c r="A83">
        <v>2026</v>
      </c>
      <c r="B83" t="s">
        <v>118</v>
      </c>
      <c r="C83" t="s">
        <v>129</v>
      </c>
      <c r="D83" t="s">
        <v>693</v>
      </c>
      <c r="E83" t="s">
        <v>693</v>
      </c>
      <c r="F83" t="s">
        <v>129</v>
      </c>
      <c r="G83" t="s">
        <v>463</v>
      </c>
    </row>
    <row r="84" spans="1:7" x14ac:dyDescent="0.25">
      <c r="A84">
        <v>2026</v>
      </c>
      <c r="B84" t="s">
        <v>229</v>
      </c>
      <c r="C84" t="s">
        <v>236</v>
      </c>
      <c r="D84" t="s">
        <v>693</v>
      </c>
      <c r="E84" t="s">
        <v>693</v>
      </c>
      <c r="F84" t="s">
        <v>236</v>
      </c>
      <c r="G84" t="s">
        <v>563</v>
      </c>
    </row>
    <row r="85" spans="1:7" x14ac:dyDescent="0.25">
      <c r="A85">
        <v>2026</v>
      </c>
      <c r="B85" t="s">
        <v>60</v>
      </c>
      <c r="C85" t="s">
        <v>76</v>
      </c>
      <c r="D85" t="s">
        <v>693</v>
      </c>
      <c r="E85" t="s">
        <v>693</v>
      </c>
      <c r="F85" t="s">
        <v>76</v>
      </c>
      <c r="G85" t="s">
        <v>413</v>
      </c>
    </row>
    <row r="86" spans="1:7" x14ac:dyDescent="0.25">
      <c r="A86">
        <v>2026</v>
      </c>
      <c r="B86" t="s">
        <v>174</v>
      </c>
      <c r="C86" t="s">
        <v>191</v>
      </c>
      <c r="D86" t="s">
        <v>693</v>
      </c>
      <c r="E86" t="s">
        <v>693</v>
      </c>
      <c r="F86" t="s">
        <v>191</v>
      </c>
      <c r="G86" t="s">
        <v>521</v>
      </c>
    </row>
    <row r="87" spans="1:7" x14ac:dyDescent="0.25">
      <c r="A87">
        <v>2026</v>
      </c>
      <c r="B87" t="s">
        <v>263</v>
      </c>
      <c r="C87" t="s">
        <v>276</v>
      </c>
      <c r="D87" t="s">
        <v>693</v>
      </c>
      <c r="E87" t="s">
        <v>693</v>
      </c>
      <c r="F87" t="s">
        <v>276</v>
      </c>
      <c r="G87" t="s">
        <v>601</v>
      </c>
    </row>
    <row r="88" spans="1:7" x14ac:dyDescent="0.25">
      <c r="A88">
        <v>2026</v>
      </c>
      <c r="B88" t="s">
        <v>60</v>
      </c>
      <c r="C88" t="s">
        <v>77</v>
      </c>
      <c r="D88" t="s">
        <v>693</v>
      </c>
      <c r="E88" t="s">
        <v>693</v>
      </c>
      <c r="F88" t="s">
        <v>77</v>
      </c>
      <c r="G88" t="s">
        <v>414</v>
      </c>
    </row>
    <row r="89" spans="1:7" x14ac:dyDescent="0.25">
      <c r="A89">
        <v>2026</v>
      </c>
      <c r="B89" t="s">
        <v>0</v>
      </c>
      <c r="C89" t="s">
        <v>5</v>
      </c>
      <c r="D89" t="s">
        <v>693</v>
      </c>
      <c r="E89" t="s">
        <v>693</v>
      </c>
      <c r="F89" t="s">
        <v>5</v>
      </c>
      <c r="G89" t="s">
        <v>352</v>
      </c>
    </row>
    <row r="90" spans="1:7" x14ac:dyDescent="0.25">
      <c r="A90">
        <v>2026</v>
      </c>
      <c r="B90" t="s">
        <v>60</v>
      </c>
      <c r="C90" t="s">
        <v>78</v>
      </c>
      <c r="D90" t="s">
        <v>693</v>
      </c>
      <c r="E90" t="s">
        <v>693</v>
      </c>
      <c r="F90" t="s">
        <v>78</v>
      </c>
      <c r="G90" t="s">
        <v>415</v>
      </c>
    </row>
    <row r="91" spans="1:7" x14ac:dyDescent="0.25">
      <c r="A91">
        <v>2026</v>
      </c>
      <c r="B91" t="s">
        <v>118</v>
      </c>
      <c r="C91" t="s">
        <v>130</v>
      </c>
      <c r="D91" t="s">
        <v>693</v>
      </c>
      <c r="E91" t="s">
        <v>693</v>
      </c>
      <c r="F91" t="s">
        <v>130</v>
      </c>
      <c r="G91" t="s">
        <v>464</v>
      </c>
    </row>
    <row r="92" spans="1:7" x14ac:dyDescent="0.25">
      <c r="A92">
        <v>2026</v>
      </c>
      <c r="B92" t="s">
        <v>22</v>
      </c>
      <c r="C92" t="s">
        <v>28</v>
      </c>
      <c r="D92" t="s">
        <v>693</v>
      </c>
      <c r="E92" t="s">
        <v>693</v>
      </c>
      <c r="F92" t="s">
        <v>28</v>
      </c>
      <c r="G92" t="s">
        <v>374</v>
      </c>
    </row>
    <row r="93" spans="1:7" x14ac:dyDescent="0.25">
      <c r="A93">
        <v>2026</v>
      </c>
      <c r="B93" t="s">
        <v>174</v>
      </c>
      <c r="C93" t="s">
        <v>192</v>
      </c>
      <c r="D93" t="s">
        <v>693</v>
      </c>
      <c r="E93" t="s">
        <v>693</v>
      </c>
      <c r="F93" t="s">
        <v>192</v>
      </c>
      <c r="G93" t="s">
        <v>522</v>
      </c>
    </row>
    <row r="94" spans="1:7" x14ac:dyDescent="0.25">
      <c r="A94">
        <v>2026</v>
      </c>
      <c r="B94" t="s">
        <v>60</v>
      </c>
      <c r="C94" t="s">
        <v>79</v>
      </c>
      <c r="D94" t="s">
        <v>693</v>
      </c>
      <c r="E94" t="s">
        <v>693</v>
      </c>
      <c r="F94" t="s">
        <v>79</v>
      </c>
      <c r="G94" t="s">
        <v>416</v>
      </c>
    </row>
    <row r="95" spans="1:7" x14ac:dyDescent="0.25">
      <c r="A95">
        <v>2026</v>
      </c>
      <c r="B95" t="s">
        <v>60</v>
      </c>
      <c r="C95" t="s">
        <v>80</v>
      </c>
      <c r="D95" t="s">
        <v>693</v>
      </c>
      <c r="E95" t="s">
        <v>693</v>
      </c>
      <c r="F95" t="s">
        <v>698</v>
      </c>
      <c r="G95" t="s">
        <v>417</v>
      </c>
    </row>
    <row r="96" spans="1:7" x14ac:dyDescent="0.25">
      <c r="A96">
        <v>2026</v>
      </c>
      <c r="B96" t="s">
        <v>263</v>
      </c>
      <c r="C96" t="s">
        <v>277</v>
      </c>
      <c r="D96" t="s">
        <v>693</v>
      </c>
      <c r="E96" t="s">
        <v>693</v>
      </c>
      <c r="F96" t="s">
        <v>277</v>
      </c>
      <c r="G96" t="s">
        <v>602</v>
      </c>
    </row>
    <row r="97" spans="1:7" x14ac:dyDescent="0.25">
      <c r="A97">
        <v>2026</v>
      </c>
      <c r="B97" t="s">
        <v>22</v>
      </c>
      <c r="C97" t="s">
        <v>29</v>
      </c>
      <c r="D97" t="s">
        <v>693</v>
      </c>
      <c r="E97" t="s">
        <v>693</v>
      </c>
      <c r="F97" t="s">
        <v>29</v>
      </c>
      <c r="G97" t="s">
        <v>375</v>
      </c>
    </row>
    <row r="98" spans="1:7" x14ac:dyDescent="0.25">
      <c r="A98">
        <v>2026</v>
      </c>
      <c r="B98" t="s">
        <v>263</v>
      </c>
      <c r="C98" t="s">
        <v>278</v>
      </c>
      <c r="D98" t="s">
        <v>693</v>
      </c>
      <c r="E98" t="s">
        <v>693</v>
      </c>
      <c r="F98" t="s">
        <v>278</v>
      </c>
      <c r="G98" t="s">
        <v>603</v>
      </c>
    </row>
    <row r="99" spans="1:7" x14ac:dyDescent="0.25">
      <c r="A99">
        <v>2026</v>
      </c>
      <c r="B99" t="s">
        <v>0</v>
      </c>
      <c r="C99" t="s">
        <v>6</v>
      </c>
      <c r="D99" t="s">
        <v>693</v>
      </c>
      <c r="E99" t="s">
        <v>693</v>
      </c>
      <c r="F99" t="s">
        <v>6</v>
      </c>
      <c r="G99" t="s">
        <v>353</v>
      </c>
    </row>
    <row r="100" spans="1:7" x14ac:dyDescent="0.25">
      <c r="A100">
        <v>2026</v>
      </c>
      <c r="B100" t="s">
        <v>118</v>
      </c>
      <c r="C100" t="s">
        <v>131</v>
      </c>
      <c r="D100" t="s">
        <v>693</v>
      </c>
      <c r="E100" t="s">
        <v>693</v>
      </c>
      <c r="F100" t="s">
        <v>131</v>
      </c>
      <c r="G100" t="s">
        <v>465</v>
      </c>
    </row>
    <row r="101" spans="1:7" x14ac:dyDescent="0.25">
      <c r="A101">
        <v>2026</v>
      </c>
      <c r="B101" t="s">
        <v>308</v>
      </c>
      <c r="C101" t="s">
        <v>317</v>
      </c>
      <c r="D101" t="s">
        <v>693</v>
      </c>
      <c r="E101" t="s">
        <v>693</v>
      </c>
      <c r="F101" t="s">
        <v>317</v>
      </c>
      <c r="G101" t="s">
        <v>641</v>
      </c>
    </row>
    <row r="102" spans="1:7" x14ac:dyDescent="0.25">
      <c r="A102">
        <v>2026</v>
      </c>
      <c r="B102" t="s">
        <v>0</v>
      </c>
      <c r="C102" t="s">
        <v>7</v>
      </c>
      <c r="D102" t="s">
        <v>693</v>
      </c>
      <c r="E102" t="s">
        <v>693</v>
      </c>
      <c r="F102" t="s">
        <v>7</v>
      </c>
      <c r="G102" t="s">
        <v>354</v>
      </c>
    </row>
    <row r="103" spans="1:7" x14ac:dyDescent="0.25">
      <c r="A103">
        <v>2026</v>
      </c>
      <c r="B103" t="s">
        <v>60</v>
      </c>
      <c r="C103" t="s">
        <v>81</v>
      </c>
      <c r="D103" t="s">
        <v>693</v>
      </c>
      <c r="E103" t="s">
        <v>693</v>
      </c>
      <c r="F103" t="s">
        <v>81</v>
      </c>
      <c r="G103" t="s">
        <v>418</v>
      </c>
    </row>
    <row r="104" spans="1:7" x14ac:dyDescent="0.25">
      <c r="A104">
        <v>2026</v>
      </c>
      <c r="B104" t="s">
        <v>22</v>
      </c>
      <c r="C104" t="s">
        <v>30</v>
      </c>
      <c r="D104" t="s">
        <v>693</v>
      </c>
      <c r="E104" t="s">
        <v>693</v>
      </c>
      <c r="F104" t="s">
        <v>30</v>
      </c>
      <c r="G104" t="s">
        <v>376</v>
      </c>
    </row>
    <row r="105" spans="1:7" x14ac:dyDescent="0.25">
      <c r="A105">
        <v>2026</v>
      </c>
      <c r="B105" t="s">
        <v>140</v>
      </c>
      <c r="C105" t="s">
        <v>150</v>
      </c>
      <c r="D105" t="s">
        <v>693</v>
      </c>
      <c r="E105" t="s">
        <v>693</v>
      </c>
      <c r="F105" t="s">
        <v>150</v>
      </c>
      <c r="G105" t="s">
        <v>483</v>
      </c>
    </row>
    <row r="106" spans="1:7" x14ac:dyDescent="0.25">
      <c r="A106">
        <v>2026</v>
      </c>
      <c r="B106" t="s">
        <v>263</v>
      </c>
      <c r="C106" t="s">
        <v>279</v>
      </c>
      <c r="D106" t="s">
        <v>693</v>
      </c>
      <c r="E106" t="s">
        <v>693</v>
      </c>
      <c r="F106" t="s">
        <v>279</v>
      </c>
      <c r="G106" t="s">
        <v>604</v>
      </c>
    </row>
    <row r="107" spans="1:7" x14ac:dyDescent="0.25">
      <c r="A107">
        <v>2026</v>
      </c>
      <c r="B107" t="s">
        <v>22</v>
      </c>
      <c r="C107" t="s">
        <v>31</v>
      </c>
      <c r="D107" t="s">
        <v>693</v>
      </c>
      <c r="E107" t="s">
        <v>693</v>
      </c>
      <c r="F107" t="s">
        <v>31</v>
      </c>
      <c r="G107" t="s">
        <v>377</v>
      </c>
    </row>
    <row r="108" spans="1:7" x14ac:dyDescent="0.25">
      <c r="A108">
        <v>2026</v>
      </c>
      <c r="B108" t="s">
        <v>174</v>
      </c>
      <c r="C108" t="s">
        <v>193</v>
      </c>
      <c r="D108" t="s">
        <v>693</v>
      </c>
      <c r="E108" t="s">
        <v>693</v>
      </c>
      <c r="F108" t="s">
        <v>193</v>
      </c>
      <c r="G108" t="s">
        <v>523</v>
      </c>
    </row>
    <row r="109" spans="1:7" x14ac:dyDescent="0.25">
      <c r="A109">
        <v>2026</v>
      </c>
      <c r="B109" t="s">
        <v>308</v>
      </c>
      <c r="C109" t="s">
        <v>318</v>
      </c>
      <c r="D109" t="s">
        <v>693</v>
      </c>
      <c r="E109" t="s">
        <v>693</v>
      </c>
      <c r="F109" t="s">
        <v>318</v>
      </c>
      <c r="G109" t="s">
        <v>642</v>
      </c>
    </row>
    <row r="110" spans="1:7" x14ac:dyDescent="0.25">
      <c r="A110">
        <v>2026</v>
      </c>
      <c r="B110" t="s">
        <v>60</v>
      </c>
      <c r="C110" t="s">
        <v>82</v>
      </c>
      <c r="D110" t="s">
        <v>693</v>
      </c>
      <c r="E110" t="s">
        <v>693</v>
      </c>
      <c r="F110" t="s">
        <v>82</v>
      </c>
      <c r="G110" t="s">
        <v>419</v>
      </c>
    </row>
    <row r="111" spans="1:7" x14ac:dyDescent="0.25">
      <c r="A111">
        <v>2026</v>
      </c>
      <c r="B111" t="s">
        <v>22</v>
      </c>
      <c r="C111" t="s">
        <v>32</v>
      </c>
      <c r="D111" t="s">
        <v>693</v>
      </c>
      <c r="E111" t="s">
        <v>693</v>
      </c>
      <c r="F111" t="s">
        <v>32</v>
      </c>
      <c r="G111" t="s">
        <v>378</v>
      </c>
    </row>
    <row r="112" spans="1:7" x14ac:dyDescent="0.25">
      <c r="A112">
        <v>2026</v>
      </c>
      <c r="B112" t="s">
        <v>308</v>
      </c>
      <c r="C112" t="s">
        <v>319</v>
      </c>
      <c r="D112" t="s">
        <v>693</v>
      </c>
      <c r="E112" t="s">
        <v>693</v>
      </c>
      <c r="F112" t="s">
        <v>319</v>
      </c>
      <c r="G112" t="s">
        <v>643</v>
      </c>
    </row>
    <row r="113" spans="1:7" x14ac:dyDescent="0.25">
      <c r="A113">
        <v>2026</v>
      </c>
      <c r="B113" t="s">
        <v>263</v>
      </c>
      <c r="C113" t="s">
        <v>280</v>
      </c>
      <c r="D113" t="s">
        <v>693</v>
      </c>
      <c r="E113" t="s">
        <v>693</v>
      </c>
      <c r="F113" t="s">
        <v>280</v>
      </c>
      <c r="G113" t="s">
        <v>605</v>
      </c>
    </row>
    <row r="114" spans="1:7" x14ac:dyDescent="0.25">
      <c r="A114">
        <v>2026</v>
      </c>
      <c r="B114" t="s">
        <v>229</v>
      </c>
      <c r="C114" t="s">
        <v>237</v>
      </c>
      <c r="D114" t="s">
        <v>693</v>
      </c>
      <c r="E114" t="s">
        <v>693</v>
      </c>
      <c r="F114" t="s">
        <v>237</v>
      </c>
      <c r="G114" t="s">
        <v>564</v>
      </c>
    </row>
    <row r="115" spans="1:7" x14ac:dyDescent="0.25">
      <c r="A115">
        <v>2026</v>
      </c>
      <c r="B115" t="s">
        <v>60</v>
      </c>
      <c r="C115" t="s">
        <v>83</v>
      </c>
      <c r="D115" t="s">
        <v>693</v>
      </c>
      <c r="E115" t="s">
        <v>693</v>
      </c>
      <c r="F115" t="s">
        <v>83</v>
      </c>
      <c r="G115" t="s">
        <v>420</v>
      </c>
    </row>
    <row r="116" spans="1:7" x14ac:dyDescent="0.25">
      <c r="A116">
        <v>2026</v>
      </c>
      <c r="B116" t="s">
        <v>229</v>
      </c>
      <c r="C116" t="s">
        <v>238</v>
      </c>
      <c r="D116" t="s">
        <v>693</v>
      </c>
      <c r="E116" t="s">
        <v>693</v>
      </c>
      <c r="F116" t="s">
        <v>238</v>
      </c>
      <c r="G116" t="s">
        <v>565</v>
      </c>
    </row>
    <row r="117" spans="1:7" x14ac:dyDescent="0.25">
      <c r="A117">
        <v>2026</v>
      </c>
      <c r="B117" t="s">
        <v>174</v>
      </c>
      <c r="C117" t="s">
        <v>194</v>
      </c>
      <c r="D117" t="s">
        <v>693</v>
      </c>
      <c r="E117" t="s">
        <v>693</v>
      </c>
      <c r="F117" t="s">
        <v>194</v>
      </c>
      <c r="G117" t="s">
        <v>524</v>
      </c>
    </row>
    <row r="118" spans="1:7" x14ac:dyDescent="0.25">
      <c r="A118">
        <v>2026</v>
      </c>
      <c r="B118" t="s">
        <v>22</v>
      </c>
      <c r="C118" t="s">
        <v>33</v>
      </c>
      <c r="D118" t="s">
        <v>693</v>
      </c>
      <c r="E118" t="s">
        <v>693</v>
      </c>
      <c r="F118" t="s">
        <v>33</v>
      </c>
      <c r="G118" t="s">
        <v>379</v>
      </c>
    </row>
    <row r="119" spans="1:7" x14ac:dyDescent="0.25">
      <c r="A119">
        <v>2026</v>
      </c>
      <c r="B119" t="s">
        <v>60</v>
      </c>
      <c r="C119" t="s">
        <v>84</v>
      </c>
      <c r="D119" t="s">
        <v>693</v>
      </c>
      <c r="E119" t="s">
        <v>693</v>
      </c>
      <c r="F119" t="s">
        <v>84</v>
      </c>
      <c r="G119" t="s">
        <v>421</v>
      </c>
    </row>
    <row r="120" spans="1:7" x14ac:dyDescent="0.25">
      <c r="A120">
        <v>2026</v>
      </c>
      <c r="B120" t="s">
        <v>263</v>
      </c>
      <c r="C120" t="s">
        <v>281</v>
      </c>
      <c r="D120" t="s">
        <v>693</v>
      </c>
      <c r="E120" t="s">
        <v>693</v>
      </c>
      <c r="F120" t="s">
        <v>281</v>
      </c>
      <c r="G120" t="s">
        <v>606</v>
      </c>
    </row>
    <row r="121" spans="1:7" x14ac:dyDescent="0.25">
      <c r="A121">
        <v>2026</v>
      </c>
      <c r="B121" t="s">
        <v>174</v>
      </c>
      <c r="C121" t="s">
        <v>195</v>
      </c>
      <c r="D121" t="s">
        <v>693</v>
      </c>
      <c r="E121" t="s">
        <v>693</v>
      </c>
      <c r="F121" t="s">
        <v>195</v>
      </c>
      <c r="G121" t="s">
        <v>525</v>
      </c>
    </row>
    <row r="122" spans="1:7" x14ac:dyDescent="0.25">
      <c r="A122">
        <v>2026</v>
      </c>
      <c r="B122" t="s">
        <v>60</v>
      </c>
      <c r="C122" t="s">
        <v>85</v>
      </c>
      <c r="D122" t="s">
        <v>693</v>
      </c>
      <c r="E122" t="s">
        <v>693</v>
      </c>
      <c r="F122" t="s">
        <v>85</v>
      </c>
      <c r="G122" t="s">
        <v>86</v>
      </c>
    </row>
    <row r="123" spans="1:7" x14ac:dyDescent="0.25">
      <c r="A123">
        <v>2026</v>
      </c>
      <c r="B123" t="s">
        <v>22</v>
      </c>
      <c r="C123" t="s">
        <v>34</v>
      </c>
      <c r="D123" t="s">
        <v>693</v>
      </c>
      <c r="E123" t="s">
        <v>693</v>
      </c>
      <c r="F123" t="s">
        <v>34</v>
      </c>
      <c r="G123" t="s">
        <v>380</v>
      </c>
    </row>
    <row r="124" spans="1:7" x14ac:dyDescent="0.25">
      <c r="A124">
        <v>2026</v>
      </c>
      <c r="B124" t="s">
        <v>22</v>
      </c>
      <c r="C124" t="s">
        <v>35</v>
      </c>
      <c r="D124" t="s">
        <v>693</v>
      </c>
      <c r="E124" t="s">
        <v>693</v>
      </c>
      <c r="F124" t="s">
        <v>35</v>
      </c>
      <c r="G124" t="s">
        <v>381</v>
      </c>
    </row>
    <row r="125" spans="1:7" x14ac:dyDescent="0.25">
      <c r="A125">
        <v>2026</v>
      </c>
      <c r="B125" t="s">
        <v>60</v>
      </c>
      <c r="C125" t="s">
        <v>87</v>
      </c>
      <c r="D125" t="s">
        <v>693</v>
      </c>
      <c r="E125" t="s">
        <v>693</v>
      </c>
      <c r="F125" t="s">
        <v>87</v>
      </c>
      <c r="G125" t="s">
        <v>422</v>
      </c>
    </row>
    <row r="126" spans="1:7" x14ac:dyDescent="0.25">
      <c r="A126">
        <v>2026</v>
      </c>
      <c r="B126" t="s">
        <v>263</v>
      </c>
      <c r="C126" t="s">
        <v>282</v>
      </c>
      <c r="D126" t="s">
        <v>693</v>
      </c>
      <c r="E126" t="s">
        <v>693</v>
      </c>
      <c r="F126" t="s">
        <v>282</v>
      </c>
      <c r="G126" t="s">
        <v>607</v>
      </c>
    </row>
    <row r="127" spans="1:7" x14ac:dyDescent="0.25">
      <c r="A127">
        <v>2026</v>
      </c>
      <c r="B127" t="s">
        <v>60</v>
      </c>
      <c r="C127" t="s">
        <v>88</v>
      </c>
      <c r="D127" t="s">
        <v>693</v>
      </c>
      <c r="E127" t="s">
        <v>693</v>
      </c>
      <c r="F127" t="s">
        <v>88</v>
      </c>
      <c r="G127" t="s">
        <v>423</v>
      </c>
    </row>
    <row r="128" spans="1:7" x14ac:dyDescent="0.25">
      <c r="A128">
        <v>2026</v>
      </c>
      <c r="B128" t="s">
        <v>174</v>
      </c>
      <c r="C128" t="s">
        <v>196</v>
      </c>
      <c r="D128" t="s">
        <v>693</v>
      </c>
      <c r="E128" t="s">
        <v>693</v>
      </c>
      <c r="F128" t="s">
        <v>196</v>
      </c>
      <c r="G128" t="s">
        <v>526</v>
      </c>
    </row>
    <row r="129" spans="1:7" x14ac:dyDescent="0.25">
      <c r="A129">
        <v>2026</v>
      </c>
      <c r="B129" t="s">
        <v>263</v>
      </c>
      <c r="C129" t="s">
        <v>283</v>
      </c>
      <c r="D129" t="s">
        <v>693</v>
      </c>
      <c r="E129" t="s">
        <v>693</v>
      </c>
      <c r="F129" t="s">
        <v>283</v>
      </c>
      <c r="G129" t="s">
        <v>608</v>
      </c>
    </row>
    <row r="130" spans="1:7" x14ac:dyDescent="0.25">
      <c r="A130">
        <v>2026</v>
      </c>
      <c r="B130" t="s">
        <v>60</v>
      </c>
      <c r="C130" t="s">
        <v>89</v>
      </c>
      <c r="D130" t="s">
        <v>693</v>
      </c>
      <c r="E130" t="s">
        <v>693</v>
      </c>
      <c r="F130" t="s">
        <v>89</v>
      </c>
      <c r="G130" t="s">
        <v>424</v>
      </c>
    </row>
    <row r="131" spans="1:7" x14ac:dyDescent="0.25">
      <c r="A131">
        <v>2026</v>
      </c>
      <c r="B131" t="s">
        <v>263</v>
      </c>
      <c r="C131" t="s">
        <v>284</v>
      </c>
      <c r="D131" t="s">
        <v>693</v>
      </c>
      <c r="E131" t="s">
        <v>693</v>
      </c>
      <c r="F131" t="s">
        <v>284</v>
      </c>
      <c r="G131" t="s">
        <v>609</v>
      </c>
    </row>
    <row r="132" spans="1:7" x14ac:dyDescent="0.25">
      <c r="A132">
        <v>2026</v>
      </c>
      <c r="B132" t="s">
        <v>22</v>
      </c>
      <c r="C132" t="s">
        <v>36</v>
      </c>
      <c r="D132" t="s">
        <v>693</v>
      </c>
      <c r="E132" t="s">
        <v>693</v>
      </c>
      <c r="F132" t="s">
        <v>36</v>
      </c>
      <c r="G132" t="s">
        <v>382</v>
      </c>
    </row>
    <row r="133" spans="1:7" x14ac:dyDescent="0.25">
      <c r="A133">
        <v>2026</v>
      </c>
      <c r="B133" t="s">
        <v>229</v>
      </c>
      <c r="C133" t="s">
        <v>239</v>
      </c>
      <c r="D133" t="s">
        <v>693</v>
      </c>
      <c r="E133" t="s">
        <v>693</v>
      </c>
      <c r="F133" t="s">
        <v>239</v>
      </c>
      <c r="G133" t="s">
        <v>566</v>
      </c>
    </row>
    <row r="134" spans="1:7" x14ac:dyDescent="0.25">
      <c r="A134">
        <v>2026</v>
      </c>
      <c r="B134" t="s">
        <v>140</v>
      </c>
      <c r="C134" t="s">
        <v>151</v>
      </c>
      <c r="D134" t="s">
        <v>693</v>
      </c>
      <c r="E134" t="s">
        <v>693</v>
      </c>
      <c r="F134" t="s">
        <v>151</v>
      </c>
      <c r="G134" t="s">
        <v>484</v>
      </c>
    </row>
    <row r="135" spans="1:7" x14ac:dyDescent="0.25">
      <c r="A135">
        <v>2026</v>
      </c>
      <c r="B135" t="s">
        <v>229</v>
      </c>
      <c r="C135" t="s">
        <v>240</v>
      </c>
      <c r="D135" t="s">
        <v>693</v>
      </c>
      <c r="E135" t="s">
        <v>693</v>
      </c>
      <c r="F135" t="s">
        <v>240</v>
      </c>
      <c r="G135" t="s">
        <v>567</v>
      </c>
    </row>
    <row r="136" spans="1:7" x14ac:dyDescent="0.25">
      <c r="A136">
        <v>2026</v>
      </c>
      <c r="B136" t="s">
        <v>140</v>
      </c>
      <c r="C136" t="s">
        <v>152</v>
      </c>
      <c r="D136" t="s">
        <v>693</v>
      </c>
      <c r="E136" t="s">
        <v>693</v>
      </c>
      <c r="F136" t="s">
        <v>152</v>
      </c>
      <c r="G136" t="s">
        <v>153</v>
      </c>
    </row>
    <row r="137" spans="1:7" x14ac:dyDescent="0.25">
      <c r="A137">
        <v>2026</v>
      </c>
      <c r="B137" t="s">
        <v>0</v>
      </c>
      <c r="C137" t="s">
        <v>8</v>
      </c>
      <c r="D137" t="s">
        <v>693</v>
      </c>
      <c r="E137" t="s">
        <v>693</v>
      </c>
      <c r="F137" t="s">
        <v>8</v>
      </c>
      <c r="G137" t="s">
        <v>355</v>
      </c>
    </row>
    <row r="138" spans="1:7" x14ac:dyDescent="0.25">
      <c r="A138">
        <v>2026</v>
      </c>
      <c r="B138" t="s">
        <v>60</v>
      </c>
      <c r="C138" t="s">
        <v>90</v>
      </c>
      <c r="D138" t="s">
        <v>693</v>
      </c>
      <c r="E138" t="s">
        <v>693</v>
      </c>
      <c r="F138" t="s">
        <v>90</v>
      </c>
      <c r="G138" t="s">
        <v>425</v>
      </c>
    </row>
    <row r="139" spans="1:7" x14ac:dyDescent="0.25">
      <c r="A139">
        <v>2026</v>
      </c>
      <c r="B139" t="s">
        <v>60</v>
      </c>
      <c r="C139" t="s">
        <v>91</v>
      </c>
      <c r="D139" t="s">
        <v>693</v>
      </c>
      <c r="E139" t="s">
        <v>693</v>
      </c>
      <c r="F139" t="s">
        <v>91</v>
      </c>
      <c r="G139" t="s">
        <v>426</v>
      </c>
    </row>
    <row r="140" spans="1:7" x14ac:dyDescent="0.25">
      <c r="A140">
        <v>2026</v>
      </c>
      <c r="B140" t="s">
        <v>22</v>
      </c>
      <c r="C140" t="s">
        <v>37</v>
      </c>
      <c r="D140" t="s">
        <v>693</v>
      </c>
      <c r="E140" t="s">
        <v>693</v>
      </c>
      <c r="F140" t="s">
        <v>37</v>
      </c>
      <c r="G140" t="s">
        <v>383</v>
      </c>
    </row>
    <row r="141" spans="1:7" x14ac:dyDescent="0.25">
      <c r="A141">
        <v>2026</v>
      </c>
      <c r="B141" t="s">
        <v>263</v>
      </c>
      <c r="C141" t="s">
        <v>285</v>
      </c>
      <c r="D141" t="s">
        <v>693</v>
      </c>
      <c r="E141" t="s">
        <v>693</v>
      </c>
      <c r="F141" t="s">
        <v>285</v>
      </c>
      <c r="G141" t="s">
        <v>610</v>
      </c>
    </row>
    <row r="142" spans="1:7" x14ac:dyDescent="0.25">
      <c r="A142">
        <v>2026</v>
      </c>
      <c r="B142" t="s">
        <v>60</v>
      </c>
      <c r="C142" t="s">
        <v>92</v>
      </c>
      <c r="D142" t="s">
        <v>693</v>
      </c>
      <c r="E142" t="s">
        <v>693</v>
      </c>
      <c r="F142" t="s">
        <v>92</v>
      </c>
      <c r="G142" t="s">
        <v>427</v>
      </c>
    </row>
    <row r="143" spans="1:7" x14ac:dyDescent="0.25">
      <c r="A143">
        <v>2026</v>
      </c>
      <c r="B143" t="s">
        <v>174</v>
      </c>
      <c r="C143" t="s">
        <v>197</v>
      </c>
      <c r="D143" t="s">
        <v>693</v>
      </c>
      <c r="E143" t="s">
        <v>693</v>
      </c>
      <c r="F143" t="s">
        <v>197</v>
      </c>
      <c r="G143" t="s">
        <v>527</v>
      </c>
    </row>
    <row r="144" spans="1:7" x14ac:dyDescent="0.25">
      <c r="A144">
        <v>2026</v>
      </c>
      <c r="B144" t="s">
        <v>174</v>
      </c>
      <c r="C144" t="s">
        <v>198</v>
      </c>
      <c r="D144" t="s">
        <v>693</v>
      </c>
      <c r="E144" t="s">
        <v>693</v>
      </c>
      <c r="F144" t="s">
        <v>198</v>
      </c>
      <c r="G144" t="s">
        <v>528</v>
      </c>
    </row>
    <row r="145" spans="1:7" x14ac:dyDescent="0.25">
      <c r="A145">
        <v>2026</v>
      </c>
      <c r="B145" t="s">
        <v>140</v>
      </c>
      <c r="C145" t="s">
        <v>154</v>
      </c>
      <c r="D145" t="s">
        <v>693</v>
      </c>
      <c r="E145" t="s">
        <v>693</v>
      </c>
      <c r="F145" t="s">
        <v>154</v>
      </c>
      <c r="G145" t="s">
        <v>485</v>
      </c>
    </row>
    <row r="146" spans="1:7" x14ac:dyDescent="0.25">
      <c r="A146">
        <v>2026</v>
      </c>
      <c r="B146" t="s">
        <v>60</v>
      </c>
      <c r="C146" t="s">
        <v>93</v>
      </c>
      <c r="D146" t="s">
        <v>693</v>
      </c>
      <c r="E146" t="s">
        <v>693</v>
      </c>
      <c r="F146" t="s">
        <v>93</v>
      </c>
      <c r="G146" t="s">
        <v>428</v>
      </c>
    </row>
    <row r="147" spans="1:7" x14ac:dyDescent="0.25">
      <c r="A147">
        <v>2026</v>
      </c>
      <c r="B147" t="s">
        <v>140</v>
      </c>
      <c r="C147" t="s">
        <v>155</v>
      </c>
      <c r="D147" t="s">
        <v>693</v>
      </c>
      <c r="E147" t="s">
        <v>693</v>
      </c>
      <c r="F147" t="s">
        <v>155</v>
      </c>
      <c r="G147" t="s">
        <v>486</v>
      </c>
    </row>
    <row r="148" spans="1:7" x14ac:dyDescent="0.25">
      <c r="A148">
        <v>2026</v>
      </c>
      <c r="B148" t="s">
        <v>60</v>
      </c>
      <c r="C148" t="s">
        <v>94</v>
      </c>
      <c r="D148" t="s">
        <v>693</v>
      </c>
      <c r="E148" t="s">
        <v>693</v>
      </c>
      <c r="F148" t="s">
        <v>94</v>
      </c>
      <c r="G148" t="s">
        <v>429</v>
      </c>
    </row>
    <row r="149" spans="1:7" x14ac:dyDescent="0.25">
      <c r="A149">
        <v>2026</v>
      </c>
      <c r="B149" t="s">
        <v>60</v>
      </c>
      <c r="C149" t="s">
        <v>95</v>
      </c>
      <c r="D149" t="s">
        <v>693</v>
      </c>
      <c r="E149" t="s">
        <v>693</v>
      </c>
      <c r="F149" t="s">
        <v>95</v>
      </c>
      <c r="G149" t="s">
        <v>430</v>
      </c>
    </row>
    <row r="150" spans="1:7" x14ac:dyDescent="0.25">
      <c r="A150">
        <v>2026</v>
      </c>
      <c r="B150" t="s">
        <v>174</v>
      </c>
      <c r="C150" t="s">
        <v>199</v>
      </c>
      <c r="D150" t="s">
        <v>693</v>
      </c>
      <c r="E150" t="s">
        <v>693</v>
      </c>
      <c r="F150" t="s">
        <v>199</v>
      </c>
      <c r="G150" t="s">
        <v>529</v>
      </c>
    </row>
    <row r="151" spans="1:7" x14ac:dyDescent="0.25">
      <c r="A151">
        <v>2026</v>
      </c>
      <c r="B151" t="s">
        <v>308</v>
      </c>
      <c r="C151" t="s">
        <v>320</v>
      </c>
      <c r="D151" t="s">
        <v>693</v>
      </c>
      <c r="E151" t="s">
        <v>693</v>
      </c>
      <c r="F151" t="s">
        <v>320</v>
      </c>
      <c r="G151" t="s">
        <v>644</v>
      </c>
    </row>
    <row r="152" spans="1:7" x14ac:dyDescent="0.25">
      <c r="A152">
        <v>2026</v>
      </c>
      <c r="B152" t="s">
        <v>308</v>
      </c>
      <c r="C152" t="s">
        <v>321</v>
      </c>
      <c r="D152" t="s">
        <v>693</v>
      </c>
      <c r="E152" t="s">
        <v>693</v>
      </c>
      <c r="F152" t="s">
        <v>321</v>
      </c>
      <c r="G152" t="s">
        <v>645</v>
      </c>
    </row>
    <row r="153" spans="1:7" x14ac:dyDescent="0.25">
      <c r="A153">
        <v>2026</v>
      </c>
      <c r="B153" t="s">
        <v>229</v>
      </c>
      <c r="C153" t="s">
        <v>241</v>
      </c>
      <c r="D153" t="s">
        <v>693</v>
      </c>
      <c r="E153" t="s">
        <v>693</v>
      </c>
      <c r="F153" t="s">
        <v>241</v>
      </c>
      <c r="G153" t="s">
        <v>568</v>
      </c>
    </row>
    <row r="154" spans="1:7" x14ac:dyDescent="0.25">
      <c r="A154">
        <v>2026</v>
      </c>
      <c r="B154" t="s">
        <v>174</v>
      </c>
      <c r="C154" t="s">
        <v>200</v>
      </c>
      <c r="D154" t="s">
        <v>693</v>
      </c>
      <c r="E154" t="s">
        <v>693</v>
      </c>
      <c r="F154" t="s">
        <v>200</v>
      </c>
      <c r="G154" t="s">
        <v>530</v>
      </c>
    </row>
    <row r="155" spans="1:7" x14ac:dyDescent="0.25">
      <c r="A155">
        <v>2026</v>
      </c>
      <c r="B155" t="s">
        <v>60</v>
      </c>
      <c r="C155" t="s">
        <v>96</v>
      </c>
      <c r="D155" t="s">
        <v>693</v>
      </c>
      <c r="E155" t="s">
        <v>693</v>
      </c>
      <c r="F155" t="s">
        <v>96</v>
      </c>
      <c r="G155" t="s">
        <v>431</v>
      </c>
    </row>
    <row r="156" spans="1:7" x14ac:dyDescent="0.25">
      <c r="A156">
        <v>2026</v>
      </c>
      <c r="B156" t="s">
        <v>263</v>
      </c>
      <c r="C156" t="s">
        <v>286</v>
      </c>
      <c r="D156" t="s">
        <v>693</v>
      </c>
      <c r="E156" t="s">
        <v>693</v>
      </c>
      <c r="F156" t="s">
        <v>286</v>
      </c>
      <c r="G156" t="s">
        <v>611</v>
      </c>
    </row>
    <row r="157" spans="1:7" x14ac:dyDescent="0.25">
      <c r="A157">
        <v>2026</v>
      </c>
      <c r="B157" t="s">
        <v>22</v>
      </c>
      <c r="C157" t="s">
        <v>38</v>
      </c>
      <c r="D157" t="s">
        <v>693</v>
      </c>
      <c r="E157" t="s">
        <v>693</v>
      </c>
      <c r="F157" t="s">
        <v>38</v>
      </c>
      <c r="G157" t="s">
        <v>384</v>
      </c>
    </row>
    <row r="158" spans="1:7" x14ac:dyDescent="0.25">
      <c r="A158">
        <v>2026</v>
      </c>
      <c r="B158" t="s">
        <v>229</v>
      </c>
      <c r="C158" t="s">
        <v>242</v>
      </c>
      <c r="D158" t="s">
        <v>693</v>
      </c>
      <c r="E158" t="s">
        <v>693</v>
      </c>
      <c r="F158" t="s">
        <v>242</v>
      </c>
      <c r="G158" t="s">
        <v>569</v>
      </c>
    </row>
    <row r="159" spans="1:7" x14ac:dyDescent="0.25">
      <c r="A159">
        <v>2026</v>
      </c>
      <c r="B159" t="s">
        <v>229</v>
      </c>
      <c r="C159" t="s">
        <v>243</v>
      </c>
      <c r="D159" t="s">
        <v>693</v>
      </c>
      <c r="E159" t="s">
        <v>693</v>
      </c>
      <c r="F159" t="s">
        <v>243</v>
      </c>
      <c r="G159" t="s">
        <v>570</v>
      </c>
    </row>
    <row r="160" spans="1:7" x14ac:dyDescent="0.25">
      <c r="A160">
        <v>2026</v>
      </c>
      <c r="B160" t="s">
        <v>263</v>
      </c>
      <c r="C160" t="s">
        <v>287</v>
      </c>
      <c r="D160" t="s">
        <v>693</v>
      </c>
      <c r="E160" t="s">
        <v>693</v>
      </c>
      <c r="F160" t="s">
        <v>287</v>
      </c>
      <c r="G160" t="s">
        <v>612</v>
      </c>
    </row>
    <row r="161" spans="1:7" x14ac:dyDescent="0.25">
      <c r="A161">
        <v>2026</v>
      </c>
      <c r="B161" t="s">
        <v>263</v>
      </c>
      <c r="C161" t="s">
        <v>288</v>
      </c>
      <c r="D161" t="s">
        <v>693</v>
      </c>
      <c r="E161" t="s">
        <v>693</v>
      </c>
      <c r="F161" t="s">
        <v>288</v>
      </c>
      <c r="G161" t="s">
        <v>613</v>
      </c>
    </row>
    <row r="162" spans="1:7" x14ac:dyDescent="0.25">
      <c r="A162">
        <v>2026</v>
      </c>
      <c r="B162" t="s">
        <v>140</v>
      </c>
      <c r="C162" t="s">
        <v>156</v>
      </c>
      <c r="D162" t="s">
        <v>693</v>
      </c>
      <c r="E162" t="s">
        <v>693</v>
      </c>
      <c r="F162" t="s">
        <v>156</v>
      </c>
      <c r="G162" t="s">
        <v>487</v>
      </c>
    </row>
    <row r="163" spans="1:7" x14ac:dyDescent="0.25">
      <c r="A163">
        <v>2026</v>
      </c>
      <c r="B163" t="s">
        <v>140</v>
      </c>
      <c r="C163" t="s">
        <v>157</v>
      </c>
      <c r="D163" t="s">
        <v>693</v>
      </c>
      <c r="E163" t="s">
        <v>693</v>
      </c>
      <c r="F163" t="s">
        <v>157</v>
      </c>
      <c r="G163" t="s">
        <v>488</v>
      </c>
    </row>
    <row r="164" spans="1:7" x14ac:dyDescent="0.25">
      <c r="A164">
        <v>2026</v>
      </c>
      <c r="B164" t="s">
        <v>263</v>
      </c>
      <c r="C164" t="s">
        <v>289</v>
      </c>
      <c r="D164" t="s">
        <v>693</v>
      </c>
      <c r="E164" t="s">
        <v>693</v>
      </c>
      <c r="F164" t="s">
        <v>289</v>
      </c>
      <c r="G164" t="s">
        <v>614</v>
      </c>
    </row>
    <row r="165" spans="1:7" x14ac:dyDescent="0.25">
      <c r="A165">
        <v>2026</v>
      </c>
      <c r="B165" t="s">
        <v>140</v>
      </c>
      <c r="C165" t="s">
        <v>158</v>
      </c>
      <c r="D165" t="s">
        <v>693</v>
      </c>
      <c r="E165" t="s">
        <v>693</v>
      </c>
      <c r="F165" t="s">
        <v>158</v>
      </c>
      <c r="G165" t="s">
        <v>489</v>
      </c>
    </row>
    <row r="166" spans="1:7" x14ac:dyDescent="0.25">
      <c r="A166">
        <v>2026</v>
      </c>
      <c r="B166" t="s">
        <v>118</v>
      </c>
      <c r="C166" t="s">
        <v>132</v>
      </c>
      <c r="D166" t="s">
        <v>693</v>
      </c>
      <c r="E166" t="s">
        <v>693</v>
      </c>
      <c r="F166" t="s">
        <v>132</v>
      </c>
      <c r="G166" t="s">
        <v>466</v>
      </c>
    </row>
    <row r="167" spans="1:7" x14ac:dyDescent="0.25">
      <c r="A167">
        <v>2026</v>
      </c>
      <c r="B167" t="s">
        <v>174</v>
      </c>
      <c r="C167" t="s">
        <v>201</v>
      </c>
      <c r="D167" t="s">
        <v>693</v>
      </c>
      <c r="E167" t="s">
        <v>693</v>
      </c>
      <c r="F167" t="s">
        <v>201</v>
      </c>
      <c r="G167" t="s">
        <v>531</v>
      </c>
    </row>
    <row r="168" spans="1:7" x14ac:dyDescent="0.25">
      <c r="A168">
        <v>2026</v>
      </c>
      <c r="B168" t="s">
        <v>174</v>
      </c>
      <c r="C168" t="s">
        <v>202</v>
      </c>
      <c r="D168" t="s">
        <v>693</v>
      </c>
      <c r="E168" t="s">
        <v>693</v>
      </c>
      <c r="F168" t="s">
        <v>202</v>
      </c>
      <c r="G168" t="s">
        <v>532</v>
      </c>
    </row>
    <row r="169" spans="1:7" x14ac:dyDescent="0.25">
      <c r="A169">
        <v>2026</v>
      </c>
      <c r="B169" t="s">
        <v>22</v>
      </c>
      <c r="C169" t="s">
        <v>39</v>
      </c>
      <c r="D169" t="s">
        <v>693</v>
      </c>
      <c r="E169" t="s">
        <v>693</v>
      </c>
      <c r="F169" t="s">
        <v>39</v>
      </c>
      <c r="G169" t="s">
        <v>385</v>
      </c>
    </row>
    <row r="170" spans="1:7" x14ac:dyDescent="0.25">
      <c r="A170">
        <v>2026</v>
      </c>
      <c r="B170" t="s">
        <v>229</v>
      </c>
      <c r="C170" t="s">
        <v>244</v>
      </c>
      <c r="D170" t="s">
        <v>693</v>
      </c>
      <c r="E170" t="s">
        <v>693</v>
      </c>
      <c r="F170" t="s">
        <v>244</v>
      </c>
      <c r="G170" t="s">
        <v>571</v>
      </c>
    </row>
    <row r="171" spans="1:7" x14ac:dyDescent="0.25">
      <c r="A171">
        <v>2026</v>
      </c>
      <c r="B171" t="s">
        <v>118</v>
      </c>
      <c r="C171" t="s">
        <v>133</v>
      </c>
      <c r="D171" t="s">
        <v>693</v>
      </c>
      <c r="E171" t="s">
        <v>693</v>
      </c>
      <c r="F171" t="s">
        <v>133</v>
      </c>
      <c r="G171" t="s">
        <v>467</v>
      </c>
    </row>
    <row r="172" spans="1:7" x14ac:dyDescent="0.25">
      <c r="A172">
        <v>2026</v>
      </c>
      <c r="B172" t="s">
        <v>0</v>
      </c>
      <c r="C172" t="s">
        <v>9</v>
      </c>
      <c r="D172" t="s">
        <v>693</v>
      </c>
      <c r="E172" t="s">
        <v>693</v>
      </c>
      <c r="F172" t="s">
        <v>9</v>
      </c>
      <c r="G172" t="s">
        <v>356</v>
      </c>
    </row>
    <row r="173" spans="1:7" x14ac:dyDescent="0.25">
      <c r="A173">
        <v>2026</v>
      </c>
      <c r="B173" t="s">
        <v>229</v>
      </c>
      <c r="C173" t="s">
        <v>245</v>
      </c>
      <c r="D173" t="s">
        <v>693</v>
      </c>
      <c r="E173" t="s">
        <v>693</v>
      </c>
      <c r="F173" t="s">
        <v>245</v>
      </c>
      <c r="G173" t="s">
        <v>572</v>
      </c>
    </row>
    <row r="174" spans="1:7" x14ac:dyDescent="0.25">
      <c r="A174">
        <v>2026</v>
      </c>
      <c r="B174" t="s">
        <v>140</v>
      </c>
      <c r="C174" t="s">
        <v>159</v>
      </c>
      <c r="D174" t="s">
        <v>693</v>
      </c>
      <c r="E174" t="s">
        <v>693</v>
      </c>
      <c r="F174" t="s">
        <v>159</v>
      </c>
      <c r="G174" t="s">
        <v>490</v>
      </c>
    </row>
    <row r="175" spans="1:7" x14ac:dyDescent="0.25">
      <c r="A175">
        <v>2026</v>
      </c>
      <c r="B175" t="s">
        <v>60</v>
      </c>
      <c r="C175" t="s">
        <v>97</v>
      </c>
      <c r="D175" t="s">
        <v>693</v>
      </c>
      <c r="E175" t="s">
        <v>693</v>
      </c>
      <c r="F175" t="s">
        <v>97</v>
      </c>
      <c r="G175" t="s">
        <v>432</v>
      </c>
    </row>
    <row r="176" spans="1:7" x14ac:dyDescent="0.25">
      <c r="A176">
        <v>2026</v>
      </c>
      <c r="B176" t="s">
        <v>174</v>
      </c>
      <c r="C176" t="s">
        <v>203</v>
      </c>
      <c r="D176" t="s">
        <v>693</v>
      </c>
      <c r="E176" t="s">
        <v>693</v>
      </c>
      <c r="F176" t="s">
        <v>203</v>
      </c>
      <c r="G176" t="s">
        <v>533</v>
      </c>
    </row>
    <row r="177" spans="1:7" x14ac:dyDescent="0.25">
      <c r="A177">
        <v>2026</v>
      </c>
      <c r="B177" t="s">
        <v>60</v>
      </c>
      <c r="C177" t="s">
        <v>98</v>
      </c>
      <c r="D177" t="s">
        <v>693</v>
      </c>
      <c r="E177" t="s">
        <v>693</v>
      </c>
      <c r="F177" t="s">
        <v>98</v>
      </c>
      <c r="G177" t="s">
        <v>433</v>
      </c>
    </row>
    <row r="178" spans="1:7" x14ac:dyDescent="0.25">
      <c r="A178">
        <v>2026</v>
      </c>
      <c r="B178" t="s">
        <v>308</v>
      </c>
      <c r="C178" t="s">
        <v>322</v>
      </c>
      <c r="D178" t="s">
        <v>693</v>
      </c>
      <c r="E178" t="s">
        <v>693</v>
      </c>
      <c r="F178" t="s">
        <v>322</v>
      </c>
      <c r="G178" t="s">
        <v>646</v>
      </c>
    </row>
    <row r="179" spans="1:7" x14ac:dyDescent="0.25">
      <c r="A179">
        <v>2026</v>
      </c>
      <c r="B179" t="s">
        <v>174</v>
      </c>
      <c r="C179" t="s">
        <v>204</v>
      </c>
      <c r="D179" t="s">
        <v>693</v>
      </c>
      <c r="E179" t="s">
        <v>693</v>
      </c>
      <c r="F179" t="s">
        <v>204</v>
      </c>
      <c r="G179" t="s">
        <v>534</v>
      </c>
    </row>
    <row r="180" spans="1:7" x14ac:dyDescent="0.25">
      <c r="A180">
        <v>2026</v>
      </c>
      <c r="B180" t="s">
        <v>0</v>
      </c>
      <c r="C180" t="s">
        <v>10</v>
      </c>
      <c r="D180" t="s">
        <v>693</v>
      </c>
      <c r="E180" t="s">
        <v>693</v>
      </c>
      <c r="F180" t="s">
        <v>10</v>
      </c>
      <c r="G180" t="s">
        <v>357</v>
      </c>
    </row>
    <row r="181" spans="1:7" x14ac:dyDescent="0.25">
      <c r="A181">
        <v>2026</v>
      </c>
      <c r="B181" t="s">
        <v>140</v>
      </c>
      <c r="C181" t="s">
        <v>161</v>
      </c>
      <c r="D181" t="s">
        <v>693</v>
      </c>
      <c r="E181" t="s">
        <v>693</v>
      </c>
      <c r="F181" t="s">
        <v>161</v>
      </c>
      <c r="G181" t="s">
        <v>492</v>
      </c>
    </row>
    <row r="182" spans="1:7" x14ac:dyDescent="0.25">
      <c r="A182">
        <v>2026</v>
      </c>
      <c r="B182" t="s">
        <v>140</v>
      </c>
      <c r="C182" t="s">
        <v>160</v>
      </c>
      <c r="D182" t="s">
        <v>693</v>
      </c>
      <c r="E182" t="s">
        <v>693</v>
      </c>
      <c r="F182" t="s">
        <v>160</v>
      </c>
      <c r="G182" t="s">
        <v>491</v>
      </c>
    </row>
    <row r="183" spans="1:7" x14ac:dyDescent="0.25">
      <c r="A183">
        <v>2026</v>
      </c>
      <c r="B183" t="s">
        <v>263</v>
      </c>
      <c r="C183" t="s">
        <v>290</v>
      </c>
      <c r="D183" t="s">
        <v>693</v>
      </c>
      <c r="E183" t="s">
        <v>693</v>
      </c>
      <c r="F183" t="s">
        <v>290</v>
      </c>
      <c r="G183" t="s">
        <v>615</v>
      </c>
    </row>
    <row r="184" spans="1:7" x14ac:dyDescent="0.25">
      <c r="A184">
        <v>2026</v>
      </c>
      <c r="B184" t="s">
        <v>229</v>
      </c>
      <c r="C184" t="s">
        <v>246</v>
      </c>
      <c r="D184" t="s">
        <v>693</v>
      </c>
      <c r="E184" t="s">
        <v>693</v>
      </c>
      <c r="F184" t="s">
        <v>246</v>
      </c>
      <c r="G184" t="s">
        <v>573</v>
      </c>
    </row>
    <row r="185" spans="1:7" x14ac:dyDescent="0.25">
      <c r="A185">
        <v>2026</v>
      </c>
      <c r="B185" t="s">
        <v>60</v>
      </c>
      <c r="C185" t="s">
        <v>99</v>
      </c>
      <c r="D185" t="s">
        <v>693</v>
      </c>
      <c r="E185" t="s">
        <v>693</v>
      </c>
      <c r="F185" t="s">
        <v>99</v>
      </c>
      <c r="G185" t="s">
        <v>434</v>
      </c>
    </row>
    <row r="186" spans="1:7" x14ac:dyDescent="0.25">
      <c r="A186">
        <v>2026</v>
      </c>
      <c r="B186" t="s">
        <v>140</v>
      </c>
      <c r="C186" t="s">
        <v>162</v>
      </c>
      <c r="D186" t="s">
        <v>693</v>
      </c>
      <c r="E186" t="s">
        <v>693</v>
      </c>
      <c r="F186" t="s">
        <v>162</v>
      </c>
      <c r="G186" t="s">
        <v>493</v>
      </c>
    </row>
    <row r="187" spans="1:7" x14ac:dyDescent="0.25">
      <c r="A187">
        <v>2026</v>
      </c>
      <c r="B187" t="s">
        <v>308</v>
      </c>
      <c r="C187" t="s">
        <v>323</v>
      </c>
      <c r="D187" t="s">
        <v>693</v>
      </c>
      <c r="E187" t="s">
        <v>693</v>
      </c>
      <c r="F187" t="s">
        <v>323</v>
      </c>
      <c r="G187" t="s">
        <v>647</v>
      </c>
    </row>
    <row r="188" spans="1:7" x14ac:dyDescent="0.25">
      <c r="A188">
        <v>2026</v>
      </c>
      <c r="B188" t="s">
        <v>263</v>
      </c>
      <c r="C188" t="s">
        <v>291</v>
      </c>
      <c r="D188" t="s">
        <v>693</v>
      </c>
      <c r="E188" t="s">
        <v>693</v>
      </c>
      <c r="F188" t="s">
        <v>291</v>
      </c>
      <c r="G188" t="s">
        <v>616</v>
      </c>
    </row>
    <row r="189" spans="1:7" x14ac:dyDescent="0.25">
      <c r="A189">
        <v>2026</v>
      </c>
      <c r="B189" t="s">
        <v>308</v>
      </c>
      <c r="C189" t="s">
        <v>324</v>
      </c>
      <c r="D189" t="s">
        <v>693</v>
      </c>
      <c r="E189" t="s">
        <v>693</v>
      </c>
      <c r="F189" t="s">
        <v>324</v>
      </c>
      <c r="G189" t="s">
        <v>648</v>
      </c>
    </row>
    <row r="190" spans="1:7" x14ac:dyDescent="0.25">
      <c r="A190">
        <v>2026</v>
      </c>
      <c r="B190" t="s">
        <v>308</v>
      </c>
      <c r="C190" t="s">
        <v>325</v>
      </c>
      <c r="D190" t="s">
        <v>693</v>
      </c>
      <c r="E190" t="s">
        <v>693</v>
      </c>
      <c r="F190" t="s">
        <v>325</v>
      </c>
      <c r="G190" t="s">
        <v>649</v>
      </c>
    </row>
    <row r="191" spans="1:7" x14ac:dyDescent="0.25">
      <c r="A191">
        <v>2026</v>
      </c>
      <c r="B191" t="s">
        <v>263</v>
      </c>
      <c r="C191" t="s">
        <v>292</v>
      </c>
      <c r="D191" t="s">
        <v>693</v>
      </c>
      <c r="E191" t="s">
        <v>693</v>
      </c>
      <c r="F191" t="s">
        <v>292</v>
      </c>
      <c r="G191" t="s">
        <v>617</v>
      </c>
    </row>
    <row r="192" spans="1:7" x14ac:dyDescent="0.25">
      <c r="A192">
        <v>2026</v>
      </c>
      <c r="B192" t="s">
        <v>308</v>
      </c>
      <c r="C192" t="s">
        <v>326</v>
      </c>
      <c r="D192" t="s">
        <v>693</v>
      </c>
      <c r="E192" t="s">
        <v>693</v>
      </c>
      <c r="F192" t="s">
        <v>326</v>
      </c>
      <c r="G192" t="s">
        <v>650</v>
      </c>
    </row>
    <row r="193" spans="1:7" x14ac:dyDescent="0.25">
      <c r="A193">
        <v>2026</v>
      </c>
      <c r="B193" t="s">
        <v>140</v>
      </c>
      <c r="C193" t="s">
        <v>163</v>
      </c>
      <c r="D193" t="s">
        <v>693</v>
      </c>
      <c r="E193" t="s">
        <v>693</v>
      </c>
      <c r="F193" t="s">
        <v>163</v>
      </c>
      <c r="G193" t="s">
        <v>494</v>
      </c>
    </row>
    <row r="194" spans="1:7" x14ac:dyDescent="0.25">
      <c r="A194">
        <v>2026</v>
      </c>
      <c r="B194" t="s">
        <v>263</v>
      </c>
      <c r="C194" t="s">
        <v>293</v>
      </c>
      <c r="D194" t="s">
        <v>693</v>
      </c>
      <c r="E194" t="s">
        <v>693</v>
      </c>
      <c r="F194" t="s">
        <v>293</v>
      </c>
      <c r="G194" t="s">
        <v>618</v>
      </c>
    </row>
    <row r="195" spans="1:7" x14ac:dyDescent="0.25">
      <c r="A195">
        <v>2026</v>
      </c>
      <c r="B195" t="s">
        <v>118</v>
      </c>
      <c r="C195" t="s">
        <v>134</v>
      </c>
      <c r="D195" t="s">
        <v>693</v>
      </c>
      <c r="E195" t="s">
        <v>693</v>
      </c>
      <c r="F195" t="s">
        <v>134</v>
      </c>
      <c r="G195" t="s">
        <v>468</v>
      </c>
    </row>
    <row r="196" spans="1:7" x14ac:dyDescent="0.25">
      <c r="A196">
        <v>2026</v>
      </c>
      <c r="B196" t="s">
        <v>60</v>
      </c>
      <c r="C196" t="s">
        <v>100</v>
      </c>
      <c r="D196" t="s">
        <v>693</v>
      </c>
      <c r="E196" t="s">
        <v>693</v>
      </c>
      <c r="F196" t="s">
        <v>100</v>
      </c>
      <c r="G196" t="s">
        <v>435</v>
      </c>
    </row>
    <row r="197" spans="1:7" x14ac:dyDescent="0.25">
      <c r="A197">
        <v>2026</v>
      </c>
      <c r="B197" t="s">
        <v>174</v>
      </c>
      <c r="C197" t="s">
        <v>205</v>
      </c>
      <c r="D197" t="s">
        <v>693</v>
      </c>
      <c r="E197" t="s">
        <v>693</v>
      </c>
      <c r="F197" t="s">
        <v>205</v>
      </c>
      <c r="G197" t="s">
        <v>535</v>
      </c>
    </row>
    <row r="198" spans="1:7" x14ac:dyDescent="0.25">
      <c r="A198">
        <v>2026</v>
      </c>
      <c r="B198" t="s">
        <v>0</v>
      </c>
      <c r="C198" t="s">
        <v>11</v>
      </c>
      <c r="D198" t="s">
        <v>693</v>
      </c>
      <c r="E198" t="s">
        <v>693</v>
      </c>
      <c r="F198" t="s">
        <v>11</v>
      </c>
      <c r="G198" t="s">
        <v>358</v>
      </c>
    </row>
    <row r="199" spans="1:7" x14ac:dyDescent="0.25">
      <c r="A199">
        <v>2026</v>
      </c>
      <c r="B199" t="s">
        <v>308</v>
      </c>
      <c r="C199" t="s">
        <v>327</v>
      </c>
      <c r="D199" t="s">
        <v>693</v>
      </c>
      <c r="E199" t="s">
        <v>693</v>
      </c>
      <c r="F199" t="s">
        <v>327</v>
      </c>
      <c r="G199" t="s">
        <v>651</v>
      </c>
    </row>
    <row r="200" spans="1:7" x14ac:dyDescent="0.25">
      <c r="A200">
        <v>2026</v>
      </c>
      <c r="B200" t="s">
        <v>22</v>
      </c>
      <c r="C200" t="s">
        <v>40</v>
      </c>
      <c r="D200" t="s">
        <v>693</v>
      </c>
      <c r="E200" t="s">
        <v>693</v>
      </c>
      <c r="F200" t="s">
        <v>40</v>
      </c>
      <c r="G200" t="s">
        <v>386</v>
      </c>
    </row>
    <row r="201" spans="1:7" x14ac:dyDescent="0.25">
      <c r="A201">
        <v>2026</v>
      </c>
      <c r="B201" t="s">
        <v>174</v>
      </c>
      <c r="C201" t="s">
        <v>206</v>
      </c>
      <c r="D201" t="s">
        <v>693</v>
      </c>
      <c r="E201" t="s">
        <v>693</v>
      </c>
      <c r="F201" t="s">
        <v>206</v>
      </c>
      <c r="G201" t="s">
        <v>536</v>
      </c>
    </row>
    <row r="202" spans="1:7" x14ac:dyDescent="0.25">
      <c r="A202">
        <v>2026</v>
      </c>
      <c r="B202" t="s">
        <v>263</v>
      </c>
      <c r="C202" t="s">
        <v>294</v>
      </c>
      <c r="D202" t="s">
        <v>693</v>
      </c>
      <c r="E202" t="s">
        <v>693</v>
      </c>
      <c r="F202" t="s">
        <v>294</v>
      </c>
      <c r="G202" t="s">
        <v>619</v>
      </c>
    </row>
    <row r="203" spans="1:7" x14ac:dyDescent="0.25">
      <c r="A203">
        <v>2026</v>
      </c>
      <c r="B203" t="s">
        <v>60</v>
      </c>
      <c r="C203" t="s">
        <v>101</v>
      </c>
      <c r="D203" t="s">
        <v>693</v>
      </c>
      <c r="E203" t="s">
        <v>693</v>
      </c>
      <c r="F203" t="s">
        <v>101</v>
      </c>
      <c r="G203" t="s">
        <v>436</v>
      </c>
    </row>
    <row r="204" spans="1:7" x14ac:dyDescent="0.25">
      <c r="A204">
        <v>2026</v>
      </c>
      <c r="B204" t="s">
        <v>140</v>
      </c>
      <c r="C204" t="s">
        <v>164</v>
      </c>
      <c r="D204" t="s">
        <v>693</v>
      </c>
      <c r="E204" t="s">
        <v>693</v>
      </c>
      <c r="F204" t="s">
        <v>164</v>
      </c>
      <c r="G204" t="s">
        <v>495</v>
      </c>
    </row>
    <row r="205" spans="1:7" x14ac:dyDescent="0.25">
      <c r="A205">
        <v>2026</v>
      </c>
      <c r="B205" t="s">
        <v>0</v>
      </c>
      <c r="C205" t="s">
        <v>12</v>
      </c>
      <c r="D205" t="s">
        <v>693</v>
      </c>
      <c r="E205" t="s">
        <v>693</v>
      </c>
      <c r="F205" t="s">
        <v>12</v>
      </c>
      <c r="G205" t="s">
        <v>359</v>
      </c>
    </row>
    <row r="206" spans="1:7" x14ac:dyDescent="0.25">
      <c r="A206">
        <v>2026</v>
      </c>
      <c r="B206" t="s">
        <v>60</v>
      </c>
      <c r="C206" t="s">
        <v>102</v>
      </c>
      <c r="D206" t="s">
        <v>693</v>
      </c>
      <c r="E206" t="s">
        <v>693</v>
      </c>
      <c r="F206" t="s">
        <v>102</v>
      </c>
      <c r="G206" t="s">
        <v>437</v>
      </c>
    </row>
    <row r="207" spans="1:7" x14ac:dyDescent="0.25">
      <c r="A207">
        <v>2026</v>
      </c>
      <c r="B207" t="s">
        <v>22</v>
      </c>
      <c r="C207" t="s">
        <v>41</v>
      </c>
      <c r="D207" t="s">
        <v>693</v>
      </c>
      <c r="E207" t="s">
        <v>693</v>
      </c>
      <c r="F207" t="s">
        <v>41</v>
      </c>
      <c r="G207" t="s">
        <v>387</v>
      </c>
    </row>
    <row r="208" spans="1:7" x14ac:dyDescent="0.25">
      <c r="A208">
        <v>2026</v>
      </c>
      <c r="B208" t="s">
        <v>140</v>
      </c>
      <c r="C208" t="s">
        <v>165</v>
      </c>
      <c r="D208" t="s">
        <v>693</v>
      </c>
      <c r="E208" t="s">
        <v>693</v>
      </c>
      <c r="F208" t="s">
        <v>165</v>
      </c>
      <c r="G208" t="s">
        <v>496</v>
      </c>
    </row>
    <row r="209" spans="1:7" x14ac:dyDescent="0.25">
      <c r="A209">
        <v>2026</v>
      </c>
      <c r="B209" t="s">
        <v>308</v>
      </c>
      <c r="C209" t="s">
        <v>328</v>
      </c>
      <c r="D209" t="s">
        <v>693</v>
      </c>
      <c r="E209" t="s">
        <v>693</v>
      </c>
      <c r="F209" t="s">
        <v>328</v>
      </c>
      <c r="G209" t="s">
        <v>652</v>
      </c>
    </row>
    <row r="210" spans="1:7" x14ac:dyDescent="0.25">
      <c r="A210">
        <v>2026</v>
      </c>
      <c r="B210" t="s">
        <v>174</v>
      </c>
      <c r="C210" t="s">
        <v>207</v>
      </c>
      <c r="D210" t="s">
        <v>693</v>
      </c>
      <c r="E210" t="s">
        <v>693</v>
      </c>
      <c r="F210" t="s">
        <v>207</v>
      </c>
      <c r="G210" t="s">
        <v>537</v>
      </c>
    </row>
    <row r="211" spans="1:7" x14ac:dyDescent="0.25">
      <c r="A211">
        <v>2026</v>
      </c>
      <c r="B211" t="s">
        <v>118</v>
      </c>
      <c r="C211" t="s">
        <v>135</v>
      </c>
      <c r="D211" t="s">
        <v>693</v>
      </c>
      <c r="E211" t="s">
        <v>693</v>
      </c>
      <c r="F211" t="s">
        <v>135</v>
      </c>
      <c r="G211" t="s">
        <v>469</v>
      </c>
    </row>
    <row r="212" spans="1:7" x14ac:dyDescent="0.25">
      <c r="A212">
        <v>2026</v>
      </c>
      <c r="B212" t="s">
        <v>60</v>
      </c>
      <c r="C212" t="s">
        <v>103</v>
      </c>
      <c r="D212" t="s">
        <v>693</v>
      </c>
      <c r="E212" t="s">
        <v>693</v>
      </c>
      <c r="F212" t="s">
        <v>103</v>
      </c>
      <c r="G212" t="s">
        <v>438</v>
      </c>
    </row>
    <row r="213" spans="1:7" x14ac:dyDescent="0.25">
      <c r="A213">
        <v>2026</v>
      </c>
      <c r="B213" t="s">
        <v>22</v>
      </c>
      <c r="C213" t="s">
        <v>42</v>
      </c>
      <c r="D213" t="s">
        <v>693</v>
      </c>
      <c r="E213" t="s">
        <v>693</v>
      </c>
      <c r="F213" t="s">
        <v>42</v>
      </c>
      <c r="G213" t="s">
        <v>388</v>
      </c>
    </row>
    <row r="214" spans="1:7" x14ac:dyDescent="0.25">
      <c r="A214">
        <v>2026</v>
      </c>
      <c r="B214" t="s">
        <v>118</v>
      </c>
      <c r="C214" t="s">
        <v>136</v>
      </c>
      <c r="D214" t="s">
        <v>693</v>
      </c>
      <c r="E214" t="s">
        <v>693</v>
      </c>
      <c r="F214" t="s">
        <v>136</v>
      </c>
      <c r="G214" t="s">
        <v>470</v>
      </c>
    </row>
    <row r="215" spans="1:7" x14ac:dyDescent="0.25">
      <c r="A215">
        <v>2026</v>
      </c>
      <c r="B215" t="s">
        <v>60</v>
      </c>
      <c r="C215" t="s">
        <v>104</v>
      </c>
      <c r="D215" t="s">
        <v>693</v>
      </c>
      <c r="E215" t="s">
        <v>693</v>
      </c>
      <c r="F215" t="s">
        <v>104</v>
      </c>
      <c r="G215" t="s">
        <v>439</v>
      </c>
    </row>
    <row r="216" spans="1:7" x14ac:dyDescent="0.25">
      <c r="A216">
        <v>2026</v>
      </c>
      <c r="B216" t="s">
        <v>174</v>
      </c>
      <c r="C216" t="s">
        <v>208</v>
      </c>
      <c r="D216" t="s">
        <v>693</v>
      </c>
      <c r="E216" t="s">
        <v>693</v>
      </c>
      <c r="F216" t="s">
        <v>208</v>
      </c>
      <c r="G216" t="s">
        <v>538</v>
      </c>
    </row>
    <row r="217" spans="1:7" x14ac:dyDescent="0.25">
      <c r="A217">
        <v>2026</v>
      </c>
      <c r="B217" t="s">
        <v>229</v>
      </c>
      <c r="C217" t="s">
        <v>43</v>
      </c>
      <c r="D217" t="s">
        <v>693</v>
      </c>
      <c r="E217" t="s">
        <v>693</v>
      </c>
      <c r="F217" t="s">
        <v>43</v>
      </c>
      <c r="G217" t="s">
        <v>574</v>
      </c>
    </row>
    <row r="218" spans="1:7" x14ac:dyDescent="0.25">
      <c r="A218">
        <v>2026</v>
      </c>
      <c r="B218" t="s">
        <v>0</v>
      </c>
      <c r="C218" t="s">
        <v>13</v>
      </c>
      <c r="D218" t="s">
        <v>693</v>
      </c>
      <c r="E218" t="s">
        <v>693</v>
      </c>
      <c r="F218" t="s">
        <v>13</v>
      </c>
      <c r="G218" t="s">
        <v>360</v>
      </c>
    </row>
    <row r="219" spans="1:7" x14ac:dyDescent="0.25">
      <c r="A219">
        <v>2026</v>
      </c>
      <c r="B219" t="s">
        <v>174</v>
      </c>
      <c r="C219" t="s">
        <v>209</v>
      </c>
      <c r="D219" t="s">
        <v>693</v>
      </c>
      <c r="E219" t="s">
        <v>693</v>
      </c>
      <c r="F219" t="s">
        <v>209</v>
      </c>
      <c r="G219" t="s">
        <v>539</v>
      </c>
    </row>
    <row r="220" spans="1:7" x14ac:dyDescent="0.25">
      <c r="A220">
        <v>2026</v>
      </c>
      <c r="B220" t="s">
        <v>22</v>
      </c>
      <c r="C220" t="s">
        <v>44</v>
      </c>
      <c r="D220" t="s">
        <v>693</v>
      </c>
      <c r="E220" t="s">
        <v>693</v>
      </c>
      <c r="F220" t="s">
        <v>44</v>
      </c>
      <c r="G220" t="s">
        <v>389</v>
      </c>
    </row>
    <row r="221" spans="1:7" x14ac:dyDescent="0.25">
      <c r="A221">
        <v>2026</v>
      </c>
      <c r="B221" t="s">
        <v>140</v>
      </c>
      <c r="C221" t="s">
        <v>166</v>
      </c>
      <c r="D221" t="s">
        <v>693</v>
      </c>
      <c r="E221" t="s">
        <v>693</v>
      </c>
      <c r="F221" t="s">
        <v>166</v>
      </c>
      <c r="G221" t="s">
        <v>497</v>
      </c>
    </row>
    <row r="222" spans="1:7" x14ac:dyDescent="0.25">
      <c r="A222">
        <v>2026</v>
      </c>
      <c r="B222" t="s">
        <v>263</v>
      </c>
      <c r="C222" t="s">
        <v>295</v>
      </c>
      <c r="D222" t="s">
        <v>693</v>
      </c>
      <c r="E222" t="s">
        <v>693</v>
      </c>
      <c r="F222" t="s">
        <v>295</v>
      </c>
      <c r="G222" t="s">
        <v>620</v>
      </c>
    </row>
    <row r="223" spans="1:7" x14ac:dyDescent="0.25">
      <c r="A223">
        <v>2026</v>
      </c>
      <c r="B223" t="s">
        <v>60</v>
      </c>
      <c r="C223" t="s">
        <v>105</v>
      </c>
      <c r="D223" t="s">
        <v>693</v>
      </c>
      <c r="E223" t="s">
        <v>693</v>
      </c>
      <c r="F223" t="s">
        <v>105</v>
      </c>
      <c r="G223" t="s">
        <v>440</v>
      </c>
    </row>
    <row r="224" spans="1:7" x14ac:dyDescent="0.25">
      <c r="A224">
        <v>2026</v>
      </c>
      <c r="B224" t="s">
        <v>308</v>
      </c>
      <c r="C224" t="s">
        <v>329</v>
      </c>
      <c r="D224" t="s">
        <v>693</v>
      </c>
      <c r="E224" t="s">
        <v>693</v>
      </c>
      <c r="F224" t="s">
        <v>329</v>
      </c>
      <c r="G224" t="s">
        <v>653</v>
      </c>
    </row>
    <row r="225" spans="1:7" x14ac:dyDescent="0.25">
      <c r="A225">
        <v>2026</v>
      </c>
      <c r="B225" t="s">
        <v>308</v>
      </c>
      <c r="C225" t="s">
        <v>330</v>
      </c>
      <c r="D225" t="s">
        <v>693</v>
      </c>
      <c r="E225" t="s">
        <v>693</v>
      </c>
      <c r="F225" t="s">
        <v>330</v>
      </c>
      <c r="G225" t="s">
        <v>654</v>
      </c>
    </row>
    <row r="226" spans="1:7" x14ac:dyDescent="0.25">
      <c r="A226">
        <v>2026</v>
      </c>
      <c r="B226" t="s">
        <v>174</v>
      </c>
      <c r="C226" t="s">
        <v>210</v>
      </c>
      <c r="D226" t="s">
        <v>693</v>
      </c>
      <c r="E226" t="s">
        <v>693</v>
      </c>
      <c r="F226" t="s">
        <v>210</v>
      </c>
      <c r="G226" t="s">
        <v>540</v>
      </c>
    </row>
    <row r="227" spans="1:7" x14ac:dyDescent="0.25">
      <c r="A227">
        <v>2026</v>
      </c>
      <c r="B227" t="s">
        <v>22</v>
      </c>
      <c r="C227" t="s">
        <v>45</v>
      </c>
      <c r="D227" t="s">
        <v>693</v>
      </c>
      <c r="E227" t="s">
        <v>693</v>
      </c>
      <c r="F227" t="s">
        <v>45</v>
      </c>
      <c r="G227" t="s">
        <v>390</v>
      </c>
    </row>
    <row r="228" spans="1:7" x14ac:dyDescent="0.25">
      <c r="A228">
        <v>2026</v>
      </c>
      <c r="B228" t="s">
        <v>174</v>
      </c>
      <c r="C228" t="s">
        <v>211</v>
      </c>
      <c r="D228" t="s">
        <v>693</v>
      </c>
      <c r="E228" t="s">
        <v>693</v>
      </c>
      <c r="F228" t="s">
        <v>699</v>
      </c>
      <c r="G228" t="s">
        <v>212</v>
      </c>
    </row>
    <row r="229" spans="1:7" x14ac:dyDescent="0.25">
      <c r="A229">
        <v>2026</v>
      </c>
      <c r="B229" t="s">
        <v>308</v>
      </c>
      <c r="C229" t="s">
        <v>331</v>
      </c>
      <c r="D229" t="s">
        <v>693</v>
      </c>
      <c r="E229" t="s">
        <v>693</v>
      </c>
      <c r="F229" t="s">
        <v>331</v>
      </c>
      <c r="G229" t="s">
        <v>655</v>
      </c>
    </row>
    <row r="230" spans="1:7" x14ac:dyDescent="0.25">
      <c r="A230">
        <v>2026</v>
      </c>
      <c r="B230" t="s">
        <v>174</v>
      </c>
      <c r="C230" t="s">
        <v>213</v>
      </c>
      <c r="D230" t="s">
        <v>693</v>
      </c>
      <c r="E230" t="s">
        <v>693</v>
      </c>
      <c r="F230" t="s">
        <v>213</v>
      </c>
      <c r="G230" t="s">
        <v>541</v>
      </c>
    </row>
    <row r="231" spans="1:7" x14ac:dyDescent="0.25">
      <c r="A231">
        <v>2026</v>
      </c>
      <c r="B231" t="s">
        <v>174</v>
      </c>
      <c r="C231" t="s">
        <v>214</v>
      </c>
      <c r="D231" t="s">
        <v>693</v>
      </c>
      <c r="E231" t="s">
        <v>693</v>
      </c>
      <c r="F231" t="s">
        <v>214</v>
      </c>
      <c r="G231" t="s">
        <v>542</v>
      </c>
    </row>
    <row r="232" spans="1:7" x14ac:dyDescent="0.25">
      <c r="A232">
        <v>2026</v>
      </c>
      <c r="B232" t="s">
        <v>118</v>
      </c>
      <c r="C232" t="s">
        <v>137</v>
      </c>
      <c r="D232" t="s">
        <v>693</v>
      </c>
      <c r="E232" t="s">
        <v>693</v>
      </c>
      <c r="F232" t="s">
        <v>137</v>
      </c>
      <c r="G232" t="s">
        <v>471</v>
      </c>
    </row>
    <row r="233" spans="1:7" x14ac:dyDescent="0.25">
      <c r="A233">
        <v>2026</v>
      </c>
      <c r="B233" t="s">
        <v>174</v>
      </c>
      <c r="C233" t="s">
        <v>215</v>
      </c>
      <c r="D233" t="s">
        <v>693</v>
      </c>
      <c r="E233" t="s">
        <v>693</v>
      </c>
      <c r="F233" t="s">
        <v>215</v>
      </c>
      <c r="G233" t="s">
        <v>543</v>
      </c>
    </row>
    <row r="234" spans="1:7" x14ac:dyDescent="0.25">
      <c r="A234">
        <v>2026</v>
      </c>
      <c r="B234" t="s">
        <v>22</v>
      </c>
      <c r="C234" t="s">
        <v>46</v>
      </c>
      <c r="D234" t="s">
        <v>693</v>
      </c>
      <c r="E234" t="s">
        <v>693</v>
      </c>
      <c r="F234" t="s">
        <v>46</v>
      </c>
      <c r="G234" t="s">
        <v>391</v>
      </c>
    </row>
    <row r="235" spans="1:7" x14ac:dyDescent="0.25">
      <c r="A235">
        <v>2026</v>
      </c>
      <c r="B235" t="s">
        <v>0</v>
      </c>
      <c r="C235" t="s">
        <v>14</v>
      </c>
      <c r="D235" t="s">
        <v>693</v>
      </c>
      <c r="E235" t="s">
        <v>693</v>
      </c>
      <c r="F235" t="s">
        <v>14</v>
      </c>
      <c r="G235" t="s">
        <v>361</v>
      </c>
    </row>
    <row r="236" spans="1:7" x14ac:dyDescent="0.25">
      <c r="A236">
        <v>2026</v>
      </c>
      <c r="B236" t="s">
        <v>263</v>
      </c>
      <c r="C236" t="s">
        <v>296</v>
      </c>
      <c r="D236" t="s">
        <v>693</v>
      </c>
      <c r="E236" t="s">
        <v>693</v>
      </c>
      <c r="F236" t="s">
        <v>296</v>
      </c>
      <c r="G236" t="s">
        <v>621</v>
      </c>
    </row>
    <row r="237" spans="1:7" x14ac:dyDescent="0.25">
      <c r="A237">
        <v>2026</v>
      </c>
      <c r="B237" t="s">
        <v>229</v>
      </c>
      <c r="C237" t="s">
        <v>247</v>
      </c>
      <c r="D237" t="s">
        <v>693</v>
      </c>
      <c r="E237" t="s">
        <v>693</v>
      </c>
      <c r="F237" t="s">
        <v>247</v>
      </c>
      <c r="G237" t="s">
        <v>575</v>
      </c>
    </row>
    <row r="238" spans="1:7" x14ac:dyDescent="0.25">
      <c r="A238">
        <v>2026</v>
      </c>
      <c r="B238" t="s">
        <v>0</v>
      </c>
      <c r="C238" t="s">
        <v>15</v>
      </c>
      <c r="D238" t="s">
        <v>693</v>
      </c>
      <c r="E238" t="s">
        <v>693</v>
      </c>
      <c r="F238" t="s">
        <v>15</v>
      </c>
      <c r="G238" t="s">
        <v>362</v>
      </c>
    </row>
    <row r="239" spans="1:7" x14ac:dyDescent="0.25">
      <c r="A239">
        <v>2026</v>
      </c>
      <c r="B239" t="s">
        <v>229</v>
      </c>
      <c r="C239" t="s">
        <v>248</v>
      </c>
      <c r="D239" t="s">
        <v>693</v>
      </c>
      <c r="E239" t="s">
        <v>693</v>
      </c>
      <c r="F239" t="s">
        <v>248</v>
      </c>
      <c r="G239" t="s">
        <v>576</v>
      </c>
    </row>
    <row r="240" spans="1:7" x14ac:dyDescent="0.25">
      <c r="A240">
        <v>2026</v>
      </c>
      <c r="B240" t="s">
        <v>263</v>
      </c>
      <c r="C240" t="s">
        <v>297</v>
      </c>
      <c r="D240" t="s">
        <v>693</v>
      </c>
      <c r="E240" t="s">
        <v>693</v>
      </c>
      <c r="F240" t="s">
        <v>700</v>
      </c>
      <c r="G240" t="s">
        <v>622</v>
      </c>
    </row>
    <row r="241" spans="1:7" x14ac:dyDescent="0.25">
      <c r="A241">
        <v>2026</v>
      </c>
      <c r="B241" t="s">
        <v>229</v>
      </c>
      <c r="C241" t="s">
        <v>249</v>
      </c>
      <c r="D241" t="s">
        <v>693</v>
      </c>
      <c r="E241" t="s">
        <v>693</v>
      </c>
      <c r="F241" t="s">
        <v>249</v>
      </c>
      <c r="G241" t="s">
        <v>577</v>
      </c>
    </row>
    <row r="242" spans="1:7" x14ac:dyDescent="0.25">
      <c r="A242">
        <v>2026</v>
      </c>
      <c r="B242" t="s">
        <v>174</v>
      </c>
      <c r="C242" t="s">
        <v>216</v>
      </c>
      <c r="D242" t="s">
        <v>693</v>
      </c>
      <c r="E242" t="s">
        <v>693</v>
      </c>
      <c r="F242" t="s">
        <v>216</v>
      </c>
      <c r="G242" t="s">
        <v>544</v>
      </c>
    </row>
    <row r="243" spans="1:7" x14ac:dyDescent="0.25">
      <c r="A243">
        <v>2026</v>
      </c>
      <c r="B243" t="s">
        <v>60</v>
      </c>
      <c r="C243" t="s">
        <v>106</v>
      </c>
      <c r="D243" t="s">
        <v>693</v>
      </c>
      <c r="E243" t="s">
        <v>693</v>
      </c>
      <c r="F243" t="s">
        <v>106</v>
      </c>
      <c r="G243" t="s">
        <v>441</v>
      </c>
    </row>
    <row r="244" spans="1:7" x14ac:dyDescent="0.25">
      <c r="A244">
        <v>2026</v>
      </c>
      <c r="B244" t="s">
        <v>22</v>
      </c>
      <c r="C244" t="s">
        <v>47</v>
      </c>
      <c r="D244" t="s">
        <v>693</v>
      </c>
      <c r="E244" t="s">
        <v>693</v>
      </c>
      <c r="F244" t="s">
        <v>47</v>
      </c>
      <c r="G244" t="s">
        <v>392</v>
      </c>
    </row>
    <row r="245" spans="1:7" x14ac:dyDescent="0.25">
      <c r="A245">
        <v>2026</v>
      </c>
      <c r="B245" t="s">
        <v>174</v>
      </c>
      <c r="C245" t="s">
        <v>217</v>
      </c>
      <c r="D245" t="s">
        <v>693</v>
      </c>
      <c r="E245" t="s">
        <v>693</v>
      </c>
      <c r="F245" t="s">
        <v>217</v>
      </c>
      <c r="G245" t="s">
        <v>545</v>
      </c>
    </row>
    <row r="246" spans="1:7" x14ac:dyDescent="0.25">
      <c r="A246">
        <v>2026</v>
      </c>
      <c r="B246" t="s">
        <v>22</v>
      </c>
      <c r="C246" t="s">
        <v>48</v>
      </c>
      <c r="D246" t="s">
        <v>693</v>
      </c>
      <c r="E246" t="s">
        <v>693</v>
      </c>
      <c r="F246" t="s">
        <v>48</v>
      </c>
      <c r="G246" t="s">
        <v>393</v>
      </c>
    </row>
    <row r="247" spans="1:7" x14ac:dyDescent="0.25">
      <c r="A247">
        <v>2026</v>
      </c>
      <c r="B247" t="s">
        <v>229</v>
      </c>
      <c r="C247" t="s">
        <v>250</v>
      </c>
      <c r="D247" t="s">
        <v>693</v>
      </c>
      <c r="E247" t="s">
        <v>693</v>
      </c>
      <c r="F247" t="s">
        <v>250</v>
      </c>
      <c r="G247" t="s">
        <v>578</v>
      </c>
    </row>
    <row r="248" spans="1:7" x14ac:dyDescent="0.25">
      <c r="A248">
        <v>2026</v>
      </c>
      <c r="B248" t="s">
        <v>229</v>
      </c>
      <c r="C248" t="s">
        <v>251</v>
      </c>
      <c r="D248" t="s">
        <v>693</v>
      </c>
      <c r="E248" t="s">
        <v>693</v>
      </c>
      <c r="F248" t="s">
        <v>251</v>
      </c>
      <c r="G248" t="s">
        <v>579</v>
      </c>
    </row>
    <row r="249" spans="1:7" x14ac:dyDescent="0.25">
      <c r="A249">
        <v>2026</v>
      </c>
      <c r="B249" t="s">
        <v>308</v>
      </c>
      <c r="C249" t="s">
        <v>332</v>
      </c>
      <c r="D249" t="s">
        <v>693</v>
      </c>
      <c r="E249" t="s">
        <v>693</v>
      </c>
      <c r="F249" t="s">
        <v>332</v>
      </c>
      <c r="G249" t="s">
        <v>656</v>
      </c>
    </row>
    <row r="250" spans="1:7" x14ac:dyDescent="0.25">
      <c r="A250">
        <v>2026</v>
      </c>
      <c r="B250" t="s">
        <v>229</v>
      </c>
      <c r="C250" t="s">
        <v>252</v>
      </c>
      <c r="D250" t="s">
        <v>693</v>
      </c>
      <c r="E250" t="s">
        <v>693</v>
      </c>
      <c r="F250" t="s">
        <v>252</v>
      </c>
      <c r="G250" t="s">
        <v>580</v>
      </c>
    </row>
    <row r="251" spans="1:7" x14ac:dyDescent="0.25">
      <c r="A251">
        <v>2026</v>
      </c>
      <c r="B251" t="s">
        <v>263</v>
      </c>
      <c r="C251" t="s">
        <v>298</v>
      </c>
      <c r="D251" t="s">
        <v>693</v>
      </c>
      <c r="E251" t="s">
        <v>693</v>
      </c>
      <c r="F251" t="s">
        <v>298</v>
      </c>
      <c r="G251" t="s">
        <v>623</v>
      </c>
    </row>
    <row r="252" spans="1:7" x14ac:dyDescent="0.25">
      <c r="A252">
        <v>2026</v>
      </c>
      <c r="B252" t="s">
        <v>229</v>
      </c>
      <c r="C252" t="s">
        <v>253</v>
      </c>
      <c r="D252" t="s">
        <v>693</v>
      </c>
      <c r="E252" t="s">
        <v>693</v>
      </c>
      <c r="F252" t="s">
        <v>253</v>
      </c>
      <c r="G252" t="s">
        <v>581</v>
      </c>
    </row>
    <row r="253" spans="1:7" x14ac:dyDescent="0.25">
      <c r="A253">
        <v>2026</v>
      </c>
      <c r="B253" t="s">
        <v>263</v>
      </c>
      <c r="C253" t="s">
        <v>299</v>
      </c>
      <c r="D253" t="s">
        <v>693</v>
      </c>
      <c r="E253" t="s">
        <v>693</v>
      </c>
      <c r="F253" t="s">
        <v>299</v>
      </c>
      <c r="G253" t="s">
        <v>624</v>
      </c>
    </row>
    <row r="254" spans="1:7" x14ac:dyDescent="0.25">
      <c r="A254">
        <v>2026</v>
      </c>
      <c r="B254" t="s">
        <v>308</v>
      </c>
      <c r="C254" t="s">
        <v>333</v>
      </c>
      <c r="D254" t="s">
        <v>693</v>
      </c>
      <c r="E254" t="s">
        <v>693</v>
      </c>
      <c r="F254" t="s">
        <v>333</v>
      </c>
      <c r="G254" t="s">
        <v>657</v>
      </c>
    </row>
    <row r="255" spans="1:7" x14ac:dyDescent="0.25">
      <c r="A255">
        <v>2026</v>
      </c>
      <c r="B255" t="s">
        <v>229</v>
      </c>
      <c r="C255" t="s">
        <v>254</v>
      </c>
      <c r="D255" t="s">
        <v>693</v>
      </c>
      <c r="E255" t="s">
        <v>693</v>
      </c>
      <c r="F255" t="s">
        <v>254</v>
      </c>
      <c r="G255" t="s">
        <v>582</v>
      </c>
    </row>
    <row r="256" spans="1:7" x14ac:dyDescent="0.25">
      <c r="A256">
        <v>2026</v>
      </c>
      <c r="B256" t="s">
        <v>22</v>
      </c>
      <c r="C256" t="s">
        <v>49</v>
      </c>
      <c r="D256" t="s">
        <v>693</v>
      </c>
      <c r="E256" t="s">
        <v>693</v>
      </c>
      <c r="F256" t="s">
        <v>701</v>
      </c>
      <c r="G256" t="s">
        <v>394</v>
      </c>
    </row>
    <row r="257" spans="1:7" x14ac:dyDescent="0.25">
      <c r="A257">
        <v>2026</v>
      </c>
      <c r="B257" t="s">
        <v>229</v>
      </c>
      <c r="C257" t="s">
        <v>255</v>
      </c>
      <c r="D257" t="s">
        <v>693</v>
      </c>
      <c r="E257" t="s">
        <v>693</v>
      </c>
      <c r="F257" t="s">
        <v>255</v>
      </c>
      <c r="G257" t="s">
        <v>583</v>
      </c>
    </row>
    <row r="258" spans="1:7" x14ac:dyDescent="0.25">
      <c r="A258">
        <v>2026</v>
      </c>
      <c r="B258" t="s">
        <v>140</v>
      </c>
      <c r="C258" t="s">
        <v>167</v>
      </c>
      <c r="D258" t="s">
        <v>693</v>
      </c>
      <c r="E258" t="s">
        <v>693</v>
      </c>
      <c r="F258" t="s">
        <v>167</v>
      </c>
      <c r="G258" t="s">
        <v>498</v>
      </c>
    </row>
    <row r="259" spans="1:7" x14ac:dyDescent="0.25">
      <c r="A259">
        <v>2026</v>
      </c>
      <c r="B259" t="s">
        <v>22</v>
      </c>
      <c r="C259" t="s">
        <v>50</v>
      </c>
      <c r="D259" t="s">
        <v>693</v>
      </c>
      <c r="E259" t="s">
        <v>693</v>
      </c>
      <c r="F259" t="s">
        <v>50</v>
      </c>
      <c r="G259" t="s">
        <v>395</v>
      </c>
    </row>
    <row r="260" spans="1:7" x14ac:dyDescent="0.25">
      <c r="A260">
        <v>2026</v>
      </c>
      <c r="B260" t="s">
        <v>22</v>
      </c>
      <c r="C260" t="s">
        <v>51</v>
      </c>
      <c r="D260" t="s">
        <v>693</v>
      </c>
      <c r="E260" t="s">
        <v>693</v>
      </c>
      <c r="F260" t="s">
        <v>51</v>
      </c>
      <c r="G260" t="s">
        <v>396</v>
      </c>
    </row>
    <row r="261" spans="1:7" x14ac:dyDescent="0.25">
      <c r="A261">
        <v>2026</v>
      </c>
      <c r="B261" t="s">
        <v>229</v>
      </c>
      <c r="C261" t="s">
        <v>256</v>
      </c>
      <c r="D261" t="s">
        <v>693</v>
      </c>
      <c r="E261" t="s">
        <v>693</v>
      </c>
      <c r="F261" t="s">
        <v>702</v>
      </c>
      <c r="G261" t="s">
        <v>584</v>
      </c>
    </row>
    <row r="262" spans="1:7" x14ac:dyDescent="0.25">
      <c r="A262">
        <v>2026</v>
      </c>
      <c r="B262" t="s">
        <v>263</v>
      </c>
      <c r="C262" t="s">
        <v>300</v>
      </c>
      <c r="D262" t="s">
        <v>693</v>
      </c>
      <c r="E262" t="s">
        <v>693</v>
      </c>
      <c r="F262" t="s">
        <v>300</v>
      </c>
      <c r="G262" t="s">
        <v>625</v>
      </c>
    </row>
    <row r="263" spans="1:7" x14ac:dyDescent="0.25">
      <c r="A263">
        <v>2026</v>
      </c>
      <c r="B263" t="s">
        <v>60</v>
      </c>
      <c r="C263" t="s">
        <v>107</v>
      </c>
      <c r="D263" t="s">
        <v>693</v>
      </c>
      <c r="E263" t="s">
        <v>693</v>
      </c>
      <c r="F263" t="s">
        <v>107</v>
      </c>
      <c r="G263" t="s">
        <v>442</v>
      </c>
    </row>
    <row r="264" spans="1:7" x14ac:dyDescent="0.25">
      <c r="A264">
        <v>2026</v>
      </c>
      <c r="B264" t="s">
        <v>0</v>
      </c>
      <c r="C264" t="s">
        <v>16</v>
      </c>
      <c r="D264" t="s">
        <v>693</v>
      </c>
      <c r="E264" t="s">
        <v>693</v>
      </c>
      <c r="F264" t="s">
        <v>16</v>
      </c>
      <c r="G264" t="s">
        <v>363</v>
      </c>
    </row>
    <row r="265" spans="1:7" x14ac:dyDescent="0.25">
      <c r="A265">
        <v>2026</v>
      </c>
      <c r="B265" t="s">
        <v>174</v>
      </c>
      <c r="C265" t="s">
        <v>218</v>
      </c>
      <c r="D265" t="s">
        <v>693</v>
      </c>
      <c r="E265" t="s">
        <v>693</v>
      </c>
      <c r="F265" t="s">
        <v>218</v>
      </c>
      <c r="G265" t="s">
        <v>546</v>
      </c>
    </row>
    <row r="266" spans="1:7" x14ac:dyDescent="0.25">
      <c r="A266">
        <v>2026</v>
      </c>
      <c r="B266" t="s">
        <v>174</v>
      </c>
      <c r="C266" t="s">
        <v>219</v>
      </c>
      <c r="D266" t="s">
        <v>693</v>
      </c>
      <c r="E266" t="s">
        <v>693</v>
      </c>
      <c r="F266" t="s">
        <v>219</v>
      </c>
      <c r="G266" t="s">
        <v>547</v>
      </c>
    </row>
    <row r="267" spans="1:7" x14ac:dyDescent="0.25">
      <c r="A267">
        <v>2026</v>
      </c>
      <c r="B267" t="s">
        <v>22</v>
      </c>
      <c r="C267" t="s">
        <v>52</v>
      </c>
      <c r="D267" t="s">
        <v>703</v>
      </c>
      <c r="E267" t="s">
        <v>693</v>
      </c>
      <c r="F267" t="s">
        <v>52</v>
      </c>
      <c r="G267" t="s">
        <v>675</v>
      </c>
    </row>
    <row r="268" spans="1:7" x14ac:dyDescent="0.25">
      <c r="A268">
        <v>2026</v>
      </c>
      <c r="B268" t="s">
        <v>22</v>
      </c>
      <c r="C268" t="s">
        <v>53</v>
      </c>
      <c r="D268" t="s">
        <v>693</v>
      </c>
      <c r="E268" t="s">
        <v>693</v>
      </c>
      <c r="F268" t="s">
        <v>53</v>
      </c>
      <c r="G268" t="s">
        <v>397</v>
      </c>
    </row>
    <row r="269" spans="1:7" x14ac:dyDescent="0.25">
      <c r="A269">
        <v>2026</v>
      </c>
      <c r="B269" t="s">
        <v>22</v>
      </c>
      <c r="C269" t="s">
        <v>54</v>
      </c>
      <c r="D269" t="s">
        <v>693</v>
      </c>
      <c r="E269" t="s">
        <v>693</v>
      </c>
      <c r="F269" t="s">
        <v>54</v>
      </c>
      <c r="G269" t="s">
        <v>398</v>
      </c>
    </row>
    <row r="270" spans="1:7" x14ac:dyDescent="0.25">
      <c r="A270">
        <v>2026</v>
      </c>
      <c r="B270" t="s">
        <v>140</v>
      </c>
      <c r="C270" t="s">
        <v>168</v>
      </c>
      <c r="D270" t="s">
        <v>693</v>
      </c>
      <c r="E270" t="s">
        <v>693</v>
      </c>
      <c r="F270" t="s">
        <v>168</v>
      </c>
      <c r="G270" t="s">
        <v>499</v>
      </c>
    </row>
    <row r="271" spans="1:7" x14ac:dyDescent="0.25">
      <c r="A271">
        <v>2026</v>
      </c>
      <c r="B271" t="s">
        <v>60</v>
      </c>
      <c r="C271" t="s">
        <v>108</v>
      </c>
      <c r="D271" t="s">
        <v>693</v>
      </c>
      <c r="E271" t="s">
        <v>693</v>
      </c>
      <c r="F271" t="s">
        <v>108</v>
      </c>
      <c r="G271" t="s">
        <v>443</v>
      </c>
    </row>
    <row r="272" spans="1:7" x14ac:dyDescent="0.25">
      <c r="A272">
        <v>2026</v>
      </c>
      <c r="B272" t="s">
        <v>263</v>
      </c>
      <c r="C272" t="s">
        <v>301</v>
      </c>
      <c r="D272" t="s">
        <v>693</v>
      </c>
      <c r="E272" t="s">
        <v>693</v>
      </c>
      <c r="F272" t="s">
        <v>301</v>
      </c>
      <c r="G272" t="s">
        <v>626</v>
      </c>
    </row>
    <row r="273" spans="1:7" x14ac:dyDescent="0.25">
      <c r="A273">
        <v>2026</v>
      </c>
      <c r="B273" t="s">
        <v>0</v>
      </c>
      <c r="C273" t="s">
        <v>17</v>
      </c>
      <c r="D273" t="s">
        <v>693</v>
      </c>
      <c r="E273" t="s">
        <v>693</v>
      </c>
      <c r="F273" t="s">
        <v>17</v>
      </c>
      <c r="G273" t="s">
        <v>364</v>
      </c>
    </row>
    <row r="274" spans="1:7" x14ac:dyDescent="0.25">
      <c r="A274">
        <v>2026</v>
      </c>
      <c r="B274" t="s">
        <v>22</v>
      </c>
      <c r="C274" t="s">
        <v>55</v>
      </c>
      <c r="D274" t="s">
        <v>693</v>
      </c>
      <c r="E274" t="s">
        <v>693</v>
      </c>
      <c r="F274" t="s">
        <v>55</v>
      </c>
      <c r="G274" t="s">
        <v>399</v>
      </c>
    </row>
    <row r="275" spans="1:7" x14ac:dyDescent="0.25">
      <c r="A275">
        <v>2026</v>
      </c>
      <c r="B275" t="s">
        <v>22</v>
      </c>
      <c r="C275" t="s">
        <v>56</v>
      </c>
      <c r="D275" t="s">
        <v>693</v>
      </c>
      <c r="E275" t="s">
        <v>693</v>
      </c>
      <c r="F275" t="s">
        <v>56</v>
      </c>
      <c r="G275" t="s">
        <v>400</v>
      </c>
    </row>
    <row r="276" spans="1:7" x14ac:dyDescent="0.25">
      <c r="A276">
        <v>2026</v>
      </c>
      <c r="B276" t="s">
        <v>60</v>
      </c>
      <c r="C276" t="s">
        <v>109</v>
      </c>
      <c r="D276" t="s">
        <v>693</v>
      </c>
      <c r="E276" t="s">
        <v>693</v>
      </c>
      <c r="F276" t="s">
        <v>109</v>
      </c>
      <c r="G276" t="s">
        <v>444</v>
      </c>
    </row>
    <row r="277" spans="1:7" x14ac:dyDescent="0.25">
      <c r="A277">
        <v>2026</v>
      </c>
      <c r="B277" t="s">
        <v>140</v>
      </c>
      <c r="C277" t="s">
        <v>169</v>
      </c>
      <c r="D277" t="s">
        <v>693</v>
      </c>
      <c r="E277" t="s">
        <v>693</v>
      </c>
      <c r="F277" t="s">
        <v>169</v>
      </c>
      <c r="G277" t="s">
        <v>500</v>
      </c>
    </row>
    <row r="278" spans="1:7" x14ac:dyDescent="0.25">
      <c r="A278">
        <v>2026</v>
      </c>
      <c r="B278" t="s">
        <v>263</v>
      </c>
      <c r="C278" t="s">
        <v>302</v>
      </c>
      <c r="D278" t="s">
        <v>693</v>
      </c>
      <c r="E278" t="s">
        <v>693</v>
      </c>
      <c r="F278" t="s">
        <v>302</v>
      </c>
      <c r="G278" t="s">
        <v>627</v>
      </c>
    </row>
    <row r="279" spans="1:7" x14ac:dyDescent="0.25">
      <c r="A279">
        <v>2026</v>
      </c>
      <c r="B279" t="s">
        <v>263</v>
      </c>
      <c r="C279" t="s">
        <v>303</v>
      </c>
      <c r="D279" t="s">
        <v>693</v>
      </c>
      <c r="E279" t="s">
        <v>693</v>
      </c>
      <c r="F279" t="s">
        <v>303</v>
      </c>
      <c r="G279" t="s">
        <v>628</v>
      </c>
    </row>
    <row r="280" spans="1:7" x14ac:dyDescent="0.25">
      <c r="A280">
        <v>2026</v>
      </c>
      <c r="B280" t="s">
        <v>308</v>
      </c>
      <c r="C280" t="s">
        <v>334</v>
      </c>
      <c r="D280" t="s">
        <v>693</v>
      </c>
      <c r="E280" t="s">
        <v>693</v>
      </c>
      <c r="F280" t="s">
        <v>334</v>
      </c>
      <c r="G280" t="s">
        <v>658</v>
      </c>
    </row>
    <row r="281" spans="1:7" x14ac:dyDescent="0.25">
      <c r="A281">
        <v>2026</v>
      </c>
      <c r="B281" t="s">
        <v>60</v>
      </c>
      <c r="C281" t="s">
        <v>110</v>
      </c>
      <c r="D281" t="s">
        <v>693</v>
      </c>
      <c r="E281" t="s">
        <v>693</v>
      </c>
      <c r="F281" t="s">
        <v>110</v>
      </c>
      <c r="G281" t="s">
        <v>445</v>
      </c>
    </row>
    <row r="282" spans="1:7" x14ac:dyDescent="0.25">
      <c r="A282">
        <v>2026</v>
      </c>
      <c r="B282" t="s">
        <v>0</v>
      </c>
      <c r="C282" t="s">
        <v>18</v>
      </c>
      <c r="D282" t="s">
        <v>693</v>
      </c>
      <c r="E282" t="s">
        <v>693</v>
      </c>
      <c r="F282" t="s">
        <v>18</v>
      </c>
      <c r="G282" t="s">
        <v>365</v>
      </c>
    </row>
    <row r="283" spans="1:7" x14ac:dyDescent="0.25">
      <c r="A283">
        <v>2026</v>
      </c>
      <c r="B283" t="s">
        <v>174</v>
      </c>
      <c r="C283" t="s">
        <v>220</v>
      </c>
      <c r="D283" t="s">
        <v>693</v>
      </c>
      <c r="E283" t="s">
        <v>693</v>
      </c>
      <c r="F283" t="s">
        <v>220</v>
      </c>
      <c r="G283" t="s">
        <v>548</v>
      </c>
    </row>
    <row r="284" spans="1:7" x14ac:dyDescent="0.25">
      <c r="A284">
        <v>2026</v>
      </c>
      <c r="B284" t="s">
        <v>22</v>
      </c>
      <c r="C284" t="s">
        <v>57</v>
      </c>
      <c r="D284" t="s">
        <v>693</v>
      </c>
      <c r="E284" t="s">
        <v>693</v>
      </c>
      <c r="F284" t="s">
        <v>57</v>
      </c>
      <c r="G284" t="s">
        <v>401</v>
      </c>
    </row>
    <row r="285" spans="1:7" x14ac:dyDescent="0.25">
      <c r="A285">
        <v>2026</v>
      </c>
      <c r="B285" t="s">
        <v>263</v>
      </c>
      <c r="C285" t="s">
        <v>304</v>
      </c>
      <c r="D285" t="s">
        <v>693</v>
      </c>
      <c r="E285" t="s">
        <v>693</v>
      </c>
      <c r="F285" t="s">
        <v>304</v>
      </c>
      <c r="G285" t="s">
        <v>629</v>
      </c>
    </row>
    <row r="286" spans="1:7" x14ac:dyDescent="0.25">
      <c r="A286">
        <v>2026</v>
      </c>
      <c r="B286" t="s">
        <v>60</v>
      </c>
      <c r="C286" t="s">
        <v>111</v>
      </c>
      <c r="D286" t="s">
        <v>693</v>
      </c>
      <c r="E286" t="s">
        <v>693</v>
      </c>
      <c r="F286" t="s">
        <v>704</v>
      </c>
      <c r="G286" t="s">
        <v>446</v>
      </c>
    </row>
    <row r="287" spans="1:7" x14ac:dyDescent="0.25">
      <c r="A287">
        <v>2026</v>
      </c>
      <c r="B287" t="s">
        <v>174</v>
      </c>
      <c r="C287" t="s">
        <v>221</v>
      </c>
      <c r="D287" t="s">
        <v>693</v>
      </c>
      <c r="E287" t="s">
        <v>693</v>
      </c>
      <c r="F287" t="s">
        <v>221</v>
      </c>
      <c r="G287" t="s">
        <v>549</v>
      </c>
    </row>
    <row r="288" spans="1:7" x14ac:dyDescent="0.25">
      <c r="A288">
        <v>2026</v>
      </c>
      <c r="B288" t="s">
        <v>174</v>
      </c>
      <c r="C288" t="s">
        <v>222</v>
      </c>
      <c r="D288" t="s">
        <v>693</v>
      </c>
      <c r="E288" t="s">
        <v>693</v>
      </c>
      <c r="F288" t="s">
        <v>222</v>
      </c>
      <c r="G288" t="s">
        <v>550</v>
      </c>
    </row>
    <row r="289" spans="1:7" x14ac:dyDescent="0.25">
      <c r="A289">
        <v>2026</v>
      </c>
      <c r="B289" t="s">
        <v>308</v>
      </c>
      <c r="C289" t="s">
        <v>335</v>
      </c>
      <c r="D289" t="s">
        <v>693</v>
      </c>
      <c r="E289" t="s">
        <v>693</v>
      </c>
      <c r="F289" t="s">
        <v>335</v>
      </c>
      <c r="G289" t="s">
        <v>674</v>
      </c>
    </row>
    <row r="290" spans="1:7" x14ac:dyDescent="0.25">
      <c r="A290">
        <v>2026</v>
      </c>
      <c r="B290" t="s">
        <v>174</v>
      </c>
      <c r="C290" t="s">
        <v>223</v>
      </c>
      <c r="D290" t="s">
        <v>693</v>
      </c>
      <c r="E290" t="s">
        <v>693</v>
      </c>
      <c r="F290" t="s">
        <v>223</v>
      </c>
      <c r="G290" t="s">
        <v>551</v>
      </c>
    </row>
    <row r="291" spans="1:7" x14ac:dyDescent="0.25">
      <c r="A291">
        <v>2026</v>
      </c>
      <c r="B291" t="s">
        <v>263</v>
      </c>
      <c r="C291" t="s">
        <v>305</v>
      </c>
      <c r="D291" t="s">
        <v>693</v>
      </c>
      <c r="E291" t="s">
        <v>693</v>
      </c>
      <c r="F291" t="s">
        <v>305</v>
      </c>
      <c r="G291" t="s">
        <v>630</v>
      </c>
    </row>
    <row r="292" spans="1:7" x14ac:dyDescent="0.25">
      <c r="A292">
        <v>2026</v>
      </c>
      <c r="B292" t="s">
        <v>140</v>
      </c>
      <c r="C292" t="s">
        <v>170</v>
      </c>
      <c r="D292" t="s">
        <v>693</v>
      </c>
      <c r="E292" t="s">
        <v>693</v>
      </c>
      <c r="F292" t="s">
        <v>170</v>
      </c>
      <c r="G292" t="s">
        <v>501</v>
      </c>
    </row>
    <row r="293" spans="1:7" x14ac:dyDescent="0.25">
      <c r="A293">
        <v>2026</v>
      </c>
      <c r="B293" t="s">
        <v>308</v>
      </c>
      <c r="C293" t="s">
        <v>336</v>
      </c>
      <c r="D293" t="s">
        <v>693</v>
      </c>
      <c r="E293" t="s">
        <v>693</v>
      </c>
      <c r="F293" t="s">
        <v>336</v>
      </c>
      <c r="G293" t="s">
        <v>659</v>
      </c>
    </row>
    <row r="294" spans="1:7" x14ac:dyDescent="0.25">
      <c r="A294">
        <v>2026</v>
      </c>
      <c r="B294" t="s">
        <v>308</v>
      </c>
      <c r="C294" t="s">
        <v>337</v>
      </c>
      <c r="D294" t="s">
        <v>693</v>
      </c>
      <c r="E294" t="s">
        <v>693</v>
      </c>
      <c r="F294" t="s">
        <v>337</v>
      </c>
      <c r="G294" t="s">
        <v>660</v>
      </c>
    </row>
    <row r="295" spans="1:7" x14ac:dyDescent="0.25">
      <c r="A295">
        <v>2026</v>
      </c>
      <c r="B295" t="s">
        <v>60</v>
      </c>
      <c r="C295" t="s">
        <v>112</v>
      </c>
      <c r="D295" t="s">
        <v>693</v>
      </c>
      <c r="E295" t="s">
        <v>693</v>
      </c>
      <c r="F295" t="s">
        <v>112</v>
      </c>
      <c r="G295" t="s">
        <v>447</v>
      </c>
    </row>
    <row r="296" spans="1:7" x14ac:dyDescent="0.25">
      <c r="A296">
        <v>2026</v>
      </c>
      <c r="B296" t="s">
        <v>140</v>
      </c>
      <c r="C296" t="s">
        <v>171</v>
      </c>
      <c r="D296" t="s">
        <v>693</v>
      </c>
      <c r="E296" t="s">
        <v>693</v>
      </c>
      <c r="F296" t="s">
        <v>171</v>
      </c>
      <c r="G296" t="s">
        <v>502</v>
      </c>
    </row>
    <row r="297" spans="1:7" x14ac:dyDescent="0.25">
      <c r="A297">
        <v>2026</v>
      </c>
      <c r="B297" t="s">
        <v>60</v>
      </c>
      <c r="C297" t="s">
        <v>113</v>
      </c>
      <c r="D297" t="s">
        <v>693</v>
      </c>
      <c r="E297" t="s">
        <v>693</v>
      </c>
      <c r="F297" t="s">
        <v>113</v>
      </c>
      <c r="G297" t="s">
        <v>448</v>
      </c>
    </row>
    <row r="298" spans="1:7" x14ac:dyDescent="0.25">
      <c r="A298">
        <v>2026</v>
      </c>
      <c r="B298" t="s">
        <v>174</v>
      </c>
      <c r="C298" t="s">
        <v>224</v>
      </c>
      <c r="D298" t="s">
        <v>693</v>
      </c>
      <c r="E298" t="s">
        <v>693</v>
      </c>
      <c r="F298" t="s">
        <v>224</v>
      </c>
      <c r="G298" t="s">
        <v>552</v>
      </c>
    </row>
    <row r="299" spans="1:7" x14ac:dyDescent="0.25">
      <c r="A299">
        <v>2026</v>
      </c>
      <c r="B299" t="s">
        <v>60</v>
      </c>
      <c r="C299" t="s">
        <v>114</v>
      </c>
      <c r="D299" t="s">
        <v>693</v>
      </c>
      <c r="E299" t="s">
        <v>693</v>
      </c>
      <c r="F299" t="s">
        <v>114</v>
      </c>
      <c r="G299" t="s">
        <v>449</v>
      </c>
    </row>
    <row r="300" spans="1:7" x14ac:dyDescent="0.25">
      <c r="A300">
        <v>2026</v>
      </c>
      <c r="B300" t="s">
        <v>308</v>
      </c>
      <c r="C300" t="s">
        <v>338</v>
      </c>
      <c r="D300" t="s">
        <v>693</v>
      </c>
      <c r="E300" t="s">
        <v>693</v>
      </c>
      <c r="F300" t="s">
        <v>338</v>
      </c>
      <c r="G300" t="s">
        <v>661</v>
      </c>
    </row>
    <row r="301" spans="1:7" x14ac:dyDescent="0.25">
      <c r="A301">
        <v>2026</v>
      </c>
      <c r="B301" t="s">
        <v>22</v>
      </c>
      <c r="C301" t="s">
        <v>58</v>
      </c>
      <c r="D301" t="s">
        <v>705</v>
      </c>
      <c r="E301" t="s">
        <v>693</v>
      </c>
      <c r="F301" t="s">
        <v>58</v>
      </c>
      <c r="G301" t="s">
        <v>402</v>
      </c>
    </row>
    <row r="302" spans="1:7" x14ac:dyDescent="0.25">
      <c r="A302">
        <v>2026</v>
      </c>
      <c r="B302" t="s">
        <v>22</v>
      </c>
      <c r="C302" t="s">
        <v>59</v>
      </c>
      <c r="D302" t="s">
        <v>693</v>
      </c>
      <c r="E302" t="s">
        <v>693</v>
      </c>
      <c r="F302" t="s">
        <v>59</v>
      </c>
      <c r="G302" t="s">
        <v>403</v>
      </c>
    </row>
    <row r="303" spans="1:7" x14ac:dyDescent="0.25">
      <c r="A303">
        <v>2026</v>
      </c>
      <c r="B303" t="s">
        <v>140</v>
      </c>
      <c r="C303" t="s">
        <v>172</v>
      </c>
      <c r="D303" t="s">
        <v>693</v>
      </c>
      <c r="E303" t="s">
        <v>693</v>
      </c>
      <c r="F303" t="s">
        <v>172</v>
      </c>
      <c r="G303" t="s">
        <v>503</v>
      </c>
    </row>
    <row r="304" spans="1:7" x14ac:dyDescent="0.25">
      <c r="A304">
        <v>2026</v>
      </c>
      <c r="B304" t="s">
        <v>308</v>
      </c>
      <c r="C304" t="s">
        <v>339</v>
      </c>
      <c r="D304" t="s">
        <v>693</v>
      </c>
      <c r="E304" t="s">
        <v>693</v>
      </c>
      <c r="F304" t="s">
        <v>339</v>
      </c>
      <c r="G304" t="s">
        <v>662</v>
      </c>
    </row>
    <row r="305" spans="1:7" x14ac:dyDescent="0.25">
      <c r="A305">
        <v>2026</v>
      </c>
      <c r="B305" t="s">
        <v>0</v>
      </c>
      <c r="C305" t="s">
        <v>19</v>
      </c>
      <c r="D305" t="s">
        <v>693</v>
      </c>
      <c r="E305" t="s">
        <v>693</v>
      </c>
      <c r="F305" t="s">
        <v>19</v>
      </c>
      <c r="G305" t="s">
        <v>366</v>
      </c>
    </row>
    <row r="306" spans="1:7" x14ac:dyDescent="0.25">
      <c r="A306">
        <v>2026</v>
      </c>
      <c r="B306" t="s">
        <v>174</v>
      </c>
      <c r="C306" t="s">
        <v>225</v>
      </c>
      <c r="D306" t="s">
        <v>693</v>
      </c>
      <c r="E306" t="s">
        <v>693</v>
      </c>
      <c r="F306" t="s">
        <v>225</v>
      </c>
      <c r="G306" t="s">
        <v>553</v>
      </c>
    </row>
    <row r="307" spans="1:7" x14ac:dyDescent="0.25">
      <c r="A307">
        <v>2026</v>
      </c>
      <c r="B307" t="s">
        <v>0</v>
      </c>
      <c r="C307" t="s">
        <v>20</v>
      </c>
      <c r="D307" t="s">
        <v>693</v>
      </c>
      <c r="E307" t="s">
        <v>693</v>
      </c>
      <c r="F307" t="s">
        <v>20</v>
      </c>
      <c r="G307" t="s">
        <v>367</v>
      </c>
    </row>
    <row r="308" spans="1:7" x14ac:dyDescent="0.25">
      <c r="A308">
        <v>2026</v>
      </c>
      <c r="B308" t="s">
        <v>174</v>
      </c>
      <c r="C308" t="s">
        <v>226</v>
      </c>
      <c r="D308" t="s">
        <v>693</v>
      </c>
      <c r="E308" t="s">
        <v>693</v>
      </c>
      <c r="F308" t="s">
        <v>226</v>
      </c>
      <c r="G308" t="s">
        <v>554</v>
      </c>
    </row>
    <row r="309" spans="1:7" x14ac:dyDescent="0.25">
      <c r="A309">
        <v>2026</v>
      </c>
      <c r="B309" t="s">
        <v>60</v>
      </c>
      <c r="C309" t="s">
        <v>115</v>
      </c>
      <c r="D309" t="s">
        <v>693</v>
      </c>
      <c r="E309" t="s">
        <v>693</v>
      </c>
      <c r="F309" t="s">
        <v>115</v>
      </c>
      <c r="G309" t="s">
        <v>450</v>
      </c>
    </row>
    <row r="310" spans="1:7" x14ac:dyDescent="0.25">
      <c r="A310">
        <v>2026</v>
      </c>
      <c r="B310" t="s">
        <v>60</v>
      </c>
      <c r="C310" t="s">
        <v>116</v>
      </c>
      <c r="D310" t="s">
        <v>693</v>
      </c>
      <c r="E310" t="s">
        <v>693</v>
      </c>
      <c r="F310" t="s">
        <v>116</v>
      </c>
      <c r="G310" t="s">
        <v>451</v>
      </c>
    </row>
    <row r="311" spans="1:7" x14ac:dyDescent="0.25">
      <c r="A311">
        <v>2026</v>
      </c>
      <c r="B311" t="s">
        <v>263</v>
      </c>
      <c r="C311" t="s">
        <v>306</v>
      </c>
      <c r="D311" t="s">
        <v>693</v>
      </c>
      <c r="E311" t="s">
        <v>693</v>
      </c>
      <c r="F311" t="s">
        <v>306</v>
      </c>
      <c r="G311" t="s">
        <v>631</v>
      </c>
    </row>
    <row r="312" spans="1:7" x14ac:dyDescent="0.25">
      <c r="A312">
        <v>2026</v>
      </c>
      <c r="B312" t="s">
        <v>118</v>
      </c>
      <c r="C312" t="s">
        <v>138</v>
      </c>
      <c r="D312" t="s">
        <v>693</v>
      </c>
      <c r="E312" t="s">
        <v>693</v>
      </c>
      <c r="F312" t="s">
        <v>138</v>
      </c>
      <c r="G312" t="s">
        <v>472</v>
      </c>
    </row>
    <row r="313" spans="1:7" x14ac:dyDescent="0.25">
      <c r="A313">
        <v>2026</v>
      </c>
      <c r="B313" t="s">
        <v>229</v>
      </c>
      <c r="C313" t="s">
        <v>257</v>
      </c>
      <c r="D313" t="s">
        <v>693</v>
      </c>
      <c r="E313" t="s">
        <v>693</v>
      </c>
      <c r="F313" t="s">
        <v>257</v>
      </c>
      <c r="G313" t="s">
        <v>585</v>
      </c>
    </row>
    <row r="314" spans="1:7" x14ac:dyDescent="0.25">
      <c r="A314">
        <v>2026</v>
      </c>
      <c r="B314" t="s">
        <v>60</v>
      </c>
      <c r="C314" t="s">
        <v>117</v>
      </c>
      <c r="D314" t="s">
        <v>693</v>
      </c>
      <c r="E314" t="s">
        <v>693</v>
      </c>
      <c r="F314" t="s">
        <v>117</v>
      </c>
      <c r="G314" t="s">
        <v>452</v>
      </c>
    </row>
    <row r="315" spans="1:7" x14ac:dyDescent="0.25">
      <c r="A315">
        <v>2026</v>
      </c>
      <c r="B315" t="s">
        <v>229</v>
      </c>
      <c r="C315" t="s">
        <v>258</v>
      </c>
      <c r="D315" t="s">
        <v>693</v>
      </c>
      <c r="E315" t="s">
        <v>693</v>
      </c>
      <c r="F315" t="s">
        <v>258</v>
      </c>
      <c r="G315" t="s">
        <v>586</v>
      </c>
    </row>
    <row r="316" spans="1:7" x14ac:dyDescent="0.25">
      <c r="A316">
        <v>2026</v>
      </c>
      <c r="B316" t="s">
        <v>229</v>
      </c>
      <c r="C316" t="s">
        <v>259</v>
      </c>
      <c r="D316" t="s">
        <v>693</v>
      </c>
      <c r="E316" t="s">
        <v>693</v>
      </c>
      <c r="F316" t="s">
        <v>259</v>
      </c>
      <c r="G316" t="s">
        <v>587</v>
      </c>
    </row>
    <row r="317" spans="1:7" x14ac:dyDescent="0.25">
      <c r="A317">
        <v>2026</v>
      </c>
      <c r="B317" t="s">
        <v>0</v>
      </c>
      <c r="C317" t="s">
        <v>21</v>
      </c>
      <c r="D317" t="s">
        <v>693</v>
      </c>
      <c r="E317" t="s">
        <v>693</v>
      </c>
      <c r="F317" t="s">
        <v>21</v>
      </c>
      <c r="G317" t="s">
        <v>368</v>
      </c>
    </row>
    <row r="318" spans="1:7" x14ac:dyDescent="0.25">
      <c r="A318">
        <v>2026</v>
      </c>
      <c r="B318" t="s">
        <v>229</v>
      </c>
      <c r="C318" t="s">
        <v>260</v>
      </c>
      <c r="D318" t="s">
        <v>693</v>
      </c>
      <c r="E318" t="s">
        <v>693</v>
      </c>
      <c r="F318" t="s">
        <v>260</v>
      </c>
      <c r="G318" t="s">
        <v>588</v>
      </c>
    </row>
    <row r="319" spans="1:7" x14ac:dyDescent="0.25">
      <c r="A319">
        <v>2026</v>
      </c>
      <c r="B319" t="s">
        <v>229</v>
      </c>
      <c r="C319" t="s">
        <v>261</v>
      </c>
      <c r="D319" t="s">
        <v>693</v>
      </c>
      <c r="E319" t="s">
        <v>693</v>
      </c>
      <c r="F319" t="s">
        <v>261</v>
      </c>
      <c r="G319" t="s">
        <v>589</v>
      </c>
    </row>
    <row r="320" spans="1:7" x14ac:dyDescent="0.25">
      <c r="A320">
        <v>2026</v>
      </c>
      <c r="B320" t="s">
        <v>140</v>
      </c>
      <c r="C320" t="s">
        <v>173</v>
      </c>
      <c r="D320" t="s">
        <v>693</v>
      </c>
      <c r="E320" t="s">
        <v>693</v>
      </c>
      <c r="F320" t="s">
        <v>173</v>
      </c>
      <c r="G320" t="s">
        <v>504</v>
      </c>
    </row>
    <row r="321" spans="1:7" x14ac:dyDescent="0.25">
      <c r="A321">
        <v>2026</v>
      </c>
      <c r="B321" t="s">
        <v>118</v>
      </c>
      <c r="C321" t="s">
        <v>139</v>
      </c>
      <c r="D321" t="s">
        <v>693</v>
      </c>
      <c r="E321" t="s">
        <v>693</v>
      </c>
      <c r="F321" t="s">
        <v>139</v>
      </c>
      <c r="G321" t="s">
        <v>473</v>
      </c>
    </row>
    <row r="322" spans="1:7" x14ac:dyDescent="0.25">
      <c r="A322">
        <v>2026</v>
      </c>
      <c r="B322" t="s">
        <v>308</v>
      </c>
      <c r="C322" t="s">
        <v>340</v>
      </c>
      <c r="D322" t="s">
        <v>693</v>
      </c>
      <c r="E322" t="s">
        <v>693</v>
      </c>
      <c r="F322" t="s">
        <v>340</v>
      </c>
      <c r="G322" t="s">
        <v>663</v>
      </c>
    </row>
    <row r="323" spans="1:7" x14ac:dyDescent="0.25">
      <c r="A323">
        <v>2026</v>
      </c>
      <c r="B323" t="s">
        <v>174</v>
      </c>
      <c r="C323" t="s">
        <v>227</v>
      </c>
      <c r="D323" t="s">
        <v>693</v>
      </c>
      <c r="E323" t="s">
        <v>693</v>
      </c>
      <c r="F323" t="s">
        <v>227</v>
      </c>
      <c r="G323" t="s">
        <v>555</v>
      </c>
    </row>
    <row r="324" spans="1:7" x14ac:dyDescent="0.25">
      <c r="A324">
        <v>2026</v>
      </c>
      <c r="B324" t="s">
        <v>263</v>
      </c>
      <c r="C324" t="s">
        <v>307</v>
      </c>
      <c r="D324" t="s">
        <v>693</v>
      </c>
      <c r="E324" t="s">
        <v>693</v>
      </c>
      <c r="F324" t="s">
        <v>307</v>
      </c>
      <c r="G324" t="s">
        <v>632</v>
      </c>
    </row>
    <row r="325" spans="1:7" x14ac:dyDescent="0.25">
      <c r="A325">
        <v>2026</v>
      </c>
      <c r="B325" t="s">
        <v>229</v>
      </c>
      <c r="C325" t="s">
        <v>262</v>
      </c>
      <c r="D325" t="s">
        <v>693</v>
      </c>
      <c r="E325" t="s">
        <v>693</v>
      </c>
      <c r="F325" t="s">
        <v>262</v>
      </c>
      <c r="G325" t="s">
        <v>590</v>
      </c>
    </row>
    <row r="326" spans="1:7" x14ac:dyDescent="0.25">
      <c r="A326">
        <v>2026</v>
      </c>
      <c r="B326" t="s">
        <v>174</v>
      </c>
      <c r="C326" t="s">
        <v>228</v>
      </c>
      <c r="D326" t="s">
        <v>693</v>
      </c>
      <c r="E326" t="s">
        <v>693</v>
      </c>
      <c r="F326" t="s">
        <v>228</v>
      </c>
      <c r="G326" t="s">
        <v>556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155F-56F0-4C9D-A876-F5C06FA6FE3B}">
  <sheetPr>
    <tabColor theme="9" tint="-0.249977111117893"/>
    <outlinePr summaryBelow="0" summaryRight="0"/>
    <pageSetUpPr fitToPage="1"/>
  </sheetPr>
  <dimension ref="A1:Z1350"/>
  <sheetViews>
    <sheetView workbookViewId="0">
      <pane xSplit="1" ySplit="2" topLeftCell="B1322" activePane="bottomRight" state="frozen"/>
      <selection pane="topRight" activeCell="B1" sqref="B1"/>
      <selection pane="bottomLeft" activeCell="A3" sqref="A3"/>
      <selection pane="bottomRight"/>
    </sheetView>
  </sheetViews>
  <sheetFormatPr defaultColWidth="12.5703125" defaultRowHeight="15" customHeight="1" x14ac:dyDescent="0.25"/>
  <cols>
    <col min="1" max="1" width="9.5703125" style="77" customWidth="1"/>
    <col min="2" max="2" width="17.140625" style="77" customWidth="1"/>
    <col min="3" max="3" width="40.42578125" style="77" customWidth="1"/>
    <col min="4" max="5" width="14.42578125" style="77" customWidth="1"/>
    <col min="6" max="6" width="55.28515625" style="77" bestFit="1" customWidth="1"/>
    <col min="7" max="7" width="14.42578125" style="77" customWidth="1"/>
    <col min="8" max="8" width="14.42578125" style="77" hidden="1" customWidth="1"/>
    <col min="9" max="9" width="14.42578125" style="77" customWidth="1"/>
    <col min="10" max="10" width="14.42578125" style="77" hidden="1" customWidth="1"/>
    <col min="11" max="11" width="17.5703125" style="77" hidden="1" customWidth="1"/>
    <col min="12" max="12" width="14.42578125" style="77" customWidth="1"/>
    <col min="13" max="13" width="17.85546875" style="77" customWidth="1"/>
    <col min="14" max="26" width="14.42578125" style="77" customWidth="1"/>
    <col min="27" max="16384" width="12.5703125" style="77"/>
  </cols>
  <sheetData>
    <row r="1" spans="1:26" ht="15.75" customHeight="1" x14ac:dyDescent="0.25">
      <c r="A1" s="74" t="s">
        <v>1277</v>
      </c>
      <c r="B1" s="75"/>
      <c r="C1" s="75"/>
      <c r="D1" s="75"/>
      <c r="E1" s="75"/>
      <c r="F1" s="75"/>
      <c r="G1" s="76"/>
      <c r="H1" s="76"/>
      <c r="I1" s="76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60" x14ac:dyDescent="0.25">
      <c r="A2" s="55" t="s">
        <v>343</v>
      </c>
      <c r="B2" s="55" t="s">
        <v>344</v>
      </c>
      <c r="C2" s="55" t="s">
        <v>964</v>
      </c>
      <c r="D2" s="55" t="s">
        <v>1275</v>
      </c>
      <c r="E2" s="55" t="s">
        <v>963</v>
      </c>
      <c r="F2" s="55" t="s">
        <v>965</v>
      </c>
      <c r="G2" s="55" t="s">
        <v>1276</v>
      </c>
      <c r="H2" s="55" t="s">
        <v>962</v>
      </c>
      <c r="I2" s="55" t="s">
        <v>966</v>
      </c>
      <c r="J2" s="55" t="s">
        <v>750</v>
      </c>
      <c r="K2" s="56" t="s">
        <v>1263</v>
      </c>
      <c r="L2" s="55" t="s">
        <v>738</v>
      </c>
      <c r="M2" s="55" t="s">
        <v>739</v>
      </c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 customHeight="1" x14ac:dyDescent="0.25">
      <c r="A3" s="57" t="s">
        <v>0</v>
      </c>
      <c r="B3" s="54" t="s">
        <v>967</v>
      </c>
      <c r="C3" s="54" t="s">
        <v>768</v>
      </c>
      <c r="D3" s="57" t="s">
        <v>1</v>
      </c>
      <c r="E3" s="53">
        <v>8102</v>
      </c>
      <c r="F3" s="54" t="s">
        <v>968</v>
      </c>
      <c r="G3" s="57" t="s">
        <v>1</v>
      </c>
      <c r="H3" s="58" t="str">
        <f>_xlfn.IFNA(INDEX(ActiveSchools!$C$2:$F$326,MATCH(G3,ActiveSchools!$F$2:$F$326,0),1),"Total")</f>
        <v>0135</v>
      </c>
      <c r="I3" s="53">
        <v>149</v>
      </c>
      <c r="J3" s="59">
        <f>_xlfn.IFNA(INDEX(DetailByDistrict[],MATCH($H3,DetailByDistrict[Dist],0),MATCH(J$2,DetailByDistrict[#Headers],0)),0)</f>
        <v>155</v>
      </c>
      <c r="K3" s="54">
        <f>I3/J3</f>
        <v>0.96129032258064517</v>
      </c>
      <c r="L3" s="59">
        <f>ROUND(INDEX(DetailByDistrict[],MATCH($H3,DetailByDistrict[Dist],0),MATCH(L$2,DetailByDistrict[#Headers],0))*K3,2)</f>
        <v>9723.4500000000007</v>
      </c>
      <c r="M3" s="59">
        <f>ROUND(INDEX(DetailByDistrict[],MATCH($H3,DetailByDistrict[Dist],0),MATCH(M$2,DetailByDistrict[#Headers],0))*K3,2)</f>
        <v>10830.86</v>
      </c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.75" customHeight="1" x14ac:dyDescent="0.25">
      <c r="A4" s="57" t="s">
        <v>0</v>
      </c>
      <c r="B4" s="54" t="s">
        <v>967</v>
      </c>
      <c r="C4" s="54" t="s">
        <v>768</v>
      </c>
      <c r="D4" s="57" t="s">
        <v>1</v>
      </c>
      <c r="E4" s="53">
        <v>8102</v>
      </c>
      <c r="F4" s="54" t="s">
        <v>969</v>
      </c>
      <c r="G4" s="53" t="s">
        <v>6</v>
      </c>
      <c r="H4" s="58" t="str">
        <f>_xlfn.IFNA(INDEX(ActiveSchools!$C$2:$F$326,MATCH(G4,ActiveSchools!$F$2:$F$326,0),1),"Total")</f>
        <v>1972</v>
      </c>
      <c r="I4" s="53">
        <v>10</v>
      </c>
      <c r="J4" s="59">
        <f>_xlfn.IFNA(INDEX(DetailByDistrict[],MATCH($H4,DetailByDistrict[Dist],0),MATCH(J$2,DetailByDistrict[#Headers],0)),0)</f>
        <v>10</v>
      </c>
      <c r="K4" s="54">
        <f t="shared" ref="K4:K67" si="0">I4/J4</f>
        <v>1</v>
      </c>
      <c r="L4" s="59">
        <f>ROUND(INDEX(DetailByDistrict[],MATCH($H4,DetailByDistrict[Dist],0),MATCH(L$2,DetailByDistrict[#Headers],0))*K4,2)</f>
        <v>653</v>
      </c>
      <c r="M4" s="59">
        <f>ROUND(INDEX(DetailByDistrict[],MATCH($H4,DetailByDistrict[Dist],0),MATCH(M$2,DetailByDistrict[#Headers],0))*K4,2)</f>
        <v>727</v>
      </c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15.75" customHeight="1" x14ac:dyDescent="0.25">
      <c r="A5" s="57" t="s">
        <v>0</v>
      </c>
      <c r="B5" s="54" t="s">
        <v>967</v>
      </c>
      <c r="C5" s="54" t="s">
        <v>768</v>
      </c>
      <c r="D5" s="57" t="s">
        <v>1</v>
      </c>
      <c r="E5" s="53">
        <v>8102</v>
      </c>
      <c r="F5" s="54" t="s">
        <v>970</v>
      </c>
      <c r="G5" s="53" t="s">
        <v>10</v>
      </c>
      <c r="H5" s="58" t="str">
        <f>_xlfn.IFNA(INDEX(ActiveSchools!$C$2:$F$326,MATCH(G5,ActiveSchools!$F$2:$F$326,0),1),"Total")</f>
        <v>4419</v>
      </c>
      <c r="I5" s="53">
        <v>6</v>
      </c>
      <c r="J5" s="59">
        <f>_xlfn.IFNA(INDEX(DetailByDistrict[],MATCH($H5,DetailByDistrict[Dist],0),MATCH(J$2,DetailByDistrict[#Headers],0)),0)</f>
        <v>6</v>
      </c>
      <c r="K5" s="54">
        <f t="shared" si="0"/>
        <v>1</v>
      </c>
      <c r="L5" s="59">
        <f>ROUND(INDEX(DetailByDistrict[],MATCH($H5,DetailByDistrict[Dist],0),MATCH(L$2,DetailByDistrict[#Headers],0))*K5,2)</f>
        <v>392</v>
      </c>
      <c r="M5" s="59">
        <f>ROUND(INDEX(DetailByDistrict[],MATCH($H5,DetailByDistrict[Dist],0),MATCH(M$2,DetailByDistrict[#Headers],0))*K5,2)</f>
        <v>436</v>
      </c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.75" customHeight="1" x14ac:dyDescent="0.25">
      <c r="A6" s="57" t="s">
        <v>0</v>
      </c>
      <c r="B6" s="54" t="s">
        <v>967</v>
      </c>
      <c r="C6" s="54" t="s">
        <v>768</v>
      </c>
      <c r="D6" s="57" t="s">
        <v>1</v>
      </c>
      <c r="E6" s="53">
        <v>8102</v>
      </c>
      <c r="F6" s="54" t="s">
        <v>971</v>
      </c>
      <c r="G6" s="53" t="s">
        <v>14</v>
      </c>
      <c r="H6" s="58" t="str">
        <f>_xlfn.IFNA(INDEX(ActiveSchools!$C$2:$F$326,MATCH(G6,ActiveSchools!$F$2:$F$326,0),1),"Total")</f>
        <v>5310</v>
      </c>
      <c r="I6" s="53">
        <v>3</v>
      </c>
      <c r="J6" s="59">
        <f>_xlfn.IFNA(INDEX(DetailByDistrict[],MATCH($H6,DetailByDistrict[Dist],0),MATCH(J$2,DetailByDistrict[#Headers],0)),0)</f>
        <v>6</v>
      </c>
      <c r="K6" s="54">
        <f t="shared" si="0"/>
        <v>0.5</v>
      </c>
      <c r="L6" s="59">
        <f>ROUND(INDEX(DetailByDistrict[],MATCH($H6,DetailByDistrict[Dist],0),MATCH(L$2,DetailByDistrict[#Headers],0))*K6,2)</f>
        <v>196</v>
      </c>
      <c r="M6" s="59">
        <f>ROUND(INDEX(DetailByDistrict[],MATCH($H6,DetailByDistrict[Dist],0),MATCH(M$2,DetailByDistrict[#Headers],0))*K6,2)</f>
        <v>218</v>
      </c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ht="15.75" customHeight="1" x14ac:dyDescent="0.25">
      <c r="A7" s="57" t="s">
        <v>0</v>
      </c>
      <c r="B7" s="54" t="s">
        <v>967</v>
      </c>
      <c r="C7" s="54" t="s">
        <v>775</v>
      </c>
      <c r="D7" s="57" t="s">
        <v>120</v>
      </c>
      <c r="E7" s="53">
        <v>8107</v>
      </c>
      <c r="F7" s="54" t="s">
        <v>972</v>
      </c>
      <c r="G7" s="53" t="s">
        <v>5</v>
      </c>
      <c r="H7" s="58" t="str">
        <f>_xlfn.IFNA(INDEX(ActiveSchools!$C$2:$F$326,MATCH(G7,ActiveSchools!$F$2:$F$326,0),1),"Total")</f>
        <v>1863</v>
      </c>
      <c r="I7" s="53">
        <v>23</v>
      </c>
      <c r="J7" s="59">
        <f>_xlfn.IFNA(INDEX(DetailByDistrict[],MATCH($H7,DetailByDistrict[Dist],0),MATCH(J$2,DetailByDistrict[#Headers],0)),0)</f>
        <v>1933</v>
      </c>
      <c r="K7" s="54">
        <f t="shared" si="0"/>
        <v>1.189860320744956E-2</v>
      </c>
      <c r="L7" s="59">
        <f>ROUND(INDEX(DetailByDistrict[],MATCH($H7,DetailByDistrict[Dist],0),MATCH(L$2,DetailByDistrict[#Headers],0))*K7,2)</f>
        <v>1500.98</v>
      </c>
      <c r="M7" s="59">
        <f>ROUND(INDEX(DetailByDistrict[],MATCH($H7,DetailByDistrict[Dist],0),MATCH(M$2,DetailByDistrict[#Headers],0))*K7,2)</f>
        <v>1671.87</v>
      </c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ht="15.75" customHeight="1" x14ac:dyDescent="0.25">
      <c r="A8" s="57" t="s">
        <v>0</v>
      </c>
      <c r="B8" s="54" t="s">
        <v>967</v>
      </c>
      <c r="C8" s="54" t="s">
        <v>776</v>
      </c>
      <c r="D8" s="57" t="s">
        <v>120</v>
      </c>
      <c r="E8" s="53">
        <v>8109</v>
      </c>
      <c r="F8" s="54" t="s">
        <v>972</v>
      </c>
      <c r="G8" s="53" t="s">
        <v>5</v>
      </c>
      <c r="H8" s="58" t="str">
        <f>_xlfn.IFNA(INDEX(ActiveSchools!$C$2:$F$326,MATCH(G8,ActiveSchools!$F$2:$F$326,0),1),"Total")</f>
        <v>1863</v>
      </c>
      <c r="I8" s="53">
        <v>7</v>
      </c>
      <c r="J8" s="59">
        <f>_xlfn.IFNA(INDEX(DetailByDistrict[],MATCH($H8,DetailByDistrict[Dist],0),MATCH(J$2,DetailByDistrict[#Headers],0)),0)</f>
        <v>1933</v>
      </c>
      <c r="K8" s="54">
        <f t="shared" si="0"/>
        <v>3.6213140196585617E-3</v>
      </c>
      <c r="L8" s="59">
        <f>ROUND(INDEX(DetailByDistrict[],MATCH($H8,DetailByDistrict[Dist],0),MATCH(L$2,DetailByDistrict[#Headers],0))*K8,2)</f>
        <v>456.82</v>
      </c>
      <c r="M8" s="59">
        <f>ROUND(INDEX(DetailByDistrict[],MATCH($H8,DetailByDistrict[Dist],0),MATCH(M$2,DetailByDistrict[#Headers],0))*K8,2)</f>
        <v>508.83</v>
      </c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ht="15.75" customHeight="1" x14ac:dyDescent="0.25">
      <c r="A9" s="57" t="s">
        <v>0</v>
      </c>
      <c r="B9" s="54" t="s">
        <v>967</v>
      </c>
      <c r="C9" s="54" t="s">
        <v>808</v>
      </c>
      <c r="D9" s="53">
        <v>1116</v>
      </c>
      <c r="E9" s="53">
        <v>8102</v>
      </c>
      <c r="F9" s="54" t="s">
        <v>973</v>
      </c>
      <c r="G9" s="53" t="s">
        <v>8</v>
      </c>
      <c r="H9" s="58" t="str">
        <f>_xlfn.IFNA(INDEX(ActiveSchools!$C$2:$F$326,MATCH(G9,ActiveSchools!$F$2:$F$326,0),1),"Total")</f>
        <v>3029</v>
      </c>
      <c r="I9" s="53">
        <v>1</v>
      </c>
      <c r="J9" s="59">
        <f>_xlfn.IFNA(INDEX(DetailByDistrict[],MATCH($H9,DetailByDistrict[Dist],0),MATCH(J$2,DetailByDistrict[#Headers],0)),0)</f>
        <v>120</v>
      </c>
      <c r="K9" s="54">
        <f t="shared" si="0"/>
        <v>8.3333333333333332E-3</v>
      </c>
      <c r="L9" s="59">
        <f>ROUND(INDEX(DetailByDistrict[],MATCH($H9,DetailByDistrict[Dist],0),MATCH(L$2,DetailByDistrict[#Headers],0))*K9,2)</f>
        <v>65.260000000000005</v>
      </c>
      <c r="M9" s="59">
        <f>ROUND(INDEX(DetailByDistrict[],MATCH($H9,DetailByDistrict[Dist],0),MATCH(M$2,DetailByDistrict[#Headers],0))*K9,2)</f>
        <v>72.69</v>
      </c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ht="15.75" customHeight="1" x14ac:dyDescent="0.25">
      <c r="A10" s="57" t="s">
        <v>0</v>
      </c>
      <c r="B10" s="54" t="s">
        <v>967</v>
      </c>
      <c r="C10" s="54" t="s">
        <v>808</v>
      </c>
      <c r="D10" s="53">
        <v>1116</v>
      </c>
      <c r="E10" s="53">
        <v>8102</v>
      </c>
      <c r="F10" s="54" t="s">
        <v>974</v>
      </c>
      <c r="G10" s="53" t="s">
        <v>11</v>
      </c>
      <c r="H10" s="58" t="str">
        <f>_xlfn.IFNA(INDEX(ActiveSchools!$C$2:$F$326,MATCH(G10,ActiveSchools!$F$2:$F$326,0),1),"Total")</f>
        <v>4662</v>
      </c>
      <c r="I10" s="53">
        <v>2</v>
      </c>
      <c r="J10" s="59">
        <f>_xlfn.IFNA(INDEX(DetailByDistrict[],MATCH($H10,DetailByDistrict[Dist],0),MATCH(J$2,DetailByDistrict[#Headers],0)),0)</f>
        <v>71</v>
      </c>
      <c r="K10" s="54">
        <f t="shared" si="0"/>
        <v>2.8169014084507043E-2</v>
      </c>
      <c r="L10" s="59">
        <f>ROUND(INDEX(DetailByDistrict[],MATCH($H10,DetailByDistrict[Dist],0),MATCH(L$2,DetailByDistrict[#Headers],0))*K10,2)</f>
        <v>130.51</v>
      </c>
      <c r="M10" s="59">
        <f>ROUND(INDEX(DetailByDistrict[],MATCH($H10,DetailByDistrict[Dist],0),MATCH(M$2,DetailByDistrict[#Headers],0))*K10,2)</f>
        <v>145.38</v>
      </c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ht="15.75" customHeight="1" x14ac:dyDescent="0.25">
      <c r="A11" s="57" t="s">
        <v>0</v>
      </c>
      <c r="B11" s="54" t="s">
        <v>967</v>
      </c>
      <c r="C11" s="54" t="s">
        <v>809</v>
      </c>
      <c r="D11" s="53">
        <v>1116</v>
      </c>
      <c r="E11" s="53">
        <v>8106</v>
      </c>
      <c r="F11" s="54" t="s">
        <v>975</v>
      </c>
      <c r="G11" s="53" t="s">
        <v>15</v>
      </c>
      <c r="H11" s="58" t="str">
        <f>_xlfn.IFNA(INDEX(ActiveSchools!$C$2:$F$326,MATCH(G11,ActiveSchools!$F$2:$F$326,0),1),"Total")</f>
        <v>5508</v>
      </c>
      <c r="I11" s="53">
        <v>1</v>
      </c>
      <c r="J11" s="59">
        <f>_xlfn.IFNA(INDEX(DetailByDistrict[],MATCH($H11,DetailByDistrict[Dist],0),MATCH(J$2,DetailByDistrict[#Headers],0)),0)</f>
        <v>3</v>
      </c>
      <c r="K11" s="54">
        <f t="shared" si="0"/>
        <v>0.33333333333333331</v>
      </c>
      <c r="L11" s="59">
        <f>ROUND(INDEX(DetailByDistrict[],MATCH($H11,DetailByDistrict[Dist],0),MATCH(L$2,DetailByDistrict[#Headers],0))*K11,2)</f>
        <v>65.33</v>
      </c>
      <c r="M11" s="59">
        <f>ROUND(INDEX(DetailByDistrict[],MATCH($H11,DetailByDistrict[Dist],0),MATCH(M$2,DetailByDistrict[#Headers],0))*K11,2)</f>
        <v>72.67</v>
      </c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ht="15.75" customHeight="1" x14ac:dyDescent="0.25">
      <c r="A12" s="57" t="s">
        <v>0</v>
      </c>
      <c r="B12" s="54" t="s">
        <v>967</v>
      </c>
      <c r="C12" s="54" t="s">
        <v>822</v>
      </c>
      <c r="D12" s="53">
        <v>1638</v>
      </c>
      <c r="E12" s="53">
        <v>8102</v>
      </c>
      <c r="F12" s="54" t="s">
        <v>976</v>
      </c>
      <c r="G12" s="53" t="s">
        <v>4</v>
      </c>
      <c r="H12" s="58" t="str">
        <f>_xlfn.IFNA(INDEX(ActiveSchools!$C$2:$F$326,MATCH(G12,ActiveSchools!$F$2:$F$326,0),1),"Total")</f>
        <v>1638</v>
      </c>
      <c r="I12" s="53">
        <v>149</v>
      </c>
      <c r="J12" s="59">
        <f>_xlfn.IFNA(INDEX(DetailByDistrict[],MATCH($H12,DetailByDistrict[Dist],0),MATCH(J$2,DetailByDistrict[#Headers],0)),0)</f>
        <v>170</v>
      </c>
      <c r="K12" s="54">
        <f t="shared" si="0"/>
        <v>0.87647058823529411</v>
      </c>
      <c r="L12" s="59">
        <f>ROUND(INDEX(DetailByDistrict[],MATCH($H12,DetailByDistrict[Dist],0),MATCH(L$2,DetailByDistrict[#Headers],0))*K12,2)</f>
        <v>9723.56</v>
      </c>
      <c r="M12" s="59">
        <f>ROUND(INDEX(DetailByDistrict[],MATCH($H12,DetailByDistrict[Dist],0),MATCH(M$2,DetailByDistrict[#Headers],0))*K12,2)</f>
        <v>10830.55</v>
      </c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ht="15.75" customHeight="1" x14ac:dyDescent="0.25">
      <c r="A13" s="57" t="s">
        <v>0</v>
      </c>
      <c r="B13" s="54" t="s">
        <v>967</v>
      </c>
      <c r="C13" s="54" t="s">
        <v>822</v>
      </c>
      <c r="D13" s="53">
        <v>1638</v>
      </c>
      <c r="E13" s="53">
        <v>8102</v>
      </c>
      <c r="F13" s="54" t="s">
        <v>973</v>
      </c>
      <c r="G13" s="53" t="s">
        <v>8</v>
      </c>
      <c r="H13" s="58" t="str">
        <f>_xlfn.IFNA(INDEX(ActiveSchools!$C$2:$F$326,MATCH(G13,ActiveSchools!$F$2:$F$326,0),1),"Total")</f>
        <v>3029</v>
      </c>
      <c r="I13" s="53">
        <v>3</v>
      </c>
      <c r="J13" s="59">
        <f>_xlfn.IFNA(INDEX(DetailByDistrict[],MATCH($H13,DetailByDistrict[Dist],0),MATCH(J$2,DetailByDistrict[#Headers],0)),0)</f>
        <v>120</v>
      </c>
      <c r="K13" s="54">
        <f t="shared" si="0"/>
        <v>2.5000000000000001E-2</v>
      </c>
      <c r="L13" s="59">
        <f>ROUND(INDEX(DetailByDistrict[],MATCH($H13,DetailByDistrict[Dist],0),MATCH(L$2,DetailByDistrict[#Headers],0))*K13,2)</f>
        <v>195.78</v>
      </c>
      <c r="M13" s="59">
        <f>ROUND(INDEX(DetailByDistrict[],MATCH($H13,DetailByDistrict[Dist],0),MATCH(M$2,DetailByDistrict[#Headers],0))*K13,2)</f>
        <v>218.08</v>
      </c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ht="15.75" customHeight="1" x14ac:dyDescent="0.25">
      <c r="A14" s="57" t="s">
        <v>0</v>
      </c>
      <c r="B14" s="54" t="s">
        <v>967</v>
      </c>
      <c r="C14" s="54" t="s">
        <v>822</v>
      </c>
      <c r="D14" s="53">
        <v>1638</v>
      </c>
      <c r="E14" s="53">
        <v>8102</v>
      </c>
      <c r="F14" s="54" t="s">
        <v>977</v>
      </c>
      <c r="G14" s="53" t="s">
        <v>16</v>
      </c>
      <c r="H14" s="58" t="str">
        <f>_xlfn.IFNA(INDEX(ActiveSchools!$C$2:$F$326,MATCH(G14,ActiveSchools!$F$2:$F$326,0),1),"Total")</f>
        <v>6100</v>
      </c>
      <c r="I14" s="53">
        <v>1</v>
      </c>
      <c r="J14" s="59">
        <f>_xlfn.IFNA(INDEX(DetailByDistrict[],MATCH($H14,DetailByDistrict[Dist],0),MATCH(J$2,DetailByDistrict[#Headers],0)),0)</f>
        <v>160</v>
      </c>
      <c r="K14" s="54">
        <f t="shared" si="0"/>
        <v>6.2500000000000003E-3</v>
      </c>
      <c r="L14" s="59">
        <f>ROUND(INDEX(DetailByDistrict[],MATCH($H14,DetailByDistrict[Dist],0),MATCH(L$2,DetailByDistrict[#Headers],0))*K14,2)</f>
        <v>65.260000000000005</v>
      </c>
      <c r="M14" s="59">
        <f>ROUND(INDEX(DetailByDistrict[],MATCH($H14,DetailByDistrict[Dist],0),MATCH(M$2,DetailByDistrict[#Headers],0))*K14,2)</f>
        <v>72.69</v>
      </c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ht="15.75" customHeight="1" x14ac:dyDescent="0.25">
      <c r="A15" s="57" t="s">
        <v>0</v>
      </c>
      <c r="B15" s="54" t="s">
        <v>967</v>
      </c>
      <c r="C15" s="54" t="s">
        <v>823</v>
      </c>
      <c r="D15" s="53">
        <v>1638</v>
      </c>
      <c r="E15" s="53">
        <v>8106</v>
      </c>
      <c r="F15" s="54" t="s">
        <v>968</v>
      </c>
      <c r="G15" s="57" t="s">
        <v>1</v>
      </c>
      <c r="H15" s="58" t="str">
        <f>_xlfn.IFNA(INDEX(ActiveSchools!$C$2:$F$326,MATCH(G15,ActiveSchools!$F$2:$F$326,0),1),"Total")</f>
        <v>0135</v>
      </c>
      <c r="I15" s="53">
        <v>5</v>
      </c>
      <c r="J15" s="59">
        <f>_xlfn.IFNA(INDEX(DetailByDistrict[],MATCH($H15,DetailByDistrict[Dist],0),MATCH(J$2,DetailByDistrict[#Headers],0)),0)</f>
        <v>155</v>
      </c>
      <c r="K15" s="54">
        <f t="shared" si="0"/>
        <v>3.2258064516129031E-2</v>
      </c>
      <c r="L15" s="59">
        <f>ROUND(INDEX(DetailByDistrict[],MATCH($H15,DetailByDistrict[Dist],0),MATCH(L$2,DetailByDistrict[#Headers],0))*K15,2)</f>
        <v>326.29000000000002</v>
      </c>
      <c r="M15" s="59">
        <f>ROUND(INDEX(DetailByDistrict[],MATCH($H15,DetailByDistrict[Dist],0),MATCH(M$2,DetailByDistrict[#Headers],0))*K15,2)</f>
        <v>363.45</v>
      </c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 ht="15.75" customHeight="1" x14ac:dyDescent="0.25">
      <c r="A16" s="57" t="s">
        <v>0</v>
      </c>
      <c r="B16" s="54" t="s">
        <v>967</v>
      </c>
      <c r="C16" s="54" t="s">
        <v>823</v>
      </c>
      <c r="D16" s="53">
        <v>1638</v>
      </c>
      <c r="E16" s="53">
        <v>8106</v>
      </c>
      <c r="F16" s="54" t="s">
        <v>976</v>
      </c>
      <c r="G16" s="53" t="s">
        <v>4</v>
      </c>
      <c r="H16" s="58" t="str">
        <f>_xlfn.IFNA(INDEX(ActiveSchools!$C$2:$F$326,MATCH(G16,ActiveSchools!$F$2:$F$326,0),1),"Total")</f>
        <v>1638</v>
      </c>
      <c r="I16" s="53">
        <v>20</v>
      </c>
      <c r="J16" s="59">
        <f>_xlfn.IFNA(INDEX(DetailByDistrict[],MATCH($H16,DetailByDistrict[Dist],0),MATCH(J$2,DetailByDistrict[#Headers],0)),0)</f>
        <v>170</v>
      </c>
      <c r="K16" s="54">
        <f t="shared" si="0"/>
        <v>0.11764705882352941</v>
      </c>
      <c r="L16" s="59">
        <f>ROUND(INDEX(DetailByDistrict[],MATCH($H16,DetailByDistrict[Dist],0),MATCH(L$2,DetailByDistrict[#Headers],0))*K16,2)</f>
        <v>1305.18</v>
      </c>
      <c r="M16" s="59">
        <f>ROUND(INDEX(DetailByDistrict[],MATCH($H16,DetailByDistrict[Dist],0),MATCH(M$2,DetailByDistrict[#Headers],0))*K16,2)</f>
        <v>1453.76</v>
      </c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 ht="15.75" customHeight="1" x14ac:dyDescent="0.25">
      <c r="A17" s="57" t="s">
        <v>0</v>
      </c>
      <c r="B17" s="54" t="s">
        <v>967</v>
      </c>
      <c r="C17" s="54" t="s">
        <v>843</v>
      </c>
      <c r="D17" s="53">
        <v>1863</v>
      </c>
      <c r="E17" s="53">
        <v>8122</v>
      </c>
      <c r="F17" s="54" t="s">
        <v>972</v>
      </c>
      <c r="G17" s="53" t="s">
        <v>5</v>
      </c>
      <c r="H17" s="58" t="str">
        <f>_xlfn.IFNA(INDEX(ActiveSchools!$C$2:$F$326,MATCH(G17,ActiveSchools!$F$2:$F$326,0),1),"Total")</f>
        <v>1863</v>
      </c>
      <c r="I17" s="53">
        <v>268</v>
      </c>
      <c r="J17" s="59">
        <f>_xlfn.IFNA(INDEX(DetailByDistrict[],MATCH($H17,DetailByDistrict[Dist],0),MATCH(J$2,DetailByDistrict[#Headers],0)),0)</f>
        <v>1933</v>
      </c>
      <c r="K17" s="54">
        <f t="shared" si="0"/>
        <v>0.13864459389549921</v>
      </c>
      <c r="L17" s="59">
        <f>ROUND(INDEX(DetailByDistrict[],MATCH($H17,DetailByDistrict[Dist],0),MATCH(L$2,DetailByDistrict[#Headers],0))*K17,2)</f>
        <v>17489.740000000002</v>
      </c>
      <c r="M17" s="59">
        <f>ROUND(INDEX(DetailByDistrict[],MATCH($H17,DetailByDistrict[Dist],0),MATCH(M$2,DetailByDistrict[#Headers],0))*K17,2)</f>
        <v>19480.95</v>
      </c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 ht="15.75" customHeight="1" x14ac:dyDescent="0.25">
      <c r="A18" s="57" t="s">
        <v>0</v>
      </c>
      <c r="B18" s="54" t="s">
        <v>967</v>
      </c>
      <c r="C18" s="54" t="s">
        <v>843</v>
      </c>
      <c r="D18" s="53">
        <v>1863</v>
      </c>
      <c r="E18" s="53">
        <v>8122</v>
      </c>
      <c r="F18" s="54" t="s">
        <v>978</v>
      </c>
      <c r="G18" s="53" t="s">
        <v>21</v>
      </c>
      <c r="H18" s="58" t="str">
        <f>_xlfn.IFNA(INDEX(ActiveSchools!$C$2:$F$326,MATCH(G18,ActiveSchools!$F$2:$F$326,0),1),"Total")</f>
        <v>6961</v>
      </c>
      <c r="I18" s="53">
        <v>3</v>
      </c>
      <c r="J18" s="59">
        <f>_xlfn.IFNA(INDEX(DetailByDistrict[],MATCH($H18,DetailByDistrict[Dist],0),MATCH(J$2,DetailByDistrict[#Headers],0)),0)</f>
        <v>1030</v>
      </c>
      <c r="K18" s="54">
        <f t="shared" si="0"/>
        <v>2.9126213592233011E-3</v>
      </c>
      <c r="L18" s="59">
        <f>ROUND(INDEX(DetailByDistrict[],MATCH($H18,DetailByDistrict[Dist],0),MATCH(L$2,DetailByDistrict[#Headers],0))*K18,2)</f>
        <v>195.78</v>
      </c>
      <c r="M18" s="59">
        <f>ROUND(INDEX(DetailByDistrict[],MATCH($H18,DetailByDistrict[Dist],0),MATCH(M$2,DetailByDistrict[#Headers],0))*K18,2)</f>
        <v>218.07</v>
      </c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 ht="15.75" customHeight="1" x14ac:dyDescent="0.25">
      <c r="A19" s="57" t="s">
        <v>0</v>
      </c>
      <c r="B19" s="54" t="s">
        <v>967</v>
      </c>
      <c r="C19" s="54" t="s">
        <v>844</v>
      </c>
      <c r="D19" s="53">
        <v>1863</v>
      </c>
      <c r="E19" s="53">
        <v>8126</v>
      </c>
      <c r="F19" s="54" t="s">
        <v>972</v>
      </c>
      <c r="G19" s="53" t="s">
        <v>5</v>
      </c>
      <c r="H19" s="58" t="str">
        <f>_xlfn.IFNA(INDEX(ActiveSchools!$C$2:$F$326,MATCH(G19,ActiveSchools!$F$2:$F$326,0),1),"Total")</f>
        <v>1863</v>
      </c>
      <c r="I19" s="53">
        <v>261</v>
      </c>
      <c r="J19" s="59">
        <f>_xlfn.IFNA(INDEX(DetailByDistrict[],MATCH($H19,DetailByDistrict[Dist],0),MATCH(J$2,DetailByDistrict[#Headers],0)),0)</f>
        <v>1933</v>
      </c>
      <c r="K19" s="54">
        <f t="shared" si="0"/>
        <v>0.13502327987584067</v>
      </c>
      <c r="L19" s="59">
        <f>ROUND(INDEX(DetailByDistrict[],MATCH($H19,DetailByDistrict[Dist],0),MATCH(L$2,DetailByDistrict[#Headers],0))*K19,2)</f>
        <v>17032.919999999998</v>
      </c>
      <c r="M19" s="59">
        <f>ROUND(INDEX(DetailByDistrict[],MATCH($H19,DetailByDistrict[Dist],0),MATCH(M$2,DetailByDistrict[#Headers],0))*K19,2)</f>
        <v>18972.12</v>
      </c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ht="15.75" customHeight="1" x14ac:dyDescent="0.25">
      <c r="A20" s="57" t="s">
        <v>0</v>
      </c>
      <c r="B20" s="54" t="s">
        <v>967</v>
      </c>
      <c r="C20" s="54" t="s">
        <v>844</v>
      </c>
      <c r="D20" s="53">
        <v>1863</v>
      </c>
      <c r="E20" s="53">
        <v>8126</v>
      </c>
      <c r="F20" s="54" t="s">
        <v>978</v>
      </c>
      <c r="G20" s="53" t="s">
        <v>21</v>
      </c>
      <c r="H20" s="58" t="str">
        <f>_xlfn.IFNA(INDEX(ActiveSchools!$C$2:$F$326,MATCH(G20,ActiveSchools!$F$2:$F$326,0),1),"Total")</f>
        <v>6961</v>
      </c>
      <c r="I20" s="53">
        <v>3</v>
      </c>
      <c r="J20" s="59">
        <f>_xlfn.IFNA(INDEX(DetailByDistrict[],MATCH($H20,DetailByDistrict[Dist],0),MATCH(J$2,DetailByDistrict[#Headers],0)),0)</f>
        <v>1030</v>
      </c>
      <c r="K20" s="54">
        <f t="shared" si="0"/>
        <v>2.9126213592233011E-3</v>
      </c>
      <c r="L20" s="59">
        <f>ROUND(INDEX(DetailByDistrict[],MATCH($H20,DetailByDistrict[Dist],0),MATCH(L$2,DetailByDistrict[#Headers],0))*K20,2)</f>
        <v>195.78</v>
      </c>
      <c r="M20" s="59">
        <f>ROUND(INDEX(DetailByDistrict[],MATCH($H20,DetailByDistrict[Dist],0),MATCH(M$2,DetailByDistrict[#Headers],0))*K20,2)</f>
        <v>218.07</v>
      </c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x14ac:dyDescent="0.25">
      <c r="A21" s="57" t="s">
        <v>0</v>
      </c>
      <c r="B21" s="54" t="s">
        <v>967</v>
      </c>
      <c r="C21" s="54" t="s">
        <v>845</v>
      </c>
      <c r="D21" s="53">
        <v>1863</v>
      </c>
      <c r="E21" s="53">
        <v>8128</v>
      </c>
      <c r="F21" s="54" t="s">
        <v>972</v>
      </c>
      <c r="G21" s="53" t="s">
        <v>5</v>
      </c>
      <c r="H21" s="58" t="str">
        <f>_xlfn.IFNA(INDEX(ActiveSchools!$C$2:$F$326,MATCH(G21,ActiveSchools!$F$2:$F$326,0),1),"Total")</f>
        <v>1863</v>
      </c>
      <c r="I21" s="53">
        <v>352</v>
      </c>
      <c r="J21" s="59">
        <f>_xlfn.IFNA(INDEX(DetailByDistrict[],MATCH($H21,DetailByDistrict[Dist],0),MATCH(J$2,DetailByDistrict[#Headers],0)),0)</f>
        <v>1933</v>
      </c>
      <c r="K21" s="54">
        <f t="shared" si="0"/>
        <v>0.18210036213140196</v>
      </c>
      <c r="L21" s="59">
        <f>ROUND(INDEX(DetailByDistrict[],MATCH($H21,DetailByDistrict[Dist],0),MATCH(L$2,DetailByDistrict[#Headers],0))*K21,2)</f>
        <v>22971.599999999999</v>
      </c>
      <c r="M21" s="59">
        <f>ROUND(INDEX(DetailByDistrict[],MATCH($H21,DetailByDistrict[Dist],0),MATCH(M$2,DetailByDistrict[#Headers],0))*K21,2)</f>
        <v>25586.92</v>
      </c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25">
      <c r="A22" s="57" t="s">
        <v>0</v>
      </c>
      <c r="B22" s="54" t="s">
        <v>967</v>
      </c>
      <c r="C22" s="54" t="s">
        <v>845</v>
      </c>
      <c r="D22" s="53">
        <v>1863</v>
      </c>
      <c r="E22" s="53">
        <v>8128</v>
      </c>
      <c r="F22" s="54" t="s">
        <v>978</v>
      </c>
      <c r="G22" s="53" t="s">
        <v>21</v>
      </c>
      <c r="H22" s="58" t="str">
        <f>_xlfn.IFNA(INDEX(ActiveSchools!$C$2:$F$326,MATCH(G22,ActiveSchools!$F$2:$F$326,0),1),"Total")</f>
        <v>6961</v>
      </c>
      <c r="I22" s="53">
        <v>4</v>
      </c>
      <c r="J22" s="59">
        <f>_xlfn.IFNA(INDEX(DetailByDistrict[],MATCH($H22,DetailByDistrict[Dist],0),MATCH(J$2,DetailByDistrict[#Headers],0)),0)</f>
        <v>1030</v>
      </c>
      <c r="K22" s="54">
        <f t="shared" si="0"/>
        <v>3.8834951456310678E-3</v>
      </c>
      <c r="L22" s="59">
        <f>ROUND(INDEX(DetailByDistrict[],MATCH($H22,DetailByDistrict[Dist],0),MATCH(L$2,DetailByDistrict[#Headers],0))*K22,2)</f>
        <v>261.04000000000002</v>
      </c>
      <c r="M22" s="59">
        <f>ROUND(INDEX(DetailByDistrict[],MATCH($H22,DetailByDistrict[Dist],0),MATCH(M$2,DetailByDistrict[#Headers],0))*K22,2)</f>
        <v>290.76</v>
      </c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25">
      <c r="A23" s="57" t="s">
        <v>0</v>
      </c>
      <c r="B23" s="54" t="s">
        <v>967</v>
      </c>
      <c r="C23" s="54" t="s">
        <v>846</v>
      </c>
      <c r="D23" s="53">
        <v>1863</v>
      </c>
      <c r="E23" s="53">
        <v>8134</v>
      </c>
      <c r="F23" s="54" t="s">
        <v>972</v>
      </c>
      <c r="G23" s="53" t="s">
        <v>5</v>
      </c>
      <c r="H23" s="58" t="str">
        <f>_xlfn.IFNA(INDEX(ActiveSchools!$C$2:$F$326,MATCH(G23,ActiveSchools!$F$2:$F$326,0),1),"Total")</f>
        <v>1863</v>
      </c>
      <c r="I23" s="53">
        <v>407</v>
      </c>
      <c r="J23" s="59">
        <f>_xlfn.IFNA(INDEX(DetailByDistrict[],MATCH($H23,DetailByDistrict[Dist],0),MATCH(J$2,DetailByDistrict[#Headers],0)),0)</f>
        <v>1933</v>
      </c>
      <c r="K23" s="54">
        <f t="shared" si="0"/>
        <v>0.21055354371443352</v>
      </c>
      <c r="L23" s="59">
        <f>ROUND(INDEX(DetailByDistrict[],MATCH($H23,DetailByDistrict[Dist],0),MATCH(L$2,DetailByDistrict[#Headers],0))*K23,2)-0.04</f>
        <v>26560.87</v>
      </c>
      <c r="M23" s="59">
        <f>ROUND(INDEX(DetailByDistrict[],MATCH($H23,DetailByDistrict[Dist],0),MATCH(M$2,DetailByDistrict[#Headers],0))*K23,2)</f>
        <v>29584.880000000001</v>
      </c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25">
      <c r="A24" s="57" t="s">
        <v>0</v>
      </c>
      <c r="B24" s="54" t="s">
        <v>967</v>
      </c>
      <c r="C24" s="54" t="s">
        <v>846</v>
      </c>
      <c r="D24" s="53">
        <v>1863</v>
      </c>
      <c r="E24" s="53">
        <v>8134</v>
      </c>
      <c r="F24" s="54" t="s">
        <v>978</v>
      </c>
      <c r="G24" s="53" t="s">
        <v>21</v>
      </c>
      <c r="H24" s="58" t="str">
        <f>_xlfn.IFNA(INDEX(ActiveSchools!$C$2:$F$326,MATCH(G24,ActiveSchools!$F$2:$F$326,0),1),"Total")</f>
        <v>6961</v>
      </c>
      <c r="I24" s="53">
        <v>14</v>
      </c>
      <c r="J24" s="59">
        <f>_xlfn.IFNA(INDEX(DetailByDistrict[],MATCH($H24,DetailByDistrict[Dist],0),MATCH(J$2,DetailByDistrict[#Headers],0)),0)</f>
        <v>1030</v>
      </c>
      <c r="K24" s="54">
        <f t="shared" si="0"/>
        <v>1.3592233009708738E-2</v>
      </c>
      <c r="L24" s="59">
        <f>ROUND(INDEX(DetailByDistrict[],MATCH($H24,DetailByDistrict[Dist],0),MATCH(L$2,DetailByDistrict[#Headers],0))*K24,2)</f>
        <v>913.64</v>
      </c>
      <c r="M24" s="59">
        <f>ROUND(INDEX(DetailByDistrict[],MATCH($H24,DetailByDistrict[Dist],0),MATCH(M$2,DetailByDistrict[#Headers],0))*K24,2)</f>
        <v>1017.66</v>
      </c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25">
      <c r="A25" s="57" t="s">
        <v>0</v>
      </c>
      <c r="B25" s="54" t="s">
        <v>967</v>
      </c>
      <c r="C25" s="54" t="s">
        <v>847</v>
      </c>
      <c r="D25" s="53">
        <v>1863</v>
      </c>
      <c r="E25" s="53">
        <v>8136</v>
      </c>
      <c r="F25" s="54" t="s">
        <v>972</v>
      </c>
      <c r="G25" s="53" t="s">
        <v>5</v>
      </c>
      <c r="H25" s="58" t="str">
        <f>_xlfn.IFNA(INDEX(ActiveSchools!$C$2:$F$326,MATCH(G25,ActiveSchools!$F$2:$F$326,0),1),"Total")</f>
        <v>1863</v>
      </c>
      <c r="I25" s="53">
        <v>293</v>
      </c>
      <c r="J25" s="59">
        <f>_xlfn.IFNA(INDEX(DetailByDistrict[],MATCH($H25,DetailByDistrict[Dist],0),MATCH(J$2,DetailByDistrict[#Headers],0)),0)</f>
        <v>1933</v>
      </c>
      <c r="K25" s="54">
        <f t="shared" si="0"/>
        <v>0.15157785825142267</v>
      </c>
      <c r="L25" s="59">
        <f>ROUND(INDEX(DetailByDistrict[],MATCH($H25,DetailByDistrict[Dist],0),MATCH(L$2,DetailByDistrict[#Headers],0))*K25,2)</f>
        <v>19121.240000000002</v>
      </c>
      <c r="M25" s="59">
        <f>ROUND(INDEX(DetailByDistrict[],MATCH($H25,DetailByDistrict[Dist],0),MATCH(M$2,DetailByDistrict[#Headers],0))*K25,2)</f>
        <v>21298.2</v>
      </c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25">
      <c r="A26" s="57" t="s">
        <v>0</v>
      </c>
      <c r="B26" s="54" t="s">
        <v>967</v>
      </c>
      <c r="C26" s="54" t="s">
        <v>847</v>
      </c>
      <c r="D26" s="53">
        <v>1863</v>
      </c>
      <c r="E26" s="53">
        <v>8136</v>
      </c>
      <c r="F26" s="54" t="s">
        <v>978</v>
      </c>
      <c r="G26" s="53" t="s">
        <v>21</v>
      </c>
      <c r="H26" s="58" t="str">
        <f>_xlfn.IFNA(INDEX(ActiveSchools!$C$2:$F$326,MATCH(G26,ActiveSchools!$F$2:$F$326,0),1),"Total")</f>
        <v>6961</v>
      </c>
      <c r="I26" s="53">
        <v>6</v>
      </c>
      <c r="J26" s="59">
        <f>_xlfn.IFNA(INDEX(DetailByDistrict[],MATCH($H26,DetailByDistrict[Dist],0),MATCH(J$2,DetailByDistrict[#Headers],0)),0)</f>
        <v>1030</v>
      </c>
      <c r="K26" s="54">
        <f t="shared" si="0"/>
        <v>5.8252427184466021E-3</v>
      </c>
      <c r="L26" s="59">
        <f>ROUND(INDEX(DetailByDistrict[],MATCH($H26,DetailByDistrict[Dist],0),MATCH(L$2,DetailByDistrict[#Headers],0))*K26,2)</f>
        <v>391.56</v>
      </c>
      <c r="M26" s="59">
        <f>ROUND(INDEX(DetailByDistrict[],MATCH($H26,DetailByDistrict[Dist],0),MATCH(M$2,DetailByDistrict[#Headers],0))*K26,2)</f>
        <v>436.14</v>
      </c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25">
      <c r="A27" s="57" t="s">
        <v>0</v>
      </c>
      <c r="B27" s="54" t="s">
        <v>967</v>
      </c>
      <c r="C27" s="54" t="s">
        <v>848</v>
      </c>
      <c r="D27" s="53">
        <v>1863</v>
      </c>
      <c r="E27" s="53">
        <v>8163</v>
      </c>
      <c r="F27" s="54" t="s">
        <v>972</v>
      </c>
      <c r="G27" s="53" t="s">
        <v>5</v>
      </c>
      <c r="H27" s="58" t="str">
        <f>_xlfn.IFNA(INDEX(ActiveSchools!$C$2:$F$326,MATCH(G27,ActiveSchools!$F$2:$F$326,0),1),"Total")</f>
        <v>1863</v>
      </c>
      <c r="I27" s="53">
        <v>70</v>
      </c>
      <c r="J27" s="59">
        <f>_xlfn.IFNA(INDEX(DetailByDistrict[],MATCH($H27,DetailByDistrict[Dist],0),MATCH(J$2,DetailByDistrict[#Headers],0)),0)</f>
        <v>1933</v>
      </c>
      <c r="K27" s="54">
        <f t="shared" si="0"/>
        <v>3.6213140196585621E-2</v>
      </c>
      <c r="L27" s="59">
        <f>ROUND(INDEX(DetailByDistrict[],MATCH($H27,DetailByDistrict[Dist],0),MATCH(L$2,DetailByDistrict[#Headers],0))*K27,2)</f>
        <v>4568.22</v>
      </c>
      <c r="M27" s="59">
        <f>ROUND(INDEX(DetailByDistrict[],MATCH($H27,DetailByDistrict[Dist],0),MATCH(M$2,DetailByDistrict[#Headers],0))*K27,2)</f>
        <v>5088.3100000000004</v>
      </c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25">
      <c r="A28" s="57" t="s">
        <v>0</v>
      </c>
      <c r="B28" s="54" t="s">
        <v>967</v>
      </c>
      <c r="C28" s="54" t="s">
        <v>848</v>
      </c>
      <c r="D28" s="53">
        <v>1863</v>
      </c>
      <c r="E28" s="53">
        <v>8163</v>
      </c>
      <c r="F28" s="54" t="s">
        <v>978</v>
      </c>
      <c r="G28" s="53" t="s">
        <v>21</v>
      </c>
      <c r="H28" s="58" t="str">
        <f>_xlfn.IFNA(INDEX(ActiveSchools!$C$2:$F$326,MATCH(G28,ActiveSchools!$F$2:$F$326,0),1),"Total")</f>
        <v>6961</v>
      </c>
      <c r="I28" s="53">
        <v>3</v>
      </c>
      <c r="J28" s="59">
        <f>_xlfn.IFNA(INDEX(DetailByDistrict[],MATCH($H28,DetailByDistrict[Dist],0),MATCH(J$2,DetailByDistrict[#Headers],0)),0)</f>
        <v>1030</v>
      </c>
      <c r="K28" s="54">
        <f t="shared" si="0"/>
        <v>2.9126213592233011E-3</v>
      </c>
      <c r="L28" s="59">
        <f>ROUND(INDEX(DetailByDistrict[],MATCH($H28,DetailByDistrict[Dist],0),MATCH(L$2,DetailByDistrict[#Headers],0))*K28,2)</f>
        <v>195.78</v>
      </c>
      <c r="M28" s="59">
        <f>ROUND(INDEX(DetailByDistrict[],MATCH($H28,DetailByDistrict[Dist],0),MATCH(M$2,DetailByDistrict[#Headers],0))*K28,2)</f>
        <v>218.07</v>
      </c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25">
      <c r="A29" s="57" t="s">
        <v>0</v>
      </c>
      <c r="B29" s="54" t="s">
        <v>967</v>
      </c>
      <c r="C29" s="54" t="s">
        <v>849</v>
      </c>
      <c r="D29" s="53">
        <v>1863</v>
      </c>
      <c r="E29" s="53">
        <v>8165</v>
      </c>
      <c r="F29" s="54" t="s">
        <v>972</v>
      </c>
      <c r="G29" s="53" t="s">
        <v>5</v>
      </c>
      <c r="H29" s="58" t="str">
        <f>_xlfn.IFNA(INDEX(ActiveSchools!$C$2:$F$326,MATCH(G29,ActiveSchools!$F$2:$F$326,0),1),"Total")</f>
        <v>1863</v>
      </c>
      <c r="I29" s="53">
        <v>87</v>
      </c>
      <c r="J29" s="59">
        <f>_xlfn.IFNA(INDEX(DetailByDistrict[],MATCH($H29,DetailByDistrict[Dist],0),MATCH(J$2,DetailByDistrict[#Headers],0)),0)</f>
        <v>1933</v>
      </c>
      <c r="K29" s="54">
        <f t="shared" si="0"/>
        <v>4.5007759958613551E-2</v>
      </c>
      <c r="L29" s="59">
        <f>ROUND(INDEX(DetailByDistrict[],MATCH($H29,DetailByDistrict[Dist],0),MATCH(L$2,DetailByDistrict[#Headers],0))*K29,2)</f>
        <v>5677.64</v>
      </c>
      <c r="M29" s="59">
        <f>ROUND(INDEX(DetailByDistrict[],MATCH($H29,DetailByDistrict[Dist],0),MATCH(M$2,DetailByDistrict[#Headers],0))*K29,2)</f>
        <v>6324.04</v>
      </c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25">
      <c r="A30" s="57" t="s">
        <v>0</v>
      </c>
      <c r="B30" s="54" t="s">
        <v>967</v>
      </c>
      <c r="C30" s="54" t="s">
        <v>849</v>
      </c>
      <c r="D30" s="53">
        <v>1863</v>
      </c>
      <c r="E30" s="53">
        <v>8165</v>
      </c>
      <c r="F30" s="54" t="s">
        <v>979</v>
      </c>
      <c r="G30" s="53" t="s">
        <v>9</v>
      </c>
      <c r="H30" s="58" t="str">
        <f>_xlfn.IFNA(INDEX(ActiveSchools!$C$2:$F$326,MATCH(G30,ActiveSchools!$F$2:$F$326,0),1),"Total")</f>
        <v>4043</v>
      </c>
      <c r="I30" s="53">
        <v>1</v>
      </c>
      <c r="J30" s="59">
        <f>_xlfn.IFNA(INDEX(DetailByDistrict[],MATCH($H30,DetailByDistrict[Dist],0),MATCH(J$2,DetailByDistrict[#Headers],0)),0)</f>
        <v>40</v>
      </c>
      <c r="K30" s="54">
        <f t="shared" si="0"/>
        <v>2.5000000000000001E-2</v>
      </c>
      <c r="L30" s="59">
        <f>ROUND(INDEX(DetailByDistrict[],MATCH($H30,DetailByDistrict[Dist],0),MATCH(L$2,DetailByDistrict[#Headers],0))*K30,2)</f>
        <v>65.25</v>
      </c>
      <c r="M30" s="59">
        <f>ROUND(INDEX(DetailByDistrict[],MATCH($H30,DetailByDistrict[Dist],0),MATCH(M$2,DetailByDistrict[#Headers],0))*K30,2)</f>
        <v>72.7</v>
      </c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25">
      <c r="A31" s="57" t="s">
        <v>0</v>
      </c>
      <c r="B31" s="54" t="s">
        <v>967</v>
      </c>
      <c r="C31" s="54" t="s">
        <v>849</v>
      </c>
      <c r="D31" s="53">
        <v>1863</v>
      </c>
      <c r="E31" s="53">
        <v>8165</v>
      </c>
      <c r="F31" s="54" t="s">
        <v>978</v>
      </c>
      <c r="G31" s="53" t="s">
        <v>21</v>
      </c>
      <c r="H31" s="58" t="str">
        <f>_xlfn.IFNA(INDEX(ActiveSchools!$C$2:$F$326,MATCH(G31,ActiveSchools!$F$2:$F$326,0),1),"Total")</f>
        <v>6961</v>
      </c>
      <c r="I31" s="53">
        <v>2</v>
      </c>
      <c r="J31" s="59">
        <f>_xlfn.IFNA(INDEX(DetailByDistrict[],MATCH($H31,DetailByDistrict[Dist],0),MATCH(J$2,DetailByDistrict[#Headers],0)),0)</f>
        <v>1030</v>
      </c>
      <c r="K31" s="54">
        <f t="shared" si="0"/>
        <v>1.9417475728155339E-3</v>
      </c>
      <c r="L31" s="59">
        <f>ROUND(INDEX(DetailByDistrict[],MATCH($H31,DetailByDistrict[Dist],0),MATCH(L$2,DetailByDistrict[#Headers],0))*K31,2)</f>
        <v>130.52000000000001</v>
      </c>
      <c r="M31" s="59">
        <f>ROUND(INDEX(DetailByDistrict[],MATCH($H31,DetailByDistrict[Dist],0),MATCH(M$2,DetailByDistrict[#Headers],0))*K31,2)</f>
        <v>145.38</v>
      </c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25">
      <c r="A32" s="57" t="s">
        <v>0</v>
      </c>
      <c r="B32" s="54" t="s">
        <v>967</v>
      </c>
      <c r="C32" s="54" t="s">
        <v>850</v>
      </c>
      <c r="D32" s="53">
        <v>1863</v>
      </c>
      <c r="E32" s="53">
        <v>8170</v>
      </c>
      <c r="F32" s="54" t="s">
        <v>972</v>
      </c>
      <c r="G32" s="53" t="s">
        <v>5</v>
      </c>
      <c r="H32" s="58" t="str">
        <f>_xlfn.IFNA(INDEX(ActiveSchools!$C$2:$F$326,MATCH(G32,ActiveSchools!$F$2:$F$326,0),1),"Total")</f>
        <v>1863</v>
      </c>
      <c r="I32" s="53">
        <v>90</v>
      </c>
      <c r="J32" s="59">
        <f>_xlfn.IFNA(INDEX(DetailByDistrict[],MATCH($H32,DetailByDistrict[Dist],0),MATCH(J$2,DetailByDistrict[#Headers],0)),0)</f>
        <v>1933</v>
      </c>
      <c r="K32" s="54">
        <f t="shared" si="0"/>
        <v>4.6559751681324368E-2</v>
      </c>
      <c r="L32" s="59">
        <f>ROUND(INDEX(DetailByDistrict[],MATCH($H32,DetailByDistrict[Dist],0),MATCH(L$2,DetailByDistrict[#Headers],0))*K32,2)</f>
        <v>5873.42</v>
      </c>
      <c r="M32" s="59">
        <f>ROUND(INDEX(DetailByDistrict[],MATCH($H32,DetailByDistrict[Dist],0),MATCH(M$2,DetailByDistrict[#Headers],0))*K32,2)</f>
        <v>6542.11</v>
      </c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25">
      <c r="A33" s="57" t="s">
        <v>0</v>
      </c>
      <c r="B33" s="54" t="s">
        <v>967</v>
      </c>
      <c r="C33" s="54" t="s">
        <v>790</v>
      </c>
      <c r="D33" s="53">
        <v>3029</v>
      </c>
      <c r="E33" s="53">
        <v>8104</v>
      </c>
      <c r="F33" s="54" t="s">
        <v>976</v>
      </c>
      <c r="G33" s="53" t="s">
        <v>4</v>
      </c>
      <c r="H33" s="58" t="str">
        <f>_xlfn.IFNA(INDEX(ActiveSchools!$C$2:$F$326,MATCH(G33,ActiveSchools!$F$2:$F$326,0),1),"Total")</f>
        <v>1638</v>
      </c>
      <c r="I33" s="53">
        <v>1</v>
      </c>
      <c r="J33" s="59">
        <f>_xlfn.IFNA(INDEX(DetailByDistrict[],MATCH($H33,DetailByDistrict[Dist],0),MATCH(J$2,DetailByDistrict[#Headers],0)),0)</f>
        <v>170</v>
      </c>
      <c r="K33" s="54">
        <f t="shared" si="0"/>
        <v>5.8823529411764705E-3</v>
      </c>
      <c r="L33" s="59">
        <f>ROUND(INDEX(DetailByDistrict[],MATCH($H33,DetailByDistrict[Dist],0),MATCH(L$2,DetailByDistrict[#Headers],0))*K33,2)</f>
        <v>65.260000000000005</v>
      </c>
      <c r="M33" s="59">
        <f>ROUND(INDEX(DetailByDistrict[],MATCH($H33,DetailByDistrict[Dist],0),MATCH(M$2,DetailByDistrict[#Headers],0))*K33,2)</f>
        <v>72.69</v>
      </c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25">
      <c r="A34" s="57" t="s">
        <v>0</v>
      </c>
      <c r="B34" s="54" t="s">
        <v>967</v>
      </c>
      <c r="C34" s="54" t="s">
        <v>790</v>
      </c>
      <c r="D34" s="53">
        <v>3029</v>
      </c>
      <c r="E34" s="53">
        <v>8104</v>
      </c>
      <c r="F34" s="54" t="s">
        <v>973</v>
      </c>
      <c r="G34" s="53" t="s">
        <v>8</v>
      </c>
      <c r="H34" s="58" t="str">
        <f>_xlfn.IFNA(INDEX(ActiveSchools!$C$2:$F$326,MATCH(G34,ActiveSchools!$F$2:$F$326,0),1),"Total")</f>
        <v>3029</v>
      </c>
      <c r="I34" s="53">
        <v>101</v>
      </c>
      <c r="J34" s="59">
        <f>_xlfn.IFNA(INDEX(DetailByDistrict[],MATCH($H34,DetailByDistrict[Dist],0),MATCH(J$2,DetailByDistrict[#Headers],0)),0)</f>
        <v>120</v>
      </c>
      <c r="K34" s="54">
        <f t="shared" si="0"/>
        <v>0.84166666666666667</v>
      </c>
      <c r="L34" s="59">
        <f>ROUND(INDEX(DetailByDistrict[],MATCH($H34,DetailByDistrict[Dist],0),MATCH(L$2,DetailByDistrict[#Headers],0))*K34,2)</f>
        <v>6591.09</v>
      </c>
      <c r="M34" s="59">
        <f>ROUND(INDEX(DetailByDistrict[],MATCH($H34,DetailByDistrict[Dist],0),MATCH(M$2,DetailByDistrict[#Headers],0))*K34,2)</f>
        <v>7341.86</v>
      </c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25">
      <c r="A35" s="57" t="s">
        <v>0</v>
      </c>
      <c r="B35" s="54" t="s">
        <v>967</v>
      </c>
      <c r="C35" s="54" t="s">
        <v>790</v>
      </c>
      <c r="D35" s="53">
        <v>3029</v>
      </c>
      <c r="E35" s="53">
        <v>8104</v>
      </c>
      <c r="F35" s="54" t="s">
        <v>975</v>
      </c>
      <c r="G35" s="53" t="s">
        <v>15</v>
      </c>
      <c r="H35" s="58" t="str">
        <f>_xlfn.IFNA(INDEX(ActiveSchools!$C$2:$F$326,MATCH(G35,ActiveSchools!$F$2:$F$326,0),1),"Total")</f>
        <v>5508</v>
      </c>
      <c r="I35" s="53">
        <v>2</v>
      </c>
      <c r="J35" s="59">
        <f>_xlfn.IFNA(INDEX(DetailByDistrict[],MATCH($H35,DetailByDistrict[Dist],0),MATCH(J$2,DetailByDistrict[#Headers],0)),0)</f>
        <v>3</v>
      </c>
      <c r="K35" s="54">
        <f t="shared" si="0"/>
        <v>0.66666666666666663</v>
      </c>
      <c r="L35" s="59">
        <f>ROUND(INDEX(DetailByDistrict[],MATCH($H35,DetailByDistrict[Dist],0),MATCH(L$2,DetailByDistrict[#Headers],0))*K35,2)</f>
        <v>130.66999999999999</v>
      </c>
      <c r="M35" s="59">
        <f>ROUND(INDEX(DetailByDistrict[],MATCH($H35,DetailByDistrict[Dist],0),MATCH(M$2,DetailByDistrict[#Headers],0))*K35,2)</f>
        <v>145.33000000000001</v>
      </c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25">
      <c r="A36" s="57" t="s">
        <v>0</v>
      </c>
      <c r="B36" s="54" t="s">
        <v>967</v>
      </c>
      <c r="C36" s="54" t="s">
        <v>790</v>
      </c>
      <c r="D36" s="53">
        <v>3029</v>
      </c>
      <c r="E36" s="53">
        <v>8104</v>
      </c>
      <c r="F36" s="54" t="s">
        <v>977</v>
      </c>
      <c r="G36" s="53" t="s">
        <v>16</v>
      </c>
      <c r="H36" s="58" t="str">
        <f>_xlfn.IFNA(INDEX(ActiveSchools!$C$2:$F$326,MATCH(G36,ActiveSchools!$F$2:$F$326,0),1),"Total")</f>
        <v>6100</v>
      </c>
      <c r="I36" s="53">
        <v>1</v>
      </c>
      <c r="J36" s="59">
        <f>_xlfn.IFNA(INDEX(DetailByDistrict[],MATCH($H36,DetailByDistrict[Dist],0),MATCH(J$2,DetailByDistrict[#Headers],0)),0)</f>
        <v>160</v>
      </c>
      <c r="K36" s="54">
        <f t="shared" si="0"/>
        <v>6.2500000000000003E-3</v>
      </c>
      <c r="L36" s="59">
        <f>ROUND(INDEX(DetailByDistrict[],MATCH($H36,DetailByDistrict[Dist],0),MATCH(L$2,DetailByDistrict[#Headers],0))*K36,2)</f>
        <v>65.260000000000005</v>
      </c>
      <c r="M36" s="59">
        <f>ROUND(INDEX(DetailByDistrict[],MATCH($H36,DetailByDistrict[Dist],0),MATCH(M$2,DetailByDistrict[#Headers],0))*K36,2)</f>
        <v>72.69</v>
      </c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25">
      <c r="A37" s="57" t="s">
        <v>0</v>
      </c>
      <c r="B37" s="54" t="s">
        <v>967</v>
      </c>
      <c r="C37" s="54" t="s">
        <v>864</v>
      </c>
      <c r="D37" s="53">
        <v>3105</v>
      </c>
      <c r="E37" s="53">
        <v>8105</v>
      </c>
      <c r="F37" s="54" t="s">
        <v>980</v>
      </c>
      <c r="G37" s="53" t="s">
        <v>13</v>
      </c>
      <c r="H37" s="58" t="str">
        <f>_xlfn.IFNA(INDEX(ActiveSchools!$C$2:$F$326,MATCH(G37,ActiveSchools!$F$2:$F$326,0),1),"Total")</f>
        <v>4869</v>
      </c>
      <c r="I37" s="53">
        <v>6</v>
      </c>
      <c r="J37" s="59">
        <f>_xlfn.IFNA(INDEX(DetailByDistrict[],MATCH($H37,DetailByDistrict[Dist],0),MATCH(J$2,DetailByDistrict[#Headers],0)),0)</f>
        <v>11</v>
      </c>
      <c r="K37" s="54">
        <f t="shared" si="0"/>
        <v>0.54545454545454541</v>
      </c>
      <c r="L37" s="59">
        <f>ROUND(INDEX(DetailByDistrict[],MATCH($H37,DetailByDistrict[Dist],0),MATCH(L$2,DetailByDistrict[#Headers],0))*K37,2)</f>
        <v>391.64</v>
      </c>
      <c r="M37" s="59">
        <f>ROUND(INDEX(DetailByDistrict[],MATCH($H37,DetailByDistrict[Dist],0),MATCH(M$2,DetailByDistrict[#Headers],0))*K37,2)</f>
        <v>436.36</v>
      </c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25">
      <c r="A38" s="57" t="s">
        <v>0</v>
      </c>
      <c r="B38" s="54" t="s">
        <v>967</v>
      </c>
      <c r="C38" s="54" t="s">
        <v>864</v>
      </c>
      <c r="D38" s="53">
        <v>3105</v>
      </c>
      <c r="E38" s="53">
        <v>8105</v>
      </c>
      <c r="F38" s="54" t="s">
        <v>981</v>
      </c>
      <c r="G38" s="53" t="s">
        <v>17</v>
      </c>
      <c r="H38" s="58" t="str">
        <f>_xlfn.IFNA(INDEX(ActiveSchools!$C$2:$F$326,MATCH(G38,ActiveSchools!$F$2:$F$326,0),1),"Total")</f>
        <v>6175</v>
      </c>
      <c r="I38" s="53">
        <v>2</v>
      </c>
      <c r="J38" s="59">
        <f>_xlfn.IFNA(INDEX(DetailByDistrict[],MATCH($H38,DetailByDistrict[Dist],0),MATCH(J$2,DetailByDistrict[#Headers],0)),0)</f>
        <v>4</v>
      </c>
      <c r="K38" s="54">
        <f t="shared" si="0"/>
        <v>0.5</v>
      </c>
      <c r="L38" s="59">
        <f>ROUND(INDEX(DetailByDistrict[],MATCH($H38,DetailByDistrict[Dist],0),MATCH(L$2,DetailByDistrict[#Headers],0))*K38,2)</f>
        <v>130.5</v>
      </c>
      <c r="M38" s="59">
        <f>ROUND(INDEX(DetailByDistrict[],MATCH($H38,DetailByDistrict[Dist],0),MATCH(M$2,DetailByDistrict[#Headers],0))*K38,2)</f>
        <v>145.5</v>
      </c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25">
      <c r="A39" s="57" t="s">
        <v>0</v>
      </c>
      <c r="B39" s="54" t="s">
        <v>967</v>
      </c>
      <c r="C39" s="54" t="s">
        <v>865</v>
      </c>
      <c r="D39" s="53">
        <v>3105</v>
      </c>
      <c r="E39" s="53">
        <v>8121</v>
      </c>
      <c r="F39" s="54" t="s">
        <v>980</v>
      </c>
      <c r="G39" s="53" t="s">
        <v>13</v>
      </c>
      <c r="H39" s="58" t="str">
        <f>_xlfn.IFNA(INDEX(ActiveSchools!$C$2:$F$326,MATCH(G39,ActiveSchools!$F$2:$F$326,0),1),"Total")</f>
        <v>4869</v>
      </c>
      <c r="I39" s="53">
        <v>2</v>
      </c>
      <c r="J39" s="59">
        <f>_xlfn.IFNA(INDEX(DetailByDistrict[],MATCH($H39,DetailByDistrict[Dist],0),MATCH(J$2,DetailByDistrict[#Headers],0)),0)</f>
        <v>11</v>
      </c>
      <c r="K39" s="54">
        <f t="shared" si="0"/>
        <v>0.18181818181818182</v>
      </c>
      <c r="L39" s="59">
        <f>ROUND(INDEX(DetailByDistrict[],MATCH($H39,DetailByDistrict[Dist],0),MATCH(L$2,DetailByDistrict[#Headers],0))*K39,2)</f>
        <v>130.55000000000001</v>
      </c>
      <c r="M39" s="59">
        <f>ROUND(INDEX(DetailByDistrict[],MATCH($H39,DetailByDistrict[Dist],0),MATCH(M$2,DetailByDistrict[#Headers],0))*K39,2)</f>
        <v>145.44999999999999</v>
      </c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25">
      <c r="A40" s="57" t="s">
        <v>0</v>
      </c>
      <c r="B40" s="54" t="s">
        <v>967</v>
      </c>
      <c r="C40" s="54" t="s">
        <v>890</v>
      </c>
      <c r="D40" s="53">
        <v>4131</v>
      </c>
      <c r="E40" s="53">
        <v>8102</v>
      </c>
      <c r="F40" s="54" t="s">
        <v>973</v>
      </c>
      <c r="G40" s="53" t="s">
        <v>8</v>
      </c>
      <c r="H40" s="58" t="str">
        <f>_xlfn.IFNA(INDEX(ActiveSchools!$C$2:$F$326,MATCH(G40,ActiveSchools!$F$2:$F$326,0),1),"Total")</f>
        <v>3029</v>
      </c>
      <c r="I40" s="53">
        <v>2</v>
      </c>
      <c r="J40" s="59">
        <f>_xlfn.IFNA(INDEX(DetailByDistrict[],MATCH($H40,DetailByDistrict[Dist],0),MATCH(J$2,DetailByDistrict[#Headers],0)),0)</f>
        <v>120</v>
      </c>
      <c r="K40" s="54">
        <f t="shared" si="0"/>
        <v>1.6666666666666666E-2</v>
      </c>
      <c r="L40" s="59">
        <f>ROUND(INDEX(DetailByDistrict[],MATCH($H40,DetailByDistrict[Dist],0),MATCH(L$2,DetailByDistrict[#Headers],0))*K40,2)</f>
        <v>130.52000000000001</v>
      </c>
      <c r="M40" s="59">
        <f>ROUND(INDEX(DetailByDistrict[],MATCH($H40,DetailByDistrict[Dist],0),MATCH(M$2,DetailByDistrict[#Headers],0))*K40,2)</f>
        <v>145.38</v>
      </c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25">
      <c r="A41" s="57" t="s">
        <v>0</v>
      </c>
      <c r="B41" s="54" t="s">
        <v>967</v>
      </c>
      <c r="C41" s="54" t="s">
        <v>897</v>
      </c>
      <c r="D41" s="53">
        <v>4446</v>
      </c>
      <c r="E41" s="53">
        <v>8106</v>
      </c>
      <c r="F41" s="54" t="s">
        <v>979</v>
      </c>
      <c r="G41" s="53" t="s">
        <v>9</v>
      </c>
      <c r="H41" s="58" t="str">
        <f>_xlfn.IFNA(INDEX(ActiveSchools!$C$2:$F$326,MATCH(G41,ActiveSchools!$F$2:$F$326,0),1),"Total")</f>
        <v>4043</v>
      </c>
      <c r="I41" s="53">
        <v>2</v>
      </c>
      <c r="J41" s="59">
        <f>_xlfn.IFNA(INDEX(DetailByDistrict[],MATCH($H41,DetailByDistrict[Dist],0),MATCH(J$2,DetailByDistrict[#Headers],0)),0)</f>
        <v>40</v>
      </c>
      <c r="K41" s="54">
        <f t="shared" si="0"/>
        <v>0.05</v>
      </c>
      <c r="L41" s="59">
        <f>ROUND(INDEX(DetailByDistrict[],MATCH($H41,DetailByDistrict[Dist],0),MATCH(L$2,DetailByDistrict[#Headers],0))*K41,2)</f>
        <v>130.5</v>
      </c>
      <c r="M41" s="59">
        <f>ROUND(INDEX(DetailByDistrict[],MATCH($H41,DetailByDistrict[Dist],0),MATCH(M$2,DetailByDistrict[#Headers],0))*K41,2)</f>
        <v>145.4</v>
      </c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25">
      <c r="A42" s="57" t="s">
        <v>0</v>
      </c>
      <c r="B42" s="54" t="s">
        <v>967</v>
      </c>
      <c r="C42" s="54" t="s">
        <v>900</v>
      </c>
      <c r="D42" s="53">
        <v>4662</v>
      </c>
      <c r="E42" s="53">
        <v>8106</v>
      </c>
      <c r="F42" s="54" t="s">
        <v>974</v>
      </c>
      <c r="G42" s="53" t="s">
        <v>11</v>
      </c>
      <c r="H42" s="58" t="str">
        <f>_xlfn.IFNA(INDEX(ActiveSchools!$C$2:$F$326,MATCH(G42,ActiveSchools!$F$2:$F$326,0),1),"Total")</f>
        <v>4662</v>
      </c>
      <c r="I42" s="53">
        <v>69</v>
      </c>
      <c r="J42" s="59">
        <f>_xlfn.IFNA(INDEX(DetailByDistrict[],MATCH($H42,DetailByDistrict[Dist],0),MATCH(J$2,DetailByDistrict[#Headers],0)),0)</f>
        <v>71</v>
      </c>
      <c r="K42" s="54">
        <f t="shared" si="0"/>
        <v>0.971830985915493</v>
      </c>
      <c r="L42" s="59">
        <f>ROUND(INDEX(DetailByDistrict[],MATCH($H42,DetailByDistrict[Dist],0),MATCH(L$2,DetailByDistrict[#Headers],0))*K42,2)</f>
        <v>4502.49</v>
      </c>
      <c r="M42" s="59">
        <f>ROUND(INDEX(DetailByDistrict[],MATCH($H42,DetailByDistrict[Dist],0),MATCH(M$2,DetailByDistrict[#Headers],0))*K42,2)</f>
        <v>5015.62</v>
      </c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25">
      <c r="A43" s="57" t="s">
        <v>0</v>
      </c>
      <c r="B43" s="54" t="s">
        <v>967</v>
      </c>
      <c r="C43" s="54" t="s">
        <v>900</v>
      </c>
      <c r="D43" s="53">
        <v>4662</v>
      </c>
      <c r="E43" s="53">
        <v>8106</v>
      </c>
      <c r="F43" s="54" t="s">
        <v>982</v>
      </c>
      <c r="G43" s="53" t="s">
        <v>18</v>
      </c>
      <c r="H43" s="58" t="str">
        <f>_xlfn.IFNA(INDEX(ActiveSchools!$C$2:$F$326,MATCH(G43,ActiveSchools!$F$2:$F$326,0),1),"Total")</f>
        <v>6509</v>
      </c>
      <c r="I43" s="53">
        <v>1</v>
      </c>
      <c r="J43" s="59">
        <f>_xlfn.IFNA(INDEX(DetailByDistrict[],MATCH($H43,DetailByDistrict[Dist],0),MATCH(J$2,DetailByDistrict[#Headers],0)),0)</f>
        <v>54</v>
      </c>
      <c r="K43" s="54">
        <f t="shared" si="0"/>
        <v>1.8518518518518517E-2</v>
      </c>
      <c r="L43" s="59">
        <f>ROUND(INDEX(DetailByDistrict[],MATCH($H43,DetailByDistrict[Dist],0),MATCH(L$2,DetailByDistrict[#Headers],0))*K43,2)</f>
        <v>65.260000000000005</v>
      </c>
      <c r="M43" s="59">
        <f>ROUND(INDEX(DetailByDistrict[],MATCH($H43,DetailByDistrict[Dist],0),MATCH(M$2,DetailByDistrict[#Headers],0))*K43,2)</f>
        <v>72.69</v>
      </c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25">
      <c r="A44" s="57" t="s">
        <v>0</v>
      </c>
      <c r="B44" s="54" t="s">
        <v>967</v>
      </c>
      <c r="C44" s="54" t="s">
        <v>927</v>
      </c>
      <c r="D44" s="53">
        <v>6100</v>
      </c>
      <c r="E44" s="53">
        <v>8101</v>
      </c>
      <c r="F44" s="54" t="s">
        <v>973</v>
      </c>
      <c r="G44" s="53" t="s">
        <v>8</v>
      </c>
      <c r="H44" s="58" t="str">
        <f>_xlfn.IFNA(INDEX(ActiveSchools!$C$2:$F$326,MATCH(G44,ActiveSchools!$F$2:$F$326,0),1),"Total")</f>
        <v>3029</v>
      </c>
      <c r="I44" s="53">
        <v>1</v>
      </c>
      <c r="J44" s="59">
        <f>_xlfn.IFNA(INDEX(DetailByDistrict[],MATCH($H44,DetailByDistrict[Dist],0),MATCH(J$2,DetailByDistrict[#Headers],0)),0)</f>
        <v>120</v>
      </c>
      <c r="K44" s="54">
        <f t="shared" si="0"/>
        <v>8.3333333333333332E-3</v>
      </c>
      <c r="L44" s="59">
        <f>ROUND(INDEX(DetailByDistrict[],MATCH($H44,DetailByDistrict[Dist],0),MATCH(L$2,DetailByDistrict[#Headers],0))*K44,2)</f>
        <v>65.260000000000005</v>
      </c>
      <c r="M44" s="59">
        <f>ROUND(INDEX(DetailByDistrict[],MATCH($H44,DetailByDistrict[Dist],0),MATCH(M$2,DetailByDistrict[#Headers],0))*K44,2)</f>
        <v>72.69</v>
      </c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25">
      <c r="A45" s="57" t="s">
        <v>0</v>
      </c>
      <c r="B45" s="54" t="s">
        <v>967</v>
      </c>
      <c r="C45" s="54" t="s">
        <v>927</v>
      </c>
      <c r="D45" s="53">
        <v>6100</v>
      </c>
      <c r="E45" s="53">
        <v>8101</v>
      </c>
      <c r="F45" s="54" t="s">
        <v>971</v>
      </c>
      <c r="G45" s="53" t="s">
        <v>14</v>
      </c>
      <c r="H45" s="58" t="str">
        <f>_xlfn.IFNA(INDEX(ActiveSchools!$C$2:$F$326,MATCH(G45,ActiveSchools!$F$2:$F$326,0),1),"Total")</f>
        <v>5310</v>
      </c>
      <c r="I45" s="53">
        <v>2</v>
      </c>
      <c r="J45" s="59">
        <f>_xlfn.IFNA(INDEX(DetailByDistrict[],MATCH($H45,DetailByDistrict[Dist],0),MATCH(J$2,DetailByDistrict[#Headers],0)),0)</f>
        <v>6</v>
      </c>
      <c r="K45" s="54">
        <f t="shared" si="0"/>
        <v>0.33333333333333331</v>
      </c>
      <c r="L45" s="59">
        <f>ROUND(INDEX(DetailByDistrict[],MATCH($H45,DetailByDistrict[Dist],0),MATCH(L$2,DetailByDistrict[#Headers],0))*K45,2)</f>
        <v>130.66999999999999</v>
      </c>
      <c r="M45" s="59">
        <f>ROUND(INDEX(DetailByDistrict[],MATCH($H45,DetailByDistrict[Dist],0),MATCH(M$2,DetailByDistrict[#Headers],0))*K45,2)</f>
        <v>145.33000000000001</v>
      </c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25">
      <c r="A46" s="57" t="s">
        <v>0</v>
      </c>
      <c r="B46" s="54" t="s">
        <v>967</v>
      </c>
      <c r="C46" s="54" t="s">
        <v>927</v>
      </c>
      <c r="D46" s="53">
        <v>6100</v>
      </c>
      <c r="E46" s="53">
        <v>8101</v>
      </c>
      <c r="F46" s="54" t="s">
        <v>977</v>
      </c>
      <c r="G46" s="53" t="s">
        <v>16</v>
      </c>
      <c r="H46" s="58" t="str">
        <f>_xlfn.IFNA(INDEX(ActiveSchools!$C$2:$F$326,MATCH(G46,ActiveSchools!$F$2:$F$326,0),1),"Total")</f>
        <v>6100</v>
      </c>
      <c r="I46" s="53">
        <v>38</v>
      </c>
      <c r="J46" s="59">
        <f>_xlfn.IFNA(INDEX(DetailByDistrict[],MATCH($H46,DetailByDistrict[Dist],0),MATCH(J$2,DetailByDistrict[#Headers],0)),0)</f>
        <v>160</v>
      </c>
      <c r="K46" s="54">
        <f t="shared" si="0"/>
        <v>0.23749999999999999</v>
      </c>
      <c r="L46" s="59">
        <f>ROUND(INDEX(DetailByDistrict[],MATCH($H46,DetailByDistrict[Dist],0),MATCH(L$2,DetailByDistrict[#Headers],0))*K46,2)</f>
        <v>2479.98</v>
      </c>
      <c r="M46" s="59">
        <f>ROUND(INDEX(DetailByDistrict[],MATCH($H46,DetailByDistrict[Dist],0),MATCH(M$2,DetailByDistrict[#Headers],0))*K46,2)</f>
        <v>2762.13</v>
      </c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25">
      <c r="A47" s="57" t="s">
        <v>0</v>
      </c>
      <c r="B47" s="54" t="s">
        <v>967</v>
      </c>
      <c r="C47" s="54" t="s">
        <v>927</v>
      </c>
      <c r="D47" s="53">
        <v>6100</v>
      </c>
      <c r="E47" s="53">
        <v>8101</v>
      </c>
      <c r="F47" s="54" t="s">
        <v>982</v>
      </c>
      <c r="G47" s="53" t="s">
        <v>18</v>
      </c>
      <c r="H47" s="58" t="str">
        <f>_xlfn.IFNA(INDEX(ActiveSchools!$C$2:$F$326,MATCH(G47,ActiveSchools!$F$2:$F$326,0),1),"Total")</f>
        <v>6509</v>
      </c>
      <c r="I47" s="53">
        <v>1</v>
      </c>
      <c r="J47" s="59">
        <f>_xlfn.IFNA(INDEX(DetailByDistrict[],MATCH($H47,DetailByDistrict[Dist],0),MATCH(J$2,DetailByDistrict[#Headers],0)),0)</f>
        <v>54</v>
      </c>
      <c r="K47" s="54">
        <f t="shared" si="0"/>
        <v>1.8518518518518517E-2</v>
      </c>
      <c r="L47" s="59">
        <f>ROUND(INDEX(DetailByDistrict[],MATCH($H47,DetailByDistrict[Dist],0),MATCH(L$2,DetailByDistrict[#Headers],0))*K47,2)</f>
        <v>65.260000000000005</v>
      </c>
      <c r="M47" s="59">
        <f>ROUND(INDEX(DetailByDistrict[],MATCH($H47,DetailByDistrict[Dist],0),MATCH(M$2,DetailByDistrict[#Headers],0))*K47,2)</f>
        <v>72.69</v>
      </c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25">
      <c r="A48" s="57" t="s">
        <v>0</v>
      </c>
      <c r="B48" s="54" t="s">
        <v>967</v>
      </c>
      <c r="C48" s="54" t="s">
        <v>928</v>
      </c>
      <c r="D48" s="53">
        <v>6100</v>
      </c>
      <c r="E48" s="53">
        <v>8105</v>
      </c>
      <c r="F48" s="54" t="s">
        <v>968</v>
      </c>
      <c r="G48" s="57" t="s">
        <v>1</v>
      </c>
      <c r="H48" s="58" t="str">
        <f>_xlfn.IFNA(INDEX(ActiveSchools!$C$2:$F$326,MATCH(G48,ActiveSchools!$F$2:$F$326,0),1),"Total")</f>
        <v>0135</v>
      </c>
      <c r="I48" s="53">
        <v>1</v>
      </c>
      <c r="J48" s="59">
        <f>_xlfn.IFNA(INDEX(DetailByDistrict[],MATCH($H48,DetailByDistrict[Dist],0),MATCH(J$2,DetailByDistrict[#Headers],0)),0)</f>
        <v>155</v>
      </c>
      <c r="K48" s="54">
        <f t="shared" si="0"/>
        <v>6.4516129032258064E-3</v>
      </c>
      <c r="L48" s="59">
        <f>ROUND(INDEX(DetailByDistrict[],MATCH($H48,DetailByDistrict[Dist],0),MATCH(L$2,DetailByDistrict[#Headers],0))*K48,2)</f>
        <v>65.260000000000005</v>
      </c>
      <c r="M48" s="59">
        <f>ROUND(INDEX(DetailByDistrict[],MATCH($H48,DetailByDistrict[Dist],0),MATCH(M$2,DetailByDistrict[#Headers],0))*K48,2)</f>
        <v>72.69</v>
      </c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25">
      <c r="A49" s="57" t="s">
        <v>0</v>
      </c>
      <c r="B49" s="54" t="s">
        <v>967</v>
      </c>
      <c r="C49" s="54" t="s">
        <v>928</v>
      </c>
      <c r="D49" s="53">
        <v>6100</v>
      </c>
      <c r="E49" s="53">
        <v>8105</v>
      </c>
      <c r="F49" s="54" t="s">
        <v>973</v>
      </c>
      <c r="G49" s="53" t="s">
        <v>8</v>
      </c>
      <c r="H49" s="58" t="str">
        <f>_xlfn.IFNA(INDEX(ActiveSchools!$C$2:$F$326,MATCH(G49,ActiveSchools!$F$2:$F$326,0),1),"Total")</f>
        <v>3029</v>
      </c>
      <c r="I49" s="53">
        <v>6</v>
      </c>
      <c r="J49" s="59">
        <f>_xlfn.IFNA(INDEX(DetailByDistrict[],MATCH($H49,DetailByDistrict[Dist],0),MATCH(J$2,DetailByDistrict[#Headers],0)),0)</f>
        <v>120</v>
      </c>
      <c r="K49" s="54">
        <f t="shared" si="0"/>
        <v>0.05</v>
      </c>
      <c r="L49" s="59">
        <f>ROUND(INDEX(DetailByDistrict[],MATCH($H49,DetailByDistrict[Dist],0),MATCH(L$2,DetailByDistrict[#Headers],0))*K49,2)</f>
        <v>391.55</v>
      </c>
      <c r="M49" s="59">
        <f>ROUND(INDEX(DetailByDistrict[],MATCH($H49,DetailByDistrict[Dist],0),MATCH(M$2,DetailByDistrict[#Headers],0))*K49,2)</f>
        <v>436.15</v>
      </c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25">
      <c r="A50" s="57" t="s">
        <v>0</v>
      </c>
      <c r="B50" s="54" t="s">
        <v>967</v>
      </c>
      <c r="C50" s="54" t="s">
        <v>928</v>
      </c>
      <c r="D50" s="53">
        <v>6100</v>
      </c>
      <c r="E50" s="53">
        <v>8105</v>
      </c>
      <c r="F50" s="54" t="s">
        <v>983</v>
      </c>
      <c r="G50" s="53" t="s">
        <v>12</v>
      </c>
      <c r="H50" s="58" t="str">
        <f>_xlfn.IFNA(INDEX(ActiveSchools!$C$2:$F$326,MATCH(G50,ActiveSchools!$F$2:$F$326,0),1),"Total")</f>
        <v>4774</v>
      </c>
      <c r="I50" s="53">
        <v>2</v>
      </c>
      <c r="J50" s="59">
        <f>_xlfn.IFNA(INDEX(DetailByDistrict[],MATCH($H50,DetailByDistrict[Dist],0),MATCH(J$2,DetailByDistrict[#Headers],0)),0)</f>
        <v>2</v>
      </c>
      <c r="K50" s="54">
        <f t="shared" si="0"/>
        <v>1</v>
      </c>
      <c r="L50" s="59">
        <f>ROUND(INDEX(DetailByDistrict[],MATCH($H50,DetailByDistrict[Dist],0),MATCH(L$2,DetailByDistrict[#Headers],0))*K50,2)</f>
        <v>131</v>
      </c>
      <c r="M50" s="59">
        <f>ROUND(INDEX(DetailByDistrict[],MATCH($H50,DetailByDistrict[Dist],0),MATCH(M$2,DetailByDistrict[#Headers],0))*K50,2)</f>
        <v>145</v>
      </c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25">
      <c r="A51" s="57" t="s">
        <v>0</v>
      </c>
      <c r="B51" s="54" t="s">
        <v>967</v>
      </c>
      <c r="C51" s="54" t="s">
        <v>928</v>
      </c>
      <c r="D51" s="53">
        <v>6100</v>
      </c>
      <c r="E51" s="53">
        <v>8105</v>
      </c>
      <c r="F51" s="54" t="s">
        <v>971</v>
      </c>
      <c r="G51" s="53" t="s">
        <v>14</v>
      </c>
      <c r="H51" s="58" t="str">
        <f>_xlfn.IFNA(INDEX(ActiveSchools!$C$2:$F$326,MATCH(G51,ActiveSchools!$F$2:$F$326,0),1),"Total")</f>
        <v>5310</v>
      </c>
      <c r="I51" s="53">
        <v>1</v>
      </c>
      <c r="J51" s="59">
        <f>_xlfn.IFNA(INDEX(DetailByDistrict[],MATCH($H51,DetailByDistrict[Dist],0),MATCH(J$2,DetailByDistrict[#Headers],0)),0)</f>
        <v>6</v>
      </c>
      <c r="K51" s="54">
        <f t="shared" si="0"/>
        <v>0.16666666666666666</v>
      </c>
      <c r="L51" s="59">
        <f>ROUND(INDEX(DetailByDistrict[],MATCH($H51,DetailByDistrict[Dist],0),MATCH(L$2,DetailByDistrict[#Headers],0))*K51,2)</f>
        <v>65.33</v>
      </c>
      <c r="M51" s="59">
        <f>ROUND(INDEX(DetailByDistrict[],MATCH($H51,DetailByDistrict[Dist],0),MATCH(M$2,DetailByDistrict[#Headers],0))*K51,2)+0.02</f>
        <v>72.69</v>
      </c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25">
      <c r="A52" s="57" t="s">
        <v>0</v>
      </c>
      <c r="B52" s="54" t="s">
        <v>967</v>
      </c>
      <c r="C52" s="54" t="s">
        <v>928</v>
      </c>
      <c r="D52" s="53">
        <v>6100</v>
      </c>
      <c r="E52" s="53">
        <v>8105</v>
      </c>
      <c r="F52" s="54" t="s">
        <v>977</v>
      </c>
      <c r="G52" s="53" t="s">
        <v>16</v>
      </c>
      <c r="H52" s="58" t="str">
        <f>_xlfn.IFNA(INDEX(ActiveSchools!$C$2:$F$326,MATCH(G52,ActiveSchools!$F$2:$F$326,0),1),"Total")</f>
        <v>6100</v>
      </c>
      <c r="I52" s="53">
        <v>117</v>
      </c>
      <c r="J52" s="59">
        <f>_xlfn.IFNA(INDEX(DetailByDistrict[],MATCH($H52,DetailByDistrict[Dist],0),MATCH(J$2,DetailByDistrict[#Headers],0)),0)</f>
        <v>160</v>
      </c>
      <c r="K52" s="54">
        <f t="shared" si="0"/>
        <v>0.73124999999999996</v>
      </c>
      <c r="L52" s="59">
        <f>ROUND(INDEX(DetailByDistrict[],MATCH($H52,DetailByDistrict[Dist],0),MATCH(L$2,DetailByDistrict[#Headers],0))*K52,2)</f>
        <v>7635.71</v>
      </c>
      <c r="M52" s="59">
        <f>ROUND(INDEX(DetailByDistrict[],MATCH($H52,DetailByDistrict[Dist],0),MATCH(M$2,DetailByDistrict[#Headers],0))*K52,2)</f>
        <v>8504.44</v>
      </c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25">
      <c r="A53" s="57" t="s">
        <v>0</v>
      </c>
      <c r="B53" s="54" t="s">
        <v>967</v>
      </c>
      <c r="C53" s="54" t="s">
        <v>928</v>
      </c>
      <c r="D53" s="53">
        <v>6100</v>
      </c>
      <c r="E53" s="53">
        <v>8105</v>
      </c>
      <c r="F53" s="54" t="s">
        <v>982</v>
      </c>
      <c r="G53" s="53" t="s">
        <v>18</v>
      </c>
      <c r="H53" s="58" t="str">
        <f>_xlfn.IFNA(INDEX(ActiveSchools!$C$2:$F$326,MATCH(G53,ActiveSchools!$F$2:$F$326,0),1),"Total")</f>
        <v>6509</v>
      </c>
      <c r="I53" s="53">
        <v>6</v>
      </c>
      <c r="J53" s="59">
        <f>_xlfn.IFNA(INDEX(DetailByDistrict[],MATCH($H53,DetailByDistrict[Dist],0),MATCH(J$2,DetailByDistrict[#Headers],0)),0)</f>
        <v>54</v>
      </c>
      <c r="K53" s="54">
        <f t="shared" si="0"/>
        <v>0.1111111111111111</v>
      </c>
      <c r="L53" s="59">
        <f>ROUND(INDEX(DetailByDistrict[],MATCH($H53,DetailByDistrict[Dist],0),MATCH(L$2,DetailByDistrict[#Headers],0))*K53,2)</f>
        <v>391.56</v>
      </c>
      <c r="M53" s="59">
        <f>ROUND(INDEX(DetailByDistrict[],MATCH($H53,DetailByDistrict[Dist],0),MATCH(M$2,DetailByDistrict[#Headers],0))*K53,2)</f>
        <v>436.11</v>
      </c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25">
      <c r="A54" s="57" t="s">
        <v>0</v>
      </c>
      <c r="B54" s="54" t="s">
        <v>967</v>
      </c>
      <c r="C54" s="54" t="s">
        <v>932</v>
      </c>
      <c r="D54" s="53">
        <v>6509</v>
      </c>
      <c r="E54" s="53">
        <v>8109</v>
      </c>
      <c r="F54" s="54" t="s">
        <v>973</v>
      </c>
      <c r="G54" s="53" t="s">
        <v>8</v>
      </c>
      <c r="H54" s="58" t="str">
        <f>_xlfn.IFNA(INDEX(ActiveSchools!$C$2:$F$326,MATCH(G54,ActiveSchools!$F$2:$F$326,0),1),"Total")</f>
        <v>3029</v>
      </c>
      <c r="I54" s="53">
        <v>5</v>
      </c>
      <c r="J54" s="59">
        <f>_xlfn.IFNA(INDEX(DetailByDistrict[],MATCH($H54,DetailByDistrict[Dist],0),MATCH(J$2,DetailByDistrict[#Headers],0)),0)</f>
        <v>120</v>
      </c>
      <c r="K54" s="54">
        <f t="shared" si="0"/>
        <v>4.1666666666666664E-2</v>
      </c>
      <c r="L54" s="59">
        <f>ROUND(INDEX(DetailByDistrict[],MATCH($H54,DetailByDistrict[Dist],0),MATCH(L$2,DetailByDistrict[#Headers],0))*K54,2)</f>
        <v>326.29000000000002</v>
      </c>
      <c r="M54" s="59">
        <f>ROUND(INDEX(DetailByDistrict[],MATCH($H54,DetailByDistrict[Dist],0),MATCH(M$2,DetailByDistrict[#Headers],0))*K54,2)</f>
        <v>363.46</v>
      </c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25">
      <c r="A55" s="57" t="s">
        <v>0</v>
      </c>
      <c r="B55" s="54" t="s">
        <v>967</v>
      </c>
      <c r="C55" s="54" t="s">
        <v>932</v>
      </c>
      <c r="D55" s="53">
        <v>6509</v>
      </c>
      <c r="E55" s="53">
        <v>8109</v>
      </c>
      <c r="F55" s="54" t="s">
        <v>977</v>
      </c>
      <c r="G55" s="53" t="s">
        <v>16</v>
      </c>
      <c r="H55" s="58" t="str">
        <f>_xlfn.IFNA(INDEX(ActiveSchools!$C$2:$F$326,MATCH(G55,ActiveSchools!$F$2:$F$326,0),1),"Total")</f>
        <v>6100</v>
      </c>
      <c r="I55" s="53">
        <v>3</v>
      </c>
      <c r="J55" s="59">
        <f>_xlfn.IFNA(INDEX(DetailByDistrict[],MATCH($H55,DetailByDistrict[Dist],0),MATCH(J$2,DetailByDistrict[#Headers],0)),0)</f>
        <v>160</v>
      </c>
      <c r="K55" s="54">
        <f t="shared" si="0"/>
        <v>1.8749999999999999E-2</v>
      </c>
      <c r="L55" s="59">
        <f>ROUND(INDEX(DetailByDistrict[],MATCH($H55,DetailByDistrict[Dist],0),MATCH(L$2,DetailByDistrict[#Headers],0))*K55,2)</f>
        <v>195.79</v>
      </c>
      <c r="M55" s="59">
        <f>ROUND(INDEX(DetailByDistrict[],MATCH($H55,DetailByDistrict[Dist],0),MATCH(M$2,DetailByDistrict[#Headers],0))*K55,2)</f>
        <v>218.06</v>
      </c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25">
      <c r="A56" s="57" t="s">
        <v>0</v>
      </c>
      <c r="B56" s="54" t="s">
        <v>967</v>
      </c>
      <c r="C56" s="54" t="s">
        <v>932</v>
      </c>
      <c r="D56" s="53">
        <v>6509</v>
      </c>
      <c r="E56" s="53">
        <v>8109</v>
      </c>
      <c r="F56" s="54" t="s">
        <v>982</v>
      </c>
      <c r="G56" s="53" t="s">
        <v>18</v>
      </c>
      <c r="H56" s="58" t="str">
        <f>_xlfn.IFNA(INDEX(ActiveSchools!$C$2:$F$326,MATCH(G56,ActiveSchools!$F$2:$F$326,0),1),"Total")</f>
        <v>6509</v>
      </c>
      <c r="I56" s="53">
        <v>46</v>
      </c>
      <c r="J56" s="59">
        <f>_xlfn.IFNA(INDEX(DetailByDistrict[],MATCH($H56,DetailByDistrict[Dist],0),MATCH(J$2,DetailByDistrict[#Headers],0)),0)</f>
        <v>54</v>
      </c>
      <c r="K56" s="54">
        <f t="shared" si="0"/>
        <v>0.85185185185185186</v>
      </c>
      <c r="L56" s="59">
        <f>ROUND(INDEX(DetailByDistrict[],MATCH($H56,DetailByDistrict[Dist],0),MATCH(L$2,DetailByDistrict[#Headers],0))*K56,2)</f>
        <v>3001.93</v>
      </c>
      <c r="M56" s="59">
        <f>ROUND(INDEX(DetailByDistrict[],MATCH($H56,DetailByDistrict[Dist],0),MATCH(M$2,DetailByDistrict[#Headers],0))*K56,2)</f>
        <v>3343.52</v>
      </c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25">
      <c r="A57" s="57" t="s">
        <v>0</v>
      </c>
      <c r="B57" s="54" t="s">
        <v>967</v>
      </c>
      <c r="C57" s="54" t="s">
        <v>939</v>
      </c>
      <c r="D57" s="53">
        <v>6795</v>
      </c>
      <c r="E57" s="53">
        <v>8110</v>
      </c>
      <c r="F57" s="54" t="s">
        <v>980</v>
      </c>
      <c r="G57" s="53" t="s">
        <v>13</v>
      </c>
      <c r="H57" s="58" t="str">
        <f>_xlfn.IFNA(INDEX(ActiveSchools!$C$2:$F$326,MATCH(G57,ActiveSchools!$F$2:$F$326,0),1),"Total")</f>
        <v>4869</v>
      </c>
      <c r="I57" s="53">
        <v>1</v>
      </c>
      <c r="J57" s="59">
        <f>_xlfn.IFNA(INDEX(DetailByDistrict[],MATCH($H57,DetailByDistrict[Dist],0),MATCH(J$2,DetailByDistrict[#Headers],0)),0)</f>
        <v>11</v>
      </c>
      <c r="K57" s="54">
        <f t="shared" si="0"/>
        <v>9.0909090909090912E-2</v>
      </c>
      <c r="L57" s="59">
        <f>ROUND(INDEX(DetailByDistrict[],MATCH($H57,DetailByDistrict[Dist],0),MATCH(L$2,DetailByDistrict[#Headers],0))*K57,2)</f>
        <v>65.27</v>
      </c>
      <c r="M57" s="59">
        <f>ROUND(INDEX(DetailByDistrict[],MATCH($H57,DetailByDistrict[Dist],0),MATCH(M$2,DetailByDistrict[#Headers],0))*K57,2)</f>
        <v>72.73</v>
      </c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25">
      <c r="A58" s="57" t="s">
        <v>0</v>
      </c>
      <c r="B58" s="54" t="s">
        <v>967</v>
      </c>
      <c r="C58" s="54" t="s">
        <v>942</v>
      </c>
      <c r="D58" s="53">
        <v>6795</v>
      </c>
      <c r="E58" s="53">
        <v>8115</v>
      </c>
      <c r="F58" s="54" t="s">
        <v>973</v>
      </c>
      <c r="G58" s="53" t="s">
        <v>8</v>
      </c>
      <c r="H58" s="58" t="str">
        <f>_xlfn.IFNA(INDEX(ActiveSchools!$C$2:$F$326,MATCH(G58,ActiveSchools!$F$2:$F$326,0),1),"Total")</f>
        <v>3029</v>
      </c>
      <c r="I58" s="53">
        <v>1</v>
      </c>
      <c r="J58" s="59">
        <f>_xlfn.IFNA(INDEX(DetailByDistrict[],MATCH($H58,DetailByDistrict[Dist],0),MATCH(J$2,DetailByDistrict[#Headers],0)),0)</f>
        <v>120</v>
      </c>
      <c r="K58" s="54">
        <f t="shared" si="0"/>
        <v>8.3333333333333332E-3</v>
      </c>
      <c r="L58" s="59">
        <f>ROUND(INDEX(DetailByDistrict[],MATCH($H58,DetailByDistrict[Dist],0),MATCH(L$2,DetailByDistrict[#Headers],0))*K58,2)</f>
        <v>65.260000000000005</v>
      </c>
      <c r="M58" s="59">
        <f>ROUND(INDEX(DetailByDistrict[],MATCH($H58,DetailByDistrict[Dist],0),MATCH(M$2,DetailByDistrict[#Headers],0))*K58,2)</f>
        <v>72.69</v>
      </c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25">
      <c r="A59" s="57" t="s">
        <v>0</v>
      </c>
      <c r="B59" s="54" t="s">
        <v>967</v>
      </c>
      <c r="C59" s="54" t="s">
        <v>942</v>
      </c>
      <c r="D59" s="53">
        <v>6795</v>
      </c>
      <c r="E59" s="53">
        <v>8115</v>
      </c>
      <c r="F59" s="54" t="s">
        <v>980</v>
      </c>
      <c r="G59" s="53" t="s">
        <v>13</v>
      </c>
      <c r="H59" s="58" t="str">
        <f>_xlfn.IFNA(INDEX(ActiveSchools!$C$2:$F$326,MATCH(G59,ActiveSchools!$F$2:$F$326,0),1),"Total")</f>
        <v>4869</v>
      </c>
      <c r="I59" s="53">
        <v>2</v>
      </c>
      <c r="J59" s="59">
        <f>_xlfn.IFNA(INDEX(DetailByDistrict[],MATCH($H59,DetailByDistrict[Dist],0),MATCH(J$2,DetailByDistrict[#Headers],0)),0)</f>
        <v>11</v>
      </c>
      <c r="K59" s="54">
        <f t="shared" si="0"/>
        <v>0.18181818181818182</v>
      </c>
      <c r="L59" s="59">
        <f>ROUND(INDEX(DetailByDistrict[],MATCH($H59,DetailByDistrict[Dist],0),MATCH(L$2,DetailByDistrict[#Headers],0))*K59,2)</f>
        <v>130.55000000000001</v>
      </c>
      <c r="M59" s="59">
        <f>ROUND(INDEX(DetailByDistrict[],MATCH($H59,DetailByDistrict[Dist],0),MATCH(M$2,DetailByDistrict[#Headers],0))*K59,2)</f>
        <v>145.44999999999999</v>
      </c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25">
      <c r="A60" s="57" t="s">
        <v>0</v>
      </c>
      <c r="B60" s="54" t="s">
        <v>967</v>
      </c>
      <c r="C60" s="54" t="s">
        <v>950</v>
      </c>
      <c r="D60" s="53">
        <v>6950</v>
      </c>
      <c r="E60" s="53">
        <v>8104</v>
      </c>
      <c r="F60" s="54" t="s">
        <v>984</v>
      </c>
      <c r="G60" s="53" t="s">
        <v>7</v>
      </c>
      <c r="H60" s="58" t="str">
        <f>_xlfn.IFNA(INDEX(ActiveSchools!$C$2:$F$326,MATCH(G60,ActiveSchools!$F$2:$F$326,0),1),"Total")</f>
        <v>1989</v>
      </c>
      <c r="I60" s="53">
        <v>2</v>
      </c>
      <c r="J60" s="59">
        <f>_xlfn.IFNA(INDEX(DetailByDistrict[],MATCH($H60,DetailByDistrict[Dist],0),MATCH(J$2,DetailByDistrict[#Headers],0)),0)</f>
        <v>21</v>
      </c>
      <c r="K60" s="54">
        <f t="shared" si="0"/>
        <v>9.5238095238095233E-2</v>
      </c>
      <c r="L60" s="59">
        <f>ROUND(INDEX(DetailByDistrict[],MATCH($H60,DetailByDistrict[Dist],0),MATCH(L$2,DetailByDistrict[#Headers],0))*K60,2)</f>
        <v>130.47999999999999</v>
      </c>
      <c r="M60" s="59">
        <f>ROUND(INDEX(DetailByDistrict[],MATCH($H60,DetailByDistrict[Dist],0),MATCH(M$2,DetailByDistrict[#Headers],0))*K60,2)</f>
        <v>145.33000000000001</v>
      </c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25">
      <c r="A61" s="57" t="s">
        <v>0</v>
      </c>
      <c r="B61" s="54" t="s">
        <v>967</v>
      </c>
      <c r="C61" s="54" t="s">
        <v>950</v>
      </c>
      <c r="D61" s="53">
        <v>6950</v>
      </c>
      <c r="E61" s="53">
        <v>8104</v>
      </c>
      <c r="F61" s="54" t="s">
        <v>979</v>
      </c>
      <c r="G61" s="53" t="s">
        <v>9</v>
      </c>
      <c r="H61" s="58" t="str">
        <f>_xlfn.IFNA(INDEX(ActiveSchools!$C$2:$F$326,MATCH(G61,ActiveSchools!$F$2:$F$326,0),1),"Total")</f>
        <v>4043</v>
      </c>
      <c r="I61" s="53">
        <v>9</v>
      </c>
      <c r="J61" s="59">
        <f>_xlfn.IFNA(INDEX(DetailByDistrict[],MATCH($H61,DetailByDistrict[Dist],0),MATCH(J$2,DetailByDistrict[#Headers],0)),0)</f>
        <v>40</v>
      </c>
      <c r="K61" s="54">
        <f t="shared" si="0"/>
        <v>0.22500000000000001</v>
      </c>
      <c r="L61" s="59">
        <f>ROUND(INDEX(DetailByDistrict[],MATCH($H61,DetailByDistrict[Dist],0),MATCH(L$2,DetailByDistrict[#Headers],0))*K61,2)</f>
        <v>587.25</v>
      </c>
      <c r="M61" s="59">
        <f>ROUND(INDEX(DetailByDistrict[],MATCH($H61,DetailByDistrict[Dist],0),MATCH(M$2,DetailByDistrict[#Headers],0))*K61,2)</f>
        <v>654.29999999999995</v>
      </c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25">
      <c r="A62" s="57" t="s">
        <v>0</v>
      </c>
      <c r="B62" s="54" t="s">
        <v>967</v>
      </c>
      <c r="C62" s="54" t="s">
        <v>950</v>
      </c>
      <c r="D62" s="53">
        <v>6950</v>
      </c>
      <c r="E62" s="53">
        <v>8104</v>
      </c>
      <c r="F62" s="54" t="s">
        <v>985</v>
      </c>
      <c r="G62" s="53" t="s">
        <v>20</v>
      </c>
      <c r="H62" s="58" t="str">
        <f>_xlfn.IFNA(INDEX(ActiveSchools!$C$2:$F$326,MATCH(G62,ActiveSchools!$F$2:$F$326,0),1),"Total")</f>
        <v>6950</v>
      </c>
      <c r="I62" s="53">
        <v>203</v>
      </c>
      <c r="J62" s="59">
        <f>_xlfn.IFNA(INDEX(DetailByDistrict[],MATCH($H62,DetailByDistrict[Dist],0),MATCH(J$2,DetailByDistrict[#Headers],0)),0)</f>
        <v>209</v>
      </c>
      <c r="K62" s="54">
        <f t="shared" si="0"/>
        <v>0.9712918660287081</v>
      </c>
      <c r="L62" s="59">
        <f>ROUND(INDEX(DetailByDistrict[],MATCH($H62,DetailByDistrict[Dist],0),MATCH(L$2,DetailByDistrict[#Headers],0))*K62,2)</f>
        <v>13247.45</v>
      </c>
      <c r="M62" s="59">
        <f>ROUND(INDEX(DetailByDistrict[],MATCH($H62,DetailByDistrict[Dist],0),MATCH(M$2,DetailByDistrict[#Headers],0))*K62,2)</f>
        <v>14755.87</v>
      </c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25">
      <c r="A63" s="57" t="s">
        <v>0</v>
      </c>
      <c r="B63" s="54" t="s">
        <v>967</v>
      </c>
      <c r="C63" s="54" t="s">
        <v>953</v>
      </c>
      <c r="D63" s="53">
        <v>6961</v>
      </c>
      <c r="E63" s="53">
        <v>8103</v>
      </c>
      <c r="F63" s="54" t="s">
        <v>972</v>
      </c>
      <c r="G63" s="53" t="s">
        <v>5</v>
      </c>
      <c r="H63" s="58" t="str">
        <f>_xlfn.IFNA(INDEX(ActiveSchools!$C$2:$F$326,MATCH(G63,ActiveSchools!$F$2:$F$326,0),1),"Total")</f>
        <v>1863</v>
      </c>
      <c r="I63" s="53">
        <v>1</v>
      </c>
      <c r="J63" s="59">
        <f>_xlfn.IFNA(INDEX(DetailByDistrict[],MATCH($H63,DetailByDistrict[Dist],0),MATCH(J$2,DetailByDistrict[#Headers],0)),0)</f>
        <v>1933</v>
      </c>
      <c r="K63" s="54">
        <f t="shared" si="0"/>
        <v>5.1733057423693739E-4</v>
      </c>
      <c r="L63" s="59">
        <f>ROUND(INDEX(DetailByDistrict[],MATCH($H63,DetailByDistrict[Dist],0),MATCH(L$2,DetailByDistrict[#Headers],0))*K63,2)</f>
        <v>65.260000000000005</v>
      </c>
      <c r="M63" s="59">
        <f>ROUND(INDEX(DetailByDistrict[],MATCH($H63,DetailByDistrict[Dist],0),MATCH(M$2,DetailByDistrict[#Headers],0))*K63,2)</f>
        <v>72.69</v>
      </c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25">
      <c r="A64" s="57" t="s">
        <v>0</v>
      </c>
      <c r="B64" s="54" t="s">
        <v>967</v>
      </c>
      <c r="C64" s="54" t="s">
        <v>953</v>
      </c>
      <c r="D64" s="53">
        <v>6961</v>
      </c>
      <c r="E64" s="53">
        <v>8103</v>
      </c>
      <c r="F64" s="54" t="s">
        <v>984</v>
      </c>
      <c r="G64" s="53" t="s">
        <v>7</v>
      </c>
      <c r="H64" s="58" t="str">
        <f>_xlfn.IFNA(INDEX(ActiveSchools!$C$2:$F$326,MATCH(G64,ActiveSchools!$F$2:$F$326,0),1),"Total")</f>
        <v>1989</v>
      </c>
      <c r="I64" s="53">
        <v>8</v>
      </c>
      <c r="J64" s="59">
        <f>_xlfn.IFNA(INDEX(DetailByDistrict[],MATCH($H64,DetailByDistrict[Dist],0),MATCH(J$2,DetailByDistrict[#Headers],0)),0)</f>
        <v>21</v>
      </c>
      <c r="K64" s="54">
        <f t="shared" si="0"/>
        <v>0.38095238095238093</v>
      </c>
      <c r="L64" s="59">
        <f>ROUND(INDEX(DetailByDistrict[],MATCH($H64,DetailByDistrict[Dist],0),MATCH(L$2,DetailByDistrict[#Headers],0))*K64,2)</f>
        <v>521.9</v>
      </c>
      <c r="M64" s="59">
        <f>ROUND(INDEX(DetailByDistrict[],MATCH($H64,DetailByDistrict[Dist],0),MATCH(M$2,DetailByDistrict[#Headers],0))*K64,2)</f>
        <v>581.33000000000004</v>
      </c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25">
      <c r="A65" s="57" t="s">
        <v>0</v>
      </c>
      <c r="B65" s="54" t="s">
        <v>967</v>
      </c>
      <c r="C65" s="54" t="s">
        <v>953</v>
      </c>
      <c r="D65" s="53">
        <v>6961</v>
      </c>
      <c r="E65" s="53">
        <v>8103</v>
      </c>
      <c r="F65" s="54" t="s">
        <v>986</v>
      </c>
      <c r="G65" s="53" t="s">
        <v>3</v>
      </c>
      <c r="H65" s="58" t="str">
        <f>_xlfn.IFNA(INDEX(ActiveSchools!$C$2:$F$326,MATCH(G65,ActiveSchools!$F$2:$F$326,0),1),"Total")</f>
        <v>2763</v>
      </c>
      <c r="I65" s="53">
        <v>5</v>
      </c>
      <c r="J65" s="59">
        <f>_xlfn.IFNA(INDEX(DetailByDistrict[],MATCH($H65,DetailByDistrict[Dist],0),MATCH(J$2,DetailByDistrict[#Headers],0)),0)</f>
        <v>11</v>
      </c>
      <c r="K65" s="54">
        <f t="shared" si="0"/>
        <v>0.45454545454545453</v>
      </c>
      <c r="L65" s="59">
        <f>ROUND(INDEX(DetailByDistrict[],MATCH($H65,DetailByDistrict[Dist],0),MATCH(L$2,DetailByDistrict[#Headers],0))*K65,2)</f>
        <v>326.36</v>
      </c>
      <c r="M65" s="59">
        <f>ROUND(INDEX(DetailByDistrict[],MATCH($H65,DetailByDistrict[Dist],0),MATCH(M$2,DetailByDistrict[#Headers],0))*K65,2)</f>
        <v>363.64</v>
      </c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25">
      <c r="A66" s="57" t="s">
        <v>0</v>
      </c>
      <c r="B66" s="54" t="s">
        <v>967</v>
      </c>
      <c r="C66" s="54" t="s">
        <v>953</v>
      </c>
      <c r="D66" s="53">
        <v>6961</v>
      </c>
      <c r="E66" s="53">
        <v>8103</v>
      </c>
      <c r="F66" s="54" t="s">
        <v>979</v>
      </c>
      <c r="G66" s="53" t="s">
        <v>9</v>
      </c>
      <c r="H66" s="58" t="str">
        <f>_xlfn.IFNA(INDEX(ActiveSchools!$C$2:$F$326,MATCH(G66,ActiveSchools!$F$2:$F$326,0),1),"Total")</f>
        <v>4043</v>
      </c>
      <c r="I66" s="53">
        <v>18</v>
      </c>
      <c r="J66" s="59">
        <f>_xlfn.IFNA(INDEX(DetailByDistrict[],MATCH($H66,DetailByDistrict[Dist],0),MATCH(J$2,DetailByDistrict[#Headers],0)),0)</f>
        <v>40</v>
      </c>
      <c r="K66" s="54">
        <f t="shared" si="0"/>
        <v>0.45</v>
      </c>
      <c r="L66" s="59">
        <f>ROUND(INDEX(DetailByDistrict[],MATCH($H66,DetailByDistrict[Dist],0),MATCH(L$2,DetailByDistrict[#Headers],0))*K66,2)</f>
        <v>1174.5</v>
      </c>
      <c r="M66" s="59">
        <f>ROUND(INDEX(DetailByDistrict[],MATCH($H66,DetailByDistrict[Dist],0),MATCH(M$2,DetailByDistrict[#Headers],0))*K66,2)</f>
        <v>1308.5999999999999</v>
      </c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25">
      <c r="A67" s="57" t="s">
        <v>0</v>
      </c>
      <c r="B67" s="54" t="s">
        <v>967</v>
      </c>
      <c r="C67" s="54" t="s">
        <v>953</v>
      </c>
      <c r="D67" s="53">
        <v>6961</v>
      </c>
      <c r="E67" s="53">
        <v>8103</v>
      </c>
      <c r="F67" s="54" t="s">
        <v>981</v>
      </c>
      <c r="G67" s="53" t="s">
        <v>17</v>
      </c>
      <c r="H67" s="58" t="str">
        <f>_xlfn.IFNA(INDEX(ActiveSchools!$C$2:$F$326,MATCH(G67,ActiveSchools!$F$2:$F$326,0),1),"Total")</f>
        <v>6175</v>
      </c>
      <c r="I67" s="53">
        <v>2</v>
      </c>
      <c r="J67" s="59">
        <f>_xlfn.IFNA(INDEX(DetailByDistrict[],MATCH($H67,DetailByDistrict[Dist],0),MATCH(J$2,DetailByDistrict[#Headers],0)),0)</f>
        <v>4</v>
      </c>
      <c r="K67" s="54">
        <f t="shared" si="0"/>
        <v>0.5</v>
      </c>
      <c r="L67" s="59">
        <f>ROUND(INDEX(DetailByDistrict[],MATCH($H67,DetailByDistrict[Dist],0),MATCH(L$2,DetailByDistrict[#Headers],0))*K67,2)</f>
        <v>130.5</v>
      </c>
      <c r="M67" s="59">
        <f>ROUND(INDEX(DetailByDistrict[],MATCH($H67,DetailByDistrict[Dist],0),MATCH(M$2,DetailByDistrict[#Headers],0))*K67,2)</f>
        <v>145.5</v>
      </c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25">
      <c r="A68" s="57" t="s">
        <v>0</v>
      </c>
      <c r="B68" s="54" t="s">
        <v>967</v>
      </c>
      <c r="C68" s="54" t="s">
        <v>953</v>
      </c>
      <c r="D68" s="53">
        <v>6961</v>
      </c>
      <c r="E68" s="53">
        <v>8103</v>
      </c>
      <c r="F68" s="54" t="s">
        <v>985</v>
      </c>
      <c r="G68" s="53" t="s">
        <v>20</v>
      </c>
      <c r="H68" s="58" t="str">
        <f>_xlfn.IFNA(INDEX(ActiveSchools!$C$2:$F$326,MATCH(G68,ActiveSchools!$F$2:$F$326,0),1),"Total")</f>
        <v>6950</v>
      </c>
      <c r="I68" s="53">
        <v>3</v>
      </c>
      <c r="J68" s="59">
        <f>_xlfn.IFNA(INDEX(DetailByDistrict[],MATCH($H68,DetailByDistrict[Dist],0),MATCH(J$2,DetailByDistrict[#Headers],0)),0)</f>
        <v>209</v>
      </c>
      <c r="K68" s="54">
        <f t="shared" ref="K68:K131" si="1">I68/J68</f>
        <v>1.4354066985645933E-2</v>
      </c>
      <c r="L68" s="59">
        <f>ROUND(INDEX(DetailByDistrict[],MATCH($H68,DetailByDistrict[Dist],0),MATCH(L$2,DetailByDistrict[#Headers],0))*K68,2)</f>
        <v>195.78</v>
      </c>
      <c r="M68" s="59">
        <f>ROUND(INDEX(DetailByDistrict[],MATCH($H68,DetailByDistrict[Dist],0),MATCH(M$2,DetailByDistrict[#Headers],0))*K68,2)</f>
        <v>218.07</v>
      </c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25">
      <c r="A69" s="57" t="s">
        <v>0</v>
      </c>
      <c r="B69" s="54" t="s">
        <v>967</v>
      </c>
      <c r="C69" s="54" t="s">
        <v>953</v>
      </c>
      <c r="D69" s="53">
        <v>6961</v>
      </c>
      <c r="E69" s="53">
        <v>8103</v>
      </c>
      <c r="F69" s="54" t="s">
        <v>978</v>
      </c>
      <c r="G69" s="53" t="s">
        <v>21</v>
      </c>
      <c r="H69" s="58" t="str">
        <f>_xlfn.IFNA(INDEX(ActiveSchools!$C$2:$F$326,MATCH(G69,ActiveSchools!$F$2:$F$326,0),1),"Total")</f>
        <v>6961</v>
      </c>
      <c r="I69" s="53">
        <v>259</v>
      </c>
      <c r="J69" s="59">
        <f>_xlfn.IFNA(INDEX(DetailByDistrict[],MATCH($H69,DetailByDistrict[Dist],0),MATCH(J$2,DetailByDistrict[#Headers],0)),0)</f>
        <v>1030</v>
      </c>
      <c r="K69" s="54">
        <f t="shared" si="1"/>
        <v>0.25145631067961166</v>
      </c>
      <c r="L69" s="59">
        <f>ROUND(INDEX(DetailByDistrict[],MATCH($H69,DetailByDistrict[Dist],0),MATCH(L$2,DetailByDistrict[#Headers],0))*K69,2)</f>
        <v>16902.39</v>
      </c>
      <c r="M69" s="59">
        <f>ROUND(INDEX(DetailByDistrict[],MATCH($H69,DetailByDistrict[Dist],0),MATCH(M$2,DetailByDistrict[#Headers],0))*K69,2)</f>
        <v>18826.79</v>
      </c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25">
      <c r="A70" s="57" t="s">
        <v>0</v>
      </c>
      <c r="B70" s="54" t="s">
        <v>967</v>
      </c>
      <c r="C70" s="54" t="s">
        <v>954</v>
      </c>
      <c r="D70" s="53">
        <v>6961</v>
      </c>
      <c r="E70" s="53">
        <v>8146</v>
      </c>
      <c r="F70" s="54" t="s">
        <v>972</v>
      </c>
      <c r="G70" s="53" t="s">
        <v>5</v>
      </c>
      <c r="H70" s="58" t="str">
        <f>_xlfn.IFNA(INDEX(ActiveSchools!$C$2:$F$326,MATCH(G70,ActiveSchools!$F$2:$F$326,0),1),"Total")</f>
        <v>1863</v>
      </c>
      <c r="I70" s="53">
        <v>5</v>
      </c>
      <c r="J70" s="59">
        <f>_xlfn.IFNA(INDEX(DetailByDistrict[],MATCH($H70,DetailByDistrict[Dist],0),MATCH(J$2,DetailByDistrict[#Headers],0)),0)</f>
        <v>1933</v>
      </c>
      <c r="K70" s="54">
        <f t="shared" si="1"/>
        <v>2.5866528711846869E-3</v>
      </c>
      <c r="L70" s="59">
        <f>ROUND(INDEX(DetailByDistrict[],MATCH($H70,DetailByDistrict[Dist],0),MATCH(L$2,DetailByDistrict[#Headers],0))*K70,2)</f>
        <v>326.3</v>
      </c>
      <c r="M70" s="59">
        <f>ROUND(INDEX(DetailByDistrict[],MATCH($H70,DetailByDistrict[Dist],0),MATCH(M$2,DetailByDistrict[#Headers],0))*K70,2)</f>
        <v>363.45</v>
      </c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25">
      <c r="A71" s="57" t="s">
        <v>0</v>
      </c>
      <c r="B71" s="54" t="s">
        <v>967</v>
      </c>
      <c r="C71" s="54" t="s">
        <v>954</v>
      </c>
      <c r="D71" s="53">
        <v>6961</v>
      </c>
      <c r="E71" s="53">
        <v>8146</v>
      </c>
      <c r="F71" s="54" t="s">
        <v>984</v>
      </c>
      <c r="G71" s="53" t="s">
        <v>7</v>
      </c>
      <c r="H71" s="58" t="str">
        <f>_xlfn.IFNA(INDEX(ActiveSchools!$C$2:$F$326,MATCH(G71,ActiveSchools!$F$2:$F$326,0),1),"Total")</f>
        <v>1989</v>
      </c>
      <c r="I71" s="53">
        <v>11</v>
      </c>
      <c r="J71" s="59">
        <f>_xlfn.IFNA(INDEX(DetailByDistrict[],MATCH($H71,DetailByDistrict[Dist],0),MATCH(J$2,DetailByDistrict[#Headers],0)),0)</f>
        <v>21</v>
      </c>
      <c r="K71" s="54">
        <f t="shared" si="1"/>
        <v>0.52380952380952384</v>
      </c>
      <c r="L71" s="59">
        <f>ROUND(INDEX(DetailByDistrict[],MATCH($H71,DetailByDistrict[Dist],0),MATCH(L$2,DetailByDistrict[#Headers],0))*K71,2)</f>
        <v>717.62</v>
      </c>
      <c r="M71" s="59">
        <f>ROUND(INDEX(DetailByDistrict[],MATCH($H71,DetailByDistrict[Dist],0),MATCH(M$2,DetailByDistrict[#Headers],0))*K71,2)</f>
        <v>799.33</v>
      </c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25">
      <c r="A72" s="57" t="s">
        <v>0</v>
      </c>
      <c r="B72" s="54" t="s">
        <v>967</v>
      </c>
      <c r="C72" s="54" t="s">
        <v>954</v>
      </c>
      <c r="D72" s="53">
        <v>6961</v>
      </c>
      <c r="E72" s="53">
        <v>8146</v>
      </c>
      <c r="F72" s="54" t="s">
        <v>986</v>
      </c>
      <c r="G72" s="53" t="s">
        <v>3</v>
      </c>
      <c r="H72" s="58" t="str">
        <f>_xlfn.IFNA(INDEX(ActiveSchools!$C$2:$F$326,MATCH(G72,ActiveSchools!$F$2:$F$326,0),1),"Total")</f>
        <v>2763</v>
      </c>
      <c r="I72" s="53">
        <v>3</v>
      </c>
      <c r="J72" s="59">
        <f>_xlfn.IFNA(INDEX(DetailByDistrict[],MATCH($H72,DetailByDistrict[Dist],0),MATCH(J$2,DetailByDistrict[#Headers],0)),0)</f>
        <v>11</v>
      </c>
      <c r="K72" s="54">
        <f t="shared" si="1"/>
        <v>0.27272727272727271</v>
      </c>
      <c r="L72" s="59">
        <f>ROUND(INDEX(DetailByDistrict[],MATCH($H72,DetailByDistrict[Dist],0),MATCH(L$2,DetailByDistrict[#Headers],0))*K72,2)</f>
        <v>195.82</v>
      </c>
      <c r="M72" s="59">
        <f>ROUND(INDEX(DetailByDistrict[],MATCH($H72,DetailByDistrict[Dist],0),MATCH(M$2,DetailByDistrict[#Headers],0))*K72,2)</f>
        <v>218.18</v>
      </c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25">
      <c r="A73" s="57" t="s">
        <v>0</v>
      </c>
      <c r="B73" s="54" t="s">
        <v>967</v>
      </c>
      <c r="C73" s="54" t="s">
        <v>954</v>
      </c>
      <c r="D73" s="53">
        <v>6961</v>
      </c>
      <c r="E73" s="53">
        <v>8146</v>
      </c>
      <c r="F73" s="54" t="s">
        <v>979</v>
      </c>
      <c r="G73" s="53" t="s">
        <v>9</v>
      </c>
      <c r="H73" s="58" t="str">
        <f>_xlfn.IFNA(INDEX(ActiveSchools!$C$2:$F$326,MATCH(G73,ActiveSchools!$F$2:$F$326,0),1),"Total")</f>
        <v>4043</v>
      </c>
      <c r="I73" s="53">
        <v>10</v>
      </c>
      <c r="J73" s="59">
        <f>_xlfn.IFNA(INDEX(DetailByDistrict[],MATCH($H73,DetailByDistrict[Dist],0),MATCH(J$2,DetailByDistrict[#Headers],0)),0)</f>
        <v>40</v>
      </c>
      <c r="K73" s="54">
        <f t="shared" si="1"/>
        <v>0.25</v>
      </c>
      <c r="L73" s="59">
        <f>ROUND(INDEX(DetailByDistrict[],MATCH($H73,DetailByDistrict[Dist],0),MATCH(L$2,DetailByDistrict[#Headers],0))*K73,2)</f>
        <v>652.5</v>
      </c>
      <c r="M73" s="59">
        <f>ROUND(INDEX(DetailByDistrict[],MATCH($H73,DetailByDistrict[Dist],0),MATCH(M$2,DetailByDistrict[#Headers],0))*K73,2)</f>
        <v>727</v>
      </c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25">
      <c r="A74" s="57" t="s">
        <v>0</v>
      </c>
      <c r="B74" s="54" t="s">
        <v>967</v>
      </c>
      <c r="C74" s="54" t="s">
        <v>954</v>
      </c>
      <c r="D74" s="53">
        <v>6961</v>
      </c>
      <c r="E74" s="53">
        <v>8146</v>
      </c>
      <c r="F74" s="54" t="s">
        <v>985</v>
      </c>
      <c r="G74" s="53" t="s">
        <v>20</v>
      </c>
      <c r="H74" s="58" t="str">
        <f>_xlfn.IFNA(INDEX(ActiveSchools!$C$2:$F$326,MATCH(G74,ActiveSchools!$F$2:$F$326,0),1),"Total")</f>
        <v>6950</v>
      </c>
      <c r="I74" s="53">
        <v>3</v>
      </c>
      <c r="J74" s="59">
        <f>_xlfn.IFNA(INDEX(DetailByDistrict[],MATCH($H74,DetailByDistrict[Dist],0),MATCH(J$2,DetailByDistrict[#Headers],0)),0)</f>
        <v>209</v>
      </c>
      <c r="K74" s="54">
        <f t="shared" si="1"/>
        <v>1.4354066985645933E-2</v>
      </c>
      <c r="L74" s="59">
        <f>ROUND(INDEX(DetailByDistrict[],MATCH($H74,DetailByDistrict[Dist],0),MATCH(L$2,DetailByDistrict[#Headers],0))*K74,2)</f>
        <v>195.78</v>
      </c>
      <c r="M74" s="59">
        <f>ROUND(INDEX(DetailByDistrict[],MATCH($H74,DetailByDistrict[Dist],0),MATCH(M$2,DetailByDistrict[#Headers],0))*K74,2)</f>
        <v>218.07</v>
      </c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25">
      <c r="A75" s="57" t="s">
        <v>0</v>
      </c>
      <c r="B75" s="54" t="s">
        <v>967</v>
      </c>
      <c r="C75" s="54" t="s">
        <v>954</v>
      </c>
      <c r="D75" s="53">
        <v>6961</v>
      </c>
      <c r="E75" s="53">
        <v>8146</v>
      </c>
      <c r="F75" s="54" t="s">
        <v>978</v>
      </c>
      <c r="G75" s="53" t="s">
        <v>21</v>
      </c>
      <c r="H75" s="58" t="str">
        <f>_xlfn.IFNA(INDEX(ActiveSchools!$C$2:$F$326,MATCH(G75,ActiveSchools!$F$2:$F$326,0),1),"Total")</f>
        <v>6961</v>
      </c>
      <c r="I75" s="53">
        <v>301</v>
      </c>
      <c r="J75" s="59">
        <f>_xlfn.IFNA(INDEX(DetailByDistrict[],MATCH($H75,DetailByDistrict[Dist],0),MATCH(J$2,DetailByDistrict[#Headers],0)),0)</f>
        <v>1030</v>
      </c>
      <c r="K75" s="54">
        <f t="shared" si="1"/>
        <v>0.29223300970873789</v>
      </c>
      <c r="L75" s="59">
        <f>ROUND(INDEX(DetailByDistrict[],MATCH($H75,DetailByDistrict[Dist],0),MATCH(L$2,DetailByDistrict[#Headers],0))*K75,2)</f>
        <v>19643.32</v>
      </c>
      <c r="M75" s="59">
        <f>ROUND(INDEX(DetailByDistrict[],MATCH($H75,DetailByDistrict[Dist],0),MATCH(M$2,DetailByDistrict[#Headers],0))*K75,2)</f>
        <v>21879.78</v>
      </c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25">
      <c r="A76" s="57" t="s">
        <v>0</v>
      </c>
      <c r="B76" s="54" t="s">
        <v>967</v>
      </c>
      <c r="C76" s="54" t="s">
        <v>955</v>
      </c>
      <c r="D76" s="53">
        <v>6961</v>
      </c>
      <c r="E76" s="53">
        <v>8148</v>
      </c>
      <c r="F76" s="54" t="s">
        <v>972</v>
      </c>
      <c r="G76" s="53" t="s">
        <v>5</v>
      </c>
      <c r="H76" s="58" t="str">
        <f>_xlfn.IFNA(INDEX(ActiveSchools!$C$2:$F$326,MATCH(G76,ActiveSchools!$F$2:$F$326,0),1),"Total")</f>
        <v>1863</v>
      </c>
      <c r="I76" s="53">
        <v>16</v>
      </c>
      <c r="J76" s="59">
        <f>_xlfn.IFNA(INDEX(DetailByDistrict[],MATCH($H76,DetailByDistrict[Dist],0),MATCH(J$2,DetailByDistrict[#Headers],0)),0)</f>
        <v>1933</v>
      </c>
      <c r="K76" s="54">
        <f t="shared" si="1"/>
        <v>8.2772891877909982E-3</v>
      </c>
      <c r="L76" s="59">
        <f>ROUND(INDEX(DetailByDistrict[],MATCH($H76,DetailByDistrict[Dist],0),MATCH(L$2,DetailByDistrict[#Headers],0))*K76,2)</f>
        <v>1044.1600000000001</v>
      </c>
      <c r="M76" s="59">
        <f>ROUND(INDEX(DetailByDistrict[],MATCH($H76,DetailByDistrict[Dist],0),MATCH(M$2,DetailByDistrict[#Headers],0))*K76,2)</f>
        <v>1163.04</v>
      </c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25">
      <c r="A77" s="57" t="s">
        <v>0</v>
      </c>
      <c r="B77" s="54" t="s">
        <v>967</v>
      </c>
      <c r="C77" s="54" t="s">
        <v>955</v>
      </c>
      <c r="D77" s="53">
        <v>6961</v>
      </c>
      <c r="E77" s="53">
        <v>8148</v>
      </c>
      <c r="F77" s="54" t="s">
        <v>986</v>
      </c>
      <c r="G77" s="53" t="s">
        <v>3</v>
      </c>
      <c r="H77" s="58" t="str">
        <f>_xlfn.IFNA(INDEX(ActiveSchools!$C$2:$F$326,MATCH(G77,ActiveSchools!$F$2:$F$326,0),1),"Total")</f>
        <v>2763</v>
      </c>
      <c r="I77" s="53">
        <v>3</v>
      </c>
      <c r="J77" s="59">
        <f>_xlfn.IFNA(INDEX(DetailByDistrict[],MATCH($H77,DetailByDistrict[Dist],0),MATCH(J$2,DetailByDistrict[#Headers],0)),0)</f>
        <v>11</v>
      </c>
      <c r="K77" s="54">
        <f t="shared" si="1"/>
        <v>0.27272727272727271</v>
      </c>
      <c r="L77" s="59">
        <f>ROUND(INDEX(DetailByDistrict[],MATCH($H77,DetailByDistrict[Dist],0),MATCH(L$2,DetailByDistrict[#Headers],0))*K77,2)</f>
        <v>195.82</v>
      </c>
      <c r="M77" s="59">
        <f>ROUND(INDEX(DetailByDistrict[],MATCH($H77,DetailByDistrict[Dist],0),MATCH(M$2,DetailByDistrict[#Headers],0))*K77,2)</f>
        <v>218.18</v>
      </c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25">
      <c r="A78" s="57" t="s">
        <v>0</v>
      </c>
      <c r="B78" s="54" t="s">
        <v>967</v>
      </c>
      <c r="C78" s="54" t="s">
        <v>955</v>
      </c>
      <c r="D78" s="53">
        <v>6961</v>
      </c>
      <c r="E78" s="53">
        <v>8148</v>
      </c>
      <c r="F78" s="54" t="s">
        <v>978</v>
      </c>
      <c r="G78" s="53" t="s">
        <v>21</v>
      </c>
      <c r="H78" s="58" t="str">
        <f>_xlfn.IFNA(INDEX(ActiveSchools!$C$2:$F$326,MATCH(G78,ActiveSchools!$F$2:$F$326,0),1),"Total")</f>
        <v>6961</v>
      </c>
      <c r="I78" s="53">
        <v>39</v>
      </c>
      <c r="J78" s="59">
        <f>_xlfn.IFNA(INDEX(DetailByDistrict[],MATCH($H78,DetailByDistrict[Dist],0),MATCH(J$2,DetailByDistrict[#Headers],0)),0)</f>
        <v>1030</v>
      </c>
      <c r="K78" s="54">
        <f t="shared" si="1"/>
        <v>3.7864077669902914E-2</v>
      </c>
      <c r="L78" s="59">
        <f>ROUND(INDEX(DetailByDistrict[],MATCH($H78,DetailByDistrict[Dist],0),MATCH(L$2,DetailByDistrict[#Headers],0))*K78,2)</f>
        <v>2545.15</v>
      </c>
      <c r="M78" s="59">
        <f>ROUND(INDEX(DetailByDistrict[],MATCH($H78,DetailByDistrict[Dist],0),MATCH(M$2,DetailByDistrict[#Headers],0))*K78,2)</f>
        <v>2834.92</v>
      </c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25">
      <c r="A79" s="57" t="s">
        <v>0</v>
      </c>
      <c r="B79" s="54" t="s">
        <v>967</v>
      </c>
      <c r="C79" s="54" t="s">
        <v>956</v>
      </c>
      <c r="D79" s="53">
        <v>6961</v>
      </c>
      <c r="E79" s="53">
        <v>8150</v>
      </c>
      <c r="F79" s="54" t="s">
        <v>978</v>
      </c>
      <c r="G79" s="53" t="s">
        <v>21</v>
      </c>
      <c r="H79" s="58" t="str">
        <f>_xlfn.IFNA(INDEX(ActiveSchools!$C$2:$F$326,MATCH(G79,ActiveSchools!$F$2:$F$326,0),1),"Total")</f>
        <v>6961</v>
      </c>
      <c r="I79" s="53">
        <v>177</v>
      </c>
      <c r="J79" s="59">
        <f>_xlfn.IFNA(INDEX(DetailByDistrict[],MATCH($H79,DetailByDistrict[Dist],0),MATCH(J$2,DetailByDistrict[#Headers],0)),0)</f>
        <v>1030</v>
      </c>
      <c r="K79" s="54">
        <f t="shared" si="1"/>
        <v>0.17184466019417477</v>
      </c>
      <c r="L79" s="59">
        <f>ROUND(INDEX(DetailByDistrict[],MATCH($H79,DetailByDistrict[Dist],0),MATCH(L$2,DetailByDistrict[#Headers],0))*K79,2)</f>
        <v>11551.05</v>
      </c>
      <c r="M79" s="59">
        <f>ROUND(INDEX(DetailByDistrict[],MATCH($H79,DetailByDistrict[Dist],0),MATCH(M$2,DetailByDistrict[#Headers],0))*K79,2)</f>
        <v>12866.18</v>
      </c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25">
      <c r="A80" s="57" t="s">
        <v>0</v>
      </c>
      <c r="B80" s="54" t="s">
        <v>967</v>
      </c>
      <c r="C80" s="54" t="s">
        <v>957</v>
      </c>
      <c r="D80" s="53">
        <v>6961</v>
      </c>
      <c r="E80" s="53">
        <v>8153</v>
      </c>
      <c r="F80" s="54" t="s">
        <v>972</v>
      </c>
      <c r="G80" s="53" t="s">
        <v>5</v>
      </c>
      <c r="H80" s="58" t="str">
        <f>_xlfn.IFNA(INDEX(ActiveSchools!$C$2:$F$326,MATCH(G80,ActiveSchools!$F$2:$F$326,0),1),"Total")</f>
        <v>1863</v>
      </c>
      <c r="I80" s="53">
        <v>15</v>
      </c>
      <c r="J80" s="59">
        <f>_xlfn.IFNA(INDEX(DetailByDistrict[],MATCH($H80,DetailByDistrict[Dist],0),MATCH(J$2,DetailByDistrict[#Headers],0)),0)</f>
        <v>1933</v>
      </c>
      <c r="K80" s="54">
        <f t="shared" si="1"/>
        <v>7.7599586135540608E-3</v>
      </c>
      <c r="L80" s="59">
        <f>ROUND(INDEX(DetailByDistrict[],MATCH($H80,DetailByDistrict[Dist],0),MATCH(L$2,DetailByDistrict[#Headers],0))*K80,2)</f>
        <v>978.9</v>
      </c>
      <c r="M80" s="59">
        <f>ROUND(INDEX(DetailByDistrict[],MATCH($H80,DetailByDistrict[Dist],0),MATCH(M$2,DetailByDistrict[#Headers],0))*K80,2)</f>
        <v>1090.3499999999999</v>
      </c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25">
      <c r="A81" s="57" t="s">
        <v>0</v>
      </c>
      <c r="B81" s="54" t="s">
        <v>967</v>
      </c>
      <c r="C81" s="54" t="s">
        <v>957</v>
      </c>
      <c r="D81" s="53">
        <v>6961</v>
      </c>
      <c r="E81" s="53">
        <v>8153</v>
      </c>
      <c r="F81" s="54" t="s">
        <v>978</v>
      </c>
      <c r="G81" s="53" t="s">
        <v>21</v>
      </c>
      <c r="H81" s="58" t="str">
        <f>_xlfn.IFNA(INDEX(ActiveSchools!$C$2:$F$326,MATCH(G81,ActiveSchools!$F$2:$F$326,0),1),"Total")</f>
        <v>6961</v>
      </c>
      <c r="I81" s="53">
        <v>83</v>
      </c>
      <c r="J81" s="59">
        <f>_xlfn.IFNA(INDEX(DetailByDistrict[],MATCH($H81,DetailByDistrict[Dist],0),MATCH(J$2,DetailByDistrict[#Headers],0)),0)</f>
        <v>1030</v>
      </c>
      <c r="K81" s="54">
        <f t="shared" si="1"/>
        <v>8.058252427184466E-2</v>
      </c>
      <c r="L81" s="59">
        <f>ROUND(INDEX(DetailByDistrict[],MATCH($H81,DetailByDistrict[Dist],0),MATCH(L$2,DetailByDistrict[#Headers],0))*K81,2)</f>
        <v>5416.6</v>
      </c>
      <c r="M81" s="59">
        <f>ROUND(INDEX(DetailByDistrict[],MATCH($H81,DetailByDistrict[Dist],0),MATCH(M$2,DetailByDistrict[#Headers],0))*K81,2)</f>
        <v>6033.29</v>
      </c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25">
      <c r="A82" s="57" t="s">
        <v>0</v>
      </c>
      <c r="B82" s="54" t="s">
        <v>967</v>
      </c>
      <c r="C82" s="54" t="s">
        <v>958</v>
      </c>
      <c r="D82" s="53">
        <v>6961</v>
      </c>
      <c r="E82" s="53">
        <v>8157</v>
      </c>
      <c r="F82" s="54" t="s">
        <v>972</v>
      </c>
      <c r="G82" s="53" t="s">
        <v>5</v>
      </c>
      <c r="H82" s="58" t="str">
        <f>_xlfn.IFNA(INDEX(ActiveSchools!$C$2:$F$326,MATCH(G82,ActiveSchools!$F$2:$F$326,0),1),"Total")</f>
        <v>1863</v>
      </c>
      <c r="I82" s="53">
        <v>38</v>
      </c>
      <c r="J82" s="59">
        <f>_xlfn.IFNA(INDEX(DetailByDistrict[],MATCH($H82,DetailByDistrict[Dist],0),MATCH(J$2,DetailByDistrict[#Headers],0)),0)</f>
        <v>1933</v>
      </c>
      <c r="K82" s="54">
        <f t="shared" si="1"/>
        <v>1.9658561821003621E-2</v>
      </c>
      <c r="L82" s="59">
        <f>ROUND(INDEX(DetailByDistrict[],MATCH($H82,DetailByDistrict[Dist],0),MATCH(L$2,DetailByDistrict[#Headers],0))*K82,2)</f>
        <v>2479.89</v>
      </c>
      <c r="M82" s="59">
        <f>ROUND(INDEX(DetailByDistrict[],MATCH($H82,DetailByDistrict[Dist],0),MATCH(M$2,DetailByDistrict[#Headers],0))*K82,2)</f>
        <v>2762.22</v>
      </c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25">
      <c r="A83" s="57" t="s">
        <v>0</v>
      </c>
      <c r="B83" s="54" t="s">
        <v>967</v>
      </c>
      <c r="C83" s="54" t="s">
        <v>958</v>
      </c>
      <c r="D83" s="53">
        <v>6961</v>
      </c>
      <c r="E83" s="53">
        <v>8157</v>
      </c>
      <c r="F83" s="54" t="s">
        <v>978</v>
      </c>
      <c r="G83" s="53" t="s">
        <v>21</v>
      </c>
      <c r="H83" s="58" t="str">
        <f>_xlfn.IFNA(INDEX(ActiveSchools!$C$2:$F$326,MATCH(G83,ActiveSchools!$F$2:$F$326,0),1),"Total")</f>
        <v>6961</v>
      </c>
      <c r="I83" s="53">
        <v>136</v>
      </c>
      <c r="J83" s="59">
        <f>_xlfn.IFNA(INDEX(DetailByDistrict[],MATCH($H83,DetailByDistrict[Dist],0),MATCH(J$2,DetailByDistrict[#Headers],0)),0)</f>
        <v>1030</v>
      </c>
      <c r="K83" s="54">
        <f t="shared" si="1"/>
        <v>0.13203883495145632</v>
      </c>
      <c r="L83" s="59">
        <f>ROUND(INDEX(DetailByDistrict[],MATCH($H83,DetailByDistrict[Dist],0),MATCH(L$2,DetailByDistrict[#Headers],0))*K83,2)</f>
        <v>8875.39</v>
      </c>
      <c r="M83" s="59">
        <f>ROUND(INDEX(DetailByDistrict[],MATCH($H83,DetailByDistrict[Dist],0),MATCH(M$2,DetailByDistrict[#Headers],0))*K83,2)</f>
        <v>9885.8799999999992</v>
      </c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25">
      <c r="A84" s="60"/>
      <c r="B84" s="61"/>
      <c r="C84" s="61"/>
      <c r="D84" s="60"/>
      <c r="E84" s="60"/>
      <c r="F84" s="62" t="s">
        <v>967</v>
      </c>
      <c r="G84" s="62" t="s">
        <v>736</v>
      </c>
      <c r="H84" s="62" t="str">
        <f>_xlfn.IFNA(INDEX(ActiveSchools!$C$2:$F$326,MATCH(G84,ActiveSchools!$F$2:$F$326,0),1),"Total")</f>
        <v>Total</v>
      </c>
      <c r="I84" s="62">
        <f>SUM(I3:I83)</f>
        <v>4016</v>
      </c>
      <c r="J84" s="62"/>
      <c r="K84" s="62"/>
      <c r="L84" s="63">
        <f>SUM(L3:L83)</f>
        <v>262085</v>
      </c>
      <c r="M84" s="63">
        <f>SUM(M3:M83)</f>
        <v>291922.99999999994</v>
      </c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25">
      <c r="A85" s="57" t="s">
        <v>22</v>
      </c>
      <c r="B85" s="54" t="s">
        <v>987</v>
      </c>
      <c r="C85" s="54" t="s">
        <v>766</v>
      </c>
      <c r="D85" s="57" t="s">
        <v>24</v>
      </c>
      <c r="E85" s="53">
        <v>8101</v>
      </c>
      <c r="F85" s="54" t="s">
        <v>988</v>
      </c>
      <c r="G85" s="57" t="s">
        <v>24</v>
      </c>
      <c r="H85" s="58" t="str">
        <f>_xlfn.IFNA(INDEX(ActiveSchools!$C$2:$F$326,MATCH(G85,ActiveSchools!$F$2:$F$326,0),1),"Total")</f>
        <v>0126</v>
      </c>
      <c r="I85" s="53">
        <v>83</v>
      </c>
      <c r="J85" s="59">
        <f>_xlfn.IFNA(INDEX(DetailByDistrict[],MATCH($H85,DetailByDistrict[Dist],0),MATCH(J$2,DetailByDistrict[#Headers],0)),0)</f>
        <v>324</v>
      </c>
      <c r="K85" s="54">
        <f t="shared" si="1"/>
        <v>0.25617283950617287</v>
      </c>
      <c r="L85" s="59">
        <f>ROUND(INDEX(DetailByDistrict[],MATCH($H85,DetailByDistrict[Dist],0),MATCH(L$2,DetailByDistrict[#Headers],0))*K85,2)</f>
        <v>5423.18</v>
      </c>
      <c r="M85" s="59">
        <f>ROUND(INDEX(DetailByDistrict[],MATCH($H85,DetailByDistrict[Dist],0),MATCH(M$2,DetailByDistrict[#Headers],0))*K85,2)</f>
        <v>6072.32</v>
      </c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25">
      <c r="A86" s="57" t="s">
        <v>22</v>
      </c>
      <c r="B86" s="54" t="s">
        <v>987</v>
      </c>
      <c r="C86" s="54" t="s">
        <v>766</v>
      </c>
      <c r="D86" s="57" t="s">
        <v>24</v>
      </c>
      <c r="E86" s="53">
        <v>8101</v>
      </c>
      <c r="F86" s="54" t="s">
        <v>989</v>
      </c>
      <c r="G86" s="57" t="s">
        <v>42</v>
      </c>
      <c r="H86" s="58" t="str">
        <f>_xlfn.IFNA(INDEX(ActiveSchools!$C$2:$F$326,MATCH(G86,ActiveSchools!$F$2:$F$326,0),1),"Total")</f>
        <v>0333</v>
      </c>
      <c r="I86" s="53">
        <v>2</v>
      </c>
      <c r="J86" s="59">
        <f>_xlfn.IFNA(INDEX(DetailByDistrict[],MATCH($H86,DetailByDistrict[Dist],0),MATCH(J$2,DetailByDistrict[#Headers],0)),0)</f>
        <v>14</v>
      </c>
      <c r="K86" s="54">
        <f t="shared" si="1"/>
        <v>0.14285714285714285</v>
      </c>
      <c r="L86" s="59">
        <f>ROUND(INDEX(DetailByDistrict[],MATCH($H86,DetailByDistrict[Dist],0),MATCH(L$2,DetailByDistrict[#Headers],0))*K86,2)</f>
        <v>130.71</v>
      </c>
      <c r="M86" s="59">
        <f>ROUND(INDEX(DetailByDistrict[],MATCH($H86,DetailByDistrict[Dist],0),MATCH(M$2,DetailByDistrict[#Headers],0))*K86,2)</f>
        <v>146.29</v>
      </c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25">
      <c r="A87" s="57" t="s">
        <v>22</v>
      </c>
      <c r="B87" s="54" t="s">
        <v>987</v>
      </c>
      <c r="C87" s="54" t="s">
        <v>766</v>
      </c>
      <c r="D87" s="57" t="s">
        <v>24</v>
      </c>
      <c r="E87" s="53">
        <v>8101</v>
      </c>
      <c r="F87" s="54" t="s">
        <v>990</v>
      </c>
      <c r="G87" s="53" t="s">
        <v>30</v>
      </c>
      <c r="H87" s="58" t="str">
        <f>_xlfn.IFNA(INDEX(ActiveSchools!$C$2:$F$326,MATCH(G87,ActiveSchools!$F$2:$F$326,0),1),"Total")</f>
        <v>2088</v>
      </c>
      <c r="I87" s="53">
        <v>1</v>
      </c>
      <c r="J87" s="59">
        <f>_xlfn.IFNA(INDEX(DetailByDistrict[],MATCH($H87,DetailByDistrict[Dist],0),MATCH(J$2,DetailByDistrict[#Headers],0)),0)</f>
        <v>86</v>
      </c>
      <c r="K87" s="54">
        <f t="shared" si="1"/>
        <v>1.1627906976744186E-2</v>
      </c>
      <c r="L87" s="59">
        <f>ROUND(INDEX(DetailByDistrict[],MATCH($H87,DetailByDistrict[Dist],0),MATCH(L$2,DetailByDistrict[#Headers],0))*K87,2)</f>
        <v>65.34</v>
      </c>
      <c r="M87" s="59">
        <f>ROUND(INDEX(DetailByDistrict[],MATCH($H87,DetailByDistrict[Dist],0),MATCH(M$2,DetailByDistrict[#Headers],0))*K87,2)</f>
        <v>73.16</v>
      </c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25">
      <c r="A88" s="57" t="s">
        <v>22</v>
      </c>
      <c r="B88" s="54" t="s">
        <v>987</v>
      </c>
      <c r="C88" s="54" t="s">
        <v>766</v>
      </c>
      <c r="D88" s="57" t="s">
        <v>24</v>
      </c>
      <c r="E88" s="53">
        <v>8101</v>
      </c>
      <c r="F88" s="54" t="s">
        <v>991</v>
      </c>
      <c r="G88" s="53" t="s">
        <v>41</v>
      </c>
      <c r="H88" s="58" t="str">
        <f>_xlfn.IFNA(INDEX(ActiveSchools!$C$2:$F$326,MATCH(G88,ActiveSchools!$F$2:$F$326,0),1),"Total")</f>
        <v>4778</v>
      </c>
      <c r="I88" s="53">
        <v>3</v>
      </c>
      <c r="J88" s="59">
        <f>_xlfn.IFNA(INDEX(DetailByDistrict[],MATCH($H88,DetailByDistrict[Dist],0),MATCH(J$2,DetailByDistrict[#Headers],0)),0)</f>
        <v>25</v>
      </c>
      <c r="K88" s="54">
        <f t="shared" si="1"/>
        <v>0.12</v>
      </c>
      <c r="L88" s="59">
        <f>ROUND(INDEX(DetailByDistrict[],MATCH($H88,DetailByDistrict[Dist],0),MATCH(L$2,DetailByDistrict[#Headers],0))*K88,2)</f>
        <v>196.08</v>
      </c>
      <c r="M88" s="59">
        <f>ROUND(INDEX(DetailByDistrict[],MATCH($H88,DetailByDistrict[Dist],0),MATCH(M$2,DetailByDistrict[#Headers],0))*K88,2)</f>
        <v>219.48</v>
      </c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25">
      <c r="A89" s="57" t="s">
        <v>22</v>
      </c>
      <c r="B89" s="54" t="s">
        <v>987</v>
      </c>
      <c r="C89" s="54" t="s">
        <v>766</v>
      </c>
      <c r="D89" s="57" t="s">
        <v>24</v>
      </c>
      <c r="E89" s="53">
        <v>8101</v>
      </c>
      <c r="F89" s="54" t="s">
        <v>992</v>
      </c>
      <c r="G89" s="53" t="s">
        <v>57</v>
      </c>
      <c r="H89" s="58" t="str">
        <f>_xlfn.IFNA(INDEX(ActiveSchools!$C$2:$F$326,MATCH(G89,ActiveSchools!$F$2:$F$326,0),1),"Total")</f>
        <v>6516</v>
      </c>
      <c r="I89" s="53">
        <v>3</v>
      </c>
      <c r="J89" s="59">
        <f>_xlfn.IFNA(INDEX(DetailByDistrict[],MATCH($H89,DetailByDistrict[Dist],0),MATCH(J$2,DetailByDistrict[#Headers],0)),0)</f>
        <v>18</v>
      </c>
      <c r="K89" s="54">
        <f t="shared" si="1"/>
        <v>0.16666666666666666</v>
      </c>
      <c r="L89" s="59">
        <f>ROUND(INDEX(DetailByDistrict[],MATCH($H89,DetailByDistrict[Dist],0),MATCH(L$2,DetailByDistrict[#Headers],0))*K89,2)</f>
        <v>196</v>
      </c>
      <c r="M89" s="59">
        <f>ROUND(INDEX(DetailByDistrict[],MATCH($H89,DetailByDistrict[Dist],0),MATCH(M$2,DetailByDistrict[#Headers],0))*K89,2)</f>
        <v>219.5</v>
      </c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25">
      <c r="A90" s="57" t="s">
        <v>22</v>
      </c>
      <c r="B90" s="54" t="s">
        <v>987</v>
      </c>
      <c r="C90" s="54" t="s">
        <v>766</v>
      </c>
      <c r="D90" s="57" t="s">
        <v>24</v>
      </c>
      <c r="E90" s="53">
        <v>8101</v>
      </c>
      <c r="F90" s="54" t="s">
        <v>993</v>
      </c>
      <c r="G90" s="53" t="s">
        <v>59</v>
      </c>
      <c r="H90" s="58" t="str">
        <f>_xlfn.IFNA(INDEX(ActiveSchools!$C$2:$F$326,MATCH(G90,ActiveSchools!$F$2:$F$326,0),1),"Total")</f>
        <v>6921</v>
      </c>
      <c r="I90" s="53">
        <v>9</v>
      </c>
      <c r="J90" s="59">
        <f>_xlfn.IFNA(INDEX(DetailByDistrict[],MATCH($H90,DetailByDistrict[Dist],0),MATCH(J$2,DetailByDistrict[#Headers],0)),0)</f>
        <v>40</v>
      </c>
      <c r="K90" s="54">
        <f t="shared" si="1"/>
        <v>0.22500000000000001</v>
      </c>
      <c r="L90" s="59">
        <f>ROUND(INDEX(DetailByDistrict[],MATCH($H90,DetailByDistrict[Dist],0),MATCH(L$2,DetailByDistrict[#Headers],0))*K90,2)</f>
        <v>588.15</v>
      </c>
      <c r="M90" s="59">
        <f>ROUND(INDEX(DetailByDistrict[],MATCH($H90,DetailByDistrict[Dist],0),MATCH(M$2,DetailByDistrict[#Headers],0))*K90,2)</f>
        <v>658.35</v>
      </c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25">
      <c r="A91" s="57" t="s">
        <v>22</v>
      </c>
      <c r="B91" s="54" t="s">
        <v>987</v>
      </c>
      <c r="C91" s="54" t="s">
        <v>767</v>
      </c>
      <c r="D91" s="57" t="s">
        <v>24</v>
      </c>
      <c r="E91" s="53">
        <v>8108</v>
      </c>
      <c r="F91" s="54" t="s">
        <v>988</v>
      </c>
      <c r="G91" s="57" t="s">
        <v>24</v>
      </c>
      <c r="H91" s="58" t="str">
        <f>_xlfn.IFNA(INDEX(ActiveSchools!$C$2:$F$326,MATCH(G91,ActiveSchools!$F$2:$F$326,0),1),"Total")</f>
        <v>0126</v>
      </c>
      <c r="I91" s="53">
        <v>239</v>
      </c>
      <c r="J91" s="59">
        <f>_xlfn.IFNA(INDEX(DetailByDistrict[],MATCH($H91,DetailByDistrict[Dist],0),MATCH(J$2,DetailByDistrict[#Headers],0)),0)</f>
        <v>324</v>
      </c>
      <c r="K91" s="54">
        <f t="shared" si="1"/>
        <v>0.73765432098765427</v>
      </c>
      <c r="L91" s="59">
        <f>ROUND(INDEX(DetailByDistrict[],MATCH($H91,DetailByDistrict[Dist],0),MATCH(L$2,DetailByDistrict[#Headers],0))*K91,2)</f>
        <v>15616.14</v>
      </c>
      <c r="M91" s="59">
        <f>ROUND(INDEX(DetailByDistrict[],MATCH($H91,DetailByDistrict[Dist],0),MATCH(M$2,DetailByDistrict[#Headers],0))*K91,2)</f>
        <v>17485.36</v>
      </c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25">
      <c r="A92" s="57" t="s">
        <v>22</v>
      </c>
      <c r="B92" s="54" t="s">
        <v>987</v>
      </c>
      <c r="C92" s="54" t="s">
        <v>767</v>
      </c>
      <c r="D92" s="57" t="s">
        <v>24</v>
      </c>
      <c r="E92" s="53">
        <v>8108</v>
      </c>
      <c r="F92" s="54" t="s">
        <v>989</v>
      </c>
      <c r="G92" s="57" t="s">
        <v>42</v>
      </c>
      <c r="H92" s="58" t="str">
        <f>_xlfn.IFNA(INDEX(ActiveSchools!$C$2:$F$326,MATCH(G92,ActiveSchools!$F$2:$F$326,0),1),"Total")</f>
        <v>0333</v>
      </c>
      <c r="I92" s="53">
        <v>10</v>
      </c>
      <c r="J92" s="59">
        <f>_xlfn.IFNA(INDEX(DetailByDistrict[],MATCH($H92,DetailByDistrict[Dist],0),MATCH(J$2,DetailByDistrict[#Headers],0)),0)</f>
        <v>14</v>
      </c>
      <c r="K92" s="54">
        <f t="shared" si="1"/>
        <v>0.7142857142857143</v>
      </c>
      <c r="L92" s="59">
        <f>ROUND(INDEX(DetailByDistrict[],MATCH($H92,DetailByDistrict[Dist],0),MATCH(L$2,DetailByDistrict[#Headers],0))*K92,2)</f>
        <v>653.57000000000005</v>
      </c>
      <c r="M92" s="59">
        <f>ROUND(INDEX(DetailByDistrict[],MATCH($H92,DetailByDistrict[Dist],0),MATCH(M$2,DetailByDistrict[#Headers],0))*K92,2)</f>
        <v>731.43</v>
      </c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25">
      <c r="A93" s="57" t="s">
        <v>22</v>
      </c>
      <c r="B93" s="54" t="s">
        <v>987</v>
      </c>
      <c r="C93" s="54" t="s">
        <v>767</v>
      </c>
      <c r="D93" s="57" t="s">
        <v>24</v>
      </c>
      <c r="E93" s="53">
        <v>8108</v>
      </c>
      <c r="F93" s="54" t="s">
        <v>990</v>
      </c>
      <c r="G93" s="53" t="s">
        <v>30</v>
      </c>
      <c r="H93" s="58" t="str">
        <f>_xlfn.IFNA(INDEX(ActiveSchools!$C$2:$F$326,MATCH(G93,ActiveSchools!$F$2:$F$326,0),1),"Total")</f>
        <v>2088</v>
      </c>
      <c r="I93" s="53">
        <v>8</v>
      </c>
      <c r="J93" s="59">
        <f>_xlfn.IFNA(INDEX(DetailByDistrict[],MATCH($H93,DetailByDistrict[Dist],0),MATCH(J$2,DetailByDistrict[#Headers],0)),0)</f>
        <v>86</v>
      </c>
      <c r="K93" s="54">
        <f t="shared" si="1"/>
        <v>9.3023255813953487E-2</v>
      </c>
      <c r="L93" s="59">
        <f>ROUND(INDEX(DetailByDistrict[],MATCH($H93,DetailByDistrict[Dist],0),MATCH(L$2,DetailByDistrict[#Headers],0))*K93,2)</f>
        <v>522.70000000000005</v>
      </c>
      <c r="M93" s="59">
        <f>ROUND(INDEX(DetailByDistrict[],MATCH($H93,DetailByDistrict[Dist],0),MATCH(M$2,DetailByDistrict[#Headers],0))*K93,2)</f>
        <v>585.29999999999995</v>
      </c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25">
      <c r="A94" s="57" t="s">
        <v>22</v>
      </c>
      <c r="B94" s="54" t="s">
        <v>987</v>
      </c>
      <c r="C94" s="54" t="s">
        <v>767</v>
      </c>
      <c r="D94" s="57" t="s">
        <v>24</v>
      </c>
      <c r="E94" s="53">
        <v>8108</v>
      </c>
      <c r="F94" s="54" t="s">
        <v>994</v>
      </c>
      <c r="G94" s="53" t="s">
        <v>37</v>
      </c>
      <c r="H94" s="58" t="str">
        <f>_xlfn.IFNA(INDEX(ActiveSchools!$C$2:$F$326,MATCH(G94,ActiveSchools!$F$2:$F$326,0),1),"Total")</f>
        <v>3060</v>
      </c>
      <c r="I94" s="53">
        <v>1</v>
      </c>
      <c r="J94" s="59">
        <f>_xlfn.IFNA(INDEX(DetailByDistrict[],MATCH($H94,DetailByDistrict[Dist],0),MATCH(J$2,DetailByDistrict[#Headers],0)),0)</f>
        <v>133</v>
      </c>
      <c r="K94" s="54">
        <f t="shared" si="1"/>
        <v>7.5187969924812026E-3</v>
      </c>
      <c r="L94" s="59">
        <f>ROUND(INDEX(DetailByDistrict[],MATCH($H94,DetailByDistrict[Dist],0),MATCH(L$2,DetailByDistrict[#Headers],0))*K94,2)</f>
        <v>65.34</v>
      </c>
      <c r="M94" s="59">
        <f>ROUND(INDEX(DetailByDistrict[],MATCH($H94,DetailByDistrict[Dist],0),MATCH(M$2,DetailByDistrict[#Headers],0))*K94,2)</f>
        <v>73.16</v>
      </c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25">
      <c r="A95" s="57" t="s">
        <v>22</v>
      </c>
      <c r="B95" s="54" t="s">
        <v>987</v>
      </c>
      <c r="C95" s="54" t="s">
        <v>767</v>
      </c>
      <c r="D95" s="57" t="s">
        <v>24</v>
      </c>
      <c r="E95" s="53">
        <v>8108</v>
      </c>
      <c r="F95" s="54" t="s">
        <v>991</v>
      </c>
      <c r="G95" s="53" t="s">
        <v>41</v>
      </c>
      <c r="H95" s="58" t="str">
        <f>_xlfn.IFNA(INDEX(ActiveSchools!$C$2:$F$326,MATCH(G95,ActiveSchools!$F$2:$F$326,0),1),"Total")</f>
        <v>4778</v>
      </c>
      <c r="I95" s="53">
        <v>22</v>
      </c>
      <c r="J95" s="59">
        <f>_xlfn.IFNA(INDEX(DetailByDistrict[],MATCH($H95,DetailByDistrict[Dist],0),MATCH(J$2,DetailByDistrict[#Headers],0)),0)</f>
        <v>25</v>
      </c>
      <c r="K95" s="54">
        <f t="shared" si="1"/>
        <v>0.88</v>
      </c>
      <c r="L95" s="59">
        <f>ROUND(INDEX(DetailByDistrict[],MATCH($H95,DetailByDistrict[Dist],0),MATCH(L$2,DetailByDistrict[#Headers],0))*K95,2)</f>
        <v>1437.92</v>
      </c>
      <c r="M95" s="59">
        <f>ROUND(INDEX(DetailByDistrict[],MATCH($H95,DetailByDistrict[Dist],0),MATCH(M$2,DetailByDistrict[#Headers],0))*K95,2)</f>
        <v>1609.52</v>
      </c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25">
      <c r="A96" s="57" t="s">
        <v>22</v>
      </c>
      <c r="B96" s="54" t="s">
        <v>987</v>
      </c>
      <c r="C96" s="54" t="s">
        <v>767</v>
      </c>
      <c r="D96" s="57" t="s">
        <v>24</v>
      </c>
      <c r="E96" s="53">
        <v>8108</v>
      </c>
      <c r="F96" s="54" t="s">
        <v>995</v>
      </c>
      <c r="G96" s="53" t="s">
        <v>46</v>
      </c>
      <c r="H96" s="58" t="str">
        <f>_xlfn.IFNA(INDEX(ActiveSchools!$C$2:$F$326,MATCH(G96,ActiveSchools!$F$2:$F$326,0),1),"Total")</f>
        <v>5283</v>
      </c>
      <c r="I96" s="53">
        <v>2</v>
      </c>
      <c r="J96" s="59">
        <f>_xlfn.IFNA(INDEX(DetailByDistrict[],MATCH($H96,DetailByDistrict[Dist],0),MATCH(J$2,DetailByDistrict[#Headers],0)),0)</f>
        <v>91</v>
      </c>
      <c r="K96" s="54">
        <f t="shared" si="1"/>
        <v>2.197802197802198E-2</v>
      </c>
      <c r="L96" s="59">
        <f>ROUND(INDEX(DetailByDistrict[],MATCH($H96,DetailByDistrict[Dist],0),MATCH(L$2,DetailByDistrict[#Headers],0))*K96,2)</f>
        <v>130.68</v>
      </c>
      <c r="M96" s="59">
        <f>ROUND(INDEX(DetailByDistrict[],MATCH($H96,DetailByDistrict[Dist],0),MATCH(M$2,DetailByDistrict[#Headers],0))*K96,2)</f>
        <v>146.33000000000001</v>
      </c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25">
      <c r="A97" s="57" t="s">
        <v>22</v>
      </c>
      <c r="B97" s="54" t="s">
        <v>987</v>
      </c>
      <c r="C97" s="54" t="s">
        <v>767</v>
      </c>
      <c r="D97" s="57" t="s">
        <v>24</v>
      </c>
      <c r="E97" s="53">
        <v>8108</v>
      </c>
      <c r="F97" s="54" t="s">
        <v>992</v>
      </c>
      <c r="G97" s="53" t="s">
        <v>57</v>
      </c>
      <c r="H97" s="58" t="str">
        <f>_xlfn.IFNA(INDEX(ActiveSchools!$C$2:$F$326,MATCH(G97,ActiveSchools!$F$2:$F$326,0),1),"Total")</f>
        <v>6516</v>
      </c>
      <c r="I97" s="53">
        <v>8</v>
      </c>
      <c r="J97" s="59">
        <f>_xlfn.IFNA(INDEX(DetailByDistrict[],MATCH($H97,DetailByDistrict[Dist],0),MATCH(J$2,DetailByDistrict[#Headers],0)),0)</f>
        <v>18</v>
      </c>
      <c r="K97" s="54">
        <f t="shared" si="1"/>
        <v>0.44444444444444442</v>
      </c>
      <c r="L97" s="59">
        <f>ROUND(INDEX(DetailByDistrict[],MATCH($H97,DetailByDistrict[Dist],0),MATCH(L$2,DetailByDistrict[#Headers],0))*K97,2)</f>
        <v>522.66999999999996</v>
      </c>
      <c r="M97" s="59">
        <f>ROUND(INDEX(DetailByDistrict[],MATCH($H97,DetailByDistrict[Dist],0),MATCH(M$2,DetailByDistrict[#Headers],0))*K97,2)</f>
        <v>585.33000000000004</v>
      </c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25">
      <c r="A98" s="57" t="s">
        <v>22</v>
      </c>
      <c r="B98" s="54" t="s">
        <v>987</v>
      </c>
      <c r="C98" s="54" t="s">
        <v>767</v>
      </c>
      <c r="D98" s="57" t="s">
        <v>24</v>
      </c>
      <c r="E98" s="53">
        <v>8108</v>
      </c>
      <c r="F98" s="54" t="s">
        <v>993</v>
      </c>
      <c r="G98" s="53" t="s">
        <v>59</v>
      </c>
      <c r="H98" s="58" t="str">
        <f>_xlfn.IFNA(INDEX(ActiveSchools!$C$2:$F$326,MATCH(G98,ActiveSchools!$F$2:$F$326,0),1),"Total")</f>
        <v>6921</v>
      </c>
      <c r="I98" s="53">
        <v>27</v>
      </c>
      <c r="J98" s="59">
        <f>_xlfn.IFNA(INDEX(DetailByDistrict[],MATCH($H98,DetailByDistrict[Dist],0),MATCH(J$2,DetailByDistrict[#Headers],0)),0)</f>
        <v>40</v>
      </c>
      <c r="K98" s="54">
        <f t="shared" si="1"/>
        <v>0.67500000000000004</v>
      </c>
      <c r="L98" s="59">
        <f>ROUND(INDEX(DetailByDistrict[],MATCH($H98,DetailByDistrict[Dist],0),MATCH(L$2,DetailByDistrict[#Headers],0))*K98,2)</f>
        <v>1764.45</v>
      </c>
      <c r="M98" s="59">
        <f>ROUND(INDEX(DetailByDistrict[],MATCH($H98,DetailByDistrict[Dist],0),MATCH(M$2,DetailByDistrict[#Headers],0))*K98,2)</f>
        <v>1975.05</v>
      </c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25">
      <c r="A99" s="57" t="s">
        <v>22</v>
      </c>
      <c r="B99" s="54" t="s">
        <v>987</v>
      </c>
      <c r="C99" s="54" t="s">
        <v>770</v>
      </c>
      <c r="D99" s="57" t="s">
        <v>177</v>
      </c>
      <c r="E99" s="53">
        <v>8104</v>
      </c>
      <c r="F99" s="54" t="s">
        <v>996</v>
      </c>
      <c r="G99" s="53" t="s">
        <v>35</v>
      </c>
      <c r="H99" s="58" t="str">
        <f>_xlfn.IFNA(INDEX(ActiveSchools!$C$2:$F$326,MATCH(G99,ActiveSchools!$F$2:$F$326,0),1),"Total")</f>
        <v>3195</v>
      </c>
      <c r="I99" s="53">
        <v>1</v>
      </c>
      <c r="J99" s="59">
        <f>_xlfn.IFNA(INDEX(DetailByDistrict[],MATCH($H99,DetailByDistrict[Dist],0),MATCH(J$2,DetailByDistrict[#Headers],0)),0)</f>
        <v>7</v>
      </c>
      <c r="K99" s="54">
        <f t="shared" si="1"/>
        <v>0.14285714285714285</v>
      </c>
      <c r="L99" s="59">
        <f>ROUND(INDEX(DetailByDistrict[],MATCH($H99,DetailByDistrict[Dist],0),MATCH(L$2,DetailByDistrict[#Headers],0))*K99,2)</f>
        <v>65.290000000000006</v>
      </c>
      <c r="M99" s="59">
        <f>ROUND(INDEX(DetailByDistrict[],MATCH($H99,DetailByDistrict[Dist],0),MATCH(M$2,DetailByDistrict[#Headers],0))*K99,2)</f>
        <v>73.14</v>
      </c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25">
      <c r="A100" s="57" t="s">
        <v>22</v>
      </c>
      <c r="B100" s="54" t="s">
        <v>987</v>
      </c>
      <c r="C100" s="54" t="s">
        <v>773</v>
      </c>
      <c r="D100" s="57" t="s">
        <v>178</v>
      </c>
      <c r="E100" s="53">
        <v>8503</v>
      </c>
      <c r="F100" s="54" t="s">
        <v>997</v>
      </c>
      <c r="G100" s="53" t="s">
        <v>39</v>
      </c>
      <c r="H100" s="58" t="str">
        <f>_xlfn.IFNA(INDEX(ActiveSchools!$C$2:$F$326,MATCH(G100,ActiveSchools!$F$2:$F$326,0),1),"Total")</f>
        <v>4023</v>
      </c>
      <c r="I100" s="53">
        <v>4</v>
      </c>
      <c r="J100" s="59">
        <f>_xlfn.IFNA(INDEX(DetailByDistrict[],MATCH($H100,DetailByDistrict[Dist],0),MATCH(J$2,DetailByDistrict[#Headers],0)),0)</f>
        <v>78</v>
      </c>
      <c r="K100" s="54">
        <f t="shared" si="1"/>
        <v>5.128205128205128E-2</v>
      </c>
      <c r="L100" s="59">
        <f>ROUND(INDEX(DetailByDistrict[],MATCH($H100,DetailByDistrict[Dist],0),MATCH(L$2,DetailByDistrict[#Headers],0))*K100,2)</f>
        <v>261.38</v>
      </c>
      <c r="M100" s="59">
        <f>ROUND(INDEX(DetailByDistrict[],MATCH($H100,DetailByDistrict[Dist],0),MATCH(M$2,DetailByDistrict[#Headers],0))*K100,2)</f>
        <v>292.62</v>
      </c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25">
      <c r="A101" s="57" t="s">
        <v>22</v>
      </c>
      <c r="B101" s="54" t="s">
        <v>987</v>
      </c>
      <c r="C101" s="54" t="s">
        <v>784</v>
      </c>
      <c r="D101" s="57" t="s">
        <v>183</v>
      </c>
      <c r="E101" s="53">
        <v>8204</v>
      </c>
      <c r="F101" s="54" t="s">
        <v>998</v>
      </c>
      <c r="G101" s="53" t="s">
        <v>52</v>
      </c>
      <c r="H101" s="58" t="str">
        <f>_xlfn.IFNA(INDEX(ActiveSchools!$C$2:$F$326,MATCH(G101,ActiveSchools!$F$2:$F$326,0),1),"Total")</f>
        <v>6096</v>
      </c>
      <c r="I101" s="53">
        <v>2</v>
      </c>
      <c r="J101" s="59">
        <f>_xlfn.IFNA(INDEX(DetailByDistrict[],MATCH($H101,DetailByDistrict[Dist],0),MATCH(J$2,DetailByDistrict[#Headers],0)),0)</f>
        <v>25</v>
      </c>
      <c r="K101" s="54">
        <f t="shared" si="1"/>
        <v>0.08</v>
      </c>
      <c r="L101" s="59">
        <f>ROUND(INDEX(DetailByDistrict[],MATCH($H101,DetailByDistrict[Dist],0),MATCH(L$2,DetailByDistrict[#Headers],0))*K101,2)</f>
        <v>130.72</v>
      </c>
      <c r="M101" s="59">
        <f>ROUND(INDEX(DetailByDistrict[],MATCH($H101,DetailByDistrict[Dist],0),MATCH(M$2,DetailByDistrict[#Headers],0))*K101,2)</f>
        <v>146.32</v>
      </c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25">
      <c r="A102" s="57" t="s">
        <v>22</v>
      </c>
      <c r="B102" s="54" t="s">
        <v>987</v>
      </c>
      <c r="C102" s="54" t="s">
        <v>793</v>
      </c>
      <c r="D102" s="57" t="s">
        <v>185</v>
      </c>
      <c r="E102" s="53">
        <v>8101</v>
      </c>
      <c r="F102" s="54" t="s">
        <v>999</v>
      </c>
      <c r="G102" s="53" t="s">
        <v>45</v>
      </c>
      <c r="H102" s="58" t="str">
        <f>_xlfn.IFNA(INDEX(ActiveSchools!$C$2:$F$326,MATCH(G102,ActiveSchools!$F$2:$F$326,0),1),"Total")</f>
        <v>5139</v>
      </c>
      <c r="I102" s="53">
        <v>3</v>
      </c>
      <c r="J102" s="59">
        <f>_xlfn.IFNA(INDEX(DetailByDistrict[],MATCH($H102,DetailByDistrict[Dist],0),MATCH(J$2,DetailByDistrict[#Headers],0)),0)</f>
        <v>5</v>
      </c>
      <c r="K102" s="54">
        <f t="shared" si="1"/>
        <v>0.6</v>
      </c>
      <c r="L102" s="59">
        <f>ROUND(INDEX(DetailByDistrict[],MATCH($H102,DetailByDistrict[Dist],0),MATCH(L$2,DetailByDistrict[#Headers],0))*K102,2)</f>
        <v>196.2</v>
      </c>
      <c r="M102" s="59">
        <f>ROUND(INDEX(DetailByDistrict[],MATCH($H102,DetailByDistrict[Dist],0),MATCH(M$2,DetailByDistrict[#Headers],0))*K102,2)</f>
        <v>219.6</v>
      </c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25">
      <c r="A103" s="57" t="s">
        <v>22</v>
      </c>
      <c r="B103" s="54" t="s">
        <v>987</v>
      </c>
      <c r="C103" s="54" t="s">
        <v>793</v>
      </c>
      <c r="D103" s="57" t="s">
        <v>185</v>
      </c>
      <c r="E103" s="53">
        <v>8101</v>
      </c>
      <c r="F103" s="54" t="s">
        <v>1000</v>
      </c>
      <c r="G103" s="53" t="s">
        <v>50</v>
      </c>
      <c r="H103" s="58" t="str">
        <f>_xlfn.IFNA(INDEX(ActiveSchools!$C$2:$F$326,MATCH(G103,ActiveSchools!$F$2:$F$326,0),1),"Total")</f>
        <v>6091</v>
      </c>
      <c r="I103" s="53">
        <v>14</v>
      </c>
      <c r="J103" s="59">
        <f>_xlfn.IFNA(INDEX(DetailByDistrict[],MATCH($H103,DetailByDistrict[Dist],0),MATCH(J$2,DetailByDistrict[#Headers],0)),0)</f>
        <v>38</v>
      </c>
      <c r="K103" s="54">
        <f t="shared" si="1"/>
        <v>0.36842105263157893</v>
      </c>
      <c r="L103" s="59">
        <f>ROUND(INDEX(DetailByDistrict[],MATCH($H103,DetailByDistrict[Dist],0),MATCH(L$2,DetailByDistrict[#Headers],0))*K103,2)</f>
        <v>914.79</v>
      </c>
      <c r="M103" s="59">
        <f>ROUND(INDEX(DetailByDistrict[],MATCH($H103,DetailByDistrict[Dist],0),MATCH(M$2,DetailByDistrict[#Headers],0))*K103,2)</f>
        <v>1024.21</v>
      </c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25">
      <c r="A104" s="57" t="s">
        <v>22</v>
      </c>
      <c r="B104" s="54" t="s">
        <v>987</v>
      </c>
      <c r="C104" s="54" t="s">
        <v>793</v>
      </c>
      <c r="D104" s="57" t="s">
        <v>185</v>
      </c>
      <c r="E104" s="53">
        <v>8101</v>
      </c>
      <c r="F104" s="54" t="s">
        <v>1001</v>
      </c>
      <c r="G104" s="53" t="s">
        <v>29</v>
      </c>
      <c r="H104" s="58" t="str">
        <f>_xlfn.IFNA(INDEX(ActiveSchools!$C$2:$F$326,MATCH(G104,ActiveSchools!$F$2:$F$326,0),1),"Total")</f>
        <v>6741</v>
      </c>
      <c r="I104" s="53">
        <v>23</v>
      </c>
      <c r="J104" s="59">
        <f>_xlfn.IFNA(INDEX(DetailByDistrict[],MATCH($H104,DetailByDistrict[Dist],0),MATCH(J$2,DetailByDistrict[#Headers],0)),0)</f>
        <v>59</v>
      </c>
      <c r="K104" s="54">
        <f t="shared" si="1"/>
        <v>0.38983050847457629</v>
      </c>
      <c r="L104" s="59">
        <f>ROUND(INDEX(DetailByDistrict[],MATCH($H104,DetailByDistrict[Dist],0),MATCH(L$2,DetailByDistrict[#Headers],0))*K104,2)</f>
        <v>1502.8</v>
      </c>
      <c r="M104" s="59">
        <f>ROUND(INDEX(DetailByDistrict[],MATCH($H104,DetailByDistrict[Dist],0),MATCH(M$2,DetailByDistrict[#Headers],0))*K104,2)</f>
        <v>1682.51</v>
      </c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25">
      <c r="A105" s="57" t="s">
        <v>22</v>
      </c>
      <c r="B105" s="54" t="s">
        <v>987</v>
      </c>
      <c r="C105" s="54" t="s">
        <v>794</v>
      </c>
      <c r="D105" s="57" t="s">
        <v>185</v>
      </c>
      <c r="E105" s="53">
        <v>8104</v>
      </c>
      <c r="F105" s="54" t="s">
        <v>996</v>
      </c>
      <c r="G105" s="53" t="s">
        <v>35</v>
      </c>
      <c r="H105" s="58" t="str">
        <f>_xlfn.IFNA(INDEX(ActiveSchools!$C$2:$F$326,MATCH(G105,ActiveSchools!$F$2:$F$326,0),1),"Total")</f>
        <v>3195</v>
      </c>
      <c r="I105" s="53">
        <v>4</v>
      </c>
      <c r="J105" s="59">
        <f>_xlfn.IFNA(INDEX(DetailByDistrict[],MATCH($H105,DetailByDistrict[Dist],0),MATCH(J$2,DetailByDistrict[#Headers],0)),0)</f>
        <v>7</v>
      </c>
      <c r="K105" s="54">
        <f t="shared" si="1"/>
        <v>0.5714285714285714</v>
      </c>
      <c r="L105" s="59">
        <f>ROUND(INDEX(DetailByDistrict[],MATCH($H105,DetailByDistrict[Dist],0),MATCH(L$2,DetailByDistrict[#Headers],0))*K105,2)</f>
        <v>261.14</v>
      </c>
      <c r="M105" s="59">
        <f>ROUND(INDEX(DetailByDistrict[],MATCH($H105,DetailByDistrict[Dist],0),MATCH(M$2,DetailByDistrict[#Headers],0))*K105,2)</f>
        <v>292.57</v>
      </c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25">
      <c r="A106" s="57" t="s">
        <v>22</v>
      </c>
      <c r="B106" s="54" t="s">
        <v>987</v>
      </c>
      <c r="C106" s="54" t="s">
        <v>794</v>
      </c>
      <c r="D106" s="57" t="s">
        <v>185</v>
      </c>
      <c r="E106" s="53">
        <v>8104</v>
      </c>
      <c r="F106" s="54" t="s">
        <v>999</v>
      </c>
      <c r="G106" s="53" t="s">
        <v>45</v>
      </c>
      <c r="H106" s="58" t="str">
        <f>_xlfn.IFNA(INDEX(ActiveSchools!$C$2:$F$326,MATCH(G106,ActiveSchools!$F$2:$F$326,0),1),"Total")</f>
        <v>5139</v>
      </c>
      <c r="I106" s="53">
        <v>2</v>
      </c>
      <c r="J106" s="59">
        <f>_xlfn.IFNA(INDEX(DetailByDistrict[],MATCH($H106,DetailByDistrict[Dist],0),MATCH(J$2,DetailByDistrict[#Headers],0)),0)</f>
        <v>5</v>
      </c>
      <c r="K106" s="54">
        <f t="shared" si="1"/>
        <v>0.4</v>
      </c>
      <c r="L106" s="59">
        <f>ROUND(INDEX(DetailByDistrict[],MATCH($H106,DetailByDistrict[Dist],0),MATCH(L$2,DetailByDistrict[#Headers],0))*K106,2)</f>
        <v>130.80000000000001</v>
      </c>
      <c r="M106" s="59">
        <f>ROUND(INDEX(DetailByDistrict[],MATCH($H106,DetailByDistrict[Dist],0),MATCH(M$2,DetailByDistrict[#Headers],0))*K106,2)</f>
        <v>146.4</v>
      </c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25">
      <c r="A107" s="57" t="s">
        <v>22</v>
      </c>
      <c r="B107" s="54" t="s">
        <v>987</v>
      </c>
      <c r="C107" s="54" t="s">
        <v>794</v>
      </c>
      <c r="D107" s="57" t="s">
        <v>185</v>
      </c>
      <c r="E107" s="53">
        <v>8104</v>
      </c>
      <c r="F107" s="54" t="s">
        <v>1000</v>
      </c>
      <c r="G107" s="53" t="s">
        <v>50</v>
      </c>
      <c r="H107" s="58" t="str">
        <f>_xlfn.IFNA(INDEX(ActiveSchools!$C$2:$F$326,MATCH(G107,ActiveSchools!$F$2:$F$326,0),1),"Total")</f>
        <v>6091</v>
      </c>
      <c r="I107" s="53">
        <v>24</v>
      </c>
      <c r="J107" s="59">
        <f>_xlfn.IFNA(INDEX(DetailByDistrict[],MATCH($H107,DetailByDistrict[Dist],0),MATCH(J$2,DetailByDistrict[#Headers],0)),0)</f>
        <v>38</v>
      </c>
      <c r="K107" s="54">
        <f t="shared" si="1"/>
        <v>0.63157894736842102</v>
      </c>
      <c r="L107" s="59">
        <f>ROUND(INDEX(DetailByDistrict[],MATCH($H107,DetailByDistrict[Dist],0),MATCH(L$2,DetailByDistrict[#Headers],0))*K107,2)</f>
        <v>1568.21</v>
      </c>
      <c r="M107" s="59">
        <f>ROUND(INDEX(DetailByDistrict[],MATCH($H107,DetailByDistrict[Dist],0),MATCH(M$2,DetailByDistrict[#Headers],0))*K107,2)</f>
        <v>1755.79</v>
      </c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25">
      <c r="A108" s="57" t="s">
        <v>22</v>
      </c>
      <c r="B108" s="54" t="s">
        <v>987</v>
      </c>
      <c r="C108" s="54" t="s">
        <v>794</v>
      </c>
      <c r="D108" s="57" t="s">
        <v>185</v>
      </c>
      <c r="E108" s="53">
        <v>8104</v>
      </c>
      <c r="F108" s="54" t="s">
        <v>1001</v>
      </c>
      <c r="G108" s="53" t="s">
        <v>29</v>
      </c>
      <c r="H108" s="58" t="str">
        <f>_xlfn.IFNA(INDEX(ActiveSchools!$C$2:$F$326,MATCH(G108,ActiveSchools!$F$2:$F$326,0),1),"Total")</f>
        <v>6741</v>
      </c>
      <c r="I108" s="53">
        <v>36</v>
      </c>
      <c r="J108" s="59">
        <f>_xlfn.IFNA(INDEX(DetailByDistrict[],MATCH($H108,DetailByDistrict[Dist],0),MATCH(J$2,DetailByDistrict[#Headers],0)),0)</f>
        <v>59</v>
      </c>
      <c r="K108" s="54">
        <f t="shared" si="1"/>
        <v>0.61016949152542377</v>
      </c>
      <c r="L108" s="59">
        <f>ROUND(INDEX(DetailByDistrict[],MATCH($H108,DetailByDistrict[Dist],0),MATCH(L$2,DetailByDistrict[#Headers],0))*K108,2)</f>
        <v>2352.1999999999998</v>
      </c>
      <c r="M108" s="59">
        <f>ROUND(INDEX(DetailByDistrict[],MATCH($H108,DetailByDistrict[Dist],0),MATCH(M$2,DetailByDistrict[#Headers],0))*K108,2)</f>
        <v>2633.49</v>
      </c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25">
      <c r="A109" s="57" t="s">
        <v>22</v>
      </c>
      <c r="B109" s="54" t="s">
        <v>987</v>
      </c>
      <c r="C109" s="54" t="s">
        <v>811</v>
      </c>
      <c r="D109" s="53">
        <v>1233</v>
      </c>
      <c r="E109" s="53">
        <v>8102</v>
      </c>
      <c r="F109" s="54" t="s">
        <v>1002</v>
      </c>
      <c r="G109" s="53" t="s">
        <v>26</v>
      </c>
      <c r="H109" s="58" t="str">
        <f>_xlfn.IFNA(INDEX(ActiveSchools!$C$2:$F$326,MATCH(G109,ActiveSchools!$F$2:$F$326,0),1),"Total")</f>
        <v>1206</v>
      </c>
      <c r="I109" s="53">
        <v>1</v>
      </c>
      <c r="J109" s="59">
        <f>_xlfn.IFNA(INDEX(DetailByDistrict[],MATCH($H109,DetailByDistrict[Dist],0),MATCH(J$2,DetailByDistrict[#Headers],0)),0)</f>
        <v>5</v>
      </c>
      <c r="K109" s="54">
        <f t="shared" si="1"/>
        <v>0.2</v>
      </c>
      <c r="L109" s="59">
        <f>ROUND(INDEX(DetailByDistrict[],MATCH($H109,DetailByDistrict[Dist],0),MATCH(L$2,DetailByDistrict[#Headers],0))*K109,2)</f>
        <v>65.400000000000006</v>
      </c>
      <c r="M109" s="59">
        <f>ROUND(INDEX(DetailByDistrict[],MATCH($H109,DetailByDistrict[Dist],0),MATCH(M$2,DetailByDistrict[#Headers],0))*K109,2)</f>
        <v>73.2</v>
      </c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25">
      <c r="A110" s="57" t="s">
        <v>22</v>
      </c>
      <c r="B110" s="54" t="s">
        <v>987</v>
      </c>
      <c r="C110" s="54" t="s">
        <v>851</v>
      </c>
      <c r="D110" s="53">
        <v>2088</v>
      </c>
      <c r="E110" s="53">
        <v>8102</v>
      </c>
      <c r="F110" s="54" t="s">
        <v>988</v>
      </c>
      <c r="G110" s="57" t="s">
        <v>24</v>
      </c>
      <c r="H110" s="58" t="str">
        <f>_xlfn.IFNA(INDEX(ActiveSchools!$C$2:$F$326,MATCH(G110,ActiveSchools!$F$2:$F$326,0),1),"Total")</f>
        <v>0126</v>
      </c>
      <c r="I110" s="53">
        <v>2</v>
      </c>
      <c r="J110" s="59">
        <f>_xlfn.IFNA(INDEX(DetailByDistrict[],MATCH($H110,DetailByDistrict[Dist],0),MATCH(J$2,DetailByDistrict[#Headers],0)),0)</f>
        <v>324</v>
      </c>
      <c r="K110" s="54">
        <f t="shared" si="1"/>
        <v>6.1728395061728392E-3</v>
      </c>
      <c r="L110" s="59">
        <f>ROUND(INDEX(DetailByDistrict[],MATCH($H110,DetailByDistrict[Dist],0),MATCH(L$2,DetailByDistrict[#Headers],0))*K110,2)</f>
        <v>130.68</v>
      </c>
      <c r="M110" s="59">
        <f>ROUND(INDEX(DetailByDistrict[],MATCH($H110,DetailByDistrict[Dist],0),MATCH(M$2,DetailByDistrict[#Headers],0))*K110,2)</f>
        <v>146.32</v>
      </c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25">
      <c r="A111" s="57" t="s">
        <v>22</v>
      </c>
      <c r="B111" s="54" t="s">
        <v>987</v>
      </c>
      <c r="C111" s="54" t="s">
        <v>851</v>
      </c>
      <c r="D111" s="53">
        <v>2088</v>
      </c>
      <c r="E111" s="53">
        <v>8102</v>
      </c>
      <c r="F111" s="54" t="s">
        <v>989</v>
      </c>
      <c r="G111" s="57" t="s">
        <v>42</v>
      </c>
      <c r="H111" s="58" t="str">
        <f>_xlfn.IFNA(INDEX(ActiveSchools!$C$2:$F$326,MATCH(G111,ActiveSchools!$F$2:$F$326,0),1),"Total")</f>
        <v>0333</v>
      </c>
      <c r="I111" s="53">
        <v>2</v>
      </c>
      <c r="J111" s="59">
        <f>_xlfn.IFNA(INDEX(DetailByDistrict[],MATCH($H111,DetailByDistrict[Dist],0),MATCH(J$2,DetailByDistrict[#Headers],0)),0)</f>
        <v>14</v>
      </c>
      <c r="K111" s="54">
        <f t="shared" si="1"/>
        <v>0.14285714285714285</v>
      </c>
      <c r="L111" s="59">
        <f>ROUND(INDEX(DetailByDistrict[],MATCH($H111,DetailByDistrict[Dist],0),MATCH(L$2,DetailByDistrict[#Headers],0))*K111,2)</f>
        <v>130.71</v>
      </c>
      <c r="M111" s="59">
        <f>ROUND(INDEX(DetailByDistrict[],MATCH($H111,DetailByDistrict[Dist],0),MATCH(M$2,DetailByDistrict[#Headers],0))*K111,2)</f>
        <v>146.29</v>
      </c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25">
      <c r="A112" s="57" t="s">
        <v>22</v>
      </c>
      <c r="B112" s="54" t="s">
        <v>987</v>
      </c>
      <c r="C112" s="54" t="s">
        <v>851</v>
      </c>
      <c r="D112" s="53">
        <v>2088</v>
      </c>
      <c r="E112" s="53">
        <v>8102</v>
      </c>
      <c r="F112" s="54" t="s">
        <v>990</v>
      </c>
      <c r="G112" s="53" t="s">
        <v>30</v>
      </c>
      <c r="H112" s="58" t="str">
        <f>_xlfn.IFNA(INDEX(ActiveSchools!$C$2:$F$326,MATCH(G112,ActiveSchools!$F$2:$F$326,0),1),"Total")</f>
        <v>2088</v>
      </c>
      <c r="I112" s="53">
        <v>77</v>
      </c>
      <c r="J112" s="59">
        <f>_xlfn.IFNA(INDEX(DetailByDistrict[],MATCH($H112,DetailByDistrict[Dist],0),MATCH(J$2,DetailByDistrict[#Headers],0)),0)</f>
        <v>86</v>
      </c>
      <c r="K112" s="54">
        <f t="shared" si="1"/>
        <v>0.89534883720930236</v>
      </c>
      <c r="L112" s="59">
        <f>ROUND(INDEX(DetailByDistrict[],MATCH($H112,DetailByDistrict[Dist],0),MATCH(L$2,DetailByDistrict[#Headers],0))*K112,2)</f>
        <v>5030.97</v>
      </c>
      <c r="M112" s="59">
        <f>ROUND(INDEX(DetailByDistrict[],MATCH($H112,DetailByDistrict[Dist],0),MATCH(M$2,DetailByDistrict[#Headers],0))*K112,2)</f>
        <v>5633.53</v>
      </c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25">
      <c r="A113" s="57" t="s">
        <v>22</v>
      </c>
      <c r="B113" s="54" t="s">
        <v>987</v>
      </c>
      <c r="C113" s="54" t="s">
        <v>851</v>
      </c>
      <c r="D113" s="53">
        <v>2088</v>
      </c>
      <c r="E113" s="53">
        <v>8102</v>
      </c>
      <c r="F113" s="54" t="s">
        <v>1003</v>
      </c>
      <c r="G113" s="53" t="s">
        <v>34</v>
      </c>
      <c r="H113" s="58" t="str">
        <f>_xlfn.IFNA(INDEX(ActiveSchools!$C$2:$F$326,MATCH(G113,ActiveSchools!$F$2:$F$326,0),1),"Total")</f>
        <v>2556</v>
      </c>
      <c r="I113" s="53">
        <v>3</v>
      </c>
      <c r="J113" s="59">
        <f>_xlfn.IFNA(INDEX(DetailByDistrict[],MATCH($H113,DetailByDistrict[Dist],0),MATCH(J$2,DetailByDistrict[#Headers],0)),0)</f>
        <v>6</v>
      </c>
      <c r="K113" s="54">
        <f t="shared" si="1"/>
        <v>0.5</v>
      </c>
      <c r="L113" s="59">
        <f>ROUND(INDEX(DetailByDistrict[],MATCH($H113,DetailByDistrict[Dist],0),MATCH(L$2,DetailByDistrict[#Headers],0))*K113,2)</f>
        <v>196</v>
      </c>
      <c r="M113" s="59">
        <f>ROUND(INDEX(DetailByDistrict[],MATCH($H113,DetailByDistrict[Dist],0),MATCH(M$2,DetailByDistrict[#Headers],0))*K113,2)</f>
        <v>219.5</v>
      </c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25">
      <c r="A114" s="57" t="s">
        <v>22</v>
      </c>
      <c r="B114" s="54" t="s">
        <v>987</v>
      </c>
      <c r="C114" s="54" t="s">
        <v>851</v>
      </c>
      <c r="D114" s="53">
        <v>2088</v>
      </c>
      <c r="E114" s="53">
        <v>8102</v>
      </c>
      <c r="F114" s="54" t="s">
        <v>1004</v>
      </c>
      <c r="G114" s="53" t="s">
        <v>47</v>
      </c>
      <c r="H114" s="58" t="str">
        <f>_xlfn.IFNA(INDEX(ActiveSchools!$C$2:$F$326,MATCH(G114,ActiveSchools!$F$2:$F$326,0),1),"Total")</f>
        <v>5724</v>
      </c>
      <c r="I114" s="53">
        <v>3</v>
      </c>
      <c r="J114" s="59">
        <f>_xlfn.IFNA(INDEX(DetailByDistrict[],MATCH($H114,DetailByDistrict[Dist],0),MATCH(J$2,DetailByDistrict[#Headers],0)),0)</f>
        <v>10</v>
      </c>
      <c r="K114" s="54">
        <f t="shared" si="1"/>
        <v>0.3</v>
      </c>
      <c r="L114" s="59">
        <f>ROUND(INDEX(DetailByDistrict[],MATCH($H114,DetailByDistrict[Dist],0),MATCH(L$2,DetailByDistrict[#Headers],0))*K114,2)</f>
        <v>195.9</v>
      </c>
      <c r="M114" s="59">
        <f>ROUND(INDEX(DetailByDistrict[],MATCH($H114,DetailByDistrict[Dist],0),MATCH(M$2,DetailByDistrict[#Headers],0))*K114,2)</f>
        <v>219.6</v>
      </c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25">
      <c r="A115" s="57" t="s">
        <v>22</v>
      </c>
      <c r="B115" s="54" t="s">
        <v>987</v>
      </c>
      <c r="C115" s="54" t="s">
        <v>851</v>
      </c>
      <c r="D115" s="53">
        <v>2088</v>
      </c>
      <c r="E115" s="53">
        <v>8102</v>
      </c>
      <c r="F115" s="54" t="s">
        <v>993</v>
      </c>
      <c r="G115" s="53" t="s">
        <v>59</v>
      </c>
      <c r="H115" s="58" t="str">
        <f>_xlfn.IFNA(INDEX(ActiveSchools!$C$2:$F$326,MATCH(G115,ActiveSchools!$F$2:$F$326,0),1),"Total")</f>
        <v>6921</v>
      </c>
      <c r="I115" s="53">
        <v>4</v>
      </c>
      <c r="J115" s="59">
        <f>_xlfn.IFNA(INDEX(DetailByDistrict[],MATCH($H115,DetailByDistrict[Dist],0),MATCH(J$2,DetailByDistrict[#Headers],0)),0)</f>
        <v>40</v>
      </c>
      <c r="K115" s="54">
        <f t="shared" si="1"/>
        <v>0.1</v>
      </c>
      <c r="L115" s="59">
        <f>ROUND(INDEX(DetailByDistrict[],MATCH($H115,DetailByDistrict[Dist],0),MATCH(L$2,DetailByDistrict[#Headers],0))*K115,2)</f>
        <v>261.39999999999998</v>
      </c>
      <c r="M115" s="59">
        <f>ROUND(INDEX(DetailByDistrict[],MATCH($H115,DetailByDistrict[Dist],0),MATCH(M$2,DetailByDistrict[#Headers],0))*K115,2)</f>
        <v>292.60000000000002</v>
      </c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25">
      <c r="A116" s="57" t="s">
        <v>22</v>
      </c>
      <c r="B116" s="54" t="s">
        <v>987</v>
      </c>
      <c r="C116" s="54" t="s">
        <v>854</v>
      </c>
      <c r="D116" s="53">
        <v>2313</v>
      </c>
      <c r="E116" s="53">
        <v>8104</v>
      </c>
      <c r="F116" s="54" t="s">
        <v>1005</v>
      </c>
      <c r="G116" s="53" t="s">
        <v>32</v>
      </c>
      <c r="H116" s="58" t="str">
        <f>_xlfn.IFNA(INDEX(ActiveSchools!$C$2:$F$326,MATCH(G116,ActiveSchools!$F$2:$F$326,0),1),"Total")</f>
        <v>2313</v>
      </c>
      <c r="I116" s="53">
        <v>533</v>
      </c>
      <c r="J116" s="59">
        <f>_xlfn.IFNA(INDEX(DetailByDistrict[],MATCH($H116,DetailByDistrict[Dist],0),MATCH(J$2,DetailByDistrict[#Headers],0)),0)</f>
        <v>677</v>
      </c>
      <c r="K116" s="54">
        <f t="shared" si="1"/>
        <v>0.78729689807976366</v>
      </c>
      <c r="L116" s="59">
        <f>ROUND(INDEX(DetailByDistrict[],MATCH($H116,DetailByDistrict[Dist],0),MATCH(L$2,DetailByDistrict[#Headers],0))*K116,2)-0.02</f>
        <v>34826.060000000005</v>
      </c>
      <c r="M116" s="59">
        <f>ROUND(INDEX(DetailByDistrict[],MATCH($H116,DetailByDistrict[Dist],0),MATCH(M$2,DetailByDistrict[#Headers],0))*K116,2)</f>
        <v>38994.03</v>
      </c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25">
      <c r="A117" s="57" t="s">
        <v>22</v>
      </c>
      <c r="B117" s="54" t="s">
        <v>987</v>
      </c>
      <c r="C117" s="54" t="s">
        <v>854</v>
      </c>
      <c r="D117" s="53">
        <v>2313</v>
      </c>
      <c r="E117" s="53">
        <v>8104</v>
      </c>
      <c r="F117" s="54" t="s">
        <v>994</v>
      </c>
      <c r="G117" s="53" t="s">
        <v>37</v>
      </c>
      <c r="H117" s="58" t="str">
        <f>_xlfn.IFNA(INDEX(ActiveSchools!$C$2:$F$326,MATCH(G117,ActiveSchools!$F$2:$F$326,0),1),"Total")</f>
        <v>3060</v>
      </c>
      <c r="I117" s="53">
        <v>4</v>
      </c>
      <c r="J117" s="59">
        <f>_xlfn.IFNA(INDEX(DetailByDistrict[],MATCH($H117,DetailByDistrict[Dist],0),MATCH(J$2,DetailByDistrict[#Headers],0)),0)</f>
        <v>133</v>
      </c>
      <c r="K117" s="54">
        <f t="shared" si="1"/>
        <v>3.007518796992481E-2</v>
      </c>
      <c r="L117" s="59">
        <f>ROUND(INDEX(DetailByDistrict[],MATCH($H117,DetailByDistrict[Dist],0),MATCH(L$2,DetailByDistrict[#Headers],0))*K117,2)</f>
        <v>261.35000000000002</v>
      </c>
      <c r="M117" s="59">
        <f>ROUND(INDEX(DetailByDistrict[],MATCH($H117,DetailByDistrict[Dist],0),MATCH(M$2,DetailByDistrict[#Headers],0))*K117,2)</f>
        <v>292.63</v>
      </c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25">
      <c r="A118" s="57" t="s">
        <v>22</v>
      </c>
      <c r="B118" s="54" t="s">
        <v>987</v>
      </c>
      <c r="C118" s="54" t="s">
        <v>854</v>
      </c>
      <c r="D118" s="53">
        <v>2313</v>
      </c>
      <c r="E118" s="53">
        <v>8104</v>
      </c>
      <c r="F118" s="54" t="s">
        <v>997</v>
      </c>
      <c r="G118" s="53" t="s">
        <v>39</v>
      </c>
      <c r="H118" s="58" t="str">
        <f>_xlfn.IFNA(INDEX(ActiveSchools!$C$2:$F$326,MATCH(G118,ActiveSchools!$F$2:$F$326,0),1),"Total")</f>
        <v>4023</v>
      </c>
      <c r="I118" s="53">
        <v>52</v>
      </c>
      <c r="J118" s="59">
        <f>_xlfn.IFNA(INDEX(DetailByDistrict[],MATCH($H118,DetailByDistrict[Dist],0),MATCH(J$2,DetailByDistrict[#Headers],0)),0)</f>
        <v>78</v>
      </c>
      <c r="K118" s="54">
        <f t="shared" si="1"/>
        <v>0.66666666666666663</v>
      </c>
      <c r="L118" s="59">
        <f>ROUND(INDEX(DetailByDistrict[],MATCH($H118,DetailByDistrict[Dist],0),MATCH(L$2,DetailByDistrict[#Headers],0))*K118,2)</f>
        <v>3398</v>
      </c>
      <c r="M118" s="59">
        <f>ROUND(INDEX(DetailByDistrict[],MATCH($H118,DetailByDistrict[Dist],0),MATCH(M$2,DetailByDistrict[#Headers],0))*K118,2)</f>
        <v>3804</v>
      </c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25">
      <c r="A119" s="57" t="s">
        <v>22</v>
      </c>
      <c r="B119" s="54" t="s">
        <v>987</v>
      </c>
      <c r="C119" s="54" t="s">
        <v>854</v>
      </c>
      <c r="D119" s="53">
        <v>2313</v>
      </c>
      <c r="E119" s="53">
        <v>8104</v>
      </c>
      <c r="F119" s="54" t="s">
        <v>995</v>
      </c>
      <c r="G119" s="53" t="s">
        <v>46</v>
      </c>
      <c r="H119" s="58" t="str">
        <f>_xlfn.IFNA(INDEX(ActiveSchools!$C$2:$F$326,MATCH(G119,ActiveSchools!$F$2:$F$326,0),1),"Total")</f>
        <v>5283</v>
      </c>
      <c r="I119" s="53">
        <v>2</v>
      </c>
      <c r="J119" s="59">
        <f>_xlfn.IFNA(INDEX(DetailByDistrict[],MATCH($H119,DetailByDistrict[Dist],0),MATCH(J$2,DetailByDistrict[#Headers],0)),0)</f>
        <v>91</v>
      </c>
      <c r="K119" s="54">
        <f t="shared" si="1"/>
        <v>2.197802197802198E-2</v>
      </c>
      <c r="L119" s="59">
        <f>ROUND(INDEX(DetailByDistrict[],MATCH($H119,DetailByDistrict[Dist],0),MATCH(L$2,DetailByDistrict[#Headers],0))*K119,2)</f>
        <v>130.68</v>
      </c>
      <c r="M119" s="59">
        <f>ROUND(INDEX(DetailByDistrict[],MATCH($H119,DetailByDistrict[Dist],0),MATCH(M$2,DetailByDistrict[#Headers],0))*K119,2)</f>
        <v>146.33000000000001</v>
      </c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25">
      <c r="A120" s="57" t="s">
        <v>22</v>
      </c>
      <c r="B120" s="54" t="s">
        <v>987</v>
      </c>
      <c r="C120" s="54" t="s">
        <v>854</v>
      </c>
      <c r="D120" s="53">
        <v>2313</v>
      </c>
      <c r="E120" s="53">
        <v>8104</v>
      </c>
      <c r="F120" s="54" t="s">
        <v>998</v>
      </c>
      <c r="G120" s="53" t="s">
        <v>52</v>
      </c>
      <c r="H120" s="58" t="str">
        <f>_xlfn.IFNA(INDEX(ActiveSchools!$C$2:$F$326,MATCH(G120,ActiveSchools!$F$2:$F$326,0),1),"Total")</f>
        <v>6096</v>
      </c>
      <c r="I120" s="53">
        <v>19</v>
      </c>
      <c r="J120" s="59">
        <f>_xlfn.IFNA(INDEX(DetailByDistrict[],MATCH($H120,DetailByDistrict[Dist],0),MATCH(J$2,DetailByDistrict[#Headers],0)),0)</f>
        <v>25</v>
      </c>
      <c r="K120" s="54">
        <f t="shared" si="1"/>
        <v>0.76</v>
      </c>
      <c r="L120" s="59">
        <f>ROUND(INDEX(DetailByDistrict[],MATCH($H120,DetailByDistrict[Dist],0),MATCH(L$2,DetailByDistrict[#Headers],0))*K120,2)</f>
        <v>1241.8399999999999</v>
      </c>
      <c r="M120" s="59">
        <f>ROUND(INDEX(DetailByDistrict[],MATCH($H120,DetailByDistrict[Dist],0),MATCH(M$2,DetailByDistrict[#Headers],0))*K120,2)</f>
        <v>1390.04</v>
      </c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25">
      <c r="A121" s="57" t="s">
        <v>22</v>
      </c>
      <c r="B121" s="54" t="s">
        <v>987</v>
      </c>
      <c r="C121" s="54" t="s">
        <v>854</v>
      </c>
      <c r="D121" s="53">
        <v>2313</v>
      </c>
      <c r="E121" s="53">
        <v>8104</v>
      </c>
      <c r="F121" s="54" t="s">
        <v>1006</v>
      </c>
      <c r="G121" s="53" t="s">
        <v>56</v>
      </c>
      <c r="H121" s="58" t="str">
        <f>_xlfn.IFNA(INDEX(ActiveSchools!$C$2:$F$326,MATCH(G121,ActiveSchools!$F$2:$F$326,0),1),"Total")</f>
        <v>6246</v>
      </c>
      <c r="I121" s="53">
        <v>4</v>
      </c>
      <c r="J121" s="59">
        <f>_xlfn.IFNA(INDEX(DetailByDistrict[],MATCH($H121,DetailByDistrict[Dist],0),MATCH(J$2,DetailByDistrict[#Headers],0)),0)</f>
        <v>6</v>
      </c>
      <c r="K121" s="54">
        <f t="shared" si="1"/>
        <v>0.66666666666666663</v>
      </c>
      <c r="L121" s="59">
        <f>ROUND(INDEX(DetailByDistrict[],MATCH($H121,DetailByDistrict[Dist],0),MATCH(L$2,DetailByDistrict[#Headers],0))*K121,2)</f>
        <v>261.33</v>
      </c>
      <c r="M121" s="59">
        <f>ROUND(INDEX(DetailByDistrict[],MATCH($H121,DetailByDistrict[Dist],0),MATCH(M$2,DetailByDistrict[#Headers],0))*K121,2)</f>
        <v>292.67</v>
      </c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25">
      <c r="A122" s="57" t="s">
        <v>22</v>
      </c>
      <c r="B122" s="54" t="s">
        <v>987</v>
      </c>
      <c r="C122" s="54" t="s">
        <v>854</v>
      </c>
      <c r="D122" s="53">
        <v>2313</v>
      </c>
      <c r="E122" s="53">
        <v>8104</v>
      </c>
      <c r="F122" s="54" t="s">
        <v>1007</v>
      </c>
      <c r="G122" s="53" t="s">
        <v>58</v>
      </c>
      <c r="H122" s="58" t="str">
        <f>_xlfn.IFNA(INDEX(ActiveSchools!$C$2:$F$326,MATCH(G122,ActiveSchools!$F$2:$F$326,0),1),"Total")</f>
        <v>6867</v>
      </c>
      <c r="I122" s="53">
        <v>12</v>
      </c>
      <c r="J122" s="59">
        <f>_xlfn.IFNA(INDEX(DetailByDistrict[],MATCH($H122,DetailByDistrict[Dist],0),MATCH(J$2,DetailByDistrict[#Headers],0)),0)</f>
        <v>90</v>
      </c>
      <c r="K122" s="54">
        <f t="shared" si="1"/>
        <v>0.13333333333333333</v>
      </c>
      <c r="L122" s="59">
        <f>ROUND(INDEX(DetailByDistrict[],MATCH($H122,DetailByDistrict[Dist],0),MATCH(L$2,DetailByDistrict[#Headers],0))*K122,2)</f>
        <v>784.13</v>
      </c>
      <c r="M122" s="59">
        <f>ROUND(INDEX(DetailByDistrict[],MATCH($H122,DetailByDistrict[Dist],0),MATCH(M$2,DetailByDistrict[#Headers],0))*K122,2)</f>
        <v>877.87</v>
      </c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25">
      <c r="A123" s="57" t="s">
        <v>22</v>
      </c>
      <c r="B123" s="54" t="s">
        <v>987</v>
      </c>
      <c r="C123" s="54" t="s">
        <v>855</v>
      </c>
      <c r="D123" s="53">
        <v>2313</v>
      </c>
      <c r="E123" s="53">
        <v>8206</v>
      </c>
      <c r="F123" s="54" t="s">
        <v>1008</v>
      </c>
      <c r="G123" s="53" t="s">
        <v>28</v>
      </c>
      <c r="H123" s="58" t="str">
        <f>_xlfn.IFNA(INDEX(ActiveSchools!$C$2:$F$326,MATCH(G123,ActiveSchools!$F$2:$F$326,0),1),"Total")</f>
        <v>1944</v>
      </c>
      <c r="I123" s="53">
        <v>2</v>
      </c>
      <c r="J123" s="59">
        <f>_xlfn.IFNA(INDEX(DetailByDistrict[],MATCH($H123,DetailByDistrict[Dist],0),MATCH(J$2,DetailByDistrict[#Headers],0)),0)</f>
        <v>6</v>
      </c>
      <c r="K123" s="54">
        <f t="shared" si="1"/>
        <v>0.33333333333333331</v>
      </c>
      <c r="L123" s="59">
        <f>ROUND(INDEX(DetailByDistrict[],MATCH($H123,DetailByDistrict[Dist],0),MATCH(L$2,DetailByDistrict[#Headers],0))*K123,2)</f>
        <v>130.66999999999999</v>
      </c>
      <c r="M123" s="59">
        <f>ROUND(INDEX(DetailByDistrict[],MATCH($H123,DetailByDistrict[Dist],0),MATCH(M$2,DetailByDistrict[#Headers],0))*K123,2)</f>
        <v>146.33000000000001</v>
      </c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25">
      <c r="A124" s="57" t="s">
        <v>22</v>
      </c>
      <c r="B124" s="54" t="s">
        <v>987</v>
      </c>
      <c r="C124" s="54" t="s">
        <v>855</v>
      </c>
      <c r="D124" s="53">
        <v>2313</v>
      </c>
      <c r="E124" s="53">
        <v>8206</v>
      </c>
      <c r="F124" s="54" t="s">
        <v>1005</v>
      </c>
      <c r="G124" s="53" t="s">
        <v>32</v>
      </c>
      <c r="H124" s="58" t="str">
        <f>_xlfn.IFNA(INDEX(ActiveSchools!$C$2:$F$326,MATCH(G124,ActiveSchools!$F$2:$F$326,0),1),"Total")</f>
        <v>2313</v>
      </c>
      <c r="I124" s="53">
        <v>84</v>
      </c>
      <c r="J124" s="59">
        <f>_xlfn.IFNA(INDEX(DetailByDistrict[],MATCH($H124,DetailByDistrict[Dist],0),MATCH(J$2,DetailByDistrict[#Headers],0)),0)</f>
        <v>677</v>
      </c>
      <c r="K124" s="54">
        <f t="shared" si="1"/>
        <v>0.1240768094534712</v>
      </c>
      <c r="L124" s="59">
        <f>ROUND(INDEX(DetailByDistrict[],MATCH($H124,DetailByDistrict[Dist],0),MATCH(L$2,DetailByDistrict[#Headers],0))*K124,2)</f>
        <v>5488.54</v>
      </c>
      <c r="M124" s="59">
        <f>ROUND(INDEX(DetailByDistrict[],MATCH($H124,DetailByDistrict[Dist],0),MATCH(M$2,DetailByDistrict[#Headers],0))*K124,2)</f>
        <v>6145.4</v>
      </c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25">
      <c r="A125" s="57" t="s">
        <v>22</v>
      </c>
      <c r="B125" s="54" t="s">
        <v>987</v>
      </c>
      <c r="C125" s="54" t="s">
        <v>855</v>
      </c>
      <c r="D125" s="53">
        <v>2313</v>
      </c>
      <c r="E125" s="53">
        <v>8206</v>
      </c>
      <c r="F125" s="54" t="s">
        <v>997</v>
      </c>
      <c r="G125" s="53" t="s">
        <v>39</v>
      </c>
      <c r="H125" s="58" t="str">
        <f>_xlfn.IFNA(INDEX(ActiveSchools!$C$2:$F$326,MATCH(G125,ActiveSchools!$F$2:$F$326,0),1),"Total")</f>
        <v>4023</v>
      </c>
      <c r="I125" s="53">
        <v>8</v>
      </c>
      <c r="J125" s="59">
        <f>_xlfn.IFNA(INDEX(DetailByDistrict[],MATCH($H125,DetailByDistrict[Dist],0),MATCH(J$2,DetailByDistrict[#Headers],0)),0)</f>
        <v>78</v>
      </c>
      <c r="K125" s="54">
        <f t="shared" si="1"/>
        <v>0.10256410256410256</v>
      </c>
      <c r="L125" s="59">
        <f>ROUND(INDEX(DetailByDistrict[],MATCH($H125,DetailByDistrict[Dist],0),MATCH(L$2,DetailByDistrict[#Headers],0))*K125,2)</f>
        <v>522.77</v>
      </c>
      <c r="M125" s="59">
        <f>ROUND(INDEX(DetailByDistrict[],MATCH($H125,DetailByDistrict[Dist],0),MATCH(M$2,DetailByDistrict[#Headers],0))*K125,2)</f>
        <v>585.23</v>
      </c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25">
      <c r="A126" s="57" t="s">
        <v>22</v>
      </c>
      <c r="B126" s="54" t="s">
        <v>987</v>
      </c>
      <c r="C126" s="54" t="s">
        <v>855</v>
      </c>
      <c r="D126" s="53">
        <v>2313</v>
      </c>
      <c r="E126" s="53">
        <v>8206</v>
      </c>
      <c r="F126" s="54" t="s">
        <v>998</v>
      </c>
      <c r="G126" s="53" t="s">
        <v>52</v>
      </c>
      <c r="H126" s="58" t="str">
        <f>_xlfn.IFNA(INDEX(ActiveSchools!$C$2:$F$326,MATCH(G126,ActiveSchools!$F$2:$F$326,0),1),"Total")</f>
        <v>6096</v>
      </c>
      <c r="I126" s="53">
        <v>2</v>
      </c>
      <c r="J126" s="59">
        <f>_xlfn.IFNA(INDEX(DetailByDistrict[],MATCH($H126,DetailByDistrict[Dist],0),MATCH(J$2,DetailByDistrict[#Headers],0)),0)</f>
        <v>25</v>
      </c>
      <c r="K126" s="54">
        <f t="shared" si="1"/>
        <v>0.08</v>
      </c>
      <c r="L126" s="59">
        <f>ROUND(INDEX(DetailByDistrict[],MATCH($H126,DetailByDistrict[Dist],0),MATCH(L$2,DetailByDistrict[#Headers],0))*K126,2)</f>
        <v>130.72</v>
      </c>
      <c r="M126" s="59">
        <f>ROUND(INDEX(DetailByDistrict[],MATCH($H126,DetailByDistrict[Dist],0),MATCH(M$2,DetailByDistrict[#Headers],0))*K126,2)</f>
        <v>146.32</v>
      </c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25">
      <c r="A127" s="57" t="s">
        <v>22</v>
      </c>
      <c r="B127" s="54" t="s">
        <v>987</v>
      </c>
      <c r="C127" s="54" t="s">
        <v>856</v>
      </c>
      <c r="D127" s="53">
        <v>2313</v>
      </c>
      <c r="E127" s="53">
        <v>8301</v>
      </c>
      <c r="F127" s="54" t="s">
        <v>1008</v>
      </c>
      <c r="G127" s="53" t="s">
        <v>28</v>
      </c>
      <c r="H127" s="58" t="str">
        <f>_xlfn.IFNA(INDEX(ActiveSchools!$C$2:$F$326,MATCH(G127,ActiveSchools!$F$2:$F$326,0),1),"Total")</f>
        <v>1944</v>
      </c>
      <c r="I127" s="53">
        <v>2</v>
      </c>
      <c r="J127" s="59">
        <f>_xlfn.IFNA(INDEX(DetailByDistrict[],MATCH($H127,DetailByDistrict[Dist],0),MATCH(J$2,DetailByDistrict[#Headers],0)),0)</f>
        <v>6</v>
      </c>
      <c r="K127" s="54">
        <f t="shared" si="1"/>
        <v>0.33333333333333331</v>
      </c>
      <c r="L127" s="59">
        <f>ROUND(INDEX(DetailByDistrict[],MATCH($H127,DetailByDistrict[Dist],0),MATCH(L$2,DetailByDistrict[#Headers],0))*K127,2)</f>
        <v>130.66999999999999</v>
      </c>
      <c r="M127" s="59">
        <f>ROUND(INDEX(DetailByDistrict[],MATCH($H127,DetailByDistrict[Dist],0),MATCH(M$2,DetailByDistrict[#Headers],0))*K127,2)</f>
        <v>146.33000000000001</v>
      </c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25">
      <c r="A128" s="57" t="s">
        <v>22</v>
      </c>
      <c r="B128" s="54" t="s">
        <v>987</v>
      </c>
      <c r="C128" s="54" t="s">
        <v>856</v>
      </c>
      <c r="D128" s="53">
        <v>2313</v>
      </c>
      <c r="E128" s="53">
        <v>8301</v>
      </c>
      <c r="F128" s="54" t="s">
        <v>1005</v>
      </c>
      <c r="G128" s="53" t="s">
        <v>32</v>
      </c>
      <c r="H128" s="58" t="str">
        <f>_xlfn.IFNA(INDEX(ActiveSchools!$C$2:$F$326,MATCH(G128,ActiveSchools!$F$2:$F$326,0),1),"Total")</f>
        <v>2313</v>
      </c>
      <c r="I128" s="53">
        <v>59</v>
      </c>
      <c r="J128" s="59">
        <f>_xlfn.IFNA(INDEX(DetailByDistrict[],MATCH($H128,DetailByDistrict[Dist],0),MATCH(J$2,DetailByDistrict[#Headers],0)),0)</f>
        <v>677</v>
      </c>
      <c r="K128" s="54">
        <f t="shared" si="1"/>
        <v>8.7149187592319058E-2</v>
      </c>
      <c r="L128" s="59">
        <f>ROUND(INDEX(DetailByDistrict[],MATCH($H128,DetailByDistrict[Dist],0),MATCH(L$2,DetailByDistrict[#Headers],0))*K128,2)</f>
        <v>3855.04</v>
      </c>
      <c r="M128" s="59">
        <f>ROUND(INDEX(DetailByDistrict[],MATCH($H128,DetailByDistrict[Dist],0),MATCH(M$2,DetailByDistrict[#Headers],0))*K128,2)</f>
        <v>4316.41</v>
      </c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25">
      <c r="A129" s="57" t="s">
        <v>22</v>
      </c>
      <c r="B129" s="54" t="s">
        <v>987</v>
      </c>
      <c r="C129" s="54" t="s">
        <v>856</v>
      </c>
      <c r="D129" s="53">
        <v>2313</v>
      </c>
      <c r="E129" s="53">
        <v>8301</v>
      </c>
      <c r="F129" s="54" t="s">
        <v>997</v>
      </c>
      <c r="G129" s="53" t="s">
        <v>39</v>
      </c>
      <c r="H129" s="58" t="str">
        <f>_xlfn.IFNA(INDEX(ActiveSchools!$C$2:$F$326,MATCH(G129,ActiveSchools!$F$2:$F$326,0),1),"Total")</f>
        <v>4023</v>
      </c>
      <c r="I129" s="53">
        <v>7</v>
      </c>
      <c r="J129" s="59">
        <f>_xlfn.IFNA(INDEX(DetailByDistrict[],MATCH($H129,DetailByDistrict[Dist],0),MATCH(J$2,DetailByDistrict[#Headers],0)),0)</f>
        <v>78</v>
      </c>
      <c r="K129" s="54">
        <f t="shared" si="1"/>
        <v>8.9743589743589744E-2</v>
      </c>
      <c r="L129" s="59">
        <f>ROUND(INDEX(DetailByDistrict[],MATCH($H129,DetailByDistrict[Dist],0),MATCH(L$2,DetailByDistrict[#Headers],0))*K129,2)</f>
        <v>457.42</v>
      </c>
      <c r="M129" s="59">
        <f>ROUND(INDEX(DetailByDistrict[],MATCH($H129,DetailByDistrict[Dist],0),MATCH(M$2,DetailByDistrict[#Headers],0))*K129,2)</f>
        <v>512.08000000000004</v>
      </c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25">
      <c r="A130" s="57" t="s">
        <v>22</v>
      </c>
      <c r="B130" s="54" t="s">
        <v>987</v>
      </c>
      <c r="C130" s="54" t="s">
        <v>856</v>
      </c>
      <c r="D130" s="53">
        <v>2313</v>
      </c>
      <c r="E130" s="53">
        <v>8301</v>
      </c>
      <c r="F130" s="54" t="s">
        <v>998</v>
      </c>
      <c r="G130" s="53" t="s">
        <v>52</v>
      </c>
      <c r="H130" s="58" t="str">
        <f>_xlfn.IFNA(INDEX(ActiveSchools!$C$2:$F$326,MATCH(G130,ActiveSchools!$F$2:$F$326,0),1),"Total")</f>
        <v>6096</v>
      </c>
      <c r="I130" s="53">
        <v>2</v>
      </c>
      <c r="J130" s="59">
        <f>_xlfn.IFNA(INDEX(DetailByDistrict[],MATCH($H130,DetailByDistrict[Dist],0),MATCH(J$2,DetailByDistrict[#Headers],0)),0)</f>
        <v>25</v>
      </c>
      <c r="K130" s="54">
        <f t="shared" si="1"/>
        <v>0.08</v>
      </c>
      <c r="L130" s="59">
        <f>ROUND(INDEX(DetailByDistrict[],MATCH($H130,DetailByDistrict[Dist],0),MATCH(L$2,DetailByDistrict[#Headers],0))*K130,2)</f>
        <v>130.72</v>
      </c>
      <c r="M130" s="59">
        <f>ROUND(INDEX(DetailByDistrict[],MATCH($H130,DetailByDistrict[Dist],0),MATCH(M$2,DetailByDistrict[#Headers],0))*K130,2)</f>
        <v>146.32</v>
      </c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25">
      <c r="A131" s="57" t="s">
        <v>22</v>
      </c>
      <c r="B131" s="54" t="s">
        <v>987</v>
      </c>
      <c r="C131" s="54" t="s">
        <v>856</v>
      </c>
      <c r="D131" s="53">
        <v>2313</v>
      </c>
      <c r="E131" s="53">
        <v>8301</v>
      </c>
      <c r="F131" s="54" t="s">
        <v>1006</v>
      </c>
      <c r="G131" s="53" t="s">
        <v>56</v>
      </c>
      <c r="H131" s="58" t="str">
        <f>_xlfn.IFNA(INDEX(ActiveSchools!$C$2:$F$326,MATCH(G131,ActiveSchools!$F$2:$F$326,0),1),"Total")</f>
        <v>6246</v>
      </c>
      <c r="I131" s="53">
        <v>2</v>
      </c>
      <c r="J131" s="59">
        <f>_xlfn.IFNA(INDEX(DetailByDistrict[],MATCH($H131,DetailByDistrict[Dist],0),MATCH(J$2,DetailByDistrict[#Headers],0)),0)</f>
        <v>6</v>
      </c>
      <c r="K131" s="54">
        <f t="shared" si="1"/>
        <v>0.33333333333333331</v>
      </c>
      <c r="L131" s="59">
        <f>ROUND(INDEX(DetailByDistrict[],MATCH($H131,DetailByDistrict[Dist],0),MATCH(L$2,DetailByDistrict[#Headers],0))*K131,2)</f>
        <v>130.66999999999999</v>
      </c>
      <c r="M131" s="59">
        <f>ROUND(INDEX(DetailByDistrict[],MATCH($H131,DetailByDistrict[Dist],0),MATCH(M$2,DetailByDistrict[#Headers],0))*K131,2)</f>
        <v>146.33000000000001</v>
      </c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25">
      <c r="A132" s="57" t="s">
        <v>22</v>
      </c>
      <c r="B132" s="54" t="s">
        <v>987</v>
      </c>
      <c r="C132" s="54" t="s">
        <v>856</v>
      </c>
      <c r="D132" s="53">
        <v>2313</v>
      </c>
      <c r="E132" s="53">
        <v>8301</v>
      </c>
      <c r="F132" s="54" t="s">
        <v>1007</v>
      </c>
      <c r="G132" s="53" t="s">
        <v>58</v>
      </c>
      <c r="H132" s="58" t="str">
        <f>_xlfn.IFNA(INDEX(ActiveSchools!$C$2:$F$326,MATCH(G132,ActiveSchools!$F$2:$F$326,0),1),"Total")</f>
        <v>6867</v>
      </c>
      <c r="I132" s="53">
        <v>3</v>
      </c>
      <c r="J132" s="59">
        <f>_xlfn.IFNA(INDEX(DetailByDistrict[],MATCH($H132,DetailByDistrict[Dist],0),MATCH(J$2,DetailByDistrict[#Headers],0)),0)</f>
        <v>90</v>
      </c>
      <c r="K132" s="54">
        <f t="shared" ref="K132:K195" si="2">I132/J132</f>
        <v>3.3333333333333333E-2</v>
      </c>
      <c r="L132" s="59">
        <f>ROUND(INDEX(DetailByDistrict[],MATCH($H132,DetailByDistrict[Dist],0),MATCH(L$2,DetailByDistrict[#Headers],0))*K132,2)</f>
        <v>196.03</v>
      </c>
      <c r="M132" s="59">
        <f>ROUND(INDEX(DetailByDistrict[],MATCH($H132,DetailByDistrict[Dist],0),MATCH(M$2,DetailByDistrict[#Headers],0))*K132,2)</f>
        <v>219.47</v>
      </c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25">
      <c r="A133" s="57" t="s">
        <v>22</v>
      </c>
      <c r="B133" s="54" t="s">
        <v>987</v>
      </c>
      <c r="C133" s="54" t="s">
        <v>863</v>
      </c>
      <c r="D133" s="53">
        <v>3060</v>
      </c>
      <c r="E133" s="53">
        <v>8101</v>
      </c>
      <c r="F133" s="54" t="s">
        <v>1002</v>
      </c>
      <c r="G133" s="53" t="s">
        <v>26</v>
      </c>
      <c r="H133" s="58" t="str">
        <f>_xlfn.IFNA(INDEX(ActiveSchools!$C$2:$F$326,MATCH(G133,ActiveSchools!$F$2:$F$326,0),1),"Total")</f>
        <v>1206</v>
      </c>
      <c r="I133" s="53">
        <v>4</v>
      </c>
      <c r="J133" s="59">
        <f>_xlfn.IFNA(INDEX(DetailByDistrict[],MATCH($H133,DetailByDistrict[Dist],0),MATCH(J$2,DetailByDistrict[#Headers],0)),0)</f>
        <v>5</v>
      </c>
      <c r="K133" s="54">
        <f t="shared" si="2"/>
        <v>0.8</v>
      </c>
      <c r="L133" s="59">
        <f>ROUND(INDEX(DetailByDistrict[],MATCH($H133,DetailByDistrict[Dist],0),MATCH(L$2,DetailByDistrict[#Headers],0))*K133,2)</f>
        <v>261.60000000000002</v>
      </c>
      <c r="M133" s="59">
        <f>ROUND(INDEX(DetailByDistrict[],MATCH($H133,DetailByDistrict[Dist],0),MATCH(M$2,DetailByDistrict[#Headers],0))*K133,2)</f>
        <v>292.8</v>
      </c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25">
      <c r="A134" s="57" t="s">
        <v>22</v>
      </c>
      <c r="B134" s="54" t="s">
        <v>987</v>
      </c>
      <c r="C134" s="54" t="s">
        <v>863</v>
      </c>
      <c r="D134" s="53">
        <v>3060</v>
      </c>
      <c r="E134" s="53">
        <v>8101</v>
      </c>
      <c r="F134" s="54" t="s">
        <v>1009</v>
      </c>
      <c r="G134" s="53" t="s">
        <v>33</v>
      </c>
      <c r="H134" s="58" t="str">
        <f>_xlfn.IFNA(INDEX(ActiveSchools!$C$2:$F$326,MATCH(G134,ActiveSchools!$F$2:$F$326,0),1),"Total")</f>
        <v>2493</v>
      </c>
      <c r="I134" s="53">
        <v>3</v>
      </c>
      <c r="J134" s="59">
        <f>_xlfn.IFNA(INDEX(DetailByDistrict[],MATCH($H134,DetailByDistrict[Dist],0),MATCH(J$2,DetailByDistrict[#Headers],0)),0)</f>
        <v>3</v>
      </c>
      <c r="K134" s="54">
        <f t="shared" si="2"/>
        <v>1</v>
      </c>
      <c r="L134" s="59">
        <f>ROUND(INDEX(DetailByDistrict[],MATCH($H134,DetailByDistrict[Dist],0),MATCH(L$2,DetailByDistrict[#Headers],0))*K134,2)</f>
        <v>196</v>
      </c>
      <c r="M134" s="59">
        <f>ROUND(INDEX(DetailByDistrict[],MATCH($H134,DetailByDistrict[Dist],0),MATCH(M$2,DetailByDistrict[#Headers],0))*K134,2)</f>
        <v>219</v>
      </c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25">
      <c r="A135" s="57" t="s">
        <v>22</v>
      </c>
      <c r="B135" s="54" t="s">
        <v>987</v>
      </c>
      <c r="C135" s="54" t="s">
        <v>863</v>
      </c>
      <c r="D135" s="53">
        <v>3060</v>
      </c>
      <c r="E135" s="53">
        <v>8101</v>
      </c>
      <c r="F135" s="54" t="s">
        <v>994</v>
      </c>
      <c r="G135" s="53" t="s">
        <v>37</v>
      </c>
      <c r="H135" s="58" t="str">
        <f>_xlfn.IFNA(INDEX(ActiveSchools!$C$2:$F$326,MATCH(G135,ActiveSchools!$F$2:$F$326,0),1),"Total")</f>
        <v>3060</v>
      </c>
      <c r="I135" s="53">
        <v>128</v>
      </c>
      <c r="J135" s="59">
        <f>_xlfn.IFNA(INDEX(DetailByDistrict[],MATCH($H135,DetailByDistrict[Dist],0),MATCH(J$2,DetailByDistrict[#Headers],0)),0)</f>
        <v>133</v>
      </c>
      <c r="K135" s="54">
        <f t="shared" si="2"/>
        <v>0.96240601503759393</v>
      </c>
      <c r="L135" s="59">
        <f>ROUND(INDEX(DetailByDistrict[],MATCH($H135,DetailByDistrict[Dist],0),MATCH(L$2,DetailByDistrict[#Headers],0))*K135,2)</f>
        <v>8363.31</v>
      </c>
      <c r="M135" s="59">
        <f>ROUND(INDEX(DetailByDistrict[],MATCH($H135,DetailByDistrict[Dist],0),MATCH(M$2,DetailByDistrict[#Headers],0))*K135,2)</f>
        <v>9364.2099999999991</v>
      </c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25">
      <c r="A136" s="57" t="s">
        <v>22</v>
      </c>
      <c r="B136" s="54" t="s">
        <v>987</v>
      </c>
      <c r="C136" s="54" t="s">
        <v>863</v>
      </c>
      <c r="D136" s="53">
        <v>3060</v>
      </c>
      <c r="E136" s="53">
        <v>8101</v>
      </c>
      <c r="F136" s="54" t="s">
        <v>997</v>
      </c>
      <c r="G136" s="53" t="s">
        <v>39</v>
      </c>
      <c r="H136" s="58" t="str">
        <f>_xlfn.IFNA(INDEX(ActiveSchools!$C$2:$F$326,MATCH(G136,ActiveSchools!$F$2:$F$326,0),1),"Total")</f>
        <v>4023</v>
      </c>
      <c r="I136" s="53">
        <v>7</v>
      </c>
      <c r="J136" s="59">
        <f>_xlfn.IFNA(INDEX(DetailByDistrict[],MATCH($H136,DetailByDistrict[Dist],0),MATCH(J$2,DetailByDistrict[#Headers],0)),0)</f>
        <v>78</v>
      </c>
      <c r="K136" s="54">
        <f t="shared" si="2"/>
        <v>8.9743589743589744E-2</v>
      </c>
      <c r="L136" s="59">
        <f>ROUND(INDEX(DetailByDistrict[],MATCH($H136,DetailByDistrict[Dist],0),MATCH(L$2,DetailByDistrict[#Headers],0))*K136,2)</f>
        <v>457.42</v>
      </c>
      <c r="M136" s="59">
        <f>ROUND(INDEX(DetailByDistrict[],MATCH($H136,DetailByDistrict[Dist],0),MATCH(M$2,DetailByDistrict[#Headers],0))*K136,2)</f>
        <v>512.08000000000004</v>
      </c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25">
      <c r="A137" s="57" t="s">
        <v>22</v>
      </c>
      <c r="B137" s="54" t="s">
        <v>987</v>
      </c>
      <c r="C137" s="54" t="s">
        <v>863</v>
      </c>
      <c r="D137" s="53">
        <v>3060</v>
      </c>
      <c r="E137" s="53">
        <v>8101</v>
      </c>
      <c r="F137" s="54" t="s">
        <v>992</v>
      </c>
      <c r="G137" s="53" t="s">
        <v>57</v>
      </c>
      <c r="H137" s="58" t="str">
        <f>_xlfn.IFNA(INDEX(ActiveSchools!$C$2:$F$326,MATCH(G137,ActiveSchools!$F$2:$F$326,0),1),"Total")</f>
        <v>6516</v>
      </c>
      <c r="I137" s="53">
        <v>7</v>
      </c>
      <c r="J137" s="59">
        <f>_xlfn.IFNA(INDEX(DetailByDistrict[],MATCH($H137,DetailByDistrict[Dist],0),MATCH(J$2,DetailByDistrict[#Headers],0)),0)</f>
        <v>18</v>
      </c>
      <c r="K137" s="54">
        <f t="shared" si="2"/>
        <v>0.3888888888888889</v>
      </c>
      <c r="L137" s="59">
        <f>ROUND(INDEX(DetailByDistrict[],MATCH($H137,DetailByDistrict[Dist],0),MATCH(L$2,DetailByDistrict[#Headers],0))*K137,2)</f>
        <v>457.33</v>
      </c>
      <c r="M137" s="59">
        <f>ROUND(INDEX(DetailByDistrict[],MATCH($H137,DetailByDistrict[Dist],0),MATCH(M$2,DetailByDistrict[#Headers],0))*K137,2)</f>
        <v>512.16999999999996</v>
      </c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25">
      <c r="A138" s="57" t="s">
        <v>22</v>
      </c>
      <c r="B138" s="54" t="s">
        <v>987</v>
      </c>
      <c r="C138" s="54" t="s">
        <v>768</v>
      </c>
      <c r="D138" s="53">
        <v>5184</v>
      </c>
      <c r="E138" s="53">
        <v>8102</v>
      </c>
      <c r="F138" s="54" t="s">
        <v>996</v>
      </c>
      <c r="G138" s="53" t="s">
        <v>35</v>
      </c>
      <c r="H138" s="58" t="str">
        <f>_xlfn.IFNA(INDEX(ActiveSchools!$C$2:$F$326,MATCH(G138,ActiveSchools!$F$2:$F$326,0),1),"Total")</f>
        <v>3195</v>
      </c>
      <c r="I138" s="53">
        <v>2</v>
      </c>
      <c r="J138" s="59">
        <f>_xlfn.IFNA(INDEX(DetailByDistrict[],MATCH($H138,DetailByDistrict[Dist],0),MATCH(J$2,DetailByDistrict[#Headers],0)),0)</f>
        <v>7</v>
      </c>
      <c r="K138" s="54">
        <f t="shared" si="2"/>
        <v>0.2857142857142857</v>
      </c>
      <c r="L138" s="59">
        <f>ROUND(INDEX(DetailByDistrict[],MATCH($H138,DetailByDistrict[Dist],0),MATCH(L$2,DetailByDistrict[#Headers],0))*K138,2)</f>
        <v>130.57</v>
      </c>
      <c r="M138" s="59">
        <f>ROUND(INDEX(DetailByDistrict[],MATCH($H138,DetailByDistrict[Dist],0),MATCH(M$2,DetailByDistrict[#Headers],0))*K138,2)</f>
        <v>146.29</v>
      </c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25">
      <c r="A139" s="57" t="s">
        <v>22</v>
      </c>
      <c r="B139" s="54" t="s">
        <v>987</v>
      </c>
      <c r="C139" s="54" t="s">
        <v>911</v>
      </c>
      <c r="D139" s="53">
        <v>5283</v>
      </c>
      <c r="E139" s="53">
        <v>8102</v>
      </c>
      <c r="F139" s="54" t="s">
        <v>1010</v>
      </c>
      <c r="G139" s="57" t="s">
        <v>23</v>
      </c>
      <c r="H139" s="58" t="str">
        <f>_xlfn.IFNA(INDEX(ActiveSchools!$C$2:$F$326,MATCH(G139,ActiveSchools!$F$2:$F$326,0),1),"Total")</f>
        <v>0072</v>
      </c>
      <c r="I139" s="53">
        <v>1</v>
      </c>
      <c r="J139" s="59">
        <f>_xlfn.IFNA(INDEX(DetailByDistrict[],MATCH($H139,DetailByDistrict[Dist],0),MATCH(J$2,DetailByDistrict[#Headers],0)),0)</f>
        <v>8</v>
      </c>
      <c r="K139" s="54">
        <f t="shared" si="2"/>
        <v>0.125</v>
      </c>
      <c r="L139" s="59">
        <f>ROUND(INDEX(DetailByDistrict[],MATCH($H139,DetailByDistrict[Dist],0),MATCH(L$2,DetailByDistrict[#Headers],0))*K139,2)</f>
        <v>65.38</v>
      </c>
      <c r="M139" s="59">
        <f>ROUND(INDEX(DetailByDistrict[],MATCH($H139,DetailByDistrict[Dist],0),MATCH(M$2,DetailByDistrict[#Headers],0))*K139,2)</f>
        <v>73.13</v>
      </c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25">
      <c r="A140" s="57" t="s">
        <v>22</v>
      </c>
      <c r="B140" s="54" t="s">
        <v>987</v>
      </c>
      <c r="C140" s="54" t="s">
        <v>911</v>
      </c>
      <c r="D140" s="53">
        <v>5283</v>
      </c>
      <c r="E140" s="53">
        <v>8102</v>
      </c>
      <c r="F140" s="54" t="s">
        <v>1011</v>
      </c>
      <c r="G140" s="53" t="s">
        <v>38</v>
      </c>
      <c r="H140" s="58" t="str">
        <f>_xlfn.IFNA(INDEX(ActiveSchools!$C$2:$F$326,MATCH(G140,ActiveSchools!$F$2:$F$326,0),1),"Total")</f>
        <v>3537</v>
      </c>
      <c r="I140" s="53">
        <v>2</v>
      </c>
      <c r="J140" s="59">
        <f>_xlfn.IFNA(INDEX(DetailByDistrict[],MATCH($H140,DetailByDistrict[Dist],0),MATCH(J$2,DetailByDistrict[#Headers],0)),0)</f>
        <v>2</v>
      </c>
      <c r="K140" s="54">
        <f t="shared" si="2"/>
        <v>1</v>
      </c>
      <c r="L140" s="59">
        <f>ROUND(INDEX(DetailByDistrict[],MATCH($H140,DetailByDistrict[Dist],0),MATCH(L$2,DetailByDistrict[#Headers],0))*K140,2)</f>
        <v>131</v>
      </c>
      <c r="M140" s="59">
        <f>ROUND(INDEX(DetailByDistrict[],MATCH($H140,DetailByDistrict[Dist],0),MATCH(M$2,DetailByDistrict[#Headers],0))*K140,2)</f>
        <v>146</v>
      </c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25">
      <c r="A141" s="57" t="s">
        <v>22</v>
      </c>
      <c r="B141" s="54" t="s">
        <v>987</v>
      </c>
      <c r="C141" s="54" t="s">
        <v>911</v>
      </c>
      <c r="D141" s="53">
        <v>5283</v>
      </c>
      <c r="E141" s="53">
        <v>8102</v>
      </c>
      <c r="F141" s="54" t="s">
        <v>1012</v>
      </c>
      <c r="G141" s="53" t="s">
        <v>40</v>
      </c>
      <c r="H141" s="58" t="str">
        <f>_xlfn.IFNA(INDEX(ActiveSchools!$C$2:$F$326,MATCH(G141,ActiveSchools!$F$2:$F$326,0),1),"Total")</f>
        <v>4644</v>
      </c>
      <c r="I141" s="53">
        <v>3</v>
      </c>
      <c r="J141" s="59">
        <f>_xlfn.IFNA(INDEX(DetailByDistrict[],MATCH($H141,DetailByDistrict[Dist],0),MATCH(J$2,DetailByDistrict[#Headers],0)),0)</f>
        <v>16</v>
      </c>
      <c r="K141" s="54">
        <f t="shared" si="2"/>
        <v>0.1875</v>
      </c>
      <c r="L141" s="59">
        <f>ROUND(INDEX(DetailByDistrict[],MATCH($H141,DetailByDistrict[Dist],0),MATCH(L$2,DetailByDistrict[#Headers],0))*K141,2)</f>
        <v>195.94</v>
      </c>
      <c r="M141" s="59">
        <f>ROUND(INDEX(DetailByDistrict[],MATCH($H141,DetailByDistrict[Dist],0),MATCH(M$2,DetailByDistrict[#Headers],0))*K141,2)</f>
        <v>219.56</v>
      </c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25">
      <c r="A142" s="57" t="s">
        <v>22</v>
      </c>
      <c r="B142" s="54" t="s">
        <v>987</v>
      </c>
      <c r="C142" s="54" t="s">
        <v>911</v>
      </c>
      <c r="D142" s="53">
        <v>5283</v>
      </c>
      <c r="E142" s="53">
        <v>8102</v>
      </c>
      <c r="F142" s="54" t="s">
        <v>995</v>
      </c>
      <c r="G142" s="53" t="s">
        <v>46</v>
      </c>
      <c r="H142" s="58" t="str">
        <f>_xlfn.IFNA(INDEX(ActiveSchools!$C$2:$F$326,MATCH(G142,ActiveSchools!$F$2:$F$326,0),1),"Total")</f>
        <v>5283</v>
      </c>
      <c r="I142" s="53">
        <v>87</v>
      </c>
      <c r="J142" s="59">
        <f>_xlfn.IFNA(INDEX(DetailByDistrict[],MATCH($H142,DetailByDistrict[Dist],0),MATCH(J$2,DetailByDistrict[#Headers],0)),0)</f>
        <v>91</v>
      </c>
      <c r="K142" s="54">
        <f t="shared" si="2"/>
        <v>0.95604395604395609</v>
      </c>
      <c r="L142" s="59">
        <f>ROUND(INDEX(DetailByDistrict[],MATCH($H142,DetailByDistrict[Dist],0),MATCH(L$2,DetailByDistrict[#Headers],0))*K142,2)</f>
        <v>5684.64</v>
      </c>
      <c r="M142" s="59">
        <f>ROUND(INDEX(DetailByDistrict[],MATCH($H142,DetailByDistrict[Dist],0),MATCH(M$2,DetailByDistrict[#Headers],0))*K142,2)</f>
        <v>6365.34</v>
      </c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25">
      <c r="A143" s="57" t="s">
        <v>22</v>
      </c>
      <c r="B143" s="54" t="s">
        <v>987</v>
      </c>
      <c r="C143" s="54" t="s">
        <v>783</v>
      </c>
      <c r="D143" s="53">
        <v>6102</v>
      </c>
      <c r="E143" s="53">
        <v>8101</v>
      </c>
      <c r="F143" s="54" t="s">
        <v>1013</v>
      </c>
      <c r="G143" s="53" t="s">
        <v>27</v>
      </c>
      <c r="H143" s="58" t="str">
        <f>_xlfn.IFNA(INDEX(ActiveSchools!$C$2:$F$326,MATCH(G143,ActiveSchools!$F$2:$F$326,0),1),"Total")</f>
        <v>1218</v>
      </c>
      <c r="I143" s="53">
        <v>22</v>
      </c>
      <c r="J143" s="59">
        <f>_xlfn.IFNA(INDEX(DetailByDistrict[],MATCH($H143,DetailByDistrict[Dist],0),MATCH(J$2,DetailByDistrict[#Headers],0)),0)</f>
        <v>35</v>
      </c>
      <c r="K143" s="54">
        <f t="shared" si="2"/>
        <v>0.62857142857142856</v>
      </c>
      <c r="L143" s="59">
        <f>ROUND(INDEX(DetailByDistrict[],MATCH($H143,DetailByDistrict[Dist],0),MATCH(L$2,DetailByDistrict[#Headers],0))*K143,2)</f>
        <v>1437.54</v>
      </c>
      <c r="M143" s="59">
        <f>ROUND(INDEX(DetailByDistrict[],MATCH($H143,DetailByDistrict[Dist],0),MATCH(M$2,DetailByDistrict[#Headers],0))*K143,2)</f>
        <v>1609.77</v>
      </c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25">
      <c r="A144" s="57" t="s">
        <v>22</v>
      </c>
      <c r="B144" s="54" t="s">
        <v>987</v>
      </c>
      <c r="C144" s="54" t="s">
        <v>783</v>
      </c>
      <c r="D144" s="53">
        <v>6102</v>
      </c>
      <c r="E144" s="53">
        <v>8101</v>
      </c>
      <c r="F144" s="54" t="s">
        <v>1003</v>
      </c>
      <c r="G144" s="53" t="s">
        <v>34</v>
      </c>
      <c r="H144" s="58" t="str">
        <f>_xlfn.IFNA(INDEX(ActiveSchools!$C$2:$F$326,MATCH(G144,ActiveSchools!$F$2:$F$326,0),1),"Total")</f>
        <v>2556</v>
      </c>
      <c r="I144" s="53">
        <v>1</v>
      </c>
      <c r="J144" s="59">
        <f>_xlfn.IFNA(INDEX(DetailByDistrict[],MATCH($H144,DetailByDistrict[Dist],0),MATCH(J$2,DetailByDistrict[#Headers],0)),0)</f>
        <v>6</v>
      </c>
      <c r="K144" s="54">
        <f t="shared" si="2"/>
        <v>0.16666666666666666</v>
      </c>
      <c r="L144" s="59">
        <f>ROUND(INDEX(DetailByDistrict[],MATCH($H144,DetailByDistrict[Dist],0),MATCH(L$2,DetailByDistrict[#Headers],0))*K144,2)</f>
        <v>65.33</v>
      </c>
      <c r="M144" s="59">
        <f>ROUND(INDEX(DetailByDistrict[],MATCH($H144,DetailByDistrict[Dist],0),MATCH(M$2,DetailByDistrict[#Headers],0))*K144,2)</f>
        <v>73.17</v>
      </c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25">
      <c r="A145" s="57" t="s">
        <v>22</v>
      </c>
      <c r="B145" s="54" t="s">
        <v>987</v>
      </c>
      <c r="C145" s="54" t="s">
        <v>783</v>
      </c>
      <c r="D145" s="53">
        <v>6102</v>
      </c>
      <c r="E145" s="53">
        <v>8101</v>
      </c>
      <c r="F145" s="54" t="s">
        <v>1014</v>
      </c>
      <c r="G145" s="53" t="s">
        <v>44</v>
      </c>
      <c r="H145" s="58" t="str">
        <f>_xlfn.IFNA(INDEX(ActiveSchools!$C$2:$F$326,MATCH(G145,ActiveSchools!$F$2:$F$326,0),1),"Total")</f>
        <v>4890</v>
      </c>
      <c r="I145" s="53">
        <v>8</v>
      </c>
      <c r="J145" s="59">
        <f>_xlfn.IFNA(INDEX(DetailByDistrict[],MATCH($H145,DetailByDistrict[Dist],0),MATCH(J$2,DetailByDistrict[#Headers],0)),0)</f>
        <v>13</v>
      </c>
      <c r="K145" s="54">
        <f t="shared" si="2"/>
        <v>0.61538461538461542</v>
      </c>
      <c r="L145" s="59">
        <f>ROUND(INDEX(DetailByDistrict[],MATCH($H145,DetailByDistrict[Dist],0),MATCH(L$2,DetailByDistrict[#Headers],0))*K145,2)</f>
        <v>522.46</v>
      </c>
      <c r="M145" s="59">
        <f>ROUND(INDEX(DetailByDistrict[],MATCH($H145,DetailByDistrict[Dist],0),MATCH(M$2,DetailByDistrict[#Headers],0))*K145,2)</f>
        <v>585.23</v>
      </c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25">
      <c r="A146" s="57" t="s">
        <v>22</v>
      </c>
      <c r="B146" s="54" t="s">
        <v>987</v>
      </c>
      <c r="C146" s="54" t="s">
        <v>783</v>
      </c>
      <c r="D146" s="53">
        <v>6102</v>
      </c>
      <c r="E146" s="53">
        <v>8101</v>
      </c>
      <c r="F146" s="54" t="s">
        <v>1004</v>
      </c>
      <c r="G146" s="53" t="s">
        <v>47</v>
      </c>
      <c r="H146" s="58" t="str">
        <f>_xlfn.IFNA(INDEX(ActiveSchools!$C$2:$F$326,MATCH(G146,ActiveSchools!$F$2:$F$326,0),1),"Total")</f>
        <v>5724</v>
      </c>
      <c r="I146" s="53">
        <v>5</v>
      </c>
      <c r="J146" s="59">
        <f>_xlfn.IFNA(INDEX(DetailByDistrict[],MATCH($H146,DetailByDistrict[Dist],0),MATCH(J$2,DetailByDistrict[#Headers],0)),0)</f>
        <v>10</v>
      </c>
      <c r="K146" s="54">
        <f t="shared" si="2"/>
        <v>0.5</v>
      </c>
      <c r="L146" s="59">
        <f>ROUND(INDEX(DetailByDistrict[],MATCH($H146,DetailByDistrict[Dist],0),MATCH(L$2,DetailByDistrict[#Headers],0))*K146,2)</f>
        <v>326.5</v>
      </c>
      <c r="M146" s="59">
        <f>ROUND(INDEX(DetailByDistrict[],MATCH($H146,DetailByDistrict[Dist],0),MATCH(M$2,DetailByDistrict[#Headers],0))*K146,2)</f>
        <v>366</v>
      </c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25">
      <c r="A147" s="57" t="s">
        <v>22</v>
      </c>
      <c r="B147" s="54" t="s">
        <v>987</v>
      </c>
      <c r="C147" s="54" t="s">
        <v>783</v>
      </c>
      <c r="D147" s="53">
        <v>6102</v>
      </c>
      <c r="E147" s="53">
        <v>8101</v>
      </c>
      <c r="F147" s="54" t="s">
        <v>1015</v>
      </c>
      <c r="G147" s="53" t="s">
        <v>701</v>
      </c>
      <c r="H147" s="58" t="str">
        <f>_xlfn.IFNA(INDEX(ActiveSchools!$C$2:$F$326,MATCH(G147,ActiveSchools!$F$2:$F$326,0),1),"Total")</f>
        <v>6048</v>
      </c>
      <c r="I147" s="53">
        <v>7</v>
      </c>
      <c r="J147" s="59">
        <f>_xlfn.IFNA(INDEX(DetailByDistrict[],MATCH($H147,DetailByDistrict[Dist],0),MATCH(J$2,DetailByDistrict[#Headers],0)),0)</f>
        <v>13</v>
      </c>
      <c r="K147" s="54">
        <f t="shared" si="2"/>
        <v>0.53846153846153844</v>
      </c>
      <c r="L147" s="59">
        <f>ROUND(INDEX(DetailByDistrict[],MATCH($H147,DetailByDistrict[Dist],0),MATCH(L$2,DetailByDistrict[#Headers],0))*K147,2)</f>
        <v>457.15</v>
      </c>
      <c r="M147" s="59">
        <f>ROUND(INDEX(DetailByDistrict[],MATCH($H147,DetailByDistrict[Dist],0),MATCH(M$2,DetailByDistrict[#Headers],0))*K147,2)</f>
        <v>512.08000000000004</v>
      </c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25">
      <c r="A148" s="57" t="s">
        <v>22</v>
      </c>
      <c r="B148" s="54" t="s">
        <v>987</v>
      </c>
      <c r="C148" s="54" t="s">
        <v>783</v>
      </c>
      <c r="D148" s="53">
        <v>6102</v>
      </c>
      <c r="E148" s="53">
        <v>8101</v>
      </c>
      <c r="F148" s="54" t="s">
        <v>1016</v>
      </c>
      <c r="G148" s="53" t="s">
        <v>53</v>
      </c>
      <c r="H148" s="58" t="str">
        <f>_xlfn.IFNA(INDEX(ActiveSchools!$C$2:$F$326,MATCH(G148,ActiveSchools!$F$2:$F$326,0),1),"Total")</f>
        <v>6102</v>
      </c>
      <c r="I148" s="53">
        <v>122</v>
      </c>
      <c r="J148" s="59">
        <f>_xlfn.IFNA(INDEX(DetailByDistrict[],MATCH($H148,DetailByDistrict[Dist],0),MATCH(J$2,DetailByDistrict[#Headers],0)),0)</f>
        <v>228</v>
      </c>
      <c r="K148" s="54">
        <f t="shared" si="2"/>
        <v>0.53508771929824561</v>
      </c>
      <c r="L148" s="59">
        <f>ROUND(INDEX(DetailByDistrict[],MATCH($H148,DetailByDistrict[Dist],0),MATCH(L$2,DetailByDistrict[#Headers],0))*K148,2)</f>
        <v>7971.74</v>
      </c>
      <c r="M148" s="59">
        <f>ROUND(INDEX(DetailByDistrict[],MATCH($H148,DetailByDistrict[Dist],0),MATCH(M$2,DetailByDistrict[#Headers],0))*K148,2)</f>
        <v>8925.26</v>
      </c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25">
      <c r="A149" s="57" t="s">
        <v>22</v>
      </c>
      <c r="B149" s="54" t="s">
        <v>987</v>
      </c>
      <c r="C149" s="54" t="s">
        <v>929</v>
      </c>
      <c r="D149" s="53">
        <v>6102</v>
      </c>
      <c r="E149" s="53">
        <v>8102</v>
      </c>
      <c r="F149" s="54" t="s">
        <v>1013</v>
      </c>
      <c r="G149" s="53" t="s">
        <v>27</v>
      </c>
      <c r="H149" s="58" t="str">
        <f>_xlfn.IFNA(INDEX(ActiveSchools!$C$2:$F$326,MATCH(G149,ActiveSchools!$F$2:$F$326,0),1),"Total")</f>
        <v>1218</v>
      </c>
      <c r="I149" s="53">
        <v>13</v>
      </c>
      <c r="J149" s="59">
        <f>_xlfn.IFNA(INDEX(DetailByDistrict[],MATCH($H149,DetailByDistrict[Dist],0),MATCH(J$2,DetailByDistrict[#Headers],0)),0)</f>
        <v>35</v>
      </c>
      <c r="K149" s="54">
        <f t="shared" si="2"/>
        <v>0.37142857142857144</v>
      </c>
      <c r="L149" s="59">
        <f>ROUND(INDEX(DetailByDistrict[],MATCH($H149,DetailByDistrict[Dist],0),MATCH(L$2,DetailByDistrict[#Headers],0))*K149,2)</f>
        <v>849.46</v>
      </c>
      <c r="M149" s="59">
        <f>ROUND(INDEX(DetailByDistrict[],MATCH($H149,DetailByDistrict[Dist],0),MATCH(M$2,DetailByDistrict[#Headers],0))*K149,2)</f>
        <v>951.23</v>
      </c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25">
      <c r="A150" s="57" t="s">
        <v>22</v>
      </c>
      <c r="B150" s="54" t="s">
        <v>987</v>
      </c>
      <c r="C150" s="54" t="s">
        <v>929</v>
      </c>
      <c r="D150" s="53">
        <v>6102</v>
      </c>
      <c r="E150" s="53">
        <v>8102</v>
      </c>
      <c r="F150" s="54" t="s">
        <v>1003</v>
      </c>
      <c r="G150" s="53" t="s">
        <v>34</v>
      </c>
      <c r="H150" s="58" t="str">
        <f>_xlfn.IFNA(INDEX(ActiveSchools!$C$2:$F$326,MATCH(G150,ActiveSchools!$F$2:$F$326,0),1),"Total")</f>
        <v>2556</v>
      </c>
      <c r="I150" s="53">
        <v>2</v>
      </c>
      <c r="J150" s="59">
        <f>_xlfn.IFNA(INDEX(DetailByDistrict[],MATCH($H150,DetailByDistrict[Dist],0),MATCH(J$2,DetailByDistrict[#Headers],0)),0)</f>
        <v>6</v>
      </c>
      <c r="K150" s="54">
        <f t="shared" si="2"/>
        <v>0.33333333333333331</v>
      </c>
      <c r="L150" s="59">
        <f>ROUND(INDEX(DetailByDistrict[],MATCH($H150,DetailByDistrict[Dist],0),MATCH(L$2,DetailByDistrict[#Headers],0))*K150,2)</f>
        <v>130.66999999999999</v>
      </c>
      <c r="M150" s="59">
        <f>ROUND(INDEX(DetailByDistrict[],MATCH($H150,DetailByDistrict[Dist],0),MATCH(M$2,DetailByDistrict[#Headers],0))*K150,2)</f>
        <v>146.33000000000001</v>
      </c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25">
      <c r="A151" s="57" t="s">
        <v>22</v>
      </c>
      <c r="B151" s="54" t="s">
        <v>987</v>
      </c>
      <c r="C151" s="54" t="s">
        <v>929</v>
      </c>
      <c r="D151" s="53">
        <v>6102</v>
      </c>
      <c r="E151" s="53">
        <v>8102</v>
      </c>
      <c r="F151" s="54" t="s">
        <v>1014</v>
      </c>
      <c r="G151" s="53" t="s">
        <v>44</v>
      </c>
      <c r="H151" s="58" t="str">
        <f>_xlfn.IFNA(INDEX(ActiveSchools!$C$2:$F$326,MATCH(G151,ActiveSchools!$F$2:$F$326,0),1),"Total")</f>
        <v>4890</v>
      </c>
      <c r="I151" s="53">
        <v>5</v>
      </c>
      <c r="J151" s="59">
        <f>_xlfn.IFNA(INDEX(DetailByDistrict[],MATCH($H151,DetailByDistrict[Dist],0),MATCH(J$2,DetailByDistrict[#Headers],0)),0)</f>
        <v>13</v>
      </c>
      <c r="K151" s="54">
        <f t="shared" si="2"/>
        <v>0.38461538461538464</v>
      </c>
      <c r="L151" s="59">
        <f>ROUND(INDEX(DetailByDistrict[],MATCH($H151,DetailByDistrict[Dist],0),MATCH(L$2,DetailByDistrict[#Headers],0))*K151,2)</f>
        <v>326.54000000000002</v>
      </c>
      <c r="M151" s="59">
        <f>ROUND(INDEX(DetailByDistrict[],MATCH($H151,DetailByDistrict[Dist],0),MATCH(M$2,DetailByDistrict[#Headers],0))*K151,2)</f>
        <v>365.77</v>
      </c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25">
      <c r="A152" s="57" t="s">
        <v>22</v>
      </c>
      <c r="B152" s="54" t="s">
        <v>987</v>
      </c>
      <c r="C152" s="54" t="s">
        <v>929</v>
      </c>
      <c r="D152" s="53">
        <v>6102</v>
      </c>
      <c r="E152" s="53">
        <v>8102</v>
      </c>
      <c r="F152" s="54" t="s">
        <v>1004</v>
      </c>
      <c r="G152" s="53" t="s">
        <v>47</v>
      </c>
      <c r="H152" s="58" t="str">
        <f>_xlfn.IFNA(INDEX(ActiveSchools!$C$2:$F$326,MATCH(G152,ActiveSchools!$F$2:$F$326,0),1),"Total")</f>
        <v>5724</v>
      </c>
      <c r="I152" s="53">
        <v>2</v>
      </c>
      <c r="J152" s="59">
        <f>_xlfn.IFNA(INDEX(DetailByDistrict[],MATCH($H152,DetailByDistrict[Dist],0),MATCH(J$2,DetailByDistrict[#Headers],0)),0)</f>
        <v>10</v>
      </c>
      <c r="K152" s="54">
        <f t="shared" si="2"/>
        <v>0.2</v>
      </c>
      <c r="L152" s="59">
        <f>ROUND(INDEX(DetailByDistrict[],MATCH($H152,DetailByDistrict[Dist],0),MATCH(L$2,DetailByDistrict[#Headers],0))*K152,2)</f>
        <v>130.6</v>
      </c>
      <c r="M152" s="59">
        <f>ROUND(INDEX(DetailByDistrict[],MATCH($H152,DetailByDistrict[Dist],0),MATCH(M$2,DetailByDistrict[#Headers],0))*K152,2)</f>
        <v>146.4</v>
      </c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25">
      <c r="A153" s="57" t="s">
        <v>22</v>
      </c>
      <c r="B153" s="54" t="s">
        <v>987</v>
      </c>
      <c r="C153" s="54" t="s">
        <v>929</v>
      </c>
      <c r="D153" s="53">
        <v>6102</v>
      </c>
      <c r="E153" s="53">
        <v>8102</v>
      </c>
      <c r="F153" s="54" t="s">
        <v>1015</v>
      </c>
      <c r="G153" s="53" t="s">
        <v>701</v>
      </c>
      <c r="H153" s="58" t="str">
        <f>_xlfn.IFNA(INDEX(ActiveSchools!$C$2:$F$326,MATCH(G153,ActiveSchools!$F$2:$F$326,0),1),"Total")</f>
        <v>6048</v>
      </c>
      <c r="I153" s="53">
        <v>3</v>
      </c>
      <c r="J153" s="59">
        <f>_xlfn.IFNA(INDEX(DetailByDistrict[],MATCH($H153,DetailByDistrict[Dist],0),MATCH(J$2,DetailByDistrict[#Headers],0)),0)</f>
        <v>13</v>
      </c>
      <c r="K153" s="54">
        <f t="shared" si="2"/>
        <v>0.23076923076923078</v>
      </c>
      <c r="L153" s="59">
        <f>ROUND(INDEX(DetailByDistrict[],MATCH($H153,DetailByDistrict[Dist],0),MATCH(L$2,DetailByDistrict[#Headers],0))*K153,2)</f>
        <v>195.92</v>
      </c>
      <c r="M153" s="59">
        <f>ROUND(INDEX(DetailByDistrict[],MATCH($H153,DetailByDistrict[Dist],0),MATCH(M$2,DetailByDistrict[#Headers],0))*K153,2)</f>
        <v>219.46</v>
      </c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25">
      <c r="A154" s="57" t="s">
        <v>22</v>
      </c>
      <c r="B154" s="54" t="s">
        <v>987</v>
      </c>
      <c r="C154" s="54" t="s">
        <v>929</v>
      </c>
      <c r="D154" s="53">
        <v>6102</v>
      </c>
      <c r="E154" s="53">
        <v>8102</v>
      </c>
      <c r="F154" s="54" t="s">
        <v>1016</v>
      </c>
      <c r="G154" s="53" t="s">
        <v>53</v>
      </c>
      <c r="H154" s="58" t="str">
        <f>_xlfn.IFNA(INDEX(ActiveSchools!$C$2:$F$326,MATCH(G154,ActiveSchools!$F$2:$F$326,0),1),"Total")</f>
        <v>6102</v>
      </c>
      <c r="I154" s="53">
        <v>106</v>
      </c>
      <c r="J154" s="59">
        <f>_xlfn.IFNA(INDEX(DetailByDistrict[],MATCH($H154,DetailByDistrict[Dist],0),MATCH(J$2,DetailByDistrict[#Headers],0)),0)</f>
        <v>228</v>
      </c>
      <c r="K154" s="54">
        <f t="shared" si="2"/>
        <v>0.46491228070175439</v>
      </c>
      <c r="L154" s="59">
        <f>ROUND(INDEX(DetailByDistrict[],MATCH($H154,DetailByDistrict[Dist],0),MATCH(L$2,DetailByDistrict[#Headers],0))*K154,2)</f>
        <v>6926.26</v>
      </c>
      <c r="M154" s="59">
        <f>ROUND(INDEX(DetailByDistrict[],MATCH($H154,DetailByDistrict[Dist],0),MATCH(M$2,DetailByDistrict[#Headers],0))*K154,2)</f>
        <v>7754.74</v>
      </c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25">
      <c r="A155" s="57" t="s">
        <v>22</v>
      </c>
      <c r="B155" s="54" t="s">
        <v>987</v>
      </c>
      <c r="C155" s="54" t="s">
        <v>930</v>
      </c>
      <c r="D155" s="53">
        <v>6219</v>
      </c>
      <c r="E155" s="53">
        <v>8101</v>
      </c>
      <c r="F155" s="54" t="s">
        <v>1010</v>
      </c>
      <c r="G155" s="57" t="s">
        <v>23</v>
      </c>
      <c r="H155" s="58" t="str">
        <f>_xlfn.IFNA(INDEX(ActiveSchools!$C$2:$F$326,MATCH(G155,ActiveSchools!$F$2:$F$326,0),1),"Total")</f>
        <v>0072</v>
      </c>
      <c r="I155" s="53">
        <v>2</v>
      </c>
      <c r="J155" s="59">
        <f>_xlfn.IFNA(INDEX(DetailByDistrict[],MATCH($H155,DetailByDistrict[Dist],0),MATCH(J$2,DetailByDistrict[#Headers],0)),0)</f>
        <v>8</v>
      </c>
      <c r="K155" s="54">
        <f t="shared" si="2"/>
        <v>0.25</v>
      </c>
      <c r="L155" s="59">
        <f>ROUND(INDEX(DetailByDistrict[],MATCH($H155,DetailByDistrict[Dist],0),MATCH(L$2,DetailByDistrict[#Headers],0))*K155,2)</f>
        <v>130.75</v>
      </c>
      <c r="M155" s="59">
        <f>ROUND(INDEX(DetailByDistrict[],MATCH($H155,DetailByDistrict[Dist],0),MATCH(M$2,DetailByDistrict[#Headers],0))*K155,2)</f>
        <v>146.25</v>
      </c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25">
      <c r="A156" s="57" t="s">
        <v>22</v>
      </c>
      <c r="B156" s="54" t="s">
        <v>987</v>
      </c>
      <c r="C156" s="54" t="s">
        <v>930</v>
      </c>
      <c r="D156" s="53">
        <v>6219</v>
      </c>
      <c r="E156" s="53">
        <v>8101</v>
      </c>
      <c r="F156" s="54" t="s">
        <v>1017</v>
      </c>
      <c r="G156" s="57" t="s">
        <v>25</v>
      </c>
      <c r="H156" s="58" t="str">
        <f>_xlfn.IFNA(INDEX(ActiveSchools!$C$2:$F$326,MATCH(G156,ActiveSchools!$F$2:$F$326,0),1),"Total")</f>
        <v>0171</v>
      </c>
      <c r="I156" s="53">
        <v>5</v>
      </c>
      <c r="J156" s="59">
        <f>_xlfn.IFNA(INDEX(DetailByDistrict[],MATCH($H156,DetailByDistrict[Dist],0),MATCH(J$2,DetailByDistrict[#Headers],0)),0)</f>
        <v>18</v>
      </c>
      <c r="K156" s="54">
        <f t="shared" si="2"/>
        <v>0.27777777777777779</v>
      </c>
      <c r="L156" s="59">
        <f>ROUND(INDEX(DetailByDistrict[],MATCH($H156,DetailByDistrict[Dist],0),MATCH(L$2,DetailByDistrict[#Headers],0))*K156,2)</f>
        <v>326.67</v>
      </c>
      <c r="M156" s="59">
        <f>ROUND(INDEX(DetailByDistrict[],MATCH($H156,DetailByDistrict[Dist],0),MATCH(M$2,DetailByDistrict[#Headers],0))*K156,2)</f>
        <v>365.83</v>
      </c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25">
      <c r="A157" s="57" t="s">
        <v>22</v>
      </c>
      <c r="B157" s="54" t="s">
        <v>987</v>
      </c>
      <c r="C157" s="54" t="s">
        <v>930</v>
      </c>
      <c r="D157" s="53">
        <v>6219</v>
      </c>
      <c r="E157" s="53">
        <v>8101</v>
      </c>
      <c r="F157" s="54" t="s">
        <v>1012</v>
      </c>
      <c r="G157" s="53" t="s">
        <v>40</v>
      </c>
      <c r="H157" s="58" t="str">
        <f>_xlfn.IFNA(INDEX(ActiveSchools!$C$2:$F$326,MATCH(G157,ActiveSchools!$F$2:$F$326,0),1),"Total")</f>
        <v>4644</v>
      </c>
      <c r="I157" s="53">
        <v>6</v>
      </c>
      <c r="J157" s="59">
        <f>_xlfn.IFNA(INDEX(DetailByDistrict[],MATCH($H157,DetailByDistrict[Dist],0),MATCH(J$2,DetailByDistrict[#Headers],0)),0)</f>
        <v>16</v>
      </c>
      <c r="K157" s="54">
        <f t="shared" si="2"/>
        <v>0.375</v>
      </c>
      <c r="L157" s="59">
        <f>ROUND(INDEX(DetailByDistrict[],MATCH($H157,DetailByDistrict[Dist],0),MATCH(L$2,DetailByDistrict[#Headers],0))*K157,2)</f>
        <v>391.88</v>
      </c>
      <c r="M157" s="59">
        <f>ROUND(INDEX(DetailByDistrict[],MATCH($H157,DetailByDistrict[Dist],0),MATCH(M$2,DetailByDistrict[#Headers],0))*K157,2)</f>
        <v>439.13</v>
      </c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25">
      <c r="A158" s="57" t="s">
        <v>22</v>
      </c>
      <c r="B158" s="54" t="s">
        <v>987</v>
      </c>
      <c r="C158" s="54" t="s">
        <v>930</v>
      </c>
      <c r="D158" s="53">
        <v>6219</v>
      </c>
      <c r="E158" s="53">
        <v>8101</v>
      </c>
      <c r="F158" s="54" t="s">
        <v>1018</v>
      </c>
      <c r="G158" s="53" t="s">
        <v>48</v>
      </c>
      <c r="H158" s="58" t="str">
        <f>_xlfn.IFNA(INDEX(ActiveSchools!$C$2:$F$326,MATCH(G158,ActiveSchools!$F$2:$F$326,0),1),"Total")</f>
        <v>5823</v>
      </c>
      <c r="I158" s="53">
        <v>9</v>
      </c>
      <c r="J158" s="59">
        <f>_xlfn.IFNA(INDEX(DetailByDistrict[],MATCH($H158,DetailByDistrict[Dist],0),MATCH(J$2,DetailByDistrict[#Headers],0)),0)</f>
        <v>23</v>
      </c>
      <c r="K158" s="54">
        <f t="shared" si="2"/>
        <v>0.39130434782608697</v>
      </c>
      <c r="L158" s="59">
        <f>ROUND(INDEX(DetailByDistrict[],MATCH($H158,DetailByDistrict[Dist],0),MATCH(L$2,DetailByDistrict[#Headers],0))*K158,2)</f>
        <v>588.13</v>
      </c>
      <c r="M158" s="59">
        <f>ROUND(INDEX(DetailByDistrict[],MATCH($H158,DetailByDistrict[Dist],0),MATCH(M$2,DetailByDistrict[#Headers],0))*K158,2)</f>
        <v>658.57</v>
      </c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25">
      <c r="A159" s="57" t="s">
        <v>22</v>
      </c>
      <c r="B159" s="54" t="s">
        <v>987</v>
      </c>
      <c r="C159" s="54" t="s">
        <v>930</v>
      </c>
      <c r="D159" s="53">
        <v>6219</v>
      </c>
      <c r="E159" s="53">
        <v>8101</v>
      </c>
      <c r="F159" s="54" t="s">
        <v>1019</v>
      </c>
      <c r="G159" s="53" t="s">
        <v>55</v>
      </c>
      <c r="H159" s="58" t="str">
        <f>_xlfn.IFNA(INDEX(ActiveSchools!$C$2:$F$326,MATCH(G159,ActiveSchools!$F$2:$F$326,0),1),"Total")</f>
        <v>6219</v>
      </c>
      <c r="I159" s="53">
        <v>97</v>
      </c>
      <c r="J159" s="59">
        <f>_xlfn.IFNA(INDEX(DetailByDistrict[],MATCH($H159,DetailByDistrict[Dist],0),MATCH(J$2,DetailByDistrict[#Headers],0)),0)</f>
        <v>198</v>
      </c>
      <c r="K159" s="54">
        <f t="shared" si="2"/>
        <v>0.48989898989898989</v>
      </c>
      <c r="L159" s="59">
        <f>ROUND(INDEX(DetailByDistrict[],MATCH($H159,DetailByDistrict[Dist],0),MATCH(L$2,DetailByDistrict[#Headers],0))*K159,2)</f>
        <v>6337.82</v>
      </c>
      <c r="M159" s="59">
        <f>ROUND(INDEX(DetailByDistrict[],MATCH($H159,DetailByDistrict[Dist],0),MATCH(M$2,DetailByDistrict[#Headers],0))*K159,2)</f>
        <v>7096.68</v>
      </c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25">
      <c r="A160" s="57" t="s">
        <v>22</v>
      </c>
      <c r="B160" s="54" t="s">
        <v>987</v>
      </c>
      <c r="C160" s="54" t="s">
        <v>931</v>
      </c>
      <c r="D160" s="53">
        <v>6219</v>
      </c>
      <c r="E160" s="53">
        <v>8102</v>
      </c>
      <c r="F160" s="54" t="s">
        <v>1010</v>
      </c>
      <c r="G160" s="57" t="s">
        <v>23</v>
      </c>
      <c r="H160" s="58" t="str">
        <f>_xlfn.IFNA(INDEX(ActiveSchools!$C$2:$F$326,MATCH(G160,ActiveSchools!$F$2:$F$326,0),1),"Total")</f>
        <v>0072</v>
      </c>
      <c r="I160" s="53">
        <v>5</v>
      </c>
      <c r="J160" s="59">
        <f>_xlfn.IFNA(INDEX(DetailByDistrict[],MATCH($H160,DetailByDistrict[Dist],0),MATCH(J$2,DetailByDistrict[#Headers],0)),0)</f>
        <v>8</v>
      </c>
      <c r="K160" s="54">
        <f t="shared" si="2"/>
        <v>0.625</v>
      </c>
      <c r="L160" s="59">
        <f>ROUND(INDEX(DetailByDistrict[],MATCH($H160,DetailByDistrict[Dist],0),MATCH(L$2,DetailByDistrict[#Headers],0))*K160,2)</f>
        <v>326.88</v>
      </c>
      <c r="M160" s="59">
        <f>ROUND(INDEX(DetailByDistrict[],MATCH($H160,DetailByDistrict[Dist],0),MATCH(M$2,DetailByDistrict[#Headers],0))*K160,2)</f>
        <v>365.63</v>
      </c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25">
      <c r="A161" s="57" t="s">
        <v>22</v>
      </c>
      <c r="B161" s="54" t="s">
        <v>987</v>
      </c>
      <c r="C161" s="54" t="s">
        <v>931</v>
      </c>
      <c r="D161" s="53">
        <v>6219</v>
      </c>
      <c r="E161" s="53">
        <v>8102</v>
      </c>
      <c r="F161" s="54" t="s">
        <v>1017</v>
      </c>
      <c r="G161" s="57" t="s">
        <v>25</v>
      </c>
      <c r="H161" s="58" t="str">
        <f>_xlfn.IFNA(INDEX(ActiveSchools!$C$2:$F$326,MATCH(G161,ActiveSchools!$F$2:$F$326,0),1),"Total")</f>
        <v>0171</v>
      </c>
      <c r="I161" s="53">
        <v>13</v>
      </c>
      <c r="J161" s="59">
        <f>_xlfn.IFNA(INDEX(DetailByDistrict[],MATCH($H161,DetailByDistrict[Dist],0),MATCH(J$2,DetailByDistrict[#Headers],0)),0)</f>
        <v>18</v>
      </c>
      <c r="K161" s="54">
        <f t="shared" si="2"/>
        <v>0.72222222222222221</v>
      </c>
      <c r="L161" s="59">
        <f>ROUND(INDEX(DetailByDistrict[],MATCH($H161,DetailByDistrict[Dist],0),MATCH(L$2,DetailByDistrict[#Headers],0))*K161,2)</f>
        <v>849.33</v>
      </c>
      <c r="M161" s="59">
        <f>ROUND(INDEX(DetailByDistrict[],MATCH($H161,DetailByDistrict[Dist],0),MATCH(M$2,DetailByDistrict[#Headers],0))*K161,2)</f>
        <v>951.17</v>
      </c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25">
      <c r="A162" s="57" t="s">
        <v>22</v>
      </c>
      <c r="B162" s="54" t="s">
        <v>987</v>
      </c>
      <c r="C162" s="54" t="s">
        <v>931</v>
      </c>
      <c r="D162" s="53">
        <v>6219</v>
      </c>
      <c r="E162" s="53">
        <v>8102</v>
      </c>
      <c r="F162" s="54" t="s">
        <v>1012</v>
      </c>
      <c r="G162" s="53" t="s">
        <v>40</v>
      </c>
      <c r="H162" s="58" t="str">
        <f>_xlfn.IFNA(INDEX(ActiveSchools!$C$2:$F$326,MATCH(G162,ActiveSchools!$F$2:$F$326,0),1),"Total")</f>
        <v>4644</v>
      </c>
      <c r="I162" s="53">
        <v>7</v>
      </c>
      <c r="J162" s="59">
        <f>_xlfn.IFNA(INDEX(DetailByDistrict[],MATCH($H162,DetailByDistrict[Dist],0),MATCH(J$2,DetailByDistrict[#Headers],0)),0)</f>
        <v>16</v>
      </c>
      <c r="K162" s="54">
        <f t="shared" si="2"/>
        <v>0.4375</v>
      </c>
      <c r="L162" s="59">
        <f>ROUND(INDEX(DetailByDistrict[],MATCH($H162,DetailByDistrict[Dist],0),MATCH(L$2,DetailByDistrict[#Headers],0))*K162,2)</f>
        <v>457.19</v>
      </c>
      <c r="M162" s="59">
        <f>ROUND(INDEX(DetailByDistrict[],MATCH($H162,DetailByDistrict[Dist],0),MATCH(M$2,DetailByDistrict[#Headers],0))*K162,2)</f>
        <v>512.30999999999995</v>
      </c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25">
      <c r="A163" s="57" t="s">
        <v>22</v>
      </c>
      <c r="B163" s="54" t="s">
        <v>987</v>
      </c>
      <c r="C163" s="54" t="s">
        <v>931</v>
      </c>
      <c r="D163" s="53">
        <v>6219</v>
      </c>
      <c r="E163" s="53">
        <v>8102</v>
      </c>
      <c r="F163" s="54" t="s">
        <v>1018</v>
      </c>
      <c r="G163" s="53" t="s">
        <v>48</v>
      </c>
      <c r="H163" s="58" t="str">
        <f>_xlfn.IFNA(INDEX(ActiveSchools!$C$2:$F$326,MATCH(G163,ActiveSchools!$F$2:$F$326,0),1),"Total")</f>
        <v>5823</v>
      </c>
      <c r="I163" s="53">
        <v>14</v>
      </c>
      <c r="J163" s="59">
        <f>_xlfn.IFNA(INDEX(DetailByDistrict[],MATCH($H163,DetailByDistrict[Dist],0),MATCH(J$2,DetailByDistrict[#Headers],0)),0)</f>
        <v>23</v>
      </c>
      <c r="K163" s="54">
        <f t="shared" si="2"/>
        <v>0.60869565217391308</v>
      </c>
      <c r="L163" s="59">
        <f>ROUND(INDEX(DetailByDistrict[],MATCH($H163,DetailByDistrict[Dist],0),MATCH(L$2,DetailByDistrict[#Headers],0))*K163,2)</f>
        <v>914.87</v>
      </c>
      <c r="M163" s="59">
        <f>ROUND(INDEX(DetailByDistrict[],MATCH($H163,DetailByDistrict[Dist],0),MATCH(M$2,DetailByDistrict[#Headers],0))*K163,2)</f>
        <v>1024.43</v>
      </c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25">
      <c r="A164" s="57" t="s">
        <v>22</v>
      </c>
      <c r="B164" s="54" t="s">
        <v>987</v>
      </c>
      <c r="C164" s="54" t="s">
        <v>931</v>
      </c>
      <c r="D164" s="53">
        <v>6219</v>
      </c>
      <c r="E164" s="53">
        <v>8102</v>
      </c>
      <c r="F164" s="54" t="s">
        <v>1015</v>
      </c>
      <c r="G164" s="53" t="s">
        <v>701</v>
      </c>
      <c r="H164" s="58" t="str">
        <f>_xlfn.IFNA(INDEX(ActiveSchools!$C$2:$F$326,MATCH(G164,ActiveSchools!$F$2:$F$326,0),1),"Total")</f>
        <v>6048</v>
      </c>
      <c r="I164" s="53">
        <v>3</v>
      </c>
      <c r="J164" s="59">
        <f>_xlfn.IFNA(INDEX(DetailByDistrict[],MATCH($H164,DetailByDistrict[Dist],0),MATCH(J$2,DetailByDistrict[#Headers],0)),0)</f>
        <v>13</v>
      </c>
      <c r="K164" s="54">
        <f t="shared" si="2"/>
        <v>0.23076923076923078</v>
      </c>
      <c r="L164" s="59">
        <f>ROUND(INDEX(DetailByDistrict[],MATCH($H164,DetailByDistrict[Dist],0),MATCH(L$2,DetailByDistrict[#Headers],0))*K164,2)</f>
        <v>195.92</v>
      </c>
      <c r="M164" s="59">
        <f>ROUND(INDEX(DetailByDistrict[],MATCH($H164,DetailByDistrict[Dist],0),MATCH(M$2,DetailByDistrict[#Headers],0))*K164,2)</f>
        <v>219.46</v>
      </c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25">
      <c r="A165" s="57" t="s">
        <v>22</v>
      </c>
      <c r="B165" s="54" t="s">
        <v>987</v>
      </c>
      <c r="C165" s="54" t="s">
        <v>931</v>
      </c>
      <c r="D165" s="53">
        <v>6219</v>
      </c>
      <c r="E165" s="53">
        <v>8102</v>
      </c>
      <c r="F165" s="54" t="s">
        <v>1019</v>
      </c>
      <c r="G165" s="53" t="s">
        <v>55</v>
      </c>
      <c r="H165" s="58" t="str">
        <f>_xlfn.IFNA(INDEX(ActiveSchools!$C$2:$F$326,MATCH(G165,ActiveSchools!$F$2:$F$326,0),1),"Total")</f>
        <v>6219</v>
      </c>
      <c r="I165" s="53">
        <v>101</v>
      </c>
      <c r="J165" s="59">
        <f>_xlfn.IFNA(INDEX(DetailByDistrict[],MATCH($H165,DetailByDistrict[Dist],0),MATCH(J$2,DetailByDistrict[#Headers],0)),0)</f>
        <v>198</v>
      </c>
      <c r="K165" s="54">
        <f t="shared" si="2"/>
        <v>0.51010101010101006</v>
      </c>
      <c r="L165" s="59">
        <f>ROUND(INDEX(DetailByDistrict[],MATCH($H165,DetailByDistrict[Dist],0),MATCH(L$2,DetailByDistrict[#Headers],0))*K165,2)</f>
        <v>6599.18</v>
      </c>
      <c r="M165" s="59">
        <f>ROUND(INDEX(DetailByDistrict[],MATCH($H165,DetailByDistrict[Dist],0),MATCH(M$2,DetailByDistrict[#Headers],0))*K165,2)</f>
        <v>7389.32</v>
      </c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25">
      <c r="A166" s="57" t="s">
        <v>22</v>
      </c>
      <c r="B166" s="54" t="s">
        <v>987</v>
      </c>
      <c r="C166" s="54" t="s">
        <v>948</v>
      </c>
      <c r="D166" s="53">
        <v>6867</v>
      </c>
      <c r="E166" s="53">
        <v>8102</v>
      </c>
      <c r="F166" s="54" t="s">
        <v>1008</v>
      </c>
      <c r="G166" s="53" t="s">
        <v>58</v>
      </c>
      <c r="H166" s="58" t="str">
        <f>_xlfn.IFNA(INDEX(ActiveSchools!$C$2:$F$326,MATCH(G166,ActiveSchools!$F$2:$F$326,0),1),"Total")</f>
        <v>6867</v>
      </c>
      <c r="I166" s="53">
        <v>2</v>
      </c>
      <c r="J166" s="59">
        <f>_xlfn.IFNA(INDEX(DetailByDistrict[],MATCH($H166,DetailByDistrict[Dist],0),MATCH(J$2,DetailByDistrict[#Headers],0)),0)</f>
        <v>90</v>
      </c>
      <c r="K166" s="54">
        <f t="shared" si="2"/>
        <v>2.2222222222222223E-2</v>
      </c>
      <c r="L166" s="59">
        <f>ROUND(INDEX(DetailByDistrict[],MATCH($H166,DetailByDistrict[Dist],0),MATCH(L$2,DetailByDistrict[#Headers],0))*K166,2)</f>
        <v>130.69</v>
      </c>
      <c r="M166" s="59">
        <f>ROUND(INDEX(DetailByDistrict[],MATCH($H166,DetailByDistrict[Dist],0),MATCH(M$2,DetailByDistrict[#Headers],0))*K166,2)</f>
        <v>146.31</v>
      </c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25">
      <c r="A167" s="57" t="s">
        <v>22</v>
      </c>
      <c r="B167" s="54" t="s">
        <v>987</v>
      </c>
      <c r="C167" s="54" t="s">
        <v>948</v>
      </c>
      <c r="D167" s="53">
        <v>6867</v>
      </c>
      <c r="E167" s="53">
        <v>8102</v>
      </c>
      <c r="F167" s="54" t="s">
        <v>1005</v>
      </c>
      <c r="G167" s="53" t="s">
        <v>32</v>
      </c>
      <c r="H167" s="58" t="str">
        <f>_xlfn.IFNA(INDEX(ActiveSchools!$C$2:$F$326,MATCH(G167,ActiveSchools!$F$2:$F$326,0),1),"Total")</f>
        <v>2313</v>
      </c>
      <c r="I167" s="53">
        <v>1</v>
      </c>
      <c r="J167" s="59">
        <f>_xlfn.IFNA(INDEX(DetailByDistrict[],MATCH($H167,DetailByDistrict[Dist],0),MATCH(J$2,DetailByDistrict[#Headers],0)),0)</f>
        <v>677</v>
      </c>
      <c r="K167" s="54">
        <f t="shared" si="2"/>
        <v>1.4771048744460858E-3</v>
      </c>
      <c r="L167" s="59">
        <f>ROUND(INDEX(DetailByDistrict[],MATCH($H167,DetailByDistrict[Dist],0),MATCH(L$2,DetailByDistrict[#Headers],0))*K167,2)</f>
        <v>65.34</v>
      </c>
      <c r="M167" s="59">
        <f>ROUND(INDEX(DetailByDistrict[],MATCH($H167,DetailByDistrict[Dist],0),MATCH(M$2,DetailByDistrict[#Headers],0))*K167,2)</f>
        <v>73.16</v>
      </c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25">
      <c r="A168" s="57" t="s">
        <v>22</v>
      </c>
      <c r="B168" s="54" t="s">
        <v>987</v>
      </c>
      <c r="C168" s="54" t="s">
        <v>948</v>
      </c>
      <c r="D168" s="53">
        <v>6867</v>
      </c>
      <c r="E168" s="53">
        <v>8102</v>
      </c>
      <c r="F168" s="54" t="s">
        <v>1020</v>
      </c>
      <c r="G168" s="53" t="s">
        <v>51</v>
      </c>
      <c r="H168" s="58" t="str">
        <f>_xlfn.IFNA(INDEX(ActiveSchools!$C$2:$F$326,MATCH(G168,ActiveSchools!$F$2:$F$326,0),1),"Total")</f>
        <v>6095</v>
      </c>
      <c r="I168" s="53">
        <v>3</v>
      </c>
      <c r="J168" s="59">
        <f>_xlfn.IFNA(INDEX(DetailByDistrict[],MATCH($H168,DetailByDistrict[Dist],0),MATCH(J$2,DetailByDistrict[#Headers],0)),0)</f>
        <v>3</v>
      </c>
      <c r="K168" s="54">
        <f t="shared" si="2"/>
        <v>1</v>
      </c>
      <c r="L168" s="59">
        <f>ROUND(INDEX(DetailByDistrict[],MATCH($H168,DetailByDistrict[Dist],0),MATCH(L$2,DetailByDistrict[#Headers],0))*K168,2)</f>
        <v>196</v>
      </c>
      <c r="M168" s="59">
        <f>ROUND(INDEX(DetailByDistrict[],MATCH($H168,DetailByDistrict[Dist],0),MATCH(M$2,DetailByDistrict[#Headers],0))*K168,2)</f>
        <v>219</v>
      </c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25">
      <c r="A169" s="57" t="s">
        <v>22</v>
      </c>
      <c r="B169" s="54" t="s">
        <v>987</v>
      </c>
      <c r="C169" s="54" t="s">
        <v>948</v>
      </c>
      <c r="D169" s="53">
        <v>6867</v>
      </c>
      <c r="E169" s="53">
        <v>8102</v>
      </c>
      <c r="F169" s="54" t="s">
        <v>1007</v>
      </c>
      <c r="G169" s="53" t="s">
        <v>58</v>
      </c>
      <c r="H169" s="58" t="str">
        <f>_xlfn.IFNA(INDEX(ActiveSchools!$C$2:$F$326,MATCH(G169,ActiveSchools!$F$2:$F$326,0),1),"Total")</f>
        <v>6867</v>
      </c>
      <c r="I169" s="53">
        <v>75</v>
      </c>
      <c r="J169" s="59">
        <f>_xlfn.IFNA(INDEX(DetailByDistrict[],MATCH($H169,DetailByDistrict[Dist],0),MATCH(J$2,DetailByDistrict[#Headers],0)),0)</f>
        <v>90</v>
      </c>
      <c r="K169" s="54">
        <f t="shared" si="2"/>
        <v>0.83333333333333337</v>
      </c>
      <c r="L169" s="59">
        <f>ROUND(INDEX(DetailByDistrict[],MATCH($H169,DetailByDistrict[Dist],0),MATCH(L$2,DetailByDistrict[#Headers],0))*K169,2)</f>
        <v>4900.83</v>
      </c>
      <c r="M169" s="59">
        <f>ROUND(INDEX(DetailByDistrict[],MATCH($H169,DetailByDistrict[Dist],0),MATCH(M$2,DetailByDistrict[#Headers],0))*K169,2)</f>
        <v>5486.67</v>
      </c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25">
      <c r="A170" s="62"/>
      <c r="B170" s="64"/>
      <c r="C170" s="65"/>
      <c r="D170" s="62"/>
      <c r="E170" s="62"/>
      <c r="F170" s="62" t="s">
        <v>987</v>
      </c>
      <c r="G170" s="62" t="s">
        <v>736</v>
      </c>
      <c r="H170" s="62" t="str">
        <f>_xlfn.IFNA(INDEX(ActiveSchools!$C$2:$F$326,MATCH(G170,ActiveSchools!$F$2:$F$326,0),1),"Total")</f>
        <v>Total</v>
      </c>
      <c r="I170" s="62">
        <f>SUM(I85:I169)</f>
        <v>2303</v>
      </c>
      <c r="J170" s="62">
        <f>_xlfn.IFNA(INDEX(DetailByDistrict[],MATCH($H170,DetailByDistrict[Dist],0),MATCH(J$2,DetailByDistrict[#Headers],0)),0)</f>
        <v>0</v>
      </c>
      <c r="K170" s="62" t="e">
        <f t="shared" si="2"/>
        <v>#DIV/0!</v>
      </c>
      <c r="L170" s="63">
        <f>SUM(L85:L169)</f>
        <v>150479</v>
      </c>
      <c r="M170" s="63">
        <f>SUM(M85:M169)</f>
        <v>168485.99999999997</v>
      </c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25">
      <c r="A171" s="57" t="s">
        <v>60</v>
      </c>
      <c r="B171" s="54" t="s">
        <v>1021</v>
      </c>
      <c r="C171" s="54" t="s">
        <v>765</v>
      </c>
      <c r="D171" s="57" t="s">
        <v>61</v>
      </c>
      <c r="E171" s="53">
        <v>8302</v>
      </c>
      <c r="F171" s="54" t="s">
        <v>1022</v>
      </c>
      <c r="G171" s="57" t="s">
        <v>61</v>
      </c>
      <c r="H171" s="58" t="str">
        <f>_xlfn.IFNA(INDEX(ActiveSchools!$C$2:$F$326,MATCH(G171,ActiveSchools!$F$2:$F$326,0),1),"Total")</f>
        <v>0009</v>
      </c>
      <c r="I171" s="53">
        <v>23</v>
      </c>
      <c r="J171" s="59">
        <f>_xlfn.IFNA(INDEX(DetailByDistrict[],MATCH($H171,DetailByDistrict[Dist],0),MATCH(J$2,DetailByDistrict[#Headers],0)),0)</f>
        <v>25</v>
      </c>
      <c r="K171" s="54">
        <f t="shared" si="2"/>
        <v>0.92</v>
      </c>
      <c r="L171" s="59">
        <f>ROUND(INDEX(DetailByDistrict[],MATCH($H171,DetailByDistrict[Dist],0),MATCH(L$2,DetailByDistrict[#Headers],0))*K171,2)</f>
        <v>1501.44</v>
      </c>
      <c r="M171" s="59">
        <f>ROUND(INDEX(DetailByDistrict[],MATCH($H171,DetailByDistrict[Dist],0),MATCH(M$2,DetailByDistrict[#Headers],0))*K171,2)</f>
        <v>1674.4</v>
      </c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25">
      <c r="A172" s="57" t="s">
        <v>60</v>
      </c>
      <c r="B172" s="54" t="s">
        <v>1021</v>
      </c>
      <c r="C172" s="54" t="s">
        <v>765</v>
      </c>
      <c r="D172" s="57" t="s">
        <v>61</v>
      </c>
      <c r="E172" s="53">
        <v>8302</v>
      </c>
      <c r="F172" s="54" t="s">
        <v>1023</v>
      </c>
      <c r="G172" s="57" t="s">
        <v>64</v>
      </c>
      <c r="H172" s="58" t="str">
        <f>_xlfn.IFNA(INDEX(ActiveSchools!$C$2:$F$326,MATCH(G172,ActiveSchools!$F$2:$F$326,0),1),"Total")</f>
        <v>0279</v>
      </c>
      <c r="I172" s="53">
        <v>19</v>
      </c>
      <c r="J172" s="59">
        <f>_xlfn.IFNA(INDEX(DetailByDistrict[],MATCH($H172,DetailByDistrict[Dist],0),MATCH(J$2,DetailByDistrict[#Headers],0)),0)</f>
        <v>20</v>
      </c>
      <c r="K172" s="54">
        <f t="shared" si="2"/>
        <v>0.95</v>
      </c>
      <c r="L172" s="59">
        <f>ROUND(INDEX(DetailByDistrict[],MATCH($H172,DetailByDistrict[Dist],0),MATCH(L$2,DetailByDistrict[#Headers],0))*K172,2)</f>
        <v>1240.7</v>
      </c>
      <c r="M172" s="59">
        <f>ROUND(INDEX(DetailByDistrict[],MATCH($H172,DetailByDistrict[Dist],0),MATCH(M$2,DetailByDistrict[#Headers],0))*K172,2)</f>
        <v>1383.2</v>
      </c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25">
      <c r="A173" s="57" t="s">
        <v>60</v>
      </c>
      <c r="B173" s="54" t="s">
        <v>1021</v>
      </c>
      <c r="C173" s="54" t="s">
        <v>765</v>
      </c>
      <c r="D173" s="57" t="s">
        <v>61</v>
      </c>
      <c r="E173" s="53">
        <v>8302</v>
      </c>
      <c r="F173" s="54" t="s">
        <v>1024</v>
      </c>
      <c r="G173" s="53" t="s">
        <v>81</v>
      </c>
      <c r="H173" s="58" t="str">
        <f>_xlfn.IFNA(INDEX(ActiveSchools!$C$2:$F$326,MATCH(G173,ActiveSchools!$F$2:$F$326,0),1),"Total")</f>
        <v>2007</v>
      </c>
      <c r="I173" s="53">
        <v>8</v>
      </c>
      <c r="J173" s="59">
        <f>_xlfn.IFNA(INDEX(DetailByDistrict[],MATCH($H173,DetailByDistrict[Dist],0),MATCH(J$2,DetailByDistrict[#Headers],0)),0)</f>
        <v>9</v>
      </c>
      <c r="K173" s="54">
        <f t="shared" si="2"/>
        <v>0.88888888888888884</v>
      </c>
      <c r="L173" s="59">
        <f>ROUND(INDEX(DetailByDistrict[],MATCH($H173,DetailByDistrict[Dist],0),MATCH(L$2,DetailByDistrict[#Headers],0))*K173,2)</f>
        <v>522.66999999999996</v>
      </c>
      <c r="M173" s="59">
        <f>ROUND(INDEX(DetailByDistrict[],MATCH($H173,DetailByDistrict[Dist],0),MATCH(M$2,DetailByDistrict[#Headers],0))*K173,2)</f>
        <v>582.22</v>
      </c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25">
      <c r="A174" s="57" t="s">
        <v>60</v>
      </c>
      <c r="B174" s="54" t="s">
        <v>1021</v>
      </c>
      <c r="C174" s="54" t="s">
        <v>765</v>
      </c>
      <c r="D174" s="57" t="s">
        <v>61</v>
      </c>
      <c r="E174" s="53">
        <v>8302</v>
      </c>
      <c r="F174" s="54" t="s">
        <v>1025</v>
      </c>
      <c r="G174" s="53" t="s">
        <v>88</v>
      </c>
      <c r="H174" s="58" t="str">
        <f>_xlfn.IFNA(INDEX(ActiveSchools!$C$2:$F$326,MATCH(G174,ActiveSchools!$F$2:$F$326,0),1),"Total")</f>
        <v>2727</v>
      </c>
      <c r="I174" s="53">
        <v>9</v>
      </c>
      <c r="J174" s="59">
        <f>_xlfn.IFNA(INDEX(DetailByDistrict[],MATCH($H174,DetailByDistrict[Dist],0),MATCH(J$2,DetailByDistrict[#Headers],0)),0)</f>
        <v>10</v>
      </c>
      <c r="K174" s="54">
        <f t="shared" si="2"/>
        <v>0.9</v>
      </c>
      <c r="L174" s="59">
        <f>ROUND(INDEX(DetailByDistrict[],MATCH($H174,DetailByDistrict[Dist],0),MATCH(L$2,DetailByDistrict[#Headers],0))*K174,2)</f>
        <v>587.70000000000005</v>
      </c>
      <c r="M174" s="59">
        <f>ROUND(INDEX(DetailByDistrict[],MATCH($H174,DetailByDistrict[Dist],0),MATCH(M$2,DetailByDistrict[#Headers],0))*K174,2)</f>
        <v>655.20000000000005</v>
      </c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25">
      <c r="A175" s="57" t="s">
        <v>60</v>
      </c>
      <c r="B175" s="54" t="s">
        <v>1021</v>
      </c>
      <c r="C175" s="54" t="s">
        <v>765</v>
      </c>
      <c r="D175" s="57" t="s">
        <v>61</v>
      </c>
      <c r="E175" s="53">
        <v>8302</v>
      </c>
      <c r="F175" s="54" t="s">
        <v>1026</v>
      </c>
      <c r="G175" s="53" t="s">
        <v>89</v>
      </c>
      <c r="H175" s="58" t="str">
        <f>_xlfn.IFNA(INDEX(ActiveSchools!$C$2:$F$326,MATCH(G175,ActiveSchools!$F$2:$F$326,0),1),"Total")</f>
        <v>2781</v>
      </c>
      <c r="I175" s="53">
        <v>2</v>
      </c>
      <c r="J175" s="59">
        <f>_xlfn.IFNA(INDEX(DetailByDistrict[],MATCH($H175,DetailByDistrict[Dist],0),MATCH(J$2,DetailByDistrict[#Headers],0)),0)</f>
        <v>14</v>
      </c>
      <c r="K175" s="54">
        <f t="shared" si="2"/>
        <v>0.14285714285714285</v>
      </c>
      <c r="L175" s="59">
        <f>ROUND(INDEX(DetailByDistrict[],MATCH($H175,DetailByDistrict[Dist],0),MATCH(L$2,DetailByDistrict[#Headers],0))*K175,2)</f>
        <v>130.57</v>
      </c>
      <c r="M175" s="59">
        <f>ROUND(INDEX(DetailByDistrict[],MATCH($H175,DetailByDistrict[Dist],0),MATCH(M$2,DetailByDistrict[#Headers],0))*K175,2)</f>
        <v>145.57</v>
      </c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25">
      <c r="A176" s="57" t="s">
        <v>60</v>
      </c>
      <c r="B176" s="54" t="s">
        <v>1021</v>
      </c>
      <c r="C176" s="54" t="s">
        <v>765</v>
      </c>
      <c r="D176" s="57" t="s">
        <v>61</v>
      </c>
      <c r="E176" s="53">
        <v>8302</v>
      </c>
      <c r="F176" s="54" t="s">
        <v>1027</v>
      </c>
      <c r="G176" s="53" t="s">
        <v>93</v>
      </c>
      <c r="H176" s="58" t="str">
        <f>_xlfn.IFNA(INDEX(ActiveSchools!$C$2:$F$326,MATCH(G176,ActiveSchools!$F$2:$F$326,0),1),"Total")</f>
        <v>3150</v>
      </c>
      <c r="I176" s="53">
        <v>3</v>
      </c>
      <c r="J176" s="59">
        <f>_xlfn.IFNA(INDEX(DetailByDistrict[],MATCH($H176,DetailByDistrict[Dist],0),MATCH(J$2,DetailByDistrict[#Headers],0)),0)</f>
        <v>3</v>
      </c>
      <c r="K176" s="54">
        <f t="shared" si="2"/>
        <v>1</v>
      </c>
      <c r="L176" s="59">
        <f>ROUND(INDEX(DetailByDistrict[],MATCH($H176,DetailByDistrict[Dist],0),MATCH(L$2,DetailByDistrict[#Headers],0))*K176,2)</f>
        <v>196</v>
      </c>
      <c r="M176" s="59">
        <f>ROUND(INDEX(DetailByDistrict[],MATCH($H176,DetailByDistrict[Dist],0),MATCH(M$2,DetailByDistrict[#Headers],0))*K176,2)</f>
        <v>218</v>
      </c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25">
      <c r="A177" s="57" t="s">
        <v>60</v>
      </c>
      <c r="B177" s="54" t="s">
        <v>1021</v>
      </c>
      <c r="C177" s="54" t="s">
        <v>766</v>
      </c>
      <c r="D177" s="57" t="s">
        <v>24</v>
      </c>
      <c r="E177" s="53">
        <v>8101</v>
      </c>
      <c r="F177" s="54" t="s">
        <v>1028</v>
      </c>
      <c r="G177" s="57" t="s">
        <v>116</v>
      </c>
      <c r="H177" s="58" t="str">
        <f>_xlfn.IFNA(INDEX(ActiveSchools!$C$2:$F$326,MATCH(G177,ActiveSchools!$F$2:$F$326,0),1),"Total")</f>
        <v>0819</v>
      </c>
      <c r="I177" s="53">
        <v>2</v>
      </c>
      <c r="J177" s="59">
        <f>_xlfn.IFNA(INDEX(DetailByDistrict[],MATCH($H177,DetailByDistrict[Dist],0),MATCH(J$2,DetailByDistrict[#Headers],0)),0)</f>
        <v>9</v>
      </c>
      <c r="K177" s="54">
        <f t="shared" si="2"/>
        <v>0.22222222222222221</v>
      </c>
      <c r="L177" s="59">
        <f>ROUND(INDEX(DetailByDistrict[],MATCH($H177,DetailByDistrict[Dist],0),MATCH(L$2,DetailByDistrict[#Headers],0))*K177,2)</f>
        <v>130.66999999999999</v>
      </c>
      <c r="M177" s="59">
        <f>ROUND(INDEX(DetailByDistrict[],MATCH($H177,DetailByDistrict[Dist],0),MATCH(M$2,DetailByDistrict[#Headers],0))*K177,2)</f>
        <v>145.56</v>
      </c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25">
      <c r="A178" s="57" t="s">
        <v>60</v>
      </c>
      <c r="B178" s="54" t="s">
        <v>1021</v>
      </c>
      <c r="C178" s="54" t="s">
        <v>769</v>
      </c>
      <c r="D178" s="57" t="s">
        <v>177</v>
      </c>
      <c r="E178" s="53">
        <v>8102</v>
      </c>
      <c r="F178" s="54" t="s">
        <v>1029</v>
      </c>
      <c r="G178" s="53" t="s">
        <v>117</v>
      </c>
      <c r="H178" s="58" t="str">
        <f>_xlfn.IFNA(INDEX(ActiveSchools!$C$2:$F$326,MATCH(G178,ActiveSchools!$F$2:$F$326,0),1),"Total")</f>
        <v>6985</v>
      </c>
      <c r="I178" s="53">
        <v>2</v>
      </c>
      <c r="J178" s="59">
        <f>_xlfn.IFNA(INDEX(DetailByDistrict[],MATCH($H178,DetailByDistrict[Dist],0),MATCH(J$2,DetailByDistrict[#Headers],0)),0)</f>
        <v>8</v>
      </c>
      <c r="K178" s="54">
        <f t="shared" si="2"/>
        <v>0.25</v>
      </c>
      <c r="L178" s="59">
        <f>ROUND(INDEX(DetailByDistrict[],MATCH($H178,DetailByDistrict[Dist],0),MATCH(L$2,DetailByDistrict[#Headers],0))*K178,2)</f>
        <v>130.5</v>
      </c>
      <c r="M178" s="59">
        <f>ROUND(INDEX(DetailByDistrict[],MATCH($H178,DetailByDistrict[Dist],0),MATCH(M$2,DetailByDistrict[#Headers],0))*K178,2)</f>
        <v>145.5</v>
      </c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25">
      <c r="A179" s="57" t="s">
        <v>60</v>
      </c>
      <c r="B179" s="54" t="s">
        <v>1021</v>
      </c>
      <c r="C179" s="54" t="s">
        <v>772</v>
      </c>
      <c r="D179" s="57" t="s">
        <v>178</v>
      </c>
      <c r="E179" s="53">
        <v>8101</v>
      </c>
      <c r="F179" s="54" t="s">
        <v>1030</v>
      </c>
      <c r="G179" s="53" t="s">
        <v>113</v>
      </c>
      <c r="H179" s="58" t="str">
        <f>_xlfn.IFNA(INDEX(ActiveSchools!$C$2:$F$326,MATCH(G179,ActiveSchools!$F$2:$F$326,0),1),"Total")</f>
        <v>6795</v>
      </c>
      <c r="I179" s="53">
        <v>1</v>
      </c>
      <c r="J179" s="59">
        <f>_xlfn.IFNA(INDEX(DetailByDistrict[],MATCH($H179,DetailByDistrict[Dist],0),MATCH(J$2,DetailByDistrict[#Headers],0)),0)</f>
        <v>1280</v>
      </c>
      <c r="K179" s="54">
        <f t="shared" si="2"/>
        <v>7.8125000000000004E-4</v>
      </c>
      <c r="L179" s="59">
        <f>ROUND(INDEX(DetailByDistrict[],MATCH($H179,DetailByDistrict[Dist],0),MATCH(L$2,DetailByDistrict[#Headers],0))*K179,2)</f>
        <v>65.290000000000006</v>
      </c>
      <c r="M179" s="59">
        <f>ROUND(INDEX(DetailByDistrict[],MATCH($H179,DetailByDistrict[Dist],0),MATCH(M$2,DetailByDistrict[#Headers],0))*K179,2)</f>
        <v>72.78</v>
      </c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25">
      <c r="A180" s="57" t="s">
        <v>60</v>
      </c>
      <c r="B180" s="54" t="s">
        <v>1021</v>
      </c>
      <c r="C180" s="54" t="s">
        <v>777</v>
      </c>
      <c r="D180" s="57" t="s">
        <v>144</v>
      </c>
      <c r="E180" s="53">
        <v>8204</v>
      </c>
      <c r="F180" s="54" t="s">
        <v>1031</v>
      </c>
      <c r="G180" s="53" t="s">
        <v>704</v>
      </c>
      <c r="H180" s="58" t="str">
        <f>_xlfn.IFNA(INDEX(ActiveSchools!$C$2:$F$326,MATCH(G180,ActiveSchools!$F$2:$F$326,0),1),"Total")</f>
        <v>1935</v>
      </c>
      <c r="I180" s="53">
        <v>2</v>
      </c>
      <c r="J180" s="59">
        <f>_xlfn.IFNA(INDEX(DetailByDistrict[],MATCH($H180,DetailByDistrict[Dist],0),MATCH(J$2,DetailByDistrict[#Headers],0)),0)</f>
        <v>35</v>
      </c>
      <c r="K180" s="54">
        <f t="shared" si="2"/>
        <v>5.7142857142857141E-2</v>
      </c>
      <c r="L180" s="59">
        <f>ROUND(INDEX(DetailByDistrict[],MATCH($H180,DetailByDistrict[Dist],0),MATCH(L$2,DetailByDistrict[#Headers],0))*K180,2)</f>
        <v>130.57</v>
      </c>
      <c r="M180" s="59">
        <f>ROUND(INDEX(DetailByDistrict[],MATCH($H180,DetailByDistrict[Dist],0),MATCH(M$2,DetailByDistrict[#Headers],0))*K180,2)</f>
        <v>145.54</v>
      </c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25">
      <c r="A181" s="57" t="s">
        <v>60</v>
      </c>
      <c r="B181" s="54" t="s">
        <v>1021</v>
      </c>
      <c r="C181" s="54" t="s">
        <v>792</v>
      </c>
      <c r="D181" s="57" t="s">
        <v>69</v>
      </c>
      <c r="E181" s="53">
        <v>8201</v>
      </c>
      <c r="F181" s="54" t="s">
        <v>1032</v>
      </c>
      <c r="G181" s="57" t="s">
        <v>69</v>
      </c>
      <c r="H181" s="58" t="str">
        <f>_xlfn.IFNA(INDEX(ActiveSchools!$C$2:$F$326,MATCH(G181,ActiveSchools!$F$2:$F$326,0),1),"Total")</f>
        <v>0916</v>
      </c>
      <c r="I181" s="53">
        <v>21</v>
      </c>
      <c r="J181" s="59">
        <f>_xlfn.IFNA(INDEX(DetailByDistrict[],MATCH($H181,DetailByDistrict[Dist],0),MATCH(J$2,DetailByDistrict[#Headers],0)),0)</f>
        <v>24</v>
      </c>
      <c r="K181" s="54">
        <f t="shared" si="2"/>
        <v>0.875</v>
      </c>
      <c r="L181" s="59">
        <f>ROUND(INDEX(DetailByDistrict[],MATCH($H181,DetailByDistrict[Dist],0),MATCH(L$2,DetailByDistrict[#Headers],0))*K181,2)</f>
        <v>1371.13</v>
      </c>
      <c r="M181" s="59">
        <f>ROUND(INDEX(DetailByDistrict[],MATCH($H181,DetailByDistrict[Dist],0),MATCH(M$2,DetailByDistrict[#Headers],0))*K181,2)</f>
        <v>1528.63</v>
      </c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25">
      <c r="A182" s="57" t="s">
        <v>60</v>
      </c>
      <c r="B182" s="54" t="s">
        <v>1021</v>
      </c>
      <c r="C182" s="54" t="s">
        <v>792</v>
      </c>
      <c r="D182" s="57" t="s">
        <v>69</v>
      </c>
      <c r="E182" s="53">
        <v>8201</v>
      </c>
      <c r="F182" s="54" t="s">
        <v>1026</v>
      </c>
      <c r="G182" s="53" t="s">
        <v>89</v>
      </c>
      <c r="H182" s="58" t="str">
        <f>_xlfn.IFNA(INDEX(ActiveSchools!$C$2:$F$326,MATCH(G182,ActiveSchools!$F$2:$F$326,0),1),"Total")</f>
        <v>2781</v>
      </c>
      <c r="I182" s="53">
        <v>11</v>
      </c>
      <c r="J182" s="59">
        <f>_xlfn.IFNA(INDEX(DetailByDistrict[],MATCH($H182,DetailByDistrict[Dist],0),MATCH(J$2,DetailByDistrict[#Headers],0)),0)</f>
        <v>14</v>
      </c>
      <c r="K182" s="54">
        <f t="shared" si="2"/>
        <v>0.7857142857142857</v>
      </c>
      <c r="L182" s="59">
        <f>ROUND(INDEX(DetailByDistrict[],MATCH($H182,DetailByDistrict[Dist],0),MATCH(L$2,DetailByDistrict[#Headers],0))*K182,2)</f>
        <v>718.14</v>
      </c>
      <c r="M182" s="59">
        <f>ROUND(INDEX(DetailByDistrict[],MATCH($H182,DetailByDistrict[Dist],0),MATCH(M$2,DetailByDistrict[#Headers],0))*K182,2)</f>
        <v>800.64</v>
      </c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25">
      <c r="A183" s="57" t="s">
        <v>60</v>
      </c>
      <c r="B183" s="54" t="s">
        <v>1021</v>
      </c>
      <c r="C183" s="54" t="s">
        <v>792</v>
      </c>
      <c r="D183" s="57" t="s">
        <v>69</v>
      </c>
      <c r="E183" s="53">
        <v>8201</v>
      </c>
      <c r="F183" s="54" t="s">
        <v>1033</v>
      </c>
      <c r="G183" s="53" t="s">
        <v>98</v>
      </c>
      <c r="H183" s="58" t="str">
        <f>_xlfn.IFNA(INDEX(ActiveSchools!$C$2:$F$326,MATCH(G183,ActiveSchools!$F$2:$F$326,0),1),"Total")</f>
        <v>4131</v>
      </c>
      <c r="I183" s="53">
        <v>2</v>
      </c>
      <c r="J183" s="59">
        <f>_xlfn.IFNA(INDEX(DetailByDistrict[],MATCH($H183,DetailByDistrict[Dist],0),MATCH(J$2,DetailByDistrict[#Headers],0)),0)</f>
        <v>580</v>
      </c>
      <c r="K183" s="54">
        <f t="shared" si="2"/>
        <v>3.4482758620689655E-3</v>
      </c>
      <c r="L183" s="59">
        <f>ROUND(INDEX(DetailByDistrict[],MATCH($H183,DetailByDistrict[Dist],0),MATCH(L$2,DetailByDistrict[#Headers],0))*K183,2)</f>
        <v>130.58000000000001</v>
      </c>
      <c r="M183" s="59">
        <f>ROUND(INDEX(DetailByDistrict[],MATCH($H183,DetailByDistrict[Dist],0),MATCH(M$2,DetailByDistrict[#Headers],0))*K183,2)</f>
        <v>145.56</v>
      </c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25">
      <c r="A184" s="57" t="s">
        <v>60</v>
      </c>
      <c r="B184" s="54" t="s">
        <v>1021</v>
      </c>
      <c r="C184" s="54" t="s">
        <v>792</v>
      </c>
      <c r="D184" s="57" t="s">
        <v>69</v>
      </c>
      <c r="E184" s="53">
        <v>8201</v>
      </c>
      <c r="F184" s="54" t="s">
        <v>1034</v>
      </c>
      <c r="G184" s="53" t="s">
        <v>115</v>
      </c>
      <c r="H184" s="58" t="str">
        <f>_xlfn.IFNA(INDEX(ActiveSchools!$C$2:$F$326,MATCH(G184,ActiveSchools!$F$2:$F$326,0),1),"Total")</f>
        <v>5922</v>
      </c>
      <c r="I184" s="53">
        <v>7</v>
      </c>
      <c r="J184" s="59">
        <f>_xlfn.IFNA(INDEX(DetailByDistrict[],MATCH($H184,DetailByDistrict[Dist],0),MATCH(J$2,DetailByDistrict[#Headers],0)),0)</f>
        <v>60</v>
      </c>
      <c r="K184" s="54">
        <f t="shared" si="2"/>
        <v>0.11666666666666667</v>
      </c>
      <c r="L184" s="59">
        <f>ROUND(INDEX(DetailByDistrict[],MATCH($H184,DetailByDistrict[Dist],0),MATCH(L$2,DetailByDistrict[#Headers],0))*K184,2)</f>
        <v>456.98</v>
      </c>
      <c r="M184" s="59">
        <f>ROUND(INDEX(DetailByDistrict[],MATCH($H184,DetailByDistrict[Dist],0),MATCH(M$2,DetailByDistrict[#Headers],0))*K184,2)</f>
        <v>509.48</v>
      </c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25">
      <c r="A185" s="57" t="s">
        <v>60</v>
      </c>
      <c r="B185" s="54" t="s">
        <v>1021</v>
      </c>
      <c r="C185" s="54" t="s">
        <v>795</v>
      </c>
      <c r="D185" s="53">
        <v>1044</v>
      </c>
      <c r="E185" s="53">
        <v>8100</v>
      </c>
      <c r="F185" s="54" t="s">
        <v>1032</v>
      </c>
      <c r="G185" s="57" t="s">
        <v>69</v>
      </c>
      <c r="H185" s="58" t="str">
        <f>_xlfn.IFNA(INDEX(ActiveSchools!$C$2:$F$326,MATCH(G185,ActiveSchools!$F$2:$F$326,0),1),"Total")</f>
        <v>0916</v>
      </c>
      <c r="I185" s="53">
        <v>3</v>
      </c>
      <c r="J185" s="59">
        <f>_xlfn.IFNA(INDEX(DetailByDistrict[],MATCH($H185,DetailByDistrict[Dist],0),MATCH(J$2,DetailByDistrict[#Headers],0)),0)</f>
        <v>24</v>
      </c>
      <c r="K185" s="54">
        <f t="shared" si="2"/>
        <v>0.125</v>
      </c>
      <c r="L185" s="59">
        <f>ROUND(INDEX(DetailByDistrict[],MATCH($H185,DetailByDistrict[Dist],0),MATCH(L$2,DetailByDistrict[#Headers],0))*K185,2)</f>
        <v>195.88</v>
      </c>
      <c r="M185" s="59">
        <f>ROUND(INDEX(DetailByDistrict[],MATCH($H185,DetailByDistrict[Dist],0),MATCH(M$2,DetailByDistrict[#Headers],0))*K185,2)</f>
        <v>218.38</v>
      </c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25">
      <c r="A186" s="57" t="s">
        <v>60</v>
      </c>
      <c r="B186" s="54" t="s">
        <v>1021</v>
      </c>
      <c r="C186" s="54" t="s">
        <v>795</v>
      </c>
      <c r="D186" s="53">
        <v>1044</v>
      </c>
      <c r="E186" s="53">
        <v>8100</v>
      </c>
      <c r="F186" s="54" t="s">
        <v>1035</v>
      </c>
      <c r="G186" s="53" t="s">
        <v>71</v>
      </c>
      <c r="H186" s="58" t="str">
        <f>_xlfn.IFNA(INDEX(ActiveSchools!$C$2:$F$326,MATCH(G186,ActiveSchools!$F$2:$F$326,0),1),"Total")</f>
        <v>1044</v>
      </c>
      <c r="I186" s="53">
        <v>65</v>
      </c>
      <c r="J186" s="59">
        <f>_xlfn.IFNA(INDEX(DetailByDistrict[],MATCH($H186,DetailByDistrict[Dist],0),MATCH(J$2,DetailByDistrict[#Headers],0)),0)</f>
        <v>387</v>
      </c>
      <c r="K186" s="54">
        <f t="shared" si="2"/>
        <v>0.16795865633074936</v>
      </c>
      <c r="L186" s="59">
        <f>ROUND(INDEX(DetailByDistrict[],MATCH($H186,DetailByDistrict[Dist],0),MATCH(L$2,DetailByDistrict[#Headers],0))*K186,2)</f>
        <v>4243.8100000000004</v>
      </c>
      <c r="M186" s="59">
        <f>ROUND(INDEX(DetailByDistrict[],MATCH($H186,DetailByDistrict[Dist],0),MATCH(M$2,DetailByDistrict[#Headers],0))*K186,2)</f>
        <v>4730.72</v>
      </c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25">
      <c r="A187" s="57" t="s">
        <v>60</v>
      </c>
      <c r="B187" s="54" t="s">
        <v>1021</v>
      </c>
      <c r="C187" s="54" t="s">
        <v>795</v>
      </c>
      <c r="D187" s="53">
        <v>1044</v>
      </c>
      <c r="E187" s="53">
        <v>8100</v>
      </c>
      <c r="F187" s="54" t="s">
        <v>1036</v>
      </c>
      <c r="G187" s="53" t="s">
        <v>78</v>
      </c>
      <c r="H187" s="58" t="str">
        <f>_xlfn.IFNA(INDEX(ActiveSchools!$C$2:$F$326,MATCH(G187,ActiveSchools!$F$2:$F$326,0),1),"Total")</f>
        <v>1908</v>
      </c>
      <c r="I187" s="53">
        <v>1</v>
      </c>
      <c r="J187" s="59">
        <f>_xlfn.IFNA(INDEX(DetailByDistrict[],MATCH($H187,DetailByDistrict[Dist],0),MATCH(J$2,DetailByDistrict[#Headers],0)),0)</f>
        <v>16</v>
      </c>
      <c r="K187" s="54">
        <f t="shared" si="2"/>
        <v>6.25E-2</v>
      </c>
      <c r="L187" s="59">
        <f>ROUND(INDEX(DetailByDistrict[],MATCH($H187,DetailByDistrict[Dist],0),MATCH(L$2,DetailByDistrict[#Headers],0))*K187,2)</f>
        <v>65.31</v>
      </c>
      <c r="M187" s="59">
        <f>ROUND(INDEX(DetailByDistrict[],MATCH($H187,DetailByDistrict[Dist],0),MATCH(M$2,DetailByDistrict[#Headers],0))*K187,2)</f>
        <v>72.75</v>
      </c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25">
      <c r="A188" s="57" t="s">
        <v>60</v>
      </c>
      <c r="B188" s="54" t="s">
        <v>1021</v>
      </c>
      <c r="C188" s="54" t="s">
        <v>795</v>
      </c>
      <c r="D188" s="53">
        <v>1044</v>
      </c>
      <c r="E188" s="53">
        <v>8100</v>
      </c>
      <c r="F188" s="54" t="s">
        <v>1037</v>
      </c>
      <c r="G188" s="53" t="s">
        <v>91</v>
      </c>
      <c r="H188" s="58" t="str">
        <f>_xlfn.IFNA(INDEX(ActiveSchools!$C$2:$F$326,MATCH(G188,ActiveSchools!$F$2:$F$326,0),1),"Total")</f>
        <v>3042</v>
      </c>
      <c r="I188" s="53">
        <v>4</v>
      </c>
      <c r="J188" s="59">
        <f>_xlfn.IFNA(INDEX(DetailByDistrict[],MATCH($H188,DetailByDistrict[Dist],0),MATCH(J$2,DetailByDistrict[#Headers],0)),0)</f>
        <v>26</v>
      </c>
      <c r="K188" s="54">
        <f t="shared" si="2"/>
        <v>0.15384615384615385</v>
      </c>
      <c r="L188" s="59">
        <f>ROUND(INDEX(DetailByDistrict[],MATCH($H188,DetailByDistrict[Dist],0),MATCH(L$2,DetailByDistrict[#Headers],0))*K188,2)</f>
        <v>261.23</v>
      </c>
      <c r="M188" s="59">
        <f>ROUND(INDEX(DetailByDistrict[],MATCH($H188,DetailByDistrict[Dist],0),MATCH(M$2,DetailByDistrict[#Headers],0))*K188,2)</f>
        <v>291.08</v>
      </c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25">
      <c r="A189" s="57" t="s">
        <v>60</v>
      </c>
      <c r="B189" s="54" t="s">
        <v>1021</v>
      </c>
      <c r="C189" s="54" t="s">
        <v>795</v>
      </c>
      <c r="D189" s="53">
        <v>1044</v>
      </c>
      <c r="E189" s="53">
        <v>8100</v>
      </c>
      <c r="F189" s="54" t="s">
        <v>1038</v>
      </c>
      <c r="G189" s="53" t="s">
        <v>103</v>
      </c>
      <c r="H189" s="58" t="str">
        <f>_xlfn.IFNA(INDEX(ActiveSchools!$C$2:$F$326,MATCH(G189,ActiveSchools!$F$2:$F$326,0),1),"Total")</f>
        <v>4785</v>
      </c>
      <c r="I189" s="53">
        <v>2</v>
      </c>
      <c r="J189" s="59">
        <f>_xlfn.IFNA(INDEX(DetailByDistrict[],MATCH($H189,DetailByDistrict[Dist],0),MATCH(J$2,DetailByDistrict[#Headers],0)),0)</f>
        <v>2</v>
      </c>
      <c r="K189" s="54">
        <f t="shared" si="2"/>
        <v>1</v>
      </c>
      <c r="L189" s="59">
        <f>ROUND(INDEX(DetailByDistrict[],MATCH($H189,DetailByDistrict[Dist],0),MATCH(L$2,DetailByDistrict[#Headers],0))*K189,2)</f>
        <v>131</v>
      </c>
      <c r="M189" s="59">
        <f>ROUND(INDEX(DetailByDistrict[],MATCH($H189,DetailByDistrict[Dist],0),MATCH(M$2,DetailByDistrict[#Headers],0))*K189,2)</f>
        <v>146</v>
      </c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25">
      <c r="A190" s="57" t="s">
        <v>60</v>
      </c>
      <c r="B190" s="54" t="s">
        <v>1021</v>
      </c>
      <c r="C190" s="54" t="s">
        <v>795</v>
      </c>
      <c r="D190" s="53">
        <v>1044</v>
      </c>
      <c r="E190" s="53">
        <v>8100</v>
      </c>
      <c r="F190" s="54" t="s">
        <v>1034</v>
      </c>
      <c r="G190" s="53" t="s">
        <v>115</v>
      </c>
      <c r="H190" s="58" t="str">
        <f>_xlfn.IFNA(INDEX(ActiveSchools!$C$2:$F$326,MATCH(G190,ActiveSchools!$F$2:$F$326,0),1),"Total")</f>
        <v>5922</v>
      </c>
      <c r="I190" s="53">
        <v>2</v>
      </c>
      <c r="J190" s="59">
        <f>_xlfn.IFNA(INDEX(DetailByDistrict[],MATCH($H190,DetailByDistrict[Dist],0),MATCH(J$2,DetailByDistrict[#Headers],0)),0)</f>
        <v>60</v>
      </c>
      <c r="K190" s="54">
        <f t="shared" si="2"/>
        <v>3.3333333333333333E-2</v>
      </c>
      <c r="L190" s="59">
        <f>ROUND(INDEX(DetailByDistrict[],MATCH($H190,DetailByDistrict[Dist],0),MATCH(L$2,DetailByDistrict[#Headers],0))*K190,2)</f>
        <v>130.57</v>
      </c>
      <c r="M190" s="59">
        <f>ROUND(INDEX(DetailByDistrict[],MATCH($H190,DetailByDistrict[Dist],0),MATCH(M$2,DetailByDistrict[#Headers],0))*K190,2)</f>
        <v>145.57</v>
      </c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25">
      <c r="A191" s="57" t="s">
        <v>60</v>
      </c>
      <c r="B191" s="54" t="s">
        <v>1021</v>
      </c>
      <c r="C191" s="54" t="s">
        <v>795</v>
      </c>
      <c r="D191" s="53">
        <v>1044</v>
      </c>
      <c r="E191" s="53">
        <v>8100</v>
      </c>
      <c r="F191" s="54" t="s">
        <v>1030</v>
      </c>
      <c r="G191" s="53" t="s">
        <v>113</v>
      </c>
      <c r="H191" s="58" t="str">
        <f>_xlfn.IFNA(INDEX(ActiveSchools!$C$2:$F$326,MATCH(G191,ActiveSchools!$F$2:$F$326,0),1),"Total")</f>
        <v>6795</v>
      </c>
      <c r="I191" s="53">
        <v>100</v>
      </c>
      <c r="J191" s="59">
        <f>_xlfn.IFNA(INDEX(DetailByDistrict[],MATCH($H191,DetailByDistrict[Dist],0),MATCH(J$2,DetailByDistrict[#Headers],0)),0)</f>
        <v>1280</v>
      </c>
      <c r="K191" s="54">
        <f t="shared" si="2"/>
        <v>7.8125E-2</v>
      </c>
      <c r="L191" s="59">
        <f>ROUND(INDEX(DetailByDistrict[],MATCH($H191,DetailByDistrict[Dist],0),MATCH(L$2,DetailByDistrict[#Headers],0))*K191,2)</f>
        <v>6528.98</v>
      </c>
      <c r="M191" s="59">
        <f>ROUND(INDEX(DetailByDistrict[],MATCH($H191,DetailByDistrict[Dist],0),MATCH(M$2,DetailByDistrict[#Headers],0))*K191,2)</f>
        <v>7277.97</v>
      </c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25">
      <c r="A192" s="57" t="s">
        <v>60</v>
      </c>
      <c r="B192" s="54" t="s">
        <v>1021</v>
      </c>
      <c r="C192" s="54" t="s">
        <v>768</v>
      </c>
      <c r="D192" s="53">
        <v>1044</v>
      </c>
      <c r="E192" s="53">
        <v>8113</v>
      </c>
      <c r="F192" s="54" t="s">
        <v>1035</v>
      </c>
      <c r="G192" s="53" t="s">
        <v>71</v>
      </c>
      <c r="H192" s="58" t="str">
        <f>_xlfn.IFNA(INDEX(ActiveSchools!$C$2:$F$326,MATCH(G192,ActiveSchools!$F$2:$F$326,0),1),"Total")</f>
        <v>1044</v>
      </c>
      <c r="I192" s="53">
        <v>149</v>
      </c>
      <c r="J192" s="59">
        <f>_xlfn.IFNA(INDEX(DetailByDistrict[],MATCH($H192,DetailByDistrict[Dist],0),MATCH(J$2,DetailByDistrict[#Headers],0)),0)</f>
        <v>387</v>
      </c>
      <c r="K192" s="54">
        <f t="shared" si="2"/>
        <v>0.38501291989664083</v>
      </c>
      <c r="L192" s="59">
        <f>ROUND(INDEX(DetailByDistrict[],MATCH($H192,DetailByDistrict[Dist],0),MATCH(L$2,DetailByDistrict[#Headers],0))*K192,2)</f>
        <v>9728.1200000000008</v>
      </c>
      <c r="M192" s="59">
        <f>ROUND(INDEX(DetailByDistrict[],MATCH($H192,DetailByDistrict[Dist],0),MATCH(M$2,DetailByDistrict[#Headers],0))*K192,2)</f>
        <v>10844.27</v>
      </c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25">
      <c r="A193" s="57" t="s">
        <v>60</v>
      </c>
      <c r="B193" s="54" t="s">
        <v>1021</v>
      </c>
      <c r="C193" s="54" t="s">
        <v>768</v>
      </c>
      <c r="D193" s="53">
        <v>1044</v>
      </c>
      <c r="E193" s="53">
        <v>8113</v>
      </c>
      <c r="F193" s="54" t="s">
        <v>1039</v>
      </c>
      <c r="G193" s="53" t="s">
        <v>76</v>
      </c>
      <c r="H193" s="58" t="str">
        <f>_xlfn.IFNA(INDEX(ActiveSchools!$C$2:$F$326,MATCH(G193,ActiveSchools!$F$2:$F$326,0),1),"Total")</f>
        <v>1719</v>
      </c>
      <c r="I193" s="53">
        <v>2</v>
      </c>
      <c r="J193" s="59">
        <f>_xlfn.IFNA(INDEX(DetailByDistrict[],MATCH($H193,DetailByDistrict[Dist],0),MATCH(J$2,DetailByDistrict[#Headers],0)),0)</f>
        <v>14</v>
      </c>
      <c r="K193" s="54">
        <f t="shared" si="2"/>
        <v>0.14285714285714285</v>
      </c>
      <c r="L193" s="59">
        <f>ROUND(INDEX(DetailByDistrict[],MATCH($H193,DetailByDistrict[Dist],0),MATCH(L$2,DetailByDistrict[#Headers],0))*K193,2)</f>
        <v>130.57</v>
      </c>
      <c r="M193" s="59">
        <f>ROUND(INDEX(DetailByDistrict[],MATCH($H193,DetailByDistrict[Dist],0),MATCH(M$2,DetailByDistrict[#Headers],0))*K193,2)</f>
        <v>145.57</v>
      </c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25">
      <c r="A194" s="57" t="s">
        <v>60</v>
      </c>
      <c r="B194" s="54" t="s">
        <v>1021</v>
      </c>
      <c r="C194" s="54" t="s">
        <v>768</v>
      </c>
      <c r="D194" s="53">
        <v>1044</v>
      </c>
      <c r="E194" s="53">
        <v>8113</v>
      </c>
      <c r="F194" s="54" t="s">
        <v>1037</v>
      </c>
      <c r="G194" s="53" t="s">
        <v>91</v>
      </c>
      <c r="H194" s="58" t="str">
        <f>_xlfn.IFNA(INDEX(ActiveSchools!$C$2:$F$326,MATCH(G194,ActiveSchools!$F$2:$F$326,0),1),"Total")</f>
        <v>3042</v>
      </c>
      <c r="I194" s="53">
        <v>3</v>
      </c>
      <c r="J194" s="59">
        <f>_xlfn.IFNA(INDEX(DetailByDistrict[],MATCH($H194,DetailByDistrict[Dist],0),MATCH(J$2,DetailByDistrict[#Headers],0)),0)</f>
        <v>26</v>
      </c>
      <c r="K194" s="54">
        <f t="shared" si="2"/>
        <v>0.11538461538461539</v>
      </c>
      <c r="L194" s="59">
        <f>ROUND(INDEX(DetailByDistrict[],MATCH($H194,DetailByDistrict[Dist],0),MATCH(L$2,DetailByDistrict[#Headers],0))*K194,2)</f>
        <v>195.92</v>
      </c>
      <c r="M194" s="59">
        <f>ROUND(INDEX(DetailByDistrict[],MATCH($H194,DetailByDistrict[Dist],0),MATCH(M$2,DetailByDistrict[#Headers],0))*K194,2)</f>
        <v>218.31</v>
      </c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25">
      <c r="A195" s="57" t="s">
        <v>60</v>
      </c>
      <c r="B195" s="54" t="s">
        <v>1021</v>
      </c>
      <c r="C195" s="54" t="s">
        <v>768</v>
      </c>
      <c r="D195" s="53">
        <v>1044</v>
      </c>
      <c r="E195" s="53">
        <v>8113</v>
      </c>
      <c r="F195" s="54" t="s">
        <v>1030</v>
      </c>
      <c r="G195" s="53" t="s">
        <v>113</v>
      </c>
      <c r="H195" s="58" t="str">
        <f>_xlfn.IFNA(INDEX(ActiveSchools!$C$2:$F$326,MATCH(G195,ActiveSchools!$F$2:$F$326,0),1),"Total")</f>
        <v>6795</v>
      </c>
      <c r="I195" s="53">
        <v>42</v>
      </c>
      <c r="J195" s="59">
        <f>_xlfn.IFNA(INDEX(DetailByDistrict[],MATCH($H195,DetailByDistrict[Dist],0),MATCH(J$2,DetailByDistrict[#Headers],0)),0)</f>
        <v>1280</v>
      </c>
      <c r="K195" s="54">
        <f t="shared" si="2"/>
        <v>3.2812500000000001E-2</v>
      </c>
      <c r="L195" s="59">
        <f>ROUND(INDEX(DetailByDistrict[],MATCH($H195,DetailByDistrict[Dist],0),MATCH(L$2,DetailByDistrict[#Headers],0))*K195,2)</f>
        <v>2742.17</v>
      </c>
      <c r="M195" s="59">
        <f>ROUND(INDEX(DetailByDistrict[],MATCH($H195,DetailByDistrict[Dist],0),MATCH(M$2,DetailByDistrict[#Headers],0))*K195,2)</f>
        <v>3056.75</v>
      </c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25">
      <c r="A196" s="57" t="s">
        <v>60</v>
      </c>
      <c r="B196" s="54" t="s">
        <v>1021</v>
      </c>
      <c r="C196" s="54" t="s">
        <v>798</v>
      </c>
      <c r="D196" s="53">
        <v>1053</v>
      </c>
      <c r="E196" s="53">
        <v>8105</v>
      </c>
      <c r="F196" s="54" t="s">
        <v>1040</v>
      </c>
      <c r="G196" s="53" t="s">
        <v>92</v>
      </c>
      <c r="H196" s="58" t="str">
        <f>_xlfn.IFNA(INDEX(ActiveSchools!$C$2:$F$326,MATCH(G196,ActiveSchools!$F$2:$F$326,0),1),"Total")</f>
        <v>3105</v>
      </c>
      <c r="I196" s="53">
        <v>1</v>
      </c>
      <c r="J196" s="59">
        <f>_xlfn.IFNA(INDEX(DetailByDistrict[],MATCH($H196,DetailByDistrict[Dist],0),MATCH(J$2,DetailByDistrict[#Headers],0)),0)</f>
        <v>137</v>
      </c>
      <c r="K196" s="54">
        <f t="shared" ref="K196:K259" si="3">I196/J196</f>
        <v>7.2992700729927005E-3</v>
      </c>
      <c r="L196" s="59">
        <f>ROUND(INDEX(DetailByDistrict[],MATCH($H196,DetailByDistrict[Dist],0),MATCH(L$2,DetailByDistrict[#Headers],0))*K196,2)</f>
        <v>65.290000000000006</v>
      </c>
      <c r="M196" s="59">
        <f>ROUND(INDEX(DetailByDistrict[],MATCH($H196,DetailByDistrict[Dist],0),MATCH(M$2,DetailByDistrict[#Headers],0))*K196,2)</f>
        <v>72.78</v>
      </c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25">
      <c r="A197" s="57" t="s">
        <v>60</v>
      </c>
      <c r="B197" s="54" t="s">
        <v>1021</v>
      </c>
      <c r="C197" s="54" t="s">
        <v>805</v>
      </c>
      <c r="D197" s="53">
        <v>1053</v>
      </c>
      <c r="E197" s="53">
        <v>8220</v>
      </c>
      <c r="F197" s="54" t="s">
        <v>1040</v>
      </c>
      <c r="G197" s="53" t="s">
        <v>92</v>
      </c>
      <c r="H197" s="58" t="str">
        <f>_xlfn.IFNA(INDEX(ActiveSchools!$C$2:$F$326,MATCH(G197,ActiveSchools!$F$2:$F$326,0),1),"Total")</f>
        <v>3105</v>
      </c>
      <c r="I197" s="53">
        <v>3</v>
      </c>
      <c r="J197" s="59">
        <f>_xlfn.IFNA(INDEX(DetailByDistrict[],MATCH($H197,DetailByDistrict[Dist],0),MATCH(J$2,DetailByDistrict[#Headers],0)),0)</f>
        <v>137</v>
      </c>
      <c r="K197" s="54">
        <f t="shared" si="3"/>
        <v>2.1897810218978103E-2</v>
      </c>
      <c r="L197" s="59">
        <f>ROUND(INDEX(DetailByDistrict[],MATCH($H197,DetailByDistrict[Dist],0),MATCH(L$2,DetailByDistrict[#Headers],0))*K197,2)</f>
        <v>195.88</v>
      </c>
      <c r="M197" s="59">
        <f>ROUND(INDEX(DetailByDistrict[],MATCH($H197,DetailByDistrict[Dist],0),MATCH(M$2,DetailByDistrict[#Headers],0))*K197,2)</f>
        <v>218.34</v>
      </c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25">
      <c r="A198" s="57" t="s">
        <v>60</v>
      </c>
      <c r="B198" s="54" t="s">
        <v>1021</v>
      </c>
      <c r="C198" s="54" t="s">
        <v>808</v>
      </c>
      <c r="D198" s="53">
        <v>1116</v>
      </c>
      <c r="E198" s="53">
        <v>8102</v>
      </c>
      <c r="F198" s="54" t="s">
        <v>1041</v>
      </c>
      <c r="G198" s="57" t="s">
        <v>101</v>
      </c>
      <c r="H198" s="58" t="str">
        <f>_xlfn.IFNA(INDEX(ActiveSchools!$C$2:$F$326,MATCH(G198,ActiveSchools!$F$2:$F$326,0),1),"Total")</f>
        <v>0153</v>
      </c>
      <c r="I198" s="53">
        <v>1</v>
      </c>
      <c r="J198" s="59">
        <f>_xlfn.IFNA(INDEX(DetailByDistrict[],MATCH($H198,DetailByDistrict[Dist],0),MATCH(J$2,DetailByDistrict[#Headers],0)),0)</f>
        <v>5</v>
      </c>
      <c r="K198" s="54">
        <f t="shared" si="3"/>
        <v>0.2</v>
      </c>
      <c r="L198" s="59">
        <f>ROUND(INDEX(DetailByDistrict[],MATCH($H198,DetailByDistrict[Dist],0),MATCH(L$2,DetailByDistrict[#Headers],0))*K198,2)</f>
        <v>65.2</v>
      </c>
      <c r="M198" s="59">
        <f>ROUND(INDEX(DetailByDistrict[],MATCH($H198,DetailByDistrict[Dist],0),MATCH(M$2,DetailByDistrict[#Headers],0))*K198,2)</f>
        <v>72.8</v>
      </c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25">
      <c r="A199" s="57" t="s">
        <v>60</v>
      </c>
      <c r="B199" s="54" t="s">
        <v>1021</v>
      </c>
      <c r="C199" s="54" t="s">
        <v>808</v>
      </c>
      <c r="D199" s="53">
        <v>1116</v>
      </c>
      <c r="E199" s="53">
        <v>8102</v>
      </c>
      <c r="F199" s="54" t="s">
        <v>1042</v>
      </c>
      <c r="G199" s="53" t="s">
        <v>73</v>
      </c>
      <c r="H199" s="58" t="str">
        <f>_xlfn.IFNA(INDEX(ActiveSchools!$C$2:$F$326,MATCH(G199,ActiveSchools!$F$2:$F$326,0),1),"Total")</f>
        <v>1116</v>
      </c>
      <c r="I199" s="53">
        <v>177</v>
      </c>
      <c r="J199" s="59">
        <f>_xlfn.IFNA(INDEX(DetailByDistrict[],MATCH($H199,DetailByDistrict[Dist],0),MATCH(J$2,DetailByDistrict[#Headers],0)),0)</f>
        <v>229</v>
      </c>
      <c r="K199" s="54">
        <f t="shared" si="3"/>
        <v>0.77292576419213976</v>
      </c>
      <c r="L199" s="59">
        <f>ROUND(INDEX(DetailByDistrict[],MATCH($H199,DetailByDistrict[Dist],0),MATCH(L$2,DetailByDistrict[#Headers],0))*K199,2)</f>
        <v>11556.01</v>
      </c>
      <c r="M199" s="59">
        <f>ROUND(INDEX(DetailByDistrict[],MATCH($H199,DetailByDistrict[Dist],0),MATCH(M$2,DetailByDistrict[#Headers],0))*K199,2)</f>
        <v>12882.35</v>
      </c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25">
      <c r="A200" s="57" t="s">
        <v>60</v>
      </c>
      <c r="B200" s="54" t="s">
        <v>1021</v>
      </c>
      <c r="C200" s="54" t="s">
        <v>808</v>
      </c>
      <c r="D200" s="53">
        <v>1116</v>
      </c>
      <c r="E200" s="53">
        <v>8102</v>
      </c>
      <c r="F200" s="54" t="s">
        <v>1043</v>
      </c>
      <c r="G200" s="53" t="s">
        <v>100</v>
      </c>
      <c r="H200" s="58" t="str">
        <f>_xlfn.IFNA(INDEX(ActiveSchools!$C$2:$F$326,MATCH(G200,ActiveSchools!$F$2:$F$326,0),1),"Total")</f>
        <v>4599</v>
      </c>
      <c r="I200" s="53">
        <v>1</v>
      </c>
      <c r="J200" s="59">
        <f>_xlfn.IFNA(INDEX(DetailByDistrict[],MATCH($H200,DetailByDistrict[Dist],0),MATCH(J$2,DetailByDistrict[#Headers],0)),0)</f>
        <v>14</v>
      </c>
      <c r="K200" s="54">
        <f t="shared" si="3"/>
        <v>7.1428571428571425E-2</v>
      </c>
      <c r="L200" s="59">
        <f>ROUND(INDEX(DetailByDistrict[],MATCH($H200,DetailByDistrict[Dist],0),MATCH(L$2,DetailByDistrict[#Headers],0))*K200,2)</f>
        <v>65.290000000000006</v>
      </c>
      <c r="M200" s="59">
        <f>ROUND(INDEX(DetailByDistrict[],MATCH($H200,DetailByDistrict[Dist],0),MATCH(M$2,DetailByDistrict[#Headers],0))*K200,2)</f>
        <v>72.790000000000006</v>
      </c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25">
      <c r="A201" s="57" t="s">
        <v>60</v>
      </c>
      <c r="B201" s="54" t="s">
        <v>1021</v>
      </c>
      <c r="C201" s="54" t="s">
        <v>808</v>
      </c>
      <c r="D201" s="53">
        <v>1116</v>
      </c>
      <c r="E201" s="53">
        <v>8102</v>
      </c>
      <c r="F201" s="54" t="s">
        <v>1044</v>
      </c>
      <c r="G201" s="53" t="s">
        <v>106</v>
      </c>
      <c r="H201" s="58" t="str">
        <f>_xlfn.IFNA(INDEX(ActiveSchools!$C$2:$F$326,MATCH(G201,ActiveSchools!$F$2:$F$326,0),1),"Total")</f>
        <v>5697</v>
      </c>
      <c r="I201" s="53">
        <v>4</v>
      </c>
      <c r="J201" s="59">
        <f>_xlfn.IFNA(INDEX(DetailByDistrict[],MATCH($H201,DetailByDistrict[Dist],0),MATCH(J$2,DetailByDistrict[#Headers],0)),0)</f>
        <v>9</v>
      </c>
      <c r="K201" s="54">
        <f t="shared" si="3"/>
        <v>0.44444444444444442</v>
      </c>
      <c r="L201" s="59">
        <f>ROUND(INDEX(DetailByDistrict[],MATCH($H201,DetailByDistrict[Dist],0),MATCH(L$2,DetailByDistrict[#Headers],0))*K201,2)</f>
        <v>261.33</v>
      </c>
      <c r="M201" s="59">
        <f>ROUND(INDEX(DetailByDistrict[],MATCH($H201,DetailByDistrict[Dist],0),MATCH(M$2,DetailByDistrict[#Headers],0))*K201,2)</f>
        <v>291.11</v>
      </c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25">
      <c r="A202" s="57" t="s">
        <v>60</v>
      </c>
      <c r="B202" s="54" t="s">
        <v>1021</v>
      </c>
      <c r="C202" s="54" t="s">
        <v>809</v>
      </c>
      <c r="D202" s="53">
        <v>1116</v>
      </c>
      <c r="E202" s="53">
        <v>8106</v>
      </c>
      <c r="F202" s="54" t="s">
        <v>1041</v>
      </c>
      <c r="G202" s="57" t="s">
        <v>101</v>
      </c>
      <c r="H202" s="58" t="str">
        <f>_xlfn.IFNA(INDEX(ActiveSchools!$C$2:$F$326,MATCH(G202,ActiveSchools!$F$2:$F$326,0),1),"Total")</f>
        <v>0153</v>
      </c>
      <c r="I202" s="53">
        <v>2</v>
      </c>
      <c r="J202" s="59">
        <f>_xlfn.IFNA(INDEX(DetailByDistrict[],MATCH($H202,DetailByDistrict[Dist],0),MATCH(J$2,DetailByDistrict[#Headers],0)),0)</f>
        <v>5</v>
      </c>
      <c r="K202" s="54">
        <f t="shared" si="3"/>
        <v>0.4</v>
      </c>
      <c r="L202" s="59">
        <f>ROUND(INDEX(DetailByDistrict[],MATCH($H202,DetailByDistrict[Dist],0),MATCH(L$2,DetailByDistrict[#Headers],0))*K202,2)</f>
        <v>130.4</v>
      </c>
      <c r="M202" s="59">
        <f>ROUND(INDEX(DetailByDistrict[],MATCH($H202,DetailByDistrict[Dist],0),MATCH(M$2,DetailByDistrict[#Headers],0))*K202,2)</f>
        <v>145.6</v>
      </c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25">
      <c r="A203" s="57" t="s">
        <v>60</v>
      </c>
      <c r="B203" s="54" t="s">
        <v>1021</v>
      </c>
      <c r="C203" s="54" t="s">
        <v>809</v>
      </c>
      <c r="D203" s="53">
        <v>1116</v>
      </c>
      <c r="E203" s="53">
        <v>8106</v>
      </c>
      <c r="F203" s="54" t="s">
        <v>1042</v>
      </c>
      <c r="G203" s="53" t="s">
        <v>73</v>
      </c>
      <c r="H203" s="58" t="str">
        <f>_xlfn.IFNA(INDEX(ActiveSchools!$C$2:$F$326,MATCH(G203,ActiveSchools!$F$2:$F$326,0),1),"Total")</f>
        <v>1116</v>
      </c>
      <c r="I203" s="53">
        <v>45</v>
      </c>
      <c r="J203" s="59">
        <f>_xlfn.IFNA(INDEX(DetailByDistrict[],MATCH($H203,DetailByDistrict[Dist],0),MATCH(J$2,DetailByDistrict[#Headers],0)),0)</f>
        <v>229</v>
      </c>
      <c r="K203" s="54">
        <f t="shared" si="3"/>
        <v>0.1965065502183406</v>
      </c>
      <c r="L203" s="59">
        <f>ROUND(INDEX(DetailByDistrict[],MATCH($H203,DetailByDistrict[Dist],0),MATCH(L$2,DetailByDistrict[#Headers],0))*K203,2)</f>
        <v>2937.97</v>
      </c>
      <c r="M203" s="59">
        <f>ROUND(INDEX(DetailByDistrict[],MATCH($H203,DetailByDistrict[Dist],0),MATCH(M$2,DetailByDistrict[#Headers],0))*K203,2)</f>
        <v>3275.17</v>
      </c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25">
      <c r="A204" s="57" t="s">
        <v>60</v>
      </c>
      <c r="B204" s="54" t="s">
        <v>1021</v>
      </c>
      <c r="C204" s="54" t="s">
        <v>809</v>
      </c>
      <c r="D204" s="53">
        <v>1116</v>
      </c>
      <c r="E204" s="53">
        <v>8106</v>
      </c>
      <c r="F204" s="54" t="s">
        <v>1045</v>
      </c>
      <c r="G204" s="53" t="s">
        <v>105</v>
      </c>
      <c r="H204" s="58" t="str">
        <f>_xlfn.IFNA(INDEX(ActiveSchools!$C$2:$F$326,MATCH(G204,ActiveSchools!$F$2:$F$326,0),1),"Total")</f>
        <v>4995</v>
      </c>
      <c r="I204" s="53">
        <v>4</v>
      </c>
      <c r="J204" s="59">
        <f>_xlfn.IFNA(INDEX(DetailByDistrict[],MATCH($H204,DetailByDistrict[Dist],0),MATCH(J$2,DetailByDistrict[#Headers],0)),0)</f>
        <v>8</v>
      </c>
      <c r="K204" s="54">
        <f t="shared" si="3"/>
        <v>0.5</v>
      </c>
      <c r="L204" s="59">
        <f>ROUND(INDEX(DetailByDistrict[],MATCH($H204,DetailByDistrict[Dist],0),MATCH(L$2,DetailByDistrict[#Headers],0))*K204,2)</f>
        <v>261</v>
      </c>
      <c r="M204" s="59">
        <f>ROUND(INDEX(DetailByDistrict[],MATCH($H204,DetailByDistrict[Dist],0),MATCH(M$2,DetailByDistrict[#Headers],0))*K204,2)</f>
        <v>291</v>
      </c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25">
      <c r="A205" s="57" t="s">
        <v>60</v>
      </c>
      <c r="B205" s="54" t="s">
        <v>1021</v>
      </c>
      <c r="C205" s="54" t="s">
        <v>811</v>
      </c>
      <c r="D205" s="53">
        <v>1233</v>
      </c>
      <c r="E205" s="53">
        <v>8102</v>
      </c>
      <c r="F205" s="54" t="s">
        <v>1028</v>
      </c>
      <c r="G205" s="57" t="s">
        <v>116</v>
      </c>
      <c r="H205" s="58" t="str">
        <f>_xlfn.IFNA(INDEX(ActiveSchools!$C$2:$F$326,MATCH(G205,ActiveSchools!$F$2:$F$326,0),1),"Total")</f>
        <v>0819</v>
      </c>
      <c r="I205" s="53">
        <v>2</v>
      </c>
      <c r="J205" s="59">
        <f>_xlfn.IFNA(INDEX(DetailByDistrict[],MATCH($H205,DetailByDistrict[Dist],0),MATCH(J$2,DetailByDistrict[#Headers],0)),0)</f>
        <v>9</v>
      </c>
      <c r="K205" s="54">
        <f t="shared" si="3"/>
        <v>0.22222222222222221</v>
      </c>
      <c r="L205" s="59">
        <f>ROUND(INDEX(DetailByDistrict[],MATCH($H205,DetailByDistrict[Dist],0),MATCH(L$2,DetailByDistrict[#Headers],0))*K205,2)</f>
        <v>130.66999999999999</v>
      </c>
      <c r="M205" s="59">
        <f>ROUND(INDEX(DetailByDistrict[],MATCH($H205,DetailByDistrict[Dist],0),MATCH(M$2,DetailByDistrict[#Headers],0))*K205,2)</f>
        <v>145.56</v>
      </c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25">
      <c r="A206" s="57" t="s">
        <v>60</v>
      </c>
      <c r="B206" s="54" t="s">
        <v>1021</v>
      </c>
      <c r="C206" s="54" t="s">
        <v>811</v>
      </c>
      <c r="D206" s="53">
        <v>1233</v>
      </c>
      <c r="E206" s="53">
        <v>8102</v>
      </c>
      <c r="F206" s="54" t="s">
        <v>1046</v>
      </c>
      <c r="G206" s="53" t="s">
        <v>75</v>
      </c>
      <c r="H206" s="58" t="str">
        <f>_xlfn.IFNA(INDEX(ActiveSchools!$C$2:$F$326,MATCH(G206,ActiveSchools!$F$2:$F$326,0),1),"Total")</f>
        <v>1233</v>
      </c>
      <c r="I206" s="53">
        <v>16</v>
      </c>
      <c r="J206" s="59">
        <f>_xlfn.IFNA(INDEX(DetailByDistrict[],MATCH($H206,DetailByDistrict[Dist],0),MATCH(J$2,DetailByDistrict[#Headers],0)),0)</f>
        <v>49</v>
      </c>
      <c r="K206" s="54">
        <f t="shared" si="3"/>
        <v>0.32653061224489793</v>
      </c>
      <c r="L206" s="59">
        <f>ROUND(INDEX(DetailByDistrict[],MATCH($H206,DetailByDistrict[Dist],0),MATCH(L$2,DetailByDistrict[#Headers],0))*K206,2)</f>
        <v>1044.57</v>
      </c>
      <c r="M206" s="59">
        <f>ROUND(INDEX(DetailByDistrict[],MATCH($H206,DetailByDistrict[Dist],0),MATCH(M$2,DetailByDistrict[#Headers],0))*K206,2)</f>
        <v>1164.4100000000001</v>
      </c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25">
      <c r="A207" s="57" t="s">
        <v>60</v>
      </c>
      <c r="B207" s="54" t="s">
        <v>1021</v>
      </c>
      <c r="C207" s="54" t="s">
        <v>811</v>
      </c>
      <c r="D207" s="53">
        <v>1233</v>
      </c>
      <c r="E207" s="53">
        <v>8102</v>
      </c>
      <c r="F207" s="54" t="s">
        <v>1047</v>
      </c>
      <c r="G207" s="53" t="s">
        <v>82</v>
      </c>
      <c r="H207" s="58" t="str">
        <f>_xlfn.IFNA(INDEX(ActiveSchools!$C$2:$F$326,MATCH(G207,ActiveSchools!$F$2:$F$326,0),1),"Total")</f>
        <v>2295</v>
      </c>
      <c r="I207" s="53">
        <v>12</v>
      </c>
      <c r="J207" s="59">
        <f>_xlfn.IFNA(INDEX(DetailByDistrict[],MATCH($H207,DetailByDistrict[Dist],0),MATCH(J$2,DetailByDistrict[#Headers],0)),0)</f>
        <v>31</v>
      </c>
      <c r="K207" s="54">
        <f t="shared" si="3"/>
        <v>0.38709677419354838</v>
      </c>
      <c r="L207" s="59">
        <f>ROUND(INDEX(DetailByDistrict[],MATCH($H207,DetailByDistrict[Dist],0),MATCH(L$2,DetailByDistrict[#Headers],0))*K207,2)</f>
        <v>783.48</v>
      </c>
      <c r="M207" s="59">
        <f>ROUND(INDEX(DetailByDistrict[],MATCH($H207,DetailByDistrict[Dist],0),MATCH(M$2,DetailByDistrict[#Headers],0))*K207,2)</f>
        <v>873.29</v>
      </c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25">
      <c r="A208" s="57" t="s">
        <v>60</v>
      </c>
      <c r="B208" s="54" t="s">
        <v>1021</v>
      </c>
      <c r="C208" s="54" t="s">
        <v>811</v>
      </c>
      <c r="D208" s="53">
        <v>1233</v>
      </c>
      <c r="E208" s="53">
        <v>8102</v>
      </c>
      <c r="F208" s="54" t="s">
        <v>1048</v>
      </c>
      <c r="G208" s="53" t="s">
        <v>83</v>
      </c>
      <c r="H208" s="58" t="str">
        <f>_xlfn.IFNA(INDEX(ActiveSchools!$C$2:$F$326,MATCH(G208,ActiveSchools!$F$2:$F$326,0),1),"Total")</f>
        <v>2403</v>
      </c>
      <c r="I208" s="53">
        <v>23</v>
      </c>
      <c r="J208" s="59">
        <f>_xlfn.IFNA(INDEX(DetailByDistrict[],MATCH($H208,DetailByDistrict[Dist],0),MATCH(J$2,DetailByDistrict[#Headers],0)),0)</f>
        <v>46</v>
      </c>
      <c r="K208" s="54">
        <f t="shared" si="3"/>
        <v>0.5</v>
      </c>
      <c r="L208" s="59">
        <f>ROUND(INDEX(DetailByDistrict[],MATCH($H208,DetailByDistrict[Dist],0),MATCH(L$2,DetailByDistrict[#Headers],0))*K208,2)</f>
        <v>1501.5</v>
      </c>
      <c r="M208" s="59">
        <f>ROUND(INDEX(DetailByDistrict[],MATCH($H208,DetailByDistrict[Dist],0),MATCH(M$2,DetailByDistrict[#Headers],0))*K208,2)</f>
        <v>1674</v>
      </c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25">
      <c r="A209" s="57" t="s">
        <v>60</v>
      </c>
      <c r="B209" s="54" t="s">
        <v>1021</v>
      </c>
      <c r="C209" s="54" t="s">
        <v>811</v>
      </c>
      <c r="D209" s="53">
        <v>1233</v>
      </c>
      <c r="E209" s="53">
        <v>8102</v>
      </c>
      <c r="F209" s="54" t="s">
        <v>1033</v>
      </c>
      <c r="G209" s="53" t="s">
        <v>98</v>
      </c>
      <c r="H209" s="58" t="str">
        <f>_xlfn.IFNA(INDEX(ActiveSchools!$C$2:$F$326,MATCH(G209,ActiveSchools!$F$2:$F$326,0),1),"Total")</f>
        <v>4131</v>
      </c>
      <c r="I209" s="53">
        <v>18</v>
      </c>
      <c r="J209" s="59">
        <f>_xlfn.IFNA(INDEX(DetailByDistrict[],MATCH($H209,DetailByDistrict[Dist],0),MATCH(J$2,DetailByDistrict[#Headers],0)),0)</f>
        <v>580</v>
      </c>
      <c r="K209" s="54">
        <f t="shared" si="3"/>
        <v>3.1034482758620689E-2</v>
      </c>
      <c r="L209" s="59">
        <f>ROUND(INDEX(DetailByDistrict[],MATCH($H209,DetailByDistrict[Dist],0),MATCH(L$2,DetailByDistrict[#Headers],0))*K209,2)</f>
        <v>1175.21</v>
      </c>
      <c r="M209" s="59">
        <f>ROUND(INDEX(DetailByDistrict[],MATCH($H209,DetailByDistrict[Dist],0),MATCH(M$2,DetailByDistrict[#Headers],0))*K209,2)</f>
        <v>1310.03</v>
      </c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25">
      <c r="A210" s="57" t="s">
        <v>60</v>
      </c>
      <c r="B210" s="54" t="s">
        <v>1021</v>
      </c>
      <c r="C210" s="54" t="s">
        <v>811</v>
      </c>
      <c r="D210" s="53">
        <v>1233</v>
      </c>
      <c r="E210" s="53">
        <v>8102</v>
      </c>
      <c r="F210" s="54" t="s">
        <v>1049</v>
      </c>
      <c r="G210" s="53" t="s">
        <v>72</v>
      </c>
      <c r="H210" s="58" t="str">
        <f>_xlfn.IFNA(INDEX(ActiveSchools!$C$2:$F$326,MATCH(G210,ActiveSchools!$F$2:$F$326,0),1),"Total")</f>
        <v>4772</v>
      </c>
      <c r="I210" s="53">
        <v>2</v>
      </c>
      <c r="J210" s="59">
        <f>_xlfn.IFNA(INDEX(DetailByDistrict[],MATCH($H210,DetailByDistrict[Dist],0),MATCH(J$2,DetailByDistrict[#Headers],0)),0)</f>
        <v>45</v>
      </c>
      <c r="K210" s="54">
        <f t="shared" si="3"/>
        <v>4.4444444444444446E-2</v>
      </c>
      <c r="L210" s="59">
        <f>ROUND(INDEX(DetailByDistrict[],MATCH($H210,DetailByDistrict[Dist],0),MATCH(L$2,DetailByDistrict[#Headers],0))*K210,2)</f>
        <v>130.58000000000001</v>
      </c>
      <c r="M210" s="59">
        <f>ROUND(INDEX(DetailByDistrict[],MATCH($H210,DetailByDistrict[Dist],0),MATCH(M$2,DetailByDistrict[#Headers],0))*K210,2)</f>
        <v>145.56</v>
      </c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25">
      <c r="A211" s="57" t="s">
        <v>60</v>
      </c>
      <c r="B211" s="54" t="s">
        <v>1021</v>
      </c>
      <c r="C211" s="54" t="s">
        <v>811</v>
      </c>
      <c r="D211" s="53">
        <v>1233</v>
      </c>
      <c r="E211" s="53">
        <v>8102</v>
      </c>
      <c r="F211" s="54" t="s">
        <v>1034</v>
      </c>
      <c r="G211" s="53" t="s">
        <v>115</v>
      </c>
      <c r="H211" s="58" t="str">
        <f>_xlfn.IFNA(INDEX(ActiveSchools!$C$2:$F$326,MATCH(G211,ActiveSchools!$F$2:$F$326,0),1),"Total")</f>
        <v>5922</v>
      </c>
      <c r="I211" s="53">
        <v>4</v>
      </c>
      <c r="J211" s="59">
        <f>_xlfn.IFNA(INDEX(DetailByDistrict[],MATCH($H211,DetailByDistrict[Dist],0),MATCH(J$2,DetailByDistrict[#Headers],0)),0)</f>
        <v>60</v>
      </c>
      <c r="K211" s="54">
        <f t="shared" si="3"/>
        <v>6.6666666666666666E-2</v>
      </c>
      <c r="L211" s="59">
        <f>ROUND(INDEX(DetailByDistrict[],MATCH($H211,DetailByDistrict[Dist],0),MATCH(L$2,DetailByDistrict[#Headers],0))*K211,2)</f>
        <v>261.13</v>
      </c>
      <c r="M211" s="59">
        <f>ROUND(INDEX(DetailByDistrict[],MATCH($H211,DetailByDistrict[Dist],0),MATCH(M$2,DetailByDistrict[#Headers],0))*K211,2)</f>
        <v>291.13</v>
      </c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25">
      <c r="A212" s="57" t="s">
        <v>60</v>
      </c>
      <c r="B212" s="54" t="s">
        <v>1021</v>
      </c>
      <c r="C212" s="54" t="s">
        <v>855</v>
      </c>
      <c r="D212" s="53">
        <v>2313</v>
      </c>
      <c r="E212" s="53">
        <v>8206</v>
      </c>
      <c r="F212" s="54" t="s">
        <v>1022</v>
      </c>
      <c r="G212" s="57" t="s">
        <v>61</v>
      </c>
      <c r="H212" s="58" t="str">
        <f>_xlfn.IFNA(INDEX(ActiveSchools!$C$2:$F$326,MATCH(G212,ActiveSchools!$F$2:$F$326,0),1),"Total")</f>
        <v>0009</v>
      </c>
      <c r="I212" s="53">
        <v>1</v>
      </c>
      <c r="J212" s="59">
        <f>_xlfn.IFNA(INDEX(DetailByDistrict[],MATCH($H212,DetailByDistrict[Dist],0),MATCH(J$2,DetailByDistrict[#Headers],0)),0)</f>
        <v>25</v>
      </c>
      <c r="K212" s="54">
        <f t="shared" si="3"/>
        <v>0.04</v>
      </c>
      <c r="L212" s="59">
        <f>ROUND(INDEX(DetailByDistrict[],MATCH($H212,DetailByDistrict[Dist],0),MATCH(L$2,DetailByDistrict[#Headers],0))*K212,2)</f>
        <v>65.28</v>
      </c>
      <c r="M212" s="59">
        <f>ROUND(INDEX(DetailByDistrict[],MATCH($H212,DetailByDistrict[Dist],0),MATCH(M$2,DetailByDistrict[#Headers],0))*K212,2)</f>
        <v>72.8</v>
      </c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25">
      <c r="A213" s="57" t="s">
        <v>60</v>
      </c>
      <c r="B213" s="54" t="s">
        <v>1021</v>
      </c>
      <c r="C213" s="54" t="s">
        <v>859</v>
      </c>
      <c r="D213" s="53">
        <v>2403</v>
      </c>
      <c r="E213" s="53">
        <v>8103</v>
      </c>
      <c r="F213" s="54" t="s">
        <v>1028</v>
      </c>
      <c r="G213" s="57" t="s">
        <v>116</v>
      </c>
      <c r="H213" s="58" t="str">
        <f>_xlfn.IFNA(INDEX(ActiveSchools!$C$2:$F$326,MATCH(G213,ActiveSchools!$F$2:$F$326,0),1),"Total")</f>
        <v>0819</v>
      </c>
      <c r="I213" s="53">
        <v>5</v>
      </c>
      <c r="J213" s="59">
        <f>_xlfn.IFNA(INDEX(DetailByDistrict[],MATCH($H213,DetailByDistrict[Dist],0),MATCH(J$2,DetailByDistrict[#Headers],0)),0)</f>
        <v>9</v>
      </c>
      <c r="K213" s="54">
        <f t="shared" si="3"/>
        <v>0.55555555555555558</v>
      </c>
      <c r="L213" s="59">
        <f>ROUND(INDEX(DetailByDistrict[],MATCH($H213,DetailByDistrict[Dist],0),MATCH(L$2,DetailByDistrict[#Headers],0))*K213,2)</f>
        <v>326.67</v>
      </c>
      <c r="M213" s="59">
        <f>ROUND(INDEX(DetailByDistrict[],MATCH($H213,DetailByDistrict[Dist],0),MATCH(M$2,DetailByDistrict[#Headers],0))*K213,2)</f>
        <v>363.89</v>
      </c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25">
      <c r="A214" s="57" t="s">
        <v>60</v>
      </c>
      <c r="B214" s="54" t="s">
        <v>1021</v>
      </c>
      <c r="C214" s="54" t="s">
        <v>859</v>
      </c>
      <c r="D214" s="53">
        <v>2403</v>
      </c>
      <c r="E214" s="53">
        <v>8103</v>
      </c>
      <c r="F214" s="54" t="s">
        <v>1046</v>
      </c>
      <c r="G214" s="53" t="s">
        <v>75</v>
      </c>
      <c r="H214" s="58" t="str">
        <f>_xlfn.IFNA(INDEX(ActiveSchools!$C$2:$F$326,MATCH(G214,ActiveSchools!$F$2:$F$326,0),1),"Total")</f>
        <v>1233</v>
      </c>
      <c r="I214" s="53">
        <v>8</v>
      </c>
      <c r="J214" s="59">
        <f>_xlfn.IFNA(INDEX(DetailByDistrict[],MATCH($H214,DetailByDistrict[Dist],0),MATCH(J$2,DetailByDistrict[#Headers],0)),0)</f>
        <v>49</v>
      </c>
      <c r="K214" s="54">
        <f t="shared" si="3"/>
        <v>0.16326530612244897</v>
      </c>
      <c r="L214" s="59">
        <f>ROUND(INDEX(DetailByDistrict[],MATCH($H214,DetailByDistrict[Dist],0),MATCH(L$2,DetailByDistrict[#Headers],0))*K214,2)</f>
        <v>522.29</v>
      </c>
      <c r="M214" s="59">
        <f>ROUND(INDEX(DetailByDistrict[],MATCH($H214,DetailByDistrict[Dist],0),MATCH(M$2,DetailByDistrict[#Headers],0))*K214,2)</f>
        <v>582.20000000000005</v>
      </c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25">
      <c r="A215" s="57" t="s">
        <v>60</v>
      </c>
      <c r="B215" s="54" t="s">
        <v>1021</v>
      </c>
      <c r="C215" s="54" t="s">
        <v>859</v>
      </c>
      <c r="D215" s="53">
        <v>2403</v>
      </c>
      <c r="E215" s="53">
        <v>8103</v>
      </c>
      <c r="F215" s="54" t="s">
        <v>1047</v>
      </c>
      <c r="G215" s="53" t="s">
        <v>82</v>
      </c>
      <c r="H215" s="58" t="str">
        <f>_xlfn.IFNA(INDEX(ActiveSchools!$C$2:$F$326,MATCH(G215,ActiveSchools!$F$2:$F$326,0),1),"Total")</f>
        <v>2295</v>
      </c>
      <c r="I215" s="53">
        <v>12</v>
      </c>
      <c r="J215" s="59">
        <f>_xlfn.IFNA(INDEX(DetailByDistrict[],MATCH($H215,DetailByDistrict[Dist],0),MATCH(J$2,DetailByDistrict[#Headers],0)),0)</f>
        <v>31</v>
      </c>
      <c r="K215" s="54">
        <f t="shared" si="3"/>
        <v>0.38709677419354838</v>
      </c>
      <c r="L215" s="59">
        <f>ROUND(INDEX(DetailByDistrict[],MATCH($H215,DetailByDistrict[Dist],0),MATCH(L$2,DetailByDistrict[#Headers],0))*K215,2)</f>
        <v>783.48</v>
      </c>
      <c r="M215" s="59">
        <f>ROUND(INDEX(DetailByDistrict[],MATCH($H215,DetailByDistrict[Dist],0),MATCH(M$2,DetailByDistrict[#Headers],0))*K215,2)</f>
        <v>873.29</v>
      </c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25">
      <c r="A216" s="57" t="s">
        <v>60</v>
      </c>
      <c r="B216" s="54" t="s">
        <v>1021</v>
      </c>
      <c r="C216" s="54" t="s">
        <v>859</v>
      </c>
      <c r="D216" s="53">
        <v>2403</v>
      </c>
      <c r="E216" s="53">
        <v>8103</v>
      </c>
      <c r="F216" s="54" t="s">
        <v>1048</v>
      </c>
      <c r="G216" s="53" t="s">
        <v>83</v>
      </c>
      <c r="H216" s="58" t="str">
        <f>_xlfn.IFNA(INDEX(ActiveSchools!$C$2:$F$326,MATCH(G216,ActiveSchools!$F$2:$F$326,0),1),"Total")</f>
        <v>2403</v>
      </c>
      <c r="I216" s="53">
        <v>23</v>
      </c>
      <c r="J216" s="59">
        <f>_xlfn.IFNA(INDEX(DetailByDistrict[],MATCH($H216,DetailByDistrict[Dist],0),MATCH(J$2,DetailByDistrict[#Headers],0)),0)</f>
        <v>46</v>
      </c>
      <c r="K216" s="54">
        <f t="shared" si="3"/>
        <v>0.5</v>
      </c>
      <c r="L216" s="59">
        <f>ROUND(INDEX(DetailByDistrict[],MATCH($H216,DetailByDistrict[Dist],0),MATCH(L$2,DetailByDistrict[#Headers],0))*K216,2)</f>
        <v>1501.5</v>
      </c>
      <c r="M216" s="59">
        <f>ROUND(INDEX(DetailByDistrict[],MATCH($H216,DetailByDistrict[Dist],0),MATCH(M$2,DetailByDistrict[#Headers],0))*K216,2)</f>
        <v>1674</v>
      </c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25">
      <c r="A217" s="57" t="s">
        <v>60</v>
      </c>
      <c r="B217" s="54" t="s">
        <v>1021</v>
      </c>
      <c r="C217" s="54" t="s">
        <v>859</v>
      </c>
      <c r="D217" s="53">
        <v>2403</v>
      </c>
      <c r="E217" s="53">
        <v>8103</v>
      </c>
      <c r="F217" s="54" t="s">
        <v>1033</v>
      </c>
      <c r="G217" s="53" t="s">
        <v>98</v>
      </c>
      <c r="H217" s="58" t="str">
        <f>_xlfn.IFNA(INDEX(ActiveSchools!$C$2:$F$326,MATCH(G217,ActiveSchools!$F$2:$F$326,0),1),"Total")</f>
        <v>4131</v>
      </c>
      <c r="I217" s="53">
        <v>8</v>
      </c>
      <c r="J217" s="59">
        <f>_xlfn.IFNA(INDEX(DetailByDistrict[],MATCH($H217,DetailByDistrict[Dist],0),MATCH(J$2,DetailByDistrict[#Headers],0)),0)</f>
        <v>580</v>
      </c>
      <c r="K217" s="54">
        <f t="shared" si="3"/>
        <v>1.3793103448275862E-2</v>
      </c>
      <c r="L217" s="59">
        <f>ROUND(INDEX(DetailByDistrict[],MATCH($H217,DetailByDistrict[Dist],0),MATCH(L$2,DetailByDistrict[#Headers],0))*K217,2)</f>
        <v>522.32000000000005</v>
      </c>
      <c r="M217" s="59">
        <f>ROUND(INDEX(DetailByDistrict[],MATCH($H217,DetailByDistrict[Dist],0),MATCH(M$2,DetailByDistrict[#Headers],0))*K217,2)</f>
        <v>582.23</v>
      </c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25">
      <c r="A218" s="57" t="s">
        <v>60</v>
      </c>
      <c r="B218" s="54" t="s">
        <v>1021</v>
      </c>
      <c r="C218" s="54" t="s">
        <v>859</v>
      </c>
      <c r="D218" s="53">
        <v>2403</v>
      </c>
      <c r="E218" s="53">
        <v>8103</v>
      </c>
      <c r="F218" s="54" t="s">
        <v>1049</v>
      </c>
      <c r="G218" s="53" t="s">
        <v>72</v>
      </c>
      <c r="H218" s="58" t="str">
        <f>_xlfn.IFNA(INDEX(ActiveSchools!$C$2:$F$326,MATCH(G218,ActiveSchools!$F$2:$F$326,0),1),"Total")</f>
        <v>4772</v>
      </c>
      <c r="I218" s="53">
        <v>1</v>
      </c>
      <c r="J218" s="59">
        <f>_xlfn.IFNA(INDEX(DetailByDistrict[],MATCH($H218,DetailByDistrict[Dist],0),MATCH(J$2,DetailByDistrict[#Headers],0)),0)</f>
        <v>45</v>
      </c>
      <c r="K218" s="54">
        <f t="shared" si="3"/>
        <v>2.2222222222222223E-2</v>
      </c>
      <c r="L218" s="59">
        <f>ROUND(INDEX(DetailByDistrict[],MATCH($H218,DetailByDistrict[Dist],0),MATCH(L$2,DetailByDistrict[#Headers],0))*K218,2)</f>
        <v>65.290000000000006</v>
      </c>
      <c r="M218" s="59">
        <f>ROUND(INDEX(DetailByDistrict[],MATCH($H218,DetailByDistrict[Dist],0),MATCH(M$2,DetailByDistrict[#Headers],0))*K218,2)</f>
        <v>72.78</v>
      </c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25">
      <c r="A219" s="57" t="s">
        <v>60</v>
      </c>
      <c r="B219" s="54" t="s">
        <v>1021</v>
      </c>
      <c r="C219" s="54" t="s">
        <v>859</v>
      </c>
      <c r="D219" s="53">
        <v>2403</v>
      </c>
      <c r="E219" s="53">
        <v>8103</v>
      </c>
      <c r="F219" s="54" t="s">
        <v>1034</v>
      </c>
      <c r="G219" s="53" t="s">
        <v>115</v>
      </c>
      <c r="H219" s="58" t="str">
        <f>_xlfn.IFNA(INDEX(ActiveSchools!$C$2:$F$326,MATCH(G219,ActiveSchools!$F$2:$F$326,0),1),"Total")</f>
        <v>5922</v>
      </c>
      <c r="I219" s="53">
        <v>1</v>
      </c>
      <c r="J219" s="59">
        <f>_xlfn.IFNA(INDEX(DetailByDistrict[],MATCH($H219,DetailByDistrict[Dist],0),MATCH(J$2,DetailByDistrict[#Headers],0)),0)</f>
        <v>60</v>
      </c>
      <c r="K219" s="54">
        <f t="shared" si="3"/>
        <v>1.6666666666666666E-2</v>
      </c>
      <c r="L219" s="59">
        <f>ROUND(INDEX(DetailByDistrict[],MATCH($H219,DetailByDistrict[Dist],0),MATCH(L$2,DetailByDistrict[#Headers],0))*K219,2)</f>
        <v>65.28</v>
      </c>
      <c r="M219" s="59">
        <f>ROUND(INDEX(DetailByDistrict[],MATCH($H219,DetailByDistrict[Dist],0),MATCH(M$2,DetailByDistrict[#Headers],0))*K219,2)</f>
        <v>72.78</v>
      </c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25">
      <c r="A220" s="57" t="s">
        <v>60</v>
      </c>
      <c r="B220" s="54" t="s">
        <v>1021</v>
      </c>
      <c r="C220" s="54" t="s">
        <v>860</v>
      </c>
      <c r="D220" s="53">
        <v>2709</v>
      </c>
      <c r="E220" s="53">
        <v>8501</v>
      </c>
      <c r="F220" s="54" t="s">
        <v>1050</v>
      </c>
      <c r="G220" s="53" t="s">
        <v>87</v>
      </c>
      <c r="H220" s="58" t="str">
        <f>_xlfn.IFNA(INDEX(ActiveSchools!$C$2:$F$326,MATCH(G220,ActiveSchools!$F$2:$F$326,0),1),"Total")</f>
        <v>2709</v>
      </c>
      <c r="I220" s="53">
        <v>64</v>
      </c>
      <c r="J220" s="59">
        <f>_xlfn.IFNA(INDEX(DetailByDistrict[],MATCH($H220,DetailByDistrict[Dist],0),MATCH(J$2,DetailByDistrict[#Headers],0)),0)</f>
        <v>69</v>
      </c>
      <c r="K220" s="54">
        <f t="shared" si="3"/>
        <v>0.92753623188405798</v>
      </c>
      <c r="L220" s="59">
        <f>ROUND(INDEX(DetailByDistrict[],MATCH($H220,DetailByDistrict[Dist],0),MATCH(L$2,DetailByDistrict[#Headers],0))*K220,2)</f>
        <v>4178.55</v>
      </c>
      <c r="M220" s="59">
        <f>ROUND(INDEX(DetailByDistrict[],MATCH($H220,DetailByDistrict[Dist],0),MATCH(M$2,DetailByDistrict[#Headers],0))*K220,2)</f>
        <v>4658.09</v>
      </c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25">
      <c r="A221" s="57" t="s">
        <v>60</v>
      </c>
      <c r="B221" s="54" t="s">
        <v>1021</v>
      </c>
      <c r="C221" s="54" t="s">
        <v>864</v>
      </c>
      <c r="D221" s="53">
        <v>3105</v>
      </c>
      <c r="E221" s="53">
        <v>8105</v>
      </c>
      <c r="F221" s="54" t="s">
        <v>1051</v>
      </c>
      <c r="G221" s="53" t="s">
        <v>79</v>
      </c>
      <c r="H221" s="58" t="str">
        <f>_xlfn.IFNA(INDEX(ActiveSchools!$C$2:$F$326,MATCH(G221,ActiveSchools!$F$2:$F$326,0),1),"Total")</f>
        <v>1963</v>
      </c>
      <c r="I221" s="53">
        <v>4</v>
      </c>
      <c r="J221" s="59">
        <f>_xlfn.IFNA(INDEX(DetailByDistrict[],MATCH($H221,DetailByDistrict[Dist],0),MATCH(J$2,DetailByDistrict[#Headers],0)),0)</f>
        <v>7</v>
      </c>
      <c r="K221" s="54">
        <f t="shared" si="3"/>
        <v>0.5714285714285714</v>
      </c>
      <c r="L221" s="59">
        <f>ROUND(INDEX(DetailByDistrict[],MATCH($H221,DetailByDistrict[Dist],0),MATCH(L$2,DetailByDistrict[#Headers],0))*K221,2)</f>
        <v>261.14</v>
      </c>
      <c r="M221" s="59">
        <f>ROUND(INDEX(DetailByDistrict[],MATCH($H221,DetailByDistrict[Dist],0),MATCH(M$2,DetailByDistrict[#Headers],0))*K221,2)</f>
        <v>290.86</v>
      </c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25">
      <c r="A222" s="57" t="s">
        <v>60</v>
      </c>
      <c r="B222" s="54" t="s">
        <v>1021</v>
      </c>
      <c r="C222" s="54" t="s">
        <v>864</v>
      </c>
      <c r="D222" s="53">
        <v>3105</v>
      </c>
      <c r="E222" s="53">
        <v>8105</v>
      </c>
      <c r="F222" s="54" t="s">
        <v>1040</v>
      </c>
      <c r="G222" s="53" t="s">
        <v>92</v>
      </c>
      <c r="H222" s="58" t="str">
        <f>_xlfn.IFNA(INDEX(ActiveSchools!$C$2:$F$326,MATCH(G222,ActiveSchools!$F$2:$F$326,0),1),"Total")</f>
        <v>3105</v>
      </c>
      <c r="I222" s="53">
        <v>117</v>
      </c>
      <c r="J222" s="59">
        <f>_xlfn.IFNA(INDEX(DetailByDistrict[],MATCH($H222,DetailByDistrict[Dist],0),MATCH(J$2,DetailByDistrict[#Headers],0)),0)</f>
        <v>137</v>
      </c>
      <c r="K222" s="54">
        <f t="shared" si="3"/>
        <v>0.85401459854014594</v>
      </c>
      <c r="L222" s="59">
        <f>ROUND(INDEX(DetailByDistrict[],MATCH($H222,DetailByDistrict[Dist],0),MATCH(L$2,DetailByDistrict[#Headers],0))*K222,2)</f>
        <v>7639.16</v>
      </c>
      <c r="M222" s="59">
        <f>ROUND(INDEX(DetailByDistrict[],MATCH($H222,DetailByDistrict[Dist],0),MATCH(M$2,DetailByDistrict[#Headers],0))*K222,2)</f>
        <v>8515.3799999999992</v>
      </c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spans="1:26" ht="15.75" customHeight="1" x14ac:dyDescent="0.25">
      <c r="A223" s="57" t="s">
        <v>60</v>
      </c>
      <c r="B223" s="54" t="s">
        <v>1021</v>
      </c>
      <c r="C223" s="54" t="s">
        <v>864</v>
      </c>
      <c r="D223" s="53">
        <v>3105</v>
      </c>
      <c r="E223" s="53">
        <v>8105</v>
      </c>
      <c r="F223" s="54" t="s">
        <v>1052</v>
      </c>
      <c r="G223" s="53" t="s">
        <v>95</v>
      </c>
      <c r="H223" s="58" t="str">
        <f>_xlfn.IFNA(INDEX(ActiveSchools!$C$2:$F$326,MATCH(G223,ActiveSchools!$F$2:$F$326,0),1),"Total")</f>
        <v>3204</v>
      </c>
      <c r="I223" s="53">
        <v>4</v>
      </c>
      <c r="J223" s="59">
        <f>_xlfn.IFNA(INDEX(DetailByDistrict[],MATCH($H223,DetailByDistrict[Dist],0),MATCH(J$2,DetailByDistrict[#Headers],0)),0)</f>
        <v>122</v>
      </c>
      <c r="K223" s="54">
        <f t="shared" si="3"/>
        <v>3.2786885245901641E-2</v>
      </c>
      <c r="L223" s="59">
        <f>ROUND(INDEX(DetailByDistrict[],MATCH($H223,DetailByDistrict[Dist],0),MATCH(L$2,DetailByDistrict[#Headers],0))*K223,2)</f>
        <v>261.14999999999998</v>
      </c>
      <c r="M223" s="59">
        <f>ROUND(INDEX(DetailByDistrict[],MATCH($H223,DetailByDistrict[Dist],0),MATCH(M$2,DetailByDistrict[#Headers],0))*K223,2)</f>
        <v>291.11</v>
      </c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spans="1:26" ht="15.75" customHeight="1" x14ac:dyDescent="0.25">
      <c r="A224" s="57" t="s">
        <v>60</v>
      </c>
      <c r="B224" s="54" t="s">
        <v>1021</v>
      </c>
      <c r="C224" s="54" t="s">
        <v>865</v>
      </c>
      <c r="D224" s="53">
        <v>3105</v>
      </c>
      <c r="E224" s="53">
        <v>8121</v>
      </c>
      <c r="F224" s="54" t="s">
        <v>1040</v>
      </c>
      <c r="G224" s="53" t="s">
        <v>92</v>
      </c>
      <c r="H224" s="58" t="str">
        <f>_xlfn.IFNA(INDEX(ActiveSchools!$C$2:$F$326,MATCH(G224,ActiveSchools!$F$2:$F$326,0),1),"Total")</f>
        <v>3105</v>
      </c>
      <c r="I224" s="53">
        <v>9</v>
      </c>
      <c r="J224" s="59">
        <f>_xlfn.IFNA(INDEX(DetailByDistrict[],MATCH($H224,DetailByDistrict[Dist],0),MATCH(J$2,DetailByDistrict[#Headers],0)),0)</f>
        <v>137</v>
      </c>
      <c r="K224" s="54">
        <f t="shared" si="3"/>
        <v>6.569343065693431E-2</v>
      </c>
      <c r="L224" s="59">
        <f>ROUND(INDEX(DetailByDistrict[],MATCH($H224,DetailByDistrict[Dist],0),MATCH(L$2,DetailByDistrict[#Headers],0))*K224,2)</f>
        <v>587.63</v>
      </c>
      <c r="M224" s="59">
        <f>ROUND(INDEX(DetailByDistrict[],MATCH($H224,DetailByDistrict[Dist],0),MATCH(M$2,DetailByDistrict[#Headers],0))*K224,2)</f>
        <v>655.03</v>
      </c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spans="1:26" ht="15.75" customHeight="1" x14ac:dyDescent="0.25">
      <c r="A225" s="57" t="s">
        <v>60</v>
      </c>
      <c r="B225" s="54" t="s">
        <v>1021</v>
      </c>
      <c r="C225" s="54" t="s">
        <v>865</v>
      </c>
      <c r="D225" s="53">
        <v>3105</v>
      </c>
      <c r="E225" s="53">
        <v>8121</v>
      </c>
      <c r="F225" s="54" t="s">
        <v>1052</v>
      </c>
      <c r="G225" s="53" t="s">
        <v>95</v>
      </c>
      <c r="H225" s="58" t="str">
        <f>_xlfn.IFNA(INDEX(ActiveSchools!$C$2:$F$326,MATCH(G225,ActiveSchools!$F$2:$F$326,0),1),"Total")</f>
        <v>3204</v>
      </c>
      <c r="I225" s="53">
        <v>4</v>
      </c>
      <c r="J225" s="59">
        <f>_xlfn.IFNA(INDEX(DetailByDistrict[],MATCH($H225,DetailByDistrict[Dist],0),MATCH(J$2,DetailByDistrict[#Headers],0)),0)</f>
        <v>122</v>
      </c>
      <c r="K225" s="54">
        <f t="shared" si="3"/>
        <v>3.2786885245901641E-2</v>
      </c>
      <c r="L225" s="59">
        <f>ROUND(INDEX(DetailByDistrict[],MATCH($H225,DetailByDistrict[Dist],0),MATCH(L$2,DetailByDistrict[#Headers],0))*K225,2)</f>
        <v>261.14999999999998</v>
      </c>
      <c r="M225" s="59">
        <f>ROUND(INDEX(DetailByDistrict[],MATCH($H225,DetailByDistrict[Dist],0),MATCH(M$2,DetailByDistrict[#Headers],0))*K225,2)</f>
        <v>291.11</v>
      </c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spans="1:26" ht="15.75" customHeight="1" x14ac:dyDescent="0.25">
      <c r="A226" s="57" t="s">
        <v>60</v>
      </c>
      <c r="B226" s="54" t="s">
        <v>1021</v>
      </c>
      <c r="C226" s="54" t="s">
        <v>876</v>
      </c>
      <c r="D226" s="53">
        <v>3204</v>
      </c>
      <c r="E226" s="53">
        <v>8104</v>
      </c>
      <c r="F226" s="54" t="s">
        <v>1036</v>
      </c>
      <c r="G226" s="53" t="s">
        <v>78</v>
      </c>
      <c r="H226" s="58" t="str">
        <f>_xlfn.IFNA(INDEX(ActiveSchools!$C$2:$F$326,MATCH(G226,ActiveSchools!$F$2:$F$326,0),1),"Total")</f>
        <v>1908</v>
      </c>
      <c r="I226" s="53">
        <v>2</v>
      </c>
      <c r="J226" s="59">
        <f>_xlfn.IFNA(INDEX(DetailByDistrict[],MATCH($H226,DetailByDistrict[Dist],0),MATCH(J$2,DetailByDistrict[#Headers],0)),0)</f>
        <v>16</v>
      </c>
      <c r="K226" s="54">
        <f t="shared" si="3"/>
        <v>0.125</v>
      </c>
      <c r="L226" s="59">
        <f>ROUND(INDEX(DetailByDistrict[],MATCH($H226,DetailByDistrict[Dist],0),MATCH(L$2,DetailByDistrict[#Headers],0))*K226,2)</f>
        <v>130.63</v>
      </c>
      <c r="M226" s="59">
        <f>ROUND(INDEX(DetailByDistrict[],MATCH($H226,DetailByDistrict[Dist],0),MATCH(M$2,DetailByDistrict[#Headers],0))*K226,2)</f>
        <v>145.5</v>
      </c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spans="1:26" ht="15.75" customHeight="1" x14ac:dyDescent="0.25">
      <c r="A227" s="57" t="s">
        <v>60</v>
      </c>
      <c r="B227" s="54" t="s">
        <v>1021</v>
      </c>
      <c r="C227" s="54" t="s">
        <v>876</v>
      </c>
      <c r="D227" s="53">
        <v>3204</v>
      </c>
      <c r="E227" s="53">
        <v>8104</v>
      </c>
      <c r="F227" s="54" t="s">
        <v>1051</v>
      </c>
      <c r="G227" s="53" t="s">
        <v>79</v>
      </c>
      <c r="H227" s="58" t="str">
        <f>_xlfn.IFNA(INDEX(ActiveSchools!$C$2:$F$326,MATCH(G227,ActiveSchools!$F$2:$F$326,0),1),"Total")</f>
        <v>1963</v>
      </c>
      <c r="I227" s="53">
        <v>1</v>
      </c>
      <c r="J227" s="59">
        <f>_xlfn.IFNA(INDEX(DetailByDistrict[],MATCH($H227,DetailByDistrict[Dist],0),MATCH(J$2,DetailByDistrict[#Headers],0)),0)</f>
        <v>7</v>
      </c>
      <c r="K227" s="54">
        <f t="shared" si="3"/>
        <v>0.14285714285714285</v>
      </c>
      <c r="L227" s="59">
        <f>ROUND(INDEX(DetailByDistrict[],MATCH($H227,DetailByDistrict[Dist],0),MATCH(L$2,DetailByDistrict[#Headers],0))*K227,2)</f>
        <v>65.290000000000006</v>
      </c>
      <c r="M227" s="59">
        <f>ROUND(INDEX(DetailByDistrict[],MATCH($H227,DetailByDistrict[Dist],0),MATCH(M$2,DetailByDistrict[#Headers],0))*K227,2)</f>
        <v>72.709999999999994</v>
      </c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spans="1:26" ht="15.75" customHeight="1" x14ac:dyDescent="0.25">
      <c r="A228" s="57" t="s">
        <v>60</v>
      </c>
      <c r="B228" s="54" t="s">
        <v>1021</v>
      </c>
      <c r="C228" s="54" t="s">
        <v>876</v>
      </c>
      <c r="D228" s="53">
        <v>3204</v>
      </c>
      <c r="E228" s="53">
        <v>8104</v>
      </c>
      <c r="F228" s="54" t="s">
        <v>1040</v>
      </c>
      <c r="G228" s="53" t="s">
        <v>92</v>
      </c>
      <c r="H228" s="58" t="str">
        <f>_xlfn.IFNA(INDEX(ActiveSchools!$C$2:$F$326,MATCH(G228,ActiveSchools!$F$2:$F$326,0),1),"Total")</f>
        <v>3105</v>
      </c>
      <c r="I228" s="53">
        <v>6</v>
      </c>
      <c r="J228" s="59">
        <f>_xlfn.IFNA(INDEX(DetailByDistrict[],MATCH($H228,DetailByDistrict[Dist],0),MATCH(J$2,DetailByDistrict[#Headers],0)),0)</f>
        <v>137</v>
      </c>
      <c r="K228" s="54">
        <f t="shared" si="3"/>
        <v>4.3795620437956206E-2</v>
      </c>
      <c r="L228" s="59">
        <f>ROUND(INDEX(DetailByDistrict[],MATCH($H228,DetailByDistrict[Dist],0),MATCH(L$2,DetailByDistrict[#Headers],0))*K228,2)</f>
        <v>391.75</v>
      </c>
      <c r="M228" s="59">
        <f>ROUND(INDEX(DetailByDistrict[],MATCH($H228,DetailByDistrict[Dist],0),MATCH(M$2,DetailByDistrict[#Headers],0))*K228,2)</f>
        <v>436.69</v>
      </c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spans="1:26" ht="15.75" customHeight="1" x14ac:dyDescent="0.25">
      <c r="A229" s="57" t="s">
        <v>60</v>
      </c>
      <c r="B229" s="54" t="s">
        <v>1021</v>
      </c>
      <c r="C229" s="54" t="s">
        <v>876</v>
      </c>
      <c r="D229" s="53">
        <v>3204</v>
      </c>
      <c r="E229" s="53">
        <v>8104</v>
      </c>
      <c r="F229" s="54" t="s">
        <v>1052</v>
      </c>
      <c r="G229" s="53" t="s">
        <v>95</v>
      </c>
      <c r="H229" s="58" t="str">
        <f>_xlfn.IFNA(INDEX(ActiveSchools!$C$2:$F$326,MATCH(G229,ActiveSchools!$F$2:$F$326,0),1),"Total")</f>
        <v>3204</v>
      </c>
      <c r="I229" s="53">
        <v>68</v>
      </c>
      <c r="J229" s="59">
        <f>_xlfn.IFNA(INDEX(DetailByDistrict[],MATCH($H229,DetailByDistrict[Dist],0),MATCH(J$2,DetailByDistrict[#Headers],0)),0)</f>
        <v>122</v>
      </c>
      <c r="K229" s="54">
        <f t="shared" si="3"/>
        <v>0.55737704918032782</v>
      </c>
      <c r="L229" s="59">
        <f>ROUND(INDEX(DetailByDistrict[],MATCH($H229,DetailByDistrict[Dist],0),MATCH(L$2,DetailByDistrict[#Headers],0))*K229,2)</f>
        <v>4439.51</v>
      </c>
      <c r="M229" s="59">
        <f>ROUND(INDEX(DetailByDistrict[],MATCH($H229,DetailByDistrict[Dist],0),MATCH(M$2,DetailByDistrict[#Headers],0))*K229,2)</f>
        <v>4948.95</v>
      </c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spans="1:26" ht="15.75" customHeight="1" x14ac:dyDescent="0.25">
      <c r="A230" s="57" t="s">
        <v>60</v>
      </c>
      <c r="B230" s="54" t="s">
        <v>1021</v>
      </c>
      <c r="C230" s="54" t="s">
        <v>876</v>
      </c>
      <c r="D230" s="53">
        <v>3204</v>
      </c>
      <c r="E230" s="53">
        <v>8104</v>
      </c>
      <c r="F230" s="54" t="s">
        <v>1030</v>
      </c>
      <c r="G230" s="53" t="s">
        <v>113</v>
      </c>
      <c r="H230" s="58" t="str">
        <f>_xlfn.IFNA(INDEX(ActiveSchools!$C$2:$F$326,MATCH(G230,ActiveSchools!$F$2:$F$326,0),1),"Total")</f>
        <v>6795</v>
      </c>
      <c r="I230" s="53">
        <v>2</v>
      </c>
      <c r="J230" s="59">
        <f>_xlfn.IFNA(INDEX(DetailByDistrict[],MATCH($H230,DetailByDistrict[Dist],0),MATCH(J$2,DetailByDistrict[#Headers],0)),0)</f>
        <v>1280</v>
      </c>
      <c r="K230" s="54">
        <f t="shared" si="3"/>
        <v>1.5625000000000001E-3</v>
      </c>
      <c r="L230" s="59">
        <f>ROUND(INDEX(DetailByDistrict[],MATCH($H230,DetailByDistrict[Dist],0),MATCH(L$2,DetailByDistrict[#Headers],0))*K230,2)</f>
        <v>130.58000000000001</v>
      </c>
      <c r="M230" s="59">
        <f>ROUND(INDEX(DetailByDistrict[],MATCH($H230,DetailByDistrict[Dist],0),MATCH(M$2,DetailByDistrict[#Headers],0))*K230,2)</f>
        <v>145.56</v>
      </c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spans="1:26" ht="15.75" customHeight="1" x14ac:dyDescent="0.25">
      <c r="A231" s="57" t="s">
        <v>60</v>
      </c>
      <c r="B231" s="54" t="s">
        <v>1021</v>
      </c>
      <c r="C231" s="54" t="s">
        <v>878</v>
      </c>
      <c r="D231" s="53">
        <v>3231</v>
      </c>
      <c r="E231" s="53">
        <v>8165</v>
      </c>
      <c r="F231" s="54" t="s">
        <v>1035</v>
      </c>
      <c r="G231" s="53" t="s">
        <v>71</v>
      </c>
      <c r="H231" s="58" t="str">
        <f>_xlfn.IFNA(INDEX(ActiveSchools!$C$2:$F$326,MATCH(G231,ActiveSchools!$F$2:$F$326,0),1),"Total")</f>
        <v>1044</v>
      </c>
      <c r="I231" s="53">
        <v>1</v>
      </c>
      <c r="J231" s="59">
        <f>_xlfn.IFNA(INDEX(DetailByDistrict[],MATCH($H231,DetailByDistrict[Dist],0),MATCH(J$2,DetailByDistrict[#Headers],0)),0)</f>
        <v>387</v>
      </c>
      <c r="K231" s="54">
        <f t="shared" si="3"/>
        <v>2.5839793281653748E-3</v>
      </c>
      <c r="L231" s="59">
        <f>ROUND(INDEX(DetailByDistrict[],MATCH($H231,DetailByDistrict[Dist],0),MATCH(L$2,DetailByDistrict[#Headers],0))*K231,2)</f>
        <v>65.290000000000006</v>
      </c>
      <c r="M231" s="59">
        <f>ROUND(INDEX(DetailByDistrict[],MATCH($H231,DetailByDistrict[Dist],0),MATCH(M$2,DetailByDistrict[#Headers],0))*K231,2)</f>
        <v>72.78</v>
      </c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spans="1:26" ht="15.75" customHeight="1" x14ac:dyDescent="0.25">
      <c r="A232" s="57" t="s">
        <v>60</v>
      </c>
      <c r="B232" s="54" t="s">
        <v>1021</v>
      </c>
      <c r="C232" s="54" t="s">
        <v>886</v>
      </c>
      <c r="D232" s="53">
        <v>3906</v>
      </c>
      <c r="E232" s="53">
        <v>8303</v>
      </c>
      <c r="F232" s="54" t="s">
        <v>1050</v>
      </c>
      <c r="G232" s="53" t="s">
        <v>87</v>
      </c>
      <c r="H232" s="58" t="str">
        <f>_xlfn.IFNA(INDEX(ActiveSchools!$C$2:$F$326,MATCH(G232,ActiveSchools!$F$2:$F$326,0),1),"Total")</f>
        <v>2709</v>
      </c>
      <c r="I232" s="53">
        <v>5</v>
      </c>
      <c r="J232" s="59">
        <f>_xlfn.IFNA(INDEX(DetailByDistrict[],MATCH($H232,DetailByDistrict[Dist],0),MATCH(J$2,DetailByDistrict[#Headers],0)),0)</f>
        <v>69</v>
      </c>
      <c r="K232" s="54">
        <f t="shared" si="3"/>
        <v>7.2463768115942032E-2</v>
      </c>
      <c r="L232" s="59">
        <f>ROUND(INDEX(DetailByDistrict[],MATCH($H232,DetailByDistrict[Dist],0),MATCH(L$2,DetailByDistrict[#Headers],0))*K232,2)</f>
        <v>326.45</v>
      </c>
      <c r="M232" s="59">
        <f>ROUND(INDEX(DetailByDistrict[],MATCH($H232,DetailByDistrict[Dist],0),MATCH(M$2,DetailByDistrict[#Headers],0))*K232,2)</f>
        <v>363.91</v>
      </c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spans="1:26" ht="15.75" customHeight="1" x14ac:dyDescent="0.25">
      <c r="A233" s="57" t="s">
        <v>60</v>
      </c>
      <c r="B233" s="54" t="s">
        <v>1021</v>
      </c>
      <c r="C233" s="54" t="s">
        <v>888</v>
      </c>
      <c r="D233" s="53">
        <v>4104</v>
      </c>
      <c r="E233" s="53">
        <v>8103</v>
      </c>
      <c r="F233" s="54" t="s">
        <v>1053</v>
      </c>
      <c r="G233" s="57" t="s">
        <v>65</v>
      </c>
      <c r="H233" s="58" t="str">
        <f>_xlfn.IFNA(INDEX(ActiveSchools!$C$2:$F$326,MATCH(G233,ActiveSchools!$F$2:$F$326,0),1),"Total")</f>
        <v>0540</v>
      </c>
      <c r="I233" s="53">
        <v>3</v>
      </c>
      <c r="J233" s="59">
        <f>_xlfn.IFNA(INDEX(DetailByDistrict[],MATCH($H233,DetailByDistrict[Dist],0),MATCH(J$2,DetailByDistrict[#Headers],0)),0)</f>
        <v>4</v>
      </c>
      <c r="K233" s="54">
        <f t="shared" si="3"/>
        <v>0.75</v>
      </c>
      <c r="L233" s="59">
        <f>ROUND(INDEX(DetailByDistrict[],MATCH($H233,DetailByDistrict[Dist],0),MATCH(L$2,DetailByDistrict[#Headers],0))*K233,2)</f>
        <v>195.75</v>
      </c>
      <c r="M233" s="59">
        <f>ROUND(INDEX(DetailByDistrict[],MATCH($H233,DetailByDistrict[Dist],0),MATCH(M$2,DetailByDistrict[#Headers],0))*K233,2)</f>
        <v>218.25</v>
      </c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spans="1:26" ht="15.75" customHeight="1" x14ac:dyDescent="0.25">
      <c r="A234" s="57" t="s">
        <v>60</v>
      </c>
      <c r="B234" s="54" t="s">
        <v>1021</v>
      </c>
      <c r="C234" s="54" t="s">
        <v>888</v>
      </c>
      <c r="D234" s="53">
        <v>4104</v>
      </c>
      <c r="E234" s="53">
        <v>8103</v>
      </c>
      <c r="F234" s="54" t="s">
        <v>1054</v>
      </c>
      <c r="G234" s="53" t="s">
        <v>698</v>
      </c>
      <c r="H234" s="58" t="str">
        <f>_xlfn.IFNA(INDEX(ActiveSchools!$C$2:$F$326,MATCH(G234,ActiveSchools!$F$2:$F$326,0),1),"Total")</f>
        <v>3582</v>
      </c>
      <c r="I234" s="53">
        <v>10</v>
      </c>
      <c r="J234" s="59">
        <f>_xlfn.IFNA(INDEX(DetailByDistrict[],MATCH($H234,DetailByDistrict[Dist],0),MATCH(J$2,DetailByDistrict[#Headers],0)),0)</f>
        <v>15</v>
      </c>
      <c r="K234" s="54">
        <f t="shared" si="3"/>
        <v>0.66666666666666663</v>
      </c>
      <c r="L234" s="59">
        <f>ROUND(INDEX(DetailByDistrict[],MATCH($H234,DetailByDistrict[Dist],0),MATCH(L$2,DetailByDistrict[#Headers],0))*K234,2)</f>
        <v>652.66999999999996</v>
      </c>
      <c r="M234" s="59">
        <f>ROUND(INDEX(DetailByDistrict[],MATCH($H234,DetailByDistrict[Dist],0),MATCH(M$2,DetailByDistrict[#Headers],0))*K234,2)</f>
        <v>728</v>
      </c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spans="1:26" ht="15.75" customHeight="1" x14ac:dyDescent="0.25">
      <c r="A235" s="57" t="s">
        <v>60</v>
      </c>
      <c r="B235" s="54" t="s">
        <v>1021</v>
      </c>
      <c r="C235" s="54" t="s">
        <v>888</v>
      </c>
      <c r="D235" s="53">
        <v>4104</v>
      </c>
      <c r="E235" s="53">
        <v>8103</v>
      </c>
      <c r="F235" s="54" t="s">
        <v>1055</v>
      </c>
      <c r="G235" s="53" t="s">
        <v>84</v>
      </c>
      <c r="H235" s="58" t="str">
        <f>_xlfn.IFNA(INDEX(ActiveSchools!$C$2:$F$326,MATCH(G235,ActiveSchools!$F$2:$F$326,0),1),"Total")</f>
        <v>2502</v>
      </c>
      <c r="I235" s="53">
        <v>2</v>
      </c>
      <c r="J235" s="59">
        <f>_xlfn.IFNA(INDEX(DetailByDistrict[],MATCH($H235,DetailByDistrict[Dist],0),MATCH(J$2,DetailByDistrict[#Headers],0)),0)</f>
        <v>4</v>
      </c>
      <c r="K235" s="54">
        <f t="shared" si="3"/>
        <v>0.5</v>
      </c>
      <c r="L235" s="59">
        <f>ROUND(INDEX(DetailByDistrict[],MATCH($H235,DetailByDistrict[Dist],0),MATCH(L$2,DetailByDistrict[#Headers],0))*K235,2)</f>
        <v>130.5</v>
      </c>
      <c r="M235" s="59">
        <f>ROUND(INDEX(DetailByDistrict[],MATCH($H235,DetailByDistrict[Dist],0),MATCH(M$2,DetailByDistrict[#Headers],0))*K235,2)</f>
        <v>145.5</v>
      </c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spans="1:26" ht="15.75" customHeight="1" x14ac:dyDescent="0.25">
      <c r="A236" s="57" t="s">
        <v>60</v>
      </c>
      <c r="B236" s="54" t="s">
        <v>1021</v>
      </c>
      <c r="C236" s="54" t="s">
        <v>888</v>
      </c>
      <c r="D236" s="53">
        <v>4104</v>
      </c>
      <c r="E236" s="53">
        <v>8103</v>
      </c>
      <c r="F236" s="54" t="s">
        <v>1056</v>
      </c>
      <c r="G236" s="53" t="s">
        <v>85</v>
      </c>
      <c r="H236" s="58" t="str">
        <f>_xlfn.IFNA(INDEX(ActiveSchools!$C$2:$F$326,MATCH(G236,ActiveSchools!$F$2:$F$326,0),1),"Total")</f>
        <v>2682</v>
      </c>
      <c r="I236" s="53">
        <v>1</v>
      </c>
      <c r="J236" s="59">
        <f>_xlfn.IFNA(INDEX(DetailByDistrict[],MATCH($H236,DetailByDistrict[Dist],0),MATCH(J$2,DetailByDistrict[#Headers],0)),0)</f>
        <v>2</v>
      </c>
      <c r="K236" s="54">
        <f t="shared" si="3"/>
        <v>0.5</v>
      </c>
      <c r="L236" s="59">
        <f>ROUND(INDEX(DetailByDistrict[],MATCH($H236,DetailByDistrict[Dist],0),MATCH(L$2,DetailByDistrict[#Headers],0))*K236,2)</f>
        <v>65.5</v>
      </c>
      <c r="M236" s="59">
        <f>ROUND(INDEX(DetailByDistrict[],MATCH($H236,DetailByDistrict[Dist],0),MATCH(M$2,DetailByDistrict[#Headers],0))*K236,2)</f>
        <v>73</v>
      </c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spans="1:26" ht="15.75" customHeight="1" x14ac:dyDescent="0.25">
      <c r="A237" s="57" t="s">
        <v>60</v>
      </c>
      <c r="B237" s="54" t="s">
        <v>1021</v>
      </c>
      <c r="C237" s="54" t="s">
        <v>888</v>
      </c>
      <c r="D237" s="53">
        <v>4104</v>
      </c>
      <c r="E237" s="53">
        <v>8103</v>
      </c>
      <c r="F237" s="54" t="s">
        <v>1057</v>
      </c>
      <c r="G237" s="53" t="s">
        <v>97</v>
      </c>
      <c r="H237" s="58" t="str">
        <f>_xlfn.IFNA(INDEX(ActiveSchools!$C$2:$F$326,MATCH(G237,ActiveSchools!$F$2:$F$326,0),1),"Total")</f>
        <v>4104</v>
      </c>
      <c r="I237" s="53">
        <v>186</v>
      </c>
      <c r="J237" s="59">
        <f>_xlfn.IFNA(INDEX(DetailByDistrict[],MATCH($H237,DetailByDistrict[Dist],0),MATCH(J$2,DetailByDistrict[#Headers],0)),0)</f>
        <v>299</v>
      </c>
      <c r="K237" s="54">
        <f t="shared" si="3"/>
        <v>0.62207357859531776</v>
      </c>
      <c r="L237" s="59">
        <f>ROUND(INDEX(DetailByDistrict[],MATCH($H237,DetailByDistrict[Dist],0),MATCH(L$2,DetailByDistrict[#Headers],0))*K237,2)</f>
        <v>12144.12</v>
      </c>
      <c r="M237" s="59">
        <f>ROUND(INDEX(DetailByDistrict[],MATCH($H237,DetailByDistrict[Dist],0),MATCH(M$2,DetailByDistrict[#Headers],0))*K237,2)</f>
        <v>13536.94</v>
      </c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spans="1:26" ht="15.75" customHeight="1" x14ac:dyDescent="0.25">
      <c r="A238" s="57" t="s">
        <v>60</v>
      </c>
      <c r="B238" s="54" t="s">
        <v>1021</v>
      </c>
      <c r="C238" s="54" t="s">
        <v>888</v>
      </c>
      <c r="D238" s="53">
        <v>4104</v>
      </c>
      <c r="E238" s="53">
        <v>8103</v>
      </c>
      <c r="F238" s="54" t="s">
        <v>1029</v>
      </c>
      <c r="G238" s="53" t="s">
        <v>117</v>
      </c>
      <c r="H238" s="58" t="str">
        <f>_xlfn.IFNA(INDEX(ActiveSchools!$C$2:$F$326,MATCH(G238,ActiveSchools!$F$2:$F$326,0),1),"Total")</f>
        <v>6985</v>
      </c>
      <c r="I238" s="53">
        <v>4</v>
      </c>
      <c r="J238" s="59">
        <f>_xlfn.IFNA(INDEX(DetailByDistrict[],MATCH($H238,DetailByDistrict[Dist],0),MATCH(J$2,DetailByDistrict[#Headers],0)),0)</f>
        <v>8</v>
      </c>
      <c r="K238" s="54">
        <f t="shared" si="3"/>
        <v>0.5</v>
      </c>
      <c r="L238" s="59">
        <f>ROUND(INDEX(DetailByDistrict[],MATCH($H238,DetailByDistrict[Dist],0),MATCH(L$2,DetailByDistrict[#Headers],0))*K238,2)</f>
        <v>261</v>
      </c>
      <c r="M238" s="59">
        <f>ROUND(INDEX(DetailByDistrict[],MATCH($H238,DetailByDistrict[Dist],0),MATCH(M$2,DetailByDistrict[#Headers],0))*K238,2)</f>
        <v>291</v>
      </c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spans="1:26" ht="15.75" customHeight="1" x14ac:dyDescent="0.25">
      <c r="A239" s="57" t="s">
        <v>60</v>
      </c>
      <c r="B239" s="54" t="s">
        <v>1021</v>
      </c>
      <c r="C239" s="54" t="s">
        <v>889</v>
      </c>
      <c r="D239" s="53">
        <v>4104</v>
      </c>
      <c r="E239" s="53">
        <v>8105</v>
      </c>
      <c r="F239" s="54" t="s">
        <v>1053</v>
      </c>
      <c r="G239" s="57" t="s">
        <v>65</v>
      </c>
      <c r="H239" s="58" t="str">
        <f>_xlfn.IFNA(INDEX(ActiveSchools!$C$2:$F$326,MATCH(G239,ActiveSchools!$F$2:$F$326,0),1),"Total")</f>
        <v>0540</v>
      </c>
      <c r="I239" s="53">
        <v>1</v>
      </c>
      <c r="J239" s="59">
        <f>_xlfn.IFNA(INDEX(DetailByDistrict[],MATCH($H239,DetailByDistrict[Dist],0),MATCH(J$2,DetailByDistrict[#Headers],0)),0)</f>
        <v>4</v>
      </c>
      <c r="K239" s="54">
        <f t="shared" si="3"/>
        <v>0.25</v>
      </c>
      <c r="L239" s="59">
        <f>ROUND(INDEX(DetailByDistrict[],MATCH($H239,DetailByDistrict[Dist],0),MATCH(L$2,DetailByDistrict[#Headers],0))*K239,2)</f>
        <v>65.25</v>
      </c>
      <c r="M239" s="59">
        <f>ROUND(INDEX(DetailByDistrict[],MATCH($H239,DetailByDistrict[Dist],0),MATCH(M$2,DetailByDistrict[#Headers],0))*K239,2)</f>
        <v>72.75</v>
      </c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spans="1:26" ht="15.75" customHeight="1" x14ac:dyDescent="0.25">
      <c r="A240" s="57" t="s">
        <v>60</v>
      </c>
      <c r="B240" s="54" t="s">
        <v>1021</v>
      </c>
      <c r="C240" s="54" t="s">
        <v>889</v>
      </c>
      <c r="D240" s="53">
        <v>4104</v>
      </c>
      <c r="E240" s="53">
        <v>8105</v>
      </c>
      <c r="F240" s="54" t="s">
        <v>1054</v>
      </c>
      <c r="G240" s="53" t="s">
        <v>698</v>
      </c>
      <c r="H240" s="58" t="str">
        <f>_xlfn.IFNA(INDEX(ActiveSchools!$C$2:$F$326,MATCH(G240,ActiveSchools!$F$2:$F$326,0),1),"Total")</f>
        <v>3582</v>
      </c>
      <c r="I240" s="53">
        <v>4</v>
      </c>
      <c r="J240" s="59">
        <f>_xlfn.IFNA(INDEX(DetailByDistrict[],MATCH($H240,DetailByDistrict[Dist],0),MATCH(J$2,DetailByDistrict[#Headers],0)),0)</f>
        <v>15</v>
      </c>
      <c r="K240" s="54">
        <f t="shared" si="3"/>
        <v>0.26666666666666666</v>
      </c>
      <c r="L240" s="59">
        <f>ROUND(INDEX(DetailByDistrict[],MATCH($H240,DetailByDistrict[Dist],0),MATCH(L$2,DetailByDistrict[#Headers],0))*K240,2)</f>
        <v>261.07</v>
      </c>
      <c r="M240" s="59">
        <f>ROUND(INDEX(DetailByDistrict[],MATCH($H240,DetailByDistrict[Dist],0),MATCH(M$2,DetailByDistrict[#Headers],0))*K240,2)</f>
        <v>291.2</v>
      </c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spans="1:26" ht="15.75" customHeight="1" x14ac:dyDescent="0.25">
      <c r="A241" s="57" t="s">
        <v>60</v>
      </c>
      <c r="B241" s="54" t="s">
        <v>1021</v>
      </c>
      <c r="C241" s="54" t="s">
        <v>889</v>
      </c>
      <c r="D241" s="53">
        <v>4104</v>
      </c>
      <c r="E241" s="53">
        <v>8105</v>
      </c>
      <c r="F241" s="54" t="s">
        <v>1024</v>
      </c>
      <c r="G241" s="53" t="s">
        <v>81</v>
      </c>
      <c r="H241" s="58" t="str">
        <f>_xlfn.IFNA(INDEX(ActiveSchools!$C$2:$F$326,MATCH(G241,ActiveSchools!$F$2:$F$326,0),1),"Total")</f>
        <v>2007</v>
      </c>
      <c r="I241" s="53">
        <v>1</v>
      </c>
      <c r="J241" s="59">
        <f>_xlfn.IFNA(INDEX(DetailByDistrict[],MATCH($H241,DetailByDistrict[Dist],0),MATCH(J$2,DetailByDistrict[#Headers],0)),0)</f>
        <v>9</v>
      </c>
      <c r="K241" s="54">
        <f t="shared" si="3"/>
        <v>0.1111111111111111</v>
      </c>
      <c r="L241" s="59">
        <f>ROUND(INDEX(DetailByDistrict[],MATCH($H241,DetailByDistrict[Dist],0),MATCH(L$2,DetailByDistrict[#Headers],0))*K241,2)</f>
        <v>65.33</v>
      </c>
      <c r="M241" s="59">
        <f>ROUND(INDEX(DetailByDistrict[],MATCH($H241,DetailByDistrict[Dist],0),MATCH(M$2,DetailByDistrict[#Headers],0))*K241,2)</f>
        <v>72.78</v>
      </c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spans="1:26" ht="15.75" customHeight="1" x14ac:dyDescent="0.25">
      <c r="A242" s="57" t="s">
        <v>60</v>
      </c>
      <c r="B242" s="54" t="s">
        <v>1021</v>
      </c>
      <c r="C242" s="54" t="s">
        <v>889</v>
      </c>
      <c r="D242" s="53">
        <v>4104</v>
      </c>
      <c r="E242" s="53">
        <v>8105</v>
      </c>
      <c r="F242" s="54" t="s">
        <v>1056</v>
      </c>
      <c r="G242" s="53" t="s">
        <v>85</v>
      </c>
      <c r="H242" s="58" t="str">
        <f>_xlfn.IFNA(INDEX(ActiveSchools!$C$2:$F$326,MATCH(G242,ActiveSchools!$F$2:$F$326,0),1),"Total")</f>
        <v>2682</v>
      </c>
      <c r="I242" s="53">
        <v>1</v>
      </c>
      <c r="J242" s="59">
        <f>_xlfn.IFNA(INDEX(DetailByDistrict[],MATCH($H242,DetailByDistrict[Dist],0),MATCH(J$2,DetailByDistrict[#Headers],0)),0)</f>
        <v>2</v>
      </c>
      <c r="K242" s="54">
        <f t="shared" si="3"/>
        <v>0.5</v>
      </c>
      <c r="L242" s="59">
        <f>ROUND(INDEX(DetailByDistrict[],MATCH($H242,DetailByDistrict[Dist],0),MATCH(L$2,DetailByDistrict[#Headers],0))*K242,2)</f>
        <v>65.5</v>
      </c>
      <c r="M242" s="59">
        <f>ROUND(INDEX(DetailByDistrict[],MATCH($H242,DetailByDistrict[Dist],0),MATCH(M$2,DetailByDistrict[#Headers],0))*K242,2)</f>
        <v>73</v>
      </c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spans="1:26" ht="15.75" customHeight="1" x14ac:dyDescent="0.25">
      <c r="A243" s="57" t="s">
        <v>60</v>
      </c>
      <c r="B243" s="54" t="s">
        <v>1021</v>
      </c>
      <c r="C243" s="54" t="s">
        <v>889</v>
      </c>
      <c r="D243" s="53">
        <v>4104</v>
      </c>
      <c r="E243" s="53">
        <v>8105</v>
      </c>
      <c r="F243" s="54" t="s">
        <v>1057</v>
      </c>
      <c r="G243" s="53" t="s">
        <v>97</v>
      </c>
      <c r="H243" s="58" t="str">
        <f>_xlfn.IFNA(INDEX(ActiveSchools!$C$2:$F$326,MATCH(G243,ActiveSchools!$F$2:$F$326,0),1),"Total")</f>
        <v>4104</v>
      </c>
      <c r="I243" s="53">
        <v>113</v>
      </c>
      <c r="J243" s="59">
        <f>_xlfn.IFNA(INDEX(DetailByDistrict[],MATCH($H243,DetailByDistrict[Dist],0),MATCH(J$2,DetailByDistrict[#Headers],0)),0)</f>
        <v>299</v>
      </c>
      <c r="K243" s="54">
        <f t="shared" si="3"/>
        <v>0.3779264214046823</v>
      </c>
      <c r="L243" s="59">
        <f>ROUND(INDEX(DetailByDistrict[],MATCH($H243,DetailByDistrict[Dist],0),MATCH(L$2,DetailByDistrict[#Headers],0))*K243,2)</f>
        <v>7377.88</v>
      </c>
      <c r="M243" s="59">
        <f>ROUND(INDEX(DetailByDistrict[],MATCH($H243,DetailByDistrict[Dist],0),MATCH(M$2,DetailByDistrict[#Headers],0))*K243,2)</f>
        <v>8224.06</v>
      </c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spans="1:26" ht="15.75" customHeight="1" x14ac:dyDescent="0.25">
      <c r="A244" s="57" t="s">
        <v>60</v>
      </c>
      <c r="B244" s="54" t="s">
        <v>1021</v>
      </c>
      <c r="C244" s="54" t="s">
        <v>889</v>
      </c>
      <c r="D244" s="53">
        <v>4104</v>
      </c>
      <c r="E244" s="53">
        <v>8105</v>
      </c>
      <c r="F244" s="54" t="s">
        <v>1058</v>
      </c>
      <c r="G244" s="53" t="s">
        <v>107</v>
      </c>
      <c r="H244" s="58" t="str">
        <f>_xlfn.IFNA(INDEX(ActiveSchools!$C$2:$F$326,MATCH(G244,ActiveSchools!$F$2:$F$326,0),1),"Total")</f>
        <v>6098</v>
      </c>
      <c r="I244" s="53">
        <v>3</v>
      </c>
      <c r="J244" s="59">
        <f>_xlfn.IFNA(INDEX(DetailByDistrict[],MATCH($H244,DetailByDistrict[Dist],0),MATCH(J$2,DetailByDistrict[#Headers],0)),0)</f>
        <v>5</v>
      </c>
      <c r="K244" s="54">
        <f t="shared" si="3"/>
        <v>0.6</v>
      </c>
      <c r="L244" s="59">
        <f>ROUND(INDEX(DetailByDistrict[],MATCH($H244,DetailByDistrict[Dist],0),MATCH(L$2,DetailByDistrict[#Headers],0))*K244,2)</f>
        <v>195.6</v>
      </c>
      <c r="M244" s="59">
        <f>ROUND(INDEX(DetailByDistrict[],MATCH($H244,DetailByDistrict[Dist],0),MATCH(M$2,DetailByDistrict[#Headers],0))*K244,2)</f>
        <v>218.4</v>
      </c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spans="1:26" ht="15.75" customHeight="1" x14ac:dyDescent="0.25">
      <c r="A245" s="57" t="s">
        <v>60</v>
      </c>
      <c r="B245" s="54" t="s">
        <v>1021</v>
      </c>
      <c r="C245" s="54" t="s">
        <v>889</v>
      </c>
      <c r="D245" s="53">
        <v>4104</v>
      </c>
      <c r="E245" s="53">
        <v>8105</v>
      </c>
      <c r="F245" s="54" t="s">
        <v>1029</v>
      </c>
      <c r="G245" s="53" t="s">
        <v>117</v>
      </c>
      <c r="H245" s="58" t="str">
        <f>_xlfn.IFNA(INDEX(ActiveSchools!$C$2:$F$326,MATCH(G245,ActiveSchools!$F$2:$F$326,0),1),"Total")</f>
        <v>6985</v>
      </c>
      <c r="I245" s="53">
        <v>2</v>
      </c>
      <c r="J245" s="59">
        <f>_xlfn.IFNA(INDEX(DetailByDistrict[],MATCH($H245,DetailByDistrict[Dist],0),MATCH(J$2,DetailByDistrict[#Headers],0)),0)</f>
        <v>8</v>
      </c>
      <c r="K245" s="54">
        <f t="shared" si="3"/>
        <v>0.25</v>
      </c>
      <c r="L245" s="59">
        <f>ROUND(INDEX(DetailByDistrict[],MATCH($H245,DetailByDistrict[Dist],0),MATCH(L$2,DetailByDistrict[#Headers],0))*K245,2)</f>
        <v>130.5</v>
      </c>
      <c r="M245" s="59">
        <f>ROUND(INDEX(DetailByDistrict[],MATCH($H245,DetailByDistrict[Dist],0),MATCH(M$2,DetailByDistrict[#Headers],0))*K245,2)</f>
        <v>145.5</v>
      </c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spans="1:26" ht="15.75" customHeight="1" x14ac:dyDescent="0.25">
      <c r="A246" s="57" t="s">
        <v>60</v>
      </c>
      <c r="B246" s="54" t="s">
        <v>1021</v>
      </c>
      <c r="C246" s="54" t="s">
        <v>890</v>
      </c>
      <c r="D246" s="53">
        <v>4131</v>
      </c>
      <c r="E246" s="53">
        <v>8102</v>
      </c>
      <c r="F246" s="54" t="s">
        <v>1046</v>
      </c>
      <c r="G246" s="53" t="s">
        <v>75</v>
      </c>
      <c r="H246" s="58" t="str">
        <f>_xlfn.IFNA(INDEX(ActiveSchools!$C$2:$F$326,MATCH(G246,ActiveSchools!$F$2:$F$326,0),1),"Total")</f>
        <v>1233</v>
      </c>
      <c r="I246" s="53">
        <v>11</v>
      </c>
      <c r="J246" s="59">
        <f>_xlfn.IFNA(INDEX(DetailByDistrict[],MATCH($H246,DetailByDistrict[Dist],0),MATCH(J$2,DetailByDistrict[#Headers],0)),0)</f>
        <v>49</v>
      </c>
      <c r="K246" s="54">
        <f t="shared" si="3"/>
        <v>0.22448979591836735</v>
      </c>
      <c r="L246" s="59">
        <f>ROUND(INDEX(DetailByDistrict[],MATCH($H246,DetailByDistrict[Dist],0),MATCH(L$2,DetailByDistrict[#Headers],0))*K246,2)</f>
        <v>718.14</v>
      </c>
      <c r="M246" s="59">
        <f>ROUND(INDEX(DetailByDistrict[],MATCH($H246,DetailByDistrict[Dist],0),MATCH(M$2,DetailByDistrict[#Headers],0))*K246,2)</f>
        <v>800.53</v>
      </c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spans="1:26" ht="15.75" customHeight="1" x14ac:dyDescent="0.25">
      <c r="A247" s="57" t="s">
        <v>60</v>
      </c>
      <c r="B247" s="54" t="s">
        <v>1021</v>
      </c>
      <c r="C247" s="54" t="s">
        <v>890</v>
      </c>
      <c r="D247" s="53">
        <v>4131</v>
      </c>
      <c r="E247" s="53">
        <v>8102</v>
      </c>
      <c r="F247" s="54" t="s">
        <v>1047</v>
      </c>
      <c r="G247" s="53" t="s">
        <v>82</v>
      </c>
      <c r="H247" s="58" t="str">
        <f>_xlfn.IFNA(INDEX(ActiveSchools!$C$2:$F$326,MATCH(G247,ActiveSchools!$F$2:$F$326,0),1),"Total")</f>
        <v>2295</v>
      </c>
      <c r="I247" s="53">
        <v>3</v>
      </c>
      <c r="J247" s="59">
        <f>_xlfn.IFNA(INDEX(DetailByDistrict[],MATCH($H247,DetailByDistrict[Dist],0),MATCH(J$2,DetailByDistrict[#Headers],0)),0)</f>
        <v>31</v>
      </c>
      <c r="K247" s="54">
        <f t="shared" si="3"/>
        <v>9.6774193548387094E-2</v>
      </c>
      <c r="L247" s="59">
        <f>ROUND(INDEX(DetailByDistrict[],MATCH($H247,DetailByDistrict[Dist],0),MATCH(L$2,DetailByDistrict[#Headers],0))*K247,2)</f>
        <v>195.87</v>
      </c>
      <c r="M247" s="59">
        <f>ROUND(INDEX(DetailByDistrict[],MATCH($H247,DetailByDistrict[Dist],0),MATCH(M$2,DetailByDistrict[#Headers],0))*K247,2)</f>
        <v>218.32</v>
      </c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spans="1:26" ht="15.75" customHeight="1" x14ac:dyDescent="0.25">
      <c r="A248" s="57" t="s">
        <v>60</v>
      </c>
      <c r="B248" s="54" t="s">
        <v>1021</v>
      </c>
      <c r="C248" s="54" t="s">
        <v>890</v>
      </c>
      <c r="D248" s="53">
        <v>4131</v>
      </c>
      <c r="E248" s="53">
        <v>8102</v>
      </c>
      <c r="F248" s="54" t="s">
        <v>1059</v>
      </c>
      <c r="G248" s="53" t="s">
        <v>96</v>
      </c>
      <c r="H248" s="58" t="str">
        <f>_xlfn.IFNA(INDEX(ActiveSchools!$C$2:$F$326,MATCH(G248,ActiveSchools!$F$2:$F$326,0),1),"Total")</f>
        <v>3420</v>
      </c>
      <c r="I248" s="53">
        <v>1</v>
      </c>
      <c r="J248" s="59">
        <f>_xlfn.IFNA(INDEX(DetailByDistrict[],MATCH($H248,DetailByDistrict[Dist],0),MATCH(J$2,DetailByDistrict[#Headers],0)),0)</f>
        <v>2</v>
      </c>
      <c r="K248" s="54">
        <f t="shared" si="3"/>
        <v>0.5</v>
      </c>
      <c r="L248" s="59">
        <f>ROUND(INDEX(DetailByDistrict[],MATCH($H248,DetailByDistrict[Dist],0),MATCH(L$2,DetailByDistrict[#Headers],0))*K248,2)</f>
        <v>65.5</v>
      </c>
      <c r="M248" s="59">
        <f>ROUND(INDEX(DetailByDistrict[],MATCH($H248,DetailByDistrict[Dist],0),MATCH(M$2,DetailByDistrict[#Headers],0))*K248,2)</f>
        <v>73</v>
      </c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spans="1:26" ht="15.75" customHeight="1" x14ac:dyDescent="0.25">
      <c r="A249" s="57" t="s">
        <v>60</v>
      </c>
      <c r="B249" s="54" t="s">
        <v>1021</v>
      </c>
      <c r="C249" s="54" t="s">
        <v>890</v>
      </c>
      <c r="D249" s="53">
        <v>4131</v>
      </c>
      <c r="E249" s="53">
        <v>8102</v>
      </c>
      <c r="F249" s="54" t="s">
        <v>1033</v>
      </c>
      <c r="G249" s="53" t="s">
        <v>98</v>
      </c>
      <c r="H249" s="58" t="str">
        <f>_xlfn.IFNA(INDEX(ActiveSchools!$C$2:$F$326,MATCH(G249,ActiveSchools!$F$2:$F$326,0),1),"Total")</f>
        <v>4131</v>
      </c>
      <c r="I249" s="53">
        <v>243</v>
      </c>
      <c r="J249" s="59">
        <f>_xlfn.IFNA(INDEX(DetailByDistrict[],MATCH($H249,DetailByDistrict[Dist],0),MATCH(J$2,DetailByDistrict[#Headers],0)),0)</f>
        <v>580</v>
      </c>
      <c r="K249" s="54">
        <f t="shared" si="3"/>
        <v>0.41896551724137931</v>
      </c>
      <c r="L249" s="59">
        <f>ROUND(INDEX(DetailByDistrict[],MATCH($H249,DetailByDistrict[Dist],0),MATCH(L$2,DetailByDistrict[#Headers],0))*K249,2)</f>
        <v>15865.39</v>
      </c>
      <c r="M249" s="59">
        <f>ROUND(INDEX(DetailByDistrict[],MATCH($H249,DetailByDistrict[Dist],0),MATCH(M$2,DetailByDistrict[#Headers],0))*K249,2)</f>
        <v>17685.37</v>
      </c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spans="1:26" ht="15.75" customHeight="1" x14ac:dyDescent="0.25">
      <c r="A250" s="57" t="s">
        <v>60</v>
      </c>
      <c r="B250" s="54" t="s">
        <v>1021</v>
      </c>
      <c r="C250" s="54" t="s">
        <v>890</v>
      </c>
      <c r="D250" s="53">
        <v>4131</v>
      </c>
      <c r="E250" s="53">
        <v>8102</v>
      </c>
      <c r="F250" s="54" t="s">
        <v>1049</v>
      </c>
      <c r="G250" s="53" t="s">
        <v>72</v>
      </c>
      <c r="H250" s="58" t="str">
        <f>_xlfn.IFNA(INDEX(ActiveSchools!$C$2:$F$326,MATCH(G250,ActiveSchools!$F$2:$F$326,0),1),"Total")</f>
        <v>4772</v>
      </c>
      <c r="I250" s="53">
        <v>23</v>
      </c>
      <c r="J250" s="59">
        <f>_xlfn.IFNA(INDEX(DetailByDistrict[],MATCH($H250,DetailByDistrict[Dist],0),MATCH(J$2,DetailByDistrict[#Headers],0)),0)</f>
        <v>45</v>
      </c>
      <c r="K250" s="54">
        <f t="shared" si="3"/>
        <v>0.51111111111111107</v>
      </c>
      <c r="L250" s="59">
        <f>ROUND(INDEX(DetailByDistrict[],MATCH($H250,DetailByDistrict[Dist],0),MATCH(L$2,DetailByDistrict[#Headers],0))*K250,2)</f>
        <v>1501.64</v>
      </c>
      <c r="M250" s="59">
        <f>ROUND(INDEX(DetailByDistrict[],MATCH($H250,DetailByDistrict[Dist],0),MATCH(M$2,DetailByDistrict[#Headers],0))*K250,2)</f>
        <v>1673.89</v>
      </c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spans="1:26" ht="15.75" customHeight="1" x14ac:dyDescent="0.25">
      <c r="A251" s="57" t="s">
        <v>60</v>
      </c>
      <c r="B251" s="54" t="s">
        <v>1021</v>
      </c>
      <c r="C251" s="54" t="s">
        <v>890</v>
      </c>
      <c r="D251" s="53">
        <v>4131</v>
      </c>
      <c r="E251" s="53">
        <v>8102</v>
      </c>
      <c r="F251" s="54" t="s">
        <v>1045</v>
      </c>
      <c r="G251" s="53" t="s">
        <v>105</v>
      </c>
      <c r="H251" s="58" t="str">
        <f>_xlfn.IFNA(INDEX(ActiveSchools!$C$2:$F$326,MATCH(G251,ActiveSchools!$F$2:$F$326,0),1),"Total")</f>
        <v>4995</v>
      </c>
      <c r="I251" s="53">
        <v>2</v>
      </c>
      <c r="J251" s="59">
        <f>_xlfn.IFNA(INDEX(DetailByDistrict[],MATCH($H251,DetailByDistrict[Dist],0),MATCH(J$2,DetailByDistrict[#Headers],0)),0)</f>
        <v>8</v>
      </c>
      <c r="K251" s="54">
        <f t="shared" si="3"/>
        <v>0.25</v>
      </c>
      <c r="L251" s="59">
        <f>ROUND(INDEX(DetailByDistrict[],MATCH($H251,DetailByDistrict[Dist],0),MATCH(L$2,DetailByDistrict[#Headers],0))*K251,2)</f>
        <v>130.5</v>
      </c>
      <c r="M251" s="59">
        <f>ROUND(INDEX(DetailByDistrict[],MATCH($H251,DetailByDistrict[Dist],0),MATCH(M$2,DetailByDistrict[#Headers],0))*K251,2)</f>
        <v>145.5</v>
      </c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spans="1:26" ht="15.75" customHeight="1" x14ac:dyDescent="0.25">
      <c r="A252" s="57" t="s">
        <v>60</v>
      </c>
      <c r="B252" s="54" t="s">
        <v>1021</v>
      </c>
      <c r="C252" s="54" t="s">
        <v>890</v>
      </c>
      <c r="D252" s="53">
        <v>4131</v>
      </c>
      <c r="E252" s="53">
        <v>8102</v>
      </c>
      <c r="F252" s="54" t="s">
        <v>1044</v>
      </c>
      <c r="G252" s="53" t="s">
        <v>106</v>
      </c>
      <c r="H252" s="58" t="str">
        <f>_xlfn.IFNA(INDEX(ActiveSchools!$C$2:$F$326,MATCH(G252,ActiveSchools!$F$2:$F$326,0),1),"Total")</f>
        <v>5697</v>
      </c>
      <c r="I252" s="53">
        <v>3</v>
      </c>
      <c r="J252" s="59">
        <f>_xlfn.IFNA(INDEX(DetailByDistrict[],MATCH($H252,DetailByDistrict[Dist],0),MATCH(J$2,DetailByDistrict[#Headers],0)),0)</f>
        <v>9</v>
      </c>
      <c r="K252" s="54">
        <f t="shared" si="3"/>
        <v>0.33333333333333331</v>
      </c>
      <c r="L252" s="59">
        <f>ROUND(INDEX(DetailByDistrict[],MATCH($H252,DetailByDistrict[Dist],0),MATCH(L$2,DetailByDistrict[#Headers],0))*K252,2)</f>
        <v>196</v>
      </c>
      <c r="M252" s="59">
        <f>ROUND(INDEX(DetailByDistrict[],MATCH($H252,DetailByDistrict[Dist],0),MATCH(M$2,DetailByDistrict[#Headers],0))*K252,2)</f>
        <v>218.33</v>
      </c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spans="1:26" ht="15.75" customHeight="1" x14ac:dyDescent="0.25">
      <c r="A253" s="57" t="s">
        <v>60</v>
      </c>
      <c r="B253" s="54" t="s">
        <v>1021</v>
      </c>
      <c r="C253" s="54" t="s">
        <v>890</v>
      </c>
      <c r="D253" s="53">
        <v>4131</v>
      </c>
      <c r="E253" s="53">
        <v>8102</v>
      </c>
      <c r="F253" s="54" t="s">
        <v>1034</v>
      </c>
      <c r="G253" s="53" t="s">
        <v>115</v>
      </c>
      <c r="H253" s="58" t="str">
        <f>_xlfn.IFNA(INDEX(ActiveSchools!$C$2:$F$326,MATCH(G253,ActiveSchools!$F$2:$F$326,0),1),"Total")</f>
        <v>5922</v>
      </c>
      <c r="I253" s="53">
        <v>17</v>
      </c>
      <c r="J253" s="59">
        <f>_xlfn.IFNA(INDEX(DetailByDistrict[],MATCH($H253,DetailByDistrict[Dist],0),MATCH(J$2,DetailByDistrict[#Headers],0)),0)</f>
        <v>60</v>
      </c>
      <c r="K253" s="54">
        <f t="shared" si="3"/>
        <v>0.28333333333333333</v>
      </c>
      <c r="L253" s="59">
        <f>ROUND(INDEX(DetailByDistrict[],MATCH($H253,DetailByDistrict[Dist],0),MATCH(L$2,DetailByDistrict[#Headers],0))*K253,2)</f>
        <v>1109.82</v>
      </c>
      <c r="M253" s="59">
        <f>ROUND(INDEX(DetailByDistrict[],MATCH($H253,DetailByDistrict[Dist],0),MATCH(M$2,DetailByDistrict[#Headers],0))*K253,2)</f>
        <v>1237.32</v>
      </c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spans="1:26" ht="15.75" customHeight="1" x14ac:dyDescent="0.25">
      <c r="A254" s="57" t="s">
        <v>60</v>
      </c>
      <c r="B254" s="54" t="s">
        <v>1021</v>
      </c>
      <c r="C254" s="54" t="s">
        <v>891</v>
      </c>
      <c r="D254" s="53">
        <v>4131</v>
      </c>
      <c r="E254" s="53">
        <v>8105</v>
      </c>
      <c r="F254" s="54" t="s">
        <v>1060</v>
      </c>
      <c r="G254" s="57" t="s">
        <v>67</v>
      </c>
      <c r="H254" s="58" t="str">
        <f>_xlfn.IFNA(INDEX(ActiveSchools!$C$2:$F$326,MATCH(G254,ActiveSchools!$F$2:$F$326,0),1),"Total")</f>
        <v>0594</v>
      </c>
      <c r="I254" s="53">
        <v>1</v>
      </c>
      <c r="J254" s="59">
        <f>_xlfn.IFNA(INDEX(DetailByDistrict[],MATCH($H254,DetailByDistrict[Dist],0),MATCH(J$2,DetailByDistrict[#Headers],0)),0)</f>
        <v>1</v>
      </c>
      <c r="K254" s="54">
        <f t="shared" si="3"/>
        <v>1</v>
      </c>
      <c r="L254" s="59">
        <f>ROUND(INDEX(DetailByDistrict[],MATCH($H254,DetailByDistrict[Dist],0),MATCH(L$2,DetailByDistrict[#Headers],0))*K254,2)</f>
        <v>65</v>
      </c>
      <c r="M254" s="59">
        <f>ROUND(INDEX(DetailByDistrict[],MATCH($H254,DetailByDistrict[Dist],0),MATCH(M$2,DetailByDistrict[#Headers],0))*K254,2)</f>
        <v>73</v>
      </c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spans="1:26" ht="15.75" customHeight="1" x14ac:dyDescent="0.25">
      <c r="A255" s="57" t="s">
        <v>60</v>
      </c>
      <c r="B255" s="54" t="s">
        <v>1021</v>
      </c>
      <c r="C255" s="54" t="s">
        <v>891</v>
      </c>
      <c r="D255" s="53">
        <v>4131</v>
      </c>
      <c r="E255" s="53">
        <v>8105</v>
      </c>
      <c r="F255" s="54" t="s">
        <v>1042</v>
      </c>
      <c r="G255" s="53" t="s">
        <v>73</v>
      </c>
      <c r="H255" s="58" t="str">
        <f>_xlfn.IFNA(INDEX(ActiveSchools!$C$2:$F$326,MATCH(G255,ActiveSchools!$F$2:$F$326,0),1),"Total")</f>
        <v>1116</v>
      </c>
      <c r="I255" s="53">
        <v>2</v>
      </c>
      <c r="J255" s="59">
        <f>_xlfn.IFNA(INDEX(DetailByDistrict[],MATCH($H255,DetailByDistrict[Dist],0),MATCH(J$2,DetailByDistrict[#Headers],0)),0)</f>
        <v>229</v>
      </c>
      <c r="K255" s="54">
        <f t="shared" si="3"/>
        <v>8.7336244541484712E-3</v>
      </c>
      <c r="L255" s="59">
        <f>ROUND(INDEX(DetailByDistrict[],MATCH($H255,DetailByDistrict[Dist],0),MATCH(L$2,DetailByDistrict[#Headers],0))*K255,2)</f>
        <v>130.58000000000001</v>
      </c>
      <c r="M255" s="59">
        <f>ROUND(INDEX(DetailByDistrict[],MATCH($H255,DetailByDistrict[Dist],0),MATCH(M$2,DetailByDistrict[#Headers],0))*K255,2)</f>
        <v>145.56</v>
      </c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spans="1:26" ht="15.75" customHeight="1" x14ac:dyDescent="0.25">
      <c r="A256" s="57" t="s">
        <v>60</v>
      </c>
      <c r="B256" s="54" t="s">
        <v>1021</v>
      </c>
      <c r="C256" s="54" t="s">
        <v>891</v>
      </c>
      <c r="D256" s="53">
        <v>4131</v>
      </c>
      <c r="E256" s="53">
        <v>8105</v>
      </c>
      <c r="F256" s="54" t="s">
        <v>1046</v>
      </c>
      <c r="G256" s="53" t="s">
        <v>75</v>
      </c>
      <c r="H256" s="58" t="str">
        <f>_xlfn.IFNA(INDEX(ActiveSchools!$C$2:$F$326,MATCH(G256,ActiveSchools!$F$2:$F$326,0),1),"Total")</f>
        <v>1233</v>
      </c>
      <c r="I256" s="53">
        <v>14</v>
      </c>
      <c r="J256" s="59">
        <f>_xlfn.IFNA(INDEX(DetailByDistrict[],MATCH($H256,DetailByDistrict[Dist],0),MATCH(J$2,DetailByDistrict[#Headers],0)),0)</f>
        <v>49</v>
      </c>
      <c r="K256" s="54">
        <f t="shared" si="3"/>
        <v>0.2857142857142857</v>
      </c>
      <c r="L256" s="59">
        <f>ROUND(INDEX(DetailByDistrict[],MATCH($H256,DetailByDistrict[Dist],0),MATCH(L$2,DetailByDistrict[#Headers],0))*K256,2)</f>
        <v>914</v>
      </c>
      <c r="M256" s="59">
        <f>ROUND(INDEX(DetailByDistrict[],MATCH($H256,DetailByDistrict[Dist],0),MATCH(M$2,DetailByDistrict[#Headers],0))*K256,2)</f>
        <v>1018.86</v>
      </c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spans="1:26" ht="15.75" customHeight="1" x14ac:dyDescent="0.25">
      <c r="A257" s="57" t="s">
        <v>60</v>
      </c>
      <c r="B257" s="54" t="s">
        <v>1021</v>
      </c>
      <c r="C257" s="54" t="s">
        <v>891</v>
      </c>
      <c r="D257" s="53">
        <v>4131</v>
      </c>
      <c r="E257" s="53">
        <v>8105</v>
      </c>
      <c r="F257" s="54" t="s">
        <v>1047</v>
      </c>
      <c r="G257" s="53" t="s">
        <v>82</v>
      </c>
      <c r="H257" s="58" t="str">
        <f>_xlfn.IFNA(INDEX(ActiveSchools!$C$2:$F$326,MATCH(G257,ActiveSchools!$F$2:$F$326,0),1),"Total")</f>
        <v>2295</v>
      </c>
      <c r="I257" s="53">
        <v>4</v>
      </c>
      <c r="J257" s="59">
        <f>_xlfn.IFNA(INDEX(DetailByDistrict[],MATCH($H257,DetailByDistrict[Dist],0),MATCH(J$2,DetailByDistrict[#Headers],0)),0)</f>
        <v>31</v>
      </c>
      <c r="K257" s="54">
        <f t="shared" si="3"/>
        <v>0.12903225806451613</v>
      </c>
      <c r="L257" s="59">
        <f>ROUND(INDEX(DetailByDistrict[],MATCH($H257,DetailByDistrict[Dist],0),MATCH(L$2,DetailByDistrict[#Headers],0))*K257,2)</f>
        <v>261.16000000000003</v>
      </c>
      <c r="M257" s="59">
        <f>ROUND(INDEX(DetailByDistrict[],MATCH($H257,DetailByDistrict[Dist],0),MATCH(M$2,DetailByDistrict[#Headers],0))*K257,2)</f>
        <v>291.10000000000002</v>
      </c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spans="1:26" ht="15.75" customHeight="1" x14ac:dyDescent="0.25">
      <c r="A258" s="57" t="s">
        <v>60</v>
      </c>
      <c r="B258" s="54" t="s">
        <v>1021</v>
      </c>
      <c r="C258" s="54" t="s">
        <v>891</v>
      </c>
      <c r="D258" s="53">
        <v>4131</v>
      </c>
      <c r="E258" s="53">
        <v>8105</v>
      </c>
      <c r="F258" s="54" t="s">
        <v>1026</v>
      </c>
      <c r="G258" s="53" t="s">
        <v>89</v>
      </c>
      <c r="H258" s="58" t="str">
        <f>_xlfn.IFNA(INDEX(ActiveSchools!$C$2:$F$326,MATCH(G258,ActiveSchools!$F$2:$F$326,0),1),"Total")</f>
        <v>2781</v>
      </c>
      <c r="I258" s="53">
        <v>1</v>
      </c>
      <c r="J258" s="59">
        <f>_xlfn.IFNA(INDEX(DetailByDistrict[],MATCH($H258,DetailByDistrict[Dist],0),MATCH(J$2,DetailByDistrict[#Headers],0)),0)</f>
        <v>14</v>
      </c>
      <c r="K258" s="54">
        <f t="shared" si="3"/>
        <v>7.1428571428571425E-2</v>
      </c>
      <c r="L258" s="59">
        <f>ROUND(INDEX(DetailByDistrict[],MATCH($H258,DetailByDistrict[Dist],0),MATCH(L$2,DetailByDistrict[#Headers],0))*K258,2)</f>
        <v>65.290000000000006</v>
      </c>
      <c r="M258" s="59">
        <f>ROUND(INDEX(DetailByDistrict[],MATCH($H258,DetailByDistrict[Dist],0),MATCH(M$2,DetailByDistrict[#Headers],0))*K258,2)</f>
        <v>72.790000000000006</v>
      </c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spans="1:26" ht="15.75" customHeight="1" x14ac:dyDescent="0.25">
      <c r="A259" s="57" t="s">
        <v>60</v>
      </c>
      <c r="B259" s="54" t="s">
        <v>1021</v>
      </c>
      <c r="C259" s="54" t="s">
        <v>891</v>
      </c>
      <c r="D259" s="53">
        <v>4131</v>
      </c>
      <c r="E259" s="53">
        <v>8105</v>
      </c>
      <c r="F259" s="54" t="s">
        <v>1059</v>
      </c>
      <c r="G259" s="53" t="s">
        <v>96</v>
      </c>
      <c r="H259" s="58" t="str">
        <f>_xlfn.IFNA(INDEX(ActiveSchools!$C$2:$F$326,MATCH(G259,ActiveSchools!$F$2:$F$326,0),1),"Total")</f>
        <v>3420</v>
      </c>
      <c r="I259" s="53">
        <v>1</v>
      </c>
      <c r="J259" s="59">
        <f>_xlfn.IFNA(INDEX(DetailByDistrict[],MATCH($H259,DetailByDistrict[Dist],0),MATCH(J$2,DetailByDistrict[#Headers],0)),0)</f>
        <v>2</v>
      </c>
      <c r="K259" s="54">
        <f t="shared" si="3"/>
        <v>0.5</v>
      </c>
      <c r="L259" s="59">
        <f>ROUND(INDEX(DetailByDistrict[],MATCH($H259,DetailByDistrict[Dist],0),MATCH(L$2,DetailByDistrict[#Headers],0))*K259,2)</f>
        <v>65.5</v>
      </c>
      <c r="M259" s="59">
        <f>ROUND(INDEX(DetailByDistrict[],MATCH($H259,DetailByDistrict[Dist],0),MATCH(M$2,DetailByDistrict[#Headers],0))*K259,2)</f>
        <v>73</v>
      </c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spans="1:26" ht="15.75" customHeight="1" x14ac:dyDescent="0.25">
      <c r="A260" s="57" t="s">
        <v>60</v>
      </c>
      <c r="B260" s="54" t="s">
        <v>1021</v>
      </c>
      <c r="C260" s="54" t="s">
        <v>891</v>
      </c>
      <c r="D260" s="53">
        <v>4131</v>
      </c>
      <c r="E260" s="53">
        <v>8105</v>
      </c>
      <c r="F260" s="54" t="s">
        <v>1033</v>
      </c>
      <c r="G260" s="53" t="s">
        <v>98</v>
      </c>
      <c r="H260" s="58" t="str">
        <f>_xlfn.IFNA(INDEX(ActiveSchools!$C$2:$F$326,MATCH(G260,ActiveSchools!$F$2:$F$326,0),1),"Total")</f>
        <v>4131</v>
      </c>
      <c r="I260" s="53">
        <v>232</v>
      </c>
      <c r="J260" s="59">
        <f>_xlfn.IFNA(INDEX(DetailByDistrict[],MATCH($H260,DetailByDistrict[Dist],0),MATCH(J$2,DetailByDistrict[#Headers],0)),0)</f>
        <v>580</v>
      </c>
      <c r="K260" s="54">
        <f t="shared" ref="K260:K323" si="4">I260/J260</f>
        <v>0.4</v>
      </c>
      <c r="L260" s="59">
        <f>ROUND(INDEX(DetailByDistrict[],MATCH($H260,DetailByDistrict[Dist],0),MATCH(L$2,DetailByDistrict[#Headers],0))*K260,2)</f>
        <v>15147.2</v>
      </c>
      <c r="M260" s="59">
        <f>ROUND(INDEX(DetailByDistrict[],MATCH($H260,DetailByDistrict[Dist],0),MATCH(M$2,DetailByDistrict[#Headers],0))*K260,2)</f>
        <v>16884.8</v>
      </c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spans="1:26" ht="15.75" customHeight="1" x14ac:dyDescent="0.25">
      <c r="A261" s="57" t="s">
        <v>60</v>
      </c>
      <c r="B261" s="54" t="s">
        <v>1021</v>
      </c>
      <c r="C261" s="54" t="s">
        <v>891</v>
      </c>
      <c r="D261" s="53">
        <v>4131</v>
      </c>
      <c r="E261" s="53">
        <v>8105</v>
      </c>
      <c r="F261" s="54" t="s">
        <v>1049</v>
      </c>
      <c r="G261" s="53" t="s">
        <v>72</v>
      </c>
      <c r="H261" s="58" t="str">
        <f>_xlfn.IFNA(INDEX(ActiveSchools!$C$2:$F$326,MATCH(G261,ActiveSchools!$F$2:$F$326,0),1),"Total")</f>
        <v>4772</v>
      </c>
      <c r="I261" s="53">
        <v>12</v>
      </c>
      <c r="J261" s="59">
        <f>_xlfn.IFNA(INDEX(DetailByDistrict[],MATCH($H261,DetailByDistrict[Dist],0),MATCH(J$2,DetailByDistrict[#Headers],0)),0)</f>
        <v>45</v>
      </c>
      <c r="K261" s="54">
        <f t="shared" si="4"/>
        <v>0.26666666666666666</v>
      </c>
      <c r="L261" s="59">
        <f>ROUND(INDEX(DetailByDistrict[],MATCH($H261,DetailByDistrict[Dist],0),MATCH(L$2,DetailByDistrict[#Headers],0))*K261,2)</f>
        <v>783.47</v>
      </c>
      <c r="M261" s="59">
        <f>ROUND(INDEX(DetailByDistrict[],MATCH($H261,DetailByDistrict[Dist],0),MATCH(M$2,DetailByDistrict[#Headers],0))*K261,2)</f>
        <v>873.33</v>
      </c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spans="1:26" ht="15.75" customHeight="1" x14ac:dyDescent="0.25">
      <c r="A262" s="57" t="s">
        <v>60</v>
      </c>
      <c r="B262" s="54" t="s">
        <v>1021</v>
      </c>
      <c r="C262" s="54" t="s">
        <v>891</v>
      </c>
      <c r="D262" s="53">
        <v>4131</v>
      </c>
      <c r="E262" s="53">
        <v>8105</v>
      </c>
      <c r="F262" s="54" t="s">
        <v>1045</v>
      </c>
      <c r="G262" s="53" t="s">
        <v>105</v>
      </c>
      <c r="H262" s="58" t="str">
        <f>_xlfn.IFNA(INDEX(ActiveSchools!$C$2:$F$326,MATCH(G262,ActiveSchools!$F$2:$F$326,0),1),"Total")</f>
        <v>4995</v>
      </c>
      <c r="I262" s="53">
        <v>2</v>
      </c>
      <c r="J262" s="59">
        <f>_xlfn.IFNA(INDEX(DetailByDistrict[],MATCH($H262,DetailByDistrict[Dist],0),MATCH(J$2,DetailByDistrict[#Headers],0)),0)</f>
        <v>8</v>
      </c>
      <c r="K262" s="54">
        <f t="shared" si="4"/>
        <v>0.25</v>
      </c>
      <c r="L262" s="59">
        <f>ROUND(INDEX(DetailByDistrict[],MATCH($H262,DetailByDistrict[Dist],0),MATCH(L$2,DetailByDistrict[#Headers],0))*K262,2)</f>
        <v>130.5</v>
      </c>
      <c r="M262" s="59">
        <f>ROUND(INDEX(DetailByDistrict[],MATCH($H262,DetailByDistrict[Dist],0),MATCH(M$2,DetailByDistrict[#Headers],0))*K262,2)</f>
        <v>145.5</v>
      </c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spans="1:26" ht="15.75" customHeight="1" x14ac:dyDescent="0.25">
      <c r="A263" s="57" t="s">
        <v>60</v>
      </c>
      <c r="B263" s="54" t="s">
        <v>1021</v>
      </c>
      <c r="C263" s="54" t="s">
        <v>891</v>
      </c>
      <c r="D263" s="53">
        <v>4131</v>
      </c>
      <c r="E263" s="53">
        <v>8105</v>
      </c>
      <c r="F263" s="54" t="s">
        <v>1044</v>
      </c>
      <c r="G263" s="53" t="s">
        <v>106</v>
      </c>
      <c r="H263" s="58" t="str">
        <f>_xlfn.IFNA(INDEX(ActiveSchools!$C$2:$F$326,MATCH(G263,ActiveSchools!$F$2:$F$326,0),1),"Total")</f>
        <v>5697</v>
      </c>
      <c r="I263" s="53">
        <v>2</v>
      </c>
      <c r="J263" s="59">
        <f>_xlfn.IFNA(INDEX(DetailByDistrict[],MATCH($H263,DetailByDistrict[Dist],0),MATCH(J$2,DetailByDistrict[#Headers],0)),0)</f>
        <v>9</v>
      </c>
      <c r="K263" s="54">
        <f t="shared" si="4"/>
        <v>0.22222222222222221</v>
      </c>
      <c r="L263" s="59">
        <f>ROUND(INDEX(DetailByDistrict[],MATCH($H263,DetailByDistrict[Dist],0),MATCH(L$2,DetailByDistrict[#Headers],0))*K263,2)</f>
        <v>130.66999999999999</v>
      </c>
      <c r="M263" s="59">
        <f>ROUND(INDEX(DetailByDistrict[],MATCH($H263,DetailByDistrict[Dist],0),MATCH(M$2,DetailByDistrict[#Headers],0))*K263,2)</f>
        <v>145.56</v>
      </c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spans="1:26" ht="15.75" customHeight="1" x14ac:dyDescent="0.25">
      <c r="A264" s="57" t="s">
        <v>60</v>
      </c>
      <c r="B264" s="54" t="s">
        <v>1021</v>
      </c>
      <c r="C264" s="54" t="s">
        <v>891</v>
      </c>
      <c r="D264" s="53">
        <v>4131</v>
      </c>
      <c r="E264" s="53">
        <v>8105</v>
      </c>
      <c r="F264" s="54" t="s">
        <v>1034</v>
      </c>
      <c r="G264" s="53" t="s">
        <v>115</v>
      </c>
      <c r="H264" s="58" t="str">
        <f>_xlfn.IFNA(INDEX(ActiveSchools!$C$2:$F$326,MATCH(G264,ActiveSchools!$F$2:$F$326,0),1),"Total")</f>
        <v>5922</v>
      </c>
      <c r="I264" s="53">
        <v>25</v>
      </c>
      <c r="J264" s="59">
        <f>_xlfn.IFNA(INDEX(DetailByDistrict[],MATCH($H264,DetailByDistrict[Dist],0),MATCH(J$2,DetailByDistrict[#Headers],0)),0)</f>
        <v>60</v>
      </c>
      <c r="K264" s="54">
        <f t="shared" si="4"/>
        <v>0.41666666666666669</v>
      </c>
      <c r="L264" s="59">
        <f>ROUND(INDEX(DetailByDistrict[],MATCH($H264,DetailByDistrict[Dist],0),MATCH(L$2,DetailByDistrict[#Headers],0))*K264,2)</f>
        <v>1632.08</v>
      </c>
      <c r="M264" s="59">
        <f>ROUND(INDEX(DetailByDistrict[],MATCH($H264,DetailByDistrict[Dist],0),MATCH(M$2,DetailByDistrict[#Headers],0))*K264,2)</f>
        <v>1819.58</v>
      </c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spans="1:26" ht="15.75" customHeight="1" x14ac:dyDescent="0.25">
      <c r="A265" s="57" t="s">
        <v>60</v>
      </c>
      <c r="B265" s="54" t="s">
        <v>1021</v>
      </c>
      <c r="C265" s="54" t="s">
        <v>892</v>
      </c>
      <c r="D265" s="53">
        <v>4131</v>
      </c>
      <c r="E265" s="53">
        <v>8401</v>
      </c>
      <c r="F265" s="54" t="s">
        <v>1033</v>
      </c>
      <c r="G265" s="53" t="s">
        <v>98</v>
      </c>
      <c r="H265" s="58" t="str">
        <f>_xlfn.IFNA(INDEX(ActiveSchools!$C$2:$F$326,MATCH(G265,ActiveSchools!$F$2:$F$326,0),1),"Total")</f>
        <v>4131</v>
      </c>
      <c r="I265" s="53">
        <v>77</v>
      </c>
      <c r="J265" s="59">
        <f>_xlfn.IFNA(INDEX(DetailByDistrict[],MATCH($H265,DetailByDistrict[Dist],0),MATCH(J$2,DetailByDistrict[#Headers],0)),0)</f>
        <v>580</v>
      </c>
      <c r="K265" s="54">
        <f t="shared" si="4"/>
        <v>0.13275862068965516</v>
      </c>
      <c r="L265" s="59">
        <f>ROUND(INDEX(DetailByDistrict[],MATCH($H265,DetailByDistrict[Dist],0),MATCH(L$2,DetailByDistrict[#Headers],0))*K265,2)</f>
        <v>5027.3</v>
      </c>
      <c r="M265" s="59">
        <f>ROUND(INDEX(DetailByDistrict[],MATCH($H265,DetailByDistrict[Dist],0),MATCH(M$2,DetailByDistrict[#Headers],0))*K265,2)</f>
        <v>5604.01</v>
      </c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spans="1:26" ht="15.75" customHeight="1" x14ac:dyDescent="0.25">
      <c r="A266" s="57" t="s">
        <v>60</v>
      </c>
      <c r="B266" s="54" t="s">
        <v>1021</v>
      </c>
      <c r="C266" s="54" t="s">
        <v>892</v>
      </c>
      <c r="D266" s="53">
        <v>4131</v>
      </c>
      <c r="E266" s="53">
        <v>8401</v>
      </c>
      <c r="F266" s="54" t="s">
        <v>1049</v>
      </c>
      <c r="G266" s="53" t="s">
        <v>72</v>
      </c>
      <c r="H266" s="58" t="str">
        <f>_xlfn.IFNA(INDEX(ActiveSchools!$C$2:$F$326,MATCH(G266,ActiveSchools!$F$2:$F$326,0),1),"Total")</f>
        <v>4772</v>
      </c>
      <c r="I266" s="53">
        <v>7</v>
      </c>
      <c r="J266" s="59">
        <f>_xlfn.IFNA(INDEX(DetailByDistrict[],MATCH($H266,DetailByDistrict[Dist],0),MATCH(J$2,DetailByDistrict[#Headers],0)),0)</f>
        <v>45</v>
      </c>
      <c r="K266" s="54">
        <f t="shared" si="4"/>
        <v>0.15555555555555556</v>
      </c>
      <c r="L266" s="59">
        <f>ROUND(INDEX(DetailByDistrict[],MATCH($H266,DetailByDistrict[Dist],0),MATCH(L$2,DetailByDistrict[#Headers],0))*K266,2)</f>
        <v>457.02</v>
      </c>
      <c r="M266" s="59">
        <f>ROUND(INDEX(DetailByDistrict[],MATCH($H266,DetailByDistrict[Dist],0),MATCH(M$2,DetailByDistrict[#Headers],0))*K266,2)</f>
        <v>509.44</v>
      </c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spans="1:26" ht="15.75" customHeight="1" x14ac:dyDescent="0.25">
      <c r="A267" s="57" t="s">
        <v>60</v>
      </c>
      <c r="B267" s="54" t="s">
        <v>1021</v>
      </c>
      <c r="C267" s="54" t="s">
        <v>892</v>
      </c>
      <c r="D267" s="53">
        <v>4131</v>
      </c>
      <c r="E267" s="53">
        <v>8401</v>
      </c>
      <c r="F267" s="54" t="s">
        <v>1034</v>
      </c>
      <c r="G267" s="53" t="s">
        <v>115</v>
      </c>
      <c r="H267" s="58" t="str">
        <f>_xlfn.IFNA(INDEX(ActiveSchools!$C$2:$F$326,MATCH(G267,ActiveSchools!$F$2:$F$326,0),1),"Total")</f>
        <v>5922</v>
      </c>
      <c r="I267" s="53">
        <v>4</v>
      </c>
      <c r="J267" s="59">
        <f>_xlfn.IFNA(INDEX(DetailByDistrict[],MATCH($H267,DetailByDistrict[Dist],0),MATCH(J$2,DetailByDistrict[#Headers],0)),0)</f>
        <v>60</v>
      </c>
      <c r="K267" s="54">
        <f t="shared" si="4"/>
        <v>6.6666666666666666E-2</v>
      </c>
      <c r="L267" s="59">
        <f>ROUND(INDEX(DetailByDistrict[],MATCH($H267,DetailByDistrict[Dist],0),MATCH(L$2,DetailByDistrict[#Headers],0))*K267,2)</f>
        <v>261.13</v>
      </c>
      <c r="M267" s="59">
        <f>ROUND(INDEX(DetailByDistrict[],MATCH($H267,DetailByDistrict[Dist],0),MATCH(M$2,DetailByDistrict[#Headers],0))*K267,2)</f>
        <v>291.13</v>
      </c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spans="1:26" ht="15.75" customHeight="1" x14ac:dyDescent="0.25">
      <c r="A268" s="57" t="s">
        <v>60</v>
      </c>
      <c r="B268" s="54" t="s">
        <v>1021</v>
      </c>
      <c r="C268" s="54" t="s">
        <v>900</v>
      </c>
      <c r="D268" s="53">
        <v>4662</v>
      </c>
      <c r="E268" s="53">
        <v>8106</v>
      </c>
      <c r="F268" s="54" t="s">
        <v>1042</v>
      </c>
      <c r="G268" s="53" t="s">
        <v>73</v>
      </c>
      <c r="H268" s="58" t="str">
        <f>_xlfn.IFNA(INDEX(ActiveSchools!$C$2:$F$326,MATCH(G268,ActiveSchools!$F$2:$F$326,0),1),"Total")</f>
        <v>1116</v>
      </c>
      <c r="I268" s="53">
        <v>5</v>
      </c>
      <c r="J268" s="59">
        <f>_xlfn.IFNA(INDEX(DetailByDistrict[],MATCH($H268,DetailByDistrict[Dist],0),MATCH(J$2,DetailByDistrict[#Headers],0)),0)</f>
        <v>229</v>
      </c>
      <c r="K268" s="54">
        <f t="shared" si="4"/>
        <v>2.1834061135371178E-2</v>
      </c>
      <c r="L268" s="59">
        <f>ROUND(INDEX(DetailByDistrict[],MATCH($H268,DetailByDistrict[Dist],0),MATCH(L$2,DetailByDistrict[#Headers],0))*K268,2)</f>
        <v>326.44</v>
      </c>
      <c r="M268" s="59">
        <f>ROUND(INDEX(DetailByDistrict[],MATCH($H268,DetailByDistrict[Dist],0),MATCH(M$2,DetailByDistrict[#Headers],0))*K268,2)</f>
        <v>363.91</v>
      </c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spans="1:26" ht="15.75" customHeight="1" x14ac:dyDescent="0.25">
      <c r="A269" s="57" t="s">
        <v>60</v>
      </c>
      <c r="B269" s="54" t="s">
        <v>1021</v>
      </c>
      <c r="C269" s="54" t="s">
        <v>900</v>
      </c>
      <c r="D269" s="53">
        <v>4662</v>
      </c>
      <c r="E269" s="53">
        <v>8106</v>
      </c>
      <c r="F269" s="54" t="s">
        <v>1043</v>
      </c>
      <c r="G269" s="53" t="s">
        <v>100</v>
      </c>
      <c r="H269" s="58" t="str">
        <f>_xlfn.IFNA(INDEX(ActiveSchools!$C$2:$F$326,MATCH(G269,ActiveSchools!$F$2:$F$326,0),1),"Total")</f>
        <v>4599</v>
      </c>
      <c r="I269" s="53">
        <v>2</v>
      </c>
      <c r="J269" s="59">
        <f>_xlfn.IFNA(INDEX(DetailByDistrict[],MATCH($H269,DetailByDistrict[Dist],0),MATCH(J$2,DetailByDistrict[#Headers],0)),0)</f>
        <v>14</v>
      </c>
      <c r="K269" s="54">
        <f t="shared" si="4"/>
        <v>0.14285714285714285</v>
      </c>
      <c r="L269" s="59">
        <f>ROUND(INDEX(DetailByDistrict[],MATCH($H269,DetailByDistrict[Dist],0),MATCH(L$2,DetailByDistrict[#Headers],0))*K269,2)</f>
        <v>130.57</v>
      </c>
      <c r="M269" s="59">
        <f>ROUND(INDEX(DetailByDistrict[],MATCH($H269,DetailByDistrict[Dist],0),MATCH(M$2,DetailByDistrict[#Headers],0))*K269,2)</f>
        <v>145.57</v>
      </c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spans="1:26" ht="15.75" customHeight="1" x14ac:dyDescent="0.25">
      <c r="A270" s="57" t="s">
        <v>60</v>
      </c>
      <c r="B270" s="54" t="s">
        <v>1021</v>
      </c>
      <c r="C270" s="54" t="s">
        <v>900</v>
      </c>
      <c r="D270" s="53">
        <v>4662</v>
      </c>
      <c r="E270" s="53">
        <v>8106</v>
      </c>
      <c r="F270" s="54" t="s">
        <v>1061</v>
      </c>
      <c r="G270" s="53" t="s">
        <v>109</v>
      </c>
      <c r="H270" s="58" t="str">
        <f>_xlfn.IFNA(INDEX(ActiveSchools!$C$2:$F$326,MATCH(G270,ActiveSchools!$F$2:$F$326,0),1),"Total")</f>
        <v>6273</v>
      </c>
      <c r="I270" s="53">
        <v>5</v>
      </c>
      <c r="J270" s="59">
        <f>_xlfn.IFNA(INDEX(DetailByDistrict[],MATCH($H270,DetailByDistrict[Dist],0),MATCH(J$2,DetailByDistrict[#Headers],0)),0)</f>
        <v>5</v>
      </c>
      <c r="K270" s="54">
        <f t="shared" si="4"/>
        <v>1</v>
      </c>
      <c r="L270" s="59">
        <f>ROUND(INDEX(DetailByDistrict[],MATCH($H270,DetailByDistrict[Dist],0),MATCH(L$2,DetailByDistrict[#Headers],0))*K270,2)</f>
        <v>326</v>
      </c>
      <c r="M270" s="59">
        <f>ROUND(INDEX(DetailByDistrict[],MATCH($H270,DetailByDistrict[Dist],0),MATCH(M$2,DetailByDistrict[#Headers],0))*K270,2)</f>
        <v>364</v>
      </c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spans="1:26" ht="15.75" customHeight="1" x14ac:dyDescent="0.25">
      <c r="A271" s="57" t="s">
        <v>60</v>
      </c>
      <c r="B271" s="54" t="s">
        <v>1021</v>
      </c>
      <c r="C271" s="54" t="s">
        <v>904</v>
      </c>
      <c r="D271" s="53">
        <v>5013</v>
      </c>
      <c r="E271" s="53">
        <v>8301</v>
      </c>
      <c r="F271" s="54" t="s">
        <v>1062</v>
      </c>
      <c r="G271" s="53" t="s">
        <v>99</v>
      </c>
      <c r="H271" s="58" t="str">
        <f>_xlfn.IFNA(INDEX(ActiveSchools!$C$2:$F$326,MATCH(G271,ActiveSchools!$F$2:$F$326,0),1),"Total")</f>
        <v>4437</v>
      </c>
      <c r="I271" s="53">
        <v>2</v>
      </c>
      <c r="J271" s="59">
        <f>_xlfn.IFNA(INDEX(DetailByDistrict[],MATCH($H271,DetailByDistrict[Dist],0),MATCH(J$2,DetailByDistrict[#Headers],0)),0)</f>
        <v>6</v>
      </c>
      <c r="K271" s="54">
        <f t="shared" si="4"/>
        <v>0.33333333333333331</v>
      </c>
      <c r="L271" s="59">
        <f>ROUND(INDEX(DetailByDistrict[],MATCH($H271,DetailByDistrict[Dist],0),MATCH(L$2,DetailByDistrict[#Headers],0))*K271,2)</f>
        <v>130.66999999999999</v>
      </c>
      <c r="M271" s="59">
        <f>ROUND(INDEX(DetailByDistrict[],MATCH($H271,DetailByDistrict[Dist],0),MATCH(M$2,DetailByDistrict[#Headers],0))*K271,2)</f>
        <v>145.66999999999999</v>
      </c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spans="1:26" ht="15.75" customHeight="1" x14ac:dyDescent="0.25">
      <c r="A272" s="57" t="s">
        <v>60</v>
      </c>
      <c r="B272" s="54" t="s">
        <v>1021</v>
      </c>
      <c r="C272" s="54" t="s">
        <v>909</v>
      </c>
      <c r="D272" s="53">
        <v>5166</v>
      </c>
      <c r="E272" s="53">
        <v>8302</v>
      </c>
      <c r="F272" s="54" t="s">
        <v>1054</v>
      </c>
      <c r="G272" s="53" t="s">
        <v>698</v>
      </c>
      <c r="H272" s="58" t="str">
        <f>_xlfn.IFNA(INDEX(ActiveSchools!$C$2:$F$326,MATCH(G272,ActiveSchools!$F$2:$F$326,0),1),"Total")</f>
        <v>3582</v>
      </c>
      <c r="I272" s="53">
        <v>1</v>
      </c>
      <c r="J272" s="59">
        <f>_xlfn.IFNA(INDEX(DetailByDistrict[],MATCH($H272,DetailByDistrict[Dist],0),MATCH(J$2,DetailByDistrict[#Headers],0)),0)</f>
        <v>15</v>
      </c>
      <c r="K272" s="54">
        <f t="shared" si="4"/>
        <v>6.6666666666666666E-2</v>
      </c>
      <c r="L272" s="59">
        <f>ROUND(INDEX(DetailByDistrict[],MATCH($H272,DetailByDistrict[Dist],0),MATCH(L$2,DetailByDistrict[#Headers],0))*K272,2)</f>
        <v>65.27</v>
      </c>
      <c r="M272" s="59">
        <f>ROUND(INDEX(DetailByDistrict[],MATCH($H272,DetailByDistrict[Dist],0),MATCH(M$2,DetailByDistrict[#Headers],0))*K272,2)</f>
        <v>72.8</v>
      </c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spans="1:26" ht="15.75" customHeight="1" x14ac:dyDescent="0.25">
      <c r="A273" s="57" t="s">
        <v>60</v>
      </c>
      <c r="B273" s="54" t="s">
        <v>1021</v>
      </c>
      <c r="C273" s="54" t="s">
        <v>909</v>
      </c>
      <c r="D273" s="53">
        <v>5166</v>
      </c>
      <c r="E273" s="53">
        <v>8302</v>
      </c>
      <c r="F273" s="54" t="s">
        <v>1062</v>
      </c>
      <c r="G273" s="53" t="s">
        <v>99</v>
      </c>
      <c r="H273" s="58" t="str">
        <f>_xlfn.IFNA(INDEX(ActiveSchools!$C$2:$F$326,MATCH(G273,ActiveSchools!$F$2:$F$326,0),1),"Total")</f>
        <v>4437</v>
      </c>
      <c r="I273" s="53">
        <v>2</v>
      </c>
      <c r="J273" s="59">
        <f>_xlfn.IFNA(INDEX(DetailByDistrict[],MATCH($H273,DetailByDistrict[Dist],0),MATCH(J$2,DetailByDistrict[#Headers],0)),0)</f>
        <v>6</v>
      </c>
      <c r="K273" s="54">
        <f t="shared" si="4"/>
        <v>0.33333333333333331</v>
      </c>
      <c r="L273" s="59">
        <f>ROUND(INDEX(DetailByDistrict[],MATCH($H273,DetailByDistrict[Dist],0),MATCH(L$2,DetailByDistrict[#Headers],0))*K273,2)</f>
        <v>130.66999999999999</v>
      </c>
      <c r="M273" s="59">
        <f>ROUND(INDEX(DetailByDistrict[],MATCH($H273,DetailByDistrict[Dist],0),MATCH(M$2,DetailByDistrict[#Headers],0))*K273,2)</f>
        <v>145.66999999999999</v>
      </c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spans="1:26" ht="15.75" customHeight="1" x14ac:dyDescent="0.25">
      <c r="A274" s="57" t="s">
        <v>60</v>
      </c>
      <c r="B274" s="54" t="s">
        <v>1021</v>
      </c>
      <c r="C274" s="54" t="s">
        <v>936</v>
      </c>
      <c r="D274" s="53">
        <v>6762</v>
      </c>
      <c r="E274" s="53">
        <v>8203</v>
      </c>
      <c r="F274" s="54" t="s">
        <v>1063</v>
      </c>
      <c r="G274" s="53" t="s">
        <v>74</v>
      </c>
      <c r="H274" s="58" t="str">
        <f>_xlfn.IFNA(INDEX(ActiveSchools!$C$2:$F$326,MATCH(G274,ActiveSchools!$F$2:$F$326,0),1),"Total")</f>
        <v>1215</v>
      </c>
      <c r="I274" s="53">
        <v>3</v>
      </c>
      <c r="J274" s="59">
        <f>_xlfn.IFNA(INDEX(DetailByDistrict[],MATCH($H274,DetailByDistrict[Dist],0),MATCH(J$2,DetailByDistrict[#Headers],0)),0)</f>
        <v>5</v>
      </c>
      <c r="K274" s="54">
        <f t="shared" si="4"/>
        <v>0.6</v>
      </c>
      <c r="L274" s="59">
        <f>ROUND(INDEX(DetailByDistrict[],MATCH($H274,DetailByDistrict[Dist],0),MATCH(L$2,DetailByDistrict[#Headers],0))*K274,2)</f>
        <v>195.6</v>
      </c>
      <c r="M274" s="59">
        <f>ROUND(INDEX(DetailByDistrict[],MATCH($H274,DetailByDistrict[Dist],0),MATCH(M$2,DetailByDistrict[#Headers],0))*K274,2)</f>
        <v>218.4</v>
      </c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spans="1:26" ht="15.75" customHeight="1" x14ac:dyDescent="0.25">
      <c r="A275" s="57" t="s">
        <v>60</v>
      </c>
      <c r="B275" s="54" t="s">
        <v>1021</v>
      </c>
      <c r="C275" s="54" t="s">
        <v>936</v>
      </c>
      <c r="D275" s="53">
        <v>6762</v>
      </c>
      <c r="E275" s="53">
        <v>8203</v>
      </c>
      <c r="F275" s="54" t="s">
        <v>1039</v>
      </c>
      <c r="G275" s="53" t="s">
        <v>76</v>
      </c>
      <c r="H275" s="58" t="str">
        <f>_xlfn.IFNA(INDEX(ActiveSchools!$C$2:$F$326,MATCH(G275,ActiveSchools!$F$2:$F$326,0),1),"Total")</f>
        <v>1719</v>
      </c>
      <c r="I275" s="53">
        <v>5</v>
      </c>
      <c r="J275" s="59">
        <f>_xlfn.IFNA(INDEX(DetailByDistrict[],MATCH($H275,DetailByDistrict[Dist],0),MATCH(J$2,DetailByDistrict[#Headers],0)),0)</f>
        <v>14</v>
      </c>
      <c r="K275" s="54">
        <f t="shared" si="4"/>
        <v>0.35714285714285715</v>
      </c>
      <c r="L275" s="59">
        <f>ROUND(INDEX(DetailByDistrict[],MATCH($H275,DetailByDistrict[Dist],0),MATCH(L$2,DetailByDistrict[#Headers],0))*K275,2)</f>
        <v>326.43</v>
      </c>
      <c r="M275" s="59">
        <f>ROUND(INDEX(DetailByDistrict[],MATCH($H275,DetailByDistrict[Dist],0),MATCH(M$2,DetailByDistrict[#Headers],0))*K275,2)</f>
        <v>363.93</v>
      </c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spans="1:26" ht="15.75" customHeight="1" x14ac:dyDescent="0.25">
      <c r="A276" s="57" t="s">
        <v>60</v>
      </c>
      <c r="B276" s="54" t="s">
        <v>1021</v>
      </c>
      <c r="C276" s="54" t="s">
        <v>936</v>
      </c>
      <c r="D276" s="53">
        <v>6762</v>
      </c>
      <c r="E276" s="53">
        <v>8203</v>
      </c>
      <c r="F276" s="54" t="s">
        <v>1064</v>
      </c>
      <c r="G276" s="53" t="s">
        <v>110</v>
      </c>
      <c r="H276" s="58" t="str">
        <f>_xlfn.IFNA(INDEX(ActiveSchools!$C$2:$F$326,MATCH(G276,ActiveSchools!$F$2:$F$326,0),1),"Total")</f>
        <v>6471</v>
      </c>
      <c r="I276" s="53">
        <v>2</v>
      </c>
      <c r="J276" s="59">
        <f>_xlfn.IFNA(INDEX(DetailByDistrict[],MATCH($H276,DetailByDistrict[Dist],0),MATCH(J$2,DetailByDistrict[#Headers],0)),0)</f>
        <v>6</v>
      </c>
      <c r="K276" s="54">
        <f t="shared" si="4"/>
        <v>0.33333333333333331</v>
      </c>
      <c r="L276" s="59">
        <f>ROUND(INDEX(DetailByDistrict[],MATCH($H276,DetailByDistrict[Dist],0),MATCH(L$2,DetailByDistrict[#Headers],0))*K276,2)</f>
        <v>130.66999999999999</v>
      </c>
      <c r="M276" s="59">
        <f>ROUND(INDEX(DetailByDistrict[],MATCH($H276,DetailByDistrict[Dist],0),MATCH(M$2,DetailByDistrict[#Headers],0))*K276,2)</f>
        <v>145.66999999999999</v>
      </c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spans="1:26" ht="15.75" customHeight="1" x14ac:dyDescent="0.25">
      <c r="A277" s="57" t="s">
        <v>60</v>
      </c>
      <c r="B277" s="54" t="s">
        <v>1021</v>
      </c>
      <c r="C277" s="54" t="s">
        <v>936</v>
      </c>
      <c r="D277" s="53">
        <v>6762</v>
      </c>
      <c r="E277" s="53">
        <v>8203</v>
      </c>
      <c r="F277" s="54" t="s">
        <v>1065</v>
      </c>
      <c r="G277" s="53" t="s">
        <v>112</v>
      </c>
      <c r="H277" s="58" t="str">
        <f>_xlfn.IFNA(INDEX(ActiveSchools!$C$2:$F$326,MATCH(G277,ActiveSchools!$F$2:$F$326,0),1),"Total")</f>
        <v>6762</v>
      </c>
      <c r="I277" s="53">
        <v>32</v>
      </c>
      <c r="J277" s="59">
        <f>_xlfn.IFNA(INDEX(DetailByDistrict[],MATCH($H277,DetailByDistrict[Dist],0),MATCH(J$2,DetailByDistrict[#Headers],0)),0)</f>
        <v>34</v>
      </c>
      <c r="K277" s="54">
        <f t="shared" si="4"/>
        <v>0.94117647058823528</v>
      </c>
      <c r="L277" s="59">
        <f>ROUND(INDEX(DetailByDistrict[],MATCH($H277,DetailByDistrict[Dist],0),MATCH(L$2,DetailByDistrict[#Headers],0))*K277,2)</f>
        <v>2089.41</v>
      </c>
      <c r="M277" s="59">
        <f>ROUND(INDEX(DetailByDistrict[],MATCH($H277,DetailByDistrict[Dist],0),MATCH(M$2,DetailByDistrict[#Headers],0))*K277,2)</f>
        <v>2329.41</v>
      </c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spans="1:26" ht="15.75" customHeight="1" x14ac:dyDescent="0.25">
      <c r="A278" s="57" t="s">
        <v>60</v>
      </c>
      <c r="B278" s="54" t="s">
        <v>1021</v>
      </c>
      <c r="C278" s="54" t="s">
        <v>936</v>
      </c>
      <c r="D278" s="53">
        <v>6762</v>
      </c>
      <c r="E278" s="53">
        <v>8203</v>
      </c>
      <c r="F278" s="54" t="s">
        <v>1066</v>
      </c>
      <c r="G278" s="53" t="s">
        <v>114</v>
      </c>
      <c r="H278" s="58" t="str">
        <f>_xlfn.IFNA(INDEX(ActiveSchools!$C$2:$F$326,MATCH(G278,ActiveSchools!$F$2:$F$326,0),1),"Total")</f>
        <v>6840</v>
      </c>
      <c r="I278" s="53">
        <v>2</v>
      </c>
      <c r="J278" s="59">
        <f>_xlfn.IFNA(INDEX(DetailByDistrict[],MATCH($H278,DetailByDistrict[Dist],0),MATCH(J$2,DetailByDistrict[#Headers],0)),0)</f>
        <v>165</v>
      </c>
      <c r="K278" s="54">
        <f t="shared" si="4"/>
        <v>1.2121212121212121E-2</v>
      </c>
      <c r="L278" s="59">
        <f>ROUND(INDEX(DetailByDistrict[],MATCH($H278,DetailByDistrict[Dist],0),MATCH(L$2,DetailByDistrict[#Headers],0))*K278,2)</f>
        <v>130.58000000000001</v>
      </c>
      <c r="M278" s="59">
        <f>ROUND(INDEX(DetailByDistrict[],MATCH($H278,DetailByDistrict[Dist],0),MATCH(M$2,DetailByDistrict[#Headers],0))*K278,2)</f>
        <v>145.56</v>
      </c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spans="1:26" ht="15.75" customHeight="1" x14ac:dyDescent="0.25">
      <c r="A279" s="57" t="s">
        <v>60</v>
      </c>
      <c r="B279" s="54" t="s">
        <v>1021</v>
      </c>
      <c r="C279" s="54" t="s">
        <v>938</v>
      </c>
      <c r="D279" s="53">
        <v>6795</v>
      </c>
      <c r="E279" s="53">
        <v>8105</v>
      </c>
      <c r="F279" s="54" t="s">
        <v>1035</v>
      </c>
      <c r="G279" s="53" t="s">
        <v>71</v>
      </c>
      <c r="H279" s="58" t="str">
        <f>_xlfn.IFNA(INDEX(ActiveSchools!$C$2:$F$326,MATCH(G279,ActiveSchools!$F$2:$F$326,0),1),"Total")</f>
        <v>1044</v>
      </c>
      <c r="I279" s="53">
        <v>12</v>
      </c>
      <c r="J279" s="59">
        <f>_xlfn.IFNA(INDEX(DetailByDistrict[],MATCH($H279,DetailByDistrict[Dist],0),MATCH(J$2,DetailByDistrict[#Headers],0)),0)</f>
        <v>387</v>
      </c>
      <c r="K279" s="54">
        <f t="shared" si="4"/>
        <v>3.1007751937984496E-2</v>
      </c>
      <c r="L279" s="59">
        <f>ROUND(INDEX(DetailByDistrict[],MATCH($H279,DetailByDistrict[Dist],0),MATCH(L$2,DetailByDistrict[#Headers],0))*K279,2)</f>
        <v>783.47</v>
      </c>
      <c r="M279" s="59">
        <f>ROUND(INDEX(DetailByDistrict[],MATCH($H279,DetailByDistrict[Dist],0),MATCH(M$2,DetailByDistrict[#Headers],0))*K279,2)</f>
        <v>873.36</v>
      </c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spans="1:26" ht="15.75" customHeight="1" x14ac:dyDescent="0.25">
      <c r="A280" s="57" t="s">
        <v>60</v>
      </c>
      <c r="B280" s="54" t="s">
        <v>1021</v>
      </c>
      <c r="C280" s="54" t="s">
        <v>938</v>
      </c>
      <c r="D280" s="53">
        <v>6795</v>
      </c>
      <c r="E280" s="53">
        <v>8105</v>
      </c>
      <c r="F280" s="54" t="s">
        <v>1039</v>
      </c>
      <c r="G280" s="53" t="s">
        <v>76</v>
      </c>
      <c r="H280" s="58" t="str">
        <f>_xlfn.IFNA(INDEX(ActiveSchools!$C$2:$F$326,MATCH(G280,ActiveSchools!$F$2:$F$326,0),1),"Total")</f>
        <v>1719</v>
      </c>
      <c r="I280" s="53">
        <v>2</v>
      </c>
      <c r="J280" s="59">
        <f>_xlfn.IFNA(INDEX(DetailByDistrict[],MATCH($H280,DetailByDistrict[Dist],0),MATCH(J$2,DetailByDistrict[#Headers],0)),0)</f>
        <v>14</v>
      </c>
      <c r="K280" s="54">
        <f t="shared" si="4"/>
        <v>0.14285714285714285</v>
      </c>
      <c r="L280" s="59">
        <f>ROUND(INDEX(DetailByDistrict[],MATCH($H280,DetailByDistrict[Dist],0),MATCH(L$2,DetailByDistrict[#Headers],0))*K280,2)</f>
        <v>130.57</v>
      </c>
      <c r="M280" s="59">
        <f>ROUND(INDEX(DetailByDistrict[],MATCH($H280,DetailByDistrict[Dist],0),MATCH(M$2,DetailByDistrict[#Headers],0))*K280,2)</f>
        <v>145.57</v>
      </c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spans="1:26" ht="15.75" customHeight="1" x14ac:dyDescent="0.25">
      <c r="A281" s="57" t="s">
        <v>60</v>
      </c>
      <c r="B281" s="54" t="s">
        <v>1021</v>
      </c>
      <c r="C281" s="54" t="s">
        <v>938</v>
      </c>
      <c r="D281" s="53">
        <v>6795</v>
      </c>
      <c r="E281" s="53">
        <v>8105</v>
      </c>
      <c r="F281" s="54" t="s">
        <v>1055</v>
      </c>
      <c r="G281" s="53" t="s">
        <v>84</v>
      </c>
      <c r="H281" s="58" t="str">
        <f>_xlfn.IFNA(INDEX(ActiveSchools!$C$2:$F$326,MATCH(G281,ActiveSchools!$F$2:$F$326,0),1),"Total")</f>
        <v>2502</v>
      </c>
      <c r="I281" s="53">
        <v>1</v>
      </c>
      <c r="J281" s="59">
        <f>_xlfn.IFNA(INDEX(DetailByDistrict[],MATCH($H281,DetailByDistrict[Dist],0),MATCH(J$2,DetailByDistrict[#Headers],0)),0)</f>
        <v>4</v>
      </c>
      <c r="K281" s="54">
        <f t="shared" si="4"/>
        <v>0.25</v>
      </c>
      <c r="L281" s="59">
        <f>ROUND(INDEX(DetailByDistrict[],MATCH($H281,DetailByDistrict[Dist],0),MATCH(L$2,DetailByDistrict[#Headers],0))*K281,2)</f>
        <v>65.25</v>
      </c>
      <c r="M281" s="59">
        <f>ROUND(INDEX(DetailByDistrict[],MATCH($H281,DetailByDistrict[Dist],0),MATCH(M$2,DetailByDistrict[#Headers],0))*K281,2)</f>
        <v>72.75</v>
      </c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spans="1:26" ht="15.75" customHeight="1" x14ac:dyDescent="0.25">
      <c r="A282" s="57" t="s">
        <v>60</v>
      </c>
      <c r="B282" s="54" t="s">
        <v>1021</v>
      </c>
      <c r="C282" s="54" t="s">
        <v>938</v>
      </c>
      <c r="D282" s="53">
        <v>6795</v>
      </c>
      <c r="E282" s="53">
        <v>8105</v>
      </c>
      <c r="F282" s="54" t="s">
        <v>1037</v>
      </c>
      <c r="G282" s="53" t="s">
        <v>91</v>
      </c>
      <c r="H282" s="58" t="str">
        <f>_xlfn.IFNA(INDEX(ActiveSchools!$C$2:$F$326,MATCH(G282,ActiveSchools!$F$2:$F$326,0),1),"Total")</f>
        <v>3042</v>
      </c>
      <c r="I282" s="53">
        <v>1</v>
      </c>
      <c r="J282" s="59">
        <f>_xlfn.IFNA(INDEX(DetailByDistrict[],MATCH($H282,DetailByDistrict[Dist],0),MATCH(J$2,DetailByDistrict[#Headers],0)),0)</f>
        <v>26</v>
      </c>
      <c r="K282" s="54">
        <f t="shared" si="4"/>
        <v>3.8461538461538464E-2</v>
      </c>
      <c r="L282" s="59">
        <f>ROUND(INDEX(DetailByDistrict[],MATCH($H282,DetailByDistrict[Dist],0),MATCH(L$2,DetailByDistrict[#Headers],0))*K282,2)</f>
        <v>65.31</v>
      </c>
      <c r="M282" s="59">
        <f>ROUND(INDEX(DetailByDistrict[],MATCH($H282,DetailByDistrict[Dist],0),MATCH(M$2,DetailByDistrict[#Headers],0))*K282,2)</f>
        <v>72.77</v>
      </c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spans="1:26" ht="15.75" customHeight="1" x14ac:dyDescent="0.25">
      <c r="A283" s="57" t="s">
        <v>60</v>
      </c>
      <c r="B283" s="54" t="s">
        <v>1021</v>
      </c>
      <c r="C283" s="54" t="s">
        <v>938</v>
      </c>
      <c r="D283" s="53">
        <v>6795</v>
      </c>
      <c r="E283" s="53">
        <v>8105</v>
      </c>
      <c r="F283" s="54" t="s">
        <v>1058</v>
      </c>
      <c r="G283" s="53" t="s">
        <v>107</v>
      </c>
      <c r="H283" s="58" t="str">
        <f>_xlfn.IFNA(INDEX(ActiveSchools!$C$2:$F$326,MATCH(G283,ActiveSchools!$F$2:$F$326,0),1),"Total")</f>
        <v>6098</v>
      </c>
      <c r="I283" s="53">
        <v>2</v>
      </c>
      <c r="J283" s="59">
        <f>_xlfn.IFNA(INDEX(DetailByDistrict[],MATCH($H283,DetailByDistrict[Dist],0),MATCH(J$2,DetailByDistrict[#Headers],0)),0)</f>
        <v>5</v>
      </c>
      <c r="K283" s="54">
        <f t="shared" si="4"/>
        <v>0.4</v>
      </c>
      <c r="L283" s="59">
        <f>ROUND(INDEX(DetailByDistrict[],MATCH($H283,DetailByDistrict[Dist],0),MATCH(L$2,DetailByDistrict[#Headers],0))*K283,2)</f>
        <v>130.4</v>
      </c>
      <c r="M283" s="59">
        <f>ROUND(INDEX(DetailByDistrict[],MATCH($H283,DetailByDistrict[Dist],0),MATCH(M$2,DetailByDistrict[#Headers],0))*K283,2)</f>
        <v>145.6</v>
      </c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spans="1:26" ht="15.75" customHeight="1" x14ac:dyDescent="0.25">
      <c r="A284" s="57" t="s">
        <v>60</v>
      </c>
      <c r="B284" s="54" t="s">
        <v>1021</v>
      </c>
      <c r="C284" s="54" t="s">
        <v>938</v>
      </c>
      <c r="D284" s="53">
        <v>6795</v>
      </c>
      <c r="E284" s="53">
        <v>8105</v>
      </c>
      <c r="F284" s="54" t="s">
        <v>1031</v>
      </c>
      <c r="G284" s="53" t="s">
        <v>704</v>
      </c>
      <c r="H284" s="58" t="str">
        <f>_xlfn.IFNA(INDEX(ActiveSchools!$C$2:$F$326,MATCH(G284,ActiveSchools!$F$2:$F$326,0),1),"Total")</f>
        <v>1935</v>
      </c>
      <c r="I284" s="53">
        <v>6</v>
      </c>
      <c r="J284" s="59">
        <f>_xlfn.IFNA(INDEX(DetailByDistrict[],MATCH($H284,DetailByDistrict[Dist],0),MATCH(J$2,DetailByDistrict[#Headers],0)),0)</f>
        <v>35</v>
      </c>
      <c r="K284" s="54">
        <f t="shared" si="4"/>
        <v>0.17142857142857143</v>
      </c>
      <c r="L284" s="59">
        <f>ROUND(INDEX(DetailByDistrict[],MATCH($H284,DetailByDistrict[Dist],0),MATCH(L$2,DetailByDistrict[#Headers],0))*K284,2)</f>
        <v>391.71</v>
      </c>
      <c r="M284" s="59">
        <f>ROUND(INDEX(DetailByDistrict[],MATCH($H284,DetailByDistrict[Dist],0),MATCH(M$2,DetailByDistrict[#Headers],0))*K284,2)</f>
        <v>436.63</v>
      </c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spans="1:26" ht="15.75" customHeight="1" x14ac:dyDescent="0.25">
      <c r="A285" s="57" t="s">
        <v>60</v>
      </c>
      <c r="B285" s="54" t="s">
        <v>1021</v>
      </c>
      <c r="C285" s="54" t="s">
        <v>938</v>
      </c>
      <c r="D285" s="53">
        <v>6795</v>
      </c>
      <c r="E285" s="53">
        <v>8105</v>
      </c>
      <c r="F285" s="54" t="s">
        <v>1030</v>
      </c>
      <c r="G285" s="53" t="s">
        <v>113</v>
      </c>
      <c r="H285" s="58" t="str">
        <f>_xlfn.IFNA(INDEX(ActiveSchools!$C$2:$F$326,MATCH(G285,ActiveSchools!$F$2:$F$326,0),1),"Total")</f>
        <v>6795</v>
      </c>
      <c r="I285" s="53">
        <v>319</v>
      </c>
      <c r="J285" s="59">
        <f>_xlfn.IFNA(INDEX(DetailByDistrict[],MATCH($H285,DetailByDistrict[Dist],0),MATCH(J$2,DetailByDistrict[#Headers],0)),0)</f>
        <v>1280</v>
      </c>
      <c r="K285" s="54">
        <f t="shared" si="4"/>
        <v>0.24921874999999999</v>
      </c>
      <c r="L285" s="59">
        <f>ROUND(INDEX(DetailByDistrict[],MATCH($H285,DetailByDistrict[Dist],0),MATCH(L$2,DetailByDistrict[#Headers],0))*K285,2)-0.07</f>
        <v>20827.39</v>
      </c>
      <c r="M285" s="59">
        <f>ROUND(INDEX(DetailByDistrict[],MATCH($H285,DetailByDistrict[Dist],0),MATCH(M$2,DetailByDistrict[#Headers],0))*K285,2)-0.01</f>
        <v>23216.710000000003</v>
      </c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spans="1:26" ht="15.75" customHeight="1" x14ac:dyDescent="0.25">
      <c r="A286" s="57" t="s">
        <v>60</v>
      </c>
      <c r="B286" s="54" t="s">
        <v>1021</v>
      </c>
      <c r="C286" s="54" t="s">
        <v>939</v>
      </c>
      <c r="D286" s="53">
        <v>6795</v>
      </c>
      <c r="E286" s="53">
        <v>8110</v>
      </c>
      <c r="F286" s="54" t="s">
        <v>1035</v>
      </c>
      <c r="G286" s="53" t="s">
        <v>71</v>
      </c>
      <c r="H286" s="58" t="str">
        <f>_xlfn.IFNA(INDEX(ActiveSchools!$C$2:$F$326,MATCH(G286,ActiveSchools!$F$2:$F$326,0),1),"Total")</f>
        <v>1044</v>
      </c>
      <c r="I286" s="53">
        <v>1</v>
      </c>
      <c r="J286" s="59">
        <f>_xlfn.IFNA(INDEX(DetailByDistrict[],MATCH($H286,DetailByDistrict[Dist],0),MATCH(J$2,DetailByDistrict[#Headers],0)),0)</f>
        <v>387</v>
      </c>
      <c r="K286" s="54">
        <f t="shared" si="4"/>
        <v>2.5839793281653748E-3</v>
      </c>
      <c r="L286" s="59">
        <f>ROUND(INDEX(DetailByDistrict[],MATCH($H286,DetailByDistrict[Dist],0),MATCH(L$2,DetailByDistrict[#Headers],0))*K286,2)</f>
        <v>65.290000000000006</v>
      </c>
      <c r="M286" s="59">
        <f>ROUND(INDEX(DetailByDistrict[],MATCH($H286,DetailByDistrict[Dist],0),MATCH(M$2,DetailByDistrict[#Headers],0))*K286,2)</f>
        <v>72.78</v>
      </c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spans="1:26" ht="15.75" customHeight="1" x14ac:dyDescent="0.25">
      <c r="A287" s="57" t="s">
        <v>60</v>
      </c>
      <c r="B287" s="54" t="s">
        <v>1021</v>
      </c>
      <c r="C287" s="54" t="s">
        <v>939</v>
      </c>
      <c r="D287" s="53">
        <v>6795</v>
      </c>
      <c r="E287" s="53">
        <v>8110</v>
      </c>
      <c r="F287" s="54" t="s">
        <v>1039</v>
      </c>
      <c r="G287" s="53" t="s">
        <v>76</v>
      </c>
      <c r="H287" s="58" t="str">
        <f>_xlfn.IFNA(INDEX(ActiveSchools!$C$2:$F$326,MATCH(G287,ActiveSchools!$F$2:$F$326,0),1),"Total")</f>
        <v>1719</v>
      </c>
      <c r="I287" s="53">
        <v>2</v>
      </c>
      <c r="J287" s="59">
        <f>_xlfn.IFNA(INDEX(DetailByDistrict[],MATCH($H287,DetailByDistrict[Dist],0),MATCH(J$2,DetailByDistrict[#Headers],0)),0)</f>
        <v>14</v>
      </c>
      <c r="K287" s="54">
        <f t="shared" si="4"/>
        <v>0.14285714285714285</v>
      </c>
      <c r="L287" s="59">
        <f>ROUND(INDEX(DetailByDistrict[],MATCH($H287,DetailByDistrict[Dist],0),MATCH(L$2,DetailByDistrict[#Headers],0))*K287,2)</f>
        <v>130.57</v>
      </c>
      <c r="M287" s="59">
        <f>ROUND(INDEX(DetailByDistrict[],MATCH($H287,DetailByDistrict[Dist],0),MATCH(M$2,DetailByDistrict[#Headers],0))*K287,2)</f>
        <v>145.57</v>
      </c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spans="1:26" ht="15.75" customHeight="1" x14ac:dyDescent="0.25">
      <c r="A288" s="57" t="s">
        <v>60</v>
      </c>
      <c r="B288" s="54" t="s">
        <v>1021</v>
      </c>
      <c r="C288" s="54" t="s">
        <v>939</v>
      </c>
      <c r="D288" s="53">
        <v>6795</v>
      </c>
      <c r="E288" s="53">
        <v>8110</v>
      </c>
      <c r="F288" s="54" t="s">
        <v>1036</v>
      </c>
      <c r="G288" s="53" t="s">
        <v>78</v>
      </c>
      <c r="H288" s="58" t="str">
        <f>_xlfn.IFNA(INDEX(ActiveSchools!$C$2:$F$326,MATCH(G288,ActiveSchools!$F$2:$F$326,0),1),"Total")</f>
        <v>1908</v>
      </c>
      <c r="I288" s="53">
        <v>3</v>
      </c>
      <c r="J288" s="59">
        <f>_xlfn.IFNA(INDEX(DetailByDistrict[],MATCH($H288,DetailByDistrict[Dist],0),MATCH(J$2,DetailByDistrict[#Headers],0)),0)</f>
        <v>16</v>
      </c>
      <c r="K288" s="54">
        <f t="shared" si="4"/>
        <v>0.1875</v>
      </c>
      <c r="L288" s="59">
        <f>ROUND(INDEX(DetailByDistrict[],MATCH($H288,DetailByDistrict[Dist],0),MATCH(L$2,DetailByDistrict[#Headers],0))*K288,2)</f>
        <v>195.94</v>
      </c>
      <c r="M288" s="59">
        <f>ROUND(INDEX(DetailByDistrict[],MATCH($H288,DetailByDistrict[Dist],0),MATCH(M$2,DetailByDistrict[#Headers],0))*K288,2)</f>
        <v>218.25</v>
      </c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spans="1:26" ht="15.75" customHeight="1" x14ac:dyDescent="0.25">
      <c r="A289" s="57" t="s">
        <v>60</v>
      </c>
      <c r="B289" s="54" t="s">
        <v>1021</v>
      </c>
      <c r="C289" s="54" t="s">
        <v>939</v>
      </c>
      <c r="D289" s="53">
        <v>6795</v>
      </c>
      <c r="E289" s="53">
        <v>8110</v>
      </c>
      <c r="F289" s="54" t="s">
        <v>1052</v>
      </c>
      <c r="G289" s="53" t="s">
        <v>95</v>
      </c>
      <c r="H289" s="58" t="str">
        <f>_xlfn.IFNA(INDEX(ActiveSchools!$C$2:$F$326,MATCH(G289,ActiveSchools!$F$2:$F$326,0),1),"Total")</f>
        <v>3204</v>
      </c>
      <c r="I289" s="53">
        <v>19</v>
      </c>
      <c r="J289" s="59">
        <f>_xlfn.IFNA(INDEX(DetailByDistrict[],MATCH($H289,DetailByDistrict[Dist],0),MATCH(J$2,DetailByDistrict[#Headers],0)),0)</f>
        <v>122</v>
      </c>
      <c r="K289" s="54">
        <f t="shared" si="4"/>
        <v>0.15573770491803279</v>
      </c>
      <c r="L289" s="59">
        <f>ROUND(INDEX(DetailByDistrict[],MATCH($H289,DetailByDistrict[Dist],0),MATCH(L$2,DetailByDistrict[#Headers],0))*K289,2)</f>
        <v>1240.45</v>
      </c>
      <c r="M289" s="59">
        <f>ROUND(INDEX(DetailByDistrict[],MATCH($H289,DetailByDistrict[Dist],0),MATCH(M$2,DetailByDistrict[#Headers],0))*K289,2)</f>
        <v>1382.8</v>
      </c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spans="1:26" ht="15.75" customHeight="1" x14ac:dyDescent="0.25">
      <c r="A290" s="57" t="s">
        <v>60</v>
      </c>
      <c r="B290" s="54" t="s">
        <v>1021</v>
      </c>
      <c r="C290" s="54" t="s">
        <v>939</v>
      </c>
      <c r="D290" s="53">
        <v>6795</v>
      </c>
      <c r="E290" s="53">
        <v>8110</v>
      </c>
      <c r="F290" s="54" t="s">
        <v>1031</v>
      </c>
      <c r="G290" s="53" t="s">
        <v>704</v>
      </c>
      <c r="H290" s="58" t="str">
        <f>_xlfn.IFNA(INDEX(ActiveSchools!$C$2:$F$326,MATCH(G290,ActiveSchools!$F$2:$F$326,0),1),"Total")</f>
        <v>1935</v>
      </c>
      <c r="I290" s="53">
        <v>15</v>
      </c>
      <c r="J290" s="59">
        <f>_xlfn.IFNA(INDEX(DetailByDistrict[],MATCH($H290,DetailByDistrict[Dist],0),MATCH(J$2,DetailByDistrict[#Headers],0)),0)</f>
        <v>35</v>
      </c>
      <c r="K290" s="54">
        <f t="shared" si="4"/>
        <v>0.42857142857142855</v>
      </c>
      <c r="L290" s="59">
        <f>ROUND(INDEX(DetailByDistrict[],MATCH($H290,DetailByDistrict[Dist],0),MATCH(L$2,DetailByDistrict[#Headers],0))*K290,2)</f>
        <v>979.29</v>
      </c>
      <c r="M290" s="59">
        <f>ROUND(INDEX(DetailByDistrict[],MATCH($H290,DetailByDistrict[Dist],0),MATCH(M$2,DetailByDistrict[#Headers],0))*K290,2)</f>
        <v>1091.57</v>
      </c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spans="1:26" ht="15.75" customHeight="1" x14ac:dyDescent="0.25">
      <c r="A291" s="57" t="s">
        <v>60</v>
      </c>
      <c r="B291" s="54" t="s">
        <v>1021</v>
      </c>
      <c r="C291" s="54" t="s">
        <v>939</v>
      </c>
      <c r="D291" s="53">
        <v>6795</v>
      </c>
      <c r="E291" s="53">
        <v>8110</v>
      </c>
      <c r="F291" s="54" t="s">
        <v>1030</v>
      </c>
      <c r="G291" s="53" t="s">
        <v>113</v>
      </c>
      <c r="H291" s="58" t="str">
        <f>_xlfn.IFNA(INDEX(ActiveSchools!$C$2:$F$326,MATCH(G291,ActiveSchools!$F$2:$F$326,0),1),"Total")</f>
        <v>6795</v>
      </c>
      <c r="I291" s="53">
        <v>163</v>
      </c>
      <c r="J291" s="59">
        <f>_xlfn.IFNA(INDEX(DetailByDistrict[],MATCH($H291,DetailByDistrict[Dist],0),MATCH(J$2,DetailByDistrict[#Headers],0)),0)</f>
        <v>1280</v>
      </c>
      <c r="K291" s="54">
        <f t="shared" si="4"/>
        <v>0.12734375000000001</v>
      </c>
      <c r="L291" s="59">
        <f>ROUND(INDEX(DetailByDistrict[],MATCH($H291,DetailByDistrict[Dist],0),MATCH(L$2,DetailByDistrict[#Headers],0))*K291,2)</f>
        <v>10642.24</v>
      </c>
      <c r="M291" s="59">
        <f>ROUND(INDEX(DetailByDistrict[],MATCH($H291,DetailByDistrict[Dist],0),MATCH(M$2,DetailByDistrict[#Headers],0))*K291,2)</f>
        <v>11863.09</v>
      </c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spans="1:26" ht="15.75" customHeight="1" x14ac:dyDescent="0.25">
      <c r="A292" s="57" t="s">
        <v>60</v>
      </c>
      <c r="B292" s="54" t="s">
        <v>1021</v>
      </c>
      <c r="C292" s="54" t="s">
        <v>940</v>
      </c>
      <c r="D292" s="53">
        <v>6795</v>
      </c>
      <c r="E292" s="53">
        <v>8112</v>
      </c>
      <c r="F292" s="54" t="s">
        <v>1035</v>
      </c>
      <c r="G292" s="53" t="s">
        <v>71</v>
      </c>
      <c r="H292" s="58" t="str">
        <f>_xlfn.IFNA(INDEX(ActiveSchools!$C$2:$F$326,MATCH(G292,ActiveSchools!$F$2:$F$326,0),1),"Total")</f>
        <v>1044</v>
      </c>
      <c r="I292" s="53">
        <v>6</v>
      </c>
      <c r="J292" s="59">
        <f>_xlfn.IFNA(INDEX(DetailByDistrict[],MATCH($H292,DetailByDistrict[Dist],0),MATCH(J$2,DetailByDistrict[#Headers],0)),0)</f>
        <v>387</v>
      </c>
      <c r="K292" s="54">
        <f t="shared" si="4"/>
        <v>1.5503875968992248E-2</v>
      </c>
      <c r="L292" s="59">
        <f>ROUND(INDEX(DetailByDistrict[],MATCH($H292,DetailByDistrict[Dist],0),MATCH(L$2,DetailByDistrict[#Headers],0))*K292,2)</f>
        <v>391.74</v>
      </c>
      <c r="M292" s="59">
        <f>ROUND(INDEX(DetailByDistrict[],MATCH($H292,DetailByDistrict[Dist],0),MATCH(M$2,DetailByDistrict[#Headers],0))*K292,2)</f>
        <v>436.68</v>
      </c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spans="1:26" ht="15.75" customHeight="1" x14ac:dyDescent="0.25">
      <c r="A293" s="57" t="s">
        <v>60</v>
      </c>
      <c r="B293" s="54" t="s">
        <v>1021</v>
      </c>
      <c r="C293" s="54" t="s">
        <v>940</v>
      </c>
      <c r="D293" s="53">
        <v>6795</v>
      </c>
      <c r="E293" s="53">
        <v>8112</v>
      </c>
      <c r="F293" s="54" t="s">
        <v>1055</v>
      </c>
      <c r="G293" s="53" t="s">
        <v>84</v>
      </c>
      <c r="H293" s="58" t="str">
        <f>_xlfn.IFNA(INDEX(ActiveSchools!$C$2:$F$326,MATCH(G293,ActiveSchools!$F$2:$F$326,0),1),"Total")</f>
        <v>2502</v>
      </c>
      <c r="I293" s="53">
        <v>1</v>
      </c>
      <c r="J293" s="59">
        <f>_xlfn.IFNA(INDEX(DetailByDistrict[],MATCH($H293,DetailByDistrict[Dist],0),MATCH(J$2,DetailByDistrict[#Headers],0)),0)</f>
        <v>4</v>
      </c>
      <c r="K293" s="54">
        <f t="shared" si="4"/>
        <v>0.25</v>
      </c>
      <c r="L293" s="59">
        <f>ROUND(INDEX(DetailByDistrict[],MATCH($H293,DetailByDistrict[Dist],0),MATCH(L$2,DetailByDistrict[#Headers],0))*K293,2)</f>
        <v>65.25</v>
      </c>
      <c r="M293" s="59">
        <f>ROUND(INDEX(DetailByDistrict[],MATCH($H293,DetailByDistrict[Dist],0),MATCH(M$2,DetailByDistrict[#Headers],0))*K293,2)</f>
        <v>72.75</v>
      </c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spans="1:26" ht="15.75" customHeight="1" x14ac:dyDescent="0.25">
      <c r="A294" s="57" t="s">
        <v>60</v>
      </c>
      <c r="B294" s="54" t="s">
        <v>1021</v>
      </c>
      <c r="C294" s="54" t="s">
        <v>940</v>
      </c>
      <c r="D294" s="53">
        <v>6795</v>
      </c>
      <c r="E294" s="53">
        <v>8112</v>
      </c>
      <c r="F294" s="54" t="s">
        <v>1037</v>
      </c>
      <c r="G294" s="53" t="s">
        <v>91</v>
      </c>
      <c r="H294" s="58" t="str">
        <f>_xlfn.IFNA(INDEX(ActiveSchools!$C$2:$F$326,MATCH(G294,ActiveSchools!$F$2:$F$326,0),1),"Total")</f>
        <v>3042</v>
      </c>
      <c r="I294" s="53">
        <v>2</v>
      </c>
      <c r="J294" s="59">
        <f>_xlfn.IFNA(INDEX(DetailByDistrict[],MATCH($H294,DetailByDistrict[Dist],0),MATCH(J$2,DetailByDistrict[#Headers],0)),0)</f>
        <v>26</v>
      </c>
      <c r="K294" s="54">
        <f t="shared" si="4"/>
        <v>7.6923076923076927E-2</v>
      </c>
      <c r="L294" s="59">
        <f>ROUND(INDEX(DetailByDistrict[],MATCH($H294,DetailByDistrict[Dist],0),MATCH(L$2,DetailByDistrict[#Headers],0))*K294,2)</f>
        <v>130.62</v>
      </c>
      <c r="M294" s="59">
        <f>ROUND(INDEX(DetailByDistrict[],MATCH($H294,DetailByDistrict[Dist],0),MATCH(M$2,DetailByDistrict[#Headers],0))*K294,2)</f>
        <v>145.54</v>
      </c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spans="1:26" ht="15.75" customHeight="1" x14ac:dyDescent="0.25">
      <c r="A295" s="57" t="s">
        <v>60</v>
      </c>
      <c r="B295" s="54" t="s">
        <v>1021</v>
      </c>
      <c r="C295" s="54" t="s">
        <v>940</v>
      </c>
      <c r="D295" s="53">
        <v>6795</v>
      </c>
      <c r="E295" s="53">
        <v>8112</v>
      </c>
      <c r="F295" s="54" t="s">
        <v>1031</v>
      </c>
      <c r="G295" s="53" t="s">
        <v>704</v>
      </c>
      <c r="H295" s="58" t="str">
        <f>_xlfn.IFNA(INDEX(ActiveSchools!$C$2:$F$326,MATCH(G295,ActiveSchools!$F$2:$F$326,0),1),"Total")</f>
        <v>1935</v>
      </c>
      <c r="I295" s="53">
        <v>1</v>
      </c>
      <c r="J295" s="59">
        <f>_xlfn.IFNA(INDEX(DetailByDistrict[],MATCH($H295,DetailByDistrict[Dist],0),MATCH(J$2,DetailByDistrict[#Headers],0)),0)</f>
        <v>35</v>
      </c>
      <c r="K295" s="54">
        <f t="shared" si="4"/>
        <v>2.8571428571428571E-2</v>
      </c>
      <c r="L295" s="59">
        <f>ROUND(INDEX(DetailByDistrict[],MATCH($H295,DetailByDistrict[Dist],0),MATCH(L$2,DetailByDistrict[#Headers],0))*K295,2)</f>
        <v>65.290000000000006</v>
      </c>
      <c r="M295" s="59">
        <f>ROUND(INDEX(DetailByDistrict[],MATCH($H295,DetailByDistrict[Dist],0),MATCH(M$2,DetailByDistrict[#Headers],0))*K295,2)</f>
        <v>72.77</v>
      </c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spans="1:26" ht="15.75" customHeight="1" x14ac:dyDescent="0.25">
      <c r="A296" s="57" t="s">
        <v>60</v>
      </c>
      <c r="B296" s="54" t="s">
        <v>1021</v>
      </c>
      <c r="C296" s="54" t="s">
        <v>940</v>
      </c>
      <c r="D296" s="53">
        <v>6795</v>
      </c>
      <c r="E296" s="53">
        <v>8112</v>
      </c>
      <c r="F296" s="54" t="s">
        <v>1030</v>
      </c>
      <c r="G296" s="53" t="s">
        <v>113</v>
      </c>
      <c r="H296" s="58" t="str">
        <f>_xlfn.IFNA(INDEX(ActiveSchools!$C$2:$F$326,MATCH(G296,ActiveSchools!$F$2:$F$326,0),1),"Total")</f>
        <v>6795</v>
      </c>
      <c r="I296" s="53">
        <v>180</v>
      </c>
      <c r="J296" s="59">
        <f>_xlfn.IFNA(INDEX(DetailByDistrict[],MATCH($H296,DetailByDistrict[Dist],0),MATCH(J$2,DetailByDistrict[#Headers],0)),0)</f>
        <v>1280</v>
      </c>
      <c r="K296" s="54">
        <f t="shared" si="4"/>
        <v>0.140625</v>
      </c>
      <c r="L296" s="59">
        <f>ROUND(INDEX(DetailByDistrict[],MATCH($H296,DetailByDistrict[Dist],0),MATCH(L$2,DetailByDistrict[#Headers],0))*K296,2)</f>
        <v>11752.17</v>
      </c>
      <c r="M296" s="59">
        <f>ROUND(INDEX(DetailByDistrict[],MATCH($H296,DetailByDistrict[Dist],0),MATCH(M$2,DetailByDistrict[#Headers],0))*K296,2)</f>
        <v>13100.34</v>
      </c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spans="1:26" ht="15.75" customHeight="1" x14ac:dyDescent="0.25">
      <c r="A297" s="57" t="s">
        <v>60</v>
      </c>
      <c r="B297" s="54" t="s">
        <v>1021</v>
      </c>
      <c r="C297" s="54" t="s">
        <v>941</v>
      </c>
      <c r="D297" s="53">
        <v>6795</v>
      </c>
      <c r="E297" s="53">
        <v>8114</v>
      </c>
      <c r="F297" s="54" t="s">
        <v>1035</v>
      </c>
      <c r="G297" s="53" t="s">
        <v>71</v>
      </c>
      <c r="H297" s="58" t="str">
        <f>_xlfn.IFNA(INDEX(ActiveSchools!$C$2:$F$326,MATCH(G297,ActiveSchools!$F$2:$F$326,0),1),"Total")</f>
        <v>1044</v>
      </c>
      <c r="I297" s="53">
        <v>33</v>
      </c>
      <c r="J297" s="59">
        <f>_xlfn.IFNA(INDEX(DetailByDistrict[],MATCH($H297,DetailByDistrict[Dist],0),MATCH(J$2,DetailByDistrict[#Headers],0)),0)</f>
        <v>387</v>
      </c>
      <c r="K297" s="54">
        <f t="shared" si="4"/>
        <v>8.5271317829457363E-2</v>
      </c>
      <c r="L297" s="59">
        <f>ROUND(INDEX(DetailByDistrict[],MATCH($H297,DetailByDistrict[Dist],0),MATCH(L$2,DetailByDistrict[#Headers],0))*K297,2)</f>
        <v>2154.5500000000002</v>
      </c>
      <c r="M297" s="59">
        <f>ROUND(INDEX(DetailByDistrict[],MATCH($H297,DetailByDistrict[Dist],0),MATCH(M$2,DetailByDistrict[#Headers],0))*K297,2)</f>
        <v>2401.75</v>
      </c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spans="1:26" ht="15.75" customHeight="1" x14ac:dyDescent="0.25">
      <c r="A298" s="57" t="s">
        <v>60</v>
      </c>
      <c r="B298" s="54" t="s">
        <v>1021</v>
      </c>
      <c r="C298" s="54" t="s">
        <v>941</v>
      </c>
      <c r="D298" s="53">
        <v>6795</v>
      </c>
      <c r="E298" s="53">
        <v>8114</v>
      </c>
      <c r="F298" s="54" t="s">
        <v>1067</v>
      </c>
      <c r="G298" s="53" t="s">
        <v>77</v>
      </c>
      <c r="H298" s="58" t="str">
        <f>_xlfn.IFNA(INDEX(ActiveSchools!$C$2:$F$326,MATCH(G298,ActiveSchools!$F$2:$F$326,0),1),"Total")</f>
        <v>1791</v>
      </c>
      <c r="I298" s="53">
        <v>1</v>
      </c>
      <c r="J298" s="59">
        <f>_xlfn.IFNA(INDEX(DetailByDistrict[],MATCH($H298,DetailByDistrict[Dist],0),MATCH(J$2,DetailByDistrict[#Headers],0)),0)</f>
        <v>12</v>
      </c>
      <c r="K298" s="54">
        <f t="shared" si="4"/>
        <v>8.3333333333333329E-2</v>
      </c>
      <c r="L298" s="59">
        <f>ROUND(INDEX(DetailByDistrict[],MATCH($H298,DetailByDistrict[Dist],0),MATCH(L$2,DetailByDistrict[#Headers],0))*K298,2)</f>
        <v>65.25</v>
      </c>
      <c r="M298" s="59">
        <f>ROUND(INDEX(DetailByDistrict[],MATCH($H298,DetailByDistrict[Dist],0),MATCH(M$2,DetailByDistrict[#Headers],0))*K298,2)</f>
        <v>72.75</v>
      </c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spans="1:26" ht="15.75" customHeight="1" x14ac:dyDescent="0.25">
      <c r="A299" s="57" t="s">
        <v>60</v>
      </c>
      <c r="B299" s="54" t="s">
        <v>1021</v>
      </c>
      <c r="C299" s="54" t="s">
        <v>941</v>
      </c>
      <c r="D299" s="53">
        <v>6795</v>
      </c>
      <c r="E299" s="53">
        <v>8114</v>
      </c>
      <c r="F299" s="54" t="s">
        <v>1037</v>
      </c>
      <c r="G299" s="53" t="s">
        <v>91</v>
      </c>
      <c r="H299" s="58" t="str">
        <f>_xlfn.IFNA(INDEX(ActiveSchools!$C$2:$F$326,MATCH(G299,ActiveSchools!$F$2:$F$326,0),1),"Total")</f>
        <v>3042</v>
      </c>
      <c r="I299" s="53">
        <v>2</v>
      </c>
      <c r="J299" s="59">
        <f>_xlfn.IFNA(INDEX(DetailByDistrict[],MATCH($H299,DetailByDistrict[Dist],0),MATCH(J$2,DetailByDistrict[#Headers],0)),0)</f>
        <v>26</v>
      </c>
      <c r="K299" s="54">
        <f t="shared" si="4"/>
        <v>7.6923076923076927E-2</v>
      </c>
      <c r="L299" s="59">
        <f>ROUND(INDEX(DetailByDistrict[],MATCH($H299,DetailByDistrict[Dist],0),MATCH(L$2,DetailByDistrict[#Headers],0))*K299,2)</f>
        <v>130.62</v>
      </c>
      <c r="M299" s="59">
        <f>ROUND(INDEX(DetailByDistrict[],MATCH($H299,DetailByDistrict[Dist],0),MATCH(M$2,DetailByDistrict[#Headers],0))*K299,2)</f>
        <v>145.54</v>
      </c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spans="1:26" ht="15.75" customHeight="1" x14ac:dyDescent="0.25">
      <c r="A300" s="57" t="s">
        <v>60</v>
      </c>
      <c r="B300" s="54" t="s">
        <v>1021</v>
      </c>
      <c r="C300" s="54" t="s">
        <v>941</v>
      </c>
      <c r="D300" s="53">
        <v>6795</v>
      </c>
      <c r="E300" s="53">
        <v>8114</v>
      </c>
      <c r="F300" s="54" t="s">
        <v>1031</v>
      </c>
      <c r="G300" s="53" t="s">
        <v>704</v>
      </c>
      <c r="H300" s="58" t="str">
        <f>_xlfn.IFNA(INDEX(ActiveSchools!$C$2:$F$326,MATCH(G300,ActiveSchools!$F$2:$F$326,0),1),"Total")</f>
        <v>1935</v>
      </c>
      <c r="I300" s="53">
        <v>1</v>
      </c>
      <c r="J300" s="59">
        <f>_xlfn.IFNA(INDEX(DetailByDistrict[],MATCH($H300,DetailByDistrict[Dist],0),MATCH(J$2,DetailByDistrict[#Headers],0)),0)</f>
        <v>35</v>
      </c>
      <c r="K300" s="54">
        <f t="shared" si="4"/>
        <v>2.8571428571428571E-2</v>
      </c>
      <c r="L300" s="59">
        <f>ROUND(INDEX(DetailByDistrict[],MATCH($H300,DetailByDistrict[Dist],0),MATCH(L$2,DetailByDistrict[#Headers],0))*K300,2)</f>
        <v>65.290000000000006</v>
      </c>
      <c r="M300" s="59">
        <f>ROUND(INDEX(DetailByDistrict[],MATCH($H300,DetailByDistrict[Dist],0),MATCH(M$2,DetailByDistrict[#Headers],0))*K300,2)</f>
        <v>72.77</v>
      </c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spans="1:26" ht="15.75" customHeight="1" x14ac:dyDescent="0.25">
      <c r="A301" s="57" t="s">
        <v>60</v>
      </c>
      <c r="B301" s="54" t="s">
        <v>1021</v>
      </c>
      <c r="C301" s="54" t="s">
        <v>941</v>
      </c>
      <c r="D301" s="53">
        <v>6795</v>
      </c>
      <c r="E301" s="53">
        <v>8114</v>
      </c>
      <c r="F301" s="54" t="s">
        <v>1030</v>
      </c>
      <c r="G301" s="53" t="s">
        <v>113</v>
      </c>
      <c r="H301" s="58" t="str">
        <f>_xlfn.IFNA(INDEX(ActiveSchools!$C$2:$F$326,MATCH(G301,ActiveSchools!$F$2:$F$326,0),1),"Total")</f>
        <v>6795</v>
      </c>
      <c r="I301" s="53">
        <v>205</v>
      </c>
      <c r="J301" s="59">
        <f>_xlfn.IFNA(INDEX(DetailByDistrict[],MATCH($H301,DetailByDistrict[Dist],0),MATCH(J$2,DetailByDistrict[#Headers],0)),0)</f>
        <v>1280</v>
      </c>
      <c r="K301" s="54">
        <f t="shared" si="4"/>
        <v>0.16015625</v>
      </c>
      <c r="L301" s="59">
        <f>ROUND(INDEX(DetailByDistrict[],MATCH($H301,DetailByDistrict[Dist],0),MATCH(L$2,DetailByDistrict[#Headers],0))*K301,2)</f>
        <v>13384.42</v>
      </c>
      <c r="M301" s="59">
        <f>ROUND(INDEX(DetailByDistrict[],MATCH($H301,DetailByDistrict[Dist],0),MATCH(M$2,DetailByDistrict[#Headers],0))*K301,2)</f>
        <v>14919.84</v>
      </c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spans="1:26" ht="15.75" customHeight="1" x14ac:dyDescent="0.25">
      <c r="A302" s="57" t="s">
        <v>60</v>
      </c>
      <c r="B302" s="54" t="s">
        <v>1021</v>
      </c>
      <c r="C302" s="54" t="s">
        <v>942</v>
      </c>
      <c r="D302" s="53">
        <v>6795</v>
      </c>
      <c r="E302" s="53">
        <v>8115</v>
      </c>
      <c r="F302" s="54" t="s">
        <v>1035</v>
      </c>
      <c r="G302" s="53" t="s">
        <v>71</v>
      </c>
      <c r="H302" s="58" t="str">
        <f>_xlfn.IFNA(INDEX(ActiveSchools!$C$2:$F$326,MATCH(G302,ActiveSchools!$F$2:$F$326,0),1),"Total")</f>
        <v>1044</v>
      </c>
      <c r="I302" s="53">
        <v>3</v>
      </c>
      <c r="J302" s="59">
        <f>_xlfn.IFNA(INDEX(DetailByDistrict[],MATCH($H302,DetailByDistrict[Dist],0),MATCH(J$2,DetailByDistrict[#Headers],0)),0)</f>
        <v>387</v>
      </c>
      <c r="K302" s="54">
        <f t="shared" si="4"/>
        <v>7.7519379844961239E-3</v>
      </c>
      <c r="L302" s="59">
        <f>ROUND(INDEX(DetailByDistrict[],MATCH($H302,DetailByDistrict[Dist],0),MATCH(L$2,DetailByDistrict[#Headers],0))*K302,2)</f>
        <v>195.87</v>
      </c>
      <c r="M302" s="59">
        <f>ROUND(INDEX(DetailByDistrict[],MATCH($H302,DetailByDistrict[Dist],0),MATCH(M$2,DetailByDistrict[#Headers],0))*K302,2)</f>
        <v>218.34</v>
      </c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spans="1:26" ht="15.75" customHeight="1" x14ac:dyDescent="0.25">
      <c r="A303" s="57" t="s">
        <v>60</v>
      </c>
      <c r="B303" s="54" t="s">
        <v>1021</v>
      </c>
      <c r="C303" s="54" t="s">
        <v>942</v>
      </c>
      <c r="D303" s="53">
        <v>6795</v>
      </c>
      <c r="E303" s="53">
        <v>8115</v>
      </c>
      <c r="F303" s="54" t="s">
        <v>1039</v>
      </c>
      <c r="G303" s="53" t="s">
        <v>76</v>
      </c>
      <c r="H303" s="58" t="str">
        <f>_xlfn.IFNA(INDEX(ActiveSchools!$C$2:$F$326,MATCH(G303,ActiveSchools!$F$2:$F$326,0),1),"Total")</f>
        <v>1719</v>
      </c>
      <c r="I303" s="53">
        <v>1</v>
      </c>
      <c r="J303" s="59">
        <f>_xlfn.IFNA(INDEX(DetailByDistrict[],MATCH($H303,DetailByDistrict[Dist],0),MATCH(J$2,DetailByDistrict[#Headers],0)),0)</f>
        <v>14</v>
      </c>
      <c r="K303" s="54">
        <f t="shared" si="4"/>
        <v>7.1428571428571425E-2</v>
      </c>
      <c r="L303" s="59">
        <f>ROUND(INDEX(DetailByDistrict[],MATCH($H303,DetailByDistrict[Dist],0),MATCH(L$2,DetailByDistrict[#Headers],0))*K303,2)</f>
        <v>65.290000000000006</v>
      </c>
      <c r="M303" s="59">
        <f>ROUND(INDEX(DetailByDistrict[],MATCH($H303,DetailByDistrict[Dist],0),MATCH(M$2,DetailByDistrict[#Headers],0))*K303,2)</f>
        <v>72.790000000000006</v>
      </c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spans="1:26" ht="15.75" customHeight="1" x14ac:dyDescent="0.25">
      <c r="A304" s="57" t="s">
        <v>60</v>
      </c>
      <c r="B304" s="54" t="s">
        <v>1021</v>
      </c>
      <c r="C304" s="54" t="s">
        <v>942</v>
      </c>
      <c r="D304" s="53">
        <v>6795</v>
      </c>
      <c r="E304" s="53">
        <v>8115</v>
      </c>
      <c r="F304" s="54" t="s">
        <v>1067</v>
      </c>
      <c r="G304" s="53" t="s">
        <v>77</v>
      </c>
      <c r="H304" s="58" t="str">
        <f>_xlfn.IFNA(INDEX(ActiveSchools!$C$2:$F$326,MATCH(G304,ActiveSchools!$F$2:$F$326,0),1),"Total")</f>
        <v>1791</v>
      </c>
      <c r="I304" s="53">
        <v>1</v>
      </c>
      <c r="J304" s="59">
        <f>_xlfn.IFNA(INDEX(DetailByDistrict[],MATCH($H304,DetailByDistrict[Dist],0),MATCH(J$2,DetailByDistrict[#Headers],0)),0)</f>
        <v>12</v>
      </c>
      <c r="K304" s="54">
        <f t="shared" si="4"/>
        <v>8.3333333333333329E-2</v>
      </c>
      <c r="L304" s="59">
        <f>ROUND(INDEX(DetailByDistrict[],MATCH($H304,DetailByDistrict[Dist],0),MATCH(L$2,DetailByDistrict[#Headers],0))*K304,2)</f>
        <v>65.25</v>
      </c>
      <c r="M304" s="59">
        <f>ROUND(INDEX(DetailByDistrict[],MATCH($H304,DetailByDistrict[Dist],0),MATCH(M$2,DetailByDistrict[#Headers],0))*K304,2)</f>
        <v>72.75</v>
      </c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spans="1:26" ht="15.75" customHeight="1" x14ac:dyDescent="0.25">
      <c r="A305" s="57" t="s">
        <v>60</v>
      </c>
      <c r="B305" s="54" t="s">
        <v>1021</v>
      </c>
      <c r="C305" s="54" t="s">
        <v>942</v>
      </c>
      <c r="D305" s="53">
        <v>6795</v>
      </c>
      <c r="E305" s="53">
        <v>8115</v>
      </c>
      <c r="F305" s="54" t="s">
        <v>1036</v>
      </c>
      <c r="G305" s="53" t="s">
        <v>78</v>
      </c>
      <c r="H305" s="58" t="str">
        <f>_xlfn.IFNA(INDEX(ActiveSchools!$C$2:$F$326,MATCH(G305,ActiveSchools!$F$2:$F$326,0),1),"Total")</f>
        <v>1908</v>
      </c>
      <c r="I305" s="53">
        <v>2</v>
      </c>
      <c r="J305" s="59">
        <f>_xlfn.IFNA(INDEX(DetailByDistrict[],MATCH($H305,DetailByDistrict[Dist],0),MATCH(J$2,DetailByDistrict[#Headers],0)),0)</f>
        <v>16</v>
      </c>
      <c r="K305" s="54">
        <f t="shared" si="4"/>
        <v>0.125</v>
      </c>
      <c r="L305" s="59">
        <f>ROUND(INDEX(DetailByDistrict[],MATCH($H305,DetailByDistrict[Dist],0),MATCH(L$2,DetailByDistrict[#Headers],0))*K305,2)</f>
        <v>130.63</v>
      </c>
      <c r="M305" s="59">
        <f>ROUND(INDEX(DetailByDistrict[],MATCH($H305,DetailByDistrict[Dist],0),MATCH(M$2,DetailByDistrict[#Headers],0))*K305,2)</f>
        <v>145.5</v>
      </c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spans="1:26" ht="15.75" customHeight="1" x14ac:dyDescent="0.25">
      <c r="A306" s="57" t="s">
        <v>60</v>
      </c>
      <c r="B306" s="54" t="s">
        <v>1021</v>
      </c>
      <c r="C306" s="54" t="s">
        <v>942</v>
      </c>
      <c r="D306" s="53">
        <v>6795</v>
      </c>
      <c r="E306" s="53">
        <v>8115</v>
      </c>
      <c r="F306" s="54" t="s">
        <v>1052</v>
      </c>
      <c r="G306" s="53" t="s">
        <v>95</v>
      </c>
      <c r="H306" s="58" t="str">
        <f>_xlfn.IFNA(INDEX(ActiveSchools!$C$2:$F$326,MATCH(G306,ActiveSchools!$F$2:$F$326,0),1),"Total")</f>
        <v>3204</v>
      </c>
      <c r="I306" s="53">
        <v>23</v>
      </c>
      <c r="J306" s="59">
        <f>_xlfn.IFNA(INDEX(DetailByDistrict[],MATCH($H306,DetailByDistrict[Dist],0),MATCH(J$2,DetailByDistrict[#Headers],0)),0)</f>
        <v>122</v>
      </c>
      <c r="K306" s="54">
        <f t="shared" si="4"/>
        <v>0.18852459016393441</v>
      </c>
      <c r="L306" s="59">
        <f>ROUND(INDEX(DetailByDistrict[],MATCH($H306,DetailByDistrict[Dist],0),MATCH(L$2,DetailByDistrict[#Headers],0))*K306,2)</f>
        <v>1501.6</v>
      </c>
      <c r="M306" s="59">
        <f>ROUND(INDEX(DetailByDistrict[],MATCH($H306,DetailByDistrict[Dist],0),MATCH(M$2,DetailByDistrict[#Headers],0))*K306,2)</f>
        <v>1673.91</v>
      </c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spans="1:26" ht="15.75" customHeight="1" x14ac:dyDescent="0.25">
      <c r="A307" s="57" t="s">
        <v>60</v>
      </c>
      <c r="B307" s="54" t="s">
        <v>1021</v>
      </c>
      <c r="C307" s="54" t="s">
        <v>942</v>
      </c>
      <c r="D307" s="53">
        <v>6795</v>
      </c>
      <c r="E307" s="53">
        <v>8115</v>
      </c>
      <c r="F307" s="54" t="s">
        <v>1031</v>
      </c>
      <c r="G307" s="53" t="s">
        <v>704</v>
      </c>
      <c r="H307" s="58" t="str">
        <f>_xlfn.IFNA(INDEX(ActiveSchools!$C$2:$F$326,MATCH(G307,ActiveSchools!$F$2:$F$326,0),1),"Total")</f>
        <v>1935</v>
      </c>
      <c r="I307" s="53">
        <v>6</v>
      </c>
      <c r="J307" s="59">
        <f>_xlfn.IFNA(INDEX(DetailByDistrict[],MATCH($H307,DetailByDistrict[Dist],0),MATCH(J$2,DetailByDistrict[#Headers],0)),0)</f>
        <v>35</v>
      </c>
      <c r="K307" s="54">
        <f t="shared" si="4"/>
        <v>0.17142857142857143</v>
      </c>
      <c r="L307" s="59">
        <f>ROUND(INDEX(DetailByDistrict[],MATCH($H307,DetailByDistrict[Dist],0),MATCH(L$2,DetailByDistrict[#Headers],0))*K307,2)</f>
        <v>391.71</v>
      </c>
      <c r="M307" s="59">
        <f>ROUND(INDEX(DetailByDistrict[],MATCH($H307,DetailByDistrict[Dist],0),MATCH(M$2,DetailByDistrict[#Headers],0))*K307,2)</f>
        <v>436.63</v>
      </c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spans="1:26" ht="15.75" customHeight="1" x14ac:dyDescent="0.25">
      <c r="A308" s="57" t="s">
        <v>60</v>
      </c>
      <c r="B308" s="54" t="s">
        <v>1021</v>
      </c>
      <c r="C308" s="54" t="s">
        <v>942</v>
      </c>
      <c r="D308" s="53">
        <v>6795</v>
      </c>
      <c r="E308" s="53">
        <v>8115</v>
      </c>
      <c r="F308" s="54" t="s">
        <v>1065</v>
      </c>
      <c r="G308" s="53" t="s">
        <v>112</v>
      </c>
      <c r="H308" s="58" t="str">
        <f>_xlfn.IFNA(INDEX(ActiveSchools!$C$2:$F$326,MATCH(G308,ActiveSchools!$F$2:$F$326,0),1),"Total")</f>
        <v>6762</v>
      </c>
      <c r="I308" s="53">
        <v>2</v>
      </c>
      <c r="J308" s="59">
        <f>_xlfn.IFNA(INDEX(DetailByDistrict[],MATCH($H308,DetailByDistrict[Dist],0),MATCH(J$2,DetailByDistrict[#Headers],0)),0)</f>
        <v>34</v>
      </c>
      <c r="K308" s="54">
        <f t="shared" si="4"/>
        <v>5.8823529411764705E-2</v>
      </c>
      <c r="L308" s="59">
        <f>ROUND(INDEX(DetailByDistrict[],MATCH($H308,DetailByDistrict[Dist],0),MATCH(L$2,DetailByDistrict[#Headers],0))*K308,2)</f>
        <v>130.59</v>
      </c>
      <c r="M308" s="59">
        <f>ROUND(INDEX(DetailByDistrict[],MATCH($H308,DetailByDistrict[Dist],0),MATCH(M$2,DetailByDistrict[#Headers],0))*K308,2)</f>
        <v>145.59</v>
      </c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spans="1:26" ht="15.75" customHeight="1" x14ac:dyDescent="0.25">
      <c r="A309" s="57" t="s">
        <v>60</v>
      </c>
      <c r="B309" s="54" t="s">
        <v>1021</v>
      </c>
      <c r="C309" s="54" t="s">
        <v>942</v>
      </c>
      <c r="D309" s="53">
        <v>6795</v>
      </c>
      <c r="E309" s="53">
        <v>8115</v>
      </c>
      <c r="F309" s="54" t="s">
        <v>1030</v>
      </c>
      <c r="G309" s="53" t="s">
        <v>113</v>
      </c>
      <c r="H309" s="58" t="str">
        <f>_xlfn.IFNA(INDEX(ActiveSchools!$C$2:$F$326,MATCH(G309,ActiveSchools!$F$2:$F$326,0),1),"Total")</f>
        <v>6795</v>
      </c>
      <c r="I309" s="53">
        <v>73</v>
      </c>
      <c r="J309" s="59">
        <f>_xlfn.IFNA(INDEX(DetailByDistrict[],MATCH($H309,DetailByDistrict[Dist],0),MATCH(J$2,DetailByDistrict[#Headers],0)),0)</f>
        <v>1280</v>
      </c>
      <c r="K309" s="54">
        <f t="shared" si="4"/>
        <v>5.7031249999999999E-2</v>
      </c>
      <c r="L309" s="59">
        <f>ROUND(INDEX(DetailByDistrict[],MATCH($H309,DetailByDistrict[Dist],0),MATCH(L$2,DetailByDistrict[#Headers],0))*K309,2)</f>
        <v>4766.16</v>
      </c>
      <c r="M309" s="59">
        <f>ROUND(INDEX(DetailByDistrict[],MATCH($H309,DetailByDistrict[Dist],0),MATCH(M$2,DetailByDistrict[#Headers],0))*K309,2)</f>
        <v>5312.92</v>
      </c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spans="1:26" ht="15.75" customHeight="1" x14ac:dyDescent="0.25">
      <c r="A310" s="57" t="s">
        <v>60</v>
      </c>
      <c r="B310" s="54" t="s">
        <v>1021</v>
      </c>
      <c r="C310" s="54" t="s">
        <v>943</v>
      </c>
      <c r="D310" s="53">
        <v>6795</v>
      </c>
      <c r="E310" s="53">
        <v>8401</v>
      </c>
      <c r="F310" s="54" t="s">
        <v>1035</v>
      </c>
      <c r="G310" s="53" t="s">
        <v>71</v>
      </c>
      <c r="H310" s="58" t="str">
        <f>_xlfn.IFNA(INDEX(ActiveSchools!$C$2:$F$326,MATCH(G310,ActiveSchools!$F$2:$F$326,0),1),"Total")</f>
        <v>1044</v>
      </c>
      <c r="I310" s="53">
        <v>6</v>
      </c>
      <c r="J310" s="59">
        <f>_xlfn.IFNA(INDEX(DetailByDistrict[],MATCH($H310,DetailByDistrict[Dist],0),MATCH(J$2,DetailByDistrict[#Headers],0)),0)</f>
        <v>387</v>
      </c>
      <c r="K310" s="54">
        <f t="shared" si="4"/>
        <v>1.5503875968992248E-2</v>
      </c>
      <c r="L310" s="59">
        <f>ROUND(INDEX(DetailByDistrict[],MATCH($H310,DetailByDistrict[Dist],0),MATCH(L$2,DetailByDistrict[#Headers],0))*K310,2)</f>
        <v>391.74</v>
      </c>
      <c r="M310" s="59">
        <f>ROUND(INDEX(DetailByDistrict[],MATCH($H310,DetailByDistrict[Dist],0),MATCH(M$2,DetailByDistrict[#Headers],0))*K310,2)</f>
        <v>436.68</v>
      </c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spans="1:26" ht="15.75" customHeight="1" x14ac:dyDescent="0.25">
      <c r="A311" s="57" t="s">
        <v>60</v>
      </c>
      <c r="B311" s="54" t="s">
        <v>1021</v>
      </c>
      <c r="C311" s="54" t="s">
        <v>943</v>
      </c>
      <c r="D311" s="53">
        <v>6795</v>
      </c>
      <c r="E311" s="53">
        <v>8401</v>
      </c>
      <c r="F311" s="54" t="s">
        <v>1031</v>
      </c>
      <c r="G311" s="53" t="s">
        <v>704</v>
      </c>
      <c r="H311" s="58" t="str">
        <f>_xlfn.IFNA(INDEX(ActiveSchools!$C$2:$F$326,MATCH(G311,ActiveSchools!$F$2:$F$326,0),1),"Total")</f>
        <v>1935</v>
      </c>
      <c r="I311" s="53">
        <v>1</v>
      </c>
      <c r="J311" s="59">
        <f>_xlfn.IFNA(INDEX(DetailByDistrict[],MATCH($H311,DetailByDistrict[Dist],0),MATCH(J$2,DetailByDistrict[#Headers],0)),0)</f>
        <v>35</v>
      </c>
      <c r="K311" s="54">
        <f t="shared" si="4"/>
        <v>2.8571428571428571E-2</v>
      </c>
      <c r="L311" s="59">
        <f>ROUND(INDEX(DetailByDistrict[],MATCH($H311,DetailByDistrict[Dist],0),MATCH(L$2,DetailByDistrict[#Headers],0))*K311,2)</f>
        <v>65.290000000000006</v>
      </c>
      <c r="M311" s="59">
        <f>ROUND(INDEX(DetailByDistrict[],MATCH($H311,DetailByDistrict[Dist],0),MATCH(M$2,DetailByDistrict[#Headers],0))*K311,2)</f>
        <v>72.77</v>
      </c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spans="1:26" ht="15.75" customHeight="1" x14ac:dyDescent="0.25">
      <c r="A312" s="57" t="s">
        <v>60</v>
      </c>
      <c r="B312" s="54" t="s">
        <v>1021</v>
      </c>
      <c r="C312" s="54" t="s">
        <v>943</v>
      </c>
      <c r="D312" s="53">
        <v>6795</v>
      </c>
      <c r="E312" s="53">
        <v>8401</v>
      </c>
      <c r="F312" s="54" t="s">
        <v>1030</v>
      </c>
      <c r="G312" s="53" t="s">
        <v>113</v>
      </c>
      <c r="H312" s="58" t="str">
        <f>_xlfn.IFNA(INDEX(ActiveSchools!$C$2:$F$326,MATCH(G312,ActiveSchools!$F$2:$F$326,0),1),"Total")</f>
        <v>6795</v>
      </c>
      <c r="I312" s="53">
        <v>28</v>
      </c>
      <c r="J312" s="59">
        <f>_xlfn.IFNA(INDEX(DetailByDistrict[],MATCH($H312,DetailByDistrict[Dist],0),MATCH(J$2,DetailByDistrict[#Headers],0)),0)</f>
        <v>1280</v>
      </c>
      <c r="K312" s="54">
        <f t="shared" si="4"/>
        <v>2.1874999999999999E-2</v>
      </c>
      <c r="L312" s="59">
        <f>ROUND(INDEX(DetailByDistrict[],MATCH($H312,DetailByDistrict[Dist],0),MATCH(L$2,DetailByDistrict[#Headers],0))*K312,2)</f>
        <v>1828.12</v>
      </c>
      <c r="M312" s="59">
        <f>ROUND(INDEX(DetailByDistrict[],MATCH($H312,DetailByDistrict[Dist],0),MATCH(M$2,DetailByDistrict[#Headers],0))*K312,2)</f>
        <v>2037.83</v>
      </c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spans="1:26" ht="15.75" customHeight="1" x14ac:dyDescent="0.25">
      <c r="A313" s="57" t="s">
        <v>60</v>
      </c>
      <c r="B313" s="54" t="s">
        <v>1021</v>
      </c>
      <c r="C313" s="54" t="s">
        <v>944</v>
      </c>
      <c r="D313" s="53">
        <v>6795</v>
      </c>
      <c r="E313" s="53">
        <v>8501</v>
      </c>
      <c r="F313" s="54" t="s">
        <v>1035</v>
      </c>
      <c r="G313" s="53" t="s">
        <v>71</v>
      </c>
      <c r="H313" s="58" t="str">
        <f>_xlfn.IFNA(INDEX(ActiveSchools!$C$2:$F$326,MATCH(G313,ActiveSchools!$F$2:$F$326,0),1),"Total")</f>
        <v>1044</v>
      </c>
      <c r="I313" s="53">
        <v>64</v>
      </c>
      <c r="J313" s="59">
        <f>_xlfn.IFNA(INDEX(DetailByDistrict[],MATCH($H313,DetailByDistrict[Dist],0),MATCH(J$2,DetailByDistrict[#Headers],0)),0)</f>
        <v>387</v>
      </c>
      <c r="K313" s="54">
        <f t="shared" si="4"/>
        <v>0.16537467700258399</v>
      </c>
      <c r="L313" s="59">
        <f>ROUND(INDEX(DetailByDistrict[],MATCH($H313,DetailByDistrict[Dist],0),MATCH(L$2,DetailByDistrict[#Headers],0))*K313,2)</f>
        <v>4178.5200000000004</v>
      </c>
      <c r="M313" s="59">
        <f>ROUND(INDEX(DetailByDistrict[],MATCH($H313,DetailByDistrict[Dist],0),MATCH(M$2,DetailByDistrict[#Headers],0))*K313,2)</f>
        <v>4657.9399999999996</v>
      </c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spans="1:26" ht="15.75" customHeight="1" x14ac:dyDescent="0.25">
      <c r="A314" s="57" t="s">
        <v>60</v>
      </c>
      <c r="B314" s="54" t="s">
        <v>1021</v>
      </c>
      <c r="C314" s="54" t="s">
        <v>944</v>
      </c>
      <c r="D314" s="53">
        <v>6795</v>
      </c>
      <c r="E314" s="53">
        <v>8501</v>
      </c>
      <c r="F314" s="54" t="s">
        <v>1067</v>
      </c>
      <c r="G314" s="53" t="s">
        <v>77</v>
      </c>
      <c r="H314" s="58" t="str">
        <f>_xlfn.IFNA(INDEX(ActiveSchools!$C$2:$F$326,MATCH(G314,ActiveSchools!$F$2:$F$326,0),1),"Total")</f>
        <v>1791</v>
      </c>
      <c r="I314" s="53">
        <v>4</v>
      </c>
      <c r="J314" s="59">
        <f>_xlfn.IFNA(INDEX(DetailByDistrict[],MATCH($H314,DetailByDistrict[Dist],0),MATCH(J$2,DetailByDistrict[#Headers],0)),0)</f>
        <v>12</v>
      </c>
      <c r="K314" s="54">
        <f t="shared" si="4"/>
        <v>0.33333333333333331</v>
      </c>
      <c r="L314" s="59">
        <f>ROUND(INDEX(DetailByDistrict[],MATCH($H314,DetailByDistrict[Dist],0),MATCH(L$2,DetailByDistrict[#Headers],0))*K314,2)</f>
        <v>261</v>
      </c>
      <c r="M314" s="59">
        <f>ROUND(INDEX(DetailByDistrict[],MATCH($H314,DetailByDistrict[Dist],0),MATCH(M$2,DetailByDistrict[#Headers],0))*K314,2)</f>
        <v>291</v>
      </c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spans="1:26" ht="15.75" customHeight="1" x14ac:dyDescent="0.25">
      <c r="A315" s="57" t="s">
        <v>60</v>
      </c>
      <c r="B315" s="54" t="s">
        <v>1021</v>
      </c>
      <c r="C315" s="54" t="s">
        <v>944</v>
      </c>
      <c r="D315" s="53">
        <v>6795</v>
      </c>
      <c r="E315" s="53">
        <v>8501</v>
      </c>
      <c r="F315" s="54" t="s">
        <v>1036</v>
      </c>
      <c r="G315" s="53" t="s">
        <v>78</v>
      </c>
      <c r="H315" s="58" t="str">
        <f>_xlfn.IFNA(INDEX(ActiveSchools!$C$2:$F$326,MATCH(G315,ActiveSchools!$F$2:$F$326,0),1),"Total")</f>
        <v>1908</v>
      </c>
      <c r="I315" s="53">
        <v>4</v>
      </c>
      <c r="J315" s="59">
        <f>_xlfn.IFNA(INDEX(DetailByDistrict[],MATCH($H315,DetailByDistrict[Dist],0),MATCH(J$2,DetailByDistrict[#Headers],0)),0)</f>
        <v>16</v>
      </c>
      <c r="K315" s="54">
        <f t="shared" si="4"/>
        <v>0.25</v>
      </c>
      <c r="L315" s="59">
        <f>ROUND(INDEX(DetailByDistrict[],MATCH($H315,DetailByDistrict[Dist],0),MATCH(L$2,DetailByDistrict[#Headers],0))*K315,2)</f>
        <v>261.25</v>
      </c>
      <c r="M315" s="59">
        <f>ROUND(INDEX(DetailByDistrict[],MATCH($H315,DetailByDistrict[Dist],0),MATCH(M$2,DetailByDistrict[#Headers],0))*K315,2)</f>
        <v>291</v>
      </c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spans="1:26" ht="15.75" customHeight="1" x14ac:dyDescent="0.25">
      <c r="A316" s="57" t="s">
        <v>60</v>
      </c>
      <c r="B316" s="54" t="s">
        <v>1021</v>
      </c>
      <c r="C316" s="54" t="s">
        <v>944</v>
      </c>
      <c r="D316" s="53">
        <v>6795</v>
      </c>
      <c r="E316" s="53">
        <v>8501</v>
      </c>
      <c r="F316" s="54" t="s">
        <v>1037</v>
      </c>
      <c r="G316" s="53" t="s">
        <v>91</v>
      </c>
      <c r="H316" s="58" t="str">
        <f>_xlfn.IFNA(INDEX(ActiveSchools!$C$2:$F$326,MATCH(G316,ActiveSchools!$F$2:$F$326,0),1),"Total")</f>
        <v>3042</v>
      </c>
      <c r="I316" s="53">
        <v>5</v>
      </c>
      <c r="J316" s="59">
        <f>_xlfn.IFNA(INDEX(DetailByDistrict[],MATCH($H316,DetailByDistrict[Dist],0),MATCH(J$2,DetailByDistrict[#Headers],0)),0)</f>
        <v>26</v>
      </c>
      <c r="K316" s="54">
        <f t="shared" si="4"/>
        <v>0.19230769230769232</v>
      </c>
      <c r="L316" s="59">
        <f>ROUND(INDEX(DetailByDistrict[],MATCH($H316,DetailByDistrict[Dist],0),MATCH(L$2,DetailByDistrict[#Headers],0))*K316,2)</f>
        <v>326.54000000000002</v>
      </c>
      <c r="M316" s="59">
        <f>ROUND(INDEX(DetailByDistrict[],MATCH($H316,DetailByDistrict[Dist],0),MATCH(M$2,DetailByDistrict[#Headers],0))*K316,2)</f>
        <v>363.85</v>
      </c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spans="1:26" ht="15.75" customHeight="1" x14ac:dyDescent="0.25">
      <c r="A317" s="57" t="s">
        <v>60</v>
      </c>
      <c r="B317" s="54" t="s">
        <v>1021</v>
      </c>
      <c r="C317" s="54" t="s">
        <v>944</v>
      </c>
      <c r="D317" s="53">
        <v>6795</v>
      </c>
      <c r="E317" s="53">
        <v>8501</v>
      </c>
      <c r="F317" s="54" t="s">
        <v>1068</v>
      </c>
      <c r="G317" s="53" t="s">
        <v>94</v>
      </c>
      <c r="H317" s="58" t="str">
        <f>_xlfn.IFNA(INDEX(ActiveSchools!$C$2:$F$326,MATCH(G317,ActiveSchools!$F$2:$F$326,0),1),"Total")</f>
        <v>3186</v>
      </c>
      <c r="I317" s="53">
        <v>4</v>
      </c>
      <c r="J317" s="59">
        <f>_xlfn.IFNA(INDEX(DetailByDistrict[],MATCH($H317,DetailByDistrict[Dist],0),MATCH(J$2,DetailByDistrict[#Headers],0)),0)</f>
        <v>20</v>
      </c>
      <c r="K317" s="54">
        <f t="shared" si="4"/>
        <v>0.2</v>
      </c>
      <c r="L317" s="59">
        <f>ROUND(INDEX(DetailByDistrict[],MATCH($H317,DetailByDistrict[Dist],0),MATCH(L$2,DetailByDistrict[#Headers],0))*K317,2)</f>
        <v>261.2</v>
      </c>
      <c r="M317" s="59">
        <f>ROUND(INDEX(DetailByDistrict[],MATCH($H317,DetailByDistrict[Dist],0),MATCH(M$2,DetailByDistrict[#Headers],0))*K317,2)</f>
        <v>291.2</v>
      </c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spans="1:26" ht="15.75" customHeight="1" x14ac:dyDescent="0.25">
      <c r="A318" s="57" t="s">
        <v>60</v>
      </c>
      <c r="B318" s="54" t="s">
        <v>1021</v>
      </c>
      <c r="C318" s="54" t="s">
        <v>944</v>
      </c>
      <c r="D318" s="53">
        <v>6795</v>
      </c>
      <c r="E318" s="53">
        <v>8501</v>
      </c>
      <c r="F318" s="54" t="s">
        <v>1052</v>
      </c>
      <c r="G318" s="53" t="s">
        <v>95</v>
      </c>
      <c r="H318" s="58" t="str">
        <f>_xlfn.IFNA(INDEX(ActiveSchools!$C$2:$F$326,MATCH(G318,ActiveSchools!$F$2:$F$326,0),1),"Total")</f>
        <v>3204</v>
      </c>
      <c r="I318" s="53">
        <v>1</v>
      </c>
      <c r="J318" s="59">
        <f>_xlfn.IFNA(INDEX(DetailByDistrict[],MATCH($H318,DetailByDistrict[Dist],0),MATCH(J$2,DetailByDistrict[#Headers],0)),0)</f>
        <v>122</v>
      </c>
      <c r="K318" s="54">
        <f t="shared" si="4"/>
        <v>8.1967213114754103E-3</v>
      </c>
      <c r="L318" s="59">
        <f>ROUND(INDEX(DetailByDistrict[],MATCH($H318,DetailByDistrict[Dist],0),MATCH(L$2,DetailByDistrict[#Headers],0))*K318,2)</f>
        <v>65.290000000000006</v>
      </c>
      <c r="M318" s="59">
        <f>ROUND(INDEX(DetailByDistrict[],MATCH($H318,DetailByDistrict[Dist],0),MATCH(M$2,DetailByDistrict[#Headers],0))*K318,2)</f>
        <v>72.78</v>
      </c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spans="1:26" ht="15.75" customHeight="1" x14ac:dyDescent="0.25">
      <c r="A319" s="57" t="s">
        <v>60</v>
      </c>
      <c r="B319" s="54" t="s">
        <v>1021</v>
      </c>
      <c r="C319" s="54" t="s">
        <v>944</v>
      </c>
      <c r="D319" s="53">
        <v>6795</v>
      </c>
      <c r="E319" s="53">
        <v>8501</v>
      </c>
      <c r="F319" s="54" t="s">
        <v>1043</v>
      </c>
      <c r="G319" s="53" t="s">
        <v>100</v>
      </c>
      <c r="H319" s="58" t="str">
        <f>_xlfn.IFNA(INDEX(ActiveSchools!$C$2:$F$326,MATCH(G319,ActiveSchools!$F$2:$F$326,0),1),"Total")</f>
        <v>4599</v>
      </c>
      <c r="I319" s="53">
        <v>2</v>
      </c>
      <c r="J319" s="59">
        <f>_xlfn.IFNA(INDEX(DetailByDistrict[],MATCH($H319,DetailByDistrict[Dist],0),MATCH(J$2,DetailByDistrict[#Headers],0)),0)</f>
        <v>14</v>
      </c>
      <c r="K319" s="54">
        <f t="shared" si="4"/>
        <v>0.14285714285714285</v>
      </c>
      <c r="L319" s="59">
        <f>ROUND(INDEX(DetailByDistrict[],MATCH($H319,DetailByDistrict[Dist],0),MATCH(L$2,DetailByDistrict[#Headers],0))*K319,2)</f>
        <v>130.57</v>
      </c>
      <c r="M319" s="59">
        <f>ROUND(INDEX(DetailByDistrict[],MATCH($H319,DetailByDistrict[Dist],0),MATCH(M$2,DetailByDistrict[#Headers],0))*K319,2)</f>
        <v>145.57</v>
      </c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spans="1:26" ht="15.75" customHeight="1" x14ac:dyDescent="0.25">
      <c r="A320" s="57" t="s">
        <v>60</v>
      </c>
      <c r="B320" s="54" t="s">
        <v>1021</v>
      </c>
      <c r="C320" s="54" t="s">
        <v>944</v>
      </c>
      <c r="D320" s="53">
        <v>6795</v>
      </c>
      <c r="E320" s="53">
        <v>8501</v>
      </c>
      <c r="F320" s="54" t="s">
        <v>1030</v>
      </c>
      <c r="G320" s="53" t="s">
        <v>113</v>
      </c>
      <c r="H320" s="58" t="str">
        <f>_xlfn.IFNA(INDEX(ActiveSchools!$C$2:$F$326,MATCH(G320,ActiveSchools!$F$2:$F$326,0),1),"Total")</f>
        <v>6795</v>
      </c>
      <c r="I320" s="53">
        <v>85</v>
      </c>
      <c r="J320" s="59">
        <f>_xlfn.IFNA(INDEX(DetailByDistrict[],MATCH($H320,DetailByDistrict[Dist],0),MATCH(J$2,DetailByDistrict[#Headers],0)),0)</f>
        <v>1280</v>
      </c>
      <c r="K320" s="54">
        <f t="shared" si="4"/>
        <v>6.640625E-2</v>
      </c>
      <c r="L320" s="59">
        <f>ROUND(INDEX(DetailByDistrict[],MATCH($H320,DetailByDistrict[Dist],0),MATCH(L$2,DetailByDistrict[#Headers],0))*K320,2)</f>
        <v>5549.64</v>
      </c>
      <c r="M320" s="59">
        <f>ROUND(INDEX(DetailByDistrict[],MATCH($H320,DetailByDistrict[Dist],0),MATCH(M$2,DetailByDistrict[#Headers],0))*K320,2)</f>
        <v>6186.27</v>
      </c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spans="1:26" ht="15.75" customHeight="1" x14ac:dyDescent="0.25">
      <c r="A321" s="57" t="s">
        <v>60</v>
      </c>
      <c r="B321" s="54" t="s">
        <v>1021</v>
      </c>
      <c r="C321" s="54" t="s">
        <v>945</v>
      </c>
      <c r="D321" s="53">
        <v>6795</v>
      </c>
      <c r="E321" s="53">
        <v>8502</v>
      </c>
      <c r="F321" s="54" t="s">
        <v>1035</v>
      </c>
      <c r="G321" s="53" t="s">
        <v>71</v>
      </c>
      <c r="H321" s="58" t="str">
        <f>_xlfn.IFNA(INDEX(ActiveSchools!$C$2:$F$326,MATCH(G321,ActiveSchools!$F$2:$F$326,0),1),"Total")</f>
        <v>1044</v>
      </c>
      <c r="I321" s="53">
        <v>20</v>
      </c>
      <c r="J321" s="59">
        <f>_xlfn.IFNA(INDEX(DetailByDistrict[],MATCH($H321,DetailByDistrict[Dist],0),MATCH(J$2,DetailByDistrict[#Headers],0)),0)</f>
        <v>387</v>
      </c>
      <c r="K321" s="54">
        <f t="shared" si="4"/>
        <v>5.1679586563307491E-2</v>
      </c>
      <c r="L321" s="59">
        <f>ROUND(INDEX(DetailByDistrict[],MATCH($H321,DetailByDistrict[Dist],0),MATCH(L$2,DetailByDistrict[#Headers],0))*K321,2)</f>
        <v>1305.79</v>
      </c>
      <c r="M321" s="59">
        <f>ROUND(INDEX(DetailByDistrict[],MATCH($H321,DetailByDistrict[Dist],0),MATCH(M$2,DetailByDistrict[#Headers],0))*K321,2)</f>
        <v>1455.61</v>
      </c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spans="1:26" ht="15.75" customHeight="1" x14ac:dyDescent="0.25">
      <c r="A322" s="57" t="s">
        <v>60</v>
      </c>
      <c r="B322" s="54" t="s">
        <v>1021</v>
      </c>
      <c r="C322" s="54" t="s">
        <v>945</v>
      </c>
      <c r="D322" s="53">
        <v>6795</v>
      </c>
      <c r="E322" s="53">
        <v>8502</v>
      </c>
      <c r="F322" s="54" t="s">
        <v>1039</v>
      </c>
      <c r="G322" s="53" t="s">
        <v>76</v>
      </c>
      <c r="H322" s="58" t="str">
        <f>_xlfn.IFNA(INDEX(ActiveSchools!$C$2:$F$326,MATCH(G322,ActiveSchools!$F$2:$F$326,0),1),"Total")</f>
        <v>1719</v>
      </c>
      <c r="I322" s="53">
        <v>1</v>
      </c>
      <c r="J322" s="59">
        <f>_xlfn.IFNA(INDEX(DetailByDistrict[],MATCH($H322,DetailByDistrict[Dist],0),MATCH(J$2,DetailByDistrict[#Headers],0)),0)</f>
        <v>14</v>
      </c>
      <c r="K322" s="54">
        <f t="shared" si="4"/>
        <v>7.1428571428571425E-2</v>
      </c>
      <c r="L322" s="59">
        <f>ROUND(INDEX(DetailByDistrict[],MATCH($H322,DetailByDistrict[Dist],0),MATCH(L$2,DetailByDistrict[#Headers],0))*K322,2)</f>
        <v>65.290000000000006</v>
      </c>
      <c r="M322" s="59">
        <f>ROUND(INDEX(DetailByDistrict[],MATCH($H322,DetailByDistrict[Dist],0),MATCH(M$2,DetailByDistrict[#Headers],0))*K322,2)</f>
        <v>72.790000000000006</v>
      </c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spans="1:26" ht="15.75" customHeight="1" x14ac:dyDescent="0.25">
      <c r="A323" s="57" t="s">
        <v>60</v>
      </c>
      <c r="B323" s="54" t="s">
        <v>1021</v>
      </c>
      <c r="C323" s="54" t="s">
        <v>945</v>
      </c>
      <c r="D323" s="53">
        <v>6795</v>
      </c>
      <c r="E323" s="53">
        <v>8502</v>
      </c>
      <c r="F323" s="54" t="s">
        <v>1067</v>
      </c>
      <c r="G323" s="53" t="s">
        <v>77</v>
      </c>
      <c r="H323" s="58" t="str">
        <f>_xlfn.IFNA(INDEX(ActiveSchools!$C$2:$F$326,MATCH(G323,ActiveSchools!$F$2:$F$326,0),1),"Total")</f>
        <v>1791</v>
      </c>
      <c r="I323" s="53">
        <v>1</v>
      </c>
      <c r="J323" s="59">
        <f>_xlfn.IFNA(INDEX(DetailByDistrict[],MATCH($H323,DetailByDistrict[Dist],0),MATCH(J$2,DetailByDistrict[#Headers],0)),0)</f>
        <v>12</v>
      </c>
      <c r="K323" s="54">
        <f t="shared" si="4"/>
        <v>8.3333333333333329E-2</v>
      </c>
      <c r="L323" s="59">
        <f>ROUND(INDEX(DetailByDistrict[],MATCH($H323,DetailByDistrict[Dist],0),MATCH(L$2,DetailByDistrict[#Headers],0))*K323,2)</f>
        <v>65.25</v>
      </c>
      <c r="M323" s="59">
        <f>ROUND(INDEX(DetailByDistrict[],MATCH($H323,DetailByDistrict[Dist],0),MATCH(M$2,DetailByDistrict[#Headers],0))*K323,2)</f>
        <v>72.75</v>
      </c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spans="1:26" ht="15.75" customHeight="1" x14ac:dyDescent="0.25">
      <c r="A324" s="57" t="s">
        <v>60</v>
      </c>
      <c r="B324" s="54" t="s">
        <v>1021</v>
      </c>
      <c r="C324" s="54" t="s">
        <v>945</v>
      </c>
      <c r="D324" s="53">
        <v>6795</v>
      </c>
      <c r="E324" s="53">
        <v>8502</v>
      </c>
      <c r="F324" s="54" t="s">
        <v>1037</v>
      </c>
      <c r="G324" s="53" t="s">
        <v>91</v>
      </c>
      <c r="H324" s="58" t="str">
        <f>_xlfn.IFNA(INDEX(ActiveSchools!$C$2:$F$326,MATCH(G324,ActiveSchools!$F$2:$F$326,0),1),"Total")</f>
        <v>3042</v>
      </c>
      <c r="I324" s="53">
        <v>2</v>
      </c>
      <c r="J324" s="59">
        <f>_xlfn.IFNA(INDEX(DetailByDistrict[],MATCH($H324,DetailByDistrict[Dist],0),MATCH(J$2,DetailByDistrict[#Headers],0)),0)</f>
        <v>26</v>
      </c>
      <c r="K324" s="54">
        <f t="shared" ref="K324:K387" si="5">I324/J324</f>
        <v>7.6923076923076927E-2</v>
      </c>
      <c r="L324" s="59">
        <f>ROUND(INDEX(DetailByDistrict[],MATCH($H324,DetailByDistrict[Dist],0),MATCH(L$2,DetailByDistrict[#Headers],0))*K324,2)</f>
        <v>130.62</v>
      </c>
      <c r="M324" s="59">
        <f>ROUND(INDEX(DetailByDistrict[],MATCH($H324,DetailByDistrict[Dist],0),MATCH(M$2,DetailByDistrict[#Headers],0))*K324,2)</f>
        <v>145.54</v>
      </c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spans="1:26" ht="15.75" customHeight="1" x14ac:dyDescent="0.25">
      <c r="A325" s="57" t="s">
        <v>60</v>
      </c>
      <c r="B325" s="54" t="s">
        <v>1021</v>
      </c>
      <c r="C325" s="54" t="s">
        <v>945</v>
      </c>
      <c r="D325" s="53">
        <v>6795</v>
      </c>
      <c r="E325" s="53">
        <v>8502</v>
      </c>
      <c r="F325" s="54" t="s">
        <v>1068</v>
      </c>
      <c r="G325" s="53" t="s">
        <v>94</v>
      </c>
      <c r="H325" s="58" t="str">
        <f>_xlfn.IFNA(INDEX(ActiveSchools!$C$2:$F$326,MATCH(G325,ActiveSchools!$F$2:$F$326,0),1),"Total")</f>
        <v>3186</v>
      </c>
      <c r="I325" s="53">
        <v>3</v>
      </c>
      <c r="J325" s="59">
        <f>_xlfn.IFNA(INDEX(DetailByDistrict[],MATCH($H325,DetailByDistrict[Dist],0),MATCH(J$2,DetailByDistrict[#Headers],0)),0)</f>
        <v>20</v>
      </c>
      <c r="K325" s="54">
        <f t="shared" si="5"/>
        <v>0.15</v>
      </c>
      <c r="L325" s="59">
        <f>ROUND(INDEX(DetailByDistrict[],MATCH($H325,DetailByDistrict[Dist],0),MATCH(L$2,DetailByDistrict[#Headers],0))*K325,2)</f>
        <v>195.9</v>
      </c>
      <c r="M325" s="59">
        <f>ROUND(INDEX(DetailByDistrict[],MATCH($H325,DetailByDistrict[Dist],0),MATCH(M$2,DetailByDistrict[#Headers],0))*K325,2)</f>
        <v>218.4</v>
      </c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spans="1:26" ht="15.75" customHeight="1" x14ac:dyDescent="0.25">
      <c r="A326" s="57" t="s">
        <v>60</v>
      </c>
      <c r="B326" s="54" t="s">
        <v>1021</v>
      </c>
      <c r="C326" s="54" t="s">
        <v>945</v>
      </c>
      <c r="D326" s="53">
        <v>6795</v>
      </c>
      <c r="E326" s="53">
        <v>8502</v>
      </c>
      <c r="F326" s="54" t="s">
        <v>1043</v>
      </c>
      <c r="G326" s="53" t="s">
        <v>100</v>
      </c>
      <c r="H326" s="58" t="str">
        <f>_xlfn.IFNA(INDEX(ActiveSchools!$C$2:$F$326,MATCH(G326,ActiveSchools!$F$2:$F$326,0),1),"Total")</f>
        <v>4599</v>
      </c>
      <c r="I326" s="53">
        <v>1</v>
      </c>
      <c r="J326" s="59">
        <f>_xlfn.IFNA(INDEX(DetailByDistrict[],MATCH($H326,DetailByDistrict[Dist],0),MATCH(J$2,DetailByDistrict[#Headers],0)),0)</f>
        <v>14</v>
      </c>
      <c r="K326" s="54">
        <f t="shared" si="5"/>
        <v>7.1428571428571425E-2</v>
      </c>
      <c r="L326" s="59">
        <f>ROUND(INDEX(DetailByDistrict[],MATCH($H326,DetailByDistrict[Dist],0),MATCH(L$2,DetailByDistrict[#Headers],0))*K326,2)</f>
        <v>65.290000000000006</v>
      </c>
      <c r="M326" s="59">
        <f>ROUND(INDEX(DetailByDistrict[],MATCH($H326,DetailByDistrict[Dist],0),MATCH(M$2,DetailByDistrict[#Headers],0))*K326,2)</f>
        <v>72.790000000000006</v>
      </c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spans="1:26" ht="15.75" customHeight="1" x14ac:dyDescent="0.25">
      <c r="A327" s="57" t="s">
        <v>60</v>
      </c>
      <c r="B327" s="54" t="s">
        <v>1021</v>
      </c>
      <c r="C327" s="54" t="s">
        <v>945</v>
      </c>
      <c r="D327" s="53">
        <v>6795</v>
      </c>
      <c r="E327" s="53">
        <v>8502</v>
      </c>
      <c r="F327" s="54" t="s">
        <v>1031</v>
      </c>
      <c r="G327" s="53" t="s">
        <v>704</v>
      </c>
      <c r="H327" s="58" t="str">
        <f>_xlfn.IFNA(INDEX(ActiveSchools!$C$2:$F$326,MATCH(G327,ActiveSchools!$F$2:$F$326,0),1),"Total")</f>
        <v>1935</v>
      </c>
      <c r="I327" s="53">
        <v>2</v>
      </c>
      <c r="J327" s="59">
        <f>_xlfn.IFNA(INDEX(DetailByDistrict[],MATCH($H327,DetailByDistrict[Dist],0),MATCH(J$2,DetailByDistrict[#Headers],0)),0)</f>
        <v>35</v>
      </c>
      <c r="K327" s="54">
        <f t="shared" si="5"/>
        <v>5.7142857142857141E-2</v>
      </c>
      <c r="L327" s="59">
        <f>ROUND(INDEX(DetailByDistrict[],MATCH($H327,DetailByDistrict[Dist],0),MATCH(L$2,DetailByDistrict[#Headers],0))*K327,2)</f>
        <v>130.57</v>
      </c>
      <c r="M327" s="59">
        <f>ROUND(INDEX(DetailByDistrict[],MATCH($H327,DetailByDistrict[Dist],0),MATCH(M$2,DetailByDistrict[#Headers],0))*K327,2)</f>
        <v>145.54</v>
      </c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spans="1:26" ht="15.75" customHeight="1" x14ac:dyDescent="0.25">
      <c r="A328" s="57" t="s">
        <v>60</v>
      </c>
      <c r="B328" s="54" t="s">
        <v>1021</v>
      </c>
      <c r="C328" s="54" t="s">
        <v>945</v>
      </c>
      <c r="D328" s="53">
        <v>6795</v>
      </c>
      <c r="E328" s="53">
        <v>8502</v>
      </c>
      <c r="F328" s="54" t="s">
        <v>1030</v>
      </c>
      <c r="G328" s="53" t="s">
        <v>113</v>
      </c>
      <c r="H328" s="58" t="str">
        <f>_xlfn.IFNA(INDEX(ActiveSchools!$C$2:$F$326,MATCH(G328,ActiveSchools!$F$2:$F$326,0),1),"Total")</f>
        <v>6795</v>
      </c>
      <c r="I328" s="53">
        <v>40</v>
      </c>
      <c r="J328" s="59">
        <f>_xlfn.IFNA(INDEX(DetailByDistrict[],MATCH($H328,DetailByDistrict[Dist],0),MATCH(J$2,DetailByDistrict[#Headers],0)),0)</f>
        <v>1280</v>
      </c>
      <c r="K328" s="54">
        <f t="shared" si="5"/>
        <v>3.125E-2</v>
      </c>
      <c r="L328" s="59">
        <f>ROUND(INDEX(DetailByDistrict[],MATCH($H328,DetailByDistrict[Dist],0),MATCH(L$2,DetailByDistrict[#Headers],0))*K328,2)</f>
        <v>2611.59</v>
      </c>
      <c r="M328" s="59">
        <f>ROUND(INDEX(DetailByDistrict[],MATCH($H328,DetailByDistrict[Dist],0),MATCH(M$2,DetailByDistrict[#Headers],0))*K328,2)</f>
        <v>2911.19</v>
      </c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spans="1:26" ht="15.75" customHeight="1" x14ac:dyDescent="0.25">
      <c r="A329" s="57" t="s">
        <v>60</v>
      </c>
      <c r="B329" s="54" t="s">
        <v>1021</v>
      </c>
      <c r="C329" s="54" t="s">
        <v>946</v>
      </c>
      <c r="D329" s="53">
        <v>6795</v>
      </c>
      <c r="E329" s="53">
        <v>8503</v>
      </c>
      <c r="F329" s="54" t="s">
        <v>1035</v>
      </c>
      <c r="G329" s="53" t="s">
        <v>71</v>
      </c>
      <c r="H329" s="58" t="str">
        <f>_xlfn.IFNA(INDEX(ActiveSchools!$C$2:$F$326,MATCH(G329,ActiveSchools!$F$2:$F$326,0),1),"Total")</f>
        <v>1044</v>
      </c>
      <c r="I329" s="53">
        <v>27</v>
      </c>
      <c r="J329" s="59">
        <f>_xlfn.IFNA(INDEX(DetailByDistrict[],MATCH($H329,DetailByDistrict[Dist],0),MATCH(J$2,DetailByDistrict[#Headers],0)),0)</f>
        <v>387</v>
      </c>
      <c r="K329" s="54">
        <f t="shared" si="5"/>
        <v>6.9767441860465115E-2</v>
      </c>
      <c r="L329" s="59">
        <f>ROUND(INDEX(DetailByDistrict[],MATCH($H329,DetailByDistrict[Dist],0),MATCH(L$2,DetailByDistrict[#Headers],0))*K329,2)</f>
        <v>1762.81</v>
      </c>
      <c r="M329" s="59">
        <f>ROUND(INDEX(DetailByDistrict[],MATCH($H329,DetailByDistrict[Dist],0),MATCH(M$2,DetailByDistrict[#Headers],0))*K329,2)</f>
        <v>1965.07</v>
      </c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spans="1:26" ht="15.75" customHeight="1" x14ac:dyDescent="0.25">
      <c r="A330" s="57" t="s">
        <v>60</v>
      </c>
      <c r="B330" s="54" t="s">
        <v>1021</v>
      </c>
      <c r="C330" s="54" t="s">
        <v>946</v>
      </c>
      <c r="D330" s="53">
        <v>6795</v>
      </c>
      <c r="E330" s="53">
        <v>8503</v>
      </c>
      <c r="F330" s="54" t="s">
        <v>1067</v>
      </c>
      <c r="G330" s="53" t="s">
        <v>77</v>
      </c>
      <c r="H330" s="58" t="str">
        <f>_xlfn.IFNA(INDEX(ActiveSchools!$C$2:$F$326,MATCH(G330,ActiveSchools!$F$2:$F$326,0),1),"Total")</f>
        <v>1791</v>
      </c>
      <c r="I330" s="53">
        <v>5</v>
      </c>
      <c r="J330" s="59">
        <f>_xlfn.IFNA(INDEX(DetailByDistrict[],MATCH($H330,DetailByDistrict[Dist],0),MATCH(J$2,DetailByDistrict[#Headers],0)),0)</f>
        <v>12</v>
      </c>
      <c r="K330" s="54">
        <f t="shared" si="5"/>
        <v>0.41666666666666669</v>
      </c>
      <c r="L330" s="59">
        <f>ROUND(INDEX(DetailByDistrict[],MATCH($H330,DetailByDistrict[Dist],0),MATCH(L$2,DetailByDistrict[#Headers],0))*K330,2)</f>
        <v>326.25</v>
      </c>
      <c r="M330" s="59">
        <f>ROUND(INDEX(DetailByDistrict[],MATCH($H330,DetailByDistrict[Dist],0),MATCH(M$2,DetailByDistrict[#Headers],0))*K330,2)</f>
        <v>363.75</v>
      </c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spans="1:26" ht="15.75" customHeight="1" x14ac:dyDescent="0.25">
      <c r="A331" s="57" t="s">
        <v>60</v>
      </c>
      <c r="B331" s="54" t="s">
        <v>1021</v>
      </c>
      <c r="C331" s="54" t="s">
        <v>946</v>
      </c>
      <c r="D331" s="53">
        <v>6795</v>
      </c>
      <c r="E331" s="53">
        <v>8503</v>
      </c>
      <c r="F331" s="54" t="s">
        <v>1036</v>
      </c>
      <c r="G331" s="53" t="s">
        <v>78</v>
      </c>
      <c r="H331" s="58" t="str">
        <f>_xlfn.IFNA(INDEX(ActiveSchools!$C$2:$F$326,MATCH(G331,ActiveSchools!$F$2:$F$326,0),1),"Total")</f>
        <v>1908</v>
      </c>
      <c r="I331" s="53">
        <v>4</v>
      </c>
      <c r="J331" s="59">
        <f>_xlfn.IFNA(INDEX(DetailByDistrict[],MATCH($H331,DetailByDistrict[Dist],0),MATCH(J$2,DetailByDistrict[#Headers],0)),0)</f>
        <v>16</v>
      </c>
      <c r="K331" s="54">
        <f t="shared" si="5"/>
        <v>0.25</v>
      </c>
      <c r="L331" s="59">
        <f>ROUND(INDEX(DetailByDistrict[],MATCH($H331,DetailByDistrict[Dist],0),MATCH(L$2,DetailByDistrict[#Headers],0))*K331,2)</f>
        <v>261.25</v>
      </c>
      <c r="M331" s="59">
        <f>ROUND(INDEX(DetailByDistrict[],MATCH($H331,DetailByDistrict[Dist],0),MATCH(M$2,DetailByDistrict[#Headers],0))*K331,2)</f>
        <v>291</v>
      </c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spans="1:26" ht="15.75" customHeight="1" x14ac:dyDescent="0.25">
      <c r="A332" s="57" t="s">
        <v>60</v>
      </c>
      <c r="B332" s="54" t="s">
        <v>1021</v>
      </c>
      <c r="C332" s="54" t="s">
        <v>946</v>
      </c>
      <c r="D332" s="53">
        <v>6795</v>
      </c>
      <c r="E332" s="53">
        <v>8503</v>
      </c>
      <c r="F332" s="54" t="s">
        <v>1025</v>
      </c>
      <c r="G332" s="53" t="s">
        <v>88</v>
      </c>
      <c r="H332" s="58" t="str">
        <f>_xlfn.IFNA(INDEX(ActiveSchools!$C$2:$F$326,MATCH(G332,ActiveSchools!$F$2:$F$326,0),1),"Total")</f>
        <v>2727</v>
      </c>
      <c r="I332" s="53">
        <v>1</v>
      </c>
      <c r="J332" s="59">
        <f>_xlfn.IFNA(INDEX(DetailByDistrict[],MATCH($H332,DetailByDistrict[Dist],0),MATCH(J$2,DetailByDistrict[#Headers],0)),0)</f>
        <v>10</v>
      </c>
      <c r="K332" s="54">
        <f t="shared" si="5"/>
        <v>0.1</v>
      </c>
      <c r="L332" s="59">
        <f>ROUND(INDEX(DetailByDistrict[],MATCH($H332,DetailByDistrict[Dist],0),MATCH(L$2,DetailByDistrict[#Headers],0))*K332,2)</f>
        <v>65.3</v>
      </c>
      <c r="M332" s="59">
        <f>ROUND(INDEX(DetailByDistrict[],MATCH($H332,DetailByDistrict[Dist],0),MATCH(M$2,DetailByDistrict[#Headers],0))*K332,2)</f>
        <v>72.8</v>
      </c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spans="1:26" ht="15.75" customHeight="1" x14ac:dyDescent="0.25">
      <c r="A333" s="57" t="s">
        <v>60</v>
      </c>
      <c r="B333" s="54" t="s">
        <v>1021</v>
      </c>
      <c r="C333" s="54" t="s">
        <v>946</v>
      </c>
      <c r="D333" s="53">
        <v>6795</v>
      </c>
      <c r="E333" s="53">
        <v>8503</v>
      </c>
      <c r="F333" s="54" t="s">
        <v>1037</v>
      </c>
      <c r="G333" s="53" t="s">
        <v>91</v>
      </c>
      <c r="H333" s="58" t="str">
        <f>_xlfn.IFNA(INDEX(ActiveSchools!$C$2:$F$326,MATCH(G333,ActiveSchools!$F$2:$F$326,0),1),"Total")</f>
        <v>3042</v>
      </c>
      <c r="I333" s="53">
        <v>7</v>
      </c>
      <c r="J333" s="59">
        <f>_xlfn.IFNA(INDEX(DetailByDistrict[],MATCH($H333,DetailByDistrict[Dist],0),MATCH(J$2,DetailByDistrict[#Headers],0)),0)</f>
        <v>26</v>
      </c>
      <c r="K333" s="54">
        <f t="shared" si="5"/>
        <v>0.26923076923076922</v>
      </c>
      <c r="L333" s="59">
        <f>ROUND(INDEX(DetailByDistrict[],MATCH($H333,DetailByDistrict[Dist],0),MATCH(L$2,DetailByDistrict[#Headers],0))*K333,2)</f>
        <v>457.15</v>
      </c>
      <c r="M333" s="59">
        <f>ROUND(INDEX(DetailByDistrict[],MATCH($H333,DetailByDistrict[Dist],0),MATCH(M$2,DetailByDistrict[#Headers],0))*K333,2)</f>
        <v>509.38</v>
      </c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spans="1:26" ht="15.75" customHeight="1" x14ac:dyDescent="0.25">
      <c r="A334" s="57" t="s">
        <v>60</v>
      </c>
      <c r="B334" s="54" t="s">
        <v>1021</v>
      </c>
      <c r="C334" s="54" t="s">
        <v>946</v>
      </c>
      <c r="D334" s="53">
        <v>6795</v>
      </c>
      <c r="E334" s="53">
        <v>8503</v>
      </c>
      <c r="F334" s="54" t="s">
        <v>1068</v>
      </c>
      <c r="G334" s="53" t="s">
        <v>94</v>
      </c>
      <c r="H334" s="58" t="str">
        <f>_xlfn.IFNA(INDEX(ActiveSchools!$C$2:$F$326,MATCH(G334,ActiveSchools!$F$2:$F$326,0),1),"Total")</f>
        <v>3186</v>
      </c>
      <c r="I334" s="53">
        <v>5</v>
      </c>
      <c r="J334" s="59">
        <f>_xlfn.IFNA(INDEX(DetailByDistrict[],MATCH($H334,DetailByDistrict[Dist],0),MATCH(J$2,DetailByDistrict[#Headers],0)),0)</f>
        <v>20</v>
      </c>
      <c r="K334" s="54">
        <f t="shared" si="5"/>
        <v>0.25</v>
      </c>
      <c r="L334" s="59">
        <f>ROUND(INDEX(DetailByDistrict[],MATCH($H334,DetailByDistrict[Dist],0),MATCH(L$2,DetailByDistrict[#Headers],0))*K334,2)</f>
        <v>326.5</v>
      </c>
      <c r="M334" s="59">
        <f>ROUND(INDEX(DetailByDistrict[],MATCH($H334,DetailByDistrict[Dist],0),MATCH(M$2,DetailByDistrict[#Headers],0))*K334,2)</f>
        <v>364</v>
      </c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spans="1:26" ht="15.75" customHeight="1" x14ac:dyDescent="0.25">
      <c r="A335" s="57" t="s">
        <v>60</v>
      </c>
      <c r="B335" s="54" t="s">
        <v>1021</v>
      </c>
      <c r="C335" s="54" t="s">
        <v>946</v>
      </c>
      <c r="D335" s="53">
        <v>6795</v>
      </c>
      <c r="E335" s="53">
        <v>8503</v>
      </c>
      <c r="F335" s="54" t="s">
        <v>1052</v>
      </c>
      <c r="G335" s="53" t="s">
        <v>95</v>
      </c>
      <c r="H335" s="58" t="str">
        <f>_xlfn.IFNA(INDEX(ActiveSchools!$C$2:$F$326,MATCH(G335,ActiveSchools!$F$2:$F$326,0),1),"Total")</f>
        <v>3204</v>
      </c>
      <c r="I335" s="53">
        <v>3</v>
      </c>
      <c r="J335" s="59">
        <f>_xlfn.IFNA(INDEX(DetailByDistrict[],MATCH($H335,DetailByDistrict[Dist],0),MATCH(J$2,DetailByDistrict[#Headers],0)),0)</f>
        <v>122</v>
      </c>
      <c r="K335" s="54">
        <f t="shared" si="5"/>
        <v>2.4590163934426229E-2</v>
      </c>
      <c r="L335" s="59">
        <f>ROUND(INDEX(DetailByDistrict[],MATCH($H335,DetailByDistrict[Dist],0),MATCH(L$2,DetailByDistrict[#Headers],0))*K335,2)</f>
        <v>195.86</v>
      </c>
      <c r="M335" s="59">
        <f>ROUND(INDEX(DetailByDistrict[],MATCH($H335,DetailByDistrict[Dist],0),MATCH(M$2,DetailByDistrict[#Headers],0))*K335,2)</f>
        <v>218.34</v>
      </c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spans="1:26" ht="15.75" customHeight="1" x14ac:dyDescent="0.25">
      <c r="A336" s="57" t="s">
        <v>60</v>
      </c>
      <c r="B336" s="54" t="s">
        <v>1021</v>
      </c>
      <c r="C336" s="54" t="s">
        <v>946</v>
      </c>
      <c r="D336" s="53">
        <v>6795</v>
      </c>
      <c r="E336" s="53">
        <v>8503</v>
      </c>
      <c r="F336" s="54" t="s">
        <v>1043</v>
      </c>
      <c r="G336" s="53" t="s">
        <v>100</v>
      </c>
      <c r="H336" s="58" t="str">
        <f>_xlfn.IFNA(INDEX(ActiveSchools!$C$2:$F$326,MATCH(G336,ActiveSchools!$F$2:$F$326,0),1),"Total")</f>
        <v>4599</v>
      </c>
      <c r="I336" s="53">
        <v>2</v>
      </c>
      <c r="J336" s="59">
        <f>_xlfn.IFNA(INDEX(DetailByDistrict[],MATCH($H336,DetailByDistrict[Dist],0),MATCH(J$2,DetailByDistrict[#Headers],0)),0)</f>
        <v>14</v>
      </c>
      <c r="K336" s="54">
        <f t="shared" si="5"/>
        <v>0.14285714285714285</v>
      </c>
      <c r="L336" s="59">
        <f>ROUND(INDEX(DetailByDistrict[],MATCH($H336,DetailByDistrict[Dist],0),MATCH(L$2,DetailByDistrict[#Headers],0))*K336,2)</f>
        <v>130.57</v>
      </c>
      <c r="M336" s="59">
        <f>ROUND(INDEX(DetailByDistrict[],MATCH($H336,DetailByDistrict[Dist],0),MATCH(M$2,DetailByDistrict[#Headers],0))*K336,2)</f>
        <v>145.57</v>
      </c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spans="1:26" ht="15.75" customHeight="1" x14ac:dyDescent="0.25">
      <c r="A337" s="57" t="s">
        <v>60</v>
      </c>
      <c r="B337" s="54" t="s">
        <v>1021</v>
      </c>
      <c r="C337" s="54" t="s">
        <v>946</v>
      </c>
      <c r="D337" s="53">
        <v>6795</v>
      </c>
      <c r="E337" s="53">
        <v>8503</v>
      </c>
      <c r="F337" s="54" t="s">
        <v>1064</v>
      </c>
      <c r="G337" s="53" t="s">
        <v>110</v>
      </c>
      <c r="H337" s="58" t="str">
        <f>_xlfn.IFNA(INDEX(ActiveSchools!$C$2:$F$326,MATCH(G337,ActiveSchools!$F$2:$F$326,0),1),"Total")</f>
        <v>6471</v>
      </c>
      <c r="I337" s="53">
        <v>2</v>
      </c>
      <c r="J337" s="59">
        <f>_xlfn.IFNA(INDEX(DetailByDistrict[],MATCH($H337,DetailByDistrict[Dist],0),MATCH(J$2,DetailByDistrict[#Headers],0)),0)</f>
        <v>6</v>
      </c>
      <c r="K337" s="54">
        <f t="shared" si="5"/>
        <v>0.33333333333333331</v>
      </c>
      <c r="L337" s="59">
        <f>ROUND(INDEX(DetailByDistrict[],MATCH($H337,DetailByDistrict[Dist],0),MATCH(L$2,DetailByDistrict[#Headers],0))*K337,2)</f>
        <v>130.66999999999999</v>
      </c>
      <c r="M337" s="59">
        <f>ROUND(INDEX(DetailByDistrict[],MATCH($H337,DetailByDistrict[Dist],0),MATCH(M$2,DetailByDistrict[#Headers],0))*K337,2)</f>
        <v>145.66999999999999</v>
      </c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spans="1:26" ht="15.75" customHeight="1" x14ac:dyDescent="0.25">
      <c r="A338" s="57" t="s">
        <v>60</v>
      </c>
      <c r="B338" s="54" t="s">
        <v>1021</v>
      </c>
      <c r="C338" s="54" t="s">
        <v>946</v>
      </c>
      <c r="D338" s="53">
        <v>6795</v>
      </c>
      <c r="E338" s="53">
        <v>8503</v>
      </c>
      <c r="F338" s="54" t="s">
        <v>1031</v>
      </c>
      <c r="G338" s="53" t="s">
        <v>704</v>
      </c>
      <c r="H338" s="58" t="str">
        <f>_xlfn.IFNA(INDEX(ActiveSchools!$C$2:$F$326,MATCH(G338,ActiveSchools!$F$2:$F$326,0),1),"Total")</f>
        <v>1935</v>
      </c>
      <c r="I338" s="53">
        <v>1</v>
      </c>
      <c r="J338" s="59">
        <f>_xlfn.IFNA(INDEX(DetailByDistrict[],MATCH($H338,DetailByDistrict[Dist],0),MATCH(J$2,DetailByDistrict[#Headers],0)),0)</f>
        <v>35</v>
      </c>
      <c r="K338" s="54">
        <f t="shared" si="5"/>
        <v>2.8571428571428571E-2</v>
      </c>
      <c r="L338" s="59">
        <f>ROUND(INDEX(DetailByDistrict[],MATCH($H338,DetailByDistrict[Dist],0),MATCH(L$2,DetailByDistrict[#Headers],0))*K338,2)</f>
        <v>65.290000000000006</v>
      </c>
      <c r="M338" s="59">
        <f>ROUND(INDEX(DetailByDistrict[],MATCH($H338,DetailByDistrict[Dist],0),MATCH(M$2,DetailByDistrict[#Headers],0))*K338,2)</f>
        <v>72.77</v>
      </c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spans="1:26" ht="15.75" customHeight="1" x14ac:dyDescent="0.25">
      <c r="A339" s="57" t="s">
        <v>60</v>
      </c>
      <c r="B339" s="54" t="s">
        <v>1021</v>
      </c>
      <c r="C339" s="54" t="s">
        <v>946</v>
      </c>
      <c r="D339" s="53">
        <v>6795</v>
      </c>
      <c r="E339" s="53">
        <v>8503</v>
      </c>
      <c r="F339" s="54" t="s">
        <v>1030</v>
      </c>
      <c r="G339" s="53" t="s">
        <v>113</v>
      </c>
      <c r="H339" s="58" t="str">
        <f>_xlfn.IFNA(INDEX(ActiveSchools!$C$2:$F$326,MATCH(G339,ActiveSchools!$F$2:$F$326,0),1),"Total")</f>
        <v>6795</v>
      </c>
      <c r="I339" s="53">
        <v>42</v>
      </c>
      <c r="J339" s="59">
        <f>_xlfn.IFNA(INDEX(DetailByDistrict[],MATCH($H339,DetailByDistrict[Dist],0),MATCH(J$2,DetailByDistrict[#Headers],0)),0)</f>
        <v>1280</v>
      </c>
      <c r="K339" s="54">
        <f t="shared" si="5"/>
        <v>3.2812500000000001E-2</v>
      </c>
      <c r="L339" s="59">
        <f>ROUND(INDEX(DetailByDistrict[],MATCH($H339,DetailByDistrict[Dist],0),MATCH(L$2,DetailByDistrict[#Headers],0))*K339,2)</f>
        <v>2742.17</v>
      </c>
      <c r="M339" s="59">
        <f>ROUND(INDEX(DetailByDistrict[],MATCH($H339,DetailByDistrict[Dist],0),MATCH(M$2,DetailByDistrict[#Headers],0))*K339,2)</f>
        <v>3056.75</v>
      </c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spans="1:26" ht="15.75" customHeight="1" x14ac:dyDescent="0.25">
      <c r="A340" s="57" t="s">
        <v>60</v>
      </c>
      <c r="B340" s="54" t="s">
        <v>1021</v>
      </c>
      <c r="C340" s="54" t="s">
        <v>946</v>
      </c>
      <c r="D340" s="53">
        <v>6795</v>
      </c>
      <c r="E340" s="53">
        <v>8503</v>
      </c>
      <c r="F340" s="54" t="s">
        <v>1066</v>
      </c>
      <c r="G340" s="53" t="s">
        <v>114</v>
      </c>
      <c r="H340" s="58" t="str">
        <f>_xlfn.IFNA(INDEX(ActiveSchools!$C$2:$F$326,MATCH(G340,ActiveSchools!$F$2:$F$326,0),1),"Total")</f>
        <v>6840</v>
      </c>
      <c r="I340" s="53">
        <v>2</v>
      </c>
      <c r="J340" s="59">
        <f>_xlfn.IFNA(INDEX(DetailByDistrict[],MATCH($H340,DetailByDistrict[Dist],0),MATCH(J$2,DetailByDistrict[#Headers],0)),0)</f>
        <v>165</v>
      </c>
      <c r="K340" s="54">
        <f t="shared" si="5"/>
        <v>1.2121212121212121E-2</v>
      </c>
      <c r="L340" s="59">
        <f>ROUND(INDEX(DetailByDistrict[],MATCH($H340,DetailByDistrict[Dist],0),MATCH(L$2,DetailByDistrict[#Headers],0))*K340,2)</f>
        <v>130.58000000000001</v>
      </c>
      <c r="M340" s="59">
        <f>ROUND(INDEX(DetailByDistrict[],MATCH($H340,DetailByDistrict[Dist],0),MATCH(M$2,DetailByDistrict[#Headers],0))*K340,2)</f>
        <v>145.56</v>
      </c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spans="1:26" ht="15.75" customHeight="1" x14ac:dyDescent="0.25">
      <c r="A341" s="57" t="s">
        <v>60</v>
      </c>
      <c r="B341" s="54" t="s">
        <v>1021</v>
      </c>
      <c r="C341" s="54" t="s">
        <v>792</v>
      </c>
      <c r="D341" s="53">
        <v>6840</v>
      </c>
      <c r="E341" s="53">
        <v>8207</v>
      </c>
      <c r="F341" s="54" t="s">
        <v>1022</v>
      </c>
      <c r="G341" s="57" t="s">
        <v>61</v>
      </c>
      <c r="H341" s="58" t="str">
        <f>_xlfn.IFNA(INDEX(ActiveSchools!$C$2:$F$326,MATCH(G341,ActiveSchools!$F$2:$F$326,0),1),"Total")</f>
        <v>0009</v>
      </c>
      <c r="I341" s="53">
        <v>1</v>
      </c>
      <c r="J341" s="59">
        <f>_xlfn.IFNA(INDEX(DetailByDistrict[],MATCH($H341,DetailByDistrict[Dist],0),MATCH(J$2,DetailByDistrict[#Headers],0)),0)</f>
        <v>25</v>
      </c>
      <c r="K341" s="54">
        <f t="shared" si="5"/>
        <v>0.04</v>
      </c>
      <c r="L341" s="59">
        <f>ROUND(INDEX(DetailByDistrict[],MATCH($H341,DetailByDistrict[Dist],0),MATCH(L$2,DetailByDistrict[#Headers],0))*K341,2)</f>
        <v>65.28</v>
      </c>
      <c r="M341" s="59">
        <f>ROUND(INDEX(DetailByDistrict[],MATCH($H341,DetailByDistrict[Dist],0),MATCH(M$2,DetailByDistrict[#Headers],0))*K341,2)</f>
        <v>72.8</v>
      </c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spans="1:26" ht="15.75" customHeight="1" x14ac:dyDescent="0.25">
      <c r="A342" s="57" t="s">
        <v>60</v>
      </c>
      <c r="B342" s="54" t="s">
        <v>1021</v>
      </c>
      <c r="C342" s="54" t="s">
        <v>792</v>
      </c>
      <c r="D342" s="53">
        <v>6840</v>
      </c>
      <c r="E342" s="53">
        <v>8207</v>
      </c>
      <c r="F342" s="54" t="s">
        <v>1041</v>
      </c>
      <c r="G342" s="57" t="s">
        <v>101</v>
      </c>
      <c r="H342" s="58" t="str">
        <f>_xlfn.IFNA(INDEX(ActiveSchools!$C$2:$F$326,MATCH(G342,ActiveSchools!$F$2:$F$326,0),1),"Total")</f>
        <v>0153</v>
      </c>
      <c r="I342" s="53">
        <v>2</v>
      </c>
      <c r="J342" s="59">
        <f>_xlfn.IFNA(INDEX(DetailByDistrict[],MATCH($H342,DetailByDistrict[Dist],0),MATCH(J$2,DetailByDistrict[#Headers],0)),0)</f>
        <v>5</v>
      </c>
      <c r="K342" s="54">
        <f t="shared" si="5"/>
        <v>0.4</v>
      </c>
      <c r="L342" s="59">
        <f>ROUND(INDEX(DetailByDistrict[],MATCH($H342,DetailByDistrict[Dist],0),MATCH(L$2,DetailByDistrict[#Headers],0))*K342,2)</f>
        <v>130.4</v>
      </c>
      <c r="M342" s="59">
        <f>ROUND(INDEX(DetailByDistrict[],MATCH($H342,DetailByDistrict[Dist],0),MATCH(M$2,DetailByDistrict[#Headers],0))*K342,2)</f>
        <v>145.6</v>
      </c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spans="1:26" ht="15.75" customHeight="1" x14ac:dyDescent="0.25">
      <c r="A343" s="57" t="s">
        <v>60</v>
      </c>
      <c r="B343" s="54" t="s">
        <v>1021</v>
      </c>
      <c r="C343" s="54" t="s">
        <v>792</v>
      </c>
      <c r="D343" s="53">
        <v>6840</v>
      </c>
      <c r="E343" s="53">
        <v>8207</v>
      </c>
      <c r="F343" s="54" t="s">
        <v>1023</v>
      </c>
      <c r="G343" s="57" t="s">
        <v>64</v>
      </c>
      <c r="H343" s="58" t="str">
        <f>_xlfn.IFNA(INDEX(ActiveSchools!$C$2:$F$326,MATCH(G343,ActiveSchools!$F$2:$F$326,0),1),"Total")</f>
        <v>0279</v>
      </c>
      <c r="I343" s="53">
        <v>1</v>
      </c>
      <c r="J343" s="59">
        <f>_xlfn.IFNA(INDEX(DetailByDistrict[],MATCH($H343,DetailByDistrict[Dist],0),MATCH(J$2,DetailByDistrict[#Headers],0)),0)</f>
        <v>20</v>
      </c>
      <c r="K343" s="54">
        <f t="shared" si="5"/>
        <v>0.05</v>
      </c>
      <c r="L343" s="59">
        <f>ROUND(INDEX(DetailByDistrict[],MATCH($H343,DetailByDistrict[Dist],0),MATCH(L$2,DetailByDistrict[#Headers],0))*K343,2)</f>
        <v>65.3</v>
      </c>
      <c r="M343" s="59">
        <f>ROUND(INDEX(DetailByDistrict[],MATCH($H343,DetailByDistrict[Dist],0),MATCH(M$2,DetailByDistrict[#Headers],0))*K343,2)</f>
        <v>72.8</v>
      </c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spans="1:26" ht="15.75" customHeight="1" x14ac:dyDescent="0.25">
      <c r="A344" s="57" t="s">
        <v>60</v>
      </c>
      <c r="B344" s="54" t="s">
        <v>1021</v>
      </c>
      <c r="C344" s="54" t="s">
        <v>792</v>
      </c>
      <c r="D344" s="53">
        <v>6840</v>
      </c>
      <c r="E344" s="53">
        <v>8207</v>
      </c>
      <c r="F344" s="54" t="s">
        <v>1063</v>
      </c>
      <c r="G344" s="53" t="s">
        <v>74</v>
      </c>
      <c r="H344" s="58" t="str">
        <f>_xlfn.IFNA(INDEX(ActiveSchools!$C$2:$F$326,MATCH(G344,ActiveSchools!$F$2:$F$326,0),1),"Total")</f>
        <v>1215</v>
      </c>
      <c r="I344" s="53">
        <v>2</v>
      </c>
      <c r="J344" s="59">
        <f>_xlfn.IFNA(INDEX(DetailByDistrict[],MATCH($H344,DetailByDistrict[Dist],0),MATCH(J$2,DetailByDistrict[#Headers],0)),0)</f>
        <v>5</v>
      </c>
      <c r="K344" s="54">
        <f t="shared" si="5"/>
        <v>0.4</v>
      </c>
      <c r="L344" s="59">
        <f>ROUND(INDEX(DetailByDistrict[],MATCH($H344,DetailByDistrict[Dist],0),MATCH(L$2,DetailByDistrict[#Headers],0))*K344,2)</f>
        <v>130.4</v>
      </c>
      <c r="M344" s="59">
        <f>ROUND(INDEX(DetailByDistrict[],MATCH($H344,DetailByDistrict[Dist],0),MATCH(M$2,DetailByDistrict[#Headers],0))*K344,2)</f>
        <v>145.6</v>
      </c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spans="1:26" ht="15.75" customHeight="1" x14ac:dyDescent="0.25">
      <c r="A345" s="57" t="s">
        <v>60</v>
      </c>
      <c r="B345" s="54" t="s">
        <v>1021</v>
      </c>
      <c r="C345" s="54" t="s">
        <v>792</v>
      </c>
      <c r="D345" s="53">
        <v>6840</v>
      </c>
      <c r="E345" s="53">
        <v>8207</v>
      </c>
      <c r="F345" s="54" t="s">
        <v>1039</v>
      </c>
      <c r="G345" s="53" t="s">
        <v>76</v>
      </c>
      <c r="H345" s="58" t="str">
        <f>_xlfn.IFNA(INDEX(ActiveSchools!$C$2:$F$326,MATCH(G345,ActiveSchools!$F$2:$F$326,0),1),"Total")</f>
        <v>1719</v>
      </c>
      <c r="I345" s="53">
        <v>1</v>
      </c>
      <c r="J345" s="59">
        <f>_xlfn.IFNA(INDEX(DetailByDistrict[],MATCH($H345,DetailByDistrict[Dist],0),MATCH(J$2,DetailByDistrict[#Headers],0)),0)</f>
        <v>14</v>
      </c>
      <c r="K345" s="54">
        <f t="shared" si="5"/>
        <v>7.1428571428571425E-2</v>
      </c>
      <c r="L345" s="59">
        <f>ROUND(INDEX(DetailByDistrict[],MATCH($H345,DetailByDistrict[Dist],0),MATCH(L$2,DetailByDistrict[#Headers],0))*K345,2)</f>
        <v>65.290000000000006</v>
      </c>
      <c r="M345" s="59">
        <f>ROUND(INDEX(DetailByDistrict[],MATCH($H345,DetailByDistrict[Dist],0),MATCH(M$2,DetailByDistrict[#Headers],0))*K345,2)</f>
        <v>72.790000000000006</v>
      </c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spans="1:26" ht="15.75" customHeight="1" x14ac:dyDescent="0.25">
      <c r="A346" s="57" t="s">
        <v>60</v>
      </c>
      <c r="B346" s="54" t="s">
        <v>1021</v>
      </c>
      <c r="C346" s="54" t="s">
        <v>792</v>
      </c>
      <c r="D346" s="53">
        <v>6840</v>
      </c>
      <c r="E346" s="53">
        <v>8207</v>
      </c>
      <c r="F346" s="54" t="s">
        <v>1068</v>
      </c>
      <c r="G346" s="53" t="s">
        <v>94</v>
      </c>
      <c r="H346" s="58" t="str">
        <f>_xlfn.IFNA(INDEX(ActiveSchools!$C$2:$F$326,MATCH(G346,ActiveSchools!$F$2:$F$326,0),1),"Total")</f>
        <v>3186</v>
      </c>
      <c r="I346" s="53">
        <v>8</v>
      </c>
      <c r="J346" s="59">
        <f>_xlfn.IFNA(INDEX(DetailByDistrict[],MATCH($H346,DetailByDistrict[Dist],0),MATCH(J$2,DetailByDistrict[#Headers],0)),0)</f>
        <v>20</v>
      </c>
      <c r="K346" s="54">
        <f t="shared" si="5"/>
        <v>0.4</v>
      </c>
      <c r="L346" s="59">
        <f>ROUND(INDEX(DetailByDistrict[],MATCH($H346,DetailByDistrict[Dist],0),MATCH(L$2,DetailByDistrict[#Headers],0))*K346,2)</f>
        <v>522.4</v>
      </c>
      <c r="M346" s="59">
        <f>ROUND(INDEX(DetailByDistrict[],MATCH($H346,DetailByDistrict[Dist],0),MATCH(M$2,DetailByDistrict[#Headers],0))*K346,2)</f>
        <v>582.4</v>
      </c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spans="1:26" ht="15.75" customHeight="1" x14ac:dyDescent="0.25">
      <c r="A347" s="57" t="s">
        <v>60</v>
      </c>
      <c r="B347" s="54" t="s">
        <v>1021</v>
      </c>
      <c r="C347" s="54" t="s">
        <v>792</v>
      </c>
      <c r="D347" s="53">
        <v>6840</v>
      </c>
      <c r="E347" s="53">
        <v>8207</v>
      </c>
      <c r="F347" s="54" t="s">
        <v>1043</v>
      </c>
      <c r="G347" s="53" t="s">
        <v>100</v>
      </c>
      <c r="H347" s="58" t="str">
        <f>_xlfn.IFNA(INDEX(ActiveSchools!$C$2:$F$326,MATCH(G347,ActiveSchools!$F$2:$F$326,0),1),"Total")</f>
        <v>4599</v>
      </c>
      <c r="I347" s="53">
        <v>6</v>
      </c>
      <c r="J347" s="59">
        <f>_xlfn.IFNA(INDEX(DetailByDistrict[],MATCH($H347,DetailByDistrict[Dist],0),MATCH(J$2,DetailByDistrict[#Headers],0)),0)</f>
        <v>14</v>
      </c>
      <c r="K347" s="54">
        <f t="shared" si="5"/>
        <v>0.42857142857142855</v>
      </c>
      <c r="L347" s="59">
        <f>ROUND(INDEX(DetailByDistrict[],MATCH($H347,DetailByDistrict[Dist],0),MATCH(L$2,DetailByDistrict[#Headers],0))*K347,2)</f>
        <v>391.71</v>
      </c>
      <c r="M347" s="59">
        <f>ROUND(INDEX(DetailByDistrict[],MATCH($H347,DetailByDistrict[Dist],0),MATCH(M$2,DetailByDistrict[#Headers],0))*K347,2)</f>
        <v>436.71</v>
      </c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spans="1:26" ht="15.75" customHeight="1" x14ac:dyDescent="0.25">
      <c r="A348" s="57" t="s">
        <v>60</v>
      </c>
      <c r="B348" s="54" t="s">
        <v>1021</v>
      </c>
      <c r="C348" s="54" t="s">
        <v>792</v>
      </c>
      <c r="D348" s="53">
        <v>6840</v>
      </c>
      <c r="E348" s="53">
        <v>8207</v>
      </c>
      <c r="F348" s="54" t="s">
        <v>1064</v>
      </c>
      <c r="G348" s="53" t="s">
        <v>110</v>
      </c>
      <c r="H348" s="58" t="str">
        <f>_xlfn.IFNA(INDEX(ActiveSchools!$C$2:$F$326,MATCH(G348,ActiveSchools!$F$2:$F$326,0),1),"Total")</f>
        <v>6471</v>
      </c>
      <c r="I348" s="53">
        <v>2</v>
      </c>
      <c r="J348" s="59">
        <f>_xlfn.IFNA(INDEX(DetailByDistrict[],MATCH($H348,DetailByDistrict[Dist],0),MATCH(J$2,DetailByDistrict[#Headers],0)),0)</f>
        <v>6</v>
      </c>
      <c r="K348" s="54">
        <f t="shared" si="5"/>
        <v>0.33333333333333331</v>
      </c>
      <c r="L348" s="59">
        <f>ROUND(INDEX(DetailByDistrict[],MATCH($H348,DetailByDistrict[Dist],0),MATCH(L$2,DetailByDistrict[#Headers],0))*K348,2)</f>
        <v>130.66999999999999</v>
      </c>
      <c r="M348" s="59">
        <f>ROUND(INDEX(DetailByDistrict[],MATCH($H348,DetailByDistrict[Dist],0),MATCH(M$2,DetailByDistrict[#Headers],0))*K348,2)</f>
        <v>145.66999999999999</v>
      </c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spans="1:26" ht="15.75" customHeight="1" x14ac:dyDescent="0.25">
      <c r="A349" s="57" t="s">
        <v>60</v>
      </c>
      <c r="B349" s="54" t="s">
        <v>1021</v>
      </c>
      <c r="C349" s="54" t="s">
        <v>792</v>
      </c>
      <c r="D349" s="53">
        <v>6840</v>
      </c>
      <c r="E349" s="53">
        <v>8207</v>
      </c>
      <c r="F349" s="54" t="s">
        <v>1066</v>
      </c>
      <c r="G349" s="53" t="s">
        <v>114</v>
      </c>
      <c r="H349" s="58" t="str">
        <f>_xlfn.IFNA(INDEX(ActiveSchools!$C$2:$F$326,MATCH(G349,ActiveSchools!$F$2:$F$326,0),1),"Total")</f>
        <v>6840</v>
      </c>
      <c r="I349" s="53">
        <v>161</v>
      </c>
      <c r="J349" s="59">
        <f>_xlfn.IFNA(INDEX(DetailByDistrict[],MATCH($H349,DetailByDistrict[Dist],0),MATCH(J$2,DetailByDistrict[#Headers],0)),0)</f>
        <v>165</v>
      </c>
      <c r="K349" s="54">
        <f t="shared" si="5"/>
        <v>0.97575757575757571</v>
      </c>
      <c r="L349" s="59">
        <f>ROUND(INDEX(DetailByDistrict[],MATCH($H349,DetailByDistrict[Dist],0),MATCH(L$2,DetailByDistrict[#Headers],0))*K349,2)</f>
        <v>10511.84</v>
      </c>
      <c r="M349" s="59">
        <f>ROUND(INDEX(DetailByDistrict[],MATCH($H349,DetailByDistrict[Dist],0),MATCH(M$2,DetailByDistrict[#Headers],0))*K349,2)</f>
        <v>11717.87</v>
      </c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spans="1:26" ht="15.75" customHeight="1" x14ac:dyDescent="0.25">
      <c r="A350" s="57" t="s">
        <v>60</v>
      </c>
      <c r="B350" s="54" t="s">
        <v>1021</v>
      </c>
      <c r="C350" s="54" t="s">
        <v>950</v>
      </c>
      <c r="D350" s="53">
        <v>6950</v>
      </c>
      <c r="E350" s="53">
        <v>8104</v>
      </c>
      <c r="F350" s="54" t="s">
        <v>1051</v>
      </c>
      <c r="G350" s="53" t="s">
        <v>79</v>
      </c>
      <c r="H350" s="58" t="str">
        <f>_xlfn.IFNA(INDEX(ActiveSchools!$C$2:$F$326,MATCH(G350,ActiveSchools!$F$2:$F$326,0),1),"Total")</f>
        <v>1963</v>
      </c>
      <c r="I350" s="53">
        <v>2</v>
      </c>
      <c r="J350" s="59">
        <f>_xlfn.IFNA(INDEX(DetailByDistrict[],MATCH($H350,DetailByDistrict[Dist],0),MATCH(J$2,DetailByDistrict[#Headers],0)),0)</f>
        <v>7</v>
      </c>
      <c r="K350" s="54">
        <f t="shared" si="5"/>
        <v>0.2857142857142857</v>
      </c>
      <c r="L350" s="59">
        <f>ROUND(INDEX(DetailByDistrict[],MATCH($H350,DetailByDistrict[Dist],0),MATCH(L$2,DetailByDistrict[#Headers],0))*K350,2)</f>
        <v>130.57</v>
      </c>
      <c r="M350" s="59">
        <f>ROUND(INDEX(DetailByDistrict[],MATCH($H350,DetailByDistrict[Dist],0),MATCH(M$2,DetailByDistrict[#Headers],0))*K350,2)</f>
        <v>145.43</v>
      </c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spans="1:26" ht="15.75" customHeight="1" x14ac:dyDescent="0.25">
      <c r="A351" s="57" t="s">
        <v>60</v>
      </c>
      <c r="B351" s="54" t="s">
        <v>1021</v>
      </c>
      <c r="C351" s="54" t="s">
        <v>950</v>
      </c>
      <c r="D351" s="53">
        <v>6950</v>
      </c>
      <c r="E351" s="53">
        <v>8104</v>
      </c>
      <c r="F351" s="54" t="s">
        <v>1040</v>
      </c>
      <c r="G351" s="53" t="s">
        <v>92</v>
      </c>
      <c r="H351" s="58" t="str">
        <f>_xlfn.IFNA(INDEX(ActiveSchools!$C$2:$F$326,MATCH(G351,ActiveSchools!$F$2:$F$326,0),1),"Total")</f>
        <v>3105</v>
      </c>
      <c r="I351" s="53">
        <v>1</v>
      </c>
      <c r="J351" s="59">
        <f>_xlfn.IFNA(INDEX(DetailByDistrict[],MATCH($H351,DetailByDistrict[Dist],0),MATCH(J$2,DetailByDistrict[#Headers],0)),0)</f>
        <v>137</v>
      </c>
      <c r="K351" s="54">
        <f t="shared" si="5"/>
        <v>7.2992700729927005E-3</v>
      </c>
      <c r="L351" s="59">
        <f>ROUND(INDEX(DetailByDistrict[],MATCH($H351,DetailByDistrict[Dist],0),MATCH(L$2,DetailByDistrict[#Headers],0))*K351,2)</f>
        <v>65.290000000000006</v>
      </c>
      <c r="M351" s="59">
        <f>ROUND(INDEX(DetailByDistrict[],MATCH($H351,DetailByDistrict[Dist],0),MATCH(M$2,DetailByDistrict[#Headers],0))*K351,2)</f>
        <v>72.78</v>
      </c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spans="1:26" ht="15.75" customHeight="1" x14ac:dyDescent="0.25">
      <c r="A352" s="57" t="s">
        <v>60</v>
      </c>
      <c r="B352" s="54" t="s">
        <v>1021</v>
      </c>
      <c r="C352" s="54" t="s">
        <v>961</v>
      </c>
      <c r="D352" s="53">
        <v>7029</v>
      </c>
      <c r="E352" s="53">
        <v>8204</v>
      </c>
      <c r="F352" s="54" t="s">
        <v>1062</v>
      </c>
      <c r="G352" s="53" t="s">
        <v>99</v>
      </c>
      <c r="H352" s="58" t="str">
        <f>_xlfn.IFNA(INDEX(ActiveSchools!$C$2:$F$326,MATCH(G352,ActiveSchools!$F$2:$F$326,0),1),"Total")</f>
        <v>4437</v>
      </c>
      <c r="I352" s="53">
        <v>2</v>
      </c>
      <c r="J352" s="59">
        <f>_xlfn.IFNA(INDEX(DetailByDistrict[],MATCH($H352,DetailByDistrict[Dist],0),MATCH(J$2,DetailByDistrict[#Headers],0)),0)</f>
        <v>6</v>
      </c>
      <c r="K352" s="54">
        <f t="shared" si="5"/>
        <v>0.33333333333333331</v>
      </c>
      <c r="L352" s="59">
        <f>ROUND(INDEX(DetailByDistrict[],MATCH($H352,DetailByDistrict[Dist],0),MATCH(L$2,DetailByDistrict[#Headers],0))*K352,2)</f>
        <v>130.66999999999999</v>
      </c>
      <c r="M352" s="59">
        <f>ROUND(INDEX(DetailByDistrict[],MATCH($H352,DetailByDistrict[Dist],0),MATCH(M$2,DetailByDistrict[#Headers],0))*K352,2)</f>
        <v>145.66999999999999</v>
      </c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spans="1:26" ht="15.75" customHeight="1" x14ac:dyDescent="0.25">
      <c r="A353" s="62"/>
      <c r="B353" s="64"/>
      <c r="C353" s="65"/>
      <c r="D353" s="62"/>
      <c r="E353" s="62"/>
      <c r="F353" s="62" t="s">
        <v>1021</v>
      </c>
      <c r="G353" s="62" t="s">
        <v>736</v>
      </c>
      <c r="H353" s="62" t="str">
        <f>_xlfn.IFNA(INDEX(ActiveSchools!$C$2:$F$326,MATCH(G353,ActiveSchools!$F$2:$F$326,0),1),"Total")</f>
        <v>Total</v>
      </c>
      <c r="I353" s="62">
        <f>SUM(I171:I352)</f>
        <v>3878</v>
      </c>
      <c r="J353" s="62">
        <f>_xlfn.IFNA(INDEX(DetailByDistrict[],MATCH($H353,DetailByDistrict[Dist],0),MATCH(J$2,DetailByDistrict[#Headers],0)),0)</f>
        <v>0</v>
      </c>
      <c r="K353" s="62" t="e">
        <f t="shared" si="5"/>
        <v>#DIV/0!</v>
      </c>
      <c r="L353" s="63">
        <f>SUM(L171:L352)</f>
        <v>253193.00000000009</v>
      </c>
      <c r="M353" s="63">
        <f>SUM(M171:M352)</f>
        <v>282242.99999999994</v>
      </c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spans="1:26" ht="15.75" customHeight="1" x14ac:dyDescent="0.25">
      <c r="A354" s="57" t="s">
        <v>118</v>
      </c>
      <c r="B354" s="54" t="s">
        <v>1069</v>
      </c>
      <c r="C354" s="54" t="s">
        <v>775</v>
      </c>
      <c r="D354" s="57" t="s">
        <v>120</v>
      </c>
      <c r="E354" s="53">
        <v>8107</v>
      </c>
      <c r="F354" s="54" t="s">
        <v>1070</v>
      </c>
      <c r="G354" s="57" t="s">
        <v>119</v>
      </c>
      <c r="H354" s="58" t="str">
        <f>_xlfn.IFNA(INDEX(ActiveSchools!$C$2:$F$326,MATCH(G354,ActiveSchools!$F$2:$F$326,0),1),"Total")</f>
        <v>0243</v>
      </c>
      <c r="I354" s="53">
        <v>12</v>
      </c>
      <c r="J354" s="59">
        <f>_xlfn.IFNA(INDEX(DetailByDistrict[],MATCH($H354,DetailByDistrict[Dist],0),MATCH(J$2,DetailByDistrict[#Headers],0)),0)</f>
        <v>29</v>
      </c>
      <c r="K354" s="54">
        <f t="shared" si="5"/>
        <v>0.41379310344827586</v>
      </c>
      <c r="L354" s="59">
        <f>ROUND(INDEX(DetailByDistrict[],MATCH($H354,DetailByDistrict[Dist],0),MATCH(L$2,DetailByDistrict[#Headers],0))*K354,2)</f>
        <v>777.52</v>
      </c>
      <c r="M354" s="59">
        <f>ROUND(INDEX(DetailByDistrict[],MATCH($H354,DetailByDistrict[Dist],0),MATCH(M$2,DetailByDistrict[#Headers],0))*K354,2)</f>
        <v>850.34</v>
      </c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spans="1:26" ht="15.75" customHeight="1" x14ac:dyDescent="0.25">
      <c r="A355" s="57" t="s">
        <v>118</v>
      </c>
      <c r="B355" s="54" t="s">
        <v>1069</v>
      </c>
      <c r="C355" s="54" t="s">
        <v>775</v>
      </c>
      <c r="D355" s="57" t="s">
        <v>120</v>
      </c>
      <c r="E355" s="53">
        <v>8107</v>
      </c>
      <c r="F355" s="54" t="s">
        <v>1071</v>
      </c>
      <c r="G355" s="57" t="s">
        <v>120</v>
      </c>
      <c r="H355" s="58" t="str">
        <f>_xlfn.IFNA(INDEX(ActiveSchools!$C$2:$F$326,MATCH(G355,ActiveSchools!$F$2:$F$326,0),1),"Total")</f>
        <v>0585</v>
      </c>
      <c r="I355" s="53">
        <v>137</v>
      </c>
      <c r="J355" s="59">
        <f>_xlfn.IFNA(INDEX(DetailByDistrict[],MATCH($H355,DetailByDistrict[Dist],0),MATCH(J$2,DetailByDistrict[#Headers],0)),0)</f>
        <v>185</v>
      </c>
      <c r="K355" s="54">
        <f t="shared" si="5"/>
        <v>0.74054054054054053</v>
      </c>
      <c r="L355" s="59">
        <f>ROUND(INDEX(DetailByDistrict[],MATCH($H355,DetailByDistrict[Dist],0),MATCH(L$2,DetailByDistrict[#Headers],0))*K355,2)</f>
        <v>8877.6</v>
      </c>
      <c r="M355" s="59">
        <f>ROUND(INDEX(DetailByDistrict[],MATCH($H355,DetailByDistrict[Dist],0),MATCH(M$2,DetailByDistrict[#Headers],0))*K355,2)</f>
        <v>9707.75</v>
      </c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spans="1:26" ht="15.75" customHeight="1" x14ac:dyDescent="0.25">
      <c r="A356" s="57" t="s">
        <v>118</v>
      </c>
      <c r="B356" s="54" t="s">
        <v>1069</v>
      </c>
      <c r="C356" s="54" t="s">
        <v>775</v>
      </c>
      <c r="D356" s="57" t="s">
        <v>120</v>
      </c>
      <c r="E356" s="53">
        <v>8107</v>
      </c>
      <c r="F356" s="54" t="s">
        <v>1072</v>
      </c>
      <c r="G356" s="53" t="s">
        <v>131</v>
      </c>
      <c r="H356" s="58" t="str">
        <f>_xlfn.IFNA(INDEX(ActiveSchools!$C$2:$F$326,MATCH(G356,ActiveSchools!$F$2:$F$326,0),1),"Total")</f>
        <v>1965</v>
      </c>
      <c r="I356" s="53">
        <v>4</v>
      </c>
      <c r="J356" s="59">
        <f>_xlfn.IFNA(INDEX(DetailByDistrict[],MATCH($H356,DetailByDistrict[Dist],0),MATCH(J$2,DetailByDistrict[#Headers],0)),0)</f>
        <v>6</v>
      </c>
      <c r="K356" s="54">
        <f t="shared" si="5"/>
        <v>0.66666666666666663</v>
      </c>
      <c r="L356" s="59">
        <f>ROUND(INDEX(DetailByDistrict[],MATCH($H356,DetailByDistrict[Dist],0),MATCH(L$2,DetailByDistrict[#Headers],0))*K356,2)</f>
        <v>259.33</v>
      </c>
      <c r="M356" s="59">
        <f>ROUND(INDEX(DetailByDistrict[],MATCH($H356,DetailByDistrict[Dist],0),MATCH(M$2,DetailByDistrict[#Headers],0))*K356,2)</f>
        <v>283.33</v>
      </c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spans="1:26" ht="15.75" customHeight="1" x14ac:dyDescent="0.25">
      <c r="A357" s="57" t="s">
        <v>118</v>
      </c>
      <c r="B357" s="54" t="s">
        <v>1069</v>
      </c>
      <c r="C357" s="54" t="s">
        <v>775</v>
      </c>
      <c r="D357" s="57" t="s">
        <v>120</v>
      </c>
      <c r="E357" s="53">
        <v>8107</v>
      </c>
      <c r="F357" s="54" t="s">
        <v>1073</v>
      </c>
      <c r="G357" s="53" t="s">
        <v>133</v>
      </c>
      <c r="H357" s="58" t="str">
        <f>_xlfn.IFNA(INDEX(ActiveSchools!$C$2:$F$326,MATCH(G357,ActiveSchools!$F$2:$F$326,0),1),"Total")</f>
        <v>4041</v>
      </c>
      <c r="I357" s="53">
        <v>15</v>
      </c>
      <c r="J357" s="59">
        <f>_xlfn.IFNA(INDEX(DetailByDistrict[],MATCH($H357,DetailByDistrict[Dist],0),MATCH(J$2,DetailByDistrict[#Headers],0)),0)</f>
        <v>144</v>
      </c>
      <c r="K357" s="54">
        <f t="shared" si="5"/>
        <v>0.10416666666666667</v>
      </c>
      <c r="L357" s="59">
        <f>ROUND(INDEX(DetailByDistrict[],MATCH($H357,DetailByDistrict[Dist],0),MATCH(L$2,DetailByDistrict[#Headers],0))*K357,2)</f>
        <v>971.98</v>
      </c>
      <c r="M357" s="59">
        <f>ROUND(INDEX(DetailByDistrict[],MATCH($H357,DetailByDistrict[Dist],0),MATCH(M$2,DetailByDistrict[#Headers],0))*K357,2)</f>
        <v>1062.92</v>
      </c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spans="1:26" ht="15.75" customHeight="1" x14ac:dyDescent="0.25">
      <c r="A358" s="57" t="s">
        <v>118</v>
      </c>
      <c r="B358" s="54" t="s">
        <v>1069</v>
      </c>
      <c r="C358" s="54" t="s">
        <v>776</v>
      </c>
      <c r="D358" s="57" t="s">
        <v>120</v>
      </c>
      <c r="E358" s="53">
        <v>8109</v>
      </c>
      <c r="F358" s="54" t="s">
        <v>1070</v>
      </c>
      <c r="G358" s="57" t="s">
        <v>119</v>
      </c>
      <c r="H358" s="58" t="str">
        <f>_xlfn.IFNA(INDEX(ActiveSchools!$C$2:$F$326,MATCH(G358,ActiveSchools!$F$2:$F$326,0),1),"Total")</f>
        <v>0243</v>
      </c>
      <c r="I358" s="53">
        <v>8</v>
      </c>
      <c r="J358" s="59">
        <f>_xlfn.IFNA(INDEX(DetailByDistrict[],MATCH($H358,DetailByDistrict[Dist],0),MATCH(J$2,DetailByDistrict[#Headers],0)),0)</f>
        <v>29</v>
      </c>
      <c r="K358" s="54">
        <f t="shared" si="5"/>
        <v>0.27586206896551724</v>
      </c>
      <c r="L358" s="59">
        <f>ROUND(INDEX(DetailByDistrict[],MATCH($H358,DetailByDistrict[Dist],0),MATCH(L$2,DetailByDistrict[#Headers],0))*K358,2)</f>
        <v>518.34</v>
      </c>
      <c r="M358" s="59">
        <f>ROUND(INDEX(DetailByDistrict[],MATCH($H358,DetailByDistrict[Dist],0),MATCH(M$2,DetailByDistrict[#Headers],0))*K358,2)</f>
        <v>566.9</v>
      </c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spans="1:26" ht="15.75" customHeight="1" x14ac:dyDescent="0.25">
      <c r="A359" s="57" t="s">
        <v>118</v>
      </c>
      <c r="B359" s="54" t="s">
        <v>1069</v>
      </c>
      <c r="C359" s="54" t="s">
        <v>776</v>
      </c>
      <c r="D359" s="57" t="s">
        <v>120</v>
      </c>
      <c r="E359" s="53">
        <v>8109</v>
      </c>
      <c r="F359" s="54" t="s">
        <v>1071</v>
      </c>
      <c r="G359" s="57" t="s">
        <v>120</v>
      </c>
      <c r="H359" s="58" t="str">
        <f>_xlfn.IFNA(INDEX(ActiveSchools!$C$2:$F$326,MATCH(G359,ActiveSchools!$F$2:$F$326,0),1),"Total")</f>
        <v>0585</v>
      </c>
      <c r="I359" s="53">
        <v>44</v>
      </c>
      <c r="J359" s="59">
        <f>_xlfn.IFNA(INDEX(DetailByDistrict[],MATCH($H359,DetailByDistrict[Dist],0),MATCH(J$2,DetailByDistrict[#Headers],0)),0)</f>
        <v>185</v>
      </c>
      <c r="K359" s="54">
        <f t="shared" si="5"/>
        <v>0.23783783783783785</v>
      </c>
      <c r="L359" s="59">
        <f>ROUND(INDEX(DetailByDistrict[],MATCH($H359,DetailByDistrict[Dist],0),MATCH(L$2,DetailByDistrict[#Headers],0))*K359,2)</f>
        <v>2851.2</v>
      </c>
      <c r="M359" s="59">
        <f>ROUND(INDEX(DetailByDistrict[],MATCH($H359,DetailByDistrict[Dist],0),MATCH(M$2,DetailByDistrict[#Headers],0))*K359,2)</f>
        <v>3117.82</v>
      </c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spans="1:26" ht="15.75" customHeight="1" x14ac:dyDescent="0.25">
      <c r="A360" s="57" t="s">
        <v>118</v>
      </c>
      <c r="B360" s="54" t="s">
        <v>1069</v>
      </c>
      <c r="C360" s="54" t="s">
        <v>776</v>
      </c>
      <c r="D360" s="57" t="s">
        <v>120</v>
      </c>
      <c r="E360" s="53">
        <v>8109</v>
      </c>
      <c r="F360" s="54" t="s">
        <v>1072</v>
      </c>
      <c r="G360" s="53" t="s">
        <v>131</v>
      </c>
      <c r="H360" s="58" t="str">
        <f>_xlfn.IFNA(INDEX(ActiveSchools!$C$2:$F$326,MATCH(G360,ActiveSchools!$F$2:$F$326,0),1),"Total")</f>
        <v>1965</v>
      </c>
      <c r="I360" s="53">
        <v>2</v>
      </c>
      <c r="J360" s="59">
        <f>_xlfn.IFNA(INDEX(DetailByDistrict[],MATCH($H360,DetailByDistrict[Dist],0),MATCH(J$2,DetailByDistrict[#Headers],0)),0)</f>
        <v>6</v>
      </c>
      <c r="K360" s="54">
        <f t="shared" si="5"/>
        <v>0.33333333333333331</v>
      </c>
      <c r="L360" s="59">
        <f>ROUND(INDEX(DetailByDistrict[],MATCH($H360,DetailByDistrict[Dist],0),MATCH(L$2,DetailByDistrict[#Headers],0))*K360,2)</f>
        <v>129.66999999999999</v>
      </c>
      <c r="M360" s="59">
        <f>ROUND(INDEX(DetailByDistrict[],MATCH($H360,DetailByDistrict[Dist],0),MATCH(M$2,DetailByDistrict[#Headers],0))*K360,2)</f>
        <v>141.66999999999999</v>
      </c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spans="1:26" ht="15.75" customHeight="1" x14ac:dyDescent="0.25">
      <c r="A361" s="57" t="s">
        <v>118</v>
      </c>
      <c r="B361" s="54" t="s">
        <v>1069</v>
      </c>
      <c r="C361" s="54" t="s">
        <v>776</v>
      </c>
      <c r="D361" s="57" t="s">
        <v>120</v>
      </c>
      <c r="E361" s="53">
        <v>8109</v>
      </c>
      <c r="F361" s="54" t="s">
        <v>1073</v>
      </c>
      <c r="G361" s="53" t="s">
        <v>133</v>
      </c>
      <c r="H361" s="58" t="str">
        <f>_xlfn.IFNA(INDEX(ActiveSchools!$C$2:$F$326,MATCH(G361,ActiveSchools!$F$2:$F$326,0),1),"Total")</f>
        <v>4041</v>
      </c>
      <c r="I361" s="53">
        <v>6</v>
      </c>
      <c r="J361" s="59">
        <f>_xlfn.IFNA(INDEX(DetailByDistrict[],MATCH($H361,DetailByDistrict[Dist],0),MATCH(J$2,DetailByDistrict[#Headers],0)),0)</f>
        <v>144</v>
      </c>
      <c r="K361" s="54">
        <f t="shared" si="5"/>
        <v>4.1666666666666664E-2</v>
      </c>
      <c r="L361" s="59">
        <f>ROUND(INDEX(DetailByDistrict[],MATCH($H361,DetailByDistrict[Dist],0),MATCH(L$2,DetailByDistrict[#Headers],0))*K361,2)</f>
        <v>388.79</v>
      </c>
      <c r="M361" s="59">
        <f>ROUND(INDEX(DetailByDistrict[],MATCH($H361,DetailByDistrict[Dist],0),MATCH(M$2,DetailByDistrict[#Headers],0))*K361,2)</f>
        <v>425.17</v>
      </c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spans="1:26" ht="15.75" customHeight="1" x14ac:dyDescent="0.25">
      <c r="A362" s="57" t="s">
        <v>118</v>
      </c>
      <c r="B362" s="54" t="s">
        <v>1069</v>
      </c>
      <c r="C362" s="54" t="s">
        <v>778</v>
      </c>
      <c r="D362" s="57" t="s">
        <v>122</v>
      </c>
      <c r="E362" s="53">
        <v>8106</v>
      </c>
      <c r="F362" s="54" t="s">
        <v>1074</v>
      </c>
      <c r="G362" s="57" t="s">
        <v>122</v>
      </c>
      <c r="H362" s="58" t="str">
        <f>_xlfn.IFNA(INDEX(ActiveSchools!$C$2:$F$326,MATCH(G362,ActiveSchools!$F$2:$F$326,0),1),"Total")</f>
        <v>0621</v>
      </c>
      <c r="I362" s="53">
        <v>73</v>
      </c>
      <c r="J362" s="59">
        <f>_xlfn.IFNA(INDEX(DetailByDistrict[],MATCH($H362,DetailByDistrict[Dist],0),MATCH(J$2,DetailByDistrict[#Headers],0)),0)</f>
        <v>406</v>
      </c>
      <c r="K362" s="54">
        <f t="shared" si="5"/>
        <v>0.17980295566502463</v>
      </c>
      <c r="L362" s="59">
        <f>ROUND(INDEX(DetailByDistrict[],MATCH($H362,DetailByDistrict[Dist],0),MATCH(L$2,DetailByDistrict[#Headers],0))*K362,2)</f>
        <v>4730.4399999999996</v>
      </c>
      <c r="M362" s="59">
        <f>ROUND(INDEX(DetailByDistrict[],MATCH($H362,DetailByDistrict[Dist],0),MATCH(M$2,DetailByDistrict[#Headers],0))*K362,2)</f>
        <v>5172.75</v>
      </c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spans="1:26" ht="15.75" customHeight="1" x14ac:dyDescent="0.25">
      <c r="A363" s="57" t="s">
        <v>118</v>
      </c>
      <c r="B363" s="54" t="s">
        <v>1069</v>
      </c>
      <c r="C363" s="54" t="s">
        <v>778</v>
      </c>
      <c r="D363" s="57" t="s">
        <v>122</v>
      </c>
      <c r="E363" s="53">
        <v>8106</v>
      </c>
      <c r="F363" s="54" t="s">
        <v>1075</v>
      </c>
      <c r="G363" s="53" t="s">
        <v>125</v>
      </c>
      <c r="H363" s="58" t="str">
        <f>_xlfn.IFNA(INDEX(ActiveSchools!$C$2:$F$326,MATCH(G363,ActiveSchools!$F$2:$F$326,0),1),"Total")</f>
        <v>1082</v>
      </c>
      <c r="I363" s="53">
        <v>5</v>
      </c>
      <c r="J363" s="59">
        <f>_xlfn.IFNA(INDEX(DetailByDistrict[],MATCH($H363,DetailByDistrict[Dist],0),MATCH(J$2,DetailByDistrict[#Headers],0)),0)</f>
        <v>162</v>
      </c>
      <c r="K363" s="54">
        <f t="shared" si="5"/>
        <v>3.0864197530864196E-2</v>
      </c>
      <c r="L363" s="59">
        <f>ROUND(INDEX(DetailByDistrict[],MATCH($H363,DetailByDistrict[Dist],0),MATCH(L$2,DetailByDistrict[#Headers],0))*K363,2)</f>
        <v>324.01</v>
      </c>
      <c r="M363" s="59">
        <f>ROUND(INDEX(DetailByDistrict[],MATCH($H363,DetailByDistrict[Dist],0),MATCH(M$2,DetailByDistrict[#Headers],0))*K363,2)</f>
        <v>354.29</v>
      </c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spans="1:26" ht="15.75" customHeight="1" x14ac:dyDescent="0.25">
      <c r="A364" s="57" t="s">
        <v>118</v>
      </c>
      <c r="B364" s="54" t="s">
        <v>1069</v>
      </c>
      <c r="C364" s="54" t="s">
        <v>778</v>
      </c>
      <c r="D364" s="57" t="s">
        <v>122</v>
      </c>
      <c r="E364" s="53">
        <v>8106</v>
      </c>
      <c r="F364" s="54" t="s">
        <v>1076</v>
      </c>
      <c r="G364" s="53" t="s">
        <v>126</v>
      </c>
      <c r="H364" s="58" t="str">
        <f>_xlfn.IFNA(INDEX(ActiveSchools!$C$2:$F$326,MATCH(G364,ActiveSchools!$F$2:$F$326,0),1),"Total")</f>
        <v>1278</v>
      </c>
      <c r="I364" s="53">
        <v>1</v>
      </c>
      <c r="J364" s="59">
        <f>_xlfn.IFNA(INDEX(DetailByDistrict[],MATCH($H364,DetailByDistrict[Dist],0),MATCH(J$2,DetailByDistrict[#Headers],0)),0)</f>
        <v>188</v>
      </c>
      <c r="K364" s="54">
        <f t="shared" si="5"/>
        <v>5.3191489361702126E-3</v>
      </c>
      <c r="L364" s="59">
        <f>ROUND(INDEX(DetailByDistrict[],MATCH($H364,DetailByDistrict[Dist],0),MATCH(L$2,DetailByDistrict[#Headers],0))*K364,2)</f>
        <v>64.8</v>
      </c>
      <c r="M364" s="59">
        <f>ROUND(INDEX(DetailByDistrict[],MATCH($H364,DetailByDistrict[Dist],0),MATCH(M$2,DetailByDistrict[#Headers],0))*K364,2)</f>
        <v>70.86</v>
      </c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spans="1:26" ht="15.75" customHeight="1" x14ac:dyDescent="0.25">
      <c r="A365" s="57" t="s">
        <v>118</v>
      </c>
      <c r="B365" s="54" t="s">
        <v>1069</v>
      </c>
      <c r="C365" s="54" t="s">
        <v>778</v>
      </c>
      <c r="D365" s="57" t="s">
        <v>122</v>
      </c>
      <c r="E365" s="53">
        <v>8106</v>
      </c>
      <c r="F365" s="54" t="s">
        <v>1077</v>
      </c>
      <c r="G365" s="53" t="s">
        <v>128</v>
      </c>
      <c r="H365" s="58" t="str">
        <f>_xlfn.IFNA(INDEX(ActiveSchools!$C$2:$F$326,MATCH(G365,ActiveSchools!$F$2:$F$326,0),1),"Total")</f>
        <v>1611</v>
      </c>
      <c r="I365" s="53">
        <v>55</v>
      </c>
      <c r="J365" s="59">
        <f>_xlfn.IFNA(INDEX(DetailByDistrict[],MATCH($H365,DetailByDistrict[Dist],0),MATCH(J$2,DetailByDistrict[#Headers],0)),0)</f>
        <v>2041</v>
      </c>
      <c r="K365" s="54">
        <f t="shared" si="5"/>
        <v>2.6947574718275354E-2</v>
      </c>
      <c r="L365" s="59">
        <f>ROUND(INDEX(DetailByDistrict[],MATCH($H365,DetailByDistrict[Dist],0),MATCH(L$2,DetailByDistrict[#Headers],0))*K365,2)</f>
        <v>3564.01</v>
      </c>
      <c r="M365" s="59">
        <f>ROUND(INDEX(DetailByDistrict[],MATCH($H365,DetailByDistrict[Dist],0),MATCH(M$2,DetailByDistrict[#Headers],0))*K365,2)</f>
        <v>3897.29</v>
      </c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spans="1:26" ht="15.75" customHeight="1" x14ac:dyDescent="0.25">
      <c r="A366" s="57" t="s">
        <v>118</v>
      </c>
      <c r="B366" s="54" t="s">
        <v>1069</v>
      </c>
      <c r="C366" s="54" t="s">
        <v>778</v>
      </c>
      <c r="D366" s="57" t="s">
        <v>122</v>
      </c>
      <c r="E366" s="53">
        <v>8106</v>
      </c>
      <c r="F366" s="54" t="s">
        <v>1078</v>
      </c>
      <c r="G366" s="53" t="s">
        <v>130</v>
      </c>
      <c r="H366" s="58" t="str">
        <f>_xlfn.IFNA(INDEX(ActiveSchools!$C$2:$F$326,MATCH(G366,ActiveSchools!$F$2:$F$326,0),1),"Total")</f>
        <v>1926</v>
      </c>
      <c r="I366" s="53">
        <v>1</v>
      </c>
      <c r="J366" s="59">
        <f>_xlfn.IFNA(INDEX(DetailByDistrict[],MATCH($H366,DetailByDistrict[Dist],0),MATCH(J$2,DetailByDistrict[#Headers],0)),0)</f>
        <v>5</v>
      </c>
      <c r="K366" s="54">
        <f t="shared" si="5"/>
        <v>0.2</v>
      </c>
      <c r="L366" s="59">
        <f>ROUND(INDEX(DetailByDistrict[],MATCH($H366,DetailByDistrict[Dist],0),MATCH(L$2,DetailByDistrict[#Headers],0))*K366,2)</f>
        <v>64.8</v>
      </c>
      <c r="M366" s="59">
        <f>ROUND(INDEX(DetailByDistrict[],MATCH($H366,DetailByDistrict[Dist],0),MATCH(M$2,DetailByDistrict[#Headers],0))*K366,2)</f>
        <v>70.8</v>
      </c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spans="1:26" ht="15.75" customHeight="1" x14ac:dyDescent="0.25">
      <c r="A367" s="57" t="s">
        <v>118</v>
      </c>
      <c r="B367" s="54" t="s">
        <v>1069</v>
      </c>
      <c r="C367" s="54" t="s">
        <v>778</v>
      </c>
      <c r="D367" s="57" t="s">
        <v>122</v>
      </c>
      <c r="E367" s="53">
        <v>8106</v>
      </c>
      <c r="F367" s="54" t="s">
        <v>1079</v>
      </c>
      <c r="G367" s="53" t="s">
        <v>134</v>
      </c>
      <c r="H367" s="58" t="str">
        <f>_xlfn.IFNA(INDEX(ActiveSchools!$C$2:$F$326,MATCH(G367,ActiveSchools!$F$2:$F$326,0),1),"Total")</f>
        <v>4581</v>
      </c>
      <c r="I367" s="53">
        <v>1</v>
      </c>
      <c r="J367" s="59">
        <f>_xlfn.IFNA(INDEX(DetailByDistrict[],MATCH($H367,DetailByDistrict[Dist],0),MATCH(J$2,DetailByDistrict[#Headers],0)),0)</f>
        <v>262</v>
      </c>
      <c r="K367" s="54">
        <f t="shared" si="5"/>
        <v>3.8167938931297708E-3</v>
      </c>
      <c r="L367" s="59">
        <f>ROUND(INDEX(DetailByDistrict[],MATCH($H367,DetailByDistrict[Dist],0),MATCH(L$2,DetailByDistrict[#Headers],0))*K367,2)</f>
        <v>64.8</v>
      </c>
      <c r="M367" s="59">
        <f>ROUND(INDEX(DetailByDistrict[],MATCH($H367,DetailByDistrict[Dist],0),MATCH(M$2,DetailByDistrict[#Headers],0))*K367,2)</f>
        <v>70.86</v>
      </c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spans="1:26" ht="15.75" customHeight="1" x14ac:dyDescent="0.25">
      <c r="A368" s="57" t="s">
        <v>118</v>
      </c>
      <c r="B368" s="54" t="s">
        <v>1069</v>
      </c>
      <c r="C368" s="54" t="s">
        <v>778</v>
      </c>
      <c r="D368" s="57" t="s">
        <v>122</v>
      </c>
      <c r="E368" s="53">
        <v>8106</v>
      </c>
      <c r="F368" s="54" t="s">
        <v>1080</v>
      </c>
      <c r="G368" s="53" t="s">
        <v>135</v>
      </c>
      <c r="H368" s="58" t="str">
        <f>_xlfn.IFNA(INDEX(ActiveSchools!$C$2:$F$326,MATCH(G368,ActiveSchools!$F$2:$F$326,0),1),"Total")</f>
        <v>4784</v>
      </c>
      <c r="I368" s="53">
        <v>16</v>
      </c>
      <c r="J368" s="59">
        <f>_xlfn.IFNA(INDEX(DetailByDistrict[],MATCH($H368,DetailByDistrict[Dist],0),MATCH(J$2,DetailByDistrict[#Headers],0)),0)</f>
        <v>69</v>
      </c>
      <c r="K368" s="54">
        <f t="shared" si="5"/>
        <v>0.2318840579710145</v>
      </c>
      <c r="L368" s="59">
        <f>ROUND(INDEX(DetailByDistrict[],MATCH($H368,DetailByDistrict[Dist],0),MATCH(L$2,DetailByDistrict[#Headers],0))*K368,2)</f>
        <v>1036.75</v>
      </c>
      <c r="M368" s="59">
        <f>ROUND(INDEX(DetailByDistrict[],MATCH($H368,DetailByDistrict[Dist],0),MATCH(M$2,DetailByDistrict[#Headers],0))*K368,2)</f>
        <v>1133.68</v>
      </c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spans="1:26" ht="15.75" customHeight="1" x14ac:dyDescent="0.25">
      <c r="A369" s="57" t="s">
        <v>118</v>
      </c>
      <c r="B369" s="54" t="s">
        <v>1069</v>
      </c>
      <c r="C369" s="54" t="s">
        <v>778</v>
      </c>
      <c r="D369" s="57" t="s">
        <v>122</v>
      </c>
      <c r="E369" s="53">
        <v>8106</v>
      </c>
      <c r="F369" s="54" t="s">
        <v>1081</v>
      </c>
      <c r="G369" s="53" t="s">
        <v>137</v>
      </c>
      <c r="H369" s="58" t="str">
        <f>_xlfn.IFNA(INDEX(ActiveSchools!$C$2:$F$326,MATCH(G369,ActiveSchools!$F$2:$F$326,0),1),"Total")</f>
        <v>5250</v>
      </c>
      <c r="I369" s="53">
        <v>47</v>
      </c>
      <c r="J369" s="59">
        <f>_xlfn.IFNA(INDEX(DetailByDistrict[],MATCH($H369,DetailByDistrict[Dist],0),MATCH(J$2,DetailByDistrict[#Headers],0)),0)</f>
        <v>250</v>
      </c>
      <c r="K369" s="54">
        <f t="shared" si="5"/>
        <v>0.188</v>
      </c>
      <c r="L369" s="59">
        <f>ROUND(INDEX(DetailByDistrict[],MATCH($H369,DetailByDistrict[Dist],0),MATCH(L$2,DetailByDistrict[#Headers],0))*K369,2)</f>
        <v>3045.6</v>
      </c>
      <c r="M369" s="59">
        <f>ROUND(INDEX(DetailByDistrict[],MATCH($H369,DetailByDistrict[Dist],0),MATCH(M$2,DetailByDistrict[#Headers],0))*K369,2)</f>
        <v>3330.42</v>
      </c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spans="1:26" ht="15.75" customHeight="1" x14ac:dyDescent="0.25">
      <c r="A370" s="57" t="s">
        <v>118</v>
      </c>
      <c r="B370" s="54" t="s">
        <v>1069</v>
      </c>
      <c r="C370" s="54" t="s">
        <v>779</v>
      </c>
      <c r="D370" s="57" t="s">
        <v>122</v>
      </c>
      <c r="E370" s="53">
        <v>8110</v>
      </c>
      <c r="F370" s="54" t="s">
        <v>1074</v>
      </c>
      <c r="G370" s="57" t="s">
        <v>122</v>
      </c>
      <c r="H370" s="58" t="str">
        <f>_xlfn.IFNA(INDEX(ActiveSchools!$C$2:$F$326,MATCH(G370,ActiveSchools!$F$2:$F$326,0),1),"Total")</f>
        <v>0621</v>
      </c>
      <c r="I370" s="53">
        <v>63</v>
      </c>
      <c r="J370" s="59">
        <f>_xlfn.IFNA(INDEX(DetailByDistrict[],MATCH($H370,DetailByDistrict[Dist],0),MATCH(J$2,DetailByDistrict[#Headers],0)),0)</f>
        <v>406</v>
      </c>
      <c r="K370" s="54">
        <f t="shared" si="5"/>
        <v>0.15517241379310345</v>
      </c>
      <c r="L370" s="59">
        <f>ROUND(INDEX(DetailByDistrict[],MATCH($H370,DetailByDistrict[Dist],0),MATCH(L$2,DetailByDistrict[#Headers],0))*K370,2)</f>
        <v>4082.43</v>
      </c>
      <c r="M370" s="59">
        <f>ROUND(INDEX(DetailByDistrict[],MATCH($H370,DetailByDistrict[Dist],0),MATCH(M$2,DetailByDistrict[#Headers],0))*K370,2)</f>
        <v>4464.16</v>
      </c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spans="1:26" ht="15.75" customHeight="1" x14ac:dyDescent="0.25">
      <c r="A371" s="57" t="s">
        <v>118</v>
      </c>
      <c r="B371" s="54" t="s">
        <v>1069</v>
      </c>
      <c r="C371" s="54" t="s">
        <v>779</v>
      </c>
      <c r="D371" s="57" t="s">
        <v>122</v>
      </c>
      <c r="E371" s="53">
        <v>8110</v>
      </c>
      <c r="F371" s="54" t="s">
        <v>1077</v>
      </c>
      <c r="G371" s="53" t="s">
        <v>128</v>
      </c>
      <c r="H371" s="58" t="str">
        <f>_xlfn.IFNA(INDEX(ActiveSchools!$C$2:$F$326,MATCH(G371,ActiveSchools!$F$2:$F$326,0),1),"Total")</f>
        <v>1611</v>
      </c>
      <c r="I371" s="53">
        <v>46</v>
      </c>
      <c r="J371" s="59">
        <f>_xlfn.IFNA(INDEX(DetailByDistrict[],MATCH($H371,DetailByDistrict[Dist],0),MATCH(J$2,DetailByDistrict[#Headers],0)),0)</f>
        <v>2041</v>
      </c>
      <c r="K371" s="54">
        <f t="shared" si="5"/>
        <v>2.2537971582557569E-2</v>
      </c>
      <c r="L371" s="59">
        <f>ROUND(INDEX(DetailByDistrict[],MATCH($H371,DetailByDistrict[Dist],0),MATCH(L$2,DetailByDistrict[#Headers],0))*K371,2)</f>
        <v>2980.8</v>
      </c>
      <c r="M371" s="59">
        <f>ROUND(INDEX(DetailByDistrict[],MATCH($H371,DetailByDistrict[Dist],0),MATCH(M$2,DetailByDistrict[#Headers],0))*K371,2)</f>
        <v>3259.55</v>
      </c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spans="1:26" ht="15.75" customHeight="1" x14ac:dyDescent="0.25">
      <c r="A372" s="57" t="s">
        <v>118</v>
      </c>
      <c r="B372" s="54" t="s">
        <v>1069</v>
      </c>
      <c r="C372" s="54" t="s">
        <v>779</v>
      </c>
      <c r="D372" s="57" t="s">
        <v>122</v>
      </c>
      <c r="E372" s="53">
        <v>8110</v>
      </c>
      <c r="F372" s="54" t="s">
        <v>1080</v>
      </c>
      <c r="G372" s="53" t="s">
        <v>135</v>
      </c>
      <c r="H372" s="58" t="str">
        <f>_xlfn.IFNA(INDEX(ActiveSchools!$C$2:$F$326,MATCH(G372,ActiveSchools!$F$2:$F$326,0),1),"Total")</f>
        <v>4784</v>
      </c>
      <c r="I372" s="53">
        <v>6</v>
      </c>
      <c r="J372" s="59">
        <f>_xlfn.IFNA(INDEX(DetailByDistrict[],MATCH($H372,DetailByDistrict[Dist],0),MATCH(J$2,DetailByDistrict[#Headers],0)),0)</f>
        <v>69</v>
      </c>
      <c r="K372" s="54">
        <f t="shared" si="5"/>
        <v>8.6956521739130432E-2</v>
      </c>
      <c r="L372" s="59">
        <f>ROUND(INDEX(DetailByDistrict[],MATCH($H372,DetailByDistrict[Dist],0),MATCH(L$2,DetailByDistrict[#Headers],0))*K372,2)</f>
        <v>388.78</v>
      </c>
      <c r="M372" s="59">
        <f>ROUND(INDEX(DetailByDistrict[],MATCH($H372,DetailByDistrict[Dist],0),MATCH(M$2,DetailByDistrict[#Headers],0))*K372,2)</f>
        <v>425.13</v>
      </c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spans="1:26" ht="15.75" customHeight="1" x14ac:dyDescent="0.25">
      <c r="A373" s="57" t="s">
        <v>118</v>
      </c>
      <c r="B373" s="54" t="s">
        <v>1069</v>
      </c>
      <c r="C373" s="54" t="s">
        <v>779</v>
      </c>
      <c r="D373" s="57" t="s">
        <v>122</v>
      </c>
      <c r="E373" s="53">
        <v>8110</v>
      </c>
      <c r="F373" s="54" t="s">
        <v>1081</v>
      </c>
      <c r="G373" s="53" t="s">
        <v>137</v>
      </c>
      <c r="H373" s="58" t="str">
        <f>_xlfn.IFNA(INDEX(ActiveSchools!$C$2:$F$326,MATCH(G373,ActiveSchools!$F$2:$F$326,0),1),"Total")</f>
        <v>5250</v>
      </c>
      <c r="I373" s="53">
        <v>17</v>
      </c>
      <c r="J373" s="59">
        <f>_xlfn.IFNA(INDEX(DetailByDistrict[],MATCH($H373,DetailByDistrict[Dist],0),MATCH(J$2,DetailByDistrict[#Headers],0)),0)</f>
        <v>250</v>
      </c>
      <c r="K373" s="54">
        <f t="shared" si="5"/>
        <v>6.8000000000000005E-2</v>
      </c>
      <c r="L373" s="59">
        <f>ROUND(INDEX(DetailByDistrict[],MATCH($H373,DetailByDistrict[Dist],0),MATCH(L$2,DetailByDistrict[#Headers],0))*K373,2)</f>
        <v>1101.5999999999999</v>
      </c>
      <c r="M373" s="59">
        <f>ROUND(INDEX(DetailByDistrict[],MATCH($H373,DetailByDistrict[Dist],0),MATCH(M$2,DetailByDistrict[#Headers],0))*K373,2)</f>
        <v>1204.6199999999999</v>
      </c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spans="1:26" ht="15.75" customHeight="1" x14ac:dyDescent="0.25">
      <c r="A374" s="57" t="s">
        <v>118</v>
      </c>
      <c r="B374" s="54" t="s">
        <v>1069</v>
      </c>
      <c r="C374" s="54" t="s">
        <v>780</v>
      </c>
      <c r="D374" s="57" t="s">
        <v>122</v>
      </c>
      <c r="E374" s="53">
        <v>8114</v>
      </c>
      <c r="F374" s="54" t="s">
        <v>1082</v>
      </c>
      <c r="G374" s="57" t="s">
        <v>121</v>
      </c>
      <c r="H374" s="58" t="str">
        <f>_xlfn.IFNA(INDEX(ActiveSchools!$C$2:$F$326,MATCH(G374,ActiveSchools!$F$2:$F$326,0),1),"Total")</f>
        <v>0603</v>
      </c>
      <c r="I374" s="53">
        <v>1</v>
      </c>
      <c r="J374" s="59">
        <f>_xlfn.IFNA(INDEX(DetailByDistrict[],MATCH($H374,DetailByDistrict[Dist],0),MATCH(J$2,DetailByDistrict[#Headers],0)),0)</f>
        <v>5</v>
      </c>
      <c r="K374" s="54">
        <f t="shared" si="5"/>
        <v>0.2</v>
      </c>
      <c r="L374" s="59">
        <f>ROUND(INDEX(DetailByDistrict[],MATCH($H374,DetailByDistrict[Dist],0),MATCH(L$2,DetailByDistrict[#Headers],0))*K374,2)</f>
        <v>64.8</v>
      </c>
      <c r="M374" s="59">
        <f>ROUND(INDEX(DetailByDistrict[],MATCH($H374,DetailByDistrict[Dist],0),MATCH(M$2,DetailByDistrict[#Headers],0))*K374,2)</f>
        <v>70.8</v>
      </c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spans="1:26" ht="15.75" customHeight="1" x14ac:dyDescent="0.25">
      <c r="A375" s="57" t="s">
        <v>118</v>
      </c>
      <c r="B375" s="54" t="s">
        <v>1069</v>
      </c>
      <c r="C375" s="54" t="s">
        <v>780</v>
      </c>
      <c r="D375" s="57" t="s">
        <v>122</v>
      </c>
      <c r="E375" s="53">
        <v>8114</v>
      </c>
      <c r="F375" s="54" t="s">
        <v>1074</v>
      </c>
      <c r="G375" s="57" t="s">
        <v>122</v>
      </c>
      <c r="H375" s="58" t="str">
        <f>_xlfn.IFNA(INDEX(ActiveSchools!$C$2:$F$326,MATCH(G375,ActiveSchools!$F$2:$F$326,0),1),"Total")</f>
        <v>0621</v>
      </c>
      <c r="I375" s="53">
        <v>138</v>
      </c>
      <c r="J375" s="59">
        <f>_xlfn.IFNA(INDEX(DetailByDistrict[],MATCH($H375,DetailByDistrict[Dist],0),MATCH(J$2,DetailByDistrict[#Headers],0)),0)</f>
        <v>406</v>
      </c>
      <c r="K375" s="54">
        <f t="shared" si="5"/>
        <v>0.33990147783251229</v>
      </c>
      <c r="L375" s="59">
        <f>ROUND(INDEX(DetailByDistrict[],MATCH($H375,DetailByDistrict[Dist],0),MATCH(L$2,DetailByDistrict[#Headers],0))*K375,2)</f>
        <v>8942.4699999999993</v>
      </c>
      <c r="M375" s="59">
        <f>ROUND(INDEX(DetailByDistrict[],MATCH($H375,DetailByDistrict[Dist],0),MATCH(M$2,DetailByDistrict[#Headers],0))*K375,2)</f>
        <v>9778.6299999999992</v>
      </c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spans="1:26" ht="15.75" customHeight="1" x14ac:dyDescent="0.25">
      <c r="A376" s="57" t="s">
        <v>118</v>
      </c>
      <c r="B376" s="54" t="s">
        <v>1069</v>
      </c>
      <c r="C376" s="54" t="s">
        <v>780</v>
      </c>
      <c r="D376" s="57" t="s">
        <v>122</v>
      </c>
      <c r="E376" s="53">
        <v>8114</v>
      </c>
      <c r="F376" s="54" t="s">
        <v>1077</v>
      </c>
      <c r="G376" s="53" t="s">
        <v>128</v>
      </c>
      <c r="H376" s="58" t="str">
        <f>_xlfn.IFNA(INDEX(ActiveSchools!$C$2:$F$326,MATCH(G376,ActiveSchools!$F$2:$F$326,0),1),"Total")</f>
        <v>1611</v>
      </c>
      <c r="I376" s="53">
        <v>63</v>
      </c>
      <c r="J376" s="59">
        <f>_xlfn.IFNA(INDEX(DetailByDistrict[],MATCH($H376,DetailByDistrict[Dist],0),MATCH(J$2,DetailByDistrict[#Headers],0)),0)</f>
        <v>2041</v>
      </c>
      <c r="K376" s="54">
        <f t="shared" si="5"/>
        <v>3.0867221950024497E-2</v>
      </c>
      <c r="L376" s="59">
        <f>ROUND(INDEX(DetailByDistrict[],MATCH($H376,DetailByDistrict[Dist],0),MATCH(L$2,DetailByDistrict[#Headers],0))*K376,2)</f>
        <v>4082.41</v>
      </c>
      <c r="M376" s="59">
        <f>ROUND(INDEX(DetailByDistrict[],MATCH($H376,DetailByDistrict[Dist],0),MATCH(M$2,DetailByDistrict[#Headers],0))*K376,2)</f>
        <v>4464.17</v>
      </c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spans="1:26" ht="15.75" customHeight="1" x14ac:dyDescent="0.25">
      <c r="A377" s="57" t="s">
        <v>118</v>
      </c>
      <c r="B377" s="54" t="s">
        <v>1069</v>
      </c>
      <c r="C377" s="54" t="s">
        <v>780</v>
      </c>
      <c r="D377" s="57" t="s">
        <v>122</v>
      </c>
      <c r="E377" s="53">
        <v>8114</v>
      </c>
      <c r="F377" s="54" t="s">
        <v>1080</v>
      </c>
      <c r="G377" s="53" t="s">
        <v>135</v>
      </c>
      <c r="H377" s="58" t="str">
        <f>_xlfn.IFNA(INDEX(ActiveSchools!$C$2:$F$326,MATCH(G377,ActiveSchools!$F$2:$F$326,0),1),"Total")</f>
        <v>4784</v>
      </c>
      <c r="I377" s="53">
        <v>4</v>
      </c>
      <c r="J377" s="59">
        <f>_xlfn.IFNA(INDEX(DetailByDistrict[],MATCH($H377,DetailByDistrict[Dist],0),MATCH(J$2,DetailByDistrict[#Headers],0)),0)</f>
        <v>69</v>
      </c>
      <c r="K377" s="54">
        <f t="shared" si="5"/>
        <v>5.7971014492753624E-2</v>
      </c>
      <c r="L377" s="59">
        <f>ROUND(INDEX(DetailByDistrict[],MATCH($H377,DetailByDistrict[Dist],0),MATCH(L$2,DetailByDistrict[#Headers],0))*K377,2)</f>
        <v>259.19</v>
      </c>
      <c r="M377" s="59">
        <f>ROUND(INDEX(DetailByDistrict[],MATCH($H377,DetailByDistrict[Dist],0),MATCH(M$2,DetailByDistrict[#Headers],0))*K377,2)</f>
        <v>283.42</v>
      </c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spans="1:26" ht="15.75" customHeight="1" x14ac:dyDescent="0.25">
      <c r="A378" s="57" t="s">
        <v>118</v>
      </c>
      <c r="B378" s="54" t="s">
        <v>1069</v>
      </c>
      <c r="C378" s="54" t="s">
        <v>780</v>
      </c>
      <c r="D378" s="57" t="s">
        <v>122</v>
      </c>
      <c r="E378" s="53">
        <v>8114</v>
      </c>
      <c r="F378" s="54" t="s">
        <v>1081</v>
      </c>
      <c r="G378" s="53" t="s">
        <v>137</v>
      </c>
      <c r="H378" s="58" t="str">
        <f>_xlfn.IFNA(INDEX(ActiveSchools!$C$2:$F$326,MATCH(G378,ActiveSchools!$F$2:$F$326,0),1),"Total")</f>
        <v>5250</v>
      </c>
      <c r="I378" s="53">
        <v>82</v>
      </c>
      <c r="J378" s="59">
        <f>_xlfn.IFNA(INDEX(DetailByDistrict[],MATCH($H378,DetailByDistrict[Dist],0),MATCH(J$2,DetailByDistrict[#Headers],0)),0)</f>
        <v>250</v>
      </c>
      <c r="K378" s="54">
        <f t="shared" si="5"/>
        <v>0.32800000000000001</v>
      </c>
      <c r="L378" s="59">
        <f>ROUND(INDEX(DetailByDistrict[],MATCH($H378,DetailByDistrict[Dist],0),MATCH(L$2,DetailByDistrict[#Headers],0))*K378,2)</f>
        <v>5313.6</v>
      </c>
      <c r="M378" s="59">
        <f>ROUND(INDEX(DetailByDistrict[],MATCH($H378,DetailByDistrict[Dist],0),MATCH(M$2,DetailByDistrict[#Headers],0))*K378,2)</f>
        <v>5810.52</v>
      </c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spans="1:26" ht="15.75" customHeight="1" x14ac:dyDescent="0.25">
      <c r="A379" s="57" t="s">
        <v>118</v>
      </c>
      <c r="B379" s="54" t="s">
        <v>1069</v>
      </c>
      <c r="C379" s="54" t="s">
        <v>781</v>
      </c>
      <c r="D379" s="57" t="s">
        <v>122</v>
      </c>
      <c r="E379" s="53">
        <v>8121</v>
      </c>
      <c r="F379" s="54" t="s">
        <v>1074</v>
      </c>
      <c r="G379" s="57" t="s">
        <v>122</v>
      </c>
      <c r="H379" s="58" t="str">
        <f>_xlfn.IFNA(INDEX(ActiveSchools!$C$2:$F$326,MATCH(G379,ActiveSchools!$F$2:$F$326,0),1),"Total")</f>
        <v>0621</v>
      </c>
      <c r="I379" s="53">
        <v>19</v>
      </c>
      <c r="J379" s="59">
        <f>_xlfn.IFNA(INDEX(DetailByDistrict[],MATCH($H379,DetailByDistrict[Dist],0),MATCH(J$2,DetailByDistrict[#Headers],0)),0)</f>
        <v>406</v>
      </c>
      <c r="K379" s="54">
        <f t="shared" si="5"/>
        <v>4.6798029556650245E-2</v>
      </c>
      <c r="L379" s="59">
        <f>ROUND(INDEX(DetailByDistrict[],MATCH($H379,DetailByDistrict[Dist],0),MATCH(L$2,DetailByDistrict[#Headers],0))*K379,2)</f>
        <v>1231.21</v>
      </c>
      <c r="M379" s="59">
        <f>ROUND(INDEX(DetailByDistrict[],MATCH($H379,DetailByDistrict[Dist],0),MATCH(M$2,DetailByDistrict[#Headers],0))*K379,2)</f>
        <v>1346.33</v>
      </c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spans="1:26" ht="15.75" customHeight="1" x14ac:dyDescent="0.25">
      <c r="A380" s="57" t="s">
        <v>118</v>
      </c>
      <c r="B380" s="54" t="s">
        <v>1069</v>
      </c>
      <c r="C380" s="54" t="s">
        <v>781</v>
      </c>
      <c r="D380" s="57" t="s">
        <v>122</v>
      </c>
      <c r="E380" s="53">
        <v>8121</v>
      </c>
      <c r="F380" s="54" t="s">
        <v>1075</v>
      </c>
      <c r="G380" s="53" t="s">
        <v>125</v>
      </c>
      <c r="H380" s="58" t="str">
        <f>_xlfn.IFNA(INDEX(ActiveSchools!$C$2:$F$326,MATCH(G380,ActiveSchools!$F$2:$F$326,0),1),"Total")</f>
        <v>1082</v>
      </c>
      <c r="I380" s="53">
        <v>2</v>
      </c>
      <c r="J380" s="59">
        <f>_xlfn.IFNA(INDEX(DetailByDistrict[],MATCH($H380,DetailByDistrict[Dist],0),MATCH(J$2,DetailByDistrict[#Headers],0)),0)</f>
        <v>162</v>
      </c>
      <c r="K380" s="54">
        <f t="shared" si="5"/>
        <v>1.2345679012345678E-2</v>
      </c>
      <c r="L380" s="59">
        <f>ROUND(INDEX(DetailByDistrict[],MATCH($H380,DetailByDistrict[Dist],0),MATCH(L$2,DetailByDistrict[#Headers],0))*K380,2)</f>
        <v>129.6</v>
      </c>
      <c r="M380" s="59">
        <f>ROUND(INDEX(DetailByDistrict[],MATCH($H380,DetailByDistrict[Dist],0),MATCH(M$2,DetailByDistrict[#Headers],0))*K380,2)</f>
        <v>141.72</v>
      </c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spans="1:26" ht="15.75" customHeight="1" x14ac:dyDescent="0.25">
      <c r="A381" s="57" t="s">
        <v>118</v>
      </c>
      <c r="B381" s="54" t="s">
        <v>1069</v>
      </c>
      <c r="C381" s="54" t="s">
        <v>781</v>
      </c>
      <c r="D381" s="57" t="s">
        <v>122</v>
      </c>
      <c r="E381" s="53">
        <v>8121</v>
      </c>
      <c r="F381" s="54" t="s">
        <v>1077</v>
      </c>
      <c r="G381" s="53" t="s">
        <v>128</v>
      </c>
      <c r="H381" s="58" t="str">
        <f>_xlfn.IFNA(INDEX(ActiveSchools!$C$2:$F$326,MATCH(G381,ActiveSchools!$F$2:$F$326,0),1),"Total")</f>
        <v>1611</v>
      </c>
      <c r="I381" s="53">
        <v>38</v>
      </c>
      <c r="J381" s="59">
        <f>_xlfn.IFNA(INDEX(DetailByDistrict[],MATCH($H381,DetailByDistrict[Dist],0),MATCH(J$2,DetailByDistrict[#Headers],0)),0)</f>
        <v>2041</v>
      </c>
      <c r="K381" s="54">
        <f t="shared" si="5"/>
        <v>1.8618324350808426E-2</v>
      </c>
      <c r="L381" s="59">
        <f>ROUND(INDEX(DetailByDistrict[],MATCH($H381,DetailByDistrict[Dist],0),MATCH(L$2,DetailByDistrict[#Headers],0))*K381,2)</f>
        <v>2462.4</v>
      </c>
      <c r="M381" s="59">
        <f>ROUND(INDEX(DetailByDistrict[],MATCH($H381,DetailByDistrict[Dist],0),MATCH(M$2,DetailByDistrict[#Headers],0))*K381,2)</f>
        <v>2692.68</v>
      </c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spans="1:26" ht="15.75" customHeight="1" x14ac:dyDescent="0.25">
      <c r="A382" s="57" t="s">
        <v>118</v>
      </c>
      <c r="B382" s="54" t="s">
        <v>1069</v>
      </c>
      <c r="C382" s="54" t="s">
        <v>781</v>
      </c>
      <c r="D382" s="57" t="s">
        <v>122</v>
      </c>
      <c r="E382" s="53">
        <v>8121</v>
      </c>
      <c r="F382" s="54" t="s">
        <v>1080</v>
      </c>
      <c r="G382" s="53" t="s">
        <v>135</v>
      </c>
      <c r="H382" s="58" t="str">
        <f>_xlfn.IFNA(INDEX(ActiveSchools!$C$2:$F$326,MATCH(G382,ActiveSchools!$F$2:$F$326,0),1),"Total")</f>
        <v>4784</v>
      </c>
      <c r="I382" s="53">
        <v>11</v>
      </c>
      <c r="J382" s="59">
        <f>_xlfn.IFNA(INDEX(DetailByDistrict[],MATCH($H382,DetailByDistrict[Dist],0),MATCH(J$2,DetailByDistrict[#Headers],0)),0)</f>
        <v>69</v>
      </c>
      <c r="K382" s="54">
        <f t="shared" si="5"/>
        <v>0.15942028985507245</v>
      </c>
      <c r="L382" s="59">
        <f>ROUND(INDEX(DetailByDistrict[],MATCH($H382,DetailByDistrict[Dist],0),MATCH(L$2,DetailByDistrict[#Headers],0))*K382,2)</f>
        <v>712.77</v>
      </c>
      <c r="M382" s="59">
        <f>ROUND(INDEX(DetailByDistrict[],MATCH($H382,DetailByDistrict[Dist],0),MATCH(M$2,DetailByDistrict[#Headers],0))*K382,2)</f>
        <v>779.41</v>
      </c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spans="1:26" ht="15.75" customHeight="1" x14ac:dyDescent="0.25">
      <c r="A383" s="57" t="s">
        <v>118</v>
      </c>
      <c r="B383" s="54" t="s">
        <v>1069</v>
      </c>
      <c r="C383" s="54" t="s">
        <v>781</v>
      </c>
      <c r="D383" s="57" t="s">
        <v>122</v>
      </c>
      <c r="E383" s="53">
        <v>8121</v>
      </c>
      <c r="F383" s="54" t="s">
        <v>1081</v>
      </c>
      <c r="G383" s="53" t="s">
        <v>137</v>
      </c>
      <c r="H383" s="58" t="str">
        <f>_xlfn.IFNA(INDEX(ActiveSchools!$C$2:$F$326,MATCH(G383,ActiveSchools!$F$2:$F$326,0),1),"Total")</f>
        <v>5250</v>
      </c>
      <c r="I383" s="53">
        <v>42</v>
      </c>
      <c r="J383" s="59">
        <f>_xlfn.IFNA(INDEX(DetailByDistrict[],MATCH($H383,DetailByDistrict[Dist],0),MATCH(J$2,DetailByDistrict[#Headers],0)),0)</f>
        <v>250</v>
      </c>
      <c r="K383" s="54">
        <f t="shared" si="5"/>
        <v>0.16800000000000001</v>
      </c>
      <c r="L383" s="59">
        <f>ROUND(INDEX(DetailByDistrict[],MATCH($H383,DetailByDistrict[Dist],0),MATCH(L$2,DetailByDistrict[#Headers],0))*K383,2)</f>
        <v>2721.6</v>
      </c>
      <c r="M383" s="59">
        <f>ROUND(INDEX(DetailByDistrict[],MATCH($H383,DetailByDistrict[Dist],0),MATCH(M$2,DetailByDistrict[#Headers],0))*K383,2)</f>
        <v>2976.12</v>
      </c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spans="1:26" ht="15.75" customHeight="1" x14ac:dyDescent="0.25">
      <c r="A384" s="57" t="s">
        <v>118</v>
      </c>
      <c r="B384" s="54" t="s">
        <v>1069</v>
      </c>
      <c r="C384" s="54" t="s">
        <v>782</v>
      </c>
      <c r="D384" s="57" t="s">
        <v>122</v>
      </c>
      <c r="E384" s="53">
        <v>8125</v>
      </c>
      <c r="F384" s="54" t="s">
        <v>1082</v>
      </c>
      <c r="G384" s="57" t="s">
        <v>121</v>
      </c>
      <c r="H384" s="58" t="str">
        <f>_xlfn.IFNA(INDEX(ActiveSchools!$C$2:$F$326,MATCH(G384,ActiveSchools!$F$2:$F$326,0),1),"Total")</f>
        <v>0603</v>
      </c>
      <c r="I384" s="53">
        <v>4</v>
      </c>
      <c r="J384" s="59">
        <f>_xlfn.IFNA(INDEX(DetailByDistrict[],MATCH($H384,DetailByDistrict[Dist],0),MATCH(J$2,DetailByDistrict[#Headers],0)),0)</f>
        <v>5</v>
      </c>
      <c r="K384" s="54">
        <f t="shared" si="5"/>
        <v>0.8</v>
      </c>
      <c r="L384" s="59">
        <f>ROUND(INDEX(DetailByDistrict[],MATCH($H384,DetailByDistrict[Dist],0),MATCH(L$2,DetailByDistrict[#Headers],0))*K384,2)</f>
        <v>259.2</v>
      </c>
      <c r="M384" s="59">
        <f>ROUND(INDEX(DetailByDistrict[],MATCH($H384,DetailByDistrict[Dist],0),MATCH(M$2,DetailByDistrict[#Headers],0))*K384,2)</f>
        <v>283.2</v>
      </c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spans="1:26" ht="15.75" customHeight="1" x14ac:dyDescent="0.25">
      <c r="A385" s="57" t="s">
        <v>118</v>
      </c>
      <c r="B385" s="54" t="s">
        <v>1069</v>
      </c>
      <c r="C385" s="54" t="s">
        <v>782</v>
      </c>
      <c r="D385" s="57" t="s">
        <v>122</v>
      </c>
      <c r="E385" s="53">
        <v>8125</v>
      </c>
      <c r="F385" s="54" t="s">
        <v>1074</v>
      </c>
      <c r="G385" s="57" t="s">
        <v>122</v>
      </c>
      <c r="H385" s="58" t="str">
        <f>_xlfn.IFNA(INDEX(ActiveSchools!$C$2:$F$326,MATCH(G385,ActiveSchools!$F$2:$F$326,0),1),"Total")</f>
        <v>0621</v>
      </c>
      <c r="I385" s="53">
        <v>22</v>
      </c>
      <c r="J385" s="59">
        <f>_xlfn.IFNA(INDEX(DetailByDistrict[],MATCH($H385,DetailByDistrict[Dist],0),MATCH(J$2,DetailByDistrict[#Headers],0)),0)</f>
        <v>406</v>
      </c>
      <c r="K385" s="54">
        <f t="shared" si="5"/>
        <v>5.4187192118226604E-2</v>
      </c>
      <c r="L385" s="59">
        <f>ROUND(INDEX(DetailByDistrict[],MATCH($H385,DetailByDistrict[Dist],0),MATCH(L$2,DetailByDistrict[#Headers],0))*K385,2)</f>
        <v>1425.61</v>
      </c>
      <c r="M385" s="59">
        <f>ROUND(INDEX(DetailByDistrict[],MATCH($H385,DetailByDistrict[Dist],0),MATCH(M$2,DetailByDistrict[#Headers],0))*K385,2)</f>
        <v>1558.91</v>
      </c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spans="1:26" ht="15.75" customHeight="1" x14ac:dyDescent="0.25">
      <c r="A386" s="57" t="s">
        <v>118</v>
      </c>
      <c r="B386" s="54" t="s">
        <v>1069</v>
      </c>
      <c r="C386" s="54" t="s">
        <v>782</v>
      </c>
      <c r="D386" s="57" t="s">
        <v>122</v>
      </c>
      <c r="E386" s="53">
        <v>8125</v>
      </c>
      <c r="F386" s="54" t="s">
        <v>1077</v>
      </c>
      <c r="G386" s="53" t="s">
        <v>128</v>
      </c>
      <c r="H386" s="58" t="str">
        <f>_xlfn.IFNA(INDEX(ActiveSchools!$C$2:$F$326,MATCH(G386,ActiveSchools!$F$2:$F$326,0),1),"Total")</f>
        <v>1611</v>
      </c>
      <c r="I386" s="53">
        <v>30</v>
      </c>
      <c r="J386" s="59">
        <f>_xlfn.IFNA(INDEX(DetailByDistrict[],MATCH($H386,DetailByDistrict[Dist],0),MATCH(J$2,DetailByDistrict[#Headers],0)),0)</f>
        <v>2041</v>
      </c>
      <c r="K386" s="54">
        <f t="shared" si="5"/>
        <v>1.4698677119059285E-2</v>
      </c>
      <c r="L386" s="59">
        <f>ROUND(INDEX(DetailByDistrict[],MATCH($H386,DetailByDistrict[Dist],0),MATCH(L$2,DetailByDistrict[#Headers],0))*K386,2)</f>
        <v>1944</v>
      </c>
      <c r="M386" s="59">
        <f>ROUND(INDEX(DetailByDistrict[],MATCH($H386,DetailByDistrict[Dist],0),MATCH(M$2,DetailByDistrict[#Headers],0))*K386,2)</f>
        <v>2125.8000000000002</v>
      </c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spans="1:26" ht="15.75" customHeight="1" x14ac:dyDescent="0.25">
      <c r="A387" s="57" t="s">
        <v>118</v>
      </c>
      <c r="B387" s="54" t="s">
        <v>1069</v>
      </c>
      <c r="C387" s="54" t="s">
        <v>782</v>
      </c>
      <c r="D387" s="57" t="s">
        <v>122</v>
      </c>
      <c r="E387" s="53">
        <v>8125</v>
      </c>
      <c r="F387" s="54" t="s">
        <v>1080</v>
      </c>
      <c r="G387" s="53" t="s">
        <v>135</v>
      </c>
      <c r="H387" s="58" t="str">
        <f>_xlfn.IFNA(INDEX(ActiveSchools!$C$2:$F$326,MATCH(G387,ActiveSchools!$F$2:$F$326,0),1),"Total")</f>
        <v>4784</v>
      </c>
      <c r="I387" s="53">
        <v>3</v>
      </c>
      <c r="J387" s="59">
        <f>_xlfn.IFNA(INDEX(DetailByDistrict[],MATCH($H387,DetailByDistrict[Dist],0),MATCH(J$2,DetailByDistrict[#Headers],0)),0)</f>
        <v>69</v>
      </c>
      <c r="K387" s="54">
        <f t="shared" si="5"/>
        <v>4.3478260869565216E-2</v>
      </c>
      <c r="L387" s="59">
        <f>ROUND(INDEX(DetailByDistrict[],MATCH($H387,DetailByDistrict[Dist],0),MATCH(L$2,DetailByDistrict[#Headers],0))*K387,2)</f>
        <v>194.39</v>
      </c>
      <c r="M387" s="59">
        <f>ROUND(INDEX(DetailByDistrict[],MATCH($H387,DetailByDistrict[Dist],0),MATCH(M$2,DetailByDistrict[#Headers],0))*K387,2)</f>
        <v>212.57</v>
      </c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spans="1:26" ht="15.75" customHeight="1" x14ac:dyDescent="0.25">
      <c r="A388" s="57" t="s">
        <v>118</v>
      </c>
      <c r="B388" s="54" t="s">
        <v>1069</v>
      </c>
      <c r="C388" s="54" t="s">
        <v>789</v>
      </c>
      <c r="D388" s="57" t="s">
        <v>310</v>
      </c>
      <c r="E388" s="53">
        <v>8101</v>
      </c>
      <c r="F388" s="54" t="s">
        <v>1083</v>
      </c>
      <c r="G388" s="53" t="s">
        <v>132</v>
      </c>
      <c r="H388" s="58" t="str">
        <f>_xlfn.IFNA(INDEX(ActiveSchools!$C$2:$F$326,MATCH(G388,ActiveSchools!$F$2:$F$326,0),1),"Total")</f>
        <v>3841</v>
      </c>
      <c r="I388" s="53">
        <v>1</v>
      </c>
      <c r="J388" s="59">
        <f>_xlfn.IFNA(INDEX(DetailByDistrict[],MATCH($H388,DetailByDistrict[Dist],0),MATCH(J$2,DetailByDistrict[#Headers],0)),0)</f>
        <v>3</v>
      </c>
      <c r="K388" s="54">
        <f t="shared" ref="K388:K451" si="6">I388/J388</f>
        <v>0.33333333333333331</v>
      </c>
      <c r="L388" s="59">
        <f>ROUND(INDEX(DetailByDistrict[],MATCH($H388,DetailByDistrict[Dist],0),MATCH(L$2,DetailByDistrict[#Headers],0))*K388,2)</f>
        <v>64.67</v>
      </c>
      <c r="M388" s="59">
        <f>ROUND(INDEX(DetailByDistrict[],MATCH($H388,DetailByDistrict[Dist],0),MATCH(M$2,DetailByDistrict[#Headers],0))*K388,2)</f>
        <v>71</v>
      </c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spans="1:26" ht="15.75" customHeight="1" x14ac:dyDescent="0.25">
      <c r="A389" s="57" t="s">
        <v>118</v>
      </c>
      <c r="B389" s="54" t="s">
        <v>1069</v>
      </c>
      <c r="C389" s="54" t="s">
        <v>799</v>
      </c>
      <c r="D389" s="53">
        <v>1053</v>
      </c>
      <c r="E389" s="53">
        <v>8109</v>
      </c>
      <c r="F389" s="54" t="s">
        <v>1075</v>
      </c>
      <c r="G389" s="53" t="s">
        <v>125</v>
      </c>
      <c r="H389" s="58" t="str">
        <f>_xlfn.IFNA(INDEX(ActiveSchools!$C$2:$F$326,MATCH(G389,ActiveSchools!$F$2:$F$326,0),1),"Total")</f>
        <v>1082</v>
      </c>
      <c r="I389" s="53">
        <v>1</v>
      </c>
      <c r="J389" s="59">
        <f>_xlfn.IFNA(INDEX(DetailByDistrict[],MATCH($H389,DetailByDistrict[Dist],0),MATCH(J$2,DetailByDistrict[#Headers],0)),0)</f>
        <v>162</v>
      </c>
      <c r="K389" s="54">
        <f t="shared" si="6"/>
        <v>6.1728395061728392E-3</v>
      </c>
      <c r="L389" s="59">
        <f>ROUND(INDEX(DetailByDistrict[],MATCH($H389,DetailByDistrict[Dist],0),MATCH(L$2,DetailByDistrict[#Headers],0))*K389,2)</f>
        <v>64.8</v>
      </c>
      <c r="M389" s="59">
        <f>ROUND(INDEX(DetailByDistrict[],MATCH($H389,DetailByDistrict[Dist],0),MATCH(M$2,DetailByDistrict[#Headers],0))*K389,2)</f>
        <v>70.86</v>
      </c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spans="1:26" ht="15.75" customHeight="1" x14ac:dyDescent="0.25">
      <c r="A390" s="57" t="s">
        <v>118</v>
      </c>
      <c r="B390" s="54" t="s">
        <v>1069</v>
      </c>
      <c r="C390" s="54" t="s">
        <v>806</v>
      </c>
      <c r="D390" s="53">
        <v>1082</v>
      </c>
      <c r="E390" s="53">
        <v>8109</v>
      </c>
      <c r="F390" s="54" t="s">
        <v>1084</v>
      </c>
      <c r="G390" s="57" t="s">
        <v>123</v>
      </c>
      <c r="H390" s="58" t="str">
        <f>_xlfn.IFNA(INDEX(ActiveSchools!$C$2:$F$326,MATCH(G390,ActiveSchools!$F$2:$F$326,0),1),"Total")</f>
        <v>0918</v>
      </c>
      <c r="I390" s="53">
        <v>4</v>
      </c>
      <c r="J390" s="59">
        <f>_xlfn.IFNA(INDEX(DetailByDistrict[],MATCH($H390,DetailByDistrict[Dist],0),MATCH(J$2,DetailByDistrict[#Headers],0)),0)</f>
        <v>4</v>
      </c>
      <c r="K390" s="54">
        <f t="shared" si="6"/>
        <v>1</v>
      </c>
      <c r="L390" s="59">
        <f>ROUND(INDEX(DetailByDistrict[],MATCH($H390,DetailByDistrict[Dist],0),MATCH(L$2,DetailByDistrict[#Headers],0))*K390,2)</f>
        <v>259</v>
      </c>
      <c r="M390" s="59">
        <f>ROUND(INDEX(DetailByDistrict[],MATCH($H390,DetailByDistrict[Dist],0),MATCH(M$2,DetailByDistrict[#Headers],0))*K390,2)</f>
        <v>283</v>
      </c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spans="1:26" ht="15.75" customHeight="1" x14ac:dyDescent="0.25">
      <c r="A391" s="57" t="s">
        <v>118</v>
      </c>
      <c r="B391" s="54" t="s">
        <v>1069</v>
      </c>
      <c r="C391" s="54" t="s">
        <v>806</v>
      </c>
      <c r="D391" s="53">
        <v>1082</v>
      </c>
      <c r="E391" s="53">
        <v>8109</v>
      </c>
      <c r="F391" s="54" t="s">
        <v>1075</v>
      </c>
      <c r="G391" s="53" t="s">
        <v>125</v>
      </c>
      <c r="H391" s="58" t="str">
        <f>_xlfn.IFNA(INDEX(ActiveSchools!$C$2:$F$326,MATCH(G391,ActiveSchools!$F$2:$F$326,0),1),"Total")</f>
        <v>1082</v>
      </c>
      <c r="I391" s="53">
        <v>150</v>
      </c>
      <c r="J391" s="59">
        <f>_xlfn.IFNA(INDEX(DetailByDistrict[],MATCH($H391,DetailByDistrict[Dist],0),MATCH(J$2,DetailByDistrict[#Headers],0)),0)</f>
        <v>162</v>
      </c>
      <c r="K391" s="54">
        <f t="shared" si="6"/>
        <v>0.92592592592592593</v>
      </c>
      <c r="L391" s="59">
        <f>ROUND(INDEX(DetailByDistrict[],MATCH($H391,DetailByDistrict[Dist],0),MATCH(L$2,DetailByDistrict[#Headers],0))*K391,2)</f>
        <v>9720.3700000000008</v>
      </c>
      <c r="M391" s="59">
        <f>ROUND(INDEX(DetailByDistrict[],MATCH($H391,DetailByDistrict[Dist],0),MATCH(M$2,DetailByDistrict[#Headers],0))*K391,2)</f>
        <v>10628.7</v>
      </c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spans="1:26" ht="15.75" customHeight="1" x14ac:dyDescent="0.25">
      <c r="A392" s="57" t="s">
        <v>118</v>
      </c>
      <c r="B392" s="54" t="s">
        <v>1069</v>
      </c>
      <c r="C392" s="54" t="s">
        <v>806</v>
      </c>
      <c r="D392" s="53">
        <v>1082</v>
      </c>
      <c r="E392" s="53">
        <v>8109</v>
      </c>
      <c r="F392" s="54" t="s">
        <v>1077</v>
      </c>
      <c r="G392" s="53" t="s">
        <v>128</v>
      </c>
      <c r="H392" s="58" t="str">
        <f>_xlfn.IFNA(INDEX(ActiveSchools!$C$2:$F$326,MATCH(G392,ActiveSchools!$F$2:$F$326,0),1),"Total")</f>
        <v>1611</v>
      </c>
      <c r="I392" s="53">
        <v>1</v>
      </c>
      <c r="J392" s="59">
        <f>_xlfn.IFNA(INDEX(DetailByDistrict[],MATCH($H392,DetailByDistrict[Dist],0),MATCH(J$2,DetailByDistrict[#Headers],0)),0)</f>
        <v>2041</v>
      </c>
      <c r="K392" s="54">
        <f t="shared" si="6"/>
        <v>4.8995590396864281E-4</v>
      </c>
      <c r="L392" s="59">
        <f>ROUND(INDEX(DetailByDistrict[],MATCH($H392,DetailByDistrict[Dist],0),MATCH(L$2,DetailByDistrict[#Headers],0))*K392,2)</f>
        <v>64.8</v>
      </c>
      <c r="M392" s="59">
        <f>ROUND(INDEX(DetailByDistrict[],MATCH($H392,DetailByDistrict[Dist],0),MATCH(M$2,DetailByDistrict[#Headers],0))*K392,2)</f>
        <v>70.86</v>
      </c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spans="1:26" ht="15.75" customHeight="1" x14ac:dyDescent="0.25">
      <c r="A393" s="57" t="s">
        <v>118</v>
      </c>
      <c r="B393" s="54" t="s">
        <v>1069</v>
      </c>
      <c r="C393" s="54" t="s">
        <v>806</v>
      </c>
      <c r="D393" s="53">
        <v>1082</v>
      </c>
      <c r="E393" s="53">
        <v>8109</v>
      </c>
      <c r="F393" s="54" t="s">
        <v>1080</v>
      </c>
      <c r="G393" s="53" t="s">
        <v>135</v>
      </c>
      <c r="H393" s="58" t="str">
        <f>_xlfn.IFNA(INDEX(ActiveSchools!$C$2:$F$326,MATCH(G393,ActiveSchools!$F$2:$F$326,0),1),"Total")</f>
        <v>4784</v>
      </c>
      <c r="I393" s="53">
        <v>1</v>
      </c>
      <c r="J393" s="59">
        <f>_xlfn.IFNA(INDEX(DetailByDistrict[],MATCH($H393,DetailByDistrict[Dist],0),MATCH(J$2,DetailByDistrict[#Headers],0)),0)</f>
        <v>69</v>
      </c>
      <c r="K393" s="54">
        <f t="shared" si="6"/>
        <v>1.4492753623188406E-2</v>
      </c>
      <c r="L393" s="59">
        <f>ROUND(INDEX(DetailByDistrict[],MATCH($H393,DetailByDistrict[Dist],0),MATCH(L$2,DetailByDistrict[#Headers],0))*K393,2)</f>
        <v>64.8</v>
      </c>
      <c r="M393" s="59">
        <f>ROUND(INDEX(DetailByDistrict[],MATCH($H393,DetailByDistrict[Dist],0),MATCH(M$2,DetailByDistrict[#Headers],0))*K393,2)</f>
        <v>70.86</v>
      </c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spans="1:26" ht="15.75" customHeight="1" x14ac:dyDescent="0.25">
      <c r="A394" s="57" t="s">
        <v>118</v>
      </c>
      <c r="B394" s="54" t="s">
        <v>1069</v>
      </c>
      <c r="C394" s="54" t="s">
        <v>812</v>
      </c>
      <c r="D394" s="53">
        <v>1278</v>
      </c>
      <c r="E394" s="53">
        <v>8103</v>
      </c>
      <c r="F394" s="54" t="s">
        <v>1085</v>
      </c>
      <c r="G394" s="57" t="s">
        <v>124</v>
      </c>
      <c r="H394" s="58" t="str">
        <f>_xlfn.IFNA(INDEX(ActiveSchools!$C$2:$F$326,MATCH(G394,ActiveSchools!$F$2:$F$326,0),1),"Total")</f>
        <v>0936</v>
      </c>
      <c r="I394" s="53">
        <v>11</v>
      </c>
      <c r="J394" s="59">
        <f>_xlfn.IFNA(INDEX(DetailByDistrict[],MATCH($H394,DetailByDistrict[Dist],0),MATCH(J$2,DetailByDistrict[#Headers],0)),0)</f>
        <v>19</v>
      </c>
      <c r="K394" s="54">
        <f t="shared" si="6"/>
        <v>0.57894736842105265</v>
      </c>
      <c r="L394" s="59">
        <f>ROUND(INDEX(DetailByDistrict[],MATCH($H394,DetailByDistrict[Dist],0),MATCH(L$2,DetailByDistrict[#Headers],0))*K394,2)</f>
        <v>712.68</v>
      </c>
      <c r="M394" s="59">
        <f>ROUND(INDEX(DetailByDistrict[],MATCH($H394,DetailByDistrict[Dist],0),MATCH(M$2,DetailByDistrict[#Headers],0))*K394,2)</f>
        <v>779.26</v>
      </c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spans="1:26" ht="15.75" customHeight="1" x14ac:dyDescent="0.25">
      <c r="A395" s="57" t="s">
        <v>118</v>
      </c>
      <c r="B395" s="54" t="s">
        <v>1069</v>
      </c>
      <c r="C395" s="54" t="s">
        <v>812</v>
      </c>
      <c r="D395" s="53">
        <v>1278</v>
      </c>
      <c r="E395" s="53">
        <v>8103</v>
      </c>
      <c r="F395" s="54" t="s">
        <v>1076</v>
      </c>
      <c r="G395" s="53" t="s">
        <v>126</v>
      </c>
      <c r="H395" s="58" t="str">
        <f>_xlfn.IFNA(INDEX(ActiveSchools!$C$2:$F$326,MATCH(G395,ActiveSchools!$F$2:$F$326,0),1),"Total")</f>
        <v>1278</v>
      </c>
      <c r="I395" s="53">
        <v>92</v>
      </c>
      <c r="J395" s="59">
        <f>_xlfn.IFNA(INDEX(DetailByDistrict[],MATCH($H395,DetailByDistrict[Dist],0),MATCH(J$2,DetailByDistrict[#Headers],0)),0)</f>
        <v>188</v>
      </c>
      <c r="K395" s="54">
        <f t="shared" si="6"/>
        <v>0.48936170212765956</v>
      </c>
      <c r="L395" s="59">
        <f>ROUND(INDEX(DetailByDistrict[],MATCH($H395,DetailByDistrict[Dist],0),MATCH(L$2,DetailByDistrict[#Headers],0))*K395,2)</f>
        <v>5961.4</v>
      </c>
      <c r="M395" s="59">
        <f>ROUND(INDEX(DetailByDistrict[],MATCH($H395,DetailByDistrict[Dist],0),MATCH(M$2,DetailByDistrict[#Headers],0))*K395,2)</f>
        <v>6519.28</v>
      </c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spans="1:26" ht="15.75" customHeight="1" x14ac:dyDescent="0.25">
      <c r="A396" s="57" t="s">
        <v>118</v>
      </c>
      <c r="B396" s="54" t="s">
        <v>1069</v>
      </c>
      <c r="C396" s="54" t="s">
        <v>812</v>
      </c>
      <c r="D396" s="53">
        <v>1278</v>
      </c>
      <c r="E396" s="53">
        <v>8103</v>
      </c>
      <c r="F396" s="54" t="s">
        <v>1086</v>
      </c>
      <c r="G396" s="53" t="s">
        <v>136</v>
      </c>
      <c r="H396" s="58" t="str">
        <f>_xlfn.IFNA(INDEX(ActiveSchools!$C$2:$F$326,MATCH(G396,ActiveSchools!$F$2:$F$326,0),1),"Total")</f>
        <v>4773</v>
      </c>
      <c r="I396" s="53">
        <v>5</v>
      </c>
      <c r="J396" s="59">
        <f>_xlfn.IFNA(INDEX(DetailByDistrict[],MATCH($H396,DetailByDistrict[Dist],0),MATCH(J$2,DetailByDistrict[#Headers],0)),0)</f>
        <v>6</v>
      </c>
      <c r="K396" s="54">
        <f t="shared" si="6"/>
        <v>0.83333333333333337</v>
      </c>
      <c r="L396" s="59">
        <f>ROUND(INDEX(DetailByDistrict[],MATCH($H396,DetailByDistrict[Dist],0),MATCH(L$2,DetailByDistrict[#Headers],0))*K396,2)</f>
        <v>324.17</v>
      </c>
      <c r="M396" s="59">
        <f>ROUND(INDEX(DetailByDistrict[],MATCH($H396,DetailByDistrict[Dist],0),MATCH(M$2,DetailByDistrict[#Headers],0))*K396,2)</f>
        <v>354.17</v>
      </c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spans="1:26" ht="15.75" customHeight="1" x14ac:dyDescent="0.25">
      <c r="A397" s="57" t="s">
        <v>118</v>
      </c>
      <c r="B397" s="54" t="s">
        <v>1069</v>
      </c>
      <c r="C397" s="54" t="s">
        <v>813</v>
      </c>
      <c r="D397" s="53">
        <v>1278</v>
      </c>
      <c r="E397" s="53">
        <v>8110</v>
      </c>
      <c r="F397" s="54" t="s">
        <v>1085</v>
      </c>
      <c r="G397" s="57" t="s">
        <v>124</v>
      </c>
      <c r="H397" s="58" t="str">
        <f>_xlfn.IFNA(INDEX(ActiveSchools!$C$2:$F$326,MATCH(G397,ActiveSchools!$F$2:$F$326,0),1),"Total")</f>
        <v>0936</v>
      </c>
      <c r="I397" s="53">
        <v>8</v>
      </c>
      <c r="J397" s="59">
        <f>_xlfn.IFNA(INDEX(DetailByDistrict[],MATCH($H397,DetailByDistrict[Dist],0),MATCH(J$2,DetailByDistrict[#Headers],0)),0)</f>
        <v>19</v>
      </c>
      <c r="K397" s="54">
        <f t="shared" si="6"/>
        <v>0.42105263157894735</v>
      </c>
      <c r="L397" s="59">
        <f>ROUND(INDEX(DetailByDistrict[],MATCH($H397,DetailByDistrict[Dist],0),MATCH(L$2,DetailByDistrict[#Headers],0))*K397,2)</f>
        <v>518.32000000000005</v>
      </c>
      <c r="M397" s="59">
        <f>ROUND(INDEX(DetailByDistrict[],MATCH($H397,DetailByDistrict[Dist],0),MATCH(M$2,DetailByDistrict[#Headers],0))*K397,2)</f>
        <v>566.74</v>
      </c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spans="1:26" ht="15.75" customHeight="1" x14ac:dyDescent="0.25">
      <c r="A398" s="57" t="s">
        <v>118</v>
      </c>
      <c r="B398" s="54" t="s">
        <v>1069</v>
      </c>
      <c r="C398" s="54" t="s">
        <v>813</v>
      </c>
      <c r="D398" s="53">
        <v>1278</v>
      </c>
      <c r="E398" s="53">
        <v>8110</v>
      </c>
      <c r="F398" s="54" t="s">
        <v>1076</v>
      </c>
      <c r="G398" s="53" t="s">
        <v>126</v>
      </c>
      <c r="H398" s="58" t="str">
        <f>_xlfn.IFNA(INDEX(ActiveSchools!$C$2:$F$326,MATCH(G398,ActiveSchools!$F$2:$F$326,0),1),"Total")</f>
        <v>1278</v>
      </c>
      <c r="I398" s="53">
        <v>95</v>
      </c>
      <c r="J398" s="59">
        <f>_xlfn.IFNA(INDEX(DetailByDistrict[],MATCH($H398,DetailByDistrict[Dist],0),MATCH(J$2,DetailByDistrict[#Headers],0)),0)</f>
        <v>188</v>
      </c>
      <c r="K398" s="54">
        <f t="shared" si="6"/>
        <v>0.50531914893617025</v>
      </c>
      <c r="L398" s="59">
        <f>ROUND(INDEX(DetailByDistrict[],MATCH($H398,DetailByDistrict[Dist],0),MATCH(L$2,DetailByDistrict[#Headers],0))*K398,2)</f>
        <v>6155.8</v>
      </c>
      <c r="M398" s="59">
        <f>ROUND(INDEX(DetailByDistrict[],MATCH($H398,DetailByDistrict[Dist],0),MATCH(M$2,DetailByDistrict[#Headers],0))*K398,2)</f>
        <v>6731.86</v>
      </c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spans="1:26" ht="15.75" customHeight="1" x14ac:dyDescent="0.25">
      <c r="A399" s="57" t="s">
        <v>118</v>
      </c>
      <c r="B399" s="54" t="s">
        <v>1069</v>
      </c>
      <c r="C399" s="54" t="s">
        <v>813</v>
      </c>
      <c r="D399" s="53">
        <v>1278</v>
      </c>
      <c r="E399" s="53">
        <v>8110</v>
      </c>
      <c r="F399" s="54" t="s">
        <v>1086</v>
      </c>
      <c r="G399" s="53" t="s">
        <v>136</v>
      </c>
      <c r="H399" s="58" t="str">
        <f>_xlfn.IFNA(INDEX(ActiveSchools!$C$2:$F$326,MATCH(G399,ActiveSchools!$F$2:$F$326,0),1),"Total")</f>
        <v>4773</v>
      </c>
      <c r="I399" s="53">
        <v>1</v>
      </c>
      <c r="J399" s="59">
        <f>_xlfn.IFNA(INDEX(DetailByDistrict[],MATCH($H399,DetailByDistrict[Dist],0),MATCH(J$2,DetailByDistrict[#Headers],0)),0)</f>
        <v>6</v>
      </c>
      <c r="K399" s="54">
        <f t="shared" si="6"/>
        <v>0.16666666666666666</v>
      </c>
      <c r="L399" s="59">
        <f>ROUND(INDEX(DetailByDistrict[],MATCH($H399,DetailByDistrict[Dist],0),MATCH(L$2,DetailByDistrict[#Headers],0))*K399,2)</f>
        <v>64.83</v>
      </c>
      <c r="M399" s="59">
        <f>ROUND(INDEX(DetailByDistrict[],MATCH($H399,DetailByDistrict[Dist],0),MATCH(M$2,DetailByDistrict[#Headers],0))*K399,2)</f>
        <v>70.83</v>
      </c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spans="1:26" ht="15.75" customHeight="1" x14ac:dyDescent="0.25">
      <c r="A400" s="57" t="s">
        <v>118</v>
      </c>
      <c r="B400" s="54" t="s">
        <v>1069</v>
      </c>
      <c r="C400" s="54" t="s">
        <v>818</v>
      </c>
      <c r="D400" s="53">
        <v>1611</v>
      </c>
      <c r="E400" s="53">
        <v>8101</v>
      </c>
      <c r="F400" s="54" t="s">
        <v>1074</v>
      </c>
      <c r="G400" s="57" t="s">
        <v>122</v>
      </c>
      <c r="H400" s="58" t="str">
        <f>_xlfn.IFNA(INDEX(ActiveSchools!$C$2:$F$326,MATCH(G400,ActiveSchools!$F$2:$F$326,0),1),"Total")</f>
        <v>0621</v>
      </c>
      <c r="I400" s="53">
        <v>42</v>
      </c>
      <c r="J400" s="59">
        <f>_xlfn.IFNA(INDEX(DetailByDistrict[],MATCH($H400,DetailByDistrict[Dist],0),MATCH(J$2,DetailByDistrict[#Headers],0)),0)</f>
        <v>406</v>
      </c>
      <c r="K400" s="54">
        <f t="shared" si="6"/>
        <v>0.10344827586206896</v>
      </c>
      <c r="L400" s="59">
        <f>ROUND(INDEX(DetailByDistrict[],MATCH($H400,DetailByDistrict[Dist],0),MATCH(L$2,DetailByDistrict[#Headers],0))*K400,2)</f>
        <v>2721.62</v>
      </c>
      <c r="M400" s="59">
        <f>ROUND(INDEX(DetailByDistrict[],MATCH($H400,DetailByDistrict[Dist],0),MATCH(M$2,DetailByDistrict[#Headers],0))*K400,2)</f>
        <v>2976.1</v>
      </c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spans="1:26" ht="15.75" customHeight="1" x14ac:dyDescent="0.25">
      <c r="A401" s="57" t="s">
        <v>118</v>
      </c>
      <c r="B401" s="54" t="s">
        <v>1069</v>
      </c>
      <c r="C401" s="54" t="s">
        <v>818</v>
      </c>
      <c r="D401" s="53">
        <v>1611</v>
      </c>
      <c r="E401" s="53">
        <v>8101</v>
      </c>
      <c r="F401" s="54" t="s">
        <v>1075</v>
      </c>
      <c r="G401" s="53" t="s">
        <v>125</v>
      </c>
      <c r="H401" s="58" t="str">
        <f>_xlfn.IFNA(INDEX(ActiveSchools!$C$2:$F$326,MATCH(G401,ActiveSchools!$F$2:$F$326,0),1),"Total")</f>
        <v>1082</v>
      </c>
      <c r="I401" s="53">
        <v>1</v>
      </c>
      <c r="J401" s="59">
        <f>_xlfn.IFNA(INDEX(DetailByDistrict[],MATCH($H401,DetailByDistrict[Dist],0),MATCH(J$2,DetailByDistrict[#Headers],0)),0)</f>
        <v>162</v>
      </c>
      <c r="K401" s="54">
        <f t="shared" si="6"/>
        <v>6.1728395061728392E-3</v>
      </c>
      <c r="L401" s="59">
        <f>ROUND(INDEX(DetailByDistrict[],MATCH($H401,DetailByDistrict[Dist],0),MATCH(L$2,DetailByDistrict[#Headers],0))*K401,2)</f>
        <v>64.8</v>
      </c>
      <c r="M401" s="59">
        <f>ROUND(INDEX(DetailByDistrict[],MATCH($H401,DetailByDistrict[Dist],0),MATCH(M$2,DetailByDistrict[#Headers],0))*K401,2)</f>
        <v>70.86</v>
      </c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spans="1:26" ht="15.75" customHeight="1" x14ac:dyDescent="0.25">
      <c r="A402" s="57" t="s">
        <v>118</v>
      </c>
      <c r="B402" s="54" t="s">
        <v>1069</v>
      </c>
      <c r="C402" s="54" t="s">
        <v>818</v>
      </c>
      <c r="D402" s="53">
        <v>1611</v>
      </c>
      <c r="E402" s="53">
        <v>8101</v>
      </c>
      <c r="F402" s="54" t="s">
        <v>1077</v>
      </c>
      <c r="G402" s="53" t="s">
        <v>128</v>
      </c>
      <c r="H402" s="58" t="str">
        <f>_xlfn.IFNA(INDEX(ActiveSchools!$C$2:$F$326,MATCH(G402,ActiveSchools!$F$2:$F$326,0),1),"Total")</f>
        <v>1611</v>
      </c>
      <c r="I402" s="53">
        <v>327</v>
      </c>
      <c r="J402" s="59">
        <f>_xlfn.IFNA(INDEX(DetailByDistrict[],MATCH($H402,DetailByDistrict[Dist],0),MATCH(J$2,DetailByDistrict[#Headers],0)),0)</f>
        <v>2041</v>
      </c>
      <c r="K402" s="54">
        <f t="shared" si="6"/>
        <v>0.16021558059774621</v>
      </c>
      <c r="L402" s="59">
        <f>ROUND(INDEX(DetailByDistrict[],MATCH($H402,DetailByDistrict[Dist],0),MATCH(L$2,DetailByDistrict[#Headers],0))*K402,2)</f>
        <v>21189.63</v>
      </c>
      <c r="M402" s="59">
        <f>ROUND(INDEX(DetailByDistrict[],MATCH($H402,DetailByDistrict[Dist],0),MATCH(M$2,DetailByDistrict[#Headers],0))*K402,2)</f>
        <v>23171.18</v>
      </c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spans="1:26" ht="15.75" customHeight="1" x14ac:dyDescent="0.25">
      <c r="A403" s="57" t="s">
        <v>118</v>
      </c>
      <c r="B403" s="54" t="s">
        <v>1069</v>
      </c>
      <c r="C403" s="54" t="s">
        <v>818</v>
      </c>
      <c r="D403" s="53">
        <v>1611</v>
      </c>
      <c r="E403" s="53">
        <v>8101</v>
      </c>
      <c r="F403" s="54" t="s">
        <v>1078</v>
      </c>
      <c r="G403" s="53" t="s">
        <v>130</v>
      </c>
      <c r="H403" s="58" t="str">
        <f>_xlfn.IFNA(INDEX(ActiveSchools!$C$2:$F$326,MATCH(G403,ActiveSchools!$F$2:$F$326,0),1),"Total")</f>
        <v>1926</v>
      </c>
      <c r="I403" s="53">
        <v>3</v>
      </c>
      <c r="J403" s="59">
        <f>_xlfn.IFNA(INDEX(DetailByDistrict[],MATCH($H403,DetailByDistrict[Dist],0),MATCH(J$2,DetailByDistrict[#Headers],0)),0)</f>
        <v>5</v>
      </c>
      <c r="K403" s="54">
        <f t="shared" si="6"/>
        <v>0.6</v>
      </c>
      <c r="L403" s="59">
        <f>ROUND(INDEX(DetailByDistrict[],MATCH($H403,DetailByDistrict[Dist],0),MATCH(L$2,DetailByDistrict[#Headers],0))*K403,2)</f>
        <v>194.4</v>
      </c>
      <c r="M403" s="59">
        <f>ROUND(INDEX(DetailByDistrict[],MATCH($H403,DetailByDistrict[Dist],0),MATCH(M$2,DetailByDistrict[#Headers],0))*K403,2)</f>
        <v>212.4</v>
      </c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spans="1:26" ht="15.75" customHeight="1" x14ac:dyDescent="0.25">
      <c r="A404" s="57" t="s">
        <v>118</v>
      </c>
      <c r="B404" s="54" t="s">
        <v>1069</v>
      </c>
      <c r="C404" s="54" t="s">
        <v>818</v>
      </c>
      <c r="D404" s="53">
        <v>1611</v>
      </c>
      <c r="E404" s="53">
        <v>8101</v>
      </c>
      <c r="F404" s="54" t="s">
        <v>1079</v>
      </c>
      <c r="G404" s="53" t="s">
        <v>134</v>
      </c>
      <c r="H404" s="58" t="str">
        <f>_xlfn.IFNA(INDEX(ActiveSchools!$C$2:$F$326,MATCH(G404,ActiveSchools!$F$2:$F$326,0),1),"Total")</f>
        <v>4581</v>
      </c>
      <c r="I404" s="53">
        <v>2</v>
      </c>
      <c r="J404" s="59">
        <f>_xlfn.IFNA(INDEX(DetailByDistrict[],MATCH($H404,DetailByDistrict[Dist],0),MATCH(J$2,DetailByDistrict[#Headers],0)),0)</f>
        <v>262</v>
      </c>
      <c r="K404" s="54">
        <f t="shared" si="6"/>
        <v>7.6335877862595417E-3</v>
      </c>
      <c r="L404" s="59">
        <f>ROUND(INDEX(DetailByDistrict[],MATCH($H404,DetailByDistrict[Dist],0),MATCH(L$2,DetailByDistrict[#Headers],0))*K404,2)</f>
        <v>129.6</v>
      </c>
      <c r="M404" s="59">
        <f>ROUND(INDEX(DetailByDistrict[],MATCH($H404,DetailByDistrict[Dist],0),MATCH(M$2,DetailByDistrict[#Headers],0))*K404,2)</f>
        <v>141.72</v>
      </c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spans="1:26" ht="15.75" customHeight="1" x14ac:dyDescent="0.25">
      <c r="A405" s="57" t="s">
        <v>118</v>
      </c>
      <c r="B405" s="54" t="s">
        <v>1069</v>
      </c>
      <c r="C405" s="54" t="s">
        <v>818</v>
      </c>
      <c r="D405" s="53">
        <v>1611</v>
      </c>
      <c r="E405" s="53">
        <v>8101</v>
      </c>
      <c r="F405" s="54" t="s">
        <v>1080</v>
      </c>
      <c r="G405" s="53" t="s">
        <v>135</v>
      </c>
      <c r="H405" s="58" t="str">
        <f>_xlfn.IFNA(INDEX(ActiveSchools!$C$2:$F$326,MATCH(G405,ActiveSchools!$F$2:$F$326,0),1),"Total")</f>
        <v>4784</v>
      </c>
      <c r="I405" s="53">
        <v>14</v>
      </c>
      <c r="J405" s="59">
        <f>_xlfn.IFNA(INDEX(DetailByDistrict[],MATCH($H405,DetailByDistrict[Dist],0),MATCH(J$2,DetailByDistrict[#Headers],0)),0)</f>
        <v>69</v>
      </c>
      <c r="K405" s="54">
        <f t="shared" si="6"/>
        <v>0.20289855072463769</v>
      </c>
      <c r="L405" s="59">
        <f>ROUND(INDEX(DetailByDistrict[],MATCH($H405,DetailByDistrict[Dist],0),MATCH(L$2,DetailByDistrict[#Headers],0))*K405,2)</f>
        <v>907.16</v>
      </c>
      <c r="M405" s="59">
        <f>ROUND(INDEX(DetailByDistrict[],MATCH($H405,DetailByDistrict[Dist],0),MATCH(M$2,DetailByDistrict[#Headers],0))*K405,2)</f>
        <v>991.97</v>
      </c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spans="1:26" ht="15.75" customHeight="1" x14ac:dyDescent="0.25">
      <c r="A406" s="57" t="s">
        <v>118</v>
      </c>
      <c r="B406" s="54" t="s">
        <v>1069</v>
      </c>
      <c r="C406" s="54" t="s">
        <v>818</v>
      </c>
      <c r="D406" s="53">
        <v>1611</v>
      </c>
      <c r="E406" s="53">
        <v>8101</v>
      </c>
      <c r="F406" s="54" t="s">
        <v>1081</v>
      </c>
      <c r="G406" s="53" t="s">
        <v>137</v>
      </c>
      <c r="H406" s="58" t="str">
        <f>_xlfn.IFNA(INDEX(ActiveSchools!$C$2:$F$326,MATCH(G406,ActiveSchools!$F$2:$F$326,0),1),"Total")</f>
        <v>5250</v>
      </c>
      <c r="I406" s="53">
        <v>43</v>
      </c>
      <c r="J406" s="59">
        <f>_xlfn.IFNA(INDEX(DetailByDistrict[],MATCH($H406,DetailByDistrict[Dist],0),MATCH(J$2,DetailByDistrict[#Headers],0)),0)</f>
        <v>250</v>
      </c>
      <c r="K406" s="54">
        <f t="shared" si="6"/>
        <v>0.17199999999999999</v>
      </c>
      <c r="L406" s="59">
        <f>ROUND(INDEX(DetailByDistrict[],MATCH($H406,DetailByDistrict[Dist],0),MATCH(L$2,DetailByDistrict[#Headers],0))*K406,2)</f>
        <v>2786.4</v>
      </c>
      <c r="M406" s="59">
        <f>ROUND(INDEX(DetailByDistrict[],MATCH($H406,DetailByDistrict[Dist],0),MATCH(M$2,DetailByDistrict[#Headers],0))*K406,2)</f>
        <v>3046.98</v>
      </c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spans="1:26" ht="15.75" customHeight="1" x14ac:dyDescent="0.25">
      <c r="A407" s="57" t="s">
        <v>118</v>
      </c>
      <c r="B407" s="54" t="s">
        <v>1069</v>
      </c>
      <c r="C407" s="54" t="s">
        <v>819</v>
      </c>
      <c r="D407" s="53">
        <v>1611</v>
      </c>
      <c r="E407" s="53">
        <v>8103</v>
      </c>
      <c r="F407" s="54" t="s">
        <v>1077</v>
      </c>
      <c r="G407" s="53" t="s">
        <v>128</v>
      </c>
      <c r="H407" s="58" t="str">
        <f>_xlfn.IFNA(INDEX(ActiveSchools!$C$2:$F$326,MATCH(G407,ActiveSchools!$F$2:$F$326,0),1),"Total")</f>
        <v>1611</v>
      </c>
      <c r="I407" s="53">
        <v>367</v>
      </c>
      <c r="J407" s="59">
        <f>_xlfn.IFNA(INDEX(DetailByDistrict[],MATCH($H407,DetailByDistrict[Dist],0),MATCH(J$2,DetailByDistrict[#Headers],0)),0)</f>
        <v>2041</v>
      </c>
      <c r="K407" s="54">
        <f t="shared" si="6"/>
        <v>0.17981381675649191</v>
      </c>
      <c r="L407" s="59">
        <f>ROUND(INDEX(DetailByDistrict[],MATCH($H407,DetailByDistrict[Dist],0),MATCH(L$2,DetailByDistrict[#Headers],0))*K407,2)</f>
        <v>23781.64</v>
      </c>
      <c r="M407" s="59">
        <f>ROUND(INDEX(DetailByDistrict[],MATCH($H407,DetailByDistrict[Dist],0),MATCH(M$2,DetailByDistrict[#Headers],0))*K407,2)</f>
        <v>26005.57</v>
      </c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spans="1:26" ht="15.75" customHeight="1" x14ac:dyDescent="0.25">
      <c r="A408" s="57" t="s">
        <v>118</v>
      </c>
      <c r="B408" s="54" t="s">
        <v>1069</v>
      </c>
      <c r="C408" s="54" t="s">
        <v>819</v>
      </c>
      <c r="D408" s="53">
        <v>1611</v>
      </c>
      <c r="E408" s="53">
        <v>8103</v>
      </c>
      <c r="F408" s="54" t="s">
        <v>1080</v>
      </c>
      <c r="G408" s="53" t="s">
        <v>135</v>
      </c>
      <c r="H408" s="58" t="str">
        <f>_xlfn.IFNA(INDEX(ActiveSchools!$C$2:$F$326,MATCH(G408,ActiveSchools!$F$2:$F$326,0),1),"Total")</f>
        <v>4784</v>
      </c>
      <c r="I408" s="53">
        <v>5</v>
      </c>
      <c r="J408" s="59">
        <f>_xlfn.IFNA(INDEX(DetailByDistrict[],MATCH($H408,DetailByDistrict[Dist],0),MATCH(J$2,DetailByDistrict[#Headers],0)),0)</f>
        <v>69</v>
      </c>
      <c r="K408" s="54">
        <f t="shared" si="6"/>
        <v>7.2463768115942032E-2</v>
      </c>
      <c r="L408" s="59">
        <f>ROUND(INDEX(DetailByDistrict[],MATCH($H408,DetailByDistrict[Dist],0),MATCH(L$2,DetailByDistrict[#Headers],0))*K408,2)</f>
        <v>323.99</v>
      </c>
      <c r="M408" s="59">
        <f>ROUND(INDEX(DetailByDistrict[],MATCH($H408,DetailByDistrict[Dist],0),MATCH(M$2,DetailByDistrict[#Headers],0))*K408,2)</f>
        <v>354.28</v>
      </c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spans="1:26" ht="15.75" customHeight="1" x14ac:dyDescent="0.25">
      <c r="A409" s="57" t="s">
        <v>118</v>
      </c>
      <c r="B409" s="54" t="s">
        <v>1069</v>
      </c>
      <c r="C409" s="54" t="s">
        <v>819</v>
      </c>
      <c r="D409" s="53">
        <v>1611</v>
      </c>
      <c r="E409" s="53">
        <v>8103</v>
      </c>
      <c r="F409" s="54" t="s">
        <v>1081</v>
      </c>
      <c r="G409" s="53" t="s">
        <v>137</v>
      </c>
      <c r="H409" s="58" t="str">
        <f>_xlfn.IFNA(INDEX(ActiveSchools!$C$2:$F$326,MATCH(G409,ActiveSchools!$F$2:$F$326,0),1),"Total")</f>
        <v>5250</v>
      </c>
      <c r="I409" s="53">
        <v>5</v>
      </c>
      <c r="J409" s="59">
        <f>_xlfn.IFNA(INDEX(DetailByDistrict[],MATCH($H409,DetailByDistrict[Dist],0),MATCH(J$2,DetailByDistrict[#Headers],0)),0)</f>
        <v>250</v>
      </c>
      <c r="K409" s="54">
        <f t="shared" si="6"/>
        <v>0.02</v>
      </c>
      <c r="L409" s="59">
        <f>ROUND(INDEX(DetailByDistrict[],MATCH($H409,DetailByDistrict[Dist],0),MATCH(L$2,DetailByDistrict[#Headers],0))*K409,2)</f>
        <v>324</v>
      </c>
      <c r="M409" s="59">
        <f>ROUND(INDEX(DetailByDistrict[],MATCH($H409,DetailByDistrict[Dist],0),MATCH(M$2,DetailByDistrict[#Headers],0))*K409,2)</f>
        <v>354.3</v>
      </c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spans="1:26" ht="15.75" customHeight="1" x14ac:dyDescent="0.25">
      <c r="A410" s="57" t="s">
        <v>118</v>
      </c>
      <c r="B410" s="54" t="s">
        <v>1069</v>
      </c>
      <c r="C410" s="54" t="s">
        <v>820</v>
      </c>
      <c r="D410" s="53">
        <v>1611</v>
      </c>
      <c r="E410" s="53">
        <v>8109</v>
      </c>
      <c r="F410" s="54" t="s">
        <v>1074</v>
      </c>
      <c r="G410" s="57" t="s">
        <v>122</v>
      </c>
      <c r="H410" s="58" t="str">
        <f>_xlfn.IFNA(INDEX(ActiveSchools!$C$2:$F$326,MATCH(G410,ActiveSchools!$F$2:$F$326,0),1),"Total")</f>
        <v>0621</v>
      </c>
      <c r="I410" s="53">
        <v>28</v>
      </c>
      <c r="J410" s="59">
        <f>_xlfn.IFNA(INDEX(DetailByDistrict[],MATCH($H410,DetailByDistrict[Dist],0),MATCH(J$2,DetailByDistrict[#Headers],0)),0)</f>
        <v>406</v>
      </c>
      <c r="K410" s="54">
        <f t="shared" si="6"/>
        <v>6.8965517241379309E-2</v>
      </c>
      <c r="L410" s="59">
        <f>ROUND(INDEX(DetailByDistrict[],MATCH($H410,DetailByDistrict[Dist],0),MATCH(L$2,DetailByDistrict[#Headers],0))*K410,2)</f>
        <v>1814.41</v>
      </c>
      <c r="M410" s="59">
        <f>ROUND(INDEX(DetailByDistrict[],MATCH($H410,DetailByDistrict[Dist],0),MATCH(M$2,DetailByDistrict[#Headers],0))*K410,2)</f>
        <v>1984.07</v>
      </c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spans="1:26" ht="15.75" customHeight="1" x14ac:dyDescent="0.25">
      <c r="A411" s="57" t="s">
        <v>118</v>
      </c>
      <c r="B411" s="54" t="s">
        <v>1069</v>
      </c>
      <c r="C411" s="54" t="s">
        <v>820</v>
      </c>
      <c r="D411" s="53">
        <v>1611</v>
      </c>
      <c r="E411" s="53">
        <v>8109</v>
      </c>
      <c r="F411" s="54" t="s">
        <v>1077</v>
      </c>
      <c r="G411" s="53" t="s">
        <v>128</v>
      </c>
      <c r="H411" s="58" t="str">
        <f>_xlfn.IFNA(INDEX(ActiveSchools!$C$2:$F$326,MATCH(G411,ActiveSchools!$F$2:$F$326,0),1),"Total")</f>
        <v>1611</v>
      </c>
      <c r="I411" s="53">
        <v>367</v>
      </c>
      <c r="J411" s="59">
        <f>_xlfn.IFNA(INDEX(DetailByDistrict[],MATCH($H411,DetailByDistrict[Dist],0),MATCH(J$2,DetailByDistrict[#Headers],0)),0)</f>
        <v>2041</v>
      </c>
      <c r="K411" s="54">
        <f t="shared" si="6"/>
        <v>0.17981381675649191</v>
      </c>
      <c r="L411" s="59">
        <f>ROUND(INDEX(DetailByDistrict[],MATCH($H411,DetailByDistrict[Dist],0),MATCH(L$2,DetailByDistrict[#Headers],0))*K411,2)</f>
        <v>23781.64</v>
      </c>
      <c r="M411" s="59">
        <f>ROUND(INDEX(DetailByDistrict[],MATCH($H411,DetailByDistrict[Dist],0),MATCH(M$2,DetailByDistrict[#Headers],0))*K411,2)</f>
        <v>26005.57</v>
      </c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spans="1:26" ht="15.75" customHeight="1" x14ac:dyDescent="0.25">
      <c r="A412" s="57" t="s">
        <v>118</v>
      </c>
      <c r="B412" s="54" t="s">
        <v>1069</v>
      </c>
      <c r="C412" s="54" t="s">
        <v>820</v>
      </c>
      <c r="D412" s="53">
        <v>1611</v>
      </c>
      <c r="E412" s="53">
        <v>8109</v>
      </c>
      <c r="F412" s="54" t="s">
        <v>1080</v>
      </c>
      <c r="G412" s="53" t="s">
        <v>135</v>
      </c>
      <c r="H412" s="58" t="str">
        <f>_xlfn.IFNA(INDEX(ActiveSchools!$C$2:$F$326,MATCH(G412,ActiveSchools!$F$2:$F$326,0),1),"Total")</f>
        <v>4784</v>
      </c>
      <c r="I412" s="53">
        <v>3</v>
      </c>
      <c r="J412" s="59">
        <f>_xlfn.IFNA(INDEX(DetailByDistrict[],MATCH($H412,DetailByDistrict[Dist],0),MATCH(J$2,DetailByDistrict[#Headers],0)),0)</f>
        <v>69</v>
      </c>
      <c r="K412" s="54">
        <f t="shared" si="6"/>
        <v>4.3478260869565216E-2</v>
      </c>
      <c r="L412" s="59">
        <f>ROUND(INDEX(DetailByDistrict[],MATCH($H412,DetailByDistrict[Dist],0),MATCH(L$2,DetailByDistrict[#Headers],0))*K412,2)</f>
        <v>194.39</v>
      </c>
      <c r="M412" s="59">
        <f>ROUND(INDEX(DetailByDistrict[],MATCH($H412,DetailByDistrict[Dist],0),MATCH(M$2,DetailByDistrict[#Headers],0))*K412,2)</f>
        <v>212.57</v>
      </c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spans="1:26" ht="15.75" customHeight="1" x14ac:dyDescent="0.25">
      <c r="A413" s="57" t="s">
        <v>118</v>
      </c>
      <c r="B413" s="54" t="s">
        <v>1069</v>
      </c>
      <c r="C413" s="54" t="s">
        <v>820</v>
      </c>
      <c r="D413" s="53">
        <v>1611</v>
      </c>
      <c r="E413" s="53">
        <v>8109</v>
      </c>
      <c r="F413" s="54" t="s">
        <v>1081</v>
      </c>
      <c r="G413" s="53" t="s">
        <v>137</v>
      </c>
      <c r="H413" s="58" t="str">
        <f>_xlfn.IFNA(INDEX(ActiveSchools!$C$2:$F$326,MATCH(G413,ActiveSchools!$F$2:$F$326,0),1),"Total")</f>
        <v>5250</v>
      </c>
      <c r="I413" s="53">
        <v>7</v>
      </c>
      <c r="J413" s="59">
        <f>_xlfn.IFNA(INDEX(DetailByDistrict[],MATCH($H413,DetailByDistrict[Dist],0),MATCH(J$2,DetailByDistrict[#Headers],0)),0)</f>
        <v>250</v>
      </c>
      <c r="K413" s="54">
        <f t="shared" si="6"/>
        <v>2.8000000000000001E-2</v>
      </c>
      <c r="L413" s="59">
        <f>ROUND(INDEX(DetailByDistrict[],MATCH($H413,DetailByDistrict[Dist],0),MATCH(L$2,DetailByDistrict[#Headers],0))*K413,2)</f>
        <v>453.6</v>
      </c>
      <c r="M413" s="59">
        <f>ROUND(INDEX(DetailByDistrict[],MATCH($H413,DetailByDistrict[Dist],0),MATCH(M$2,DetailByDistrict[#Headers],0))*K413,2)</f>
        <v>496.02</v>
      </c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spans="1:26" ht="15.75" customHeight="1" x14ac:dyDescent="0.25">
      <c r="A414" s="57" t="s">
        <v>118</v>
      </c>
      <c r="B414" s="54" t="s">
        <v>1069</v>
      </c>
      <c r="C414" s="54" t="s">
        <v>1087</v>
      </c>
      <c r="D414" s="53">
        <v>1611</v>
      </c>
      <c r="E414" s="53">
        <v>8115</v>
      </c>
      <c r="F414" s="54" t="s">
        <v>1074</v>
      </c>
      <c r="G414" s="57" t="s">
        <v>122</v>
      </c>
      <c r="H414" s="58" t="str">
        <f>_xlfn.IFNA(INDEX(ActiveSchools!$C$2:$F$326,MATCH(G414,ActiveSchools!$F$2:$F$326,0),1),"Total")</f>
        <v>0621</v>
      </c>
      <c r="I414" s="53">
        <v>1</v>
      </c>
      <c r="J414" s="59">
        <f>_xlfn.IFNA(INDEX(DetailByDistrict[],MATCH($H414,DetailByDistrict[Dist],0),MATCH(J$2,DetailByDistrict[#Headers],0)),0)</f>
        <v>406</v>
      </c>
      <c r="K414" s="54">
        <f t="shared" si="6"/>
        <v>2.4630541871921183E-3</v>
      </c>
      <c r="L414" s="59">
        <f>ROUND(INDEX(DetailByDistrict[],MATCH($H414,DetailByDistrict[Dist],0),MATCH(L$2,DetailByDistrict[#Headers],0))*K414,2)</f>
        <v>64.8</v>
      </c>
      <c r="M414" s="59">
        <f>ROUND(INDEX(DetailByDistrict[],MATCH($H414,DetailByDistrict[Dist],0),MATCH(M$2,DetailByDistrict[#Headers],0))*K414,2)</f>
        <v>70.86</v>
      </c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spans="1:26" ht="15.75" customHeight="1" x14ac:dyDescent="0.25">
      <c r="A415" s="57" t="s">
        <v>118</v>
      </c>
      <c r="B415" s="54" t="s">
        <v>1069</v>
      </c>
      <c r="C415" s="54" t="s">
        <v>1087</v>
      </c>
      <c r="D415" s="53">
        <v>1611</v>
      </c>
      <c r="E415" s="53">
        <v>8115</v>
      </c>
      <c r="F415" s="54" t="s">
        <v>1075</v>
      </c>
      <c r="G415" s="53" t="s">
        <v>125</v>
      </c>
      <c r="H415" s="58" t="str">
        <f>_xlfn.IFNA(INDEX(ActiveSchools!$C$2:$F$326,MATCH(G415,ActiveSchools!$F$2:$F$326,0),1),"Total")</f>
        <v>1082</v>
      </c>
      <c r="I415" s="53">
        <v>3</v>
      </c>
      <c r="J415" s="59">
        <f>_xlfn.IFNA(INDEX(DetailByDistrict[],MATCH($H415,DetailByDistrict[Dist],0),MATCH(J$2,DetailByDistrict[#Headers],0)),0)</f>
        <v>162</v>
      </c>
      <c r="K415" s="54">
        <f t="shared" si="6"/>
        <v>1.8518518518518517E-2</v>
      </c>
      <c r="L415" s="59">
        <f>ROUND(INDEX(DetailByDistrict[],MATCH($H415,DetailByDistrict[Dist],0),MATCH(L$2,DetailByDistrict[#Headers],0))*K415,2)</f>
        <v>194.41</v>
      </c>
      <c r="M415" s="59">
        <f>ROUND(INDEX(DetailByDistrict[],MATCH($H415,DetailByDistrict[Dist],0),MATCH(M$2,DetailByDistrict[#Headers],0))*K415,2)</f>
        <v>212.57</v>
      </c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spans="1:26" ht="15.75" customHeight="1" x14ac:dyDescent="0.25">
      <c r="A416" s="57" t="s">
        <v>118</v>
      </c>
      <c r="B416" s="54" t="s">
        <v>1069</v>
      </c>
      <c r="C416" s="54" t="s">
        <v>1087</v>
      </c>
      <c r="D416" s="53">
        <v>1611</v>
      </c>
      <c r="E416" s="53">
        <v>8115</v>
      </c>
      <c r="F416" s="54" t="s">
        <v>1077</v>
      </c>
      <c r="G416" s="53" t="s">
        <v>128</v>
      </c>
      <c r="H416" s="58" t="str">
        <f>_xlfn.IFNA(INDEX(ActiveSchools!$C$2:$F$326,MATCH(G416,ActiveSchools!$F$2:$F$326,0),1),"Total")</f>
        <v>1611</v>
      </c>
      <c r="I416" s="53">
        <v>385</v>
      </c>
      <c r="J416" s="59">
        <f>_xlfn.IFNA(INDEX(DetailByDistrict[],MATCH($H416,DetailByDistrict[Dist],0),MATCH(J$2,DetailByDistrict[#Headers],0)),0)</f>
        <v>2041</v>
      </c>
      <c r="K416" s="54">
        <f t="shared" si="6"/>
        <v>0.18863302302792748</v>
      </c>
      <c r="L416" s="59">
        <f>ROUND(INDEX(DetailByDistrict[],MATCH($H416,DetailByDistrict[Dist],0),MATCH(L$2,DetailByDistrict[#Headers],0))*K416,2)</f>
        <v>24948.04</v>
      </c>
      <c r="M416" s="59">
        <f>ROUND(INDEX(DetailByDistrict[],MATCH($H416,DetailByDistrict[Dist],0),MATCH(M$2,DetailByDistrict[#Headers],0))*K416,2)-0.03</f>
        <v>27281.02</v>
      </c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spans="1:26" ht="15.75" customHeight="1" x14ac:dyDescent="0.25">
      <c r="A417" s="57" t="s">
        <v>118</v>
      </c>
      <c r="B417" s="54" t="s">
        <v>1069</v>
      </c>
      <c r="C417" s="54" t="s">
        <v>1087</v>
      </c>
      <c r="D417" s="53">
        <v>1611</v>
      </c>
      <c r="E417" s="53">
        <v>8115</v>
      </c>
      <c r="F417" s="54" t="s">
        <v>1080</v>
      </c>
      <c r="G417" s="53" t="s">
        <v>135</v>
      </c>
      <c r="H417" s="58" t="str">
        <f>_xlfn.IFNA(INDEX(ActiveSchools!$C$2:$F$326,MATCH(G417,ActiveSchools!$F$2:$F$326,0),1),"Total")</f>
        <v>4784</v>
      </c>
      <c r="I417" s="53">
        <v>6</v>
      </c>
      <c r="J417" s="59">
        <f>_xlfn.IFNA(INDEX(DetailByDistrict[],MATCH($H417,DetailByDistrict[Dist],0),MATCH(J$2,DetailByDistrict[#Headers],0)),0)</f>
        <v>69</v>
      </c>
      <c r="K417" s="54">
        <f t="shared" si="6"/>
        <v>8.6956521739130432E-2</v>
      </c>
      <c r="L417" s="59">
        <f>ROUND(INDEX(DetailByDistrict[],MATCH($H417,DetailByDistrict[Dist],0),MATCH(L$2,DetailByDistrict[#Headers],0))*K417,2)</f>
        <v>388.78</v>
      </c>
      <c r="M417" s="59">
        <f>ROUND(INDEX(DetailByDistrict[],MATCH($H417,DetailByDistrict[Dist],0),MATCH(M$2,DetailByDistrict[#Headers],0))*K417,2)</f>
        <v>425.13</v>
      </c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spans="1:26" ht="15.75" customHeight="1" x14ac:dyDescent="0.25">
      <c r="A418" s="57" t="s">
        <v>118</v>
      </c>
      <c r="B418" s="54" t="s">
        <v>1069</v>
      </c>
      <c r="C418" s="54" t="s">
        <v>1087</v>
      </c>
      <c r="D418" s="53">
        <v>1611</v>
      </c>
      <c r="E418" s="53">
        <v>8115</v>
      </c>
      <c r="F418" s="54" t="s">
        <v>1081</v>
      </c>
      <c r="G418" s="53" t="s">
        <v>137</v>
      </c>
      <c r="H418" s="58" t="str">
        <f>_xlfn.IFNA(INDEX(ActiveSchools!$C$2:$F$326,MATCH(G418,ActiveSchools!$F$2:$F$326,0),1),"Total")</f>
        <v>5250</v>
      </c>
      <c r="I418" s="53">
        <v>7</v>
      </c>
      <c r="J418" s="59">
        <f>_xlfn.IFNA(INDEX(DetailByDistrict[],MATCH($H418,DetailByDistrict[Dist],0),MATCH(J$2,DetailByDistrict[#Headers],0)),0)</f>
        <v>250</v>
      </c>
      <c r="K418" s="54">
        <f t="shared" si="6"/>
        <v>2.8000000000000001E-2</v>
      </c>
      <c r="L418" s="59">
        <f>ROUND(INDEX(DetailByDistrict[],MATCH($H418,DetailByDistrict[Dist],0),MATCH(L$2,DetailByDistrict[#Headers],0))*K418,2)</f>
        <v>453.6</v>
      </c>
      <c r="M418" s="59">
        <f>ROUND(INDEX(DetailByDistrict[],MATCH($H418,DetailByDistrict[Dist],0),MATCH(M$2,DetailByDistrict[#Headers],0))*K418,2)</f>
        <v>496.02</v>
      </c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spans="1:26" ht="15.75" customHeight="1" x14ac:dyDescent="0.25">
      <c r="A419" s="57" t="s">
        <v>118</v>
      </c>
      <c r="B419" s="54" t="s">
        <v>1069</v>
      </c>
      <c r="C419" s="54" t="s">
        <v>821</v>
      </c>
      <c r="D419" s="53">
        <v>1611</v>
      </c>
      <c r="E419" s="53">
        <v>8121</v>
      </c>
      <c r="F419" s="54" t="s">
        <v>1074</v>
      </c>
      <c r="G419" s="57" t="s">
        <v>122</v>
      </c>
      <c r="H419" s="58" t="str">
        <f>_xlfn.IFNA(INDEX(ActiveSchools!$C$2:$F$326,MATCH(G419,ActiveSchools!$F$2:$F$326,0),1),"Total")</f>
        <v>0621</v>
      </c>
      <c r="I419" s="53">
        <v>2</v>
      </c>
      <c r="J419" s="59">
        <f>_xlfn.IFNA(INDEX(DetailByDistrict[],MATCH($H419,DetailByDistrict[Dist],0),MATCH(J$2,DetailByDistrict[#Headers],0)),0)</f>
        <v>406</v>
      </c>
      <c r="K419" s="54">
        <f t="shared" si="6"/>
        <v>4.9261083743842365E-3</v>
      </c>
      <c r="L419" s="59">
        <f>ROUND(INDEX(DetailByDistrict[],MATCH($H419,DetailByDistrict[Dist],0),MATCH(L$2,DetailByDistrict[#Headers],0))*K419,2)</f>
        <v>129.6</v>
      </c>
      <c r="M419" s="59">
        <f>ROUND(INDEX(DetailByDistrict[],MATCH($H419,DetailByDistrict[Dist],0),MATCH(M$2,DetailByDistrict[#Headers],0))*K419,2)</f>
        <v>141.72</v>
      </c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spans="1:26" ht="15.75" customHeight="1" x14ac:dyDescent="0.25">
      <c r="A420" s="57" t="s">
        <v>118</v>
      </c>
      <c r="B420" s="54" t="s">
        <v>1069</v>
      </c>
      <c r="C420" s="54" t="s">
        <v>821</v>
      </c>
      <c r="D420" s="53">
        <v>1611</v>
      </c>
      <c r="E420" s="53">
        <v>8121</v>
      </c>
      <c r="F420" s="54" t="s">
        <v>1077</v>
      </c>
      <c r="G420" s="53" t="s">
        <v>128</v>
      </c>
      <c r="H420" s="58" t="str">
        <f>_xlfn.IFNA(INDEX(ActiveSchools!$C$2:$F$326,MATCH(G420,ActiveSchools!$F$2:$F$326,0),1),"Total")</f>
        <v>1611</v>
      </c>
      <c r="I420" s="53">
        <v>8</v>
      </c>
      <c r="J420" s="59">
        <f>_xlfn.IFNA(INDEX(DetailByDistrict[],MATCH($H420,DetailByDistrict[Dist],0),MATCH(J$2,DetailByDistrict[#Headers],0)),0)</f>
        <v>2041</v>
      </c>
      <c r="K420" s="54">
        <f t="shared" si="6"/>
        <v>3.9196472317491425E-3</v>
      </c>
      <c r="L420" s="59">
        <f>ROUND(INDEX(DetailByDistrict[],MATCH($H420,DetailByDistrict[Dist],0),MATCH(L$2,DetailByDistrict[#Headers],0))*K420,2)</f>
        <v>518.4</v>
      </c>
      <c r="M420" s="59">
        <f>ROUND(INDEX(DetailByDistrict[],MATCH($H420,DetailByDistrict[Dist],0),MATCH(M$2,DetailByDistrict[#Headers],0))*K420,2)</f>
        <v>566.88</v>
      </c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spans="1:26" ht="15.75" customHeight="1" x14ac:dyDescent="0.25">
      <c r="A421" s="57" t="s">
        <v>118</v>
      </c>
      <c r="B421" s="54" t="s">
        <v>1069</v>
      </c>
      <c r="C421" s="54" t="s">
        <v>784</v>
      </c>
      <c r="D421" s="53">
        <v>1611</v>
      </c>
      <c r="E421" s="53">
        <v>8212</v>
      </c>
      <c r="F421" s="54" t="s">
        <v>1074</v>
      </c>
      <c r="G421" s="57" t="s">
        <v>122</v>
      </c>
      <c r="H421" s="58" t="str">
        <f>_xlfn.IFNA(INDEX(ActiveSchools!$C$2:$F$326,MATCH(G421,ActiveSchools!$F$2:$F$326,0),1),"Total")</f>
        <v>0621</v>
      </c>
      <c r="I421" s="53">
        <v>18</v>
      </c>
      <c r="J421" s="59">
        <f>_xlfn.IFNA(INDEX(DetailByDistrict[],MATCH($H421,DetailByDistrict[Dist],0),MATCH(J$2,DetailByDistrict[#Headers],0)),0)</f>
        <v>406</v>
      </c>
      <c r="K421" s="54">
        <f t="shared" si="6"/>
        <v>4.4334975369458129E-2</v>
      </c>
      <c r="L421" s="59">
        <f>ROUND(INDEX(DetailByDistrict[],MATCH($H421,DetailByDistrict[Dist],0),MATCH(L$2,DetailByDistrict[#Headers],0))*K421,2)</f>
        <v>1166.4100000000001</v>
      </c>
      <c r="M421" s="59">
        <f>ROUND(INDEX(DetailByDistrict[],MATCH($H421,DetailByDistrict[Dist],0),MATCH(M$2,DetailByDistrict[#Headers],0))*K421,2)</f>
        <v>1275.47</v>
      </c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spans="1:26" ht="15.75" customHeight="1" x14ac:dyDescent="0.25">
      <c r="A422" s="57" t="s">
        <v>118</v>
      </c>
      <c r="B422" s="54" t="s">
        <v>1069</v>
      </c>
      <c r="C422" s="54" t="s">
        <v>784</v>
      </c>
      <c r="D422" s="53">
        <v>1611</v>
      </c>
      <c r="E422" s="53">
        <v>8212</v>
      </c>
      <c r="F422" s="54" t="s">
        <v>1077</v>
      </c>
      <c r="G422" s="53" t="s">
        <v>128</v>
      </c>
      <c r="H422" s="58" t="str">
        <f>_xlfn.IFNA(INDEX(ActiveSchools!$C$2:$F$326,MATCH(G422,ActiveSchools!$F$2:$F$326,0),1),"Total")</f>
        <v>1611</v>
      </c>
      <c r="I422" s="53">
        <v>352</v>
      </c>
      <c r="J422" s="59">
        <f>_xlfn.IFNA(INDEX(DetailByDistrict[],MATCH($H422,DetailByDistrict[Dist],0),MATCH(J$2,DetailByDistrict[#Headers],0)),0)</f>
        <v>2041</v>
      </c>
      <c r="K422" s="54">
        <f t="shared" si="6"/>
        <v>0.17246447819696228</v>
      </c>
      <c r="L422" s="59">
        <f>ROUND(INDEX(DetailByDistrict[],MATCH($H422,DetailByDistrict[Dist],0),MATCH(L$2,DetailByDistrict[#Headers],0))*K422,2)</f>
        <v>22809.63</v>
      </c>
      <c r="M422" s="59">
        <f>ROUND(INDEX(DetailByDistrict[],MATCH($H422,DetailByDistrict[Dist],0),MATCH(M$2,DetailByDistrict[#Headers],0))*K422,2)</f>
        <v>24942.68</v>
      </c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spans="1:26" ht="15.75" customHeight="1" x14ac:dyDescent="0.25">
      <c r="A423" s="57" t="s">
        <v>118</v>
      </c>
      <c r="B423" s="54" t="s">
        <v>1069</v>
      </c>
      <c r="C423" s="54" t="s">
        <v>843</v>
      </c>
      <c r="D423" s="53">
        <v>1863</v>
      </c>
      <c r="E423" s="53">
        <v>8122</v>
      </c>
      <c r="F423" s="54" t="s">
        <v>1073</v>
      </c>
      <c r="G423" s="53" t="s">
        <v>133</v>
      </c>
      <c r="H423" s="58" t="str">
        <f>_xlfn.IFNA(INDEX(ActiveSchools!$C$2:$F$326,MATCH(G423,ActiveSchools!$F$2:$F$326,0),1),"Total")</f>
        <v>4041</v>
      </c>
      <c r="I423" s="53">
        <v>1</v>
      </c>
      <c r="J423" s="59">
        <f>_xlfn.IFNA(INDEX(DetailByDistrict[],MATCH($H423,DetailByDistrict[Dist],0),MATCH(J$2,DetailByDistrict[#Headers],0)),0)</f>
        <v>144</v>
      </c>
      <c r="K423" s="54">
        <f t="shared" si="6"/>
        <v>6.9444444444444441E-3</v>
      </c>
      <c r="L423" s="59">
        <f>ROUND(INDEX(DetailByDistrict[],MATCH($H423,DetailByDistrict[Dist],0),MATCH(L$2,DetailByDistrict[#Headers],0))*K423,2)</f>
        <v>64.8</v>
      </c>
      <c r="M423" s="59">
        <f>ROUND(INDEX(DetailByDistrict[],MATCH($H423,DetailByDistrict[Dist],0),MATCH(M$2,DetailByDistrict[#Headers],0))*K423,2)</f>
        <v>70.86</v>
      </c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spans="1:26" ht="15.75" customHeight="1" x14ac:dyDescent="0.25">
      <c r="A424" s="57" t="s">
        <v>118</v>
      </c>
      <c r="B424" s="54" t="s">
        <v>1069</v>
      </c>
      <c r="C424" s="54" t="s">
        <v>844</v>
      </c>
      <c r="D424" s="53">
        <v>1863</v>
      </c>
      <c r="E424" s="53">
        <v>8126</v>
      </c>
      <c r="F424" s="54" t="s">
        <v>1070</v>
      </c>
      <c r="G424" s="57" t="s">
        <v>119</v>
      </c>
      <c r="H424" s="58" t="str">
        <f>_xlfn.IFNA(INDEX(ActiveSchools!$C$2:$F$326,MATCH(G424,ActiveSchools!$F$2:$F$326,0),1),"Total")</f>
        <v>0243</v>
      </c>
      <c r="I424" s="53">
        <v>1</v>
      </c>
      <c r="J424" s="59">
        <f>_xlfn.IFNA(INDEX(DetailByDistrict[],MATCH($H424,DetailByDistrict[Dist],0),MATCH(J$2,DetailByDistrict[#Headers],0)),0)</f>
        <v>29</v>
      </c>
      <c r="K424" s="54">
        <f t="shared" si="6"/>
        <v>3.4482758620689655E-2</v>
      </c>
      <c r="L424" s="59">
        <f>ROUND(INDEX(DetailByDistrict[],MATCH($H424,DetailByDistrict[Dist],0),MATCH(L$2,DetailByDistrict[#Headers],0))*K424,2)</f>
        <v>64.790000000000006</v>
      </c>
      <c r="M424" s="59">
        <f>ROUND(INDEX(DetailByDistrict[],MATCH($H424,DetailByDistrict[Dist],0),MATCH(M$2,DetailByDistrict[#Headers],0))*K424,2)</f>
        <v>70.86</v>
      </c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spans="1:26" ht="15.75" customHeight="1" x14ac:dyDescent="0.25">
      <c r="A425" s="57" t="s">
        <v>118</v>
      </c>
      <c r="B425" s="54" t="s">
        <v>1069</v>
      </c>
      <c r="C425" s="54" t="s">
        <v>844</v>
      </c>
      <c r="D425" s="53">
        <v>1863</v>
      </c>
      <c r="E425" s="53">
        <v>8126</v>
      </c>
      <c r="F425" s="54" t="s">
        <v>1071</v>
      </c>
      <c r="G425" s="57" t="s">
        <v>120</v>
      </c>
      <c r="H425" s="58" t="str">
        <f>_xlfn.IFNA(INDEX(ActiveSchools!$C$2:$F$326,MATCH(G425,ActiveSchools!$F$2:$F$326,0),1),"Total")</f>
        <v>0585</v>
      </c>
      <c r="I425" s="53">
        <v>2</v>
      </c>
      <c r="J425" s="59">
        <f>_xlfn.IFNA(INDEX(DetailByDistrict[],MATCH($H425,DetailByDistrict[Dist],0),MATCH(J$2,DetailByDistrict[#Headers],0)),0)</f>
        <v>185</v>
      </c>
      <c r="K425" s="54">
        <f t="shared" si="6"/>
        <v>1.0810810810810811E-2</v>
      </c>
      <c r="L425" s="59">
        <f>ROUND(INDEX(DetailByDistrict[],MATCH($H425,DetailByDistrict[Dist],0),MATCH(L$2,DetailByDistrict[#Headers],0))*K425,2)</f>
        <v>129.6</v>
      </c>
      <c r="M425" s="59">
        <f>ROUND(INDEX(DetailByDistrict[],MATCH($H425,DetailByDistrict[Dist],0),MATCH(M$2,DetailByDistrict[#Headers],0))*K425,2)</f>
        <v>141.72</v>
      </c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spans="1:26" ht="15.75" customHeight="1" x14ac:dyDescent="0.25">
      <c r="A426" s="57" t="s">
        <v>118</v>
      </c>
      <c r="B426" s="54" t="s">
        <v>1069</v>
      </c>
      <c r="C426" s="54" t="s">
        <v>845</v>
      </c>
      <c r="D426" s="53">
        <v>1863</v>
      </c>
      <c r="E426" s="53">
        <v>8128</v>
      </c>
      <c r="F426" s="54" t="s">
        <v>1070</v>
      </c>
      <c r="G426" s="57" t="s">
        <v>119</v>
      </c>
      <c r="H426" s="58" t="str">
        <f>_xlfn.IFNA(INDEX(ActiveSchools!$C$2:$F$326,MATCH(G426,ActiveSchools!$F$2:$F$326,0),1),"Total")</f>
        <v>0243</v>
      </c>
      <c r="I426" s="53">
        <v>1</v>
      </c>
      <c r="J426" s="59">
        <f>_xlfn.IFNA(INDEX(DetailByDistrict[],MATCH($H426,DetailByDistrict[Dist],0),MATCH(J$2,DetailByDistrict[#Headers],0)),0)</f>
        <v>29</v>
      </c>
      <c r="K426" s="54">
        <f t="shared" si="6"/>
        <v>3.4482758620689655E-2</v>
      </c>
      <c r="L426" s="59">
        <f>ROUND(INDEX(DetailByDistrict[],MATCH($H426,DetailByDistrict[Dist],0),MATCH(L$2,DetailByDistrict[#Headers],0))*K426,2)</f>
        <v>64.790000000000006</v>
      </c>
      <c r="M426" s="59">
        <f>ROUND(INDEX(DetailByDistrict[],MATCH($H426,DetailByDistrict[Dist],0),MATCH(M$2,DetailByDistrict[#Headers],0))*K426,2)</f>
        <v>70.86</v>
      </c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spans="1:26" ht="15.75" customHeight="1" x14ac:dyDescent="0.25">
      <c r="A427" s="57" t="s">
        <v>118</v>
      </c>
      <c r="B427" s="54" t="s">
        <v>1069</v>
      </c>
      <c r="C427" s="54" t="s">
        <v>845</v>
      </c>
      <c r="D427" s="53">
        <v>1863</v>
      </c>
      <c r="E427" s="53">
        <v>8128</v>
      </c>
      <c r="F427" s="54" t="s">
        <v>1071</v>
      </c>
      <c r="G427" s="57" t="s">
        <v>120</v>
      </c>
      <c r="H427" s="58" t="str">
        <f>_xlfn.IFNA(INDEX(ActiveSchools!$C$2:$F$326,MATCH(G427,ActiveSchools!$F$2:$F$326,0),1),"Total")</f>
        <v>0585</v>
      </c>
      <c r="I427" s="53">
        <v>1</v>
      </c>
      <c r="J427" s="59">
        <f>_xlfn.IFNA(INDEX(DetailByDistrict[],MATCH($H427,DetailByDistrict[Dist],0),MATCH(J$2,DetailByDistrict[#Headers],0)),0)</f>
        <v>185</v>
      </c>
      <c r="K427" s="54">
        <f t="shared" si="6"/>
        <v>5.4054054054054057E-3</v>
      </c>
      <c r="L427" s="59">
        <f>ROUND(INDEX(DetailByDistrict[],MATCH($H427,DetailByDistrict[Dist],0),MATCH(L$2,DetailByDistrict[#Headers],0))*K427,2)</f>
        <v>64.8</v>
      </c>
      <c r="M427" s="59">
        <f>ROUND(INDEX(DetailByDistrict[],MATCH($H427,DetailByDistrict[Dist],0),MATCH(M$2,DetailByDistrict[#Headers],0))*K427,2)</f>
        <v>70.86</v>
      </c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spans="1:26" ht="15.75" customHeight="1" x14ac:dyDescent="0.25">
      <c r="A428" s="57" t="s">
        <v>118</v>
      </c>
      <c r="B428" s="54" t="s">
        <v>1069</v>
      </c>
      <c r="C428" s="54" t="s">
        <v>845</v>
      </c>
      <c r="D428" s="53">
        <v>1863</v>
      </c>
      <c r="E428" s="53">
        <v>8128</v>
      </c>
      <c r="F428" s="54" t="s">
        <v>1073</v>
      </c>
      <c r="G428" s="53" t="s">
        <v>133</v>
      </c>
      <c r="H428" s="58" t="str">
        <f>_xlfn.IFNA(INDEX(ActiveSchools!$C$2:$F$326,MATCH(G428,ActiveSchools!$F$2:$F$326,0),1),"Total")</f>
        <v>4041</v>
      </c>
      <c r="I428" s="53">
        <v>1</v>
      </c>
      <c r="J428" s="59">
        <f>_xlfn.IFNA(INDEX(DetailByDistrict[],MATCH($H428,DetailByDistrict[Dist],0),MATCH(J$2,DetailByDistrict[#Headers],0)),0)</f>
        <v>144</v>
      </c>
      <c r="K428" s="54">
        <f t="shared" si="6"/>
        <v>6.9444444444444441E-3</v>
      </c>
      <c r="L428" s="59">
        <f>ROUND(INDEX(DetailByDistrict[],MATCH($H428,DetailByDistrict[Dist],0),MATCH(L$2,DetailByDistrict[#Headers],0))*K428,2)</f>
        <v>64.8</v>
      </c>
      <c r="M428" s="59">
        <f>ROUND(INDEX(DetailByDistrict[],MATCH($H428,DetailByDistrict[Dist],0),MATCH(M$2,DetailByDistrict[#Headers],0))*K428,2)</f>
        <v>70.86</v>
      </c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spans="1:26" ht="15.75" customHeight="1" x14ac:dyDescent="0.25">
      <c r="A429" s="57" t="s">
        <v>118</v>
      </c>
      <c r="B429" s="54" t="s">
        <v>1069</v>
      </c>
      <c r="C429" s="54" t="s">
        <v>846</v>
      </c>
      <c r="D429" s="53">
        <v>1863</v>
      </c>
      <c r="E429" s="53">
        <v>8134</v>
      </c>
      <c r="F429" s="54" t="s">
        <v>1070</v>
      </c>
      <c r="G429" s="57" t="s">
        <v>119</v>
      </c>
      <c r="H429" s="58" t="str">
        <f>_xlfn.IFNA(INDEX(ActiveSchools!$C$2:$F$326,MATCH(G429,ActiveSchools!$F$2:$F$326,0),1),"Total")</f>
        <v>0243</v>
      </c>
      <c r="I429" s="53">
        <v>2</v>
      </c>
      <c r="J429" s="59">
        <f>_xlfn.IFNA(INDEX(DetailByDistrict[],MATCH($H429,DetailByDistrict[Dist],0),MATCH(J$2,DetailByDistrict[#Headers],0)),0)</f>
        <v>29</v>
      </c>
      <c r="K429" s="54">
        <f t="shared" si="6"/>
        <v>6.8965517241379309E-2</v>
      </c>
      <c r="L429" s="59">
        <f>ROUND(INDEX(DetailByDistrict[],MATCH($H429,DetailByDistrict[Dist],0),MATCH(L$2,DetailByDistrict[#Headers],0))*K429,2)</f>
        <v>129.59</v>
      </c>
      <c r="M429" s="59">
        <f>ROUND(INDEX(DetailByDistrict[],MATCH($H429,DetailByDistrict[Dist],0),MATCH(M$2,DetailByDistrict[#Headers],0))*K429,2)</f>
        <v>141.72</v>
      </c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spans="1:26" ht="15.75" customHeight="1" x14ac:dyDescent="0.25">
      <c r="A430" s="57" t="s">
        <v>118</v>
      </c>
      <c r="B430" s="54" t="s">
        <v>1069</v>
      </c>
      <c r="C430" s="54" t="s">
        <v>846</v>
      </c>
      <c r="D430" s="53">
        <v>1863</v>
      </c>
      <c r="E430" s="53">
        <v>8134</v>
      </c>
      <c r="F430" s="54" t="s">
        <v>1073</v>
      </c>
      <c r="G430" s="53" t="s">
        <v>133</v>
      </c>
      <c r="H430" s="58" t="str">
        <f>_xlfn.IFNA(INDEX(ActiveSchools!$C$2:$F$326,MATCH(G430,ActiveSchools!$F$2:$F$326,0),1),"Total")</f>
        <v>4041</v>
      </c>
      <c r="I430" s="53">
        <v>1</v>
      </c>
      <c r="J430" s="59">
        <f>_xlfn.IFNA(INDEX(DetailByDistrict[],MATCH($H430,DetailByDistrict[Dist],0),MATCH(J$2,DetailByDistrict[#Headers],0)),0)</f>
        <v>144</v>
      </c>
      <c r="K430" s="54">
        <f t="shared" si="6"/>
        <v>6.9444444444444441E-3</v>
      </c>
      <c r="L430" s="59">
        <f>ROUND(INDEX(DetailByDistrict[],MATCH($H430,DetailByDistrict[Dist],0),MATCH(L$2,DetailByDistrict[#Headers],0))*K430,2)</f>
        <v>64.8</v>
      </c>
      <c r="M430" s="59">
        <f>ROUND(INDEX(DetailByDistrict[],MATCH($H430,DetailByDistrict[Dist],0),MATCH(M$2,DetailByDistrict[#Headers],0))*K430,2)</f>
        <v>70.86</v>
      </c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spans="1:26" ht="15.75" customHeight="1" x14ac:dyDescent="0.25">
      <c r="A431" s="57" t="s">
        <v>118</v>
      </c>
      <c r="B431" s="54" t="s">
        <v>1069</v>
      </c>
      <c r="C431" s="54" t="s">
        <v>848</v>
      </c>
      <c r="D431" s="53">
        <v>1863</v>
      </c>
      <c r="E431" s="53">
        <v>8163</v>
      </c>
      <c r="F431" s="54" t="s">
        <v>1071</v>
      </c>
      <c r="G431" s="57" t="s">
        <v>120</v>
      </c>
      <c r="H431" s="58" t="str">
        <f>_xlfn.IFNA(INDEX(ActiveSchools!$C$2:$F$326,MATCH(G431,ActiveSchools!$F$2:$F$326,0),1),"Total")</f>
        <v>0585</v>
      </c>
      <c r="I431" s="53">
        <v>1</v>
      </c>
      <c r="J431" s="59">
        <f>_xlfn.IFNA(INDEX(DetailByDistrict[],MATCH($H431,DetailByDistrict[Dist],0),MATCH(J$2,DetailByDistrict[#Headers],0)),0)</f>
        <v>185</v>
      </c>
      <c r="K431" s="54">
        <f t="shared" si="6"/>
        <v>5.4054054054054057E-3</v>
      </c>
      <c r="L431" s="59">
        <f>ROUND(INDEX(DetailByDistrict[],MATCH($H431,DetailByDistrict[Dist],0),MATCH(L$2,DetailByDistrict[#Headers],0))*K431,2)</f>
        <v>64.8</v>
      </c>
      <c r="M431" s="59">
        <f>ROUND(INDEX(DetailByDistrict[],MATCH($H431,DetailByDistrict[Dist],0),MATCH(M$2,DetailByDistrict[#Headers],0))*K431,2)</f>
        <v>70.86</v>
      </c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spans="1:26" ht="15.75" customHeight="1" x14ac:dyDescent="0.25">
      <c r="A432" s="57" t="s">
        <v>118</v>
      </c>
      <c r="B432" s="54" t="s">
        <v>1069</v>
      </c>
      <c r="C432" s="54" t="s">
        <v>869</v>
      </c>
      <c r="D432" s="53">
        <v>3141</v>
      </c>
      <c r="E432" s="53">
        <v>8103</v>
      </c>
      <c r="F432" s="54" t="s">
        <v>1088</v>
      </c>
      <c r="G432" s="53" t="s">
        <v>138</v>
      </c>
      <c r="H432" s="58" t="str">
        <f>_xlfn.IFNA(INDEX(ActiveSchools!$C$2:$F$326,MATCH(G432,ActiveSchools!$F$2:$F$326,0),1),"Total")</f>
        <v>6975</v>
      </c>
      <c r="I432" s="53">
        <v>2</v>
      </c>
      <c r="J432" s="59">
        <f>_xlfn.IFNA(INDEX(DetailByDistrict[],MATCH($H432,DetailByDistrict[Dist],0),MATCH(J$2,DetailByDistrict[#Headers],0)),0)</f>
        <v>8</v>
      </c>
      <c r="K432" s="54">
        <f t="shared" si="6"/>
        <v>0.25</v>
      </c>
      <c r="L432" s="59">
        <f>ROUND(INDEX(DetailByDistrict[],MATCH($H432,DetailByDistrict[Dist],0),MATCH(L$2,DetailByDistrict[#Headers],0))*K432,2)</f>
        <v>129.5</v>
      </c>
      <c r="M432" s="59">
        <f>ROUND(INDEX(DetailByDistrict[],MATCH($H432,DetailByDistrict[Dist],0),MATCH(M$2,DetailByDistrict[#Headers],0))*K432,2)</f>
        <v>141.75</v>
      </c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spans="1:26" ht="15.75" customHeight="1" x14ac:dyDescent="0.25">
      <c r="A433" s="57" t="s">
        <v>118</v>
      </c>
      <c r="B433" s="54" t="s">
        <v>1069</v>
      </c>
      <c r="C433" s="54" t="s">
        <v>870</v>
      </c>
      <c r="D433" s="53">
        <v>3141</v>
      </c>
      <c r="E433" s="53">
        <v>8104</v>
      </c>
      <c r="F433" s="54" t="s">
        <v>1089</v>
      </c>
      <c r="G433" s="53" t="s">
        <v>127</v>
      </c>
      <c r="H433" s="58" t="str">
        <f>_xlfn.IFNA(INDEX(ActiveSchools!$C$2:$F$326,MATCH(G433,ActiveSchools!$F$2:$F$326,0),1),"Total")</f>
        <v>1368</v>
      </c>
      <c r="I433" s="53">
        <v>1</v>
      </c>
      <c r="J433" s="59">
        <f>_xlfn.IFNA(INDEX(DetailByDistrict[],MATCH($H433,DetailByDistrict[Dist],0),MATCH(J$2,DetailByDistrict[#Headers],0)),0)</f>
        <v>2</v>
      </c>
      <c r="K433" s="54">
        <f t="shared" si="6"/>
        <v>0.5</v>
      </c>
      <c r="L433" s="59">
        <f>ROUND(INDEX(DetailByDistrict[],MATCH($H433,DetailByDistrict[Dist],0),MATCH(L$2,DetailByDistrict[#Headers],0))*K433,2)</f>
        <v>65</v>
      </c>
      <c r="M433" s="59">
        <f>ROUND(INDEX(DetailByDistrict[],MATCH($H433,DetailByDistrict[Dist],0),MATCH(M$2,DetailByDistrict[#Headers],0))*K433,2)</f>
        <v>71</v>
      </c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spans="1:26" ht="15.75" customHeight="1" x14ac:dyDescent="0.25">
      <c r="A434" s="57" t="s">
        <v>118</v>
      </c>
      <c r="B434" s="54" t="s">
        <v>1069</v>
      </c>
      <c r="C434" s="54" t="s">
        <v>870</v>
      </c>
      <c r="D434" s="53">
        <v>3141</v>
      </c>
      <c r="E434" s="53">
        <v>8104</v>
      </c>
      <c r="F434" s="54" t="s">
        <v>1079</v>
      </c>
      <c r="G434" s="53" t="s">
        <v>134</v>
      </c>
      <c r="H434" s="58" t="str">
        <f>_xlfn.IFNA(INDEX(ActiveSchools!$C$2:$F$326,MATCH(G434,ActiveSchools!$F$2:$F$326,0),1),"Total")</f>
        <v>4581</v>
      </c>
      <c r="I434" s="53">
        <v>1</v>
      </c>
      <c r="J434" s="59">
        <f>_xlfn.IFNA(INDEX(DetailByDistrict[],MATCH($H434,DetailByDistrict[Dist],0),MATCH(J$2,DetailByDistrict[#Headers],0)),0)</f>
        <v>262</v>
      </c>
      <c r="K434" s="54">
        <f t="shared" si="6"/>
        <v>3.8167938931297708E-3</v>
      </c>
      <c r="L434" s="59">
        <f>ROUND(INDEX(DetailByDistrict[],MATCH($H434,DetailByDistrict[Dist],0),MATCH(L$2,DetailByDistrict[#Headers],0))*K434,2)</f>
        <v>64.8</v>
      </c>
      <c r="M434" s="59">
        <f>ROUND(INDEX(DetailByDistrict[],MATCH($H434,DetailByDistrict[Dist],0),MATCH(M$2,DetailByDistrict[#Headers],0))*K434,2)</f>
        <v>70.86</v>
      </c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spans="1:26" x14ac:dyDescent="0.25">
      <c r="A435" s="57" t="s">
        <v>118</v>
      </c>
      <c r="B435" s="54" t="s">
        <v>1069</v>
      </c>
      <c r="C435" s="54" t="s">
        <v>870</v>
      </c>
      <c r="D435" s="53">
        <v>3141</v>
      </c>
      <c r="E435" s="53">
        <v>8104</v>
      </c>
      <c r="F435" s="54" t="s">
        <v>1088</v>
      </c>
      <c r="G435" s="53" t="s">
        <v>138</v>
      </c>
      <c r="H435" s="58" t="str">
        <f>_xlfn.IFNA(INDEX(ActiveSchools!$C$2:$F$326,MATCH(G435,ActiveSchools!$F$2:$F$326,0),1),"Total")</f>
        <v>6975</v>
      </c>
      <c r="I435" s="53">
        <v>1</v>
      </c>
      <c r="J435" s="59">
        <f>_xlfn.IFNA(INDEX(DetailByDistrict[],MATCH($H435,DetailByDistrict[Dist],0),MATCH(J$2,DetailByDistrict[#Headers],0)),0)</f>
        <v>8</v>
      </c>
      <c r="K435" s="54">
        <f t="shared" si="6"/>
        <v>0.125</v>
      </c>
      <c r="L435" s="59">
        <f>ROUND(INDEX(DetailByDistrict[],MATCH($H435,DetailByDistrict[Dist],0),MATCH(L$2,DetailByDistrict[#Headers],0))*K435,2)</f>
        <v>64.75</v>
      </c>
      <c r="M435" s="59">
        <f>ROUND(INDEX(DetailByDistrict[],MATCH($H435,DetailByDistrict[Dist],0),MATCH(M$2,DetailByDistrict[#Headers],0))*K435,2)</f>
        <v>70.88</v>
      </c>
    </row>
    <row r="436" spans="1:26" x14ac:dyDescent="0.25">
      <c r="A436" s="57" t="s">
        <v>118</v>
      </c>
      <c r="B436" s="54" t="s">
        <v>1069</v>
      </c>
      <c r="C436" s="54" t="s">
        <v>872</v>
      </c>
      <c r="D436" s="53">
        <v>3141</v>
      </c>
      <c r="E436" s="53">
        <v>8108</v>
      </c>
      <c r="F436" s="54" t="s">
        <v>1089</v>
      </c>
      <c r="G436" s="53" t="s">
        <v>127</v>
      </c>
      <c r="H436" s="58" t="str">
        <f>_xlfn.IFNA(INDEX(ActiveSchools!$C$2:$F$326,MATCH(G436,ActiveSchools!$F$2:$F$326,0),1),"Total")</f>
        <v>1368</v>
      </c>
      <c r="I436" s="53">
        <v>1</v>
      </c>
      <c r="J436" s="59">
        <f>_xlfn.IFNA(INDEX(DetailByDistrict[],MATCH($H436,DetailByDistrict[Dist],0),MATCH(J$2,DetailByDistrict[#Headers],0)),0)</f>
        <v>2</v>
      </c>
      <c r="K436" s="54">
        <f t="shared" si="6"/>
        <v>0.5</v>
      </c>
      <c r="L436" s="59">
        <f>ROUND(INDEX(DetailByDistrict[],MATCH($H436,DetailByDistrict[Dist],0),MATCH(L$2,DetailByDistrict[#Headers],0))*K436,2)</f>
        <v>65</v>
      </c>
      <c r="M436" s="59">
        <f>ROUND(INDEX(DetailByDistrict[],MATCH($H436,DetailByDistrict[Dist],0),MATCH(M$2,DetailByDistrict[#Headers],0))*K436,2)</f>
        <v>71</v>
      </c>
    </row>
    <row r="437" spans="1:26" x14ac:dyDescent="0.25">
      <c r="A437" s="57" t="s">
        <v>118</v>
      </c>
      <c r="B437" s="54" t="s">
        <v>1069</v>
      </c>
      <c r="C437" s="54" t="s">
        <v>872</v>
      </c>
      <c r="D437" s="53">
        <v>3141</v>
      </c>
      <c r="E437" s="53">
        <v>8108</v>
      </c>
      <c r="F437" s="54" t="s">
        <v>1078</v>
      </c>
      <c r="G437" s="53" t="s">
        <v>130</v>
      </c>
      <c r="H437" s="58" t="str">
        <f>_xlfn.IFNA(INDEX(ActiveSchools!$C$2:$F$326,MATCH(G437,ActiveSchools!$F$2:$F$326,0),1),"Total")</f>
        <v>1926</v>
      </c>
      <c r="I437" s="53">
        <v>1</v>
      </c>
      <c r="J437" s="59">
        <f>_xlfn.IFNA(INDEX(DetailByDistrict[],MATCH($H437,DetailByDistrict[Dist],0),MATCH(J$2,DetailByDistrict[#Headers],0)),0)</f>
        <v>5</v>
      </c>
      <c r="K437" s="54">
        <f t="shared" si="6"/>
        <v>0.2</v>
      </c>
      <c r="L437" s="59">
        <f>ROUND(INDEX(DetailByDistrict[],MATCH($H437,DetailByDistrict[Dist],0),MATCH(L$2,DetailByDistrict[#Headers],0))*K437,2)</f>
        <v>64.8</v>
      </c>
      <c r="M437" s="59">
        <f>ROUND(INDEX(DetailByDistrict[],MATCH($H437,DetailByDistrict[Dist],0),MATCH(M$2,DetailByDistrict[#Headers],0))*K437,2)</f>
        <v>70.8</v>
      </c>
    </row>
    <row r="438" spans="1:26" ht="15.75" customHeight="1" x14ac:dyDescent="0.25">
      <c r="A438" s="57" t="s">
        <v>118</v>
      </c>
      <c r="B438" s="54" t="s">
        <v>1069</v>
      </c>
      <c r="C438" s="54" t="s">
        <v>872</v>
      </c>
      <c r="D438" s="53">
        <v>3141</v>
      </c>
      <c r="E438" s="53">
        <v>8108</v>
      </c>
      <c r="F438" s="54" t="s">
        <v>1088</v>
      </c>
      <c r="G438" s="53" t="s">
        <v>138</v>
      </c>
      <c r="H438" s="58" t="str">
        <f>_xlfn.IFNA(INDEX(ActiveSchools!$C$2:$F$326,MATCH(G438,ActiveSchools!$F$2:$F$326,0),1),"Total")</f>
        <v>6975</v>
      </c>
      <c r="I438" s="53">
        <v>4</v>
      </c>
      <c r="J438" s="59">
        <f>_xlfn.IFNA(INDEX(DetailByDistrict[],MATCH($H438,DetailByDistrict[Dist],0),MATCH(J$2,DetailByDistrict[#Headers],0)),0)</f>
        <v>8</v>
      </c>
      <c r="K438" s="54">
        <f t="shared" si="6"/>
        <v>0.5</v>
      </c>
      <c r="L438" s="59">
        <f>ROUND(INDEX(DetailByDistrict[],MATCH($H438,DetailByDistrict[Dist],0),MATCH(L$2,DetailByDistrict[#Headers],0))*K438,2)</f>
        <v>259</v>
      </c>
      <c r="M438" s="59">
        <f>ROUND(INDEX(DetailByDistrict[],MATCH($H438,DetailByDistrict[Dist],0),MATCH(M$2,DetailByDistrict[#Headers],0))*K438,2)</f>
        <v>283.5</v>
      </c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spans="1:26" ht="15.75" customHeight="1" x14ac:dyDescent="0.25">
      <c r="A439" s="57" t="s">
        <v>118</v>
      </c>
      <c r="B439" s="54" t="s">
        <v>1069</v>
      </c>
      <c r="C439" s="54" t="s">
        <v>783</v>
      </c>
      <c r="D439" s="53">
        <v>4041</v>
      </c>
      <c r="E439" s="53">
        <v>8108</v>
      </c>
      <c r="F439" s="54" t="s">
        <v>1070</v>
      </c>
      <c r="G439" s="57" t="s">
        <v>119</v>
      </c>
      <c r="H439" s="58" t="str">
        <f>_xlfn.IFNA(INDEX(ActiveSchools!$C$2:$F$326,MATCH(G439,ActiveSchools!$F$2:$F$326,0),1),"Total")</f>
        <v>0243</v>
      </c>
      <c r="I439" s="53">
        <v>5</v>
      </c>
      <c r="J439" s="59">
        <f>_xlfn.IFNA(INDEX(DetailByDistrict[],MATCH($H439,DetailByDistrict[Dist],0),MATCH(J$2,DetailByDistrict[#Headers],0)),0)</f>
        <v>29</v>
      </c>
      <c r="K439" s="54">
        <f t="shared" si="6"/>
        <v>0.17241379310344829</v>
      </c>
      <c r="L439" s="59">
        <f>ROUND(INDEX(DetailByDistrict[],MATCH($H439,DetailByDistrict[Dist],0),MATCH(L$2,DetailByDistrict[#Headers],0))*K439,2)</f>
        <v>323.97000000000003</v>
      </c>
      <c r="M439" s="59">
        <f>ROUND(INDEX(DetailByDistrict[],MATCH($H439,DetailByDistrict[Dist],0),MATCH(M$2,DetailByDistrict[#Headers],0))*K439,2)</f>
        <v>354.31</v>
      </c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spans="1:26" ht="15.75" customHeight="1" x14ac:dyDescent="0.25">
      <c r="A440" s="57" t="s">
        <v>118</v>
      </c>
      <c r="B440" s="54" t="s">
        <v>1069</v>
      </c>
      <c r="C440" s="54" t="s">
        <v>783</v>
      </c>
      <c r="D440" s="53">
        <v>4041</v>
      </c>
      <c r="E440" s="53">
        <v>8108</v>
      </c>
      <c r="F440" s="54" t="s">
        <v>1073</v>
      </c>
      <c r="G440" s="53" t="s">
        <v>133</v>
      </c>
      <c r="H440" s="58" t="str">
        <f>_xlfn.IFNA(INDEX(ActiveSchools!$C$2:$F$326,MATCH(G440,ActiveSchools!$F$2:$F$326,0),1),"Total")</f>
        <v>4041</v>
      </c>
      <c r="I440" s="53">
        <v>118</v>
      </c>
      <c r="J440" s="59">
        <f>_xlfn.IFNA(INDEX(DetailByDistrict[],MATCH($H440,DetailByDistrict[Dist],0),MATCH(J$2,DetailByDistrict[#Headers],0)),0)</f>
        <v>144</v>
      </c>
      <c r="K440" s="54">
        <f t="shared" si="6"/>
        <v>0.81944444444444442</v>
      </c>
      <c r="L440" s="59">
        <f>ROUND(INDEX(DetailByDistrict[],MATCH($H440,DetailByDistrict[Dist],0),MATCH(L$2,DetailByDistrict[#Headers],0))*K440,2)</f>
        <v>7646.24</v>
      </c>
      <c r="M440" s="59">
        <f>ROUND(INDEX(DetailByDistrict[],MATCH($H440,DetailByDistrict[Dist],0),MATCH(M$2,DetailByDistrict[#Headers],0))*K440,2)</f>
        <v>8361.61</v>
      </c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spans="1:26" ht="15.75" customHeight="1" x14ac:dyDescent="0.25">
      <c r="A441" s="57" t="s">
        <v>118</v>
      </c>
      <c r="B441" s="54" t="s">
        <v>1069</v>
      </c>
      <c r="C441" s="54" t="s">
        <v>896</v>
      </c>
      <c r="D441" s="53">
        <v>4271</v>
      </c>
      <c r="E441" s="53">
        <v>8506</v>
      </c>
      <c r="F441" s="54" t="s">
        <v>1088</v>
      </c>
      <c r="G441" s="53" t="s">
        <v>138</v>
      </c>
      <c r="H441" s="58" t="str">
        <f>_xlfn.IFNA(INDEX(ActiveSchools!$C$2:$F$326,MATCH(G441,ActiveSchools!$F$2:$F$326,0),1),"Total")</f>
        <v>6975</v>
      </c>
      <c r="I441" s="53">
        <v>1</v>
      </c>
      <c r="J441" s="59">
        <f>_xlfn.IFNA(INDEX(DetailByDistrict[],MATCH($H441,DetailByDistrict[Dist],0),MATCH(J$2,DetailByDistrict[#Headers],0)),0)</f>
        <v>8</v>
      </c>
      <c r="K441" s="54">
        <f t="shared" si="6"/>
        <v>0.125</v>
      </c>
      <c r="L441" s="59">
        <f>ROUND(INDEX(DetailByDistrict[],MATCH($H441,DetailByDistrict[Dist],0),MATCH(L$2,DetailByDistrict[#Headers],0))*K441,2)</f>
        <v>64.75</v>
      </c>
      <c r="M441" s="59">
        <f>ROUND(INDEX(DetailByDistrict[],MATCH($H441,DetailByDistrict[Dist],0),MATCH(M$2,DetailByDistrict[#Headers],0))*K441,2)</f>
        <v>70.88</v>
      </c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spans="1:26" ht="15.75" customHeight="1" x14ac:dyDescent="0.25">
      <c r="A442" s="57" t="s">
        <v>118</v>
      </c>
      <c r="B442" s="54" t="s">
        <v>1069</v>
      </c>
      <c r="C442" s="54" t="s">
        <v>898</v>
      </c>
      <c r="D442" s="53">
        <v>4581</v>
      </c>
      <c r="E442" s="53">
        <v>8103</v>
      </c>
      <c r="F442" s="54" t="s">
        <v>1077</v>
      </c>
      <c r="G442" s="53" t="s">
        <v>128</v>
      </c>
      <c r="H442" s="58" t="str">
        <f>_xlfn.IFNA(INDEX(ActiveSchools!$C$2:$F$326,MATCH(G442,ActiveSchools!$F$2:$F$326,0),1),"Total")</f>
        <v>1611</v>
      </c>
      <c r="I442" s="53">
        <v>1</v>
      </c>
      <c r="J442" s="59">
        <f>_xlfn.IFNA(INDEX(DetailByDistrict[],MATCH($H442,DetailByDistrict[Dist],0),MATCH(J$2,DetailByDistrict[#Headers],0)),0)</f>
        <v>2041</v>
      </c>
      <c r="K442" s="54">
        <f t="shared" si="6"/>
        <v>4.8995590396864281E-4</v>
      </c>
      <c r="L442" s="59">
        <f>ROUND(INDEX(DetailByDistrict[],MATCH($H442,DetailByDistrict[Dist],0),MATCH(L$2,DetailByDistrict[#Headers],0))*K442,2)</f>
        <v>64.8</v>
      </c>
      <c r="M442" s="59">
        <f>ROUND(INDEX(DetailByDistrict[],MATCH($H442,DetailByDistrict[Dist],0),MATCH(M$2,DetailByDistrict[#Headers],0))*K442,2)</f>
        <v>70.86</v>
      </c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spans="1:26" ht="15.75" customHeight="1" x14ac:dyDescent="0.25">
      <c r="A443" s="57" t="s">
        <v>118</v>
      </c>
      <c r="B443" s="54" t="s">
        <v>1069</v>
      </c>
      <c r="C443" s="54" t="s">
        <v>898</v>
      </c>
      <c r="D443" s="53">
        <v>4581</v>
      </c>
      <c r="E443" s="53">
        <v>8103</v>
      </c>
      <c r="F443" s="54" t="s">
        <v>1083</v>
      </c>
      <c r="G443" s="53" t="s">
        <v>132</v>
      </c>
      <c r="H443" s="58" t="str">
        <f>_xlfn.IFNA(INDEX(ActiveSchools!$C$2:$F$326,MATCH(G443,ActiveSchools!$F$2:$F$326,0),1),"Total")</f>
        <v>3841</v>
      </c>
      <c r="I443" s="53">
        <v>2</v>
      </c>
      <c r="J443" s="59">
        <f>_xlfn.IFNA(INDEX(DetailByDistrict[],MATCH($H443,DetailByDistrict[Dist],0),MATCH(J$2,DetailByDistrict[#Headers],0)),0)</f>
        <v>3</v>
      </c>
      <c r="K443" s="54">
        <f t="shared" si="6"/>
        <v>0.66666666666666663</v>
      </c>
      <c r="L443" s="59">
        <f>ROUND(INDEX(DetailByDistrict[],MATCH($H443,DetailByDistrict[Dist],0),MATCH(L$2,DetailByDistrict[#Headers],0))*K443,2)</f>
        <v>129.33000000000001</v>
      </c>
      <c r="M443" s="59">
        <f>ROUND(INDEX(DetailByDistrict[],MATCH($H443,DetailByDistrict[Dist],0),MATCH(M$2,DetailByDistrict[#Headers],0))*K443,2)</f>
        <v>142</v>
      </c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spans="1:26" ht="15.75" customHeight="1" x14ac:dyDescent="0.25">
      <c r="A444" s="57" t="s">
        <v>118</v>
      </c>
      <c r="B444" s="54" t="s">
        <v>1069</v>
      </c>
      <c r="C444" s="54" t="s">
        <v>898</v>
      </c>
      <c r="D444" s="53">
        <v>4581</v>
      </c>
      <c r="E444" s="53">
        <v>8103</v>
      </c>
      <c r="F444" s="54" t="s">
        <v>1079</v>
      </c>
      <c r="G444" s="53" t="s">
        <v>134</v>
      </c>
      <c r="H444" s="58" t="str">
        <f>_xlfn.IFNA(INDEX(ActiveSchools!$C$2:$F$326,MATCH(G444,ActiveSchools!$F$2:$F$326,0),1),"Total")</f>
        <v>4581</v>
      </c>
      <c r="I444" s="53">
        <v>220</v>
      </c>
      <c r="J444" s="59">
        <f>_xlfn.IFNA(INDEX(DetailByDistrict[],MATCH($H444,DetailByDistrict[Dist],0),MATCH(J$2,DetailByDistrict[#Headers],0)),0)</f>
        <v>262</v>
      </c>
      <c r="K444" s="54">
        <f t="shared" si="6"/>
        <v>0.83969465648854957</v>
      </c>
      <c r="L444" s="59">
        <f>ROUND(INDEX(DetailByDistrict[],MATCH($H444,DetailByDistrict[Dist],0),MATCH(L$2,DetailByDistrict[#Headers],0))*K444,2)</f>
        <v>14256.34</v>
      </c>
      <c r="M444" s="59">
        <f>ROUND(INDEX(DetailByDistrict[],MATCH($H444,DetailByDistrict[Dist],0),MATCH(M$2,DetailByDistrict[#Headers],0))*K444,2)</f>
        <v>15588.93</v>
      </c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spans="1:26" ht="15.75" customHeight="1" x14ac:dyDescent="0.25">
      <c r="A445" s="57" t="s">
        <v>118</v>
      </c>
      <c r="B445" s="54" t="s">
        <v>1069</v>
      </c>
      <c r="C445" s="66" t="s">
        <v>899</v>
      </c>
      <c r="D445" s="53">
        <v>4581</v>
      </c>
      <c r="E445" s="53">
        <v>8165</v>
      </c>
      <c r="F445" s="67" t="s">
        <v>1079</v>
      </c>
      <c r="G445" s="53" t="s">
        <v>134</v>
      </c>
      <c r="H445" s="58" t="str">
        <f>_xlfn.IFNA(INDEX(ActiveSchools!$C$2:$F$326,MATCH(G445,ActiveSchools!$F$2:$F$326,0),1),"Total")</f>
        <v>4581</v>
      </c>
      <c r="I445" s="68">
        <v>38</v>
      </c>
      <c r="J445" s="59">
        <f>_xlfn.IFNA(INDEX(DetailByDistrict[],MATCH($H445,DetailByDistrict[Dist],0),MATCH(J$2,DetailByDistrict[#Headers],0)),0)</f>
        <v>262</v>
      </c>
      <c r="K445" s="54">
        <f t="shared" si="6"/>
        <v>0.14503816793893129</v>
      </c>
      <c r="L445" s="59">
        <f>ROUND(INDEX(DetailByDistrict[],MATCH($H445,DetailByDistrict[Dist],0),MATCH(L$2,DetailByDistrict[#Headers],0))*K445,2)</f>
        <v>2462.46</v>
      </c>
      <c r="M445" s="59">
        <f>ROUND(INDEX(DetailByDistrict[],MATCH($H445,DetailByDistrict[Dist],0),MATCH(M$2,DetailByDistrict[#Headers],0))*K445,2)</f>
        <v>2692.63</v>
      </c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spans="1:26" ht="15.75" customHeight="1" x14ac:dyDescent="0.25">
      <c r="A446" s="57" t="s">
        <v>118</v>
      </c>
      <c r="B446" s="54" t="s">
        <v>1069</v>
      </c>
      <c r="C446" s="66" t="s">
        <v>949</v>
      </c>
      <c r="D446" s="53">
        <v>6930</v>
      </c>
      <c r="E446" s="53">
        <v>8503</v>
      </c>
      <c r="F446" s="67" t="s">
        <v>1077</v>
      </c>
      <c r="G446" s="53" t="s">
        <v>128</v>
      </c>
      <c r="H446" s="58" t="str">
        <f>_xlfn.IFNA(INDEX(ActiveSchools!$C$2:$F$326,MATCH(G446,ActiveSchools!$F$2:$F$326,0),1),"Total")</f>
        <v>1611</v>
      </c>
      <c r="I446" s="68">
        <v>1</v>
      </c>
      <c r="J446" s="59">
        <f>_xlfn.IFNA(INDEX(DetailByDistrict[],MATCH($H446,DetailByDistrict[Dist],0),MATCH(J$2,DetailByDistrict[#Headers],0)),0)</f>
        <v>2041</v>
      </c>
      <c r="K446" s="54">
        <f t="shared" si="6"/>
        <v>4.8995590396864281E-4</v>
      </c>
      <c r="L446" s="59">
        <f>ROUND(INDEX(DetailByDistrict[],MATCH($H446,DetailByDistrict[Dist],0),MATCH(L$2,DetailByDistrict[#Headers],0))*K446,2)</f>
        <v>64.8</v>
      </c>
      <c r="M446" s="59">
        <f>ROUND(INDEX(DetailByDistrict[],MATCH($H446,DetailByDistrict[Dist],0),MATCH(M$2,DetailByDistrict[#Headers],0))*K446,2)</f>
        <v>70.86</v>
      </c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spans="1:26" ht="15.75" customHeight="1" x14ac:dyDescent="0.25">
      <c r="A447" s="57" t="s">
        <v>118</v>
      </c>
      <c r="B447" s="54" t="s">
        <v>1069</v>
      </c>
      <c r="C447" s="66" t="s">
        <v>956</v>
      </c>
      <c r="D447" s="53">
        <v>6961</v>
      </c>
      <c r="E447" s="53">
        <v>8150</v>
      </c>
      <c r="F447" s="67" t="s">
        <v>1073</v>
      </c>
      <c r="G447" s="53" t="s">
        <v>133</v>
      </c>
      <c r="H447" s="58" t="str">
        <f>_xlfn.IFNA(INDEX(ActiveSchools!$C$2:$F$326,MATCH(G447,ActiveSchools!$F$2:$F$326,0),1),"Total")</f>
        <v>4041</v>
      </c>
      <c r="I447" s="68">
        <v>2</v>
      </c>
      <c r="J447" s="59">
        <f>_xlfn.IFNA(INDEX(DetailByDistrict[],MATCH($H447,DetailByDistrict[Dist],0),MATCH(J$2,DetailByDistrict[#Headers],0)),0)</f>
        <v>144</v>
      </c>
      <c r="K447" s="54">
        <f t="shared" si="6"/>
        <v>1.3888888888888888E-2</v>
      </c>
      <c r="L447" s="59">
        <f>ROUND(INDEX(DetailByDistrict[],MATCH($H447,DetailByDistrict[Dist],0),MATCH(L$2,DetailByDistrict[#Headers],0))*K447,2)</f>
        <v>129.6</v>
      </c>
      <c r="M447" s="59">
        <f>ROUND(INDEX(DetailByDistrict[],MATCH($H447,DetailByDistrict[Dist],0),MATCH(M$2,DetailByDistrict[#Headers],0))*K447,2)</f>
        <v>141.72</v>
      </c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spans="1:26" ht="15.75" customHeight="1" x14ac:dyDescent="0.25">
      <c r="A448" s="62"/>
      <c r="B448" s="64"/>
      <c r="C448" s="65"/>
      <c r="D448" s="62"/>
      <c r="E448" s="62"/>
      <c r="F448" s="62" t="s">
        <v>1069</v>
      </c>
      <c r="G448" s="62" t="s">
        <v>736</v>
      </c>
      <c r="H448" s="62" t="str">
        <f>_xlfn.IFNA(INDEX(ActiveSchools!$C$2:$F$326,MATCH(G448,ActiveSchools!$F$2:$F$326,0),1),"Total")</f>
        <v>Total</v>
      </c>
      <c r="I448" s="62">
        <f>SUM(I354:I447)</f>
        <v>3794</v>
      </c>
      <c r="J448" s="62">
        <f>_xlfn.IFNA(INDEX(DetailByDistrict[],MATCH($H448,DetailByDistrict[Dist],0),MATCH(J$2,DetailByDistrict[#Headers],0)),0)</f>
        <v>0</v>
      </c>
      <c r="K448" s="62" t="e">
        <f t="shared" si="6"/>
        <v>#DIV/0!</v>
      </c>
      <c r="L448" s="63">
        <f>SUM(L354:L447)</f>
        <v>245850.99999999991</v>
      </c>
      <c r="M448" s="63">
        <f>SUM(M354:M447)</f>
        <v>268840.99999999983</v>
      </c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spans="1:26" ht="15.75" customHeight="1" x14ac:dyDescent="0.25">
      <c r="A449" s="53">
        <v>10</v>
      </c>
      <c r="B449" s="54" t="s">
        <v>1090</v>
      </c>
      <c r="C449" s="54" t="s">
        <v>771</v>
      </c>
      <c r="D449" s="57" t="s">
        <v>142</v>
      </c>
      <c r="E449" s="53">
        <v>8102</v>
      </c>
      <c r="F449" s="54" t="s">
        <v>1091</v>
      </c>
      <c r="G449" s="57" t="s">
        <v>142</v>
      </c>
      <c r="H449" s="58" t="str">
        <f>_xlfn.IFNA(INDEX(ActiveSchools!$C$2:$F$326,MATCH(G449,ActiveSchools!$F$2:$F$326,0),1),"Total")</f>
        <v>0234</v>
      </c>
      <c r="I449" s="53">
        <v>50</v>
      </c>
      <c r="J449" s="59">
        <f>_xlfn.IFNA(INDEX(DetailByDistrict[],MATCH($H449,DetailByDistrict[Dist],0),MATCH(J$2,DetailByDistrict[#Headers],0)),0)</f>
        <v>68</v>
      </c>
      <c r="K449" s="54">
        <f t="shared" si="6"/>
        <v>0.73529411764705888</v>
      </c>
      <c r="L449" s="59">
        <f>ROUND(INDEX(DetailByDistrict[],MATCH($H449,DetailByDistrict[Dist],0),MATCH(L$2,DetailByDistrict[#Headers],0))*K449,2)</f>
        <v>3249.26</v>
      </c>
      <c r="M449" s="59">
        <f>ROUND(INDEX(DetailByDistrict[],MATCH($H449,DetailByDistrict[Dist],0),MATCH(M$2,DetailByDistrict[#Headers],0))*K449,2)</f>
        <v>3572.79</v>
      </c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spans="1:26" ht="15.75" customHeight="1" x14ac:dyDescent="0.25">
      <c r="A450" s="53">
        <v>10</v>
      </c>
      <c r="B450" s="54" t="s">
        <v>1090</v>
      </c>
      <c r="C450" s="54" t="s">
        <v>771</v>
      </c>
      <c r="D450" s="57" t="s">
        <v>142</v>
      </c>
      <c r="E450" s="53">
        <v>8102</v>
      </c>
      <c r="F450" s="54" t="s">
        <v>1092</v>
      </c>
      <c r="G450" s="53" t="s">
        <v>166</v>
      </c>
      <c r="H450" s="58" t="str">
        <f>_xlfn.IFNA(INDEX(ActiveSchools!$C$2:$F$326,MATCH(G450,ActiveSchools!$F$2:$F$326,0),1),"Total")</f>
        <v>4905</v>
      </c>
      <c r="I450" s="53">
        <v>5</v>
      </c>
      <c r="J450" s="59">
        <f>_xlfn.IFNA(INDEX(DetailByDistrict[],MATCH($H450,DetailByDistrict[Dist],0),MATCH(J$2,DetailByDistrict[#Headers],0)),0)</f>
        <v>5</v>
      </c>
      <c r="K450" s="54">
        <f t="shared" si="6"/>
        <v>1</v>
      </c>
      <c r="L450" s="59">
        <f>ROUND(INDEX(DetailByDistrict[],MATCH($H450,DetailByDistrict[Dist],0),MATCH(L$2,DetailByDistrict[#Headers],0))*K450,2)</f>
        <v>325</v>
      </c>
      <c r="M450" s="59">
        <f>ROUND(INDEX(DetailByDistrict[],MATCH($H450,DetailByDistrict[Dist],0),MATCH(M$2,DetailByDistrict[#Headers],0))*K450,2)</f>
        <v>357</v>
      </c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spans="1:26" ht="15.75" customHeight="1" x14ac:dyDescent="0.25">
      <c r="A451" s="53">
        <v>10</v>
      </c>
      <c r="B451" s="54" t="s">
        <v>1090</v>
      </c>
      <c r="C451" s="54" t="s">
        <v>776</v>
      </c>
      <c r="D451" s="57" t="s">
        <v>120</v>
      </c>
      <c r="E451" s="53">
        <v>8109</v>
      </c>
      <c r="F451" s="54" t="s">
        <v>1093</v>
      </c>
      <c r="G451" s="53" t="s">
        <v>161</v>
      </c>
      <c r="H451" s="58" t="str">
        <f>_xlfn.IFNA(INDEX(ActiveSchools!$C$2:$F$326,MATCH(G451,ActiveSchools!$F$2:$F$326,0),1),"Total")</f>
        <v>4269</v>
      </c>
      <c r="I451" s="53">
        <v>1</v>
      </c>
      <c r="J451" s="59">
        <f>_xlfn.IFNA(INDEX(DetailByDistrict[],MATCH($H451,DetailByDistrict[Dist],0),MATCH(J$2,DetailByDistrict[#Headers],0)),0)</f>
        <v>4</v>
      </c>
      <c r="K451" s="54">
        <f t="shared" si="6"/>
        <v>0.25</v>
      </c>
      <c r="L451" s="59">
        <f>ROUND(INDEX(DetailByDistrict[],MATCH($H451,DetailByDistrict[Dist],0),MATCH(L$2,DetailByDistrict[#Headers],0))*K451,2)</f>
        <v>65</v>
      </c>
      <c r="M451" s="59">
        <f>ROUND(INDEX(DetailByDistrict[],MATCH($H451,DetailByDistrict[Dist],0),MATCH(M$2,DetailByDistrict[#Headers],0))*K451,2)</f>
        <v>71.5</v>
      </c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spans="1:26" ht="15.75" customHeight="1" x14ac:dyDescent="0.25">
      <c r="A452" s="53">
        <v>10</v>
      </c>
      <c r="B452" s="54" t="s">
        <v>1090</v>
      </c>
      <c r="C452" s="54" t="s">
        <v>777</v>
      </c>
      <c r="D452" s="57" t="s">
        <v>144</v>
      </c>
      <c r="E452" s="53">
        <v>8204</v>
      </c>
      <c r="F452" s="54" t="s">
        <v>1094</v>
      </c>
      <c r="G452" s="57" t="s">
        <v>143</v>
      </c>
      <c r="H452" s="58" t="str">
        <f>_xlfn.IFNA(INDEX(ActiveSchools!$C$2:$F$326,MATCH(G452,ActiveSchools!$F$2:$F$326,0),1),"Total")</f>
        <v>0576</v>
      </c>
      <c r="I452" s="53">
        <v>6</v>
      </c>
      <c r="J452" s="59">
        <f>_xlfn.IFNA(INDEX(DetailByDistrict[],MATCH($H452,DetailByDistrict[Dist],0),MATCH(J$2,DetailByDistrict[#Headers],0)),0)</f>
        <v>7</v>
      </c>
      <c r="K452" s="54">
        <f t="shared" ref="K452:K515" si="7">I452/J452</f>
        <v>0.8571428571428571</v>
      </c>
      <c r="L452" s="59">
        <f>ROUND(INDEX(DetailByDistrict[],MATCH($H452,DetailByDistrict[Dist],0),MATCH(L$2,DetailByDistrict[#Headers],0))*K452,2)</f>
        <v>390</v>
      </c>
      <c r="M452" s="59">
        <f>ROUND(INDEX(DetailByDistrict[],MATCH($H452,DetailByDistrict[Dist],0),MATCH(M$2,DetailByDistrict[#Headers],0))*K452,2)</f>
        <v>428.57</v>
      </c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spans="1:26" ht="15.75" customHeight="1" x14ac:dyDescent="0.25">
      <c r="A453" s="53">
        <v>10</v>
      </c>
      <c r="B453" s="54" t="s">
        <v>1090</v>
      </c>
      <c r="C453" s="54" t="s">
        <v>777</v>
      </c>
      <c r="D453" s="57" t="s">
        <v>144</v>
      </c>
      <c r="E453" s="53">
        <v>8204</v>
      </c>
      <c r="F453" s="54" t="s">
        <v>1095</v>
      </c>
      <c r="G453" s="57" t="s">
        <v>144</v>
      </c>
      <c r="H453" s="58" t="str">
        <f>_xlfn.IFNA(INDEX(ActiveSchools!$C$2:$F$326,MATCH(G453,ActiveSchools!$F$2:$F$326,0),1),"Total")</f>
        <v>0609</v>
      </c>
      <c r="I453" s="53">
        <v>119</v>
      </c>
      <c r="J453" s="59">
        <f>_xlfn.IFNA(INDEX(DetailByDistrict[],MATCH($H453,DetailByDistrict[Dist],0),MATCH(J$2,DetailByDistrict[#Headers],0)),0)</f>
        <v>140</v>
      </c>
      <c r="K453" s="54">
        <f t="shared" si="7"/>
        <v>0.85</v>
      </c>
      <c r="L453" s="59">
        <f>ROUND(INDEX(DetailByDistrict[],MATCH($H453,DetailByDistrict[Dist],0),MATCH(L$2,DetailByDistrict[#Headers],0))*K453,2)</f>
        <v>7732.45</v>
      </c>
      <c r="M453" s="59">
        <f>ROUND(INDEX(DetailByDistrict[],MATCH($H453,DetailByDistrict[Dist],0),MATCH(M$2,DetailByDistrict[#Headers],0))*K453,2)</f>
        <v>8503.4</v>
      </c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spans="1:26" ht="15.75" customHeight="1" x14ac:dyDescent="0.25">
      <c r="A454" s="53">
        <v>10</v>
      </c>
      <c r="B454" s="54" t="s">
        <v>1090</v>
      </c>
      <c r="C454" s="54" t="s">
        <v>777</v>
      </c>
      <c r="D454" s="57" t="s">
        <v>144</v>
      </c>
      <c r="E454" s="53">
        <v>8204</v>
      </c>
      <c r="F454" s="54" t="s">
        <v>1096</v>
      </c>
      <c r="G454" s="53" t="s">
        <v>145</v>
      </c>
      <c r="H454" s="58" t="str">
        <f>_xlfn.IFNA(INDEX(ActiveSchools!$C$2:$F$326,MATCH(G454,ActiveSchools!$F$2:$F$326,0),1),"Total")</f>
        <v>1053</v>
      </c>
      <c r="I454" s="53">
        <v>2</v>
      </c>
      <c r="J454" s="59">
        <f>_xlfn.IFNA(INDEX(DetailByDistrict[],MATCH($H454,DetailByDistrict[Dist],0),MATCH(J$2,DetailByDistrict[#Headers],0)),0)</f>
        <v>2073</v>
      </c>
      <c r="K454" s="54">
        <f t="shared" si="7"/>
        <v>9.6478533526290404E-4</v>
      </c>
      <c r="L454" s="59">
        <f>ROUND(INDEX(DetailByDistrict[],MATCH($H454,DetailByDistrict[Dist],0),MATCH(L$2,DetailByDistrict[#Headers],0))*K454,2)</f>
        <v>129.96</v>
      </c>
      <c r="M454" s="59">
        <f>ROUND(INDEX(DetailByDistrict[],MATCH($H454,DetailByDistrict[Dist],0),MATCH(M$2,DetailByDistrict[#Headers],0))*K454,2)</f>
        <v>142.91999999999999</v>
      </c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spans="1:26" ht="15.75" customHeight="1" x14ac:dyDescent="0.25">
      <c r="A455" s="53">
        <v>10</v>
      </c>
      <c r="B455" s="54" t="s">
        <v>1090</v>
      </c>
      <c r="C455" s="54" t="s">
        <v>777</v>
      </c>
      <c r="D455" s="57" t="s">
        <v>144</v>
      </c>
      <c r="E455" s="53">
        <v>8204</v>
      </c>
      <c r="F455" s="54" t="s">
        <v>1097</v>
      </c>
      <c r="G455" s="53" t="s">
        <v>155</v>
      </c>
      <c r="H455" s="58" t="str">
        <f>_xlfn.IFNA(INDEX(ActiveSchools!$C$2:$F$326,MATCH(G455,ActiveSchools!$F$2:$F$326,0),1),"Total")</f>
        <v>3154</v>
      </c>
      <c r="I455" s="53">
        <v>1</v>
      </c>
      <c r="J455" s="59">
        <f>_xlfn.IFNA(INDEX(DetailByDistrict[],MATCH($H455,DetailByDistrict[Dist],0),MATCH(J$2,DetailByDistrict[#Headers],0)),0)</f>
        <v>2</v>
      </c>
      <c r="K455" s="54">
        <f t="shared" si="7"/>
        <v>0.5</v>
      </c>
      <c r="L455" s="59">
        <f>ROUND(INDEX(DetailByDistrict[],MATCH($H455,DetailByDistrict[Dist],0),MATCH(L$2,DetailByDistrict[#Headers],0))*K455,2)</f>
        <v>65</v>
      </c>
      <c r="M455" s="59">
        <f>ROUND(INDEX(DetailByDistrict[],MATCH($H455,DetailByDistrict[Dist],0),MATCH(M$2,DetailByDistrict[#Headers],0))*K455,2)</f>
        <v>71.5</v>
      </c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spans="1:26" ht="15.75" customHeight="1" x14ac:dyDescent="0.25">
      <c r="A456" s="53">
        <v>10</v>
      </c>
      <c r="B456" s="54" t="s">
        <v>1090</v>
      </c>
      <c r="C456" s="54" t="s">
        <v>777</v>
      </c>
      <c r="D456" s="57" t="s">
        <v>144</v>
      </c>
      <c r="E456" s="53">
        <v>8204</v>
      </c>
      <c r="F456" s="54" t="s">
        <v>1098</v>
      </c>
      <c r="G456" s="53" t="s">
        <v>156</v>
      </c>
      <c r="H456" s="58" t="str">
        <f>_xlfn.IFNA(INDEX(ActiveSchools!$C$2:$F$326,MATCH(G456,ActiveSchools!$F$2:$F$326,0),1),"Total")</f>
        <v>3715</v>
      </c>
      <c r="I456" s="53">
        <v>2</v>
      </c>
      <c r="J456" s="59">
        <f>_xlfn.IFNA(INDEX(DetailByDistrict[],MATCH($H456,DetailByDistrict[Dist],0),MATCH(J$2,DetailByDistrict[#Headers],0)),0)</f>
        <v>676</v>
      </c>
      <c r="K456" s="54">
        <f t="shared" si="7"/>
        <v>2.9585798816568047E-3</v>
      </c>
      <c r="L456" s="59">
        <f>ROUND(INDEX(DetailByDistrict[],MATCH($H456,DetailByDistrict[Dist],0),MATCH(L$2,DetailByDistrict[#Headers],0))*K456,2)</f>
        <v>129.96</v>
      </c>
      <c r="M456" s="59">
        <f>ROUND(INDEX(DetailByDistrict[],MATCH($H456,DetailByDistrict[Dist],0),MATCH(M$2,DetailByDistrict[#Headers],0))*K456,2)</f>
        <v>142.91999999999999</v>
      </c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spans="1:26" ht="15.75" customHeight="1" x14ac:dyDescent="0.25">
      <c r="A457" s="53">
        <v>10</v>
      </c>
      <c r="B457" s="54" t="s">
        <v>1090</v>
      </c>
      <c r="C457" s="54" t="s">
        <v>777</v>
      </c>
      <c r="D457" s="57" t="s">
        <v>144</v>
      </c>
      <c r="E457" s="53">
        <v>8204</v>
      </c>
      <c r="F457" s="54" t="s">
        <v>1099</v>
      </c>
      <c r="G457" s="53" t="s">
        <v>170</v>
      </c>
      <c r="H457" s="58" t="str">
        <f>_xlfn.IFNA(INDEX(ActiveSchools!$C$2:$F$326,MATCH(G457,ActiveSchools!$F$2:$F$326,0),1),"Total")</f>
        <v>6660</v>
      </c>
      <c r="I457" s="53">
        <v>8</v>
      </c>
      <c r="J457" s="59">
        <f>_xlfn.IFNA(INDEX(DetailByDistrict[],MATCH($H457,DetailByDistrict[Dist],0),MATCH(J$2,DetailByDistrict[#Headers],0)),0)</f>
        <v>12</v>
      </c>
      <c r="K457" s="54">
        <f t="shared" si="7"/>
        <v>0.66666666666666663</v>
      </c>
      <c r="L457" s="59">
        <f>ROUND(INDEX(DetailByDistrict[],MATCH($H457,DetailByDistrict[Dist],0),MATCH(L$2,DetailByDistrict[#Headers],0))*K457,2)</f>
        <v>520</v>
      </c>
      <c r="M457" s="59">
        <f>ROUND(INDEX(DetailByDistrict[],MATCH($H457,DetailByDistrict[Dist],0),MATCH(M$2,DetailByDistrict[#Headers],0))*K457,2)</f>
        <v>572</v>
      </c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spans="1:26" ht="15.75" customHeight="1" x14ac:dyDescent="0.25">
      <c r="A458" s="53">
        <v>10</v>
      </c>
      <c r="B458" s="54" t="s">
        <v>1090</v>
      </c>
      <c r="C458" s="54" t="s">
        <v>796</v>
      </c>
      <c r="D458" s="53">
        <v>1053</v>
      </c>
      <c r="E458" s="53">
        <v>8101</v>
      </c>
      <c r="F458" s="54" t="s">
        <v>1096</v>
      </c>
      <c r="G458" s="53" t="s">
        <v>145</v>
      </c>
      <c r="H458" s="58" t="str">
        <f>_xlfn.IFNA(INDEX(ActiveSchools!$C$2:$F$326,MATCH(G458,ActiveSchools!$F$2:$F$326,0),1),"Total")</f>
        <v>1053</v>
      </c>
      <c r="I458" s="53">
        <v>93</v>
      </c>
      <c r="J458" s="59">
        <f>_xlfn.IFNA(INDEX(DetailByDistrict[],MATCH($H458,DetailByDistrict[Dist],0),MATCH(J$2,DetailByDistrict[#Headers],0)),0)</f>
        <v>2073</v>
      </c>
      <c r="K458" s="54">
        <f t="shared" si="7"/>
        <v>4.4862518089725037E-2</v>
      </c>
      <c r="L458" s="59">
        <f>ROUND(INDEX(DetailByDistrict[],MATCH($H458,DetailByDistrict[Dist],0),MATCH(L$2,DetailByDistrict[#Headers],0))*K458,2)</f>
        <v>6043.16</v>
      </c>
      <c r="M458" s="59">
        <f>ROUND(INDEX(DetailByDistrict[],MATCH($H458,DetailByDistrict[Dist],0),MATCH(M$2,DetailByDistrict[#Headers],0))*K458,2)</f>
        <v>6645.8</v>
      </c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spans="1:26" ht="15.75" customHeight="1" x14ac:dyDescent="0.25">
      <c r="A459" s="53">
        <v>10</v>
      </c>
      <c r="B459" s="54" t="s">
        <v>1090</v>
      </c>
      <c r="C459" s="54" t="s">
        <v>796</v>
      </c>
      <c r="D459" s="53">
        <v>1053</v>
      </c>
      <c r="E459" s="53">
        <v>8101</v>
      </c>
      <c r="F459" s="54" t="s">
        <v>1100</v>
      </c>
      <c r="G459" s="53" t="s">
        <v>149</v>
      </c>
      <c r="H459" s="58" t="str">
        <f>_xlfn.IFNA(INDEX(ActiveSchools!$C$2:$F$326,MATCH(G459,ActiveSchools!$F$2:$F$326,0),1),"Total")</f>
        <v>1337</v>
      </c>
      <c r="I459" s="53">
        <v>4</v>
      </c>
      <c r="J459" s="59">
        <f>_xlfn.IFNA(INDEX(DetailByDistrict[],MATCH($H459,DetailByDistrict[Dist],0),MATCH(J$2,DetailByDistrict[#Headers],0)),0)</f>
        <v>168</v>
      </c>
      <c r="K459" s="54">
        <f t="shared" si="7"/>
        <v>2.3809523809523808E-2</v>
      </c>
      <c r="L459" s="59">
        <f>ROUND(INDEX(DetailByDistrict[],MATCH($H459,DetailByDistrict[Dist],0),MATCH(L$2,DetailByDistrict[#Headers],0))*K459,2)</f>
        <v>259.93</v>
      </c>
      <c r="M459" s="59">
        <f>ROUND(INDEX(DetailByDistrict[],MATCH($H459,DetailByDistrict[Dist],0),MATCH(M$2,DetailByDistrict[#Headers],0))*K459,2)</f>
        <v>285.83</v>
      </c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spans="1:26" ht="15.75" customHeight="1" x14ac:dyDescent="0.25">
      <c r="A460" s="53">
        <v>10</v>
      </c>
      <c r="B460" s="54" t="s">
        <v>1090</v>
      </c>
      <c r="C460" s="54" t="s">
        <v>796</v>
      </c>
      <c r="D460" s="53">
        <v>1053</v>
      </c>
      <c r="E460" s="53">
        <v>8101</v>
      </c>
      <c r="F460" s="54" t="s">
        <v>1098</v>
      </c>
      <c r="G460" s="53" t="s">
        <v>156</v>
      </c>
      <c r="H460" s="58" t="str">
        <f>_xlfn.IFNA(INDEX(ActiveSchools!$C$2:$F$326,MATCH(G460,ActiveSchools!$F$2:$F$326,0),1),"Total")</f>
        <v>3715</v>
      </c>
      <c r="I460" s="53">
        <v>9</v>
      </c>
      <c r="J460" s="59">
        <f>_xlfn.IFNA(INDEX(DetailByDistrict[],MATCH($H460,DetailByDistrict[Dist],0),MATCH(J$2,DetailByDistrict[#Headers],0)),0)</f>
        <v>676</v>
      </c>
      <c r="K460" s="54">
        <f t="shared" si="7"/>
        <v>1.3313609467455622E-2</v>
      </c>
      <c r="L460" s="59">
        <f>ROUND(INDEX(DetailByDistrict[],MATCH($H460,DetailByDistrict[Dist],0),MATCH(L$2,DetailByDistrict[#Headers],0))*K460,2)</f>
        <v>584.80999999999995</v>
      </c>
      <c r="M460" s="59">
        <f>ROUND(INDEX(DetailByDistrict[],MATCH($H460,DetailByDistrict[Dist],0),MATCH(M$2,DetailByDistrict[#Headers],0))*K460,2)</f>
        <v>643.14</v>
      </c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spans="1:26" ht="15.75" customHeight="1" x14ac:dyDescent="0.25">
      <c r="A461" s="53">
        <v>10</v>
      </c>
      <c r="B461" s="54" t="s">
        <v>1090</v>
      </c>
      <c r="C461" s="54" t="s">
        <v>796</v>
      </c>
      <c r="D461" s="53">
        <v>1053</v>
      </c>
      <c r="E461" s="53">
        <v>8101</v>
      </c>
      <c r="F461" s="54" t="s">
        <v>1101</v>
      </c>
      <c r="G461" s="53" t="s">
        <v>157</v>
      </c>
      <c r="H461" s="58" t="str">
        <f>_xlfn.IFNA(INDEX(ActiveSchools!$C$2:$F$326,MATCH(G461,ActiveSchools!$F$2:$F$326,0),1),"Total")</f>
        <v>3744</v>
      </c>
      <c r="I461" s="53">
        <v>2</v>
      </c>
      <c r="J461" s="59">
        <f>_xlfn.IFNA(INDEX(DetailByDistrict[],MATCH($H461,DetailByDistrict[Dist],0),MATCH(J$2,DetailByDistrict[#Headers],0)),0)</f>
        <v>8</v>
      </c>
      <c r="K461" s="54">
        <f t="shared" si="7"/>
        <v>0.25</v>
      </c>
      <c r="L461" s="59">
        <f>ROUND(INDEX(DetailByDistrict[],MATCH($H461,DetailByDistrict[Dist],0),MATCH(L$2,DetailByDistrict[#Headers],0))*K461,2)</f>
        <v>130</v>
      </c>
      <c r="M461" s="59">
        <f>ROUND(INDEX(DetailByDistrict[],MATCH($H461,DetailByDistrict[Dist],0),MATCH(M$2,DetailByDistrict[#Headers],0))*K461,2)</f>
        <v>143</v>
      </c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spans="1:26" ht="15.75" customHeight="1" x14ac:dyDescent="0.25">
      <c r="A462" s="53">
        <v>10</v>
      </c>
      <c r="B462" s="54" t="s">
        <v>1090</v>
      </c>
      <c r="C462" s="54" t="s">
        <v>796</v>
      </c>
      <c r="D462" s="53">
        <v>1053</v>
      </c>
      <c r="E462" s="53">
        <v>8101</v>
      </c>
      <c r="F462" s="54" t="s">
        <v>1102</v>
      </c>
      <c r="G462" s="53" t="s">
        <v>163</v>
      </c>
      <c r="H462" s="58" t="str">
        <f>_xlfn.IFNA(INDEX(ActiveSchools!$C$2:$F$326,MATCH(G462,ActiveSchools!$F$2:$F$326,0),1),"Total")</f>
        <v>4554</v>
      </c>
      <c r="I462" s="53">
        <v>5</v>
      </c>
      <c r="J462" s="59">
        <f>_xlfn.IFNA(INDEX(DetailByDistrict[],MATCH($H462,DetailByDistrict[Dist],0),MATCH(J$2,DetailByDistrict[#Headers],0)),0)</f>
        <v>31</v>
      </c>
      <c r="K462" s="54">
        <f t="shared" si="7"/>
        <v>0.16129032258064516</v>
      </c>
      <c r="L462" s="59">
        <f>ROUND(INDEX(DetailByDistrict[],MATCH($H462,DetailByDistrict[Dist],0),MATCH(L$2,DetailByDistrict[#Headers],0))*K462,2)</f>
        <v>324.83999999999997</v>
      </c>
      <c r="M462" s="59">
        <f>ROUND(INDEX(DetailByDistrict[],MATCH($H462,DetailByDistrict[Dist],0),MATCH(M$2,DetailByDistrict[#Headers],0))*K462,2)</f>
        <v>357.26</v>
      </c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spans="1:26" ht="15.75" customHeight="1" x14ac:dyDescent="0.25">
      <c r="A463" s="53">
        <v>10</v>
      </c>
      <c r="B463" s="54" t="s">
        <v>1090</v>
      </c>
      <c r="C463" s="54" t="s">
        <v>797</v>
      </c>
      <c r="D463" s="53">
        <v>1053</v>
      </c>
      <c r="E463" s="53">
        <v>8102</v>
      </c>
      <c r="F463" s="54" t="s">
        <v>1096</v>
      </c>
      <c r="G463" s="53" t="s">
        <v>145</v>
      </c>
      <c r="H463" s="58" t="str">
        <f>_xlfn.IFNA(INDEX(ActiveSchools!$C$2:$F$326,MATCH(G463,ActiveSchools!$F$2:$F$326,0),1),"Total")</f>
        <v>1053</v>
      </c>
      <c r="I463" s="53">
        <v>109</v>
      </c>
      <c r="J463" s="59">
        <f>_xlfn.IFNA(INDEX(DetailByDistrict[],MATCH($H463,DetailByDistrict[Dist],0),MATCH(J$2,DetailByDistrict[#Headers],0)),0)</f>
        <v>2073</v>
      </c>
      <c r="K463" s="54">
        <f t="shared" si="7"/>
        <v>5.2580800771828265E-2</v>
      </c>
      <c r="L463" s="59">
        <f>ROUND(INDEX(DetailByDistrict[],MATCH($H463,DetailByDistrict[Dist],0),MATCH(L$2,DetailByDistrict[#Headers],0))*K463,2)</f>
        <v>7082.84</v>
      </c>
      <c r="M463" s="59">
        <f>ROUND(INDEX(DetailByDistrict[],MATCH($H463,DetailByDistrict[Dist],0),MATCH(M$2,DetailByDistrict[#Headers],0))*K463,2)</f>
        <v>7789.16</v>
      </c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spans="1:26" ht="15.75" customHeight="1" x14ac:dyDescent="0.25">
      <c r="A464" s="53">
        <v>10</v>
      </c>
      <c r="B464" s="54" t="s">
        <v>1090</v>
      </c>
      <c r="C464" s="54" t="s">
        <v>797</v>
      </c>
      <c r="D464" s="53">
        <v>1053</v>
      </c>
      <c r="E464" s="53">
        <v>8102</v>
      </c>
      <c r="F464" s="54" t="s">
        <v>1103</v>
      </c>
      <c r="G464" s="53" t="s">
        <v>146</v>
      </c>
      <c r="H464" s="58" t="str">
        <f>_xlfn.IFNA(INDEX(ActiveSchools!$C$2:$F$326,MATCH(G464,ActiveSchools!$F$2:$F$326,0),1),"Total")</f>
        <v>1062</v>
      </c>
      <c r="I464" s="53">
        <v>1</v>
      </c>
      <c r="J464" s="59">
        <f>_xlfn.IFNA(INDEX(DetailByDistrict[],MATCH($H464,DetailByDistrict[Dist],0),MATCH(J$2,DetailByDistrict[#Headers],0)),0)</f>
        <v>9</v>
      </c>
      <c r="K464" s="54">
        <f t="shared" si="7"/>
        <v>0.1111111111111111</v>
      </c>
      <c r="L464" s="59">
        <f>ROUND(INDEX(DetailByDistrict[],MATCH($H464,DetailByDistrict[Dist],0),MATCH(L$2,DetailByDistrict[#Headers],0))*K464,2)</f>
        <v>65</v>
      </c>
      <c r="M464" s="59">
        <f>ROUND(INDEX(DetailByDistrict[],MATCH($H464,DetailByDistrict[Dist],0),MATCH(M$2,DetailByDistrict[#Headers],0))*K464,2)</f>
        <v>71.44</v>
      </c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spans="1:26" ht="15.75" customHeight="1" x14ac:dyDescent="0.25">
      <c r="A465" s="53">
        <v>10</v>
      </c>
      <c r="B465" s="54" t="s">
        <v>1090</v>
      </c>
      <c r="C465" s="54" t="s">
        <v>797</v>
      </c>
      <c r="D465" s="53">
        <v>1053</v>
      </c>
      <c r="E465" s="53">
        <v>8102</v>
      </c>
      <c r="F465" s="54" t="s">
        <v>1104</v>
      </c>
      <c r="G465" s="53" t="s">
        <v>148</v>
      </c>
      <c r="H465" s="58" t="str">
        <f>_xlfn.IFNA(INDEX(ActiveSchools!$C$2:$F$326,MATCH(G465,ActiveSchools!$F$2:$F$326,0),1),"Total")</f>
        <v>1221</v>
      </c>
      <c r="I465" s="53">
        <v>1</v>
      </c>
      <c r="J465" s="59">
        <f>_xlfn.IFNA(INDEX(DetailByDistrict[],MATCH($H465,DetailByDistrict[Dist],0),MATCH(J$2,DetailByDistrict[#Headers],0)),0)</f>
        <v>71</v>
      </c>
      <c r="K465" s="54">
        <f t="shared" si="7"/>
        <v>1.4084507042253521E-2</v>
      </c>
      <c r="L465" s="59">
        <f>ROUND(INDEX(DetailByDistrict[],MATCH($H465,DetailByDistrict[Dist],0),MATCH(L$2,DetailByDistrict[#Headers],0))*K465,2)</f>
        <v>64.989999999999995</v>
      </c>
      <c r="M465" s="59">
        <f>ROUND(INDEX(DetailByDistrict[],MATCH($H465,DetailByDistrict[Dist],0),MATCH(M$2,DetailByDistrict[#Headers],0))*K465,2)</f>
        <v>71.459999999999994</v>
      </c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spans="1:26" ht="15.75" customHeight="1" x14ac:dyDescent="0.25">
      <c r="A466" s="53">
        <v>10</v>
      </c>
      <c r="B466" s="54" t="s">
        <v>1090</v>
      </c>
      <c r="C466" s="54" t="s">
        <v>797</v>
      </c>
      <c r="D466" s="53">
        <v>1053</v>
      </c>
      <c r="E466" s="53">
        <v>8102</v>
      </c>
      <c r="F466" s="54" t="s">
        <v>1105</v>
      </c>
      <c r="G466" s="53" t="s">
        <v>147</v>
      </c>
      <c r="H466" s="58" t="str">
        <f>_xlfn.IFNA(INDEX(ActiveSchools!$C$2:$F$326,MATCH(G466,ActiveSchools!$F$2:$F$326,0),1),"Total")</f>
        <v>1089</v>
      </c>
      <c r="I466" s="53">
        <v>2</v>
      </c>
      <c r="J466" s="59">
        <f>_xlfn.IFNA(INDEX(DetailByDistrict[],MATCH($H466,DetailByDistrict[Dist],0),MATCH(J$2,DetailByDistrict[#Headers],0)),0)</f>
        <v>11</v>
      </c>
      <c r="K466" s="54">
        <f t="shared" si="7"/>
        <v>0.18181818181818182</v>
      </c>
      <c r="L466" s="59">
        <f>ROUND(INDEX(DetailByDistrict[],MATCH($H466,DetailByDistrict[Dist],0),MATCH(L$2,DetailByDistrict[#Headers],0))*K466,2)</f>
        <v>130</v>
      </c>
      <c r="M466" s="59">
        <f>ROUND(INDEX(DetailByDistrict[],MATCH($H466,DetailByDistrict[Dist],0),MATCH(M$2,DetailByDistrict[#Headers],0))*K466,2)</f>
        <v>142.91</v>
      </c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spans="1:26" ht="15.75" customHeight="1" x14ac:dyDescent="0.25">
      <c r="A467" s="53">
        <v>10</v>
      </c>
      <c r="B467" s="54" t="s">
        <v>1090</v>
      </c>
      <c r="C467" s="54" t="s">
        <v>797</v>
      </c>
      <c r="D467" s="53">
        <v>1053</v>
      </c>
      <c r="E467" s="53">
        <v>8102</v>
      </c>
      <c r="F467" s="54" t="s">
        <v>1100</v>
      </c>
      <c r="G467" s="53" t="s">
        <v>149</v>
      </c>
      <c r="H467" s="58" t="str">
        <f>_xlfn.IFNA(INDEX(ActiveSchools!$C$2:$F$326,MATCH(G467,ActiveSchools!$F$2:$F$326,0),1),"Total")</f>
        <v>1337</v>
      </c>
      <c r="I467" s="53">
        <v>11</v>
      </c>
      <c r="J467" s="59">
        <f>_xlfn.IFNA(INDEX(DetailByDistrict[],MATCH($H467,DetailByDistrict[Dist],0),MATCH(J$2,DetailByDistrict[#Headers],0)),0)</f>
        <v>168</v>
      </c>
      <c r="K467" s="54">
        <f t="shared" si="7"/>
        <v>6.5476190476190479E-2</v>
      </c>
      <c r="L467" s="59">
        <f>ROUND(INDEX(DetailByDistrict[],MATCH($H467,DetailByDistrict[Dist],0),MATCH(L$2,DetailByDistrict[#Headers],0))*K467,2)</f>
        <v>714.8</v>
      </c>
      <c r="M467" s="59">
        <f>ROUND(INDEX(DetailByDistrict[],MATCH($H467,DetailByDistrict[Dist],0),MATCH(M$2,DetailByDistrict[#Headers],0))*K467,2)</f>
        <v>786.04</v>
      </c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spans="1:26" ht="15.75" customHeight="1" x14ac:dyDescent="0.25">
      <c r="A468" s="53">
        <v>10</v>
      </c>
      <c r="B468" s="54" t="s">
        <v>1090</v>
      </c>
      <c r="C468" s="54" t="s">
        <v>797</v>
      </c>
      <c r="D468" s="53">
        <v>1053</v>
      </c>
      <c r="E468" s="53">
        <v>8102</v>
      </c>
      <c r="F468" s="54" t="s">
        <v>1106</v>
      </c>
      <c r="G468" s="53" t="s">
        <v>154</v>
      </c>
      <c r="H468" s="58" t="str">
        <f>_xlfn.IFNA(INDEX(ActiveSchools!$C$2:$F$326,MATCH(G468,ActiveSchools!$F$2:$F$326,0),1),"Total")</f>
        <v>3141</v>
      </c>
      <c r="I468" s="53">
        <v>3</v>
      </c>
      <c r="J468" s="59">
        <f>_xlfn.IFNA(INDEX(DetailByDistrict[],MATCH($H468,DetailByDistrict[Dist],0),MATCH(J$2,DetailByDistrict[#Headers],0)),0)</f>
        <v>1378</v>
      </c>
      <c r="K468" s="54">
        <f t="shared" si="7"/>
        <v>2.1770682148040637E-3</v>
      </c>
      <c r="L468" s="59">
        <f>ROUND(INDEX(DetailByDistrict[],MATCH($H468,DetailByDistrict[Dist],0),MATCH(L$2,DetailByDistrict[#Headers],0))*K468,2)</f>
        <v>194.94</v>
      </c>
      <c r="M468" s="59">
        <f>ROUND(INDEX(DetailByDistrict[],MATCH($H468,DetailByDistrict[Dist],0),MATCH(M$2,DetailByDistrict[#Headers],0))*K468,2)</f>
        <v>214.38</v>
      </c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spans="1:26" ht="15.75" customHeight="1" x14ac:dyDescent="0.25">
      <c r="A469" s="53">
        <v>10</v>
      </c>
      <c r="B469" s="54" t="s">
        <v>1090</v>
      </c>
      <c r="C469" s="54" t="s">
        <v>797</v>
      </c>
      <c r="D469" s="53">
        <v>1053</v>
      </c>
      <c r="E469" s="53">
        <v>8102</v>
      </c>
      <c r="F469" s="54" t="s">
        <v>1098</v>
      </c>
      <c r="G469" s="53" t="s">
        <v>156</v>
      </c>
      <c r="H469" s="58" t="str">
        <f>_xlfn.IFNA(INDEX(ActiveSchools!$C$2:$F$326,MATCH(G469,ActiveSchools!$F$2:$F$326,0),1),"Total")</f>
        <v>3715</v>
      </c>
      <c r="I469" s="53">
        <v>38</v>
      </c>
      <c r="J469" s="59">
        <f>_xlfn.IFNA(INDEX(DetailByDistrict[],MATCH($H469,DetailByDistrict[Dist],0),MATCH(J$2,DetailByDistrict[#Headers],0)),0)</f>
        <v>676</v>
      </c>
      <c r="K469" s="54">
        <f t="shared" si="7"/>
        <v>5.6213017751479293E-2</v>
      </c>
      <c r="L469" s="59">
        <f>ROUND(INDEX(DetailByDistrict[],MATCH($H469,DetailByDistrict[Dist],0),MATCH(L$2,DetailByDistrict[#Headers],0))*K469,2)</f>
        <v>2469.21</v>
      </c>
      <c r="M469" s="59">
        <f>ROUND(INDEX(DetailByDistrict[],MATCH($H469,DetailByDistrict[Dist],0),MATCH(M$2,DetailByDistrict[#Headers],0))*K469,2)</f>
        <v>2715.48</v>
      </c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spans="1:26" ht="15.75" customHeight="1" x14ac:dyDescent="0.25">
      <c r="A470" s="53">
        <v>10</v>
      </c>
      <c r="B470" s="54" t="s">
        <v>1090</v>
      </c>
      <c r="C470" s="54" t="s">
        <v>797</v>
      </c>
      <c r="D470" s="53">
        <v>1053</v>
      </c>
      <c r="E470" s="53">
        <v>8102</v>
      </c>
      <c r="F470" s="54" t="s">
        <v>1101</v>
      </c>
      <c r="G470" s="53" t="s">
        <v>157</v>
      </c>
      <c r="H470" s="58" t="str">
        <f>_xlfn.IFNA(INDEX(ActiveSchools!$C$2:$F$326,MATCH(G470,ActiveSchools!$F$2:$F$326,0),1),"Total")</f>
        <v>3744</v>
      </c>
      <c r="I470" s="53">
        <v>3</v>
      </c>
      <c r="J470" s="59">
        <f>_xlfn.IFNA(INDEX(DetailByDistrict[],MATCH($H470,DetailByDistrict[Dist],0),MATCH(J$2,DetailByDistrict[#Headers],0)),0)</f>
        <v>8</v>
      </c>
      <c r="K470" s="54">
        <f t="shared" si="7"/>
        <v>0.375</v>
      </c>
      <c r="L470" s="59">
        <f>ROUND(INDEX(DetailByDistrict[],MATCH($H470,DetailByDistrict[Dist],0),MATCH(L$2,DetailByDistrict[#Headers],0))*K470,2)</f>
        <v>195</v>
      </c>
      <c r="M470" s="59">
        <f>ROUND(INDEX(DetailByDistrict[],MATCH($H470,DetailByDistrict[Dist],0),MATCH(M$2,DetailByDistrict[#Headers],0))*K470,2)</f>
        <v>214.5</v>
      </c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spans="1:26" ht="15.75" customHeight="1" x14ac:dyDescent="0.25">
      <c r="A471" s="53">
        <v>10</v>
      </c>
      <c r="B471" s="54" t="s">
        <v>1090</v>
      </c>
      <c r="C471" s="54" t="s">
        <v>797</v>
      </c>
      <c r="D471" s="53">
        <v>1053</v>
      </c>
      <c r="E471" s="53">
        <v>8102</v>
      </c>
      <c r="F471" s="54" t="s">
        <v>1107</v>
      </c>
      <c r="G471" s="53" t="s">
        <v>159</v>
      </c>
      <c r="H471" s="58" t="str">
        <f>_xlfn.IFNA(INDEX(ActiveSchools!$C$2:$F$326,MATCH(G471,ActiveSchools!$F$2:$F$326,0),1),"Total")</f>
        <v>4086</v>
      </c>
      <c r="I471" s="53">
        <v>19</v>
      </c>
      <c r="J471" s="59">
        <f>_xlfn.IFNA(INDEX(DetailByDistrict[],MATCH($H471,DetailByDistrict[Dist],0),MATCH(J$2,DetailByDistrict[#Headers],0)),0)</f>
        <v>108</v>
      </c>
      <c r="K471" s="54">
        <f t="shared" si="7"/>
        <v>0.17592592592592593</v>
      </c>
      <c r="L471" s="59">
        <f>ROUND(INDEX(DetailByDistrict[],MATCH($H471,DetailByDistrict[Dist],0),MATCH(L$2,DetailByDistrict[#Headers],0))*K471,2)</f>
        <v>1234.6500000000001</v>
      </c>
      <c r="M471" s="59">
        <f>ROUND(INDEX(DetailByDistrict[],MATCH($H471,DetailByDistrict[Dist],0),MATCH(M$2,DetailByDistrict[#Headers],0))*K471,2)</f>
        <v>1357.8</v>
      </c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spans="1:26" ht="15.75" customHeight="1" x14ac:dyDescent="0.25">
      <c r="A472" s="53">
        <v>10</v>
      </c>
      <c r="B472" s="54" t="s">
        <v>1090</v>
      </c>
      <c r="C472" s="54" t="s">
        <v>797</v>
      </c>
      <c r="D472" s="53">
        <v>1053</v>
      </c>
      <c r="E472" s="53">
        <v>8102</v>
      </c>
      <c r="F472" s="54" t="s">
        <v>1102</v>
      </c>
      <c r="G472" s="53" t="s">
        <v>163</v>
      </c>
      <c r="H472" s="58" t="str">
        <f>_xlfn.IFNA(INDEX(ActiveSchools!$C$2:$F$326,MATCH(G472,ActiveSchools!$F$2:$F$326,0),1),"Total")</f>
        <v>4554</v>
      </c>
      <c r="I472" s="53">
        <v>6</v>
      </c>
      <c r="J472" s="59">
        <f>_xlfn.IFNA(INDEX(DetailByDistrict[],MATCH($H472,DetailByDistrict[Dist],0),MATCH(J$2,DetailByDistrict[#Headers],0)),0)</f>
        <v>31</v>
      </c>
      <c r="K472" s="54">
        <f t="shared" si="7"/>
        <v>0.19354838709677419</v>
      </c>
      <c r="L472" s="59">
        <f>ROUND(INDEX(DetailByDistrict[],MATCH($H472,DetailByDistrict[Dist],0),MATCH(L$2,DetailByDistrict[#Headers],0))*K472,2)</f>
        <v>389.81</v>
      </c>
      <c r="M472" s="59">
        <f>ROUND(INDEX(DetailByDistrict[],MATCH($H472,DetailByDistrict[Dist],0),MATCH(M$2,DetailByDistrict[#Headers],0))*K472,2)</f>
        <v>428.71</v>
      </c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spans="1:26" ht="15.75" customHeight="1" x14ac:dyDescent="0.25">
      <c r="A473" s="53">
        <v>10</v>
      </c>
      <c r="B473" s="54" t="s">
        <v>1090</v>
      </c>
      <c r="C473" s="54" t="s">
        <v>797</v>
      </c>
      <c r="D473" s="53">
        <v>1053</v>
      </c>
      <c r="E473" s="53">
        <v>8102</v>
      </c>
      <c r="F473" s="54" t="s">
        <v>1108</v>
      </c>
      <c r="G473" s="53" t="s">
        <v>167</v>
      </c>
      <c r="H473" s="58" t="str">
        <f>_xlfn.IFNA(INDEX(ActiveSchools!$C$2:$F$326,MATCH(G473,ActiveSchools!$F$2:$F$326,0),1),"Total")</f>
        <v>6093</v>
      </c>
      <c r="I473" s="53">
        <v>3</v>
      </c>
      <c r="J473" s="59">
        <f>_xlfn.IFNA(INDEX(DetailByDistrict[],MATCH($H473,DetailByDistrict[Dist],0),MATCH(J$2,DetailByDistrict[#Headers],0)),0)</f>
        <v>25</v>
      </c>
      <c r="K473" s="54">
        <f t="shared" si="7"/>
        <v>0.12</v>
      </c>
      <c r="L473" s="59">
        <f>ROUND(INDEX(DetailByDistrict[],MATCH($H473,DetailByDistrict[Dist],0),MATCH(L$2,DetailByDistrict[#Headers],0))*K473,2)</f>
        <v>195</v>
      </c>
      <c r="M473" s="59">
        <f>ROUND(INDEX(DetailByDistrict[],MATCH($H473,DetailByDistrict[Dist],0),MATCH(M$2,DetailByDistrict[#Headers],0))*K473,2)</f>
        <v>214.44</v>
      </c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spans="1:26" ht="15.75" customHeight="1" x14ac:dyDescent="0.25">
      <c r="A474" s="53">
        <v>10</v>
      </c>
      <c r="B474" s="54" t="s">
        <v>1090</v>
      </c>
      <c r="C474" s="54" t="s">
        <v>797</v>
      </c>
      <c r="D474" s="53">
        <v>1053</v>
      </c>
      <c r="E474" s="53">
        <v>8102</v>
      </c>
      <c r="F474" s="54" t="s">
        <v>1109</v>
      </c>
      <c r="G474" s="53" t="s">
        <v>168</v>
      </c>
      <c r="H474" s="58" t="str">
        <f>_xlfn.IFNA(INDEX(ActiveSchools!$C$2:$F$326,MATCH(G474,ActiveSchools!$F$2:$F$326,0),1),"Total")</f>
        <v>6138</v>
      </c>
      <c r="I474" s="53">
        <v>3</v>
      </c>
      <c r="J474" s="59">
        <f>_xlfn.IFNA(INDEX(DetailByDistrict[],MATCH($H474,DetailByDistrict[Dist],0),MATCH(J$2,DetailByDistrict[#Headers],0)),0)</f>
        <v>12</v>
      </c>
      <c r="K474" s="54">
        <f t="shared" si="7"/>
        <v>0.25</v>
      </c>
      <c r="L474" s="59">
        <f>ROUND(INDEX(DetailByDistrict[],MATCH($H474,DetailByDistrict[Dist],0),MATCH(L$2,DetailByDistrict[#Headers],0))*K474,2)</f>
        <v>195</v>
      </c>
      <c r="M474" s="59">
        <f>ROUND(INDEX(DetailByDistrict[],MATCH($H474,DetailByDistrict[Dist],0),MATCH(M$2,DetailByDistrict[#Headers],0))*K474,2)</f>
        <v>214.5</v>
      </c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spans="1:26" ht="15.75" customHeight="1" x14ac:dyDescent="0.25">
      <c r="A475" s="53">
        <v>10</v>
      </c>
      <c r="B475" s="54" t="s">
        <v>1090</v>
      </c>
      <c r="C475" s="54" t="s">
        <v>798</v>
      </c>
      <c r="D475" s="53">
        <v>1053</v>
      </c>
      <c r="E475" s="53">
        <v>8105</v>
      </c>
      <c r="F475" s="54" t="s">
        <v>1110</v>
      </c>
      <c r="G475" s="57" t="s">
        <v>141</v>
      </c>
      <c r="H475" s="58" t="str">
        <f>_xlfn.IFNA(INDEX(ActiveSchools!$C$2:$F$326,MATCH(G475,ActiveSchools!$F$2:$F$326,0),1),"Total")</f>
        <v>0099</v>
      </c>
      <c r="I475" s="53">
        <v>5</v>
      </c>
      <c r="J475" s="59">
        <f>_xlfn.IFNA(INDEX(DetailByDistrict[],MATCH($H475,DetailByDistrict[Dist],0),MATCH(J$2,DetailByDistrict[#Headers],0)),0)</f>
        <v>21</v>
      </c>
      <c r="K475" s="54">
        <f t="shared" si="7"/>
        <v>0.23809523809523808</v>
      </c>
      <c r="L475" s="59">
        <f>ROUND(INDEX(DetailByDistrict[],MATCH($H475,DetailByDistrict[Dist],0),MATCH(L$2,DetailByDistrict[#Headers],0))*K475,2)</f>
        <v>325</v>
      </c>
      <c r="M475" s="59">
        <f>ROUND(INDEX(DetailByDistrict[],MATCH($H475,DetailByDistrict[Dist],0),MATCH(M$2,DetailByDistrict[#Headers],0))*K475,2)</f>
        <v>357.38</v>
      </c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spans="1:26" ht="15.75" customHeight="1" x14ac:dyDescent="0.25">
      <c r="A476" s="53">
        <v>10</v>
      </c>
      <c r="B476" s="54" t="s">
        <v>1090</v>
      </c>
      <c r="C476" s="54" t="s">
        <v>798</v>
      </c>
      <c r="D476" s="53">
        <v>1053</v>
      </c>
      <c r="E476" s="53">
        <v>8105</v>
      </c>
      <c r="F476" s="54" t="s">
        <v>1094</v>
      </c>
      <c r="G476" s="57" t="s">
        <v>143</v>
      </c>
      <c r="H476" s="58" t="str">
        <f>_xlfn.IFNA(INDEX(ActiveSchools!$C$2:$F$326,MATCH(G476,ActiveSchools!$F$2:$F$326,0),1),"Total")</f>
        <v>0576</v>
      </c>
      <c r="I476" s="53">
        <v>1</v>
      </c>
      <c r="J476" s="59">
        <f>_xlfn.IFNA(INDEX(DetailByDistrict[],MATCH($H476,DetailByDistrict[Dist],0),MATCH(J$2,DetailByDistrict[#Headers],0)),0)</f>
        <v>7</v>
      </c>
      <c r="K476" s="54">
        <f t="shared" si="7"/>
        <v>0.14285714285714285</v>
      </c>
      <c r="L476" s="59">
        <f>ROUND(INDEX(DetailByDistrict[],MATCH($H476,DetailByDistrict[Dist],0),MATCH(L$2,DetailByDistrict[#Headers],0))*K476,2)</f>
        <v>65</v>
      </c>
      <c r="M476" s="59">
        <f>ROUND(INDEX(DetailByDistrict[],MATCH($H476,DetailByDistrict[Dist],0),MATCH(M$2,DetailByDistrict[#Headers],0))*K476,2)</f>
        <v>71.430000000000007</v>
      </c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spans="1:26" ht="15.75" customHeight="1" x14ac:dyDescent="0.25">
      <c r="A477" s="53">
        <v>10</v>
      </c>
      <c r="B477" s="54" t="s">
        <v>1090</v>
      </c>
      <c r="C477" s="54" t="s">
        <v>798</v>
      </c>
      <c r="D477" s="53">
        <v>1053</v>
      </c>
      <c r="E477" s="53">
        <v>8105</v>
      </c>
      <c r="F477" s="54" t="s">
        <v>1095</v>
      </c>
      <c r="G477" s="57" t="s">
        <v>144</v>
      </c>
      <c r="H477" s="58" t="str">
        <f>_xlfn.IFNA(INDEX(ActiveSchools!$C$2:$F$326,MATCH(G477,ActiveSchools!$F$2:$F$326,0),1),"Total")</f>
        <v>0609</v>
      </c>
      <c r="I477" s="53">
        <v>8</v>
      </c>
      <c r="J477" s="59">
        <f>_xlfn.IFNA(INDEX(DetailByDistrict[],MATCH($H477,DetailByDistrict[Dist],0),MATCH(J$2,DetailByDistrict[#Headers],0)),0)</f>
        <v>140</v>
      </c>
      <c r="K477" s="54">
        <f t="shared" si="7"/>
        <v>5.7142857142857141E-2</v>
      </c>
      <c r="L477" s="59">
        <f>ROUND(INDEX(DetailByDistrict[],MATCH($H477,DetailByDistrict[Dist],0),MATCH(L$2,DetailByDistrict[#Headers],0))*K477,2)</f>
        <v>519.83000000000004</v>
      </c>
      <c r="M477" s="59">
        <f>ROUND(INDEX(DetailByDistrict[],MATCH($H477,DetailByDistrict[Dist],0),MATCH(M$2,DetailByDistrict[#Headers],0))*K477,2)</f>
        <v>571.66</v>
      </c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spans="1:26" ht="15.75" customHeight="1" x14ac:dyDescent="0.25">
      <c r="A478" s="53">
        <v>10</v>
      </c>
      <c r="B478" s="54" t="s">
        <v>1090</v>
      </c>
      <c r="C478" s="54" t="s">
        <v>798</v>
      </c>
      <c r="D478" s="53">
        <v>1053</v>
      </c>
      <c r="E478" s="53">
        <v>8105</v>
      </c>
      <c r="F478" s="54" t="s">
        <v>1096</v>
      </c>
      <c r="G478" s="53" t="s">
        <v>145</v>
      </c>
      <c r="H478" s="58" t="str">
        <f>_xlfn.IFNA(INDEX(ActiveSchools!$C$2:$F$326,MATCH(G478,ActiveSchools!$F$2:$F$326,0),1),"Total")</f>
        <v>1053</v>
      </c>
      <c r="I478" s="53">
        <v>422</v>
      </c>
      <c r="J478" s="59">
        <f>_xlfn.IFNA(INDEX(DetailByDistrict[],MATCH($H478,DetailByDistrict[Dist],0),MATCH(J$2,DetailByDistrict[#Headers],0)),0)</f>
        <v>2073</v>
      </c>
      <c r="K478" s="54">
        <f t="shared" si="7"/>
        <v>0.20356970574047276</v>
      </c>
      <c r="L478" s="59">
        <f>ROUND(INDEX(DetailByDistrict[],MATCH($H478,DetailByDistrict[Dist],0),MATCH(L$2,DetailByDistrict[#Headers],0))*K478,2)</f>
        <v>27421.65</v>
      </c>
      <c r="M478" s="59">
        <f>ROUND(INDEX(DetailByDistrict[],MATCH($H478,DetailByDistrict[Dist],0),MATCH(M$2,DetailByDistrict[#Headers],0))*K478,2)</f>
        <v>30156.21</v>
      </c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spans="1:26" ht="15.75" customHeight="1" x14ac:dyDescent="0.25">
      <c r="A479" s="53">
        <v>10</v>
      </c>
      <c r="B479" s="54" t="s">
        <v>1090</v>
      </c>
      <c r="C479" s="54" t="s">
        <v>798</v>
      </c>
      <c r="D479" s="53">
        <v>1053</v>
      </c>
      <c r="E479" s="53">
        <v>8105</v>
      </c>
      <c r="F479" s="54" t="s">
        <v>1103</v>
      </c>
      <c r="G479" s="53" t="s">
        <v>146</v>
      </c>
      <c r="H479" s="58" t="str">
        <f>_xlfn.IFNA(INDEX(ActiveSchools!$C$2:$F$326,MATCH(G479,ActiveSchools!$F$2:$F$326,0),1),"Total")</f>
        <v>1062</v>
      </c>
      <c r="I479" s="53">
        <v>5</v>
      </c>
      <c r="J479" s="59">
        <f>_xlfn.IFNA(INDEX(DetailByDistrict[],MATCH($H479,DetailByDistrict[Dist],0),MATCH(J$2,DetailByDistrict[#Headers],0)),0)</f>
        <v>9</v>
      </c>
      <c r="K479" s="54">
        <f t="shared" si="7"/>
        <v>0.55555555555555558</v>
      </c>
      <c r="L479" s="59">
        <f>ROUND(INDEX(DetailByDistrict[],MATCH($H479,DetailByDistrict[Dist],0),MATCH(L$2,DetailByDistrict[#Headers],0))*K479,2)</f>
        <v>325</v>
      </c>
      <c r="M479" s="59">
        <f>ROUND(INDEX(DetailByDistrict[],MATCH($H479,DetailByDistrict[Dist],0),MATCH(M$2,DetailByDistrict[#Headers],0))*K479,2)</f>
        <v>357.22</v>
      </c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spans="1:26" ht="15.75" customHeight="1" x14ac:dyDescent="0.25">
      <c r="A480" s="53">
        <v>10</v>
      </c>
      <c r="B480" s="54" t="s">
        <v>1090</v>
      </c>
      <c r="C480" s="54" t="s">
        <v>798</v>
      </c>
      <c r="D480" s="53">
        <v>1053</v>
      </c>
      <c r="E480" s="53">
        <v>8105</v>
      </c>
      <c r="F480" s="54" t="s">
        <v>1100</v>
      </c>
      <c r="G480" s="53" t="s">
        <v>149</v>
      </c>
      <c r="H480" s="58" t="str">
        <f>_xlfn.IFNA(INDEX(ActiveSchools!$C$2:$F$326,MATCH(G480,ActiveSchools!$F$2:$F$326,0),1),"Total")</f>
        <v>1337</v>
      </c>
      <c r="I480" s="53">
        <v>24</v>
      </c>
      <c r="J480" s="59">
        <f>_xlfn.IFNA(INDEX(DetailByDistrict[],MATCH($H480,DetailByDistrict[Dist],0),MATCH(J$2,DetailByDistrict[#Headers],0)),0)</f>
        <v>168</v>
      </c>
      <c r="K480" s="54">
        <f t="shared" si="7"/>
        <v>0.14285714285714285</v>
      </c>
      <c r="L480" s="59">
        <f>ROUND(INDEX(DetailByDistrict[],MATCH($H480,DetailByDistrict[Dist],0),MATCH(L$2,DetailByDistrict[#Headers],0))*K480,2)</f>
        <v>1559.57</v>
      </c>
      <c r="M480" s="59">
        <f>ROUND(INDEX(DetailByDistrict[],MATCH($H480,DetailByDistrict[Dist],0),MATCH(M$2,DetailByDistrict[#Headers],0))*K480,2)</f>
        <v>1715</v>
      </c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spans="1:26" ht="15.75" customHeight="1" x14ac:dyDescent="0.25">
      <c r="A481" s="53">
        <v>10</v>
      </c>
      <c r="B481" s="54" t="s">
        <v>1090</v>
      </c>
      <c r="C481" s="54" t="s">
        <v>798</v>
      </c>
      <c r="D481" s="53">
        <v>1053</v>
      </c>
      <c r="E481" s="53">
        <v>8105</v>
      </c>
      <c r="F481" s="54" t="s">
        <v>1106</v>
      </c>
      <c r="G481" s="53" t="s">
        <v>154</v>
      </c>
      <c r="H481" s="58" t="str">
        <f>_xlfn.IFNA(INDEX(ActiveSchools!$C$2:$F$326,MATCH(G481,ActiveSchools!$F$2:$F$326,0),1),"Total")</f>
        <v>3141</v>
      </c>
      <c r="I481" s="53">
        <v>1</v>
      </c>
      <c r="J481" s="59">
        <f>_xlfn.IFNA(INDEX(DetailByDistrict[],MATCH($H481,DetailByDistrict[Dist],0),MATCH(J$2,DetailByDistrict[#Headers],0)),0)</f>
        <v>1378</v>
      </c>
      <c r="K481" s="54">
        <f t="shared" si="7"/>
        <v>7.2568940493468795E-4</v>
      </c>
      <c r="L481" s="59">
        <f>ROUND(INDEX(DetailByDistrict[],MATCH($H481,DetailByDistrict[Dist],0),MATCH(L$2,DetailByDistrict[#Headers],0))*K481,2)</f>
        <v>64.98</v>
      </c>
      <c r="M481" s="59">
        <f>ROUND(INDEX(DetailByDistrict[],MATCH($H481,DetailByDistrict[Dist],0),MATCH(M$2,DetailByDistrict[#Headers],0))*K481,2)</f>
        <v>71.459999999999994</v>
      </c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spans="1:26" ht="15.75" customHeight="1" x14ac:dyDescent="0.25">
      <c r="A482" s="53">
        <v>10</v>
      </c>
      <c r="B482" s="54" t="s">
        <v>1090</v>
      </c>
      <c r="C482" s="54" t="s">
        <v>798</v>
      </c>
      <c r="D482" s="53">
        <v>1053</v>
      </c>
      <c r="E482" s="53">
        <v>8105</v>
      </c>
      <c r="F482" s="54" t="s">
        <v>1098</v>
      </c>
      <c r="G482" s="53" t="s">
        <v>156</v>
      </c>
      <c r="H482" s="58" t="str">
        <f>_xlfn.IFNA(INDEX(ActiveSchools!$C$2:$F$326,MATCH(G482,ActiveSchools!$F$2:$F$326,0),1),"Total")</f>
        <v>3715</v>
      </c>
      <c r="I482" s="53">
        <v>109</v>
      </c>
      <c r="J482" s="59">
        <f>_xlfn.IFNA(INDEX(DetailByDistrict[],MATCH($H482,DetailByDistrict[Dist],0),MATCH(J$2,DetailByDistrict[#Headers],0)),0)</f>
        <v>676</v>
      </c>
      <c r="K482" s="54">
        <f t="shared" si="7"/>
        <v>0.16124260355029585</v>
      </c>
      <c r="L482" s="59">
        <f>ROUND(INDEX(DetailByDistrict[],MATCH($H482,DetailByDistrict[Dist],0),MATCH(L$2,DetailByDistrict[#Headers],0))*K482,2)</f>
        <v>7082.74</v>
      </c>
      <c r="M482" s="59">
        <f>ROUND(INDEX(DetailByDistrict[],MATCH($H482,DetailByDistrict[Dist],0),MATCH(M$2,DetailByDistrict[#Headers],0))*K482,2)</f>
        <v>7789.15</v>
      </c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spans="1:26" ht="15.75" customHeight="1" x14ac:dyDescent="0.25">
      <c r="A483" s="53">
        <v>10</v>
      </c>
      <c r="B483" s="54" t="s">
        <v>1090</v>
      </c>
      <c r="C483" s="54" t="s">
        <v>798</v>
      </c>
      <c r="D483" s="53">
        <v>1053</v>
      </c>
      <c r="E483" s="53">
        <v>8105</v>
      </c>
      <c r="F483" s="54" t="s">
        <v>1107</v>
      </c>
      <c r="G483" s="53" t="s">
        <v>159</v>
      </c>
      <c r="H483" s="58" t="str">
        <f>_xlfn.IFNA(INDEX(ActiveSchools!$C$2:$F$326,MATCH(G483,ActiveSchools!$F$2:$F$326,0),1),"Total")</f>
        <v>4086</v>
      </c>
      <c r="I483" s="53">
        <v>15</v>
      </c>
      <c r="J483" s="59">
        <f>_xlfn.IFNA(INDEX(DetailByDistrict[],MATCH($H483,DetailByDistrict[Dist],0),MATCH(J$2,DetailByDistrict[#Headers],0)),0)</f>
        <v>108</v>
      </c>
      <c r="K483" s="54">
        <f t="shared" si="7"/>
        <v>0.1388888888888889</v>
      </c>
      <c r="L483" s="59">
        <f>ROUND(INDEX(DetailByDistrict[],MATCH($H483,DetailByDistrict[Dist],0),MATCH(L$2,DetailByDistrict[#Headers],0))*K483,2)</f>
        <v>974.72</v>
      </c>
      <c r="M483" s="59">
        <f>ROUND(INDEX(DetailByDistrict[],MATCH($H483,DetailByDistrict[Dist],0),MATCH(M$2,DetailByDistrict[#Headers],0))*K483,2)</f>
        <v>1071.94</v>
      </c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spans="1:26" ht="15.75" customHeight="1" x14ac:dyDescent="0.25">
      <c r="A484" s="53">
        <v>10</v>
      </c>
      <c r="B484" s="54" t="s">
        <v>1090</v>
      </c>
      <c r="C484" s="54" t="s">
        <v>798</v>
      </c>
      <c r="D484" s="53">
        <v>1053</v>
      </c>
      <c r="E484" s="53">
        <v>8105</v>
      </c>
      <c r="F484" s="54" t="s">
        <v>1102</v>
      </c>
      <c r="G484" s="53" t="s">
        <v>163</v>
      </c>
      <c r="H484" s="58" t="str">
        <f>_xlfn.IFNA(INDEX(ActiveSchools!$C$2:$F$326,MATCH(G484,ActiveSchools!$F$2:$F$326,0),1),"Total")</f>
        <v>4554</v>
      </c>
      <c r="I484" s="53">
        <v>5</v>
      </c>
      <c r="J484" s="59">
        <f>_xlfn.IFNA(INDEX(DetailByDistrict[],MATCH($H484,DetailByDistrict[Dist],0),MATCH(J$2,DetailByDistrict[#Headers],0)),0)</f>
        <v>31</v>
      </c>
      <c r="K484" s="54">
        <f t="shared" si="7"/>
        <v>0.16129032258064516</v>
      </c>
      <c r="L484" s="59">
        <f>ROUND(INDEX(DetailByDistrict[],MATCH($H484,DetailByDistrict[Dist],0),MATCH(L$2,DetailByDistrict[#Headers],0))*K484,2)</f>
        <v>324.83999999999997</v>
      </c>
      <c r="M484" s="59">
        <f>ROUND(INDEX(DetailByDistrict[],MATCH($H484,DetailByDistrict[Dist],0),MATCH(M$2,DetailByDistrict[#Headers],0))*K484,2)</f>
        <v>357.26</v>
      </c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spans="1:26" ht="15.75" customHeight="1" x14ac:dyDescent="0.25">
      <c r="A485" s="53">
        <v>10</v>
      </c>
      <c r="B485" s="54" t="s">
        <v>1090</v>
      </c>
      <c r="C485" s="54" t="s">
        <v>798</v>
      </c>
      <c r="D485" s="53">
        <v>1053</v>
      </c>
      <c r="E485" s="53">
        <v>8105</v>
      </c>
      <c r="F485" s="54" t="s">
        <v>1108</v>
      </c>
      <c r="G485" s="53" t="s">
        <v>167</v>
      </c>
      <c r="H485" s="58" t="str">
        <f>_xlfn.IFNA(INDEX(ActiveSchools!$C$2:$F$326,MATCH(G485,ActiveSchools!$F$2:$F$326,0),1),"Total")</f>
        <v>6093</v>
      </c>
      <c r="I485" s="53">
        <v>3</v>
      </c>
      <c r="J485" s="59">
        <f>_xlfn.IFNA(INDEX(DetailByDistrict[],MATCH($H485,DetailByDistrict[Dist],0),MATCH(J$2,DetailByDistrict[#Headers],0)),0)</f>
        <v>25</v>
      </c>
      <c r="K485" s="54">
        <f t="shared" si="7"/>
        <v>0.12</v>
      </c>
      <c r="L485" s="59">
        <f>ROUND(INDEX(DetailByDistrict[],MATCH($H485,DetailByDistrict[Dist],0),MATCH(L$2,DetailByDistrict[#Headers],0))*K485,2)</f>
        <v>195</v>
      </c>
      <c r="M485" s="59">
        <f>ROUND(INDEX(DetailByDistrict[],MATCH($H485,DetailByDistrict[Dist],0),MATCH(M$2,DetailByDistrict[#Headers],0))*K485,2)</f>
        <v>214.44</v>
      </c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spans="1:26" ht="15.75" customHeight="1" x14ac:dyDescent="0.25">
      <c r="A486" s="53">
        <v>10</v>
      </c>
      <c r="B486" s="54" t="s">
        <v>1090</v>
      </c>
      <c r="C486" s="54" t="s">
        <v>798</v>
      </c>
      <c r="D486" s="53">
        <v>1053</v>
      </c>
      <c r="E486" s="53">
        <v>8105</v>
      </c>
      <c r="F486" s="54" t="s">
        <v>1109</v>
      </c>
      <c r="G486" s="53" t="s">
        <v>168</v>
      </c>
      <c r="H486" s="58" t="str">
        <f>_xlfn.IFNA(INDEX(ActiveSchools!$C$2:$F$326,MATCH(G486,ActiveSchools!$F$2:$F$326,0),1),"Total")</f>
        <v>6138</v>
      </c>
      <c r="I486" s="53">
        <v>3</v>
      </c>
      <c r="J486" s="59">
        <f>_xlfn.IFNA(INDEX(DetailByDistrict[],MATCH($H486,DetailByDistrict[Dist],0),MATCH(J$2,DetailByDistrict[#Headers],0)),0)</f>
        <v>12</v>
      </c>
      <c r="K486" s="54">
        <f t="shared" si="7"/>
        <v>0.25</v>
      </c>
      <c r="L486" s="59">
        <f>ROUND(INDEX(DetailByDistrict[],MATCH($H486,DetailByDistrict[Dist],0),MATCH(L$2,DetailByDistrict[#Headers],0))*K486,2)</f>
        <v>195</v>
      </c>
      <c r="M486" s="59">
        <f>ROUND(INDEX(DetailByDistrict[],MATCH($H486,DetailByDistrict[Dist],0),MATCH(M$2,DetailByDistrict[#Headers],0))*K486,2)</f>
        <v>214.5</v>
      </c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spans="1:26" ht="15.75" customHeight="1" x14ac:dyDescent="0.25">
      <c r="A487" s="53">
        <v>10</v>
      </c>
      <c r="B487" s="54" t="s">
        <v>1090</v>
      </c>
      <c r="C487" s="54" t="s">
        <v>798</v>
      </c>
      <c r="D487" s="53">
        <v>1053</v>
      </c>
      <c r="E487" s="53">
        <v>8105</v>
      </c>
      <c r="F487" s="54" t="s">
        <v>1099</v>
      </c>
      <c r="G487" s="53" t="s">
        <v>170</v>
      </c>
      <c r="H487" s="58" t="str">
        <f>_xlfn.IFNA(INDEX(ActiveSchools!$C$2:$F$326,MATCH(G487,ActiveSchools!$F$2:$F$326,0),1),"Total")</f>
        <v>6660</v>
      </c>
      <c r="I487" s="53">
        <v>1</v>
      </c>
      <c r="J487" s="59">
        <f>_xlfn.IFNA(INDEX(DetailByDistrict[],MATCH($H487,DetailByDistrict[Dist],0),MATCH(J$2,DetailByDistrict[#Headers],0)),0)</f>
        <v>12</v>
      </c>
      <c r="K487" s="54">
        <f t="shared" si="7"/>
        <v>8.3333333333333329E-2</v>
      </c>
      <c r="L487" s="59">
        <f>ROUND(INDEX(DetailByDistrict[],MATCH($H487,DetailByDistrict[Dist],0),MATCH(L$2,DetailByDistrict[#Headers],0))*K487,2)</f>
        <v>65</v>
      </c>
      <c r="M487" s="59">
        <f>ROUND(INDEX(DetailByDistrict[],MATCH($H487,DetailByDistrict[Dist],0),MATCH(M$2,DetailByDistrict[#Headers],0))*K487,2)</f>
        <v>71.5</v>
      </c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spans="1:26" ht="15.75" customHeight="1" x14ac:dyDescent="0.25">
      <c r="A488" s="53">
        <v>10</v>
      </c>
      <c r="B488" s="54" t="s">
        <v>1090</v>
      </c>
      <c r="C488" s="54" t="s">
        <v>799</v>
      </c>
      <c r="D488" s="53">
        <v>1053</v>
      </c>
      <c r="E488" s="53">
        <v>8109</v>
      </c>
      <c r="F488" s="54" t="s">
        <v>1110</v>
      </c>
      <c r="G488" s="57" t="s">
        <v>141</v>
      </c>
      <c r="H488" s="58" t="str">
        <f>_xlfn.IFNA(INDEX(ActiveSchools!$C$2:$F$326,MATCH(G488,ActiveSchools!$F$2:$F$326,0),1),"Total")</f>
        <v>0099</v>
      </c>
      <c r="I488" s="53">
        <v>1</v>
      </c>
      <c r="J488" s="59">
        <f>_xlfn.IFNA(INDEX(DetailByDistrict[],MATCH($H488,DetailByDistrict[Dist],0),MATCH(J$2,DetailByDistrict[#Headers],0)),0)</f>
        <v>21</v>
      </c>
      <c r="K488" s="54">
        <f t="shared" si="7"/>
        <v>4.7619047619047616E-2</v>
      </c>
      <c r="L488" s="59">
        <f>ROUND(INDEX(DetailByDistrict[],MATCH($H488,DetailByDistrict[Dist],0),MATCH(L$2,DetailByDistrict[#Headers],0))*K488,2)</f>
        <v>65</v>
      </c>
      <c r="M488" s="59">
        <f>ROUND(INDEX(DetailByDistrict[],MATCH($H488,DetailByDistrict[Dist],0),MATCH(M$2,DetailByDistrict[#Headers],0))*K488,2)</f>
        <v>71.48</v>
      </c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spans="1:26" ht="15.75" customHeight="1" x14ac:dyDescent="0.25">
      <c r="A489" s="53">
        <v>10</v>
      </c>
      <c r="B489" s="54" t="s">
        <v>1090</v>
      </c>
      <c r="C489" s="54" t="s">
        <v>799</v>
      </c>
      <c r="D489" s="53">
        <v>1053</v>
      </c>
      <c r="E489" s="53">
        <v>8109</v>
      </c>
      <c r="F489" s="54" t="s">
        <v>1091</v>
      </c>
      <c r="G489" s="57" t="s">
        <v>142</v>
      </c>
      <c r="H489" s="58" t="str">
        <f>_xlfn.IFNA(INDEX(ActiveSchools!$C$2:$F$326,MATCH(G489,ActiveSchools!$F$2:$F$326,0),1),"Total")</f>
        <v>0234</v>
      </c>
      <c r="I489" s="53">
        <v>1</v>
      </c>
      <c r="J489" s="59">
        <f>_xlfn.IFNA(INDEX(DetailByDistrict[],MATCH($H489,DetailByDistrict[Dist],0),MATCH(J$2,DetailByDistrict[#Headers],0)),0)</f>
        <v>68</v>
      </c>
      <c r="K489" s="54">
        <f t="shared" si="7"/>
        <v>1.4705882352941176E-2</v>
      </c>
      <c r="L489" s="59">
        <f>ROUND(INDEX(DetailByDistrict[],MATCH($H489,DetailByDistrict[Dist],0),MATCH(L$2,DetailByDistrict[#Headers],0))*K489,2)</f>
        <v>64.989999999999995</v>
      </c>
      <c r="M489" s="59">
        <f>ROUND(INDEX(DetailByDistrict[],MATCH($H489,DetailByDistrict[Dist],0),MATCH(M$2,DetailByDistrict[#Headers],0))*K489,2)</f>
        <v>71.459999999999994</v>
      </c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spans="1:26" ht="15.75" customHeight="1" x14ac:dyDescent="0.25">
      <c r="A490" s="53">
        <v>10</v>
      </c>
      <c r="B490" s="54" t="s">
        <v>1090</v>
      </c>
      <c r="C490" s="54" t="s">
        <v>799</v>
      </c>
      <c r="D490" s="53">
        <v>1053</v>
      </c>
      <c r="E490" s="53">
        <v>8109</v>
      </c>
      <c r="F490" s="54" t="s">
        <v>1095</v>
      </c>
      <c r="G490" s="57" t="s">
        <v>144</v>
      </c>
      <c r="H490" s="58" t="str">
        <f>_xlfn.IFNA(INDEX(ActiveSchools!$C$2:$F$326,MATCH(G490,ActiveSchools!$F$2:$F$326,0),1),"Total")</f>
        <v>0609</v>
      </c>
      <c r="I490" s="53">
        <v>1</v>
      </c>
      <c r="J490" s="59">
        <f>_xlfn.IFNA(INDEX(DetailByDistrict[],MATCH($H490,DetailByDistrict[Dist],0),MATCH(J$2,DetailByDistrict[#Headers],0)),0)</f>
        <v>140</v>
      </c>
      <c r="K490" s="54">
        <f t="shared" si="7"/>
        <v>7.1428571428571426E-3</v>
      </c>
      <c r="L490" s="59">
        <f>ROUND(INDEX(DetailByDistrict[],MATCH($H490,DetailByDistrict[Dist],0),MATCH(L$2,DetailByDistrict[#Headers],0))*K490,2)</f>
        <v>64.98</v>
      </c>
      <c r="M490" s="59">
        <f>ROUND(INDEX(DetailByDistrict[],MATCH($H490,DetailByDistrict[Dist],0),MATCH(M$2,DetailByDistrict[#Headers],0))*K490,2)</f>
        <v>71.459999999999994</v>
      </c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spans="1:26" ht="15.75" customHeight="1" x14ac:dyDescent="0.25">
      <c r="A491" s="53">
        <v>10</v>
      </c>
      <c r="B491" s="54" t="s">
        <v>1090</v>
      </c>
      <c r="C491" s="54" t="s">
        <v>799</v>
      </c>
      <c r="D491" s="53">
        <v>1053</v>
      </c>
      <c r="E491" s="53">
        <v>8109</v>
      </c>
      <c r="F491" s="54" t="s">
        <v>1096</v>
      </c>
      <c r="G491" s="53" t="s">
        <v>145</v>
      </c>
      <c r="H491" s="58" t="str">
        <f>_xlfn.IFNA(INDEX(ActiveSchools!$C$2:$F$326,MATCH(G491,ActiveSchools!$F$2:$F$326,0),1),"Total")</f>
        <v>1053</v>
      </c>
      <c r="I491" s="53">
        <v>193</v>
      </c>
      <c r="J491" s="59">
        <f>_xlfn.IFNA(INDEX(DetailByDistrict[],MATCH($H491,DetailByDistrict[Dist],0),MATCH(J$2,DetailByDistrict[#Headers],0)),0)</f>
        <v>2073</v>
      </c>
      <c r="K491" s="54">
        <f t="shared" si="7"/>
        <v>9.310178485287024E-2</v>
      </c>
      <c r="L491" s="59">
        <f>ROUND(INDEX(DetailByDistrict[],MATCH($H491,DetailByDistrict[Dist],0),MATCH(L$2,DetailByDistrict[#Headers],0))*K491,2)</f>
        <v>12541.18</v>
      </c>
      <c r="M491" s="59">
        <f>ROUND(INDEX(DetailByDistrict[],MATCH($H491,DetailByDistrict[Dist],0),MATCH(M$2,DetailByDistrict[#Headers],0))*K491,2)</f>
        <v>13791.82</v>
      </c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spans="1:26" ht="15.75" customHeight="1" x14ac:dyDescent="0.25">
      <c r="A492" s="53">
        <v>10</v>
      </c>
      <c r="B492" s="54" t="s">
        <v>1090</v>
      </c>
      <c r="C492" s="54" t="s">
        <v>799</v>
      </c>
      <c r="D492" s="53">
        <v>1053</v>
      </c>
      <c r="E492" s="53">
        <v>8109</v>
      </c>
      <c r="F492" s="54" t="s">
        <v>1100</v>
      </c>
      <c r="G492" s="53" t="s">
        <v>149</v>
      </c>
      <c r="H492" s="58" t="str">
        <f>_xlfn.IFNA(INDEX(ActiveSchools!$C$2:$F$326,MATCH(G492,ActiveSchools!$F$2:$F$326,0),1),"Total")</f>
        <v>1337</v>
      </c>
      <c r="I492" s="53">
        <v>7</v>
      </c>
      <c r="J492" s="59">
        <f>_xlfn.IFNA(INDEX(DetailByDistrict[],MATCH($H492,DetailByDistrict[Dist],0),MATCH(J$2,DetailByDistrict[#Headers],0)),0)</f>
        <v>168</v>
      </c>
      <c r="K492" s="54">
        <f t="shared" si="7"/>
        <v>4.1666666666666664E-2</v>
      </c>
      <c r="L492" s="59">
        <f>ROUND(INDEX(DetailByDistrict[],MATCH($H492,DetailByDistrict[Dist],0),MATCH(L$2,DetailByDistrict[#Headers],0))*K492,2)</f>
        <v>454.88</v>
      </c>
      <c r="M492" s="59">
        <f>ROUND(INDEX(DetailByDistrict[],MATCH($H492,DetailByDistrict[Dist],0),MATCH(M$2,DetailByDistrict[#Headers],0))*K492,2)</f>
        <v>500.21</v>
      </c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spans="1:26" ht="15.75" customHeight="1" x14ac:dyDescent="0.25">
      <c r="A493" s="53">
        <v>10</v>
      </c>
      <c r="B493" s="54" t="s">
        <v>1090</v>
      </c>
      <c r="C493" s="54" t="s">
        <v>799</v>
      </c>
      <c r="D493" s="53">
        <v>1053</v>
      </c>
      <c r="E493" s="53">
        <v>8109</v>
      </c>
      <c r="F493" s="54" t="s">
        <v>1098</v>
      </c>
      <c r="G493" s="53" t="s">
        <v>156</v>
      </c>
      <c r="H493" s="58" t="str">
        <f>_xlfn.IFNA(INDEX(ActiveSchools!$C$2:$F$326,MATCH(G493,ActiveSchools!$F$2:$F$326,0),1),"Total")</f>
        <v>3715</v>
      </c>
      <c r="I493" s="53">
        <v>26</v>
      </c>
      <c r="J493" s="59">
        <f>_xlfn.IFNA(INDEX(DetailByDistrict[],MATCH($H493,DetailByDistrict[Dist],0),MATCH(J$2,DetailByDistrict[#Headers],0)),0)</f>
        <v>676</v>
      </c>
      <c r="K493" s="54">
        <f t="shared" si="7"/>
        <v>3.8461538461538464E-2</v>
      </c>
      <c r="L493" s="59">
        <f>ROUND(INDEX(DetailByDistrict[],MATCH($H493,DetailByDistrict[Dist],0),MATCH(L$2,DetailByDistrict[#Headers],0))*K493,2)</f>
        <v>1689.46</v>
      </c>
      <c r="M493" s="59">
        <f>ROUND(INDEX(DetailByDistrict[],MATCH($H493,DetailByDistrict[Dist],0),MATCH(M$2,DetailByDistrict[#Headers],0))*K493,2)</f>
        <v>1857.96</v>
      </c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spans="1:26" ht="15.75" customHeight="1" x14ac:dyDescent="0.25">
      <c r="A494" s="53">
        <v>10</v>
      </c>
      <c r="B494" s="54" t="s">
        <v>1090</v>
      </c>
      <c r="C494" s="54" t="s">
        <v>799</v>
      </c>
      <c r="D494" s="53">
        <v>1053</v>
      </c>
      <c r="E494" s="53">
        <v>8109</v>
      </c>
      <c r="F494" s="54" t="s">
        <v>1107</v>
      </c>
      <c r="G494" s="53" t="s">
        <v>159</v>
      </c>
      <c r="H494" s="58" t="str">
        <f>_xlfn.IFNA(INDEX(ActiveSchools!$C$2:$F$326,MATCH(G494,ActiveSchools!$F$2:$F$326,0),1),"Total")</f>
        <v>4086</v>
      </c>
      <c r="I494" s="53">
        <v>2</v>
      </c>
      <c r="J494" s="59">
        <f>_xlfn.IFNA(INDEX(DetailByDistrict[],MATCH($H494,DetailByDistrict[Dist],0),MATCH(J$2,DetailByDistrict[#Headers],0)),0)</f>
        <v>108</v>
      </c>
      <c r="K494" s="54">
        <f t="shared" si="7"/>
        <v>1.8518518518518517E-2</v>
      </c>
      <c r="L494" s="59">
        <f>ROUND(INDEX(DetailByDistrict[],MATCH($H494,DetailByDistrict[Dist],0),MATCH(L$2,DetailByDistrict[#Headers],0))*K494,2)</f>
        <v>129.96</v>
      </c>
      <c r="M494" s="59">
        <f>ROUND(INDEX(DetailByDistrict[],MATCH($H494,DetailByDistrict[Dist],0),MATCH(M$2,DetailByDistrict[#Headers],0))*K494,2)</f>
        <v>142.93</v>
      </c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spans="1:26" ht="15.75" customHeight="1" x14ac:dyDescent="0.25">
      <c r="A495" s="53">
        <v>10</v>
      </c>
      <c r="B495" s="54" t="s">
        <v>1090</v>
      </c>
      <c r="C495" s="54" t="s">
        <v>799</v>
      </c>
      <c r="D495" s="53">
        <v>1053</v>
      </c>
      <c r="E495" s="53">
        <v>8109</v>
      </c>
      <c r="F495" s="54" t="s">
        <v>1102</v>
      </c>
      <c r="G495" s="53" t="s">
        <v>163</v>
      </c>
      <c r="H495" s="58" t="str">
        <f>_xlfn.IFNA(INDEX(ActiveSchools!$C$2:$F$326,MATCH(G495,ActiveSchools!$F$2:$F$326,0),1),"Total")</f>
        <v>4554</v>
      </c>
      <c r="I495" s="53">
        <v>1</v>
      </c>
      <c r="J495" s="59">
        <f>_xlfn.IFNA(INDEX(DetailByDistrict[],MATCH($H495,DetailByDistrict[Dist],0),MATCH(J$2,DetailByDistrict[#Headers],0)),0)</f>
        <v>31</v>
      </c>
      <c r="K495" s="54">
        <f t="shared" si="7"/>
        <v>3.2258064516129031E-2</v>
      </c>
      <c r="L495" s="59">
        <f>ROUND(INDEX(DetailByDistrict[],MATCH($H495,DetailByDistrict[Dist],0),MATCH(L$2,DetailByDistrict[#Headers],0))*K495,2)</f>
        <v>64.97</v>
      </c>
      <c r="M495" s="59">
        <f>ROUND(INDEX(DetailByDistrict[],MATCH($H495,DetailByDistrict[Dist],0),MATCH(M$2,DetailByDistrict[#Headers],0))*K495,2)</f>
        <v>71.45</v>
      </c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spans="1:26" ht="15.75" customHeight="1" x14ac:dyDescent="0.25">
      <c r="A496" s="53">
        <v>10</v>
      </c>
      <c r="B496" s="54" t="s">
        <v>1090</v>
      </c>
      <c r="C496" s="54" t="s">
        <v>799</v>
      </c>
      <c r="D496" s="53">
        <v>1053</v>
      </c>
      <c r="E496" s="53">
        <v>8109</v>
      </c>
      <c r="F496" s="54" t="s">
        <v>1108</v>
      </c>
      <c r="G496" s="53" t="s">
        <v>167</v>
      </c>
      <c r="H496" s="58" t="str">
        <f>_xlfn.IFNA(INDEX(ActiveSchools!$C$2:$F$326,MATCH(G496,ActiveSchools!$F$2:$F$326,0),1),"Total")</f>
        <v>6093</v>
      </c>
      <c r="I496" s="53">
        <v>1</v>
      </c>
      <c r="J496" s="59">
        <f>_xlfn.IFNA(INDEX(DetailByDistrict[],MATCH($H496,DetailByDistrict[Dist],0),MATCH(J$2,DetailByDistrict[#Headers],0)),0)</f>
        <v>25</v>
      </c>
      <c r="K496" s="54">
        <f t="shared" si="7"/>
        <v>0.04</v>
      </c>
      <c r="L496" s="59">
        <f>ROUND(INDEX(DetailByDistrict[],MATCH($H496,DetailByDistrict[Dist],0),MATCH(L$2,DetailByDistrict[#Headers],0))*K496,2)</f>
        <v>65</v>
      </c>
      <c r="M496" s="59">
        <f>ROUND(INDEX(DetailByDistrict[],MATCH($H496,DetailByDistrict[Dist],0),MATCH(M$2,DetailByDistrict[#Headers],0))*K496,2)</f>
        <v>71.48</v>
      </c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spans="1:26" ht="15.75" customHeight="1" x14ac:dyDescent="0.25">
      <c r="A497" s="53">
        <v>10</v>
      </c>
      <c r="B497" s="54" t="s">
        <v>1090</v>
      </c>
      <c r="C497" s="54" t="s">
        <v>800</v>
      </c>
      <c r="D497" s="53">
        <v>1053</v>
      </c>
      <c r="E497" s="53">
        <v>8116</v>
      </c>
      <c r="F497" s="54" t="s">
        <v>1110</v>
      </c>
      <c r="G497" s="57" t="s">
        <v>141</v>
      </c>
      <c r="H497" s="58" t="str">
        <f>_xlfn.IFNA(INDEX(ActiveSchools!$C$2:$F$326,MATCH(G497,ActiveSchools!$F$2:$F$326,0),1),"Total")</f>
        <v>0099</v>
      </c>
      <c r="I497" s="53">
        <v>7</v>
      </c>
      <c r="J497" s="59">
        <f>_xlfn.IFNA(INDEX(DetailByDistrict[],MATCH($H497,DetailByDistrict[Dist],0),MATCH(J$2,DetailByDistrict[#Headers],0)),0)</f>
        <v>21</v>
      </c>
      <c r="K497" s="54">
        <f t="shared" si="7"/>
        <v>0.33333333333333331</v>
      </c>
      <c r="L497" s="59">
        <f>ROUND(INDEX(DetailByDistrict[],MATCH($H497,DetailByDistrict[Dist],0),MATCH(L$2,DetailByDistrict[#Headers],0))*K497,2)</f>
        <v>455</v>
      </c>
      <c r="M497" s="59">
        <f>ROUND(INDEX(DetailByDistrict[],MATCH($H497,DetailByDistrict[Dist],0),MATCH(M$2,DetailByDistrict[#Headers],0))*K497,2)</f>
        <v>500.33</v>
      </c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spans="1:26" ht="15.75" customHeight="1" x14ac:dyDescent="0.25">
      <c r="A498" s="53">
        <v>10</v>
      </c>
      <c r="B498" s="54" t="s">
        <v>1090</v>
      </c>
      <c r="C498" s="54" t="s">
        <v>800</v>
      </c>
      <c r="D498" s="53">
        <v>1053</v>
      </c>
      <c r="E498" s="53">
        <v>8116</v>
      </c>
      <c r="F498" s="54" t="s">
        <v>1096</v>
      </c>
      <c r="G498" s="53" t="s">
        <v>145</v>
      </c>
      <c r="H498" s="58" t="str">
        <f>_xlfn.IFNA(INDEX(ActiveSchools!$C$2:$F$326,MATCH(G498,ActiveSchools!$F$2:$F$326,0),1),"Total")</f>
        <v>1053</v>
      </c>
      <c r="I498" s="53">
        <v>244</v>
      </c>
      <c r="J498" s="59">
        <f>_xlfn.IFNA(INDEX(DetailByDistrict[],MATCH($H498,DetailByDistrict[Dist],0),MATCH(J$2,DetailByDistrict[#Headers],0)),0)</f>
        <v>2073</v>
      </c>
      <c r="K498" s="54">
        <f t="shared" si="7"/>
        <v>0.11770381090207428</v>
      </c>
      <c r="L498" s="59">
        <f>ROUND(INDEX(DetailByDistrict[],MATCH($H498,DetailByDistrict[Dist],0),MATCH(L$2,DetailByDistrict[#Headers],0))*K498,2)</f>
        <v>15855.17</v>
      </c>
      <c r="M498" s="59">
        <f>ROUND(INDEX(DetailByDistrict[],MATCH($H498,DetailByDistrict[Dist],0),MATCH(M$2,DetailByDistrict[#Headers],0))*K498,2)</f>
        <v>17436.29</v>
      </c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spans="1:26" ht="15.75" customHeight="1" x14ac:dyDescent="0.25">
      <c r="A499" s="53">
        <v>10</v>
      </c>
      <c r="B499" s="54" t="s">
        <v>1090</v>
      </c>
      <c r="C499" s="54" t="s">
        <v>800</v>
      </c>
      <c r="D499" s="53">
        <v>1053</v>
      </c>
      <c r="E499" s="53">
        <v>8116</v>
      </c>
      <c r="F499" s="54" t="s">
        <v>1104</v>
      </c>
      <c r="G499" s="53" t="s">
        <v>148</v>
      </c>
      <c r="H499" s="58" t="str">
        <f>_xlfn.IFNA(INDEX(ActiveSchools!$C$2:$F$326,MATCH(G499,ActiveSchools!$F$2:$F$326,0),1),"Total")</f>
        <v>1221</v>
      </c>
      <c r="I499" s="53">
        <v>1</v>
      </c>
      <c r="J499" s="59">
        <f>_xlfn.IFNA(INDEX(DetailByDistrict[],MATCH($H499,DetailByDistrict[Dist],0),MATCH(J$2,DetailByDistrict[#Headers],0)),0)</f>
        <v>71</v>
      </c>
      <c r="K499" s="54">
        <f t="shared" si="7"/>
        <v>1.4084507042253521E-2</v>
      </c>
      <c r="L499" s="59">
        <f>ROUND(INDEX(DetailByDistrict[],MATCH($H499,DetailByDistrict[Dist],0),MATCH(L$2,DetailByDistrict[#Headers],0))*K499,2)</f>
        <v>64.989999999999995</v>
      </c>
      <c r="M499" s="59">
        <f>ROUND(INDEX(DetailByDistrict[],MATCH($H499,DetailByDistrict[Dist],0),MATCH(M$2,DetailByDistrict[#Headers],0))*K499,2)</f>
        <v>71.459999999999994</v>
      </c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spans="1:26" ht="15.75" customHeight="1" x14ac:dyDescent="0.25">
      <c r="A500" s="53">
        <v>10</v>
      </c>
      <c r="B500" s="54" t="s">
        <v>1090</v>
      </c>
      <c r="C500" s="54" t="s">
        <v>800</v>
      </c>
      <c r="D500" s="53">
        <v>1053</v>
      </c>
      <c r="E500" s="53">
        <v>8116</v>
      </c>
      <c r="F500" s="54" t="s">
        <v>1100</v>
      </c>
      <c r="G500" s="53" t="s">
        <v>149</v>
      </c>
      <c r="H500" s="58" t="str">
        <f>_xlfn.IFNA(INDEX(ActiveSchools!$C$2:$F$326,MATCH(G500,ActiveSchools!$F$2:$F$326,0),1),"Total")</f>
        <v>1337</v>
      </c>
      <c r="I500" s="53">
        <v>7</v>
      </c>
      <c r="J500" s="59">
        <f>_xlfn.IFNA(INDEX(DetailByDistrict[],MATCH($H500,DetailByDistrict[Dist],0),MATCH(J$2,DetailByDistrict[#Headers],0)),0)</f>
        <v>168</v>
      </c>
      <c r="K500" s="54">
        <f t="shared" si="7"/>
        <v>4.1666666666666664E-2</v>
      </c>
      <c r="L500" s="59">
        <f>ROUND(INDEX(DetailByDistrict[],MATCH($H500,DetailByDistrict[Dist],0),MATCH(L$2,DetailByDistrict[#Headers],0))*K500,2)</f>
        <v>454.88</v>
      </c>
      <c r="M500" s="59">
        <f>ROUND(INDEX(DetailByDistrict[],MATCH($H500,DetailByDistrict[Dist],0),MATCH(M$2,DetailByDistrict[#Headers],0))*K500,2)</f>
        <v>500.21</v>
      </c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spans="1:26" ht="15.75" customHeight="1" x14ac:dyDescent="0.25">
      <c r="A501" s="53">
        <v>10</v>
      </c>
      <c r="B501" s="54" t="s">
        <v>1090</v>
      </c>
      <c r="C501" s="54" t="s">
        <v>800</v>
      </c>
      <c r="D501" s="53">
        <v>1053</v>
      </c>
      <c r="E501" s="53">
        <v>8116</v>
      </c>
      <c r="F501" s="54" t="s">
        <v>1106</v>
      </c>
      <c r="G501" s="53" t="s">
        <v>154</v>
      </c>
      <c r="H501" s="58" t="str">
        <f>_xlfn.IFNA(INDEX(ActiveSchools!$C$2:$F$326,MATCH(G501,ActiveSchools!$F$2:$F$326,0),1),"Total")</f>
        <v>3141</v>
      </c>
      <c r="I501" s="53">
        <v>1</v>
      </c>
      <c r="J501" s="59">
        <f>_xlfn.IFNA(INDEX(DetailByDistrict[],MATCH($H501,DetailByDistrict[Dist],0),MATCH(J$2,DetailByDistrict[#Headers],0)),0)</f>
        <v>1378</v>
      </c>
      <c r="K501" s="54">
        <f t="shared" si="7"/>
        <v>7.2568940493468795E-4</v>
      </c>
      <c r="L501" s="59">
        <f>ROUND(INDEX(DetailByDistrict[],MATCH($H501,DetailByDistrict[Dist],0),MATCH(L$2,DetailByDistrict[#Headers],0))*K501,2)</f>
        <v>64.98</v>
      </c>
      <c r="M501" s="59">
        <f>ROUND(INDEX(DetailByDistrict[],MATCH($H501,DetailByDistrict[Dist],0),MATCH(M$2,DetailByDistrict[#Headers],0))*K501,2)</f>
        <v>71.459999999999994</v>
      </c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spans="1:26" ht="15.75" customHeight="1" x14ac:dyDescent="0.25">
      <c r="A502" s="53">
        <v>10</v>
      </c>
      <c r="B502" s="54" t="s">
        <v>1090</v>
      </c>
      <c r="C502" s="54" t="s">
        <v>800</v>
      </c>
      <c r="D502" s="53">
        <v>1053</v>
      </c>
      <c r="E502" s="53">
        <v>8116</v>
      </c>
      <c r="F502" s="54" t="s">
        <v>1098</v>
      </c>
      <c r="G502" s="53" t="s">
        <v>156</v>
      </c>
      <c r="H502" s="58" t="str">
        <f>_xlfn.IFNA(INDEX(ActiveSchools!$C$2:$F$326,MATCH(G502,ActiveSchools!$F$2:$F$326,0),1),"Total")</f>
        <v>3715</v>
      </c>
      <c r="I502" s="53">
        <v>84</v>
      </c>
      <c r="J502" s="59">
        <f>_xlfn.IFNA(INDEX(DetailByDistrict[],MATCH($H502,DetailByDistrict[Dist],0),MATCH(J$2,DetailByDistrict[#Headers],0)),0)</f>
        <v>676</v>
      </c>
      <c r="K502" s="54">
        <f t="shared" si="7"/>
        <v>0.1242603550295858</v>
      </c>
      <c r="L502" s="59">
        <f>ROUND(INDEX(DetailByDistrict[],MATCH($H502,DetailByDistrict[Dist],0),MATCH(L$2,DetailByDistrict[#Headers],0))*K502,2)</f>
        <v>5458.26</v>
      </c>
      <c r="M502" s="59">
        <f>ROUND(INDEX(DetailByDistrict[],MATCH($H502,DetailByDistrict[Dist],0),MATCH(M$2,DetailByDistrict[#Headers],0))*K502,2)</f>
        <v>6002.64</v>
      </c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spans="1:26" ht="15.75" customHeight="1" x14ac:dyDescent="0.25">
      <c r="A503" s="53">
        <v>10</v>
      </c>
      <c r="B503" s="54" t="s">
        <v>1090</v>
      </c>
      <c r="C503" s="54" t="s">
        <v>800</v>
      </c>
      <c r="D503" s="53">
        <v>1053</v>
      </c>
      <c r="E503" s="53">
        <v>8116</v>
      </c>
      <c r="F503" s="54" t="s">
        <v>1107</v>
      </c>
      <c r="G503" s="53" t="s">
        <v>159</v>
      </c>
      <c r="H503" s="58" t="str">
        <f>_xlfn.IFNA(INDEX(ActiveSchools!$C$2:$F$326,MATCH(G503,ActiveSchools!$F$2:$F$326,0),1),"Total")</f>
        <v>4086</v>
      </c>
      <c r="I503" s="53">
        <v>11</v>
      </c>
      <c r="J503" s="59">
        <f>_xlfn.IFNA(INDEX(DetailByDistrict[],MATCH($H503,DetailByDistrict[Dist],0),MATCH(J$2,DetailByDistrict[#Headers],0)),0)</f>
        <v>108</v>
      </c>
      <c r="K503" s="54">
        <f t="shared" si="7"/>
        <v>0.10185185185185185</v>
      </c>
      <c r="L503" s="59">
        <f>ROUND(INDEX(DetailByDistrict[],MATCH($H503,DetailByDistrict[Dist],0),MATCH(L$2,DetailByDistrict[#Headers],0))*K503,2)</f>
        <v>714.8</v>
      </c>
      <c r="M503" s="59">
        <f>ROUND(INDEX(DetailByDistrict[],MATCH($H503,DetailByDistrict[Dist],0),MATCH(M$2,DetailByDistrict[#Headers],0))*K503,2)</f>
        <v>786.09</v>
      </c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spans="1:26" ht="15.75" customHeight="1" x14ac:dyDescent="0.25">
      <c r="A504" s="53">
        <v>10</v>
      </c>
      <c r="B504" s="54" t="s">
        <v>1090</v>
      </c>
      <c r="C504" s="54" t="s">
        <v>800</v>
      </c>
      <c r="D504" s="53">
        <v>1053</v>
      </c>
      <c r="E504" s="53">
        <v>8116</v>
      </c>
      <c r="F504" s="54" t="s">
        <v>1102</v>
      </c>
      <c r="G504" s="53" t="s">
        <v>163</v>
      </c>
      <c r="H504" s="58" t="str">
        <f>_xlfn.IFNA(INDEX(ActiveSchools!$C$2:$F$326,MATCH(G504,ActiveSchools!$F$2:$F$326,0),1),"Total")</f>
        <v>4554</v>
      </c>
      <c r="I504" s="53">
        <v>1</v>
      </c>
      <c r="J504" s="59">
        <f>_xlfn.IFNA(INDEX(DetailByDistrict[],MATCH($H504,DetailByDistrict[Dist],0),MATCH(J$2,DetailByDistrict[#Headers],0)),0)</f>
        <v>31</v>
      </c>
      <c r="K504" s="54">
        <f t="shared" si="7"/>
        <v>3.2258064516129031E-2</v>
      </c>
      <c r="L504" s="59">
        <f>ROUND(INDEX(DetailByDistrict[],MATCH($H504,DetailByDistrict[Dist],0),MATCH(L$2,DetailByDistrict[#Headers],0))*K504,2)</f>
        <v>64.97</v>
      </c>
      <c r="M504" s="59">
        <f>ROUND(INDEX(DetailByDistrict[],MATCH($H504,DetailByDistrict[Dist],0),MATCH(M$2,DetailByDistrict[#Headers],0))*K504,2)</f>
        <v>71.45</v>
      </c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spans="1:26" ht="15.75" customHeight="1" x14ac:dyDescent="0.25">
      <c r="A505" s="53">
        <v>10</v>
      </c>
      <c r="B505" s="54" t="s">
        <v>1090</v>
      </c>
      <c r="C505" s="54" t="s">
        <v>800</v>
      </c>
      <c r="D505" s="53">
        <v>1053</v>
      </c>
      <c r="E505" s="53">
        <v>8116</v>
      </c>
      <c r="F505" s="54" t="s">
        <v>1108</v>
      </c>
      <c r="G505" s="53" t="s">
        <v>167</v>
      </c>
      <c r="H505" s="58" t="str">
        <f>_xlfn.IFNA(INDEX(ActiveSchools!$C$2:$F$326,MATCH(G505,ActiveSchools!$F$2:$F$326,0),1),"Total")</f>
        <v>6093</v>
      </c>
      <c r="I505" s="53">
        <v>1</v>
      </c>
      <c r="J505" s="59">
        <f>_xlfn.IFNA(INDEX(DetailByDistrict[],MATCH($H505,DetailByDistrict[Dist],0),MATCH(J$2,DetailByDistrict[#Headers],0)),0)</f>
        <v>25</v>
      </c>
      <c r="K505" s="54">
        <f t="shared" si="7"/>
        <v>0.04</v>
      </c>
      <c r="L505" s="59">
        <f>ROUND(INDEX(DetailByDistrict[],MATCH($H505,DetailByDistrict[Dist],0),MATCH(L$2,DetailByDistrict[#Headers],0))*K505,2)</f>
        <v>65</v>
      </c>
      <c r="M505" s="59">
        <f>ROUND(INDEX(DetailByDistrict[],MATCH($H505,DetailByDistrict[Dist],0),MATCH(M$2,DetailByDistrict[#Headers],0))*K505,2)</f>
        <v>71.48</v>
      </c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spans="1:26" ht="15.75" customHeight="1" x14ac:dyDescent="0.25">
      <c r="A506" s="53">
        <v>10</v>
      </c>
      <c r="B506" s="54" t="s">
        <v>1090</v>
      </c>
      <c r="C506" s="54" t="s">
        <v>801</v>
      </c>
      <c r="D506" s="53">
        <v>1053</v>
      </c>
      <c r="E506" s="53">
        <v>8117</v>
      </c>
      <c r="F506" s="54" t="s">
        <v>1110</v>
      </c>
      <c r="G506" s="57" t="s">
        <v>141</v>
      </c>
      <c r="H506" s="58" t="str">
        <f>_xlfn.IFNA(INDEX(ActiveSchools!$C$2:$F$326,MATCH(G506,ActiveSchools!$F$2:$F$326,0),1),"Total")</f>
        <v>0099</v>
      </c>
      <c r="I506" s="53">
        <v>1</v>
      </c>
      <c r="J506" s="59">
        <f>_xlfn.IFNA(INDEX(DetailByDistrict[],MATCH($H506,DetailByDistrict[Dist],0),MATCH(J$2,DetailByDistrict[#Headers],0)),0)</f>
        <v>21</v>
      </c>
      <c r="K506" s="54">
        <f t="shared" si="7"/>
        <v>4.7619047619047616E-2</v>
      </c>
      <c r="L506" s="59">
        <f>ROUND(INDEX(DetailByDistrict[],MATCH($H506,DetailByDistrict[Dist],0),MATCH(L$2,DetailByDistrict[#Headers],0))*K506,2)</f>
        <v>65</v>
      </c>
      <c r="M506" s="59">
        <f>ROUND(INDEX(DetailByDistrict[],MATCH($H506,DetailByDistrict[Dist],0),MATCH(M$2,DetailByDistrict[#Headers],0))*K506,2)</f>
        <v>71.48</v>
      </c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spans="1:26" ht="15.75" customHeight="1" x14ac:dyDescent="0.25">
      <c r="A507" s="53">
        <v>10</v>
      </c>
      <c r="B507" s="54" t="s">
        <v>1090</v>
      </c>
      <c r="C507" s="54" t="s">
        <v>801</v>
      </c>
      <c r="D507" s="53">
        <v>1053</v>
      </c>
      <c r="E507" s="53">
        <v>8117</v>
      </c>
      <c r="F507" s="54" t="s">
        <v>1095</v>
      </c>
      <c r="G507" s="57" t="s">
        <v>144</v>
      </c>
      <c r="H507" s="58" t="str">
        <f>_xlfn.IFNA(INDEX(ActiveSchools!$C$2:$F$326,MATCH(G507,ActiveSchools!$F$2:$F$326,0),1),"Total")</f>
        <v>0609</v>
      </c>
      <c r="I507" s="53">
        <v>7</v>
      </c>
      <c r="J507" s="59">
        <f>_xlfn.IFNA(INDEX(DetailByDistrict[],MATCH($H507,DetailByDistrict[Dist],0),MATCH(J$2,DetailByDistrict[#Headers],0)),0)</f>
        <v>140</v>
      </c>
      <c r="K507" s="54">
        <f t="shared" si="7"/>
        <v>0.05</v>
      </c>
      <c r="L507" s="59">
        <f>ROUND(INDEX(DetailByDistrict[],MATCH($H507,DetailByDistrict[Dist],0),MATCH(L$2,DetailByDistrict[#Headers],0))*K507,2)</f>
        <v>454.85</v>
      </c>
      <c r="M507" s="59">
        <f>ROUND(INDEX(DetailByDistrict[],MATCH($H507,DetailByDistrict[Dist],0),MATCH(M$2,DetailByDistrict[#Headers],0))*K507,2)</f>
        <v>500.2</v>
      </c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spans="1:26" ht="15.75" customHeight="1" x14ac:dyDescent="0.25">
      <c r="A508" s="53">
        <v>10</v>
      </c>
      <c r="B508" s="54" t="s">
        <v>1090</v>
      </c>
      <c r="C508" s="54" t="s">
        <v>801</v>
      </c>
      <c r="D508" s="53">
        <v>1053</v>
      </c>
      <c r="E508" s="53">
        <v>8117</v>
      </c>
      <c r="F508" s="54" t="s">
        <v>1096</v>
      </c>
      <c r="G508" s="53" t="s">
        <v>145</v>
      </c>
      <c r="H508" s="58" t="str">
        <f>_xlfn.IFNA(INDEX(ActiveSchools!$C$2:$F$326,MATCH(G508,ActiveSchools!$F$2:$F$326,0),1),"Total")</f>
        <v>1053</v>
      </c>
      <c r="I508" s="53">
        <v>160</v>
      </c>
      <c r="J508" s="59">
        <f>_xlfn.IFNA(INDEX(DetailByDistrict[],MATCH($H508,DetailByDistrict[Dist],0),MATCH(J$2,DetailByDistrict[#Headers],0)),0)</f>
        <v>2073</v>
      </c>
      <c r="K508" s="54">
        <f t="shared" si="7"/>
        <v>7.7182826821032322E-2</v>
      </c>
      <c r="L508" s="59">
        <f>ROUND(INDEX(DetailByDistrict[],MATCH($H508,DetailByDistrict[Dist],0),MATCH(L$2,DetailByDistrict[#Headers],0))*K508,2)</f>
        <v>10396.84</v>
      </c>
      <c r="M508" s="59">
        <f>ROUND(INDEX(DetailByDistrict[],MATCH($H508,DetailByDistrict[Dist],0),MATCH(M$2,DetailByDistrict[#Headers],0))*K508,2)</f>
        <v>11433.63</v>
      </c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spans="1:26" ht="15.75" customHeight="1" x14ac:dyDescent="0.25">
      <c r="A509" s="53">
        <v>10</v>
      </c>
      <c r="B509" s="54" t="s">
        <v>1090</v>
      </c>
      <c r="C509" s="54" t="s">
        <v>801</v>
      </c>
      <c r="D509" s="53">
        <v>1053</v>
      </c>
      <c r="E509" s="53">
        <v>8117</v>
      </c>
      <c r="F509" s="54" t="s">
        <v>1100</v>
      </c>
      <c r="G509" s="53" t="s">
        <v>149</v>
      </c>
      <c r="H509" s="58" t="str">
        <f>_xlfn.IFNA(INDEX(ActiveSchools!$C$2:$F$326,MATCH(G509,ActiveSchools!$F$2:$F$326,0),1),"Total")</f>
        <v>1337</v>
      </c>
      <c r="I509" s="53">
        <v>24</v>
      </c>
      <c r="J509" s="59">
        <f>_xlfn.IFNA(INDEX(DetailByDistrict[],MATCH($H509,DetailByDistrict[Dist],0),MATCH(J$2,DetailByDistrict[#Headers],0)),0)</f>
        <v>168</v>
      </c>
      <c r="K509" s="54">
        <f t="shared" si="7"/>
        <v>0.14285714285714285</v>
      </c>
      <c r="L509" s="59">
        <f>ROUND(INDEX(DetailByDistrict[],MATCH($H509,DetailByDistrict[Dist],0),MATCH(L$2,DetailByDistrict[#Headers],0))*K509,2)</f>
        <v>1559.57</v>
      </c>
      <c r="M509" s="59">
        <f>ROUND(INDEX(DetailByDistrict[],MATCH($H509,DetailByDistrict[Dist],0),MATCH(M$2,DetailByDistrict[#Headers],0))*K509,2)</f>
        <v>1715</v>
      </c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spans="1:26" ht="15.75" customHeight="1" x14ac:dyDescent="0.25">
      <c r="A510" s="53">
        <v>10</v>
      </c>
      <c r="B510" s="54" t="s">
        <v>1090</v>
      </c>
      <c r="C510" s="54" t="s">
        <v>801</v>
      </c>
      <c r="D510" s="53">
        <v>1053</v>
      </c>
      <c r="E510" s="53">
        <v>8117</v>
      </c>
      <c r="F510" s="54" t="s">
        <v>1098</v>
      </c>
      <c r="G510" s="53" t="s">
        <v>156</v>
      </c>
      <c r="H510" s="58" t="str">
        <f>_xlfn.IFNA(INDEX(ActiveSchools!$C$2:$F$326,MATCH(G510,ActiveSchools!$F$2:$F$326,0),1),"Total")</f>
        <v>3715</v>
      </c>
      <c r="I510" s="53">
        <v>6</v>
      </c>
      <c r="J510" s="59">
        <f>_xlfn.IFNA(INDEX(DetailByDistrict[],MATCH($H510,DetailByDistrict[Dist],0),MATCH(J$2,DetailByDistrict[#Headers],0)),0)</f>
        <v>676</v>
      </c>
      <c r="K510" s="54">
        <f t="shared" si="7"/>
        <v>8.8757396449704144E-3</v>
      </c>
      <c r="L510" s="59">
        <f>ROUND(INDEX(DetailByDistrict[],MATCH($H510,DetailByDistrict[Dist],0),MATCH(L$2,DetailByDistrict[#Headers],0))*K510,2)</f>
        <v>389.88</v>
      </c>
      <c r="M510" s="59">
        <f>ROUND(INDEX(DetailByDistrict[],MATCH($H510,DetailByDistrict[Dist],0),MATCH(M$2,DetailByDistrict[#Headers],0))*K510,2)</f>
        <v>428.76</v>
      </c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spans="1:26" ht="15.75" customHeight="1" x14ac:dyDescent="0.25">
      <c r="A511" s="53">
        <v>10</v>
      </c>
      <c r="B511" s="54" t="s">
        <v>1090</v>
      </c>
      <c r="C511" s="54" t="s">
        <v>801</v>
      </c>
      <c r="D511" s="53">
        <v>1053</v>
      </c>
      <c r="E511" s="53">
        <v>8117</v>
      </c>
      <c r="F511" s="54" t="s">
        <v>1107</v>
      </c>
      <c r="G511" s="53" t="s">
        <v>159</v>
      </c>
      <c r="H511" s="58" t="str">
        <f>_xlfn.IFNA(INDEX(ActiveSchools!$C$2:$F$326,MATCH(G511,ActiveSchools!$F$2:$F$326,0),1),"Total")</f>
        <v>4086</v>
      </c>
      <c r="I511" s="53">
        <v>1</v>
      </c>
      <c r="J511" s="59">
        <f>_xlfn.IFNA(INDEX(DetailByDistrict[],MATCH($H511,DetailByDistrict[Dist],0),MATCH(J$2,DetailByDistrict[#Headers],0)),0)</f>
        <v>108</v>
      </c>
      <c r="K511" s="54">
        <f t="shared" si="7"/>
        <v>9.2592592592592587E-3</v>
      </c>
      <c r="L511" s="59">
        <f>ROUND(INDEX(DetailByDistrict[],MATCH($H511,DetailByDistrict[Dist],0),MATCH(L$2,DetailByDistrict[#Headers],0))*K511,2)</f>
        <v>64.98</v>
      </c>
      <c r="M511" s="59">
        <f>ROUND(INDEX(DetailByDistrict[],MATCH($H511,DetailByDistrict[Dist],0),MATCH(M$2,DetailByDistrict[#Headers],0))*K511,2)</f>
        <v>71.459999999999994</v>
      </c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spans="1:26" ht="15.75" customHeight="1" x14ac:dyDescent="0.25">
      <c r="A512" s="53">
        <v>10</v>
      </c>
      <c r="B512" s="54" t="s">
        <v>1090</v>
      </c>
      <c r="C512" s="54" t="s">
        <v>801</v>
      </c>
      <c r="D512" s="53">
        <v>1053</v>
      </c>
      <c r="E512" s="53">
        <v>8117</v>
      </c>
      <c r="F512" s="54" t="s">
        <v>1111</v>
      </c>
      <c r="G512" s="53" t="s">
        <v>165</v>
      </c>
      <c r="H512" s="58" t="str">
        <f>_xlfn.IFNA(INDEX(ActiveSchools!$C$2:$F$326,MATCH(G512,ActiveSchools!$F$2:$F$326,0),1),"Total")</f>
        <v>4777</v>
      </c>
      <c r="I512" s="53">
        <v>1</v>
      </c>
      <c r="J512" s="59">
        <f>_xlfn.IFNA(INDEX(DetailByDistrict[],MATCH($H512,DetailByDistrict[Dist],0),MATCH(J$2,DetailByDistrict[#Headers],0)),0)</f>
        <v>5</v>
      </c>
      <c r="K512" s="54">
        <f t="shared" si="7"/>
        <v>0.2</v>
      </c>
      <c r="L512" s="59">
        <f>ROUND(INDEX(DetailByDistrict[],MATCH($H512,DetailByDistrict[Dist],0),MATCH(L$2,DetailByDistrict[#Headers],0))*K512,2)</f>
        <v>65</v>
      </c>
      <c r="M512" s="59">
        <f>ROUND(INDEX(DetailByDistrict[],MATCH($H512,DetailByDistrict[Dist],0),MATCH(M$2,DetailByDistrict[#Headers],0))*K512,2)</f>
        <v>71.400000000000006</v>
      </c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spans="1:26" ht="15.75" customHeight="1" x14ac:dyDescent="0.25">
      <c r="A513" s="53">
        <v>10</v>
      </c>
      <c r="B513" s="54" t="s">
        <v>1090</v>
      </c>
      <c r="C513" s="54" t="s">
        <v>802</v>
      </c>
      <c r="D513" s="53">
        <v>1053</v>
      </c>
      <c r="E513" s="53">
        <v>8200</v>
      </c>
      <c r="F513" s="54" t="s">
        <v>1110</v>
      </c>
      <c r="G513" s="57" t="s">
        <v>141</v>
      </c>
      <c r="H513" s="58" t="str">
        <f>_xlfn.IFNA(INDEX(ActiveSchools!$C$2:$F$326,MATCH(G513,ActiveSchools!$F$2:$F$326,0),1),"Total")</f>
        <v>0099</v>
      </c>
      <c r="I513" s="53">
        <v>1</v>
      </c>
      <c r="J513" s="59">
        <f>_xlfn.IFNA(INDEX(DetailByDistrict[],MATCH($H513,DetailByDistrict[Dist],0),MATCH(J$2,DetailByDistrict[#Headers],0)),0)</f>
        <v>21</v>
      </c>
      <c r="K513" s="54">
        <f t="shared" si="7"/>
        <v>4.7619047619047616E-2</v>
      </c>
      <c r="L513" s="59">
        <f>ROUND(INDEX(DetailByDistrict[],MATCH($H513,DetailByDistrict[Dist],0),MATCH(L$2,DetailByDistrict[#Headers],0))*K513,2)</f>
        <v>65</v>
      </c>
      <c r="M513" s="59">
        <f>ROUND(INDEX(DetailByDistrict[],MATCH($H513,DetailByDistrict[Dist],0),MATCH(M$2,DetailByDistrict[#Headers],0))*K513,2)</f>
        <v>71.48</v>
      </c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spans="1:26" ht="15.75" customHeight="1" x14ac:dyDescent="0.25">
      <c r="A514" s="53">
        <v>10</v>
      </c>
      <c r="B514" s="54" t="s">
        <v>1090</v>
      </c>
      <c r="C514" s="54" t="s">
        <v>802</v>
      </c>
      <c r="D514" s="53">
        <v>1053</v>
      </c>
      <c r="E514" s="53">
        <v>8200</v>
      </c>
      <c r="F514" s="54" t="s">
        <v>1096</v>
      </c>
      <c r="G514" s="53" t="s">
        <v>145</v>
      </c>
      <c r="H514" s="58" t="str">
        <f>_xlfn.IFNA(INDEX(ActiveSchools!$C$2:$F$326,MATCH(G514,ActiveSchools!$F$2:$F$326,0),1),"Total")</f>
        <v>1053</v>
      </c>
      <c r="I514" s="53">
        <v>82</v>
      </c>
      <c r="J514" s="59">
        <f>_xlfn.IFNA(INDEX(DetailByDistrict[],MATCH($H514,DetailByDistrict[Dist],0),MATCH(J$2,DetailByDistrict[#Headers],0)),0)</f>
        <v>2073</v>
      </c>
      <c r="K514" s="54">
        <f t="shared" si="7"/>
        <v>3.9556198745779064E-2</v>
      </c>
      <c r="L514" s="59">
        <f>ROUND(INDEX(DetailByDistrict[],MATCH($H514,DetailByDistrict[Dist],0),MATCH(L$2,DetailByDistrict[#Headers],0))*K514,2)</f>
        <v>5328.38</v>
      </c>
      <c r="M514" s="59">
        <f>ROUND(INDEX(DetailByDistrict[],MATCH($H514,DetailByDistrict[Dist],0),MATCH(M$2,DetailByDistrict[#Headers],0))*K514,2)</f>
        <v>5859.74</v>
      </c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spans="1:26" ht="15.75" customHeight="1" x14ac:dyDescent="0.25">
      <c r="A515" s="53">
        <v>10</v>
      </c>
      <c r="B515" s="54" t="s">
        <v>1090</v>
      </c>
      <c r="C515" s="54" t="s">
        <v>802</v>
      </c>
      <c r="D515" s="53">
        <v>1053</v>
      </c>
      <c r="E515" s="53">
        <v>8200</v>
      </c>
      <c r="F515" s="54" t="s">
        <v>1100</v>
      </c>
      <c r="G515" s="53" t="s">
        <v>149</v>
      </c>
      <c r="H515" s="58" t="str">
        <f>_xlfn.IFNA(INDEX(ActiveSchools!$C$2:$F$326,MATCH(G515,ActiveSchools!$F$2:$F$326,0),1),"Total")</f>
        <v>1337</v>
      </c>
      <c r="I515" s="53">
        <v>3</v>
      </c>
      <c r="J515" s="59">
        <f>_xlfn.IFNA(INDEX(DetailByDistrict[],MATCH($H515,DetailByDistrict[Dist],0),MATCH(J$2,DetailByDistrict[#Headers],0)),0)</f>
        <v>168</v>
      </c>
      <c r="K515" s="54">
        <f t="shared" si="7"/>
        <v>1.7857142857142856E-2</v>
      </c>
      <c r="L515" s="59">
        <f>ROUND(INDEX(DetailByDistrict[],MATCH($H515,DetailByDistrict[Dist],0),MATCH(L$2,DetailByDistrict[#Headers],0))*K515,2)</f>
        <v>194.95</v>
      </c>
      <c r="M515" s="59">
        <f>ROUND(INDEX(DetailByDistrict[],MATCH($H515,DetailByDistrict[Dist],0),MATCH(M$2,DetailByDistrict[#Headers],0))*K515,2)</f>
        <v>214.38</v>
      </c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spans="1:26" ht="15.75" customHeight="1" x14ac:dyDescent="0.25">
      <c r="A516" s="53">
        <v>10</v>
      </c>
      <c r="B516" s="54" t="s">
        <v>1090</v>
      </c>
      <c r="C516" s="54" t="s">
        <v>802</v>
      </c>
      <c r="D516" s="53">
        <v>1053</v>
      </c>
      <c r="E516" s="53">
        <v>8200</v>
      </c>
      <c r="F516" s="54" t="s">
        <v>1098</v>
      </c>
      <c r="G516" s="53" t="s">
        <v>156</v>
      </c>
      <c r="H516" s="58" t="str">
        <f>_xlfn.IFNA(INDEX(ActiveSchools!$C$2:$F$326,MATCH(G516,ActiveSchools!$F$2:$F$326,0),1),"Total")</f>
        <v>3715</v>
      </c>
      <c r="I516" s="53">
        <v>22</v>
      </c>
      <c r="J516" s="59">
        <f>_xlfn.IFNA(INDEX(DetailByDistrict[],MATCH($H516,DetailByDistrict[Dist],0),MATCH(J$2,DetailByDistrict[#Headers],0)),0)</f>
        <v>676</v>
      </c>
      <c r="K516" s="54">
        <f t="shared" ref="K516:K579" si="8">I516/J516</f>
        <v>3.2544378698224852E-2</v>
      </c>
      <c r="L516" s="59">
        <f>ROUND(INDEX(DetailByDistrict[],MATCH($H516,DetailByDistrict[Dist],0),MATCH(L$2,DetailByDistrict[#Headers],0))*K516,2)</f>
        <v>1429.54</v>
      </c>
      <c r="M516" s="59">
        <f>ROUND(INDEX(DetailByDistrict[],MATCH($H516,DetailByDistrict[Dist],0),MATCH(M$2,DetailByDistrict[#Headers],0))*K516,2)</f>
        <v>1572.12</v>
      </c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spans="1:26" ht="15.75" customHeight="1" x14ac:dyDescent="0.25">
      <c r="A517" s="53">
        <v>10</v>
      </c>
      <c r="B517" s="54" t="s">
        <v>1090</v>
      </c>
      <c r="C517" s="54" t="s">
        <v>802</v>
      </c>
      <c r="D517" s="53">
        <v>1053</v>
      </c>
      <c r="E517" s="53">
        <v>8200</v>
      </c>
      <c r="F517" s="54" t="s">
        <v>1107</v>
      </c>
      <c r="G517" s="53" t="s">
        <v>159</v>
      </c>
      <c r="H517" s="58" t="str">
        <f>_xlfn.IFNA(INDEX(ActiveSchools!$C$2:$F$326,MATCH(G517,ActiveSchools!$F$2:$F$326,0),1),"Total")</f>
        <v>4086</v>
      </c>
      <c r="I517" s="53">
        <v>2</v>
      </c>
      <c r="J517" s="59">
        <f>_xlfn.IFNA(INDEX(DetailByDistrict[],MATCH($H517,DetailByDistrict[Dist],0),MATCH(J$2,DetailByDistrict[#Headers],0)),0)</f>
        <v>108</v>
      </c>
      <c r="K517" s="54">
        <f t="shared" si="8"/>
        <v>1.8518518518518517E-2</v>
      </c>
      <c r="L517" s="59">
        <f>ROUND(INDEX(DetailByDistrict[],MATCH($H517,DetailByDistrict[Dist],0),MATCH(L$2,DetailByDistrict[#Headers],0))*K517,2)</f>
        <v>129.96</v>
      </c>
      <c r="M517" s="59">
        <f>ROUND(INDEX(DetailByDistrict[],MATCH($H517,DetailByDistrict[Dist],0),MATCH(M$2,DetailByDistrict[#Headers],0))*K517,2)</f>
        <v>142.93</v>
      </c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spans="1:26" ht="15.75" customHeight="1" x14ac:dyDescent="0.25">
      <c r="A518" s="53">
        <v>10</v>
      </c>
      <c r="B518" s="54" t="s">
        <v>1090</v>
      </c>
      <c r="C518" s="54" t="s">
        <v>802</v>
      </c>
      <c r="D518" s="53">
        <v>1053</v>
      </c>
      <c r="E518" s="53">
        <v>8200</v>
      </c>
      <c r="F518" s="54" t="s">
        <v>1108</v>
      </c>
      <c r="G518" s="53" t="s">
        <v>167</v>
      </c>
      <c r="H518" s="58" t="str">
        <f>_xlfn.IFNA(INDEX(ActiveSchools!$C$2:$F$326,MATCH(G518,ActiveSchools!$F$2:$F$326,0),1),"Total")</f>
        <v>6093</v>
      </c>
      <c r="I518" s="53">
        <v>2</v>
      </c>
      <c r="J518" s="59">
        <f>_xlfn.IFNA(INDEX(DetailByDistrict[],MATCH($H518,DetailByDistrict[Dist],0),MATCH(J$2,DetailByDistrict[#Headers],0)),0)</f>
        <v>25</v>
      </c>
      <c r="K518" s="54">
        <f t="shared" si="8"/>
        <v>0.08</v>
      </c>
      <c r="L518" s="59">
        <f>ROUND(INDEX(DetailByDistrict[],MATCH($H518,DetailByDistrict[Dist],0),MATCH(L$2,DetailByDistrict[#Headers],0))*K518,2)</f>
        <v>130</v>
      </c>
      <c r="M518" s="59">
        <f>ROUND(INDEX(DetailByDistrict[],MATCH($H518,DetailByDistrict[Dist],0),MATCH(M$2,DetailByDistrict[#Headers],0))*K518,2)</f>
        <v>142.96</v>
      </c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spans="1:26" ht="15.75" customHeight="1" x14ac:dyDescent="0.25">
      <c r="A519" s="53">
        <v>10</v>
      </c>
      <c r="B519" s="54" t="s">
        <v>1090</v>
      </c>
      <c r="C519" s="54" t="s">
        <v>784</v>
      </c>
      <c r="D519" s="53">
        <v>1053</v>
      </c>
      <c r="E519" s="53">
        <v>8214</v>
      </c>
      <c r="F519" s="54" t="s">
        <v>1091</v>
      </c>
      <c r="G519" s="57" t="s">
        <v>142</v>
      </c>
      <c r="H519" s="58" t="str">
        <f>_xlfn.IFNA(INDEX(ActiveSchools!$C$2:$F$326,MATCH(G519,ActiveSchools!$F$2:$F$326,0),1),"Total")</f>
        <v>0234</v>
      </c>
      <c r="I519" s="53">
        <v>2</v>
      </c>
      <c r="J519" s="59">
        <f>_xlfn.IFNA(INDEX(DetailByDistrict[],MATCH($H519,DetailByDistrict[Dist],0),MATCH(J$2,DetailByDistrict[#Headers],0)),0)</f>
        <v>68</v>
      </c>
      <c r="K519" s="54">
        <f t="shared" si="8"/>
        <v>2.9411764705882353E-2</v>
      </c>
      <c r="L519" s="59">
        <f>ROUND(INDEX(DetailByDistrict[],MATCH($H519,DetailByDistrict[Dist],0),MATCH(L$2,DetailByDistrict[#Headers],0))*K519,2)</f>
        <v>129.97</v>
      </c>
      <c r="M519" s="59">
        <f>ROUND(INDEX(DetailByDistrict[],MATCH($H519,DetailByDistrict[Dist],0),MATCH(M$2,DetailByDistrict[#Headers],0))*K519,2)</f>
        <v>142.91</v>
      </c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spans="1:26" ht="15.75" customHeight="1" x14ac:dyDescent="0.25">
      <c r="A520" s="53">
        <v>10</v>
      </c>
      <c r="B520" s="54" t="s">
        <v>1090</v>
      </c>
      <c r="C520" s="54" t="s">
        <v>784</v>
      </c>
      <c r="D520" s="53">
        <v>1053</v>
      </c>
      <c r="E520" s="53">
        <v>8214</v>
      </c>
      <c r="F520" s="54" t="s">
        <v>1096</v>
      </c>
      <c r="G520" s="53" t="s">
        <v>145</v>
      </c>
      <c r="H520" s="58" t="str">
        <f>_xlfn.IFNA(INDEX(ActiveSchools!$C$2:$F$326,MATCH(G520,ActiveSchools!$F$2:$F$326,0),1),"Total")</f>
        <v>1053</v>
      </c>
      <c r="I520" s="53">
        <v>144</v>
      </c>
      <c r="J520" s="59">
        <f>_xlfn.IFNA(INDEX(DetailByDistrict[],MATCH($H520,DetailByDistrict[Dist],0),MATCH(J$2,DetailByDistrict[#Headers],0)),0)</f>
        <v>2073</v>
      </c>
      <c r="K520" s="54">
        <f t="shared" si="8"/>
        <v>6.9464544138929094E-2</v>
      </c>
      <c r="L520" s="59">
        <f>ROUND(INDEX(DetailByDistrict[],MATCH($H520,DetailByDistrict[Dist],0),MATCH(L$2,DetailByDistrict[#Headers],0))*K520,2)</f>
        <v>9357.15</v>
      </c>
      <c r="M520" s="59">
        <f>ROUND(INDEX(DetailByDistrict[],MATCH($H520,DetailByDistrict[Dist],0),MATCH(M$2,DetailByDistrict[#Headers],0))*K520,2)</f>
        <v>10290.27</v>
      </c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spans="1:26" ht="15.75" customHeight="1" x14ac:dyDescent="0.25">
      <c r="A521" s="53">
        <v>10</v>
      </c>
      <c r="B521" s="54" t="s">
        <v>1090</v>
      </c>
      <c r="C521" s="54" t="s">
        <v>784</v>
      </c>
      <c r="D521" s="53">
        <v>1053</v>
      </c>
      <c r="E521" s="53">
        <v>8214</v>
      </c>
      <c r="F521" s="54" t="s">
        <v>1100</v>
      </c>
      <c r="G521" s="53" t="s">
        <v>149</v>
      </c>
      <c r="H521" s="58" t="str">
        <f>_xlfn.IFNA(INDEX(ActiveSchools!$C$2:$F$326,MATCH(G521,ActiveSchools!$F$2:$F$326,0),1),"Total")</f>
        <v>1337</v>
      </c>
      <c r="I521" s="53">
        <v>10</v>
      </c>
      <c r="J521" s="59">
        <f>_xlfn.IFNA(INDEX(DetailByDistrict[],MATCH($H521,DetailByDistrict[Dist],0),MATCH(J$2,DetailByDistrict[#Headers],0)),0)</f>
        <v>168</v>
      </c>
      <c r="K521" s="54">
        <f t="shared" si="8"/>
        <v>5.9523809523809521E-2</v>
      </c>
      <c r="L521" s="59">
        <f>ROUND(INDEX(DetailByDistrict[],MATCH($H521,DetailByDistrict[Dist],0),MATCH(L$2,DetailByDistrict[#Headers],0))*K521,2)</f>
        <v>649.82000000000005</v>
      </c>
      <c r="M521" s="59">
        <f>ROUND(INDEX(DetailByDistrict[],MATCH($H521,DetailByDistrict[Dist],0),MATCH(M$2,DetailByDistrict[#Headers],0))*K521,2)</f>
        <v>714.58</v>
      </c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spans="1:26" ht="15.75" customHeight="1" x14ac:dyDescent="0.25">
      <c r="A522" s="53">
        <v>10</v>
      </c>
      <c r="B522" s="54" t="s">
        <v>1090</v>
      </c>
      <c r="C522" s="54" t="s">
        <v>784</v>
      </c>
      <c r="D522" s="53">
        <v>1053</v>
      </c>
      <c r="E522" s="53">
        <v>8214</v>
      </c>
      <c r="F522" s="54" t="s">
        <v>1098</v>
      </c>
      <c r="G522" s="53" t="s">
        <v>156</v>
      </c>
      <c r="H522" s="58" t="str">
        <f>_xlfn.IFNA(INDEX(ActiveSchools!$C$2:$F$326,MATCH(G522,ActiveSchools!$F$2:$F$326,0),1),"Total")</f>
        <v>3715</v>
      </c>
      <c r="I522" s="53">
        <v>24</v>
      </c>
      <c r="J522" s="59">
        <f>_xlfn.IFNA(INDEX(DetailByDistrict[],MATCH($H522,DetailByDistrict[Dist],0),MATCH(J$2,DetailByDistrict[#Headers],0)),0)</f>
        <v>676</v>
      </c>
      <c r="K522" s="54">
        <f t="shared" si="8"/>
        <v>3.5502958579881658E-2</v>
      </c>
      <c r="L522" s="59">
        <f>ROUND(INDEX(DetailByDistrict[],MATCH($H522,DetailByDistrict[Dist],0),MATCH(L$2,DetailByDistrict[#Headers],0))*K522,2)</f>
        <v>1559.5</v>
      </c>
      <c r="M522" s="59">
        <f>ROUND(INDEX(DetailByDistrict[],MATCH($H522,DetailByDistrict[Dist],0),MATCH(M$2,DetailByDistrict[#Headers],0))*K522,2)</f>
        <v>1715.04</v>
      </c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spans="1:26" ht="15.75" customHeight="1" x14ac:dyDescent="0.25">
      <c r="A523" s="53">
        <v>10</v>
      </c>
      <c r="B523" s="54" t="s">
        <v>1090</v>
      </c>
      <c r="C523" s="54" t="s">
        <v>784</v>
      </c>
      <c r="D523" s="53">
        <v>1053</v>
      </c>
      <c r="E523" s="53">
        <v>8214</v>
      </c>
      <c r="F523" s="54" t="s">
        <v>1107</v>
      </c>
      <c r="G523" s="53" t="s">
        <v>159</v>
      </c>
      <c r="H523" s="58" t="str">
        <f>_xlfn.IFNA(INDEX(ActiveSchools!$C$2:$F$326,MATCH(G523,ActiveSchools!$F$2:$F$326,0),1),"Total")</f>
        <v>4086</v>
      </c>
      <c r="I523" s="53">
        <v>7</v>
      </c>
      <c r="J523" s="59">
        <f>_xlfn.IFNA(INDEX(DetailByDistrict[],MATCH($H523,DetailByDistrict[Dist],0),MATCH(J$2,DetailByDistrict[#Headers],0)),0)</f>
        <v>108</v>
      </c>
      <c r="K523" s="54">
        <f t="shared" si="8"/>
        <v>6.4814814814814811E-2</v>
      </c>
      <c r="L523" s="59">
        <f>ROUND(INDEX(DetailByDistrict[],MATCH($H523,DetailByDistrict[Dist],0),MATCH(L$2,DetailByDistrict[#Headers],0))*K523,2)</f>
        <v>454.87</v>
      </c>
      <c r="M523" s="59">
        <f>ROUND(INDEX(DetailByDistrict[],MATCH($H523,DetailByDistrict[Dist],0),MATCH(M$2,DetailByDistrict[#Headers],0))*K523,2)</f>
        <v>500.24</v>
      </c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spans="1:26" ht="15.75" customHeight="1" x14ac:dyDescent="0.25">
      <c r="A524" s="53">
        <v>10</v>
      </c>
      <c r="B524" s="54" t="s">
        <v>1090</v>
      </c>
      <c r="C524" s="54" t="s">
        <v>784</v>
      </c>
      <c r="D524" s="53">
        <v>1053</v>
      </c>
      <c r="E524" s="53">
        <v>8214</v>
      </c>
      <c r="F524" s="54" t="s">
        <v>1102</v>
      </c>
      <c r="G524" s="53" t="s">
        <v>163</v>
      </c>
      <c r="H524" s="58" t="str">
        <f>_xlfn.IFNA(INDEX(ActiveSchools!$C$2:$F$326,MATCH(G524,ActiveSchools!$F$2:$F$326,0),1),"Total")</f>
        <v>4554</v>
      </c>
      <c r="I524" s="53">
        <v>2</v>
      </c>
      <c r="J524" s="59">
        <f>_xlfn.IFNA(INDEX(DetailByDistrict[],MATCH($H524,DetailByDistrict[Dist],0),MATCH(J$2,DetailByDistrict[#Headers],0)),0)</f>
        <v>31</v>
      </c>
      <c r="K524" s="54">
        <f t="shared" si="8"/>
        <v>6.4516129032258063E-2</v>
      </c>
      <c r="L524" s="59">
        <f>ROUND(INDEX(DetailByDistrict[],MATCH($H524,DetailByDistrict[Dist],0),MATCH(L$2,DetailByDistrict[#Headers],0))*K524,2)</f>
        <v>129.94</v>
      </c>
      <c r="M524" s="59">
        <f>ROUND(INDEX(DetailByDistrict[],MATCH($H524,DetailByDistrict[Dist],0),MATCH(M$2,DetailByDistrict[#Headers],0))*K524,2)</f>
        <v>142.9</v>
      </c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spans="1:26" ht="15.75" customHeight="1" x14ac:dyDescent="0.25">
      <c r="A525" s="53">
        <v>10</v>
      </c>
      <c r="B525" s="54" t="s">
        <v>1090</v>
      </c>
      <c r="C525" s="54" t="s">
        <v>784</v>
      </c>
      <c r="D525" s="53">
        <v>1053</v>
      </c>
      <c r="E525" s="53">
        <v>8214</v>
      </c>
      <c r="F525" s="54" t="s">
        <v>1111</v>
      </c>
      <c r="G525" s="53" t="s">
        <v>165</v>
      </c>
      <c r="H525" s="58" t="str">
        <f>_xlfn.IFNA(INDEX(ActiveSchools!$C$2:$F$326,MATCH(G525,ActiveSchools!$F$2:$F$326,0),1),"Total")</f>
        <v>4777</v>
      </c>
      <c r="I525" s="53">
        <v>1</v>
      </c>
      <c r="J525" s="59">
        <f>_xlfn.IFNA(INDEX(DetailByDistrict[],MATCH($H525,DetailByDistrict[Dist],0),MATCH(J$2,DetailByDistrict[#Headers],0)),0)</f>
        <v>5</v>
      </c>
      <c r="K525" s="54">
        <f t="shared" si="8"/>
        <v>0.2</v>
      </c>
      <c r="L525" s="59">
        <f>ROUND(INDEX(DetailByDistrict[],MATCH($H525,DetailByDistrict[Dist],0),MATCH(L$2,DetailByDistrict[#Headers],0))*K525,2)</f>
        <v>65</v>
      </c>
      <c r="M525" s="59">
        <f>ROUND(INDEX(DetailByDistrict[],MATCH($H525,DetailByDistrict[Dist],0),MATCH(M$2,DetailByDistrict[#Headers],0))*K525,2)</f>
        <v>71.400000000000006</v>
      </c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spans="1:26" ht="15.75" customHeight="1" x14ac:dyDescent="0.25">
      <c r="A526" s="53">
        <v>10</v>
      </c>
      <c r="B526" s="54" t="s">
        <v>1090</v>
      </c>
      <c r="C526" s="54" t="s">
        <v>784</v>
      </c>
      <c r="D526" s="53">
        <v>1053</v>
      </c>
      <c r="E526" s="53">
        <v>8214</v>
      </c>
      <c r="F526" s="54" t="s">
        <v>1109</v>
      </c>
      <c r="G526" s="53" t="s">
        <v>168</v>
      </c>
      <c r="H526" s="58" t="str">
        <f>_xlfn.IFNA(INDEX(ActiveSchools!$C$2:$F$326,MATCH(G526,ActiveSchools!$F$2:$F$326,0),1),"Total")</f>
        <v>6138</v>
      </c>
      <c r="I526" s="53">
        <v>1</v>
      </c>
      <c r="J526" s="59">
        <f>_xlfn.IFNA(INDEX(DetailByDistrict[],MATCH($H526,DetailByDistrict[Dist],0),MATCH(J$2,DetailByDistrict[#Headers],0)),0)</f>
        <v>12</v>
      </c>
      <c r="K526" s="54">
        <f t="shared" si="8"/>
        <v>8.3333333333333329E-2</v>
      </c>
      <c r="L526" s="59">
        <f>ROUND(INDEX(DetailByDistrict[],MATCH($H526,DetailByDistrict[Dist],0),MATCH(L$2,DetailByDistrict[#Headers],0))*K526,2)</f>
        <v>65</v>
      </c>
      <c r="M526" s="59">
        <f>ROUND(INDEX(DetailByDistrict[],MATCH($H526,DetailByDistrict[Dist],0),MATCH(M$2,DetailByDistrict[#Headers],0))*K526,2)</f>
        <v>71.5</v>
      </c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spans="1:26" ht="15.75" customHeight="1" x14ac:dyDescent="0.25">
      <c r="A527" s="53">
        <v>10</v>
      </c>
      <c r="B527" s="54" t="s">
        <v>1090</v>
      </c>
      <c r="C527" s="54" t="s">
        <v>803</v>
      </c>
      <c r="D527" s="53">
        <v>1053</v>
      </c>
      <c r="E527" s="53">
        <v>8216</v>
      </c>
      <c r="F527" s="54" t="s">
        <v>1110</v>
      </c>
      <c r="G527" s="57" t="s">
        <v>141</v>
      </c>
      <c r="H527" s="58" t="str">
        <f>_xlfn.IFNA(INDEX(ActiveSchools!$C$2:$F$326,MATCH(G527,ActiveSchools!$F$2:$F$326,0),1),"Total")</f>
        <v>0099</v>
      </c>
      <c r="I527" s="53">
        <v>3</v>
      </c>
      <c r="J527" s="59">
        <f>_xlfn.IFNA(INDEX(DetailByDistrict[],MATCH($H527,DetailByDistrict[Dist],0),MATCH(J$2,DetailByDistrict[#Headers],0)),0)</f>
        <v>21</v>
      </c>
      <c r="K527" s="54">
        <f t="shared" si="8"/>
        <v>0.14285714285714285</v>
      </c>
      <c r="L527" s="59">
        <f>ROUND(INDEX(DetailByDistrict[],MATCH($H527,DetailByDistrict[Dist],0),MATCH(L$2,DetailByDistrict[#Headers],0))*K527,2)</f>
        <v>195</v>
      </c>
      <c r="M527" s="59">
        <f>ROUND(INDEX(DetailByDistrict[],MATCH($H527,DetailByDistrict[Dist],0),MATCH(M$2,DetailByDistrict[#Headers],0))*K527,2)</f>
        <v>214.43</v>
      </c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spans="1:26" ht="15.75" customHeight="1" x14ac:dyDescent="0.25">
      <c r="A528" s="53">
        <v>10</v>
      </c>
      <c r="B528" s="54" t="s">
        <v>1090</v>
      </c>
      <c r="C528" s="54" t="s">
        <v>803</v>
      </c>
      <c r="D528" s="53">
        <v>1053</v>
      </c>
      <c r="E528" s="53">
        <v>8216</v>
      </c>
      <c r="F528" s="54" t="s">
        <v>1091</v>
      </c>
      <c r="G528" s="57" t="s">
        <v>142</v>
      </c>
      <c r="H528" s="58" t="str">
        <f>_xlfn.IFNA(INDEX(ActiveSchools!$C$2:$F$326,MATCH(G528,ActiveSchools!$F$2:$F$326,0),1),"Total")</f>
        <v>0234</v>
      </c>
      <c r="I528" s="53">
        <v>1</v>
      </c>
      <c r="J528" s="59">
        <f>_xlfn.IFNA(INDEX(DetailByDistrict[],MATCH($H528,DetailByDistrict[Dist],0),MATCH(J$2,DetailByDistrict[#Headers],0)),0)</f>
        <v>68</v>
      </c>
      <c r="K528" s="54">
        <f t="shared" si="8"/>
        <v>1.4705882352941176E-2</v>
      </c>
      <c r="L528" s="59">
        <f>ROUND(INDEX(DetailByDistrict[],MATCH($H528,DetailByDistrict[Dist],0),MATCH(L$2,DetailByDistrict[#Headers],0))*K528,2)</f>
        <v>64.989999999999995</v>
      </c>
      <c r="M528" s="59">
        <f>ROUND(INDEX(DetailByDistrict[],MATCH($H528,DetailByDistrict[Dist],0),MATCH(M$2,DetailByDistrict[#Headers],0))*K528,2)</f>
        <v>71.459999999999994</v>
      </c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spans="1:26" ht="15.75" customHeight="1" x14ac:dyDescent="0.25">
      <c r="A529" s="53">
        <v>10</v>
      </c>
      <c r="B529" s="54" t="s">
        <v>1090</v>
      </c>
      <c r="C529" s="54" t="s">
        <v>803</v>
      </c>
      <c r="D529" s="53">
        <v>1053</v>
      </c>
      <c r="E529" s="53">
        <v>8216</v>
      </c>
      <c r="F529" s="54" t="s">
        <v>1095</v>
      </c>
      <c r="G529" s="57" t="s">
        <v>144</v>
      </c>
      <c r="H529" s="58" t="str">
        <f>_xlfn.IFNA(INDEX(ActiveSchools!$C$2:$F$326,MATCH(G529,ActiveSchools!$F$2:$F$326,0),1),"Total")</f>
        <v>0609</v>
      </c>
      <c r="I529" s="53">
        <v>1</v>
      </c>
      <c r="J529" s="59">
        <f>_xlfn.IFNA(INDEX(DetailByDistrict[],MATCH($H529,DetailByDistrict[Dist],0),MATCH(J$2,DetailByDistrict[#Headers],0)),0)</f>
        <v>140</v>
      </c>
      <c r="K529" s="54">
        <f t="shared" si="8"/>
        <v>7.1428571428571426E-3</v>
      </c>
      <c r="L529" s="59">
        <f>ROUND(INDEX(DetailByDistrict[],MATCH($H529,DetailByDistrict[Dist],0),MATCH(L$2,DetailByDistrict[#Headers],0))*K529,2)</f>
        <v>64.98</v>
      </c>
      <c r="M529" s="59">
        <f>ROUND(INDEX(DetailByDistrict[],MATCH($H529,DetailByDistrict[Dist],0),MATCH(M$2,DetailByDistrict[#Headers],0))*K529,2)</f>
        <v>71.459999999999994</v>
      </c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spans="1:26" ht="15.75" customHeight="1" x14ac:dyDescent="0.25">
      <c r="A530" s="53">
        <v>10</v>
      </c>
      <c r="B530" s="54" t="s">
        <v>1090</v>
      </c>
      <c r="C530" s="54" t="s">
        <v>803</v>
      </c>
      <c r="D530" s="53">
        <v>1053</v>
      </c>
      <c r="E530" s="53">
        <v>8216</v>
      </c>
      <c r="F530" s="54" t="s">
        <v>1096</v>
      </c>
      <c r="G530" s="53" t="s">
        <v>145</v>
      </c>
      <c r="H530" s="58" t="str">
        <f>_xlfn.IFNA(INDEX(ActiveSchools!$C$2:$F$326,MATCH(G530,ActiveSchools!$F$2:$F$326,0),1),"Total")</f>
        <v>1053</v>
      </c>
      <c r="I530" s="53">
        <v>222</v>
      </c>
      <c r="J530" s="59">
        <f>_xlfn.IFNA(INDEX(DetailByDistrict[],MATCH($H530,DetailByDistrict[Dist],0),MATCH(J$2,DetailByDistrict[#Headers],0)),0)</f>
        <v>2073</v>
      </c>
      <c r="K530" s="54">
        <f t="shared" si="8"/>
        <v>0.10709117221418235</v>
      </c>
      <c r="L530" s="59">
        <f>ROUND(INDEX(DetailByDistrict[],MATCH($H530,DetailByDistrict[Dist],0),MATCH(L$2,DetailByDistrict[#Headers],0))*K530,2)</f>
        <v>14425.61</v>
      </c>
      <c r="M530" s="59">
        <f>ROUND(INDEX(DetailByDistrict[],MATCH($H530,DetailByDistrict[Dist],0),MATCH(M$2,DetailByDistrict[#Headers],0))*K530,2)</f>
        <v>15864.16</v>
      </c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spans="1:26" ht="15.75" customHeight="1" x14ac:dyDescent="0.25">
      <c r="A531" s="53">
        <v>10</v>
      </c>
      <c r="B531" s="54" t="s">
        <v>1090</v>
      </c>
      <c r="C531" s="54" t="s">
        <v>803</v>
      </c>
      <c r="D531" s="53">
        <v>1053</v>
      </c>
      <c r="E531" s="53">
        <v>8216</v>
      </c>
      <c r="F531" s="54" t="s">
        <v>1100</v>
      </c>
      <c r="G531" s="53" t="s">
        <v>149</v>
      </c>
      <c r="H531" s="58" t="str">
        <f>_xlfn.IFNA(INDEX(ActiveSchools!$C$2:$F$326,MATCH(G531,ActiveSchools!$F$2:$F$326,0),1),"Total")</f>
        <v>1337</v>
      </c>
      <c r="I531" s="53">
        <v>8</v>
      </c>
      <c r="J531" s="59">
        <f>_xlfn.IFNA(INDEX(DetailByDistrict[],MATCH($H531,DetailByDistrict[Dist],0),MATCH(J$2,DetailByDistrict[#Headers],0)),0)</f>
        <v>168</v>
      </c>
      <c r="K531" s="54">
        <f t="shared" si="8"/>
        <v>4.7619047619047616E-2</v>
      </c>
      <c r="L531" s="59">
        <f>ROUND(INDEX(DetailByDistrict[],MATCH($H531,DetailByDistrict[Dist],0),MATCH(L$2,DetailByDistrict[#Headers],0))*K531,2)</f>
        <v>519.86</v>
      </c>
      <c r="M531" s="59">
        <f>ROUND(INDEX(DetailByDistrict[],MATCH($H531,DetailByDistrict[Dist],0),MATCH(M$2,DetailByDistrict[#Headers],0))*K531,2)</f>
        <v>571.66999999999996</v>
      </c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spans="1:26" ht="15" customHeight="1" x14ac:dyDescent="0.25">
      <c r="A532" s="53">
        <v>10</v>
      </c>
      <c r="B532" s="54" t="s">
        <v>1090</v>
      </c>
      <c r="C532" s="54" t="s">
        <v>803</v>
      </c>
      <c r="D532" s="53">
        <v>1053</v>
      </c>
      <c r="E532" s="53">
        <v>8216</v>
      </c>
      <c r="F532" s="54" t="s">
        <v>1106</v>
      </c>
      <c r="G532" s="53" t="s">
        <v>154</v>
      </c>
      <c r="H532" s="58" t="str">
        <f>_xlfn.IFNA(INDEX(ActiveSchools!$C$2:$F$326,MATCH(G532,ActiveSchools!$F$2:$F$326,0),1),"Total")</f>
        <v>3141</v>
      </c>
      <c r="I532" s="53">
        <v>2</v>
      </c>
      <c r="J532" s="59">
        <f>_xlfn.IFNA(INDEX(DetailByDistrict[],MATCH($H532,DetailByDistrict[Dist],0),MATCH(J$2,DetailByDistrict[#Headers],0)),0)</f>
        <v>1378</v>
      </c>
      <c r="K532" s="54">
        <f t="shared" si="8"/>
        <v>1.4513788098693759E-3</v>
      </c>
      <c r="L532" s="59">
        <f>ROUND(INDEX(DetailByDistrict[],MATCH($H532,DetailByDistrict[Dist],0),MATCH(L$2,DetailByDistrict[#Headers],0))*K532,2)</f>
        <v>129.96</v>
      </c>
      <c r="M532" s="59">
        <f>ROUND(INDEX(DetailByDistrict[],MATCH($H532,DetailByDistrict[Dist],0),MATCH(M$2,DetailByDistrict[#Headers],0))*K532,2)</f>
        <v>142.91999999999999</v>
      </c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spans="1:26" ht="15.75" customHeight="1" x14ac:dyDescent="0.25">
      <c r="A533" s="53">
        <v>10</v>
      </c>
      <c r="B533" s="54" t="s">
        <v>1090</v>
      </c>
      <c r="C533" s="54" t="s">
        <v>803</v>
      </c>
      <c r="D533" s="53">
        <v>1053</v>
      </c>
      <c r="E533" s="53">
        <v>8216</v>
      </c>
      <c r="F533" s="54" t="s">
        <v>1098</v>
      </c>
      <c r="G533" s="53" t="s">
        <v>156</v>
      </c>
      <c r="H533" s="58" t="str">
        <f>_xlfn.IFNA(INDEX(ActiveSchools!$C$2:$F$326,MATCH(G533,ActiveSchools!$F$2:$F$326,0),1),"Total")</f>
        <v>3715</v>
      </c>
      <c r="I533" s="53">
        <v>51</v>
      </c>
      <c r="J533" s="59">
        <f>_xlfn.IFNA(INDEX(DetailByDistrict[],MATCH($H533,DetailByDistrict[Dist],0),MATCH(J$2,DetailByDistrict[#Headers],0)),0)</f>
        <v>676</v>
      </c>
      <c r="K533" s="54">
        <f t="shared" si="8"/>
        <v>7.5443786982248517E-2</v>
      </c>
      <c r="L533" s="59">
        <f>ROUND(INDEX(DetailByDistrict[],MATCH($H533,DetailByDistrict[Dist],0),MATCH(L$2,DetailByDistrict[#Headers],0))*K533,2)</f>
        <v>3313.94</v>
      </c>
      <c r="M533" s="59">
        <f>ROUND(INDEX(DetailByDistrict[],MATCH($H533,DetailByDistrict[Dist],0),MATCH(M$2,DetailByDistrict[#Headers],0))*K533,2)</f>
        <v>3644.46</v>
      </c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spans="1:26" ht="15.75" customHeight="1" x14ac:dyDescent="0.25">
      <c r="A534" s="53">
        <v>10</v>
      </c>
      <c r="B534" s="54" t="s">
        <v>1090</v>
      </c>
      <c r="C534" s="54" t="s">
        <v>803</v>
      </c>
      <c r="D534" s="53">
        <v>1053</v>
      </c>
      <c r="E534" s="53">
        <v>8216</v>
      </c>
      <c r="F534" s="54" t="s">
        <v>1101</v>
      </c>
      <c r="G534" s="53" t="s">
        <v>157</v>
      </c>
      <c r="H534" s="58" t="str">
        <f>_xlfn.IFNA(INDEX(ActiveSchools!$C$2:$F$326,MATCH(G534,ActiveSchools!$F$2:$F$326,0),1),"Total")</f>
        <v>3744</v>
      </c>
      <c r="I534" s="53">
        <v>1</v>
      </c>
      <c r="J534" s="59">
        <f>_xlfn.IFNA(INDEX(DetailByDistrict[],MATCH($H534,DetailByDistrict[Dist],0),MATCH(J$2,DetailByDistrict[#Headers],0)),0)</f>
        <v>8</v>
      </c>
      <c r="K534" s="54">
        <f t="shared" si="8"/>
        <v>0.125</v>
      </c>
      <c r="L534" s="59">
        <f>ROUND(INDEX(DetailByDistrict[],MATCH($H534,DetailByDistrict[Dist],0),MATCH(L$2,DetailByDistrict[#Headers],0))*K534,2)</f>
        <v>65</v>
      </c>
      <c r="M534" s="59">
        <f>ROUND(INDEX(DetailByDistrict[],MATCH($H534,DetailByDistrict[Dist],0),MATCH(M$2,DetailByDistrict[#Headers],0))*K534,2)</f>
        <v>71.5</v>
      </c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spans="1:26" ht="15.75" customHeight="1" x14ac:dyDescent="0.25">
      <c r="A535" s="53">
        <v>10</v>
      </c>
      <c r="B535" s="54" t="s">
        <v>1090</v>
      </c>
      <c r="C535" s="54" t="s">
        <v>803</v>
      </c>
      <c r="D535" s="53">
        <v>1053</v>
      </c>
      <c r="E535" s="53">
        <v>8216</v>
      </c>
      <c r="F535" s="54" t="s">
        <v>1107</v>
      </c>
      <c r="G535" s="53" t="s">
        <v>159</v>
      </c>
      <c r="H535" s="58" t="str">
        <f>_xlfn.IFNA(INDEX(ActiveSchools!$C$2:$F$326,MATCH(G535,ActiveSchools!$F$2:$F$326,0),1),"Total")</f>
        <v>4086</v>
      </c>
      <c r="I535" s="53">
        <v>6</v>
      </c>
      <c r="J535" s="59">
        <f>_xlfn.IFNA(INDEX(DetailByDistrict[],MATCH($H535,DetailByDistrict[Dist],0),MATCH(J$2,DetailByDistrict[#Headers],0)),0)</f>
        <v>108</v>
      </c>
      <c r="K535" s="54">
        <f t="shared" si="8"/>
        <v>5.5555555555555552E-2</v>
      </c>
      <c r="L535" s="59">
        <f>ROUND(INDEX(DetailByDistrict[],MATCH($H535,DetailByDistrict[Dist],0),MATCH(L$2,DetailByDistrict[#Headers],0))*K535,2)</f>
        <v>389.89</v>
      </c>
      <c r="M535" s="59">
        <f>ROUND(INDEX(DetailByDistrict[],MATCH($H535,DetailByDistrict[Dist],0),MATCH(M$2,DetailByDistrict[#Headers],0))*K535,2)</f>
        <v>428.78</v>
      </c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spans="1:26" ht="15.75" customHeight="1" x14ac:dyDescent="0.25">
      <c r="A536" s="53">
        <v>10</v>
      </c>
      <c r="B536" s="54" t="s">
        <v>1090</v>
      </c>
      <c r="C536" s="54" t="s">
        <v>803</v>
      </c>
      <c r="D536" s="53">
        <v>1053</v>
      </c>
      <c r="E536" s="53">
        <v>8216</v>
      </c>
      <c r="F536" s="54" t="s">
        <v>1102</v>
      </c>
      <c r="G536" s="53" t="s">
        <v>163</v>
      </c>
      <c r="H536" s="58" t="str">
        <f>_xlfn.IFNA(INDEX(ActiveSchools!$C$2:$F$326,MATCH(G536,ActiveSchools!$F$2:$F$326,0),1),"Total")</f>
        <v>4554</v>
      </c>
      <c r="I536" s="53">
        <v>2</v>
      </c>
      <c r="J536" s="59">
        <f>_xlfn.IFNA(INDEX(DetailByDistrict[],MATCH($H536,DetailByDistrict[Dist],0),MATCH(J$2,DetailByDistrict[#Headers],0)),0)</f>
        <v>31</v>
      </c>
      <c r="K536" s="54">
        <f t="shared" si="8"/>
        <v>6.4516129032258063E-2</v>
      </c>
      <c r="L536" s="59">
        <f>ROUND(INDEX(DetailByDistrict[],MATCH($H536,DetailByDistrict[Dist],0),MATCH(L$2,DetailByDistrict[#Headers],0))*K536,2)</f>
        <v>129.94</v>
      </c>
      <c r="M536" s="59">
        <f>ROUND(INDEX(DetailByDistrict[],MATCH($H536,DetailByDistrict[Dist],0),MATCH(M$2,DetailByDistrict[#Headers],0))*K536,2)</f>
        <v>142.9</v>
      </c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spans="1:26" ht="15.75" customHeight="1" x14ac:dyDescent="0.25">
      <c r="A537" s="53">
        <v>10</v>
      </c>
      <c r="B537" s="54" t="s">
        <v>1090</v>
      </c>
      <c r="C537" s="54" t="s">
        <v>803</v>
      </c>
      <c r="D537" s="53">
        <v>1053</v>
      </c>
      <c r="E537" s="53">
        <v>8216</v>
      </c>
      <c r="F537" s="54" t="s">
        <v>1108</v>
      </c>
      <c r="G537" s="53" t="s">
        <v>167</v>
      </c>
      <c r="H537" s="58" t="str">
        <f>_xlfn.IFNA(INDEX(ActiveSchools!$C$2:$F$326,MATCH(G537,ActiveSchools!$F$2:$F$326,0),1),"Total")</f>
        <v>6093</v>
      </c>
      <c r="I537" s="53">
        <v>4</v>
      </c>
      <c r="J537" s="59">
        <f>_xlfn.IFNA(INDEX(DetailByDistrict[],MATCH($H537,DetailByDistrict[Dist],0),MATCH(J$2,DetailByDistrict[#Headers],0)),0)</f>
        <v>25</v>
      </c>
      <c r="K537" s="54">
        <f t="shared" si="8"/>
        <v>0.16</v>
      </c>
      <c r="L537" s="59">
        <f>ROUND(INDEX(DetailByDistrict[],MATCH($H537,DetailByDistrict[Dist],0),MATCH(L$2,DetailByDistrict[#Headers],0))*K537,2)</f>
        <v>260</v>
      </c>
      <c r="M537" s="59">
        <f>ROUND(INDEX(DetailByDistrict[],MATCH($H537,DetailByDistrict[Dist],0),MATCH(M$2,DetailByDistrict[#Headers],0))*K537,2)</f>
        <v>285.92</v>
      </c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spans="1:26" ht="15.75" customHeight="1" x14ac:dyDescent="0.25">
      <c r="A538" s="53">
        <v>10</v>
      </c>
      <c r="B538" s="54" t="s">
        <v>1090</v>
      </c>
      <c r="C538" s="54" t="s">
        <v>803</v>
      </c>
      <c r="D538" s="53">
        <v>1053</v>
      </c>
      <c r="E538" s="53">
        <v>8216</v>
      </c>
      <c r="F538" s="54" t="s">
        <v>1099</v>
      </c>
      <c r="G538" s="53" t="s">
        <v>170</v>
      </c>
      <c r="H538" s="58" t="str">
        <f>_xlfn.IFNA(INDEX(ActiveSchools!$C$2:$F$326,MATCH(G538,ActiveSchools!$F$2:$F$326,0),1),"Total")</f>
        <v>6660</v>
      </c>
      <c r="I538" s="53">
        <v>1</v>
      </c>
      <c r="J538" s="59">
        <f>_xlfn.IFNA(INDEX(DetailByDistrict[],MATCH($H538,DetailByDistrict[Dist],0),MATCH(J$2,DetailByDistrict[#Headers],0)),0)</f>
        <v>12</v>
      </c>
      <c r="K538" s="54">
        <f t="shared" si="8"/>
        <v>8.3333333333333329E-2</v>
      </c>
      <c r="L538" s="59">
        <f>ROUND(INDEX(DetailByDistrict[],MATCH($H538,DetailByDistrict[Dist],0),MATCH(L$2,DetailByDistrict[#Headers],0))*K538,2)</f>
        <v>65</v>
      </c>
      <c r="M538" s="59">
        <f>ROUND(INDEX(DetailByDistrict[],MATCH($H538,DetailByDistrict[Dist],0),MATCH(M$2,DetailByDistrict[#Headers],0))*K538,2)</f>
        <v>71.5</v>
      </c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spans="1:26" ht="15.75" customHeight="1" x14ac:dyDescent="0.25">
      <c r="A539" s="53">
        <v>10</v>
      </c>
      <c r="B539" s="54" t="s">
        <v>1090</v>
      </c>
      <c r="C539" s="54" t="s">
        <v>804</v>
      </c>
      <c r="D539" s="53">
        <v>1053</v>
      </c>
      <c r="E539" s="53">
        <v>8217</v>
      </c>
      <c r="F539" s="54" t="s">
        <v>1095</v>
      </c>
      <c r="G539" s="57" t="s">
        <v>144</v>
      </c>
      <c r="H539" s="58" t="str">
        <f>_xlfn.IFNA(INDEX(ActiveSchools!$C$2:$F$326,MATCH(G539,ActiveSchools!$F$2:$F$326,0),1),"Total")</f>
        <v>0609</v>
      </c>
      <c r="I539" s="53">
        <v>3</v>
      </c>
      <c r="J539" s="59">
        <f>_xlfn.IFNA(INDEX(DetailByDistrict[],MATCH($H539,DetailByDistrict[Dist],0),MATCH(J$2,DetailByDistrict[#Headers],0)),0)</f>
        <v>140</v>
      </c>
      <c r="K539" s="54">
        <f t="shared" si="8"/>
        <v>2.1428571428571429E-2</v>
      </c>
      <c r="L539" s="59">
        <f>ROUND(INDEX(DetailByDistrict[],MATCH($H539,DetailByDistrict[Dist],0),MATCH(L$2,DetailByDistrict[#Headers],0))*K539,2)</f>
        <v>194.94</v>
      </c>
      <c r="M539" s="59">
        <f>ROUND(INDEX(DetailByDistrict[],MATCH($H539,DetailByDistrict[Dist],0),MATCH(M$2,DetailByDistrict[#Headers],0))*K539,2)</f>
        <v>214.37</v>
      </c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spans="1:26" ht="15.75" customHeight="1" x14ac:dyDescent="0.25">
      <c r="A540" s="53">
        <v>10</v>
      </c>
      <c r="B540" s="54" t="s">
        <v>1090</v>
      </c>
      <c r="C540" s="54" t="s">
        <v>804</v>
      </c>
      <c r="D540" s="53">
        <v>1053</v>
      </c>
      <c r="E540" s="53">
        <v>8217</v>
      </c>
      <c r="F540" s="54" t="s">
        <v>1096</v>
      </c>
      <c r="G540" s="53" t="s">
        <v>145</v>
      </c>
      <c r="H540" s="58" t="str">
        <f>_xlfn.IFNA(INDEX(ActiveSchools!$C$2:$F$326,MATCH(G540,ActiveSchools!$F$2:$F$326,0),1),"Total")</f>
        <v>1053</v>
      </c>
      <c r="I540" s="53">
        <v>138</v>
      </c>
      <c r="J540" s="59">
        <f>_xlfn.IFNA(INDEX(DetailByDistrict[],MATCH($H540,DetailByDistrict[Dist],0),MATCH(J$2,DetailByDistrict[#Headers],0)),0)</f>
        <v>2073</v>
      </c>
      <c r="K540" s="54">
        <f t="shared" si="8"/>
        <v>6.6570188133140376E-2</v>
      </c>
      <c r="L540" s="59">
        <f>ROUND(INDEX(DetailByDistrict[],MATCH($H540,DetailByDistrict[Dist],0),MATCH(L$2,DetailByDistrict[#Headers],0))*K540,2)</f>
        <v>8967.27</v>
      </c>
      <c r="M540" s="59">
        <f>ROUND(INDEX(DetailByDistrict[],MATCH($H540,DetailByDistrict[Dist],0),MATCH(M$2,DetailByDistrict[#Headers],0))*K540,2)</f>
        <v>9861.51</v>
      </c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spans="1:26" ht="15.75" customHeight="1" x14ac:dyDescent="0.25">
      <c r="A541" s="53">
        <v>10</v>
      </c>
      <c r="B541" s="54" t="s">
        <v>1090</v>
      </c>
      <c r="C541" s="54" t="s">
        <v>804</v>
      </c>
      <c r="D541" s="53">
        <v>1053</v>
      </c>
      <c r="E541" s="53">
        <v>8217</v>
      </c>
      <c r="F541" s="54" t="s">
        <v>1100</v>
      </c>
      <c r="G541" s="53" t="s">
        <v>149</v>
      </c>
      <c r="H541" s="58" t="str">
        <f>_xlfn.IFNA(INDEX(ActiveSchools!$C$2:$F$326,MATCH(G541,ActiveSchools!$F$2:$F$326,0),1),"Total")</f>
        <v>1337</v>
      </c>
      <c r="I541" s="53">
        <v>21</v>
      </c>
      <c r="J541" s="59">
        <f>_xlfn.IFNA(INDEX(DetailByDistrict[],MATCH($H541,DetailByDistrict[Dist],0),MATCH(J$2,DetailByDistrict[#Headers],0)),0)</f>
        <v>168</v>
      </c>
      <c r="K541" s="54">
        <f t="shared" si="8"/>
        <v>0.125</v>
      </c>
      <c r="L541" s="59">
        <f>ROUND(INDEX(DetailByDistrict[],MATCH($H541,DetailByDistrict[Dist],0),MATCH(L$2,DetailByDistrict[#Headers],0))*K541,2)</f>
        <v>1364.63</v>
      </c>
      <c r="M541" s="59">
        <f>ROUND(INDEX(DetailByDistrict[],MATCH($H541,DetailByDistrict[Dist],0),MATCH(M$2,DetailByDistrict[#Headers],0))*K541,2)</f>
        <v>1500.63</v>
      </c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spans="1:26" ht="15.75" customHeight="1" x14ac:dyDescent="0.25">
      <c r="A542" s="53">
        <v>10</v>
      </c>
      <c r="B542" s="54" t="s">
        <v>1090</v>
      </c>
      <c r="C542" s="54" t="s">
        <v>804</v>
      </c>
      <c r="D542" s="53">
        <v>1053</v>
      </c>
      <c r="E542" s="53">
        <v>8217</v>
      </c>
      <c r="F542" s="54" t="s">
        <v>1098</v>
      </c>
      <c r="G542" s="53" t="s">
        <v>156</v>
      </c>
      <c r="H542" s="58" t="str">
        <f>_xlfn.IFNA(INDEX(ActiveSchools!$C$2:$F$326,MATCH(G542,ActiveSchools!$F$2:$F$326,0),1),"Total")</f>
        <v>3715</v>
      </c>
      <c r="I542" s="53">
        <v>5</v>
      </c>
      <c r="J542" s="59">
        <f>_xlfn.IFNA(INDEX(DetailByDistrict[],MATCH($H542,DetailByDistrict[Dist],0),MATCH(J$2,DetailByDistrict[#Headers],0)),0)</f>
        <v>676</v>
      </c>
      <c r="K542" s="54">
        <f t="shared" si="8"/>
        <v>7.3964497041420114E-3</v>
      </c>
      <c r="L542" s="59">
        <f>ROUND(INDEX(DetailByDistrict[],MATCH($H542,DetailByDistrict[Dist],0),MATCH(L$2,DetailByDistrict[#Headers],0))*K542,2)</f>
        <v>324.89999999999998</v>
      </c>
      <c r="M542" s="59">
        <f>ROUND(INDEX(DetailByDistrict[],MATCH($H542,DetailByDistrict[Dist],0),MATCH(M$2,DetailByDistrict[#Headers],0))*K542,2)</f>
        <v>357.3</v>
      </c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spans="1:26" ht="15.75" customHeight="1" x14ac:dyDescent="0.25">
      <c r="A543" s="53">
        <v>10</v>
      </c>
      <c r="B543" s="54" t="s">
        <v>1090</v>
      </c>
      <c r="C543" s="54" t="s">
        <v>804</v>
      </c>
      <c r="D543" s="53">
        <v>1053</v>
      </c>
      <c r="E543" s="53">
        <v>8217</v>
      </c>
      <c r="F543" s="54" t="s">
        <v>1107</v>
      </c>
      <c r="G543" s="53" t="s">
        <v>159</v>
      </c>
      <c r="H543" s="58" t="str">
        <f>_xlfn.IFNA(INDEX(ActiveSchools!$C$2:$F$326,MATCH(G543,ActiveSchools!$F$2:$F$326,0),1),"Total")</f>
        <v>4086</v>
      </c>
      <c r="I543" s="53">
        <v>1</v>
      </c>
      <c r="J543" s="59">
        <f>_xlfn.IFNA(INDEX(DetailByDistrict[],MATCH($H543,DetailByDistrict[Dist],0),MATCH(J$2,DetailByDistrict[#Headers],0)),0)</f>
        <v>108</v>
      </c>
      <c r="K543" s="54">
        <f t="shared" si="8"/>
        <v>9.2592592592592587E-3</v>
      </c>
      <c r="L543" s="59">
        <f>ROUND(INDEX(DetailByDistrict[],MATCH($H543,DetailByDistrict[Dist],0),MATCH(L$2,DetailByDistrict[#Headers],0))*K543,2)</f>
        <v>64.98</v>
      </c>
      <c r="M543" s="59">
        <f>ROUND(INDEX(DetailByDistrict[],MATCH($H543,DetailByDistrict[Dist],0),MATCH(M$2,DetailByDistrict[#Headers],0))*K543,2)</f>
        <v>71.459999999999994</v>
      </c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spans="1:26" ht="15.75" customHeight="1" x14ac:dyDescent="0.25">
      <c r="A544" s="53">
        <v>10</v>
      </c>
      <c r="B544" s="54" t="s">
        <v>1090</v>
      </c>
      <c r="C544" s="54" t="s">
        <v>805</v>
      </c>
      <c r="D544" s="53">
        <v>1053</v>
      </c>
      <c r="E544" s="53">
        <v>8220</v>
      </c>
      <c r="F544" s="54" t="s">
        <v>1110</v>
      </c>
      <c r="G544" s="57" t="s">
        <v>141</v>
      </c>
      <c r="H544" s="58" t="str">
        <f>_xlfn.IFNA(INDEX(ActiveSchools!$C$2:$F$326,MATCH(G544,ActiveSchools!$F$2:$F$326,0),1),"Total")</f>
        <v>0099</v>
      </c>
      <c r="I544" s="53">
        <v>3</v>
      </c>
      <c r="J544" s="59">
        <f>_xlfn.IFNA(INDEX(DetailByDistrict[],MATCH($H544,DetailByDistrict[Dist],0),MATCH(J$2,DetailByDistrict[#Headers],0)),0)</f>
        <v>21</v>
      </c>
      <c r="K544" s="54">
        <f t="shared" si="8"/>
        <v>0.14285714285714285</v>
      </c>
      <c r="L544" s="59">
        <f>ROUND(INDEX(DetailByDistrict[],MATCH($H544,DetailByDistrict[Dist],0),MATCH(L$2,DetailByDistrict[#Headers],0))*K544,2)</f>
        <v>195</v>
      </c>
      <c r="M544" s="59">
        <f>ROUND(INDEX(DetailByDistrict[],MATCH($H544,DetailByDistrict[Dist],0),MATCH(M$2,DetailByDistrict[#Headers],0))*K544,2)</f>
        <v>214.43</v>
      </c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spans="1:26" ht="15.75" customHeight="1" x14ac:dyDescent="0.25">
      <c r="A545" s="53">
        <v>10</v>
      </c>
      <c r="B545" s="54" t="s">
        <v>1090</v>
      </c>
      <c r="C545" s="54" t="s">
        <v>805</v>
      </c>
      <c r="D545" s="53">
        <v>1053</v>
      </c>
      <c r="E545" s="53">
        <v>8220</v>
      </c>
      <c r="F545" s="54" t="s">
        <v>1091</v>
      </c>
      <c r="G545" s="57" t="s">
        <v>142</v>
      </c>
      <c r="H545" s="58" t="str">
        <f>_xlfn.IFNA(INDEX(ActiveSchools!$C$2:$F$326,MATCH(G545,ActiveSchools!$F$2:$F$326,0),1),"Total")</f>
        <v>0234</v>
      </c>
      <c r="I545" s="53">
        <v>11</v>
      </c>
      <c r="J545" s="59">
        <f>_xlfn.IFNA(INDEX(DetailByDistrict[],MATCH($H545,DetailByDistrict[Dist],0),MATCH(J$2,DetailByDistrict[#Headers],0)),0)</f>
        <v>68</v>
      </c>
      <c r="K545" s="54">
        <f t="shared" si="8"/>
        <v>0.16176470588235295</v>
      </c>
      <c r="L545" s="59">
        <f>ROUND(INDEX(DetailByDistrict[],MATCH($H545,DetailByDistrict[Dist],0),MATCH(L$2,DetailByDistrict[#Headers],0))*K545,2)</f>
        <v>714.84</v>
      </c>
      <c r="M545" s="59">
        <f>ROUND(INDEX(DetailByDistrict[],MATCH($H545,DetailByDistrict[Dist],0),MATCH(M$2,DetailByDistrict[#Headers],0))*K545,2)</f>
        <v>786.01</v>
      </c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spans="1:26" ht="15.75" customHeight="1" x14ac:dyDescent="0.25">
      <c r="A546" s="53">
        <v>10</v>
      </c>
      <c r="B546" s="54" t="s">
        <v>1090</v>
      </c>
      <c r="C546" s="54" t="s">
        <v>805</v>
      </c>
      <c r="D546" s="53">
        <v>1053</v>
      </c>
      <c r="E546" s="53">
        <v>8220</v>
      </c>
      <c r="F546" s="54" t="s">
        <v>1096</v>
      </c>
      <c r="G546" s="53" t="s">
        <v>145</v>
      </c>
      <c r="H546" s="58" t="str">
        <f>_xlfn.IFNA(INDEX(ActiveSchools!$C$2:$F$326,MATCH(G546,ActiveSchools!$F$2:$F$326,0),1),"Total")</f>
        <v>1053</v>
      </c>
      <c r="I546" s="53">
        <v>220</v>
      </c>
      <c r="J546" s="59">
        <f>_xlfn.IFNA(INDEX(DetailByDistrict[],MATCH($H546,DetailByDistrict[Dist],0),MATCH(J$2,DetailByDistrict[#Headers],0)),0)</f>
        <v>2073</v>
      </c>
      <c r="K546" s="54">
        <f t="shared" si="8"/>
        <v>0.10612638687891944</v>
      </c>
      <c r="L546" s="59">
        <f>ROUND(INDEX(DetailByDistrict[],MATCH($H546,DetailByDistrict[Dist],0),MATCH(L$2,DetailByDistrict[#Headers],0))*K546,2)</f>
        <v>14295.65</v>
      </c>
      <c r="M546" s="59">
        <f>ROUND(INDEX(DetailByDistrict[],MATCH($H546,DetailByDistrict[Dist],0),MATCH(M$2,DetailByDistrict[#Headers],0))*K546,2)</f>
        <v>15721.24</v>
      </c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spans="1:26" ht="15.75" customHeight="1" x14ac:dyDescent="0.25">
      <c r="A547" s="53">
        <v>10</v>
      </c>
      <c r="B547" s="54" t="s">
        <v>1090</v>
      </c>
      <c r="C547" s="54" t="s">
        <v>805</v>
      </c>
      <c r="D547" s="53">
        <v>1053</v>
      </c>
      <c r="E547" s="53">
        <v>8220</v>
      </c>
      <c r="F547" s="54" t="s">
        <v>1103</v>
      </c>
      <c r="G547" s="53" t="s">
        <v>146</v>
      </c>
      <c r="H547" s="58" t="str">
        <f>_xlfn.IFNA(INDEX(ActiveSchools!$C$2:$F$326,MATCH(G547,ActiveSchools!$F$2:$F$326,0),1),"Total")</f>
        <v>1062</v>
      </c>
      <c r="I547" s="53">
        <v>2</v>
      </c>
      <c r="J547" s="59">
        <f>_xlfn.IFNA(INDEX(DetailByDistrict[],MATCH($H547,DetailByDistrict[Dist],0),MATCH(J$2,DetailByDistrict[#Headers],0)),0)</f>
        <v>9</v>
      </c>
      <c r="K547" s="54">
        <f t="shared" si="8"/>
        <v>0.22222222222222221</v>
      </c>
      <c r="L547" s="59">
        <f>ROUND(INDEX(DetailByDistrict[],MATCH($H547,DetailByDistrict[Dist],0),MATCH(L$2,DetailByDistrict[#Headers],0))*K547,2)</f>
        <v>130</v>
      </c>
      <c r="M547" s="59">
        <f>ROUND(INDEX(DetailByDistrict[],MATCH($H547,DetailByDistrict[Dist],0),MATCH(M$2,DetailByDistrict[#Headers],0))*K547,2)</f>
        <v>142.88999999999999</v>
      </c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spans="1:26" ht="15.75" customHeight="1" x14ac:dyDescent="0.25">
      <c r="A548" s="53">
        <v>10</v>
      </c>
      <c r="B548" s="54" t="s">
        <v>1090</v>
      </c>
      <c r="C548" s="54" t="s">
        <v>805</v>
      </c>
      <c r="D548" s="53">
        <v>1053</v>
      </c>
      <c r="E548" s="53">
        <v>8220</v>
      </c>
      <c r="F548" s="54" t="s">
        <v>1105</v>
      </c>
      <c r="G548" s="53" t="s">
        <v>147</v>
      </c>
      <c r="H548" s="58" t="str">
        <f>_xlfn.IFNA(INDEX(ActiveSchools!$C$2:$F$326,MATCH(G548,ActiveSchools!$F$2:$F$326,0),1),"Total")</f>
        <v>1089</v>
      </c>
      <c r="I548" s="53">
        <v>5</v>
      </c>
      <c r="J548" s="59">
        <f>_xlfn.IFNA(INDEX(DetailByDistrict[],MATCH($H548,DetailByDistrict[Dist],0),MATCH(J$2,DetailByDistrict[#Headers],0)),0)</f>
        <v>11</v>
      </c>
      <c r="K548" s="54">
        <f t="shared" si="8"/>
        <v>0.45454545454545453</v>
      </c>
      <c r="L548" s="59">
        <f>ROUND(INDEX(DetailByDistrict[],MATCH($H548,DetailByDistrict[Dist],0),MATCH(L$2,DetailByDistrict[#Headers],0))*K548,2)</f>
        <v>325</v>
      </c>
      <c r="M548" s="59">
        <f>ROUND(INDEX(DetailByDistrict[],MATCH($H548,DetailByDistrict[Dist],0),MATCH(M$2,DetailByDistrict[#Headers],0))*K548,2)</f>
        <v>357.27</v>
      </c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spans="1:26" ht="15.75" customHeight="1" x14ac:dyDescent="0.25">
      <c r="A549" s="53">
        <v>10</v>
      </c>
      <c r="B549" s="54" t="s">
        <v>1090</v>
      </c>
      <c r="C549" s="54" t="s">
        <v>805</v>
      </c>
      <c r="D549" s="53">
        <v>1053</v>
      </c>
      <c r="E549" s="53">
        <v>8220</v>
      </c>
      <c r="F549" s="54" t="s">
        <v>1100</v>
      </c>
      <c r="G549" s="53" t="s">
        <v>149</v>
      </c>
      <c r="H549" s="58" t="str">
        <f>_xlfn.IFNA(INDEX(ActiveSchools!$C$2:$F$326,MATCH(G549,ActiveSchools!$F$2:$F$326,0),1),"Total")</f>
        <v>1337</v>
      </c>
      <c r="I549" s="53">
        <v>31</v>
      </c>
      <c r="J549" s="59">
        <f>_xlfn.IFNA(INDEX(DetailByDistrict[],MATCH($H549,DetailByDistrict[Dist],0),MATCH(J$2,DetailByDistrict[#Headers],0)),0)</f>
        <v>168</v>
      </c>
      <c r="K549" s="54">
        <f t="shared" si="8"/>
        <v>0.18452380952380953</v>
      </c>
      <c r="L549" s="59">
        <f>ROUND(INDEX(DetailByDistrict[],MATCH($H549,DetailByDistrict[Dist],0),MATCH(L$2,DetailByDistrict[#Headers],0))*K549,2)</f>
        <v>2014.45</v>
      </c>
      <c r="M549" s="59">
        <f>ROUND(INDEX(DetailByDistrict[],MATCH($H549,DetailByDistrict[Dist],0),MATCH(M$2,DetailByDistrict[#Headers],0))*K549,2)</f>
        <v>2215.21</v>
      </c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spans="1:26" ht="15.75" customHeight="1" x14ac:dyDescent="0.25">
      <c r="A550" s="53">
        <v>10</v>
      </c>
      <c r="B550" s="54" t="s">
        <v>1090</v>
      </c>
      <c r="C550" s="54" t="s">
        <v>805</v>
      </c>
      <c r="D550" s="53">
        <v>1053</v>
      </c>
      <c r="E550" s="53">
        <v>8220</v>
      </c>
      <c r="F550" s="54" t="s">
        <v>1106</v>
      </c>
      <c r="G550" s="53" t="s">
        <v>154</v>
      </c>
      <c r="H550" s="58" t="str">
        <f>_xlfn.IFNA(INDEX(ActiveSchools!$C$2:$F$326,MATCH(G550,ActiveSchools!$F$2:$F$326,0),1),"Total")</f>
        <v>3141</v>
      </c>
      <c r="I550" s="53">
        <v>3</v>
      </c>
      <c r="J550" s="59">
        <f>_xlfn.IFNA(INDEX(DetailByDistrict[],MATCH($H550,DetailByDistrict[Dist],0),MATCH(J$2,DetailByDistrict[#Headers],0)),0)</f>
        <v>1378</v>
      </c>
      <c r="K550" s="54">
        <f t="shared" si="8"/>
        <v>2.1770682148040637E-3</v>
      </c>
      <c r="L550" s="59">
        <f>ROUND(INDEX(DetailByDistrict[],MATCH($H550,DetailByDistrict[Dist],0),MATCH(L$2,DetailByDistrict[#Headers],0))*K550,2)</f>
        <v>194.94</v>
      </c>
      <c r="M550" s="59">
        <f>ROUND(INDEX(DetailByDistrict[],MATCH($H550,DetailByDistrict[Dist],0),MATCH(M$2,DetailByDistrict[#Headers],0))*K550,2)</f>
        <v>214.38</v>
      </c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spans="1:26" ht="15.75" customHeight="1" x14ac:dyDescent="0.25">
      <c r="A551" s="53">
        <v>10</v>
      </c>
      <c r="B551" s="54" t="s">
        <v>1090</v>
      </c>
      <c r="C551" s="54" t="s">
        <v>805</v>
      </c>
      <c r="D551" s="53">
        <v>1053</v>
      </c>
      <c r="E551" s="53">
        <v>8220</v>
      </c>
      <c r="F551" s="54" t="s">
        <v>1098</v>
      </c>
      <c r="G551" s="53" t="s">
        <v>156</v>
      </c>
      <c r="H551" s="58" t="str">
        <f>_xlfn.IFNA(INDEX(ActiveSchools!$C$2:$F$326,MATCH(G551,ActiveSchools!$F$2:$F$326,0),1),"Total")</f>
        <v>3715</v>
      </c>
      <c r="I551" s="53">
        <v>103</v>
      </c>
      <c r="J551" s="59">
        <f>_xlfn.IFNA(INDEX(DetailByDistrict[],MATCH($H551,DetailByDistrict[Dist],0),MATCH(J$2,DetailByDistrict[#Headers],0)),0)</f>
        <v>676</v>
      </c>
      <c r="K551" s="54">
        <f t="shared" si="8"/>
        <v>0.15236686390532544</v>
      </c>
      <c r="L551" s="59">
        <f>ROUND(INDEX(DetailByDistrict[],MATCH($H551,DetailByDistrict[Dist],0),MATCH(L$2,DetailByDistrict[#Headers],0))*K551,2)</f>
        <v>6692.87</v>
      </c>
      <c r="M551" s="59">
        <f>ROUND(INDEX(DetailByDistrict[],MATCH($H551,DetailByDistrict[Dist],0),MATCH(M$2,DetailByDistrict[#Headers],0))*K551,2)</f>
        <v>7360.39</v>
      </c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spans="1:26" ht="15.75" customHeight="1" x14ac:dyDescent="0.25">
      <c r="A552" s="53">
        <v>10</v>
      </c>
      <c r="B552" s="54" t="s">
        <v>1090</v>
      </c>
      <c r="C552" s="54" t="s">
        <v>805</v>
      </c>
      <c r="D552" s="53">
        <v>1053</v>
      </c>
      <c r="E552" s="53">
        <v>8220</v>
      </c>
      <c r="F552" s="54" t="s">
        <v>1101</v>
      </c>
      <c r="G552" s="53" t="s">
        <v>157</v>
      </c>
      <c r="H552" s="58" t="str">
        <f>_xlfn.IFNA(INDEX(ActiveSchools!$C$2:$F$326,MATCH(G552,ActiveSchools!$F$2:$F$326,0),1),"Total")</f>
        <v>3744</v>
      </c>
      <c r="I552" s="53">
        <v>2</v>
      </c>
      <c r="J552" s="59">
        <f>_xlfn.IFNA(INDEX(DetailByDistrict[],MATCH($H552,DetailByDistrict[Dist],0),MATCH(J$2,DetailByDistrict[#Headers],0)),0)</f>
        <v>8</v>
      </c>
      <c r="K552" s="54">
        <f t="shared" si="8"/>
        <v>0.25</v>
      </c>
      <c r="L552" s="59">
        <f>ROUND(INDEX(DetailByDistrict[],MATCH($H552,DetailByDistrict[Dist],0),MATCH(L$2,DetailByDistrict[#Headers],0))*K552,2)</f>
        <v>130</v>
      </c>
      <c r="M552" s="59">
        <f>ROUND(INDEX(DetailByDistrict[],MATCH($H552,DetailByDistrict[Dist],0),MATCH(M$2,DetailByDistrict[#Headers],0))*K552,2)</f>
        <v>143</v>
      </c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spans="1:26" ht="15.75" customHeight="1" x14ac:dyDescent="0.25">
      <c r="A553" s="53">
        <v>10</v>
      </c>
      <c r="B553" s="54" t="s">
        <v>1090</v>
      </c>
      <c r="C553" s="54" t="s">
        <v>805</v>
      </c>
      <c r="D553" s="53">
        <v>1053</v>
      </c>
      <c r="E553" s="53">
        <v>8220</v>
      </c>
      <c r="F553" s="54" t="s">
        <v>1107</v>
      </c>
      <c r="G553" s="53" t="s">
        <v>159</v>
      </c>
      <c r="H553" s="58" t="str">
        <f>_xlfn.IFNA(INDEX(ActiveSchools!$C$2:$F$326,MATCH(G553,ActiveSchools!$F$2:$F$326,0),1),"Total")</f>
        <v>4086</v>
      </c>
      <c r="I553" s="53">
        <v>10</v>
      </c>
      <c r="J553" s="59">
        <f>_xlfn.IFNA(INDEX(DetailByDistrict[],MATCH($H553,DetailByDistrict[Dist],0),MATCH(J$2,DetailByDistrict[#Headers],0)),0)</f>
        <v>108</v>
      </c>
      <c r="K553" s="54">
        <f t="shared" si="8"/>
        <v>9.2592592592592587E-2</v>
      </c>
      <c r="L553" s="59">
        <f>ROUND(INDEX(DetailByDistrict[],MATCH($H553,DetailByDistrict[Dist],0),MATCH(L$2,DetailByDistrict[#Headers],0))*K553,2)</f>
        <v>649.80999999999995</v>
      </c>
      <c r="M553" s="59">
        <f>ROUND(INDEX(DetailByDistrict[],MATCH($H553,DetailByDistrict[Dist],0),MATCH(M$2,DetailByDistrict[#Headers],0))*K553,2)</f>
        <v>714.63</v>
      </c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spans="1:26" ht="15.75" customHeight="1" x14ac:dyDescent="0.25">
      <c r="A554" s="53">
        <v>10</v>
      </c>
      <c r="B554" s="54" t="s">
        <v>1090</v>
      </c>
      <c r="C554" s="54" t="s">
        <v>805</v>
      </c>
      <c r="D554" s="53">
        <v>1053</v>
      </c>
      <c r="E554" s="53">
        <v>8220</v>
      </c>
      <c r="F554" s="54" t="s">
        <v>1102</v>
      </c>
      <c r="G554" s="53" t="s">
        <v>163</v>
      </c>
      <c r="H554" s="58" t="str">
        <f>_xlfn.IFNA(INDEX(ActiveSchools!$C$2:$F$326,MATCH(G554,ActiveSchools!$F$2:$F$326,0),1),"Total")</f>
        <v>4554</v>
      </c>
      <c r="I554" s="53">
        <v>1</v>
      </c>
      <c r="J554" s="59">
        <f>_xlfn.IFNA(INDEX(DetailByDistrict[],MATCH($H554,DetailByDistrict[Dist],0),MATCH(J$2,DetailByDistrict[#Headers],0)),0)</f>
        <v>31</v>
      </c>
      <c r="K554" s="54">
        <f t="shared" si="8"/>
        <v>3.2258064516129031E-2</v>
      </c>
      <c r="L554" s="59">
        <f>ROUND(INDEX(DetailByDistrict[],MATCH($H554,DetailByDistrict[Dist],0),MATCH(L$2,DetailByDistrict[#Headers],0))*K554,2)</f>
        <v>64.97</v>
      </c>
      <c r="M554" s="59">
        <f>ROUND(INDEX(DetailByDistrict[],MATCH($H554,DetailByDistrict[Dist],0),MATCH(M$2,DetailByDistrict[#Headers],0))*K554,2)</f>
        <v>71.45</v>
      </c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spans="1:26" ht="15.75" customHeight="1" x14ac:dyDescent="0.25">
      <c r="A555" s="53">
        <v>10</v>
      </c>
      <c r="B555" s="54" t="s">
        <v>1090</v>
      </c>
      <c r="C555" s="54" t="s">
        <v>805</v>
      </c>
      <c r="D555" s="53">
        <v>1053</v>
      </c>
      <c r="E555" s="53">
        <v>8220</v>
      </c>
      <c r="F555" s="54" t="s">
        <v>1111</v>
      </c>
      <c r="G555" s="53" t="s">
        <v>165</v>
      </c>
      <c r="H555" s="58" t="str">
        <f>_xlfn.IFNA(INDEX(ActiveSchools!$C$2:$F$326,MATCH(G555,ActiveSchools!$F$2:$F$326,0),1),"Total")</f>
        <v>4777</v>
      </c>
      <c r="I555" s="53">
        <v>1</v>
      </c>
      <c r="J555" s="59">
        <f>_xlfn.IFNA(INDEX(DetailByDistrict[],MATCH($H555,DetailByDistrict[Dist],0),MATCH(J$2,DetailByDistrict[#Headers],0)),0)</f>
        <v>5</v>
      </c>
      <c r="K555" s="54">
        <f t="shared" si="8"/>
        <v>0.2</v>
      </c>
      <c r="L555" s="59">
        <f>ROUND(INDEX(DetailByDistrict[],MATCH($H555,DetailByDistrict[Dist],0),MATCH(L$2,DetailByDistrict[#Headers],0))*K555,2)</f>
        <v>65</v>
      </c>
      <c r="M555" s="59">
        <f>ROUND(INDEX(DetailByDistrict[],MATCH($H555,DetailByDistrict[Dist],0),MATCH(M$2,DetailByDistrict[#Headers],0))*K555,2)</f>
        <v>71.400000000000006</v>
      </c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spans="1:26" ht="15.75" customHeight="1" x14ac:dyDescent="0.25">
      <c r="A556" s="53">
        <v>10</v>
      </c>
      <c r="B556" s="54" t="s">
        <v>1090</v>
      </c>
      <c r="C556" s="54" t="s">
        <v>805</v>
      </c>
      <c r="D556" s="53">
        <v>1053</v>
      </c>
      <c r="E556" s="53">
        <v>8220</v>
      </c>
      <c r="F556" s="54" t="s">
        <v>1109</v>
      </c>
      <c r="G556" s="53" t="s">
        <v>168</v>
      </c>
      <c r="H556" s="58" t="str">
        <f>_xlfn.IFNA(INDEX(ActiveSchools!$C$2:$F$326,MATCH(G556,ActiveSchools!$F$2:$F$326,0),1),"Total")</f>
        <v>6138</v>
      </c>
      <c r="I556" s="53">
        <v>1</v>
      </c>
      <c r="J556" s="59">
        <f>_xlfn.IFNA(INDEX(DetailByDistrict[],MATCH($H556,DetailByDistrict[Dist],0),MATCH(J$2,DetailByDistrict[#Headers],0)),0)</f>
        <v>12</v>
      </c>
      <c r="K556" s="54">
        <f t="shared" si="8"/>
        <v>8.3333333333333329E-2</v>
      </c>
      <c r="L556" s="59">
        <f>ROUND(INDEX(DetailByDistrict[],MATCH($H556,DetailByDistrict[Dist],0),MATCH(L$2,DetailByDistrict[#Headers],0))*K556,2)</f>
        <v>65</v>
      </c>
      <c r="M556" s="59">
        <f>ROUND(INDEX(DetailByDistrict[],MATCH($H556,DetailByDistrict[Dist],0),MATCH(M$2,DetailByDistrict[#Headers],0))*K556,2)</f>
        <v>71.5</v>
      </c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spans="1:26" ht="15.75" customHeight="1" x14ac:dyDescent="0.25">
      <c r="A557" s="53">
        <v>10</v>
      </c>
      <c r="B557" s="54" t="s">
        <v>1090</v>
      </c>
      <c r="C557" s="54" t="s">
        <v>805</v>
      </c>
      <c r="D557" s="53">
        <v>1053</v>
      </c>
      <c r="E557" s="53">
        <v>8220</v>
      </c>
      <c r="F557" s="54" t="s">
        <v>1099</v>
      </c>
      <c r="G557" s="53" t="s">
        <v>170</v>
      </c>
      <c r="H557" s="58" t="str">
        <f>_xlfn.IFNA(INDEX(ActiveSchools!$C$2:$F$326,MATCH(G557,ActiveSchools!$F$2:$F$326,0),1),"Total")</f>
        <v>6660</v>
      </c>
      <c r="I557" s="53">
        <v>2</v>
      </c>
      <c r="J557" s="59">
        <f>_xlfn.IFNA(INDEX(DetailByDistrict[],MATCH($H557,DetailByDistrict[Dist],0),MATCH(J$2,DetailByDistrict[#Headers],0)),0)</f>
        <v>12</v>
      </c>
      <c r="K557" s="54">
        <f t="shared" si="8"/>
        <v>0.16666666666666666</v>
      </c>
      <c r="L557" s="59">
        <f>ROUND(INDEX(DetailByDistrict[],MATCH($H557,DetailByDistrict[Dist],0),MATCH(L$2,DetailByDistrict[#Headers],0))*K557,2)</f>
        <v>130</v>
      </c>
      <c r="M557" s="59">
        <f>ROUND(INDEX(DetailByDistrict[],MATCH($H557,DetailByDistrict[Dist],0),MATCH(M$2,DetailByDistrict[#Headers],0))*K557,2)</f>
        <v>143</v>
      </c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spans="1:26" x14ac:dyDescent="0.25">
      <c r="A558" s="53">
        <v>10</v>
      </c>
      <c r="B558" s="54" t="s">
        <v>1090</v>
      </c>
      <c r="C558" s="54" t="s">
        <v>814</v>
      </c>
      <c r="D558" s="53">
        <v>1278</v>
      </c>
      <c r="E558" s="53">
        <v>8130</v>
      </c>
      <c r="F558" s="54" t="s">
        <v>1100</v>
      </c>
      <c r="G558" s="53" t="s">
        <v>149</v>
      </c>
      <c r="H558" s="58" t="str">
        <f>_xlfn.IFNA(INDEX(ActiveSchools!$C$2:$F$326,MATCH(G558,ActiveSchools!$F$2:$F$326,0),1),"Total")</f>
        <v>1337</v>
      </c>
      <c r="I558" s="53">
        <v>1</v>
      </c>
      <c r="J558" s="59">
        <f>_xlfn.IFNA(INDEX(DetailByDistrict[],MATCH($H558,DetailByDistrict[Dist],0),MATCH(J$2,DetailByDistrict[#Headers],0)),0)</f>
        <v>168</v>
      </c>
      <c r="K558" s="54">
        <f t="shared" si="8"/>
        <v>5.9523809523809521E-3</v>
      </c>
      <c r="L558" s="59">
        <f>ROUND(INDEX(DetailByDistrict[],MATCH($H558,DetailByDistrict[Dist],0),MATCH(L$2,DetailByDistrict[#Headers],0))*K558,2)</f>
        <v>64.98</v>
      </c>
      <c r="M558" s="59">
        <f>ROUND(INDEX(DetailByDistrict[],MATCH($H558,DetailByDistrict[Dist],0),MATCH(M$2,DetailByDistrict[#Headers],0))*K558,2)</f>
        <v>71.459999999999994</v>
      </c>
    </row>
    <row r="559" spans="1:26" x14ac:dyDescent="0.25">
      <c r="A559" s="53">
        <v>10</v>
      </c>
      <c r="B559" s="54" t="s">
        <v>1090</v>
      </c>
      <c r="C559" s="54" t="s">
        <v>818</v>
      </c>
      <c r="D559" s="53">
        <v>1611</v>
      </c>
      <c r="E559" s="53">
        <v>8101</v>
      </c>
      <c r="F559" s="54" t="s">
        <v>1093</v>
      </c>
      <c r="G559" s="53" t="s">
        <v>161</v>
      </c>
      <c r="H559" s="58" t="str">
        <f>_xlfn.IFNA(INDEX(ActiveSchools!$C$2:$F$326,MATCH(G559,ActiveSchools!$F$2:$F$326,0),1),"Total")</f>
        <v>4269</v>
      </c>
      <c r="I559" s="53">
        <v>1</v>
      </c>
      <c r="J559" s="59">
        <f>_xlfn.IFNA(INDEX(DetailByDistrict[],MATCH($H559,DetailByDistrict[Dist],0),MATCH(J$2,DetailByDistrict[#Headers],0)),0)</f>
        <v>4</v>
      </c>
      <c r="K559" s="54">
        <f t="shared" si="8"/>
        <v>0.25</v>
      </c>
      <c r="L559" s="59">
        <f>ROUND(INDEX(DetailByDistrict[],MATCH($H559,DetailByDistrict[Dist],0),MATCH(L$2,DetailByDistrict[#Headers],0))*K559,2)</f>
        <v>65</v>
      </c>
      <c r="M559" s="59">
        <f>ROUND(INDEX(DetailByDistrict[],MATCH($H559,DetailByDistrict[Dist],0),MATCH(M$2,DetailByDistrict[#Headers],0))*K559,2)</f>
        <v>71.5</v>
      </c>
    </row>
    <row r="560" spans="1:26" x14ac:dyDescent="0.25">
      <c r="A560" s="53">
        <v>10</v>
      </c>
      <c r="B560" s="54" t="s">
        <v>1090</v>
      </c>
      <c r="C560" s="54" t="s">
        <v>820</v>
      </c>
      <c r="D560" s="53">
        <v>1611</v>
      </c>
      <c r="E560" s="53">
        <v>8109</v>
      </c>
      <c r="F560" s="54" t="s">
        <v>1112</v>
      </c>
      <c r="G560" s="53" t="s">
        <v>164</v>
      </c>
      <c r="H560" s="58" t="str">
        <f>_xlfn.IFNA(INDEX(ActiveSchools!$C$2:$F$326,MATCH(G560,ActiveSchools!$F$2:$F$326,0),1),"Total")</f>
        <v>3691</v>
      </c>
      <c r="I560" s="53">
        <v>1</v>
      </c>
      <c r="J560" s="59">
        <f>_xlfn.IFNA(INDEX(DetailByDistrict[],MATCH($H560,DetailByDistrict[Dist],0),MATCH(J$2,DetailByDistrict[#Headers],0)),0)</f>
        <v>3</v>
      </c>
      <c r="K560" s="54">
        <f t="shared" si="8"/>
        <v>0.33333333333333331</v>
      </c>
      <c r="L560" s="59">
        <f>ROUND(INDEX(DetailByDistrict[],MATCH($H560,DetailByDistrict[Dist],0),MATCH(L$2,DetailByDistrict[#Headers],0))*K560,2)</f>
        <v>65</v>
      </c>
      <c r="M560" s="59">
        <f>ROUND(INDEX(DetailByDistrict[],MATCH($H560,DetailByDistrict[Dist],0),MATCH(M$2,DetailByDistrict[#Headers],0))*K560,2)+0.03</f>
        <v>71.36</v>
      </c>
    </row>
    <row r="561" spans="1:26" x14ac:dyDescent="0.25">
      <c r="A561" s="53">
        <v>10</v>
      </c>
      <c r="B561" s="54" t="s">
        <v>1090</v>
      </c>
      <c r="C561" s="54" t="s">
        <v>784</v>
      </c>
      <c r="D561" s="53">
        <v>1611</v>
      </c>
      <c r="E561" s="53">
        <v>8212</v>
      </c>
      <c r="F561" s="54" t="s">
        <v>1112</v>
      </c>
      <c r="G561" s="53" t="s">
        <v>164</v>
      </c>
      <c r="H561" s="58" t="str">
        <f>_xlfn.IFNA(INDEX(ActiveSchools!$C$2:$F$326,MATCH(G561,ActiveSchools!$F$2:$F$326,0),1),"Total")</f>
        <v>3691</v>
      </c>
      <c r="I561" s="53">
        <v>2</v>
      </c>
      <c r="J561" s="59">
        <f>_xlfn.IFNA(INDEX(DetailByDistrict[],MATCH($H561,DetailByDistrict[Dist],0),MATCH(J$2,DetailByDistrict[#Headers],0)),0)</f>
        <v>3</v>
      </c>
      <c r="K561" s="54">
        <f t="shared" si="8"/>
        <v>0.66666666666666663</v>
      </c>
      <c r="L561" s="59">
        <f>ROUND(INDEX(DetailByDistrict[],MATCH($H561,DetailByDistrict[Dist],0),MATCH(L$2,DetailByDistrict[#Headers],0))*K561,2)</f>
        <v>130</v>
      </c>
      <c r="M561" s="59">
        <f>ROUND(INDEX(DetailByDistrict[],MATCH($H561,DetailByDistrict[Dist],0),MATCH(M$2,DetailByDistrict[#Headers],0))*K561,2)</f>
        <v>142.66999999999999</v>
      </c>
    </row>
    <row r="562" spans="1:26" ht="15.75" customHeight="1" x14ac:dyDescent="0.25">
      <c r="A562" s="53">
        <v>10</v>
      </c>
      <c r="B562" s="54" t="s">
        <v>1090</v>
      </c>
      <c r="C562" s="54" t="s">
        <v>868</v>
      </c>
      <c r="D562" s="53">
        <v>3141</v>
      </c>
      <c r="E562" s="53">
        <v>8102</v>
      </c>
      <c r="F562" s="54" t="s">
        <v>1106</v>
      </c>
      <c r="G562" s="53" t="s">
        <v>154</v>
      </c>
      <c r="H562" s="58" t="str">
        <f>_xlfn.IFNA(INDEX(ActiveSchools!$C$2:$F$326,MATCH(G562,ActiveSchools!$F$2:$F$326,0),1),"Total")</f>
        <v>3141</v>
      </c>
      <c r="I562" s="53">
        <v>63</v>
      </c>
      <c r="J562" s="59">
        <f>_xlfn.IFNA(INDEX(DetailByDistrict[],MATCH($H562,DetailByDistrict[Dist],0),MATCH(J$2,DetailByDistrict[#Headers],0)),0)</f>
        <v>1378</v>
      </c>
      <c r="K562" s="54">
        <f t="shared" si="8"/>
        <v>4.5718432510885344E-2</v>
      </c>
      <c r="L562" s="59">
        <f>ROUND(INDEX(DetailByDistrict[],MATCH($H562,DetailByDistrict[Dist],0),MATCH(L$2,DetailByDistrict[#Headers],0))*K562,2)</f>
        <v>4093.72</v>
      </c>
      <c r="M562" s="59">
        <f>ROUND(INDEX(DetailByDistrict[],MATCH($H562,DetailByDistrict[Dist],0),MATCH(M$2,DetailByDistrict[#Headers],0))*K562,2)</f>
        <v>4501.99</v>
      </c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spans="1:26" ht="15.75" customHeight="1" x14ac:dyDescent="0.25">
      <c r="A563" s="53">
        <v>10</v>
      </c>
      <c r="B563" s="54" t="s">
        <v>1090</v>
      </c>
      <c r="C563" s="54" t="s">
        <v>869</v>
      </c>
      <c r="D563" s="53">
        <v>3141</v>
      </c>
      <c r="E563" s="53">
        <v>8103</v>
      </c>
      <c r="F563" s="54" t="s">
        <v>1104</v>
      </c>
      <c r="G563" s="53" t="s">
        <v>148</v>
      </c>
      <c r="H563" s="58" t="str">
        <f>_xlfn.IFNA(INDEX(ActiveSchools!$C$2:$F$326,MATCH(G563,ActiveSchools!$F$2:$F$326,0),1),"Total")</f>
        <v>1221</v>
      </c>
      <c r="I563" s="53">
        <v>4</v>
      </c>
      <c r="J563" s="59">
        <f>_xlfn.IFNA(INDEX(DetailByDistrict[],MATCH($H563,DetailByDistrict[Dist],0),MATCH(J$2,DetailByDistrict[#Headers],0)),0)</f>
        <v>71</v>
      </c>
      <c r="K563" s="54">
        <f t="shared" si="8"/>
        <v>5.6338028169014086E-2</v>
      </c>
      <c r="L563" s="59">
        <f>ROUND(INDEX(DetailByDistrict[],MATCH($H563,DetailByDistrict[Dist],0),MATCH(L$2,DetailByDistrict[#Headers],0))*K563,2)</f>
        <v>259.94</v>
      </c>
      <c r="M563" s="59">
        <f>ROUND(INDEX(DetailByDistrict[],MATCH($H563,DetailByDistrict[Dist],0),MATCH(M$2,DetailByDistrict[#Headers],0))*K563,2)</f>
        <v>285.86</v>
      </c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spans="1:26" ht="15.75" customHeight="1" x14ac:dyDescent="0.25">
      <c r="A564" s="53">
        <v>10</v>
      </c>
      <c r="B564" s="54" t="s">
        <v>1090</v>
      </c>
      <c r="C564" s="54" t="s">
        <v>869</v>
      </c>
      <c r="D564" s="53">
        <v>3141</v>
      </c>
      <c r="E564" s="53">
        <v>8103</v>
      </c>
      <c r="F564" s="54" t="s">
        <v>1106</v>
      </c>
      <c r="G564" s="53" t="s">
        <v>154</v>
      </c>
      <c r="H564" s="58" t="str">
        <f>_xlfn.IFNA(INDEX(ActiveSchools!$C$2:$F$326,MATCH(G564,ActiveSchools!$F$2:$F$326,0),1),"Total")</f>
        <v>3141</v>
      </c>
      <c r="I564" s="53">
        <v>112</v>
      </c>
      <c r="J564" s="59">
        <f>_xlfn.IFNA(INDEX(DetailByDistrict[],MATCH($H564,DetailByDistrict[Dist],0),MATCH(J$2,DetailByDistrict[#Headers],0)),0)</f>
        <v>1378</v>
      </c>
      <c r="K564" s="54">
        <f t="shared" si="8"/>
        <v>8.1277213352685049E-2</v>
      </c>
      <c r="L564" s="59">
        <f>ROUND(INDEX(DetailByDistrict[],MATCH($H564,DetailByDistrict[Dist],0),MATCH(L$2,DetailByDistrict[#Headers],0))*K564,2)</f>
        <v>7277.72</v>
      </c>
      <c r="M564" s="59">
        <f>ROUND(INDEX(DetailByDistrict[],MATCH($H564,DetailByDistrict[Dist],0),MATCH(M$2,DetailByDistrict[#Headers],0))*K564,2)</f>
        <v>8003.53</v>
      </c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spans="1:26" ht="15.75" customHeight="1" x14ac:dyDescent="0.25">
      <c r="A565" s="53">
        <v>10</v>
      </c>
      <c r="B565" s="54" t="s">
        <v>1090</v>
      </c>
      <c r="C565" s="54" t="s">
        <v>870</v>
      </c>
      <c r="D565" s="53">
        <v>3141</v>
      </c>
      <c r="E565" s="53">
        <v>8104</v>
      </c>
      <c r="F565" s="54" t="s">
        <v>1104</v>
      </c>
      <c r="G565" s="53" t="s">
        <v>148</v>
      </c>
      <c r="H565" s="58" t="str">
        <f>_xlfn.IFNA(INDEX(ActiveSchools!$C$2:$F$326,MATCH(G565,ActiveSchools!$F$2:$F$326,0),1),"Total")</f>
        <v>1221</v>
      </c>
      <c r="I565" s="53">
        <v>9</v>
      </c>
      <c r="J565" s="59">
        <f>_xlfn.IFNA(INDEX(DetailByDistrict[],MATCH($H565,DetailByDistrict[Dist],0),MATCH(J$2,DetailByDistrict[#Headers],0)),0)</f>
        <v>71</v>
      </c>
      <c r="K565" s="54">
        <f t="shared" si="8"/>
        <v>0.12676056338028169</v>
      </c>
      <c r="L565" s="59">
        <f>ROUND(INDEX(DetailByDistrict[],MATCH($H565,DetailByDistrict[Dist],0),MATCH(L$2,DetailByDistrict[#Headers],0))*K565,2)</f>
        <v>584.87</v>
      </c>
      <c r="M565" s="59">
        <f>ROUND(INDEX(DetailByDistrict[],MATCH($H565,DetailByDistrict[Dist],0),MATCH(M$2,DetailByDistrict[#Headers],0))*K565,2)</f>
        <v>643.17999999999995</v>
      </c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spans="1:26" ht="15.75" customHeight="1" x14ac:dyDescent="0.25">
      <c r="A566" s="53">
        <v>10</v>
      </c>
      <c r="B566" s="54" t="s">
        <v>1090</v>
      </c>
      <c r="C566" s="54" t="s">
        <v>870</v>
      </c>
      <c r="D566" s="53">
        <v>3141</v>
      </c>
      <c r="E566" s="53">
        <v>8104</v>
      </c>
      <c r="F566" s="54" t="s">
        <v>1113</v>
      </c>
      <c r="G566" s="53" t="s">
        <v>151</v>
      </c>
      <c r="H566" s="58" t="str">
        <f>_xlfn.IFNA(INDEX(ActiveSchools!$C$2:$F$326,MATCH(G566,ActiveSchools!$F$2:$F$326,0),1),"Total")</f>
        <v>2977</v>
      </c>
      <c r="I566" s="53">
        <v>3</v>
      </c>
      <c r="J566" s="59">
        <f>_xlfn.IFNA(INDEX(DetailByDistrict[],MATCH($H566,DetailByDistrict[Dist],0),MATCH(J$2,DetailByDistrict[#Headers],0)),0)</f>
        <v>19</v>
      </c>
      <c r="K566" s="54">
        <f t="shared" si="8"/>
        <v>0.15789473684210525</v>
      </c>
      <c r="L566" s="59">
        <f>ROUND(INDEX(DetailByDistrict[],MATCH($H566,DetailByDistrict[Dist],0),MATCH(L$2,DetailByDistrict[#Headers],0))*K566,2)</f>
        <v>195</v>
      </c>
      <c r="M566" s="59">
        <f>ROUND(INDEX(DetailByDistrict[],MATCH($H566,DetailByDistrict[Dist],0),MATCH(M$2,DetailByDistrict[#Headers],0))*K566,2)</f>
        <v>214.42</v>
      </c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spans="1:26" ht="15.75" customHeight="1" x14ac:dyDescent="0.25">
      <c r="A567" s="53">
        <v>10</v>
      </c>
      <c r="B567" s="54" t="s">
        <v>1090</v>
      </c>
      <c r="C567" s="54" t="s">
        <v>870</v>
      </c>
      <c r="D567" s="53">
        <v>3141</v>
      </c>
      <c r="E567" s="53">
        <v>8104</v>
      </c>
      <c r="F567" s="54" t="s">
        <v>1106</v>
      </c>
      <c r="G567" s="53" t="s">
        <v>154</v>
      </c>
      <c r="H567" s="58" t="str">
        <f>_xlfn.IFNA(INDEX(ActiveSchools!$C$2:$F$326,MATCH(G567,ActiveSchools!$F$2:$F$326,0),1),"Total")</f>
        <v>3141</v>
      </c>
      <c r="I567" s="53">
        <v>385</v>
      </c>
      <c r="J567" s="59">
        <f>_xlfn.IFNA(INDEX(DetailByDistrict[],MATCH($H567,DetailByDistrict[Dist],0),MATCH(J$2,DetailByDistrict[#Headers],0)),0)</f>
        <v>1378</v>
      </c>
      <c r="K567" s="54">
        <f t="shared" si="8"/>
        <v>0.27939042089985489</v>
      </c>
      <c r="L567" s="59">
        <f>ROUND(INDEX(DetailByDistrict[],MATCH($H567,DetailByDistrict[Dist],0),MATCH(L$2,DetailByDistrict[#Headers],0))*K567,2)</f>
        <v>25017.18</v>
      </c>
      <c r="M567" s="59">
        <f>ROUND(INDEX(DetailByDistrict[],MATCH($H567,DetailByDistrict[Dist],0),MATCH(M$2,DetailByDistrict[#Headers],0))*K567,2)</f>
        <v>27512.13</v>
      </c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spans="1:26" ht="15.75" customHeight="1" x14ac:dyDescent="0.25">
      <c r="A568" s="53">
        <v>10</v>
      </c>
      <c r="B568" s="54" t="s">
        <v>1090</v>
      </c>
      <c r="C568" s="54" t="s">
        <v>870</v>
      </c>
      <c r="D568" s="53">
        <v>3141</v>
      </c>
      <c r="E568" s="53">
        <v>8104</v>
      </c>
      <c r="F568" s="54" t="s">
        <v>1114</v>
      </c>
      <c r="G568" s="53" t="s">
        <v>158</v>
      </c>
      <c r="H568" s="58" t="str">
        <f>_xlfn.IFNA(INDEX(ActiveSchools!$C$2:$F$326,MATCH(G568,ActiveSchools!$F$2:$F$326,0),1),"Total")</f>
        <v>3816</v>
      </c>
      <c r="I568" s="53">
        <v>1</v>
      </c>
      <c r="J568" s="59">
        <f>_xlfn.IFNA(INDEX(DetailByDistrict[],MATCH($H568,DetailByDistrict[Dist],0),MATCH(J$2,DetailByDistrict[#Headers],0)),0)</f>
        <v>8</v>
      </c>
      <c r="K568" s="54">
        <f t="shared" si="8"/>
        <v>0.125</v>
      </c>
      <c r="L568" s="59">
        <f>ROUND(INDEX(DetailByDistrict[],MATCH($H568,DetailByDistrict[Dist],0),MATCH(L$2,DetailByDistrict[#Headers],0))*K568,2)</f>
        <v>65</v>
      </c>
      <c r="M568" s="59">
        <f>ROUND(INDEX(DetailByDistrict[],MATCH($H568,DetailByDistrict[Dist],0),MATCH(M$2,DetailByDistrict[#Headers],0))*K568,2)</f>
        <v>71.5</v>
      </c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spans="1:26" ht="15.75" customHeight="1" x14ac:dyDescent="0.25">
      <c r="A569" s="53">
        <v>10</v>
      </c>
      <c r="B569" s="54" t="s">
        <v>1090</v>
      </c>
      <c r="C569" s="54" t="s">
        <v>870</v>
      </c>
      <c r="D569" s="53">
        <v>3141</v>
      </c>
      <c r="E569" s="53">
        <v>8104</v>
      </c>
      <c r="F569" s="54" t="s">
        <v>1115</v>
      </c>
      <c r="G569" s="53" t="s">
        <v>160</v>
      </c>
      <c r="H569" s="58" t="str">
        <f>_xlfn.IFNA(INDEX(ActiveSchools!$C$2:$F$326,MATCH(G569,ActiveSchools!$F$2:$F$326,0),1),"Total")</f>
        <v>4271</v>
      </c>
      <c r="I569" s="53">
        <v>2</v>
      </c>
      <c r="J569" s="59">
        <f>_xlfn.IFNA(INDEX(DetailByDistrict[],MATCH($H569,DetailByDistrict[Dist],0),MATCH(J$2,DetailByDistrict[#Headers],0)),0)</f>
        <v>164</v>
      </c>
      <c r="K569" s="54">
        <f t="shared" si="8"/>
        <v>1.2195121951219513E-2</v>
      </c>
      <c r="L569" s="59">
        <f>ROUND(INDEX(DetailByDistrict[],MATCH($H569,DetailByDistrict[Dist],0),MATCH(L$2,DetailByDistrict[#Headers],0))*K569,2)</f>
        <v>129.96</v>
      </c>
      <c r="M569" s="59">
        <f>ROUND(INDEX(DetailByDistrict[],MATCH($H569,DetailByDistrict[Dist],0),MATCH(M$2,DetailByDistrict[#Headers],0))*K569,2)</f>
        <v>142.91</v>
      </c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spans="1:26" ht="15.75" customHeight="1" x14ac:dyDescent="0.25">
      <c r="A570" s="53">
        <v>10</v>
      </c>
      <c r="B570" s="54" t="s">
        <v>1090</v>
      </c>
      <c r="C570" s="54" t="s">
        <v>870</v>
      </c>
      <c r="D570" s="53">
        <v>3141</v>
      </c>
      <c r="E570" s="53">
        <v>8104</v>
      </c>
      <c r="F570" s="54" t="s">
        <v>1102</v>
      </c>
      <c r="G570" s="53" t="s">
        <v>163</v>
      </c>
      <c r="H570" s="58" t="str">
        <f>_xlfn.IFNA(INDEX(ActiveSchools!$C$2:$F$326,MATCH(G570,ActiveSchools!$F$2:$F$326,0),1),"Total")</f>
        <v>4554</v>
      </c>
      <c r="I570" s="53">
        <v>1</v>
      </c>
      <c r="J570" s="59">
        <f>_xlfn.IFNA(INDEX(DetailByDistrict[],MATCH($H570,DetailByDistrict[Dist],0),MATCH(J$2,DetailByDistrict[#Headers],0)),0)</f>
        <v>31</v>
      </c>
      <c r="K570" s="54">
        <f t="shared" si="8"/>
        <v>3.2258064516129031E-2</v>
      </c>
      <c r="L570" s="59">
        <f>ROUND(INDEX(DetailByDistrict[],MATCH($H570,DetailByDistrict[Dist],0),MATCH(L$2,DetailByDistrict[#Headers],0))*K570,2)</f>
        <v>64.97</v>
      </c>
      <c r="M570" s="59">
        <f>ROUND(INDEX(DetailByDistrict[],MATCH($H570,DetailByDistrict[Dist],0),MATCH(M$2,DetailByDistrict[#Headers],0))*K570,2)</f>
        <v>71.45</v>
      </c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spans="1:26" ht="15.75" customHeight="1" x14ac:dyDescent="0.25">
      <c r="A571" s="53">
        <v>10</v>
      </c>
      <c r="B571" s="54" t="s">
        <v>1090</v>
      </c>
      <c r="C571" s="54" t="s">
        <v>870</v>
      </c>
      <c r="D571" s="53">
        <v>3141</v>
      </c>
      <c r="E571" s="53">
        <v>8104</v>
      </c>
      <c r="F571" s="54" t="s">
        <v>1108</v>
      </c>
      <c r="G571" s="53" t="s">
        <v>167</v>
      </c>
      <c r="H571" s="58" t="str">
        <f>_xlfn.IFNA(INDEX(ActiveSchools!$C$2:$F$326,MATCH(G571,ActiveSchools!$F$2:$F$326,0),1),"Total")</f>
        <v>6093</v>
      </c>
      <c r="I571" s="53">
        <v>3</v>
      </c>
      <c r="J571" s="59">
        <f>_xlfn.IFNA(INDEX(DetailByDistrict[],MATCH($H571,DetailByDistrict[Dist],0),MATCH(J$2,DetailByDistrict[#Headers],0)),0)</f>
        <v>25</v>
      </c>
      <c r="K571" s="54">
        <f t="shared" si="8"/>
        <v>0.12</v>
      </c>
      <c r="L571" s="59">
        <f>ROUND(INDEX(DetailByDistrict[],MATCH($H571,DetailByDistrict[Dist],0),MATCH(L$2,DetailByDistrict[#Headers],0))*K571,2)</f>
        <v>195</v>
      </c>
      <c r="M571" s="59">
        <f>ROUND(INDEX(DetailByDistrict[],MATCH($H571,DetailByDistrict[Dist],0),MATCH(M$2,DetailByDistrict[#Headers],0))*K571,2)</f>
        <v>214.44</v>
      </c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spans="1:26" ht="15.75" customHeight="1" x14ac:dyDescent="0.25">
      <c r="A572" s="53">
        <v>10</v>
      </c>
      <c r="B572" s="54" t="s">
        <v>1090</v>
      </c>
      <c r="C572" s="54" t="s">
        <v>870</v>
      </c>
      <c r="D572" s="53">
        <v>3141</v>
      </c>
      <c r="E572" s="53">
        <v>8104</v>
      </c>
      <c r="F572" s="54" t="s">
        <v>1116</v>
      </c>
      <c r="G572" s="53" t="s">
        <v>172</v>
      </c>
      <c r="H572" s="58" t="str">
        <f>_xlfn.IFNA(INDEX(ActiveSchools!$C$2:$F$326,MATCH(G572,ActiveSchools!$F$2:$F$326,0),1),"Total")</f>
        <v>6930</v>
      </c>
      <c r="I572" s="53">
        <v>2</v>
      </c>
      <c r="J572" s="59">
        <f>_xlfn.IFNA(INDEX(DetailByDistrict[],MATCH($H572,DetailByDistrict[Dist],0),MATCH(J$2,DetailByDistrict[#Headers],0)),0)</f>
        <v>15</v>
      </c>
      <c r="K572" s="54">
        <f t="shared" si="8"/>
        <v>0.13333333333333333</v>
      </c>
      <c r="L572" s="59">
        <f>ROUND(INDEX(DetailByDistrict[],MATCH($H572,DetailByDistrict[Dist],0),MATCH(L$2,DetailByDistrict[#Headers],0))*K572,2)</f>
        <v>130</v>
      </c>
      <c r="M572" s="59">
        <f>ROUND(INDEX(DetailByDistrict[],MATCH($H572,DetailByDistrict[Dist],0),MATCH(M$2,DetailByDistrict[#Headers],0))*K572,2)</f>
        <v>142.93</v>
      </c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spans="1:26" ht="15.75" customHeight="1" x14ac:dyDescent="0.25">
      <c r="A573" s="53">
        <v>10</v>
      </c>
      <c r="B573" s="54" t="s">
        <v>1090</v>
      </c>
      <c r="C573" s="54" t="s">
        <v>871</v>
      </c>
      <c r="D573" s="53">
        <v>3141</v>
      </c>
      <c r="E573" s="53">
        <v>8106</v>
      </c>
      <c r="F573" s="54" t="s">
        <v>1104</v>
      </c>
      <c r="G573" s="53" t="s">
        <v>148</v>
      </c>
      <c r="H573" s="58" t="str">
        <f>_xlfn.IFNA(INDEX(ActiveSchools!$C$2:$F$326,MATCH(G573,ActiveSchools!$F$2:$F$326,0),1),"Total")</f>
        <v>1221</v>
      </c>
      <c r="I573" s="53">
        <v>27</v>
      </c>
      <c r="J573" s="59">
        <f>_xlfn.IFNA(INDEX(DetailByDistrict[],MATCH($H573,DetailByDistrict[Dist],0),MATCH(J$2,DetailByDistrict[#Headers],0)),0)</f>
        <v>71</v>
      </c>
      <c r="K573" s="54">
        <f t="shared" si="8"/>
        <v>0.38028169014084506</v>
      </c>
      <c r="L573" s="59">
        <f>ROUND(INDEX(DetailByDistrict[],MATCH($H573,DetailByDistrict[Dist],0),MATCH(L$2,DetailByDistrict[#Headers],0))*K573,2)</f>
        <v>1754.62</v>
      </c>
      <c r="M573" s="59">
        <f>ROUND(INDEX(DetailByDistrict[],MATCH($H573,DetailByDistrict[Dist],0),MATCH(M$2,DetailByDistrict[#Headers],0))*K573,2)</f>
        <v>1929.55</v>
      </c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spans="1:26" ht="15.75" customHeight="1" x14ac:dyDescent="0.25">
      <c r="A574" s="53">
        <v>10</v>
      </c>
      <c r="B574" s="54" t="s">
        <v>1090</v>
      </c>
      <c r="C574" s="54" t="s">
        <v>871</v>
      </c>
      <c r="D574" s="53">
        <v>3141</v>
      </c>
      <c r="E574" s="53">
        <v>8106</v>
      </c>
      <c r="F574" s="54" t="s">
        <v>1100</v>
      </c>
      <c r="G574" s="53" t="s">
        <v>149</v>
      </c>
      <c r="H574" s="58" t="str">
        <f>_xlfn.IFNA(INDEX(ActiveSchools!$C$2:$F$326,MATCH(G574,ActiveSchools!$F$2:$F$326,0),1),"Total")</f>
        <v>1337</v>
      </c>
      <c r="I574" s="53">
        <v>7</v>
      </c>
      <c r="J574" s="59">
        <f>_xlfn.IFNA(INDEX(DetailByDistrict[],MATCH($H574,DetailByDistrict[Dist],0),MATCH(J$2,DetailByDistrict[#Headers],0)),0)</f>
        <v>168</v>
      </c>
      <c r="K574" s="54">
        <f t="shared" si="8"/>
        <v>4.1666666666666664E-2</v>
      </c>
      <c r="L574" s="59">
        <f>ROUND(INDEX(DetailByDistrict[],MATCH($H574,DetailByDistrict[Dist],0),MATCH(L$2,DetailByDistrict[#Headers],0))*K574,2)</f>
        <v>454.88</v>
      </c>
      <c r="M574" s="59">
        <f>ROUND(INDEX(DetailByDistrict[],MATCH($H574,DetailByDistrict[Dist],0),MATCH(M$2,DetailByDistrict[#Headers],0))*K574,2)</f>
        <v>500.21</v>
      </c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spans="1:26" ht="15.75" customHeight="1" x14ac:dyDescent="0.25">
      <c r="A575" s="53">
        <v>10</v>
      </c>
      <c r="B575" s="54" t="s">
        <v>1090</v>
      </c>
      <c r="C575" s="54" t="s">
        <v>871</v>
      </c>
      <c r="D575" s="53">
        <v>3141</v>
      </c>
      <c r="E575" s="53">
        <v>8106</v>
      </c>
      <c r="F575" s="54" t="s">
        <v>1106</v>
      </c>
      <c r="G575" s="53" t="s">
        <v>154</v>
      </c>
      <c r="H575" s="58" t="str">
        <f>_xlfn.IFNA(INDEX(ActiveSchools!$C$2:$F$326,MATCH(G575,ActiveSchools!$F$2:$F$326,0),1),"Total")</f>
        <v>3141</v>
      </c>
      <c r="I575" s="53">
        <v>176</v>
      </c>
      <c r="J575" s="59">
        <f>_xlfn.IFNA(INDEX(DetailByDistrict[],MATCH($H575,DetailByDistrict[Dist],0),MATCH(J$2,DetailByDistrict[#Headers],0)),0)</f>
        <v>1378</v>
      </c>
      <c r="K575" s="54">
        <f t="shared" si="8"/>
        <v>0.12772133526850507</v>
      </c>
      <c r="L575" s="59">
        <f>ROUND(INDEX(DetailByDistrict[],MATCH($H575,DetailByDistrict[Dist],0),MATCH(L$2,DetailByDistrict[#Headers],0))*K575,2)</f>
        <v>11436.42</v>
      </c>
      <c r="M575" s="59">
        <f>ROUND(INDEX(DetailByDistrict[],MATCH($H575,DetailByDistrict[Dist],0),MATCH(M$2,DetailByDistrict[#Headers],0))*K575,2)</f>
        <v>12576.98</v>
      </c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spans="1:26" ht="15.75" customHeight="1" x14ac:dyDescent="0.25">
      <c r="A576" s="53">
        <v>10</v>
      </c>
      <c r="B576" s="54" t="s">
        <v>1090</v>
      </c>
      <c r="C576" s="54" t="s">
        <v>871</v>
      </c>
      <c r="D576" s="53">
        <v>3141</v>
      </c>
      <c r="E576" s="53">
        <v>8106</v>
      </c>
      <c r="F576" s="54" t="s">
        <v>1115</v>
      </c>
      <c r="G576" s="53" t="s">
        <v>160</v>
      </c>
      <c r="H576" s="58" t="str">
        <f>_xlfn.IFNA(INDEX(ActiveSchools!$C$2:$F$326,MATCH(G576,ActiveSchools!$F$2:$F$326,0),1),"Total")</f>
        <v>4271</v>
      </c>
      <c r="I576" s="53">
        <v>3</v>
      </c>
      <c r="J576" s="59">
        <f>_xlfn.IFNA(INDEX(DetailByDistrict[],MATCH($H576,DetailByDistrict[Dist],0),MATCH(J$2,DetailByDistrict[#Headers],0)),0)</f>
        <v>164</v>
      </c>
      <c r="K576" s="54">
        <f t="shared" si="8"/>
        <v>1.8292682926829267E-2</v>
      </c>
      <c r="L576" s="59">
        <f>ROUND(INDEX(DetailByDistrict[],MATCH($H576,DetailByDistrict[Dist],0),MATCH(L$2,DetailByDistrict[#Headers],0))*K576,2)</f>
        <v>194.95</v>
      </c>
      <c r="M576" s="59">
        <f>ROUND(INDEX(DetailByDistrict[],MATCH($H576,DetailByDistrict[Dist],0),MATCH(M$2,DetailByDistrict[#Headers],0))*K576,2)</f>
        <v>214.37</v>
      </c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spans="1:26" ht="15.75" customHeight="1" x14ac:dyDescent="0.25">
      <c r="A577" s="53">
        <v>10</v>
      </c>
      <c r="B577" s="54" t="s">
        <v>1090</v>
      </c>
      <c r="C577" s="54" t="s">
        <v>871</v>
      </c>
      <c r="D577" s="53">
        <v>3141</v>
      </c>
      <c r="E577" s="53">
        <v>8106</v>
      </c>
      <c r="F577" s="54" t="s">
        <v>1117</v>
      </c>
      <c r="G577" s="53" t="s">
        <v>173</v>
      </c>
      <c r="H577" s="58" t="str">
        <f>_xlfn.IFNA(INDEX(ActiveSchools!$C$2:$F$326,MATCH(G577,ActiveSchools!$F$2:$F$326,0),1),"Total")</f>
        <v>7029</v>
      </c>
      <c r="I577" s="53">
        <v>2</v>
      </c>
      <c r="J577" s="59">
        <f>_xlfn.IFNA(INDEX(DetailByDistrict[],MATCH($H577,DetailByDistrict[Dist],0),MATCH(J$2,DetailByDistrict[#Headers],0)),0)</f>
        <v>83</v>
      </c>
      <c r="K577" s="54">
        <f t="shared" si="8"/>
        <v>2.4096385542168676E-2</v>
      </c>
      <c r="L577" s="59">
        <f>ROUND(INDEX(DetailByDistrict[],MATCH($H577,DetailByDistrict[Dist],0),MATCH(L$2,DetailByDistrict[#Headers],0))*K577,2)</f>
        <v>129.94999999999999</v>
      </c>
      <c r="M577" s="59">
        <f>ROUND(INDEX(DetailByDistrict[],MATCH($H577,DetailByDistrict[Dist],0),MATCH(M$2,DetailByDistrict[#Headers],0))*K577,2)</f>
        <v>142.91999999999999</v>
      </c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spans="1:26" ht="15.75" customHeight="1" x14ac:dyDescent="0.25">
      <c r="A578" s="53">
        <v>10</v>
      </c>
      <c r="B578" s="54" t="s">
        <v>1090</v>
      </c>
      <c r="C578" s="54" t="s">
        <v>872</v>
      </c>
      <c r="D578" s="53">
        <v>3141</v>
      </c>
      <c r="E578" s="53">
        <v>8108</v>
      </c>
      <c r="F578" s="54" t="s">
        <v>1104</v>
      </c>
      <c r="G578" s="53" t="s">
        <v>148</v>
      </c>
      <c r="H578" s="58" t="str">
        <f>_xlfn.IFNA(INDEX(ActiveSchools!$C$2:$F$326,MATCH(G578,ActiveSchools!$F$2:$F$326,0),1),"Total")</f>
        <v>1221</v>
      </c>
      <c r="I578" s="53">
        <v>16</v>
      </c>
      <c r="J578" s="59">
        <f>_xlfn.IFNA(INDEX(DetailByDistrict[],MATCH($H578,DetailByDistrict[Dist],0),MATCH(J$2,DetailByDistrict[#Headers],0)),0)</f>
        <v>71</v>
      </c>
      <c r="K578" s="54">
        <f t="shared" si="8"/>
        <v>0.22535211267605634</v>
      </c>
      <c r="L578" s="59">
        <f>ROUND(INDEX(DetailByDistrict[],MATCH($H578,DetailByDistrict[Dist],0),MATCH(L$2,DetailByDistrict[#Headers],0))*K578,2)</f>
        <v>1039.77</v>
      </c>
      <c r="M578" s="59">
        <f>ROUND(INDEX(DetailByDistrict[],MATCH($H578,DetailByDistrict[Dist],0),MATCH(M$2,DetailByDistrict[#Headers],0))*K578,2)</f>
        <v>1143.44</v>
      </c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spans="1:26" ht="15.75" customHeight="1" x14ac:dyDescent="0.25">
      <c r="A579" s="53">
        <v>10</v>
      </c>
      <c r="B579" s="54" t="s">
        <v>1090</v>
      </c>
      <c r="C579" s="54" t="s">
        <v>872</v>
      </c>
      <c r="D579" s="53">
        <v>3141</v>
      </c>
      <c r="E579" s="53">
        <v>8108</v>
      </c>
      <c r="F579" s="54" t="s">
        <v>1100</v>
      </c>
      <c r="G579" s="53" t="s">
        <v>149</v>
      </c>
      <c r="H579" s="58" t="str">
        <f>_xlfn.IFNA(INDEX(ActiveSchools!$C$2:$F$326,MATCH(G579,ActiveSchools!$F$2:$F$326,0),1),"Total")</f>
        <v>1337</v>
      </c>
      <c r="I579" s="53">
        <v>2</v>
      </c>
      <c r="J579" s="59">
        <f>_xlfn.IFNA(INDEX(DetailByDistrict[],MATCH($H579,DetailByDistrict[Dist],0),MATCH(J$2,DetailByDistrict[#Headers],0)),0)</f>
        <v>168</v>
      </c>
      <c r="K579" s="54">
        <f t="shared" si="8"/>
        <v>1.1904761904761904E-2</v>
      </c>
      <c r="L579" s="59">
        <f>ROUND(INDEX(DetailByDistrict[],MATCH($H579,DetailByDistrict[Dist],0),MATCH(L$2,DetailByDistrict[#Headers],0))*K579,2)</f>
        <v>129.96</v>
      </c>
      <c r="M579" s="59">
        <f>ROUND(INDEX(DetailByDistrict[],MATCH($H579,DetailByDistrict[Dist],0),MATCH(M$2,DetailByDistrict[#Headers],0))*K579,2)</f>
        <v>142.91999999999999</v>
      </c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spans="1:26" ht="15.75" customHeight="1" x14ac:dyDescent="0.25">
      <c r="A580" s="53">
        <v>10</v>
      </c>
      <c r="B580" s="54" t="s">
        <v>1090</v>
      </c>
      <c r="C580" s="54" t="s">
        <v>872</v>
      </c>
      <c r="D580" s="53">
        <v>3141</v>
      </c>
      <c r="E580" s="53">
        <v>8108</v>
      </c>
      <c r="F580" s="54" t="s">
        <v>1113</v>
      </c>
      <c r="G580" s="53" t="s">
        <v>151</v>
      </c>
      <c r="H580" s="58" t="str">
        <f>_xlfn.IFNA(INDEX(ActiveSchools!$C$2:$F$326,MATCH(G580,ActiveSchools!$F$2:$F$326,0),1),"Total")</f>
        <v>2977</v>
      </c>
      <c r="I580" s="53">
        <v>5</v>
      </c>
      <c r="J580" s="59">
        <f>_xlfn.IFNA(INDEX(DetailByDistrict[],MATCH($H580,DetailByDistrict[Dist],0),MATCH(J$2,DetailByDistrict[#Headers],0)),0)</f>
        <v>19</v>
      </c>
      <c r="K580" s="54">
        <f t="shared" ref="K580:K643" si="9">I580/J580</f>
        <v>0.26315789473684209</v>
      </c>
      <c r="L580" s="59">
        <f>ROUND(INDEX(DetailByDistrict[],MATCH($H580,DetailByDistrict[Dist],0),MATCH(L$2,DetailByDistrict[#Headers],0))*K580,2)</f>
        <v>325</v>
      </c>
      <c r="M580" s="59">
        <f>ROUND(INDEX(DetailByDistrict[],MATCH($H580,DetailByDistrict[Dist],0),MATCH(M$2,DetailByDistrict[#Headers],0))*K580,2)</f>
        <v>357.37</v>
      </c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spans="1:26" ht="15.75" customHeight="1" x14ac:dyDescent="0.25">
      <c r="A581" s="53">
        <v>10</v>
      </c>
      <c r="B581" s="54" t="s">
        <v>1090</v>
      </c>
      <c r="C581" s="54" t="s">
        <v>872</v>
      </c>
      <c r="D581" s="53">
        <v>3141</v>
      </c>
      <c r="E581" s="53">
        <v>8108</v>
      </c>
      <c r="F581" s="54" t="s">
        <v>1106</v>
      </c>
      <c r="G581" s="53" t="s">
        <v>154</v>
      </c>
      <c r="H581" s="58" t="str">
        <f>_xlfn.IFNA(INDEX(ActiveSchools!$C$2:$F$326,MATCH(G581,ActiveSchools!$F$2:$F$326,0),1),"Total")</f>
        <v>3141</v>
      </c>
      <c r="I581" s="53">
        <v>478</v>
      </c>
      <c r="J581" s="59">
        <f>_xlfn.IFNA(INDEX(DetailByDistrict[],MATCH($H581,DetailByDistrict[Dist],0),MATCH(J$2,DetailByDistrict[#Headers],0)),0)</f>
        <v>1378</v>
      </c>
      <c r="K581" s="54">
        <f t="shared" si="9"/>
        <v>0.34687953555878082</v>
      </c>
      <c r="L581" s="59">
        <f>ROUND(INDEX(DetailByDistrict[],MATCH($H581,DetailByDistrict[Dist],0),MATCH(L$2,DetailByDistrict[#Headers],0))*K581,2)-0.05</f>
        <v>31060.240000000002</v>
      </c>
      <c r="M581" s="59">
        <f>ROUND(INDEX(DetailByDistrict[],MATCH($H581,DetailByDistrict[Dist],0),MATCH(M$2,DetailByDistrict[#Headers],0))*K581,2)</f>
        <v>34157.919999999998</v>
      </c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spans="1:26" ht="15.75" customHeight="1" x14ac:dyDescent="0.25">
      <c r="A582" s="53">
        <v>10</v>
      </c>
      <c r="B582" s="54" t="s">
        <v>1090</v>
      </c>
      <c r="C582" s="54" t="s">
        <v>872</v>
      </c>
      <c r="D582" s="53">
        <v>3141</v>
      </c>
      <c r="E582" s="53">
        <v>8108</v>
      </c>
      <c r="F582" s="54" t="s">
        <v>1114</v>
      </c>
      <c r="G582" s="53" t="s">
        <v>158</v>
      </c>
      <c r="H582" s="58" t="str">
        <f>_xlfn.IFNA(INDEX(ActiveSchools!$C$2:$F$326,MATCH(G582,ActiveSchools!$F$2:$F$326,0),1),"Total")</f>
        <v>3816</v>
      </c>
      <c r="I582" s="53">
        <v>3</v>
      </c>
      <c r="J582" s="59">
        <f>_xlfn.IFNA(INDEX(DetailByDistrict[],MATCH($H582,DetailByDistrict[Dist],0),MATCH(J$2,DetailByDistrict[#Headers],0)),0)</f>
        <v>8</v>
      </c>
      <c r="K582" s="54">
        <f t="shared" si="9"/>
        <v>0.375</v>
      </c>
      <c r="L582" s="59">
        <f>ROUND(INDEX(DetailByDistrict[],MATCH($H582,DetailByDistrict[Dist],0),MATCH(L$2,DetailByDistrict[#Headers],0))*K582,2)</f>
        <v>195</v>
      </c>
      <c r="M582" s="59">
        <f>ROUND(INDEX(DetailByDistrict[],MATCH($H582,DetailByDistrict[Dist],0),MATCH(M$2,DetailByDistrict[#Headers],0))*K582,2)</f>
        <v>214.5</v>
      </c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spans="1:26" ht="15.75" customHeight="1" x14ac:dyDescent="0.25">
      <c r="A583" s="53">
        <v>10</v>
      </c>
      <c r="B583" s="54" t="s">
        <v>1090</v>
      </c>
      <c r="C583" s="54" t="s">
        <v>872</v>
      </c>
      <c r="D583" s="53">
        <v>3141</v>
      </c>
      <c r="E583" s="53">
        <v>8108</v>
      </c>
      <c r="F583" s="54" t="s">
        <v>1115</v>
      </c>
      <c r="G583" s="53" t="s">
        <v>160</v>
      </c>
      <c r="H583" s="58" t="str">
        <f>_xlfn.IFNA(INDEX(ActiveSchools!$C$2:$F$326,MATCH(G583,ActiveSchools!$F$2:$F$326,0),1),"Total")</f>
        <v>4271</v>
      </c>
      <c r="I583" s="53">
        <v>1</v>
      </c>
      <c r="J583" s="59">
        <f>_xlfn.IFNA(INDEX(DetailByDistrict[],MATCH($H583,DetailByDistrict[Dist],0),MATCH(J$2,DetailByDistrict[#Headers],0)),0)</f>
        <v>164</v>
      </c>
      <c r="K583" s="54">
        <f t="shared" si="9"/>
        <v>6.0975609756097563E-3</v>
      </c>
      <c r="L583" s="59">
        <f>ROUND(INDEX(DetailByDistrict[],MATCH($H583,DetailByDistrict[Dist],0),MATCH(L$2,DetailByDistrict[#Headers],0))*K583,2)</f>
        <v>64.98</v>
      </c>
      <c r="M583" s="59">
        <f>ROUND(INDEX(DetailByDistrict[],MATCH($H583,DetailByDistrict[Dist],0),MATCH(M$2,DetailByDistrict[#Headers],0))*K583,2)</f>
        <v>71.459999999999994</v>
      </c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spans="1:26" ht="15.75" customHeight="1" x14ac:dyDescent="0.25">
      <c r="A584" s="53">
        <v>10</v>
      </c>
      <c r="B584" s="54" t="s">
        <v>1090</v>
      </c>
      <c r="C584" s="54" t="s">
        <v>872</v>
      </c>
      <c r="D584" s="53">
        <v>3141</v>
      </c>
      <c r="E584" s="53">
        <v>8108</v>
      </c>
      <c r="F584" s="54" t="s">
        <v>1102</v>
      </c>
      <c r="G584" s="53" t="s">
        <v>163</v>
      </c>
      <c r="H584" s="58" t="str">
        <f>_xlfn.IFNA(INDEX(ActiveSchools!$C$2:$F$326,MATCH(G584,ActiveSchools!$F$2:$F$326,0),1),"Total")</f>
        <v>4554</v>
      </c>
      <c r="I584" s="53">
        <v>4</v>
      </c>
      <c r="J584" s="59">
        <f>_xlfn.IFNA(INDEX(DetailByDistrict[],MATCH($H584,DetailByDistrict[Dist],0),MATCH(J$2,DetailByDistrict[#Headers],0)),0)</f>
        <v>31</v>
      </c>
      <c r="K584" s="54">
        <f t="shared" si="9"/>
        <v>0.12903225806451613</v>
      </c>
      <c r="L584" s="59">
        <f>ROUND(INDEX(DetailByDistrict[],MATCH($H584,DetailByDistrict[Dist],0),MATCH(L$2,DetailByDistrict[#Headers],0))*K584,2)</f>
        <v>259.87</v>
      </c>
      <c r="M584" s="59">
        <f>ROUND(INDEX(DetailByDistrict[],MATCH($H584,DetailByDistrict[Dist],0),MATCH(M$2,DetailByDistrict[#Headers],0))*K584,2)</f>
        <v>285.81</v>
      </c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spans="1:26" ht="15.75" customHeight="1" x14ac:dyDescent="0.25">
      <c r="A585" s="53">
        <v>10</v>
      </c>
      <c r="B585" s="54" t="s">
        <v>1090</v>
      </c>
      <c r="C585" s="54" t="s">
        <v>872</v>
      </c>
      <c r="D585" s="53">
        <v>3141</v>
      </c>
      <c r="E585" s="53">
        <v>8108</v>
      </c>
      <c r="F585" s="54" t="s">
        <v>1108</v>
      </c>
      <c r="G585" s="53" t="s">
        <v>167</v>
      </c>
      <c r="H585" s="58" t="str">
        <f>_xlfn.IFNA(INDEX(ActiveSchools!$C$2:$F$326,MATCH(G585,ActiveSchools!$F$2:$F$326,0),1),"Total")</f>
        <v>6093</v>
      </c>
      <c r="I585" s="53">
        <v>6</v>
      </c>
      <c r="J585" s="59">
        <f>_xlfn.IFNA(INDEX(DetailByDistrict[],MATCH($H585,DetailByDistrict[Dist],0),MATCH(J$2,DetailByDistrict[#Headers],0)),0)</f>
        <v>25</v>
      </c>
      <c r="K585" s="54">
        <f t="shared" si="9"/>
        <v>0.24</v>
      </c>
      <c r="L585" s="59">
        <f>ROUND(INDEX(DetailByDistrict[],MATCH($H585,DetailByDistrict[Dist],0),MATCH(L$2,DetailByDistrict[#Headers],0))*K585,2)</f>
        <v>390</v>
      </c>
      <c r="M585" s="59">
        <f>ROUND(INDEX(DetailByDistrict[],MATCH($H585,DetailByDistrict[Dist],0),MATCH(M$2,DetailByDistrict[#Headers],0))*K585,2)</f>
        <v>428.88</v>
      </c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spans="1:26" ht="15.75" customHeight="1" x14ac:dyDescent="0.25">
      <c r="A586" s="53">
        <v>10</v>
      </c>
      <c r="B586" s="54" t="s">
        <v>1090</v>
      </c>
      <c r="C586" s="54" t="s">
        <v>872</v>
      </c>
      <c r="D586" s="53">
        <v>3141</v>
      </c>
      <c r="E586" s="53">
        <v>8108</v>
      </c>
      <c r="F586" s="54" t="s">
        <v>1116</v>
      </c>
      <c r="G586" s="53" t="s">
        <v>172</v>
      </c>
      <c r="H586" s="58" t="str">
        <f>_xlfn.IFNA(INDEX(ActiveSchools!$C$2:$F$326,MATCH(G586,ActiveSchools!$F$2:$F$326,0),1),"Total")</f>
        <v>6930</v>
      </c>
      <c r="I586" s="53">
        <v>10</v>
      </c>
      <c r="J586" s="59">
        <f>_xlfn.IFNA(INDEX(DetailByDistrict[],MATCH($H586,DetailByDistrict[Dist],0),MATCH(J$2,DetailByDistrict[#Headers],0)),0)</f>
        <v>15</v>
      </c>
      <c r="K586" s="54">
        <f t="shared" si="9"/>
        <v>0.66666666666666663</v>
      </c>
      <c r="L586" s="59">
        <f>ROUND(INDEX(DetailByDistrict[],MATCH($H586,DetailByDistrict[Dist],0),MATCH(L$2,DetailByDistrict[#Headers],0))*K586,2)</f>
        <v>650</v>
      </c>
      <c r="M586" s="59">
        <f>ROUND(INDEX(DetailByDistrict[],MATCH($H586,DetailByDistrict[Dist],0),MATCH(M$2,DetailByDistrict[#Headers],0))*K586,2)</f>
        <v>714.67</v>
      </c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spans="1:26" ht="16.5" customHeight="1" x14ac:dyDescent="0.25">
      <c r="A587" s="53">
        <v>10</v>
      </c>
      <c r="B587" s="54" t="s">
        <v>1090</v>
      </c>
      <c r="C587" s="54" t="s">
        <v>873</v>
      </c>
      <c r="D587" s="53">
        <v>3141</v>
      </c>
      <c r="E587" s="53">
        <v>8121</v>
      </c>
      <c r="F587" s="54" t="s">
        <v>1096</v>
      </c>
      <c r="G587" s="53" t="s">
        <v>145</v>
      </c>
      <c r="H587" s="58" t="str">
        <f>_xlfn.IFNA(INDEX(ActiveSchools!$C$2:$F$326,MATCH(G587,ActiveSchools!$F$2:$F$326,0),1),"Total")</f>
        <v>1053</v>
      </c>
      <c r="I587" s="53">
        <v>1</v>
      </c>
      <c r="J587" s="59">
        <f>_xlfn.IFNA(INDEX(DetailByDistrict[],MATCH($H587,DetailByDistrict[Dist],0),MATCH(J$2,DetailByDistrict[#Headers],0)),0)</f>
        <v>2073</v>
      </c>
      <c r="K587" s="54">
        <f t="shared" si="9"/>
        <v>4.8239266763145202E-4</v>
      </c>
      <c r="L587" s="59">
        <f>ROUND(INDEX(DetailByDistrict[],MATCH($H587,DetailByDistrict[Dist],0),MATCH(L$2,DetailByDistrict[#Headers],0))*K587,2)</f>
        <v>64.98</v>
      </c>
      <c r="M587" s="59">
        <f>ROUND(INDEX(DetailByDistrict[],MATCH($H587,DetailByDistrict[Dist],0),MATCH(M$2,DetailByDistrict[#Headers],0))*K587,2)</f>
        <v>71.459999999999994</v>
      </c>
    </row>
    <row r="588" spans="1:26" ht="16.5" customHeight="1" x14ac:dyDescent="0.25">
      <c r="A588" s="53">
        <v>10</v>
      </c>
      <c r="B588" s="54" t="s">
        <v>1090</v>
      </c>
      <c r="C588" s="54" t="s">
        <v>873</v>
      </c>
      <c r="D588" s="53">
        <v>3141</v>
      </c>
      <c r="E588" s="53">
        <v>8121</v>
      </c>
      <c r="F588" s="54" t="s">
        <v>1106</v>
      </c>
      <c r="G588" s="53" t="s">
        <v>154</v>
      </c>
      <c r="H588" s="58" t="str">
        <f>_xlfn.IFNA(INDEX(ActiveSchools!$C$2:$F$326,MATCH(G588,ActiveSchools!$F$2:$F$326,0),1),"Total")</f>
        <v>3141</v>
      </c>
      <c r="I588" s="53">
        <v>34</v>
      </c>
      <c r="J588" s="59">
        <f>_xlfn.IFNA(INDEX(DetailByDistrict[],MATCH($H588,DetailByDistrict[Dist],0),MATCH(J$2,DetailByDistrict[#Headers],0)),0)</f>
        <v>1378</v>
      </c>
      <c r="K588" s="54">
        <f t="shared" si="9"/>
        <v>2.4673439767779391E-2</v>
      </c>
      <c r="L588" s="59">
        <f>ROUND(INDEX(DetailByDistrict[],MATCH($H588,DetailByDistrict[Dist],0),MATCH(L$2,DetailByDistrict[#Headers],0))*K588,2)</f>
        <v>2209.31</v>
      </c>
      <c r="M588" s="59">
        <f>ROUND(INDEX(DetailByDistrict[],MATCH($H588,DetailByDistrict[Dist],0),MATCH(M$2,DetailByDistrict[#Headers],0))*K588,2)</f>
        <v>2429.64</v>
      </c>
    </row>
    <row r="589" spans="1:26" ht="16.5" customHeight="1" x14ac:dyDescent="0.25">
      <c r="A589" s="53">
        <v>10</v>
      </c>
      <c r="B589" s="54" t="s">
        <v>1090</v>
      </c>
      <c r="C589" s="54" t="s">
        <v>873</v>
      </c>
      <c r="D589" s="53">
        <v>3141</v>
      </c>
      <c r="E589" s="53">
        <v>8121</v>
      </c>
      <c r="F589" s="54" t="s">
        <v>1118</v>
      </c>
      <c r="G589" s="53" t="s">
        <v>169</v>
      </c>
      <c r="H589" s="58" t="str">
        <f>_xlfn.IFNA(INDEX(ActiveSchools!$C$2:$F$326,MATCH(G589,ActiveSchools!$F$2:$F$326,0),1),"Total")</f>
        <v>6408</v>
      </c>
      <c r="I589" s="53">
        <v>1</v>
      </c>
      <c r="J589" s="59">
        <f>_xlfn.IFNA(INDEX(DetailByDistrict[],MATCH($H589,DetailByDistrict[Dist],0),MATCH(J$2,DetailByDistrict[#Headers],0)),0)</f>
        <v>1</v>
      </c>
      <c r="K589" s="54">
        <f t="shared" si="9"/>
        <v>1</v>
      </c>
      <c r="L589" s="59">
        <f>ROUND(INDEX(DetailByDistrict[],MATCH($H589,DetailByDistrict[Dist],0),MATCH(L$2,DetailByDistrict[#Headers],0))*K589,2)</f>
        <v>65</v>
      </c>
      <c r="M589" s="59">
        <f>ROUND(INDEX(DetailByDistrict[],MATCH($H589,DetailByDistrict[Dist],0),MATCH(M$2,DetailByDistrict[#Headers],0))*K589,2)</f>
        <v>71</v>
      </c>
    </row>
    <row r="590" spans="1:26" ht="16.5" customHeight="1" x14ac:dyDescent="0.25">
      <c r="A590" s="53">
        <v>10</v>
      </c>
      <c r="B590" s="54" t="s">
        <v>1090</v>
      </c>
      <c r="C590" s="54" t="s">
        <v>874</v>
      </c>
      <c r="D590" s="53">
        <v>3141</v>
      </c>
      <c r="E590" s="53">
        <v>8165</v>
      </c>
      <c r="F590" s="54" t="s">
        <v>1096</v>
      </c>
      <c r="G590" s="53" t="s">
        <v>145</v>
      </c>
      <c r="H590" s="58" t="str">
        <f>_xlfn.IFNA(INDEX(ActiveSchools!$C$2:$F$326,MATCH(G590,ActiveSchools!$F$2:$F$326,0),1),"Total")</f>
        <v>1053</v>
      </c>
      <c r="I590" s="53">
        <v>2</v>
      </c>
      <c r="J590" s="59">
        <f>_xlfn.IFNA(INDEX(DetailByDistrict[],MATCH($H590,DetailByDistrict[Dist],0),MATCH(J$2,DetailByDistrict[#Headers],0)),0)</f>
        <v>2073</v>
      </c>
      <c r="K590" s="54">
        <f t="shared" si="9"/>
        <v>9.6478533526290404E-4</v>
      </c>
      <c r="L590" s="59">
        <f>ROUND(INDEX(DetailByDistrict[],MATCH($H590,DetailByDistrict[Dist],0),MATCH(L$2,DetailByDistrict[#Headers],0))*K590,2)</f>
        <v>129.96</v>
      </c>
      <c r="M590" s="59">
        <f>ROUND(INDEX(DetailByDistrict[],MATCH($H590,DetailByDistrict[Dist],0),MATCH(M$2,DetailByDistrict[#Headers],0))*K590,2)</f>
        <v>142.91999999999999</v>
      </c>
    </row>
    <row r="591" spans="1:26" ht="16.5" customHeight="1" x14ac:dyDescent="0.25">
      <c r="A591" s="53">
        <v>10</v>
      </c>
      <c r="B591" s="54" t="s">
        <v>1090</v>
      </c>
      <c r="C591" s="54" t="s">
        <v>874</v>
      </c>
      <c r="D591" s="53">
        <v>3141</v>
      </c>
      <c r="E591" s="53">
        <v>8165</v>
      </c>
      <c r="F591" s="54" t="s">
        <v>1104</v>
      </c>
      <c r="G591" s="53" t="s">
        <v>148</v>
      </c>
      <c r="H591" s="58" t="str">
        <f>_xlfn.IFNA(INDEX(ActiveSchools!$C$2:$F$326,MATCH(G591,ActiveSchools!$F$2:$F$326,0),1),"Total")</f>
        <v>1221</v>
      </c>
      <c r="I591" s="53">
        <v>1</v>
      </c>
      <c r="J591" s="59">
        <f>_xlfn.IFNA(INDEX(DetailByDistrict[],MATCH($H591,DetailByDistrict[Dist],0),MATCH(J$2,DetailByDistrict[#Headers],0)),0)</f>
        <v>71</v>
      </c>
      <c r="K591" s="54">
        <f t="shared" si="9"/>
        <v>1.4084507042253521E-2</v>
      </c>
      <c r="L591" s="59">
        <f>ROUND(INDEX(DetailByDistrict[],MATCH($H591,DetailByDistrict[Dist],0),MATCH(L$2,DetailByDistrict[#Headers],0))*K591,2)</f>
        <v>64.989999999999995</v>
      </c>
      <c r="M591" s="59">
        <f>ROUND(INDEX(DetailByDistrict[],MATCH($H591,DetailByDistrict[Dist],0),MATCH(M$2,DetailByDistrict[#Headers],0))*K591,2)</f>
        <v>71.459999999999994</v>
      </c>
    </row>
    <row r="592" spans="1:26" ht="16.5" customHeight="1" x14ac:dyDescent="0.25">
      <c r="A592" s="53">
        <v>10</v>
      </c>
      <c r="B592" s="54" t="s">
        <v>1090</v>
      </c>
      <c r="C592" s="54" t="s">
        <v>874</v>
      </c>
      <c r="D592" s="53">
        <v>3141</v>
      </c>
      <c r="E592" s="53">
        <v>8165</v>
      </c>
      <c r="F592" s="54" t="s">
        <v>1106</v>
      </c>
      <c r="G592" s="53" t="s">
        <v>154</v>
      </c>
      <c r="H592" s="58" t="str">
        <f>_xlfn.IFNA(INDEX(ActiveSchools!$C$2:$F$326,MATCH(G592,ActiveSchools!$F$2:$F$326,0),1),"Total")</f>
        <v>3141</v>
      </c>
      <c r="I592" s="53">
        <v>28</v>
      </c>
      <c r="J592" s="59">
        <f>_xlfn.IFNA(INDEX(DetailByDistrict[],MATCH($H592,DetailByDistrict[Dist],0),MATCH(J$2,DetailByDistrict[#Headers],0)),0)</f>
        <v>1378</v>
      </c>
      <c r="K592" s="54">
        <f t="shared" si="9"/>
        <v>2.0319303338171262E-2</v>
      </c>
      <c r="L592" s="59">
        <f>ROUND(INDEX(DetailByDistrict[],MATCH($H592,DetailByDistrict[Dist],0),MATCH(L$2,DetailByDistrict[#Headers],0))*K592,2)</f>
        <v>1819.43</v>
      </c>
      <c r="M592" s="59">
        <f>ROUND(INDEX(DetailByDistrict[],MATCH($H592,DetailByDistrict[Dist],0),MATCH(M$2,DetailByDistrict[#Headers],0))*K592,2)</f>
        <v>2000.88</v>
      </c>
    </row>
    <row r="593" spans="1:13" ht="16.5" customHeight="1" x14ac:dyDescent="0.25">
      <c r="A593" s="53">
        <v>10</v>
      </c>
      <c r="B593" s="54" t="s">
        <v>1090</v>
      </c>
      <c r="C593" s="54" t="s">
        <v>874</v>
      </c>
      <c r="D593" s="53">
        <v>3141</v>
      </c>
      <c r="E593" s="53">
        <v>8165</v>
      </c>
      <c r="F593" s="54" t="s">
        <v>1107</v>
      </c>
      <c r="G593" s="53" t="s">
        <v>159</v>
      </c>
      <c r="H593" s="58" t="str">
        <f>_xlfn.IFNA(INDEX(ActiveSchools!$C$2:$F$326,MATCH(G593,ActiveSchools!$F$2:$F$326,0),1),"Total")</f>
        <v>4086</v>
      </c>
      <c r="I593" s="53">
        <v>1</v>
      </c>
      <c r="J593" s="59">
        <f>_xlfn.IFNA(INDEX(DetailByDistrict[],MATCH($H593,DetailByDistrict[Dist],0),MATCH(J$2,DetailByDistrict[#Headers],0)),0)</f>
        <v>108</v>
      </c>
      <c r="K593" s="54">
        <f t="shared" si="9"/>
        <v>9.2592592592592587E-3</v>
      </c>
      <c r="L593" s="59">
        <f>ROUND(INDEX(DetailByDistrict[],MATCH($H593,DetailByDistrict[Dist],0),MATCH(L$2,DetailByDistrict[#Headers],0))*K593,2)</f>
        <v>64.98</v>
      </c>
      <c r="M593" s="59">
        <f>ROUND(INDEX(DetailByDistrict[],MATCH($H593,DetailByDistrict[Dist],0),MATCH(M$2,DetailByDistrict[#Headers],0))*K593,2)</f>
        <v>71.459999999999994</v>
      </c>
    </row>
    <row r="594" spans="1:13" ht="16.5" customHeight="1" x14ac:dyDescent="0.25">
      <c r="A594" s="53">
        <v>10</v>
      </c>
      <c r="B594" s="54" t="s">
        <v>1090</v>
      </c>
      <c r="C594" s="54" t="s">
        <v>874</v>
      </c>
      <c r="D594" s="53">
        <v>3141</v>
      </c>
      <c r="E594" s="53">
        <v>8165</v>
      </c>
      <c r="F594" s="54" t="s">
        <v>1102</v>
      </c>
      <c r="G594" s="53" t="s">
        <v>163</v>
      </c>
      <c r="H594" s="58" t="str">
        <f>_xlfn.IFNA(INDEX(ActiveSchools!$C$2:$F$326,MATCH(G594,ActiveSchools!$F$2:$F$326,0),1),"Total")</f>
        <v>4554</v>
      </c>
      <c r="I594" s="53">
        <v>2</v>
      </c>
      <c r="J594" s="59">
        <f>_xlfn.IFNA(INDEX(DetailByDistrict[],MATCH($H594,DetailByDistrict[Dist],0),MATCH(J$2,DetailByDistrict[#Headers],0)),0)</f>
        <v>31</v>
      </c>
      <c r="K594" s="54">
        <f t="shared" si="9"/>
        <v>6.4516129032258063E-2</v>
      </c>
      <c r="L594" s="59">
        <f>ROUND(INDEX(DetailByDistrict[],MATCH($H594,DetailByDistrict[Dist],0),MATCH(L$2,DetailByDistrict[#Headers],0))*K594,2)</f>
        <v>129.94</v>
      </c>
      <c r="M594" s="59">
        <f>ROUND(INDEX(DetailByDistrict[],MATCH($H594,DetailByDistrict[Dist],0),MATCH(M$2,DetailByDistrict[#Headers],0))*K594,2)</f>
        <v>142.9</v>
      </c>
    </row>
    <row r="595" spans="1:13" ht="16.5" customHeight="1" x14ac:dyDescent="0.25">
      <c r="A595" s="53">
        <v>10</v>
      </c>
      <c r="B595" s="54" t="s">
        <v>1090</v>
      </c>
      <c r="C595" s="54" t="s">
        <v>875</v>
      </c>
      <c r="D595" s="53">
        <v>3141</v>
      </c>
      <c r="E595" s="53">
        <v>8167</v>
      </c>
      <c r="F595" s="54" t="s">
        <v>1104</v>
      </c>
      <c r="G595" s="53" t="s">
        <v>148</v>
      </c>
      <c r="H595" s="58" t="str">
        <f>_xlfn.IFNA(INDEX(ActiveSchools!$C$2:$F$326,MATCH(G595,ActiveSchools!$F$2:$F$326,0),1),"Total")</f>
        <v>1221</v>
      </c>
      <c r="I595" s="53">
        <v>5</v>
      </c>
      <c r="J595" s="59">
        <f>_xlfn.IFNA(INDEX(DetailByDistrict[],MATCH($H595,DetailByDistrict[Dist],0),MATCH(J$2,DetailByDistrict[#Headers],0)),0)</f>
        <v>71</v>
      </c>
      <c r="K595" s="54">
        <f t="shared" si="9"/>
        <v>7.0422535211267609E-2</v>
      </c>
      <c r="L595" s="59">
        <f>ROUND(INDEX(DetailByDistrict[],MATCH($H595,DetailByDistrict[Dist],0),MATCH(L$2,DetailByDistrict[#Headers],0))*K595,2)</f>
        <v>324.93</v>
      </c>
      <c r="M595" s="59">
        <f>ROUND(INDEX(DetailByDistrict[],MATCH($H595,DetailByDistrict[Dist],0),MATCH(M$2,DetailByDistrict[#Headers],0))*K595,2)</f>
        <v>357.32</v>
      </c>
    </row>
    <row r="596" spans="1:13" ht="16.5" customHeight="1" x14ac:dyDescent="0.25">
      <c r="A596" s="53">
        <v>10</v>
      </c>
      <c r="B596" s="54" t="s">
        <v>1090</v>
      </c>
      <c r="C596" s="54" t="s">
        <v>875</v>
      </c>
      <c r="D596" s="53">
        <v>3141</v>
      </c>
      <c r="E596" s="53">
        <v>8167</v>
      </c>
      <c r="F596" s="54" t="s">
        <v>1113</v>
      </c>
      <c r="G596" s="53" t="s">
        <v>151</v>
      </c>
      <c r="H596" s="58" t="str">
        <f>_xlfn.IFNA(INDEX(ActiveSchools!$C$2:$F$326,MATCH(G596,ActiveSchools!$F$2:$F$326,0),1),"Total")</f>
        <v>2977</v>
      </c>
      <c r="I596" s="53">
        <v>1</v>
      </c>
      <c r="J596" s="59">
        <f>_xlfn.IFNA(INDEX(DetailByDistrict[],MATCH($H596,DetailByDistrict[Dist],0),MATCH(J$2,DetailByDistrict[#Headers],0)),0)</f>
        <v>19</v>
      </c>
      <c r="K596" s="54">
        <f t="shared" si="9"/>
        <v>5.2631578947368418E-2</v>
      </c>
      <c r="L596" s="59">
        <f>ROUND(INDEX(DetailByDistrict[],MATCH($H596,DetailByDistrict[Dist],0),MATCH(L$2,DetailByDistrict[#Headers],0))*K596,2)</f>
        <v>65</v>
      </c>
      <c r="M596" s="59">
        <f>ROUND(INDEX(DetailByDistrict[],MATCH($H596,DetailByDistrict[Dist],0),MATCH(M$2,DetailByDistrict[#Headers],0))*K596,2)</f>
        <v>71.47</v>
      </c>
    </row>
    <row r="597" spans="1:13" ht="16.5" customHeight="1" x14ac:dyDescent="0.25">
      <c r="A597" s="53">
        <v>10</v>
      </c>
      <c r="B597" s="54" t="s">
        <v>1090</v>
      </c>
      <c r="C597" s="54" t="s">
        <v>875</v>
      </c>
      <c r="D597" s="53">
        <v>3141</v>
      </c>
      <c r="E597" s="53">
        <v>8167</v>
      </c>
      <c r="F597" s="54" t="s">
        <v>1106</v>
      </c>
      <c r="G597" s="53" t="s">
        <v>154</v>
      </c>
      <c r="H597" s="58" t="str">
        <f>_xlfn.IFNA(INDEX(ActiveSchools!$C$2:$F$326,MATCH(G597,ActiveSchools!$F$2:$F$326,0),1),"Total")</f>
        <v>3141</v>
      </c>
      <c r="I597" s="53">
        <v>20</v>
      </c>
      <c r="J597" s="59">
        <f>_xlfn.IFNA(INDEX(DetailByDistrict[],MATCH($H597,DetailByDistrict[Dist],0),MATCH(J$2,DetailByDistrict[#Headers],0)),0)</f>
        <v>1378</v>
      </c>
      <c r="K597" s="54">
        <f t="shared" si="9"/>
        <v>1.4513788098693759E-2</v>
      </c>
      <c r="L597" s="59">
        <f>ROUND(INDEX(DetailByDistrict[],MATCH($H597,DetailByDistrict[Dist],0),MATCH(L$2,DetailByDistrict[#Headers],0))*K597,2)</f>
        <v>1299.5899999999999</v>
      </c>
      <c r="M597" s="59">
        <f>ROUND(INDEX(DetailByDistrict[],MATCH($H597,DetailByDistrict[Dist],0),MATCH(M$2,DetailByDistrict[#Headers],0))*K597,2)</f>
        <v>1429.2</v>
      </c>
    </row>
    <row r="598" spans="1:13" ht="16.5" customHeight="1" x14ac:dyDescent="0.25">
      <c r="A598" s="53">
        <v>10</v>
      </c>
      <c r="B598" s="54" t="s">
        <v>1090</v>
      </c>
      <c r="C598" s="54" t="s">
        <v>875</v>
      </c>
      <c r="D598" s="53">
        <v>3141</v>
      </c>
      <c r="E598" s="53">
        <v>8167</v>
      </c>
      <c r="F598" s="54" t="s">
        <v>1108</v>
      </c>
      <c r="G598" s="53" t="s">
        <v>167</v>
      </c>
      <c r="H598" s="58" t="str">
        <f>_xlfn.IFNA(INDEX(ActiveSchools!$C$2:$F$326,MATCH(G598,ActiveSchools!$F$2:$F$326,0),1),"Total")</f>
        <v>6093</v>
      </c>
      <c r="I598" s="53">
        <v>2</v>
      </c>
      <c r="J598" s="59">
        <f>_xlfn.IFNA(INDEX(DetailByDistrict[],MATCH($H598,DetailByDistrict[Dist],0),MATCH(J$2,DetailByDistrict[#Headers],0)),0)</f>
        <v>25</v>
      </c>
      <c r="K598" s="54">
        <f t="shared" si="9"/>
        <v>0.08</v>
      </c>
      <c r="L598" s="59">
        <f>ROUND(INDEX(DetailByDistrict[],MATCH($H598,DetailByDistrict[Dist],0),MATCH(L$2,DetailByDistrict[#Headers],0))*K598,2)</f>
        <v>130</v>
      </c>
      <c r="M598" s="59">
        <f>ROUND(INDEX(DetailByDistrict[],MATCH($H598,DetailByDistrict[Dist],0),MATCH(M$2,DetailByDistrict[#Headers],0))*K598,2)</f>
        <v>142.96</v>
      </c>
    </row>
    <row r="599" spans="1:13" x14ac:dyDescent="0.25">
      <c r="A599" s="53">
        <v>10</v>
      </c>
      <c r="B599" s="54" t="s">
        <v>1090</v>
      </c>
      <c r="C599" s="54" t="s">
        <v>884</v>
      </c>
      <c r="D599" s="53">
        <v>3715</v>
      </c>
      <c r="E599" s="53">
        <v>8101</v>
      </c>
      <c r="F599" s="54" t="s">
        <v>1095</v>
      </c>
      <c r="G599" s="57" t="s">
        <v>144</v>
      </c>
      <c r="H599" s="58" t="str">
        <f>_xlfn.IFNA(INDEX(ActiveSchools!$C$2:$F$326,MATCH(G599,ActiveSchools!$F$2:$F$326,0),1),"Total")</f>
        <v>0609</v>
      </c>
      <c r="I599" s="53">
        <v>1</v>
      </c>
      <c r="J599" s="59">
        <f>_xlfn.IFNA(INDEX(DetailByDistrict[],MATCH($H599,DetailByDistrict[Dist],0),MATCH(J$2,DetailByDistrict[#Headers],0)),0)</f>
        <v>140</v>
      </c>
      <c r="K599" s="54">
        <f t="shared" si="9"/>
        <v>7.1428571428571426E-3</v>
      </c>
      <c r="L599" s="59">
        <f>ROUND(INDEX(DetailByDistrict[],MATCH($H599,DetailByDistrict[Dist],0),MATCH(L$2,DetailByDistrict[#Headers],0))*K599,2)</f>
        <v>64.98</v>
      </c>
      <c r="M599" s="59">
        <f>ROUND(INDEX(DetailByDistrict[],MATCH($H599,DetailByDistrict[Dist],0),MATCH(M$2,DetailByDistrict[#Headers],0))*K599,2)</f>
        <v>71.459999999999994</v>
      </c>
    </row>
    <row r="600" spans="1:13" x14ac:dyDescent="0.25">
      <c r="A600" s="53">
        <v>10</v>
      </c>
      <c r="B600" s="54" t="s">
        <v>1090</v>
      </c>
      <c r="C600" s="54" t="s">
        <v>884</v>
      </c>
      <c r="D600" s="53">
        <v>3715</v>
      </c>
      <c r="E600" s="53">
        <v>8101</v>
      </c>
      <c r="F600" s="54" t="s">
        <v>1096</v>
      </c>
      <c r="G600" s="53" t="s">
        <v>145</v>
      </c>
      <c r="H600" s="58" t="str">
        <f>_xlfn.IFNA(INDEX(ActiveSchools!$C$2:$F$326,MATCH(G600,ActiveSchools!$F$2:$F$326,0),1),"Total")</f>
        <v>1053</v>
      </c>
      <c r="I600" s="53">
        <v>3</v>
      </c>
      <c r="J600" s="59">
        <f>_xlfn.IFNA(INDEX(DetailByDistrict[],MATCH($H600,DetailByDistrict[Dist],0),MATCH(J$2,DetailByDistrict[#Headers],0)),0)</f>
        <v>2073</v>
      </c>
      <c r="K600" s="54">
        <f t="shared" si="9"/>
        <v>1.4471780028943559E-3</v>
      </c>
      <c r="L600" s="59">
        <f>ROUND(INDEX(DetailByDistrict[],MATCH($H600,DetailByDistrict[Dist],0),MATCH(L$2,DetailByDistrict[#Headers],0))*K600,2)</f>
        <v>194.94</v>
      </c>
      <c r="M600" s="59">
        <f>ROUND(INDEX(DetailByDistrict[],MATCH($H600,DetailByDistrict[Dist],0),MATCH(M$2,DetailByDistrict[#Headers],0))*K600,2)</f>
        <v>214.38</v>
      </c>
    </row>
    <row r="601" spans="1:13" x14ac:dyDescent="0.25">
      <c r="A601" s="53">
        <v>10</v>
      </c>
      <c r="B601" s="54" t="s">
        <v>1090</v>
      </c>
      <c r="C601" s="54" t="s">
        <v>884</v>
      </c>
      <c r="D601" s="53">
        <v>3715</v>
      </c>
      <c r="E601" s="53">
        <v>8101</v>
      </c>
      <c r="F601" s="54" t="s">
        <v>1103</v>
      </c>
      <c r="G601" s="53" t="s">
        <v>146</v>
      </c>
      <c r="H601" s="58" t="str">
        <f>_xlfn.IFNA(INDEX(ActiveSchools!$C$2:$F$326,MATCH(G601,ActiveSchools!$F$2:$F$326,0),1),"Total")</f>
        <v>1062</v>
      </c>
      <c r="I601" s="53">
        <v>1</v>
      </c>
      <c r="J601" s="59">
        <f>_xlfn.IFNA(INDEX(DetailByDistrict[],MATCH($H601,DetailByDistrict[Dist],0),MATCH(J$2,DetailByDistrict[#Headers],0)),0)</f>
        <v>9</v>
      </c>
      <c r="K601" s="54">
        <f t="shared" si="9"/>
        <v>0.1111111111111111</v>
      </c>
      <c r="L601" s="59">
        <f>ROUND(INDEX(DetailByDistrict[],MATCH($H601,DetailByDistrict[Dist],0),MATCH(L$2,DetailByDistrict[#Headers],0))*K601,2)</f>
        <v>65</v>
      </c>
      <c r="M601" s="59">
        <f>ROUND(INDEX(DetailByDistrict[],MATCH($H601,DetailByDistrict[Dist],0),MATCH(M$2,DetailByDistrict[#Headers],0))*K601,2)</f>
        <v>71.44</v>
      </c>
    </row>
    <row r="602" spans="1:13" x14ac:dyDescent="0.25">
      <c r="A602" s="53">
        <v>10</v>
      </c>
      <c r="B602" s="54" t="s">
        <v>1090</v>
      </c>
      <c r="C602" s="54" t="s">
        <v>884</v>
      </c>
      <c r="D602" s="53">
        <v>3715</v>
      </c>
      <c r="E602" s="53">
        <v>8101</v>
      </c>
      <c r="F602" s="54" t="s">
        <v>1100</v>
      </c>
      <c r="G602" s="53" t="s">
        <v>149</v>
      </c>
      <c r="H602" s="58" t="str">
        <f>_xlfn.IFNA(INDEX(ActiveSchools!$C$2:$F$326,MATCH(G602,ActiveSchools!$F$2:$F$326,0),1),"Total")</f>
        <v>1337</v>
      </c>
      <c r="I602" s="53">
        <v>1</v>
      </c>
      <c r="J602" s="59">
        <f>_xlfn.IFNA(INDEX(DetailByDistrict[],MATCH($H602,DetailByDistrict[Dist],0),MATCH(J$2,DetailByDistrict[#Headers],0)),0)</f>
        <v>168</v>
      </c>
      <c r="K602" s="54">
        <f t="shared" si="9"/>
        <v>5.9523809523809521E-3</v>
      </c>
      <c r="L602" s="59">
        <f>ROUND(INDEX(DetailByDistrict[],MATCH($H602,DetailByDistrict[Dist],0),MATCH(L$2,DetailByDistrict[#Headers],0))*K602,2)</f>
        <v>64.98</v>
      </c>
      <c r="M602" s="59">
        <f>ROUND(INDEX(DetailByDistrict[],MATCH($H602,DetailByDistrict[Dist],0),MATCH(M$2,DetailByDistrict[#Headers],0))*K602,2)</f>
        <v>71.459999999999994</v>
      </c>
    </row>
    <row r="603" spans="1:13" x14ac:dyDescent="0.25">
      <c r="A603" s="53">
        <v>10</v>
      </c>
      <c r="B603" s="54" t="s">
        <v>1090</v>
      </c>
      <c r="C603" s="54" t="s">
        <v>884</v>
      </c>
      <c r="D603" s="53">
        <v>3715</v>
      </c>
      <c r="E603" s="53">
        <v>8101</v>
      </c>
      <c r="F603" s="54" t="s">
        <v>1098</v>
      </c>
      <c r="G603" s="53" t="s">
        <v>156</v>
      </c>
      <c r="H603" s="58" t="str">
        <f>_xlfn.IFNA(INDEX(ActiveSchools!$C$2:$F$326,MATCH(G603,ActiveSchools!$F$2:$F$326,0),1),"Total")</f>
        <v>3715</v>
      </c>
      <c r="I603" s="53">
        <v>8</v>
      </c>
      <c r="J603" s="59">
        <f>_xlfn.IFNA(INDEX(DetailByDistrict[],MATCH($H603,DetailByDistrict[Dist],0),MATCH(J$2,DetailByDistrict[#Headers],0)),0)</f>
        <v>676</v>
      </c>
      <c r="K603" s="54">
        <f t="shared" si="9"/>
        <v>1.1834319526627219E-2</v>
      </c>
      <c r="L603" s="59">
        <f>ROUND(INDEX(DetailByDistrict[],MATCH($H603,DetailByDistrict[Dist],0),MATCH(L$2,DetailByDistrict[#Headers],0))*K603,2)</f>
        <v>519.83000000000004</v>
      </c>
      <c r="M603" s="59">
        <f>ROUND(INDEX(DetailByDistrict[],MATCH($H603,DetailByDistrict[Dist],0),MATCH(M$2,DetailByDistrict[#Headers],0))*K603,2)</f>
        <v>571.67999999999995</v>
      </c>
    </row>
    <row r="604" spans="1:13" x14ac:dyDescent="0.25">
      <c r="A604" s="53">
        <v>10</v>
      </c>
      <c r="B604" s="54" t="s">
        <v>1090</v>
      </c>
      <c r="C604" s="54" t="s">
        <v>885</v>
      </c>
      <c r="D604" s="53">
        <v>3715</v>
      </c>
      <c r="E604" s="53">
        <v>8121</v>
      </c>
      <c r="F604" s="54" t="s">
        <v>1091</v>
      </c>
      <c r="G604" s="57" t="s">
        <v>142</v>
      </c>
      <c r="H604" s="58" t="str">
        <f>_xlfn.IFNA(INDEX(ActiveSchools!$C$2:$F$326,MATCH(G604,ActiveSchools!$F$2:$F$326,0),1),"Total")</f>
        <v>0234</v>
      </c>
      <c r="I604" s="53">
        <v>2</v>
      </c>
      <c r="J604" s="59">
        <f>_xlfn.IFNA(INDEX(DetailByDistrict[],MATCH($H604,DetailByDistrict[Dist],0),MATCH(J$2,DetailByDistrict[#Headers],0)),0)</f>
        <v>68</v>
      </c>
      <c r="K604" s="54">
        <f t="shared" si="9"/>
        <v>2.9411764705882353E-2</v>
      </c>
      <c r="L604" s="59">
        <f>ROUND(INDEX(DetailByDistrict[],MATCH($H604,DetailByDistrict[Dist],0),MATCH(L$2,DetailByDistrict[#Headers],0))*K604,2)</f>
        <v>129.97</v>
      </c>
      <c r="M604" s="59">
        <f>ROUND(INDEX(DetailByDistrict[],MATCH($H604,DetailByDistrict[Dist],0),MATCH(M$2,DetailByDistrict[#Headers],0))*K604,2)</f>
        <v>142.91</v>
      </c>
    </row>
    <row r="605" spans="1:13" x14ac:dyDescent="0.25">
      <c r="A605" s="53">
        <v>10</v>
      </c>
      <c r="B605" s="54" t="s">
        <v>1090</v>
      </c>
      <c r="C605" s="54" t="s">
        <v>885</v>
      </c>
      <c r="D605" s="53">
        <v>3715</v>
      </c>
      <c r="E605" s="53">
        <v>8121</v>
      </c>
      <c r="F605" s="54" t="s">
        <v>1096</v>
      </c>
      <c r="G605" s="53" t="s">
        <v>145</v>
      </c>
      <c r="H605" s="58" t="str">
        <f>_xlfn.IFNA(INDEX(ActiveSchools!$C$2:$F$326,MATCH(G605,ActiveSchools!$F$2:$F$326,0),1),"Total")</f>
        <v>1053</v>
      </c>
      <c r="I605" s="53">
        <v>27</v>
      </c>
      <c r="J605" s="59">
        <f>_xlfn.IFNA(INDEX(DetailByDistrict[],MATCH($H605,DetailByDistrict[Dist],0),MATCH(J$2,DetailByDistrict[#Headers],0)),0)</f>
        <v>2073</v>
      </c>
      <c r="K605" s="54">
        <f t="shared" si="9"/>
        <v>1.3024602026049204E-2</v>
      </c>
      <c r="L605" s="59">
        <f>ROUND(INDEX(DetailByDistrict[],MATCH($H605,DetailByDistrict[Dist],0),MATCH(L$2,DetailByDistrict[#Headers],0))*K605,2)</f>
        <v>1754.47</v>
      </c>
      <c r="M605" s="59">
        <f>ROUND(INDEX(DetailByDistrict[],MATCH($H605,DetailByDistrict[Dist],0),MATCH(M$2,DetailByDistrict[#Headers],0))*K605,2)</f>
        <v>1929.43</v>
      </c>
    </row>
    <row r="606" spans="1:13" x14ac:dyDescent="0.25">
      <c r="A606" s="53">
        <v>10</v>
      </c>
      <c r="B606" s="54" t="s">
        <v>1090</v>
      </c>
      <c r="C606" s="54" t="s">
        <v>885</v>
      </c>
      <c r="D606" s="53">
        <v>3715</v>
      </c>
      <c r="E606" s="53">
        <v>8121</v>
      </c>
      <c r="F606" s="54" t="s">
        <v>1105</v>
      </c>
      <c r="G606" s="53" t="s">
        <v>147</v>
      </c>
      <c r="H606" s="58" t="str">
        <f>_xlfn.IFNA(INDEX(ActiveSchools!$C$2:$F$326,MATCH(G606,ActiveSchools!$F$2:$F$326,0),1),"Total")</f>
        <v>1089</v>
      </c>
      <c r="I606" s="53">
        <v>1</v>
      </c>
      <c r="J606" s="59">
        <f>_xlfn.IFNA(INDEX(DetailByDistrict[],MATCH($H606,DetailByDistrict[Dist],0),MATCH(J$2,DetailByDistrict[#Headers],0)),0)</f>
        <v>11</v>
      </c>
      <c r="K606" s="54">
        <f t="shared" si="9"/>
        <v>9.0909090909090912E-2</v>
      </c>
      <c r="L606" s="59">
        <f>ROUND(INDEX(DetailByDistrict[],MATCH($H606,DetailByDistrict[Dist],0),MATCH(L$2,DetailByDistrict[#Headers],0))*K606,2)</f>
        <v>65</v>
      </c>
      <c r="M606" s="59">
        <f>ROUND(INDEX(DetailByDistrict[],MATCH($H606,DetailByDistrict[Dist],0),MATCH(M$2,DetailByDistrict[#Headers],0))*K606,2)</f>
        <v>71.45</v>
      </c>
    </row>
    <row r="607" spans="1:13" x14ac:dyDescent="0.25">
      <c r="A607" s="53">
        <v>10</v>
      </c>
      <c r="B607" s="54" t="s">
        <v>1090</v>
      </c>
      <c r="C607" s="54" t="s">
        <v>885</v>
      </c>
      <c r="D607" s="53">
        <v>3715</v>
      </c>
      <c r="E607" s="53">
        <v>8121</v>
      </c>
      <c r="F607" s="54" t="s">
        <v>1100</v>
      </c>
      <c r="G607" s="53" t="s">
        <v>149</v>
      </c>
      <c r="H607" s="58" t="str">
        <f>_xlfn.IFNA(INDEX(ActiveSchools!$C$2:$F$326,MATCH(G607,ActiveSchools!$F$2:$F$326,0),1),"Total")</f>
        <v>1337</v>
      </c>
      <c r="I607" s="53">
        <v>7</v>
      </c>
      <c r="J607" s="59">
        <f>_xlfn.IFNA(INDEX(DetailByDistrict[],MATCH($H607,DetailByDistrict[Dist],0),MATCH(J$2,DetailByDistrict[#Headers],0)),0)</f>
        <v>168</v>
      </c>
      <c r="K607" s="54">
        <f t="shared" si="9"/>
        <v>4.1666666666666664E-2</v>
      </c>
      <c r="L607" s="59">
        <f>ROUND(INDEX(DetailByDistrict[],MATCH($H607,DetailByDistrict[Dist],0),MATCH(L$2,DetailByDistrict[#Headers],0))*K607,2)</f>
        <v>454.88</v>
      </c>
      <c r="M607" s="59">
        <f>ROUND(INDEX(DetailByDistrict[],MATCH($H607,DetailByDistrict[Dist],0),MATCH(M$2,DetailByDistrict[#Headers],0))*K607,2)</f>
        <v>500.21</v>
      </c>
    </row>
    <row r="608" spans="1:13" x14ac:dyDescent="0.25">
      <c r="A608" s="53">
        <v>10</v>
      </c>
      <c r="B608" s="54" t="s">
        <v>1090</v>
      </c>
      <c r="C608" s="54" t="s">
        <v>885</v>
      </c>
      <c r="D608" s="53">
        <v>3715</v>
      </c>
      <c r="E608" s="53">
        <v>8121</v>
      </c>
      <c r="F608" s="54" t="s">
        <v>1106</v>
      </c>
      <c r="G608" s="53" t="s">
        <v>154</v>
      </c>
      <c r="H608" s="58" t="str">
        <f>_xlfn.IFNA(INDEX(ActiveSchools!$C$2:$F$326,MATCH(G608,ActiveSchools!$F$2:$F$326,0),1),"Total")</f>
        <v>3141</v>
      </c>
      <c r="I608" s="53">
        <v>1</v>
      </c>
      <c r="J608" s="59">
        <f>_xlfn.IFNA(INDEX(DetailByDistrict[],MATCH($H608,DetailByDistrict[Dist],0),MATCH(J$2,DetailByDistrict[#Headers],0)),0)</f>
        <v>1378</v>
      </c>
      <c r="K608" s="54">
        <f t="shared" si="9"/>
        <v>7.2568940493468795E-4</v>
      </c>
      <c r="L608" s="59">
        <f>ROUND(INDEX(DetailByDistrict[],MATCH($H608,DetailByDistrict[Dist],0),MATCH(L$2,DetailByDistrict[#Headers],0))*K608,2)</f>
        <v>64.98</v>
      </c>
      <c r="M608" s="59">
        <f>ROUND(INDEX(DetailByDistrict[],MATCH($H608,DetailByDistrict[Dist],0),MATCH(M$2,DetailByDistrict[#Headers],0))*K608,2)</f>
        <v>71.459999999999994</v>
      </c>
    </row>
    <row r="609" spans="1:26" x14ac:dyDescent="0.25">
      <c r="A609" s="53">
        <v>10</v>
      </c>
      <c r="B609" s="54" t="s">
        <v>1090</v>
      </c>
      <c r="C609" s="54" t="s">
        <v>885</v>
      </c>
      <c r="D609" s="53">
        <v>3715</v>
      </c>
      <c r="E609" s="53">
        <v>8121</v>
      </c>
      <c r="F609" s="54" t="s">
        <v>1098</v>
      </c>
      <c r="G609" s="53" t="s">
        <v>156</v>
      </c>
      <c r="H609" s="58" t="str">
        <f>_xlfn.IFNA(INDEX(ActiveSchools!$C$2:$F$326,MATCH(G609,ActiveSchools!$F$2:$F$326,0),1),"Total")</f>
        <v>3715</v>
      </c>
      <c r="I609" s="53">
        <v>31</v>
      </c>
      <c r="J609" s="59">
        <f>_xlfn.IFNA(INDEX(DetailByDistrict[],MATCH($H609,DetailByDistrict[Dist],0),MATCH(J$2,DetailByDistrict[#Headers],0)),0)</f>
        <v>676</v>
      </c>
      <c r="K609" s="54">
        <f t="shared" si="9"/>
        <v>4.5857988165680472E-2</v>
      </c>
      <c r="L609" s="59">
        <f>ROUND(INDEX(DetailByDistrict[],MATCH($H609,DetailByDistrict[Dist],0),MATCH(L$2,DetailByDistrict[#Headers],0))*K609,2)</f>
        <v>2014.36</v>
      </c>
      <c r="M609" s="59">
        <f>ROUND(INDEX(DetailByDistrict[],MATCH($H609,DetailByDistrict[Dist],0),MATCH(M$2,DetailByDistrict[#Headers],0))*K609,2)</f>
        <v>2215.2600000000002</v>
      </c>
    </row>
    <row r="610" spans="1:26" x14ac:dyDescent="0.25">
      <c r="A610" s="53">
        <v>10</v>
      </c>
      <c r="B610" s="54" t="s">
        <v>1090</v>
      </c>
      <c r="C610" s="54" t="s">
        <v>885</v>
      </c>
      <c r="D610" s="53">
        <v>3715</v>
      </c>
      <c r="E610" s="53">
        <v>8121</v>
      </c>
      <c r="F610" s="54" t="s">
        <v>1107</v>
      </c>
      <c r="G610" s="53" t="s">
        <v>159</v>
      </c>
      <c r="H610" s="58" t="str">
        <f>_xlfn.IFNA(INDEX(ActiveSchools!$C$2:$F$326,MATCH(G610,ActiveSchools!$F$2:$F$326,0),1),"Total")</f>
        <v>4086</v>
      </c>
      <c r="I610" s="53">
        <v>10</v>
      </c>
      <c r="J610" s="59">
        <f>_xlfn.IFNA(INDEX(DetailByDistrict[],MATCH($H610,DetailByDistrict[Dist],0),MATCH(J$2,DetailByDistrict[#Headers],0)),0)</f>
        <v>108</v>
      </c>
      <c r="K610" s="54">
        <f t="shared" si="9"/>
        <v>9.2592592592592587E-2</v>
      </c>
      <c r="L610" s="59">
        <f>ROUND(INDEX(DetailByDistrict[],MATCH($H610,DetailByDistrict[Dist],0),MATCH(L$2,DetailByDistrict[#Headers],0))*K610,2)</f>
        <v>649.80999999999995</v>
      </c>
      <c r="M610" s="59">
        <f>ROUND(INDEX(DetailByDistrict[],MATCH($H610,DetailByDistrict[Dist],0),MATCH(M$2,DetailByDistrict[#Headers],0))*K610,2)</f>
        <v>714.63</v>
      </c>
    </row>
    <row r="611" spans="1:26" x14ac:dyDescent="0.25">
      <c r="A611" s="53">
        <v>10</v>
      </c>
      <c r="B611" s="54" t="s">
        <v>1090</v>
      </c>
      <c r="C611" s="54" t="s">
        <v>885</v>
      </c>
      <c r="D611" s="53">
        <v>3715</v>
      </c>
      <c r="E611" s="53">
        <v>8121</v>
      </c>
      <c r="F611" s="54" t="s">
        <v>1102</v>
      </c>
      <c r="G611" s="53" t="s">
        <v>163</v>
      </c>
      <c r="H611" s="58" t="str">
        <f>_xlfn.IFNA(INDEX(ActiveSchools!$C$2:$F$326,MATCH(G611,ActiveSchools!$F$2:$F$326,0),1),"Total")</f>
        <v>4554</v>
      </c>
      <c r="I611" s="53">
        <v>1</v>
      </c>
      <c r="J611" s="59">
        <f>_xlfn.IFNA(INDEX(DetailByDistrict[],MATCH($H611,DetailByDistrict[Dist],0),MATCH(J$2,DetailByDistrict[#Headers],0)),0)</f>
        <v>31</v>
      </c>
      <c r="K611" s="54">
        <f t="shared" si="9"/>
        <v>3.2258064516129031E-2</v>
      </c>
      <c r="L611" s="59">
        <f>ROUND(INDEX(DetailByDistrict[],MATCH($H611,DetailByDistrict[Dist],0),MATCH(L$2,DetailByDistrict[#Headers],0))*K611,2)</f>
        <v>64.97</v>
      </c>
      <c r="M611" s="59">
        <f>ROUND(INDEX(DetailByDistrict[],MATCH($H611,DetailByDistrict[Dist],0),MATCH(M$2,DetailByDistrict[#Headers],0))*K611,2)</f>
        <v>71.45</v>
      </c>
    </row>
    <row r="612" spans="1:26" ht="15.75" customHeight="1" x14ac:dyDescent="0.25">
      <c r="A612" s="53">
        <v>10</v>
      </c>
      <c r="B612" s="54" t="s">
        <v>1090</v>
      </c>
      <c r="C612" s="54" t="s">
        <v>783</v>
      </c>
      <c r="D612" s="53">
        <v>4041</v>
      </c>
      <c r="E612" s="53">
        <v>8108</v>
      </c>
      <c r="F612" s="54" t="s">
        <v>1093</v>
      </c>
      <c r="G612" s="53" t="s">
        <v>161</v>
      </c>
      <c r="H612" s="58" t="str">
        <f>_xlfn.IFNA(INDEX(ActiveSchools!$C$2:$F$326,MATCH(G612,ActiveSchools!$F$2:$F$326,0),1),"Total")</f>
        <v>4269</v>
      </c>
      <c r="I612" s="53">
        <v>2</v>
      </c>
      <c r="J612" s="59">
        <f>_xlfn.IFNA(INDEX(DetailByDistrict[],MATCH($H612,DetailByDistrict[Dist],0),MATCH(J$2,DetailByDistrict[#Headers],0)),0)</f>
        <v>4</v>
      </c>
      <c r="K612" s="54">
        <f t="shared" si="9"/>
        <v>0.5</v>
      </c>
      <c r="L612" s="59">
        <f>ROUND(INDEX(DetailByDistrict[],MATCH($H612,DetailByDistrict[Dist],0),MATCH(L$2,DetailByDistrict[#Headers],0))*K612,2)</f>
        <v>130</v>
      </c>
      <c r="M612" s="59">
        <f>ROUND(INDEX(DetailByDistrict[],MATCH($H612,DetailByDistrict[Dist],0),MATCH(M$2,DetailByDistrict[#Headers],0))*K612,2)</f>
        <v>143</v>
      </c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spans="1:26" ht="15.75" customHeight="1" x14ac:dyDescent="0.25">
      <c r="A613" s="53">
        <v>10</v>
      </c>
      <c r="B613" s="54" t="s">
        <v>1090</v>
      </c>
      <c r="C613" s="54" t="s">
        <v>806</v>
      </c>
      <c r="D613" s="53">
        <v>4086</v>
      </c>
      <c r="E613" s="53">
        <v>8106</v>
      </c>
      <c r="F613" s="54" t="s">
        <v>1091</v>
      </c>
      <c r="G613" s="57" t="s">
        <v>142</v>
      </c>
      <c r="H613" s="58" t="str">
        <f>_xlfn.IFNA(INDEX(ActiveSchools!$C$2:$F$326,MATCH(G613,ActiveSchools!$F$2:$F$326,0),1),"Total")</f>
        <v>0234</v>
      </c>
      <c r="I613" s="53">
        <v>1</v>
      </c>
      <c r="J613" s="59">
        <f>_xlfn.IFNA(INDEX(DetailByDistrict[],MATCH($H613,DetailByDistrict[Dist],0),MATCH(J$2,DetailByDistrict[#Headers],0)),0)</f>
        <v>68</v>
      </c>
      <c r="K613" s="54">
        <f t="shared" si="9"/>
        <v>1.4705882352941176E-2</v>
      </c>
      <c r="L613" s="59">
        <f>ROUND(INDEX(DetailByDistrict[],MATCH($H613,DetailByDistrict[Dist],0),MATCH(L$2,DetailByDistrict[#Headers],0))*K613,2)</f>
        <v>64.989999999999995</v>
      </c>
      <c r="M613" s="59">
        <f>ROUND(INDEX(DetailByDistrict[],MATCH($H613,DetailByDistrict[Dist],0),MATCH(M$2,DetailByDistrict[#Headers],0))*K613,2)</f>
        <v>71.459999999999994</v>
      </c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spans="1:26" ht="15.75" customHeight="1" x14ac:dyDescent="0.25">
      <c r="A614" s="53">
        <v>10</v>
      </c>
      <c r="B614" s="54" t="s">
        <v>1090</v>
      </c>
      <c r="C614" s="54" t="s">
        <v>806</v>
      </c>
      <c r="D614" s="53">
        <v>4086</v>
      </c>
      <c r="E614" s="53">
        <v>8106</v>
      </c>
      <c r="F614" s="54" t="s">
        <v>1096</v>
      </c>
      <c r="G614" s="53" t="s">
        <v>145</v>
      </c>
      <c r="H614" s="58" t="str">
        <f>_xlfn.IFNA(INDEX(ActiveSchools!$C$2:$F$326,MATCH(G614,ActiveSchools!$F$2:$F$326,0),1),"Total")</f>
        <v>1053</v>
      </c>
      <c r="I614" s="53">
        <v>11</v>
      </c>
      <c r="J614" s="59">
        <f>_xlfn.IFNA(INDEX(DetailByDistrict[],MATCH($H614,DetailByDistrict[Dist],0),MATCH(J$2,DetailByDistrict[#Headers],0)),0)</f>
        <v>2073</v>
      </c>
      <c r="K614" s="54">
        <f t="shared" si="9"/>
        <v>5.3063193439459718E-3</v>
      </c>
      <c r="L614" s="59">
        <f>ROUND(INDEX(DetailByDistrict[],MATCH($H614,DetailByDistrict[Dist],0),MATCH(L$2,DetailByDistrict[#Headers],0))*K614,2)</f>
        <v>714.78</v>
      </c>
      <c r="M614" s="59">
        <f>ROUND(INDEX(DetailByDistrict[],MATCH($H614,DetailByDistrict[Dist],0),MATCH(M$2,DetailByDistrict[#Headers],0))*K614,2)</f>
        <v>786.06</v>
      </c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spans="1:26" ht="15.75" customHeight="1" x14ac:dyDescent="0.25">
      <c r="A615" s="53">
        <v>10</v>
      </c>
      <c r="B615" s="54" t="s">
        <v>1090</v>
      </c>
      <c r="C615" s="54" t="s">
        <v>806</v>
      </c>
      <c r="D615" s="53">
        <v>4086</v>
      </c>
      <c r="E615" s="53">
        <v>8106</v>
      </c>
      <c r="F615" s="54" t="s">
        <v>1105</v>
      </c>
      <c r="G615" s="53" t="s">
        <v>147</v>
      </c>
      <c r="H615" s="58" t="str">
        <f>_xlfn.IFNA(INDEX(ActiveSchools!$C$2:$F$326,MATCH(G615,ActiveSchools!$F$2:$F$326,0),1),"Total")</f>
        <v>1089</v>
      </c>
      <c r="I615" s="53">
        <v>3</v>
      </c>
      <c r="J615" s="59">
        <f>_xlfn.IFNA(INDEX(DetailByDistrict[],MATCH($H615,DetailByDistrict[Dist],0),MATCH(J$2,DetailByDistrict[#Headers],0)),0)</f>
        <v>11</v>
      </c>
      <c r="K615" s="54">
        <f t="shared" si="9"/>
        <v>0.27272727272727271</v>
      </c>
      <c r="L615" s="59">
        <f>ROUND(INDEX(DetailByDistrict[],MATCH($H615,DetailByDistrict[Dist],0),MATCH(L$2,DetailByDistrict[#Headers],0))*K615,2)</f>
        <v>195</v>
      </c>
      <c r="M615" s="59">
        <f>ROUND(INDEX(DetailByDistrict[],MATCH($H615,DetailByDistrict[Dist],0),MATCH(M$2,DetailByDistrict[#Headers],0))*K615,2)</f>
        <v>214.36</v>
      </c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spans="1:26" ht="15.75" customHeight="1" x14ac:dyDescent="0.25">
      <c r="A616" s="53">
        <v>10</v>
      </c>
      <c r="B616" s="54" t="s">
        <v>1090</v>
      </c>
      <c r="C616" s="54" t="s">
        <v>806</v>
      </c>
      <c r="D616" s="53">
        <v>4086</v>
      </c>
      <c r="E616" s="53">
        <v>8106</v>
      </c>
      <c r="F616" s="54" t="s">
        <v>1098</v>
      </c>
      <c r="G616" s="53" t="s">
        <v>156</v>
      </c>
      <c r="H616" s="58" t="str">
        <f>_xlfn.IFNA(INDEX(ActiveSchools!$C$2:$F$326,MATCH(G616,ActiveSchools!$F$2:$F$326,0),1),"Total")</f>
        <v>3715</v>
      </c>
      <c r="I616" s="53">
        <v>156</v>
      </c>
      <c r="J616" s="59">
        <f>_xlfn.IFNA(INDEX(DetailByDistrict[],MATCH($H616,DetailByDistrict[Dist],0),MATCH(J$2,DetailByDistrict[#Headers],0)),0)</f>
        <v>676</v>
      </c>
      <c r="K616" s="54">
        <f t="shared" si="9"/>
        <v>0.23076923076923078</v>
      </c>
      <c r="L616" s="59">
        <f>ROUND(INDEX(DetailByDistrict[],MATCH($H616,DetailByDistrict[Dist],0),MATCH(L$2,DetailByDistrict[#Headers],0))*K616,2)</f>
        <v>10136.77</v>
      </c>
      <c r="M616" s="59">
        <f>ROUND(INDEX(DetailByDistrict[],MATCH($H616,DetailByDistrict[Dist],0),MATCH(M$2,DetailByDistrict[#Headers],0))*K616,2)</f>
        <v>11147.77</v>
      </c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spans="1:26" ht="15.75" customHeight="1" x14ac:dyDescent="0.25">
      <c r="A617" s="53">
        <v>10</v>
      </c>
      <c r="B617" s="54" t="s">
        <v>1090</v>
      </c>
      <c r="C617" s="54" t="s">
        <v>806</v>
      </c>
      <c r="D617" s="53">
        <v>4086</v>
      </c>
      <c r="E617" s="53">
        <v>8106</v>
      </c>
      <c r="F617" s="54" t="s">
        <v>1114</v>
      </c>
      <c r="G617" s="53" t="s">
        <v>158</v>
      </c>
      <c r="H617" s="58" t="str">
        <f>_xlfn.IFNA(INDEX(ActiveSchools!$C$2:$F$326,MATCH(G617,ActiveSchools!$F$2:$F$326,0),1),"Total")</f>
        <v>3816</v>
      </c>
      <c r="I617" s="53">
        <v>4</v>
      </c>
      <c r="J617" s="59">
        <f>_xlfn.IFNA(INDEX(DetailByDistrict[],MATCH($H617,DetailByDistrict[Dist],0),MATCH(J$2,DetailByDistrict[#Headers],0)),0)</f>
        <v>8</v>
      </c>
      <c r="K617" s="54">
        <f t="shared" si="9"/>
        <v>0.5</v>
      </c>
      <c r="L617" s="59">
        <f>ROUND(INDEX(DetailByDistrict[],MATCH($H617,DetailByDistrict[Dist],0),MATCH(L$2,DetailByDistrict[#Headers],0))*K617,2)</f>
        <v>260</v>
      </c>
      <c r="M617" s="59">
        <f>ROUND(INDEX(DetailByDistrict[],MATCH($H617,DetailByDistrict[Dist],0),MATCH(M$2,DetailByDistrict[#Headers],0))*K617,2)</f>
        <v>286</v>
      </c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spans="1:26" ht="15.75" customHeight="1" x14ac:dyDescent="0.25">
      <c r="A618" s="53">
        <v>10</v>
      </c>
      <c r="B618" s="54" t="s">
        <v>1090</v>
      </c>
      <c r="C618" s="54" t="s">
        <v>806</v>
      </c>
      <c r="D618" s="53">
        <v>4086</v>
      </c>
      <c r="E618" s="53">
        <v>8106</v>
      </c>
      <c r="F618" s="54" t="s">
        <v>1107</v>
      </c>
      <c r="G618" s="53" t="s">
        <v>159</v>
      </c>
      <c r="H618" s="58" t="str">
        <f>_xlfn.IFNA(INDEX(ActiveSchools!$C$2:$F$326,MATCH(G618,ActiveSchools!$F$2:$F$326,0),1),"Total")</f>
        <v>4086</v>
      </c>
      <c r="I618" s="53">
        <v>22</v>
      </c>
      <c r="J618" s="59">
        <f>_xlfn.IFNA(INDEX(DetailByDistrict[],MATCH($H618,DetailByDistrict[Dist],0),MATCH(J$2,DetailByDistrict[#Headers],0)),0)</f>
        <v>108</v>
      </c>
      <c r="K618" s="54">
        <f t="shared" si="9"/>
        <v>0.20370370370370369</v>
      </c>
      <c r="L618" s="59">
        <f>ROUND(INDEX(DetailByDistrict[],MATCH($H618,DetailByDistrict[Dist],0),MATCH(L$2,DetailByDistrict[#Headers],0))*K618,2)</f>
        <v>1429.59</v>
      </c>
      <c r="M618" s="59">
        <f>ROUND(INDEX(DetailByDistrict[],MATCH($H618,DetailByDistrict[Dist],0),MATCH(M$2,DetailByDistrict[#Headers],0))*K618,2)</f>
        <v>1572.19</v>
      </c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spans="1:26" ht="15.75" customHeight="1" x14ac:dyDescent="0.25">
      <c r="A619" s="53">
        <v>10</v>
      </c>
      <c r="B619" s="54" t="s">
        <v>1090</v>
      </c>
      <c r="C619" s="54" t="s">
        <v>806</v>
      </c>
      <c r="D619" s="53">
        <v>4086</v>
      </c>
      <c r="E619" s="53">
        <v>8106</v>
      </c>
      <c r="F619" s="54" t="s">
        <v>1109</v>
      </c>
      <c r="G619" s="53" t="s">
        <v>168</v>
      </c>
      <c r="H619" s="58" t="str">
        <f>_xlfn.IFNA(INDEX(ActiveSchools!$C$2:$F$326,MATCH(G619,ActiveSchools!$F$2:$F$326,0),1),"Total")</f>
        <v>6138</v>
      </c>
      <c r="I619" s="53">
        <v>4</v>
      </c>
      <c r="J619" s="59">
        <f>_xlfn.IFNA(INDEX(DetailByDistrict[],MATCH($H619,DetailByDistrict[Dist],0),MATCH(J$2,DetailByDistrict[#Headers],0)),0)</f>
        <v>12</v>
      </c>
      <c r="K619" s="54">
        <f t="shared" si="9"/>
        <v>0.33333333333333331</v>
      </c>
      <c r="L619" s="59">
        <f>ROUND(INDEX(DetailByDistrict[],MATCH($H619,DetailByDistrict[Dist],0),MATCH(L$2,DetailByDistrict[#Headers],0))*K619,2)</f>
        <v>260</v>
      </c>
      <c r="M619" s="59">
        <f>ROUND(INDEX(DetailByDistrict[],MATCH($H619,DetailByDistrict[Dist],0),MATCH(M$2,DetailByDistrict[#Headers],0))*K619,2)</f>
        <v>286</v>
      </c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spans="1:26" ht="15.75" customHeight="1" x14ac:dyDescent="0.25">
      <c r="A620" s="53">
        <v>10</v>
      </c>
      <c r="B620" s="54" t="s">
        <v>1090</v>
      </c>
      <c r="C620" s="54" t="s">
        <v>895</v>
      </c>
      <c r="D620" s="53">
        <v>4271</v>
      </c>
      <c r="E620" s="53">
        <v>8106</v>
      </c>
      <c r="F620" s="54" t="s">
        <v>1119</v>
      </c>
      <c r="G620" s="53" t="s">
        <v>150</v>
      </c>
      <c r="H620" s="58" t="str">
        <f>_xlfn.IFNA(INDEX(ActiveSchools!$C$2:$F$326,MATCH(G620,ActiveSchools!$F$2:$F$326,0),1),"Total")</f>
        <v>2097</v>
      </c>
      <c r="I620" s="53">
        <v>2</v>
      </c>
      <c r="J620" s="59">
        <f>_xlfn.IFNA(INDEX(DetailByDistrict[],MATCH($H620,DetailByDistrict[Dist],0),MATCH(J$2,DetailByDistrict[#Headers],0)),0)</f>
        <v>7</v>
      </c>
      <c r="K620" s="54">
        <f t="shared" si="9"/>
        <v>0.2857142857142857</v>
      </c>
      <c r="L620" s="59">
        <f>ROUND(INDEX(DetailByDistrict[],MATCH($H620,DetailByDistrict[Dist],0),MATCH(L$2,DetailByDistrict[#Headers],0))*K620,2)</f>
        <v>130</v>
      </c>
      <c r="M620" s="59">
        <f>ROUND(INDEX(DetailByDistrict[],MATCH($H620,DetailByDistrict[Dist],0),MATCH(M$2,DetailByDistrict[#Headers],0))*K620,2)</f>
        <v>142.86000000000001</v>
      </c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spans="1:26" ht="15.75" customHeight="1" x14ac:dyDescent="0.25">
      <c r="A621" s="53">
        <v>10</v>
      </c>
      <c r="B621" s="54" t="s">
        <v>1090</v>
      </c>
      <c r="C621" s="54" t="s">
        <v>895</v>
      </c>
      <c r="D621" s="53">
        <v>4271</v>
      </c>
      <c r="E621" s="53">
        <v>8106</v>
      </c>
      <c r="F621" s="54" t="s">
        <v>1106</v>
      </c>
      <c r="G621" s="53" t="s">
        <v>154</v>
      </c>
      <c r="H621" s="58" t="str">
        <f>_xlfn.IFNA(INDEX(ActiveSchools!$C$2:$F$326,MATCH(G621,ActiveSchools!$F$2:$F$326,0),1),"Total")</f>
        <v>3141</v>
      </c>
      <c r="I621" s="53">
        <v>12</v>
      </c>
      <c r="J621" s="59">
        <f>_xlfn.IFNA(INDEX(DetailByDistrict[],MATCH($H621,DetailByDistrict[Dist],0),MATCH(J$2,DetailByDistrict[#Headers],0)),0)</f>
        <v>1378</v>
      </c>
      <c r="K621" s="54">
        <f t="shared" si="9"/>
        <v>8.708272859216255E-3</v>
      </c>
      <c r="L621" s="59">
        <f>ROUND(INDEX(DetailByDistrict[],MATCH($H621,DetailByDistrict[Dist],0),MATCH(L$2,DetailByDistrict[#Headers],0))*K621,2)</f>
        <v>779.76</v>
      </c>
      <c r="M621" s="59">
        <f>ROUND(INDEX(DetailByDistrict[],MATCH($H621,DetailByDistrict[Dist],0),MATCH(M$2,DetailByDistrict[#Headers],0))*K621,2)</f>
        <v>857.52</v>
      </c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spans="1:26" ht="15.75" customHeight="1" x14ac:dyDescent="0.25">
      <c r="A622" s="53">
        <v>10</v>
      </c>
      <c r="B622" s="54" t="s">
        <v>1090</v>
      </c>
      <c r="C622" s="54" t="s">
        <v>895</v>
      </c>
      <c r="D622" s="53">
        <v>4271</v>
      </c>
      <c r="E622" s="53">
        <v>8106</v>
      </c>
      <c r="F622" s="54" t="s">
        <v>1115</v>
      </c>
      <c r="G622" s="53" t="s">
        <v>160</v>
      </c>
      <c r="H622" s="58" t="str">
        <f>_xlfn.IFNA(INDEX(ActiveSchools!$C$2:$F$326,MATCH(G622,ActiveSchools!$F$2:$F$326,0),1),"Total")</f>
        <v>4271</v>
      </c>
      <c r="I622" s="53">
        <v>64</v>
      </c>
      <c r="J622" s="59">
        <f>_xlfn.IFNA(INDEX(DetailByDistrict[],MATCH($H622,DetailByDistrict[Dist],0),MATCH(J$2,DetailByDistrict[#Headers],0)),0)</f>
        <v>164</v>
      </c>
      <c r="K622" s="54">
        <f t="shared" si="9"/>
        <v>0.3902439024390244</v>
      </c>
      <c r="L622" s="59">
        <f>ROUND(INDEX(DetailByDistrict[],MATCH($H622,DetailByDistrict[Dist],0),MATCH(L$2,DetailByDistrict[#Headers],0))*K622,2)</f>
        <v>4158.83</v>
      </c>
      <c r="M622" s="59">
        <f>ROUND(INDEX(DetailByDistrict[],MATCH($H622,DetailByDistrict[Dist],0),MATCH(M$2,DetailByDistrict[#Headers],0))*K622,2)</f>
        <v>4573.2700000000004</v>
      </c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spans="1:26" ht="15.75" customHeight="1" x14ac:dyDescent="0.25">
      <c r="A623" s="53">
        <v>10</v>
      </c>
      <c r="B623" s="54" t="s">
        <v>1090</v>
      </c>
      <c r="C623" s="54" t="s">
        <v>895</v>
      </c>
      <c r="D623" s="53">
        <v>4271</v>
      </c>
      <c r="E623" s="53">
        <v>8106</v>
      </c>
      <c r="F623" s="54" t="s">
        <v>1120</v>
      </c>
      <c r="G623" s="53" t="s">
        <v>171</v>
      </c>
      <c r="H623" s="58" t="str">
        <f>_xlfn.IFNA(INDEX(ActiveSchools!$C$2:$F$326,MATCH(G623,ActiveSchools!$F$2:$F$326,0),1),"Total")</f>
        <v>6768</v>
      </c>
      <c r="I623" s="53">
        <v>5</v>
      </c>
      <c r="J623" s="59">
        <f>_xlfn.IFNA(INDEX(DetailByDistrict[],MATCH($H623,DetailByDistrict[Dist],0),MATCH(J$2,DetailByDistrict[#Headers],0)),0)</f>
        <v>109</v>
      </c>
      <c r="K623" s="54">
        <f t="shared" si="9"/>
        <v>4.5871559633027525E-2</v>
      </c>
      <c r="L623" s="59">
        <f>ROUND(INDEX(DetailByDistrict[],MATCH($H623,DetailByDistrict[Dist],0),MATCH(L$2,DetailByDistrict[#Headers],0))*K623,2)</f>
        <v>324.91000000000003</v>
      </c>
      <c r="M623" s="59">
        <f>ROUND(INDEX(DetailByDistrict[],MATCH($H623,DetailByDistrict[Dist],0),MATCH(M$2,DetailByDistrict[#Headers],0))*K623,2)</f>
        <v>357.29</v>
      </c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spans="1:26" ht="15.75" customHeight="1" x14ac:dyDescent="0.25">
      <c r="A624" s="53">
        <v>10</v>
      </c>
      <c r="B624" s="54" t="s">
        <v>1090</v>
      </c>
      <c r="C624" s="54" t="s">
        <v>896</v>
      </c>
      <c r="D624" s="53">
        <v>4271</v>
      </c>
      <c r="E624" s="53">
        <v>8506</v>
      </c>
      <c r="F624" s="54" t="s">
        <v>1104</v>
      </c>
      <c r="G624" s="53" t="s">
        <v>148</v>
      </c>
      <c r="H624" s="58" t="str">
        <f>_xlfn.IFNA(INDEX(ActiveSchools!$C$2:$F$326,MATCH(G624,ActiveSchools!$F$2:$F$326,0),1),"Total")</f>
        <v>1221</v>
      </c>
      <c r="I624" s="53">
        <v>4</v>
      </c>
      <c r="J624" s="59">
        <f>_xlfn.IFNA(INDEX(DetailByDistrict[],MATCH($H624,DetailByDistrict[Dist],0),MATCH(J$2,DetailByDistrict[#Headers],0)),0)</f>
        <v>71</v>
      </c>
      <c r="K624" s="54">
        <f t="shared" si="9"/>
        <v>5.6338028169014086E-2</v>
      </c>
      <c r="L624" s="59">
        <f>ROUND(INDEX(DetailByDistrict[],MATCH($H624,DetailByDistrict[Dist],0),MATCH(L$2,DetailByDistrict[#Headers],0))*K624,2)</f>
        <v>259.94</v>
      </c>
      <c r="M624" s="59">
        <f>ROUND(INDEX(DetailByDistrict[],MATCH($H624,DetailByDistrict[Dist],0),MATCH(M$2,DetailByDistrict[#Headers],0))*K624,2)</f>
        <v>285.86</v>
      </c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spans="1:26" ht="15.75" customHeight="1" x14ac:dyDescent="0.25">
      <c r="A625" s="53">
        <v>10</v>
      </c>
      <c r="B625" s="54" t="s">
        <v>1090</v>
      </c>
      <c r="C625" s="54" t="s">
        <v>896</v>
      </c>
      <c r="D625" s="53">
        <v>4271</v>
      </c>
      <c r="E625" s="53">
        <v>8506</v>
      </c>
      <c r="F625" s="54" t="s">
        <v>1119</v>
      </c>
      <c r="G625" s="53" t="s">
        <v>150</v>
      </c>
      <c r="H625" s="58" t="str">
        <f>_xlfn.IFNA(INDEX(ActiveSchools!$C$2:$F$326,MATCH(G625,ActiveSchools!$F$2:$F$326,0),1),"Total")</f>
        <v>2097</v>
      </c>
      <c r="I625" s="53">
        <v>2</v>
      </c>
      <c r="J625" s="59">
        <f>_xlfn.IFNA(INDEX(DetailByDistrict[],MATCH($H625,DetailByDistrict[Dist],0),MATCH(J$2,DetailByDistrict[#Headers],0)),0)</f>
        <v>7</v>
      </c>
      <c r="K625" s="54">
        <f t="shared" si="9"/>
        <v>0.2857142857142857</v>
      </c>
      <c r="L625" s="59">
        <f>ROUND(INDEX(DetailByDistrict[],MATCH($H625,DetailByDistrict[Dist],0),MATCH(L$2,DetailByDistrict[#Headers],0))*K625,2)</f>
        <v>130</v>
      </c>
      <c r="M625" s="59">
        <f>ROUND(INDEX(DetailByDistrict[],MATCH($H625,DetailByDistrict[Dist],0),MATCH(M$2,DetailByDistrict[#Headers],0))*K625,2)</f>
        <v>142.86000000000001</v>
      </c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spans="1:26" ht="15.75" customHeight="1" x14ac:dyDescent="0.25">
      <c r="A626" s="53">
        <v>10</v>
      </c>
      <c r="B626" s="54" t="s">
        <v>1090</v>
      </c>
      <c r="C626" s="54" t="s">
        <v>896</v>
      </c>
      <c r="D626" s="53">
        <v>4271</v>
      </c>
      <c r="E626" s="53">
        <v>8506</v>
      </c>
      <c r="F626" s="54" t="s">
        <v>1113</v>
      </c>
      <c r="G626" s="53" t="s">
        <v>151</v>
      </c>
      <c r="H626" s="58" t="str">
        <f>_xlfn.IFNA(INDEX(ActiveSchools!$C$2:$F$326,MATCH(G626,ActiveSchools!$F$2:$F$326,0),1),"Total")</f>
        <v>2977</v>
      </c>
      <c r="I626" s="53">
        <v>6</v>
      </c>
      <c r="J626" s="59">
        <f>_xlfn.IFNA(INDEX(DetailByDistrict[],MATCH($H626,DetailByDistrict[Dist],0),MATCH(J$2,DetailByDistrict[#Headers],0)),0)</f>
        <v>19</v>
      </c>
      <c r="K626" s="54">
        <f t="shared" si="9"/>
        <v>0.31578947368421051</v>
      </c>
      <c r="L626" s="59">
        <f>ROUND(INDEX(DetailByDistrict[],MATCH($H626,DetailByDistrict[Dist],0),MATCH(L$2,DetailByDistrict[#Headers],0))*K626,2)</f>
        <v>390</v>
      </c>
      <c r="M626" s="59">
        <f>ROUND(INDEX(DetailByDistrict[],MATCH($H626,DetailByDistrict[Dist],0),MATCH(M$2,DetailByDistrict[#Headers],0))*K626,2)</f>
        <v>428.84</v>
      </c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spans="1:26" ht="15.75" customHeight="1" x14ac:dyDescent="0.25">
      <c r="A627" s="53">
        <v>10</v>
      </c>
      <c r="B627" s="54" t="s">
        <v>1090</v>
      </c>
      <c r="C627" s="54" t="s">
        <v>896</v>
      </c>
      <c r="D627" s="53">
        <v>4271</v>
      </c>
      <c r="E627" s="53">
        <v>8506</v>
      </c>
      <c r="F627" s="54" t="s">
        <v>1106</v>
      </c>
      <c r="G627" s="53" t="s">
        <v>154</v>
      </c>
      <c r="H627" s="58" t="str">
        <f>_xlfn.IFNA(INDEX(ActiveSchools!$C$2:$F$326,MATCH(G627,ActiveSchools!$F$2:$F$326,0),1),"Total")</f>
        <v>3141</v>
      </c>
      <c r="I627" s="53">
        <v>31</v>
      </c>
      <c r="J627" s="59">
        <f>_xlfn.IFNA(INDEX(DetailByDistrict[],MATCH($H627,DetailByDistrict[Dist],0),MATCH(J$2,DetailByDistrict[#Headers],0)),0)</f>
        <v>1378</v>
      </c>
      <c r="K627" s="54">
        <f t="shared" si="9"/>
        <v>2.2496371552975326E-2</v>
      </c>
      <c r="L627" s="59">
        <f>ROUND(INDEX(DetailByDistrict[],MATCH($H627,DetailByDistrict[Dist],0),MATCH(L$2,DetailByDistrict[#Headers],0))*K627,2)</f>
        <v>2014.37</v>
      </c>
      <c r="M627" s="59">
        <f>ROUND(INDEX(DetailByDistrict[],MATCH($H627,DetailByDistrict[Dist],0),MATCH(M$2,DetailByDistrict[#Headers],0))*K627,2)</f>
        <v>2215.2600000000002</v>
      </c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spans="1:26" ht="15.75" customHeight="1" x14ac:dyDescent="0.25">
      <c r="A628" s="53">
        <v>10</v>
      </c>
      <c r="B628" s="54" t="s">
        <v>1090</v>
      </c>
      <c r="C628" s="54" t="s">
        <v>896</v>
      </c>
      <c r="D628" s="53">
        <v>4271</v>
      </c>
      <c r="E628" s="53">
        <v>8506</v>
      </c>
      <c r="F628" s="54" t="s">
        <v>1115</v>
      </c>
      <c r="G628" s="53" t="s">
        <v>160</v>
      </c>
      <c r="H628" s="58" t="str">
        <f>_xlfn.IFNA(INDEX(ActiveSchools!$C$2:$F$326,MATCH(G628,ActiveSchools!$F$2:$F$326,0),1),"Total")</f>
        <v>4271</v>
      </c>
      <c r="I628" s="53">
        <v>91</v>
      </c>
      <c r="J628" s="59">
        <f>_xlfn.IFNA(INDEX(DetailByDistrict[],MATCH($H628,DetailByDistrict[Dist],0),MATCH(J$2,DetailByDistrict[#Headers],0)),0)</f>
        <v>164</v>
      </c>
      <c r="K628" s="54">
        <f t="shared" si="9"/>
        <v>0.55487804878048785</v>
      </c>
      <c r="L628" s="59">
        <f>ROUND(INDEX(DetailByDistrict[],MATCH($H628,DetailByDistrict[Dist],0),MATCH(L$2,DetailByDistrict[#Headers],0))*K628,2)</f>
        <v>5913.34</v>
      </c>
      <c r="M628" s="59">
        <f>ROUND(INDEX(DetailByDistrict[],MATCH($H628,DetailByDistrict[Dist],0),MATCH(M$2,DetailByDistrict[#Headers],0))*K628,2)</f>
        <v>6502.62</v>
      </c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spans="1:26" ht="15.75" customHeight="1" x14ac:dyDescent="0.25">
      <c r="A629" s="53">
        <v>10</v>
      </c>
      <c r="B629" s="54" t="s">
        <v>1090</v>
      </c>
      <c r="C629" s="54" t="s">
        <v>896</v>
      </c>
      <c r="D629" s="53">
        <v>4271</v>
      </c>
      <c r="E629" s="53">
        <v>8506</v>
      </c>
      <c r="F629" s="54" t="s">
        <v>1120</v>
      </c>
      <c r="G629" s="53" t="s">
        <v>171</v>
      </c>
      <c r="H629" s="58" t="str">
        <f>_xlfn.IFNA(INDEX(ActiveSchools!$C$2:$F$326,MATCH(G629,ActiveSchools!$F$2:$F$326,0),1),"Total")</f>
        <v>6768</v>
      </c>
      <c r="I629" s="53">
        <v>14</v>
      </c>
      <c r="J629" s="59">
        <f>_xlfn.IFNA(INDEX(DetailByDistrict[],MATCH($H629,DetailByDistrict[Dist],0),MATCH(J$2,DetailByDistrict[#Headers],0)),0)</f>
        <v>109</v>
      </c>
      <c r="K629" s="54">
        <f t="shared" si="9"/>
        <v>0.12844036697247707</v>
      </c>
      <c r="L629" s="59">
        <f>ROUND(INDEX(DetailByDistrict[],MATCH($H629,DetailByDistrict[Dist],0),MATCH(L$2,DetailByDistrict[#Headers],0))*K629,2)</f>
        <v>909.74</v>
      </c>
      <c r="M629" s="59">
        <f>ROUND(INDEX(DetailByDistrict[],MATCH($H629,DetailByDistrict[Dist],0),MATCH(M$2,DetailByDistrict[#Headers],0))*K629,2)</f>
        <v>1000.42</v>
      </c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spans="1:26" ht="15.75" customHeight="1" x14ac:dyDescent="0.25">
      <c r="A630" s="53">
        <v>10</v>
      </c>
      <c r="B630" s="54" t="s">
        <v>1090</v>
      </c>
      <c r="C630" s="54" t="s">
        <v>896</v>
      </c>
      <c r="D630" s="53">
        <v>4271</v>
      </c>
      <c r="E630" s="53">
        <v>8506</v>
      </c>
      <c r="F630" s="54" t="s">
        <v>1117</v>
      </c>
      <c r="G630" s="53" t="s">
        <v>173</v>
      </c>
      <c r="H630" s="58" t="str">
        <f>_xlfn.IFNA(INDEX(ActiveSchools!$C$2:$F$326,MATCH(G630,ActiveSchools!$F$2:$F$326,0),1),"Total")</f>
        <v>7029</v>
      </c>
      <c r="I630" s="53">
        <v>12</v>
      </c>
      <c r="J630" s="59">
        <f>_xlfn.IFNA(INDEX(DetailByDistrict[],MATCH($H630,DetailByDistrict[Dist],0),MATCH(J$2,DetailByDistrict[#Headers],0)),0)</f>
        <v>83</v>
      </c>
      <c r="K630" s="54">
        <f t="shared" si="9"/>
        <v>0.14457831325301204</v>
      </c>
      <c r="L630" s="59">
        <f>ROUND(INDEX(DetailByDistrict[],MATCH($H630,DetailByDistrict[Dist],0),MATCH(L$2,DetailByDistrict[#Headers],0))*K630,2)</f>
        <v>779.71</v>
      </c>
      <c r="M630" s="59">
        <f>ROUND(INDEX(DetailByDistrict[],MATCH($H630,DetailByDistrict[Dist],0),MATCH(M$2,DetailByDistrict[#Headers],0))*K630,2)</f>
        <v>857.49</v>
      </c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spans="1:26" ht="15.75" customHeight="1" x14ac:dyDescent="0.25">
      <c r="A631" s="53">
        <v>10</v>
      </c>
      <c r="B631" s="54" t="s">
        <v>1090</v>
      </c>
      <c r="C631" s="54" t="s">
        <v>897</v>
      </c>
      <c r="D631" s="53">
        <v>4446</v>
      </c>
      <c r="E631" s="53">
        <v>8106</v>
      </c>
      <c r="F631" s="54" t="s">
        <v>1121</v>
      </c>
      <c r="G631" s="53" t="s">
        <v>162</v>
      </c>
      <c r="H631" s="58" t="str">
        <f>_xlfn.IFNA(INDEX(ActiveSchools!$C$2:$F$326,MATCH(G631,ActiveSchools!$F$2:$F$326,0),1),"Total")</f>
        <v>4446</v>
      </c>
      <c r="I631" s="53">
        <v>35</v>
      </c>
      <c r="J631" s="59">
        <f>_xlfn.IFNA(INDEX(DetailByDistrict[],MATCH($H631,DetailByDistrict[Dist],0),MATCH(J$2,DetailByDistrict[#Headers],0)),0)</f>
        <v>46</v>
      </c>
      <c r="K631" s="54">
        <f t="shared" si="9"/>
        <v>0.76086956521739135</v>
      </c>
      <c r="L631" s="59">
        <f>ROUND(INDEX(DetailByDistrict[],MATCH($H631,DetailByDistrict[Dist],0),MATCH(L$2,DetailByDistrict[#Headers],0))*K631,2)</f>
        <v>2274.2399999999998</v>
      </c>
      <c r="M631" s="59">
        <f>ROUND(INDEX(DetailByDistrict[],MATCH($H631,DetailByDistrict[Dist],0),MATCH(M$2,DetailByDistrict[#Headers],0))*K631,2)</f>
        <v>2500.98</v>
      </c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spans="1:26" ht="15.75" customHeight="1" x14ac:dyDescent="0.25">
      <c r="A632" s="53">
        <v>10</v>
      </c>
      <c r="B632" s="54" t="s">
        <v>1090</v>
      </c>
      <c r="C632" s="54" t="s">
        <v>898</v>
      </c>
      <c r="D632" s="53">
        <v>4581</v>
      </c>
      <c r="E632" s="53">
        <v>8103</v>
      </c>
      <c r="F632" s="54" t="s">
        <v>1106</v>
      </c>
      <c r="G632" s="53" t="s">
        <v>154</v>
      </c>
      <c r="H632" s="58" t="str">
        <f>_xlfn.IFNA(INDEX(ActiveSchools!$C$2:$F$326,MATCH(G632,ActiveSchools!$F$2:$F$326,0),1),"Total")</f>
        <v>3141</v>
      </c>
      <c r="I632" s="53">
        <v>1</v>
      </c>
      <c r="J632" s="59">
        <f>_xlfn.IFNA(INDEX(DetailByDistrict[],MATCH($H632,DetailByDistrict[Dist],0),MATCH(J$2,DetailByDistrict[#Headers],0)),0)</f>
        <v>1378</v>
      </c>
      <c r="K632" s="54">
        <f t="shared" si="9"/>
        <v>7.2568940493468795E-4</v>
      </c>
      <c r="L632" s="59">
        <f>ROUND(INDEX(DetailByDistrict[],MATCH($H632,DetailByDistrict[Dist],0),MATCH(L$2,DetailByDistrict[#Headers],0))*K632,2)</f>
        <v>64.98</v>
      </c>
      <c r="M632" s="59">
        <f>ROUND(INDEX(DetailByDistrict[],MATCH($H632,DetailByDistrict[Dist],0),MATCH(M$2,DetailByDistrict[#Headers],0))*K632,2)</f>
        <v>71.459999999999994</v>
      </c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spans="1:26" ht="15.75" customHeight="1" x14ac:dyDescent="0.25">
      <c r="A633" s="53">
        <v>10</v>
      </c>
      <c r="B633" s="54" t="s">
        <v>1090</v>
      </c>
      <c r="C633" s="54" t="s">
        <v>937</v>
      </c>
      <c r="D633" s="53">
        <v>6768</v>
      </c>
      <c r="E633" s="53">
        <v>8103</v>
      </c>
      <c r="F633" s="54" t="s">
        <v>1113</v>
      </c>
      <c r="G633" s="53" t="s">
        <v>151</v>
      </c>
      <c r="H633" s="58" t="str">
        <f>_xlfn.IFNA(INDEX(ActiveSchools!$C$2:$F$326,MATCH(G633,ActiveSchools!$F$2:$F$326,0),1),"Total")</f>
        <v>2977</v>
      </c>
      <c r="I633" s="53">
        <v>4</v>
      </c>
      <c r="J633" s="59">
        <f>_xlfn.IFNA(INDEX(DetailByDistrict[],MATCH($H633,DetailByDistrict[Dist],0),MATCH(J$2,DetailByDistrict[#Headers],0)),0)</f>
        <v>19</v>
      </c>
      <c r="K633" s="54">
        <f t="shared" si="9"/>
        <v>0.21052631578947367</v>
      </c>
      <c r="L633" s="59">
        <f>ROUND(INDEX(DetailByDistrict[],MATCH($H633,DetailByDistrict[Dist],0),MATCH(L$2,DetailByDistrict[#Headers],0))*K633,2)</f>
        <v>260</v>
      </c>
      <c r="M633" s="59">
        <f>ROUND(INDEX(DetailByDistrict[],MATCH($H633,DetailByDistrict[Dist],0),MATCH(M$2,DetailByDistrict[#Headers],0))*K633,2)</f>
        <v>285.89</v>
      </c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spans="1:26" ht="15.75" customHeight="1" x14ac:dyDescent="0.25">
      <c r="A634" s="53">
        <v>10</v>
      </c>
      <c r="B634" s="54" t="s">
        <v>1090</v>
      </c>
      <c r="C634" s="54" t="s">
        <v>937</v>
      </c>
      <c r="D634" s="53">
        <v>6768</v>
      </c>
      <c r="E634" s="53">
        <v>8103</v>
      </c>
      <c r="F634" s="54" t="s">
        <v>1115</v>
      </c>
      <c r="G634" s="53" t="s">
        <v>160</v>
      </c>
      <c r="H634" s="58" t="str">
        <f>_xlfn.IFNA(INDEX(ActiveSchools!$C$2:$F$326,MATCH(G634,ActiveSchools!$F$2:$F$326,0),1),"Total")</f>
        <v>4271</v>
      </c>
      <c r="I634" s="53">
        <v>3</v>
      </c>
      <c r="J634" s="59">
        <f>_xlfn.IFNA(INDEX(DetailByDistrict[],MATCH($H634,DetailByDistrict[Dist],0),MATCH(J$2,DetailByDistrict[#Headers],0)),0)</f>
        <v>164</v>
      </c>
      <c r="K634" s="54">
        <f t="shared" si="9"/>
        <v>1.8292682926829267E-2</v>
      </c>
      <c r="L634" s="59">
        <f>ROUND(INDEX(DetailByDistrict[],MATCH($H634,DetailByDistrict[Dist],0),MATCH(L$2,DetailByDistrict[#Headers],0))*K634,2)</f>
        <v>194.95</v>
      </c>
      <c r="M634" s="59">
        <f>ROUND(INDEX(DetailByDistrict[],MATCH($H634,DetailByDistrict[Dist],0),MATCH(M$2,DetailByDistrict[#Headers],0))*K634,2)</f>
        <v>214.37</v>
      </c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spans="1:26" ht="15.75" customHeight="1" x14ac:dyDescent="0.25">
      <c r="A635" s="53">
        <v>10</v>
      </c>
      <c r="B635" s="54" t="s">
        <v>1090</v>
      </c>
      <c r="C635" s="54" t="s">
        <v>937</v>
      </c>
      <c r="D635" s="53">
        <v>6768</v>
      </c>
      <c r="E635" s="53">
        <v>8103</v>
      </c>
      <c r="F635" s="54" t="s">
        <v>1120</v>
      </c>
      <c r="G635" s="53" t="s">
        <v>171</v>
      </c>
      <c r="H635" s="58" t="str">
        <f>_xlfn.IFNA(INDEX(ActiveSchools!$C$2:$F$326,MATCH(G635,ActiveSchools!$F$2:$F$326,0),1),"Total")</f>
        <v>6768</v>
      </c>
      <c r="I635" s="53">
        <v>90</v>
      </c>
      <c r="J635" s="59">
        <f>_xlfn.IFNA(INDEX(DetailByDistrict[],MATCH($H635,DetailByDistrict[Dist],0),MATCH(J$2,DetailByDistrict[#Headers],0)),0)</f>
        <v>109</v>
      </c>
      <c r="K635" s="54">
        <f t="shared" si="9"/>
        <v>0.82568807339449546</v>
      </c>
      <c r="L635" s="59">
        <f>ROUND(INDEX(DetailByDistrict[],MATCH($H635,DetailByDistrict[Dist],0),MATCH(L$2,DetailByDistrict[#Headers],0))*K635,2)</f>
        <v>5848.35</v>
      </c>
      <c r="M635" s="59">
        <f>ROUND(INDEX(DetailByDistrict[],MATCH($H635,DetailByDistrict[Dist],0),MATCH(M$2,DetailByDistrict[#Headers],0))*K635,2)</f>
        <v>6431.28</v>
      </c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spans="1:26" ht="15.75" customHeight="1" x14ac:dyDescent="0.25">
      <c r="A636" s="53">
        <v>10</v>
      </c>
      <c r="B636" s="54" t="s">
        <v>1090</v>
      </c>
      <c r="C636" s="54" t="s">
        <v>949</v>
      </c>
      <c r="D636" s="53">
        <v>6930</v>
      </c>
      <c r="E636" s="53">
        <v>8503</v>
      </c>
      <c r="F636" s="54" t="s">
        <v>1106</v>
      </c>
      <c r="G636" s="53" t="s">
        <v>154</v>
      </c>
      <c r="H636" s="58" t="str">
        <f>_xlfn.IFNA(INDEX(ActiveSchools!$C$2:$F$326,MATCH(G636,ActiveSchools!$F$2:$F$326,0),1),"Total")</f>
        <v>3141</v>
      </c>
      <c r="I636" s="53">
        <v>15</v>
      </c>
      <c r="J636" s="59">
        <f>_xlfn.IFNA(INDEX(DetailByDistrict[],MATCH($H636,DetailByDistrict[Dist],0),MATCH(J$2,DetailByDistrict[#Headers],0)),0)</f>
        <v>1378</v>
      </c>
      <c r="K636" s="54">
        <f t="shared" si="9"/>
        <v>1.0885341074020319E-2</v>
      </c>
      <c r="L636" s="59">
        <f>ROUND(INDEX(DetailByDistrict[],MATCH($H636,DetailByDistrict[Dist],0),MATCH(L$2,DetailByDistrict[#Headers],0))*K636,2)</f>
        <v>974.7</v>
      </c>
      <c r="M636" s="59">
        <f>ROUND(INDEX(DetailByDistrict[],MATCH($H636,DetailByDistrict[Dist],0),MATCH(M$2,DetailByDistrict[#Headers],0))*K636,2)</f>
        <v>1071.9000000000001</v>
      </c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spans="1:26" ht="15.75" customHeight="1" x14ac:dyDescent="0.25">
      <c r="A637" s="53">
        <v>10</v>
      </c>
      <c r="B637" s="54" t="s">
        <v>1090</v>
      </c>
      <c r="C637" s="54" t="s">
        <v>949</v>
      </c>
      <c r="D637" s="53">
        <v>6930</v>
      </c>
      <c r="E637" s="53">
        <v>8503</v>
      </c>
      <c r="F637" s="54" t="s">
        <v>1098</v>
      </c>
      <c r="G637" s="53" t="s">
        <v>156</v>
      </c>
      <c r="H637" s="58" t="str">
        <f>_xlfn.IFNA(INDEX(ActiveSchools!$C$2:$F$326,MATCH(G637,ActiveSchools!$F$2:$F$326,0),1),"Total")</f>
        <v>3715</v>
      </c>
      <c r="I637" s="53">
        <v>2</v>
      </c>
      <c r="J637" s="59">
        <f>_xlfn.IFNA(INDEX(DetailByDistrict[],MATCH($H637,DetailByDistrict[Dist],0),MATCH(J$2,DetailByDistrict[#Headers],0)),0)</f>
        <v>676</v>
      </c>
      <c r="K637" s="54">
        <f t="shared" si="9"/>
        <v>2.9585798816568047E-3</v>
      </c>
      <c r="L637" s="59">
        <f>ROUND(INDEX(DetailByDistrict[],MATCH($H637,DetailByDistrict[Dist],0),MATCH(L$2,DetailByDistrict[#Headers],0))*K637,2)</f>
        <v>129.96</v>
      </c>
      <c r="M637" s="59">
        <f>ROUND(INDEX(DetailByDistrict[],MATCH($H637,DetailByDistrict[Dist],0),MATCH(M$2,DetailByDistrict[#Headers],0))*K637,2)</f>
        <v>142.91999999999999</v>
      </c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spans="1:26" ht="15.75" customHeight="1" x14ac:dyDescent="0.25">
      <c r="A638" s="53">
        <v>10</v>
      </c>
      <c r="B638" s="54" t="s">
        <v>1090</v>
      </c>
      <c r="C638" s="54" t="s">
        <v>949</v>
      </c>
      <c r="D638" s="53">
        <v>6930</v>
      </c>
      <c r="E638" s="53">
        <v>8503</v>
      </c>
      <c r="F638" s="54" t="s">
        <v>1107</v>
      </c>
      <c r="G638" s="53" t="s">
        <v>159</v>
      </c>
      <c r="H638" s="58" t="str">
        <f>_xlfn.IFNA(INDEX(ActiveSchools!$C$2:$F$326,MATCH(G638,ActiveSchools!$F$2:$F$326,0),1),"Total")</f>
        <v>4086</v>
      </c>
      <c r="I638" s="53">
        <v>1</v>
      </c>
      <c r="J638" s="59">
        <f>_xlfn.IFNA(INDEX(DetailByDistrict[],MATCH($H638,DetailByDistrict[Dist],0),MATCH(J$2,DetailByDistrict[#Headers],0)),0)</f>
        <v>108</v>
      </c>
      <c r="K638" s="54">
        <f t="shared" si="9"/>
        <v>9.2592592592592587E-3</v>
      </c>
      <c r="L638" s="59">
        <f>ROUND(INDEX(DetailByDistrict[],MATCH($H638,DetailByDistrict[Dist],0),MATCH(L$2,DetailByDistrict[#Headers],0))*K638,2)</f>
        <v>64.98</v>
      </c>
      <c r="M638" s="59">
        <f>ROUND(INDEX(DetailByDistrict[],MATCH($H638,DetailByDistrict[Dist],0),MATCH(M$2,DetailByDistrict[#Headers],0))*K638,2)</f>
        <v>71.459999999999994</v>
      </c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spans="1:26" ht="15.75" customHeight="1" x14ac:dyDescent="0.25">
      <c r="A639" s="53">
        <v>10</v>
      </c>
      <c r="B639" s="54" t="s">
        <v>1090</v>
      </c>
      <c r="C639" s="54" t="s">
        <v>949</v>
      </c>
      <c r="D639" s="53">
        <v>6930</v>
      </c>
      <c r="E639" s="53">
        <v>8503</v>
      </c>
      <c r="F639" s="54" t="s">
        <v>1116</v>
      </c>
      <c r="G639" s="53" t="s">
        <v>172</v>
      </c>
      <c r="H639" s="58" t="str">
        <f>_xlfn.IFNA(INDEX(ActiveSchools!$C$2:$F$326,MATCH(G639,ActiveSchools!$F$2:$F$326,0),1),"Total")</f>
        <v>6930</v>
      </c>
      <c r="I639" s="53">
        <v>3</v>
      </c>
      <c r="J639" s="59">
        <f>_xlfn.IFNA(INDEX(DetailByDistrict[],MATCH($H639,DetailByDistrict[Dist],0),MATCH(J$2,DetailByDistrict[#Headers],0)),0)</f>
        <v>15</v>
      </c>
      <c r="K639" s="54">
        <f t="shared" si="9"/>
        <v>0.2</v>
      </c>
      <c r="L639" s="59">
        <f>ROUND(INDEX(DetailByDistrict[],MATCH($H639,DetailByDistrict[Dist],0),MATCH(L$2,DetailByDistrict[#Headers],0))*K639,2)</f>
        <v>195</v>
      </c>
      <c r="M639" s="59">
        <f>ROUND(INDEX(DetailByDistrict[],MATCH($H639,DetailByDistrict[Dist],0),MATCH(M$2,DetailByDistrict[#Headers],0))*K639,2)</f>
        <v>214.4</v>
      </c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spans="1:26" ht="15.75" customHeight="1" x14ac:dyDescent="0.25">
      <c r="A640" s="53">
        <v>10</v>
      </c>
      <c r="B640" s="54" t="s">
        <v>1090</v>
      </c>
      <c r="C640" s="54" t="s">
        <v>950</v>
      </c>
      <c r="D640" s="53">
        <v>6950</v>
      </c>
      <c r="E640" s="53">
        <v>8104</v>
      </c>
      <c r="F640" s="54" t="s">
        <v>1111</v>
      </c>
      <c r="G640" s="53" t="s">
        <v>165</v>
      </c>
      <c r="H640" s="58" t="str">
        <f>_xlfn.IFNA(INDEX(ActiveSchools!$C$2:$F$326,MATCH(G640,ActiveSchools!$F$2:$F$326,0),1),"Total")</f>
        <v>4777</v>
      </c>
      <c r="I640" s="53">
        <v>2</v>
      </c>
      <c r="J640" s="59">
        <f>_xlfn.IFNA(INDEX(DetailByDistrict[],MATCH($H640,DetailByDistrict[Dist],0),MATCH(J$2,DetailByDistrict[#Headers],0)),0)</f>
        <v>5</v>
      </c>
      <c r="K640" s="54">
        <f t="shared" si="9"/>
        <v>0.4</v>
      </c>
      <c r="L640" s="59">
        <f>ROUND(INDEX(DetailByDistrict[],MATCH($H640,DetailByDistrict[Dist],0),MATCH(L$2,DetailByDistrict[#Headers],0))*K640,2)</f>
        <v>130</v>
      </c>
      <c r="M640" s="59">
        <f>ROUND(INDEX(DetailByDistrict[],MATCH($H640,DetailByDistrict[Dist],0),MATCH(M$2,DetailByDistrict[#Headers],0))*K640,2)</f>
        <v>142.80000000000001</v>
      </c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spans="1:26" ht="15.75" customHeight="1" x14ac:dyDescent="0.25">
      <c r="A641" s="53">
        <v>10</v>
      </c>
      <c r="B641" s="54" t="s">
        <v>1090</v>
      </c>
      <c r="C641" s="54" t="s">
        <v>952</v>
      </c>
      <c r="D641" s="53">
        <v>6957</v>
      </c>
      <c r="E641" s="53">
        <v>8106</v>
      </c>
      <c r="F641" s="54" t="s">
        <v>1106</v>
      </c>
      <c r="G641" s="53" t="s">
        <v>154</v>
      </c>
      <c r="H641" s="58" t="str">
        <f>_xlfn.IFNA(INDEX(ActiveSchools!$C$2:$F$326,MATCH(G641,ActiveSchools!$F$2:$F$326,0),1),"Total")</f>
        <v>3141</v>
      </c>
      <c r="I641" s="53">
        <v>11</v>
      </c>
      <c r="J641" s="59">
        <f>_xlfn.IFNA(INDEX(DetailByDistrict[],MATCH($H641,DetailByDistrict[Dist],0),MATCH(J$2,DetailByDistrict[#Headers],0)),0)</f>
        <v>1378</v>
      </c>
      <c r="K641" s="54">
        <f t="shared" si="9"/>
        <v>7.9825834542815669E-3</v>
      </c>
      <c r="L641" s="59">
        <f>ROUND(INDEX(DetailByDistrict[],MATCH($H641,DetailByDistrict[Dist],0),MATCH(L$2,DetailByDistrict[#Headers],0))*K641,2)</f>
        <v>714.78</v>
      </c>
      <c r="M641" s="59">
        <f>ROUND(INDEX(DetailByDistrict[],MATCH($H641,DetailByDistrict[Dist],0),MATCH(M$2,DetailByDistrict[#Headers],0))*K641,2)</f>
        <v>786.06</v>
      </c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spans="1:26" ht="15.75" customHeight="1" x14ac:dyDescent="0.25">
      <c r="A642" s="53">
        <v>10</v>
      </c>
      <c r="B642" s="54" t="s">
        <v>1090</v>
      </c>
      <c r="C642" s="54" t="s">
        <v>953</v>
      </c>
      <c r="D642" s="53">
        <v>6961</v>
      </c>
      <c r="E642" s="53">
        <v>8103</v>
      </c>
      <c r="F642" s="54" t="s">
        <v>1121</v>
      </c>
      <c r="G642" s="53" t="s">
        <v>162</v>
      </c>
      <c r="H642" s="58" t="str">
        <f>_xlfn.IFNA(INDEX(ActiveSchools!$C$2:$F$326,MATCH(G642,ActiveSchools!$F$2:$F$326,0),1),"Total")</f>
        <v>4446</v>
      </c>
      <c r="I642" s="53">
        <v>1</v>
      </c>
      <c r="J642" s="59">
        <f>_xlfn.IFNA(INDEX(DetailByDistrict[],MATCH($H642,DetailByDistrict[Dist],0),MATCH(J$2,DetailByDistrict[#Headers],0)),0)</f>
        <v>46</v>
      </c>
      <c r="K642" s="54">
        <f t="shared" si="9"/>
        <v>2.1739130434782608E-2</v>
      </c>
      <c r="L642" s="59">
        <f>ROUND(INDEX(DetailByDistrict[],MATCH($H642,DetailByDistrict[Dist],0),MATCH(L$2,DetailByDistrict[#Headers],0))*K642,2)</f>
        <v>64.98</v>
      </c>
      <c r="M642" s="59">
        <f>ROUND(INDEX(DetailByDistrict[],MATCH($H642,DetailByDistrict[Dist],0),MATCH(M$2,DetailByDistrict[#Headers],0))*K642,2)</f>
        <v>71.459999999999994</v>
      </c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spans="1:26" ht="15.75" customHeight="1" x14ac:dyDescent="0.25">
      <c r="A643" s="53">
        <v>10</v>
      </c>
      <c r="B643" s="54" t="s">
        <v>1090</v>
      </c>
      <c r="C643" s="54" t="s">
        <v>956</v>
      </c>
      <c r="D643" s="53">
        <v>6961</v>
      </c>
      <c r="E643" s="53">
        <v>8150</v>
      </c>
      <c r="F643" s="54" t="s">
        <v>1121</v>
      </c>
      <c r="G643" s="53" t="s">
        <v>162</v>
      </c>
      <c r="H643" s="58" t="str">
        <f>_xlfn.IFNA(INDEX(ActiveSchools!$C$2:$F$326,MATCH(G643,ActiveSchools!$F$2:$F$326,0),1),"Total")</f>
        <v>4446</v>
      </c>
      <c r="I643" s="53">
        <v>10</v>
      </c>
      <c r="J643" s="59">
        <f>_xlfn.IFNA(INDEX(DetailByDistrict[],MATCH($H643,DetailByDistrict[Dist],0),MATCH(J$2,DetailByDistrict[#Headers],0)),0)</f>
        <v>46</v>
      </c>
      <c r="K643" s="54">
        <f t="shared" si="9"/>
        <v>0.21739130434782608</v>
      </c>
      <c r="L643" s="59">
        <f>ROUND(INDEX(DetailByDistrict[],MATCH($H643,DetailByDistrict[Dist],0),MATCH(L$2,DetailByDistrict[#Headers],0))*K643,2)</f>
        <v>649.78</v>
      </c>
      <c r="M643" s="59">
        <f>ROUND(INDEX(DetailByDistrict[],MATCH($H643,DetailByDistrict[Dist],0),MATCH(M$2,DetailByDistrict[#Headers],0))*K643,2)</f>
        <v>714.57</v>
      </c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spans="1:26" ht="15.75" customHeight="1" x14ac:dyDescent="0.25">
      <c r="A644" s="53">
        <v>10</v>
      </c>
      <c r="B644" s="54" t="s">
        <v>1090</v>
      </c>
      <c r="C644" s="54" t="s">
        <v>961</v>
      </c>
      <c r="D644" s="53">
        <v>7029</v>
      </c>
      <c r="E644" s="53">
        <v>8204</v>
      </c>
      <c r="F644" s="54" t="s">
        <v>1104</v>
      </c>
      <c r="G644" s="53" t="s">
        <v>148</v>
      </c>
      <c r="H644" s="58" t="str">
        <f>_xlfn.IFNA(INDEX(ActiveSchools!$C$2:$F$326,MATCH(G644,ActiveSchools!$F$2:$F$326,0),1),"Total")</f>
        <v>1221</v>
      </c>
      <c r="I644" s="53">
        <v>3</v>
      </c>
      <c r="J644" s="59">
        <f>_xlfn.IFNA(INDEX(DetailByDistrict[],MATCH($H644,DetailByDistrict[Dist],0),MATCH(J$2,DetailByDistrict[#Headers],0)),0)</f>
        <v>71</v>
      </c>
      <c r="K644" s="54">
        <f t="shared" ref="K644:K707" si="10">I644/J644</f>
        <v>4.2253521126760563E-2</v>
      </c>
      <c r="L644" s="59">
        <f>ROUND(INDEX(DetailByDistrict[],MATCH($H644,DetailByDistrict[Dist],0),MATCH(L$2,DetailByDistrict[#Headers],0))*K644,2)</f>
        <v>194.96</v>
      </c>
      <c r="M644" s="59">
        <f>ROUND(INDEX(DetailByDistrict[],MATCH($H644,DetailByDistrict[Dist],0),MATCH(M$2,DetailByDistrict[#Headers],0))*K644,2)</f>
        <v>214.39</v>
      </c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spans="1:26" ht="15.75" customHeight="1" x14ac:dyDescent="0.25">
      <c r="A645" s="53">
        <v>10</v>
      </c>
      <c r="B645" s="54" t="s">
        <v>1090</v>
      </c>
      <c r="C645" s="54" t="s">
        <v>961</v>
      </c>
      <c r="D645" s="53">
        <v>7029</v>
      </c>
      <c r="E645" s="53">
        <v>8204</v>
      </c>
      <c r="F645" s="54" t="s">
        <v>1119</v>
      </c>
      <c r="G645" s="53" t="s">
        <v>150</v>
      </c>
      <c r="H645" s="58" t="str">
        <f>_xlfn.IFNA(INDEX(ActiveSchools!$C$2:$F$326,MATCH(G645,ActiveSchools!$F$2:$F$326,0),1),"Total")</f>
        <v>2097</v>
      </c>
      <c r="I645" s="53">
        <v>3</v>
      </c>
      <c r="J645" s="59">
        <f>_xlfn.IFNA(INDEX(DetailByDistrict[],MATCH($H645,DetailByDistrict[Dist],0),MATCH(J$2,DetailByDistrict[#Headers],0)),0)</f>
        <v>7</v>
      </c>
      <c r="K645" s="54">
        <f t="shared" si="10"/>
        <v>0.42857142857142855</v>
      </c>
      <c r="L645" s="59">
        <f>ROUND(INDEX(DetailByDistrict[],MATCH($H645,DetailByDistrict[Dist],0),MATCH(L$2,DetailByDistrict[#Headers],0))*K645,2)</f>
        <v>195</v>
      </c>
      <c r="M645" s="59">
        <f>ROUND(INDEX(DetailByDistrict[],MATCH($H645,DetailByDistrict[Dist],0),MATCH(M$2,DetailByDistrict[#Headers],0))*K645,2)</f>
        <v>214.29</v>
      </c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spans="1:26" ht="15.75" customHeight="1" x14ac:dyDescent="0.25">
      <c r="A646" s="53">
        <v>10</v>
      </c>
      <c r="B646" s="54" t="s">
        <v>1090</v>
      </c>
      <c r="C646" s="54" t="s">
        <v>961</v>
      </c>
      <c r="D646" s="53">
        <v>7029</v>
      </c>
      <c r="E646" s="53">
        <v>8204</v>
      </c>
      <c r="F646" s="54" t="s">
        <v>1122</v>
      </c>
      <c r="G646" s="53" t="s">
        <v>152</v>
      </c>
      <c r="H646" s="58" t="str">
        <f>_xlfn.IFNA(INDEX(ActiveSchools!$C$2:$F$326,MATCH(G646,ActiveSchools!$F$2:$F$326,0),1),"Total")</f>
        <v>2766</v>
      </c>
      <c r="I646" s="53">
        <v>5</v>
      </c>
      <c r="J646" s="59">
        <f>_xlfn.IFNA(INDEX(DetailByDistrict[],MATCH($H646,DetailByDistrict[Dist],0),MATCH(J$2,DetailByDistrict[#Headers],0)),0)</f>
        <v>5</v>
      </c>
      <c r="K646" s="54">
        <f t="shared" si="10"/>
        <v>1</v>
      </c>
      <c r="L646" s="59">
        <f>ROUND(INDEX(DetailByDistrict[],MATCH($H646,DetailByDistrict[Dist],0),MATCH(L$2,DetailByDistrict[#Headers],0))*K646,2)</f>
        <v>325</v>
      </c>
      <c r="M646" s="59">
        <f>ROUND(INDEX(DetailByDistrict[],MATCH($H646,DetailByDistrict[Dist],0),MATCH(M$2,DetailByDistrict[#Headers],0))*K646,2)</f>
        <v>357</v>
      </c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spans="1:26" ht="15.75" customHeight="1" x14ac:dyDescent="0.25">
      <c r="A647" s="53">
        <v>10</v>
      </c>
      <c r="B647" s="54" t="s">
        <v>1090</v>
      </c>
      <c r="C647" s="54" t="s">
        <v>961</v>
      </c>
      <c r="D647" s="53">
        <v>7029</v>
      </c>
      <c r="E647" s="53">
        <v>8204</v>
      </c>
      <c r="F647" s="54" t="s">
        <v>1106</v>
      </c>
      <c r="G647" s="53" t="s">
        <v>154</v>
      </c>
      <c r="H647" s="58" t="str">
        <f>_xlfn.IFNA(INDEX(ActiveSchools!$C$2:$F$326,MATCH(G647,ActiveSchools!$F$2:$F$326,0),1),"Total")</f>
        <v>3141</v>
      </c>
      <c r="I647" s="53">
        <v>1</v>
      </c>
      <c r="J647" s="59">
        <f>_xlfn.IFNA(INDEX(DetailByDistrict[],MATCH($H647,DetailByDistrict[Dist],0),MATCH(J$2,DetailByDistrict[#Headers],0)),0)</f>
        <v>1378</v>
      </c>
      <c r="K647" s="54">
        <f t="shared" si="10"/>
        <v>7.2568940493468795E-4</v>
      </c>
      <c r="L647" s="59">
        <f>ROUND(INDEX(DetailByDistrict[],MATCH($H647,DetailByDistrict[Dist],0),MATCH(L$2,DetailByDistrict[#Headers],0))*K647,2)</f>
        <v>64.98</v>
      </c>
      <c r="M647" s="59">
        <f>ROUND(INDEX(DetailByDistrict[],MATCH($H647,DetailByDistrict[Dist],0),MATCH(M$2,DetailByDistrict[#Headers],0))*K647,2)</f>
        <v>71.459999999999994</v>
      </c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spans="1:26" ht="15.75" customHeight="1" x14ac:dyDescent="0.25">
      <c r="A648" s="53">
        <v>10</v>
      </c>
      <c r="B648" s="54" t="s">
        <v>1090</v>
      </c>
      <c r="C648" s="54" t="s">
        <v>961</v>
      </c>
      <c r="D648" s="53">
        <v>7029</v>
      </c>
      <c r="E648" s="53">
        <v>8204</v>
      </c>
      <c r="F648" s="54" t="s">
        <v>1097</v>
      </c>
      <c r="G648" s="53" t="s">
        <v>155</v>
      </c>
      <c r="H648" s="58" t="str">
        <f>_xlfn.IFNA(INDEX(ActiveSchools!$C$2:$F$326,MATCH(G648,ActiveSchools!$F$2:$F$326,0),1),"Total")</f>
        <v>3154</v>
      </c>
      <c r="I648" s="53">
        <v>1</v>
      </c>
      <c r="J648" s="59">
        <f>_xlfn.IFNA(INDEX(DetailByDistrict[],MATCH($H648,DetailByDistrict[Dist],0),MATCH(J$2,DetailByDistrict[#Headers],0)),0)</f>
        <v>2</v>
      </c>
      <c r="K648" s="54">
        <f t="shared" si="10"/>
        <v>0.5</v>
      </c>
      <c r="L648" s="59">
        <f>ROUND(INDEX(DetailByDistrict[],MATCH($H648,DetailByDistrict[Dist],0),MATCH(L$2,DetailByDistrict[#Headers],0))*K648,2)</f>
        <v>65</v>
      </c>
      <c r="M648" s="59">
        <f>ROUND(INDEX(DetailByDistrict[],MATCH($H648,DetailByDistrict[Dist],0),MATCH(M$2,DetailByDistrict[#Headers],0))*K648,2)</f>
        <v>71.5</v>
      </c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spans="1:26" ht="15.75" customHeight="1" x14ac:dyDescent="0.25">
      <c r="A649" s="53">
        <v>10</v>
      </c>
      <c r="B649" s="54" t="s">
        <v>1090</v>
      </c>
      <c r="C649" s="54" t="s">
        <v>961</v>
      </c>
      <c r="D649" s="53">
        <v>7029</v>
      </c>
      <c r="E649" s="53">
        <v>8204</v>
      </c>
      <c r="F649" s="54" t="s">
        <v>1117</v>
      </c>
      <c r="G649" s="53" t="s">
        <v>173</v>
      </c>
      <c r="H649" s="58" t="str">
        <f>_xlfn.IFNA(INDEX(ActiveSchools!$C$2:$F$326,MATCH(G649,ActiveSchools!$F$2:$F$326,0),1),"Total")</f>
        <v>7029</v>
      </c>
      <c r="I649" s="53">
        <v>69</v>
      </c>
      <c r="J649" s="59">
        <f>_xlfn.IFNA(INDEX(DetailByDistrict[],MATCH($H649,DetailByDistrict[Dist],0),MATCH(J$2,DetailByDistrict[#Headers],0)),0)</f>
        <v>83</v>
      </c>
      <c r="K649" s="54">
        <f t="shared" si="10"/>
        <v>0.83132530120481929</v>
      </c>
      <c r="L649" s="59">
        <f>ROUND(INDEX(DetailByDistrict[],MATCH($H649,DetailByDistrict[Dist],0),MATCH(L$2,DetailByDistrict[#Headers],0))*K649,2)</f>
        <v>4483.34</v>
      </c>
      <c r="M649" s="59">
        <f>ROUND(INDEX(DetailByDistrict[],MATCH($H649,DetailByDistrict[Dist],0),MATCH(M$2,DetailByDistrict[#Headers],0))*K649,2)</f>
        <v>4930.59</v>
      </c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spans="1:26" ht="15.75" customHeight="1" x14ac:dyDescent="0.25">
      <c r="A650" s="62"/>
      <c r="B650" s="64"/>
      <c r="C650" s="65"/>
      <c r="D650" s="62"/>
      <c r="E650" s="62"/>
      <c r="F650" s="62" t="s">
        <v>1090</v>
      </c>
      <c r="G650" s="62" t="s">
        <v>736</v>
      </c>
      <c r="H650" s="62" t="str">
        <f>_xlfn.IFNA(INDEX(ActiveSchools!$C$2:$F$326,MATCH(G650,ActiveSchools!$F$2:$F$326,0),1),"Total")</f>
        <v>Total</v>
      </c>
      <c r="I650" s="62">
        <f>SUM(I449:I649)</f>
        <v>5294</v>
      </c>
      <c r="J650" s="62">
        <f>_xlfn.IFNA(INDEX(DetailByDistrict[],MATCH($H650,DetailByDistrict[Dist],0),MATCH(J$2,DetailByDistrict[#Headers],0)),0)</f>
        <v>0</v>
      </c>
      <c r="K650" s="62" t="e">
        <f t="shared" si="10"/>
        <v>#DIV/0!</v>
      </c>
      <c r="L650" s="63">
        <f>SUM(L449:L649)</f>
        <v>344008.00000000006</v>
      </c>
      <c r="M650" s="63">
        <f>SUM(M449:M649)</f>
        <v>378309.00000000023</v>
      </c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spans="1:26" ht="15.75" customHeight="1" x14ac:dyDescent="0.25">
      <c r="A651" s="53">
        <v>11</v>
      </c>
      <c r="B651" s="54" t="s">
        <v>1123</v>
      </c>
      <c r="C651" s="54" t="s">
        <v>769</v>
      </c>
      <c r="D651" s="57" t="s">
        <v>177</v>
      </c>
      <c r="E651" s="53">
        <v>8102</v>
      </c>
      <c r="F651" s="54" t="s">
        <v>1124</v>
      </c>
      <c r="G651" s="57" t="s">
        <v>177</v>
      </c>
      <c r="H651" s="58" t="str">
        <f>_xlfn.IFNA(INDEX(ActiveSchools!$C$2:$F$326,MATCH(G651,ActiveSchools!$F$2:$F$326,0),1),"Total")</f>
        <v>0225</v>
      </c>
      <c r="I651" s="53">
        <v>61</v>
      </c>
      <c r="J651" s="59">
        <f>_xlfn.IFNA(INDEX(DetailByDistrict[],MATCH($H651,DetailByDistrict[Dist],0),MATCH(J$2,DetailByDistrict[#Headers],0)),0)</f>
        <v>151</v>
      </c>
      <c r="K651" s="54">
        <f t="shared" si="10"/>
        <v>0.40397350993377484</v>
      </c>
      <c r="L651" s="59">
        <f>ROUND(INDEX(DetailByDistrict[],MATCH($H651,DetailByDistrict[Dist],0),MATCH(L$2,DetailByDistrict[#Headers],0))*K651,2)</f>
        <v>3956.52</v>
      </c>
      <c r="M651" s="59">
        <f>ROUND(INDEX(DetailByDistrict[],MATCH($H651,DetailByDistrict[Dist],0),MATCH(M$2,DetailByDistrict[#Headers],0))*K651,2)</f>
        <v>4347.97</v>
      </c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spans="1:26" ht="15.75" customHeight="1" x14ac:dyDescent="0.25">
      <c r="A652" s="53">
        <v>11</v>
      </c>
      <c r="B652" s="54" t="s">
        <v>1123</v>
      </c>
      <c r="C652" s="54" t="s">
        <v>769</v>
      </c>
      <c r="D652" s="57" t="s">
        <v>177</v>
      </c>
      <c r="E652" s="53">
        <v>8102</v>
      </c>
      <c r="F652" s="54" t="s">
        <v>1125</v>
      </c>
      <c r="G652" s="57" t="s">
        <v>178</v>
      </c>
      <c r="H652" s="58" t="str">
        <f>_xlfn.IFNA(INDEX(ActiveSchools!$C$2:$F$326,MATCH(G652,ActiveSchools!$F$2:$F$326,0),1),"Total")</f>
        <v>0261</v>
      </c>
      <c r="I652" s="53">
        <v>2</v>
      </c>
      <c r="J652" s="59">
        <f>_xlfn.IFNA(INDEX(DetailByDistrict[],MATCH($H652,DetailByDistrict[Dist],0),MATCH(J$2,DetailByDistrict[#Headers],0)),0)</f>
        <v>1188</v>
      </c>
      <c r="K652" s="54">
        <f t="shared" si="10"/>
        <v>1.6835016835016834E-3</v>
      </c>
      <c r="L652" s="59">
        <f>ROUND(INDEX(DetailByDistrict[],MATCH($H652,DetailByDistrict[Dist],0),MATCH(L$2,DetailByDistrict[#Headers],0))*K652,2)</f>
        <v>129.72</v>
      </c>
      <c r="M652" s="59">
        <f>ROUND(INDEX(DetailByDistrict[],MATCH($H652,DetailByDistrict[Dist],0),MATCH(M$2,DetailByDistrict[#Headers],0))*K652,2)</f>
        <v>142.56</v>
      </c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spans="1:26" ht="15.75" customHeight="1" x14ac:dyDescent="0.25">
      <c r="A653" s="53">
        <v>11</v>
      </c>
      <c r="B653" s="54" t="s">
        <v>1123</v>
      </c>
      <c r="C653" s="54" t="s">
        <v>769</v>
      </c>
      <c r="D653" s="57" t="s">
        <v>177</v>
      </c>
      <c r="E653" s="53">
        <v>8102</v>
      </c>
      <c r="F653" s="54" t="s">
        <v>1126</v>
      </c>
      <c r="G653" s="57" t="s">
        <v>180</v>
      </c>
      <c r="H653" s="58" t="str">
        <f>_xlfn.IFNA(INDEX(ActiveSchools!$C$2:$F$326,MATCH(G653,ActiveSchools!$F$2:$F$326,0),1),"Total")</f>
        <v>0472</v>
      </c>
      <c r="I653" s="53">
        <v>8</v>
      </c>
      <c r="J653" s="59">
        <f>_xlfn.IFNA(INDEX(DetailByDistrict[],MATCH($H653,DetailByDistrict[Dist],0),MATCH(J$2,DetailByDistrict[#Headers],0)),0)</f>
        <v>41</v>
      </c>
      <c r="K653" s="54">
        <f t="shared" si="10"/>
        <v>0.1951219512195122</v>
      </c>
      <c r="L653" s="59">
        <f>ROUND(INDEX(DetailByDistrict[],MATCH($H653,DetailByDistrict[Dist],0),MATCH(L$2,DetailByDistrict[#Headers],0))*K653,2)</f>
        <v>518.83000000000004</v>
      </c>
      <c r="M653" s="59">
        <f>ROUND(INDEX(DetailByDistrict[],MATCH($H653,DetailByDistrict[Dist],0),MATCH(M$2,DetailByDistrict[#Headers],0))*K653,2)</f>
        <v>570.15</v>
      </c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spans="1:26" ht="15.75" customHeight="1" x14ac:dyDescent="0.25">
      <c r="A654" s="53">
        <v>11</v>
      </c>
      <c r="B654" s="54" t="s">
        <v>1123</v>
      </c>
      <c r="C654" s="54" t="s">
        <v>769</v>
      </c>
      <c r="D654" s="57" t="s">
        <v>177</v>
      </c>
      <c r="E654" s="53">
        <v>8102</v>
      </c>
      <c r="F654" s="54" t="s">
        <v>1127</v>
      </c>
      <c r="G654" s="57" t="s">
        <v>183</v>
      </c>
      <c r="H654" s="58" t="str">
        <f>_xlfn.IFNA(INDEX(ActiveSchools!$C$2:$F$326,MATCH(G654,ActiveSchools!$F$2:$F$326,0),1),"Total")</f>
        <v>0729</v>
      </c>
      <c r="I654" s="53">
        <v>1</v>
      </c>
      <c r="J654" s="59">
        <f>_xlfn.IFNA(INDEX(DetailByDistrict[],MATCH($H654,DetailByDistrict[Dist],0),MATCH(J$2,DetailByDistrict[#Headers],0)),0)</f>
        <v>167</v>
      </c>
      <c r="K654" s="54">
        <f t="shared" si="10"/>
        <v>5.9880239520958087E-3</v>
      </c>
      <c r="L654" s="59">
        <f>ROUND(INDEX(DetailByDistrict[],MATCH($H654,DetailByDistrict[Dist],0),MATCH(L$2,DetailByDistrict[#Headers],0))*K654,2)</f>
        <v>64.86</v>
      </c>
      <c r="M654" s="59">
        <f>ROUND(INDEX(DetailByDistrict[],MATCH($H654,DetailByDistrict[Dist],0),MATCH(M$2,DetailByDistrict[#Headers],0))*K654,2)</f>
        <v>71.28</v>
      </c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spans="1:26" ht="15.75" customHeight="1" x14ac:dyDescent="0.25">
      <c r="A655" s="53">
        <v>11</v>
      </c>
      <c r="B655" s="54" t="s">
        <v>1123</v>
      </c>
      <c r="C655" s="54" t="s">
        <v>769</v>
      </c>
      <c r="D655" s="57" t="s">
        <v>177</v>
      </c>
      <c r="E655" s="53">
        <v>8102</v>
      </c>
      <c r="F655" s="54" t="s">
        <v>1128</v>
      </c>
      <c r="G655" s="53" t="s">
        <v>194</v>
      </c>
      <c r="H655" s="58" t="str">
        <f>_xlfn.IFNA(INDEX(ActiveSchools!$C$2:$F$326,MATCH(G655,ActiveSchools!$F$2:$F$326,0),1),"Total")</f>
        <v>2466</v>
      </c>
      <c r="I655" s="53">
        <v>11</v>
      </c>
      <c r="J655" s="59">
        <f>_xlfn.IFNA(INDEX(DetailByDistrict[],MATCH($H655,DetailByDistrict[Dist],0),MATCH(J$2,DetailByDistrict[#Headers],0)),0)</f>
        <v>41</v>
      </c>
      <c r="K655" s="54">
        <f t="shared" si="10"/>
        <v>0.26829268292682928</v>
      </c>
      <c r="L655" s="59">
        <f>ROUND(INDEX(DetailByDistrict[],MATCH($H655,DetailByDistrict[Dist],0),MATCH(L$2,DetailByDistrict[#Headers],0))*K655,2)</f>
        <v>713.39</v>
      </c>
      <c r="M655" s="59">
        <f>ROUND(INDEX(DetailByDistrict[],MATCH($H655,DetailByDistrict[Dist],0),MATCH(M$2,DetailByDistrict[#Headers],0))*K655,2)</f>
        <v>783.95</v>
      </c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spans="1:26" ht="15.75" customHeight="1" x14ac:dyDescent="0.25">
      <c r="A656" s="53">
        <v>11</v>
      </c>
      <c r="B656" s="54" t="s">
        <v>1123</v>
      </c>
      <c r="C656" s="54" t="s">
        <v>769</v>
      </c>
      <c r="D656" s="57" t="s">
        <v>177</v>
      </c>
      <c r="E656" s="53">
        <v>8102</v>
      </c>
      <c r="F656" s="54" t="s">
        <v>1129</v>
      </c>
      <c r="G656" s="53" t="s">
        <v>202</v>
      </c>
      <c r="H656" s="58" t="str">
        <f>_xlfn.IFNA(INDEX(ActiveSchools!$C$2:$F$326,MATCH(G656,ActiveSchools!$F$2:$F$326,0),1),"Total")</f>
        <v>3942</v>
      </c>
      <c r="I656" s="53">
        <v>1</v>
      </c>
      <c r="J656" s="59">
        <f>_xlfn.IFNA(INDEX(DetailByDistrict[],MATCH($H656,DetailByDistrict[Dist],0),MATCH(J$2,DetailByDistrict[#Headers],0)),0)</f>
        <v>1</v>
      </c>
      <c r="K656" s="54">
        <f t="shared" si="10"/>
        <v>1</v>
      </c>
      <c r="L656" s="59">
        <f>ROUND(INDEX(DetailByDistrict[],MATCH($H656,DetailByDistrict[Dist],0),MATCH(L$2,DetailByDistrict[#Headers],0))*K656,2)</f>
        <v>65</v>
      </c>
      <c r="M656" s="59">
        <f>ROUND(INDEX(DetailByDistrict[],MATCH($H656,DetailByDistrict[Dist],0),MATCH(M$2,DetailByDistrict[#Headers],0))*K656,2)</f>
        <v>71</v>
      </c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spans="1:26" ht="15.75" customHeight="1" x14ac:dyDescent="0.25">
      <c r="A657" s="53">
        <v>11</v>
      </c>
      <c r="B657" s="54" t="s">
        <v>1123</v>
      </c>
      <c r="C657" s="54" t="s">
        <v>769</v>
      </c>
      <c r="D657" s="57" t="s">
        <v>177</v>
      </c>
      <c r="E657" s="53">
        <v>8102</v>
      </c>
      <c r="F657" s="54" t="s">
        <v>1130</v>
      </c>
      <c r="G657" s="53" t="s">
        <v>205</v>
      </c>
      <c r="H657" s="58" t="str">
        <f>_xlfn.IFNA(INDEX(ActiveSchools!$C$2:$F$326,MATCH(G657,ActiveSchools!$F$2:$F$326,0),1),"Total")</f>
        <v>4617</v>
      </c>
      <c r="I657" s="53">
        <v>7</v>
      </c>
      <c r="J657" s="59">
        <f>_xlfn.IFNA(INDEX(DetailByDistrict[],MATCH($H657,DetailByDistrict[Dist],0),MATCH(J$2,DetailByDistrict[#Headers],0)),0)</f>
        <v>9</v>
      </c>
      <c r="K657" s="54">
        <f t="shared" si="10"/>
        <v>0.77777777777777779</v>
      </c>
      <c r="L657" s="59">
        <f>ROUND(INDEX(DetailByDistrict[],MATCH($H657,DetailByDistrict[Dist],0),MATCH(L$2,DetailByDistrict[#Headers],0))*K657,2)</f>
        <v>454.22</v>
      </c>
      <c r="M657" s="59">
        <f>ROUND(INDEX(DetailByDistrict[],MATCH($H657,DetailByDistrict[Dist],0),MATCH(M$2,DetailByDistrict[#Headers],0))*K657,2)</f>
        <v>499.33</v>
      </c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spans="1:26" ht="15.75" customHeight="1" x14ac:dyDescent="0.25">
      <c r="A658" s="53">
        <v>11</v>
      </c>
      <c r="B658" s="54" t="s">
        <v>1123</v>
      </c>
      <c r="C658" s="54" t="s">
        <v>769</v>
      </c>
      <c r="D658" s="57" t="s">
        <v>177</v>
      </c>
      <c r="E658" s="53">
        <v>8102</v>
      </c>
      <c r="F658" s="54" t="s">
        <v>1131</v>
      </c>
      <c r="G658" s="53" t="s">
        <v>216</v>
      </c>
      <c r="H658" s="58" t="str">
        <f>_xlfn.IFNA(INDEX(ActiveSchools!$C$2:$F$326,MATCH(G658,ActiveSchools!$F$2:$F$326,0),1),"Total")</f>
        <v>5643</v>
      </c>
      <c r="I658" s="53">
        <v>6</v>
      </c>
      <c r="J658" s="59">
        <f>_xlfn.IFNA(INDEX(DetailByDistrict[],MATCH($H658,DetailByDistrict[Dist],0),MATCH(J$2,DetailByDistrict[#Headers],0)),0)</f>
        <v>8</v>
      </c>
      <c r="K658" s="54">
        <f t="shared" si="10"/>
        <v>0.75</v>
      </c>
      <c r="L658" s="59">
        <f>ROUND(INDEX(DetailByDistrict[],MATCH($H658,DetailByDistrict[Dist],0),MATCH(L$2,DetailByDistrict[#Headers],0))*K658,2)</f>
        <v>389.25</v>
      </c>
      <c r="M658" s="59">
        <f>ROUND(INDEX(DetailByDistrict[],MATCH($H658,DetailByDistrict[Dist],0),MATCH(M$2,DetailByDistrict[#Headers],0))*K658,2)</f>
        <v>427.5</v>
      </c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spans="1:26" ht="15.75" customHeight="1" x14ac:dyDescent="0.25">
      <c r="A659" s="53">
        <v>11</v>
      </c>
      <c r="B659" s="54" t="s">
        <v>1123</v>
      </c>
      <c r="C659" s="54" t="s">
        <v>769</v>
      </c>
      <c r="D659" s="57" t="s">
        <v>177</v>
      </c>
      <c r="E659" s="53">
        <v>8102</v>
      </c>
      <c r="F659" s="54" t="s">
        <v>1132</v>
      </c>
      <c r="G659" s="53" t="s">
        <v>221</v>
      </c>
      <c r="H659" s="58" t="str">
        <f>_xlfn.IFNA(INDEX(ActiveSchools!$C$2:$F$326,MATCH(G659,ActiveSchools!$F$2:$F$326,0),1),"Total")</f>
        <v>6561</v>
      </c>
      <c r="I659" s="53">
        <v>1</v>
      </c>
      <c r="J659" s="59">
        <f>_xlfn.IFNA(INDEX(DetailByDistrict[],MATCH($H659,DetailByDistrict[Dist],0),MATCH(J$2,DetailByDistrict[#Headers],0)),0)</f>
        <v>9</v>
      </c>
      <c r="K659" s="54">
        <f t="shared" si="10"/>
        <v>0.1111111111111111</v>
      </c>
      <c r="L659" s="59">
        <f>ROUND(INDEX(DetailByDistrict[],MATCH($H659,DetailByDistrict[Dist],0),MATCH(L$2,DetailByDistrict[#Headers],0))*K659,2)</f>
        <v>64.89</v>
      </c>
      <c r="M659" s="59">
        <f>ROUND(INDEX(DetailByDistrict[],MATCH($H659,DetailByDistrict[Dist],0),MATCH(M$2,DetailByDistrict[#Headers],0))*K659,2)</f>
        <v>71.33</v>
      </c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spans="1:26" ht="15.75" customHeight="1" x14ac:dyDescent="0.25">
      <c r="A660" s="53">
        <v>11</v>
      </c>
      <c r="B660" s="54" t="s">
        <v>1123</v>
      </c>
      <c r="C660" s="54" t="s">
        <v>770</v>
      </c>
      <c r="D660" s="57" t="s">
        <v>177</v>
      </c>
      <c r="E660" s="53">
        <v>8104</v>
      </c>
      <c r="F660" s="54" t="s">
        <v>1124</v>
      </c>
      <c r="G660" s="57" t="s">
        <v>177</v>
      </c>
      <c r="H660" s="58" t="str">
        <f>_xlfn.IFNA(INDEX(ActiveSchools!$C$2:$F$326,MATCH(G660,ActiveSchools!$F$2:$F$326,0),1),"Total")</f>
        <v>0225</v>
      </c>
      <c r="I660" s="53">
        <v>80</v>
      </c>
      <c r="J660" s="59">
        <f>_xlfn.IFNA(INDEX(DetailByDistrict[],MATCH($H660,DetailByDistrict[Dist],0),MATCH(J$2,DetailByDistrict[#Headers],0)),0)</f>
        <v>151</v>
      </c>
      <c r="K660" s="54">
        <f t="shared" si="10"/>
        <v>0.5298013245033113</v>
      </c>
      <c r="L660" s="59">
        <f>ROUND(INDEX(DetailByDistrict[],MATCH($H660,DetailByDistrict[Dist],0),MATCH(L$2,DetailByDistrict[#Headers],0))*K660,2)</f>
        <v>5188.87</v>
      </c>
      <c r="M660" s="59">
        <f>ROUND(INDEX(DetailByDistrict[],MATCH($H660,DetailByDistrict[Dist],0),MATCH(M$2,DetailByDistrict[#Headers],0))*K660,2)</f>
        <v>5702.25</v>
      </c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spans="1:26" ht="15.75" customHeight="1" x14ac:dyDescent="0.25">
      <c r="A661" s="53">
        <v>11</v>
      </c>
      <c r="B661" s="54" t="s">
        <v>1123</v>
      </c>
      <c r="C661" s="54" t="s">
        <v>770</v>
      </c>
      <c r="D661" s="57" t="s">
        <v>177</v>
      </c>
      <c r="E661" s="53">
        <v>8104</v>
      </c>
      <c r="F661" s="54" t="s">
        <v>1126</v>
      </c>
      <c r="G661" s="57" t="s">
        <v>180</v>
      </c>
      <c r="H661" s="58" t="str">
        <f>_xlfn.IFNA(INDEX(ActiveSchools!$C$2:$F$326,MATCH(G661,ActiveSchools!$F$2:$F$326,0),1),"Total")</f>
        <v>0472</v>
      </c>
      <c r="I661" s="53">
        <v>3</v>
      </c>
      <c r="J661" s="59">
        <f>_xlfn.IFNA(INDEX(DetailByDistrict[],MATCH($H661,DetailByDistrict[Dist],0),MATCH(J$2,DetailByDistrict[#Headers],0)),0)</f>
        <v>41</v>
      </c>
      <c r="K661" s="54">
        <f t="shared" si="10"/>
        <v>7.3170731707317069E-2</v>
      </c>
      <c r="L661" s="59">
        <f>ROUND(INDEX(DetailByDistrict[],MATCH($H661,DetailByDistrict[Dist],0),MATCH(L$2,DetailByDistrict[#Headers],0))*K661,2)</f>
        <v>194.56</v>
      </c>
      <c r="M661" s="59">
        <f>ROUND(INDEX(DetailByDistrict[],MATCH($H661,DetailByDistrict[Dist],0),MATCH(M$2,DetailByDistrict[#Headers],0))*K661,2)</f>
        <v>213.8</v>
      </c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spans="1:26" ht="15.75" customHeight="1" x14ac:dyDescent="0.25">
      <c r="A662" s="53">
        <v>11</v>
      </c>
      <c r="B662" s="54" t="s">
        <v>1123</v>
      </c>
      <c r="C662" s="54" t="s">
        <v>770</v>
      </c>
      <c r="D662" s="57" t="s">
        <v>177</v>
      </c>
      <c r="E662" s="53">
        <v>8104</v>
      </c>
      <c r="F662" s="54" t="s">
        <v>1127</v>
      </c>
      <c r="G662" s="57" t="s">
        <v>183</v>
      </c>
      <c r="H662" s="58" t="str">
        <f>_xlfn.IFNA(INDEX(ActiveSchools!$C$2:$F$326,MATCH(G662,ActiveSchools!$F$2:$F$326,0),1),"Total")</f>
        <v>0729</v>
      </c>
      <c r="I662" s="53">
        <v>1</v>
      </c>
      <c r="J662" s="59">
        <f>_xlfn.IFNA(INDEX(DetailByDistrict[],MATCH($H662,DetailByDistrict[Dist],0),MATCH(J$2,DetailByDistrict[#Headers],0)),0)</f>
        <v>167</v>
      </c>
      <c r="K662" s="54">
        <f t="shared" si="10"/>
        <v>5.9880239520958087E-3</v>
      </c>
      <c r="L662" s="59">
        <f>ROUND(INDEX(DetailByDistrict[],MATCH($H662,DetailByDistrict[Dist],0),MATCH(L$2,DetailByDistrict[#Headers],0))*K662,2)</f>
        <v>64.86</v>
      </c>
      <c r="M662" s="59">
        <f>ROUND(INDEX(DetailByDistrict[],MATCH($H662,DetailByDistrict[Dist],0),MATCH(M$2,DetailByDistrict[#Headers],0))*K662,2)</f>
        <v>71.28</v>
      </c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spans="1:26" ht="15.75" customHeight="1" x14ac:dyDescent="0.25">
      <c r="A663" s="53">
        <v>11</v>
      </c>
      <c r="B663" s="54" t="s">
        <v>1123</v>
      </c>
      <c r="C663" s="54" t="s">
        <v>770</v>
      </c>
      <c r="D663" s="57" t="s">
        <v>177</v>
      </c>
      <c r="E663" s="53">
        <v>8104</v>
      </c>
      <c r="F663" s="54" t="s">
        <v>1128</v>
      </c>
      <c r="G663" s="53" t="s">
        <v>194</v>
      </c>
      <c r="H663" s="58" t="str">
        <f>_xlfn.IFNA(INDEX(ActiveSchools!$C$2:$F$326,MATCH(G663,ActiveSchools!$F$2:$F$326,0),1),"Total")</f>
        <v>2466</v>
      </c>
      <c r="I663" s="53">
        <v>30</v>
      </c>
      <c r="J663" s="59">
        <f>_xlfn.IFNA(INDEX(DetailByDistrict[],MATCH($H663,DetailByDistrict[Dist],0),MATCH(J$2,DetailByDistrict[#Headers],0)),0)</f>
        <v>41</v>
      </c>
      <c r="K663" s="54">
        <f t="shared" si="10"/>
        <v>0.73170731707317072</v>
      </c>
      <c r="L663" s="59">
        <f>ROUND(INDEX(DetailByDistrict[],MATCH($H663,DetailByDistrict[Dist],0),MATCH(L$2,DetailByDistrict[#Headers],0))*K663,2)</f>
        <v>1945.61</v>
      </c>
      <c r="M663" s="59">
        <f>ROUND(INDEX(DetailByDistrict[],MATCH($H663,DetailByDistrict[Dist],0),MATCH(M$2,DetailByDistrict[#Headers],0))*K663,2)</f>
        <v>2138.0500000000002</v>
      </c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spans="1:26" ht="15.75" customHeight="1" x14ac:dyDescent="0.25">
      <c r="A664" s="53">
        <v>11</v>
      </c>
      <c r="B664" s="54" t="s">
        <v>1123</v>
      </c>
      <c r="C664" s="54" t="s">
        <v>770</v>
      </c>
      <c r="D664" s="57" t="s">
        <v>177</v>
      </c>
      <c r="E664" s="53">
        <v>8104</v>
      </c>
      <c r="F664" s="54" t="s">
        <v>1133</v>
      </c>
      <c r="G664" s="53" t="s">
        <v>209</v>
      </c>
      <c r="H664" s="58" t="str">
        <f>_xlfn.IFNA(INDEX(ActiveSchools!$C$2:$F$326,MATCH(G664,ActiveSchools!$F$2:$F$326,0),1),"Total")</f>
        <v>4878</v>
      </c>
      <c r="I664" s="53">
        <v>1</v>
      </c>
      <c r="J664" s="59">
        <f>_xlfn.IFNA(INDEX(DetailByDistrict[],MATCH($H664,DetailByDistrict[Dist],0),MATCH(J$2,DetailByDistrict[#Headers],0)),0)</f>
        <v>19</v>
      </c>
      <c r="K664" s="54">
        <f t="shared" si="10"/>
        <v>5.2631578947368418E-2</v>
      </c>
      <c r="L664" s="59">
        <f>ROUND(INDEX(DetailByDistrict[],MATCH($H664,DetailByDistrict[Dist],0),MATCH(L$2,DetailByDistrict[#Headers],0))*K664,2)</f>
        <v>64.84</v>
      </c>
      <c r="M664" s="59">
        <f>ROUND(INDEX(DetailByDistrict[],MATCH($H664,DetailByDistrict[Dist],0),MATCH(M$2,DetailByDistrict[#Headers],0))*K664,2)</f>
        <v>71.260000000000005</v>
      </c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spans="1:26" ht="15.75" customHeight="1" x14ac:dyDescent="0.25">
      <c r="A665" s="53">
        <v>11</v>
      </c>
      <c r="B665" s="54" t="s">
        <v>1123</v>
      </c>
      <c r="C665" s="54" t="s">
        <v>770</v>
      </c>
      <c r="D665" s="57" t="s">
        <v>177</v>
      </c>
      <c r="E665" s="53">
        <v>8104</v>
      </c>
      <c r="F665" s="54" t="s">
        <v>1131</v>
      </c>
      <c r="G665" s="53" t="s">
        <v>216</v>
      </c>
      <c r="H665" s="58" t="str">
        <f>_xlfn.IFNA(INDEX(ActiveSchools!$C$2:$F$326,MATCH(G665,ActiveSchools!$F$2:$F$326,0),1),"Total")</f>
        <v>5643</v>
      </c>
      <c r="I665" s="53">
        <v>2</v>
      </c>
      <c r="J665" s="59">
        <f>_xlfn.IFNA(INDEX(DetailByDistrict[],MATCH($H665,DetailByDistrict[Dist],0),MATCH(J$2,DetailByDistrict[#Headers],0)),0)</f>
        <v>8</v>
      </c>
      <c r="K665" s="54">
        <f t="shared" si="10"/>
        <v>0.25</v>
      </c>
      <c r="L665" s="59">
        <f>ROUND(INDEX(DetailByDistrict[],MATCH($H665,DetailByDistrict[Dist],0),MATCH(L$2,DetailByDistrict[#Headers],0))*K665,2)</f>
        <v>129.75</v>
      </c>
      <c r="M665" s="59">
        <f>ROUND(INDEX(DetailByDistrict[],MATCH($H665,DetailByDistrict[Dist],0),MATCH(M$2,DetailByDistrict[#Headers],0))*K665,2)</f>
        <v>142.5</v>
      </c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spans="1:26" ht="15.75" customHeight="1" x14ac:dyDescent="0.25">
      <c r="A666" s="53">
        <v>11</v>
      </c>
      <c r="B666" s="54" t="s">
        <v>1123</v>
      </c>
      <c r="C666" s="54" t="s">
        <v>770</v>
      </c>
      <c r="D666" s="57" t="s">
        <v>177</v>
      </c>
      <c r="E666" s="53">
        <v>8104</v>
      </c>
      <c r="F666" s="54" t="s">
        <v>1132</v>
      </c>
      <c r="G666" s="53" t="s">
        <v>221</v>
      </c>
      <c r="H666" s="58" t="str">
        <f>_xlfn.IFNA(INDEX(ActiveSchools!$C$2:$F$326,MATCH(G666,ActiveSchools!$F$2:$F$326,0),1),"Total")</f>
        <v>6561</v>
      </c>
      <c r="I666" s="53">
        <v>3</v>
      </c>
      <c r="J666" s="59">
        <f>_xlfn.IFNA(INDEX(DetailByDistrict[],MATCH($H666,DetailByDistrict[Dist],0),MATCH(J$2,DetailByDistrict[#Headers],0)),0)</f>
        <v>9</v>
      </c>
      <c r="K666" s="54">
        <f t="shared" si="10"/>
        <v>0.33333333333333331</v>
      </c>
      <c r="L666" s="59">
        <f>ROUND(INDEX(DetailByDistrict[],MATCH($H666,DetailByDistrict[Dist],0),MATCH(L$2,DetailByDistrict[#Headers],0))*K666,2)</f>
        <v>194.67</v>
      </c>
      <c r="M666" s="59">
        <f>ROUND(INDEX(DetailByDistrict[],MATCH($H666,DetailByDistrict[Dist],0),MATCH(M$2,DetailByDistrict[#Headers],0))*K666,2)</f>
        <v>214</v>
      </c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spans="1:26" ht="15.75" customHeight="1" x14ac:dyDescent="0.25">
      <c r="A667" s="53">
        <v>11</v>
      </c>
      <c r="B667" s="54" t="s">
        <v>1123</v>
      </c>
      <c r="C667" s="54" t="s">
        <v>772</v>
      </c>
      <c r="D667" s="57" t="s">
        <v>178</v>
      </c>
      <c r="E667" s="53">
        <v>8101</v>
      </c>
      <c r="F667" s="54" t="s">
        <v>1125</v>
      </c>
      <c r="G667" s="57" t="s">
        <v>178</v>
      </c>
      <c r="H667" s="58" t="str">
        <f>_xlfn.IFNA(INDEX(ActiveSchools!$C$2:$F$326,MATCH(G667,ActiveSchools!$F$2:$F$326,0),1),"Total")</f>
        <v>0261</v>
      </c>
      <c r="I667" s="53">
        <v>322</v>
      </c>
      <c r="J667" s="59">
        <f>_xlfn.IFNA(INDEX(DetailByDistrict[],MATCH($H667,DetailByDistrict[Dist],0),MATCH(J$2,DetailByDistrict[#Headers],0)),0)</f>
        <v>1188</v>
      </c>
      <c r="K667" s="54">
        <f t="shared" si="10"/>
        <v>0.27104377104377103</v>
      </c>
      <c r="L667" s="59">
        <f>ROUND(INDEX(DetailByDistrict[],MATCH($H667,DetailByDistrict[Dist],0),MATCH(L$2,DetailByDistrict[#Headers],0))*K667,2)</f>
        <v>20885.009999999998</v>
      </c>
      <c r="M667" s="59">
        <f>ROUND(INDEX(DetailByDistrict[],MATCH($H667,DetailByDistrict[Dist],0),MATCH(M$2,DetailByDistrict[#Headers],0))*K667,2)</f>
        <v>22952.26</v>
      </c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spans="1:26" ht="15.75" customHeight="1" x14ac:dyDescent="0.25">
      <c r="A668" s="53">
        <v>11</v>
      </c>
      <c r="B668" s="54" t="s">
        <v>1123</v>
      </c>
      <c r="C668" s="54" t="s">
        <v>772</v>
      </c>
      <c r="D668" s="57" t="s">
        <v>178</v>
      </c>
      <c r="E668" s="53">
        <v>8101</v>
      </c>
      <c r="F668" s="54" t="s">
        <v>1126</v>
      </c>
      <c r="G668" s="57" t="s">
        <v>180</v>
      </c>
      <c r="H668" s="58" t="str">
        <f>_xlfn.IFNA(INDEX(ActiveSchools!$C$2:$F$326,MATCH(G668,ActiveSchools!$F$2:$F$326,0),1),"Total")</f>
        <v>0472</v>
      </c>
      <c r="I668" s="53">
        <v>2</v>
      </c>
      <c r="J668" s="59">
        <f>_xlfn.IFNA(INDEX(DetailByDistrict[],MATCH($H668,DetailByDistrict[Dist],0),MATCH(J$2,DetailByDistrict[#Headers],0)),0)</f>
        <v>41</v>
      </c>
      <c r="K668" s="54">
        <f t="shared" si="10"/>
        <v>4.878048780487805E-2</v>
      </c>
      <c r="L668" s="59">
        <f>ROUND(INDEX(DetailByDistrict[],MATCH($H668,DetailByDistrict[Dist],0),MATCH(L$2,DetailByDistrict[#Headers],0))*K668,2)</f>
        <v>129.71</v>
      </c>
      <c r="M668" s="59">
        <f>ROUND(INDEX(DetailByDistrict[],MATCH($H668,DetailByDistrict[Dist],0),MATCH(M$2,DetailByDistrict[#Headers],0))*K668,2)</f>
        <v>142.54</v>
      </c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spans="1:26" ht="15.75" customHeight="1" x14ac:dyDescent="0.25">
      <c r="A669" s="53">
        <v>11</v>
      </c>
      <c r="B669" s="54" t="s">
        <v>1123</v>
      </c>
      <c r="C669" s="54" t="s">
        <v>772</v>
      </c>
      <c r="D669" s="57" t="s">
        <v>178</v>
      </c>
      <c r="E669" s="53">
        <v>8101</v>
      </c>
      <c r="F669" s="54" t="s">
        <v>1134</v>
      </c>
      <c r="G669" s="53" t="s">
        <v>191</v>
      </c>
      <c r="H669" s="58" t="str">
        <f>_xlfn.IFNA(INDEX(ActiveSchools!$C$2:$F$326,MATCH(G669,ActiveSchools!$F$2:$F$326,0),1),"Total")</f>
        <v>1737</v>
      </c>
      <c r="I669" s="53">
        <v>6</v>
      </c>
      <c r="J669" s="59">
        <f>_xlfn.IFNA(INDEX(DetailByDistrict[],MATCH($H669,DetailByDistrict[Dist],0),MATCH(J$2,DetailByDistrict[#Headers],0)),0)</f>
        <v>2968</v>
      </c>
      <c r="K669" s="54">
        <f t="shared" si="10"/>
        <v>2.0215633423180594E-3</v>
      </c>
      <c r="L669" s="59">
        <f>ROUND(INDEX(DetailByDistrict[],MATCH($H669,DetailByDistrict[Dist],0),MATCH(L$2,DetailByDistrict[#Headers],0))*K669,2)</f>
        <v>389.16</v>
      </c>
      <c r="M669" s="59">
        <f>ROUND(INDEX(DetailByDistrict[],MATCH($H669,DetailByDistrict[Dist],0),MATCH(M$2,DetailByDistrict[#Headers],0))*K669,2)</f>
        <v>427.68</v>
      </c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spans="1:26" ht="15.75" customHeight="1" x14ac:dyDescent="0.25">
      <c r="A670" s="53">
        <v>11</v>
      </c>
      <c r="B670" s="54" t="s">
        <v>1123</v>
      </c>
      <c r="C670" s="54" t="s">
        <v>772</v>
      </c>
      <c r="D670" s="57" t="s">
        <v>178</v>
      </c>
      <c r="E670" s="53">
        <v>8101</v>
      </c>
      <c r="F670" s="54" t="s">
        <v>1135</v>
      </c>
      <c r="G670" s="53" t="s">
        <v>199</v>
      </c>
      <c r="H670" s="58" t="str">
        <f>_xlfn.IFNA(INDEX(ActiveSchools!$C$2:$F$326,MATCH(G670,ActiveSchools!$F$2:$F$326,0),1),"Total")</f>
        <v>3231</v>
      </c>
      <c r="I670" s="53">
        <v>16</v>
      </c>
      <c r="J670" s="59">
        <f>_xlfn.IFNA(INDEX(DetailByDistrict[],MATCH($H670,DetailByDistrict[Dist],0),MATCH(J$2,DetailByDistrict[#Headers],0)),0)</f>
        <v>509</v>
      </c>
      <c r="K670" s="54">
        <f t="shared" si="10"/>
        <v>3.1434184675834968E-2</v>
      </c>
      <c r="L670" s="59">
        <f>ROUND(INDEX(DetailByDistrict[],MATCH($H670,DetailByDistrict[Dist],0),MATCH(L$2,DetailByDistrict[#Headers],0))*K670,2)</f>
        <v>1037.77</v>
      </c>
      <c r="M670" s="59">
        <f>ROUND(INDEX(DetailByDistrict[],MATCH($H670,DetailByDistrict[Dist],0),MATCH(M$2,DetailByDistrict[#Headers],0))*K670,2)</f>
        <v>1140.5</v>
      </c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spans="1:26" ht="15.75" customHeight="1" x14ac:dyDescent="0.25">
      <c r="A671" s="53">
        <v>11</v>
      </c>
      <c r="B671" s="54" t="s">
        <v>1123</v>
      </c>
      <c r="C671" s="54" t="s">
        <v>772</v>
      </c>
      <c r="D671" s="57" t="s">
        <v>178</v>
      </c>
      <c r="E671" s="53">
        <v>8101</v>
      </c>
      <c r="F671" s="54" t="s">
        <v>1136</v>
      </c>
      <c r="G671" s="53" t="s">
        <v>207</v>
      </c>
      <c r="H671" s="58" t="str">
        <f>_xlfn.IFNA(INDEX(ActiveSchools!$C$2:$F$326,MATCH(G671,ActiveSchools!$F$2:$F$326,0),1),"Total")</f>
        <v>4779</v>
      </c>
      <c r="I671" s="53">
        <v>16</v>
      </c>
      <c r="J671" s="59">
        <f>_xlfn.IFNA(INDEX(DetailByDistrict[],MATCH($H671,DetailByDistrict[Dist],0),MATCH(J$2,DetailByDistrict[#Headers],0)),0)</f>
        <v>58</v>
      </c>
      <c r="K671" s="54">
        <f t="shared" si="10"/>
        <v>0.27586206896551724</v>
      </c>
      <c r="L671" s="59">
        <f>ROUND(INDEX(DetailByDistrict[],MATCH($H671,DetailByDistrict[Dist],0),MATCH(L$2,DetailByDistrict[#Headers],0))*K671,2)</f>
        <v>1037.79</v>
      </c>
      <c r="M671" s="59">
        <f>ROUND(INDEX(DetailByDistrict[],MATCH($H671,DetailByDistrict[Dist],0),MATCH(M$2,DetailByDistrict[#Headers],0))*K671,2)</f>
        <v>1140.4100000000001</v>
      </c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spans="1:26" ht="15.75" customHeight="1" x14ac:dyDescent="0.25">
      <c r="A672" s="53">
        <v>11</v>
      </c>
      <c r="B672" s="54" t="s">
        <v>1123</v>
      </c>
      <c r="C672" s="54" t="s">
        <v>772</v>
      </c>
      <c r="D672" s="57" t="s">
        <v>178</v>
      </c>
      <c r="E672" s="53">
        <v>8101</v>
      </c>
      <c r="F672" s="54" t="s">
        <v>1137</v>
      </c>
      <c r="G672" s="53" t="s">
        <v>217</v>
      </c>
      <c r="H672" s="58" t="str">
        <f>_xlfn.IFNA(INDEX(ActiveSchools!$C$2:$F$326,MATCH(G672,ActiveSchools!$F$2:$F$326,0),1),"Total")</f>
        <v>5805</v>
      </c>
      <c r="I672" s="53">
        <v>7</v>
      </c>
      <c r="J672" s="59">
        <f>_xlfn.IFNA(INDEX(DetailByDistrict[],MATCH($H672,DetailByDistrict[Dist],0),MATCH(J$2,DetailByDistrict[#Headers],0)),0)</f>
        <v>75</v>
      </c>
      <c r="K672" s="54">
        <f t="shared" si="10"/>
        <v>9.3333333333333338E-2</v>
      </c>
      <c r="L672" s="59">
        <f>ROUND(INDEX(DetailByDistrict[],MATCH($H672,DetailByDistrict[Dist],0),MATCH(L$2,DetailByDistrict[#Headers],0))*K672,2)</f>
        <v>454.07</v>
      </c>
      <c r="M672" s="59">
        <f>ROUND(INDEX(DetailByDistrict[],MATCH($H672,DetailByDistrict[Dist],0),MATCH(M$2,DetailByDistrict[#Headers],0))*K672,2)</f>
        <v>498.96</v>
      </c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spans="1:26" ht="15.75" customHeight="1" x14ac:dyDescent="0.25">
      <c r="A673" s="53">
        <v>11</v>
      </c>
      <c r="B673" s="54" t="s">
        <v>1123</v>
      </c>
      <c r="C673" s="54" t="s">
        <v>772</v>
      </c>
      <c r="D673" s="57" t="s">
        <v>178</v>
      </c>
      <c r="E673" s="53">
        <v>8101</v>
      </c>
      <c r="F673" s="54" t="s">
        <v>1138</v>
      </c>
      <c r="G673" s="53" t="s">
        <v>224</v>
      </c>
      <c r="H673" s="58" t="str">
        <f>_xlfn.IFNA(INDEX(ActiveSchools!$C$2:$F$326,MATCH(G673,ActiveSchools!$F$2:$F$326,0),1),"Total")</f>
        <v>6822</v>
      </c>
      <c r="I673" s="53">
        <v>5</v>
      </c>
      <c r="J673" s="59">
        <f>_xlfn.IFNA(INDEX(DetailByDistrict[],MATCH($H673,DetailByDistrict[Dist],0),MATCH(J$2,DetailByDistrict[#Headers],0)),0)</f>
        <v>1399</v>
      </c>
      <c r="K673" s="54">
        <f t="shared" si="10"/>
        <v>3.5739814152966403E-3</v>
      </c>
      <c r="L673" s="59">
        <f>ROUND(INDEX(DetailByDistrict[],MATCH($H673,DetailByDistrict[Dist],0),MATCH(L$2,DetailByDistrict[#Headers],0))*K673,2)</f>
        <v>324.3</v>
      </c>
      <c r="M673" s="59">
        <f>ROUND(INDEX(DetailByDistrict[],MATCH($H673,DetailByDistrict[Dist],0),MATCH(M$2,DetailByDistrict[#Headers],0))*K673,2)</f>
        <v>356.4</v>
      </c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spans="1:26" ht="15.75" customHeight="1" x14ac:dyDescent="0.25">
      <c r="A674" s="53">
        <v>11</v>
      </c>
      <c r="B674" s="54" t="s">
        <v>1123</v>
      </c>
      <c r="C674" s="54" t="s">
        <v>772</v>
      </c>
      <c r="D674" s="57" t="s">
        <v>178</v>
      </c>
      <c r="E674" s="53">
        <v>8101</v>
      </c>
      <c r="F674" s="54" t="s">
        <v>1139</v>
      </c>
      <c r="G674" s="53" t="s">
        <v>226</v>
      </c>
      <c r="H674" s="58" t="str">
        <f>_xlfn.IFNA(INDEX(ActiveSchools!$C$2:$F$326,MATCH(G674,ActiveSchools!$F$2:$F$326,0),1),"Total")</f>
        <v>6957</v>
      </c>
      <c r="I674" s="53">
        <v>1</v>
      </c>
      <c r="J674" s="59">
        <f>_xlfn.IFNA(INDEX(DetailByDistrict[],MATCH($H674,DetailByDistrict[Dist],0),MATCH(J$2,DetailByDistrict[#Headers],0)),0)</f>
        <v>1305</v>
      </c>
      <c r="K674" s="54">
        <f t="shared" si="10"/>
        <v>7.6628352490421458E-4</v>
      </c>
      <c r="L674" s="59">
        <f>ROUND(INDEX(DetailByDistrict[],MATCH($H674,DetailByDistrict[Dist],0),MATCH(L$2,DetailByDistrict[#Headers],0))*K674,2)</f>
        <v>64.86</v>
      </c>
      <c r="M674" s="59">
        <f>ROUND(INDEX(DetailByDistrict[],MATCH($H674,DetailByDistrict[Dist],0),MATCH(M$2,DetailByDistrict[#Headers],0))*K674,2)</f>
        <v>71.28</v>
      </c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spans="1:26" ht="15.75" customHeight="1" x14ac:dyDescent="0.25">
      <c r="A675" s="53">
        <v>11</v>
      </c>
      <c r="B675" s="54" t="s">
        <v>1123</v>
      </c>
      <c r="C675" s="54" t="s">
        <v>773</v>
      </c>
      <c r="D675" s="57" t="s">
        <v>178</v>
      </c>
      <c r="E675" s="53">
        <v>8503</v>
      </c>
      <c r="F675" s="54" t="s">
        <v>1124</v>
      </c>
      <c r="G675" s="57" t="s">
        <v>177</v>
      </c>
      <c r="H675" s="58" t="str">
        <f>_xlfn.IFNA(INDEX(ActiveSchools!$C$2:$F$326,MATCH(G675,ActiveSchools!$F$2:$F$326,0),1),"Total")</f>
        <v>0225</v>
      </c>
      <c r="I675" s="53">
        <v>4</v>
      </c>
      <c r="J675" s="59">
        <f>_xlfn.IFNA(INDEX(DetailByDistrict[],MATCH($H675,DetailByDistrict[Dist],0),MATCH(J$2,DetailByDistrict[#Headers],0)),0)</f>
        <v>151</v>
      </c>
      <c r="K675" s="54">
        <f t="shared" si="10"/>
        <v>2.6490066225165563E-2</v>
      </c>
      <c r="L675" s="59">
        <f>ROUND(INDEX(DetailByDistrict[],MATCH($H675,DetailByDistrict[Dist],0),MATCH(L$2,DetailByDistrict[#Headers],0))*K675,2)</f>
        <v>259.44</v>
      </c>
      <c r="M675" s="59">
        <f>ROUND(INDEX(DetailByDistrict[],MATCH($H675,DetailByDistrict[Dist],0),MATCH(M$2,DetailByDistrict[#Headers],0))*K675,2)</f>
        <v>285.11</v>
      </c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spans="1:26" ht="15.75" customHeight="1" x14ac:dyDescent="0.25">
      <c r="A676" s="53">
        <v>11</v>
      </c>
      <c r="B676" s="54" t="s">
        <v>1123</v>
      </c>
      <c r="C676" s="54" t="s">
        <v>773</v>
      </c>
      <c r="D676" s="57" t="s">
        <v>178</v>
      </c>
      <c r="E676" s="53">
        <v>8503</v>
      </c>
      <c r="F676" s="54" t="s">
        <v>1125</v>
      </c>
      <c r="G676" s="57" t="s">
        <v>178</v>
      </c>
      <c r="H676" s="58" t="str">
        <f>_xlfn.IFNA(INDEX(ActiveSchools!$C$2:$F$326,MATCH(G676,ActiveSchools!$F$2:$F$326,0),1),"Total")</f>
        <v>0261</v>
      </c>
      <c r="I676" s="53">
        <v>178</v>
      </c>
      <c r="J676" s="59">
        <f>_xlfn.IFNA(INDEX(DetailByDistrict[],MATCH($H676,DetailByDistrict[Dist],0),MATCH(J$2,DetailByDistrict[#Headers],0)),0)</f>
        <v>1188</v>
      </c>
      <c r="K676" s="54">
        <f t="shared" si="10"/>
        <v>0.14983164983164984</v>
      </c>
      <c r="L676" s="59">
        <f>ROUND(INDEX(DetailByDistrict[],MATCH($H676,DetailByDistrict[Dist],0),MATCH(L$2,DetailByDistrict[#Headers],0))*K676,2)</f>
        <v>11545.13</v>
      </c>
      <c r="M676" s="59">
        <f>ROUND(INDEX(DetailByDistrict[],MATCH($H676,DetailByDistrict[Dist],0),MATCH(M$2,DetailByDistrict[#Headers],0))*K676,2)</f>
        <v>12687.89</v>
      </c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spans="1:26" ht="15.75" customHeight="1" x14ac:dyDescent="0.25">
      <c r="A677" s="53">
        <v>11</v>
      </c>
      <c r="B677" s="54" t="s">
        <v>1123</v>
      </c>
      <c r="C677" s="54" t="s">
        <v>773</v>
      </c>
      <c r="D677" s="57" t="s">
        <v>178</v>
      </c>
      <c r="E677" s="53">
        <v>8503</v>
      </c>
      <c r="F677" s="54" t="s">
        <v>1126</v>
      </c>
      <c r="G677" s="57" t="s">
        <v>180</v>
      </c>
      <c r="H677" s="58" t="str">
        <f>_xlfn.IFNA(INDEX(ActiveSchools!$C$2:$F$326,MATCH(G677,ActiveSchools!$F$2:$F$326,0),1),"Total")</f>
        <v>0472</v>
      </c>
      <c r="I677" s="53">
        <v>7</v>
      </c>
      <c r="J677" s="59">
        <f>_xlfn.IFNA(INDEX(DetailByDistrict[],MATCH($H677,DetailByDistrict[Dist],0),MATCH(J$2,DetailByDistrict[#Headers],0)),0)</f>
        <v>41</v>
      </c>
      <c r="K677" s="54">
        <f t="shared" si="10"/>
        <v>0.17073170731707318</v>
      </c>
      <c r="L677" s="59">
        <f>ROUND(INDEX(DetailByDistrict[],MATCH($H677,DetailByDistrict[Dist],0),MATCH(L$2,DetailByDistrict[#Headers],0))*K677,2)</f>
        <v>453.98</v>
      </c>
      <c r="M677" s="59">
        <f>ROUND(INDEX(DetailByDistrict[],MATCH($H677,DetailByDistrict[Dist],0),MATCH(M$2,DetailByDistrict[#Headers],0))*K677,2)</f>
        <v>498.88</v>
      </c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spans="1:26" ht="15.75" customHeight="1" x14ac:dyDescent="0.25">
      <c r="A678" s="53">
        <v>11</v>
      </c>
      <c r="B678" s="54" t="s">
        <v>1123</v>
      </c>
      <c r="C678" s="54" t="s">
        <v>773</v>
      </c>
      <c r="D678" s="57" t="s">
        <v>178</v>
      </c>
      <c r="E678" s="53">
        <v>8503</v>
      </c>
      <c r="F678" s="54" t="s">
        <v>1140</v>
      </c>
      <c r="G678" s="57" t="s">
        <v>182</v>
      </c>
      <c r="H678" s="58" t="str">
        <f>_xlfn.IFNA(INDEX(ActiveSchools!$C$2:$F$326,MATCH(G678,ActiveSchools!$F$2:$F$326,0),1),"Total")</f>
        <v>0720</v>
      </c>
      <c r="I678" s="53">
        <v>5</v>
      </c>
      <c r="J678" s="59">
        <f>_xlfn.IFNA(INDEX(DetailByDistrict[],MATCH($H678,DetailByDistrict[Dist],0),MATCH(J$2,DetailByDistrict[#Headers],0)),0)</f>
        <v>80</v>
      </c>
      <c r="K678" s="54">
        <f t="shared" si="10"/>
        <v>6.25E-2</v>
      </c>
      <c r="L678" s="59">
        <f>ROUND(INDEX(DetailByDistrict[],MATCH($H678,DetailByDistrict[Dist],0),MATCH(L$2,DetailByDistrict[#Headers],0))*K678,2)</f>
        <v>324.31</v>
      </c>
      <c r="M678" s="59">
        <f>ROUND(INDEX(DetailByDistrict[],MATCH($H678,DetailByDistrict[Dist],0),MATCH(M$2,DetailByDistrict[#Headers],0))*K678,2)</f>
        <v>356.38</v>
      </c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spans="1:26" ht="15.75" customHeight="1" x14ac:dyDescent="0.25">
      <c r="A679" s="53">
        <v>11</v>
      </c>
      <c r="B679" s="54" t="s">
        <v>1123</v>
      </c>
      <c r="C679" s="54" t="s">
        <v>773</v>
      </c>
      <c r="D679" s="57" t="s">
        <v>178</v>
      </c>
      <c r="E679" s="53">
        <v>8503</v>
      </c>
      <c r="F679" s="54" t="s">
        <v>1134</v>
      </c>
      <c r="G679" s="53" t="s">
        <v>191</v>
      </c>
      <c r="H679" s="58" t="str">
        <f>_xlfn.IFNA(INDEX(ActiveSchools!$C$2:$F$326,MATCH(G679,ActiveSchools!$F$2:$F$326,0),1),"Total")</f>
        <v>1737</v>
      </c>
      <c r="I679" s="53">
        <v>4</v>
      </c>
      <c r="J679" s="59">
        <f>_xlfn.IFNA(INDEX(DetailByDistrict[],MATCH($H679,DetailByDistrict[Dist],0),MATCH(J$2,DetailByDistrict[#Headers],0)),0)</f>
        <v>2968</v>
      </c>
      <c r="K679" s="54">
        <f t="shared" si="10"/>
        <v>1.3477088948787063E-3</v>
      </c>
      <c r="L679" s="59">
        <f>ROUND(INDEX(DetailByDistrict[],MATCH($H679,DetailByDistrict[Dist],0),MATCH(L$2,DetailByDistrict[#Headers],0))*K679,2)</f>
        <v>259.44</v>
      </c>
      <c r="M679" s="59">
        <f>ROUND(INDEX(DetailByDistrict[],MATCH($H679,DetailByDistrict[Dist],0),MATCH(M$2,DetailByDistrict[#Headers],0))*K679,2)</f>
        <v>285.12</v>
      </c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spans="1:26" ht="15.75" customHeight="1" x14ac:dyDescent="0.25">
      <c r="A680" s="53">
        <v>11</v>
      </c>
      <c r="B680" s="54" t="s">
        <v>1123</v>
      </c>
      <c r="C680" s="54" t="s">
        <v>773</v>
      </c>
      <c r="D680" s="57" t="s">
        <v>178</v>
      </c>
      <c r="E680" s="53">
        <v>8503</v>
      </c>
      <c r="F680" s="54" t="s">
        <v>1135</v>
      </c>
      <c r="G680" s="53" t="s">
        <v>199</v>
      </c>
      <c r="H680" s="58" t="str">
        <f>_xlfn.IFNA(INDEX(ActiveSchools!$C$2:$F$326,MATCH(G680,ActiveSchools!$F$2:$F$326,0),1),"Total")</f>
        <v>3231</v>
      </c>
      <c r="I680" s="53">
        <v>5</v>
      </c>
      <c r="J680" s="59">
        <f>_xlfn.IFNA(INDEX(DetailByDistrict[],MATCH($H680,DetailByDistrict[Dist],0),MATCH(J$2,DetailByDistrict[#Headers],0)),0)</f>
        <v>509</v>
      </c>
      <c r="K680" s="54">
        <f t="shared" si="10"/>
        <v>9.823182711198428E-3</v>
      </c>
      <c r="L680" s="59">
        <f>ROUND(INDEX(DetailByDistrict[],MATCH($H680,DetailByDistrict[Dist],0),MATCH(L$2,DetailByDistrict[#Headers],0))*K680,2)</f>
        <v>324.3</v>
      </c>
      <c r="M680" s="59">
        <f>ROUND(INDEX(DetailByDistrict[],MATCH($H680,DetailByDistrict[Dist],0),MATCH(M$2,DetailByDistrict[#Headers],0))*K680,2)</f>
        <v>356.4</v>
      </c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spans="1:26" ht="15.75" customHeight="1" x14ac:dyDescent="0.25">
      <c r="A681" s="53">
        <v>11</v>
      </c>
      <c r="B681" s="54" t="s">
        <v>1123</v>
      </c>
      <c r="C681" s="54" t="s">
        <v>773</v>
      </c>
      <c r="D681" s="57" t="s">
        <v>178</v>
      </c>
      <c r="E681" s="53">
        <v>8503</v>
      </c>
      <c r="F681" s="54" t="s">
        <v>1141</v>
      </c>
      <c r="G681" s="53" t="s">
        <v>206</v>
      </c>
      <c r="H681" s="58" t="str">
        <f>_xlfn.IFNA(INDEX(ActiveSchools!$C$2:$F$326,MATCH(G681,ActiveSchools!$F$2:$F$326,0),1),"Total")</f>
        <v>4725</v>
      </c>
      <c r="I681" s="53">
        <v>1</v>
      </c>
      <c r="J681" s="59">
        <f>_xlfn.IFNA(INDEX(DetailByDistrict[],MATCH($H681,DetailByDistrict[Dist],0),MATCH(J$2,DetailByDistrict[#Headers],0)),0)</f>
        <v>115</v>
      </c>
      <c r="K681" s="54">
        <f t="shared" si="10"/>
        <v>8.6956521739130436E-3</v>
      </c>
      <c r="L681" s="59">
        <f>ROUND(INDEX(DetailByDistrict[],MATCH($H681,DetailByDistrict[Dist],0),MATCH(L$2,DetailByDistrict[#Headers],0))*K681,2)</f>
        <v>64.86</v>
      </c>
      <c r="M681" s="59">
        <f>ROUND(INDEX(DetailByDistrict[],MATCH($H681,DetailByDistrict[Dist],0),MATCH(M$2,DetailByDistrict[#Headers],0))*K681,2)</f>
        <v>71.28</v>
      </c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spans="1:26" ht="15.75" customHeight="1" x14ac:dyDescent="0.25">
      <c r="A682" s="53">
        <v>11</v>
      </c>
      <c r="B682" s="54" t="s">
        <v>1123</v>
      </c>
      <c r="C682" s="54" t="s">
        <v>773</v>
      </c>
      <c r="D682" s="57" t="s">
        <v>178</v>
      </c>
      <c r="E682" s="53">
        <v>8503</v>
      </c>
      <c r="F682" s="54" t="s">
        <v>1136</v>
      </c>
      <c r="G682" s="53" t="s">
        <v>207</v>
      </c>
      <c r="H682" s="58" t="str">
        <f>_xlfn.IFNA(INDEX(ActiveSchools!$C$2:$F$326,MATCH(G682,ActiveSchools!$F$2:$F$326,0),1),"Total")</f>
        <v>4779</v>
      </c>
      <c r="I682" s="53">
        <v>10</v>
      </c>
      <c r="J682" s="59">
        <f>_xlfn.IFNA(INDEX(DetailByDistrict[],MATCH($H682,DetailByDistrict[Dist],0),MATCH(J$2,DetailByDistrict[#Headers],0)),0)</f>
        <v>58</v>
      </c>
      <c r="K682" s="54">
        <f t="shared" si="10"/>
        <v>0.17241379310344829</v>
      </c>
      <c r="L682" s="59">
        <f>ROUND(INDEX(DetailByDistrict[],MATCH($H682,DetailByDistrict[Dist],0),MATCH(L$2,DetailByDistrict[#Headers],0))*K682,2)</f>
        <v>648.62</v>
      </c>
      <c r="M682" s="59">
        <f>ROUND(INDEX(DetailByDistrict[],MATCH($H682,DetailByDistrict[Dist],0),MATCH(M$2,DetailByDistrict[#Headers],0))*K682,2)</f>
        <v>712.76</v>
      </c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spans="1:26" ht="15.75" customHeight="1" x14ac:dyDescent="0.25">
      <c r="A683" s="53">
        <v>11</v>
      </c>
      <c r="B683" s="54" t="s">
        <v>1123</v>
      </c>
      <c r="C683" s="54" t="s">
        <v>773</v>
      </c>
      <c r="D683" s="57" t="s">
        <v>178</v>
      </c>
      <c r="E683" s="53">
        <v>8503</v>
      </c>
      <c r="F683" s="54" t="s">
        <v>1137</v>
      </c>
      <c r="G683" s="53" t="s">
        <v>217</v>
      </c>
      <c r="H683" s="58" t="str">
        <f>_xlfn.IFNA(INDEX(ActiveSchools!$C$2:$F$326,MATCH(G683,ActiveSchools!$F$2:$F$326,0),1),"Total")</f>
        <v>5805</v>
      </c>
      <c r="I683" s="53">
        <v>5</v>
      </c>
      <c r="J683" s="59">
        <f>_xlfn.IFNA(INDEX(DetailByDistrict[],MATCH($H683,DetailByDistrict[Dist],0),MATCH(J$2,DetailByDistrict[#Headers],0)),0)</f>
        <v>75</v>
      </c>
      <c r="K683" s="54">
        <f t="shared" si="10"/>
        <v>6.6666666666666666E-2</v>
      </c>
      <c r="L683" s="59">
        <f>ROUND(INDEX(DetailByDistrict[],MATCH($H683,DetailByDistrict[Dist],0),MATCH(L$2,DetailByDistrict[#Headers],0))*K683,2)</f>
        <v>324.33</v>
      </c>
      <c r="M683" s="59">
        <f>ROUND(INDEX(DetailByDistrict[],MATCH($H683,DetailByDistrict[Dist],0),MATCH(M$2,DetailByDistrict[#Headers],0))*K683,2)</f>
        <v>356.4</v>
      </c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spans="1:26" x14ac:dyDescent="0.25">
      <c r="A684" s="53">
        <v>11</v>
      </c>
      <c r="B684" s="54" t="s">
        <v>1123</v>
      </c>
      <c r="C684" s="54" t="s">
        <v>773</v>
      </c>
      <c r="D684" s="57" t="s">
        <v>178</v>
      </c>
      <c r="E684" s="53">
        <v>8503</v>
      </c>
      <c r="F684" s="54" t="s">
        <v>1142</v>
      </c>
      <c r="G684" s="53" t="s">
        <v>218</v>
      </c>
      <c r="H684" s="58" t="str">
        <f>_xlfn.IFNA(INDEX(ActiveSchools!$C$2:$F$326,MATCH(G684,ActiveSchools!$F$2:$F$326,0),1),"Total")</f>
        <v>6101</v>
      </c>
      <c r="I684" s="53">
        <v>2</v>
      </c>
      <c r="J684" s="59">
        <f>_xlfn.IFNA(INDEX(DetailByDistrict[],MATCH($H684,DetailByDistrict[Dist],0),MATCH(J$2,DetailByDistrict[#Headers],0)),0)</f>
        <v>431</v>
      </c>
      <c r="K684" s="54">
        <f t="shared" si="10"/>
        <v>4.6403712296983757E-3</v>
      </c>
      <c r="L684" s="59">
        <f>ROUND(INDEX(DetailByDistrict[],MATCH($H684,DetailByDistrict[Dist],0),MATCH(L$2,DetailByDistrict[#Headers],0))*K684,2)</f>
        <v>129.72</v>
      </c>
      <c r="M684" s="59">
        <f>ROUND(INDEX(DetailByDistrict[],MATCH($H684,DetailByDistrict[Dist],0),MATCH(M$2,DetailByDistrict[#Headers],0))*K684,2)</f>
        <v>142.56</v>
      </c>
    </row>
    <row r="685" spans="1:26" ht="15.75" customHeight="1" x14ac:dyDescent="0.25">
      <c r="A685" s="53">
        <v>11</v>
      </c>
      <c r="B685" s="54" t="s">
        <v>1123</v>
      </c>
      <c r="C685" s="54" t="s">
        <v>773</v>
      </c>
      <c r="D685" s="57" t="s">
        <v>178</v>
      </c>
      <c r="E685" s="53">
        <v>8503</v>
      </c>
      <c r="F685" s="54" t="s">
        <v>1138</v>
      </c>
      <c r="G685" s="53" t="s">
        <v>224</v>
      </c>
      <c r="H685" s="58" t="str">
        <f>_xlfn.IFNA(INDEX(ActiveSchools!$C$2:$F$326,MATCH(G685,ActiveSchools!$F$2:$F$326,0),1),"Total")</f>
        <v>6822</v>
      </c>
      <c r="I685" s="53">
        <v>2</v>
      </c>
      <c r="J685" s="59">
        <f>_xlfn.IFNA(INDEX(DetailByDistrict[],MATCH($H685,DetailByDistrict[Dist],0),MATCH(J$2,DetailByDistrict[#Headers],0)),0)</f>
        <v>1399</v>
      </c>
      <c r="K685" s="54">
        <f t="shared" si="10"/>
        <v>1.4295925661186562E-3</v>
      </c>
      <c r="L685" s="59">
        <f>ROUND(INDEX(DetailByDistrict[],MATCH($H685,DetailByDistrict[Dist],0),MATCH(L$2,DetailByDistrict[#Headers],0))*K685,2)</f>
        <v>129.72</v>
      </c>
      <c r="M685" s="59">
        <f>ROUND(INDEX(DetailByDistrict[],MATCH($H685,DetailByDistrict[Dist],0),MATCH(M$2,DetailByDistrict[#Headers],0))*K685,2)</f>
        <v>142.56</v>
      </c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spans="1:26" x14ac:dyDescent="0.25">
      <c r="A686" s="53">
        <v>11</v>
      </c>
      <c r="B686" s="54" t="s">
        <v>1123</v>
      </c>
      <c r="C686" s="54" t="s">
        <v>773</v>
      </c>
      <c r="D686" s="57" t="s">
        <v>178</v>
      </c>
      <c r="E686" s="53">
        <v>8503</v>
      </c>
      <c r="F686" s="54" t="s">
        <v>1139</v>
      </c>
      <c r="G686" s="53" t="s">
        <v>226</v>
      </c>
      <c r="H686" s="58" t="str">
        <f>_xlfn.IFNA(INDEX(ActiveSchools!$C$2:$F$326,MATCH(G686,ActiveSchools!$F$2:$F$326,0),1),"Total")</f>
        <v>6957</v>
      </c>
      <c r="I686" s="53">
        <v>1</v>
      </c>
      <c r="J686" s="59">
        <f>_xlfn.IFNA(INDEX(DetailByDistrict[],MATCH($H686,DetailByDistrict[Dist],0),MATCH(J$2,DetailByDistrict[#Headers],0)),0)</f>
        <v>1305</v>
      </c>
      <c r="K686" s="54">
        <f t="shared" si="10"/>
        <v>7.6628352490421458E-4</v>
      </c>
      <c r="L686" s="59">
        <f>ROUND(INDEX(DetailByDistrict[],MATCH($H686,DetailByDistrict[Dist],0),MATCH(L$2,DetailByDistrict[#Headers],0))*K686,2)</f>
        <v>64.86</v>
      </c>
      <c r="M686" s="59">
        <f>ROUND(INDEX(DetailByDistrict[],MATCH($H686,DetailByDistrict[Dist],0),MATCH(M$2,DetailByDistrict[#Headers],0))*K686,2)</f>
        <v>71.28</v>
      </c>
    </row>
    <row r="687" spans="1:26" x14ac:dyDescent="0.25">
      <c r="A687" s="53">
        <v>11</v>
      </c>
      <c r="B687" s="54" t="s">
        <v>1123</v>
      </c>
      <c r="C687" s="54" t="s">
        <v>773</v>
      </c>
      <c r="D687" s="57" t="s">
        <v>178</v>
      </c>
      <c r="E687" s="53">
        <v>8503</v>
      </c>
      <c r="F687" s="54" t="s">
        <v>1143</v>
      </c>
      <c r="G687" s="53" t="s">
        <v>228</v>
      </c>
      <c r="H687" s="58" t="str">
        <f>_xlfn.IFNA(INDEX(ActiveSchools!$C$2:$F$326,MATCH(G687,ActiveSchools!$F$2:$F$326,0),1),"Total")</f>
        <v>7110</v>
      </c>
      <c r="I687" s="53">
        <v>1</v>
      </c>
      <c r="J687" s="59">
        <f>_xlfn.IFNA(INDEX(DetailByDistrict[],MATCH($H687,DetailByDistrict[Dist],0),MATCH(J$2,DetailByDistrict[#Headers],0)),0)</f>
        <v>28</v>
      </c>
      <c r="K687" s="54">
        <f t="shared" si="10"/>
        <v>3.5714285714285712E-2</v>
      </c>
      <c r="L687" s="59">
        <f>ROUND(INDEX(DetailByDistrict[],MATCH($H687,DetailByDistrict[Dist],0),MATCH(L$2,DetailByDistrict[#Headers],0))*K687,2)</f>
        <v>64.86</v>
      </c>
      <c r="M687" s="59">
        <f>ROUND(INDEX(DetailByDistrict[],MATCH($H687,DetailByDistrict[Dist],0),MATCH(M$2,DetailByDistrict[#Headers],0))*K687,2)</f>
        <v>71.290000000000006</v>
      </c>
    </row>
    <row r="688" spans="1:26" ht="15.75" customHeight="1" x14ac:dyDescent="0.25">
      <c r="A688" s="53">
        <v>11</v>
      </c>
      <c r="B688" s="54" t="s">
        <v>1123</v>
      </c>
      <c r="C688" s="54" t="s">
        <v>774</v>
      </c>
      <c r="D688" s="57" t="s">
        <v>178</v>
      </c>
      <c r="E688" s="53">
        <v>8504</v>
      </c>
      <c r="F688" s="54" t="s">
        <v>1125</v>
      </c>
      <c r="G688" s="57" t="s">
        <v>178</v>
      </c>
      <c r="H688" s="58" t="str">
        <f>_xlfn.IFNA(INDEX(ActiveSchools!$C$2:$F$326,MATCH(G688,ActiveSchools!$F$2:$F$326,0),1),"Total")</f>
        <v>0261</v>
      </c>
      <c r="I688" s="53">
        <v>222</v>
      </c>
      <c r="J688" s="59">
        <f>_xlfn.IFNA(INDEX(DetailByDistrict[],MATCH($H688,DetailByDistrict[Dist],0),MATCH(J$2,DetailByDistrict[#Headers],0)),0)</f>
        <v>1188</v>
      </c>
      <c r="K688" s="54">
        <f t="shared" si="10"/>
        <v>0.18686868686868688</v>
      </c>
      <c r="L688" s="59">
        <f>ROUND(INDEX(DetailByDistrict[],MATCH($H688,DetailByDistrict[Dist],0),MATCH(L$2,DetailByDistrict[#Headers],0))*K688,2)</f>
        <v>14398.98</v>
      </c>
      <c r="M688" s="59">
        <f>ROUND(INDEX(DetailByDistrict[],MATCH($H688,DetailByDistrict[Dist],0),MATCH(M$2,DetailByDistrict[#Headers],0))*K688,2)</f>
        <v>15824.23</v>
      </c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spans="1:26" ht="15.75" customHeight="1" x14ac:dyDescent="0.25">
      <c r="A689" s="53">
        <v>11</v>
      </c>
      <c r="B689" s="54" t="s">
        <v>1123</v>
      </c>
      <c r="C689" s="54" t="s">
        <v>774</v>
      </c>
      <c r="D689" s="57" t="s">
        <v>178</v>
      </c>
      <c r="E689" s="53">
        <v>8504</v>
      </c>
      <c r="F689" s="54" t="s">
        <v>1126</v>
      </c>
      <c r="G689" s="57" t="s">
        <v>180</v>
      </c>
      <c r="H689" s="58" t="str">
        <f>_xlfn.IFNA(INDEX(ActiveSchools!$C$2:$F$326,MATCH(G689,ActiveSchools!$F$2:$F$326,0),1),"Total")</f>
        <v>0472</v>
      </c>
      <c r="I689" s="53">
        <v>10</v>
      </c>
      <c r="J689" s="59">
        <f>_xlfn.IFNA(INDEX(DetailByDistrict[],MATCH($H689,DetailByDistrict[Dist],0),MATCH(J$2,DetailByDistrict[#Headers],0)),0)</f>
        <v>41</v>
      </c>
      <c r="K689" s="54">
        <f t="shared" si="10"/>
        <v>0.24390243902439024</v>
      </c>
      <c r="L689" s="59">
        <f>ROUND(INDEX(DetailByDistrict[],MATCH($H689,DetailByDistrict[Dist],0),MATCH(L$2,DetailByDistrict[#Headers],0))*K689,2)</f>
        <v>648.54</v>
      </c>
      <c r="M689" s="59">
        <f>ROUND(INDEX(DetailByDistrict[],MATCH($H689,DetailByDistrict[Dist],0),MATCH(M$2,DetailByDistrict[#Headers],0))*K689,2)</f>
        <v>712.68</v>
      </c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spans="1:26" ht="15.75" customHeight="1" x14ac:dyDescent="0.25">
      <c r="A690" s="53">
        <v>11</v>
      </c>
      <c r="B690" s="54" t="s">
        <v>1123</v>
      </c>
      <c r="C690" s="54" t="s">
        <v>774</v>
      </c>
      <c r="D690" s="57" t="s">
        <v>178</v>
      </c>
      <c r="E690" s="53">
        <v>8504</v>
      </c>
      <c r="F690" s="54" t="s">
        <v>1140</v>
      </c>
      <c r="G690" s="57" t="s">
        <v>182</v>
      </c>
      <c r="H690" s="58" t="str">
        <f>_xlfn.IFNA(INDEX(ActiveSchools!$C$2:$F$326,MATCH(G690,ActiveSchools!$F$2:$F$326,0),1),"Total")</f>
        <v>0720</v>
      </c>
      <c r="I690" s="53">
        <v>11</v>
      </c>
      <c r="J690" s="59">
        <f>_xlfn.IFNA(INDEX(DetailByDistrict[],MATCH($H690,DetailByDistrict[Dist],0),MATCH(J$2,DetailByDistrict[#Headers],0)),0)</f>
        <v>80</v>
      </c>
      <c r="K690" s="54">
        <f t="shared" si="10"/>
        <v>0.13750000000000001</v>
      </c>
      <c r="L690" s="59">
        <f>ROUND(INDEX(DetailByDistrict[],MATCH($H690,DetailByDistrict[Dist],0),MATCH(L$2,DetailByDistrict[#Headers],0))*K690,2)</f>
        <v>713.49</v>
      </c>
      <c r="M690" s="59">
        <f>ROUND(INDEX(DetailByDistrict[],MATCH($H690,DetailByDistrict[Dist],0),MATCH(M$2,DetailByDistrict[#Headers],0))*K690,2)</f>
        <v>784.03</v>
      </c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spans="1:26" ht="15.75" customHeight="1" x14ac:dyDescent="0.25">
      <c r="A691" s="53">
        <v>11</v>
      </c>
      <c r="B691" s="54" t="s">
        <v>1123</v>
      </c>
      <c r="C691" s="54" t="s">
        <v>774</v>
      </c>
      <c r="D691" s="57" t="s">
        <v>178</v>
      </c>
      <c r="E691" s="53">
        <v>8504</v>
      </c>
      <c r="F691" s="54" t="s">
        <v>1144</v>
      </c>
      <c r="G691" s="53" t="s">
        <v>190</v>
      </c>
      <c r="H691" s="58" t="str">
        <f>_xlfn.IFNA(INDEX(ActiveSchools!$C$2:$F$326,MATCH(G691,ActiveSchools!$F$2:$F$326,0),1),"Total")</f>
        <v>1576</v>
      </c>
      <c r="I691" s="53">
        <v>3</v>
      </c>
      <c r="J691" s="59">
        <f>_xlfn.IFNA(INDEX(DetailByDistrict[],MATCH($H691,DetailByDistrict[Dist],0),MATCH(J$2,DetailByDistrict[#Headers],0)),0)</f>
        <v>123</v>
      </c>
      <c r="K691" s="54">
        <f t="shared" si="10"/>
        <v>2.4390243902439025E-2</v>
      </c>
      <c r="L691" s="59">
        <f>ROUND(INDEX(DetailByDistrict[],MATCH($H691,DetailByDistrict[Dist],0),MATCH(L$2,DetailByDistrict[#Headers],0))*K691,2)</f>
        <v>194.59</v>
      </c>
      <c r="M691" s="59">
        <f>ROUND(INDEX(DetailByDistrict[],MATCH($H691,DetailByDistrict[Dist],0),MATCH(M$2,DetailByDistrict[#Headers],0))*K691,2)</f>
        <v>213.83</v>
      </c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spans="1:26" ht="15.75" customHeight="1" x14ac:dyDescent="0.25">
      <c r="A692" s="53">
        <v>11</v>
      </c>
      <c r="B692" s="54" t="s">
        <v>1123</v>
      </c>
      <c r="C692" s="54" t="s">
        <v>774</v>
      </c>
      <c r="D692" s="57" t="s">
        <v>178</v>
      </c>
      <c r="E692" s="53">
        <v>8504</v>
      </c>
      <c r="F692" s="54" t="s">
        <v>1134</v>
      </c>
      <c r="G692" s="53" t="s">
        <v>191</v>
      </c>
      <c r="H692" s="58" t="str">
        <f>_xlfn.IFNA(INDEX(ActiveSchools!$C$2:$F$326,MATCH(G692,ActiveSchools!$F$2:$F$326,0),1),"Total")</f>
        <v>1737</v>
      </c>
      <c r="I692" s="53">
        <v>10</v>
      </c>
      <c r="J692" s="59">
        <f>_xlfn.IFNA(INDEX(DetailByDistrict[],MATCH($H692,DetailByDistrict[Dist],0),MATCH(J$2,DetailByDistrict[#Headers],0)),0)</f>
        <v>2968</v>
      </c>
      <c r="K692" s="54">
        <f t="shared" si="10"/>
        <v>3.3692722371967657E-3</v>
      </c>
      <c r="L692" s="59">
        <f>ROUND(INDEX(DetailByDistrict[],MATCH($H692,DetailByDistrict[Dist],0),MATCH(L$2,DetailByDistrict[#Headers],0))*K692,2)</f>
        <v>648.6</v>
      </c>
      <c r="M692" s="59">
        <f>ROUND(INDEX(DetailByDistrict[],MATCH($H692,DetailByDistrict[Dist],0),MATCH(M$2,DetailByDistrict[#Headers],0))*K692,2)</f>
        <v>712.8</v>
      </c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spans="1:26" ht="15.75" customHeight="1" x14ac:dyDescent="0.25">
      <c r="A693" s="53">
        <v>11</v>
      </c>
      <c r="B693" s="54" t="s">
        <v>1123</v>
      </c>
      <c r="C693" s="54" t="s">
        <v>774</v>
      </c>
      <c r="D693" s="57" t="s">
        <v>178</v>
      </c>
      <c r="E693" s="53">
        <v>8504</v>
      </c>
      <c r="F693" s="54" t="s">
        <v>1135</v>
      </c>
      <c r="G693" s="53" t="s">
        <v>199</v>
      </c>
      <c r="H693" s="58" t="str">
        <f>_xlfn.IFNA(INDEX(ActiveSchools!$C$2:$F$326,MATCH(G693,ActiveSchools!$F$2:$F$326,0),1),"Total")</f>
        <v>3231</v>
      </c>
      <c r="I693" s="53">
        <v>2</v>
      </c>
      <c r="J693" s="59">
        <f>_xlfn.IFNA(INDEX(DetailByDistrict[],MATCH($H693,DetailByDistrict[Dist],0),MATCH(J$2,DetailByDistrict[#Headers],0)),0)</f>
        <v>509</v>
      </c>
      <c r="K693" s="54">
        <f t="shared" si="10"/>
        <v>3.929273084479371E-3</v>
      </c>
      <c r="L693" s="59">
        <f>ROUND(INDEX(DetailByDistrict[],MATCH($H693,DetailByDistrict[Dist],0),MATCH(L$2,DetailByDistrict[#Headers],0))*K693,2)</f>
        <v>129.72</v>
      </c>
      <c r="M693" s="59">
        <f>ROUND(INDEX(DetailByDistrict[],MATCH($H693,DetailByDistrict[Dist],0),MATCH(M$2,DetailByDistrict[#Headers],0))*K693,2)</f>
        <v>142.56</v>
      </c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spans="1:26" ht="15.75" customHeight="1" x14ac:dyDescent="0.25">
      <c r="A694" s="53">
        <v>11</v>
      </c>
      <c r="B694" s="54" t="s">
        <v>1123</v>
      </c>
      <c r="C694" s="54" t="s">
        <v>774</v>
      </c>
      <c r="D694" s="57" t="s">
        <v>178</v>
      </c>
      <c r="E694" s="53">
        <v>8504</v>
      </c>
      <c r="F694" s="54" t="s">
        <v>1141</v>
      </c>
      <c r="G694" s="53" t="s">
        <v>206</v>
      </c>
      <c r="H694" s="58" t="str">
        <f>_xlfn.IFNA(INDEX(ActiveSchools!$C$2:$F$326,MATCH(G694,ActiveSchools!$F$2:$F$326,0),1),"Total")</f>
        <v>4725</v>
      </c>
      <c r="I694" s="53">
        <v>2</v>
      </c>
      <c r="J694" s="59">
        <f>_xlfn.IFNA(INDEX(DetailByDistrict[],MATCH($H694,DetailByDistrict[Dist],0),MATCH(J$2,DetailByDistrict[#Headers],0)),0)</f>
        <v>115</v>
      </c>
      <c r="K694" s="54">
        <f t="shared" si="10"/>
        <v>1.7391304347826087E-2</v>
      </c>
      <c r="L694" s="59">
        <f>ROUND(INDEX(DetailByDistrict[],MATCH($H694,DetailByDistrict[Dist],0),MATCH(L$2,DetailByDistrict[#Headers],0))*K694,2)</f>
        <v>129.72</v>
      </c>
      <c r="M694" s="59">
        <f>ROUND(INDEX(DetailByDistrict[],MATCH($H694,DetailByDistrict[Dist],0),MATCH(M$2,DetailByDistrict[#Headers],0))*K694,2)</f>
        <v>142.56</v>
      </c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spans="1:26" ht="15.75" customHeight="1" x14ac:dyDescent="0.25">
      <c r="A695" s="53">
        <v>11</v>
      </c>
      <c r="B695" s="54" t="s">
        <v>1123</v>
      </c>
      <c r="C695" s="54" t="s">
        <v>774</v>
      </c>
      <c r="D695" s="57" t="s">
        <v>178</v>
      </c>
      <c r="E695" s="53">
        <v>8504</v>
      </c>
      <c r="F695" s="54" t="s">
        <v>1136</v>
      </c>
      <c r="G695" s="53" t="s">
        <v>207</v>
      </c>
      <c r="H695" s="58" t="str">
        <f>_xlfn.IFNA(INDEX(ActiveSchools!$C$2:$F$326,MATCH(G695,ActiveSchools!$F$2:$F$326,0),1),"Total")</f>
        <v>4779</v>
      </c>
      <c r="I695" s="53">
        <v>7</v>
      </c>
      <c r="J695" s="59">
        <f>_xlfn.IFNA(INDEX(DetailByDistrict[],MATCH($H695,DetailByDistrict[Dist],0),MATCH(J$2,DetailByDistrict[#Headers],0)),0)</f>
        <v>58</v>
      </c>
      <c r="K695" s="54">
        <f t="shared" si="10"/>
        <v>0.1206896551724138</v>
      </c>
      <c r="L695" s="59">
        <f>ROUND(INDEX(DetailByDistrict[],MATCH($H695,DetailByDistrict[Dist],0),MATCH(L$2,DetailByDistrict[#Headers],0))*K695,2)</f>
        <v>454.03</v>
      </c>
      <c r="M695" s="59">
        <f>ROUND(INDEX(DetailByDistrict[],MATCH($H695,DetailByDistrict[Dist],0),MATCH(M$2,DetailByDistrict[#Headers],0))*K695,2)</f>
        <v>498.93</v>
      </c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spans="1:26" ht="15.75" customHeight="1" x14ac:dyDescent="0.25">
      <c r="A696" s="53">
        <v>11</v>
      </c>
      <c r="B696" s="54" t="s">
        <v>1123</v>
      </c>
      <c r="C696" s="54" t="s">
        <v>774</v>
      </c>
      <c r="D696" s="57" t="s">
        <v>178</v>
      </c>
      <c r="E696" s="53">
        <v>8504</v>
      </c>
      <c r="F696" s="54" t="s">
        <v>1137</v>
      </c>
      <c r="G696" s="53" t="s">
        <v>217</v>
      </c>
      <c r="H696" s="58" t="str">
        <f>_xlfn.IFNA(INDEX(ActiveSchools!$C$2:$F$326,MATCH(G696,ActiveSchools!$F$2:$F$326,0),1),"Total")</f>
        <v>5805</v>
      </c>
      <c r="I696" s="53">
        <v>7</v>
      </c>
      <c r="J696" s="59">
        <f>_xlfn.IFNA(INDEX(DetailByDistrict[],MATCH($H696,DetailByDistrict[Dist],0),MATCH(J$2,DetailByDistrict[#Headers],0)),0)</f>
        <v>75</v>
      </c>
      <c r="K696" s="54">
        <f t="shared" si="10"/>
        <v>9.3333333333333338E-2</v>
      </c>
      <c r="L696" s="59">
        <f>ROUND(INDEX(DetailByDistrict[],MATCH($H696,DetailByDistrict[Dist],0),MATCH(L$2,DetailByDistrict[#Headers],0))*K696,2)</f>
        <v>454.07</v>
      </c>
      <c r="M696" s="59">
        <f>ROUND(INDEX(DetailByDistrict[],MATCH($H696,DetailByDistrict[Dist],0),MATCH(M$2,DetailByDistrict[#Headers],0))*K696,2)</f>
        <v>498.96</v>
      </c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spans="1:26" ht="15.75" customHeight="1" x14ac:dyDescent="0.25">
      <c r="A697" s="53">
        <v>11</v>
      </c>
      <c r="B697" s="54" t="s">
        <v>1123</v>
      </c>
      <c r="C697" s="54" t="s">
        <v>774</v>
      </c>
      <c r="D697" s="57" t="s">
        <v>178</v>
      </c>
      <c r="E697" s="53">
        <v>8504</v>
      </c>
      <c r="F697" s="54" t="s">
        <v>1142</v>
      </c>
      <c r="G697" s="53" t="s">
        <v>218</v>
      </c>
      <c r="H697" s="58" t="str">
        <f>_xlfn.IFNA(INDEX(ActiveSchools!$C$2:$F$326,MATCH(G697,ActiveSchools!$F$2:$F$326,0),1),"Total")</f>
        <v>6101</v>
      </c>
      <c r="I697" s="53">
        <v>1</v>
      </c>
      <c r="J697" s="59">
        <f>_xlfn.IFNA(INDEX(DetailByDistrict[],MATCH($H697,DetailByDistrict[Dist],0),MATCH(J$2,DetailByDistrict[#Headers],0)),0)</f>
        <v>431</v>
      </c>
      <c r="K697" s="54">
        <f t="shared" si="10"/>
        <v>2.3201856148491878E-3</v>
      </c>
      <c r="L697" s="59">
        <f>ROUND(INDEX(DetailByDistrict[],MATCH($H697,DetailByDistrict[Dist],0),MATCH(L$2,DetailByDistrict[#Headers],0))*K697,2)</f>
        <v>64.86</v>
      </c>
      <c r="M697" s="59">
        <f>ROUND(INDEX(DetailByDistrict[],MATCH($H697,DetailByDistrict[Dist],0),MATCH(M$2,DetailByDistrict[#Headers],0))*K697,2)</f>
        <v>71.28</v>
      </c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spans="1:26" ht="15.75" customHeight="1" x14ac:dyDescent="0.25">
      <c r="A698" s="53">
        <v>11</v>
      </c>
      <c r="B698" s="54" t="s">
        <v>1123</v>
      </c>
      <c r="C698" s="54" t="s">
        <v>774</v>
      </c>
      <c r="D698" s="57" t="s">
        <v>178</v>
      </c>
      <c r="E698" s="53">
        <v>8504</v>
      </c>
      <c r="F698" s="54" t="s">
        <v>1145</v>
      </c>
      <c r="G698" s="53" t="s">
        <v>222</v>
      </c>
      <c r="H698" s="58" t="str">
        <f>_xlfn.IFNA(INDEX(ActiveSchools!$C$2:$F$326,MATCH(G698,ActiveSchools!$F$2:$F$326,0),1),"Total")</f>
        <v>6579</v>
      </c>
      <c r="I698" s="53">
        <v>1</v>
      </c>
      <c r="J698" s="59">
        <f>_xlfn.IFNA(INDEX(DetailByDistrict[],MATCH($H698,DetailByDistrict[Dist],0),MATCH(J$2,DetailByDistrict[#Headers],0)),0)</f>
        <v>484</v>
      </c>
      <c r="K698" s="54">
        <f t="shared" si="10"/>
        <v>2.0661157024793389E-3</v>
      </c>
      <c r="L698" s="59">
        <f>ROUND(INDEX(DetailByDistrict[],MATCH($H698,DetailByDistrict[Dist],0),MATCH(L$2,DetailByDistrict[#Headers],0))*K698,2)</f>
        <v>64.86</v>
      </c>
      <c r="M698" s="59">
        <f>ROUND(INDEX(DetailByDistrict[],MATCH($H698,DetailByDistrict[Dist],0),MATCH(M$2,DetailByDistrict[#Headers],0))*K698,2)</f>
        <v>71.28</v>
      </c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spans="1:26" ht="15.75" customHeight="1" x14ac:dyDescent="0.25">
      <c r="A699" s="53">
        <v>11</v>
      </c>
      <c r="B699" s="54" t="s">
        <v>1123</v>
      </c>
      <c r="C699" s="54" t="s">
        <v>774</v>
      </c>
      <c r="D699" s="57" t="s">
        <v>178</v>
      </c>
      <c r="E699" s="53">
        <v>8504</v>
      </c>
      <c r="F699" s="54" t="s">
        <v>1138</v>
      </c>
      <c r="G699" s="53" t="s">
        <v>224</v>
      </c>
      <c r="H699" s="58" t="str">
        <f>_xlfn.IFNA(INDEX(ActiveSchools!$C$2:$F$326,MATCH(G699,ActiveSchools!$F$2:$F$326,0),1),"Total")</f>
        <v>6822</v>
      </c>
      <c r="I699" s="53">
        <v>3</v>
      </c>
      <c r="J699" s="59">
        <f>_xlfn.IFNA(INDEX(DetailByDistrict[],MATCH($H699,DetailByDistrict[Dist],0),MATCH(J$2,DetailByDistrict[#Headers],0)),0)</f>
        <v>1399</v>
      </c>
      <c r="K699" s="54">
        <f t="shared" si="10"/>
        <v>2.1443888491779841E-3</v>
      </c>
      <c r="L699" s="59">
        <f>ROUND(INDEX(DetailByDistrict[],MATCH($H699,DetailByDistrict[Dist],0),MATCH(L$2,DetailByDistrict[#Headers],0))*K699,2)</f>
        <v>194.58</v>
      </c>
      <c r="M699" s="59">
        <f>ROUND(INDEX(DetailByDistrict[],MATCH($H699,DetailByDistrict[Dist],0),MATCH(M$2,DetailByDistrict[#Headers],0))*K699,2)</f>
        <v>213.84</v>
      </c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spans="1:26" ht="15.75" customHeight="1" x14ac:dyDescent="0.25">
      <c r="A700" s="53">
        <v>11</v>
      </c>
      <c r="B700" s="54" t="s">
        <v>1123</v>
      </c>
      <c r="C700" s="54" t="s">
        <v>774</v>
      </c>
      <c r="D700" s="57" t="s">
        <v>178</v>
      </c>
      <c r="E700" s="53">
        <v>8504</v>
      </c>
      <c r="F700" s="54" t="s">
        <v>1139</v>
      </c>
      <c r="G700" s="53" t="s">
        <v>226</v>
      </c>
      <c r="H700" s="58" t="str">
        <f>_xlfn.IFNA(INDEX(ActiveSchools!$C$2:$F$326,MATCH(G700,ActiveSchools!$F$2:$F$326,0),1),"Total")</f>
        <v>6957</v>
      </c>
      <c r="I700" s="53">
        <v>2</v>
      </c>
      <c r="J700" s="59">
        <f>_xlfn.IFNA(INDEX(DetailByDistrict[],MATCH($H700,DetailByDistrict[Dist],0),MATCH(J$2,DetailByDistrict[#Headers],0)),0)</f>
        <v>1305</v>
      </c>
      <c r="K700" s="54">
        <f t="shared" si="10"/>
        <v>1.5325670498084292E-3</v>
      </c>
      <c r="L700" s="59">
        <f>ROUND(INDEX(DetailByDistrict[],MATCH($H700,DetailByDistrict[Dist],0),MATCH(L$2,DetailByDistrict[#Headers],0))*K700,2)</f>
        <v>129.72</v>
      </c>
      <c r="M700" s="59">
        <f>ROUND(INDEX(DetailByDistrict[],MATCH($H700,DetailByDistrict[Dist],0),MATCH(M$2,DetailByDistrict[#Headers],0))*K700,2)</f>
        <v>142.56</v>
      </c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spans="1:26" ht="15.75" customHeight="1" x14ac:dyDescent="0.25">
      <c r="A701" s="53">
        <v>11</v>
      </c>
      <c r="B701" s="54" t="s">
        <v>1123</v>
      </c>
      <c r="C701" s="54" t="s">
        <v>783</v>
      </c>
      <c r="D701" s="57" t="s">
        <v>183</v>
      </c>
      <c r="E701" s="53">
        <v>8103</v>
      </c>
      <c r="F701" s="54" t="s">
        <v>1127</v>
      </c>
      <c r="G701" s="57" t="s">
        <v>183</v>
      </c>
      <c r="H701" s="58" t="str">
        <f>_xlfn.IFNA(INDEX(ActiveSchools!$C$2:$F$326,MATCH(G701,ActiveSchools!$F$2:$F$326,0),1),"Total")</f>
        <v>0729</v>
      </c>
      <c r="I701" s="53">
        <v>62</v>
      </c>
      <c r="J701" s="59">
        <f>_xlfn.IFNA(INDEX(DetailByDistrict[],MATCH($H701,DetailByDistrict[Dist],0),MATCH(J$2,DetailByDistrict[#Headers],0)),0)</f>
        <v>167</v>
      </c>
      <c r="K701" s="54">
        <f t="shared" si="10"/>
        <v>0.3712574850299401</v>
      </c>
      <c r="L701" s="59">
        <f>ROUND(INDEX(DetailByDistrict[],MATCH($H701,DetailByDistrict[Dist],0),MATCH(L$2,DetailByDistrict[#Headers],0))*K701,2)</f>
        <v>4021.46</v>
      </c>
      <c r="M701" s="59">
        <f>ROUND(INDEX(DetailByDistrict[],MATCH($H701,DetailByDistrict[Dist],0),MATCH(M$2,DetailByDistrict[#Headers],0))*K701,2)</f>
        <v>4419.45</v>
      </c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spans="1:26" ht="15.75" customHeight="1" x14ac:dyDescent="0.25">
      <c r="A702" s="53">
        <v>11</v>
      </c>
      <c r="B702" s="54" t="s">
        <v>1123</v>
      </c>
      <c r="C702" s="54" t="s">
        <v>783</v>
      </c>
      <c r="D702" s="57" t="s">
        <v>183</v>
      </c>
      <c r="E702" s="53">
        <v>8103</v>
      </c>
      <c r="F702" s="54" t="s">
        <v>1133</v>
      </c>
      <c r="G702" s="53" t="s">
        <v>209</v>
      </c>
      <c r="H702" s="58" t="str">
        <f>_xlfn.IFNA(INDEX(ActiveSchools!$C$2:$F$326,MATCH(G702,ActiveSchools!$F$2:$F$326,0),1),"Total")</f>
        <v>4878</v>
      </c>
      <c r="I702" s="53">
        <v>1</v>
      </c>
      <c r="J702" s="59">
        <f>_xlfn.IFNA(INDEX(DetailByDistrict[],MATCH($H702,DetailByDistrict[Dist],0),MATCH(J$2,DetailByDistrict[#Headers],0)),0)</f>
        <v>19</v>
      </c>
      <c r="K702" s="54">
        <f t="shared" si="10"/>
        <v>5.2631578947368418E-2</v>
      </c>
      <c r="L702" s="59">
        <f>ROUND(INDEX(DetailByDistrict[],MATCH($H702,DetailByDistrict[Dist],0),MATCH(L$2,DetailByDistrict[#Headers],0))*K702,2)</f>
        <v>64.84</v>
      </c>
      <c r="M702" s="59">
        <f>ROUND(INDEX(DetailByDistrict[],MATCH($H702,DetailByDistrict[Dist],0),MATCH(M$2,DetailByDistrict[#Headers],0))*K702,2)</f>
        <v>71.260000000000005</v>
      </c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spans="1:26" ht="15.75" customHeight="1" x14ac:dyDescent="0.25">
      <c r="A703" s="53">
        <v>11</v>
      </c>
      <c r="B703" s="54" t="s">
        <v>1123</v>
      </c>
      <c r="C703" s="54" t="s">
        <v>783</v>
      </c>
      <c r="D703" s="57" t="s">
        <v>183</v>
      </c>
      <c r="E703" s="53">
        <v>8103</v>
      </c>
      <c r="F703" s="54" t="s">
        <v>1132</v>
      </c>
      <c r="G703" s="53" t="s">
        <v>221</v>
      </c>
      <c r="H703" s="58" t="str">
        <f>_xlfn.IFNA(INDEX(ActiveSchools!$C$2:$F$326,MATCH(G703,ActiveSchools!$F$2:$F$326,0),1),"Total")</f>
        <v>6561</v>
      </c>
      <c r="I703" s="53">
        <v>5</v>
      </c>
      <c r="J703" s="59">
        <f>_xlfn.IFNA(INDEX(DetailByDistrict[],MATCH($H703,DetailByDistrict[Dist],0),MATCH(J$2,DetailByDistrict[#Headers],0)),0)</f>
        <v>9</v>
      </c>
      <c r="K703" s="54">
        <f t="shared" si="10"/>
        <v>0.55555555555555558</v>
      </c>
      <c r="L703" s="59">
        <f>ROUND(INDEX(DetailByDistrict[],MATCH($H703,DetailByDistrict[Dist],0),MATCH(L$2,DetailByDistrict[#Headers],0))*K703,2)</f>
        <v>324.44</v>
      </c>
      <c r="M703" s="59">
        <f>ROUND(INDEX(DetailByDistrict[],MATCH($H703,DetailByDistrict[Dist],0),MATCH(M$2,DetailByDistrict[#Headers],0))*K703,2)</f>
        <v>356.67</v>
      </c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spans="1:26" ht="15.75" customHeight="1" x14ac:dyDescent="0.25">
      <c r="A704" s="53">
        <v>11</v>
      </c>
      <c r="B704" s="54" t="s">
        <v>1123</v>
      </c>
      <c r="C704" s="54" t="s">
        <v>784</v>
      </c>
      <c r="D704" s="57" t="s">
        <v>183</v>
      </c>
      <c r="E704" s="53">
        <v>8204</v>
      </c>
      <c r="F704" s="54" t="s">
        <v>1124</v>
      </c>
      <c r="G704" s="57" t="s">
        <v>177</v>
      </c>
      <c r="H704" s="58" t="str">
        <f>_xlfn.IFNA(INDEX(ActiveSchools!$C$2:$F$326,MATCH(G704,ActiveSchools!$F$2:$F$326,0),1),"Total")</f>
        <v>0225</v>
      </c>
      <c r="I704" s="53">
        <v>6</v>
      </c>
      <c r="J704" s="59">
        <f>_xlfn.IFNA(INDEX(DetailByDistrict[],MATCH($H704,DetailByDistrict[Dist],0),MATCH(J$2,DetailByDistrict[#Headers],0)),0)</f>
        <v>151</v>
      </c>
      <c r="K704" s="54">
        <f t="shared" si="10"/>
        <v>3.9735099337748346E-2</v>
      </c>
      <c r="L704" s="59">
        <f>ROUND(INDEX(DetailByDistrict[],MATCH($H704,DetailByDistrict[Dist],0),MATCH(L$2,DetailByDistrict[#Headers],0))*K704,2)</f>
        <v>389.17</v>
      </c>
      <c r="M704" s="59">
        <f>ROUND(INDEX(DetailByDistrict[],MATCH($H704,DetailByDistrict[Dist],0),MATCH(M$2,DetailByDistrict[#Headers],0))*K704,2)</f>
        <v>427.67</v>
      </c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spans="1:26" ht="15.75" customHeight="1" x14ac:dyDescent="0.25">
      <c r="A705" s="53">
        <v>11</v>
      </c>
      <c r="B705" s="54" t="s">
        <v>1123</v>
      </c>
      <c r="C705" s="54" t="s">
        <v>784</v>
      </c>
      <c r="D705" s="57" t="s">
        <v>183</v>
      </c>
      <c r="E705" s="53">
        <v>8204</v>
      </c>
      <c r="F705" s="54" t="s">
        <v>1127</v>
      </c>
      <c r="G705" s="57" t="s">
        <v>183</v>
      </c>
      <c r="H705" s="58" t="str">
        <f>_xlfn.IFNA(INDEX(ActiveSchools!$C$2:$F$326,MATCH(G705,ActiveSchools!$F$2:$F$326,0),1),"Total")</f>
        <v>0729</v>
      </c>
      <c r="I705" s="53">
        <v>102</v>
      </c>
      <c r="J705" s="59">
        <f>_xlfn.IFNA(INDEX(DetailByDistrict[],MATCH($H705,DetailByDistrict[Dist],0),MATCH(J$2,DetailByDistrict[#Headers],0)),0)</f>
        <v>167</v>
      </c>
      <c r="K705" s="54">
        <f t="shared" si="10"/>
        <v>0.6107784431137725</v>
      </c>
      <c r="L705" s="59">
        <f>ROUND(INDEX(DetailByDistrict[],MATCH($H705,DetailByDistrict[Dist],0),MATCH(L$2,DetailByDistrict[#Headers],0))*K705,2)</f>
        <v>6615.95</v>
      </c>
      <c r="M705" s="59">
        <f>ROUND(INDEX(DetailByDistrict[],MATCH($H705,DetailByDistrict[Dist],0),MATCH(M$2,DetailByDistrict[#Headers],0))*K705,2)</f>
        <v>7270.71</v>
      </c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spans="1:26" ht="15.75" customHeight="1" x14ac:dyDescent="0.25">
      <c r="A706" s="53">
        <v>11</v>
      </c>
      <c r="B706" s="54" t="s">
        <v>1123</v>
      </c>
      <c r="C706" s="54" t="s">
        <v>784</v>
      </c>
      <c r="D706" s="57" t="s">
        <v>183</v>
      </c>
      <c r="E706" s="53">
        <v>8204</v>
      </c>
      <c r="F706" s="54" t="s">
        <v>1133</v>
      </c>
      <c r="G706" s="53" t="s">
        <v>209</v>
      </c>
      <c r="H706" s="58" t="str">
        <f>_xlfn.IFNA(INDEX(ActiveSchools!$C$2:$F$326,MATCH(G706,ActiveSchools!$F$2:$F$326,0),1),"Total")</f>
        <v>4878</v>
      </c>
      <c r="I706" s="53">
        <v>11</v>
      </c>
      <c r="J706" s="59">
        <f>_xlfn.IFNA(INDEX(DetailByDistrict[],MATCH($H706,DetailByDistrict[Dist],0),MATCH(J$2,DetailByDistrict[#Headers],0)),0)</f>
        <v>19</v>
      </c>
      <c r="K706" s="54">
        <f t="shared" si="10"/>
        <v>0.57894736842105265</v>
      </c>
      <c r="L706" s="59">
        <f>ROUND(INDEX(DetailByDistrict[],MATCH($H706,DetailByDistrict[Dist],0),MATCH(L$2,DetailByDistrict[#Headers],0))*K706,2)</f>
        <v>713.26</v>
      </c>
      <c r="M706" s="59">
        <f>ROUND(INDEX(DetailByDistrict[],MATCH($H706,DetailByDistrict[Dist],0),MATCH(M$2,DetailByDistrict[#Headers],0))*K706,2)</f>
        <v>783.89</v>
      </c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spans="1:26" ht="15.75" customHeight="1" x14ac:dyDescent="0.25">
      <c r="A707" s="53">
        <v>11</v>
      </c>
      <c r="B707" s="54" t="s">
        <v>1123</v>
      </c>
      <c r="C707" s="54" t="s">
        <v>793</v>
      </c>
      <c r="D707" s="57" t="s">
        <v>185</v>
      </c>
      <c r="E707" s="53">
        <v>8101</v>
      </c>
      <c r="F707" s="54" t="s">
        <v>1146</v>
      </c>
      <c r="G707" s="57" t="s">
        <v>179</v>
      </c>
      <c r="H707" s="58" t="str">
        <f>_xlfn.IFNA(INDEX(ActiveSchools!$C$2:$F$326,MATCH(G707,ActiveSchools!$F$2:$F$326,0),1),"Total")</f>
        <v>0414</v>
      </c>
      <c r="I707" s="53">
        <v>3</v>
      </c>
      <c r="J707" s="59">
        <f>_xlfn.IFNA(INDEX(DetailByDistrict[],MATCH($H707,DetailByDistrict[Dist],0),MATCH(J$2,DetailByDistrict[#Headers],0)),0)</f>
        <v>10</v>
      </c>
      <c r="K707" s="54">
        <f t="shared" si="10"/>
        <v>0.3</v>
      </c>
      <c r="L707" s="59">
        <f>ROUND(INDEX(DetailByDistrict[],MATCH($H707,DetailByDistrict[Dist],0),MATCH(L$2,DetailByDistrict[#Headers],0))*K707,2)</f>
        <v>194.7</v>
      </c>
      <c r="M707" s="59">
        <f>ROUND(INDEX(DetailByDistrict[],MATCH($H707,DetailByDistrict[Dist],0),MATCH(M$2,DetailByDistrict[#Headers],0))*K707,2)</f>
        <v>213.9</v>
      </c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spans="1:26" ht="15.75" customHeight="1" x14ac:dyDescent="0.25">
      <c r="A708" s="53">
        <v>11</v>
      </c>
      <c r="B708" s="54" t="s">
        <v>1123</v>
      </c>
      <c r="C708" s="54" t="s">
        <v>793</v>
      </c>
      <c r="D708" s="57" t="s">
        <v>185</v>
      </c>
      <c r="E708" s="53">
        <v>8101</v>
      </c>
      <c r="F708" s="54" t="s">
        <v>1147</v>
      </c>
      <c r="G708" s="57" t="s">
        <v>185</v>
      </c>
      <c r="H708" s="58" t="str">
        <f>_xlfn.IFNA(INDEX(ActiveSchools!$C$2:$F$326,MATCH(G708,ActiveSchools!$F$2:$F$326,0),1),"Total")</f>
        <v>0999</v>
      </c>
      <c r="I708" s="53">
        <v>394</v>
      </c>
      <c r="J708" s="59">
        <f>_xlfn.IFNA(INDEX(DetailByDistrict[],MATCH($H708,DetailByDistrict[Dist],0),MATCH(J$2,DetailByDistrict[#Headers],0)),0)</f>
        <v>947</v>
      </c>
      <c r="K708" s="54">
        <f t="shared" ref="K708:K771" si="11">I708/J708</f>
        <v>0.41605068637803588</v>
      </c>
      <c r="L708" s="59">
        <f>ROUND(INDEX(DetailByDistrict[],MATCH($H708,DetailByDistrict[Dist],0),MATCH(L$2,DetailByDistrict[#Headers],0))*K708,2)</f>
        <v>25554.67</v>
      </c>
      <c r="M708" s="59">
        <f>ROUND(INDEX(DetailByDistrict[],MATCH($H708,DetailByDistrict[Dist],0),MATCH(M$2,DetailByDistrict[#Headers],0))*K708,2)</f>
        <v>28084.25</v>
      </c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spans="1:26" ht="15.75" customHeight="1" x14ac:dyDescent="0.25">
      <c r="A709" s="53">
        <v>11</v>
      </c>
      <c r="B709" s="54" t="s">
        <v>1123</v>
      </c>
      <c r="C709" s="54" t="s">
        <v>793</v>
      </c>
      <c r="D709" s="57" t="s">
        <v>185</v>
      </c>
      <c r="E709" s="53">
        <v>8101</v>
      </c>
      <c r="F709" s="54" t="s">
        <v>1148</v>
      </c>
      <c r="G709" s="53" t="s">
        <v>195</v>
      </c>
      <c r="H709" s="58" t="str">
        <f>_xlfn.IFNA(INDEX(ActiveSchools!$C$2:$F$326,MATCH(G709,ActiveSchools!$F$2:$F$326,0),1),"Total")</f>
        <v>2520</v>
      </c>
      <c r="I709" s="53">
        <v>5</v>
      </c>
      <c r="J709" s="59">
        <f>_xlfn.IFNA(INDEX(DetailByDistrict[],MATCH($H709,DetailByDistrict[Dist],0),MATCH(J$2,DetailByDistrict[#Headers],0)),0)</f>
        <v>18</v>
      </c>
      <c r="K709" s="54">
        <f t="shared" si="11"/>
        <v>0.27777777777777779</v>
      </c>
      <c r="L709" s="59">
        <f>ROUND(INDEX(DetailByDistrict[],MATCH($H709,DetailByDistrict[Dist],0),MATCH(L$2,DetailByDistrict[#Headers],0))*K709,2)</f>
        <v>324.17</v>
      </c>
      <c r="M709" s="59">
        <f>ROUND(INDEX(DetailByDistrict[],MATCH($H709,DetailByDistrict[Dist],0),MATCH(M$2,DetailByDistrict[#Headers],0))*K709,2)</f>
        <v>356.39</v>
      </c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spans="1:26" ht="15.75" customHeight="1" x14ac:dyDescent="0.25">
      <c r="A710" s="53">
        <v>11</v>
      </c>
      <c r="B710" s="54" t="s">
        <v>1123</v>
      </c>
      <c r="C710" s="54" t="s">
        <v>794</v>
      </c>
      <c r="D710" s="57" t="s">
        <v>185</v>
      </c>
      <c r="E710" s="53">
        <v>8104</v>
      </c>
      <c r="F710" s="54" t="s">
        <v>1146</v>
      </c>
      <c r="G710" s="57" t="s">
        <v>179</v>
      </c>
      <c r="H710" s="58" t="str">
        <f>_xlfn.IFNA(INDEX(ActiveSchools!$C$2:$F$326,MATCH(G710,ActiveSchools!$F$2:$F$326,0),1),"Total")</f>
        <v>0414</v>
      </c>
      <c r="I710" s="53">
        <v>5</v>
      </c>
      <c r="J710" s="59">
        <f>_xlfn.IFNA(INDEX(DetailByDistrict[],MATCH($H710,DetailByDistrict[Dist],0),MATCH(J$2,DetailByDistrict[#Headers],0)),0)</f>
        <v>10</v>
      </c>
      <c r="K710" s="54">
        <f t="shared" si="11"/>
        <v>0.5</v>
      </c>
      <c r="L710" s="59">
        <f>ROUND(INDEX(DetailByDistrict[],MATCH($H710,DetailByDistrict[Dist],0),MATCH(L$2,DetailByDistrict[#Headers],0))*K710,2)</f>
        <v>324.5</v>
      </c>
      <c r="M710" s="59">
        <f>ROUND(INDEX(DetailByDistrict[],MATCH($H710,DetailByDistrict[Dist],0),MATCH(M$2,DetailByDistrict[#Headers],0))*K710,2)</f>
        <v>356.5</v>
      </c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spans="1:26" ht="15.75" customHeight="1" x14ac:dyDescent="0.25">
      <c r="A711" s="53">
        <v>11</v>
      </c>
      <c r="B711" s="54" t="s">
        <v>1123</v>
      </c>
      <c r="C711" s="54" t="s">
        <v>794</v>
      </c>
      <c r="D711" s="57" t="s">
        <v>185</v>
      </c>
      <c r="E711" s="53">
        <v>8104</v>
      </c>
      <c r="F711" s="54" t="s">
        <v>1147</v>
      </c>
      <c r="G711" s="57" t="s">
        <v>185</v>
      </c>
      <c r="H711" s="58" t="str">
        <f>_xlfn.IFNA(INDEX(ActiveSchools!$C$2:$F$326,MATCH(G711,ActiveSchools!$F$2:$F$326,0),1),"Total")</f>
        <v>0999</v>
      </c>
      <c r="I711" s="53">
        <v>553</v>
      </c>
      <c r="J711" s="59">
        <f>_xlfn.IFNA(INDEX(DetailByDistrict[],MATCH($H711,DetailByDistrict[Dist],0),MATCH(J$2,DetailByDistrict[#Headers],0)),0)</f>
        <v>947</v>
      </c>
      <c r="K711" s="54">
        <f t="shared" si="11"/>
        <v>0.58394931362196412</v>
      </c>
      <c r="L711" s="59">
        <f>ROUND(INDEX(DetailByDistrict[],MATCH($H711,DetailByDistrict[Dist],0),MATCH(L$2,DetailByDistrict[#Headers],0))*K711,2)-0.08</f>
        <v>35867.25</v>
      </c>
      <c r="M711" s="59">
        <f>ROUND(INDEX(DetailByDistrict[],MATCH($H711,DetailByDistrict[Dist],0),MATCH(M$2,DetailByDistrict[#Headers],0))*K711,2)-0.1</f>
        <v>39417.65</v>
      </c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spans="1:26" ht="15.75" customHeight="1" x14ac:dyDescent="0.25">
      <c r="A712" s="53">
        <v>11</v>
      </c>
      <c r="B712" s="54" t="s">
        <v>1123</v>
      </c>
      <c r="C712" s="54" t="s">
        <v>794</v>
      </c>
      <c r="D712" s="57" t="s">
        <v>185</v>
      </c>
      <c r="E712" s="53">
        <v>8104</v>
      </c>
      <c r="F712" s="54" t="s">
        <v>1149</v>
      </c>
      <c r="G712" s="53" t="s">
        <v>189</v>
      </c>
      <c r="H712" s="58" t="str">
        <f>_xlfn.IFNA(INDEX(ActiveSchools!$C$2:$F$326,MATCH(G712,ActiveSchools!$F$2:$F$326,0),1),"Total")</f>
        <v>1413</v>
      </c>
      <c r="I712" s="53">
        <v>3</v>
      </c>
      <c r="J712" s="59">
        <f>_xlfn.IFNA(INDEX(DetailByDistrict[],MATCH($H712,DetailByDistrict[Dist],0),MATCH(J$2,DetailByDistrict[#Headers],0)),0)</f>
        <v>3</v>
      </c>
      <c r="K712" s="54">
        <f t="shared" si="11"/>
        <v>1</v>
      </c>
      <c r="L712" s="59">
        <f>ROUND(INDEX(DetailByDistrict[],MATCH($H712,DetailByDistrict[Dist],0),MATCH(L$2,DetailByDistrict[#Headers],0))*K712,2)</f>
        <v>195</v>
      </c>
      <c r="M712" s="59">
        <f>ROUND(INDEX(DetailByDistrict[],MATCH($H712,DetailByDistrict[Dist],0),MATCH(M$2,DetailByDistrict[#Headers],0))*K712,2)</f>
        <v>214</v>
      </c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spans="1:26" ht="15.75" customHeight="1" x14ac:dyDescent="0.25">
      <c r="A713" s="53">
        <v>11</v>
      </c>
      <c r="B713" s="54" t="s">
        <v>1123</v>
      </c>
      <c r="C713" s="54" t="s">
        <v>794</v>
      </c>
      <c r="D713" s="57" t="s">
        <v>185</v>
      </c>
      <c r="E713" s="53">
        <v>8104</v>
      </c>
      <c r="F713" s="54" t="s">
        <v>1148</v>
      </c>
      <c r="G713" s="53" t="s">
        <v>195</v>
      </c>
      <c r="H713" s="58" t="str">
        <f>_xlfn.IFNA(INDEX(ActiveSchools!$C$2:$F$326,MATCH(G713,ActiveSchools!$F$2:$F$326,0),1),"Total")</f>
        <v>2520</v>
      </c>
      <c r="I713" s="53">
        <v>13</v>
      </c>
      <c r="J713" s="59">
        <f>_xlfn.IFNA(INDEX(DetailByDistrict[],MATCH($H713,DetailByDistrict[Dist],0),MATCH(J$2,DetailByDistrict[#Headers],0)),0)</f>
        <v>18</v>
      </c>
      <c r="K713" s="54">
        <f t="shared" si="11"/>
        <v>0.72222222222222221</v>
      </c>
      <c r="L713" s="59">
        <f>ROUND(INDEX(DetailByDistrict[],MATCH($H713,DetailByDistrict[Dist],0),MATCH(L$2,DetailByDistrict[#Headers],0))*K713,2)</f>
        <v>842.83</v>
      </c>
      <c r="M713" s="59">
        <f>ROUND(INDEX(DetailByDistrict[],MATCH($H713,DetailByDistrict[Dist],0),MATCH(M$2,DetailByDistrict[#Headers],0))*K713,2)</f>
        <v>926.61</v>
      </c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spans="1:26" ht="15.75" customHeight="1" x14ac:dyDescent="0.25">
      <c r="A714" s="53">
        <v>11</v>
      </c>
      <c r="B714" s="54" t="s">
        <v>1123</v>
      </c>
      <c r="C714" s="54" t="s">
        <v>814</v>
      </c>
      <c r="D714" s="53">
        <v>1278</v>
      </c>
      <c r="E714" s="53">
        <v>8130</v>
      </c>
      <c r="F714" s="54" t="s">
        <v>1138</v>
      </c>
      <c r="G714" s="53" t="s">
        <v>224</v>
      </c>
      <c r="H714" s="58" t="str">
        <f>_xlfn.IFNA(INDEX(ActiveSchools!$C$2:$F$326,MATCH(G714,ActiveSchools!$F$2:$F$326,0),1),"Total")</f>
        <v>6822</v>
      </c>
      <c r="I714" s="53">
        <v>1</v>
      </c>
      <c r="J714" s="59">
        <f>_xlfn.IFNA(INDEX(DetailByDistrict[],MATCH($H714,DetailByDistrict[Dist],0),MATCH(J$2,DetailByDistrict[#Headers],0)),0)</f>
        <v>1399</v>
      </c>
      <c r="K714" s="54">
        <f t="shared" si="11"/>
        <v>7.1479628305932811E-4</v>
      </c>
      <c r="L714" s="59">
        <f>ROUND(INDEX(DetailByDistrict[],MATCH($H714,DetailByDistrict[Dist],0),MATCH(L$2,DetailByDistrict[#Headers],0))*K714,2)</f>
        <v>64.86</v>
      </c>
      <c r="M714" s="59">
        <f>ROUND(INDEX(DetailByDistrict[],MATCH($H714,DetailByDistrict[Dist],0),MATCH(M$2,DetailByDistrict[#Headers],0))*K714,2)</f>
        <v>71.28</v>
      </c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spans="1:26" ht="15.75" customHeight="1" x14ac:dyDescent="0.25">
      <c r="A715" s="53">
        <v>11</v>
      </c>
      <c r="B715" s="54" t="s">
        <v>1123</v>
      </c>
      <c r="C715" s="54" t="s">
        <v>826</v>
      </c>
      <c r="D715" s="53">
        <v>1737</v>
      </c>
      <c r="E715" s="53">
        <v>8014</v>
      </c>
      <c r="F715" s="54" t="s">
        <v>1125</v>
      </c>
      <c r="G715" s="57" t="s">
        <v>178</v>
      </c>
      <c r="H715" s="58" t="str">
        <f>_xlfn.IFNA(INDEX(ActiveSchools!$C$2:$F$326,MATCH(G715,ActiveSchools!$F$2:$F$326,0),1),"Total")</f>
        <v>0261</v>
      </c>
      <c r="I715" s="53">
        <v>6</v>
      </c>
      <c r="J715" s="59">
        <f>_xlfn.IFNA(INDEX(DetailByDistrict[],MATCH($H715,DetailByDistrict[Dist],0),MATCH(J$2,DetailByDistrict[#Headers],0)),0)</f>
        <v>1188</v>
      </c>
      <c r="K715" s="54">
        <f t="shared" si="11"/>
        <v>5.0505050505050509E-3</v>
      </c>
      <c r="L715" s="59">
        <f>ROUND(INDEX(DetailByDistrict[],MATCH($H715,DetailByDistrict[Dist],0),MATCH(L$2,DetailByDistrict[#Headers],0))*K715,2)</f>
        <v>389.16</v>
      </c>
      <c r="M715" s="59">
        <f>ROUND(INDEX(DetailByDistrict[],MATCH($H715,DetailByDistrict[Dist],0),MATCH(M$2,DetailByDistrict[#Headers],0))*K715,2)</f>
        <v>427.68</v>
      </c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spans="1:26" ht="15.75" customHeight="1" x14ac:dyDescent="0.25">
      <c r="A716" s="53">
        <v>11</v>
      </c>
      <c r="B716" s="54" t="s">
        <v>1123</v>
      </c>
      <c r="C716" s="54" t="s">
        <v>826</v>
      </c>
      <c r="D716" s="53">
        <v>1737</v>
      </c>
      <c r="E716" s="53">
        <v>8014</v>
      </c>
      <c r="F716" s="54" t="s">
        <v>1140</v>
      </c>
      <c r="G716" s="57" t="s">
        <v>182</v>
      </c>
      <c r="H716" s="58" t="str">
        <f>_xlfn.IFNA(INDEX(ActiveSchools!$C$2:$F$326,MATCH(G716,ActiveSchools!$F$2:$F$326,0),1),"Total")</f>
        <v>0720</v>
      </c>
      <c r="I716" s="53">
        <v>2</v>
      </c>
      <c r="J716" s="59">
        <f>_xlfn.IFNA(INDEX(DetailByDistrict[],MATCH($H716,DetailByDistrict[Dist],0),MATCH(J$2,DetailByDistrict[#Headers],0)),0)</f>
        <v>80</v>
      </c>
      <c r="K716" s="54">
        <f t="shared" si="11"/>
        <v>2.5000000000000001E-2</v>
      </c>
      <c r="L716" s="59">
        <f>ROUND(INDEX(DetailByDistrict[],MATCH($H716,DetailByDistrict[Dist],0),MATCH(L$2,DetailByDistrict[#Headers],0))*K716,2)</f>
        <v>129.72999999999999</v>
      </c>
      <c r="M716" s="59">
        <f>ROUND(INDEX(DetailByDistrict[],MATCH($H716,DetailByDistrict[Dist],0),MATCH(M$2,DetailByDistrict[#Headers],0))*K716,2)</f>
        <v>142.55000000000001</v>
      </c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spans="1:26" ht="15.75" customHeight="1" x14ac:dyDescent="0.25">
      <c r="A717" s="53">
        <v>11</v>
      </c>
      <c r="B717" s="54" t="s">
        <v>1123</v>
      </c>
      <c r="C717" s="54" t="s">
        <v>826</v>
      </c>
      <c r="D717" s="53">
        <v>1737</v>
      </c>
      <c r="E717" s="53">
        <v>8014</v>
      </c>
      <c r="F717" s="54" t="s">
        <v>1150</v>
      </c>
      <c r="G717" s="53" t="s">
        <v>186</v>
      </c>
      <c r="H717" s="58" t="str">
        <f>_xlfn.IFNA(INDEX(ActiveSchools!$C$2:$F$326,MATCH(G717,ActiveSchools!$F$2:$F$326,0),1),"Total")</f>
        <v>1332</v>
      </c>
      <c r="I717" s="53">
        <v>1</v>
      </c>
      <c r="J717" s="59">
        <f>_xlfn.IFNA(INDEX(DetailByDistrict[],MATCH($H717,DetailByDistrict[Dist],0),MATCH(J$2,DetailByDistrict[#Headers],0)),0)</f>
        <v>11</v>
      </c>
      <c r="K717" s="54">
        <f t="shared" si="11"/>
        <v>9.0909090909090912E-2</v>
      </c>
      <c r="L717" s="59">
        <f>ROUND(INDEX(DetailByDistrict[],MATCH($H717,DetailByDistrict[Dist],0),MATCH(L$2,DetailByDistrict[#Headers],0))*K717,2)</f>
        <v>64.819999999999993</v>
      </c>
      <c r="M717" s="59">
        <f>ROUND(INDEX(DetailByDistrict[],MATCH($H717,DetailByDistrict[Dist],0),MATCH(M$2,DetailByDistrict[#Headers],0))*K717,2)</f>
        <v>71.27</v>
      </c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spans="1:26" ht="15.75" customHeight="1" x14ac:dyDescent="0.25">
      <c r="A718" s="53">
        <v>11</v>
      </c>
      <c r="B718" s="54" t="s">
        <v>1123</v>
      </c>
      <c r="C718" s="54" t="s">
        <v>826</v>
      </c>
      <c r="D718" s="53">
        <v>1737</v>
      </c>
      <c r="E718" s="53">
        <v>8014</v>
      </c>
      <c r="F718" s="54" t="s">
        <v>1134</v>
      </c>
      <c r="G718" s="53" t="s">
        <v>191</v>
      </c>
      <c r="H718" s="58" t="str">
        <f>_xlfn.IFNA(INDEX(ActiveSchools!$C$2:$F$326,MATCH(G718,ActiveSchools!$F$2:$F$326,0),1),"Total")</f>
        <v>1737</v>
      </c>
      <c r="I718" s="53">
        <v>135</v>
      </c>
      <c r="J718" s="59">
        <f>_xlfn.IFNA(INDEX(DetailByDistrict[],MATCH($H718,DetailByDistrict[Dist],0),MATCH(J$2,DetailByDistrict[#Headers],0)),0)</f>
        <v>2968</v>
      </c>
      <c r="K718" s="54">
        <f t="shared" si="11"/>
        <v>4.5485175202156336E-2</v>
      </c>
      <c r="L718" s="59">
        <f>ROUND(INDEX(DetailByDistrict[],MATCH($H718,DetailByDistrict[Dist],0),MATCH(L$2,DetailByDistrict[#Headers],0))*K718,2)</f>
        <v>8756.08</v>
      </c>
      <c r="M718" s="59">
        <f>ROUND(INDEX(DetailByDistrict[],MATCH($H718,DetailByDistrict[Dist],0),MATCH(M$2,DetailByDistrict[#Headers],0))*K718,2)</f>
        <v>9622.7999999999993</v>
      </c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spans="1:26" ht="15.75" customHeight="1" x14ac:dyDescent="0.25">
      <c r="A719" s="53">
        <v>11</v>
      </c>
      <c r="B719" s="54" t="s">
        <v>1123</v>
      </c>
      <c r="C719" s="54" t="s">
        <v>826</v>
      </c>
      <c r="D719" s="53">
        <v>1737</v>
      </c>
      <c r="E719" s="53">
        <v>8014</v>
      </c>
      <c r="F719" s="54" t="s">
        <v>1130</v>
      </c>
      <c r="G719" s="53" t="s">
        <v>205</v>
      </c>
      <c r="H719" s="58" t="str">
        <f>_xlfn.IFNA(INDEX(ActiveSchools!$C$2:$F$326,MATCH(G719,ActiveSchools!$F$2:$F$326,0),1),"Total")</f>
        <v>4617</v>
      </c>
      <c r="I719" s="53">
        <v>2</v>
      </c>
      <c r="J719" s="59">
        <f>_xlfn.IFNA(INDEX(DetailByDistrict[],MATCH($H719,DetailByDistrict[Dist],0),MATCH(J$2,DetailByDistrict[#Headers],0)),0)</f>
        <v>9</v>
      </c>
      <c r="K719" s="54">
        <f t="shared" si="11"/>
        <v>0.22222222222222221</v>
      </c>
      <c r="L719" s="59">
        <f>ROUND(INDEX(DetailByDistrict[],MATCH($H719,DetailByDistrict[Dist],0),MATCH(L$2,DetailByDistrict[#Headers],0))*K719,2)</f>
        <v>129.78</v>
      </c>
      <c r="M719" s="59">
        <f>ROUND(INDEX(DetailByDistrict[],MATCH($H719,DetailByDistrict[Dist],0),MATCH(M$2,DetailByDistrict[#Headers],0))*K719,2)</f>
        <v>142.66999999999999</v>
      </c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spans="1:26" ht="15.75" customHeight="1" x14ac:dyDescent="0.25">
      <c r="A720" s="53">
        <v>11</v>
      </c>
      <c r="B720" s="54" t="s">
        <v>1123</v>
      </c>
      <c r="C720" s="54" t="s">
        <v>826</v>
      </c>
      <c r="D720" s="53">
        <v>1737</v>
      </c>
      <c r="E720" s="53">
        <v>8014</v>
      </c>
      <c r="F720" s="54" t="s">
        <v>1142</v>
      </c>
      <c r="G720" s="53" t="s">
        <v>218</v>
      </c>
      <c r="H720" s="58" t="str">
        <f>_xlfn.IFNA(INDEX(ActiveSchools!$C$2:$F$326,MATCH(G720,ActiveSchools!$F$2:$F$326,0),1),"Total")</f>
        <v>6101</v>
      </c>
      <c r="I720" s="53">
        <v>5</v>
      </c>
      <c r="J720" s="59">
        <f>_xlfn.IFNA(INDEX(DetailByDistrict[],MATCH($H720,DetailByDistrict[Dist],0),MATCH(J$2,DetailByDistrict[#Headers],0)),0)</f>
        <v>431</v>
      </c>
      <c r="K720" s="54">
        <f t="shared" si="11"/>
        <v>1.1600928074245939E-2</v>
      </c>
      <c r="L720" s="59">
        <f>ROUND(INDEX(DetailByDistrict[],MATCH($H720,DetailByDistrict[Dist],0),MATCH(L$2,DetailByDistrict[#Headers],0))*K720,2)</f>
        <v>324.3</v>
      </c>
      <c r="M720" s="59">
        <f>ROUND(INDEX(DetailByDistrict[],MATCH($H720,DetailByDistrict[Dist],0),MATCH(M$2,DetailByDistrict[#Headers],0))*K720,2)</f>
        <v>356.4</v>
      </c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spans="1:26" ht="15.75" customHeight="1" x14ac:dyDescent="0.25">
      <c r="A721" s="53">
        <v>11</v>
      </c>
      <c r="B721" s="54" t="s">
        <v>1123</v>
      </c>
      <c r="C721" s="54" t="s">
        <v>826</v>
      </c>
      <c r="D721" s="53">
        <v>1737</v>
      </c>
      <c r="E721" s="53">
        <v>8014</v>
      </c>
      <c r="F721" s="54" t="s">
        <v>1139</v>
      </c>
      <c r="G721" s="53" t="s">
        <v>226</v>
      </c>
      <c r="H721" s="58" t="str">
        <f>_xlfn.IFNA(INDEX(ActiveSchools!$C$2:$F$326,MATCH(G721,ActiveSchools!$F$2:$F$326,0),1),"Total")</f>
        <v>6957</v>
      </c>
      <c r="I721" s="53">
        <v>3</v>
      </c>
      <c r="J721" s="59">
        <f>_xlfn.IFNA(INDEX(DetailByDistrict[],MATCH($H721,DetailByDistrict[Dist],0),MATCH(J$2,DetailByDistrict[#Headers],0)),0)</f>
        <v>1305</v>
      </c>
      <c r="K721" s="54">
        <f t="shared" si="11"/>
        <v>2.2988505747126436E-3</v>
      </c>
      <c r="L721" s="59">
        <f>ROUND(INDEX(DetailByDistrict[],MATCH($H721,DetailByDistrict[Dist],0),MATCH(L$2,DetailByDistrict[#Headers],0))*K721,2)</f>
        <v>194.58</v>
      </c>
      <c r="M721" s="59">
        <f>ROUND(INDEX(DetailByDistrict[],MATCH($H721,DetailByDistrict[Dist],0),MATCH(M$2,DetailByDistrict[#Headers],0))*K721,2)</f>
        <v>213.84</v>
      </c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spans="1:26" ht="15.75" customHeight="1" x14ac:dyDescent="0.25">
      <c r="A722" s="53">
        <v>11</v>
      </c>
      <c r="B722" s="54" t="s">
        <v>1123</v>
      </c>
      <c r="C722" s="54" t="s">
        <v>827</v>
      </c>
      <c r="D722" s="53">
        <v>1737</v>
      </c>
      <c r="E722" s="53">
        <v>8015</v>
      </c>
      <c r="F722" s="54" t="s">
        <v>1134</v>
      </c>
      <c r="G722" s="53" t="s">
        <v>191</v>
      </c>
      <c r="H722" s="58" t="str">
        <f>_xlfn.IFNA(INDEX(ActiveSchools!$C$2:$F$326,MATCH(G722,ActiveSchools!$F$2:$F$326,0),1),"Total")</f>
        <v>1737</v>
      </c>
      <c r="I722" s="53">
        <v>38</v>
      </c>
      <c r="J722" s="59">
        <f>_xlfn.IFNA(INDEX(DetailByDistrict[],MATCH($H722,DetailByDistrict[Dist],0),MATCH(J$2,DetailByDistrict[#Headers],0)),0)</f>
        <v>2968</v>
      </c>
      <c r="K722" s="54">
        <f t="shared" si="11"/>
        <v>1.2803234501347708E-2</v>
      </c>
      <c r="L722" s="59">
        <f>ROUND(INDEX(DetailByDistrict[],MATCH($H722,DetailByDistrict[Dist],0),MATCH(L$2,DetailByDistrict[#Headers],0))*K722,2)</f>
        <v>2464.67</v>
      </c>
      <c r="M722" s="59">
        <f>ROUND(INDEX(DetailByDistrict[],MATCH($H722,DetailByDistrict[Dist],0),MATCH(M$2,DetailByDistrict[#Headers],0))*K722,2)</f>
        <v>2708.64</v>
      </c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spans="1:26" ht="15.75" customHeight="1" x14ac:dyDescent="0.25">
      <c r="A723" s="53">
        <v>11</v>
      </c>
      <c r="B723" s="54" t="s">
        <v>1123</v>
      </c>
      <c r="C723" s="54" t="s">
        <v>827</v>
      </c>
      <c r="D723" s="53">
        <v>1737</v>
      </c>
      <c r="E723" s="53">
        <v>8015</v>
      </c>
      <c r="F723" s="54" t="s">
        <v>1142</v>
      </c>
      <c r="G723" s="53" t="s">
        <v>218</v>
      </c>
      <c r="H723" s="58" t="str">
        <f>_xlfn.IFNA(INDEX(ActiveSchools!$C$2:$F$326,MATCH(G723,ActiveSchools!$F$2:$F$326,0),1),"Total")</f>
        <v>6101</v>
      </c>
      <c r="I723" s="53">
        <v>3</v>
      </c>
      <c r="J723" s="59">
        <f>_xlfn.IFNA(INDEX(DetailByDistrict[],MATCH($H723,DetailByDistrict[Dist],0),MATCH(J$2,DetailByDistrict[#Headers],0)),0)</f>
        <v>431</v>
      </c>
      <c r="K723" s="54">
        <f t="shared" si="11"/>
        <v>6.9605568445475635E-3</v>
      </c>
      <c r="L723" s="59">
        <f>ROUND(INDEX(DetailByDistrict[],MATCH($H723,DetailByDistrict[Dist],0),MATCH(L$2,DetailByDistrict[#Headers],0))*K723,2)</f>
        <v>194.58</v>
      </c>
      <c r="M723" s="59">
        <f>ROUND(INDEX(DetailByDistrict[],MATCH($H723,DetailByDistrict[Dist],0),MATCH(M$2,DetailByDistrict[#Headers],0))*K723,2)</f>
        <v>213.84</v>
      </c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spans="1:26" ht="15.75" customHeight="1" x14ac:dyDescent="0.25">
      <c r="A724" s="53">
        <v>11</v>
      </c>
      <c r="B724" s="54" t="s">
        <v>1123</v>
      </c>
      <c r="C724" s="54" t="s">
        <v>828</v>
      </c>
      <c r="D724" s="53">
        <v>1737</v>
      </c>
      <c r="E724" s="53">
        <v>8016</v>
      </c>
      <c r="F724" s="54" t="s">
        <v>1134</v>
      </c>
      <c r="G724" s="53" t="s">
        <v>191</v>
      </c>
      <c r="H724" s="58" t="str">
        <f>_xlfn.IFNA(INDEX(ActiveSchools!$C$2:$F$326,MATCH(G724,ActiveSchools!$F$2:$F$326,0),1),"Total")</f>
        <v>1737</v>
      </c>
      <c r="I724" s="53">
        <v>31</v>
      </c>
      <c r="J724" s="59">
        <f>_xlfn.IFNA(INDEX(DetailByDistrict[],MATCH($H724,DetailByDistrict[Dist],0),MATCH(J$2,DetailByDistrict[#Headers],0)),0)</f>
        <v>2968</v>
      </c>
      <c r="K724" s="54">
        <f t="shared" si="11"/>
        <v>1.0444743935309973E-2</v>
      </c>
      <c r="L724" s="59">
        <f>ROUND(INDEX(DetailByDistrict[],MATCH($H724,DetailByDistrict[Dist],0),MATCH(L$2,DetailByDistrict[#Headers],0))*K724,2)</f>
        <v>2010.65</v>
      </c>
      <c r="M724" s="59">
        <f>ROUND(INDEX(DetailByDistrict[],MATCH($H724,DetailByDistrict[Dist],0),MATCH(M$2,DetailByDistrict[#Headers],0))*K724,2)</f>
        <v>2209.6799999999998</v>
      </c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spans="1:26" ht="15.75" customHeight="1" x14ac:dyDescent="0.25">
      <c r="A725" s="53">
        <v>11</v>
      </c>
      <c r="B725" s="54" t="s">
        <v>1123</v>
      </c>
      <c r="C725" s="54" t="s">
        <v>828</v>
      </c>
      <c r="D725" s="53">
        <v>1737</v>
      </c>
      <c r="E725" s="53">
        <v>8016</v>
      </c>
      <c r="F725" s="54" t="s">
        <v>1135</v>
      </c>
      <c r="G725" s="53" t="s">
        <v>199</v>
      </c>
      <c r="H725" s="58" t="str">
        <f>_xlfn.IFNA(INDEX(ActiveSchools!$C$2:$F$326,MATCH(G725,ActiveSchools!$F$2:$F$326,0),1),"Total")</f>
        <v>3231</v>
      </c>
      <c r="I725" s="53">
        <v>1</v>
      </c>
      <c r="J725" s="59">
        <f>_xlfn.IFNA(INDEX(DetailByDistrict[],MATCH($H725,DetailByDistrict[Dist],0),MATCH(J$2,DetailByDistrict[#Headers],0)),0)</f>
        <v>509</v>
      </c>
      <c r="K725" s="54">
        <f t="shared" si="11"/>
        <v>1.9646365422396855E-3</v>
      </c>
      <c r="L725" s="59">
        <f>ROUND(INDEX(DetailByDistrict[],MATCH($H725,DetailByDistrict[Dist],0),MATCH(L$2,DetailByDistrict[#Headers],0))*K725,2)</f>
        <v>64.86</v>
      </c>
      <c r="M725" s="59">
        <f>ROUND(INDEX(DetailByDistrict[],MATCH($H725,DetailByDistrict[Dist],0),MATCH(M$2,DetailByDistrict[#Headers],0))*K725,2)</f>
        <v>71.28</v>
      </c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spans="1:26" ht="15.75" customHeight="1" x14ac:dyDescent="0.25">
      <c r="A726" s="53">
        <v>11</v>
      </c>
      <c r="B726" s="54" t="s">
        <v>1123</v>
      </c>
      <c r="C726" s="54" t="s">
        <v>828</v>
      </c>
      <c r="D726" s="53">
        <v>1737</v>
      </c>
      <c r="E726" s="53">
        <v>8016</v>
      </c>
      <c r="F726" s="54" t="s">
        <v>1142</v>
      </c>
      <c r="G726" s="53" t="s">
        <v>218</v>
      </c>
      <c r="H726" s="58" t="str">
        <f>_xlfn.IFNA(INDEX(ActiveSchools!$C$2:$F$326,MATCH(G726,ActiveSchools!$F$2:$F$326,0),1),"Total")</f>
        <v>6101</v>
      </c>
      <c r="I726" s="53">
        <v>2</v>
      </c>
      <c r="J726" s="59">
        <f>_xlfn.IFNA(INDEX(DetailByDistrict[],MATCH($H726,DetailByDistrict[Dist],0),MATCH(J$2,DetailByDistrict[#Headers],0)),0)</f>
        <v>431</v>
      </c>
      <c r="K726" s="54">
        <f t="shared" si="11"/>
        <v>4.6403712296983757E-3</v>
      </c>
      <c r="L726" s="59">
        <f>ROUND(INDEX(DetailByDistrict[],MATCH($H726,DetailByDistrict[Dist],0),MATCH(L$2,DetailByDistrict[#Headers],0))*K726,2)</f>
        <v>129.72</v>
      </c>
      <c r="M726" s="59">
        <f>ROUND(INDEX(DetailByDistrict[],MATCH($H726,DetailByDistrict[Dist],0),MATCH(M$2,DetailByDistrict[#Headers],0))*K726,2)</f>
        <v>142.56</v>
      </c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spans="1:26" ht="15.75" customHeight="1" x14ac:dyDescent="0.25">
      <c r="A727" s="53">
        <v>11</v>
      </c>
      <c r="B727" s="54" t="s">
        <v>1123</v>
      </c>
      <c r="C727" s="54" t="s">
        <v>828</v>
      </c>
      <c r="D727" s="53">
        <v>1737</v>
      </c>
      <c r="E727" s="53">
        <v>8016</v>
      </c>
      <c r="F727" s="54" t="s">
        <v>1145</v>
      </c>
      <c r="G727" s="53" t="s">
        <v>222</v>
      </c>
      <c r="H727" s="58" t="str">
        <f>_xlfn.IFNA(INDEX(ActiveSchools!$C$2:$F$326,MATCH(G727,ActiveSchools!$F$2:$F$326,0),1),"Total")</f>
        <v>6579</v>
      </c>
      <c r="I727" s="53">
        <v>5</v>
      </c>
      <c r="J727" s="59">
        <f>_xlfn.IFNA(INDEX(DetailByDistrict[],MATCH($H727,DetailByDistrict[Dist],0),MATCH(J$2,DetailByDistrict[#Headers],0)),0)</f>
        <v>484</v>
      </c>
      <c r="K727" s="54">
        <f t="shared" si="11"/>
        <v>1.0330578512396695E-2</v>
      </c>
      <c r="L727" s="59">
        <f>ROUND(INDEX(DetailByDistrict[],MATCH($H727,DetailByDistrict[Dist],0),MATCH(L$2,DetailByDistrict[#Headers],0))*K727,2)</f>
        <v>324.3</v>
      </c>
      <c r="M727" s="59">
        <f>ROUND(INDEX(DetailByDistrict[],MATCH($H727,DetailByDistrict[Dist],0),MATCH(M$2,DetailByDistrict[#Headers],0))*K727,2)</f>
        <v>356.4</v>
      </c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spans="1:26" ht="15.75" customHeight="1" x14ac:dyDescent="0.25">
      <c r="A728" s="53">
        <v>11</v>
      </c>
      <c r="B728" s="54" t="s">
        <v>1123</v>
      </c>
      <c r="C728" s="54" t="s">
        <v>829</v>
      </c>
      <c r="D728" s="53">
        <v>1737</v>
      </c>
      <c r="E728" s="53">
        <v>8106</v>
      </c>
      <c r="F728" s="54" t="s">
        <v>1125</v>
      </c>
      <c r="G728" s="57" t="s">
        <v>178</v>
      </c>
      <c r="H728" s="58" t="str">
        <f>_xlfn.IFNA(INDEX(ActiveSchools!$C$2:$F$326,MATCH(G728,ActiveSchools!$F$2:$F$326,0),1),"Total")</f>
        <v>0261</v>
      </c>
      <c r="I728" s="53">
        <v>8</v>
      </c>
      <c r="J728" s="59">
        <f>_xlfn.IFNA(INDEX(DetailByDistrict[],MATCH($H728,DetailByDistrict[Dist],0),MATCH(J$2,DetailByDistrict[#Headers],0)),0)</f>
        <v>1188</v>
      </c>
      <c r="K728" s="54">
        <f t="shared" si="11"/>
        <v>6.7340067340067337E-3</v>
      </c>
      <c r="L728" s="59">
        <f>ROUND(INDEX(DetailByDistrict[],MATCH($H728,DetailByDistrict[Dist],0),MATCH(L$2,DetailByDistrict[#Headers],0))*K728,2)</f>
        <v>518.88</v>
      </c>
      <c r="M728" s="59">
        <f>ROUND(INDEX(DetailByDistrict[],MATCH($H728,DetailByDistrict[Dist],0),MATCH(M$2,DetailByDistrict[#Headers],0))*K728,2)</f>
        <v>570.24</v>
      </c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spans="1:26" ht="15.75" customHeight="1" x14ac:dyDescent="0.25">
      <c r="A729" s="53">
        <v>11</v>
      </c>
      <c r="B729" s="54" t="s">
        <v>1123</v>
      </c>
      <c r="C729" s="54" t="s">
        <v>829</v>
      </c>
      <c r="D729" s="53">
        <v>1737</v>
      </c>
      <c r="E729" s="53">
        <v>8106</v>
      </c>
      <c r="F729" s="54" t="s">
        <v>1151</v>
      </c>
      <c r="G729" s="57" t="s">
        <v>184</v>
      </c>
      <c r="H729" s="58" t="str">
        <f>_xlfn.IFNA(INDEX(ActiveSchools!$C$2:$F$326,MATCH(G729,ActiveSchools!$F$2:$F$326,0),1),"Total")</f>
        <v>0981</v>
      </c>
      <c r="I729" s="53">
        <v>4</v>
      </c>
      <c r="J729" s="59">
        <f>_xlfn.IFNA(INDEX(DetailByDistrict[],MATCH($H729,DetailByDistrict[Dist],0),MATCH(J$2,DetailByDistrict[#Headers],0)),0)</f>
        <v>68</v>
      </c>
      <c r="K729" s="54">
        <f t="shared" si="11"/>
        <v>5.8823529411764705E-2</v>
      </c>
      <c r="L729" s="59">
        <f>ROUND(INDEX(DetailByDistrict[],MATCH($H729,DetailByDistrict[Dist],0),MATCH(L$2,DetailByDistrict[#Headers],0))*K729,2)</f>
        <v>259.41000000000003</v>
      </c>
      <c r="M729" s="59">
        <f>ROUND(INDEX(DetailByDistrict[],MATCH($H729,DetailByDistrict[Dist],0),MATCH(M$2,DetailByDistrict[#Headers],0))*K729,2)</f>
        <v>285.12</v>
      </c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spans="1:26" ht="15.75" customHeight="1" x14ac:dyDescent="0.25">
      <c r="A730" s="53">
        <v>11</v>
      </c>
      <c r="B730" s="54" t="s">
        <v>1123</v>
      </c>
      <c r="C730" s="54" t="s">
        <v>829</v>
      </c>
      <c r="D730" s="53">
        <v>1737</v>
      </c>
      <c r="E730" s="53">
        <v>8106</v>
      </c>
      <c r="F730" s="54" t="s">
        <v>1144</v>
      </c>
      <c r="G730" s="53" t="s">
        <v>190</v>
      </c>
      <c r="H730" s="58" t="str">
        <f>_xlfn.IFNA(INDEX(ActiveSchools!$C$2:$F$326,MATCH(G730,ActiveSchools!$F$2:$F$326,0),1),"Total")</f>
        <v>1576</v>
      </c>
      <c r="I730" s="53">
        <v>1</v>
      </c>
      <c r="J730" s="59">
        <f>_xlfn.IFNA(INDEX(DetailByDistrict[],MATCH($H730,DetailByDistrict[Dist],0),MATCH(J$2,DetailByDistrict[#Headers],0)),0)</f>
        <v>123</v>
      </c>
      <c r="K730" s="54">
        <f t="shared" si="11"/>
        <v>8.130081300813009E-3</v>
      </c>
      <c r="L730" s="59">
        <f>ROUND(INDEX(DetailByDistrict[],MATCH($H730,DetailByDistrict[Dist],0),MATCH(L$2,DetailByDistrict[#Headers],0))*K730,2)</f>
        <v>64.86</v>
      </c>
      <c r="M730" s="59">
        <f>ROUND(INDEX(DetailByDistrict[],MATCH($H730,DetailByDistrict[Dist],0),MATCH(M$2,DetailByDistrict[#Headers],0))*K730,2)</f>
        <v>71.28</v>
      </c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spans="1:26" ht="15.75" customHeight="1" x14ac:dyDescent="0.25">
      <c r="A731" s="53">
        <v>11</v>
      </c>
      <c r="B731" s="54" t="s">
        <v>1123</v>
      </c>
      <c r="C731" s="54" t="s">
        <v>829</v>
      </c>
      <c r="D731" s="53">
        <v>1737</v>
      </c>
      <c r="E731" s="53">
        <v>8106</v>
      </c>
      <c r="F731" s="54" t="s">
        <v>1134</v>
      </c>
      <c r="G731" s="53" t="s">
        <v>191</v>
      </c>
      <c r="H731" s="58" t="str">
        <f>_xlfn.IFNA(INDEX(ActiveSchools!$C$2:$F$326,MATCH(G731,ActiveSchools!$F$2:$F$326,0),1),"Total")</f>
        <v>1737</v>
      </c>
      <c r="I731" s="53">
        <v>327</v>
      </c>
      <c r="J731" s="59">
        <f>_xlfn.IFNA(INDEX(DetailByDistrict[],MATCH($H731,DetailByDistrict[Dist],0),MATCH(J$2,DetailByDistrict[#Headers],0)),0)</f>
        <v>2968</v>
      </c>
      <c r="K731" s="54">
        <f t="shared" si="11"/>
        <v>0.11017520215633424</v>
      </c>
      <c r="L731" s="59">
        <f>ROUND(INDEX(DetailByDistrict[],MATCH($H731,DetailByDistrict[Dist],0),MATCH(L$2,DetailByDistrict[#Headers],0))*K731,2)</f>
        <v>21209.17</v>
      </c>
      <c r="M731" s="59">
        <f>ROUND(INDEX(DetailByDistrict[],MATCH($H731,DetailByDistrict[Dist],0),MATCH(M$2,DetailByDistrict[#Headers],0))*K731,2)</f>
        <v>23308.560000000001</v>
      </c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spans="1:26" ht="15.75" customHeight="1" x14ac:dyDescent="0.25">
      <c r="A732" s="53">
        <v>11</v>
      </c>
      <c r="B732" s="54" t="s">
        <v>1123</v>
      </c>
      <c r="C732" s="54" t="s">
        <v>829</v>
      </c>
      <c r="D732" s="53">
        <v>1737</v>
      </c>
      <c r="E732" s="53">
        <v>8106</v>
      </c>
      <c r="F732" s="54" t="s">
        <v>1152</v>
      </c>
      <c r="G732" s="53" t="s">
        <v>197</v>
      </c>
      <c r="H732" s="58" t="str">
        <f>_xlfn.IFNA(INDEX(ActiveSchools!$C$2:$F$326,MATCH(G732,ActiveSchools!$F$2:$F$326,0),1),"Total")</f>
        <v>3114</v>
      </c>
      <c r="I732" s="53">
        <v>2</v>
      </c>
      <c r="J732" s="59">
        <f>_xlfn.IFNA(INDEX(DetailByDistrict[],MATCH($H732,DetailByDistrict[Dist],0),MATCH(J$2,DetailByDistrict[#Headers],0)),0)</f>
        <v>145</v>
      </c>
      <c r="K732" s="54">
        <f t="shared" si="11"/>
        <v>1.3793103448275862E-2</v>
      </c>
      <c r="L732" s="59">
        <f>ROUND(INDEX(DetailByDistrict[],MATCH($H732,DetailByDistrict[Dist],0),MATCH(L$2,DetailByDistrict[#Headers],0))*K732,2)</f>
        <v>129.72</v>
      </c>
      <c r="M732" s="59">
        <f>ROUND(INDEX(DetailByDistrict[],MATCH($H732,DetailByDistrict[Dist],0),MATCH(M$2,DetailByDistrict[#Headers],0))*K732,2)</f>
        <v>142.57</v>
      </c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spans="1:26" ht="15.75" customHeight="1" x14ac:dyDescent="0.25">
      <c r="A733" s="53">
        <v>11</v>
      </c>
      <c r="B733" s="54" t="s">
        <v>1123</v>
      </c>
      <c r="C733" s="54" t="s">
        <v>829</v>
      </c>
      <c r="D733" s="53">
        <v>1737</v>
      </c>
      <c r="E733" s="53">
        <v>8106</v>
      </c>
      <c r="F733" s="54" t="s">
        <v>1135</v>
      </c>
      <c r="G733" s="53" t="s">
        <v>199</v>
      </c>
      <c r="H733" s="58" t="str">
        <f>_xlfn.IFNA(INDEX(ActiveSchools!$C$2:$F$326,MATCH(G733,ActiveSchools!$F$2:$F$326,0),1),"Total")</f>
        <v>3231</v>
      </c>
      <c r="I733" s="53">
        <v>2</v>
      </c>
      <c r="J733" s="59">
        <f>_xlfn.IFNA(INDEX(DetailByDistrict[],MATCH($H733,DetailByDistrict[Dist],0),MATCH(J$2,DetailByDistrict[#Headers],0)),0)</f>
        <v>509</v>
      </c>
      <c r="K733" s="54">
        <f t="shared" si="11"/>
        <v>3.929273084479371E-3</v>
      </c>
      <c r="L733" s="59">
        <f>ROUND(INDEX(DetailByDistrict[],MATCH($H733,DetailByDistrict[Dist],0),MATCH(L$2,DetailByDistrict[#Headers],0))*K733,2)</f>
        <v>129.72</v>
      </c>
      <c r="M733" s="59">
        <f>ROUND(INDEX(DetailByDistrict[],MATCH($H733,DetailByDistrict[Dist],0),MATCH(M$2,DetailByDistrict[#Headers],0))*K733,2)</f>
        <v>142.56</v>
      </c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spans="1:26" ht="15.75" customHeight="1" x14ac:dyDescent="0.25">
      <c r="A734" s="53">
        <v>11</v>
      </c>
      <c r="B734" s="54" t="s">
        <v>1123</v>
      </c>
      <c r="C734" s="54" t="s">
        <v>829</v>
      </c>
      <c r="D734" s="53">
        <v>1737</v>
      </c>
      <c r="E734" s="53">
        <v>8106</v>
      </c>
      <c r="F734" s="54" t="s">
        <v>1153</v>
      </c>
      <c r="G734" s="53" t="s">
        <v>208</v>
      </c>
      <c r="H734" s="58" t="str">
        <f>_xlfn.IFNA(INDEX(ActiveSchools!$C$2:$F$326,MATCH(G734,ActiveSchools!$F$2:$F$326,0),1),"Total")</f>
        <v>4797</v>
      </c>
      <c r="I734" s="53">
        <v>4</v>
      </c>
      <c r="J734" s="59">
        <f>_xlfn.IFNA(INDEX(DetailByDistrict[],MATCH($H734,DetailByDistrict[Dist],0),MATCH(J$2,DetailByDistrict[#Headers],0)),0)</f>
        <v>161</v>
      </c>
      <c r="K734" s="54">
        <f t="shared" si="11"/>
        <v>2.4844720496894408E-2</v>
      </c>
      <c r="L734" s="59">
        <f>ROUND(INDEX(DetailByDistrict[],MATCH($H734,DetailByDistrict[Dist],0),MATCH(L$2,DetailByDistrict[#Headers],0))*K734,2)</f>
        <v>259.43</v>
      </c>
      <c r="M734" s="59">
        <f>ROUND(INDEX(DetailByDistrict[],MATCH($H734,DetailByDistrict[Dist],0),MATCH(M$2,DetailByDistrict[#Headers],0))*K734,2)</f>
        <v>285.12</v>
      </c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spans="1:26" ht="15.75" customHeight="1" x14ac:dyDescent="0.25">
      <c r="A735" s="53">
        <v>11</v>
      </c>
      <c r="B735" s="54" t="s">
        <v>1123</v>
      </c>
      <c r="C735" s="54" t="s">
        <v>829</v>
      </c>
      <c r="D735" s="53">
        <v>1737</v>
      </c>
      <c r="E735" s="53">
        <v>8106</v>
      </c>
      <c r="F735" s="54" t="s">
        <v>1142</v>
      </c>
      <c r="G735" s="53" t="s">
        <v>218</v>
      </c>
      <c r="H735" s="58" t="str">
        <f>_xlfn.IFNA(INDEX(ActiveSchools!$C$2:$F$326,MATCH(G735,ActiveSchools!$F$2:$F$326,0),1),"Total")</f>
        <v>6101</v>
      </c>
      <c r="I735" s="53">
        <v>4</v>
      </c>
      <c r="J735" s="59">
        <f>_xlfn.IFNA(INDEX(DetailByDistrict[],MATCH($H735,DetailByDistrict[Dist],0),MATCH(J$2,DetailByDistrict[#Headers],0)),0)</f>
        <v>431</v>
      </c>
      <c r="K735" s="54">
        <f t="shared" si="11"/>
        <v>9.2807424593967514E-3</v>
      </c>
      <c r="L735" s="59">
        <f>ROUND(INDEX(DetailByDistrict[],MATCH($H735,DetailByDistrict[Dist],0),MATCH(L$2,DetailByDistrict[#Headers],0))*K735,2)</f>
        <v>259.44</v>
      </c>
      <c r="M735" s="59">
        <f>ROUND(INDEX(DetailByDistrict[],MATCH($H735,DetailByDistrict[Dist],0),MATCH(M$2,DetailByDistrict[#Headers],0))*K735,2)</f>
        <v>285.12</v>
      </c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spans="1:26" ht="15.75" customHeight="1" x14ac:dyDescent="0.25">
      <c r="A736" s="53">
        <v>11</v>
      </c>
      <c r="B736" s="54" t="s">
        <v>1123</v>
      </c>
      <c r="C736" s="54" t="s">
        <v>829</v>
      </c>
      <c r="D736" s="53">
        <v>1737</v>
      </c>
      <c r="E736" s="53">
        <v>8106</v>
      </c>
      <c r="F736" s="54" t="s">
        <v>1145</v>
      </c>
      <c r="G736" s="53" t="s">
        <v>222</v>
      </c>
      <c r="H736" s="58" t="str">
        <f>_xlfn.IFNA(INDEX(ActiveSchools!$C$2:$F$326,MATCH(G736,ActiveSchools!$F$2:$F$326,0),1),"Total")</f>
        <v>6579</v>
      </c>
      <c r="I736" s="53">
        <v>2</v>
      </c>
      <c r="J736" s="59">
        <f>_xlfn.IFNA(INDEX(DetailByDistrict[],MATCH($H736,DetailByDistrict[Dist],0),MATCH(J$2,DetailByDistrict[#Headers],0)),0)</f>
        <v>484</v>
      </c>
      <c r="K736" s="54">
        <f t="shared" si="11"/>
        <v>4.1322314049586778E-3</v>
      </c>
      <c r="L736" s="59">
        <f>ROUND(INDEX(DetailByDistrict[],MATCH($H736,DetailByDistrict[Dist],0),MATCH(L$2,DetailByDistrict[#Headers],0))*K736,2)</f>
        <v>129.72</v>
      </c>
      <c r="M736" s="59">
        <f>ROUND(INDEX(DetailByDistrict[],MATCH($H736,DetailByDistrict[Dist],0),MATCH(M$2,DetailByDistrict[#Headers],0))*K736,2)</f>
        <v>142.56</v>
      </c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spans="1:26" ht="15.75" customHeight="1" x14ac:dyDescent="0.25">
      <c r="A737" s="53">
        <v>11</v>
      </c>
      <c r="B737" s="54" t="s">
        <v>1123</v>
      </c>
      <c r="C737" s="54" t="s">
        <v>829</v>
      </c>
      <c r="D737" s="53">
        <v>1737</v>
      </c>
      <c r="E737" s="53">
        <v>8106</v>
      </c>
      <c r="F737" s="54" t="s">
        <v>1138</v>
      </c>
      <c r="G737" s="53" t="s">
        <v>224</v>
      </c>
      <c r="H737" s="58" t="str">
        <f>_xlfn.IFNA(INDEX(ActiveSchools!$C$2:$F$326,MATCH(G737,ActiveSchools!$F$2:$F$326,0),1),"Total")</f>
        <v>6822</v>
      </c>
      <c r="I737" s="53">
        <v>6</v>
      </c>
      <c r="J737" s="59">
        <f>_xlfn.IFNA(INDEX(DetailByDistrict[],MATCH($H737,DetailByDistrict[Dist],0),MATCH(J$2,DetailByDistrict[#Headers],0)),0)</f>
        <v>1399</v>
      </c>
      <c r="K737" s="54">
        <f t="shared" si="11"/>
        <v>4.2887776983559682E-3</v>
      </c>
      <c r="L737" s="59">
        <f>ROUND(INDEX(DetailByDistrict[],MATCH($H737,DetailByDistrict[Dist],0),MATCH(L$2,DetailByDistrict[#Headers],0))*K737,2)</f>
        <v>389.16</v>
      </c>
      <c r="M737" s="59">
        <f>ROUND(INDEX(DetailByDistrict[],MATCH($H737,DetailByDistrict[Dist],0),MATCH(M$2,DetailByDistrict[#Headers],0))*K737,2)</f>
        <v>427.68</v>
      </c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spans="1:26" ht="15.75" customHeight="1" x14ac:dyDescent="0.25">
      <c r="A738" s="53">
        <v>11</v>
      </c>
      <c r="B738" s="54" t="s">
        <v>1123</v>
      </c>
      <c r="C738" s="54" t="s">
        <v>829</v>
      </c>
      <c r="D738" s="53">
        <v>1737</v>
      </c>
      <c r="E738" s="53">
        <v>8106</v>
      </c>
      <c r="F738" s="54" t="s">
        <v>1139</v>
      </c>
      <c r="G738" s="53" t="s">
        <v>226</v>
      </c>
      <c r="H738" s="58" t="str">
        <f>_xlfn.IFNA(INDEX(ActiveSchools!$C$2:$F$326,MATCH(G738,ActiveSchools!$F$2:$F$326,0),1),"Total")</f>
        <v>6957</v>
      </c>
      <c r="I738" s="53">
        <v>11</v>
      </c>
      <c r="J738" s="59">
        <f>_xlfn.IFNA(INDEX(DetailByDistrict[],MATCH($H738,DetailByDistrict[Dist],0),MATCH(J$2,DetailByDistrict[#Headers],0)),0)</f>
        <v>1305</v>
      </c>
      <c r="K738" s="54">
        <f t="shared" si="11"/>
        <v>8.4291187739463595E-3</v>
      </c>
      <c r="L738" s="59">
        <f>ROUND(INDEX(DetailByDistrict[],MATCH($H738,DetailByDistrict[Dist],0),MATCH(L$2,DetailByDistrict[#Headers],0))*K738,2)</f>
        <v>713.46</v>
      </c>
      <c r="M738" s="59">
        <f>ROUND(INDEX(DetailByDistrict[],MATCH($H738,DetailByDistrict[Dist],0),MATCH(M$2,DetailByDistrict[#Headers],0))*K738,2)</f>
        <v>784.08</v>
      </c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spans="1:26" ht="15.75" customHeight="1" x14ac:dyDescent="0.25">
      <c r="A739" s="53">
        <v>11</v>
      </c>
      <c r="B739" s="54" t="s">
        <v>1123</v>
      </c>
      <c r="C739" s="54" t="s">
        <v>830</v>
      </c>
      <c r="D739" s="53">
        <v>1737</v>
      </c>
      <c r="E739" s="53">
        <v>8107</v>
      </c>
      <c r="F739" s="54" t="s">
        <v>1125</v>
      </c>
      <c r="G739" s="57" t="s">
        <v>178</v>
      </c>
      <c r="H739" s="58" t="str">
        <f>_xlfn.IFNA(INDEX(ActiveSchools!$C$2:$F$326,MATCH(G739,ActiveSchools!$F$2:$F$326,0),1),"Total")</f>
        <v>0261</v>
      </c>
      <c r="I739" s="53">
        <v>4</v>
      </c>
      <c r="J739" s="59">
        <f>_xlfn.IFNA(INDEX(DetailByDistrict[],MATCH($H739,DetailByDistrict[Dist],0),MATCH(J$2,DetailByDistrict[#Headers],0)),0)</f>
        <v>1188</v>
      </c>
      <c r="K739" s="54">
        <f t="shared" si="11"/>
        <v>3.3670033670033669E-3</v>
      </c>
      <c r="L739" s="59">
        <f>ROUND(INDEX(DetailByDistrict[],MATCH($H739,DetailByDistrict[Dist],0),MATCH(L$2,DetailByDistrict[#Headers],0))*K739,2)</f>
        <v>259.44</v>
      </c>
      <c r="M739" s="59">
        <f>ROUND(INDEX(DetailByDistrict[],MATCH($H739,DetailByDistrict[Dist],0),MATCH(M$2,DetailByDistrict[#Headers],0))*K739,2)</f>
        <v>285.12</v>
      </c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spans="1:26" ht="15.75" customHeight="1" x14ac:dyDescent="0.25">
      <c r="A740" s="53">
        <v>11</v>
      </c>
      <c r="B740" s="54" t="s">
        <v>1123</v>
      </c>
      <c r="C740" s="54" t="s">
        <v>830</v>
      </c>
      <c r="D740" s="53">
        <v>1737</v>
      </c>
      <c r="E740" s="53">
        <v>8107</v>
      </c>
      <c r="F740" s="54" t="s">
        <v>1144</v>
      </c>
      <c r="G740" s="53" t="s">
        <v>190</v>
      </c>
      <c r="H740" s="58" t="str">
        <f>_xlfn.IFNA(INDEX(ActiveSchools!$C$2:$F$326,MATCH(G740,ActiveSchools!$F$2:$F$326,0),1),"Total")</f>
        <v>1576</v>
      </c>
      <c r="I740" s="53">
        <v>1</v>
      </c>
      <c r="J740" s="59">
        <f>_xlfn.IFNA(INDEX(DetailByDistrict[],MATCH($H740,DetailByDistrict[Dist],0),MATCH(J$2,DetailByDistrict[#Headers],0)),0)</f>
        <v>123</v>
      </c>
      <c r="K740" s="54">
        <f t="shared" si="11"/>
        <v>8.130081300813009E-3</v>
      </c>
      <c r="L740" s="59">
        <f>ROUND(INDEX(DetailByDistrict[],MATCH($H740,DetailByDistrict[Dist],0),MATCH(L$2,DetailByDistrict[#Headers],0))*K740,2)</f>
        <v>64.86</v>
      </c>
      <c r="M740" s="59">
        <f>ROUND(INDEX(DetailByDistrict[],MATCH($H740,DetailByDistrict[Dist],0),MATCH(M$2,DetailByDistrict[#Headers],0))*K740,2)</f>
        <v>71.28</v>
      </c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spans="1:26" ht="15.75" customHeight="1" x14ac:dyDescent="0.25">
      <c r="A741" s="53">
        <v>11</v>
      </c>
      <c r="B741" s="54" t="s">
        <v>1123</v>
      </c>
      <c r="C741" s="54" t="s">
        <v>830</v>
      </c>
      <c r="D741" s="53">
        <v>1737</v>
      </c>
      <c r="E741" s="53">
        <v>8107</v>
      </c>
      <c r="F741" s="54" t="s">
        <v>1134</v>
      </c>
      <c r="G741" s="53" t="s">
        <v>191</v>
      </c>
      <c r="H741" s="58" t="str">
        <f>_xlfn.IFNA(INDEX(ActiveSchools!$C$2:$F$326,MATCH(G741,ActiveSchools!$F$2:$F$326,0),1),"Total")</f>
        <v>1737</v>
      </c>
      <c r="I741" s="53">
        <v>233</v>
      </c>
      <c r="J741" s="59">
        <f>_xlfn.IFNA(INDEX(DetailByDistrict[],MATCH($H741,DetailByDistrict[Dist],0),MATCH(J$2,DetailByDistrict[#Headers],0)),0)</f>
        <v>2968</v>
      </c>
      <c r="K741" s="54">
        <f t="shared" si="11"/>
        <v>7.8504043126684631E-2</v>
      </c>
      <c r="L741" s="59">
        <f>ROUND(INDEX(DetailByDistrict[],MATCH($H741,DetailByDistrict[Dist],0),MATCH(L$2,DetailByDistrict[#Headers],0))*K741,2)</f>
        <v>15112.34</v>
      </c>
      <c r="M741" s="59">
        <f>ROUND(INDEX(DetailByDistrict[],MATCH($H741,DetailByDistrict[Dist],0),MATCH(M$2,DetailByDistrict[#Headers],0))*K741,2)</f>
        <v>16608.240000000002</v>
      </c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spans="1:26" ht="15.75" customHeight="1" x14ac:dyDescent="0.25">
      <c r="A742" s="53">
        <v>11</v>
      </c>
      <c r="B742" s="54" t="s">
        <v>1123</v>
      </c>
      <c r="C742" s="54" t="s">
        <v>830</v>
      </c>
      <c r="D742" s="53">
        <v>1737</v>
      </c>
      <c r="E742" s="53">
        <v>8107</v>
      </c>
      <c r="F742" s="54" t="s">
        <v>1152</v>
      </c>
      <c r="G742" s="53" t="s">
        <v>197</v>
      </c>
      <c r="H742" s="58" t="str">
        <f>_xlfn.IFNA(INDEX(ActiveSchools!$C$2:$F$326,MATCH(G742,ActiveSchools!$F$2:$F$326,0),1),"Total")</f>
        <v>3114</v>
      </c>
      <c r="I742" s="53">
        <v>1</v>
      </c>
      <c r="J742" s="59">
        <f>_xlfn.IFNA(INDEX(DetailByDistrict[],MATCH($H742,DetailByDistrict[Dist],0),MATCH(J$2,DetailByDistrict[#Headers],0)),0)</f>
        <v>145</v>
      </c>
      <c r="K742" s="54">
        <f t="shared" si="11"/>
        <v>6.8965517241379309E-3</v>
      </c>
      <c r="L742" s="59">
        <f>ROUND(INDEX(DetailByDistrict[],MATCH($H742,DetailByDistrict[Dist],0),MATCH(L$2,DetailByDistrict[#Headers],0))*K742,2)</f>
        <v>64.86</v>
      </c>
      <c r="M742" s="59">
        <f>ROUND(INDEX(DetailByDistrict[],MATCH($H742,DetailByDistrict[Dist],0),MATCH(M$2,DetailByDistrict[#Headers],0))*K742,2)</f>
        <v>71.28</v>
      </c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spans="1:26" ht="15.75" customHeight="1" x14ac:dyDescent="0.25">
      <c r="A743" s="53">
        <v>11</v>
      </c>
      <c r="B743" s="54" t="s">
        <v>1123</v>
      </c>
      <c r="C743" s="54" t="s">
        <v>830</v>
      </c>
      <c r="D743" s="53">
        <v>1737</v>
      </c>
      <c r="E743" s="53">
        <v>8107</v>
      </c>
      <c r="F743" s="54" t="s">
        <v>1135</v>
      </c>
      <c r="G743" s="53" t="s">
        <v>199</v>
      </c>
      <c r="H743" s="58" t="str">
        <f>_xlfn.IFNA(INDEX(ActiveSchools!$C$2:$F$326,MATCH(G743,ActiveSchools!$F$2:$F$326,0),1),"Total")</f>
        <v>3231</v>
      </c>
      <c r="I743" s="53">
        <v>3</v>
      </c>
      <c r="J743" s="59">
        <f>_xlfn.IFNA(INDEX(DetailByDistrict[],MATCH($H743,DetailByDistrict[Dist],0),MATCH(J$2,DetailByDistrict[#Headers],0)),0)</f>
        <v>509</v>
      </c>
      <c r="K743" s="54">
        <f t="shared" si="11"/>
        <v>5.893909626719057E-3</v>
      </c>
      <c r="L743" s="59">
        <f>ROUND(INDEX(DetailByDistrict[],MATCH($H743,DetailByDistrict[Dist],0),MATCH(L$2,DetailByDistrict[#Headers],0))*K743,2)</f>
        <v>194.58</v>
      </c>
      <c r="M743" s="59">
        <f>ROUND(INDEX(DetailByDistrict[],MATCH($H743,DetailByDistrict[Dist],0),MATCH(M$2,DetailByDistrict[#Headers],0))*K743,2)</f>
        <v>213.84</v>
      </c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spans="1:26" ht="15.75" customHeight="1" x14ac:dyDescent="0.25">
      <c r="A744" s="53">
        <v>11</v>
      </c>
      <c r="B744" s="54" t="s">
        <v>1123</v>
      </c>
      <c r="C744" s="54" t="s">
        <v>830</v>
      </c>
      <c r="D744" s="53">
        <v>1737</v>
      </c>
      <c r="E744" s="53">
        <v>8107</v>
      </c>
      <c r="F744" s="54" t="s">
        <v>1153</v>
      </c>
      <c r="G744" s="53" t="s">
        <v>208</v>
      </c>
      <c r="H744" s="58" t="str">
        <f>_xlfn.IFNA(INDEX(ActiveSchools!$C$2:$F$326,MATCH(G744,ActiveSchools!$F$2:$F$326,0),1),"Total")</f>
        <v>4797</v>
      </c>
      <c r="I744" s="53">
        <v>5</v>
      </c>
      <c r="J744" s="59">
        <f>_xlfn.IFNA(INDEX(DetailByDistrict[],MATCH($H744,DetailByDistrict[Dist],0),MATCH(J$2,DetailByDistrict[#Headers],0)),0)</f>
        <v>161</v>
      </c>
      <c r="K744" s="54">
        <f t="shared" si="11"/>
        <v>3.1055900621118012E-2</v>
      </c>
      <c r="L744" s="59">
        <f>ROUND(INDEX(DetailByDistrict[],MATCH($H744,DetailByDistrict[Dist],0),MATCH(L$2,DetailByDistrict[#Headers],0))*K744,2)</f>
        <v>324.29000000000002</v>
      </c>
      <c r="M744" s="59">
        <f>ROUND(INDEX(DetailByDistrict[],MATCH($H744,DetailByDistrict[Dist],0),MATCH(M$2,DetailByDistrict[#Headers],0))*K744,2)</f>
        <v>356.4</v>
      </c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spans="1:26" ht="15.75" customHeight="1" x14ac:dyDescent="0.25">
      <c r="A745" s="53">
        <v>11</v>
      </c>
      <c r="B745" s="54" t="s">
        <v>1123</v>
      </c>
      <c r="C745" s="54" t="s">
        <v>830</v>
      </c>
      <c r="D745" s="53">
        <v>1737</v>
      </c>
      <c r="E745" s="53">
        <v>8107</v>
      </c>
      <c r="F745" s="54" t="s">
        <v>1137</v>
      </c>
      <c r="G745" s="53" t="s">
        <v>217</v>
      </c>
      <c r="H745" s="58" t="str">
        <f>_xlfn.IFNA(INDEX(ActiveSchools!$C$2:$F$326,MATCH(G745,ActiveSchools!$F$2:$F$326,0),1),"Total")</f>
        <v>5805</v>
      </c>
      <c r="I745" s="53">
        <v>1</v>
      </c>
      <c r="J745" s="59">
        <f>_xlfn.IFNA(INDEX(DetailByDistrict[],MATCH($H745,DetailByDistrict[Dist],0),MATCH(J$2,DetailByDistrict[#Headers],0)),0)</f>
        <v>75</v>
      </c>
      <c r="K745" s="54">
        <f t="shared" si="11"/>
        <v>1.3333333333333334E-2</v>
      </c>
      <c r="L745" s="59">
        <f>ROUND(INDEX(DetailByDistrict[],MATCH($H745,DetailByDistrict[Dist],0),MATCH(L$2,DetailByDistrict[#Headers],0))*K745,2)</f>
        <v>64.87</v>
      </c>
      <c r="M745" s="59">
        <f>ROUND(INDEX(DetailByDistrict[],MATCH($H745,DetailByDistrict[Dist],0),MATCH(M$2,DetailByDistrict[#Headers],0))*K745,2)</f>
        <v>71.28</v>
      </c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spans="1:26" ht="15.75" customHeight="1" x14ac:dyDescent="0.25">
      <c r="A746" s="53">
        <v>11</v>
      </c>
      <c r="B746" s="54" t="s">
        <v>1123</v>
      </c>
      <c r="C746" s="54" t="s">
        <v>830</v>
      </c>
      <c r="D746" s="53">
        <v>1737</v>
      </c>
      <c r="E746" s="53">
        <v>8107</v>
      </c>
      <c r="F746" s="54" t="s">
        <v>1145</v>
      </c>
      <c r="G746" s="53" t="s">
        <v>222</v>
      </c>
      <c r="H746" s="58" t="str">
        <f>_xlfn.IFNA(INDEX(ActiveSchools!$C$2:$F$326,MATCH(G746,ActiveSchools!$F$2:$F$326,0),1),"Total")</f>
        <v>6579</v>
      </c>
      <c r="I746" s="53">
        <v>3</v>
      </c>
      <c r="J746" s="59">
        <f>_xlfn.IFNA(INDEX(DetailByDistrict[],MATCH($H746,DetailByDistrict[Dist],0),MATCH(J$2,DetailByDistrict[#Headers],0)),0)</f>
        <v>484</v>
      </c>
      <c r="K746" s="54">
        <f t="shared" si="11"/>
        <v>6.1983471074380167E-3</v>
      </c>
      <c r="L746" s="59">
        <f>ROUND(INDEX(DetailByDistrict[],MATCH($H746,DetailByDistrict[Dist],0),MATCH(L$2,DetailByDistrict[#Headers],0))*K746,2)</f>
        <v>194.58</v>
      </c>
      <c r="M746" s="59">
        <f>ROUND(INDEX(DetailByDistrict[],MATCH($H746,DetailByDistrict[Dist],0),MATCH(M$2,DetailByDistrict[#Headers],0))*K746,2)</f>
        <v>213.84</v>
      </c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spans="1:26" ht="15.75" customHeight="1" x14ac:dyDescent="0.25">
      <c r="A747" s="53">
        <v>11</v>
      </c>
      <c r="B747" s="54" t="s">
        <v>1123</v>
      </c>
      <c r="C747" s="54" t="s">
        <v>830</v>
      </c>
      <c r="D747" s="53">
        <v>1737</v>
      </c>
      <c r="E747" s="53">
        <v>8107</v>
      </c>
      <c r="F747" s="54" t="s">
        <v>1138</v>
      </c>
      <c r="G747" s="53" t="s">
        <v>224</v>
      </c>
      <c r="H747" s="58" t="str">
        <f>_xlfn.IFNA(INDEX(ActiveSchools!$C$2:$F$326,MATCH(G747,ActiveSchools!$F$2:$F$326,0),1),"Total")</f>
        <v>6822</v>
      </c>
      <c r="I747" s="53">
        <v>3</v>
      </c>
      <c r="J747" s="59">
        <f>_xlfn.IFNA(INDEX(DetailByDistrict[],MATCH($H747,DetailByDistrict[Dist],0),MATCH(J$2,DetailByDistrict[#Headers],0)),0)</f>
        <v>1399</v>
      </c>
      <c r="K747" s="54">
        <f t="shared" si="11"/>
        <v>2.1443888491779841E-3</v>
      </c>
      <c r="L747" s="59">
        <f>ROUND(INDEX(DetailByDistrict[],MATCH($H747,DetailByDistrict[Dist],0),MATCH(L$2,DetailByDistrict[#Headers],0))*K747,2)</f>
        <v>194.58</v>
      </c>
      <c r="M747" s="59">
        <f>ROUND(INDEX(DetailByDistrict[],MATCH($H747,DetailByDistrict[Dist],0),MATCH(M$2,DetailByDistrict[#Headers],0))*K747,2)</f>
        <v>213.84</v>
      </c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spans="1:26" ht="15.75" customHeight="1" x14ac:dyDescent="0.25">
      <c r="A748" s="53">
        <v>11</v>
      </c>
      <c r="B748" s="54" t="s">
        <v>1123</v>
      </c>
      <c r="C748" s="54" t="s">
        <v>830</v>
      </c>
      <c r="D748" s="53">
        <v>1737</v>
      </c>
      <c r="E748" s="53">
        <v>8107</v>
      </c>
      <c r="F748" s="54" t="s">
        <v>1139</v>
      </c>
      <c r="G748" s="53" t="s">
        <v>226</v>
      </c>
      <c r="H748" s="58" t="str">
        <f>_xlfn.IFNA(INDEX(ActiveSchools!$C$2:$F$326,MATCH(G748,ActiveSchools!$F$2:$F$326,0),1),"Total")</f>
        <v>6957</v>
      </c>
      <c r="I748" s="53">
        <v>27</v>
      </c>
      <c r="J748" s="59">
        <f>_xlfn.IFNA(INDEX(DetailByDistrict[],MATCH($H748,DetailByDistrict[Dist],0),MATCH(J$2,DetailByDistrict[#Headers],0)),0)</f>
        <v>1305</v>
      </c>
      <c r="K748" s="54">
        <f t="shared" si="11"/>
        <v>2.0689655172413793E-2</v>
      </c>
      <c r="L748" s="59">
        <f>ROUND(INDEX(DetailByDistrict[],MATCH($H748,DetailByDistrict[Dist],0),MATCH(L$2,DetailByDistrict[#Headers],0))*K748,2)</f>
        <v>1751.21</v>
      </c>
      <c r="M748" s="59">
        <f>ROUND(INDEX(DetailByDistrict[],MATCH($H748,DetailByDistrict[Dist],0),MATCH(M$2,DetailByDistrict[#Headers],0))*K748,2)</f>
        <v>1924.55</v>
      </c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spans="1:26" ht="15.75" customHeight="1" x14ac:dyDescent="0.25">
      <c r="A749" s="53">
        <v>11</v>
      </c>
      <c r="B749" s="54" t="s">
        <v>1123</v>
      </c>
      <c r="C749" s="54" t="s">
        <v>831</v>
      </c>
      <c r="D749" s="53">
        <v>1737</v>
      </c>
      <c r="E749" s="53">
        <v>8108</v>
      </c>
      <c r="F749" s="54" t="s">
        <v>1151</v>
      </c>
      <c r="G749" s="57" t="s">
        <v>184</v>
      </c>
      <c r="H749" s="58" t="str">
        <f>_xlfn.IFNA(INDEX(ActiveSchools!$C$2:$F$326,MATCH(G749,ActiveSchools!$F$2:$F$326,0),1),"Total")</f>
        <v>0981</v>
      </c>
      <c r="I749" s="53">
        <v>3</v>
      </c>
      <c r="J749" s="59">
        <f>_xlfn.IFNA(INDEX(DetailByDistrict[],MATCH($H749,DetailByDistrict[Dist],0),MATCH(J$2,DetailByDistrict[#Headers],0)),0)</f>
        <v>68</v>
      </c>
      <c r="K749" s="54">
        <f t="shared" si="11"/>
        <v>4.4117647058823532E-2</v>
      </c>
      <c r="L749" s="59">
        <f>ROUND(INDEX(DetailByDistrict[],MATCH($H749,DetailByDistrict[Dist],0),MATCH(L$2,DetailByDistrict[#Headers],0))*K749,2)</f>
        <v>194.56</v>
      </c>
      <c r="M749" s="59">
        <f>ROUND(INDEX(DetailByDistrict[],MATCH($H749,DetailByDistrict[Dist],0),MATCH(M$2,DetailByDistrict[#Headers],0))*K749,2)</f>
        <v>213.84</v>
      </c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spans="1:26" ht="15.75" customHeight="1" x14ac:dyDescent="0.25">
      <c r="A750" s="53">
        <v>11</v>
      </c>
      <c r="B750" s="54" t="s">
        <v>1123</v>
      </c>
      <c r="C750" s="54" t="s">
        <v>831</v>
      </c>
      <c r="D750" s="53">
        <v>1737</v>
      </c>
      <c r="E750" s="53">
        <v>8108</v>
      </c>
      <c r="F750" s="54" t="s">
        <v>1134</v>
      </c>
      <c r="G750" s="53" t="s">
        <v>191</v>
      </c>
      <c r="H750" s="58" t="str">
        <f>_xlfn.IFNA(INDEX(ActiveSchools!$C$2:$F$326,MATCH(G750,ActiveSchools!$F$2:$F$326,0),1),"Total")</f>
        <v>1737</v>
      </c>
      <c r="I750" s="53">
        <v>238</v>
      </c>
      <c r="J750" s="59">
        <f>_xlfn.IFNA(INDEX(DetailByDistrict[],MATCH($H750,DetailByDistrict[Dist],0),MATCH(J$2,DetailByDistrict[#Headers],0)),0)</f>
        <v>2968</v>
      </c>
      <c r="K750" s="54">
        <f t="shared" si="11"/>
        <v>8.0188679245283015E-2</v>
      </c>
      <c r="L750" s="59">
        <f>ROUND(INDEX(DetailByDistrict[],MATCH($H750,DetailByDistrict[Dist],0),MATCH(L$2,DetailByDistrict[#Headers],0))*K750,2)</f>
        <v>15436.64</v>
      </c>
      <c r="M750" s="59">
        <f>ROUND(INDEX(DetailByDistrict[],MATCH($H750,DetailByDistrict[Dist],0),MATCH(M$2,DetailByDistrict[#Headers],0))*K750,2)</f>
        <v>16964.64</v>
      </c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spans="1:26" ht="15.75" customHeight="1" x14ac:dyDescent="0.25">
      <c r="A751" s="53">
        <v>11</v>
      </c>
      <c r="B751" s="54" t="s">
        <v>1123</v>
      </c>
      <c r="C751" s="54" t="s">
        <v>831</v>
      </c>
      <c r="D751" s="53">
        <v>1737</v>
      </c>
      <c r="E751" s="53">
        <v>8108</v>
      </c>
      <c r="F751" s="54" t="s">
        <v>1142</v>
      </c>
      <c r="G751" s="53" t="s">
        <v>218</v>
      </c>
      <c r="H751" s="58" t="str">
        <f>_xlfn.IFNA(INDEX(ActiveSchools!$C$2:$F$326,MATCH(G751,ActiveSchools!$F$2:$F$326,0),1),"Total")</f>
        <v>6101</v>
      </c>
      <c r="I751" s="53">
        <v>1</v>
      </c>
      <c r="J751" s="59">
        <f>_xlfn.IFNA(INDEX(DetailByDistrict[],MATCH($H751,DetailByDistrict[Dist],0),MATCH(J$2,DetailByDistrict[#Headers],0)),0)</f>
        <v>431</v>
      </c>
      <c r="K751" s="54">
        <f t="shared" si="11"/>
        <v>2.3201856148491878E-3</v>
      </c>
      <c r="L751" s="59">
        <f>ROUND(INDEX(DetailByDistrict[],MATCH($H751,DetailByDistrict[Dist],0),MATCH(L$2,DetailByDistrict[#Headers],0))*K751,2)</f>
        <v>64.86</v>
      </c>
      <c r="M751" s="59">
        <f>ROUND(INDEX(DetailByDistrict[],MATCH($H751,DetailByDistrict[Dist],0),MATCH(M$2,DetailByDistrict[#Headers],0))*K751,2)</f>
        <v>71.28</v>
      </c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spans="1:26" ht="15.75" customHeight="1" x14ac:dyDescent="0.25">
      <c r="A752" s="53">
        <v>11</v>
      </c>
      <c r="B752" s="54" t="s">
        <v>1123</v>
      </c>
      <c r="C752" s="54" t="s">
        <v>831</v>
      </c>
      <c r="D752" s="53">
        <v>1737</v>
      </c>
      <c r="E752" s="53">
        <v>8108</v>
      </c>
      <c r="F752" s="54" t="s">
        <v>1145</v>
      </c>
      <c r="G752" s="53" t="s">
        <v>222</v>
      </c>
      <c r="H752" s="58" t="str">
        <f>_xlfn.IFNA(INDEX(ActiveSchools!$C$2:$F$326,MATCH(G752,ActiveSchools!$F$2:$F$326,0),1),"Total")</f>
        <v>6579</v>
      </c>
      <c r="I752" s="53">
        <v>6</v>
      </c>
      <c r="J752" s="59">
        <f>_xlfn.IFNA(INDEX(DetailByDistrict[],MATCH($H752,DetailByDistrict[Dist],0),MATCH(J$2,DetailByDistrict[#Headers],0)),0)</f>
        <v>484</v>
      </c>
      <c r="K752" s="54">
        <f t="shared" si="11"/>
        <v>1.2396694214876033E-2</v>
      </c>
      <c r="L752" s="59">
        <f>ROUND(INDEX(DetailByDistrict[],MATCH($H752,DetailByDistrict[Dist],0),MATCH(L$2,DetailByDistrict[#Headers],0))*K752,2)</f>
        <v>389.16</v>
      </c>
      <c r="M752" s="59">
        <f>ROUND(INDEX(DetailByDistrict[],MATCH($H752,DetailByDistrict[Dist],0),MATCH(M$2,DetailByDistrict[#Headers],0))*K752,2)</f>
        <v>427.69</v>
      </c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spans="1:26" ht="15.75" customHeight="1" x14ac:dyDescent="0.25">
      <c r="A753" s="53">
        <v>11</v>
      </c>
      <c r="B753" s="54" t="s">
        <v>1123</v>
      </c>
      <c r="C753" s="54" t="s">
        <v>831</v>
      </c>
      <c r="D753" s="53">
        <v>1737</v>
      </c>
      <c r="E753" s="53">
        <v>8108</v>
      </c>
      <c r="F753" s="54" t="s">
        <v>1139</v>
      </c>
      <c r="G753" s="53" t="s">
        <v>226</v>
      </c>
      <c r="H753" s="58" t="str">
        <f>_xlfn.IFNA(INDEX(ActiveSchools!$C$2:$F$326,MATCH(G753,ActiveSchools!$F$2:$F$326,0),1),"Total")</f>
        <v>6957</v>
      </c>
      <c r="I753" s="53">
        <v>5</v>
      </c>
      <c r="J753" s="59">
        <f>_xlfn.IFNA(INDEX(DetailByDistrict[],MATCH($H753,DetailByDistrict[Dist],0),MATCH(J$2,DetailByDistrict[#Headers],0)),0)</f>
        <v>1305</v>
      </c>
      <c r="K753" s="54">
        <f t="shared" si="11"/>
        <v>3.8314176245210726E-3</v>
      </c>
      <c r="L753" s="59">
        <f>ROUND(INDEX(DetailByDistrict[],MATCH($H753,DetailByDistrict[Dist],0),MATCH(L$2,DetailByDistrict[#Headers],0))*K753,2)</f>
        <v>324.3</v>
      </c>
      <c r="M753" s="59">
        <f>ROUND(INDEX(DetailByDistrict[],MATCH($H753,DetailByDistrict[Dist],0),MATCH(M$2,DetailByDistrict[#Headers],0))*K753,2)</f>
        <v>356.4</v>
      </c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spans="1:26" ht="15.75" customHeight="1" x14ac:dyDescent="0.25">
      <c r="A754" s="53">
        <v>11</v>
      </c>
      <c r="B754" s="54" t="s">
        <v>1123</v>
      </c>
      <c r="C754" s="54" t="s">
        <v>832</v>
      </c>
      <c r="D754" s="53">
        <v>1737</v>
      </c>
      <c r="E754" s="53">
        <v>8110</v>
      </c>
      <c r="F754" s="54" t="s">
        <v>1125</v>
      </c>
      <c r="G754" s="57" t="s">
        <v>178</v>
      </c>
      <c r="H754" s="58" t="str">
        <f>_xlfn.IFNA(INDEX(ActiveSchools!$C$2:$F$326,MATCH(G754,ActiveSchools!$F$2:$F$326,0),1),"Total")</f>
        <v>0261</v>
      </c>
      <c r="I754" s="53">
        <v>3</v>
      </c>
      <c r="J754" s="59">
        <f>_xlfn.IFNA(INDEX(DetailByDistrict[],MATCH($H754,DetailByDistrict[Dist],0),MATCH(J$2,DetailByDistrict[#Headers],0)),0)</f>
        <v>1188</v>
      </c>
      <c r="K754" s="54">
        <f t="shared" si="11"/>
        <v>2.5252525252525255E-3</v>
      </c>
      <c r="L754" s="59">
        <f>ROUND(INDEX(DetailByDistrict[],MATCH($H754,DetailByDistrict[Dist],0),MATCH(L$2,DetailByDistrict[#Headers],0))*K754,2)</f>
        <v>194.58</v>
      </c>
      <c r="M754" s="59">
        <f>ROUND(INDEX(DetailByDistrict[],MATCH($H754,DetailByDistrict[Dist],0),MATCH(M$2,DetailByDistrict[#Headers],0))*K754,2)</f>
        <v>213.84</v>
      </c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spans="1:26" ht="15.75" customHeight="1" x14ac:dyDescent="0.25">
      <c r="A755" s="53">
        <v>11</v>
      </c>
      <c r="B755" s="54" t="s">
        <v>1123</v>
      </c>
      <c r="C755" s="54" t="s">
        <v>832</v>
      </c>
      <c r="D755" s="53">
        <v>1737</v>
      </c>
      <c r="E755" s="53">
        <v>8110</v>
      </c>
      <c r="F755" s="54" t="s">
        <v>1140</v>
      </c>
      <c r="G755" s="57" t="s">
        <v>182</v>
      </c>
      <c r="H755" s="58" t="str">
        <f>_xlfn.IFNA(INDEX(ActiveSchools!$C$2:$F$326,MATCH(G755,ActiveSchools!$F$2:$F$326,0),1),"Total")</f>
        <v>0720</v>
      </c>
      <c r="I755" s="53">
        <v>2</v>
      </c>
      <c r="J755" s="59">
        <f>_xlfn.IFNA(INDEX(DetailByDistrict[],MATCH($H755,DetailByDistrict[Dist],0),MATCH(J$2,DetailByDistrict[#Headers],0)),0)</f>
        <v>80</v>
      </c>
      <c r="K755" s="54">
        <f t="shared" si="11"/>
        <v>2.5000000000000001E-2</v>
      </c>
      <c r="L755" s="59">
        <f>ROUND(INDEX(DetailByDistrict[],MATCH($H755,DetailByDistrict[Dist],0),MATCH(L$2,DetailByDistrict[#Headers],0))*K755,2)</f>
        <v>129.72999999999999</v>
      </c>
      <c r="M755" s="59">
        <f>ROUND(INDEX(DetailByDistrict[],MATCH($H755,DetailByDistrict[Dist],0),MATCH(M$2,DetailByDistrict[#Headers],0))*K755,2)</f>
        <v>142.55000000000001</v>
      </c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spans="1:26" ht="15.75" customHeight="1" x14ac:dyDescent="0.25">
      <c r="A756" s="53">
        <v>11</v>
      </c>
      <c r="B756" s="54" t="s">
        <v>1123</v>
      </c>
      <c r="C756" s="54" t="s">
        <v>832</v>
      </c>
      <c r="D756" s="53">
        <v>1737</v>
      </c>
      <c r="E756" s="53">
        <v>8110</v>
      </c>
      <c r="F756" s="54" t="s">
        <v>1151</v>
      </c>
      <c r="G756" s="57" t="s">
        <v>184</v>
      </c>
      <c r="H756" s="58" t="str">
        <f>_xlfn.IFNA(INDEX(ActiveSchools!$C$2:$F$326,MATCH(G756,ActiveSchools!$F$2:$F$326,0),1),"Total")</f>
        <v>0981</v>
      </c>
      <c r="I756" s="53">
        <v>2</v>
      </c>
      <c r="J756" s="59">
        <f>_xlfn.IFNA(INDEX(DetailByDistrict[],MATCH($H756,DetailByDistrict[Dist],0),MATCH(J$2,DetailByDistrict[#Headers],0)),0)</f>
        <v>68</v>
      </c>
      <c r="K756" s="54">
        <f t="shared" si="11"/>
        <v>2.9411764705882353E-2</v>
      </c>
      <c r="L756" s="59">
        <f>ROUND(INDEX(DetailByDistrict[],MATCH($H756,DetailByDistrict[Dist],0),MATCH(L$2,DetailByDistrict[#Headers],0))*K756,2)</f>
        <v>129.71</v>
      </c>
      <c r="M756" s="59">
        <f>ROUND(INDEX(DetailByDistrict[],MATCH($H756,DetailByDistrict[Dist],0),MATCH(M$2,DetailByDistrict[#Headers],0))*K756,2)</f>
        <v>142.56</v>
      </c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spans="1:26" ht="15.75" customHeight="1" x14ac:dyDescent="0.25">
      <c r="A757" s="53">
        <v>11</v>
      </c>
      <c r="B757" s="54" t="s">
        <v>1123</v>
      </c>
      <c r="C757" s="54" t="s">
        <v>832</v>
      </c>
      <c r="D757" s="53">
        <v>1737</v>
      </c>
      <c r="E757" s="53">
        <v>8110</v>
      </c>
      <c r="F757" s="54" t="s">
        <v>1154</v>
      </c>
      <c r="G757" s="53" t="s">
        <v>187</v>
      </c>
      <c r="H757" s="58" t="str">
        <f>_xlfn.IFNA(INDEX(ActiveSchools!$C$2:$F$326,MATCH(G757,ActiveSchools!$F$2:$F$326,0),1),"Total")</f>
        <v>1350</v>
      </c>
      <c r="I757" s="53">
        <v>2</v>
      </c>
      <c r="J757" s="59">
        <f>_xlfn.IFNA(INDEX(DetailByDistrict[],MATCH($H757,DetailByDistrict[Dist],0),MATCH(J$2,DetailByDistrict[#Headers],0)),0)</f>
        <v>3</v>
      </c>
      <c r="K757" s="54">
        <f t="shared" si="11"/>
        <v>0.66666666666666663</v>
      </c>
      <c r="L757" s="59">
        <f>ROUND(INDEX(DetailByDistrict[],MATCH($H757,DetailByDistrict[Dist],0),MATCH(L$2,DetailByDistrict[#Headers],0))*K757,2)</f>
        <v>130</v>
      </c>
      <c r="M757" s="59">
        <f>ROUND(INDEX(DetailByDistrict[],MATCH($H757,DetailByDistrict[Dist],0),MATCH(M$2,DetailByDistrict[#Headers],0))*K757,2)</f>
        <v>142.66999999999999</v>
      </c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spans="1:26" ht="15.75" customHeight="1" x14ac:dyDescent="0.25">
      <c r="A758" s="53">
        <v>11</v>
      </c>
      <c r="B758" s="54" t="s">
        <v>1123</v>
      </c>
      <c r="C758" s="54" t="s">
        <v>832</v>
      </c>
      <c r="D758" s="53">
        <v>1737</v>
      </c>
      <c r="E758" s="53">
        <v>8110</v>
      </c>
      <c r="F758" s="54" t="s">
        <v>1134</v>
      </c>
      <c r="G758" s="53" t="s">
        <v>191</v>
      </c>
      <c r="H758" s="58" t="str">
        <f>_xlfn.IFNA(INDEX(ActiveSchools!$C$2:$F$326,MATCH(G758,ActiveSchools!$F$2:$F$326,0),1),"Total")</f>
        <v>1737</v>
      </c>
      <c r="I758" s="53">
        <v>124</v>
      </c>
      <c r="J758" s="59">
        <f>_xlfn.IFNA(INDEX(DetailByDistrict[],MATCH($H758,DetailByDistrict[Dist],0),MATCH(J$2,DetailByDistrict[#Headers],0)),0)</f>
        <v>2968</v>
      </c>
      <c r="K758" s="54">
        <f t="shared" si="11"/>
        <v>4.1778975741239892E-2</v>
      </c>
      <c r="L758" s="59">
        <f>ROUND(INDEX(DetailByDistrict[],MATCH($H758,DetailByDistrict[Dist],0),MATCH(L$2,DetailByDistrict[#Headers],0))*K758,2)</f>
        <v>8042.62</v>
      </c>
      <c r="M758" s="59">
        <f>ROUND(INDEX(DetailByDistrict[],MATCH($H758,DetailByDistrict[Dist],0),MATCH(M$2,DetailByDistrict[#Headers],0))*K758,2)</f>
        <v>8838.7199999999993</v>
      </c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spans="1:26" ht="15.75" customHeight="1" x14ac:dyDescent="0.25">
      <c r="A759" s="53">
        <v>11</v>
      </c>
      <c r="B759" s="54" t="s">
        <v>1123</v>
      </c>
      <c r="C759" s="54" t="s">
        <v>832</v>
      </c>
      <c r="D759" s="53">
        <v>1737</v>
      </c>
      <c r="E759" s="53">
        <v>8110</v>
      </c>
      <c r="F759" s="54" t="s">
        <v>1135</v>
      </c>
      <c r="G759" s="53" t="s">
        <v>199</v>
      </c>
      <c r="H759" s="58" t="str">
        <f>_xlfn.IFNA(INDEX(ActiveSchools!$C$2:$F$326,MATCH(G759,ActiveSchools!$F$2:$F$326,0),1),"Total")</f>
        <v>3231</v>
      </c>
      <c r="I759" s="53">
        <v>3</v>
      </c>
      <c r="J759" s="59">
        <f>_xlfn.IFNA(INDEX(DetailByDistrict[],MATCH($H759,DetailByDistrict[Dist],0),MATCH(J$2,DetailByDistrict[#Headers],0)),0)</f>
        <v>509</v>
      </c>
      <c r="K759" s="54">
        <f t="shared" si="11"/>
        <v>5.893909626719057E-3</v>
      </c>
      <c r="L759" s="59">
        <f>ROUND(INDEX(DetailByDistrict[],MATCH($H759,DetailByDistrict[Dist],0),MATCH(L$2,DetailByDistrict[#Headers],0))*K759,2)</f>
        <v>194.58</v>
      </c>
      <c r="M759" s="59">
        <f>ROUND(INDEX(DetailByDistrict[],MATCH($H759,DetailByDistrict[Dist],0),MATCH(M$2,DetailByDistrict[#Headers],0))*K759,2)</f>
        <v>213.84</v>
      </c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spans="1:26" ht="15.75" customHeight="1" x14ac:dyDescent="0.25">
      <c r="A760" s="53">
        <v>11</v>
      </c>
      <c r="B760" s="54" t="s">
        <v>1123</v>
      </c>
      <c r="C760" s="54" t="s">
        <v>832</v>
      </c>
      <c r="D760" s="53">
        <v>1737</v>
      </c>
      <c r="E760" s="53">
        <v>8110</v>
      </c>
      <c r="F760" s="54" t="s">
        <v>1137</v>
      </c>
      <c r="G760" s="53" t="s">
        <v>217</v>
      </c>
      <c r="H760" s="58" t="str">
        <f>_xlfn.IFNA(INDEX(ActiveSchools!$C$2:$F$326,MATCH(G760,ActiveSchools!$F$2:$F$326,0),1),"Total")</f>
        <v>5805</v>
      </c>
      <c r="I760" s="53">
        <v>4</v>
      </c>
      <c r="J760" s="59">
        <f>_xlfn.IFNA(INDEX(DetailByDistrict[],MATCH($H760,DetailByDistrict[Dist],0),MATCH(J$2,DetailByDistrict[#Headers],0)),0)</f>
        <v>75</v>
      </c>
      <c r="K760" s="54">
        <f t="shared" si="11"/>
        <v>5.3333333333333337E-2</v>
      </c>
      <c r="L760" s="59">
        <f>ROUND(INDEX(DetailByDistrict[],MATCH($H760,DetailByDistrict[Dist],0),MATCH(L$2,DetailByDistrict[#Headers],0))*K760,2)</f>
        <v>259.47000000000003</v>
      </c>
      <c r="M760" s="59">
        <f>ROUND(INDEX(DetailByDistrict[],MATCH($H760,DetailByDistrict[Dist],0),MATCH(M$2,DetailByDistrict[#Headers],0))*K760,2)</f>
        <v>285.12</v>
      </c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spans="1:26" ht="15.75" customHeight="1" x14ac:dyDescent="0.25">
      <c r="A761" s="53">
        <v>11</v>
      </c>
      <c r="B761" s="54" t="s">
        <v>1123</v>
      </c>
      <c r="C761" s="54" t="s">
        <v>832</v>
      </c>
      <c r="D761" s="53">
        <v>1737</v>
      </c>
      <c r="E761" s="53">
        <v>8110</v>
      </c>
      <c r="F761" s="54" t="s">
        <v>1142</v>
      </c>
      <c r="G761" s="53" t="s">
        <v>218</v>
      </c>
      <c r="H761" s="58" t="str">
        <f>_xlfn.IFNA(INDEX(ActiveSchools!$C$2:$F$326,MATCH(G761,ActiveSchools!$F$2:$F$326,0),1),"Total")</f>
        <v>6101</v>
      </c>
      <c r="I761" s="53">
        <v>55</v>
      </c>
      <c r="J761" s="59">
        <f>_xlfn.IFNA(INDEX(DetailByDistrict[],MATCH($H761,DetailByDistrict[Dist],0),MATCH(J$2,DetailByDistrict[#Headers],0)),0)</f>
        <v>431</v>
      </c>
      <c r="K761" s="54">
        <f t="shared" si="11"/>
        <v>0.12761020881670534</v>
      </c>
      <c r="L761" s="59">
        <f>ROUND(INDEX(DetailByDistrict[],MATCH($H761,DetailByDistrict[Dist],0),MATCH(L$2,DetailByDistrict[#Headers],0))*K761,2)</f>
        <v>3567.34</v>
      </c>
      <c r="M761" s="59">
        <f>ROUND(INDEX(DetailByDistrict[],MATCH($H761,DetailByDistrict[Dist],0),MATCH(M$2,DetailByDistrict[#Headers],0))*K761,2)</f>
        <v>3920.44</v>
      </c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spans="1:26" ht="15.75" customHeight="1" x14ac:dyDescent="0.25">
      <c r="A762" s="53">
        <v>11</v>
      </c>
      <c r="B762" s="54" t="s">
        <v>1123</v>
      </c>
      <c r="C762" s="54" t="s">
        <v>832</v>
      </c>
      <c r="D762" s="53">
        <v>1737</v>
      </c>
      <c r="E762" s="53">
        <v>8110</v>
      </c>
      <c r="F762" s="54" t="s">
        <v>1145</v>
      </c>
      <c r="G762" s="53" t="s">
        <v>222</v>
      </c>
      <c r="H762" s="58" t="str">
        <f>_xlfn.IFNA(INDEX(ActiveSchools!$C$2:$F$326,MATCH(G762,ActiveSchools!$F$2:$F$326,0),1),"Total")</f>
        <v>6579</v>
      </c>
      <c r="I762" s="53">
        <v>1</v>
      </c>
      <c r="J762" s="59">
        <f>_xlfn.IFNA(INDEX(DetailByDistrict[],MATCH($H762,DetailByDistrict[Dist],0),MATCH(J$2,DetailByDistrict[#Headers],0)),0)</f>
        <v>484</v>
      </c>
      <c r="K762" s="54">
        <f t="shared" si="11"/>
        <v>2.0661157024793389E-3</v>
      </c>
      <c r="L762" s="59">
        <f>ROUND(INDEX(DetailByDistrict[],MATCH($H762,DetailByDistrict[Dist],0),MATCH(L$2,DetailByDistrict[#Headers],0))*K762,2)</f>
        <v>64.86</v>
      </c>
      <c r="M762" s="59">
        <f>ROUND(INDEX(DetailByDistrict[],MATCH($H762,DetailByDistrict[Dist],0),MATCH(M$2,DetailByDistrict[#Headers],0))*K762,2)</f>
        <v>71.28</v>
      </c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spans="1:26" ht="15.75" customHeight="1" x14ac:dyDescent="0.25">
      <c r="A763" s="53">
        <v>11</v>
      </c>
      <c r="B763" s="54" t="s">
        <v>1123</v>
      </c>
      <c r="C763" s="54" t="s">
        <v>832</v>
      </c>
      <c r="D763" s="53">
        <v>1737</v>
      </c>
      <c r="E763" s="53">
        <v>8110</v>
      </c>
      <c r="F763" s="54" t="s">
        <v>1138</v>
      </c>
      <c r="G763" s="53" t="s">
        <v>224</v>
      </c>
      <c r="H763" s="58" t="str">
        <f>_xlfn.IFNA(INDEX(ActiveSchools!$C$2:$F$326,MATCH(G763,ActiveSchools!$F$2:$F$326,0),1),"Total")</f>
        <v>6822</v>
      </c>
      <c r="I763" s="53">
        <v>2</v>
      </c>
      <c r="J763" s="59">
        <f>_xlfn.IFNA(INDEX(DetailByDistrict[],MATCH($H763,DetailByDistrict[Dist],0),MATCH(J$2,DetailByDistrict[#Headers],0)),0)</f>
        <v>1399</v>
      </c>
      <c r="K763" s="54">
        <f t="shared" si="11"/>
        <v>1.4295925661186562E-3</v>
      </c>
      <c r="L763" s="59">
        <f>ROUND(INDEX(DetailByDistrict[],MATCH($H763,DetailByDistrict[Dist],0),MATCH(L$2,DetailByDistrict[#Headers],0))*K763,2)</f>
        <v>129.72</v>
      </c>
      <c r="M763" s="59">
        <f>ROUND(INDEX(DetailByDistrict[],MATCH($H763,DetailByDistrict[Dist],0),MATCH(M$2,DetailByDistrict[#Headers],0))*K763,2)</f>
        <v>142.56</v>
      </c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spans="1:26" ht="15.75" customHeight="1" x14ac:dyDescent="0.25">
      <c r="A764" s="53">
        <v>11</v>
      </c>
      <c r="B764" s="54" t="s">
        <v>1123</v>
      </c>
      <c r="C764" s="54" t="s">
        <v>833</v>
      </c>
      <c r="D764" s="53">
        <v>1737</v>
      </c>
      <c r="E764" s="53">
        <v>8113</v>
      </c>
      <c r="F764" s="54" t="s">
        <v>1125</v>
      </c>
      <c r="G764" s="57" t="s">
        <v>178</v>
      </c>
      <c r="H764" s="58" t="str">
        <f>_xlfn.IFNA(INDEX(ActiveSchools!$C$2:$F$326,MATCH(G764,ActiveSchools!$F$2:$F$326,0),1),"Total")</f>
        <v>0261</v>
      </c>
      <c r="I764" s="53">
        <v>1</v>
      </c>
      <c r="J764" s="59">
        <f>_xlfn.IFNA(INDEX(DetailByDistrict[],MATCH($H764,DetailByDistrict[Dist],0),MATCH(J$2,DetailByDistrict[#Headers],0)),0)</f>
        <v>1188</v>
      </c>
      <c r="K764" s="54">
        <f t="shared" si="11"/>
        <v>8.4175084175084171E-4</v>
      </c>
      <c r="L764" s="59">
        <f>ROUND(INDEX(DetailByDistrict[],MATCH($H764,DetailByDistrict[Dist],0),MATCH(L$2,DetailByDistrict[#Headers],0))*K764,2)</f>
        <v>64.86</v>
      </c>
      <c r="M764" s="59">
        <f>ROUND(INDEX(DetailByDistrict[],MATCH($H764,DetailByDistrict[Dist],0),MATCH(M$2,DetailByDistrict[#Headers],0))*K764,2)</f>
        <v>71.28</v>
      </c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spans="1:26" ht="15.75" customHeight="1" x14ac:dyDescent="0.25">
      <c r="A765" s="53">
        <v>11</v>
      </c>
      <c r="B765" s="54" t="s">
        <v>1123</v>
      </c>
      <c r="C765" s="54" t="s">
        <v>833</v>
      </c>
      <c r="D765" s="53">
        <v>1737</v>
      </c>
      <c r="E765" s="53">
        <v>8113</v>
      </c>
      <c r="F765" s="54" t="s">
        <v>1144</v>
      </c>
      <c r="G765" s="53" t="s">
        <v>190</v>
      </c>
      <c r="H765" s="58" t="str">
        <f>_xlfn.IFNA(INDEX(ActiveSchools!$C$2:$F$326,MATCH(G765,ActiveSchools!$F$2:$F$326,0),1),"Total")</f>
        <v>1576</v>
      </c>
      <c r="I765" s="53">
        <v>3</v>
      </c>
      <c r="J765" s="59">
        <f>_xlfn.IFNA(INDEX(DetailByDistrict[],MATCH($H765,DetailByDistrict[Dist],0),MATCH(J$2,DetailByDistrict[#Headers],0)),0)</f>
        <v>123</v>
      </c>
      <c r="K765" s="54">
        <f t="shared" si="11"/>
        <v>2.4390243902439025E-2</v>
      </c>
      <c r="L765" s="59">
        <f>ROUND(INDEX(DetailByDistrict[],MATCH($H765,DetailByDistrict[Dist],0),MATCH(L$2,DetailByDistrict[#Headers],0))*K765,2)</f>
        <v>194.59</v>
      </c>
      <c r="M765" s="59">
        <f>ROUND(INDEX(DetailByDistrict[],MATCH($H765,DetailByDistrict[Dist],0),MATCH(M$2,DetailByDistrict[#Headers],0))*K765,2)</f>
        <v>213.83</v>
      </c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spans="1:26" ht="15.75" customHeight="1" x14ac:dyDescent="0.25">
      <c r="A766" s="53">
        <v>11</v>
      </c>
      <c r="B766" s="54" t="s">
        <v>1123</v>
      </c>
      <c r="C766" s="54" t="s">
        <v>833</v>
      </c>
      <c r="D766" s="53">
        <v>1737</v>
      </c>
      <c r="E766" s="53">
        <v>8113</v>
      </c>
      <c r="F766" s="54" t="s">
        <v>1134</v>
      </c>
      <c r="G766" s="53" t="s">
        <v>191</v>
      </c>
      <c r="H766" s="58" t="str">
        <f>_xlfn.IFNA(INDEX(ActiveSchools!$C$2:$F$326,MATCH(G766,ActiveSchools!$F$2:$F$326,0),1),"Total")</f>
        <v>1737</v>
      </c>
      <c r="I766" s="53">
        <v>133</v>
      </c>
      <c r="J766" s="59">
        <f>_xlfn.IFNA(INDEX(DetailByDistrict[],MATCH($H766,DetailByDistrict[Dist],0),MATCH(J$2,DetailByDistrict[#Headers],0)),0)</f>
        <v>2968</v>
      </c>
      <c r="K766" s="54">
        <f t="shared" si="11"/>
        <v>4.4811320754716978E-2</v>
      </c>
      <c r="L766" s="59">
        <f>ROUND(INDEX(DetailByDistrict[],MATCH($H766,DetailByDistrict[Dist],0),MATCH(L$2,DetailByDistrict[#Headers],0))*K766,2)</f>
        <v>8626.36</v>
      </c>
      <c r="M766" s="59">
        <f>ROUND(INDEX(DetailByDistrict[],MATCH($H766,DetailByDistrict[Dist],0),MATCH(M$2,DetailByDistrict[#Headers],0))*K766,2)</f>
        <v>9480.24</v>
      </c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spans="1:26" ht="15.75" customHeight="1" x14ac:dyDescent="0.25">
      <c r="A767" s="53">
        <v>11</v>
      </c>
      <c r="B767" s="54" t="s">
        <v>1123</v>
      </c>
      <c r="C767" s="54" t="s">
        <v>833</v>
      </c>
      <c r="D767" s="53">
        <v>1737</v>
      </c>
      <c r="E767" s="53">
        <v>8113</v>
      </c>
      <c r="F767" s="54" t="s">
        <v>1135</v>
      </c>
      <c r="G767" s="53" t="s">
        <v>199</v>
      </c>
      <c r="H767" s="58" t="str">
        <f>_xlfn.IFNA(INDEX(ActiveSchools!$C$2:$F$326,MATCH(G767,ActiveSchools!$F$2:$F$326,0),1),"Total")</f>
        <v>3231</v>
      </c>
      <c r="I767" s="53">
        <v>6</v>
      </c>
      <c r="J767" s="59">
        <f>_xlfn.IFNA(INDEX(DetailByDistrict[],MATCH($H767,DetailByDistrict[Dist],0),MATCH(J$2,DetailByDistrict[#Headers],0)),0)</f>
        <v>509</v>
      </c>
      <c r="K767" s="54">
        <f t="shared" si="11"/>
        <v>1.1787819253438114E-2</v>
      </c>
      <c r="L767" s="59">
        <f>ROUND(INDEX(DetailByDistrict[],MATCH($H767,DetailByDistrict[Dist],0),MATCH(L$2,DetailByDistrict[#Headers],0))*K767,2)</f>
        <v>389.16</v>
      </c>
      <c r="M767" s="59">
        <f>ROUND(INDEX(DetailByDistrict[],MATCH($H767,DetailByDistrict[Dist],0),MATCH(M$2,DetailByDistrict[#Headers],0))*K767,2)</f>
        <v>427.69</v>
      </c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spans="1:26" ht="15.75" customHeight="1" x14ac:dyDescent="0.25">
      <c r="A768" s="53">
        <v>11</v>
      </c>
      <c r="B768" s="54" t="s">
        <v>1123</v>
      </c>
      <c r="C768" s="54" t="s">
        <v>833</v>
      </c>
      <c r="D768" s="53">
        <v>1737</v>
      </c>
      <c r="E768" s="53">
        <v>8113</v>
      </c>
      <c r="F768" s="54" t="s">
        <v>1153</v>
      </c>
      <c r="G768" s="53" t="s">
        <v>208</v>
      </c>
      <c r="H768" s="58" t="str">
        <f>_xlfn.IFNA(INDEX(ActiveSchools!$C$2:$F$326,MATCH(G768,ActiveSchools!$F$2:$F$326,0),1),"Total")</f>
        <v>4797</v>
      </c>
      <c r="I768" s="53">
        <v>3</v>
      </c>
      <c r="J768" s="59">
        <f>_xlfn.IFNA(INDEX(DetailByDistrict[],MATCH($H768,DetailByDistrict[Dist],0),MATCH(J$2,DetailByDistrict[#Headers],0)),0)</f>
        <v>161</v>
      </c>
      <c r="K768" s="54">
        <f t="shared" si="11"/>
        <v>1.8633540372670808E-2</v>
      </c>
      <c r="L768" s="59">
        <f>ROUND(INDEX(DetailByDistrict[],MATCH($H768,DetailByDistrict[Dist],0),MATCH(L$2,DetailByDistrict[#Headers],0))*K768,2)</f>
        <v>194.57</v>
      </c>
      <c r="M768" s="59">
        <f>ROUND(INDEX(DetailByDistrict[],MATCH($H768,DetailByDistrict[Dist],0),MATCH(M$2,DetailByDistrict[#Headers],0))*K768,2)</f>
        <v>213.84</v>
      </c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spans="1:26" ht="15.75" customHeight="1" x14ac:dyDescent="0.25">
      <c r="A769" s="53">
        <v>11</v>
      </c>
      <c r="B769" s="54" t="s">
        <v>1123</v>
      </c>
      <c r="C769" s="54" t="s">
        <v>833</v>
      </c>
      <c r="D769" s="53">
        <v>1737</v>
      </c>
      <c r="E769" s="53">
        <v>8113</v>
      </c>
      <c r="F769" s="54" t="s">
        <v>1142</v>
      </c>
      <c r="G769" s="53" t="s">
        <v>218</v>
      </c>
      <c r="H769" s="58" t="str">
        <f>_xlfn.IFNA(INDEX(ActiveSchools!$C$2:$F$326,MATCH(G769,ActiveSchools!$F$2:$F$326,0),1),"Total")</f>
        <v>6101</v>
      </c>
      <c r="I769" s="53">
        <v>8</v>
      </c>
      <c r="J769" s="59">
        <f>_xlfn.IFNA(INDEX(DetailByDistrict[],MATCH($H769,DetailByDistrict[Dist],0),MATCH(J$2,DetailByDistrict[#Headers],0)),0)</f>
        <v>431</v>
      </c>
      <c r="K769" s="54">
        <f t="shared" si="11"/>
        <v>1.8561484918793503E-2</v>
      </c>
      <c r="L769" s="59">
        <f>ROUND(INDEX(DetailByDistrict[],MATCH($H769,DetailByDistrict[Dist],0),MATCH(L$2,DetailByDistrict[#Headers],0))*K769,2)</f>
        <v>518.89</v>
      </c>
      <c r="M769" s="59">
        <f>ROUND(INDEX(DetailByDistrict[],MATCH($H769,DetailByDistrict[Dist],0),MATCH(M$2,DetailByDistrict[#Headers],0))*K769,2)</f>
        <v>570.25</v>
      </c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spans="1:26" ht="15.75" customHeight="1" x14ac:dyDescent="0.25">
      <c r="A770" s="53">
        <v>11</v>
      </c>
      <c r="B770" s="54" t="s">
        <v>1123</v>
      </c>
      <c r="C770" s="54" t="s">
        <v>833</v>
      </c>
      <c r="D770" s="53">
        <v>1737</v>
      </c>
      <c r="E770" s="53">
        <v>8113</v>
      </c>
      <c r="F770" s="54" t="s">
        <v>1145</v>
      </c>
      <c r="G770" s="53" t="s">
        <v>222</v>
      </c>
      <c r="H770" s="58" t="str">
        <f>_xlfn.IFNA(INDEX(ActiveSchools!$C$2:$F$326,MATCH(G770,ActiveSchools!$F$2:$F$326,0),1),"Total")</f>
        <v>6579</v>
      </c>
      <c r="I770" s="53">
        <v>30</v>
      </c>
      <c r="J770" s="59">
        <f>_xlfn.IFNA(INDEX(DetailByDistrict[],MATCH($H770,DetailByDistrict[Dist],0),MATCH(J$2,DetailByDistrict[#Headers],0)),0)</f>
        <v>484</v>
      </c>
      <c r="K770" s="54">
        <f t="shared" si="11"/>
        <v>6.1983471074380167E-2</v>
      </c>
      <c r="L770" s="59">
        <f>ROUND(INDEX(DetailByDistrict[],MATCH($H770,DetailByDistrict[Dist],0),MATCH(L$2,DetailByDistrict[#Headers],0))*K770,2)</f>
        <v>1945.79</v>
      </c>
      <c r="M770" s="59">
        <f>ROUND(INDEX(DetailByDistrict[],MATCH($H770,DetailByDistrict[Dist],0),MATCH(M$2,DetailByDistrict[#Headers],0))*K770,2)</f>
        <v>2138.4299999999998</v>
      </c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spans="1:26" ht="15.75" customHeight="1" x14ac:dyDescent="0.25">
      <c r="A771" s="53">
        <v>11</v>
      </c>
      <c r="B771" s="54" t="s">
        <v>1123</v>
      </c>
      <c r="C771" s="54" t="s">
        <v>833</v>
      </c>
      <c r="D771" s="53">
        <v>1737</v>
      </c>
      <c r="E771" s="53">
        <v>8113</v>
      </c>
      <c r="F771" s="54" t="s">
        <v>1138</v>
      </c>
      <c r="G771" s="53" t="s">
        <v>224</v>
      </c>
      <c r="H771" s="58" t="str">
        <f>_xlfn.IFNA(INDEX(ActiveSchools!$C$2:$F$326,MATCH(G771,ActiveSchools!$F$2:$F$326,0),1),"Total")</f>
        <v>6822</v>
      </c>
      <c r="I771" s="53">
        <v>14</v>
      </c>
      <c r="J771" s="59">
        <f>_xlfn.IFNA(INDEX(DetailByDistrict[],MATCH($H771,DetailByDistrict[Dist],0),MATCH(J$2,DetailByDistrict[#Headers],0)),0)</f>
        <v>1399</v>
      </c>
      <c r="K771" s="54">
        <f t="shared" si="11"/>
        <v>1.0007147962830594E-2</v>
      </c>
      <c r="L771" s="59">
        <f>ROUND(INDEX(DetailByDistrict[],MATCH($H771,DetailByDistrict[Dist],0),MATCH(L$2,DetailByDistrict[#Headers],0))*K771,2)</f>
        <v>908.04</v>
      </c>
      <c r="M771" s="59">
        <f>ROUND(INDEX(DetailByDistrict[],MATCH($H771,DetailByDistrict[Dist],0),MATCH(M$2,DetailByDistrict[#Headers],0))*K771,2)</f>
        <v>997.92</v>
      </c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spans="1:26" ht="15.75" customHeight="1" x14ac:dyDescent="0.25">
      <c r="A772" s="53">
        <v>11</v>
      </c>
      <c r="B772" s="54" t="s">
        <v>1123</v>
      </c>
      <c r="C772" s="54" t="s">
        <v>833</v>
      </c>
      <c r="D772" s="53">
        <v>1737</v>
      </c>
      <c r="E772" s="53">
        <v>8113</v>
      </c>
      <c r="F772" s="54" t="s">
        <v>1139</v>
      </c>
      <c r="G772" s="53" t="s">
        <v>226</v>
      </c>
      <c r="H772" s="58" t="str">
        <f>_xlfn.IFNA(INDEX(ActiveSchools!$C$2:$F$326,MATCH(G772,ActiveSchools!$F$2:$F$326,0),1),"Total")</f>
        <v>6957</v>
      </c>
      <c r="I772" s="53">
        <v>64</v>
      </c>
      <c r="J772" s="59">
        <f>_xlfn.IFNA(INDEX(DetailByDistrict[],MATCH($H772,DetailByDistrict[Dist],0),MATCH(J$2,DetailByDistrict[#Headers],0)),0)</f>
        <v>1305</v>
      </c>
      <c r="K772" s="54">
        <f t="shared" ref="K772:K835" si="12">I772/J772</f>
        <v>4.9042145593869733E-2</v>
      </c>
      <c r="L772" s="59">
        <f>ROUND(INDEX(DetailByDistrict[],MATCH($H772,DetailByDistrict[Dist],0),MATCH(L$2,DetailByDistrict[#Headers],0))*K772,2)</f>
        <v>4151.03</v>
      </c>
      <c r="M772" s="59">
        <f>ROUND(INDEX(DetailByDistrict[],MATCH($H772,DetailByDistrict[Dist],0),MATCH(M$2,DetailByDistrict[#Headers],0))*K772,2)</f>
        <v>4561.8999999999996</v>
      </c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spans="1:26" ht="15.75" customHeight="1" x14ac:dyDescent="0.25">
      <c r="A773" s="53">
        <v>11</v>
      </c>
      <c r="B773" s="54" t="s">
        <v>1123</v>
      </c>
      <c r="C773" s="54" t="s">
        <v>834</v>
      </c>
      <c r="D773" s="53">
        <v>1737</v>
      </c>
      <c r="E773" s="53">
        <v>8117</v>
      </c>
      <c r="F773" s="54" t="s">
        <v>1151</v>
      </c>
      <c r="G773" s="57" t="s">
        <v>184</v>
      </c>
      <c r="H773" s="58" t="str">
        <f>_xlfn.IFNA(INDEX(ActiveSchools!$C$2:$F$326,MATCH(G773,ActiveSchools!$F$2:$F$326,0),1),"Total")</f>
        <v>0981</v>
      </c>
      <c r="I773" s="53">
        <v>12</v>
      </c>
      <c r="J773" s="59">
        <f>_xlfn.IFNA(INDEX(DetailByDistrict[],MATCH($H773,DetailByDistrict[Dist],0),MATCH(J$2,DetailByDistrict[#Headers],0)),0)</f>
        <v>68</v>
      </c>
      <c r="K773" s="54">
        <f t="shared" si="12"/>
        <v>0.17647058823529413</v>
      </c>
      <c r="L773" s="59">
        <f>ROUND(INDEX(DetailByDistrict[],MATCH($H773,DetailByDistrict[Dist],0),MATCH(L$2,DetailByDistrict[#Headers],0))*K773,2)</f>
        <v>778.24</v>
      </c>
      <c r="M773" s="59">
        <f>ROUND(INDEX(DetailByDistrict[],MATCH($H773,DetailByDistrict[Dist],0),MATCH(M$2,DetailByDistrict[#Headers],0))*K773,2)</f>
        <v>855.35</v>
      </c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spans="1:26" ht="15.75" customHeight="1" x14ac:dyDescent="0.25">
      <c r="A774" s="53">
        <v>11</v>
      </c>
      <c r="B774" s="54" t="s">
        <v>1123</v>
      </c>
      <c r="C774" s="54" t="s">
        <v>834</v>
      </c>
      <c r="D774" s="53">
        <v>1737</v>
      </c>
      <c r="E774" s="53">
        <v>8117</v>
      </c>
      <c r="F774" s="54" t="s">
        <v>1134</v>
      </c>
      <c r="G774" s="53" t="s">
        <v>191</v>
      </c>
      <c r="H774" s="58" t="str">
        <f>_xlfn.IFNA(INDEX(ActiveSchools!$C$2:$F$326,MATCH(G774,ActiveSchools!$F$2:$F$326,0),1),"Total")</f>
        <v>1737</v>
      </c>
      <c r="I774" s="53">
        <v>181</v>
      </c>
      <c r="J774" s="59">
        <f>_xlfn.IFNA(INDEX(DetailByDistrict[],MATCH($H774,DetailByDistrict[Dist],0),MATCH(J$2,DetailByDistrict[#Headers],0)),0)</f>
        <v>2968</v>
      </c>
      <c r="K774" s="54">
        <f t="shared" si="12"/>
        <v>6.0983827493261457E-2</v>
      </c>
      <c r="L774" s="59">
        <f>ROUND(INDEX(DetailByDistrict[],MATCH($H774,DetailByDistrict[Dist],0),MATCH(L$2,DetailByDistrict[#Headers],0))*K774,2)</f>
        <v>11739.63</v>
      </c>
      <c r="M774" s="59">
        <f>ROUND(INDEX(DetailByDistrict[],MATCH($H774,DetailByDistrict[Dist],0),MATCH(M$2,DetailByDistrict[#Headers],0))*K774,2)</f>
        <v>12901.68</v>
      </c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spans="1:26" ht="15.75" customHeight="1" x14ac:dyDescent="0.25">
      <c r="A775" s="53">
        <v>11</v>
      </c>
      <c r="B775" s="54" t="s">
        <v>1123</v>
      </c>
      <c r="C775" s="54" t="s">
        <v>834</v>
      </c>
      <c r="D775" s="53">
        <v>1737</v>
      </c>
      <c r="E775" s="53">
        <v>8117</v>
      </c>
      <c r="F775" s="54" t="s">
        <v>1152</v>
      </c>
      <c r="G775" s="53" t="s">
        <v>197</v>
      </c>
      <c r="H775" s="58" t="str">
        <f>_xlfn.IFNA(INDEX(ActiveSchools!$C$2:$F$326,MATCH(G775,ActiveSchools!$F$2:$F$326,0),1),"Total")</f>
        <v>3114</v>
      </c>
      <c r="I775" s="53">
        <v>3</v>
      </c>
      <c r="J775" s="59">
        <f>_xlfn.IFNA(INDEX(DetailByDistrict[],MATCH($H775,DetailByDistrict[Dist],0),MATCH(J$2,DetailByDistrict[#Headers],0)),0)</f>
        <v>145</v>
      </c>
      <c r="K775" s="54">
        <f t="shared" si="12"/>
        <v>2.0689655172413793E-2</v>
      </c>
      <c r="L775" s="59">
        <f>ROUND(INDEX(DetailByDistrict[],MATCH($H775,DetailByDistrict[Dist],0),MATCH(L$2,DetailByDistrict[#Headers],0))*K775,2)</f>
        <v>194.59</v>
      </c>
      <c r="M775" s="59">
        <f>ROUND(INDEX(DetailByDistrict[],MATCH($H775,DetailByDistrict[Dist],0),MATCH(M$2,DetailByDistrict[#Headers],0))*K775,2)</f>
        <v>213.85</v>
      </c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spans="1:26" ht="15.75" customHeight="1" x14ac:dyDescent="0.25">
      <c r="A776" s="53">
        <v>11</v>
      </c>
      <c r="B776" s="54" t="s">
        <v>1123</v>
      </c>
      <c r="C776" s="54" t="s">
        <v>834</v>
      </c>
      <c r="D776" s="53">
        <v>1737</v>
      </c>
      <c r="E776" s="53">
        <v>8117</v>
      </c>
      <c r="F776" s="54" t="s">
        <v>1153</v>
      </c>
      <c r="G776" s="53" t="s">
        <v>208</v>
      </c>
      <c r="H776" s="58" t="str">
        <f>_xlfn.IFNA(INDEX(ActiveSchools!$C$2:$F$326,MATCH(G776,ActiveSchools!$F$2:$F$326,0),1),"Total")</f>
        <v>4797</v>
      </c>
      <c r="I776" s="53">
        <v>21</v>
      </c>
      <c r="J776" s="59">
        <f>_xlfn.IFNA(INDEX(DetailByDistrict[],MATCH($H776,DetailByDistrict[Dist],0),MATCH(J$2,DetailByDistrict[#Headers],0)),0)</f>
        <v>161</v>
      </c>
      <c r="K776" s="54">
        <f t="shared" si="12"/>
        <v>0.13043478260869565</v>
      </c>
      <c r="L776" s="59">
        <f>ROUND(INDEX(DetailByDistrict[],MATCH($H776,DetailByDistrict[Dist],0),MATCH(L$2,DetailByDistrict[#Headers],0))*K776,2)</f>
        <v>1362</v>
      </c>
      <c r="M776" s="59">
        <f>ROUND(INDEX(DetailByDistrict[],MATCH($H776,DetailByDistrict[Dist],0),MATCH(M$2,DetailByDistrict[#Headers],0))*K776,2)</f>
        <v>1496.87</v>
      </c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spans="1:26" ht="15.75" customHeight="1" x14ac:dyDescent="0.25">
      <c r="A777" s="53">
        <v>11</v>
      </c>
      <c r="B777" s="54" t="s">
        <v>1123</v>
      </c>
      <c r="C777" s="54" t="s">
        <v>834</v>
      </c>
      <c r="D777" s="53">
        <v>1737</v>
      </c>
      <c r="E777" s="53">
        <v>8117</v>
      </c>
      <c r="F777" s="54" t="s">
        <v>1155</v>
      </c>
      <c r="G777" s="53" t="s">
        <v>215</v>
      </c>
      <c r="H777" s="58" t="str">
        <f>_xlfn.IFNA(INDEX(ActiveSchools!$C$2:$F$326,MATCH(G777,ActiveSchools!$F$2:$F$326,0),1),"Total")</f>
        <v>5256</v>
      </c>
      <c r="I777" s="53">
        <v>1</v>
      </c>
      <c r="J777" s="59">
        <f>_xlfn.IFNA(INDEX(DetailByDistrict[],MATCH($H777,DetailByDistrict[Dist],0),MATCH(J$2,DetailByDistrict[#Headers],0)),0)</f>
        <v>1</v>
      </c>
      <c r="K777" s="54">
        <f t="shared" si="12"/>
        <v>1</v>
      </c>
      <c r="L777" s="59">
        <f>ROUND(INDEX(DetailByDistrict[],MATCH($H777,DetailByDistrict[Dist],0),MATCH(L$2,DetailByDistrict[#Headers],0))*K777,2)</f>
        <v>65</v>
      </c>
      <c r="M777" s="59">
        <f>ROUND(INDEX(DetailByDistrict[],MATCH($H777,DetailByDistrict[Dist],0),MATCH(M$2,DetailByDistrict[#Headers],0))*K777,2)</f>
        <v>71</v>
      </c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spans="1:26" ht="15.75" customHeight="1" x14ac:dyDescent="0.25">
      <c r="A778" s="53">
        <v>11</v>
      </c>
      <c r="B778" s="54" t="s">
        <v>1123</v>
      </c>
      <c r="C778" s="54" t="s">
        <v>834</v>
      </c>
      <c r="D778" s="53">
        <v>1737</v>
      </c>
      <c r="E778" s="53">
        <v>8117</v>
      </c>
      <c r="F778" s="54" t="s">
        <v>1138</v>
      </c>
      <c r="G778" s="53" t="s">
        <v>224</v>
      </c>
      <c r="H778" s="58" t="str">
        <f>_xlfn.IFNA(INDEX(ActiveSchools!$C$2:$F$326,MATCH(G778,ActiveSchools!$F$2:$F$326,0),1),"Total")</f>
        <v>6822</v>
      </c>
      <c r="I778" s="53">
        <v>1</v>
      </c>
      <c r="J778" s="59">
        <f>_xlfn.IFNA(INDEX(DetailByDistrict[],MATCH($H778,DetailByDistrict[Dist],0),MATCH(J$2,DetailByDistrict[#Headers],0)),0)</f>
        <v>1399</v>
      </c>
      <c r="K778" s="54">
        <f t="shared" si="12"/>
        <v>7.1479628305932811E-4</v>
      </c>
      <c r="L778" s="59">
        <f>ROUND(INDEX(DetailByDistrict[],MATCH($H778,DetailByDistrict[Dist],0),MATCH(L$2,DetailByDistrict[#Headers],0))*K778,2)</f>
        <v>64.86</v>
      </c>
      <c r="M778" s="59">
        <f>ROUND(INDEX(DetailByDistrict[],MATCH($H778,DetailByDistrict[Dist],0),MATCH(M$2,DetailByDistrict[#Headers],0))*K778,2)</f>
        <v>71.28</v>
      </c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spans="1:26" ht="15.75" customHeight="1" x14ac:dyDescent="0.25">
      <c r="A779" s="53">
        <v>11</v>
      </c>
      <c r="B779" s="54" t="s">
        <v>1123</v>
      </c>
      <c r="C779" s="54" t="s">
        <v>834</v>
      </c>
      <c r="D779" s="53">
        <v>1737</v>
      </c>
      <c r="E779" s="53">
        <v>8117</v>
      </c>
      <c r="F779" s="54" t="s">
        <v>1139</v>
      </c>
      <c r="G779" s="53" t="s">
        <v>226</v>
      </c>
      <c r="H779" s="58" t="str">
        <f>_xlfn.IFNA(INDEX(ActiveSchools!$C$2:$F$326,MATCH(G779,ActiveSchools!$F$2:$F$326,0),1),"Total")</f>
        <v>6957</v>
      </c>
      <c r="I779" s="53">
        <v>1</v>
      </c>
      <c r="J779" s="59">
        <f>_xlfn.IFNA(INDEX(DetailByDistrict[],MATCH($H779,DetailByDistrict[Dist],0),MATCH(J$2,DetailByDistrict[#Headers],0)),0)</f>
        <v>1305</v>
      </c>
      <c r="K779" s="54">
        <f t="shared" si="12"/>
        <v>7.6628352490421458E-4</v>
      </c>
      <c r="L779" s="59">
        <f>ROUND(INDEX(DetailByDistrict[],MATCH($H779,DetailByDistrict[Dist],0),MATCH(L$2,DetailByDistrict[#Headers],0))*K779,2)</f>
        <v>64.86</v>
      </c>
      <c r="M779" s="59">
        <f>ROUND(INDEX(DetailByDistrict[],MATCH($H779,DetailByDistrict[Dist],0),MATCH(M$2,DetailByDistrict[#Headers],0))*K779,2)</f>
        <v>71.28</v>
      </c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spans="1:26" ht="15.75" customHeight="1" x14ac:dyDescent="0.25">
      <c r="A780" s="53">
        <v>11</v>
      </c>
      <c r="B780" s="54" t="s">
        <v>1123</v>
      </c>
      <c r="C780" s="54" t="s">
        <v>835</v>
      </c>
      <c r="D780" s="53">
        <v>1737</v>
      </c>
      <c r="E780" s="53">
        <v>8119</v>
      </c>
      <c r="F780" s="54" t="s">
        <v>1156</v>
      </c>
      <c r="G780" s="57" t="s">
        <v>176</v>
      </c>
      <c r="H780" s="58" t="str">
        <f>_xlfn.IFNA(INDEX(ActiveSchools!$C$2:$F$326,MATCH(G780,ActiveSchools!$F$2:$F$326,0),1),"Total")</f>
        <v>0027</v>
      </c>
      <c r="I780" s="53">
        <v>2</v>
      </c>
      <c r="J780" s="59">
        <f>_xlfn.IFNA(INDEX(DetailByDistrict[],MATCH($H780,DetailByDistrict[Dist],0),MATCH(J$2,DetailByDistrict[#Headers],0)),0)</f>
        <v>51</v>
      </c>
      <c r="K780" s="54">
        <f t="shared" si="12"/>
        <v>3.9215686274509803E-2</v>
      </c>
      <c r="L780" s="59">
        <f>ROUND(INDEX(DetailByDistrict[],MATCH($H780,DetailByDistrict[Dist],0),MATCH(L$2,DetailByDistrict[#Headers],0))*K780,2)</f>
        <v>129.72999999999999</v>
      </c>
      <c r="M780" s="59">
        <f>ROUND(INDEX(DetailByDistrict[],MATCH($H780,DetailByDistrict[Dist],0),MATCH(M$2,DetailByDistrict[#Headers],0))*K780,2)</f>
        <v>142.55000000000001</v>
      </c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spans="1:26" ht="15.75" customHeight="1" x14ac:dyDescent="0.25">
      <c r="A781" s="53">
        <v>11</v>
      </c>
      <c r="B781" s="54" t="s">
        <v>1123</v>
      </c>
      <c r="C781" s="54" t="s">
        <v>835</v>
      </c>
      <c r="D781" s="53">
        <v>1737</v>
      </c>
      <c r="E781" s="53">
        <v>8119</v>
      </c>
      <c r="F781" s="54" t="s">
        <v>1125</v>
      </c>
      <c r="G781" s="57" t="s">
        <v>178</v>
      </c>
      <c r="H781" s="58" t="str">
        <f>_xlfn.IFNA(INDEX(ActiveSchools!$C$2:$F$326,MATCH(G781,ActiveSchools!$F$2:$F$326,0),1),"Total")</f>
        <v>0261</v>
      </c>
      <c r="I781" s="53">
        <v>11</v>
      </c>
      <c r="J781" s="59">
        <f>_xlfn.IFNA(INDEX(DetailByDistrict[],MATCH($H781,DetailByDistrict[Dist],0),MATCH(J$2,DetailByDistrict[#Headers],0)),0)</f>
        <v>1188</v>
      </c>
      <c r="K781" s="54">
        <f t="shared" si="12"/>
        <v>9.2592592592592587E-3</v>
      </c>
      <c r="L781" s="59">
        <f>ROUND(INDEX(DetailByDistrict[],MATCH($H781,DetailByDistrict[Dist],0),MATCH(L$2,DetailByDistrict[#Headers],0))*K781,2)</f>
        <v>713.46</v>
      </c>
      <c r="M781" s="59">
        <f>ROUND(INDEX(DetailByDistrict[],MATCH($H781,DetailByDistrict[Dist],0),MATCH(M$2,DetailByDistrict[#Headers],0))*K781,2)</f>
        <v>784.08</v>
      </c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spans="1:26" ht="15.75" customHeight="1" x14ac:dyDescent="0.25">
      <c r="A782" s="53">
        <v>11</v>
      </c>
      <c r="B782" s="54" t="s">
        <v>1123</v>
      </c>
      <c r="C782" s="54" t="s">
        <v>835</v>
      </c>
      <c r="D782" s="53">
        <v>1737</v>
      </c>
      <c r="E782" s="53">
        <v>8119</v>
      </c>
      <c r="F782" s="54" t="s">
        <v>1140</v>
      </c>
      <c r="G782" s="57" t="s">
        <v>182</v>
      </c>
      <c r="H782" s="58" t="str">
        <f>_xlfn.IFNA(INDEX(ActiveSchools!$C$2:$F$326,MATCH(G782,ActiveSchools!$F$2:$F$326,0),1),"Total")</f>
        <v>0720</v>
      </c>
      <c r="I782" s="53">
        <v>1</v>
      </c>
      <c r="J782" s="59">
        <f>_xlfn.IFNA(INDEX(DetailByDistrict[],MATCH($H782,DetailByDistrict[Dist],0),MATCH(J$2,DetailByDistrict[#Headers],0)),0)</f>
        <v>80</v>
      </c>
      <c r="K782" s="54">
        <f t="shared" si="12"/>
        <v>1.2500000000000001E-2</v>
      </c>
      <c r="L782" s="59">
        <f>ROUND(INDEX(DetailByDistrict[],MATCH($H782,DetailByDistrict[Dist],0),MATCH(L$2,DetailByDistrict[#Headers],0))*K782,2)</f>
        <v>64.86</v>
      </c>
      <c r="M782" s="59">
        <f>ROUND(INDEX(DetailByDistrict[],MATCH($H782,DetailByDistrict[Dist],0),MATCH(M$2,DetailByDistrict[#Headers],0))*K782,2)</f>
        <v>71.28</v>
      </c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spans="1:26" ht="15.75" customHeight="1" x14ac:dyDescent="0.25">
      <c r="A783" s="53">
        <v>11</v>
      </c>
      <c r="B783" s="54" t="s">
        <v>1123</v>
      </c>
      <c r="C783" s="54" t="s">
        <v>835</v>
      </c>
      <c r="D783" s="53">
        <v>1737</v>
      </c>
      <c r="E783" s="53">
        <v>8119</v>
      </c>
      <c r="F783" s="54" t="s">
        <v>1144</v>
      </c>
      <c r="G783" s="53" t="s">
        <v>190</v>
      </c>
      <c r="H783" s="58" t="str">
        <f>_xlfn.IFNA(INDEX(ActiveSchools!$C$2:$F$326,MATCH(G783,ActiveSchools!$F$2:$F$326,0),1),"Total")</f>
        <v>1576</v>
      </c>
      <c r="I783" s="53">
        <v>1</v>
      </c>
      <c r="J783" s="59">
        <f>_xlfn.IFNA(INDEX(DetailByDistrict[],MATCH($H783,DetailByDistrict[Dist],0),MATCH(J$2,DetailByDistrict[#Headers],0)),0)</f>
        <v>123</v>
      </c>
      <c r="K783" s="54">
        <f t="shared" si="12"/>
        <v>8.130081300813009E-3</v>
      </c>
      <c r="L783" s="59">
        <f>ROUND(INDEX(DetailByDistrict[],MATCH($H783,DetailByDistrict[Dist],0),MATCH(L$2,DetailByDistrict[#Headers],0))*K783,2)</f>
        <v>64.86</v>
      </c>
      <c r="M783" s="59">
        <f>ROUND(INDEX(DetailByDistrict[],MATCH($H783,DetailByDistrict[Dist],0),MATCH(M$2,DetailByDistrict[#Headers],0))*K783,2)</f>
        <v>71.28</v>
      </c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spans="1:26" ht="15.75" customHeight="1" x14ac:dyDescent="0.25">
      <c r="A784" s="53">
        <v>11</v>
      </c>
      <c r="B784" s="54" t="s">
        <v>1123</v>
      </c>
      <c r="C784" s="54" t="s">
        <v>835</v>
      </c>
      <c r="D784" s="53">
        <v>1737</v>
      </c>
      <c r="E784" s="53">
        <v>8119</v>
      </c>
      <c r="F784" s="54" t="s">
        <v>1134</v>
      </c>
      <c r="G784" s="53" t="s">
        <v>191</v>
      </c>
      <c r="H784" s="58" t="str">
        <f>_xlfn.IFNA(INDEX(ActiveSchools!$C$2:$F$326,MATCH(G784,ActiveSchools!$F$2:$F$326,0),1),"Total")</f>
        <v>1737</v>
      </c>
      <c r="I784" s="53">
        <v>226</v>
      </c>
      <c r="J784" s="59">
        <f>_xlfn.IFNA(INDEX(DetailByDistrict[],MATCH($H784,DetailByDistrict[Dist],0),MATCH(J$2,DetailByDistrict[#Headers],0)),0)</f>
        <v>2968</v>
      </c>
      <c r="K784" s="54">
        <f t="shared" si="12"/>
        <v>7.6145552560646895E-2</v>
      </c>
      <c r="L784" s="59">
        <f>ROUND(INDEX(DetailByDistrict[],MATCH($H784,DetailByDistrict[Dist],0),MATCH(L$2,DetailByDistrict[#Headers],0))*K784,2)</f>
        <v>14658.32</v>
      </c>
      <c r="M784" s="59">
        <f>ROUND(INDEX(DetailByDistrict[],MATCH($H784,DetailByDistrict[Dist],0),MATCH(M$2,DetailByDistrict[#Headers],0))*K784,2)</f>
        <v>16109.28</v>
      </c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spans="1:26" ht="15.75" customHeight="1" x14ac:dyDescent="0.25">
      <c r="A785" s="53">
        <v>11</v>
      </c>
      <c r="B785" s="54" t="s">
        <v>1123</v>
      </c>
      <c r="C785" s="54" t="s">
        <v>835</v>
      </c>
      <c r="D785" s="53">
        <v>1737</v>
      </c>
      <c r="E785" s="53">
        <v>8119</v>
      </c>
      <c r="F785" s="54" t="s">
        <v>1157</v>
      </c>
      <c r="G785" s="53" t="s">
        <v>192</v>
      </c>
      <c r="H785" s="58" t="str">
        <f>_xlfn.IFNA(INDEX(ActiveSchools!$C$2:$F$326,MATCH(G785,ActiveSchools!$F$2:$F$326,0),1),"Total")</f>
        <v>1953</v>
      </c>
      <c r="I785" s="53">
        <v>1</v>
      </c>
      <c r="J785" s="59">
        <f>_xlfn.IFNA(INDEX(DetailByDistrict[],MATCH($H785,DetailByDistrict[Dist],0),MATCH(J$2,DetailByDistrict[#Headers],0)),0)</f>
        <v>7</v>
      </c>
      <c r="K785" s="54">
        <f t="shared" si="12"/>
        <v>0.14285714285714285</v>
      </c>
      <c r="L785" s="59">
        <f>ROUND(INDEX(DetailByDistrict[],MATCH($H785,DetailByDistrict[Dist],0),MATCH(L$2,DetailByDistrict[#Headers],0))*K785,2)</f>
        <v>64.86</v>
      </c>
      <c r="M785" s="59">
        <f>ROUND(INDEX(DetailByDistrict[],MATCH($H785,DetailByDistrict[Dist],0),MATCH(M$2,DetailByDistrict[#Headers],0))*K785,2)</f>
        <v>71.290000000000006</v>
      </c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spans="1:26" ht="15.75" customHeight="1" x14ac:dyDescent="0.25">
      <c r="A786" s="53">
        <v>11</v>
      </c>
      <c r="B786" s="54" t="s">
        <v>1123</v>
      </c>
      <c r="C786" s="54" t="s">
        <v>835</v>
      </c>
      <c r="D786" s="53">
        <v>1737</v>
      </c>
      <c r="E786" s="53">
        <v>8119</v>
      </c>
      <c r="F786" s="54" t="s">
        <v>1135</v>
      </c>
      <c r="G786" s="53" t="s">
        <v>199</v>
      </c>
      <c r="H786" s="58" t="str">
        <f>_xlfn.IFNA(INDEX(ActiveSchools!$C$2:$F$326,MATCH(G786,ActiveSchools!$F$2:$F$326,0),1),"Total")</f>
        <v>3231</v>
      </c>
      <c r="I786" s="53">
        <v>62</v>
      </c>
      <c r="J786" s="59">
        <f>_xlfn.IFNA(INDEX(DetailByDistrict[],MATCH($H786,DetailByDistrict[Dist],0),MATCH(J$2,DetailByDistrict[#Headers],0)),0)</f>
        <v>509</v>
      </c>
      <c r="K786" s="54">
        <f t="shared" si="12"/>
        <v>0.12180746561886051</v>
      </c>
      <c r="L786" s="59">
        <f>ROUND(INDEX(DetailByDistrict[],MATCH($H786,DetailByDistrict[Dist],0),MATCH(L$2,DetailByDistrict[#Headers],0))*K786,2)</f>
        <v>4021.35</v>
      </c>
      <c r="M786" s="59">
        <f>ROUND(INDEX(DetailByDistrict[],MATCH($H786,DetailByDistrict[Dist],0),MATCH(M$2,DetailByDistrict[#Headers],0))*K786,2)</f>
        <v>4419.42</v>
      </c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spans="1:26" ht="15.75" customHeight="1" x14ac:dyDescent="0.25">
      <c r="A787" s="53">
        <v>11</v>
      </c>
      <c r="B787" s="54" t="s">
        <v>1123</v>
      </c>
      <c r="C787" s="54" t="s">
        <v>835</v>
      </c>
      <c r="D787" s="53">
        <v>1737</v>
      </c>
      <c r="E787" s="53">
        <v>8119</v>
      </c>
      <c r="F787" s="54" t="s">
        <v>1141</v>
      </c>
      <c r="G787" s="53" t="s">
        <v>206</v>
      </c>
      <c r="H787" s="58" t="str">
        <f>_xlfn.IFNA(INDEX(ActiveSchools!$C$2:$F$326,MATCH(G787,ActiveSchools!$F$2:$F$326,0),1),"Total")</f>
        <v>4725</v>
      </c>
      <c r="I787" s="53">
        <v>2</v>
      </c>
      <c r="J787" s="59">
        <f>_xlfn.IFNA(INDEX(DetailByDistrict[],MATCH($H787,DetailByDistrict[Dist],0),MATCH(J$2,DetailByDistrict[#Headers],0)),0)</f>
        <v>115</v>
      </c>
      <c r="K787" s="54">
        <f t="shared" si="12"/>
        <v>1.7391304347826087E-2</v>
      </c>
      <c r="L787" s="59">
        <f>ROUND(INDEX(DetailByDistrict[],MATCH($H787,DetailByDistrict[Dist],0),MATCH(L$2,DetailByDistrict[#Headers],0))*K787,2)</f>
        <v>129.72</v>
      </c>
      <c r="M787" s="59">
        <f>ROUND(INDEX(DetailByDistrict[],MATCH($H787,DetailByDistrict[Dist],0),MATCH(M$2,DetailByDistrict[#Headers],0))*K787,2)</f>
        <v>142.56</v>
      </c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spans="1:26" ht="15.75" customHeight="1" x14ac:dyDescent="0.25">
      <c r="A788" s="53">
        <v>11</v>
      </c>
      <c r="B788" s="54" t="s">
        <v>1123</v>
      </c>
      <c r="C788" s="54" t="s">
        <v>835</v>
      </c>
      <c r="D788" s="53">
        <v>1737</v>
      </c>
      <c r="E788" s="53">
        <v>8119</v>
      </c>
      <c r="F788" s="54" t="s">
        <v>1153</v>
      </c>
      <c r="G788" s="53" t="s">
        <v>208</v>
      </c>
      <c r="H788" s="58" t="str">
        <f>_xlfn.IFNA(INDEX(ActiveSchools!$C$2:$F$326,MATCH(G788,ActiveSchools!$F$2:$F$326,0),1),"Total")</f>
        <v>4797</v>
      </c>
      <c r="I788" s="53">
        <v>1</v>
      </c>
      <c r="J788" s="59">
        <f>_xlfn.IFNA(INDEX(DetailByDistrict[],MATCH($H788,DetailByDistrict[Dist],0),MATCH(J$2,DetailByDistrict[#Headers],0)),0)</f>
        <v>161</v>
      </c>
      <c r="K788" s="54">
        <f t="shared" si="12"/>
        <v>6.2111801242236021E-3</v>
      </c>
      <c r="L788" s="59">
        <f>ROUND(INDEX(DetailByDistrict[],MATCH($H788,DetailByDistrict[Dist],0),MATCH(L$2,DetailByDistrict[#Headers],0))*K788,2)</f>
        <v>64.86</v>
      </c>
      <c r="M788" s="59">
        <f>ROUND(INDEX(DetailByDistrict[],MATCH($H788,DetailByDistrict[Dist],0),MATCH(M$2,DetailByDistrict[#Headers],0))*K788,2)</f>
        <v>71.28</v>
      </c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spans="1:26" ht="15.75" customHeight="1" x14ac:dyDescent="0.25">
      <c r="A789" s="53">
        <v>11</v>
      </c>
      <c r="B789" s="54" t="s">
        <v>1123</v>
      </c>
      <c r="C789" s="54" t="s">
        <v>835</v>
      </c>
      <c r="D789" s="53">
        <v>1737</v>
      </c>
      <c r="E789" s="53">
        <v>8119</v>
      </c>
      <c r="F789" s="54" t="s">
        <v>1137</v>
      </c>
      <c r="G789" s="53" t="s">
        <v>217</v>
      </c>
      <c r="H789" s="58" t="str">
        <f>_xlfn.IFNA(INDEX(ActiveSchools!$C$2:$F$326,MATCH(G789,ActiveSchools!$F$2:$F$326,0),1),"Total")</f>
        <v>5805</v>
      </c>
      <c r="I789" s="53">
        <v>2</v>
      </c>
      <c r="J789" s="59">
        <f>_xlfn.IFNA(INDEX(DetailByDistrict[],MATCH($H789,DetailByDistrict[Dist],0),MATCH(J$2,DetailByDistrict[#Headers],0)),0)</f>
        <v>75</v>
      </c>
      <c r="K789" s="54">
        <f t="shared" si="12"/>
        <v>2.6666666666666668E-2</v>
      </c>
      <c r="L789" s="59">
        <f>ROUND(INDEX(DetailByDistrict[],MATCH($H789,DetailByDistrict[Dist],0),MATCH(L$2,DetailByDistrict[#Headers],0))*K789,2)</f>
        <v>129.72999999999999</v>
      </c>
      <c r="M789" s="59">
        <f>ROUND(INDEX(DetailByDistrict[],MATCH($H789,DetailByDistrict[Dist],0),MATCH(M$2,DetailByDistrict[#Headers],0))*K789,2)</f>
        <v>142.56</v>
      </c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spans="1:26" ht="15.75" customHeight="1" x14ac:dyDescent="0.25">
      <c r="A790" s="53">
        <v>11</v>
      </c>
      <c r="B790" s="54" t="s">
        <v>1123</v>
      </c>
      <c r="C790" s="54" t="s">
        <v>835</v>
      </c>
      <c r="D790" s="53">
        <v>1737</v>
      </c>
      <c r="E790" s="53">
        <v>8119</v>
      </c>
      <c r="F790" s="54" t="s">
        <v>1142</v>
      </c>
      <c r="G790" s="53" t="s">
        <v>218</v>
      </c>
      <c r="H790" s="58" t="str">
        <f>_xlfn.IFNA(INDEX(ActiveSchools!$C$2:$F$326,MATCH(G790,ActiveSchools!$F$2:$F$326,0),1),"Total")</f>
        <v>6101</v>
      </c>
      <c r="I790" s="53">
        <v>3</v>
      </c>
      <c r="J790" s="59">
        <f>_xlfn.IFNA(INDEX(DetailByDistrict[],MATCH($H790,DetailByDistrict[Dist],0),MATCH(J$2,DetailByDistrict[#Headers],0)),0)</f>
        <v>431</v>
      </c>
      <c r="K790" s="54">
        <f t="shared" si="12"/>
        <v>6.9605568445475635E-3</v>
      </c>
      <c r="L790" s="59">
        <f>ROUND(INDEX(DetailByDistrict[],MATCH($H790,DetailByDistrict[Dist],0),MATCH(L$2,DetailByDistrict[#Headers],0))*K790,2)</f>
        <v>194.58</v>
      </c>
      <c r="M790" s="59">
        <f>ROUND(INDEX(DetailByDistrict[],MATCH($H790,DetailByDistrict[Dist],0),MATCH(M$2,DetailByDistrict[#Headers],0))*K790,2)</f>
        <v>213.84</v>
      </c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spans="1:26" ht="15.75" customHeight="1" x14ac:dyDescent="0.25">
      <c r="A791" s="53">
        <v>11</v>
      </c>
      <c r="B791" s="54" t="s">
        <v>1123</v>
      </c>
      <c r="C791" s="54" t="s">
        <v>835</v>
      </c>
      <c r="D791" s="53">
        <v>1737</v>
      </c>
      <c r="E791" s="53">
        <v>8119</v>
      </c>
      <c r="F791" s="54" t="s">
        <v>1145</v>
      </c>
      <c r="G791" s="53" t="s">
        <v>222</v>
      </c>
      <c r="H791" s="58" t="str">
        <f>_xlfn.IFNA(INDEX(ActiveSchools!$C$2:$F$326,MATCH(G791,ActiveSchools!$F$2:$F$326,0),1),"Total")</f>
        <v>6579</v>
      </c>
      <c r="I791" s="53">
        <v>18</v>
      </c>
      <c r="J791" s="59">
        <f>_xlfn.IFNA(INDEX(DetailByDistrict[],MATCH($H791,DetailByDistrict[Dist],0),MATCH(J$2,DetailByDistrict[#Headers],0)),0)</f>
        <v>484</v>
      </c>
      <c r="K791" s="54">
        <f t="shared" si="12"/>
        <v>3.71900826446281E-2</v>
      </c>
      <c r="L791" s="59">
        <f>ROUND(INDEX(DetailByDistrict[],MATCH($H791,DetailByDistrict[Dist],0),MATCH(L$2,DetailByDistrict[#Headers],0))*K791,2)</f>
        <v>1167.47</v>
      </c>
      <c r="M791" s="59">
        <f>ROUND(INDEX(DetailByDistrict[],MATCH($H791,DetailByDistrict[Dist],0),MATCH(M$2,DetailByDistrict[#Headers],0))*K791,2)</f>
        <v>1283.06</v>
      </c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spans="1:26" ht="15.75" customHeight="1" x14ac:dyDescent="0.25">
      <c r="A792" s="53">
        <v>11</v>
      </c>
      <c r="B792" s="54" t="s">
        <v>1123</v>
      </c>
      <c r="C792" s="54" t="s">
        <v>835</v>
      </c>
      <c r="D792" s="53">
        <v>1737</v>
      </c>
      <c r="E792" s="53">
        <v>8119</v>
      </c>
      <c r="F792" s="54" t="s">
        <v>1138</v>
      </c>
      <c r="G792" s="53" t="s">
        <v>224</v>
      </c>
      <c r="H792" s="58" t="str">
        <f>_xlfn.IFNA(INDEX(ActiveSchools!$C$2:$F$326,MATCH(G792,ActiveSchools!$F$2:$F$326,0),1),"Total")</f>
        <v>6822</v>
      </c>
      <c r="I792" s="53">
        <v>4</v>
      </c>
      <c r="J792" s="59">
        <f>_xlfn.IFNA(INDEX(DetailByDistrict[],MATCH($H792,DetailByDistrict[Dist],0),MATCH(J$2,DetailByDistrict[#Headers],0)),0)</f>
        <v>1399</v>
      </c>
      <c r="K792" s="54">
        <f t="shared" si="12"/>
        <v>2.8591851322373124E-3</v>
      </c>
      <c r="L792" s="59">
        <f>ROUND(INDEX(DetailByDistrict[],MATCH($H792,DetailByDistrict[Dist],0),MATCH(L$2,DetailByDistrict[#Headers],0))*K792,2)</f>
        <v>259.44</v>
      </c>
      <c r="M792" s="59">
        <f>ROUND(INDEX(DetailByDistrict[],MATCH($H792,DetailByDistrict[Dist],0),MATCH(M$2,DetailByDistrict[#Headers],0))*K792,2)</f>
        <v>285.12</v>
      </c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spans="1:26" ht="15.75" customHeight="1" x14ac:dyDescent="0.25">
      <c r="A793" s="53">
        <v>11</v>
      </c>
      <c r="B793" s="54" t="s">
        <v>1123</v>
      </c>
      <c r="C793" s="54" t="s">
        <v>835</v>
      </c>
      <c r="D793" s="53">
        <v>1737</v>
      </c>
      <c r="E793" s="53">
        <v>8119</v>
      </c>
      <c r="F793" s="54" t="s">
        <v>1139</v>
      </c>
      <c r="G793" s="53" t="s">
        <v>226</v>
      </c>
      <c r="H793" s="58" t="str">
        <f>_xlfn.IFNA(INDEX(ActiveSchools!$C$2:$F$326,MATCH(G793,ActiveSchools!$F$2:$F$326,0),1),"Total")</f>
        <v>6957</v>
      </c>
      <c r="I793" s="53">
        <v>23</v>
      </c>
      <c r="J793" s="59">
        <f>_xlfn.IFNA(INDEX(DetailByDistrict[],MATCH($H793,DetailByDistrict[Dist],0),MATCH(J$2,DetailByDistrict[#Headers],0)),0)</f>
        <v>1305</v>
      </c>
      <c r="K793" s="54">
        <f t="shared" si="12"/>
        <v>1.7624521072796936E-2</v>
      </c>
      <c r="L793" s="59">
        <f>ROUND(INDEX(DetailByDistrict[],MATCH($H793,DetailByDistrict[Dist],0),MATCH(L$2,DetailByDistrict[#Headers],0))*K793,2)</f>
        <v>1491.77</v>
      </c>
      <c r="M793" s="59">
        <f>ROUND(INDEX(DetailByDistrict[],MATCH($H793,DetailByDistrict[Dist],0),MATCH(M$2,DetailByDistrict[#Headers],0))*K793,2)</f>
        <v>1639.43</v>
      </c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spans="1:26" ht="15.75" customHeight="1" x14ac:dyDescent="0.25">
      <c r="A794" s="53">
        <v>11</v>
      </c>
      <c r="B794" s="54" t="s">
        <v>1123</v>
      </c>
      <c r="C794" s="54" t="s">
        <v>836</v>
      </c>
      <c r="D794" s="53">
        <v>1737</v>
      </c>
      <c r="E794" s="53">
        <v>8120</v>
      </c>
      <c r="F794" s="54" t="s">
        <v>1125</v>
      </c>
      <c r="G794" s="57" t="s">
        <v>178</v>
      </c>
      <c r="H794" s="58" t="str">
        <f>_xlfn.IFNA(INDEX(ActiveSchools!$C$2:$F$326,MATCH(G794,ActiveSchools!$F$2:$F$326,0),1),"Total")</f>
        <v>0261</v>
      </c>
      <c r="I794" s="53">
        <v>13</v>
      </c>
      <c r="J794" s="59">
        <f>_xlfn.IFNA(INDEX(DetailByDistrict[],MATCH($H794,DetailByDistrict[Dist],0),MATCH(J$2,DetailByDistrict[#Headers],0)),0)</f>
        <v>1188</v>
      </c>
      <c r="K794" s="54">
        <f t="shared" si="12"/>
        <v>1.0942760942760943E-2</v>
      </c>
      <c r="L794" s="59">
        <f>ROUND(INDEX(DetailByDistrict[],MATCH($H794,DetailByDistrict[Dist],0),MATCH(L$2,DetailByDistrict[#Headers],0))*K794,2)</f>
        <v>843.18</v>
      </c>
      <c r="M794" s="59">
        <f>ROUND(INDEX(DetailByDistrict[],MATCH($H794,DetailByDistrict[Dist],0),MATCH(M$2,DetailByDistrict[#Headers],0))*K794,2)</f>
        <v>926.64</v>
      </c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spans="1:26" ht="15.75" customHeight="1" x14ac:dyDescent="0.25">
      <c r="A795" s="53">
        <v>11</v>
      </c>
      <c r="B795" s="54" t="s">
        <v>1123</v>
      </c>
      <c r="C795" s="54" t="s">
        <v>836</v>
      </c>
      <c r="D795" s="53">
        <v>1737</v>
      </c>
      <c r="E795" s="53">
        <v>8120</v>
      </c>
      <c r="F795" s="54" t="s">
        <v>1126</v>
      </c>
      <c r="G795" s="57" t="s">
        <v>180</v>
      </c>
      <c r="H795" s="58" t="str">
        <f>_xlfn.IFNA(INDEX(ActiveSchools!$C$2:$F$326,MATCH(G795,ActiveSchools!$F$2:$F$326,0),1),"Total")</f>
        <v>0472</v>
      </c>
      <c r="I795" s="53">
        <v>2</v>
      </c>
      <c r="J795" s="59">
        <f>_xlfn.IFNA(INDEX(DetailByDistrict[],MATCH($H795,DetailByDistrict[Dist],0),MATCH(J$2,DetailByDistrict[#Headers],0)),0)</f>
        <v>41</v>
      </c>
      <c r="K795" s="54">
        <f t="shared" si="12"/>
        <v>4.878048780487805E-2</v>
      </c>
      <c r="L795" s="59">
        <f>ROUND(INDEX(DetailByDistrict[],MATCH($H795,DetailByDistrict[Dist],0),MATCH(L$2,DetailByDistrict[#Headers],0))*K795,2)</f>
        <v>129.71</v>
      </c>
      <c r="M795" s="59">
        <f>ROUND(INDEX(DetailByDistrict[],MATCH($H795,DetailByDistrict[Dist],0),MATCH(M$2,DetailByDistrict[#Headers],0))*K795,2)</f>
        <v>142.54</v>
      </c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spans="1:26" ht="15.75" customHeight="1" x14ac:dyDescent="0.25">
      <c r="A796" s="53">
        <v>11</v>
      </c>
      <c r="B796" s="54" t="s">
        <v>1123</v>
      </c>
      <c r="C796" s="54" t="s">
        <v>836</v>
      </c>
      <c r="D796" s="53">
        <v>1737</v>
      </c>
      <c r="E796" s="53">
        <v>8120</v>
      </c>
      <c r="F796" s="54" t="s">
        <v>1134</v>
      </c>
      <c r="G796" s="53" t="s">
        <v>191</v>
      </c>
      <c r="H796" s="58" t="str">
        <f>_xlfn.IFNA(INDEX(ActiveSchools!$C$2:$F$326,MATCH(G796,ActiveSchools!$F$2:$F$326,0),1),"Total")</f>
        <v>1737</v>
      </c>
      <c r="I796" s="53">
        <v>11</v>
      </c>
      <c r="J796" s="59">
        <f>_xlfn.IFNA(INDEX(DetailByDistrict[],MATCH($H796,DetailByDistrict[Dist],0),MATCH(J$2,DetailByDistrict[#Headers],0)),0)</f>
        <v>2968</v>
      </c>
      <c r="K796" s="54">
        <f t="shared" si="12"/>
        <v>3.706199460916442E-3</v>
      </c>
      <c r="L796" s="59">
        <f>ROUND(INDEX(DetailByDistrict[],MATCH($H796,DetailByDistrict[Dist],0),MATCH(L$2,DetailByDistrict[#Headers],0))*K796,2)</f>
        <v>713.46</v>
      </c>
      <c r="M796" s="59">
        <f>ROUND(INDEX(DetailByDistrict[],MATCH($H796,DetailByDistrict[Dist],0),MATCH(M$2,DetailByDistrict[#Headers],0))*K796,2)</f>
        <v>784.08</v>
      </c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spans="1:26" ht="15.75" customHeight="1" x14ac:dyDescent="0.25">
      <c r="A797" s="53">
        <v>11</v>
      </c>
      <c r="B797" s="54" t="s">
        <v>1123</v>
      </c>
      <c r="C797" s="54" t="s">
        <v>836</v>
      </c>
      <c r="D797" s="53">
        <v>1737</v>
      </c>
      <c r="E797" s="53">
        <v>8120</v>
      </c>
      <c r="F797" s="54" t="s">
        <v>1142</v>
      </c>
      <c r="G797" s="53" t="s">
        <v>218</v>
      </c>
      <c r="H797" s="58" t="str">
        <f>_xlfn.IFNA(INDEX(ActiveSchools!$C$2:$F$326,MATCH(G797,ActiveSchools!$F$2:$F$326,0),1),"Total")</f>
        <v>6101</v>
      </c>
      <c r="I797" s="53">
        <v>1</v>
      </c>
      <c r="J797" s="59">
        <f>_xlfn.IFNA(INDEX(DetailByDistrict[],MATCH($H797,DetailByDistrict[Dist],0),MATCH(J$2,DetailByDistrict[#Headers],0)),0)</f>
        <v>431</v>
      </c>
      <c r="K797" s="54">
        <f t="shared" si="12"/>
        <v>2.3201856148491878E-3</v>
      </c>
      <c r="L797" s="59">
        <f>ROUND(INDEX(DetailByDistrict[],MATCH($H797,DetailByDistrict[Dist],0),MATCH(L$2,DetailByDistrict[#Headers],0))*K797,2)</f>
        <v>64.86</v>
      </c>
      <c r="M797" s="59">
        <f>ROUND(INDEX(DetailByDistrict[],MATCH($H797,DetailByDistrict[Dist],0),MATCH(M$2,DetailByDistrict[#Headers],0))*K797,2)</f>
        <v>71.28</v>
      </c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spans="1:26" ht="15.75" customHeight="1" x14ac:dyDescent="0.25">
      <c r="A798" s="53">
        <v>11</v>
      </c>
      <c r="B798" s="54" t="s">
        <v>1123</v>
      </c>
      <c r="C798" s="54" t="s">
        <v>837</v>
      </c>
      <c r="D798" s="53">
        <v>1737</v>
      </c>
      <c r="E798" s="53">
        <v>8130</v>
      </c>
      <c r="F798" s="54" t="s">
        <v>1134</v>
      </c>
      <c r="G798" s="53" t="s">
        <v>191</v>
      </c>
      <c r="H798" s="58" t="str">
        <f>_xlfn.IFNA(INDEX(ActiveSchools!$C$2:$F$326,MATCH(G798,ActiveSchools!$F$2:$F$326,0),1),"Total")</f>
        <v>1737</v>
      </c>
      <c r="I798" s="53">
        <v>15</v>
      </c>
      <c r="J798" s="59">
        <f>_xlfn.IFNA(INDEX(DetailByDistrict[],MATCH($H798,DetailByDistrict[Dist],0),MATCH(J$2,DetailByDistrict[#Headers],0)),0)</f>
        <v>2968</v>
      </c>
      <c r="K798" s="54">
        <f t="shared" si="12"/>
        <v>5.0539083557951479E-3</v>
      </c>
      <c r="L798" s="59">
        <f>ROUND(INDEX(DetailByDistrict[],MATCH($H798,DetailByDistrict[Dist],0),MATCH(L$2,DetailByDistrict[#Headers],0))*K798,2)</f>
        <v>972.9</v>
      </c>
      <c r="M798" s="59">
        <f>ROUND(INDEX(DetailByDistrict[],MATCH($H798,DetailByDistrict[Dist],0),MATCH(M$2,DetailByDistrict[#Headers],0))*K798,2)</f>
        <v>1069.2</v>
      </c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spans="1:26" ht="15.75" customHeight="1" x14ac:dyDescent="0.25">
      <c r="A799" s="53">
        <v>11</v>
      </c>
      <c r="B799" s="54" t="s">
        <v>1123</v>
      </c>
      <c r="C799" s="54" t="s">
        <v>838</v>
      </c>
      <c r="D799" s="53">
        <v>1737</v>
      </c>
      <c r="E799" s="53">
        <v>8133</v>
      </c>
      <c r="F799" s="54" t="s">
        <v>1125</v>
      </c>
      <c r="G799" s="57" t="s">
        <v>178</v>
      </c>
      <c r="H799" s="58" t="str">
        <f>_xlfn.IFNA(INDEX(ActiveSchools!$C$2:$F$326,MATCH(G799,ActiveSchools!$F$2:$F$326,0),1),"Total")</f>
        <v>0261</v>
      </c>
      <c r="I799" s="53">
        <v>3</v>
      </c>
      <c r="J799" s="59">
        <f>_xlfn.IFNA(INDEX(DetailByDistrict[],MATCH($H799,DetailByDistrict[Dist],0),MATCH(J$2,DetailByDistrict[#Headers],0)),0)</f>
        <v>1188</v>
      </c>
      <c r="K799" s="54">
        <f t="shared" si="12"/>
        <v>2.5252525252525255E-3</v>
      </c>
      <c r="L799" s="59">
        <f>ROUND(INDEX(DetailByDistrict[],MATCH($H799,DetailByDistrict[Dist],0),MATCH(L$2,DetailByDistrict[#Headers],0))*K799,2)</f>
        <v>194.58</v>
      </c>
      <c r="M799" s="59">
        <f>ROUND(INDEX(DetailByDistrict[],MATCH($H799,DetailByDistrict[Dist],0),MATCH(M$2,DetailByDistrict[#Headers],0))*K799,2)</f>
        <v>213.84</v>
      </c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spans="1:26" ht="15.75" customHeight="1" x14ac:dyDescent="0.25">
      <c r="A800" s="53">
        <v>11</v>
      </c>
      <c r="B800" s="54" t="s">
        <v>1123</v>
      </c>
      <c r="C800" s="54" t="s">
        <v>838</v>
      </c>
      <c r="D800" s="53">
        <v>1737</v>
      </c>
      <c r="E800" s="53">
        <v>8133</v>
      </c>
      <c r="F800" s="54" t="s">
        <v>1134</v>
      </c>
      <c r="G800" s="53" t="s">
        <v>191</v>
      </c>
      <c r="H800" s="58" t="str">
        <f>_xlfn.IFNA(INDEX(ActiveSchools!$C$2:$F$326,MATCH(G800,ActiveSchools!$F$2:$F$326,0),1),"Total")</f>
        <v>1737</v>
      </c>
      <c r="I800" s="53">
        <v>39</v>
      </c>
      <c r="J800" s="59">
        <f>_xlfn.IFNA(INDEX(DetailByDistrict[],MATCH($H800,DetailByDistrict[Dist],0),MATCH(J$2,DetailByDistrict[#Headers],0)),0)</f>
        <v>2968</v>
      </c>
      <c r="K800" s="54">
        <f t="shared" si="12"/>
        <v>1.3140161725067386E-2</v>
      </c>
      <c r="L800" s="59">
        <f>ROUND(INDEX(DetailByDistrict[],MATCH($H800,DetailByDistrict[Dist],0),MATCH(L$2,DetailByDistrict[#Headers],0))*K800,2)</f>
        <v>2529.5300000000002</v>
      </c>
      <c r="M800" s="59">
        <f>ROUND(INDEX(DetailByDistrict[],MATCH($H800,DetailByDistrict[Dist],0),MATCH(M$2,DetailByDistrict[#Headers],0))*K800,2)</f>
        <v>2779.92</v>
      </c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spans="1:26" ht="15.75" customHeight="1" x14ac:dyDescent="0.25">
      <c r="A801" s="53">
        <v>11</v>
      </c>
      <c r="B801" s="54" t="s">
        <v>1123</v>
      </c>
      <c r="C801" s="54" t="s">
        <v>838</v>
      </c>
      <c r="D801" s="53">
        <v>1737</v>
      </c>
      <c r="E801" s="53">
        <v>8133</v>
      </c>
      <c r="F801" s="54" t="s">
        <v>1135</v>
      </c>
      <c r="G801" s="53" t="s">
        <v>199</v>
      </c>
      <c r="H801" s="58" t="str">
        <f>_xlfn.IFNA(INDEX(ActiveSchools!$C$2:$F$326,MATCH(G801,ActiveSchools!$F$2:$F$326,0),1),"Total")</f>
        <v>3231</v>
      </c>
      <c r="I801" s="53">
        <v>2</v>
      </c>
      <c r="J801" s="59">
        <f>_xlfn.IFNA(INDEX(DetailByDistrict[],MATCH($H801,DetailByDistrict[Dist],0),MATCH(J$2,DetailByDistrict[#Headers],0)),0)</f>
        <v>509</v>
      </c>
      <c r="K801" s="54">
        <f t="shared" si="12"/>
        <v>3.929273084479371E-3</v>
      </c>
      <c r="L801" s="59">
        <f>ROUND(INDEX(DetailByDistrict[],MATCH($H801,DetailByDistrict[Dist],0),MATCH(L$2,DetailByDistrict[#Headers],0))*K801,2)</f>
        <v>129.72</v>
      </c>
      <c r="M801" s="59">
        <f>ROUND(INDEX(DetailByDistrict[],MATCH($H801,DetailByDistrict[Dist],0),MATCH(M$2,DetailByDistrict[#Headers],0))*K801,2)</f>
        <v>142.56</v>
      </c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spans="1:26" ht="15.75" customHeight="1" x14ac:dyDescent="0.25">
      <c r="A802" s="53">
        <v>11</v>
      </c>
      <c r="B802" s="54" t="s">
        <v>1123</v>
      </c>
      <c r="C802" s="54" t="s">
        <v>838</v>
      </c>
      <c r="D802" s="53">
        <v>1737</v>
      </c>
      <c r="E802" s="53">
        <v>8133</v>
      </c>
      <c r="F802" s="54" t="s">
        <v>1142</v>
      </c>
      <c r="G802" s="53" t="s">
        <v>218</v>
      </c>
      <c r="H802" s="58" t="str">
        <f>_xlfn.IFNA(INDEX(ActiveSchools!$C$2:$F$326,MATCH(G802,ActiveSchools!$F$2:$F$326,0),1),"Total")</f>
        <v>6101</v>
      </c>
      <c r="I802" s="53">
        <v>11</v>
      </c>
      <c r="J802" s="59">
        <f>_xlfn.IFNA(INDEX(DetailByDistrict[],MATCH($H802,DetailByDistrict[Dist],0),MATCH(J$2,DetailByDistrict[#Headers],0)),0)</f>
        <v>431</v>
      </c>
      <c r="K802" s="54">
        <f t="shared" si="12"/>
        <v>2.5522041763341066E-2</v>
      </c>
      <c r="L802" s="59">
        <f>ROUND(INDEX(DetailByDistrict[],MATCH($H802,DetailByDistrict[Dist],0),MATCH(L$2,DetailByDistrict[#Headers],0))*K802,2)</f>
        <v>713.47</v>
      </c>
      <c r="M802" s="59">
        <f>ROUND(INDEX(DetailByDistrict[],MATCH($H802,DetailByDistrict[Dist],0),MATCH(M$2,DetailByDistrict[#Headers],0))*K802,2)</f>
        <v>784.09</v>
      </c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spans="1:26" ht="15.75" customHeight="1" x14ac:dyDescent="0.25">
      <c r="A803" s="53">
        <v>11</v>
      </c>
      <c r="B803" s="54" t="s">
        <v>1123</v>
      </c>
      <c r="C803" s="54" t="s">
        <v>838</v>
      </c>
      <c r="D803" s="53">
        <v>1737</v>
      </c>
      <c r="E803" s="53">
        <v>8133</v>
      </c>
      <c r="F803" s="54" t="s">
        <v>1145</v>
      </c>
      <c r="G803" s="53" t="s">
        <v>222</v>
      </c>
      <c r="H803" s="58" t="str">
        <f>_xlfn.IFNA(INDEX(ActiveSchools!$C$2:$F$326,MATCH(G803,ActiveSchools!$F$2:$F$326,0),1),"Total")</f>
        <v>6579</v>
      </c>
      <c r="I803" s="53">
        <v>4</v>
      </c>
      <c r="J803" s="59">
        <f>_xlfn.IFNA(INDEX(DetailByDistrict[],MATCH($H803,DetailByDistrict[Dist],0),MATCH(J$2,DetailByDistrict[#Headers],0)),0)</f>
        <v>484</v>
      </c>
      <c r="K803" s="54">
        <f t="shared" si="12"/>
        <v>8.2644628099173556E-3</v>
      </c>
      <c r="L803" s="59">
        <f>ROUND(INDEX(DetailByDistrict[],MATCH($H803,DetailByDistrict[Dist],0),MATCH(L$2,DetailByDistrict[#Headers],0))*K803,2)</f>
        <v>259.44</v>
      </c>
      <c r="M803" s="59">
        <f>ROUND(INDEX(DetailByDistrict[],MATCH($H803,DetailByDistrict[Dist],0),MATCH(M$2,DetailByDistrict[#Headers],0))*K803,2)</f>
        <v>285.12</v>
      </c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spans="1:26" ht="15.75" customHeight="1" x14ac:dyDescent="0.25">
      <c r="A804" s="53">
        <v>11</v>
      </c>
      <c r="B804" s="54" t="s">
        <v>1123</v>
      </c>
      <c r="C804" s="54" t="s">
        <v>838</v>
      </c>
      <c r="D804" s="53">
        <v>1737</v>
      </c>
      <c r="E804" s="53">
        <v>8133</v>
      </c>
      <c r="F804" s="54" t="s">
        <v>1138</v>
      </c>
      <c r="G804" s="53" t="s">
        <v>224</v>
      </c>
      <c r="H804" s="58" t="str">
        <f>_xlfn.IFNA(INDEX(ActiveSchools!$C$2:$F$326,MATCH(G804,ActiveSchools!$F$2:$F$326,0),1),"Total")</f>
        <v>6822</v>
      </c>
      <c r="I804" s="53">
        <v>2</v>
      </c>
      <c r="J804" s="59">
        <f>_xlfn.IFNA(INDEX(DetailByDistrict[],MATCH($H804,DetailByDistrict[Dist],0),MATCH(J$2,DetailByDistrict[#Headers],0)),0)</f>
        <v>1399</v>
      </c>
      <c r="K804" s="54">
        <f t="shared" si="12"/>
        <v>1.4295925661186562E-3</v>
      </c>
      <c r="L804" s="59">
        <f>ROUND(INDEX(DetailByDistrict[],MATCH($H804,DetailByDistrict[Dist],0),MATCH(L$2,DetailByDistrict[#Headers],0))*K804,2)</f>
        <v>129.72</v>
      </c>
      <c r="M804" s="59">
        <f>ROUND(INDEX(DetailByDistrict[],MATCH($H804,DetailByDistrict[Dist],0),MATCH(M$2,DetailByDistrict[#Headers],0))*K804,2)</f>
        <v>142.56</v>
      </c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spans="1:26" ht="15.75" customHeight="1" x14ac:dyDescent="0.25">
      <c r="A805" s="53">
        <v>11</v>
      </c>
      <c r="B805" s="54" t="s">
        <v>1123</v>
      </c>
      <c r="C805" s="54" t="s">
        <v>838</v>
      </c>
      <c r="D805" s="53">
        <v>1737</v>
      </c>
      <c r="E805" s="53">
        <v>8133</v>
      </c>
      <c r="F805" s="54" t="s">
        <v>1139</v>
      </c>
      <c r="G805" s="53" t="s">
        <v>226</v>
      </c>
      <c r="H805" s="58" t="str">
        <f>_xlfn.IFNA(INDEX(ActiveSchools!$C$2:$F$326,MATCH(G805,ActiveSchools!$F$2:$F$326,0),1),"Total")</f>
        <v>6957</v>
      </c>
      <c r="I805" s="53">
        <v>2</v>
      </c>
      <c r="J805" s="59">
        <f>_xlfn.IFNA(INDEX(DetailByDistrict[],MATCH($H805,DetailByDistrict[Dist],0),MATCH(J$2,DetailByDistrict[#Headers],0)),0)</f>
        <v>1305</v>
      </c>
      <c r="K805" s="54">
        <f t="shared" si="12"/>
        <v>1.5325670498084292E-3</v>
      </c>
      <c r="L805" s="59">
        <f>ROUND(INDEX(DetailByDistrict[],MATCH($H805,DetailByDistrict[Dist],0),MATCH(L$2,DetailByDistrict[#Headers],0))*K805,2)</f>
        <v>129.72</v>
      </c>
      <c r="M805" s="59">
        <f>ROUND(INDEX(DetailByDistrict[],MATCH($H805,DetailByDistrict[Dist],0),MATCH(M$2,DetailByDistrict[#Headers],0))*K805,2)</f>
        <v>142.56</v>
      </c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spans="1:26" ht="15.75" customHeight="1" x14ac:dyDescent="0.25">
      <c r="A806" s="53">
        <v>11</v>
      </c>
      <c r="B806" s="54" t="s">
        <v>1123</v>
      </c>
      <c r="C806" s="54" t="s">
        <v>839</v>
      </c>
      <c r="D806" s="53">
        <v>1737</v>
      </c>
      <c r="E806" s="53">
        <v>8221</v>
      </c>
      <c r="F806" s="54" t="s">
        <v>1156</v>
      </c>
      <c r="G806" s="57" t="s">
        <v>176</v>
      </c>
      <c r="H806" s="58" t="str">
        <f>_xlfn.IFNA(INDEX(ActiveSchools!$C$2:$F$326,MATCH(G806,ActiveSchools!$F$2:$F$326,0),1),"Total")</f>
        <v>0027</v>
      </c>
      <c r="I806" s="53">
        <v>4</v>
      </c>
      <c r="J806" s="59">
        <f>_xlfn.IFNA(INDEX(DetailByDistrict[],MATCH($H806,DetailByDistrict[Dist],0),MATCH(J$2,DetailByDistrict[#Headers],0)),0)</f>
        <v>51</v>
      </c>
      <c r="K806" s="54">
        <f t="shared" si="12"/>
        <v>7.8431372549019607E-2</v>
      </c>
      <c r="L806" s="59">
        <f>ROUND(INDEX(DetailByDistrict[],MATCH($H806,DetailByDistrict[Dist],0),MATCH(L$2,DetailByDistrict[#Headers],0))*K806,2)</f>
        <v>259.45</v>
      </c>
      <c r="M806" s="59">
        <f>ROUND(INDEX(DetailByDistrict[],MATCH($H806,DetailByDistrict[Dist],0),MATCH(M$2,DetailByDistrict[#Headers],0))*K806,2)</f>
        <v>285.10000000000002</v>
      </c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spans="1:26" ht="15.75" customHeight="1" x14ac:dyDescent="0.25">
      <c r="A807" s="53">
        <v>11</v>
      </c>
      <c r="B807" s="54" t="s">
        <v>1123</v>
      </c>
      <c r="C807" s="54" t="s">
        <v>839</v>
      </c>
      <c r="D807" s="53">
        <v>1737</v>
      </c>
      <c r="E807" s="53">
        <v>8221</v>
      </c>
      <c r="F807" s="54" t="s">
        <v>1125</v>
      </c>
      <c r="G807" s="57" t="s">
        <v>178</v>
      </c>
      <c r="H807" s="58" t="str">
        <f>_xlfn.IFNA(INDEX(ActiveSchools!$C$2:$F$326,MATCH(G807,ActiveSchools!$F$2:$F$326,0),1),"Total")</f>
        <v>0261</v>
      </c>
      <c r="I807" s="53">
        <v>11</v>
      </c>
      <c r="J807" s="59">
        <f>_xlfn.IFNA(INDEX(DetailByDistrict[],MATCH($H807,DetailByDistrict[Dist],0),MATCH(J$2,DetailByDistrict[#Headers],0)),0)</f>
        <v>1188</v>
      </c>
      <c r="K807" s="54">
        <f t="shared" si="12"/>
        <v>9.2592592592592587E-3</v>
      </c>
      <c r="L807" s="59">
        <f>ROUND(INDEX(DetailByDistrict[],MATCH($H807,DetailByDistrict[Dist],0),MATCH(L$2,DetailByDistrict[#Headers],0))*K807,2)</f>
        <v>713.46</v>
      </c>
      <c r="M807" s="59">
        <f>ROUND(INDEX(DetailByDistrict[],MATCH($H807,DetailByDistrict[Dist],0),MATCH(M$2,DetailByDistrict[#Headers],0))*K807,2)</f>
        <v>784.08</v>
      </c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spans="1:26" ht="15.75" customHeight="1" x14ac:dyDescent="0.25">
      <c r="A808" s="53">
        <v>11</v>
      </c>
      <c r="B808" s="54" t="s">
        <v>1123</v>
      </c>
      <c r="C808" s="54" t="s">
        <v>839</v>
      </c>
      <c r="D808" s="53">
        <v>1737</v>
      </c>
      <c r="E808" s="53">
        <v>8221</v>
      </c>
      <c r="F808" s="54" t="s">
        <v>1158</v>
      </c>
      <c r="G808" s="57" t="s">
        <v>181</v>
      </c>
      <c r="H808" s="58" t="str">
        <f>_xlfn.IFNA(INDEX(ActiveSchools!$C$2:$F$326,MATCH(G808,ActiveSchools!$F$2:$F$326,0),1),"Total")</f>
        <v>0513</v>
      </c>
      <c r="I808" s="53">
        <v>1</v>
      </c>
      <c r="J808" s="59">
        <f>_xlfn.IFNA(INDEX(DetailByDistrict[],MATCH($H808,DetailByDistrict[Dist],0),MATCH(J$2,DetailByDistrict[#Headers],0)),0)</f>
        <v>8</v>
      </c>
      <c r="K808" s="54">
        <f t="shared" si="12"/>
        <v>0.125</v>
      </c>
      <c r="L808" s="59">
        <f>ROUND(INDEX(DetailByDistrict[],MATCH($H808,DetailByDistrict[Dist],0),MATCH(L$2,DetailByDistrict[#Headers],0))*K808,2)</f>
        <v>64.88</v>
      </c>
      <c r="M808" s="59">
        <f>ROUND(INDEX(DetailByDistrict[],MATCH($H808,DetailByDistrict[Dist],0),MATCH(M$2,DetailByDistrict[#Headers],0))*K808,2)</f>
        <v>71.25</v>
      </c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spans="1:26" ht="15.75" customHeight="1" x14ac:dyDescent="0.25">
      <c r="A809" s="53">
        <v>11</v>
      </c>
      <c r="B809" s="54" t="s">
        <v>1123</v>
      </c>
      <c r="C809" s="54" t="s">
        <v>839</v>
      </c>
      <c r="D809" s="53">
        <v>1737</v>
      </c>
      <c r="E809" s="53">
        <v>8221</v>
      </c>
      <c r="F809" s="54" t="s">
        <v>1140</v>
      </c>
      <c r="G809" s="57" t="s">
        <v>182</v>
      </c>
      <c r="H809" s="58" t="str">
        <f>_xlfn.IFNA(INDEX(ActiveSchools!$C$2:$F$326,MATCH(G809,ActiveSchools!$F$2:$F$326,0),1),"Total")</f>
        <v>0720</v>
      </c>
      <c r="I809" s="53">
        <v>1</v>
      </c>
      <c r="J809" s="59">
        <f>_xlfn.IFNA(INDEX(DetailByDistrict[],MATCH($H809,DetailByDistrict[Dist],0),MATCH(J$2,DetailByDistrict[#Headers],0)),0)</f>
        <v>80</v>
      </c>
      <c r="K809" s="54">
        <f t="shared" si="12"/>
        <v>1.2500000000000001E-2</v>
      </c>
      <c r="L809" s="59">
        <f>ROUND(INDEX(DetailByDistrict[],MATCH($H809,DetailByDistrict[Dist],0),MATCH(L$2,DetailByDistrict[#Headers],0))*K809,2)</f>
        <v>64.86</v>
      </c>
      <c r="M809" s="59">
        <f>ROUND(INDEX(DetailByDistrict[],MATCH($H809,DetailByDistrict[Dist],0),MATCH(M$2,DetailByDistrict[#Headers],0))*K809,2)</f>
        <v>71.28</v>
      </c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spans="1:26" ht="15.75" customHeight="1" x14ac:dyDescent="0.25">
      <c r="A810" s="53">
        <v>11</v>
      </c>
      <c r="B810" s="54" t="s">
        <v>1123</v>
      </c>
      <c r="C810" s="54" t="s">
        <v>839</v>
      </c>
      <c r="D810" s="53">
        <v>1737</v>
      </c>
      <c r="E810" s="53">
        <v>8221</v>
      </c>
      <c r="F810" s="54" t="s">
        <v>1144</v>
      </c>
      <c r="G810" s="53" t="s">
        <v>190</v>
      </c>
      <c r="H810" s="58" t="str">
        <f>_xlfn.IFNA(INDEX(ActiveSchools!$C$2:$F$326,MATCH(G810,ActiveSchools!$F$2:$F$326,0),1),"Total")</f>
        <v>1576</v>
      </c>
      <c r="I810" s="53">
        <v>9</v>
      </c>
      <c r="J810" s="59">
        <f>_xlfn.IFNA(INDEX(DetailByDistrict[],MATCH($H810,DetailByDistrict[Dist],0),MATCH(J$2,DetailByDistrict[#Headers],0)),0)</f>
        <v>123</v>
      </c>
      <c r="K810" s="54">
        <f t="shared" si="12"/>
        <v>7.3170731707317069E-2</v>
      </c>
      <c r="L810" s="59">
        <f>ROUND(INDEX(DetailByDistrict[],MATCH($H810,DetailByDistrict[Dist],0),MATCH(L$2,DetailByDistrict[#Headers],0))*K810,2)</f>
        <v>583.76</v>
      </c>
      <c r="M810" s="59">
        <f>ROUND(INDEX(DetailByDistrict[],MATCH($H810,DetailByDistrict[Dist],0),MATCH(M$2,DetailByDistrict[#Headers],0))*K810,2)</f>
        <v>641.49</v>
      </c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spans="1:26" ht="15.75" customHeight="1" x14ac:dyDescent="0.25">
      <c r="A811" s="53">
        <v>11</v>
      </c>
      <c r="B811" s="54" t="s">
        <v>1123</v>
      </c>
      <c r="C811" s="54" t="s">
        <v>839</v>
      </c>
      <c r="D811" s="53">
        <v>1737</v>
      </c>
      <c r="E811" s="53">
        <v>8221</v>
      </c>
      <c r="F811" s="54" t="s">
        <v>1134</v>
      </c>
      <c r="G811" s="53" t="s">
        <v>191</v>
      </c>
      <c r="H811" s="58" t="str">
        <f>_xlfn.IFNA(INDEX(ActiveSchools!$C$2:$F$326,MATCH(G811,ActiveSchools!$F$2:$F$326,0),1),"Total")</f>
        <v>1737</v>
      </c>
      <c r="I811" s="53">
        <v>82</v>
      </c>
      <c r="J811" s="59">
        <f>_xlfn.IFNA(INDEX(DetailByDistrict[],MATCH($H811,DetailByDistrict[Dist],0),MATCH(J$2,DetailByDistrict[#Headers],0)),0)</f>
        <v>2968</v>
      </c>
      <c r="K811" s="54">
        <f t="shared" si="12"/>
        <v>2.7628032345013476E-2</v>
      </c>
      <c r="L811" s="59">
        <f>ROUND(INDEX(DetailByDistrict[],MATCH($H811,DetailByDistrict[Dist],0),MATCH(L$2,DetailByDistrict[#Headers],0))*K811,2)</f>
        <v>5318.51</v>
      </c>
      <c r="M811" s="59">
        <f>ROUND(INDEX(DetailByDistrict[],MATCH($H811,DetailByDistrict[Dist],0),MATCH(M$2,DetailByDistrict[#Headers],0))*K811,2)</f>
        <v>5844.96</v>
      </c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spans="1:26" ht="15.75" customHeight="1" x14ac:dyDescent="0.25">
      <c r="A812" s="53">
        <v>11</v>
      </c>
      <c r="B812" s="54" t="s">
        <v>1123</v>
      </c>
      <c r="C812" s="54" t="s">
        <v>839</v>
      </c>
      <c r="D812" s="53">
        <v>1737</v>
      </c>
      <c r="E812" s="53">
        <v>8221</v>
      </c>
      <c r="F812" s="54" t="s">
        <v>1135</v>
      </c>
      <c r="G812" s="53" t="s">
        <v>199</v>
      </c>
      <c r="H812" s="58" t="str">
        <f>_xlfn.IFNA(INDEX(ActiveSchools!$C$2:$F$326,MATCH(G812,ActiveSchools!$F$2:$F$326,0),1),"Total")</f>
        <v>3231</v>
      </c>
      <c r="I812" s="53">
        <v>20</v>
      </c>
      <c r="J812" s="59">
        <f>_xlfn.IFNA(INDEX(DetailByDistrict[],MATCH($H812,DetailByDistrict[Dist],0),MATCH(J$2,DetailByDistrict[#Headers],0)),0)</f>
        <v>509</v>
      </c>
      <c r="K812" s="54">
        <f t="shared" si="12"/>
        <v>3.9292730844793712E-2</v>
      </c>
      <c r="L812" s="59">
        <f>ROUND(INDEX(DetailByDistrict[],MATCH($H812,DetailByDistrict[Dist],0),MATCH(L$2,DetailByDistrict[#Headers],0))*K812,2)</f>
        <v>1297.21</v>
      </c>
      <c r="M812" s="59">
        <f>ROUND(INDEX(DetailByDistrict[],MATCH($H812,DetailByDistrict[Dist],0),MATCH(M$2,DetailByDistrict[#Headers],0))*K812,2)</f>
        <v>1425.62</v>
      </c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spans="1:26" ht="15.75" customHeight="1" x14ac:dyDescent="0.25">
      <c r="A813" s="53">
        <v>11</v>
      </c>
      <c r="B813" s="54" t="s">
        <v>1123</v>
      </c>
      <c r="C813" s="54" t="s">
        <v>839</v>
      </c>
      <c r="D813" s="53">
        <v>1737</v>
      </c>
      <c r="E813" s="53">
        <v>8221</v>
      </c>
      <c r="F813" s="54" t="s">
        <v>1153</v>
      </c>
      <c r="G813" s="53" t="s">
        <v>208</v>
      </c>
      <c r="H813" s="58" t="str">
        <f>_xlfn.IFNA(INDEX(ActiveSchools!$C$2:$F$326,MATCH(G813,ActiveSchools!$F$2:$F$326,0),1),"Total")</f>
        <v>4797</v>
      </c>
      <c r="I813" s="53">
        <v>2</v>
      </c>
      <c r="J813" s="59">
        <f>_xlfn.IFNA(INDEX(DetailByDistrict[],MATCH($H813,DetailByDistrict[Dist],0),MATCH(J$2,DetailByDistrict[#Headers],0)),0)</f>
        <v>161</v>
      </c>
      <c r="K813" s="54">
        <f t="shared" si="12"/>
        <v>1.2422360248447204E-2</v>
      </c>
      <c r="L813" s="59">
        <f>ROUND(INDEX(DetailByDistrict[],MATCH($H813,DetailByDistrict[Dist],0),MATCH(L$2,DetailByDistrict[#Headers],0))*K813,2)</f>
        <v>129.71</v>
      </c>
      <c r="M813" s="59">
        <f>ROUND(INDEX(DetailByDistrict[],MATCH($H813,DetailByDistrict[Dist],0),MATCH(M$2,DetailByDistrict[#Headers],0))*K813,2)</f>
        <v>142.56</v>
      </c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spans="1:26" ht="15.75" customHeight="1" x14ac:dyDescent="0.25">
      <c r="A814" s="53">
        <v>11</v>
      </c>
      <c r="B814" s="54" t="s">
        <v>1123</v>
      </c>
      <c r="C814" s="54" t="s">
        <v>839</v>
      </c>
      <c r="D814" s="53">
        <v>1737</v>
      </c>
      <c r="E814" s="53">
        <v>8221</v>
      </c>
      <c r="F814" s="54" t="s">
        <v>1159</v>
      </c>
      <c r="G814" s="53" t="s">
        <v>210</v>
      </c>
      <c r="H814" s="58" t="str">
        <f>_xlfn.IFNA(INDEX(ActiveSchools!$C$2:$F$326,MATCH(G814,ActiveSchools!$F$2:$F$326,0),1),"Total")</f>
        <v>5121</v>
      </c>
      <c r="I814" s="53">
        <v>1</v>
      </c>
      <c r="J814" s="59">
        <f>_xlfn.IFNA(INDEX(DetailByDistrict[],MATCH($H814,DetailByDistrict[Dist],0),MATCH(J$2,DetailByDistrict[#Headers],0)),0)</f>
        <v>2</v>
      </c>
      <c r="K814" s="54">
        <f t="shared" si="12"/>
        <v>0.5</v>
      </c>
      <c r="L814" s="59">
        <f>ROUND(INDEX(DetailByDistrict[],MATCH($H814,DetailByDistrict[Dist],0),MATCH(L$2,DetailByDistrict[#Headers],0))*K814,2)</f>
        <v>65</v>
      </c>
      <c r="M814" s="59">
        <f>ROUND(INDEX(DetailByDistrict[],MATCH($H814,DetailByDistrict[Dist],0),MATCH(M$2,DetailByDistrict[#Headers],0))*K814,2)</f>
        <v>71.5</v>
      </c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spans="1:26" ht="15.75" customHeight="1" x14ac:dyDescent="0.25">
      <c r="A815" s="53">
        <v>11</v>
      </c>
      <c r="B815" s="54" t="s">
        <v>1123</v>
      </c>
      <c r="C815" s="54" t="s">
        <v>839</v>
      </c>
      <c r="D815" s="53">
        <v>1737</v>
      </c>
      <c r="E815" s="53">
        <v>8221</v>
      </c>
      <c r="F815" s="54" t="s">
        <v>1142</v>
      </c>
      <c r="G815" s="53" t="s">
        <v>218</v>
      </c>
      <c r="H815" s="58" t="str">
        <f>_xlfn.IFNA(INDEX(ActiveSchools!$C$2:$F$326,MATCH(G815,ActiveSchools!$F$2:$F$326,0),1),"Total")</f>
        <v>6101</v>
      </c>
      <c r="I815" s="53">
        <v>6</v>
      </c>
      <c r="J815" s="59">
        <f>_xlfn.IFNA(INDEX(DetailByDistrict[],MATCH($H815,DetailByDistrict[Dist],0),MATCH(J$2,DetailByDistrict[#Headers],0)),0)</f>
        <v>431</v>
      </c>
      <c r="K815" s="54">
        <f t="shared" si="12"/>
        <v>1.3921113689095127E-2</v>
      </c>
      <c r="L815" s="59">
        <f>ROUND(INDEX(DetailByDistrict[],MATCH($H815,DetailByDistrict[Dist],0),MATCH(L$2,DetailByDistrict[#Headers],0))*K815,2)</f>
        <v>389.16</v>
      </c>
      <c r="M815" s="59">
        <f>ROUND(INDEX(DetailByDistrict[],MATCH($H815,DetailByDistrict[Dist],0),MATCH(M$2,DetailByDistrict[#Headers],0))*K815,2)</f>
        <v>427.68</v>
      </c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spans="1:26" ht="15.75" customHeight="1" x14ac:dyDescent="0.25">
      <c r="A816" s="53">
        <v>11</v>
      </c>
      <c r="B816" s="54" t="s">
        <v>1123</v>
      </c>
      <c r="C816" s="54" t="s">
        <v>839</v>
      </c>
      <c r="D816" s="53">
        <v>1737</v>
      </c>
      <c r="E816" s="53">
        <v>8221</v>
      </c>
      <c r="F816" s="54" t="s">
        <v>1145</v>
      </c>
      <c r="G816" s="53" t="s">
        <v>222</v>
      </c>
      <c r="H816" s="58" t="str">
        <f>_xlfn.IFNA(INDEX(ActiveSchools!$C$2:$F$326,MATCH(G816,ActiveSchools!$F$2:$F$326,0),1),"Total")</f>
        <v>6579</v>
      </c>
      <c r="I816" s="53">
        <v>25</v>
      </c>
      <c r="J816" s="59">
        <f>_xlfn.IFNA(INDEX(DetailByDistrict[],MATCH($H816,DetailByDistrict[Dist],0),MATCH(J$2,DetailByDistrict[#Headers],0)),0)</f>
        <v>484</v>
      </c>
      <c r="K816" s="54">
        <f t="shared" si="12"/>
        <v>5.1652892561983473E-2</v>
      </c>
      <c r="L816" s="59">
        <f>ROUND(INDEX(DetailByDistrict[],MATCH($H816,DetailByDistrict[Dist],0),MATCH(L$2,DetailByDistrict[#Headers],0))*K816,2)</f>
        <v>1621.49</v>
      </c>
      <c r="M816" s="59">
        <f>ROUND(INDEX(DetailByDistrict[],MATCH($H816,DetailByDistrict[Dist],0),MATCH(M$2,DetailByDistrict[#Headers],0))*K816,2)</f>
        <v>1782.02</v>
      </c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spans="1:26" ht="15.75" customHeight="1" x14ac:dyDescent="0.25">
      <c r="A817" s="53">
        <v>11</v>
      </c>
      <c r="B817" s="54" t="s">
        <v>1123</v>
      </c>
      <c r="C817" s="54" t="s">
        <v>839</v>
      </c>
      <c r="D817" s="53">
        <v>1737</v>
      </c>
      <c r="E817" s="53">
        <v>8221</v>
      </c>
      <c r="F817" s="54" t="s">
        <v>1160</v>
      </c>
      <c r="G817" s="53" t="s">
        <v>223</v>
      </c>
      <c r="H817" s="58" t="str">
        <f>_xlfn.IFNA(INDEX(ActiveSchools!$C$2:$F$326,MATCH(G817,ActiveSchools!$F$2:$F$326,0),1),"Total")</f>
        <v>6615</v>
      </c>
      <c r="I817" s="53">
        <v>1</v>
      </c>
      <c r="J817" s="59">
        <f>_xlfn.IFNA(INDEX(DetailByDistrict[],MATCH($H817,DetailByDistrict[Dist],0),MATCH(J$2,DetailByDistrict[#Headers],0)),0)</f>
        <v>42</v>
      </c>
      <c r="K817" s="54">
        <f t="shared" si="12"/>
        <v>2.3809523809523808E-2</v>
      </c>
      <c r="L817" s="59">
        <f>ROUND(INDEX(DetailByDistrict[],MATCH($H817,DetailByDistrict[Dist],0),MATCH(L$2,DetailByDistrict[#Headers],0))*K817,2)</f>
        <v>64.86</v>
      </c>
      <c r="M817" s="59">
        <f>ROUND(INDEX(DetailByDistrict[],MATCH($H817,DetailByDistrict[Dist],0),MATCH(M$2,DetailByDistrict[#Headers],0))*K817,2)</f>
        <v>71.290000000000006</v>
      </c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spans="1:26" ht="15.75" customHeight="1" x14ac:dyDescent="0.25">
      <c r="A818" s="53">
        <v>11</v>
      </c>
      <c r="B818" s="54" t="s">
        <v>1123</v>
      </c>
      <c r="C818" s="54" t="s">
        <v>839</v>
      </c>
      <c r="D818" s="53">
        <v>1737</v>
      </c>
      <c r="E818" s="53">
        <v>8221</v>
      </c>
      <c r="F818" s="54" t="s">
        <v>1138</v>
      </c>
      <c r="G818" s="53" t="s">
        <v>224</v>
      </c>
      <c r="H818" s="58" t="str">
        <f>_xlfn.IFNA(INDEX(ActiveSchools!$C$2:$F$326,MATCH(G818,ActiveSchools!$F$2:$F$326,0),1),"Total")</f>
        <v>6822</v>
      </c>
      <c r="I818" s="53">
        <v>10</v>
      </c>
      <c r="J818" s="59">
        <f>_xlfn.IFNA(INDEX(DetailByDistrict[],MATCH($H818,DetailByDistrict[Dist],0),MATCH(J$2,DetailByDistrict[#Headers],0)),0)</f>
        <v>1399</v>
      </c>
      <c r="K818" s="54">
        <f t="shared" si="12"/>
        <v>7.1479628305932807E-3</v>
      </c>
      <c r="L818" s="59">
        <f>ROUND(INDEX(DetailByDistrict[],MATCH($H818,DetailByDistrict[Dist],0),MATCH(L$2,DetailByDistrict[#Headers],0))*K818,2)</f>
        <v>648.6</v>
      </c>
      <c r="M818" s="59">
        <f>ROUND(INDEX(DetailByDistrict[],MATCH($H818,DetailByDistrict[Dist],0),MATCH(M$2,DetailByDistrict[#Headers],0))*K818,2)</f>
        <v>712.8</v>
      </c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spans="1:26" ht="15.75" customHeight="1" x14ac:dyDescent="0.25">
      <c r="A819" s="53">
        <v>11</v>
      </c>
      <c r="B819" s="54" t="s">
        <v>1123</v>
      </c>
      <c r="C819" s="54" t="s">
        <v>839</v>
      </c>
      <c r="D819" s="53">
        <v>1737</v>
      </c>
      <c r="E819" s="53">
        <v>8221</v>
      </c>
      <c r="F819" s="54" t="s">
        <v>1139</v>
      </c>
      <c r="G819" s="53" t="s">
        <v>226</v>
      </c>
      <c r="H819" s="58" t="str">
        <f>_xlfn.IFNA(INDEX(ActiveSchools!$C$2:$F$326,MATCH(G819,ActiveSchools!$F$2:$F$326,0),1),"Total")</f>
        <v>6957</v>
      </c>
      <c r="I819" s="53">
        <v>54</v>
      </c>
      <c r="J819" s="59">
        <f>_xlfn.IFNA(INDEX(DetailByDistrict[],MATCH($H819,DetailByDistrict[Dist],0),MATCH(J$2,DetailByDistrict[#Headers],0)),0)</f>
        <v>1305</v>
      </c>
      <c r="K819" s="54">
        <f t="shared" si="12"/>
        <v>4.1379310344827586E-2</v>
      </c>
      <c r="L819" s="59">
        <f>ROUND(INDEX(DetailByDistrict[],MATCH($H819,DetailByDistrict[Dist],0),MATCH(L$2,DetailByDistrict[#Headers],0))*K819,2)</f>
        <v>3502.43</v>
      </c>
      <c r="M819" s="59">
        <f>ROUND(INDEX(DetailByDistrict[],MATCH($H819,DetailByDistrict[Dist],0),MATCH(M$2,DetailByDistrict[#Headers],0))*K819,2)</f>
        <v>3849.1</v>
      </c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spans="1:26" ht="15.75" customHeight="1" x14ac:dyDescent="0.25">
      <c r="A820" s="53">
        <v>11</v>
      </c>
      <c r="B820" s="54" t="s">
        <v>1123</v>
      </c>
      <c r="C820" s="54" t="s">
        <v>840</v>
      </c>
      <c r="D820" s="53">
        <v>1737</v>
      </c>
      <c r="E820" s="53">
        <v>8504</v>
      </c>
      <c r="F820" s="54" t="s">
        <v>1125</v>
      </c>
      <c r="G820" s="57" t="s">
        <v>178</v>
      </c>
      <c r="H820" s="58" t="str">
        <f>_xlfn.IFNA(INDEX(ActiveSchools!$C$2:$F$326,MATCH(G820,ActiveSchools!$F$2:$F$326,0),1),"Total")</f>
        <v>0261</v>
      </c>
      <c r="I820" s="53">
        <v>59</v>
      </c>
      <c r="J820" s="59">
        <f>_xlfn.IFNA(INDEX(DetailByDistrict[],MATCH($H820,DetailByDistrict[Dist],0),MATCH(J$2,DetailByDistrict[#Headers],0)),0)</f>
        <v>1188</v>
      </c>
      <c r="K820" s="54">
        <f t="shared" si="12"/>
        <v>4.9663299663299666E-2</v>
      </c>
      <c r="L820" s="59">
        <f>ROUND(INDEX(DetailByDistrict[],MATCH($H820,DetailByDistrict[Dist],0),MATCH(L$2,DetailByDistrict[#Headers],0))*K820,2)</f>
        <v>3826.76</v>
      </c>
      <c r="M820" s="59">
        <f>ROUND(INDEX(DetailByDistrict[],MATCH($H820,DetailByDistrict[Dist],0),MATCH(M$2,DetailByDistrict[#Headers],0))*K820,2)</f>
        <v>4205.54</v>
      </c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spans="1:26" ht="15.75" customHeight="1" x14ac:dyDescent="0.25">
      <c r="A821" s="53">
        <v>11</v>
      </c>
      <c r="B821" s="54" t="s">
        <v>1123</v>
      </c>
      <c r="C821" s="54" t="s">
        <v>840</v>
      </c>
      <c r="D821" s="53">
        <v>1737</v>
      </c>
      <c r="E821" s="53">
        <v>8504</v>
      </c>
      <c r="F821" s="54" t="s">
        <v>1140</v>
      </c>
      <c r="G821" s="57" t="s">
        <v>182</v>
      </c>
      <c r="H821" s="58" t="str">
        <f>_xlfn.IFNA(INDEX(ActiveSchools!$C$2:$F$326,MATCH(G821,ActiveSchools!$F$2:$F$326,0),1),"Total")</f>
        <v>0720</v>
      </c>
      <c r="I821" s="53">
        <v>13</v>
      </c>
      <c r="J821" s="59">
        <f>_xlfn.IFNA(INDEX(DetailByDistrict[],MATCH($H821,DetailByDistrict[Dist],0),MATCH(J$2,DetailByDistrict[#Headers],0)),0)</f>
        <v>80</v>
      </c>
      <c r="K821" s="54">
        <f t="shared" si="12"/>
        <v>0.16250000000000001</v>
      </c>
      <c r="L821" s="59">
        <f>ROUND(INDEX(DetailByDistrict[],MATCH($H821,DetailByDistrict[Dist],0),MATCH(L$2,DetailByDistrict[#Headers],0))*K821,2)</f>
        <v>843.21</v>
      </c>
      <c r="M821" s="59">
        <f>ROUND(INDEX(DetailByDistrict[],MATCH($H821,DetailByDistrict[Dist],0),MATCH(M$2,DetailByDistrict[#Headers],0))*K821,2)</f>
        <v>926.58</v>
      </c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spans="1:26" ht="15.75" customHeight="1" x14ac:dyDescent="0.25">
      <c r="A822" s="53">
        <v>11</v>
      </c>
      <c r="B822" s="54" t="s">
        <v>1123</v>
      </c>
      <c r="C822" s="54" t="s">
        <v>840</v>
      </c>
      <c r="D822" s="53">
        <v>1737</v>
      </c>
      <c r="E822" s="53">
        <v>8504</v>
      </c>
      <c r="F822" s="54" t="s">
        <v>1151</v>
      </c>
      <c r="G822" s="57" t="s">
        <v>184</v>
      </c>
      <c r="H822" s="58" t="str">
        <f>_xlfn.IFNA(INDEX(ActiveSchools!$C$2:$F$326,MATCH(G822,ActiveSchools!$F$2:$F$326,0),1),"Total")</f>
        <v>0981</v>
      </c>
      <c r="I822" s="53">
        <v>9</v>
      </c>
      <c r="J822" s="59">
        <f>_xlfn.IFNA(INDEX(DetailByDistrict[],MATCH($H822,DetailByDistrict[Dist],0),MATCH(J$2,DetailByDistrict[#Headers],0)),0)</f>
        <v>68</v>
      </c>
      <c r="K822" s="54">
        <f t="shared" si="12"/>
        <v>0.13235294117647059</v>
      </c>
      <c r="L822" s="59">
        <f>ROUND(INDEX(DetailByDistrict[],MATCH($H822,DetailByDistrict[Dist],0),MATCH(L$2,DetailByDistrict[#Headers],0))*K822,2)</f>
        <v>583.67999999999995</v>
      </c>
      <c r="M822" s="59">
        <f>ROUND(INDEX(DetailByDistrict[],MATCH($H822,DetailByDistrict[Dist],0),MATCH(M$2,DetailByDistrict[#Headers],0))*K822,2)</f>
        <v>641.51</v>
      </c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spans="1:26" ht="15.75" customHeight="1" x14ac:dyDescent="0.25">
      <c r="A823" s="53">
        <v>11</v>
      </c>
      <c r="B823" s="54" t="s">
        <v>1123</v>
      </c>
      <c r="C823" s="54" t="s">
        <v>840</v>
      </c>
      <c r="D823" s="53">
        <v>1737</v>
      </c>
      <c r="E823" s="53">
        <v>8504</v>
      </c>
      <c r="F823" s="54" t="s">
        <v>1150</v>
      </c>
      <c r="G823" s="53" t="s">
        <v>186</v>
      </c>
      <c r="H823" s="58" t="str">
        <f>_xlfn.IFNA(INDEX(ActiveSchools!$C$2:$F$326,MATCH(G823,ActiveSchools!$F$2:$F$326,0),1),"Total")</f>
        <v>1332</v>
      </c>
      <c r="I823" s="53">
        <v>2</v>
      </c>
      <c r="J823" s="59">
        <f>_xlfn.IFNA(INDEX(DetailByDistrict[],MATCH($H823,DetailByDistrict[Dist],0),MATCH(J$2,DetailByDistrict[#Headers],0)),0)</f>
        <v>11</v>
      </c>
      <c r="K823" s="54">
        <f t="shared" si="12"/>
        <v>0.18181818181818182</v>
      </c>
      <c r="L823" s="59">
        <f>ROUND(INDEX(DetailByDistrict[],MATCH($H823,DetailByDistrict[Dist],0),MATCH(L$2,DetailByDistrict[#Headers],0))*K823,2)</f>
        <v>129.63999999999999</v>
      </c>
      <c r="M823" s="59">
        <f>ROUND(INDEX(DetailByDistrict[],MATCH($H823,DetailByDistrict[Dist],0),MATCH(M$2,DetailByDistrict[#Headers],0))*K823,2)</f>
        <v>142.55000000000001</v>
      </c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spans="1:26" ht="15.75" customHeight="1" x14ac:dyDescent="0.25">
      <c r="A824" s="53">
        <v>11</v>
      </c>
      <c r="B824" s="54" t="s">
        <v>1123</v>
      </c>
      <c r="C824" s="54" t="s">
        <v>840</v>
      </c>
      <c r="D824" s="53">
        <v>1737</v>
      </c>
      <c r="E824" s="53">
        <v>8504</v>
      </c>
      <c r="F824" s="54" t="s">
        <v>1144</v>
      </c>
      <c r="G824" s="53" t="s">
        <v>190</v>
      </c>
      <c r="H824" s="58" t="str">
        <f>_xlfn.IFNA(INDEX(ActiveSchools!$C$2:$F$326,MATCH(G824,ActiveSchools!$F$2:$F$326,0),1),"Total")</f>
        <v>1576</v>
      </c>
      <c r="I824" s="53">
        <v>2</v>
      </c>
      <c r="J824" s="59">
        <f>_xlfn.IFNA(INDEX(DetailByDistrict[],MATCH($H824,DetailByDistrict[Dist],0),MATCH(J$2,DetailByDistrict[#Headers],0)),0)</f>
        <v>123</v>
      </c>
      <c r="K824" s="54">
        <f t="shared" si="12"/>
        <v>1.6260162601626018E-2</v>
      </c>
      <c r="L824" s="59">
        <f>ROUND(INDEX(DetailByDistrict[],MATCH($H824,DetailByDistrict[Dist],0),MATCH(L$2,DetailByDistrict[#Headers],0))*K824,2)</f>
        <v>129.72</v>
      </c>
      <c r="M824" s="59">
        <f>ROUND(INDEX(DetailByDistrict[],MATCH($H824,DetailByDistrict[Dist],0),MATCH(M$2,DetailByDistrict[#Headers],0))*K824,2)</f>
        <v>142.55000000000001</v>
      </c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spans="1:26" ht="15.75" customHeight="1" x14ac:dyDescent="0.25">
      <c r="A825" s="53">
        <v>11</v>
      </c>
      <c r="B825" s="54" t="s">
        <v>1123</v>
      </c>
      <c r="C825" s="54" t="s">
        <v>840</v>
      </c>
      <c r="D825" s="53">
        <v>1737</v>
      </c>
      <c r="E825" s="53">
        <v>8504</v>
      </c>
      <c r="F825" s="54" t="s">
        <v>1134</v>
      </c>
      <c r="G825" s="53" t="s">
        <v>191</v>
      </c>
      <c r="H825" s="58" t="str">
        <f>_xlfn.IFNA(INDEX(ActiveSchools!$C$2:$F$326,MATCH(G825,ActiveSchools!$F$2:$F$326,0),1),"Total")</f>
        <v>1737</v>
      </c>
      <c r="I825" s="53">
        <v>50</v>
      </c>
      <c r="J825" s="59">
        <f>_xlfn.IFNA(INDEX(DetailByDistrict[],MATCH($H825,DetailByDistrict[Dist],0),MATCH(J$2,DetailByDistrict[#Headers],0)),0)</f>
        <v>2968</v>
      </c>
      <c r="K825" s="54">
        <f t="shared" si="12"/>
        <v>1.6846361185983826E-2</v>
      </c>
      <c r="L825" s="59">
        <f>ROUND(INDEX(DetailByDistrict[],MATCH($H825,DetailByDistrict[Dist],0),MATCH(L$2,DetailByDistrict[#Headers],0))*K825,2)</f>
        <v>3242.99</v>
      </c>
      <c r="M825" s="59">
        <f>ROUND(INDEX(DetailByDistrict[],MATCH($H825,DetailByDistrict[Dist],0),MATCH(M$2,DetailByDistrict[#Headers],0))*K825,2)</f>
        <v>3564</v>
      </c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spans="1:26" ht="15.75" customHeight="1" x14ac:dyDescent="0.25">
      <c r="A826" s="53">
        <v>11</v>
      </c>
      <c r="B826" s="54" t="s">
        <v>1123</v>
      </c>
      <c r="C826" s="54" t="s">
        <v>840</v>
      </c>
      <c r="D826" s="53">
        <v>1737</v>
      </c>
      <c r="E826" s="53">
        <v>8504</v>
      </c>
      <c r="F826" s="54" t="s">
        <v>1152</v>
      </c>
      <c r="G826" s="53" t="s">
        <v>197</v>
      </c>
      <c r="H826" s="58" t="str">
        <f>_xlfn.IFNA(INDEX(ActiveSchools!$C$2:$F$326,MATCH(G826,ActiveSchools!$F$2:$F$326,0),1),"Total")</f>
        <v>3114</v>
      </c>
      <c r="I826" s="53">
        <v>2</v>
      </c>
      <c r="J826" s="59">
        <f>_xlfn.IFNA(INDEX(DetailByDistrict[],MATCH($H826,DetailByDistrict[Dist],0),MATCH(J$2,DetailByDistrict[#Headers],0)),0)</f>
        <v>145</v>
      </c>
      <c r="K826" s="54">
        <f t="shared" si="12"/>
        <v>1.3793103448275862E-2</v>
      </c>
      <c r="L826" s="59">
        <f>ROUND(INDEX(DetailByDistrict[],MATCH($H826,DetailByDistrict[Dist],0),MATCH(L$2,DetailByDistrict[#Headers],0))*K826,2)</f>
        <v>129.72</v>
      </c>
      <c r="M826" s="59">
        <f>ROUND(INDEX(DetailByDistrict[],MATCH($H826,DetailByDistrict[Dist],0),MATCH(M$2,DetailByDistrict[#Headers],0))*K826,2)</f>
        <v>142.57</v>
      </c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spans="1:26" ht="15.75" customHeight="1" x14ac:dyDescent="0.25">
      <c r="A827" s="53">
        <v>11</v>
      </c>
      <c r="B827" s="54" t="s">
        <v>1123</v>
      </c>
      <c r="C827" s="54" t="s">
        <v>840</v>
      </c>
      <c r="D827" s="53">
        <v>1737</v>
      </c>
      <c r="E827" s="53">
        <v>8504</v>
      </c>
      <c r="F827" s="54" t="s">
        <v>1135</v>
      </c>
      <c r="G827" s="53" t="s">
        <v>199</v>
      </c>
      <c r="H827" s="58" t="str">
        <f>_xlfn.IFNA(INDEX(ActiveSchools!$C$2:$F$326,MATCH(G827,ActiveSchools!$F$2:$F$326,0),1),"Total")</f>
        <v>3231</v>
      </c>
      <c r="I827" s="53">
        <v>6</v>
      </c>
      <c r="J827" s="59">
        <f>_xlfn.IFNA(INDEX(DetailByDistrict[],MATCH($H827,DetailByDistrict[Dist],0),MATCH(J$2,DetailByDistrict[#Headers],0)),0)</f>
        <v>509</v>
      </c>
      <c r="K827" s="54">
        <f t="shared" si="12"/>
        <v>1.1787819253438114E-2</v>
      </c>
      <c r="L827" s="59">
        <f>ROUND(INDEX(DetailByDistrict[],MATCH($H827,DetailByDistrict[Dist],0),MATCH(L$2,DetailByDistrict[#Headers],0))*K827,2)</f>
        <v>389.16</v>
      </c>
      <c r="M827" s="59">
        <f>ROUND(INDEX(DetailByDistrict[],MATCH($H827,DetailByDistrict[Dist],0),MATCH(M$2,DetailByDistrict[#Headers],0))*K827,2)</f>
        <v>427.69</v>
      </c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spans="1:26" ht="15.75" customHeight="1" x14ac:dyDescent="0.25">
      <c r="A828" s="53">
        <v>11</v>
      </c>
      <c r="B828" s="54" t="s">
        <v>1123</v>
      </c>
      <c r="C828" s="54" t="s">
        <v>840</v>
      </c>
      <c r="D828" s="53">
        <v>1737</v>
      </c>
      <c r="E828" s="53">
        <v>8504</v>
      </c>
      <c r="F828" s="54" t="s">
        <v>1141</v>
      </c>
      <c r="G828" s="53" t="s">
        <v>206</v>
      </c>
      <c r="H828" s="58" t="str">
        <f>_xlfn.IFNA(INDEX(ActiveSchools!$C$2:$F$326,MATCH(G828,ActiveSchools!$F$2:$F$326,0),1),"Total")</f>
        <v>4725</v>
      </c>
      <c r="I828" s="53">
        <v>1</v>
      </c>
      <c r="J828" s="59">
        <f>_xlfn.IFNA(INDEX(DetailByDistrict[],MATCH($H828,DetailByDistrict[Dist],0),MATCH(J$2,DetailByDistrict[#Headers],0)),0)</f>
        <v>115</v>
      </c>
      <c r="K828" s="54">
        <f t="shared" si="12"/>
        <v>8.6956521739130436E-3</v>
      </c>
      <c r="L828" s="59">
        <f>ROUND(INDEX(DetailByDistrict[],MATCH($H828,DetailByDistrict[Dist],0),MATCH(L$2,DetailByDistrict[#Headers],0))*K828,2)</f>
        <v>64.86</v>
      </c>
      <c r="M828" s="59">
        <f>ROUND(INDEX(DetailByDistrict[],MATCH($H828,DetailByDistrict[Dist],0),MATCH(M$2,DetailByDistrict[#Headers],0))*K828,2)</f>
        <v>71.28</v>
      </c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spans="1:26" ht="15.75" customHeight="1" x14ac:dyDescent="0.25">
      <c r="A829" s="53">
        <v>11</v>
      </c>
      <c r="B829" s="54" t="s">
        <v>1123</v>
      </c>
      <c r="C829" s="54" t="s">
        <v>840</v>
      </c>
      <c r="D829" s="53">
        <v>1737</v>
      </c>
      <c r="E829" s="53">
        <v>8504</v>
      </c>
      <c r="F829" s="54" t="s">
        <v>1136</v>
      </c>
      <c r="G829" s="53" t="s">
        <v>207</v>
      </c>
      <c r="H829" s="58" t="str">
        <f>_xlfn.IFNA(INDEX(ActiveSchools!$C$2:$F$326,MATCH(G829,ActiveSchools!$F$2:$F$326,0),1),"Total")</f>
        <v>4779</v>
      </c>
      <c r="I829" s="53">
        <v>2</v>
      </c>
      <c r="J829" s="59">
        <f>_xlfn.IFNA(INDEX(DetailByDistrict[],MATCH($H829,DetailByDistrict[Dist],0),MATCH(J$2,DetailByDistrict[#Headers],0)),0)</f>
        <v>58</v>
      </c>
      <c r="K829" s="54">
        <f t="shared" si="12"/>
        <v>3.4482758620689655E-2</v>
      </c>
      <c r="L829" s="59">
        <f>ROUND(INDEX(DetailByDistrict[],MATCH($H829,DetailByDistrict[Dist],0),MATCH(L$2,DetailByDistrict[#Headers],0))*K829,2)</f>
        <v>129.72</v>
      </c>
      <c r="M829" s="59">
        <f>ROUND(INDEX(DetailByDistrict[],MATCH($H829,DetailByDistrict[Dist],0),MATCH(M$2,DetailByDistrict[#Headers],0))*K829,2)</f>
        <v>142.55000000000001</v>
      </c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spans="1:26" ht="15.75" customHeight="1" x14ac:dyDescent="0.25">
      <c r="A830" s="53">
        <v>11</v>
      </c>
      <c r="B830" s="54" t="s">
        <v>1123</v>
      </c>
      <c r="C830" s="54" t="s">
        <v>840</v>
      </c>
      <c r="D830" s="53">
        <v>1737</v>
      </c>
      <c r="E830" s="53">
        <v>8504</v>
      </c>
      <c r="F830" s="54" t="s">
        <v>1153</v>
      </c>
      <c r="G830" s="53" t="s">
        <v>208</v>
      </c>
      <c r="H830" s="58" t="str">
        <f>_xlfn.IFNA(INDEX(ActiveSchools!$C$2:$F$326,MATCH(G830,ActiveSchools!$F$2:$F$326,0),1),"Total")</f>
        <v>4797</v>
      </c>
      <c r="I830" s="53">
        <v>2</v>
      </c>
      <c r="J830" s="59">
        <f>_xlfn.IFNA(INDEX(DetailByDistrict[],MATCH($H830,DetailByDistrict[Dist],0),MATCH(J$2,DetailByDistrict[#Headers],0)),0)</f>
        <v>161</v>
      </c>
      <c r="K830" s="54">
        <f t="shared" si="12"/>
        <v>1.2422360248447204E-2</v>
      </c>
      <c r="L830" s="59">
        <f>ROUND(INDEX(DetailByDistrict[],MATCH($H830,DetailByDistrict[Dist],0),MATCH(L$2,DetailByDistrict[#Headers],0))*K830,2)</f>
        <v>129.71</v>
      </c>
      <c r="M830" s="59">
        <f>ROUND(INDEX(DetailByDistrict[],MATCH($H830,DetailByDistrict[Dist],0),MATCH(M$2,DetailByDistrict[#Headers],0))*K830,2)</f>
        <v>142.56</v>
      </c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spans="1:26" ht="15.75" customHeight="1" x14ac:dyDescent="0.25">
      <c r="A831" s="53">
        <v>11</v>
      </c>
      <c r="B831" s="54" t="s">
        <v>1123</v>
      </c>
      <c r="C831" s="54" t="s">
        <v>840</v>
      </c>
      <c r="D831" s="53">
        <v>1737</v>
      </c>
      <c r="E831" s="53">
        <v>8504</v>
      </c>
      <c r="F831" s="54" t="s">
        <v>1161</v>
      </c>
      <c r="G831" s="53" t="s">
        <v>699</v>
      </c>
      <c r="H831" s="58" t="str">
        <f>_xlfn.IFNA(INDEX(ActiveSchools!$C$2:$F$326,MATCH(G831,ActiveSchools!$F$2:$F$326,0),1),"Total")</f>
        <v>5319</v>
      </c>
      <c r="I831" s="53">
        <v>2</v>
      </c>
      <c r="J831" s="59">
        <f>_xlfn.IFNA(INDEX(DetailByDistrict[],MATCH($H831,DetailByDistrict[Dist],0),MATCH(J$2,DetailByDistrict[#Headers],0)),0)</f>
        <v>22</v>
      </c>
      <c r="K831" s="54">
        <f t="shared" si="12"/>
        <v>9.0909090909090912E-2</v>
      </c>
      <c r="L831" s="59">
        <f>ROUND(INDEX(DetailByDistrict[],MATCH($H831,DetailByDistrict[Dist],0),MATCH(L$2,DetailByDistrict[#Headers],0))*K831,2)</f>
        <v>129.72999999999999</v>
      </c>
      <c r="M831" s="59">
        <f>ROUND(INDEX(DetailByDistrict[],MATCH($H831,DetailByDistrict[Dist],0),MATCH(M$2,DetailByDistrict[#Headers],0))*K831,2)</f>
        <v>142.55000000000001</v>
      </c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spans="1:26" ht="15.75" customHeight="1" x14ac:dyDescent="0.25">
      <c r="A832" s="53">
        <v>11</v>
      </c>
      <c r="B832" s="54" t="s">
        <v>1123</v>
      </c>
      <c r="C832" s="54" t="s">
        <v>840</v>
      </c>
      <c r="D832" s="53">
        <v>1737</v>
      </c>
      <c r="E832" s="53">
        <v>8504</v>
      </c>
      <c r="F832" s="54" t="s">
        <v>1137</v>
      </c>
      <c r="G832" s="53" t="s">
        <v>217</v>
      </c>
      <c r="H832" s="58" t="str">
        <f>_xlfn.IFNA(INDEX(ActiveSchools!$C$2:$F$326,MATCH(G832,ActiveSchools!$F$2:$F$326,0),1),"Total")</f>
        <v>5805</v>
      </c>
      <c r="I832" s="53">
        <v>9</v>
      </c>
      <c r="J832" s="59">
        <f>_xlfn.IFNA(INDEX(DetailByDistrict[],MATCH($H832,DetailByDistrict[Dist],0),MATCH(J$2,DetailByDistrict[#Headers],0)),0)</f>
        <v>75</v>
      </c>
      <c r="K832" s="54">
        <f t="shared" si="12"/>
        <v>0.12</v>
      </c>
      <c r="L832" s="59">
        <f>ROUND(INDEX(DetailByDistrict[],MATCH($H832,DetailByDistrict[Dist],0),MATCH(L$2,DetailByDistrict[#Headers],0))*K832,2)</f>
        <v>583.79999999999995</v>
      </c>
      <c r="M832" s="59">
        <f>ROUND(INDEX(DetailByDistrict[],MATCH($H832,DetailByDistrict[Dist],0),MATCH(M$2,DetailByDistrict[#Headers],0))*K832,2)</f>
        <v>641.52</v>
      </c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spans="1:26" ht="15.75" customHeight="1" x14ac:dyDescent="0.25">
      <c r="A833" s="53">
        <v>11</v>
      </c>
      <c r="B833" s="54" t="s">
        <v>1123</v>
      </c>
      <c r="C833" s="54" t="s">
        <v>840</v>
      </c>
      <c r="D833" s="53">
        <v>1737</v>
      </c>
      <c r="E833" s="53">
        <v>8504</v>
      </c>
      <c r="F833" s="54" t="s">
        <v>1142</v>
      </c>
      <c r="G833" s="53" t="s">
        <v>218</v>
      </c>
      <c r="H833" s="58" t="str">
        <f>_xlfn.IFNA(INDEX(ActiveSchools!$C$2:$F$326,MATCH(G833,ActiveSchools!$F$2:$F$326,0),1),"Total")</f>
        <v>6101</v>
      </c>
      <c r="I833" s="53">
        <v>72</v>
      </c>
      <c r="J833" s="59">
        <f>_xlfn.IFNA(INDEX(DetailByDistrict[],MATCH($H833,DetailByDistrict[Dist],0),MATCH(J$2,DetailByDistrict[#Headers],0)),0)</f>
        <v>431</v>
      </c>
      <c r="K833" s="54">
        <f t="shared" si="12"/>
        <v>0.16705336426914152</v>
      </c>
      <c r="L833" s="59">
        <f>ROUND(INDEX(DetailByDistrict[],MATCH($H833,DetailByDistrict[Dist],0),MATCH(L$2,DetailByDistrict[#Headers],0))*K833,2)</f>
        <v>4669.9799999999996</v>
      </c>
      <c r="M833" s="59">
        <f>ROUND(INDEX(DetailByDistrict[],MATCH($H833,DetailByDistrict[Dist],0),MATCH(M$2,DetailByDistrict[#Headers],0))*K833,2)</f>
        <v>5132.21</v>
      </c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spans="1:26" ht="15.75" customHeight="1" x14ac:dyDescent="0.25">
      <c r="A834" s="53">
        <v>11</v>
      </c>
      <c r="B834" s="54" t="s">
        <v>1123</v>
      </c>
      <c r="C834" s="54" t="s">
        <v>840</v>
      </c>
      <c r="D834" s="53">
        <v>1737</v>
      </c>
      <c r="E834" s="53">
        <v>8504</v>
      </c>
      <c r="F834" s="54" t="s">
        <v>1145</v>
      </c>
      <c r="G834" s="53" t="s">
        <v>222</v>
      </c>
      <c r="H834" s="58" t="str">
        <f>_xlfn.IFNA(INDEX(ActiveSchools!$C$2:$F$326,MATCH(G834,ActiveSchools!$F$2:$F$326,0),1),"Total")</f>
        <v>6579</v>
      </c>
      <c r="I834" s="53">
        <v>3</v>
      </c>
      <c r="J834" s="59">
        <f>_xlfn.IFNA(INDEX(DetailByDistrict[],MATCH($H834,DetailByDistrict[Dist],0),MATCH(J$2,DetailByDistrict[#Headers],0)),0)</f>
        <v>484</v>
      </c>
      <c r="K834" s="54">
        <f t="shared" si="12"/>
        <v>6.1983471074380167E-3</v>
      </c>
      <c r="L834" s="59">
        <f>ROUND(INDEX(DetailByDistrict[],MATCH($H834,DetailByDistrict[Dist],0),MATCH(L$2,DetailByDistrict[#Headers],0))*K834,2)</f>
        <v>194.58</v>
      </c>
      <c r="M834" s="59">
        <f>ROUND(INDEX(DetailByDistrict[],MATCH($H834,DetailByDistrict[Dist],0),MATCH(M$2,DetailByDistrict[#Headers],0))*K834,2)</f>
        <v>213.84</v>
      </c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spans="1:26" ht="15.75" customHeight="1" x14ac:dyDescent="0.25">
      <c r="A835" s="53">
        <v>11</v>
      </c>
      <c r="B835" s="54" t="s">
        <v>1123</v>
      </c>
      <c r="C835" s="54" t="s">
        <v>840</v>
      </c>
      <c r="D835" s="53">
        <v>1737</v>
      </c>
      <c r="E835" s="53">
        <v>8504</v>
      </c>
      <c r="F835" s="54" t="s">
        <v>1138</v>
      </c>
      <c r="G835" s="53" t="s">
        <v>224</v>
      </c>
      <c r="H835" s="58" t="str">
        <f>_xlfn.IFNA(INDEX(ActiveSchools!$C$2:$F$326,MATCH(G835,ActiveSchools!$F$2:$F$326,0),1),"Total")</f>
        <v>6822</v>
      </c>
      <c r="I835" s="53">
        <v>5</v>
      </c>
      <c r="J835" s="59">
        <f>_xlfn.IFNA(INDEX(DetailByDistrict[],MATCH($H835,DetailByDistrict[Dist],0),MATCH(J$2,DetailByDistrict[#Headers],0)),0)</f>
        <v>1399</v>
      </c>
      <c r="K835" s="54">
        <f t="shared" si="12"/>
        <v>3.5739814152966403E-3</v>
      </c>
      <c r="L835" s="59">
        <f>ROUND(INDEX(DetailByDistrict[],MATCH($H835,DetailByDistrict[Dist],0),MATCH(L$2,DetailByDistrict[#Headers],0))*K835,2)</f>
        <v>324.3</v>
      </c>
      <c r="M835" s="59">
        <f>ROUND(INDEX(DetailByDistrict[],MATCH($H835,DetailByDistrict[Dist],0),MATCH(M$2,DetailByDistrict[#Headers],0))*K835,2)</f>
        <v>356.4</v>
      </c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spans="1:26" ht="15.75" customHeight="1" x14ac:dyDescent="0.25">
      <c r="A836" s="53">
        <v>11</v>
      </c>
      <c r="B836" s="54" t="s">
        <v>1123</v>
      </c>
      <c r="C836" s="54" t="s">
        <v>840</v>
      </c>
      <c r="D836" s="53">
        <v>1737</v>
      </c>
      <c r="E836" s="53">
        <v>8504</v>
      </c>
      <c r="F836" s="54" t="s">
        <v>1139</v>
      </c>
      <c r="G836" s="53" t="s">
        <v>226</v>
      </c>
      <c r="H836" s="58" t="str">
        <f>_xlfn.IFNA(INDEX(ActiveSchools!$C$2:$F$326,MATCH(G836,ActiveSchools!$F$2:$F$326,0),1),"Total")</f>
        <v>6957</v>
      </c>
      <c r="I836" s="53">
        <v>3</v>
      </c>
      <c r="J836" s="59">
        <f>_xlfn.IFNA(INDEX(DetailByDistrict[],MATCH($H836,DetailByDistrict[Dist],0),MATCH(J$2,DetailByDistrict[#Headers],0)),0)</f>
        <v>1305</v>
      </c>
      <c r="K836" s="54">
        <f t="shared" ref="K836:K899" si="13">I836/J836</f>
        <v>2.2988505747126436E-3</v>
      </c>
      <c r="L836" s="59">
        <f>ROUND(INDEX(DetailByDistrict[],MATCH($H836,DetailByDistrict[Dist],0),MATCH(L$2,DetailByDistrict[#Headers],0))*K836,2)</f>
        <v>194.58</v>
      </c>
      <c r="M836" s="59">
        <f>ROUND(INDEX(DetailByDistrict[],MATCH($H836,DetailByDistrict[Dist],0),MATCH(M$2,DetailByDistrict[#Headers],0))*K836,2)</f>
        <v>213.84</v>
      </c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spans="1:26" ht="15.75" customHeight="1" x14ac:dyDescent="0.25">
      <c r="A837" s="53">
        <v>11</v>
      </c>
      <c r="B837" s="54" t="s">
        <v>1123</v>
      </c>
      <c r="C837" s="54" t="s">
        <v>840</v>
      </c>
      <c r="D837" s="53">
        <v>1737</v>
      </c>
      <c r="E837" s="53">
        <v>8504</v>
      </c>
      <c r="F837" s="54" t="s">
        <v>1143</v>
      </c>
      <c r="G837" s="53" t="s">
        <v>228</v>
      </c>
      <c r="H837" s="58" t="str">
        <f>_xlfn.IFNA(INDEX(ActiveSchools!$C$2:$F$326,MATCH(G837,ActiveSchools!$F$2:$F$326,0),1),"Total")</f>
        <v>7110</v>
      </c>
      <c r="I837" s="53">
        <v>1</v>
      </c>
      <c r="J837" s="59">
        <f>_xlfn.IFNA(INDEX(DetailByDistrict[],MATCH($H837,DetailByDistrict[Dist],0),MATCH(J$2,DetailByDistrict[#Headers],0)),0)</f>
        <v>28</v>
      </c>
      <c r="K837" s="54">
        <f t="shared" si="13"/>
        <v>3.5714285714285712E-2</v>
      </c>
      <c r="L837" s="59">
        <f>ROUND(INDEX(DetailByDistrict[],MATCH($H837,DetailByDistrict[Dist],0),MATCH(L$2,DetailByDistrict[#Headers],0))*K837,2)</f>
        <v>64.86</v>
      </c>
      <c r="M837" s="59">
        <f>ROUND(INDEX(DetailByDistrict[],MATCH($H837,DetailByDistrict[Dist],0),MATCH(M$2,DetailByDistrict[#Headers],0))*K837,2)</f>
        <v>71.290000000000006</v>
      </c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spans="1:26" ht="15.75" customHeight="1" x14ac:dyDescent="0.25">
      <c r="A838" s="53">
        <v>11</v>
      </c>
      <c r="B838" s="54" t="s">
        <v>1123</v>
      </c>
      <c r="C838" s="54" t="s">
        <v>841</v>
      </c>
      <c r="D838" s="53">
        <v>1737</v>
      </c>
      <c r="E838" s="53">
        <v>8505</v>
      </c>
      <c r="F838" s="54" t="s">
        <v>1156</v>
      </c>
      <c r="G838" s="57" t="s">
        <v>176</v>
      </c>
      <c r="H838" s="58" t="str">
        <f>_xlfn.IFNA(INDEX(ActiveSchools!$C$2:$F$326,MATCH(G838,ActiveSchools!$F$2:$F$326,0),1),"Total")</f>
        <v>0027</v>
      </c>
      <c r="I838" s="53">
        <v>1</v>
      </c>
      <c r="J838" s="59">
        <f>_xlfn.IFNA(INDEX(DetailByDistrict[],MATCH($H838,DetailByDistrict[Dist],0),MATCH(J$2,DetailByDistrict[#Headers],0)),0)</f>
        <v>51</v>
      </c>
      <c r="K838" s="54">
        <f t="shared" si="13"/>
        <v>1.9607843137254902E-2</v>
      </c>
      <c r="L838" s="59">
        <f>ROUND(INDEX(DetailByDistrict[],MATCH($H838,DetailByDistrict[Dist],0),MATCH(L$2,DetailByDistrict[#Headers],0))*K838,2)</f>
        <v>64.86</v>
      </c>
      <c r="M838" s="59">
        <f>ROUND(INDEX(DetailByDistrict[],MATCH($H838,DetailByDistrict[Dist],0),MATCH(M$2,DetailByDistrict[#Headers],0))*K838,2)</f>
        <v>71.27</v>
      </c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spans="1:26" ht="15.75" customHeight="1" x14ac:dyDescent="0.25">
      <c r="A839" s="53">
        <v>11</v>
      </c>
      <c r="B839" s="54" t="s">
        <v>1123</v>
      </c>
      <c r="C839" s="54" t="s">
        <v>841</v>
      </c>
      <c r="D839" s="53">
        <v>1737</v>
      </c>
      <c r="E839" s="53">
        <v>8505</v>
      </c>
      <c r="F839" s="54" t="s">
        <v>1125</v>
      </c>
      <c r="G839" s="57" t="s">
        <v>178</v>
      </c>
      <c r="H839" s="58" t="str">
        <f>_xlfn.IFNA(INDEX(ActiveSchools!$C$2:$F$326,MATCH(G839,ActiveSchools!$F$2:$F$326,0),1),"Total")</f>
        <v>0261</v>
      </c>
      <c r="I839" s="53">
        <v>14</v>
      </c>
      <c r="J839" s="59">
        <f>_xlfn.IFNA(INDEX(DetailByDistrict[],MATCH($H839,DetailByDistrict[Dist],0),MATCH(J$2,DetailByDistrict[#Headers],0)),0)</f>
        <v>1188</v>
      </c>
      <c r="K839" s="54">
        <f t="shared" si="13"/>
        <v>1.1784511784511785E-2</v>
      </c>
      <c r="L839" s="59">
        <f>ROUND(INDEX(DetailByDistrict[],MATCH($H839,DetailByDistrict[Dist],0),MATCH(L$2,DetailByDistrict[#Headers],0))*K839,2)</f>
        <v>908.04</v>
      </c>
      <c r="M839" s="59">
        <f>ROUND(INDEX(DetailByDistrict[],MATCH($H839,DetailByDistrict[Dist],0),MATCH(M$2,DetailByDistrict[#Headers],0))*K839,2)</f>
        <v>997.92</v>
      </c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spans="1:26" x14ac:dyDescent="0.25">
      <c r="A840" s="53">
        <v>11</v>
      </c>
      <c r="B840" s="54" t="s">
        <v>1123</v>
      </c>
      <c r="C840" s="54" t="s">
        <v>841</v>
      </c>
      <c r="D840" s="53">
        <v>1737</v>
      </c>
      <c r="E840" s="53">
        <v>8505</v>
      </c>
      <c r="F840" s="54" t="s">
        <v>1126</v>
      </c>
      <c r="G840" s="57" t="s">
        <v>180</v>
      </c>
      <c r="H840" s="58" t="str">
        <f>_xlfn.IFNA(INDEX(ActiveSchools!$C$2:$F$326,MATCH(G840,ActiveSchools!$F$2:$F$326,0),1),"Total")</f>
        <v>0472</v>
      </c>
      <c r="I840" s="53">
        <v>1</v>
      </c>
      <c r="J840" s="59">
        <f>_xlfn.IFNA(INDEX(DetailByDistrict[],MATCH($H840,DetailByDistrict[Dist],0),MATCH(J$2,DetailByDistrict[#Headers],0)),0)</f>
        <v>41</v>
      </c>
      <c r="K840" s="54">
        <f t="shared" si="13"/>
        <v>2.4390243902439025E-2</v>
      </c>
      <c r="L840" s="59">
        <f>ROUND(INDEX(DetailByDistrict[],MATCH($H840,DetailByDistrict[Dist],0),MATCH(L$2,DetailByDistrict[#Headers],0))*K840,2)</f>
        <v>64.849999999999994</v>
      </c>
      <c r="M840" s="59">
        <f>ROUND(INDEX(DetailByDistrict[],MATCH($H840,DetailByDistrict[Dist],0),MATCH(M$2,DetailByDistrict[#Headers],0))*K840,2)</f>
        <v>71.27</v>
      </c>
    </row>
    <row r="841" spans="1:26" ht="15.75" customHeight="1" x14ac:dyDescent="0.25">
      <c r="A841" s="53">
        <v>11</v>
      </c>
      <c r="B841" s="54" t="s">
        <v>1123</v>
      </c>
      <c r="C841" s="54" t="s">
        <v>841</v>
      </c>
      <c r="D841" s="53">
        <v>1737</v>
      </c>
      <c r="E841" s="53">
        <v>8505</v>
      </c>
      <c r="F841" s="54" t="s">
        <v>1144</v>
      </c>
      <c r="G841" s="53" t="s">
        <v>190</v>
      </c>
      <c r="H841" s="58" t="str">
        <f>_xlfn.IFNA(INDEX(ActiveSchools!$C$2:$F$326,MATCH(G841,ActiveSchools!$F$2:$F$326,0),1),"Total")</f>
        <v>1576</v>
      </c>
      <c r="I841" s="53">
        <v>2</v>
      </c>
      <c r="J841" s="59">
        <f>_xlfn.IFNA(INDEX(DetailByDistrict[],MATCH($H841,DetailByDistrict[Dist],0),MATCH(J$2,DetailByDistrict[#Headers],0)),0)</f>
        <v>123</v>
      </c>
      <c r="K841" s="54">
        <f t="shared" si="13"/>
        <v>1.6260162601626018E-2</v>
      </c>
      <c r="L841" s="59">
        <f>ROUND(INDEX(DetailByDistrict[],MATCH($H841,DetailByDistrict[Dist],0),MATCH(L$2,DetailByDistrict[#Headers],0))*K841,2)</f>
        <v>129.72</v>
      </c>
      <c r="M841" s="59">
        <f>ROUND(INDEX(DetailByDistrict[],MATCH($H841,DetailByDistrict[Dist],0),MATCH(M$2,DetailByDistrict[#Headers],0))*K841,2)</f>
        <v>142.55000000000001</v>
      </c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spans="1:26" ht="15.75" customHeight="1" x14ac:dyDescent="0.25">
      <c r="A842" s="53">
        <v>11</v>
      </c>
      <c r="B842" s="54" t="s">
        <v>1123</v>
      </c>
      <c r="C842" s="54" t="s">
        <v>841</v>
      </c>
      <c r="D842" s="53">
        <v>1737</v>
      </c>
      <c r="E842" s="53">
        <v>8505</v>
      </c>
      <c r="F842" s="54" t="s">
        <v>1134</v>
      </c>
      <c r="G842" s="53" t="s">
        <v>191</v>
      </c>
      <c r="H842" s="58" t="str">
        <f>_xlfn.IFNA(INDEX(ActiveSchools!$C$2:$F$326,MATCH(G842,ActiveSchools!$F$2:$F$326,0),1),"Total")</f>
        <v>1737</v>
      </c>
      <c r="I842" s="53">
        <v>156</v>
      </c>
      <c r="J842" s="59">
        <f>_xlfn.IFNA(INDEX(DetailByDistrict[],MATCH($H842,DetailByDistrict[Dist],0),MATCH(J$2,DetailByDistrict[#Headers],0)),0)</f>
        <v>2968</v>
      </c>
      <c r="K842" s="54">
        <f t="shared" si="13"/>
        <v>5.2560646900269542E-2</v>
      </c>
      <c r="L842" s="59">
        <f>ROUND(INDEX(DetailByDistrict[],MATCH($H842,DetailByDistrict[Dist],0),MATCH(L$2,DetailByDistrict[#Headers],0))*K842,2)</f>
        <v>10118.129999999999</v>
      </c>
      <c r="M842" s="59">
        <f>ROUND(INDEX(DetailByDistrict[],MATCH($H842,DetailByDistrict[Dist],0),MATCH(M$2,DetailByDistrict[#Headers],0))*K842,2)</f>
        <v>11119.68</v>
      </c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spans="1:26" ht="15.75" customHeight="1" x14ac:dyDescent="0.25">
      <c r="A843" s="53">
        <v>11</v>
      </c>
      <c r="B843" s="54" t="s">
        <v>1123</v>
      </c>
      <c r="C843" s="54" t="s">
        <v>841</v>
      </c>
      <c r="D843" s="53">
        <v>1737</v>
      </c>
      <c r="E843" s="53">
        <v>8505</v>
      </c>
      <c r="F843" s="54" t="s">
        <v>1162</v>
      </c>
      <c r="G843" s="53" t="s">
        <v>198</v>
      </c>
      <c r="H843" s="58" t="str">
        <f>_xlfn.IFNA(INDEX(ActiveSchools!$C$2:$F$326,MATCH(G843,ActiveSchools!$F$2:$F$326,0),1),"Total")</f>
        <v>3119</v>
      </c>
      <c r="I843" s="53">
        <v>2</v>
      </c>
      <c r="J843" s="59">
        <f>_xlfn.IFNA(INDEX(DetailByDistrict[],MATCH($H843,DetailByDistrict[Dist],0),MATCH(J$2,DetailByDistrict[#Headers],0)),0)</f>
        <v>16</v>
      </c>
      <c r="K843" s="54">
        <f t="shared" si="13"/>
        <v>0.125</v>
      </c>
      <c r="L843" s="59">
        <f>ROUND(INDEX(DetailByDistrict[],MATCH($H843,DetailByDistrict[Dist],0),MATCH(L$2,DetailByDistrict[#Headers],0))*K843,2)</f>
        <v>129.75</v>
      </c>
      <c r="M843" s="59">
        <f>ROUND(INDEX(DetailByDistrict[],MATCH($H843,DetailByDistrict[Dist],0),MATCH(M$2,DetailByDistrict[#Headers],0))*K843,2)</f>
        <v>142.5</v>
      </c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spans="1:26" ht="15.75" customHeight="1" x14ac:dyDescent="0.25">
      <c r="A844" s="53">
        <v>11</v>
      </c>
      <c r="B844" s="54" t="s">
        <v>1123</v>
      </c>
      <c r="C844" s="54" t="s">
        <v>841</v>
      </c>
      <c r="D844" s="53">
        <v>1737</v>
      </c>
      <c r="E844" s="53">
        <v>8505</v>
      </c>
      <c r="F844" s="54" t="s">
        <v>1135</v>
      </c>
      <c r="G844" s="53" t="s">
        <v>199</v>
      </c>
      <c r="H844" s="58" t="str">
        <f>_xlfn.IFNA(INDEX(ActiveSchools!$C$2:$F$326,MATCH(G844,ActiveSchools!$F$2:$F$326,0),1),"Total")</f>
        <v>3231</v>
      </c>
      <c r="I844" s="53">
        <v>6</v>
      </c>
      <c r="J844" s="59">
        <f>_xlfn.IFNA(INDEX(DetailByDistrict[],MATCH($H844,DetailByDistrict[Dist],0),MATCH(J$2,DetailByDistrict[#Headers],0)),0)</f>
        <v>509</v>
      </c>
      <c r="K844" s="54">
        <f t="shared" si="13"/>
        <v>1.1787819253438114E-2</v>
      </c>
      <c r="L844" s="59">
        <f>ROUND(INDEX(DetailByDistrict[],MATCH($H844,DetailByDistrict[Dist],0),MATCH(L$2,DetailByDistrict[#Headers],0))*K844,2)</f>
        <v>389.16</v>
      </c>
      <c r="M844" s="59">
        <f>ROUND(INDEX(DetailByDistrict[],MATCH($H844,DetailByDistrict[Dist],0),MATCH(M$2,DetailByDistrict[#Headers],0))*K844,2)</f>
        <v>427.69</v>
      </c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spans="1:26" ht="15.75" customHeight="1" x14ac:dyDescent="0.25">
      <c r="A845" s="53">
        <v>11</v>
      </c>
      <c r="B845" s="54" t="s">
        <v>1123</v>
      </c>
      <c r="C845" s="54" t="s">
        <v>841</v>
      </c>
      <c r="D845" s="53">
        <v>1737</v>
      </c>
      <c r="E845" s="53">
        <v>8505</v>
      </c>
      <c r="F845" s="54" t="s">
        <v>1141</v>
      </c>
      <c r="G845" s="53" t="s">
        <v>206</v>
      </c>
      <c r="H845" s="58" t="str">
        <f>_xlfn.IFNA(INDEX(ActiveSchools!$C$2:$F$326,MATCH(G845,ActiveSchools!$F$2:$F$326,0),1),"Total")</f>
        <v>4725</v>
      </c>
      <c r="I845" s="53">
        <v>1</v>
      </c>
      <c r="J845" s="59">
        <f>_xlfn.IFNA(INDEX(DetailByDistrict[],MATCH($H845,DetailByDistrict[Dist],0),MATCH(J$2,DetailByDistrict[#Headers],0)),0)</f>
        <v>115</v>
      </c>
      <c r="K845" s="54">
        <f t="shared" si="13"/>
        <v>8.6956521739130436E-3</v>
      </c>
      <c r="L845" s="59">
        <f>ROUND(INDEX(DetailByDistrict[],MATCH($H845,DetailByDistrict[Dist],0),MATCH(L$2,DetailByDistrict[#Headers],0))*K845,2)</f>
        <v>64.86</v>
      </c>
      <c r="M845" s="59">
        <f>ROUND(INDEX(DetailByDistrict[],MATCH($H845,DetailByDistrict[Dist],0),MATCH(M$2,DetailByDistrict[#Headers],0))*K845,2)</f>
        <v>71.28</v>
      </c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spans="1:26" ht="15.75" customHeight="1" x14ac:dyDescent="0.25">
      <c r="A846" s="53">
        <v>11</v>
      </c>
      <c r="B846" s="54" t="s">
        <v>1123</v>
      </c>
      <c r="C846" s="54" t="s">
        <v>841</v>
      </c>
      <c r="D846" s="53">
        <v>1737</v>
      </c>
      <c r="E846" s="53">
        <v>8505</v>
      </c>
      <c r="F846" s="54" t="s">
        <v>1136</v>
      </c>
      <c r="G846" s="53" t="s">
        <v>207</v>
      </c>
      <c r="H846" s="58" t="str">
        <f>_xlfn.IFNA(INDEX(ActiveSchools!$C$2:$F$326,MATCH(G846,ActiveSchools!$F$2:$F$326,0),1),"Total")</f>
        <v>4779</v>
      </c>
      <c r="I846" s="53">
        <v>1</v>
      </c>
      <c r="J846" s="59">
        <f>_xlfn.IFNA(INDEX(DetailByDistrict[],MATCH($H846,DetailByDistrict[Dist],0),MATCH(J$2,DetailByDistrict[#Headers],0)),0)</f>
        <v>58</v>
      </c>
      <c r="K846" s="54">
        <f t="shared" si="13"/>
        <v>1.7241379310344827E-2</v>
      </c>
      <c r="L846" s="59">
        <f>ROUND(INDEX(DetailByDistrict[],MATCH($H846,DetailByDistrict[Dist],0),MATCH(L$2,DetailByDistrict[#Headers],0))*K846,2)</f>
        <v>64.86</v>
      </c>
      <c r="M846" s="59">
        <f>ROUND(INDEX(DetailByDistrict[],MATCH($H846,DetailByDistrict[Dist],0),MATCH(M$2,DetailByDistrict[#Headers],0))*K846,2)</f>
        <v>71.28</v>
      </c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spans="1:26" ht="15.75" customHeight="1" x14ac:dyDescent="0.25">
      <c r="A847" s="53">
        <v>11</v>
      </c>
      <c r="B847" s="54" t="s">
        <v>1123</v>
      </c>
      <c r="C847" s="54" t="s">
        <v>841</v>
      </c>
      <c r="D847" s="53">
        <v>1737</v>
      </c>
      <c r="E847" s="53">
        <v>8505</v>
      </c>
      <c r="F847" s="54" t="s">
        <v>1153</v>
      </c>
      <c r="G847" s="53" t="s">
        <v>208</v>
      </c>
      <c r="H847" s="58" t="str">
        <f>_xlfn.IFNA(INDEX(ActiveSchools!$C$2:$F$326,MATCH(G847,ActiveSchools!$F$2:$F$326,0),1),"Total")</f>
        <v>4797</v>
      </c>
      <c r="I847" s="53">
        <v>8</v>
      </c>
      <c r="J847" s="59">
        <f>_xlfn.IFNA(INDEX(DetailByDistrict[],MATCH($H847,DetailByDistrict[Dist],0),MATCH(J$2,DetailByDistrict[#Headers],0)),0)</f>
        <v>161</v>
      </c>
      <c r="K847" s="54">
        <f t="shared" si="13"/>
        <v>4.9689440993788817E-2</v>
      </c>
      <c r="L847" s="59">
        <f>ROUND(INDEX(DetailByDistrict[],MATCH($H847,DetailByDistrict[Dist],0),MATCH(L$2,DetailByDistrict[#Headers],0))*K847,2)</f>
        <v>518.86</v>
      </c>
      <c r="M847" s="59">
        <f>ROUND(INDEX(DetailByDistrict[],MATCH($H847,DetailByDistrict[Dist],0),MATCH(M$2,DetailByDistrict[#Headers],0))*K847,2)</f>
        <v>570.24</v>
      </c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spans="1:26" ht="15.75" customHeight="1" x14ac:dyDescent="0.25">
      <c r="A848" s="53">
        <v>11</v>
      </c>
      <c r="B848" s="54" t="s">
        <v>1123</v>
      </c>
      <c r="C848" s="54" t="s">
        <v>841</v>
      </c>
      <c r="D848" s="53">
        <v>1737</v>
      </c>
      <c r="E848" s="53">
        <v>8505</v>
      </c>
      <c r="F848" s="54" t="s">
        <v>1142</v>
      </c>
      <c r="G848" s="53" t="s">
        <v>218</v>
      </c>
      <c r="H848" s="58" t="str">
        <f>_xlfn.IFNA(INDEX(ActiveSchools!$C$2:$F$326,MATCH(G848,ActiveSchools!$F$2:$F$326,0),1),"Total")</f>
        <v>6101</v>
      </c>
      <c r="I848" s="53">
        <v>9</v>
      </c>
      <c r="J848" s="59">
        <f>_xlfn.IFNA(INDEX(DetailByDistrict[],MATCH($H848,DetailByDistrict[Dist],0),MATCH(J$2,DetailByDistrict[#Headers],0)),0)</f>
        <v>431</v>
      </c>
      <c r="K848" s="54">
        <f t="shared" si="13"/>
        <v>2.0881670533642691E-2</v>
      </c>
      <c r="L848" s="59">
        <f>ROUND(INDEX(DetailByDistrict[],MATCH($H848,DetailByDistrict[Dist],0),MATCH(L$2,DetailByDistrict[#Headers],0))*K848,2)</f>
        <v>583.75</v>
      </c>
      <c r="M848" s="59">
        <f>ROUND(INDEX(DetailByDistrict[],MATCH($H848,DetailByDistrict[Dist],0),MATCH(M$2,DetailByDistrict[#Headers],0))*K848,2)</f>
        <v>641.53</v>
      </c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spans="1:26" ht="15.75" customHeight="1" x14ac:dyDescent="0.25">
      <c r="A849" s="53">
        <v>11</v>
      </c>
      <c r="B849" s="54" t="s">
        <v>1123</v>
      </c>
      <c r="C849" s="54" t="s">
        <v>841</v>
      </c>
      <c r="D849" s="53">
        <v>1737</v>
      </c>
      <c r="E849" s="53">
        <v>8505</v>
      </c>
      <c r="F849" s="54" t="s">
        <v>1145</v>
      </c>
      <c r="G849" s="53" t="s">
        <v>222</v>
      </c>
      <c r="H849" s="58" t="str">
        <f>_xlfn.IFNA(INDEX(ActiveSchools!$C$2:$F$326,MATCH(G849,ActiveSchools!$F$2:$F$326,0),1),"Total")</f>
        <v>6579</v>
      </c>
      <c r="I849" s="53">
        <v>24</v>
      </c>
      <c r="J849" s="59">
        <f>_xlfn.IFNA(INDEX(DetailByDistrict[],MATCH($H849,DetailByDistrict[Dist],0),MATCH(J$2,DetailByDistrict[#Headers],0)),0)</f>
        <v>484</v>
      </c>
      <c r="K849" s="54">
        <f t="shared" si="13"/>
        <v>4.9586776859504134E-2</v>
      </c>
      <c r="L849" s="59">
        <f>ROUND(INDEX(DetailByDistrict[],MATCH($H849,DetailByDistrict[Dist],0),MATCH(L$2,DetailByDistrict[#Headers],0))*K849,2)</f>
        <v>1556.63</v>
      </c>
      <c r="M849" s="59">
        <f>ROUND(INDEX(DetailByDistrict[],MATCH($H849,DetailByDistrict[Dist],0),MATCH(M$2,DetailByDistrict[#Headers],0))*K849,2)</f>
        <v>1710.74</v>
      </c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spans="1:26" ht="15.75" customHeight="1" x14ac:dyDescent="0.25">
      <c r="A850" s="53">
        <v>11</v>
      </c>
      <c r="B850" s="54" t="s">
        <v>1123</v>
      </c>
      <c r="C850" s="54" t="s">
        <v>841</v>
      </c>
      <c r="D850" s="53">
        <v>1737</v>
      </c>
      <c r="E850" s="53">
        <v>8505</v>
      </c>
      <c r="F850" s="54" t="s">
        <v>1138</v>
      </c>
      <c r="G850" s="53" t="s">
        <v>224</v>
      </c>
      <c r="H850" s="58" t="str">
        <f>_xlfn.IFNA(INDEX(ActiveSchools!$C$2:$F$326,MATCH(G850,ActiveSchools!$F$2:$F$326,0),1),"Total")</f>
        <v>6822</v>
      </c>
      <c r="I850" s="53">
        <v>1</v>
      </c>
      <c r="J850" s="59">
        <f>_xlfn.IFNA(INDEX(DetailByDistrict[],MATCH($H850,DetailByDistrict[Dist],0),MATCH(J$2,DetailByDistrict[#Headers],0)),0)</f>
        <v>1399</v>
      </c>
      <c r="K850" s="54">
        <f t="shared" si="13"/>
        <v>7.1479628305932811E-4</v>
      </c>
      <c r="L850" s="59">
        <f>ROUND(INDEX(DetailByDistrict[],MATCH($H850,DetailByDistrict[Dist],0),MATCH(L$2,DetailByDistrict[#Headers],0))*K850,2)</f>
        <v>64.86</v>
      </c>
      <c r="M850" s="59">
        <f>ROUND(INDEX(DetailByDistrict[],MATCH($H850,DetailByDistrict[Dist],0),MATCH(M$2,DetailByDistrict[#Headers],0))*K850,2)</f>
        <v>71.28</v>
      </c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spans="1:26" ht="15.75" customHeight="1" x14ac:dyDescent="0.25">
      <c r="A851" s="53">
        <v>11</v>
      </c>
      <c r="B851" s="54" t="s">
        <v>1123</v>
      </c>
      <c r="C851" s="54" t="s">
        <v>841</v>
      </c>
      <c r="D851" s="53">
        <v>1737</v>
      </c>
      <c r="E851" s="53">
        <v>8505</v>
      </c>
      <c r="F851" s="54" t="s">
        <v>1139</v>
      </c>
      <c r="G851" s="53" t="s">
        <v>226</v>
      </c>
      <c r="H851" s="58" t="str">
        <f>_xlfn.IFNA(INDEX(ActiveSchools!$C$2:$F$326,MATCH(G851,ActiveSchools!$F$2:$F$326,0),1),"Total")</f>
        <v>6957</v>
      </c>
      <c r="I851" s="53">
        <v>57</v>
      </c>
      <c r="J851" s="59">
        <f>_xlfn.IFNA(INDEX(DetailByDistrict[],MATCH($H851,DetailByDistrict[Dist],0),MATCH(J$2,DetailByDistrict[#Headers],0)),0)</f>
        <v>1305</v>
      </c>
      <c r="K851" s="54">
        <f t="shared" si="13"/>
        <v>4.3678160919540229E-2</v>
      </c>
      <c r="L851" s="59">
        <f>ROUND(INDEX(DetailByDistrict[],MATCH($H851,DetailByDistrict[Dist],0),MATCH(L$2,DetailByDistrict[#Headers],0))*K851,2)</f>
        <v>3697.01</v>
      </c>
      <c r="M851" s="59">
        <f>ROUND(INDEX(DetailByDistrict[],MATCH($H851,DetailByDistrict[Dist],0),MATCH(M$2,DetailByDistrict[#Headers],0))*K851,2)</f>
        <v>4062.94</v>
      </c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spans="1:26" ht="15.75" customHeight="1" x14ac:dyDescent="0.25">
      <c r="A852" s="53">
        <v>11</v>
      </c>
      <c r="B852" s="54" t="s">
        <v>1123</v>
      </c>
      <c r="C852" s="54" t="s">
        <v>842</v>
      </c>
      <c r="D852" s="53">
        <v>1737</v>
      </c>
      <c r="E852" s="53">
        <v>8507</v>
      </c>
      <c r="F852" s="54" t="s">
        <v>1156</v>
      </c>
      <c r="G852" s="57" t="s">
        <v>176</v>
      </c>
      <c r="H852" s="58" t="str">
        <f>_xlfn.IFNA(INDEX(ActiveSchools!$C$2:$F$326,MATCH(G852,ActiveSchools!$F$2:$F$326,0),1),"Total")</f>
        <v>0027</v>
      </c>
      <c r="I852" s="53">
        <v>1</v>
      </c>
      <c r="J852" s="59">
        <f>_xlfn.IFNA(INDEX(DetailByDistrict[],MATCH($H852,DetailByDistrict[Dist],0),MATCH(J$2,DetailByDistrict[#Headers],0)),0)</f>
        <v>51</v>
      </c>
      <c r="K852" s="54">
        <f t="shared" si="13"/>
        <v>1.9607843137254902E-2</v>
      </c>
      <c r="L852" s="59">
        <f>ROUND(INDEX(DetailByDistrict[],MATCH($H852,DetailByDistrict[Dist],0),MATCH(L$2,DetailByDistrict[#Headers],0))*K852,2)</f>
        <v>64.86</v>
      </c>
      <c r="M852" s="59">
        <f>ROUND(INDEX(DetailByDistrict[],MATCH($H852,DetailByDistrict[Dist],0),MATCH(M$2,DetailByDistrict[#Headers],0))*K852,2)</f>
        <v>71.27</v>
      </c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spans="1:26" ht="15.75" customHeight="1" x14ac:dyDescent="0.25">
      <c r="A853" s="53">
        <v>11</v>
      </c>
      <c r="B853" s="54" t="s">
        <v>1123</v>
      </c>
      <c r="C853" s="54" t="s">
        <v>842</v>
      </c>
      <c r="D853" s="53">
        <v>1737</v>
      </c>
      <c r="E853" s="53">
        <v>8507</v>
      </c>
      <c r="F853" s="54" t="s">
        <v>1125</v>
      </c>
      <c r="G853" s="57" t="s">
        <v>178</v>
      </c>
      <c r="H853" s="58" t="str">
        <f>_xlfn.IFNA(INDEX(ActiveSchools!$C$2:$F$326,MATCH(G853,ActiveSchools!$F$2:$F$326,0),1),"Total")</f>
        <v>0261</v>
      </c>
      <c r="I853" s="53">
        <v>76</v>
      </c>
      <c r="J853" s="59">
        <f>_xlfn.IFNA(INDEX(DetailByDistrict[],MATCH($H853,DetailByDistrict[Dist],0),MATCH(J$2,DetailByDistrict[#Headers],0)),0)</f>
        <v>1188</v>
      </c>
      <c r="K853" s="54">
        <f t="shared" si="13"/>
        <v>6.3973063973063973E-2</v>
      </c>
      <c r="L853" s="59">
        <f>ROUND(INDEX(DetailByDistrict[],MATCH($H853,DetailByDistrict[Dist],0),MATCH(L$2,DetailByDistrict[#Headers],0))*K853,2)</f>
        <v>4929.38</v>
      </c>
      <c r="M853" s="59">
        <f>ROUND(INDEX(DetailByDistrict[],MATCH($H853,DetailByDistrict[Dist],0),MATCH(M$2,DetailByDistrict[#Headers],0))*K853,2)</f>
        <v>5417.3</v>
      </c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spans="1:26" ht="15.75" customHeight="1" x14ac:dyDescent="0.25">
      <c r="A854" s="53">
        <v>11</v>
      </c>
      <c r="B854" s="54" t="s">
        <v>1123</v>
      </c>
      <c r="C854" s="54" t="s">
        <v>842</v>
      </c>
      <c r="D854" s="53">
        <v>1737</v>
      </c>
      <c r="E854" s="53">
        <v>8507</v>
      </c>
      <c r="F854" s="54" t="s">
        <v>1140</v>
      </c>
      <c r="G854" s="57" t="s">
        <v>182</v>
      </c>
      <c r="H854" s="58" t="str">
        <f>_xlfn.IFNA(INDEX(ActiveSchools!$C$2:$F$326,MATCH(G854,ActiveSchools!$F$2:$F$326,0),1),"Total")</f>
        <v>0720</v>
      </c>
      <c r="I854" s="53">
        <v>12</v>
      </c>
      <c r="J854" s="59">
        <f>_xlfn.IFNA(INDEX(DetailByDistrict[],MATCH($H854,DetailByDistrict[Dist],0),MATCH(J$2,DetailByDistrict[#Headers],0)),0)</f>
        <v>80</v>
      </c>
      <c r="K854" s="54">
        <f t="shared" si="13"/>
        <v>0.15</v>
      </c>
      <c r="L854" s="59">
        <f>ROUND(INDEX(DetailByDistrict[],MATCH($H854,DetailByDistrict[Dist],0),MATCH(L$2,DetailByDistrict[#Headers],0))*K854,2)</f>
        <v>778.35</v>
      </c>
      <c r="M854" s="59">
        <f>ROUND(INDEX(DetailByDistrict[],MATCH($H854,DetailByDistrict[Dist],0),MATCH(M$2,DetailByDistrict[#Headers],0))*K854,2)</f>
        <v>855.3</v>
      </c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spans="1:26" ht="15.75" customHeight="1" x14ac:dyDescent="0.25">
      <c r="A855" s="53">
        <v>11</v>
      </c>
      <c r="B855" s="54" t="s">
        <v>1123</v>
      </c>
      <c r="C855" s="54" t="s">
        <v>842</v>
      </c>
      <c r="D855" s="53">
        <v>1737</v>
      </c>
      <c r="E855" s="53">
        <v>8507</v>
      </c>
      <c r="F855" s="54" t="s">
        <v>1151</v>
      </c>
      <c r="G855" s="57" t="s">
        <v>184</v>
      </c>
      <c r="H855" s="58" t="str">
        <f>_xlfn.IFNA(INDEX(ActiveSchools!$C$2:$F$326,MATCH(G855,ActiveSchools!$F$2:$F$326,0),1),"Total")</f>
        <v>0981</v>
      </c>
      <c r="I855" s="53">
        <v>6</v>
      </c>
      <c r="J855" s="59">
        <f>_xlfn.IFNA(INDEX(DetailByDistrict[],MATCH($H855,DetailByDistrict[Dist],0),MATCH(J$2,DetailByDistrict[#Headers],0)),0)</f>
        <v>68</v>
      </c>
      <c r="K855" s="54">
        <f t="shared" si="13"/>
        <v>8.8235294117647065E-2</v>
      </c>
      <c r="L855" s="59">
        <f>ROUND(INDEX(DetailByDistrict[],MATCH($H855,DetailByDistrict[Dist],0),MATCH(L$2,DetailByDistrict[#Headers],0))*K855,2)</f>
        <v>389.12</v>
      </c>
      <c r="M855" s="59">
        <f>ROUND(INDEX(DetailByDistrict[],MATCH($H855,DetailByDistrict[Dist],0),MATCH(M$2,DetailByDistrict[#Headers],0))*K855,2)</f>
        <v>427.68</v>
      </c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spans="1:26" ht="15.75" customHeight="1" x14ac:dyDescent="0.25">
      <c r="A856" s="53">
        <v>11</v>
      </c>
      <c r="B856" s="54" t="s">
        <v>1123</v>
      </c>
      <c r="C856" s="54" t="s">
        <v>842</v>
      </c>
      <c r="D856" s="53">
        <v>1737</v>
      </c>
      <c r="E856" s="53">
        <v>8507</v>
      </c>
      <c r="F856" s="54" t="s">
        <v>1150</v>
      </c>
      <c r="G856" s="53" t="s">
        <v>186</v>
      </c>
      <c r="H856" s="58" t="str">
        <f>_xlfn.IFNA(INDEX(ActiveSchools!$C$2:$F$326,MATCH(G856,ActiveSchools!$F$2:$F$326,0),1),"Total")</f>
        <v>1332</v>
      </c>
      <c r="I856" s="53">
        <v>1</v>
      </c>
      <c r="J856" s="59">
        <f>_xlfn.IFNA(INDEX(DetailByDistrict[],MATCH($H856,DetailByDistrict[Dist],0),MATCH(J$2,DetailByDistrict[#Headers],0)),0)</f>
        <v>11</v>
      </c>
      <c r="K856" s="54">
        <f t="shared" si="13"/>
        <v>9.0909090909090912E-2</v>
      </c>
      <c r="L856" s="59">
        <f>ROUND(INDEX(DetailByDistrict[],MATCH($H856,DetailByDistrict[Dist],0),MATCH(L$2,DetailByDistrict[#Headers],0))*K856,2)</f>
        <v>64.819999999999993</v>
      </c>
      <c r="M856" s="59">
        <f>ROUND(INDEX(DetailByDistrict[],MATCH($H856,DetailByDistrict[Dist],0),MATCH(M$2,DetailByDistrict[#Headers],0))*K856,2)</f>
        <v>71.27</v>
      </c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spans="1:26" ht="15.75" customHeight="1" x14ac:dyDescent="0.25">
      <c r="A857" s="53">
        <v>11</v>
      </c>
      <c r="B857" s="54" t="s">
        <v>1123</v>
      </c>
      <c r="C857" s="54" t="s">
        <v>842</v>
      </c>
      <c r="D857" s="53">
        <v>1737</v>
      </c>
      <c r="E857" s="53">
        <v>8507</v>
      </c>
      <c r="F857" s="54" t="s">
        <v>1134</v>
      </c>
      <c r="G857" s="53" t="s">
        <v>191</v>
      </c>
      <c r="H857" s="58" t="str">
        <f>_xlfn.IFNA(INDEX(ActiveSchools!$C$2:$F$326,MATCH(G857,ActiveSchools!$F$2:$F$326,0),1),"Total")</f>
        <v>1737</v>
      </c>
      <c r="I857" s="53">
        <v>41</v>
      </c>
      <c r="J857" s="59">
        <f>_xlfn.IFNA(INDEX(DetailByDistrict[],MATCH($H857,DetailByDistrict[Dist],0),MATCH(J$2,DetailByDistrict[#Headers],0)),0)</f>
        <v>2968</v>
      </c>
      <c r="K857" s="54">
        <f t="shared" si="13"/>
        <v>1.3814016172506738E-2</v>
      </c>
      <c r="L857" s="59">
        <f>ROUND(INDEX(DetailByDistrict[],MATCH($H857,DetailByDistrict[Dist],0),MATCH(L$2,DetailByDistrict[#Headers],0))*K857,2)</f>
        <v>2659.25</v>
      </c>
      <c r="M857" s="59">
        <f>ROUND(INDEX(DetailByDistrict[],MATCH($H857,DetailByDistrict[Dist],0),MATCH(M$2,DetailByDistrict[#Headers],0))*K857,2)</f>
        <v>2922.48</v>
      </c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spans="1:26" ht="15.75" customHeight="1" x14ac:dyDescent="0.25">
      <c r="A858" s="53">
        <v>11</v>
      </c>
      <c r="B858" s="54" t="s">
        <v>1123</v>
      </c>
      <c r="C858" s="54" t="s">
        <v>842</v>
      </c>
      <c r="D858" s="53">
        <v>1737</v>
      </c>
      <c r="E858" s="53">
        <v>8507</v>
      </c>
      <c r="F858" s="54" t="s">
        <v>1152</v>
      </c>
      <c r="G858" s="53" t="s">
        <v>197</v>
      </c>
      <c r="H858" s="58" t="str">
        <f>_xlfn.IFNA(INDEX(ActiveSchools!$C$2:$F$326,MATCH(G858,ActiveSchools!$F$2:$F$326,0),1),"Total")</f>
        <v>3114</v>
      </c>
      <c r="I858" s="53">
        <v>3</v>
      </c>
      <c r="J858" s="59">
        <f>_xlfn.IFNA(INDEX(DetailByDistrict[],MATCH($H858,DetailByDistrict[Dist],0),MATCH(J$2,DetailByDistrict[#Headers],0)),0)</f>
        <v>145</v>
      </c>
      <c r="K858" s="54">
        <f t="shared" si="13"/>
        <v>2.0689655172413793E-2</v>
      </c>
      <c r="L858" s="59">
        <f>ROUND(INDEX(DetailByDistrict[],MATCH($H858,DetailByDistrict[Dist],0),MATCH(L$2,DetailByDistrict[#Headers],0))*K858,2)</f>
        <v>194.59</v>
      </c>
      <c r="M858" s="59">
        <f>ROUND(INDEX(DetailByDistrict[],MATCH($H858,DetailByDistrict[Dist],0),MATCH(M$2,DetailByDistrict[#Headers],0))*K858,2)</f>
        <v>213.85</v>
      </c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spans="1:26" ht="15.75" customHeight="1" x14ac:dyDescent="0.25">
      <c r="A859" s="53">
        <v>11</v>
      </c>
      <c r="B859" s="54" t="s">
        <v>1123</v>
      </c>
      <c r="C859" s="54" t="s">
        <v>842</v>
      </c>
      <c r="D859" s="53">
        <v>1737</v>
      </c>
      <c r="E859" s="53">
        <v>8507</v>
      </c>
      <c r="F859" s="54" t="s">
        <v>1162</v>
      </c>
      <c r="G859" s="53" t="s">
        <v>198</v>
      </c>
      <c r="H859" s="58" t="str">
        <f>_xlfn.IFNA(INDEX(ActiveSchools!$C$2:$F$326,MATCH(G859,ActiveSchools!$F$2:$F$326,0),1),"Total")</f>
        <v>3119</v>
      </c>
      <c r="I859" s="53">
        <v>1</v>
      </c>
      <c r="J859" s="59">
        <f>_xlfn.IFNA(INDEX(DetailByDistrict[],MATCH($H859,DetailByDistrict[Dist],0),MATCH(J$2,DetailByDistrict[#Headers],0)),0)</f>
        <v>16</v>
      </c>
      <c r="K859" s="54">
        <f t="shared" si="13"/>
        <v>6.25E-2</v>
      </c>
      <c r="L859" s="59">
        <f>ROUND(INDEX(DetailByDistrict[],MATCH($H859,DetailByDistrict[Dist],0),MATCH(L$2,DetailByDistrict[#Headers],0))*K859,2)</f>
        <v>64.88</v>
      </c>
      <c r="M859" s="59">
        <f>ROUND(INDEX(DetailByDistrict[],MATCH($H859,DetailByDistrict[Dist],0),MATCH(M$2,DetailByDistrict[#Headers],0))*K859,2)</f>
        <v>71.25</v>
      </c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spans="1:26" ht="15.75" customHeight="1" x14ac:dyDescent="0.25">
      <c r="A860" s="53">
        <v>11</v>
      </c>
      <c r="B860" s="54" t="s">
        <v>1123</v>
      </c>
      <c r="C860" s="54" t="s">
        <v>842</v>
      </c>
      <c r="D860" s="53">
        <v>1737</v>
      </c>
      <c r="E860" s="53">
        <v>8507</v>
      </c>
      <c r="F860" s="54" t="s">
        <v>1135</v>
      </c>
      <c r="G860" s="53" t="s">
        <v>199</v>
      </c>
      <c r="H860" s="58" t="str">
        <f>_xlfn.IFNA(INDEX(ActiveSchools!$C$2:$F$326,MATCH(G860,ActiveSchools!$F$2:$F$326,0),1),"Total")</f>
        <v>3231</v>
      </c>
      <c r="I860" s="53">
        <v>4</v>
      </c>
      <c r="J860" s="59">
        <f>_xlfn.IFNA(INDEX(DetailByDistrict[],MATCH($H860,DetailByDistrict[Dist],0),MATCH(J$2,DetailByDistrict[#Headers],0)),0)</f>
        <v>509</v>
      </c>
      <c r="K860" s="54">
        <f t="shared" si="13"/>
        <v>7.8585461689587421E-3</v>
      </c>
      <c r="L860" s="59">
        <f>ROUND(INDEX(DetailByDistrict[],MATCH($H860,DetailByDistrict[Dist],0),MATCH(L$2,DetailByDistrict[#Headers],0))*K860,2)</f>
        <v>259.44</v>
      </c>
      <c r="M860" s="59">
        <f>ROUND(INDEX(DetailByDistrict[],MATCH($H860,DetailByDistrict[Dist],0),MATCH(M$2,DetailByDistrict[#Headers],0))*K860,2)</f>
        <v>285.12</v>
      </c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spans="1:26" ht="15.75" customHeight="1" x14ac:dyDescent="0.25">
      <c r="A861" s="53">
        <v>11</v>
      </c>
      <c r="B861" s="54" t="s">
        <v>1123</v>
      </c>
      <c r="C861" s="54" t="s">
        <v>842</v>
      </c>
      <c r="D861" s="53">
        <v>1737</v>
      </c>
      <c r="E861" s="53">
        <v>8507</v>
      </c>
      <c r="F861" s="54" t="s">
        <v>1141</v>
      </c>
      <c r="G861" s="53" t="s">
        <v>206</v>
      </c>
      <c r="H861" s="58" t="str">
        <f>_xlfn.IFNA(INDEX(ActiveSchools!$C$2:$F$326,MATCH(G861,ActiveSchools!$F$2:$F$326,0),1),"Total")</f>
        <v>4725</v>
      </c>
      <c r="I861" s="53">
        <v>1</v>
      </c>
      <c r="J861" s="59">
        <f>_xlfn.IFNA(INDEX(DetailByDistrict[],MATCH($H861,DetailByDistrict[Dist],0),MATCH(J$2,DetailByDistrict[#Headers],0)),0)</f>
        <v>115</v>
      </c>
      <c r="K861" s="54">
        <f t="shared" si="13"/>
        <v>8.6956521739130436E-3</v>
      </c>
      <c r="L861" s="59">
        <f>ROUND(INDEX(DetailByDistrict[],MATCH($H861,DetailByDistrict[Dist],0),MATCH(L$2,DetailByDistrict[#Headers],0))*K861,2)</f>
        <v>64.86</v>
      </c>
      <c r="M861" s="59">
        <f>ROUND(INDEX(DetailByDistrict[],MATCH($H861,DetailByDistrict[Dist],0),MATCH(M$2,DetailByDistrict[#Headers],0))*K861,2)</f>
        <v>71.28</v>
      </c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spans="1:26" ht="15.75" customHeight="1" x14ac:dyDescent="0.25">
      <c r="A862" s="53">
        <v>11</v>
      </c>
      <c r="B862" s="54" t="s">
        <v>1123</v>
      </c>
      <c r="C862" s="54" t="s">
        <v>842</v>
      </c>
      <c r="D862" s="53">
        <v>1737</v>
      </c>
      <c r="E862" s="53">
        <v>8507</v>
      </c>
      <c r="F862" s="54" t="s">
        <v>1136</v>
      </c>
      <c r="G862" s="53" t="s">
        <v>207</v>
      </c>
      <c r="H862" s="58" t="str">
        <f>_xlfn.IFNA(INDEX(ActiveSchools!$C$2:$F$326,MATCH(G862,ActiveSchools!$F$2:$F$326,0),1),"Total")</f>
        <v>4779</v>
      </c>
      <c r="I862" s="53">
        <v>1</v>
      </c>
      <c r="J862" s="59">
        <f>_xlfn.IFNA(INDEX(DetailByDistrict[],MATCH($H862,DetailByDistrict[Dist],0),MATCH(J$2,DetailByDistrict[#Headers],0)),0)</f>
        <v>58</v>
      </c>
      <c r="K862" s="54">
        <f t="shared" si="13"/>
        <v>1.7241379310344827E-2</v>
      </c>
      <c r="L862" s="59">
        <f>ROUND(INDEX(DetailByDistrict[],MATCH($H862,DetailByDistrict[Dist],0),MATCH(L$2,DetailByDistrict[#Headers],0))*K862,2)</f>
        <v>64.86</v>
      </c>
      <c r="M862" s="59">
        <f>ROUND(INDEX(DetailByDistrict[],MATCH($H862,DetailByDistrict[Dist],0),MATCH(M$2,DetailByDistrict[#Headers],0))*K862,2)</f>
        <v>71.28</v>
      </c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spans="1:26" ht="15.75" customHeight="1" x14ac:dyDescent="0.25">
      <c r="A863" s="53">
        <v>11</v>
      </c>
      <c r="B863" s="54" t="s">
        <v>1123</v>
      </c>
      <c r="C863" s="54" t="s">
        <v>842</v>
      </c>
      <c r="D863" s="53">
        <v>1737</v>
      </c>
      <c r="E863" s="53">
        <v>8507</v>
      </c>
      <c r="F863" s="54" t="s">
        <v>1153</v>
      </c>
      <c r="G863" s="53" t="s">
        <v>208</v>
      </c>
      <c r="H863" s="58" t="str">
        <f>_xlfn.IFNA(INDEX(ActiveSchools!$C$2:$F$326,MATCH(G863,ActiveSchools!$F$2:$F$326,0),1),"Total")</f>
        <v>4797</v>
      </c>
      <c r="I863" s="53">
        <v>4</v>
      </c>
      <c r="J863" s="59">
        <f>_xlfn.IFNA(INDEX(DetailByDistrict[],MATCH($H863,DetailByDistrict[Dist],0),MATCH(J$2,DetailByDistrict[#Headers],0)),0)</f>
        <v>161</v>
      </c>
      <c r="K863" s="54">
        <f t="shared" si="13"/>
        <v>2.4844720496894408E-2</v>
      </c>
      <c r="L863" s="59">
        <f>ROUND(INDEX(DetailByDistrict[],MATCH($H863,DetailByDistrict[Dist],0),MATCH(L$2,DetailByDistrict[#Headers],0))*K863,2)</f>
        <v>259.43</v>
      </c>
      <c r="M863" s="59">
        <f>ROUND(INDEX(DetailByDistrict[],MATCH($H863,DetailByDistrict[Dist],0),MATCH(M$2,DetailByDistrict[#Headers],0))*K863,2)</f>
        <v>285.12</v>
      </c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spans="1:26" ht="15.75" customHeight="1" x14ac:dyDescent="0.25">
      <c r="A864" s="53">
        <v>11</v>
      </c>
      <c r="B864" s="54" t="s">
        <v>1123</v>
      </c>
      <c r="C864" s="54" t="s">
        <v>842</v>
      </c>
      <c r="D864" s="53">
        <v>1737</v>
      </c>
      <c r="E864" s="53">
        <v>8507</v>
      </c>
      <c r="F864" s="54" t="s">
        <v>1161</v>
      </c>
      <c r="G864" s="53" t="s">
        <v>699</v>
      </c>
      <c r="H864" s="58" t="str">
        <f>_xlfn.IFNA(INDEX(ActiveSchools!$C$2:$F$326,MATCH(G864,ActiveSchools!$F$2:$F$326,0),1),"Total")</f>
        <v>5319</v>
      </c>
      <c r="I864" s="53">
        <v>4</v>
      </c>
      <c r="J864" s="59">
        <f>_xlfn.IFNA(INDEX(DetailByDistrict[],MATCH($H864,DetailByDistrict[Dist],0),MATCH(J$2,DetailByDistrict[#Headers],0)),0)</f>
        <v>22</v>
      </c>
      <c r="K864" s="54">
        <f t="shared" si="13"/>
        <v>0.18181818181818182</v>
      </c>
      <c r="L864" s="59">
        <f>ROUND(INDEX(DetailByDistrict[],MATCH($H864,DetailByDistrict[Dist],0),MATCH(L$2,DetailByDistrict[#Headers],0))*K864,2)</f>
        <v>259.45</v>
      </c>
      <c r="M864" s="59">
        <f>ROUND(INDEX(DetailByDistrict[],MATCH($H864,DetailByDistrict[Dist],0),MATCH(M$2,DetailByDistrict[#Headers],0))*K864,2)</f>
        <v>285.08999999999997</v>
      </c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spans="1:26" ht="15.75" customHeight="1" x14ac:dyDescent="0.25">
      <c r="A865" s="53">
        <v>11</v>
      </c>
      <c r="B865" s="54" t="s">
        <v>1123</v>
      </c>
      <c r="C865" s="54" t="s">
        <v>842</v>
      </c>
      <c r="D865" s="53">
        <v>1737</v>
      </c>
      <c r="E865" s="53">
        <v>8507</v>
      </c>
      <c r="F865" s="54" t="s">
        <v>1137</v>
      </c>
      <c r="G865" s="53" t="s">
        <v>217</v>
      </c>
      <c r="H865" s="58" t="str">
        <f>_xlfn.IFNA(INDEX(ActiveSchools!$C$2:$F$326,MATCH(G865,ActiveSchools!$F$2:$F$326,0),1),"Total")</f>
        <v>5805</v>
      </c>
      <c r="I865" s="53">
        <v>10</v>
      </c>
      <c r="J865" s="59">
        <f>_xlfn.IFNA(INDEX(DetailByDistrict[],MATCH($H865,DetailByDistrict[Dist],0),MATCH(J$2,DetailByDistrict[#Headers],0)),0)</f>
        <v>75</v>
      </c>
      <c r="K865" s="54">
        <f t="shared" si="13"/>
        <v>0.13333333333333333</v>
      </c>
      <c r="L865" s="59">
        <f>ROUND(INDEX(DetailByDistrict[],MATCH($H865,DetailByDistrict[Dist],0),MATCH(L$2,DetailByDistrict[#Headers],0))*K865,2)</f>
        <v>648.66999999999996</v>
      </c>
      <c r="M865" s="59">
        <f>ROUND(INDEX(DetailByDistrict[],MATCH($H865,DetailByDistrict[Dist],0),MATCH(M$2,DetailByDistrict[#Headers],0))*K865,2)</f>
        <v>712.8</v>
      </c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spans="1:26" ht="15.75" customHeight="1" x14ac:dyDescent="0.25">
      <c r="A866" s="53">
        <v>11</v>
      </c>
      <c r="B866" s="54" t="s">
        <v>1123</v>
      </c>
      <c r="C866" s="54" t="s">
        <v>842</v>
      </c>
      <c r="D866" s="53">
        <v>1737</v>
      </c>
      <c r="E866" s="53">
        <v>8507</v>
      </c>
      <c r="F866" s="54" t="s">
        <v>1142</v>
      </c>
      <c r="G866" s="53" t="s">
        <v>218</v>
      </c>
      <c r="H866" s="58" t="str">
        <f>_xlfn.IFNA(INDEX(ActiveSchools!$C$2:$F$326,MATCH(G866,ActiveSchools!$F$2:$F$326,0),1),"Total")</f>
        <v>6101</v>
      </c>
      <c r="I866" s="53">
        <v>66</v>
      </c>
      <c r="J866" s="59">
        <f>_xlfn.IFNA(INDEX(DetailByDistrict[],MATCH($H866,DetailByDistrict[Dist],0),MATCH(J$2,DetailByDistrict[#Headers],0)),0)</f>
        <v>431</v>
      </c>
      <c r="K866" s="54">
        <f t="shared" si="13"/>
        <v>0.1531322505800464</v>
      </c>
      <c r="L866" s="59">
        <f>ROUND(INDEX(DetailByDistrict[],MATCH($H866,DetailByDistrict[Dist],0),MATCH(L$2,DetailByDistrict[#Headers],0))*K866,2)</f>
        <v>4280.8100000000004</v>
      </c>
      <c r="M866" s="59">
        <f>ROUND(INDEX(DetailByDistrict[],MATCH($H866,DetailByDistrict[Dist],0),MATCH(M$2,DetailByDistrict[#Headers],0))*K866,2)</f>
        <v>4704.53</v>
      </c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spans="1:26" ht="15.75" customHeight="1" x14ac:dyDescent="0.25">
      <c r="A867" s="53">
        <v>11</v>
      </c>
      <c r="B867" s="54" t="s">
        <v>1123</v>
      </c>
      <c r="C867" s="54" t="s">
        <v>842</v>
      </c>
      <c r="D867" s="53">
        <v>1737</v>
      </c>
      <c r="E867" s="53">
        <v>8507</v>
      </c>
      <c r="F867" s="54" t="s">
        <v>1145</v>
      </c>
      <c r="G867" s="53" t="s">
        <v>222</v>
      </c>
      <c r="H867" s="58" t="str">
        <f>_xlfn.IFNA(INDEX(ActiveSchools!$C$2:$F$326,MATCH(G867,ActiveSchools!$F$2:$F$326,0),1),"Total")</f>
        <v>6579</v>
      </c>
      <c r="I867" s="53">
        <v>9</v>
      </c>
      <c r="J867" s="59">
        <f>_xlfn.IFNA(INDEX(DetailByDistrict[],MATCH($H867,DetailByDistrict[Dist],0),MATCH(J$2,DetailByDistrict[#Headers],0)),0)</f>
        <v>484</v>
      </c>
      <c r="K867" s="54">
        <f t="shared" si="13"/>
        <v>1.859504132231405E-2</v>
      </c>
      <c r="L867" s="59">
        <f>ROUND(INDEX(DetailByDistrict[],MATCH($H867,DetailByDistrict[Dist],0),MATCH(L$2,DetailByDistrict[#Headers],0))*K867,2)</f>
        <v>583.74</v>
      </c>
      <c r="M867" s="59">
        <f>ROUND(INDEX(DetailByDistrict[],MATCH($H867,DetailByDistrict[Dist],0),MATCH(M$2,DetailByDistrict[#Headers],0))*K867,2)</f>
        <v>641.53</v>
      </c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spans="1:26" ht="15.75" customHeight="1" x14ac:dyDescent="0.25">
      <c r="A868" s="53">
        <v>11</v>
      </c>
      <c r="B868" s="54" t="s">
        <v>1123</v>
      </c>
      <c r="C868" s="54" t="s">
        <v>842</v>
      </c>
      <c r="D868" s="53">
        <v>1737</v>
      </c>
      <c r="E868" s="53">
        <v>8507</v>
      </c>
      <c r="F868" s="54" t="s">
        <v>1160</v>
      </c>
      <c r="G868" s="53" t="s">
        <v>223</v>
      </c>
      <c r="H868" s="58" t="str">
        <f>_xlfn.IFNA(INDEX(ActiveSchools!$C$2:$F$326,MATCH(G868,ActiveSchools!$F$2:$F$326,0),1),"Total")</f>
        <v>6615</v>
      </c>
      <c r="I868" s="53">
        <v>2</v>
      </c>
      <c r="J868" s="59">
        <f>_xlfn.IFNA(INDEX(DetailByDistrict[],MATCH($H868,DetailByDistrict[Dist],0),MATCH(J$2,DetailByDistrict[#Headers],0)),0)</f>
        <v>42</v>
      </c>
      <c r="K868" s="54">
        <f t="shared" si="13"/>
        <v>4.7619047619047616E-2</v>
      </c>
      <c r="L868" s="59">
        <f>ROUND(INDEX(DetailByDistrict[],MATCH($H868,DetailByDistrict[Dist],0),MATCH(L$2,DetailByDistrict[#Headers],0))*K868,2)</f>
        <v>129.71</v>
      </c>
      <c r="M868" s="59">
        <f>ROUND(INDEX(DetailByDistrict[],MATCH($H868,DetailByDistrict[Dist],0),MATCH(M$2,DetailByDistrict[#Headers],0))*K868,2)</f>
        <v>142.57</v>
      </c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spans="1:26" ht="15.75" customHeight="1" x14ac:dyDescent="0.25">
      <c r="A869" s="53">
        <v>11</v>
      </c>
      <c r="B869" s="54" t="s">
        <v>1123</v>
      </c>
      <c r="C869" s="54" t="s">
        <v>842</v>
      </c>
      <c r="D869" s="53">
        <v>1737</v>
      </c>
      <c r="E869" s="53">
        <v>8507</v>
      </c>
      <c r="F869" s="54" t="s">
        <v>1138</v>
      </c>
      <c r="G869" s="53" t="s">
        <v>224</v>
      </c>
      <c r="H869" s="58" t="str">
        <f>_xlfn.IFNA(INDEX(ActiveSchools!$C$2:$F$326,MATCH(G869,ActiveSchools!$F$2:$F$326,0),1),"Total")</f>
        <v>6822</v>
      </c>
      <c r="I869" s="53">
        <v>8</v>
      </c>
      <c r="J869" s="59">
        <f>_xlfn.IFNA(INDEX(DetailByDistrict[],MATCH($H869,DetailByDistrict[Dist],0),MATCH(J$2,DetailByDistrict[#Headers],0)),0)</f>
        <v>1399</v>
      </c>
      <c r="K869" s="54">
        <f t="shared" si="13"/>
        <v>5.7183702644746249E-3</v>
      </c>
      <c r="L869" s="59">
        <f>ROUND(INDEX(DetailByDistrict[],MATCH($H869,DetailByDistrict[Dist],0),MATCH(L$2,DetailByDistrict[#Headers],0))*K869,2)</f>
        <v>518.88</v>
      </c>
      <c r="M869" s="59">
        <f>ROUND(INDEX(DetailByDistrict[],MATCH($H869,DetailByDistrict[Dist],0),MATCH(M$2,DetailByDistrict[#Headers],0))*K869,2)</f>
        <v>570.24</v>
      </c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spans="1:26" ht="15.75" customHeight="1" x14ac:dyDescent="0.25">
      <c r="A870" s="53">
        <v>11</v>
      </c>
      <c r="B870" s="54" t="s">
        <v>1123</v>
      </c>
      <c r="C870" s="54" t="s">
        <v>842</v>
      </c>
      <c r="D870" s="53">
        <v>1737</v>
      </c>
      <c r="E870" s="53">
        <v>8507</v>
      </c>
      <c r="F870" s="54" t="s">
        <v>1139</v>
      </c>
      <c r="G870" s="53" t="s">
        <v>226</v>
      </c>
      <c r="H870" s="58" t="str">
        <f>_xlfn.IFNA(INDEX(ActiveSchools!$C$2:$F$326,MATCH(G870,ActiveSchools!$F$2:$F$326,0),1),"Total")</f>
        <v>6957</v>
      </c>
      <c r="I870" s="53">
        <v>7</v>
      </c>
      <c r="J870" s="59">
        <f>_xlfn.IFNA(INDEX(DetailByDistrict[],MATCH($H870,DetailByDistrict[Dist],0),MATCH(J$2,DetailByDistrict[#Headers],0)),0)</f>
        <v>1305</v>
      </c>
      <c r="K870" s="54">
        <f t="shared" si="13"/>
        <v>5.3639846743295016E-3</v>
      </c>
      <c r="L870" s="59">
        <f>ROUND(INDEX(DetailByDistrict[],MATCH($H870,DetailByDistrict[Dist],0),MATCH(L$2,DetailByDistrict[#Headers],0))*K870,2)</f>
        <v>454.02</v>
      </c>
      <c r="M870" s="59">
        <f>ROUND(INDEX(DetailByDistrict[],MATCH($H870,DetailByDistrict[Dist],0),MATCH(M$2,DetailByDistrict[#Headers],0))*K870,2)</f>
        <v>498.96</v>
      </c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spans="1:26" ht="15.75" customHeight="1" x14ac:dyDescent="0.25">
      <c r="A871" s="53">
        <v>11</v>
      </c>
      <c r="B871" s="54" t="s">
        <v>1123</v>
      </c>
      <c r="C871" s="54" t="s">
        <v>842</v>
      </c>
      <c r="D871" s="53">
        <v>1737</v>
      </c>
      <c r="E871" s="53">
        <v>8507</v>
      </c>
      <c r="F871" s="54" t="s">
        <v>1143</v>
      </c>
      <c r="G871" s="53" t="s">
        <v>228</v>
      </c>
      <c r="H871" s="58" t="str">
        <f>_xlfn.IFNA(INDEX(ActiveSchools!$C$2:$F$326,MATCH(G871,ActiveSchools!$F$2:$F$326,0),1),"Total")</f>
        <v>7110</v>
      </c>
      <c r="I871" s="53">
        <v>1</v>
      </c>
      <c r="J871" s="59">
        <f>_xlfn.IFNA(INDEX(DetailByDistrict[],MATCH($H871,DetailByDistrict[Dist],0),MATCH(J$2,DetailByDistrict[#Headers],0)),0)</f>
        <v>28</v>
      </c>
      <c r="K871" s="54">
        <f t="shared" si="13"/>
        <v>3.5714285714285712E-2</v>
      </c>
      <c r="L871" s="59">
        <f>ROUND(INDEX(DetailByDistrict[],MATCH($H871,DetailByDistrict[Dist],0),MATCH(L$2,DetailByDistrict[#Headers],0))*K871,2)</f>
        <v>64.86</v>
      </c>
      <c r="M871" s="59">
        <f>ROUND(INDEX(DetailByDistrict[],MATCH($H871,DetailByDistrict[Dist],0),MATCH(M$2,DetailByDistrict[#Headers],0))*K871,2)</f>
        <v>71.290000000000006</v>
      </c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spans="1:26" ht="15.75" customHeight="1" x14ac:dyDescent="0.25">
      <c r="A872" s="53">
        <v>11</v>
      </c>
      <c r="B872" s="54" t="s">
        <v>1123</v>
      </c>
      <c r="C872" s="54" t="s">
        <v>854</v>
      </c>
      <c r="D872" s="53">
        <v>2313</v>
      </c>
      <c r="E872" s="53">
        <v>8104</v>
      </c>
      <c r="F872" s="54" t="s">
        <v>1127</v>
      </c>
      <c r="G872" s="57" t="s">
        <v>183</v>
      </c>
      <c r="H872" s="58" t="str">
        <f>_xlfn.IFNA(INDEX(ActiveSchools!$C$2:$F$326,MATCH(G872,ActiveSchools!$F$2:$F$326,0),1),"Total")</f>
        <v>0729</v>
      </c>
      <c r="I872" s="53">
        <v>1</v>
      </c>
      <c r="J872" s="59">
        <f>_xlfn.IFNA(INDEX(DetailByDistrict[],MATCH($H872,DetailByDistrict[Dist],0),MATCH(J$2,DetailByDistrict[#Headers],0)),0)</f>
        <v>167</v>
      </c>
      <c r="K872" s="54">
        <f t="shared" si="13"/>
        <v>5.9880239520958087E-3</v>
      </c>
      <c r="L872" s="59">
        <f>ROUND(INDEX(DetailByDistrict[],MATCH($H872,DetailByDistrict[Dist],0),MATCH(L$2,DetailByDistrict[#Headers],0))*K872,2)</f>
        <v>64.86</v>
      </c>
      <c r="M872" s="59">
        <f>ROUND(INDEX(DetailByDistrict[],MATCH($H872,DetailByDistrict[Dist],0),MATCH(M$2,DetailByDistrict[#Headers],0))*K872,2)</f>
        <v>71.28</v>
      </c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spans="1:26" ht="15.75" customHeight="1" x14ac:dyDescent="0.25">
      <c r="A873" s="53">
        <v>11</v>
      </c>
      <c r="B873" s="54" t="s">
        <v>1123</v>
      </c>
      <c r="C873" s="54" t="s">
        <v>861</v>
      </c>
      <c r="D873" s="53">
        <v>2826</v>
      </c>
      <c r="E873" s="53">
        <v>8101</v>
      </c>
      <c r="F873" s="54" t="s">
        <v>1146</v>
      </c>
      <c r="G873" s="57" t="s">
        <v>179</v>
      </c>
      <c r="H873" s="58" t="str">
        <f>_xlfn.IFNA(INDEX(ActiveSchools!$C$2:$F$326,MATCH(G873,ActiveSchools!$F$2:$F$326,0),1),"Total")</f>
        <v>0414</v>
      </c>
      <c r="I873" s="53">
        <v>2</v>
      </c>
      <c r="J873" s="59">
        <f>_xlfn.IFNA(INDEX(DetailByDistrict[],MATCH($H873,DetailByDistrict[Dist],0),MATCH(J$2,DetailByDistrict[#Headers],0)),0)</f>
        <v>10</v>
      </c>
      <c r="K873" s="54">
        <f t="shared" si="13"/>
        <v>0.2</v>
      </c>
      <c r="L873" s="59">
        <f>ROUND(INDEX(DetailByDistrict[],MATCH($H873,DetailByDistrict[Dist],0),MATCH(L$2,DetailByDistrict[#Headers],0))*K873,2)</f>
        <v>129.80000000000001</v>
      </c>
      <c r="M873" s="59">
        <f>ROUND(INDEX(DetailByDistrict[],MATCH($H873,DetailByDistrict[Dist],0),MATCH(M$2,DetailByDistrict[#Headers],0))*K873,2)</f>
        <v>142.6</v>
      </c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spans="1:26" ht="15.75" customHeight="1" x14ac:dyDescent="0.25">
      <c r="A874" s="53">
        <v>11</v>
      </c>
      <c r="B874" s="54" t="s">
        <v>1123</v>
      </c>
      <c r="C874" s="54" t="s">
        <v>866</v>
      </c>
      <c r="D874" s="53">
        <v>3114</v>
      </c>
      <c r="E874" s="53">
        <v>8102</v>
      </c>
      <c r="F874" s="54" t="s">
        <v>1151</v>
      </c>
      <c r="G874" s="57" t="s">
        <v>184</v>
      </c>
      <c r="H874" s="58" t="str">
        <f>_xlfn.IFNA(INDEX(ActiveSchools!$C$2:$F$326,MATCH(G874,ActiveSchools!$F$2:$F$326,0),1),"Total")</f>
        <v>0981</v>
      </c>
      <c r="I874" s="53">
        <v>8</v>
      </c>
      <c r="J874" s="59">
        <f>_xlfn.IFNA(INDEX(DetailByDistrict[],MATCH($H874,DetailByDistrict[Dist],0),MATCH(J$2,DetailByDistrict[#Headers],0)),0)</f>
        <v>68</v>
      </c>
      <c r="K874" s="54">
        <f t="shared" si="13"/>
        <v>0.11764705882352941</v>
      </c>
      <c r="L874" s="59">
        <f>ROUND(INDEX(DetailByDistrict[],MATCH($H874,DetailByDistrict[Dist],0),MATCH(L$2,DetailByDistrict[#Headers],0))*K874,2)</f>
        <v>518.82000000000005</v>
      </c>
      <c r="M874" s="59">
        <f>ROUND(INDEX(DetailByDistrict[],MATCH($H874,DetailByDistrict[Dist],0),MATCH(M$2,DetailByDistrict[#Headers],0))*K874,2)</f>
        <v>570.24</v>
      </c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spans="1:26" ht="15.75" customHeight="1" x14ac:dyDescent="0.25">
      <c r="A875" s="53">
        <v>11</v>
      </c>
      <c r="B875" s="54" t="s">
        <v>1123</v>
      </c>
      <c r="C875" s="54" t="s">
        <v>866</v>
      </c>
      <c r="D875" s="53">
        <v>3114</v>
      </c>
      <c r="E875" s="53">
        <v>8102</v>
      </c>
      <c r="F875" s="54" t="s">
        <v>1134</v>
      </c>
      <c r="G875" s="53" t="s">
        <v>191</v>
      </c>
      <c r="H875" s="58" t="str">
        <f>_xlfn.IFNA(INDEX(ActiveSchools!$C$2:$F$326,MATCH(G875,ActiveSchools!$F$2:$F$326,0),1),"Total")</f>
        <v>1737</v>
      </c>
      <c r="I875" s="53">
        <v>5</v>
      </c>
      <c r="J875" s="59">
        <f>_xlfn.IFNA(INDEX(DetailByDistrict[],MATCH($H875,DetailByDistrict[Dist],0),MATCH(J$2,DetailByDistrict[#Headers],0)),0)</f>
        <v>2968</v>
      </c>
      <c r="K875" s="54">
        <f t="shared" si="13"/>
        <v>1.6846361185983828E-3</v>
      </c>
      <c r="L875" s="59">
        <f>ROUND(INDEX(DetailByDistrict[],MATCH($H875,DetailByDistrict[Dist],0),MATCH(L$2,DetailByDistrict[#Headers],0))*K875,2)</f>
        <v>324.3</v>
      </c>
      <c r="M875" s="59">
        <f>ROUND(INDEX(DetailByDistrict[],MATCH($H875,DetailByDistrict[Dist],0),MATCH(M$2,DetailByDistrict[#Headers],0))*K875,2)</f>
        <v>356.4</v>
      </c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spans="1:26" ht="15.75" customHeight="1" x14ac:dyDescent="0.25">
      <c r="A876" s="53">
        <v>11</v>
      </c>
      <c r="B876" s="54" t="s">
        <v>1123</v>
      </c>
      <c r="C876" s="54" t="s">
        <v>866</v>
      </c>
      <c r="D876" s="53">
        <v>3114</v>
      </c>
      <c r="E876" s="53">
        <v>8102</v>
      </c>
      <c r="F876" s="54" t="s">
        <v>1152</v>
      </c>
      <c r="G876" s="53" t="s">
        <v>197</v>
      </c>
      <c r="H876" s="58" t="str">
        <f>_xlfn.IFNA(INDEX(ActiveSchools!$C$2:$F$326,MATCH(G876,ActiveSchools!$F$2:$F$326,0),1),"Total")</f>
        <v>3114</v>
      </c>
      <c r="I876" s="53">
        <v>108</v>
      </c>
      <c r="J876" s="59">
        <f>_xlfn.IFNA(INDEX(DetailByDistrict[],MATCH($H876,DetailByDistrict[Dist],0),MATCH(J$2,DetailByDistrict[#Headers],0)),0)</f>
        <v>145</v>
      </c>
      <c r="K876" s="54">
        <f t="shared" si="13"/>
        <v>0.7448275862068966</v>
      </c>
      <c r="L876" s="59">
        <f>ROUND(INDEX(DetailByDistrict[],MATCH($H876,DetailByDistrict[Dist],0),MATCH(L$2,DetailByDistrict[#Headers],0))*K876,2)</f>
        <v>7005.1</v>
      </c>
      <c r="M876" s="59">
        <f>ROUND(INDEX(DetailByDistrict[],MATCH($H876,DetailByDistrict[Dist],0),MATCH(M$2,DetailByDistrict[#Headers],0))*K876,2)</f>
        <v>7698.54</v>
      </c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spans="1:26" ht="15.75" customHeight="1" x14ac:dyDescent="0.25">
      <c r="A877" s="53">
        <v>11</v>
      </c>
      <c r="B877" s="54" t="s">
        <v>1123</v>
      </c>
      <c r="C877" s="54" t="s">
        <v>866</v>
      </c>
      <c r="D877" s="53">
        <v>3114</v>
      </c>
      <c r="E877" s="53">
        <v>8102</v>
      </c>
      <c r="F877" s="54" t="s">
        <v>1162</v>
      </c>
      <c r="G877" s="53" t="s">
        <v>198</v>
      </c>
      <c r="H877" s="58" t="str">
        <f>_xlfn.IFNA(INDEX(ActiveSchools!$C$2:$F$326,MATCH(G877,ActiveSchools!$F$2:$F$326,0),1),"Total")</f>
        <v>3119</v>
      </c>
      <c r="I877" s="53">
        <v>7</v>
      </c>
      <c r="J877" s="59">
        <f>_xlfn.IFNA(INDEX(DetailByDistrict[],MATCH($H877,DetailByDistrict[Dist],0),MATCH(J$2,DetailByDistrict[#Headers],0)),0)</f>
        <v>16</v>
      </c>
      <c r="K877" s="54">
        <f t="shared" si="13"/>
        <v>0.4375</v>
      </c>
      <c r="L877" s="59">
        <f>ROUND(INDEX(DetailByDistrict[],MATCH($H877,DetailByDistrict[Dist],0),MATCH(L$2,DetailByDistrict[#Headers],0))*K877,2)</f>
        <v>454.13</v>
      </c>
      <c r="M877" s="59">
        <f>ROUND(INDEX(DetailByDistrict[],MATCH($H877,DetailByDistrict[Dist],0),MATCH(M$2,DetailByDistrict[#Headers],0))*K877,2)</f>
        <v>498.75</v>
      </c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spans="1:26" ht="15.75" customHeight="1" x14ac:dyDescent="0.25">
      <c r="A878" s="53">
        <v>11</v>
      </c>
      <c r="B878" s="54" t="s">
        <v>1123</v>
      </c>
      <c r="C878" s="54" t="s">
        <v>866</v>
      </c>
      <c r="D878" s="53">
        <v>3114</v>
      </c>
      <c r="E878" s="53">
        <v>8102</v>
      </c>
      <c r="F878" s="54" t="s">
        <v>1163</v>
      </c>
      <c r="G878" s="53" t="s">
        <v>204</v>
      </c>
      <c r="H878" s="58" t="str">
        <f>_xlfn.IFNA(INDEX(ActiveSchools!$C$2:$F$326,MATCH(G878,ActiveSchools!$F$2:$F$326,0),1),"Total")</f>
        <v>4212</v>
      </c>
      <c r="I878" s="53">
        <v>2</v>
      </c>
      <c r="J878" s="59">
        <f>_xlfn.IFNA(INDEX(DetailByDistrict[],MATCH($H878,DetailByDistrict[Dist],0),MATCH(J$2,DetailByDistrict[#Headers],0)),0)</f>
        <v>2</v>
      </c>
      <c r="K878" s="54">
        <f t="shared" si="13"/>
        <v>1</v>
      </c>
      <c r="L878" s="59">
        <f>ROUND(INDEX(DetailByDistrict[],MATCH($H878,DetailByDistrict[Dist],0),MATCH(L$2,DetailByDistrict[#Headers],0))*K878,2)</f>
        <v>130</v>
      </c>
      <c r="M878" s="59">
        <f>ROUND(INDEX(DetailByDistrict[],MATCH($H878,DetailByDistrict[Dist],0),MATCH(M$2,DetailByDistrict[#Headers],0))*K878,2)</f>
        <v>143</v>
      </c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spans="1:26" ht="15.75" customHeight="1" x14ac:dyDescent="0.25">
      <c r="A879" s="53">
        <v>11</v>
      </c>
      <c r="B879" s="54" t="s">
        <v>1123</v>
      </c>
      <c r="C879" s="54" t="s">
        <v>866</v>
      </c>
      <c r="D879" s="53">
        <v>3114</v>
      </c>
      <c r="E879" s="53">
        <v>8102</v>
      </c>
      <c r="F879" s="54" t="s">
        <v>1153</v>
      </c>
      <c r="G879" s="53" t="s">
        <v>208</v>
      </c>
      <c r="H879" s="58" t="str">
        <f>_xlfn.IFNA(INDEX(ActiveSchools!$C$2:$F$326,MATCH(G879,ActiveSchools!$F$2:$F$326,0),1),"Total")</f>
        <v>4797</v>
      </c>
      <c r="I879" s="53">
        <v>6</v>
      </c>
      <c r="J879" s="59">
        <f>_xlfn.IFNA(INDEX(DetailByDistrict[],MATCH($H879,DetailByDistrict[Dist],0),MATCH(J$2,DetailByDistrict[#Headers],0)),0)</f>
        <v>161</v>
      </c>
      <c r="K879" s="54">
        <f t="shared" si="13"/>
        <v>3.7267080745341616E-2</v>
      </c>
      <c r="L879" s="59">
        <f>ROUND(INDEX(DetailByDistrict[],MATCH($H879,DetailByDistrict[Dist],0),MATCH(L$2,DetailByDistrict[#Headers],0))*K879,2)</f>
        <v>389.14</v>
      </c>
      <c r="M879" s="59">
        <f>ROUND(INDEX(DetailByDistrict[],MATCH($H879,DetailByDistrict[Dist],0),MATCH(M$2,DetailByDistrict[#Headers],0))*K879,2)</f>
        <v>427.68</v>
      </c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spans="1:26" ht="15.75" customHeight="1" x14ac:dyDescent="0.25">
      <c r="A880" s="53">
        <v>11</v>
      </c>
      <c r="B880" s="54" t="s">
        <v>1123</v>
      </c>
      <c r="C880" s="54" t="s">
        <v>866</v>
      </c>
      <c r="D880" s="53">
        <v>3114</v>
      </c>
      <c r="E880" s="53">
        <v>8102</v>
      </c>
      <c r="F880" s="54" t="s">
        <v>1164</v>
      </c>
      <c r="G880" s="53" t="s">
        <v>219</v>
      </c>
      <c r="H880" s="58" t="str">
        <f>_xlfn.IFNA(INDEX(ActiveSchools!$C$2:$F$326,MATCH(G880,ActiveSchools!$F$2:$F$326,0),1),"Total")</f>
        <v>6094</v>
      </c>
      <c r="I880" s="53">
        <v>5</v>
      </c>
      <c r="J880" s="59">
        <f>_xlfn.IFNA(INDEX(DetailByDistrict[],MATCH($H880,DetailByDistrict[Dist],0),MATCH(J$2,DetailByDistrict[#Headers],0)),0)</f>
        <v>5</v>
      </c>
      <c r="K880" s="54">
        <f t="shared" si="13"/>
        <v>1</v>
      </c>
      <c r="L880" s="59">
        <f>ROUND(INDEX(DetailByDistrict[],MATCH($H880,DetailByDistrict[Dist],0),MATCH(L$2,DetailByDistrict[#Headers],0))*K880,2)</f>
        <v>324</v>
      </c>
      <c r="M880" s="59">
        <f>ROUND(INDEX(DetailByDistrict[],MATCH($H880,DetailByDistrict[Dist],0),MATCH(M$2,DetailByDistrict[#Headers],0))*K880,2)</f>
        <v>356</v>
      </c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spans="1:26" ht="15.75" customHeight="1" x14ac:dyDescent="0.25">
      <c r="A881" s="53">
        <v>11</v>
      </c>
      <c r="B881" s="54" t="s">
        <v>1123</v>
      </c>
      <c r="C881" s="54" t="s">
        <v>866</v>
      </c>
      <c r="D881" s="53">
        <v>3114</v>
      </c>
      <c r="E881" s="53">
        <v>8102</v>
      </c>
      <c r="F881" s="54" t="s">
        <v>1165</v>
      </c>
      <c r="G881" s="53" t="s">
        <v>227</v>
      </c>
      <c r="H881" s="58" t="str">
        <f>_xlfn.IFNA(INDEX(ActiveSchools!$C$2:$F$326,MATCH(G881,ActiveSchools!$F$2:$F$326,0),1),"Total")</f>
        <v>7056</v>
      </c>
      <c r="I881" s="53">
        <v>4</v>
      </c>
      <c r="J881" s="59">
        <f>_xlfn.IFNA(INDEX(DetailByDistrict[],MATCH($H881,DetailByDistrict[Dist],0),MATCH(J$2,DetailByDistrict[#Headers],0)),0)</f>
        <v>17</v>
      </c>
      <c r="K881" s="54">
        <f t="shared" si="13"/>
        <v>0.23529411764705882</v>
      </c>
      <c r="L881" s="59">
        <f>ROUND(INDEX(DetailByDistrict[],MATCH($H881,DetailByDistrict[Dist],0),MATCH(L$2,DetailByDistrict[#Headers],0))*K881,2)</f>
        <v>259.52999999999997</v>
      </c>
      <c r="M881" s="59">
        <f>ROUND(INDEX(DetailByDistrict[],MATCH($H881,DetailByDistrict[Dist],0),MATCH(M$2,DetailByDistrict[#Headers],0))*K881,2)</f>
        <v>285.18</v>
      </c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spans="1:26" ht="15.75" customHeight="1" x14ac:dyDescent="0.25">
      <c r="A882" s="53">
        <v>11</v>
      </c>
      <c r="B882" s="54" t="s">
        <v>1123</v>
      </c>
      <c r="C882" s="54" t="s">
        <v>867</v>
      </c>
      <c r="D882" s="53">
        <v>3114</v>
      </c>
      <c r="E882" s="53">
        <v>8165</v>
      </c>
      <c r="F882" s="54" t="s">
        <v>1157</v>
      </c>
      <c r="G882" s="53" t="s">
        <v>192</v>
      </c>
      <c r="H882" s="58" t="str">
        <f>_xlfn.IFNA(INDEX(ActiveSchools!$C$2:$F$326,MATCH(G882,ActiveSchools!$F$2:$F$326,0),1),"Total")</f>
        <v>1953</v>
      </c>
      <c r="I882" s="53">
        <v>2</v>
      </c>
      <c r="J882" s="59">
        <f>_xlfn.IFNA(INDEX(DetailByDistrict[],MATCH($H882,DetailByDistrict[Dist],0),MATCH(J$2,DetailByDistrict[#Headers],0)),0)</f>
        <v>7</v>
      </c>
      <c r="K882" s="54">
        <f t="shared" si="13"/>
        <v>0.2857142857142857</v>
      </c>
      <c r="L882" s="59">
        <f>ROUND(INDEX(DetailByDistrict[],MATCH($H882,DetailByDistrict[Dist],0),MATCH(L$2,DetailByDistrict[#Headers],0))*K882,2)</f>
        <v>129.71</v>
      </c>
      <c r="M882" s="59">
        <f>ROUND(INDEX(DetailByDistrict[],MATCH($H882,DetailByDistrict[Dist],0),MATCH(M$2,DetailByDistrict[#Headers],0))*K882,2)</f>
        <v>142.57</v>
      </c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spans="1:26" ht="15.75" customHeight="1" x14ac:dyDescent="0.25">
      <c r="A883" s="53">
        <v>11</v>
      </c>
      <c r="B883" s="54" t="s">
        <v>1123</v>
      </c>
      <c r="C883" s="54" t="s">
        <v>867</v>
      </c>
      <c r="D883" s="53">
        <v>3114</v>
      </c>
      <c r="E883" s="53">
        <v>8165</v>
      </c>
      <c r="F883" s="54" t="s">
        <v>1152</v>
      </c>
      <c r="G883" s="53" t="s">
        <v>197</v>
      </c>
      <c r="H883" s="58" t="str">
        <f>_xlfn.IFNA(INDEX(ActiveSchools!$C$2:$F$326,MATCH(G883,ActiveSchools!$F$2:$F$326,0),1),"Total")</f>
        <v>3114</v>
      </c>
      <c r="I883" s="53">
        <v>14</v>
      </c>
      <c r="J883" s="59">
        <f>_xlfn.IFNA(INDEX(DetailByDistrict[],MATCH($H883,DetailByDistrict[Dist],0),MATCH(J$2,DetailByDistrict[#Headers],0)),0)</f>
        <v>145</v>
      </c>
      <c r="K883" s="54">
        <f t="shared" si="13"/>
        <v>9.6551724137931033E-2</v>
      </c>
      <c r="L883" s="59">
        <f>ROUND(INDEX(DetailByDistrict[],MATCH($H883,DetailByDistrict[Dist],0),MATCH(L$2,DetailByDistrict[#Headers],0))*K883,2)</f>
        <v>908.07</v>
      </c>
      <c r="M883" s="59">
        <f>ROUND(INDEX(DetailByDistrict[],MATCH($H883,DetailByDistrict[Dist],0),MATCH(M$2,DetailByDistrict[#Headers],0))*K883,2)</f>
        <v>997.96</v>
      </c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spans="1:26" ht="15.75" customHeight="1" x14ac:dyDescent="0.25">
      <c r="A884" s="53">
        <v>11</v>
      </c>
      <c r="B884" s="54" t="s">
        <v>1123</v>
      </c>
      <c r="C884" s="54" t="s">
        <v>877</v>
      </c>
      <c r="D884" s="53">
        <v>3231</v>
      </c>
      <c r="E884" s="53">
        <v>8121</v>
      </c>
      <c r="F884" s="54" t="s">
        <v>1134</v>
      </c>
      <c r="G884" s="53" t="s">
        <v>191</v>
      </c>
      <c r="H884" s="58" t="str">
        <f>_xlfn.IFNA(INDEX(ActiveSchools!$C$2:$F$326,MATCH(G884,ActiveSchools!$F$2:$F$326,0),1),"Total")</f>
        <v>1737</v>
      </c>
      <c r="I884" s="53">
        <v>4</v>
      </c>
      <c r="J884" s="59">
        <f>_xlfn.IFNA(INDEX(DetailByDistrict[],MATCH($H884,DetailByDistrict[Dist],0),MATCH(J$2,DetailByDistrict[#Headers],0)),0)</f>
        <v>2968</v>
      </c>
      <c r="K884" s="54">
        <f t="shared" si="13"/>
        <v>1.3477088948787063E-3</v>
      </c>
      <c r="L884" s="59">
        <f>ROUND(INDEX(DetailByDistrict[],MATCH($H884,DetailByDistrict[Dist],0),MATCH(L$2,DetailByDistrict[#Headers],0))*K884,2)</f>
        <v>259.44</v>
      </c>
      <c r="M884" s="59">
        <f>ROUND(INDEX(DetailByDistrict[],MATCH($H884,DetailByDistrict[Dist],0),MATCH(M$2,DetailByDistrict[#Headers],0))*K884,2)</f>
        <v>285.12</v>
      </c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spans="1:26" ht="15.75" customHeight="1" x14ac:dyDescent="0.25">
      <c r="A885" s="53">
        <v>11</v>
      </c>
      <c r="B885" s="54" t="s">
        <v>1123</v>
      </c>
      <c r="C885" s="54" t="s">
        <v>877</v>
      </c>
      <c r="D885" s="53">
        <v>3231</v>
      </c>
      <c r="E885" s="53">
        <v>8121</v>
      </c>
      <c r="F885" s="54" t="s">
        <v>1135</v>
      </c>
      <c r="G885" s="53" t="s">
        <v>199</v>
      </c>
      <c r="H885" s="58" t="str">
        <f>_xlfn.IFNA(INDEX(ActiveSchools!$C$2:$F$326,MATCH(G885,ActiveSchools!$F$2:$F$326,0),1),"Total")</f>
        <v>3231</v>
      </c>
      <c r="I885" s="53">
        <v>3</v>
      </c>
      <c r="J885" s="59">
        <f>_xlfn.IFNA(INDEX(DetailByDistrict[],MATCH($H885,DetailByDistrict[Dist],0),MATCH(J$2,DetailByDistrict[#Headers],0)),0)</f>
        <v>509</v>
      </c>
      <c r="K885" s="54">
        <f t="shared" si="13"/>
        <v>5.893909626719057E-3</v>
      </c>
      <c r="L885" s="59">
        <f>ROUND(INDEX(DetailByDistrict[],MATCH($H885,DetailByDistrict[Dist],0),MATCH(L$2,DetailByDistrict[#Headers],0))*K885,2)</f>
        <v>194.58</v>
      </c>
      <c r="M885" s="59">
        <f>ROUND(INDEX(DetailByDistrict[],MATCH($H885,DetailByDistrict[Dist],0),MATCH(M$2,DetailByDistrict[#Headers],0))*K885,2)</f>
        <v>213.84</v>
      </c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spans="1:26" ht="15.75" customHeight="1" x14ac:dyDescent="0.25">
      <c r="A886" s="53">
        <v>11</v>
      </c>
      <c r="B886" s="54" t="s">
        <v>1123</v>
      </c>
      <c r="C886" s="54" t="s">
        <v>877</v>
      </c>
      <c r="D886" s="53">
        <v>3231</v>
      </c>
      <c r="E886" s="53">
        <v>8121</v>
      </c>
      <c r="F886" s="54" t="s">
        <v>1142</v>
      </c>
      <c r="G886" s="53" t="s">
        <v>218</v>
      </c>
      <c r="H886" s="58" t="str">
        <f>_xlfn.IFNA(INDEX(ActiveSchools!$C$2:$F$326,MATCH(G886,ActiveSchools!$F$2:$F$326,0),1),"Total")</f>
        <v>6101</v>
      </c>
      <c r="I886" s="53">
        <v>2</v>
      </c>
      <c r="J886" s="59">
        <f>_xlfn.IFNA(INDEX(DetailByDistrict[],MATCH($H886,DetailByDistrict[Dist],0),MATCH(J$2,DetailByDistrict[#Headers],0)),0)</f>
        <v>431</v>
      </c>
      <c r="K886" s="54">
        <f t="shared" si="13"/>
        <v>4.6403712296983757E-3</v>
      </c>
      <c r="L886" s="59">
        <f>ROUND(INDEX(DetailByDistrict[],MATCH($H886,DetailByDistrict[Dist],0),MATCH(L$2,DetailByDistrict[#Headers],0))*K886,2)</f>
        <v>129.72</v>
      </c>
      <c r="M886" s="59">
        <f>ROUND(INDEX(DetailByDistrict[],MATCH($H886,DetailByDistrict[Dist],0),MATCH(M$2,DetailByDistrict[#Headers],0))*K886,2)</f>
        <v>142.56</v>
      </c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spans="1:26" ht="15.75" customHeight="1" x14ac:dyDescent="0.25">
      <c r="A887" s="53">
        <v>11</v>
      </c>
      <c r="B887" s="54" t="s">
        <v>1123</v>
      </c>
      <c r="C887" s="54" t="s">
        <v>877</v>
      </c>
      <c r="D887" s="53">
        <v>3231</v>
      </c>
      <c r="E887" s="53">
        <v>8121</v>
      </c>
      <c r="F887" s="54" t="s">
        <v>1145</v>
      </c>
      <c r="G887" s="53" t="s">
        <v>222</v>
      </c>
      <c r="H887" s="58" t="str">
        <f>_xlfn.IFNA(INDEX(ActiveSchools!$C$2:$F$326,MATCH(G887,ActiveSchools!$F$2:$F$326,0),1),"Total")</f>
        <v>6579</v>
      </c>
      <c r="I887" s="53">
        <v>10</v>
      </c>
      <c r="J887" s="59">
        <f>_xlfn.IFNA(INDEX(DetailByDistrict[],MATCH($H887,DetailByDistrict[Dist],0),MATCH(J$2,DetailByDistrict[#Headers],0)),0)</f>
        <v>484</v>
      </c>
      <c r="K887" s="54">
        <f t="shared" si="13"/>
        <v>2.0661157024793389E-2</v>
      </c>
      <c r="L887" s="59">
        <f>ROUND(INDEX(DetailByDistrict[],MATCH($H887,DetailByDistrict[Dist],0),MATCH(L$2,DetailByDistrict[#Headers],0))*K887,2)</f>
        <v>648.6</v>
      </c>
      <c r="M887" s="59">
        <f>ROUND(INDEX(DetailByDistrict[],MATCH($H887,DetailByDistrict[Dist],0),MATCH(M$2,DetailByDistrict[#Headers],0))*K887,2)</f>
        <v>712.81</v>
      </c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spans="1:26" ht="15.75" customHeight="1" x14ac:dyDescent="0.25">
      <c r="A888" s="53">
        <v>11</v>
      </c>
      <c r="B888" s="54" t="s">
        <v>1123</v>
      </c>
      <c r="C888" s="54" t="s">
        <v>878</v>
      </c>
      <c r="D888" s="53">
        <v>3231</v>
      </c>
      <c r="E888" s="53">
        <v>8165</v>
      </c>
      <c r="F888" s="54" t="s">
        <v>1145</v>
      </c>
      <c r="G888" s="53" t="s">
        <v>222</v>
      </c>
      <c r="H888" s="58" t="str">
        <f>_xlfn.IFNA(INDEX(ActiveSchools!$C$2:$F$326,MATCH(G888,ActiveSchools!$F$2:$F$326,0),1),"Total")</f>
        <v>6579</v>
      </c>
      <c r="I888" s="53">
        <v>1</v>
      </c>
      <c r="J888" s="59">
        <f>_xlfn.IFNA(INDEX(DetailByDistrict[],MATCH($H888,DetailByDistrict[Dist],0),MATCH(J$2,DetailByDistrict[#Headers],0)),0)</f>
        <v>484</v>
      </c>
      <c r="K888" s="54">
        <f t="shared" si="13"/>
        <v>2.0661157024793389E-3</v>
      </c>
      <c r="L888" s="59">
        <f>ROUND(INDEX(DetailByDistrict[],MATCH($H888,DetailByDistrict[Dist],0),MATCH(L$2,DetailByDistrict[#Headers],0))*K888,2)</f>
        <v>64.86</v>
      </c>
      <c r="M888" s="59">
        <f>ROUND(INDEX(DetailByDistrict[],MATCH($H888,DetailByDistrict[Dist],0),MATCH(M$2,DetailByDistrict[#Headers],0))*K888,2)</f>
        <v>71.28</v>
      </c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spans="1:26" ht="15.75" customHeight="1" x14ac:dyDescent="0.25">
      <c r="A889" s="53">
        <v>11</v>
      </c>
      <c r="B889" s="54" t="s">
        <v>1123</v>
      </c>
      <c r="C889" s="54" t="s">
        <v>886</v>
      </c>
      <c r="D889" s="53">
        <v>3906</v>
      </c>
      <c r="E889" s="53">
        <v>8303</v>
      </c>
      <c r="F889" s="54" t="s">
        <v>1140</v>
      </c>
      <c r="G889" s="57" t="s">
        <v>182</v>
      </c>
      <c r="H889" s="58" t="str">
        <f>_xlfn.IFNA(INDEX(ActiveSchools!$C$2:$F$326,MATCH(G889,ActiveSchools!$F$2:$F$326,0),1),"Total")</f>
        <v>0720</v>
      </c>
      <c r="I889" s="53">
        <v>2</v>
      </c>
      <c r="J889" s="59">
        <f>_xlfn.IFNA(INDEX(DetailByDistrict[],MATCH($H889,DetailByDistrict[Dist],0),MATCH(J$2,DetailByDistrict[#Headers],0)),0)</f>
        <v>80</v>
      </c>
      <c r="K889" s="54">
        <f t="shared" si="13"/>
        <v>2.5000000000000001E-2</v>
      </c>
      <c r="L889" s="59">
        <f>ROUND(INDEX(DetailByDistrict[],MATCH($H889,DetailByDistrict[Dist],0),MATCH(L$2,DetailByDistrict[#Headers],0))*K889,2)</f>
        <v>129.72999999999999</v>
      </c>
      <c r="M889" s="59">
        <f>ROUND(INDEX(DetailByDistrict[],MATCH($H889,DetailByDistrict[Dist],0),MATCH(M$2,DetailByDistrict[#Headers],0))*K889,2)</f>
        <v>142.55000000000001</v>
      </c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spans="1:26" ht="15.75" customHeight="1" x14ac:dyDescent="0.25">
      <c r="A890" s="53">
        <v>11</v>
      </c>
      <c r="B890" s="54" t="s">
        <v>1123</v>
      </c>
      <c r="C890" s="54" t="s">
        <v>886</v>
      </c>
      <c r="D890" s="53">
        <v>3906</v>
      </c>
      <c r="E890" s="53">
        <v>8303</v>
      </c>
      <c r="F890" s="54" t="s">
        <v>1166</v>
      </c>
      <c r="G890" s="53" t="s">
        <v>201</v>
      </c>
      <c r="H890" s="58" t="str">
        <f>_xlfn.IFNA(INDEX(ActiveSchools!$C$2:$F$326,MATCH(G890,ActiveSchools!$F$2:$F$326,0),1),"Total")</f>
        <v>3906</v>
      </c>
      <c r="I890" s="53">
        <v>34</v>
      </c>
      <c r="J890" s="59">
        <f>_xlfn.IFNA(INDEX(DetailByDistrict[],MATCH($H890,DetailByDistrict[Dist],0),MATCH(J$2,DetailByDistrict[#Headers],0)),0)</f>
        <v>63</v>
      </c>
      <c r="K890" s="54">
        <f t="shared" si="13"/>
        <v>0.53968253968253965</v>
      </c>
      <c r="L890" s="59">
        <f>ROUND(INDEX(DetailByDistrict[],MATCH($H890,DetailByDistrict[Dist],0),MATCH(L$2,DetailByDistrict[#Headers],0))*K890,2)</f>
        <v>2205.14</v>
      </c>
      <c r="M890" s="59">
        <f>ROUND(INDEX(DetailByDistrict[],MATCH($H890,DetailByDistrict[Dist],0),MATCH(M$2,DetailByDistrict[#Headers],0))*K890,2)</f>
        <v>2423.71</v>
      </c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spans="1:26" ht="15.75" customHeight="1" x14ac:dyDescent="0.25">
      <c r="A891" s="53">
        <v>11</v>
      </c>
      <c r="B891" s="54" t="s">
        <v>1123</v>
      </c>
      <c r="C891" s="54" t="s">
        <v>886</v>
      </c>
      <c r="D891" s="53">
        <v>3906</v>
      </c>
      <c r="E891" s="53">
        <v>8303</v>
      </c>
      <c r="F891" s="54" t="s">
        <v>1141</v>
      </c>
      <c r="G891" s="53" t="s">
        <v>206</v>
      </c>
      <c r="H891" s="58" t="str">
        <f>_xlfn.IFNA(INDEX(ActiveSchools!$C$2:$F$326,MATCH(G891,ActiveSchools!$F$2:$F$326,0),1),"Total")</f>
        <v>4725</v>
      </c>
      <c r="I891" s="53">
        <v>6</v>
      </c>
      <c r="J891" s="59">
        <f>_xlfn.IFNA(INDEX(DetailByDistrict[],MATCH($H891,DetailByDistrict[Dist],0),MATCH(J$2,DetailByDistrict[#Headers],0)),0)</f>
        <v>115</v>
      </c>
      <c r="K891" s="54">
        <f t="shared" si="13"/>
        <v>5.2173913043478258E-2</v>
      </c>
      <c r="L891" s="59">
        <f>ROUND(INDEX(DetailByDistrict[],MATCH($H891,DetailByDistrict[Dist],0),MATCH(L$2,DetailByDistrict[#Headers],0))*K891,2)</f>
        <v>389.17</v>
      </c>
      <c r="M891" s="59">
        <f>ROUND(INDEX(DetailByDistrict[],MATCH($H891,DetailByDistrict[Dist],0),MATCH(M$2,DetailByDistrict[#Headers],0))*K891,2)</f>
        <v>427.67</v>
      </c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spans="1:26" ht="15.75" customHeight="1" x14ac:dyDescent="0.25">
      <c r="A892" s="53">
        <v>11</v>
      </c>
      <c r="B892" s="54" t="s">
        <v>1123</v>
      </c>
      <c r="C892" s="54" t="s">
        <v>901</v>
      </c>
      <c r="D892" s="53">
        <v>4725</v>
      </c>
      <c r="E892" s="53">
        <v>8301</v>
      </c>
      <c r="F892" s="54" t="s">
        <v>1158</v>
      </c>
      <c r="G892" s="57" t="s">
        <v>181</v>
      </c>
      <c r="H892" s="58" t="str">
        <f>_xlfn.IFNA(INDEX(ActiveSchools!$C$2:$F$326,MATCH(G892,ActiveSchools!$F$2:$F$326,0),1),"Total")</f>
        <v>0513</v>
      </c>
      <c r="I892" s="53">
        <v>1</v>
      </c>
      <c r="J892" s="59">
        <f>_xlfn.IFNA(INDEX(DetailByDistrict[],MATCH($H892,DetailByDistrict[Dist],0),MATCH(J$2,DetailByDistrict[#Headers],0)),0)</f>
        <v>8</v>
      </c>
      <c r="K892" s="54">
        <f t="shared" si="13"/>
        <v>0.125</v>
      </c>
      <c r="L892" s="59">
        <f>ROUND(INDEX(DetailByDistrict[],MATCH($H892,DetailByDistrict[Dist],0),MATCH(L$2,DetailByDistrict[#Headers],0))*K892,2)</f>
        <v>64.88</v>
      </c>
      <c r="M892" s="59">
        <f>ROUND(INDEX(DetailByDistrict[],MATCH($H892,DetailByDistrict[Dist],0),MATCH(M$2,DetailByDistrict[#Headers],0))*K892,2)</f>
        <v>71.25</v>
      </c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spans="1:26" ht="15.75" customHeight="1" x14ac:dyDescent="0.25">
      <c r="A893" s="53">
        <v>11</v>
      </c>
      <c r="B893" s="54" t="s">
        <v>1123</v>
      </c>
      <c r="C893" s="54" t="s">
        <v>901</v>
      </c>
      <c r="D893" s="53">
        <v>4725</v>
      </c>
      <c r="E893" s="53">
        <v>8301</v>
      </c>
      <c r="F893" s="54" t="s">
        <v>1141</v>
      </c>
      <c r="G893" s="53" t="s">
        <v>206</v>
      </c>
      <c r="H893" s="58" t="str">
        <f>_xlfn.IFNA(INDEX(ActiveSchools!$C$2:$F$326,MATCH(G893,ActiveSchools!$F$2:$F$326,0),1),"Total")</f>
        <v>4725</v>
      </c>
      <c r="I893" s="53">
        <v>82</v>
      </c>
      <c r="J893" s="59">
        <f>_xlfn.IFNA(INDEX(DetailByDistrict[],MATCH($H893,DetailByDistrict[Dist],0),MATCH(J$2,DetailByDistrict[#Headers],0)),0)</f>
        <v>115</v>
      </c>
      <c r="K893" s="54">
        <f t="shared" si="13"/>
        <v>0.71304347826086956</v>
      </c>
      <c r="L893" s="59">
        <f>ROUND(INDEX(DetailByDistrict[],MATCH($H893,DetailByDistrict[Dist],0),MATCH(L$2,DetailByDistrict[#Headers],0))*K893,2)</f>
        <v>5318.59</v>
      </c>
      <c r="M893" s="59">
        <f>ROUND(INDEX(DetailByDistrict[],MATCH($H893,DetailByDistrict[Dist],0),MATCH(M$2,DetailByDistrict[#Headers],0))*K893,2)</f>
        <v>5844.82</v>
      </c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spans="1:26" ht="15.75" customHeight="1" x14ac:dyDescent="0.25">
      <c r="A894" s="53">
        <v>11</v>
      </c>
      <c r="B894" s="54" t="s">
        <v>1123</v>
      </c>
      <c r="C894" s="54" t="s">
        <v>902</v>
      </c>
      <c r="D894" s="53">
        <v>4797</v>
      </c>
      <c r="E894" s="53">
        <v>8106</v>
      </c>
      <c r="F894" s="54" t="s">
        <v>1134</v>
      </c>
      <c r="G894" s="53" t="s">
        <v>191</v>
      </c>
      <c r="H894" s="58" t="str">
        <f>_xlfn.IFNA(INDEX(ActiveSchools!$C$2:$F$326,MATCH(G894,ActiveSchools!$F$2:$F$326,0),1),"Total")</f>
        <v>1737</v>
      </c>
      <c r="I894" s="53">
        <v>5</v>
      </c>
      <c r="J894" s="59">
        <f>_xlfn.IFNA(INDEX(DetailByDistrict[],MATCH($H894,DetailByDistrict[Dist],0),MATCH(J$2,DetailByDistrict[#Headers],0)),0)</f>
        <v>2968</v>
      </c>
      <c r="K894" s="54">
        <f t="shared" si="13"/>
        <v>1.6846361185983828E-3</v>
      </c>
      <c r="L894" s="59">
        <f>ROUND(INDEX(DetailByDistrict[],MATCH($H894,DetailByDistrict[Dist],0),MATCH(L$2,DetailByDistrict[#Headers],0))*K894,2)</f>
        <v>324.3</v>
      </c>
      <c r="M894" s="59">
        <f>ROUND(INDEX(DetailByDistrict[],MATCH($H894,DetailByDistrict[Dist],0),MATCH(M$2,DetailByDistrict[#Headers],0))*K894,2)</f>
        <v>356.4</v>
      </c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spans="1:26" ht="15.75" customHeight="1" x14ac:dyDescent="0.25">
      <c r="A895" s="53">
        <v>11</v>
      </c>
      <c r="B895" s="54" t="s">
        <v>1123</v>
      </c>
      <c r="C895" s="54" t="s">
        <v>902</v>
      </c>
      <c r="D895" s="53">
        <v>4797</v>
      </c>
      <c r="E895" s="53">
        <v>8106</v>
      </c>
      <c r="F895" s="54" t="s">
        <v>1153</v>
      </c>
      <c r="G895" s="53" t="s">
        <v>208</v>
      </c>
      <c r="H895" s="58" t="str">
        <f>_xlfn.IFNA(INDEX(ActiveSchools!$C$2:$F$326,MATCH(G895,ActiveSchools!$F$2:$F$326,0),1),"Total")</f>
        <v>4797</v>
      </c>
      <c r="I895" s="53">
        <v>15</v>
      </c>
      <c r="J895" s="59">
        <f>_xlfn.IFNA(INDEX(DetailByDistrict[],MATCH($H895,DetailByDistrict[Dist],0),MATCH(J$2,DetailByDistrict[#Headers],0)),0)</f>
        <v>161</v>
      </c>
      <c r="K895" s="54">
        <f t="shared" si="13"/>
        <v>9.3167701863354033E-2</v>
      </c>
      <c r="L895" s="59">
        <f>ROUND(INDEX(DetailByDistrict[],MATCH($H895,DetailByDistrict[Dist],0),MATCH(L$2,DetailByDistrict[#Headers],0))*K895,2)</f>
        <v>972.86</v>
      </c>
      <c r="M895" s="59">
        <f>ROUND(INDEX(DetailByDistrict[],MATCH($H895,DetailByDistrict[Dist],0),MATCH(M$2,DetailByDistrict[#Headers],0))*K895,2)</f>
        <v>1069.19</v>
      </c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spans="1:26" ht="15.75" customHeight="1" x14ac:dyDescent="0.25">
      <c r="A896" s="53">
        <v>11</v>
      </c>
      <c r="B896" s="54" t="s">
        <v>1123</v>
      </c>
      <c r="C896" s="54" t="s">
        <v>902</v>
      </c>
      <c r="D896" s="53">
        <v>4797</v>
      </c>
      <c r="E896" s="53">
        <v>8106</v>
      </c>
      <c r="F896" s="54" t="s">
        <v>1138</v>
      </c>
      <c r="G896" s="53" t="s">
        <v>224</v>
      </c>
      <c r="H896" s="58" t="str">
        <f>_xlfn.IFNA(INDEX(ActiveSchools!$C$2:$F$326,MATCH(G896,ActiveSchools!$F$2:$F$326,0),1),"Total")</f>
        <v>6822</v>
      </c>
      <c r="I896" s="53">
        <v>1</v>
      </c>
      <c r="J896" s="59">
        <f>_xlfn.IFNA(INDEX(DetailByDistrict[],MATCH($H896,DetailByDistrict[Dist],0),MATCH(J$2,DetailByDistrict[#Headers],0)),0)</f>
        <v>1399</v>
      </c>
      <c r="K896" s="54">
        <f t="shared" si="13"/>
        <v>7.1479628305932811E-4</v>
      </c>
      <c r="L896" s="59">
        <f>ROUND(INDEX(DetailByDistrict[],MATCH($H896,DetailByDistrict[Dist],0),MATCH(L$2,DetailByDistrict[#Headers],0))*K896,2)</f>
        <v>64.86</v>
      </c>
      <c r="M896" s="59">
        <f>ROUND(INDEX(DetailByDistrict[],MATCH($H896,DetailByDistrict[Dist],0),MATCH(M$2,DetailByDistrict[#Headers],0))*K896,2)</f>
        <v>71.28</v>
      </c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spans="1:26" ht="15.75" customHeight="1" x14ac:dyDescent="0.25">
      <c r="A897" s="53">
        <v>11</v>
      </c>
      <c r="B897" s="54" t="s">
        <v>1123</v>
      </c>
      <c r="C897" s="54" t="s">
        <v>902</v>
      </c>
      <c r="D897" s="53">
        <v>4797</v>
      </c>
      <c r="E897" s="53">
        <v>8106</v>
      </c>
      <c r="F897" s="54" t="s">
        <v>1165</v>
      </c>
      <c r="G897" s="53" t="s">
        <v>227</v>
      </c>
      <c r="H897" s="58" t="str">
        <f>_xlfn.IFNA(INDEX(ActiveSchools!$C$2:$F$326,MATCH(G897,ActiveSchools!$F$2:$F$326,0),1),"Total")</f>
        <v>7056</v>
      </c>
      <c r="I897" s="53">
        <v>1</v>
      </c>
      <c r="J897" s="59">
        <f>_xlfn.IFNA(INDEX(DetailByDistrict[],MATCH($H897,DetailByDistrict[Dist],0),MATCH(J$2,DetailByDistrict[#Headers],0)),0)</f>
        <v>17</v>
      </c>
      <c r="K897" s="54">
        <f t="shared" si="13"/>
        <v>5.8823529411764705E-2</v>
      </c>
      <c r="L897" s="59">
        <f>ROUND(INDEX(DetailByDistrict[],MATCH($H897,DetailByDistrict[Dist],0),MATCH(L$2,DetailByDistrict[#Headers],0))*K897,2)</f>
        <v>64.88</v>
      </c>
      <c r="M897" s="59">
        <f>ROUND(INDEX(DetailByDistrict[],MATCH($H897,DetailByDistrict[Dist],0),MATCH(M$2,DetailByDistrict[#Headers],0))*K897,2)</f>
        <v>71.290000000000006</v>
      </c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spans="1:26" ht="15.75" customHeight="1" x14ac:dyDescent="0.25">
      <c r="A898" s="53">
        <v>11</v>
      </c>
      <c r="B898" s="54" t="s">
        <v>1123</v>
      </c>
      <c r="C898" s="54" t="s">
        <v>903</v>
      </c>
      <c r="D898" s="53">
        <v>4797</v>
      </c>
      <c r="E898" s="53">
        <v>8121</v>
      </c>
      <c r="F898" s="54" t="s">
        <v>1151</v>
      </c>
      <c r="G898" s="57" t="s">
        <v>184</v>
      </c>
      <c r="H898" s="58" t="str">
        <f>_xlfn.IFNA(INDEX(ActiveSchools!$C$2:$F$326,MATCH(G898,ActiveSchools!$F$2:$F$326,0),1),"Total")</f>
        <v>0981</v>
      </c>
      <c r="I898" s="53">
        <v>2</v>
      </c>
      <c r="J898" s="59">
        <f>_xlfn.IFNA(INDEX(DetailByDistrict[],MATCH($H898,DetailByDistrict[Dist],0),MATCH(J$2,DetailByDistrict[#Headers],0)),0)</f>
        <v>68</v>
      </c>
      <c r="K898" s="54">
        <f t="shared" si="13"/>
        <v>2.9411764705882353E-2</v>
      </c>
      <c r="L898" s="59">
        <f>ROUND(INDEX(DetailByDistrict[],MATCH($H898,DetailByDistrict[Dist],0),MATCH(L$2,DetailByDistrict[#Headers],0))*K898,2)</f>
        <v>129.71</v>
      </c>
      <c r="M898" s="59">
        <f>ROUND(INDEX(DetailByDistrict[],MATCH($H898,DetailByDistrict[Dist],0),MATCH(M$2,DetailByDistrict[#Headers],0))*K898,2)</f>
        <v>142.56</v>
      </c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spans="1:26" ht="15.75" customHeight="1" x14ac:dyDescent="0.25">
      <c r="A899" s="53">
        <v>11</v>
      </c>
      <c r="B899" s="54" t="s">
        <v>1123</v>
      </c>
      <c r="C899" s="54" t="s">
        <v>903</v>
      </c>
      <c r="D899" s="53">
        <v>4797</v>
      </c>
      <c r="E899" s="53">
        <v>8121</v>
      </c>
      <c r="F899" s="54" t="s">
        <v>1134</v>
      </c>
      <c r="G899" s="53" t="s">
        <v>191</v>
      </c>
      <c r="H899" s="58" t="str">
        <f>_xlfn.IFNA(INDEX(ActiveSchools!$C$2:$F$326,MATCH(G899,ActiveSchools!$F$2:$F$326,0),1),"Total")</f>
        <v>1737</v>
      </c>
      <c r="I899" s="53">
        <v>2</v>
      </c>
      <c r="J899" s="59">
        <f>_xlfn.IFNA(INDEX(DetailByDistrict[],MATCH($H899,DetailByDistrict[Dist],0),MATCH(J$2,DetailByDistrict[#Headers],0)),0)</f>
        <v>2968</v>
      </c>
      <c r="K899" s="54">
        <f t="shared" si="13"/>
        <v>6.7385444743935314E-4</v>
      </c>
      <c r="L899" s="59">
        <f>ROUND(INDEX(DetailByDistrict[],MATCH($H899,DetailByDistrict[Dist],0),MATCH(L$2,DetailByDistrict[#Headers],0))*K899,2)</f>
        <v>129.72</v>
      </c>
      <c r="M899" s="59">
        <f>ROUND(INDEX(DetailByDistrict[],MATCH($H899,DetailByDistrict[Dist],0),MATCH(M$2,DetailByDistrict[#Headers],0))*K899,2)</f>
        <v>142.56</v>
      </c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spans="1:26" ht="15.75" customHeight="1" x14ac:dyDescent="0.25">
      <c r="A900" s="53">
        <v>11</v>
      </c>
      <c r="B900" s="54" t="s">
        <v>1123</v>
      </c>
      <c r="C900" s="54" t="s">
        <v>903</v>
      </c>
      <c r="D900" s="53">
        <v>4797</v>
      </c>
      <c r="E900" s="53">
        <v>8121</v>
      </c>
      <c r="F900" s="54" t="s">
        <v>1153</v>
      </c>
      <c r="G900" s="53" t="s">
        <v>208</v>
      </c>
      <c r="H900" s="58" t="str">
        <f>_xlfn.IFNA(INDEX(ActiveSchools!$C$2:$F$326,MATCH(G900,ActiveSchools!$F$2:$F$326,0),1),"Total")</f>
        <v>4797</v>
      </c>
      <c r="I900" s="53">
        <v>6</v>
      </c>
      <c r="J900" s="59">
        <f>_xlfn.IFNA(INDEX(DetailByDistrict[],MATCH($H900,DetailByDistrict[Dist],0),MATCH(J$2,DetailByDistrict[#Headers],0)),0)</f>
        <v>161</v>
      </c>
      <c r="K900" s="54">
        <f t="shared" ref="K900:K963" si="14">I900/J900</f>
        <v>3.7267080745341616E-2</v>
      </c>
      <c r="L900" s="59">
        <f>ROUND(INDEX(DetailByDistrict[],MATCH($H900,DetailByDistrict[Dist],0),MATCH(L$2,DetailByDistrict[#Headers],0))*K900,2)</f>
        <v>389.14</v>
      </c>
      <c r="M900" s="59">
        <f>ROUND(INDEX(DetailByDistrict[],MATCH($H900,DetailByDistrict[Dist],0),MATCH(M$2,DetailByDistrict[#Headers],0))*K900,2)</f>
        <v>427.68</v>
      </c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spans="1:26" ht="15.75" customHeight="1" x14ac:dyDescent="0.25">
      <c r="A901" s="53">
        <v>11</v>
      </c>
      <c r="B901" s="54" t="s">
        <v>1123</v>
      </c>
      <c r="C901" s="54" t="s">
        <v>903</v>
      </c>
      <c r="D901" s="53">
        <v>4797</v>
      </c>
      <c r="E901" s="53">
        <v>8121</v>
      </c>
      <c r="F901" s="54" t="s">
        <v>1139</v>
      </c>
      <c r="G901" s="53" t="s">
        <v>226</v>
      </c>
      <c r="H901" s="58" t="str">
        <f>_xlfn.IFNA(INDEX(ActiveSchools!$C$2:$F$326,MATCH(G901,ActiveSchools!$F$2:$F$326,0),1),"Total")</f>
        <v>6957</v>
      </c>
      <c r="I901" s="53">
        <v>3</v>
      </c>
      <c r="J901" s="59">
        <f>_xlfn.IFNA(INDEX(DetailByDistrict[],MATCH($H901,DetailByDistrict[Dist],0),MATCH(J$2,DetailByDistrict[#Headers],0)),0)</f>
        <v>1305</v>
      </c>
      <c r="K901" s="54">
        <f t="shared" si="14"/>
        <v>2.2988505747126436E-3</v>
      </c>
      <c r="L901" s="59">
        <f>ROUND(INDEX(DetailByDistrict[],MATCH($H901,DetailByDistrict[Dist],0),MATCH(L$2,DetailByDistrict[#Headers],0))*K901,2)</f>
        <v>194.58</v>
      </c>
      <c r="M901" s="59">
        <f>ROUND(INDEX(DetailByDistrict[],MATCH($H901,DetailByDistrict[Dist],0),MATCH(M$2,DetailByDistrict[#Headers],0))*K901,2)</f>
        <v>213.84</v>
      </c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spans="1:26" ht="15.75" customHeight="1" x14ac:dyDescent="0.25">
      <c r="A902" s="53">
        <v>11</v>
      </c>
      <c r="B902" s="54" t="s">
        <v>1123</v>
      </c>
      <c r="C902" s="54" t="s">
        <v>904</v>
      </c>
      <c r="D902" s="53">
        <v>5013</v>
      </c>
      <c r="E902" s="53">
        <v>8301</v>
      </c>
      <c r="F902" s="54" t="s">
        <v>1167</v>
      </c>
      <c r="G902" s="53" t="s">
        <v>213</v>
      </c>
      <c r="H902" s="58" t="str">
        <f>_xlfn.IFNA(INDEX(ActiveSchools!$C$2:$F$326,MATCH(G902,ActiveSchools!$F$2:$F$326,0),1),"Total")</f>
        <v>5166</v>
      </c>
      <c r="I902" s="53">
        <v>6</v>
      </c>
      <c r="J902" s="59">
        <f>_xlfn.IFNA(INDEX(DetailByDistrict[],MATCH($H902,DetailByDistrict[Dist],0),MATCH(J$2,DetailByDistrict[#Headers],0)),0)</f>
        <v>638</v>
      </c>
      <c r="K902" s="54">
        <f t="shared" si="14"/>
        <v>9.4043887147335428E-3</v>
      </c>
      <c r="L902" s="59">
        <f>ROUND(INDEX(DetailByDistrict[],MATCH($H902,DetailByDistrict[Dist],0),MATCH(L$2,DetailByDistrict[#Headers],0))*K902,2)</f>
        <v>389.16</v>
      </c>
      <c r="M902" s="59">
        <f>ROUND(INDEX(DetailByDistrict[],MATCH($H902,DetailByDistrict[Dist],0),MATCH(M$2,DetailByDistrict[#Headers],0))*K902,2)</f>
        <v>427.68</v>
      </c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spans="1:26" ht="15.75" customHeight="1" x14ac:dyDescent="0.25">
      <c r="A903" s="53">
        <v>11</v>
      </c>
      <c r="B903" s="54" t="s">
        <v>1123</v>
      </c>
      <c r="C903" s="54" t="s">
        <v>904</v>
      </c>
      <c r="D903" s="53">
        <v>5013</v>
      </c>
      <c r="E903" s="53">
        <v>8301</v>
      </c>
      <c r="F903" s="54" t="s">
        <v>1168</v>
      </c>
      <c r="G903" s="53" t="s">
        <v>220</v>
      </c>
      <c r="H903" s="58" t="str">
        <f>_xlfn.IFNA(INDEX(ActiveSchools!$C$2:$F$326,MATCH(G903,ActiveSchools!$F$2:$F$326,0),1),"Total")</f>
        <v>6512</v>
      </c>
      <c r="I903" s="53">
        <v>6</v>
      </c>
      <c r="J903" s="59">
        <f>_xlfn.IFNA(INDEX(DetailByDistrict[],MATCH($H903,DetailByDistrict[Dist],0),MATCH(J$2,DetailByDistrict[#Headers],0)),0)</f>
        <v>15</v>
      </c>
      <c r="K903" s="54">
        <f t="shared" si="14"/>
        <v>0.4</v>
      </c>
      <c r="L903" s="59">
        <f>ROUND(INDEX(DetailByDistrict[],MATCH($H903,DetailByDistrict[Dist],0),MATCH(L$2,DetailByDistrict[#Headers],0))*K903,2)</f>
        <v>389.2</v>
      </c>
      <c r="M903" s="59">
        <f>ROUND(INDEX(DetailByDistrict[],MATCH($H903,DetailByDistrict[Dist],0),MATCH(M$2,DetailByDistrict[#Headers],0))*K903,2)</f>
        <v>427.6</v>
      </c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spans="1:26" ht="15.75" customHeight="1" x14ac:dyDescent="0.25">
      <c r="A904" s="53">
        <v>11</v>
      </c>
      <c r="B904" s="54" t="s">
        <v>1123</v>
      </c>
      <c r="C904" s="54" t="s">
        <v>908</v>
      </c>
      <c r="D904" s="53">
        <v>5166</v>
      </c>
      <c r="E904" s="53">
        <v>8301</v>
      </c>
      <c r="F904" s="54" t="s">
        <v>1158</v>
      </c>
      <c r="G904" s="57" t="s">
        <v>181</v>
      </c>
      <c r="H904" s="58" t="str">
        <f>_xlfn.IFNA(INDEX(ActiveSchools!$C$2:$F$326,MATCH(G904,ActiveSchools!$F$2:$F$326,0),1),"Total")</f>
        <v>0513</v>
      </c>
      <c r="I904" s="53">
        <v>2</v>
      </c>
      <c r="J904" s="59">
        <f>_xlfn.IFNA(INDEX(DetailByDistrict[],MATCH($H904,DetailByDistrict[Dist],0),MATCH(J$2,DetailByDistrict[#Headers],0)),0)</f>
        <v>8</v>
      </c>
      <c r="K904" s="54">
        <f t="shared" si="14"/>
        <v>0.25</v>
      </c>
      <c r="L904" s="59">
        <f>ROUND(INDEX(DetailByDistrict[],MATCH($H904,DetailByDistrict[Dist],0),MATCH(L$2,DetailByDistrict[#Headers],0))*K904,2)</f>
        <v>129.75</v>
      </c>
      <c r="M904" s="59">
        <f>ROUND(INDEX(DetailByDistrict[],MATCH($H904,DetailByDistrict[Dist],0),MATCH(M$2,DetailByDistrict[#Headers],0))*K904,2)</f>
        <v>142.5</v>
      </c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spans="1:26" ht="15.75" customHeight="1" x14ac:dyDescent="0.25">
      <c r="A905" s="53">
        <v>11</v>
      </c>
      <c r="B905" s="54" t="s">
        <v>1123</v>
      </c>
      <c r="C905" s="54" t="s">
        <v>908</v>
      </c>
      <c r="D905" s="53">
        <v>5166</v>
      </c>
      <c r="E905" s="53">
        <v>8301</v>
      </c>
      <c r="F905" s="54" t="s">
        <v>1150</v>
      </c>
      <c r="G905" s="53" t="s">
        <v>186</v>
      </c>
      <c r="H905" s="58" t="str">
        <f>_xlfn.IFNA(INDEX(ActiveSchools!$C$2:$F$326,MATCH(G905,ActiveSchools!$F$2:$F$326,0),1),"Total")</f>
        <v>1332</v>
      </c>
      <c r="I905" s="53">
        <v>1</v>
      </c>
      <c r="J905" s="59">
        <f>_xlfn.IFNA(INDEX(DetailByDistrict[],MATCH($H905,DetailByDistrict[Dist],0),MATCH(J$2,DetailByDistrict[#Headers],0)),0)</f>
        <v>11</v>
      </c>
      <c r="K905" s="54">
        <f t="shared" si="14"/>
        <v>9.0909090909090912E-2</v>
      </c>
      <c r="L905" s="59">
        <f>ROUND(INDEX(DetailByDistrict[],MATCH($H905,DetailByDistrict[Dist],0),MATCH(L$2,DetailByDistrict[#Headers],0))*K905,2)</f>
        <v>64.819999999999993</v>
      </c>
      <c r="M905" s="59">
        <f>ROUND(INDEX(DetailByDistrict[],MATCH($H905,DetailByDistrict[Dist],0),MATCH(M$2,DetailByDistrict[#Headers],0))*K905,2)</f>
        <v>71.27</v>
      </c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spans="1:26" ht="15.75" customHeight="1" x14ac:dyDescent="0.25">
      <c r="A906" s="53">
        <v>11</v>
      </c>
      <c r="B906" s="54" t="s">
        <v>1123</v>
      </c>
      <c r="C906" s="54" t="s">
        <v>908</v>
      </c>
      <c r="D906" s="53">
        <v>5166</v>
      </c>
      <c r="E906" s="53">
        <v>8301</v>
      </c>
      <c r="F906" s="54" t="s">
        <v>1152</v>
      </c>
      <c r="G906" s="53" t="s">
        <v>197</v>
      </c>
      <c r="H906" s="58" t="str">
        <f>_xlfn.IFNA(INDEX(ActiveSchools!$C$2:$F$326,MATCH(G906,ActiveSchools!$F$2:$F$326,0),1),"Total")</f>
        <v>3114</v>
      </c>
      <c r="I906" s="53">
        <v>1</v>
      </c>
      <c r="J906" s="59">
        <f>_xlfn.IFNA(INDEX(DetailByDistrict[],MATCH($H906,DetailByDistrict[Dist],0),MATCH(J$2,DetailByDistrict[#Headers],0)),0)</f>
        <v>145</v>
      </c>
      <c r="K906" s="54">
        <f t="shared" si="14"/>
        <v>6.8965517241379309E-3</v>
      </c>
      <c r="L906" s="59">
        <f>ROUND(INDEX(DetailByDistrict[],MATCH($H906,DetailByDistrict[Dist],0),MATCH(L$2,DetailByDistrict[#Headers],0))*K906,2)</f>
        <v>64.86</v>
      </c>
      <c r="M906" s="59">
        <f>ROUND(INDEX(DetailByDistrict[],MATCH($H906,DetailByDistrict[Dist],0),MATCH(M$2,DetailByDistrict[#Headers],0))*K906,2)</f>
        <v>71.28</v>
      </c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spans="1:26" ht="15.75" customHeight="1" x14ac:dyDescent="0.25">
      <c r="A907" s="53">
        <v>11</v>
      </c>
      <c r="B907" s="54" t="s">
        <v>1123</v>
      </c>
      <c r="C907" s="54" t="s">
        <v>908</v>
      </c>
      <c r="D907" s="53">
        <v>5166</v>
      </c>
      <c r="E907" s="53">
        <v>8301</v>
      </c>
      <c r="F907" s="54" t="s">
        <v>1169</v>
      </c>
      <c r="G907" s="53" t="s">
        <v>200</v>
      </c>
      <c r="H907" s="58" t="str">
        <f>_xlfn.IFNA(INDEX(ActiveSchools!$C$2:$F$326,MATCH(G907,ActiveSchools!$F$2:$F$326,0),1),"Total")</f>
        <v>3375</v>
      </c>
      <c r="I907" s="53">
        <v>10</v>
      </c>
      <c r="J907" s="59">
        <f>_xlfn.IFNA(INDEX(DetailByDistrict[],MATCH($H907,DetailByDistrict[Dist],0),MATCH(J$2,DetailByDistrict[#Headers],0)),0)</f>
        <v>14</v>
      </c>
      <c r="K907" s="54">
        <f t="shared" si="14"/>
        <v>0.7142857142857143</v>
      </c>
      <c r="L907" s="59">
        <f>ROUND(INDEX(DetailByDistrict[],MATCH($H907,DetailByDistrict[Dist],0),MATCH(L$2,DetailByDistrict[#Headers],0))*K907,2)</f>
        <v>648.57000000000005</v>
      </c>
      <c r="M907" s="59">
        <f>ROUND(INDEX(DetailByDistrict[],MATCH($H907,DetailByDistrict[Dist],0),MATCH(M$2,DetailByDistrict[#Headers],0))*K907,2)</f>
        <v>712.86</v>
      </c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spans="1:26" ht="15.75" customHeight="1" x14ac:dyDescent="0.25">
      <c r="A908" s="53">
        <v>11</v>
      </c>
      <c r="B908" s="54" t="s">
        <v>1123</v>
      </c>
      <c r="C908" s="54" t="s">
        <v>908</v>
      </c>
      <c r="D908" s="53">
        <v>5166</v>
      </c>
      <c r="E908" s="53">
        <v>8301</v>
      </c>
      <c r="F908" s="54" t="s">
        <v>1166</v>
      </c>
      <c r="G908" s="53" t="s">
        <v>201</v>
      </c>
      <c r="H908" s="58" t="str">
        <f>_xlfn.IFNA(INDEX(ActiveSchools!$C$2:$F$326,MATCH(G908,ActiveSchools!$F$2:$F$326,0),1),"Total")</f>
        <v>3906</v>
      </c>
      <c r="I908" s="53">
        <v>8</v>
      </c>
      <c r="J908" s="59">
        <f>_xlfn.IFNA(INDEX(DetailByDistrict[],MATCH($H908,DetailByDistrict[Dist],0),MATCH(J$2,DetailByDistrict[#Headers],0)),0)</f>
        <v>63</v>
      </c>
      <c r="K908" s="54">
        <f t="shared" si="14"/>
        <v>0.12698412698412698</v>
      </c>
      <c r="L908" s="59">
        <f>ROUND(INDEX(DetailByDistrict[],MATCH($H908,DetailByDistrict[Dist],0),MATCH(L$2,DetailByDistrict[#Headers],0))*K908,2)</f>
        <v>518.86</v>
      </c>
      <c r="M908" s="59">
        <f>ROUND(INDEX(DetailByDistrict[],MATCH($H908,DetailByDistrict[Dist],0),MATCH(M$2,DetailByDistrict[#Headers],0))*K908,2)</f>
        <v>570.29</v>
      </c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spans="1:26" ht="15.75" customHeight="1" x14ac:dyDescent="0.25">
      <c r="A909" s="53">
        <v>11</v>
      </c>
      <c r="B909" s="54" t="s">
        <v>1123</v>
      </c>
      <c r="C909" s="54" t="s">
        <v>908</v>
      </c>
      <c r="D909" s="53">
        <v>5166</v>
      </c>
      <c r="E909" s="53">
        <v>8301</v>
      </c>
      <c r="F909" s="54" t="s">
        <v>1141</v>
      </c>
      <c r="G909" s="53" t="s">
        <v>206</v>
      </c>
      <c r="H909" s="58" t="str">
        <f>_xlfn.IFNA(INDEX(ActiveSchools!$C$2:$F$326,MATCH(G909,ActiveSchools!$F$2:$F$326,0),1),"Total")</f>
        <v>4725</v>
      </c>
      <c r="I909" s="53">
        <v>8</v>
      </c>
      <c r="J909" s="59">
        <f>_xlfn.IFNA(INDEX(DetailByDistrict[],MATCH($H909,DetailByDistrict[Dist],0),MATCH(J$2,DetailByDistrict[#Headers],0)),0)</f>
        <v>115</v>
      </c>
      <c r="K909" s="54">
        <f t="shared" si="14"/>
        <v>6.9565217391304349E-2</v>
      </c>
      <c r="L909" s="59">
        <f>ROUND(INDEX(DetailByDistrict[],MATCH($H909,DetailByDistrict[Dist],0),MATCH(L$2,DetailByDistrict[#Headers],0))*K909,2)</f>
        <v>518.89</v>
      </c>
      <c r="M909" s="59">
        <f>ROUND(INDEX(DetailByDistrict[],MATCH($H909,DetailByDistrict[Dist],0),MATCH(M$2,DetailByDistrict[#Headers],0))*K909,2)</f>
        <v>570.23</v>
      </c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spans="1:26" ht="15.75" customHeight="1" x14ac:dyDescent="0.25">
      <c r="A910" s="53">
        <v>11</v>
      </c>
      <c r="B910" s="54" t="s">
        <v>1123</v>
      </c>
      <c r="C910" s="54" t="s">
        <v>908</v>
      </c>
      <c r="D910" s="53">
        <v>5166</v>
      </c>
      <c r="E910" s="53">
        <v>8301</v>
      </c>
      <c r="F910" s="54" t="s">
        <v>1161</v>
      </c>
      <c r="G910" s="53" t="s">
        <v>699</v>
      </c>
      <c r="H910" s="58" t="str">
        <f>_xlfn.IFNA(INDEX(ActiveSchools!$C$2:$F$326,MATCH(G910,ActiveSchools!$F$2:$F$326,0),1),"Total")</f>
        <v>5319</v>
      </c>
      <c r="I910" s="53">
        <v>11</v>
      </c>
      <c r="J910" s="59">
        <f>_xlfn.IFNA(INDEX(DetailByDistrict[],MATCH($H910,DetailByDistrict[Dist],0),MATCH(J$2,DetailByDistrict[#Headers],0)),0)</f>
        <v>22</v>
      </c>
      <c r="K910" s="54">
        <f t="shared" si="14"/>
        <v>0.5</v>
      </c>
      <c r="L910" s="59">
        <f>ROUND(INDEX(DetailByDistrict[],MATCH($H910,DetailByDistrict[Dist],0),MATCH(L$2,DetailByDistrict[#Headers],0))*K910,2)</f>
        <v>713.5</v>
      </c>
      <c r="M910" s="59">
        <f>ROUND(INDEX(DetailByDistrict[],MATCH($H910,DetailByDistrict[Dist],0),MATCH(M$2,DetailByDistrict[#Headers],0))*K910,2)</f>
        <v>784</v>
      </c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spans="1:26" ht="15.75" customHeight="1" x14ac:dyDescent="0.25">
      <c r="A911" s="53">
        <v>11</v>
      </c>
      <c r="B911" s="54" t="s">
        <v>1123</v>
      </c>
      <c r="C911" s="54" t="s">
        <v>908</v>
      </c>
      <c r="D911" s="53">
        <v>5166</v>
      </c>
      <c r="E911" s="53">
        <v>8301</v>
      </c>
      <c r="F911" s="54" t="s">
        <v>1167</v>
      </c>
      <c r="G911" s="53" t="s">
        <v>213</v>
      </c>
      <c r="H911" s="58" t="str">
        <f>_xlfn.IFNA(INDEX(ActiveSchools!$C$2:$F$326,MATCH(G911,ActiveSchools!$F$2:$F$326,0),1),"Total")</f>
        <v>5166</v>
      </c>
      <c r="I911" s="53">
        <v>397</v>
      </c>
      <c r="J911" s="59">
        <f>_xlfn.IFNA(INDEX(DetailByDistrict[],MATCH($H911,DetailByDistrict[Dist],0),MATCH(J$2,DetailByDistrict[#Headers],0)),0)</f>
        <v>638</v>
      </c>
      <c r="K911" s="54">
        <f t="shared" si="14"/>
        <v>0.62225705329153602</v>
      </c>
      <c r="L911" s="59">
        <f>ROUND(INDEX(DetailByDistrict[],MATCH($H911,DetailByDistrict[Dist],0),MATCH(L$2,DetailByDistrict[#Headers],0))*K911,2)</f>
        <v>25749.62</v>
      </c>
      <c r="M911" s="59">
        <f>ROUND(INDEX(DetailByDistrict[],MATCH($H911,DetailByDistrict[Dist],0),MATCH(M$2,DetailByDistrict[#Headers],0))*K911,2)</f>
        <v>28298.38</v>
      </c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spans="1:26" ht="15.75" customHeight="1" x14ac:dyDescent="0.25">
      <c r="A912" s="53">
        <v>11</v>
      </c>
      <c r="B912" s="54" t="s">
        <v>1123</v>
      </c>
      <c r="C912" s="54" t="s">
        <v>908</v>
      </c>
      <c r="D912" s="53">
        <v>5166</v>
      </c>
      <c r="E912" s="53">
        <v>8301</v>
      </c>
      <c r="F912" s="54" t="s">
        <v>1142</v>
      </c>
      <c r="G912" s="53" t="s">
        <v>218</v>
      </c>
      <c r="H912" s="58" t="str">
        <f>_xlfn.IFNA(INDEX(ActiveSchools!$C$2:$F$326,MATCH(G912,ActiveSchools!$F$2:$F$326,0),1),"Total")</f>
        <v>6101</v>
      </c>
      <c r="I912" s="53">
        <v>5</v>
      </c>
      <c r="J912" s="59">
        <f>_xlfn.IFNA(INDEX(DetailByDistrict[],MATCH($H912,DetailByDistrict[Dist],0),MATCH(J$2,DetailByDistrict[#Headers],0)),0)</f>
        <v>431</v>
      </c>
      <c r="K912" s="54">
        <f t="shared" si="14"/>
        <v>1.1600928074245939E-2</v>
      </c>
      <c r="L912" s="59">
        <f>ROUND(INDEX(DetailByDistrict[],MATCH($H912,DetailByDistrict[Dist],0),MATCH(L$2,DetailByDistrict[#Headers],0))*K912,2)</f>
        <v>324.3</v>
      </c>
      <c r="M912" s="59">
        <f>ROUND(INDEX(DetailByDistrict[],MATCH($H912,DetailByDistrict[Dist],0),MATCH(M$2,DetailByDistrict[#Headers],0))*K912,2)</f>
        <v>356.4</v>
      </c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spans="1:26" ht="15.75" customHeight="1" x14ac:dyDescent="0.25">
      <c r="A913" s="53">
        <v>11</v>
      </c>
      <c r="B913" s="54" t="s">
        <v>1123</v>
      </c>
      <c r="C913" s="54" t="s">
        <v>908</v>
      </c>
      <c r="D913" s="53">
        <v>5166</v>
      </c>
      <c r="E913" s="53">
        <v>8301</v>
      </c>
      <c r="F913" s="54" t="s">
        <v>1168</v>
      </c>
      <c r="G913" s="53" t="s">
        <v>220</v>
      </c>
      <c r="H913" s="58" t="str">
        <f>_xlfn.IFNA(INDEX(ActiveSchools!$C$2:$F$326,MATCH(G913,ActiveSchools!$F$2:$F$326,0),1),"Total")</f>
        <v>6512</v>
      </c>
      <c r="I913" s="53">
        <v>6</v>
      </c>
      <c r="J913" s="59">
        <f>_xlfn.IFNA(INDEX(DetailByDistrict[],MATCH($H913,DetailByDistrict[Dist],0),MATCH(J$2,DetailByDistrict[#Headers],0)),0)</f>
        <v>15</v>
      </c>
      <c r="K913" s="54">
        <f t="shared" si="14"/>
        <v>0.4</v>
      </c>
      <c r="L913" s="59">
        <f>ROUND(INDEX(DetailByDistrict[],MATCH($H913,DetailByDistrict[Dist],0),MATCH(L$2,DetailByDistrict[#Headers],0))*K913,2)</f>
        <v>389.2</v>
      </c>
      <c r="M913" s="59">
        <f>ROUND(INDEX(DetailByDistrict[],MATCH($H913,DetailByDistrict[Dist],0),MATCH(M$2,DetailByDistrict[#Headers],0))*K913,2)</f>
        <v>427.6</v>
      </c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spans="1:26" x14ac:dyDescent="0.25">
      <c r="A914" s="53">
        <v>11</v>
      </c>
      <c r="B914" s="54" t="s">
        <v>1123</v>
      </c>
      <c r="C914" s="54" t="s">
        <v>909</v>
      </c>
      <c r="D914" s="53">
        <v>5166</v>
      </c>
      <c r="E914" s="53">
        <v>8302</v>
      </c>
      <c r="F914" s="54" t="s">
        <v>1158</v>
      </c>
      <c r="G914" s="57" t="s">
        <v>181</v>
      </c>
      <c r="H914" s="58" t="str">
        <f>_xlfn.IFNA(INDEX(ActiveSchools!$C$2:$F$326,MATCH(G914,ActiveSchools!$F$2:$F$326,0),1),"Total")</f>
        <v>0513</v>
      </c>
      <c r="I914" s="53">
        <v>1</v>
      </c>
      <c r="J914" s="59">
        <f>_xlfn.IFNA(INDEX(DetailByDistrict[],MATCH($H914,DetailByDistrict[Dist],0),MATCH(J$2,DetailByDistrict[#Headers],0)),0)</f>
        <v>8</v>
      </c>
      <c r="K914" s="54">
        <f t="shared" si="14"/>
        <v>0.125</v>
      </c>
      <c r="L914" s="59">
        <f>ROUND(INDEX(DetailByDistrict[],MATCH($H914,DetailByDistrict[Dist],0),MATCH(L$2,DetailByDistrict[#Headers],0))*K914,2)</f>
        <v>64.88</v>
      </c>
      <c r="M914" s="59">
        <f>ROUND(INDEX(DetailByDistrict[],MATCH($H914,DetailByDistrict[Dist],0),MATCH(M$2,DetailByDistrict[#Headers],0))*K914,2)</f>
        <v>71.25</v>
      </c>
    </row>
    <row r="915" spans="1:26" ht="15.75" customHeight="1" x14ac:dyDescent="0.25">
      <c r="A915" s="53">
        <v>11</v>
      </c>
      <c r="B915" s="54" t="s">
        <v>1123</v>
      </c>
      <c r="C915" s="54" t="s">
        <v>909</v>
      </c>
      <c r="D915" s="53">
        <v>5166</v>
      </c>
      <c r="E915" s="53">
        <v>8302</v>
      </c>
      <c r="F915" s="54" t="s">
        <v>1150</v>
      </c>
      <c r="G915" s="53" t="s">
        <v>186</v>
      </c>
      <c r="H915" s="58" t="str">
        <f>_xlfn.IFNA(INDEX(ActiveSchools!$C$2:$F$326,MATCH(G915,ActiveSchools!$F$2:$F$326,0),1),"Total")</f>
        <v>1332</v>
      </c>
      <c r="I915" s="53">
        <v>1</v>
      </c>
      <c r="J915" s="59">
        <f>_xlfn.IFNA(INDEX(DetailByDistrict[],MATCH($H915,DetailByDistrict[Dist],0),MATCH(J$2,DetailByDistrict[#Headers],0)),0)</f>
        <v>11</v>
      </c>
      <c r="K915" s="54">
        <f t="shared" si="14"/>
        <v>9.0909090909090912E-2</v>
      </c>
      <c r="L915" s="59">
        <f>ROUND(INDEX(DetailByDistrict[],MATCH($H915,DetailByDistrict[Dist],0),MATCH(L$2,DetailByDistrict[#Headers],0))*K915,2)</f>
        <v>64.819999999999993</v>
      </c>
      <c r="M915" s="59">
        <f>ROUND(INDEX(DetailByDistrict[],MATCH($H915,DetailByDistrict[Dist],0),MATCH(M$2,DetailByDistrict[#Headers],0))*K915,2)</f>
        <v>71.27</v>
      </c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spans="1:26" ht="15.75" customHeight="1" x14ac:dyDescent="0.25">
      <c r="A916" s="53">
        <v>11</v>
      </c>
      <c r="B916" s="54" t="s">
        <v>1123</v>
      </c>
      <c r="C916" s="54" t="s">
        <v>909</v>
      </c>
      <c r="D916" s="53">
        <v>5166</v>
      </c>
      <c r="E916" s="53">
        <v>8302</v>
      </c>
      <c r="F916" s="54" t="s">
        <v>1169</v>
      </c>
      <c r="G916" s="53" t="s">
        <v>200</v>
      </c>
      <c r="H916" s="58" t="str">
        <f>_xlfn.IFNA(INDEX(ActiveSchools!$C$2:$F$326,MATCH(G916,ActiveSchools!$F$2:$F$326,0),1),"Total")</f>
        <v>3375</v>
      </c>
      <c r="I916" s="53">
        <v>4</v>
      </c>
      <c r="J916" s="59">
        <f>_xlfn.IFNA(INDEX(DetailByDistrict[],MATCH($H916,DetailByDistrict[Dist],0),MATCH(J$2,DetailByDistrict[#Headers],0)),0)</f>
        <v>14</v>
      </c>
      <c r="K916" s="54">
        <f t="shared" si="14"/>
        <v>0.2857142857142857</v>
      </c>
      <c r="L916" s="59">
        <f>ROUND(INDEX(DetailByDistrict[],MATCH($H916,DetailByDistrict[Dist],0),MATCH(L$2,DetailByDistrict[#Headers],0))*K916,2)</f>
        <v>259.43</v>
      </c>
      <c r="M916" s="59">
        <f>ROUND(INDEX(DetailByDistrict[],MATCH($H916,DetailByDistrict[Dist],0),MATCH(M$2,DetailByDistrict[#Headers],0))*K916,2)</f>
        <v>285.14</v>
      </c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spans="1:26" ht="15.75" customHeight="1" x14ac:dyDescent="0.25">
      <c r="A917" s="53">
        <v>11</v>
      </c>
      <c r="B917" s="54" t="s">
        <v>1123</v>
      </c>
      <c r="C917" s="54" t="s">
        <v>909</v>
      </c>
      <c r="D917" s="53">
        <v>5166</v>
      </c>
      <c r="E917" s="53">
        <v>8302</v>
      </c>
      <c r="F917" s="54" t="s">
        <v>1166</v>
      </c>
      <c r="G917" s="53" t="s">
        <v>201</v>
      </c>
      <c r="H917" s="58" t="str">
        <f>_xlfn.IFNA(INDEX(ActiveSchools!$C$2:$F$326,MATCH(G917,ActiveSchools!$F$2:$F$326,0),1),"Total")</f>
        <v>3906</v>
      </c>
      <c r="I917" s="53">
        <v>15</v>
      </c>
      <c r="J917" s="59">
        <f>_xlfn.IFNA(INDEX(DetailByDistrict[],MATCH($H917,DetailByDistrict[Dist],0),MATCH(J$2,DetailByDistrict[#Headers],0)),0)</f>
        <v>63</v>
      </c>
      <c r="K917" s="54">
        <f t="shared" si="14"/>
        <v>0.23809523809523808</v>
      </c>
      <c r="L917" s="59">
        <f>ROUND(INDEX(DetailByDistrict[],MATCH($H917,DetailByDistrict[Dist],0),MATCH(L$2,DetailByDistrict[#Headers],0))*K917,2)</f>
        <v>972.86</v>
      </c>
      <c r="M917" s="59">
        <f>ROUND(INDEX(DetailByDistrict[],MATCH($H917,DetailByDistrict[Dist],0),MATCH(M$2,DetailByDistrict[#Headers],0))*K917,2)</f>
        <v>1069.29</v>
      </c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spans="1:26" ht="15.75" customHeight="1" x14ac:dyDescent="0.25">
      <c r="A918" s="53">
        <v>11</v>
      </c>
      <c r="B918" s="54" t="s">
        <v>1123</v>
      </c>
      <c r="C918" s="54" t="s">
        <v>909</v>
      </c>
      <c r="D918" s="53">
        <v>5166</v>
      </c>
      <c r="E918" s="53">
        <v>8302</v>
      </c>
      <c r="F918" s="54" t="s">
        <v>1141</v>
      </c>
      <c r="G918" s="53" t="s">
        <v>206</v>
      </c>
      <c r="H918" s="58" t="str">
        <f>_xlfn.IFNA(INDEX(ActiveSchools!$C$2:$F$326,MATCH(G918,ActiveSchools!$F$2:$F$326,0),1),"Total")</f>
        <v>4725</v>
      </c>
      <c r="I918" s="53">
        <v>9</v>
      </c>
      <c r="J918" s="59">
        <f>_xlfn.IFNA(INDEX(DetailByDistrict[],MATCH($H918,DetailByDistrict[Dist],0),MATCH(J$2,DetailByDistrict[#Headers],0)),0)</f>
        <v>115</v>
      </c>
      <c r="K918" s="54">
        <f t="shared" si="14"/>
        <v>7.8260869565217397E-2</v>
      </c>
      <c r="L918" s="59">
        <f>ROUND(INDEX(DetailByDistrict[],MATCH($H918,DetailByDistrict[Dist],0),MATCH(L$2,DetailByDistrict[#Headers],0))*K918,2)</f>
        <v>583.75</v>
      </c>
      <c r="M918" s="59">
        <f>ROUND(INDEX(DetailByDistrict[],MATCH($H918,DetailByDistrict[Dist],0),MATCH(M$2,DetailByDistrict[#Headers],0))*K918,2)</f>
        <v>641.5</v>
      </c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spans="1:26" ht="15.75" customHeight="1" x14ac:dyDescent="0.25">
      <c r="A919" s="53">
        <v>11</v>
      </c>
      <c r="B919" s="54" t="s">
        <v>1123</v>
      </c>
      <c r="C919" s="54" t="s">
        <v>909</v>
      </c>
      <c r="D919" s="53">
        <v>5166</v>
      </c>
      <c r="E919" s="53">
        <v>8302</v>
      </c>
      <c r="F919" s="54" t="s">
        <v>1136</v>
      </c>
      <c r="G919" s="53" t="s">
        <v>207</v>
      </c>
      <c r="H919" s="58" t="str">
        <f>_xlfn.IFNA(INDEX(ActiveSchools!$C$2:$F$326,MATCH(G919,ActiveSchools!$F$2:$F$326,0),1),"Total")</f>
        <v>4779</v>
      </c>
      <c r="I919" s="53">
        <v>1</v>
      </c>
      <c r="J919" s="59">
        <f>_xlfn.IFNA(INDEX(DetailByDistrict[],MATCH($H919,DetailByDistrict[Dist],0),MATCH(J$2,DetailByDistrict[#Headers],0)),0)</f>
        <v>58</v>
      </c>
      <c r="K919" s="54">
        <f t="shared" si="14"/>
        <v>1.7241379310344827E-2</v>
      </c>
      <c r="L919" s="59">
        <f>ROUND(INDEX(DetailByDistrict[],MATCH($H919,DetailByDistrict[Dist],0),MATCH(L$2,DetailByDistrict[#Headers],0))*K919,2)</f>
        <v>64.86</v>
      </c>
      <c r="M919" s="59">
        <f>ROUND(INDEX(DetailByDistrict[],MATCH($H919,DetailByDistrict[Dist],0),MATCH(M$2,DetailByDistrict[#Headers],0))*K919,2)</f>
        <v>71.28</v>
      </c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spans="1:26" ht="15.75" customHeight="1" x14ac:dyDescent="0.25">
      <c r="A920" s="53">
        <v>11</v>
      </c>
      <c r="B920" s="54" t="s">
        <v>1123</v>
      </c>
      <c r="C920" s="54" t="s">
        <v>909</v>
      </c>
      <c r="D920" s="53">
        <v>5166</v>
      </c>
      <c r="E920" s="53">
        <v>8302</v>
      </c>
      <c r="F920" s="54" t="s">
        <v>1161</v>
      </c>
      <c r="G920" s="53" t="s">
        <v>699</v>
      </c>
      <c r="H920" s="58" t="str">
        <f>_xlfn.IFNA(INDEX(ActiveSchools!$C$2:$F$326,MATCH(G920,ActiveSchools!$F$2:$F$326,0),1),"Total")</f>
        <v>5319</v>
      </c>
      <c r="I920" s="53">
        <v>4</v>
      </c>
      <c r="J920" s="59">
        <f>_xlfn.IFNA(INDEX(DetailByDistrict[],MATCH($H920,DetailByDistrict[Dist],0),MATCH(J$2,DetailByDistrict[#Headers],0)),0)</f>
        <v>22</v>
      </c>
      <c r="K920" s="54">
        <f t="shared" si="14"/>
        <v>0.18181818181818182</v>
      </c>
      <c r="L920" s="59">
        <f>ROUND(INDEX(DetailByDistrict[],MATCH($H920,DetailByDistrict[Dist],0),MATCH(L$2,DetailByDistrict[#Headers],0))*K920,2)</f>
        <v>259.45</v>
      </c>
      <c r="M920" s="59">
        <f>ROUND(INDEX(DetailByDistrict[],MATCH($H920,DetailByDistrict[Dist],0),MATCH(M$2,DetailByDistrict[#Headers],0))*K920,2)</f>
        <v>285.08999999999997</v>
      </c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spans="1:26" ht="15.75" customHeight="1" x14ac:dyDescent="0.25">
      <c r="A921" s="53">
        <v>11</v>
      </c>
      <c r="B921" s="54" t="s">
        <v>1123</v>
      </c>
      <c r="C921" s="54" t="s">
        <v>909</v>
      </c>
      <c r="D921" s="53">
        <v>5166</v>
      </c>
      <c r="E921" s="53">
        <v>8302</v>
      </c>
      <c r="F921" s="54" t="s">
        <v>1167</v>
      </c>
      <c r="G921" s="53" t="s">
        <v>213</v>
      </c>
      <c r="H921" s="58" t="str">
        <f>_xlfn.IFNA(INDEX(ActiveSchools!$C$2:$F$326,MATCH(G921,ActiveSchools!$F$2:$F$326,0),1),"Total")</f>
        <v>5166</v>
      </c>
      <c r="I921" s="53">
        <v>210</v>
      </c>
      <c r="J921" s="59">
        <f>_xlfn.IFNA(INDEX(DetailByDistrict[],MATCH($H921,DetailByDistrict[Dist],0),MATCH(J$2,DetailByDistrict[#Headers],0)),0)</f>
        <v>638</v>
      </c>
      <c r="K921" s="54">
        <f t="shared" si="14"/>
        <v>0.32915360501567398</v>
      </c>
      <c r="L921" s="59">
        <f>ROUND(INDEX(DetailByDistrict[],MATCH($H921,DetailByDistrict[Dist],0),MATCH(L$2,DetailByDistrict[#Headers],0))*K921,2)</f>
        <v>13620.71</v>
      </c>
      <c r="M921" s="59">
        <f>ROUND(INDEX(DetailByDistrict[],MATCH($H921,DetailByDistrict[Dist],0),MATCH(M$2,DetailByDistrict[#Headers],0))*K921,2)</f>
        <v>14968.92</v>
      </c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spans="1:26" ht="15.75" customHeight="1" x14ac:dyDescent="0.25">
      <c r="A922" s="53">
        <v>11</v>
      </c>
      <c r="B922" s="54" t="s">
        <v>1123</v>
      </c>
      <c r="C922" s="54" t="s">
        <v>909</v>
      </c>
      <c r="D922" s="53">
        <v>5166</v>
      </c>
      <c r="E922" s="53">
        <v>8302</v>
      </c>
      <c r="F922" s="54" t="s">
        <v>1142</v>
      </c>
      <c r="G922" s="53" t="s">
        <v>218</v>
      </c>
      <c r="H922" s="58" t="str">
        <f>_xlfn.IFNA(INDEX(ActiveSchools!$C$2:$F$326,MATCH(G922,ActiveSchools!$F$2:$F$326,0),1),"Total")</f>
        <v>6101</v>
      </c>
      <c r="I922" s="53">
        <v>2</v>
      </c>
      <c r="J922" s="59">
        <f>_xlfn.IFNA(INDEX(DetailByDistrict[],MATCH($H922,DetailByDistrict[Dist],0),MATCH(J$2,DetailByDistrict[#Headers],0)),0)</f>
        <v>431</v>
      </c>
      <c r="K922" s="54">
        <f t="shared" si="14"/>
        <v>4.6403712296983757E-3</v>
      </c>
      <c r="L922" s="59">
        <f>ROUND(INDEX(DetailByDistrict[],MATCH($H922,DetailByDistrict[Dist],0),MATCH(L$2,DetailByDistrict[#Headers],0))*K922,2)</f>
        <v>129.72</v>
      </c>
      <c r="M922" s="59">
        <f>ROUND(INDEX(DetailByDistrict[],MATCH($H922,DetailByDistrict[Dist],0),MATCH(M$2,DetailByDistrict[#Headers],0))*K922,2)</f>
        <v>142.56</v>
      </c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spans="1:26" ht="15.75" customHeight="1" x14ac:dyDescent="0.25">
      <c r="A923" s="53">
        <v>11</v>
      </c>
      <c r="B923" s="54" t="s">
        <v>1123</v>
      </c>
      <c r="C923" s="54" t="s">
        <v>909</v>
      </c>
      <c r="D923" s="53">
        <v>5166</v>
      </c>
      <c r="E923" s="53">
        <v>8302</v>
      </c>
      <c r="F923" s="54" t="s">
        <v>1168</v>
      </c>
      <c r="G923" s="53" t="s">
        <v>220</v>
      </c>
      <c r="H923" s="58" t="str">
        <f>_xlfn.IFNA(INDEX(ActiveSchools!$C$2:$F$326,MATCH(G923,ActiveSchools!$F$2:$F$326,0),1),"Total")</f>
        <v>6512</v>
      </c>
      <c r="I923" s="53">
        <v>3</v>
      </c>
      <c r="J923" s="59">
        <f>_xlfn.IFNA(INDEX(DetailByDistrict[],MATCH($H923,DetailByDistrict[Dist],0),MATCH(J$2,DetailByDistrict[#Headers],0)),0)</f>
        <v>15</v>
      </c>
      <c r="K923" s="54">
        <f t="shared" si="14"/>
        <v>0.2</v>
      </c>
      <c r="L923" s="59">
        <f>ROUND(INDEX(DetailByDistrict[],MATCH($H923,DetailByDistrict[Dist],0),MATCH(L$2,DetailByDistrict[#Headers],0))*K923,2)</f>
        <v>194.6</v>
      </c>
      <c r="M923" s="59">
        <f>ROUND(INDEX(DetailByDistrict[],MATCH($H923,DetailByDistrict[Dist],0),MATCH(M$2,DetailByDistrict[#Headers],0))*K923,2)</f>
        <v>213.8</v>
      </c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spans="1:26" ht="15.75" customHeight="1" x14ac:dyDescent="0.25">
      <c r="A924" s="53">
        <v>11</v>
      </c>
      <c r="B924" s="54" t="s">
        <v>1123</v>
      </c>
      <c r="C924" s="54" t="s">
        <v>910</v>
      </c>
      <c r="D924" s="53">
        <v>5166</v>
      </c>
      <c r="E924" s="53">
        <v>8305</v>
      </c>
      <c r="F924" s="54" t="s">
        <v>1166</v>
      </c>
      <c r="G924" s="53" t="s">
        <v>201</v>
      </c>
      <c r="H924" s="58" t="str">
        <f>_xlfn.IFNA(INDEX(ActiveSchools!$C$2:$F$326,MATCH(G924,ActiveSchools!$F$2:$F$326,0),1),"Total")</f>
        <v>3906</v>
      </c>
      <c r="I924" s="53">
        <v>6</v>
      </c>
      <c r="J924" s="59">
        <f>_xlfn.IFNA(INDEX(DetailByDistrict[],MATCH($H924,DetailByDistrict[Dist],0),MATCH(J$2,DetailByDistrict[#Headers],0)),0)</f>
        <v>63</v>
      </c>
      <c r="K924" s="54">
        <f t="shared" si="14"/>
        <v>9.5238095238095233E-2</v>
      </c>
      <c r="L924" s="59">
        <f>ROUND(INDEX(DetailByDistrict[],MATCH($H924,DetailByDistrict[Dist],0),MATCH(L$2,DetailByDistrict[#Headers],0))*K924,2)</f>
        <v>389.14</v>
      </c>
      <c r="M924" s="59">
        <f>ROUND(INDEX(DetailByDistrict[],MATCH($H924,DetailByDistrict[Dist],0),MATCH(M$2,DetailByDistrict[#Headers],0))*K924,2)</f>
        <v>427.71</v>
      </c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spans="1:26" ht="15.75" customHeight="1" x14ac:dyDescent="0.25">
      <c r="A925" s="53">
        <v>11</v>
      </c>
      <c r="B925" s="54" t="s">
        <v>1123</v>
      </c>
      <c r="C925" s="54" t="s">
        <v>910</v>
      </c>
      <c r="D925" s="53">
        <v>5166</v>
      </c>
      <c r="E925" s="53">
        <v>8305</v>
      </c>
      <c r="F925" s="54" t="s">
        <v>1167</v>
      </c>
      <c r="G925" s="53" t="s">
        <v>213</v>
      </c>
      <c r="H925" s="58" t="str">
        <f>_xlfn.IFNA(INDEX(ActiveSchools!$C$2:$F$326,MATCH(G925,ActiveSchools!$F$2:$F$326,0),1),"Total")</f>
        <v>5166</v>
      </c>
      <c r="I925" s="53">
        <v>25</v>
      </c>
      <c r="J925" s="59">
        <f>_xlfn.IFNA(INDEX(DetailByDistrict[],MATCH($H925,DetailByDistrict[Dist],0),MATCH(J$2,DetailByDistrict[#Headers],0)),0)</f>
        <v>638</v>
      </c>
      <c r="K925" s="54">
        <f t="shared" si="14"/>
        <v>3.918495297805643E-2</v>
      </c>
      <c r="L925" s="59">
        <f>ROUND(INDEX(DetailByDistrict[],MATCH($H925,DetailByDistrict[Dist],0),MATCH(L$2,DetailByDistrict[#Headers],0))*K925,2)</f>
        <v>1621.51</v>
      </c>
      <c r="M925" s="59">
        <f>ROUND(INDEX(DetailByDistrict[],MATCH($H925,DetailByDistrict[Dist],0),MATCH(M$2,DetailByDistrict[#Headers],0))*K925,2)</f>
        <v>1782.01</v>
      </c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spans="1:26" ht="15.75" customHeight="1" x14ac:dyDescent="0.25">
      <c r="A926" s="53">
        <v>11</v>
      </c>
      <c r="B926" s="54" t="s">
        <v>1123</v>
      </c>
      <c r="C926" s="54" t="s">
        <v>768</v>
      </c>
      <c r="D926" s="53">
        <v>5184</v>
      </c>
      <c r="E926" s="53">
        <v>8102</v>
      </c>
      <c r="F926" s="54" t="s">
        <v>1133</v>
      </c>
      <c r="G926" s="53" t="s">
        <v>209</v>
      </c>
      <c r="H926" s="58" t="str">
        <f>_xlfn.IFNA(INDEX(ActiveSchools!$C$2:$F$326,MATCH(G926,ActiveSchools!$F$2:$F$326,0),1),"Total")</f>
        <v>4878</v>
      </c>
      <c r="I926" s="53">
        <v>6</v>
      </c>
      <c r="J926" s="59">
        <f>_xlfn.IFNA(INDEX(DetailByDistrict[],MATCH($H926,DetailByDistrict[Dist],0),MATCH(J$2,DetailByDistrict[#Headers],0)),0)</f>
        <v>19</v>
      </c>
      <c r="K926" s="54">
        <f t="shared" si="14"/>
        <v>0.31578947368421051</v>
      </c>
      <c r="L926" s="59">
        <f>ROUND(INDEX(DetailByDistrict[],MATCH($H926,DetailByDistrict[Dist],0),MATCH(L$2,DetailByDistrict[#Headers],0))*K926,2)</f>
        <v>389.05</v>
      </c>
      <c r="M926" s="59">
        <f>ROUND(INDEX(DetailByDistrict[],MATCH($H926,DetailByDistrict[Dist],0),MATCH(M$2,DetailByDistrict[#Headers],0))*K926,2)</f>
        <v>427.58</v>
      </c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spans="1:26" ht="15.75" customHeight="1" x14ac:dyDescent="0.25">
      <c r="A927" s="53">
        <v>11</v>
      </c>
      <c r="B927" s="54" t="s">
        <v>1123</v>
      </c>
      <c r="C927" s="54" t="s">
        <v>768</v>
      </c>
      <c r="D927" s="53">
        <v>5184</v>
      </c>
      <c r="E927" s="53">
        <v>8102</v>
      </c>
      <c r="F927" s="54" t="s">
        <v>1159</v>
      </c>
      <c r="G927" s="53" t="s">
        <v>210</v>
      </c>
      <c r="H927" s="58" t="str">
        <f>_xlfn.IFNA(INDEX(ActiveSchools!$C$2:$F$326,MATCH(G927,ActiveSchools!$F$2:$F$326,0),1),"Total")</f>
        <v>5121</v>
      </c>
      <c r="I927" s="53">
        <v>1</v>
      </c>
      <c r="J927" s="59">
        <f>_xlfn.IFNA(INDEX(DetailByDistrict[],MATCH($H927,DetailByDistrict[Dist],0),MATCH(J$2,DetailByDistrict[#Headers],0)),0)</f>
        <v>2</v>
      </c>
      <c r="K927" s="54">
        <f t="shared" si="14"/>
        <v>0.5</v>
      </c>
      <c r="L927" s="59">
        <f>ROUND(INDEX(DetailByDistrict[],MATCH($H927,DetailByDistrict[Dist],0),MATCH(L$2,DetailByDistrict[#Headers],0))*K927,2)</f>
        <v>65</v>
      </c>
      <c r="M927" s="59">
        <f>ROUND(INDEX(DetailByDistrict[],MATCH($H927,DetailByDistrict[Dist],0),MATCH(M$2,DetailByDistrict[#Headers],0))*K927,2)</f>
        <v>71.5</v>
      </c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spans="1:26" ht="15.75" customHeight="1" x14ac:dyDescent="0.25">
      <c r="A928" s="53">
        <v>11</v>
      </c>
      <c r="B928" s="54" t="s">
        <v>1123</v>
      </c>
      <c r="C928" s="54" t="s">
        <v>768</v>
      </c>
      <c r="D928" s="53">
        <v>5184</v>
      </c>
      <c r="E928" s="53">
        <v>8102</v>
      </c>
      <c r="F928" s="54" t="s">
        <v>1170</v>
      </c>
      <c r="G928" s="53" t="s">
        <v>214</v>
      </c>
      <c r="H928" s="58" t="str">
        <f>_xlfn.IFNA(INDEX(ActiveSchools!$C$2:$F$326,MATCH(G928,ActiveSchools!$F$2:$F$326,0),1),"Total")</f>
        <v>5184</v>
      </c>
      <c r="I928" s="53">
        <v>88</v>
      </c>
      <c r="J928" s="59">
        <f>_xlfn.IFNA(INDEX(DetailByDistrict[],MATCH($H928,DetailByDistrict[Dist],0),MATCH(J$2,DetailByDistrict[#Headers],0)),0)</f>
        <v>92</v>
      </c>
      <c r="K928" s="54">
        <f t="shared" si="14"/>
        <v>0.95652173913043481</v>
      </c>
      <c r="L928" s="59">
        <f>ROUND(INDEX(DetailByDistrict[],MATCH($H928,DetailByDistrict[Dist],0),MATCH(L$2,DetailByDistrict[#Headers],0))*K928,2)</f>
        <v>5707.57</v>
      </c>
      <c r="M928" s="59">
        <f>ROUND(INDEX(DetailByDistrict[],MATCH($H928,DetailByDistrict[Dist],0),MATCH(M$2,DetailByDistrict[#Headers],0))*K928,2)</f>
        <v>6272.87</v>
      </c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spans="1:26" ht="15.75" customHeight="1" x14ac:dyDescent="0.25">
      <c r="A929" s="53">
        <v>11</v>
      </c>
      <c r="B929" s="54" t="s">
        <v>1123</v>
      </c>
      <c r="C929" s="54" t="s">
        <v>915</v>
      </c>
      <c r="D929" s="53">
        <v>5805</v>
      </c>
      <c r="E929" s="53">
        <v>8109</v>
      </c>
      <c r="F929" s="54" t="s">
        <v>1156</v>
      </c>
      <c r="G929" s="57" t="s">
        <v>176</v>
      </c>
      <c r="H929" s="58" t="str">
        <f>_xlfn.IFNA(INDEX(ActiveSchools!$C$2:$F$326,MATCH(G929,ActiveSchools!$F$2:$F$326,0),1),"Total")</f>
        <v>0027</v>
      </c>
      <c r="I929" s="53">
        <v>1</v>
      </c>
      <c r="J929" s="59">
        <f>_xlfn.IFNA(INDEX(DetailByDistrict[],MATCH($H929,DetailByDistrict[Dist],0),MATCH(J$2,DetailByDistrict[#Headers],0)),0)</f>
        <v>51</v>
      </c>
      <c r="K929" s="54">
        <f t="shared" si="14"/>
        <v>1.9607843137254902E-2</v>
      </c>
      <c r="L929" s="59">
        <f>ROUND(INDEX(DetailByDistrict[],MATCH($H929,DetailByDistrict[Dist],0),MATCH(L$2,DetailByDistrict[#Headers],0))*K929,2)</f>
        <v>64.86</v>
      </c>
      <c r="M929" s="59">
        <f>ROUND(INDEX(DetailByDistrict[],MATCH($H929,DetailByDistrict[Dist],0),MATCH(M$2,DetailByDistrict[#Headers],0))*K929,2)</f>
        <v>71.27</v>
      </c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spans="1:26" ht="15.75" customHeight="1" x14ac:dyDescent="0.25">
      <c r="A930" s="53">
        <v>11</v>
      </c>
      <c r="B930" s="54" t="s">
        <v>1123</v>
      </c>
      <c r="C930" s="54" t="s">
        <v>915</v>
      </c>
      <c r="D930" s="53">
        <v>5805</v>
      </c>
      <c r="E930" s="53">
        <v>8109</v>
      </c>
      <c r="F930" s="54" t="s">
        <v>1125</v>
      </c>
      <c r="G930" s="57" t="s">
        <v>178</v>
      </c>
      <c r="H930" s="58" t="str">
        <f>_xlfn.IFNA(INDEX(ActiveSchools!$C$2:$F$326,MATCH(G930,ActiveSchools!$F$2:$F$326,0),1),"Total")</f>
        <v>0261</v>
      </c>
      <c r="I930" s="53">
        <v>148</v>
      </c>
      <c r="J930" s="59">
        <f>_xlfn.IFNA(INDEX(DetailByDistrict[],MATCH($H930,DetailByDistrict[Dist],0),MATCH(J$2,DetailByDistrict[#Headers],0)),0)</f>
        <v>1188</v>
      </c>
      <c r="K930" s="54">
        <f t="shared" si="14"/>
        <v>0.12457912457912458</v>
      </c>
      <c r="L930" s="59">
        <f>ROUND(INDEX(DetailByDistrict[],MATCH($H930,DetailByDistrict[Dist],0),MATCH(L$2,DetailByDistrict[#Headers],0))*K930,2)</f>
        <v>9599.32</v>
      </c>
      <c r="M930" s="59">
        <f>ROUND(INDEX(DetailByDistrict[],MATCH($H930,DetailByDistrict[Dist],0),MATCH(M$2,DetailByDistrict[#Headers],0))*K930,2)</f>
        <v>10549.48</v>
      </c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spans="1:26" ht="15.75" customHeight="1" x14ac:dyDescent="0.25">
      <c r="A931" s="53">
        <v>11</v>
      </c>
      <c r="B931" s="54" t="s">
        <v>1123</v>
      </c>
      <c r="C931" s="54" t="s">
        <v>915</v>
      </c>
      <c r="D931" s="53">
        <v>5805</v>
      </c>
      <c r="E931" s="53">
        <v>8109</v>
      </c>
      <c r="F931" s="54" t="s">
        <v>1126</v>
      </c>
      <c r="G931" s="57" t="s">
        <v>180</v>
      </c>
      <c r="H931" s="58" t="str">
        <f>_xlfn.IFNA(INDEX(ActiveSchools!$C$2:$F$326,MATCH(G931,ActiveSchools!$F$2:$F$326,0),1),"Total")</f>
        <v>0472</v>
      </c>
      <c r="I931" s="53">
        <v>6</v>
      </c>
      <c r="J931" s="59">
        <f>_xlfn.IFNA(INDEX(DetailByDistrict[],MATCH($H931,DetailByDistrict[Dist],0),MATCH(J$2,DetailByDistrict[#Headers],0)),0)</f>
        <v>41</v>
      </c>
      <c r="K931" s="54">
        <f t="shared" si="14"/>
        <v>0.14634146341463414</v>
      </c>
      <c r="L931" s="59">
        <f>ROUND(INDEX(DetailByDistrict[],MATCH($H931,DetailByDistrict[Dist],0),MATCH(L$2,DetailByDistrict[#Headers],0))*K931,2)</f>
        <v>389.12</v>
      </c>
      <c r="M931" s="59">
        <f>ROUND(INDEX(DetailByDistrict[],MATCH($H931,DetailByDistrict[Dist],0),MATCH(M$2,DetailByDistrict[#Headers],0))*K931,2)</f>
        <v>427.61</v>
      </c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spans="1:26" ht="15.75" customHeight="1" x14ac:dyDescent="0.25">
      <c r="A932" s="53">
        <v>11</v>
      </c>
      <c r="B932" s="54" t="s">
        <v>1123</v>
      </c>
      <c r="C932" s="54" t="s">
        <v>915</v>
      </c>
      <c r="D932" s="53">
        <v>5805</v>
      </c>
      <c r="E932" s="53">
        <v>8109</v>
      </c>
      <c r="F932" s="54" t="s">
        <v>1158</v>
      </c>
      <c r="G932" s="57" t="s">
        <v>181</v>
      </c>
      <c r="H932" s="58" t="str">
        <f>_xlfn.IFNA(INDEX(ActiveSchools!$C$2:$F$326,MATCH(G932,ActiveSchools!$F$2:$F$326,0),1),"Total")</f>
        <v>0513</v>
      </c>
      <c r="I932" s="53">
        <v>3</v>
      </c>
      <c r="J932" s="59">
        <f>_xlfn.IFNA(INDEX(DetailByDistrict[],MATCH($H932,DetailByDistrict[Dist],0),MATCH(J$2,DetailByDistrict[#Headers],0)),0)</f>
        <v>8</v>
      </c>
      <c r="K932" s="54">
        <f t="shared" si="14"/>
        <v>0.375</v>
      </c>
      <c r="L932" s="59">
        <f>ROUND(INDEX(DetailByDistrict[],MATCH($H932,DetailByDistrict[Dist],0),MATCH(L$2,DetailByDistrict[#Headers],0))*K932,2)</f>
        <v>194.63</v>
      </c>
      <c r="M932" s="59">
        <f>ROUND(INDEX(DetailByDistrict[],MATCH($H932,DetailByDistrict[Dist],0),MATCH(M$2,DetailByDistrict[#Headers],0))*K932,2)</f>
        <v>213.75</v>
      </c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spans="1:26" ht="15.75" customHeight="1" x14ac:dyDescent="0.25">
      <c r="A933" s="53">
        <v>11</v>
      </c>
      <c r="B933" s="54" t="s">
        <v>1123</v>
      </c>
      <c r="C933" s="54" t="s">
        <v>915</v>
      </c>
      <c r="D933" s="53">
        <v>5805</v>
      </c>
      <c r="E933" s="53">
        <v>8109</v>
      </c>
      <c r="F933" s="54" t="s">
        <v>1140</v>
      </c>
      <c r="G933" s="57" t="s">
        <v>182</v>
      </c>
      <c r="H933" s="58" t="str">
        <f>_xlfn.IFNA(INDEX(ActiveSchools!$C$2:$F$326,MATCH(G933,ActiveSchools!$F$2:$F$326,0),1),"Total")</f>
        <v>0720</v>
      </c>
      <c r="I933" s="53">
        <v>29</v>
      </c>
      <c r="J933" s="59">
        <f>_xlfn.IFNA(INDEX(DetailByDistrict[],MATCH($H933,DetailByDistrict[Dist],0),MATCH(J$2,DetailByDistrict[#Headers],0)),0)</f>
        <v>80</v>
      </c>
      <c r="K933" s="54">
        <f t="shared" si="14"/>
        <v>0.36249999999999999</v>
      </c>
      <c r="L933" s="59">
        <f>ROUND(INDEX(DetailByDistrict[],MATCH($H933,DetailByDistrict[Dist],0),MATCH(L$2,DetailByDistrict[#Headers],0))*K933,2)</f>
        <v>1881.01</v>
      </c>
      <c r="M933" s="59">
        <f>ROUND(INDEX(DetailByDistrict[],MATCH($H933,DetailByDistrict[Dist],0),MATCH(M$2,DetailByDistrict[#Headers],0))*K933,2)</f>
        <v>2066.98</v>
      </c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spans="1:26" ht="15.75" customHeight="1" x14ac:dyDescent="0.25">
      <c r="A934" s="53">
        <v>11</v>
      </c>
      <c r="B934" s="54" t="s">
        <v>1123</v>
      </c>
      <c r="C934" s="54" t="s">
        <v>915</v>
      </c>
      <c r="D934" s="53">
        <v>5805</v>
      </c>
      <c r="E934" s="53">
        <v>8109</v>
      </c>
      <c r="F934" s="54" t="s">
        <v>1151</v>
      </c>
      <c r="G934" s="57" t="s">
        <v>184</v>
      </c>
      <c r="H934" s="58" t="str">
        <f>_xlfn.IFNA(INDEX(ActiveSchools!$C$2:$F$326,MATCH(G934,ActiveSchools!$F$2:$F$326,0),1),"Total")</f>
        <v>0981</v>
      </c>
      <c r="I934" s="53">
        <v>12</v>
      </c>
      <c r="J934" s="59">
        <f>_xlfn.IFNA(INDEX(DetailByDistrict[],MATCH($H934,DetailByDistrict[Dist],0),MATCH(J$2,DetailByDistrict[#Headers],0)),0)</f>
        <v>68</v>
      </c>
      <c r="K934" s="54">
        <f t="shared" si="14"/>
        <v>0.17647058823529413</v>
      </c>
      <c r="L934" s="59">
        <f>ROUND(INDEX(DetailByDistrict[],MATCH($H934,DetailByDistrict[Dist],0),MATCH(L$2,DetailByDistrict[#Headers],0))*K934,2)</f>
        <v>778.24</v>
      </c>
      <c r="M934" s="59">
        <f>ROUND(INDEX(DetailByDistrict[],MATCH($H934,DetailByDistrict[Dist],0),MATCH(M$2,DetailByDistrict[#Headers],0))*K934,2)</f>
        <v>855.35</v>
      </c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spans="1:26" ht="15.75" customHeight="1" x14ac:dyDescent="0.25">
      <c r="A935" s="53">
        <v>11</v>
      </c>
      <c r="B935" s="54" t="s">
        <v>1123</v>
      </c>
      <c r="C935" s="54" t="s">
        <v>915</v>
      </c>
      <c r="D935" s="53">
        <v>5805</v>
      </c>
      <c r="E935" s="53">
        <v>8109</v>
      </c>
      <c r="F935" s="54" t="s">
        <v>1150</v>
      </c>
      <c r="G935" s="53" t="s">
        <v>186</v>
      </c>
      <c r="H935" s="58" t="str">
        <f>_xlfn.IFNA(INDEX(ActiveSchools!$C$2:$F$326,MATCH(G935,ActiveSchools!$F$2:$F$326,0),1),"Total")</f>
        <v>1332</v>
      </c>
      <c r="I935" s="53">
        <v>1</v>
      </c>
      <c r="J935" s="59">
        <f>_xlfn.IFNA(INDEX(DetailByDistrict[],MATCH($H935,DetailByDistrict[Dist],0),MATCH(J$2,DetailByDistrict[#Headers],0)),0)</f>
        <v>11</v>
      </c>
      <c r="K935" s="54">
        <f t="shared" si="14"/>
        <v>9.0909090909090912E-2</v>
      </c>
      <c r="L935" s="59">
        <f>ROUND(INDEX(DetailByDistrict[],MATCH($H935,DetailByDistrict[Dist],0),MATCH(L$2,DetailByDistrict[#Headers],0))*K935,2)</f>
        <v>64.819999999999993</v>
      </c>
      <c r="M935" s="59">
        <f>ROUND(INDEX(DetailByDistrict[],MATCH($H935,DetailByDistrict[Dist],0),MATCH(M$2,DetailByDistrict[#Headers],0))*K935,2)</f>
        <v>71.27</v>
      </c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spans="1:26" ht="15.75" customHeight="1" x14ac:dyDescent="0.25">
      <c r="A936" s="53">
        <v>11</v>
      </c>
      <c r="B936" s="54" t="s">
        <v>1123</v>
      </c>
      <c r="C936" s="54" t="s">
        <v>915</v>
      </c>
      <c r="D936" s="53">
        <v>5805</v>
      </c>
      <c r="E936" s="53">
        <v>8109</v>
      </c>
      <c r="F936" s="54" t="s">
        <v>1144</v>
      </c>
      <c r="G936" s="53" t="s">
        <v>190</v>
      </c>
      <c r="H936" s="58" t="str">
        <f>_xlfn.IFNA(INDEX(ActiveSchools!$C$2:$F$326,MATCH(G936,ActiveSchools!$F$2:$F$326,0),1),"Total")</f>
        <v>1576</v>
      </c>
      <c r="I936" s="53">
        <v>2</v>
      </c>
      <c r="J936" s="59">
        <f>_xlfn.IFNA(INDEX(DetailByDistrict[],MATCH($H936,DetailByDistrict[Dist],0),MATCH(J$2,DetailByDistrict[#Headers],0)),0)</f>
        <v>123</v>
      </c>
      <c r="K936" s="54">
        <f t="shared" si="14"/>
        <v>1.6260162601626018E-2</v>
      </c>
      <c r="L936" s="59">
        <f>ROUND(INDEX(DetailByDistrict[],MATCH($H936,DetailByDistrict[Dist],0),MATCH(L$2,DetailByDistrict[#Headers],0))*K936,2)</f>
        <v>129.72</v>
      </c>
      <c r="M936" s="59">
        <f>ROUND(INDEX(DetailByDistrict[],MATCH($H936,DetailByDistrict[Dist],0),MATCH(M$2,DetailByDistrict[#Headers],0))*K936,2)</f>
        <v>142.55000000000001</v>
      </c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spans="1:26" ht="15.75" customHeight="1" x14ac:dyDescent="0.25">
      <c r="A937" s="53">
        <v>11</v>
      </c>
      <c r="B937" s="54" t="s">
        <v>1123</v>
      </c>
      <c r="C937" s="54" t="s">
        <v>915</v>
      </c>
      <c r="D937" s="53">
        <v>5805</v>
      </c>
      <c r="E937" s="53">
        <v>8109</v>
      </c>
      <c r="F937" s="54" t="s">
        <v>1134</v>
      </c>
      <c r="G937" s="53" t="s">
        <v>191</v>
      </c>
      <c r="H937" s="58" t="str">
        <f>_xlfn.IFNA(INDEX(ActiveSchools!$C$2:$F$326,MATCH(G937,ActiveSchools!$F$2:$F$326,0),1),"Total")</f>
        <v>1737</v>
      </c>
      <c r="I937" s="53">
        <v>91</v>
      </c>
      <c r="J937" s="59">
        <f>_xlfn.IFNA(INDEX(DetailByDistrict[],MATCH($H937,DetailByDistrict[Dist],0),MATCH(J$2,DetailByDistrict[#Headers],0)),0)</f>
        <v>2968</v>
      </c>
      <c r="K937" s="54">
        <f t="shared" si="14"/>
        <v>3.0660377358490566E-2</v>
      </c>
      <c r="L937" s="59">
        <f>ROUND(INDEX(DetailByDistrict[],MATCH($H937,DetailByDistrict[Dist],0),MATCH(L$2,DetailByDistrict[#Headers],0))*K937,2)</f>
        <v>5902.25</v>
      </c>
      <c r="M937" s="59">
        <f>ROUND(INDEX(DetailByDistrict[],MATCH($H937,DetailByDistrict[Dist],0),MATCH(M$2,DetailByDistrict[#Headers],0))*K937,2)</f>
        <v>6486.48</v>
      </c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spans="1:26" ht="15.75" customHeight="1" x14ac:dyDescent="0.25">
      <c r="A938" s="53">
        <v>11</v>
      </c>
      <c r="B938" s="54" t="s">
        <v>1123</v>
      </c>
      <c r="C938" s="54" t="s">
        <v>915</v>
      </c>
      <c r="D938" s="53">
        <v>5805</v>
      </c>
      <c r="E938" s="53">
        <v>8109</v>
      </c>
      <c r="F938" s="54" t="s">
        <v>1152</v>
      </c>
      <c r="G938" s="53" t="s">
        <v>197</v>
      </c>
      <c r="H938" s="58" t="str">
        <f>_xlfn.IFNA(INDEX(ActiveSchools!$C$2:$F$326,MATCH(G938,ActiveSchools!$F$2:$F$326,0),1),"Total")</f>
        <v>3114</v>
      </c>
      <c r="I938" s="53">
        <v>7</v>
      </c>
      <c r="J938" s="59">
        <f>_xlfn.IFNA(INDEX(DetailByDistrict[],MATCH($H938,DetailByDistrict[Dist],0),MATCH(J$2,DetailByDistrict[#Headers],0)),0)</f>
        <v>145</v>
      </c>
      <c r="K938" s="54">
        <f t="shared" si="14"/>
        <v>4.8275862068965517E-2</v>
      </c>
      <c r="L938" s="59">
        <f>ROUND(INDEX(DetailByDistrict[],MATCH($H938,DetailByDistrict[Dist],0),MATCH(L$2,DetailByDistrict[#Headers],0))*K938,2)</f>
        <v>454.03</v>
      </c>
      <c r="M938" s="59">
        <f>ROUND(INDEX(DetailByDistrict[],MATCH($H938,DetailByDistrict[Dist],0),MATCH(M$2,DetailByDistrict[#Headers],0))*K938,2)</f>
        <v>498.98</v>
      </c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spans="1:26" ht="15.75" customHeight="1" x14ac:dyDescent="0.25">
      <c r="A939" s="53">
        <v>11</v>
      </c>
      <c r="B939" s="54" t="s">
        <v>1123</v>
      </c>
      <c r="C939" s="54" t="s">
        <v>915</v>
      </c>
      <c r="D939" s="53">
        <v>5805</v>
      </c>
      <c r="E939" s="53">
        <v>8109</v>
      </c>
      <c r="F939" s="54" t="s">
        <v>1135</v>
      </c>
      <c r="G939" s="53" t="s">
        <v>199</v>
      </c>
      <c r="H939" s="58" t="str">
        <f>_xlfn.IFNA(INDEX(ActiveSchools!$C$2:$F$326,MATCH(G939,ActiveSchools!$F$2:$F$326,0),1),"Total")</f>
        <v>3231</v>
      </c>
      <c r="I939" s="53">
        <v>14</v>
      </c>
      <c r="J939" s="59">
        <f>_xlfn.IFNA(INDEX(DetailByDistrict[],MATCH($H939,DetailByDistrict[Dist],0),MATCH(J$2,DetailByDistrict[#Headers],0)),0)</f>
        <v>509</v>
      </c>
      <c r="K939" s="54">
        <f t="shared" si="14"/>
        <v>2.75049115913556E-2</v>
      </c>
      <c r="L939" s="59">
        <f>ROUND(INDEX(DetailByDistrict[],MATCH($H939,DetailByDistrict[Dist],0),MATCH(L$2,DetailByDistrict[#Headers],0))*K939,2)</f>
        <v>908.05</v>
      </c>
      <c r="M939" s="59">
        <f>ROUND(INDEX(DetailByDistrict[],MATCH($H939,DetailByDistrict[Dist],0),MATCH(M$2,DetailByDistrict[#Headers],0))*K939,2)</f>
        <v>997.93</v>
      </c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spans="1:26" ht="15.75" customHeight="1" x14ac:dyDescent="0.25">
      <c r="A940" s="53">
        <v>11</v>
      </c>
      <c r="B940" s="54" t="s">
        <v>1123</v>
      </c>
      <c r="C940" s="54" t="s">
        <v>915</v>
      </c>
      <c r="D940" s="53">
        <v>5805</v>
      </c>
      <c r="E940" s="53">
        <v>8109</v>
      </c>
      <c r="F940" s="54" t="s">
        <v>1141</v>
      </c>
      <c r="G940" s="53" t="s">
        <v>206</v>
      </c>
      <c r="H940" s="58" t="str">
        <f>_xlfn.IFNA(INDEX(ActiveSchools!$C$2:$F$326,MATCH(G940,ActiveSchools!$F$2:$F$326,0),1),"Total")</f>
        <v>4725</v>
      </c>
      <c r="I940" s="53">
        <v>2</v>
      </c>
      <c r="J940" s="59">
        <f>_xlfn.IFNA(INDEX(DetailByDistrict[],MATCH($H940,DetailByDistrict[Dist],0),MATCH(J$2,DetailByDistrict[#Headers],0)),0)</f>
        <v>115</v>
      </c>
      <c r="K940" s="54">
        <f t="shared" si="14"/>
        <v>1.7391304347826087E-2</v>
      </c>
      <c r="L940" s="59">
        <f>ROUND(INDEX(DetailByDistrict[],MATCH($H940,DetailByDistrict[Dist],0),MATCH(L$2,DetailByDistrict[#Headers],0))*K940,2)</f>
        <v>129.72</v>
      </c>
      <c r="M940" s="59">
        <f>ROUND(INDEX(DetailByDistrict[],MATCH($H940,DetailByDistrict[Dist],0),MATCH(M$2,DetailByDistrict[#Headers],0))*K940,2)</f>
        <v>142.56</v>
      </c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spans="1:26" ht="15.75" customHeight="1" x14ac:dyDescent="0.25">
      <c r="A941" s="53">
        <v>11</v>
      </c>
      <c r="B941" s="54" t="s">
        <v>1123</v>
      </c>
      <c r="C941" s="54" t="s">
        <v>915</v>
      </c>
      <c r="D941" s="53">
        <v>5805</v>
      </c>
      <c r="E941" s="53">
        <v>8109</v>
      </c>
      <c r="F941" s="54" t="s">
        <v>1136</v>
      </c>
      <c r="G941" s="53" t="s">
        <v>206</v>
      </c>
      <c r="H941" s="58" t="str">
        <f>_xlfn.IFNA(INDEX(ActiveSchools!$C$2:$F$326,MATCH(G941,ActiveSchools!$F$2:$F$326,0),1),"Total")</f>
        <v>4725</v>
      </c>
      <c r="I941" s="53">
        <v>5</v>
      </c>
      <c r="J941" s="59">
        <f>_xlfn.IFNA(INDEX(DetailByDistrict[],MATCH($H941,DetailByDistrict[Dist],0),MATCH(J$2,DetailByDistrict[#Headers],0)),0)</f>
        <v>115</v>
      </c>
      <c r="K941" s="54">
        <f t="shared" si="14"/>
        <v>4.3478260869565216E-2</v>
      </c>
      <c r="L941" s="59">
        <f>ROUND(INDEX(DetailByDistrict[],MATCH($H941,DetailByDistrict[Dist],0),MATCH(L$2,DetailByDistrict[#Headers],0))*K941,2)</f>
        <v>324.3</v>
      </c>
      <c r="M941" s="59">
        <f>ROUND(INDEX(DetailByDistrict[],MATCH($H941,DetailByDistrict[Dist],0),MATCH(M$2,DetailByDistrict[#Headers],0))*K941,2)</f>
        <v>356.39</v>
      </c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spans="1:26" ht="15.75" customHeight="1" x14ac:dyDescent="0.25">
      <c r="A942" s="53">
        <v>11</v>
      </c>
      <c r="B942" s="54" t="s">
        <v>1123</v>
      </c>
      <c r="C942" s="54" t="s">
        <v>915</v>
      </c>
      <c r="D942" s="53">
        <v>5805</v>
      </c>
      <c r="E942" s="53">
        <v>8109</v>
      </c>
      <c r="F942" s="54" t="s">
        <v>1153</v>
      </c>
      <c r="G942" s="53" t="s">
        <v>208</v>
      </c>
      <c r="H942" s="58" t="str">
        <f>_xlfn.IFNA(INDEX(ActiveSchools!$C$2:$F$326,MATCH(G942,ActiveSchools!$F$2:$F$326,0),1),"Total")</f>
        <v>4797</v>
      </c>
      <c r="I942" s="53">
        <v>7</v>
      </c>
      <c r="J942" s="59">
        <f>_xlfn.IFNA(INDEX(DetailByDistrict[],MATCH($H942,DetailByDistrict[Dist],0),MATCH(J$2,DetailByDistrict[#Headers],0)),0)</f>
        <v>161</v>
      </c>
      <c r="K942" s="54">
        <f t="shared" si="14"/>
        <v>4.3478260869565216E-2</v>
      </c>
      <c r="L942" s="59">
        <f>ROUND(INDEX(DetailByDistrict[],MATCH($H942,DetailByDistrict[Dist],0),MATCH(L$2,DetailByDistrict[#Headers],0))*K942,2)</f>
        <v>454</v>
      </c>
      <c r="M942" s="59">
        <f>ROUND(INDEX(DetailByDistrict[],MATCH($H942,DetailByDistrict[Dist],0),MATCH(M$2,DetailByDistrict[#Headers],0))*K942,2)</f>
        <v>498.96</v>
      </c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spans="1:26" ht="15.75" customHeight="1" x14ac:dyDescent="0.25">
      <c r="A943" s="53">
        <v>11</v>
      </c>
      <c r="B943" s="54" t="s">
        <v>1123</v>
      </c>
      <c r="C943" s="54" t="s">
        <v>915</v>
      </c>
      <c r="D943" s="53">
        <v>5805</v>
      </c>
      <c r="E943" s="53">
        <v>8109</v>
      </c>
      <c r="F943" s="54" t="s">
        <v>1161</v>
      </c>
      <c r="G943" s="53" t="s">
        <v>699</v>
      </c>
      <c r="H943" s="58" t="str">
        <f>_xlfn.IFNA(INDEX(ActiveSchools!$C$2:$F$326,MATCH(G943,ActiveSchools!$F$2:$F$326,0),1),"Total")</f>
        <v>5319</v>
      </c>
      <c r="I943" s="53">
        <v>1</v>
      </c>
      <c r="J943" s="59">
        <f>_xlfn.IFNA(INDEX(DetailByDistrict[],MATCH($H943,DetailByDistrict[Dist],0),MATCH(J$2,DetailByDistrict[#Headers],0)),0)</f>
        <v>22</v>
      </c>
      <c r="K943" s="54">
        <f t="shared" si="14"/>
        <v>4.5454545454545456E-2</v>
      </c>
      <c r="L943" s="59">
        <f>ROUND(INDEX(DetailByDistrict[],MATCH($H943,DetailByDistrict[Dist],0),MATCH(L$2,DetailByDistrict[#Headers],0))*K943,2)</f>
        <v>64.86</v>
      </c>
      <c r="M943" s="59">
        <f>ROUND(INDEX(DetailByDistrict[],MATCH($H943,DetailByDistrict[Dist],0),MATCH(M$2,DetailByDistrict[#Headers],0))*K943,2)</f>
        <v>71.27</v>
      </c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spans="1:26" ht="15.75" customHeight="1" x14ac:dyDescent="0.25">
      <c r="A944" s="53">
        <v>11</v>
      </c>
      <c r="B944" s="54" t="s">
        <v>1123</v>
      </c>
      <c r="C944" s="54" t="s">
        <v>915</v>
      </c>
      <c r="D944" s="53">
        <v>5805</v>
      </c>
      <c r="E944" s="53">
        <v>8109</v>
      </c>
      <c r="F944" s="54" t="s">
        <v>1137</v>
      </c>
      <c r="G944" s="53" t="s">
        <v>217</v>
      </c>
      <c r="H944" s="58" t="str">
        <f>_xlfn.IFNA(INDEX(ActiveSchools!$C$2:$F$326,MATCH(G944,ActiveSchools!$F$2:$F$326,0),1),"Total")</f>
        <v>5805</v>
      </c>
      <c r="I944" s="53">
        <v>22</v>
      </c>
      <c r="J944" s="59">
        <f>_xlfn.IFNA(INDEX(DetailByDistrict[],MATCH($H944,DetailByDistrict[Dist],0),MATCH(J$2,DetailByDistrict[#Headers],0)),0)</f>
        <v>75</v>
      </c>
      <c r="K944" s="54">
        <f t="shared" si="14"/>
        <v>0.29333333333333333</v>
      </c>
      <c r="L944" s="59">
        <f>ROUND(INDEX(DetailByDistrict[],MATCH($H944,DetailByDistrict[Dist],0),MATCH(L$2,DetailByDistrict[#Headers],0))*K944,2)</f>
        <v>1427.07</v>
      </c>
      <c r="M944" s="59">
        <f>ROUND(INDEX(DetailByDistrict[],MATCH($H944,DetailByDistrict[Dist],0),MATCH(M$2,DetailByDistrict[#Headers],0))*K944,2)</f>
        <v>1568.16</v>
      </c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spans="1:26" ht="15.75" customHeight="1" x14ac:dyDescent="0.25">
      <c r="A945" s="53">
        <v>11</v>
      </c>
      <c r="B945" s="54" t="s">
        <v>1123</v>
      </c>
      <c r="C945" s="54" t="s">
        <v>915</v>
      </c>
      <c r="D945" s="53">
        <v>5805</v>
      </c>
      <c r="E945" s="53">
        <v>8109</v>
      </c>
      <c r="F945" s="54" t="s">
        <v>1142</v>
      </c>
      <c r="G945" s="53" t="s">
        <v>218</v>
      </c>
      <c r="H945" s="58" t="str">
        <f>_xlfn.IFNA(INDEX(ActiveSchools!$C$2:$F$326,MATCH(G945,ActiveSchools!$F$2:$F$326,0),1),"Total")</f>
        <v>6101</v>
      </c>
      <c r="I945" s="53">
        <v>127</v>
      </c>
      <c r="J945" s="59">
        <f>_xlfn.IFNA(INDEX(DetailByDistrict[],MATCH($H945,DetailByDistrict[Dist],0),MATCH(J$2,DetailByDistrict[#Headers],0)),0)</f>
        <v>431</v>
      </c>
      <c r="K945" s="54">
        <f t="shared" si="14"/>
        <v>0.29466357308584684</v>
      </c>
      <c r="L945" s="59">
        <f>ROUND(INDEX(DetailByDistrict[],MATCH($H945,DetailByDistrict[Dist],0),MATCH(L$2,DetailByDistrict[#Headers],0))*K945,2)</f>
        <v>8237.32</v>
      </c>
      <c r="M945" s="59">
        <f>ROUND(INDEX(DetailByDistrict[],MATCH($H945,DetailByDistrict[Dist],0),MATCH(M$2,DetailByDistrict[#Headers],0))*K945,2)</f>
        <v>9052.65</v>
      </c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spans="1:26" ht="15.75" customHeight="1" x14ac:dyDescent="0.25">
      <c r="A946" s="53">
        <v>11</v>
      </c>
      <c r="B946" s="54" t="s">
        <v>1123</v>
      </c>
      <c r="C946" s="54" t="s">
        <v>915</v>
      </c>
      <c r="D946" s="53">
        <v>5805</v>
      </c>
      <c r="E946" s="53">
        <v>8109</v>
      </c>
      <c r="F946" s="54" t="s">
        <v>1145</v>
      </c>
      <c r="G946" s="53" t="s">
        <v>222</v>
      </c>
      <c r="H946" s="58" t="str">
        <f>_xlfn.IFNA(INDEX(ActiveSchools!$C$2:$F$326,MATCH(G946,ActiveSchools!$F$2:$F$326,0),1),"Total")</f>
        <v>6579</v>
      </c>
      <c r="I946" s="53">
        <v>15</v>
      </c>
      <c r="J946" s="59">
        <f>_xlfn.IFNA(INDEX(DetailByDistrict[],MATCH($H946,DetailByDistrict[Dist],0),MATCH(J$2,DetailByDistrict[#Headers],0)),0)</f>
        <v>484</v>
      </c>
      <c r="K946" s="54">
        <f t="shared" si="14"/>
        <v>3.0991735537190084E-2</v>
      </c>
      <c r="L946" s="59">
        <f>ROUND(INDEX(DetailByDistrict[],MATCH($H946,DetailByDistrict[Dist],0),MATCH(L$2,DetailByDistrict[#Headers],0))*K946,2)</f>
        <v>972.89</v>
      </c>
      <c r="M946" s="59">
        <f>ROUND(INDEX(DetailByDistrict[],MATCH($H946,DetailByDistrict[Dist],0),MATCH(M$2,DetailByDistrict[#Headers],0))*K946,2)</f>
        <v>1069.21</v>
      </c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spans="1:26" ht="15.75" customHeight="1" x14ac:dyDescent="0.25">
      <c r="A947" s="53">
        <v>11</v>
      </c>
      <c r="B947" s="54" t="s">
        <v>1123</v>
      </c>
      <c r="C947" s="54" t="s">
        <v>915</v>
      </c>
      <c r="D947" s="53">
        <v>5805</v>
      </c>
      <c r="E947" s="53">
        <v>8109</v>
      </c>
      <c r="F947" s="54" t="s">
        <v>1138</v>
      </c>
      <c r="G947" s="53" t="s">
        <v>224</v>
      </c>
      <c r="H947" s="58" t="str">
        <f>_xlfn.IFNA(INDEX(ActiveSchools!$C$2:$F$326,MATCH(G947,ActiveSchools!$F$2:$F$326,0),1),"Total")</f>
        <v>6822</v>
      </c>
      <c r="I947" s="53">
        <v>13</v>
      </c>
      <c r="J947" s="59">
        <f>_xlfn.IFNA(INDEX(DetailByDistrict[],MATCH($H947,DetailByDistrict[Dist],0),MATCH(J$2,DetailByDistrict[#Headers],0)),0)</f>
        <v>1399</v>
      </c>
      <c r="K947" s="54">
        <f t="shared" si="14"/>
        <v>9.2923516797712644E-3</v>
      </c>
      <c r="L947" s="59">
        <f>ROUND(INDEX(DetailByDistrict[],MATCH($H947,DetailByDistrict[Dist],0),MATCH(L$2,DetailByDistrict[#Headers],0))*K947,2)</f>
        <v>843.18</v>
      </c>
      <c r="M947" s="59">
        <f>ROUND(INDEX(DetailByDistrict[],MATCH($H947,DetailByDistrict[Dist],0),MATCH(M$2,DetailByDistrict[#Headers],0))*K947,2)</f>
        <v>926.64</v>
      </c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spans="1:26" ht="15.75" customHeight="1" x14ac:dyDescent="0.25">
      <c r="A948" s="53">
        <v>11</v>
      </c>
      <c r="B948" s="54" t="s">
        <v>1123</v>
      </c>
      <c r="C948" s="54" t="s">
        <v>915</v>
      </c>
      <c r="D948" s="53">
        <v>5805</v>
      </c>
      <c r="E948" s="53">
        <v>8109</v>
      </c>
      <c r="F948" s="54" t="s">
        <v>1139</v>
      </c>
      <c r="G948" s="53" t="s">
        <v>226</v>
      </c>
      <c r="H948" s="58" t="str">
        <f>_xlfn.IFNA(INDEX(ActiveSchools!$C$2:$F$326,MATCH(G948,ActiveSchools!$F$2:$F$326,0),1),"Total")</f>
        <v>6957</v>
      </c>
      <c r="I948" s="53">
        <v>16</v>
      </c>
      <c r="J948" s="59">
        <f>_xlfn.IFNA(INDEX(DetailByDistrict[],MATCH($H948,DetailByDistrict[Dist],0),MATCH(J$2,DetailByDistrict[#Headers],0)),0)</f>
        <v>1305</v>
      </c>
      <c r="K948" s="54">
        <f t="shared" si="14"/>
        <v>1.2260536398467433E-2</v>
      </c>
      <c r="L948" s="59">
        <f>ROUND(INDEX(DetailByDistrict[],MATCH($H948,DetailByDistrict[Dist],0),MATCH(L$2,DetailByDistrict[#Headers],0))*K948,2)</f>
        <v>1037.76</v>
      </c>
      <c r="M948" s="59">
        <f>ROUND(INDEX(DetailByDistrict[],MATCH($H948,DetailByDistrict[Dist],0),MATCH(M$2,DetailByDistrict[#Headers],0))*K948,2)</f>
        <v>1140.48</v>
      </c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spans="1:26" ht="15.75" customHeight="1" x14ac:dyDescent="0.25">
      <c r="A949" s="53">
        <v>11</v>
      </c>
      <c r="B949" s="54" t="s">
        <v>1123</v>
      </c>
      <c r="C949" s="54" t="s">
        <v>915</v>
      </c>
      <c r="D949" s="53">
        <v>5805</v>
      </c>
      <c r="E949" s="53">
        <v>8109</v>
      </c>
      <c r="F949" s="54" t="s">
        <v>1143</v>
      </c>
      <c r="G949" s="53" t="s">
        <v>228</v>
      </c>
      <c r="H949" s="58" t="str">
        <f>_xlfn.IFNA(INDEX(ActiveSchools!$C$2:$F$326,MATCH(G949,ActiveSchools!$F$2:$F$326,0),1),"Total")</f>
        <v>7110</v>
      </c>
      <c r="I949" s="53">
        <v>2</v>
      </c>
      <c r="J949" s="59">
        <f>_xlfn.IFNA(INDEX(DetailByDistrict[],MATCH($H949,DetailByDistrict[Dist],0),MATCH(J$2,DetailByDistrict[#Headers],0)),0)</f>
        <v>28</v>
      </c>
      <c r="K949" s="54">
        <f t="shared" si="14"/>
        <v>7.1428571428571425E-2</v>
      </c>
      <c r="L949" s="59">
        <f>ROUND(INDEX(DetailByDistrict[],MATCH($H949,DetailByDistrict[Dist],0),MATCH(L$2,DetailByDistrict[#Headers],0))*K949,2)</f>
        <v>129.71</v>
      </c>
      <c r="M949" s="59">
        <f>ROUND(INDEX(DetailByDistrict[],MATCH($H949,DetailByDistrict[Dist],0),MATCH(M$2,DetailByDistrict[#Headers],0))*K949,2)</f>
        <v>142.57</v>
      </c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spans="1:26" ht="15.75" customHeight="1" x14ac:dyDescent="0.25">
      <c r="A950" s="53">
        <v>11</v>
      </c>
      <c r="B950" s="54" t="s">
        <v>1123</v>
      </c>
      <c r="C950" s="54" t="s">
        <v>933</v>
      </c>
      <c r="D950" s="53">
        <v>6579</v>
      </c>
      <c r="E950" s="53">
        <v>8112</v>
      </c>
      <c r="F950" s="54" t="s">
        <v>1156</v>
      </c>
      <c r="G950" s="57" t="s">
        <v>176</v>
      </c>
      <c r="H950" s="58" t="str">
        <f>_xlfn.IFNA(INDEX(ActiveSchools!$C$2:$F$326,MATCH(G950,ActiveSchools!$F$2:$F$326,0),1),"Total")</f>
        <v>0027</v>
      </c>
      <c r="I950" s="53">
        <v>2</v>
      </c>
      <c r="J950" s="59">
        <f>_xlfn.IFNA(INDEX(DetailByDistrict[],MATCH($H950,DetailByDistrict[Dist],0),MATCH(J$2,DetailByDistrict[#Headers],0)),0)</f>
        <v>51</v>
      </c>
      <c r="K950" s="54">
        <f t="shared" si="14"/>
        <v>3.9215686274509803E-2</v>
      </c>
      <c r="L950" s="59">
        <f>ROUND(INDEX(DetailByDistrict[],MATCH($H950,DetailByDistrict[Dist],0),MATCH(L$2,DetailByDistrict[#Headers],0))*K950,2)</f>
        <v>129.72999999999999</v>
      </c>
      <c r="M950" s="59">
        <f>ROUND(INDEX(DetailByDistrict[],MATCH($H950,DetailByDistrict[Dist],0),MATCH(M$2,DetailByDistrict[#Headers],0))*K950,2)</f>
        <v>142.55000000000001</v>
      </c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spans="1:26" ht="15.75" customHeight="1" x14ac:dyDescent="0.25">
      <c r="A951" s="53">
        <v>11</v>
      </c>
      <c r="B951" s="54" t="s">
        <v>1123</v>
      </c>
      <c r="C951" s="54" t="s">
        <v>933</v>
      </c>
      <c r="D951" s="53">
        <v>6579</v>
      </c>
      <c r="E951" s="53">
        <v>8112</v>
      </c>
      <c r="F951" s="54" t="s">
        <v>1125</v>
      </c>
      <c r="G951" s="57" t="s">
        <v>178</v>
      </c>
      <c r="H951" s="58" t="str">
        <f>_xlfn.IFNA(INDEX(ActiveSchools!$C$2:$F$326,MATCH(G951,ActiveSchools!$F$2:$F$326,0),1),"Total")</f>
        <v>0261</v>
      </c>
      <c r="I951" s="53">
        <v>5</v>
      </c>
      <c r="J951" s="59">
        <f>_xlfn.IFNA(INDEX(DetailByDistrict[],MATCH($H951,DetailByDistrict[Dist],0),MATCH(J$2,DetailByDistrict[#Headers],0)),0)</f>
        <v>1188</v>
      </c>
      <c r="K951" s="54">
        <f t="shared" si="14"/>
        <v>4.2087542087542087E-3</v>
      </c>
      <c r="L951" s="59">
        <f>ROUND(INDEX(DetailByDistrict[],MATCH($H951,DetailByDistrict[Dist],0),MATCH(L$2,DetailByDistrict[#Headers],0))*K951,2)</f>
        <v>324.3</v>
      </c>
      <c r="M951" s="59">
        <f>ROUND(INDEX(DetailByDistrict[],MATCH($H951,DetailByDistrict[Dist],0),MATCH(M$2,DetailByDistrict[#Headers],0))*K951,2)</f>
        <v>356.4</v>
      </c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spans="1:26" ht="15.75" customHeight="1" x14ac:dyDescent="0.25">
      <c r="A952" s="53">
        <v>11</v>
      </c>
      <c r="B952" s="54" t="s">
        <v>1123</v>
      </c>
      <c r="C952" s="54" t="s">
        <v>933</v>
      </c>
      <c r="D952" s="53">
        <v>6579</v>
      </c>
      <c r="E952" s="53">
        <v>8112</v>
      </c>
      <c r="F952" s="54" t="s">
        <v>1144</v>
      </c>
      <c r="G952" s="53" t="s">
        <v>190</v>
      </c>
      <c r="H952" s="58" t="str">
        <f>_xlfn.IFNA(INDEX(ActiveSchools!$C$2:$F$326,MATCH(G952,ActiveSchools!$F$2:$F$326,0),1),"Total")</f>
        <v>1576</v>
      </c>
      <c r="I952" s="53">
        <v>14</v>
      </c>
      <c r="J952" s="59">
        <f>_xlfn.IFNA(INDEX(DetailByDistrict[],MATCH($H952,DetailByDistrict[Dist],0),MATCH(J$2,DetailByDistrict[#Headers],0)),0)</f>
        <v>123</v>
      </c>
      <c r="K952" s="54">
        <f t="shared" si="14"/>
        <v>0.11382113821138211</v>
      </c>
      <c r="L952" s="59">
        <f>ROUND(INDEX(DetailByDistrict[],MATCH($H952,DetailByDistrict[Dist],0),MATCH(L$2,DetailByDistrict[#Headers],0))*K952,2)</f>
        <v>908.07</v>
      </c>
      <c r="M952" s="59">
        <f>ROUND(INDEX(DetailByDistrict[],MATCH($H952,DetailByDistrict[Dist],0),MATCH(M$2,DetailByDistrict[#Headers],0))*K952,2)</f>
        <v>997.87</v>
      </c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spans="1:26" ht="15.75" customHeight="1" x14ac:dyDescent="0.25">
      <c r="A953" s="53">
        <v>11</v>
      </c>
      <c r="B953" s="54" t="s">
        <v>1123</v>
      </c>
      <c r="C953" s="54" t="s">
        <v>933</v>
      </c>
      <c r="D953" s="53">
        <v>6579</v>
      </c>
      <c r="E953" s="53">
        <v>8112</v>
      </c>
      <c r="F953" s="54" t="s">
        <v>1134</v>
      </c>
      <c r="G953" s="53" t="s">
        <v>191</v>
      </c>
      <c r="H953" s="58" t="str">
        <f>_xlfn.IFNA(INDEX(ActiveSchools!$C$2:$F$326,MATCH(G953,ActiveSchools!$F$2:$F$326,0),1),"Total")</f>
        <v>1737</v>
      </c>
      <c r="I953" s="53">
        <v>48</v>
      </c>
      <c r="J953" s="59">
        <f>_xlfn.IFNA(INDEX(DetailByDistrict[],MATCH($H953,DetailByDistrict[Dist],0),MATCH(J$2,DetailByDistrict[#Headers],0)),0)</f>
        <v>2968</v>
      </c>
      <c r="K953" s="54">
        <f t="shared" si="14"/>
        <v>1.6172506738544475E-2</v>
      </c>
      <c r="L953" s="59">
        <f>ROUND(INDEX(DetailByDistrict[],MATCH($H953,DetailByDistrict[Dist],0),MATCH(L$2,DetailByDistrict[#Headers],0))*K953,2)</f>
        <v>3113.27</v>
      </c>
      <c r="M953" s="59">
        <f>ROUND(INDEX(DetailByDistrict[],MATCH($H953,DetailByDistrict[Dist],0),MATCH(M$2,DetailByDistrict[#Headers],0))*K953,2)</f>
        <v>3421.44</v>
      </c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spans="1:26" ht="15.75" customHeight="1" x14ac:dyDescent="0.25">
      <c r="A954" s="53">
        <v>11</v>
      </c>
      <c r="B954" s="54" t="s">
        <v>1123</v>
      </c>
      <c r="C954" s="54" t="s">
        <v>933</v>
      </c>
      <c r="D954" s="53">
        <v>6579</v>
      </c>
      <c r="E954" s="53">
        <v>8112</v>
      </c>
      <c r="F954" s="54" t="s">
        <v>1135</v>
      </c>
      <c r="G954" s="53" t="s">
        <v>199</v>
      </c>
      <c r="H954" s="58" t="str">
        <f>_xlfn.IFNA(INDEX(ActiveSchools!$C$2:$F$326,MATCH(G954,ActiveSchools!$F$2:$F$326,0),1),"Total")</f>
        <v>3231</v>
      </c>
      <c r="I954" s="53">
        <v>112</v>
      </c>
      <c r="J954" s="59">
        <f>_xlfn.IFNA(INDEX(DetailByDistrict[],MATCH($H954,DetailByDistrict[Dist],0),MATCH(J$2,DetailByDistrict[#Headers],0)),0)</f>
        <v>509</v>
      </c>
      <c r="K954" s="54">
        <f t="shared" si="14"/>
        <v>0.2200392927308448</v>
      </c>
      <c r="L954" s="59">
        <f>ROUND(INDEX(DetailByDistrict[],MATCH($H954,DetailByDistrict[Dist],0),MATCH(L$2,DetailByDistrict[#Headers],0))*K954,2)</f>
        <v>7264.38</v>
      </c>
      <c r="M954" s="59">
        <f>ROUND(INDEX(DetailByDistrict[],MATCH($H954,DetailByDistrict[Dist],0),MATCH(M$2,DetailByDistrict[#Headers],0))*K954,2)</f>
        <v>7983.47</v>
      </c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spans="1:26" ht="15.75" customHeight="1" x14ac:dyDescent="0.25">
      <c r="A955" s="53">
        <v>11</v>
      </c>
      <c r="B955" s="54" t="s">
        <v>1123</v>
      </c>
      <c r="C955" s="54" t="s">
        <v>933</v>
      </c>
      <c r="D955" s="53">
        <v>6579</v>
      </c>
      <c r="E955" s="53">
        <v>8112</v>
      </c>
      <c r="F955" s="54" t="s">
        <v>1171</v>
      </c>
      <c r="G955" s="53" t="s">
        <v>203</v>
      </c>
      <c r="H955" s="58" t="str">
        <f>_xlfn.IFNA(INDEX(ActiveSchools!$C$2:$F$326,MATCH(G955,ActiveSchools!$F$2:$F$326,0),1),"Total")</f>
        <v>4122</v>
      </c>
      <c r="I955" s="53">
        <v>1</v>
      </c>
      <c r="J955" s="59">
        <f>_xlfn.IFNA(INDEX(DetailByDistrict[],MATCH($H955,DetailByDistrict[Dist],0),MATCH(J$2,DetailByDistrict[#Headers],0)),0)</f>
        <v>24</v>
      </c>
      <c r="K955" s="54">
        <f t="shared" si="14"/>
        <v>4.1666666666666664E-2</v>
      </c>
      <c r="L955" s="59">
        <f>ROUND(INDEX(DetailByDistrict[],MATCH($H955,DetailByDistrict[Dist],0),MATCH(L$2,DetailByDistrict[#Headers],0))*K955,2)</f>
        <v>64.88</v>
      </c>
      <c r="M955" s="59">
        <f>ROUND(INDEX(DetailByDistrict[],MATCH($H955,DetailByDistrict[Dist],0),MATCH(M$2,DetailByDistrict[#Headers],0))*K955,2)</f>
        <v>71.290000000000006</v>
      </c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spans="1:26" ht="15.75" customHeight="1" x14ac:dyDescent="0.25">
      <c r="A956" s="53">
        <v>11</v>
      </c>
      <c r="B956" s="54" t="s">
        <v>1123</v>
      </c>
      <c r="C956" s="54" t="s">
        <v>933</v>
      </c>
      <c r="D956" s="53">
        <v>6579</v>
      </c>
      <c r="E956" s="53">
        <v>8112</v>
      </c>
      <c r="F956" s="54" t="s">
        <v>1153</v>
      </c>
      <c r="G956" s="53" t="s">
        <v>208</v>
      </c>
      <c r="H956" s="58" t="str">
        <f>_xlfn.IFNA(INDEX(ActiveSchools!$C$2:$F$326,MATCH(G956,ActiveSchools!$F$2:$F$326,0),1),"Total")</f>
        <v>4797</v>
      </c>
      <c r="I956" s="53">
        <v>1</v>
      </c>
      <c r="J956" s="59">
        <f>_xlfn.IFNA(INDEX(DetailByDistrict[],MATCH($H956,DetailByDistrict[Dist],0),MATCH(J$2,DetailByDistrict[#Headers],0)),0)</f>
        <v>161</v>
      </c>
      <c r="K956" s="54">
        <f t="shared" si="14"/>
        <v>6.2111801242236021E-3</v>
      </c>
      <c r="L956" s="59">
        <f>ROUND(INDEX(DetailByDistrict[],MATCH($H956,DetailByDistrict[Dist],0),MATCH(L$2,DetailByDistrict[#Headers],0))*K956,2)</f>
        <v>64.86</v>
      </c>
      <c r="M956" s="59">
        <f>ROUND(INDEX(DetailByDistrict[],MATCH($H956,DetailByDistrict[Dist],0),MATCH(M$2,DetailByDistrict[#Headers],0))*K956,2)</f>
        <v>71.28</v>
      </c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spans="1:26" ht="15.75" customHeight="1" x14ac:dyDescent="0.25">
      <c r="A957" s="53">
        <v>11</v>
      </c>
      <c r="B957" s="54" t="s">
        <v>1123</v>
      </c>
      <c r="C957" s="54" t="s">
        <v>933</v>
      </c>
      <c r="D957" s="53">
        <v>6579</v>
      </c>
      <c r="E957" s="53">
        <v>8112</v>
      </c>
      <c r="F957" s="54" t="s">
        <v>1142</v>
      </c>
      <c r="G957" s="53" t="s">
        <v>218</v>
      </c>
      <c r="H957" s="58" t="str">
        <f>_xlfn.IFNA(INDEX(ActiveSchools!$C$2:$F$326,MATCH(G957,ActiveSchools!$F$2:$F$326,0),1),"Total")</f>
        <v>6101</v>
      </c>
      <c r="I957" s="53">
        <v>5</v>
      </c>
      <c r="J957" s="59">
        <f>_xlfn.IFNA(INDEX(DetailByDistrict[],MATCH($H957,DetailByDistrict[Dist],0),MATCH(J$2,DetailByDistrict[#Headers],0)),0)</f>
        <v>431</v>
      </c>
      <c r="K957" s="54">
        <f t="shared" si="14"/>
        <v>1.1600928074245939E-2</v>
      </c>
      <c r="L957" s="59">
        <f>ROUND(INDEX(DetailByDistrict[],MATCH($H957,DetailByDistrict[Dist],0),MATCH(L$2,DetailByDistrict[#Headers],0))*K957,2)</f>
        <v>324.3</v>
      </c>
      <c r="M957" s="59">
        <f>ROUND(INDEX(DetailByDistrict[],MATCH($H957,DetailByDistrict[Dist],0),MATCH(M$2,DetailByDistrict[#Headers],0))*K957,2)</f>
        <v>356.4</v>
      </c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spans="1:26" ht="15.75" customHeight="1" x14ac:dyDescent="0.25">
      <c r="A958" s="53">
        <v>11</v>
      </c>
      <c r="B958" s="54" t="s">
        <v>1123</v>
      </c>
      <c r="C958" s="54" t="s">
        <v>933</v>
      </c>
      <c r="D958" s="53">
        <v>6579</v>
      </c>
      <c r="E958" s="53">
        <v>8112</v>
      </c>
      <c r="F958" s="54" t="s">
        <v>1145</v>
      </c>
      <c r="G958" s="53" t="s">
        <v>222</v>
      </c>
      <c r="H958" s="58" t="str">
        <f>_xlfn.IFNA(INDEX(ActiveSchools!$C$2:$F$326,MATCH(G958,ActiveSchools!$F$2:$F$326,0),1),"Total")</f>
        <v>6579</v>
      </c>
      <c r="I958" s="53">
        <v>96</v>
      </c>
      <c r="J958" s="59">
        <f>_xlfn.IFNA(INDEX(DetailByDistrict[],MATCH($H958,DetailByDistrict[Dist],0),MATCH(J$2,DetailByDistrict[#Headers],0)),0)</f>
        <v>484</v>
      </c>
      <c r="K958" s="54">
        <f t="shared" si="14"/>
        <v>0.19834710743801653</v>
      </c>
      <c r="L958" s="59">
        <f>ROUND(INDEX(DetailByDistrict[],MATCH($H958,DetailByDistrict[Dist],0),MATCH(L$2,DetailByDistrict[#Headers],0))*K958,2)</f>
        <v>6226.51</v>
      </c>
      <c r="M958" s="59">
        <f>ROUND(INDEX(DetailByDistrict[],MATCH($H958,DetailByDistrict[Dist],0),MATCH(M$2,DetailByDistrict[#Headers],0))*K958,2)</f>
        <v>6842.98</v>
      </c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spans="1:26" ht="15.75" customHeight="1" x14ac:dyDescent="0.25">
      <c r="A959" s="53">
        <v>11</v>
      </c>
      <c r="B959" s="54" t="s">
        <v>1123</v>
      </c>
      <c r="C959" s="54" t="s">
        <v>933</v>
      </c>
      <c r="D959" s="53">
        <v>6579</v>
      </c>
      <c r="E959" s="53">
        <v>8112</v>
      </c>
      <c r="F959" s="54" t="s">
        <v>1160</v>
      </c>
      <c r="G959" s="53" t="s">
        <v>223</v>
      </c>
      <c r="H959" s="58" t="str">
        <f>_xlfn.IFNA(INDEX(ActiveSchools!$C$2:$F$326,MATCH(G959,ActiveSchools!$F$2:$F$326,0),1),"Total")</f>
        <v>6615</v>
      </c>
      <c r="I959" s="53">
        <v>2</v>
      </c>
      <c r="J959" s="59">
        <f>_xlfn.IFNA(INDEX(DetailByDistrict[],MATCH($H959,DetailByDistrict[Dist],0),MATCH(J$2,DetailByDistrict[#Headers],0)),0)</f>
        <v>42</v>
      </c>
      <c r="K959" s="54">
        <f t="shared" si="14"/>
        <v>4.7619047619047616E-2</v>
      </c>
      <c r="L959" s="59">
        <f>ROUND(INDEX(DetailByDistrict[],MATCH($H959,DetailByDistrict[Dist],0),MATCH(L$2,DetailByDistrict[#Headers],0))*K959,2)</f>
        <v>129.71</v>
      </c>
      <c r="M959" s="59">
        <f>ROUND(INDEX(DetailByDistrict[],MATCH($H959,DetailByDistrict[Dist],0),MATCH(M$2,DetailByDistrict[#Headers],0))*K959,2)</f>
        <v>142.57</v>
      </c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spans="1:26" ht="15.75" customHeight="1" x14ac:dyDescent="0.25">
      <c r="A960" s="53">
        <v>11</v>
      </c>
      <c r="B960" s="54" t="s">
        <v>1123</v>
      </c>
      <c r="C960" s="54" t="s">
        <v>933</v>
      </c>
      <c r="D960" s="53">
        <v>6579</v>
      </c>
      <c r="E960" s="53">
        <v>8112</v>
      </c>
      <c r="F960" s="54" t="s">
        <v>1138</v>
      </c>
      <c r="G960" s="53" t="s">
        <v>224</v>
      </c>
      <c r="H960" s="58" t="str">
        <f>_xlfn.IFNA(INDEX(ActiveSchools!$C$2:$F$326,MATCH(G960,ActiveSchools!$F$2:$F$326,0),1),"Total")</f>
        <v>6822</v>
      </c>
      <c r="I960" s="53">
        <v>47</v>
      </c>
      <c r="J960" s="59">
        <f>_xlfn.IFNA(INDEX(DetailByDistrict[],MATCH($H960,DetailByDistrict[Dist],0),MATCH(J$2,DetailByDistrict[#Headers],0)),0)</f>
        <v>1399</v>
      </c>
      <c r="K960" s="54">
        <f t="shared" si="14"/>
        <v>3.3595425303788423E-2</v>
      </c>
      <c r="L960" s="59">
        <f>ROUND(INDEX(DetailByDistrict[],MATCH($H960,DetailByDistrict[Dist],0),MATCH(L$2,DetailByDistrict[#Headers],0))*K960,2)</f>
        <v>3048.42</v>
      </c>
      <c r="M960" s="59">
        <f>ROUND(INDEX(DetailByDistrict[],MATCH($H960,DetailByDistrict[Dist],0),MATCH(M$2,DetailByDistrict[#Headers],0))*K960,2)</f>
        <v>3350.17</v>
      </c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spans="1:26" ht="15.75" customHeight="1" x14ac:dyDescent="0.25">
      <c r="A961" s="53">
        <v>11</v>
      </c>
      <c r="B961" s="54" t="s">
        <v>1123</v>
      </c>
      <c r="C961" s="54" t="s">
        <v>933</v>
      </c>
      <c r="D961" s="53">
        <v>6579</v>
      </c>
      <c r="E961" s="53">
        <v>8112</v>
      </c>
      <c r="F961" s="54" t="s">
        <v>1139</v>
      </c>
      <c r="G961" s="53" t="s">
        <v>226</v>
      </c>
      <c r="H961" s="58" t="str">
        <f>_xlfn.IFNA(INDEX(ActiveSchools!$C$2:$F$326,MATCH(G961,ActiveSchools!$F$2:$F$326,0),1),"Total")</f>
        <v>6957</v>
      </c>
      <c r="I961" s="53">
        <v>35</v>
      </c>
      <c r="J961" s="59">
        <f>_xlfn.IFNA(INDEX(DetailByDistrict[],MATCH($H961,DetailByDistrict[Dist],0),MATCH(J$2,DetailByDistrict[#Headers],0)),0)</f>
        <v>1305</v>
      </c>
      <c r="K961" s="54">
        <f t="shared" si="14"/>
        <v>2.681992337164751E-2</v>
      </c>
      <c r="L961" s="59">
        <f>ROUND(INDEX(DetailByDistrict[],MATCH($H961,DetailByDistrict[Dist],0),MATCH(L$2,DetailByDistrict[#Headers],0))*K961,2)</f>
        <v>2270.09</v>
      </c>
      <c r="M961" s="59">
        <f>ROUND(INDEX(DetailByDistrict[],MATCH($H961,DetailByDistrict[Dist],0),MATCH(M$2,DetailByDistrict[#Headers],0))*K961,2)</f>
        <v>2494.79</v>
      </c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spans="1:26" ht="15.75" customHeight="1" x14ac:dyDescent="0.25">
      <c r="A962" s="53">
        <v>11</v>
      </c>
      <c r="B962" s="54" t="s">
        <v>1123</v>
      </c>
      <c r="C962" s="54" t="s">
        <v>933</v>
      </c>
      <c r="D962" s="53">
        <v>6579</v>
      </c>
      <c r="E962" s="53">
        <v>8112</v>
      </c>
      <c r="F962" s="54" t="s">
        <v>1143</v>
      </c>
      <c r="G962" s="53" t="s">
        <v>228</v>
      </c>
      <c r="H962" s="58" t="str">
        <f>_xlfn.IFNA(INDEX(ActiveSchools!$C$2:$F$326,MATCH(G962,ActiveSchools!$F$2:$F$326,0),1),"Total")</f>
        <v>7110</v>
      </c>
      <c r="I962" s="53">
        <v>1</v>
      </c>
      <c r="J962" s="59">
        <f>_xlfn.IFNA(INDEX(DetailByDistrict[],MATCH($H962,DetailByDistrict[Dist],0),MATCH(J$2,DetailByDistrict[#Headers],0)),0)</f>
        <v>28</v>
      </c>
      <c r="K962" s="54">
        <f t="shared" si="14"/>
        <v>3.5714285714285712E-2</v>
      </c>
      <c r="L962" s="59">
        <f>ROUND(INDEX(DetailByDistrict[],MATCH($H962,DetailByDistrict[Dist],0),MATCH(L$2,DetailByDistrict[#Headers],0))*K962,2)</f>
        <v>64.86</v>
      </c>
      <c r="M962" s="59">
        <f>ROUND(INDEX(DetailByDistrict[],MATCH($H962,DetailByDistrict[Dist],0),MATCH(M$2,DetailByDistrict[#Headers],0))*K962,2)</f>
        <v>71.290000000000006</v>
      </c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spans="1:26" ht="15.75" customHeight="1" x14ac:dyDescent="0.25">
      <c r="A963" s="53">
        <v>11</v>
      </c>
      <c r="B963" s="54" t="s">
        <v>1123</v>
      </c>
      <c r="C963" s="54" t="s">
        <v>934</v>
      </c>
      <c r="D963" s="53">
        <v>6579</v>
      </c>
      <c r="E963" s="53">
        <v>8502</v>
      </c>
      <c r="F963" s="54" t="s">
        <v>1156</v>
      </c>
      <c r="G963" s="57" t="s">
        <v>176</v>
      </c>
      <c r="H963" s="58" t="str">
        <f>_xlfn.IFNA(INDEX(ActiveSchools!$C$2:$F$326,MATCH(G963,ActiveSchools!$F$2:$F$326,0),1),"Total")</f>
        <v>0027</v>
      </c>
      <c r="I963" s="53">
        <v>4</v>
      </c>
      <c r="J963" s="59">
        <f>_xlfn.IFNA(INDEX(DetailByDistrict[],MATCH($H963,DetailByDistrict[Dist],0),MATCH(J$2,DetailByDistrict[#Headers],0)),0)</f>
        <v>51</v>
      </c>
      <c r="K963" s="54">
        <f t="shared" si="14"/>
        <v>7.8431372549019607E-2</v>
      </c>
      <c r="L963" s="59">
        <f>ROUND(INDEX(DetailByDistrict[],MATCH($H963,DetailByDistrict[Dist],0),MATCH(L$2,DetailByDistrict[#Headers],0))*K963,2)</f>
        <v>259.45</v>
      </c>
      <c r="M963" s="59">
        <f>ROUND(INDEX(DetailByDistrict[],MATCH($H963,DetailByDistrict[Dist],0),MATCH(M$2,DetailByDistrict[#Headers],0))*K963,2)</f>
        <v>285.10000000000002</v>
      </c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spans="1:26" ht="15.75" customHeight="1" x14ac:dyDescent="0.25">
      <c r="A964" s="53">
        <v>11</v>
      </c>
      <c r="B964" s="54" t="s">
        <v>1123</v>
      </c>
      <c r="C964" s="54" t="s">
        <v>934</v>
      </c>
      <c r="D964" s="53">
        <v>6579</v>
      </c>
      <c r="E964" s="53">
        <v>8502</v>
      </c>
      <c r="F964" s="54" t="s">
        <v>1125</v>
      </c>
      <c r="G964" s="57" t="s">
        <v>178</v>
      </c>
      <c r="H964" s="58" t="str">
        <f>_xlfn.IFNA(INDEX(ActiveSchools!$C$2:$F$326,MATCH(G964,ActiveSchools!$F$2:$F$326,0),1),"Total")</f>
        <v>0261</v>
      </c>
      <c r="I964" s="53">
        <v>18</v>
      </c>
      <c r="J964" s="59">
        <f>_xlfn.IFNA(INDEX(DetailByDistrict[],MATCH($H964,DetailByDistrict[Dist],0),MATCH(J$2,DetailByDistrict[#Headers],0)),0)</f>
        <v>1188</v>
      </c>
      <c r="K964" s="54">
        <f t="shared" ref="K964:K1027" si="15">I964/J964</f>
        <v>1.5151515151515152E-2</v>
      </c>
      <c r="L964" s="59">
        <f>ROUND(INDEX(DetailByDistrict[],MATCH($H964,DetailByDistrict[Dist],0),MATCH(L$2,DetailByDistrict[#Headers],0))*K964,2)</f>
        <v>1167.48</v>
      </c>
      <c r="M964" s="59">
        <f>ROUND(INDEX(DetailByDistrict[],MATCH($H964,DetailByDistrict[Dist],0),MATCH(M$2,DetailByDistrict[#Headers],0))*K964,2)</f>
        <v>1283.05</v>
      </c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spans="1:26" ht="15.75" customHeight="1" x14ac:dyDescent="0.25">
      <c r="A965" s="53">
        <v>11</v>
      </c>
      <c r="B965" s="54" t="s">
        <v>1123</v>
      </c>
      <c r="C965" s="54" t="s">
        <v>934</v>
      </c>
      <c r="D965" s="53">
        <v>6579</v>
      </c>
      <c r="E965" s="53">
        <v>8502</v>
      </c>
      <c r="F965" s="54" t="s">
        <v>1144</v>
      </c>
      <c r="G965" s="53" t="s">
        <v>190</v>
      </c>
      <c r="H965" s="58" t="str">
        <f>_xlfn.IFNA(INDEX(ActiveSchools!$C$2:$F$326,MATCH(G965,ActiveSchools!$F$2:$F$326,0),1),"Total")</f>
        <v>1576</v>
      </c>
      <c r="I965" s="53">
        <v>30</v>
      </c>
      <c r="J965" s="59">
        <f>_xlfn.IFNA(INDEX(DetailByDistrict[],MATCH($H965,DetailByDistrict[Dist],0),MATCH(J$2,DetailByDistrict[#Headers],0)),0)</f>
        <v>123</v>
      </c>
      <c r="K965" s="54">
        <f t="shared" si="15"/>
        <v>0.24390243902439024</v>
      </c>
      <c r="L965" s="59">
        <f>ROUND(INDEX(DetailByDistrict[],MATCH($H965,DetailByDistrict[Dist],0),MATCH(L$2,DetailByDistrict[#Headers],0))*K965,2)</f>
        <v>1945.85</v>
      </c>
      <c r="M965" s="59">
        <f>ROUND(INDEX(DetailByDistrict[],MATCH($H965,DetailByDistrict[Dist],0),MATCH(M$2,DetailByDistrict[#Headers],0))*K965,2)</f>
        <v>2138.29</v>
      </c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spans="1:26" ht="15.75" customHeight="1" x14ac:dyDescent="0.25">
      <c r="A966" s="53">
        <v>11</v>
      </c>
      <c r="B966" s="54" t="s">
        <v>1123</v>
      </c>
      <c r="C966" s="54" t="s">
        <v>934</v>
      </c>
      <c r="D966" s="53">
        <v>6579</v>
      </c>
      <c r="E966" s="53">
        <v>8502</v>
      </c>
      <c r="F966" s="54" t="s">
        <v>1134</v>
      </c>
      <c r="G966" s="53" t="s">
        <v>191</v>
      </c>
      <c r="H966" s="58" t="str">
        <f>_xlfn.IFNA(INDEX(ActiveSchools!$C$2:$F$326,MATCH(G966,ActiveSchools!$F$2:$F$326,0),1),"Total")</f>
        <v>1737</v>
      </c>
      <c r="I966" s="53">
        <v>14</v>
      </c>
      <c r="J966" s="59">
        <f>_xlfn.IFNA(INDEX(DetailByDistrict[],MATCH($H966,DetailByDistrict[Dist],0),MATCH(J$2,DetailByDistrict[#Headers],0)),0)</f>
        <v>2968</v>
      </c>
      <c r="K966" s="54">
        <f t="shared" si="15"/>
        <v>4.7169811320754715E-3</v>
      </c>
      <c r="L966" s="59">
        <f>ROUND(INDEX(DetailByDistrict[],MATCH($H966,DetailByDistrict[Dist],0),MATCH(L$2,DetailByDistrict[#Headers],0))*K966,2)</f>
        <v>908.04</v>
      </c>
      <c r="M966" s="59">
        <f>ROUND(INDEX(DetailByDistrict[],MATCH($H966,DetailByDistrict[Dist],0),MATCH(M$2,DetailByDistrict[#Headers],0))*K966,2)</f>
        <v>997.92</v>
      </c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spans="1:26" ht="15.75" customHeight="1" x14ac:dyDescent="0.25">
      <c r="A967" s="53">
        <v>11</v>
      </c>
      <c r="B967" s="54" t="s">
        <v>1123</v>
      </c>
      <c r="C967" s="54" t="s">
        <v>934</v>
      </c>
      <c r="D967" s="53">
        <v>6579</v>
      </c>
      <c r="E967" s="53">
        <v>8502</v>
      </c>
      <c r="F967" s="54" t="s">
        <v>1162</v>
      </c>
      <c r="G967" s="53" t="s">
        <v>198</v>
      </c>
      <c r="H967" s="58" t="str">
        <f>_xlfn.IFNA(INDEX(ActiveSchools!$C$2:$F$326,MATCH(G967,ActiveSchools!$F$2:$F$326,0),1),"Total")</f>
        <v>3119</v>
      </c>
      <c r="I967" s="53">
        <v>2</v>
      </c>
      <c r="J967" s="59">
        <f>_xlfn.IFNA(INDEX(DetailByDistrict[],MATCH($H967,DetailByDistrict[Dist],0),MATCH(J$2,DetailByDistrict[#Headers],0)),0)</f>
        <v>16</v>
      </c>
      <c r="K967" s="54">
        <f t="shared" si="15"/>
        <v>0.125</v>
      </c>
      <c r="L967" s="59">
        <f>ROUND(INDEX(DetailByDistrict[],MATCH($H967,DetailByDistrict[Dist],0),MATCH(L$2,DetailByDistrict[#Headers],0))*K967,2)</f>
        <v>129.75</v>
      </c>
      <c r="M967" s="59">
        <f>ROUND(INDEX(DetailByDistrict[],MATCH($H967,DetailByDistrict[Dist],0),MATCH(M$2,DetailByDistrict[#Headers],0))*K967,2)</f>
        <v>142.5</v>
      </c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spans="1:26" ht="15.75" customHeight="1" x14ac:dyDescent="0.25">
      <c r="A968" s="53">
        <v>11</v>
      </c>
      <c r="B968" s="54" t="s">
        <v>1123</v>
      </c>
      <c r="C968" s="54" t="s">
        <v>934</v>
      </c>
      <c r="D968" s="53">
        <v>6579</v>
      </c>
      <c r="E968" s="53">
        <v>8502</v>
      </c>
      <c r="F968" s="54" t="s">
        <v>1135</v>
      </c>
      <c r="G968" s="53" t="s">
        <v>199</v>
      </c>
      <c r="H968" s="58" t="str">
        <f>_xlfn.IFNA(INDEX(ActiveSchools!$C$2:$F$326,MATCH(G968,ActiveSchools!$F$2:$F$326,0),1),"Total")</f>
        <v>3231</v>
      </c>
      <c r="I968" s="53">
        <v>56</v>
      </c>
      <c r="J968" s="59">
        <f>_xlfn.IFNA(INDEX(DetailByDistrict[],MATCH($H968,DetailByDistrict[Dist],0),MATCH(J$2,DetailByDistrict[#Headers],0)),0)</f>
        <v>509</v>
      </c>
      <c r="K968" s="54">
        <f t="shared" si="15"/>
        <v>0.1100196463654224</v>
      </c>
      <c r="L968" s="59">
        <f>ROUND(INDEX(DetailByDistrict[],MATCH($H968,DetailByDistrict[Dist],0),MATCH(L$2,DetailByDistrict[#Headers],0))*K968,2)</f>
        <v>3632.19</v>
      </c>
      <c r="M968" s="59">
        <f>ROUND(INDEX(DetailByDistrict[],MATCH($H968,DetailByDistrict[Dist],0),MATCH(M$2,DetailByDistrict[#Headers],0))*K968,2)</f>
        <v>3991.73</v>
      </c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spans="1:26" ht="15.75" customHeight="1" x14ac:dyDescent="0.25">
      <c r="A969" s="53">
        <v>11</v>
      </c>
      <c r="B969" s="54" t="s">
        <v>1123</v>
      </c>
      <c r="C969" s="54" t="s">
        <v>934</v>
      </c>
      <c r="D969" s="53">
        <v>6579</v>
      </c>
      <c r="E969" s="53">
        <v>8502</v>
      </c>
      <c r="F969" s="54" t="s">
        <v>1171</v>
      </c>
      <c r="G969" s="53" t="s">
        <v>203</v>
      </c>
      <c r="H969" s="58" t="str">
        <f>_xlfn.IFNA(INDEX(ActiveSchools!$C$2:$F$326,MATCH(G969,ActiveSchools!$F$2:$F$326,0),1),"Total")</f>
        <v>4122</v>
      </c>
      <c r="I969" s="53">
        <v>5</v>
      </c>
      <c r="J969" s="59">
        <f>_xlfn.IFNA(INDEX(DetailByDistrict[],MATCH($H969,DetailByDistrict[Dist],0),MATCH(J$2,DetailByDistrict[#Headers],0)),0)</f>
        <v>24</v>
      </c>
      <c r="K969" s="54">
        <f t="shared" si="15"/>
        <v>0.20833333333333334</v>
      </c>
      <c r="L969" s="59">
        <f>ROUND(INDEX(DetailByDistrict[],MATCH($H969,DetailByDistrict[Dist],0),MATCH(L$2,DetailByDistrict[#Headers],0))*K969,2)</f>
        <v>324.38</v>
      </c>
      <c r="M969" s="59">
        <f>ROUND(INDEX(DetailByDistrict[],MATCH($H969,DetailByDistrict[Dist],0),MATCH(M$2,DetailByDistrict[#Headers],0))*K969,2)</f>
        <v>356.46</v>
      </c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spans="1:26" ht="15.75" customHeight="1" x14ac:dyDescent="0.25">
      <c r="A970" s="53">
        <v>11</v>
      </c>
      <c r="B970" s="54" t="s">
        <v>1123</v>
      </c>
      <c r="C970" s="54" t="s">
        <v>934</v>
      </c>
      <c r="D970" s="53">
        <v>6579</v>
      </c>
      <c r="E970" s="53">
        <v>8502</v>
      </c>
      <c r="F970" s="54" t="s">
        <v>1136</v>
      </c>
      <c r="G970" s="53" t="s">
        <v>207</v>
      </c>
      <c r="H970" s="58" t="str">
        <f>_xlfn.IFNA(INDEX(ActiveSchools!$C$2:$F$326,MATCH(G970,ActiveSchools!$F$2:$F$326,0),1),"Total")</f>
        <v>4779</v>
      </c>
      <c r="I970" s="53">
        <v>2</v>
      </c>
      <c r="J970" s="59">
        <f>_xlfn.IFNA(INDEX(DetailByDistrict[],MATCH($H970,DetailByDistrict[Dist],0),MATCH(J$2,DetailByDistrict[#Headers],0)),0)</f>
        <v>58</v>
      </c>
      <c r="K970" s="54">
        <f t="shared" si="15"/>
        <v>3.4482758620689655E-2</v>
      </c>
      <c r="L970" s="59">
        <f>ROUND(INDEX(DetailByDistrict[],MATCH($H970,DetailByDistrict[Dist],0),MATCH(L$2,DetailByDistrict[#Headers],0))*K970,2)</f>
        <v>129.72</v>
      </c>
      <c r="M970" s="59">
        <f>ROUND(INDEX(DetailByDistrict[],MATCH($H970,DetailByDistrict[Dist],0),MATCH(M$2,DetailByDistrict[#Headers],0))*K970,2)</f>
        <v>142.55000000000001</v>
      </c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spans="1:26" ht="15.75" customHeight="1" x14ac:dyDescent="0.25">
      <c r="A971" s="53">
        <v>11</v>
      </c>
      <c r="B971" s="54" t="s">
        <v>1123</v>
      </c>
      <c r="C971" s="54" t="s">
        <v>934</v>
      </c>
      <c r="D971" s="53">
        <v>6579</v>
      </c>
      <c r="E971" s="53">
        <v>8502</v>
      </c>
      <c r="F971" s="54" t="s">
        <v>1153</v>
      </c>
      <c r="G971" s="53" t="s">
        <v>208</v>
      </c>
      <c r="H971" s="58" t="str">
        <f>_xlfn.IFNA(INDEX(ActiveSchools!$C$2:$F$326,MATCH(G971,ActiveSchools!$F$2:$F$326,0),1),"Total")</f>
        <v>4797</v>
      </c>
      <c r="I971" s="53">
        <v>13</v>
      </c>
      <c r="J971" s="59">
        <f>_xlfn.IFNA(INDEX(DetailByDistrict[],MATCH($H971,DetailByDistrict[Dist],0),MATCH(J$2,DetailByDistrict[#Headers],0)),0)</f>
        <v>161</v>
      </c>
      <c r="K971" s="54">
        <f t="shared" si="15"/>
        <v>8.0745341614906832E-2</v>
      </c>
      <c r="L971" s="59">
        <f>ROUND(INDEX(DetailByDistrict[],MATCH($H971,DetailByDistrict[Dist],0),MATCH(L$2,DetailByDistrict[#Headers],0))*K971,2)</f>
        <v>843.14</v>
      </c>
      <c r="M971" s="59">
        <f>ROUND(INDEX(DetailByDistrict[],MATCH($H971,DetailByDistrict[Dist],0),MATCH(M$2,DetailByDistrict[#Headers],0))*K971,2)</f>
        <v>926.63</v>
      </c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spans="1:26" ht="15.75" customHeight="1" x14ac:dyDescent="0.25">
      <c r="A972" s="53">
        <v>11</v>
      </c>
      <c r="B972" s="54" t="s">
        <v>1123</v>
      </c>
      <c r="C972" s="54" t="s">
        <v>934</v>
      </c>
      <c r="D972" s="53">
        <v>6579</v>
      </c>
      <c r="E972" s="53">
        <v>8502</v>
      </c>
      <c r="F972" s="54" t="s">
        <v>1170</v>
      </c>
      <c r="G972" s="53" t="s">
        <v>214</v>
      </c>
      <c r="H972" s="58" t="str">
        <f>_xlfn.IFNA(INDEX(ActiveSchools!$C$2:$F$326,MATCH(G972,ActiveSchools!$F$2:$F$326,0),1),"Total")</f>
        <v>5184</v>
      </c>
      <c r="I972" s="53">
        <v>1</v>
      </c>
      <c r="J972" s="59">
        <f>_xlfn.IFNA(INDEX(DetailByDistrict[],MATCH($H972,DetailByDistrict[Dist],0),MATCH(J$2,DetailByDistrict[#Headers],0)),0)</f>
        <v>92</v>
      </c>
      <c r="K972" s="54">
        <f t="shared" si="15"/>
        <v>1.0869565217391304E-2</v>
      </c>
      <c r="L972" s="59">
        <f>ROUND(INDEX(DetailByDistrict[],MATCH($H972,DetailByDistrict[Dist],0),MATCH(L$2,DetailByDistrict[#Headers],0))*K972,2)</f>
        <v>64.86</v>
      </c>
      <c r="M972" s="59">
        <f>ROUND(INDEX(DetailByDistrict[],MATCH($H972,DetailByDistrict[Dist],0),MATCH(M$2,DetailByDistrict[#Headers],0))*K972,2)</f>
        <v>71.28</v>
      </c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spans="1:26" ht="15.75" customHeight="1" x14ac:dyDescent="0.25">
      <c r="A973" s="53">
        <v>11</v>
      </c>
      <c r="B973" s="54" t="s">
        <v>1123</v>
      </c>
      <c r="C973" s="54" t="s">
        <v>934</v>
      </c>
      <c r="D973" s="53">
        <v>6579</v>
      </c>
      <c r="E973" s="53">
        <v>8502</v>
      </c>
      <c r="F973" s="54" t="s">
        <v>1137</v>
      </c>
      <c r="G973" s="53" t="s">
        <v>217</v>
      </c>
      <c r="H973" s="58" t="str">
        <f>_xlfn.IFNA(INDEX(ActiveSchools!$C$2:$F$326,MATCH(G973,ActiveSchools!$F$2:$F$326,0),1),"Total")</f>
        <v>5805</v>
      </c>
      <c r="I973" s="53">
        <v>1</v>
      </c>
      <c r="J973" s="59">
        <f>_xlfn.IFNA(INDEX(DetailByDistrict[],MATCH($H973,DetailByDistrict[Dist],0),MATCH(J$2,DetailByDistrict[#Headers],0)),0)</f>
        <v>75</v>
      </c>
      <c r="K973" s="54">
        <f t="shared" si="15"/>
        <v>1.3333333333333334E-2</v>
      </c>
      <c r="L973" s="59">
        <f>ROUND(INDEX(DetailByDistrict[],MATCH($H973,DetailByDistrict[Dist],0),MATCH(L$2,DetailByDistrict[#Headers],0))*K973,2)</f>
        <v>64.87</v>
      </c>
      <c r="M973" s="59">
        <f>ROUND(INDEX(DetailByDistrict[],MATCH($H973,DetailByDistrict[Dist],0),MATCH(M$2,DetailByDistrict[#Headers],0))*K973,2)</f>
        <v>71.28</v>
      </c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spans="1:26" ht="15.75" customHeight="1" x14ac:dyDescent="0.25">
      <c r="A974" s="53">
        <v>11</v>
      </c>
      <c r="B974" s="54" t="s">
        <v>1123</v>
      </c>
      <c r="C974" s="54" t="s">
        <v>934</v>
      </c>
      <c r="D974" s="53">
        <v>6579</v>
      </c>
      <c r="E974" s="53">
        <v>8502</v>
      </c>
      <c r="F974" s="54" t="s">
        <v>1172</v>
      </c>
      <c r="G974" s="53" t="s">
        <v>225</v>
      </c>
      <c r="H974" s="58" t="str">
        <f>_xlfn.IFNA(INDEX(ActiveSchools!$C$2:$F$326,MATCH(G974,ActiveSchools!$F$2:$F$326,0),1),"Total")</f>
        <v>6264</v>
      </c>
      <c r="I974" s="53">
        <v>3</v>
      </c>
      <c r="J974" s="59">
        <f>_xlfn.IFNA(INDEX(DetailByDistrict[],MATCH($H974,DetailByDistrict[Dist],0),MATCH(J$2,DetailByDistrict[#Headers],0)),0)</f>
        <v>4</v>
      </c>
      <c r="K974" s="54">
        <f t="shared" si="15"/>
        <v>0.75</v>
      </c>
      <c r="L974" s="59">
        <f>ROUND(INDEX(DetailByDistrict[],MATCH($H974,DetailByDistrict[Dist],0),MATCH(L$2,DetailByDistrict[#Headers],0))*K974,2)</f>
        <v>194.25</v>
      </c>
      <c r="M974" s="59">
        <f>ROUND(INDEX(DetailByDistrict[],MATCH($H974,DetailByDistrict[Dist],0),MATCH(M$2,DetailByDistrict[#Headers],0))*K974,2)</f>
        <v>213.75</v>
      </c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spans="1:26" ht="15.75" customHeight="1" x14ac:dyDescent="0.25">
      <c r="A975" s="53">
        <v>11</v>
      </c>
      <c r="B975" s="54" t="s">
        <v>1123</v>
      </c>
      <c r="C975" s="54" t="s">
        <v>934</v>
      </c>
      <c r="D975" s="53">
        <v>6579</v>
      </c>
      <c r="E975" s="53">
        <v>8502</v>
      </c>
      <c r="F975" s="54" t="s">
        <v>1145</v>
      </c>
      <c r="G975" s="53" t="s">
        <v>222</v>
      </c>
      <c r="H975" s="58" t="str">
        <f>_xlfn.IFNA(INDEX(ActiveSchools!$C$2:$F$326,MATCH(G975,ActiveSchools!$F$2:$F$326,0),1),"Total")</f>
        <v>6579</v>
      </c>
      <c r="I975" s="53">
        <v>59</v>
      </c>
      <c r="J975" s="59">
        <f>_xlfn.IFNA(INDEX(DetailByDistrict[],MATCH($H975,DetailByDistrict[Dist],0),MATCH(J$2,DetailByDistrict[#Headers],0)),0)</f>
        <v>484</v>
      </c>
      <c r="K975" s="54">
        <f t="shared" si="15"/>
        <v>0.12190082644628099</v>
      </c>
      <c r="L975" s="59">
        <f>ROUND(INDEX(DetailByDistrict[],MATCH($H975,DetailByDistrict[Dist],0),MATCH(L$2,DetailByDistrict[#Headers],0))*K975,2)</f>
        <v>3826.71</v>
      </c>
      <c r="M975" s="59">
        <f>ROUND(INDEX(DetailByDistrict[],MATCH($H975,DetailByDistrict[Dist],0),MATCH(M$2,DetailByDistrict[#Headers],0))*K975,2)</f>
        <v>4205.58</v>
      </c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spans="1:26" ht="15.75" customHeight="1" x14ac:dyDescent="0.25">
      <c r="A976" s="53">
        <v>11</v>
      </c>
      <c r="B976" s="54" t="s">
        <v>1123</v>
      </c>
      <c r="C976" s="54" t="s">
        <v>934</v>
      </c>
      <c r="D976" s="53">
        <v>6579</v>
      </c>
      <c r="E976" s="53">
        <v>8502</v>
      </c>
      <c r="F976" s="54" t="s">
        <v>1160</v>
      </c>
      <c r="G976" s="53" t="s">
        <v>223</v>
      </c>
      <c r="H976" s="58" t="str">
        <f>_xlfn.IFNA(INDEX(ActiveSchools!$C$2:$F$326,MATCH(G976,ActiveSchools!$F$2:$F$326,0),1),"Total")</f>
        <v>6615</v>
      </c>
      <c r="I976" s="53">
        <v>4</v>
      </c>
      <c r="J976" s="59">
        <f>_xlfn.IFNA(INDEX(DetailByDistrict[],MATCH($H976,DetailByDistrict[Dist],0),MATCH(J$2,DetailByDistrict[#Headers],0)),0)</f>
        <v>42</v>
      </c>
      <c r="K976" s="54">
        <f t="shared" si="15"/>
        <v>9.5238095238095233E-2</v>
      </c>
      <c r="L976" s="59">
        <f>ROUND(INDEX(DetailByDistrict[],MATCH($H976,DetailByDistrict[Dist],0),MATCH(L$2,DetailByDistrict[#Headers],0))*K976,2)</f>
        <v>259.43</v>
      </c>
      <c r="M976" s="59">
        <f>ROUND(INDEX(DetailByDistrict[],MATCH($H976,DetailByDistrict[Dist],0),MATCH(M$2,DetailByDistrict[#Headers],0))*K976,2)</f>
        <v>285.14</v>
      </c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spans="1:26" ht="15.75" customHeight="1" x14ac:dyDescent="0.25">
      <c r="A977" s="53">
        <v>11</v>
      </c>
      <c r="B977" s="54" t="s">
        <v>1123</v>
      </c>
      <c r="C977" s="54" t="s">
        <v>934</v>
      </c>
      <c r="D977" s="53">
        <v>6579</v>
      </c>
      <c r="E977" s="53">
        <v>8502</v>
      </c>
      <c r="F977" s="54" t="s">
        <v>1138</v>
      </c>
      <c r="G977" s="53" t="s">
        <v>224</v>
      </c>
      <c r="H977" s="58" t="str">
        <f>_xlfn.IFNA(INDEX(ActiveSchools!$C$2:$F$326,MATCH(G977,ActiveSchools!$F$2:$F$326,0),1),"Total")</f>
        <v>6822</v>
      </c>
      <c r="I977" s="53">
        <v>212</v>
      </c>
      <c r="J977" s="59">
        <f>_xlfn.IFNA(INDEX(DetailByDistrict[],MATCH($H977,DetailByDistrict[Dist],0),MATCH(J$2,DetailByDistrict[#Headers],0)),0)</f>
        <v>1399</v>
      </c>
      <c r="K977" s="54">
        <f t="shared" si="15"/>
        <v>0.15153681200857755</v>
      </c>
      <c r="L977" s="59">
        <f>ROUND(INDEX(DetailByDistrict[],MATCH($H977,DetailByDistrict[Dist],0),MATCH(L$2,DetailByDistrict[#Headers],0))*K977,2)</f>
        <v>13750.3</v>
      </c>
      <c r="M977" s="59">
        <f>ROUND(INDEX(DetailByDistrict[],MATCH($H977,DetailByDistrict[Dist],0),MATCH(M$2,DetailByDistrict[#Headers],0))*K977,2)</f>
        <v>15111.4</v>
      </c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spans="1:26" ht="15.75" customHeight="1" x14ac:dyDescent="0.25">
      <c r="A978" s="53">
        <v>11</v>
      </c>
      <c r="B978" s="54" t="s">
        <v>1123</v>
      </c>
      <c r="C978" s="54" t="s">
        <v>934</v>
      </c>
      <c r="D978" s="53">
        <v>6579</v>
      </c>
      <c r="E978" s="53">
        <v>8502</v>
      </c>
      <c r="F978" s="54" t="s">
        <v>1139</v>
      </c>
      <c r="G978" s="53" t="s">
        <v>226</v>
      </c>
      <c r="H978" s="58" t="str">
        <f>_xlfn.IFNA(INDEX(ActiveSchools!$C$2:$F$326,MATCH(G978,ActiveSchools!$F$2:$F$326,0),1),"Total")</f>
        <v>6957</v>
      </c>
      <c r="I978" s="53">
        <v>74</v>
      </c>
      <c r="J978" s="59">
        <f>_xlfn.IFNA(INDEX(DetailByDistrict[],MATCH($H978,DetailByDistrict[Dist],0),MATCH(J$2,DetailByDistrict[#Headers],0)),0)</f>
        <v>1305</v>
      </c>
      <c r="K978" s="54">
        <f t="shared" si="15"/>
        <v>5.6704980842911874E-2</v>
      </c>
      <c r="L978" s="59">
        <f>ROUND(INDEX(DetailByDistrict[],MATCH($H978,DetailByDistrict[Dist],0),MATCH(L$2,DetailByDistrict[#Headers],0))*K978,2)</f>
        <v>4799.62</v>
      </c>
      <c r="M978" s="59">
        <f>ROUND(INDEX(DetailByDistrict[],MATCH($H978,DetailByDistrict[Dist],0),MATCH(M$2,DetailByDistrict[#Headers],0))*K978,2)</f>
        <v>5274.7</v>
      </c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spans="1:26" ht="15.75" customHeight="1" x14ac:dyDescent="0.25">
      <c r="A979" s="53">
        <v>11</v>
      </c>
      <c r="B979" s="54" t="s">
        <v>1123</v>
      </c>
      <c r="C979" s="54" t="s">
        <v>934</v>
      </c>
      <c r="D979" s="53">
        <v>6579</v>
      </c>
      <c r="E979" s="53">
        <v>8502</v>
      </c>
      <c r="F979" s="54" t="s">
        <v>1165</v>
      </c>
      <c r="G979" s="53" t="s">
        <v>227</v>
      </c>
      <c r="H979" s="58" t="str">
        <f>_xlfn.IFNA(INDEX(ActiveSchools!$C$2:$F$326,MATCH(G979,ActiveSchools!$F$2:$F$326,0),1),"Total")</f>
        <v>7056</v>
      </c>
      <c r="I979" s="53">
        <v>4</v>
      </c>
      <c r="J979" s="59">
        <f>_xlfn.IFNA(INDEX(DetailByDistrict[],MATCH($H979,DetailByDistrict[Dist],0),MATCH(J$2,DetailByDistrict[#Headers],0)),0)</f>
        <v>17</v>
      </c>
      <c r="K979" s="54">
        <f t="shared" si="15"/>
        <v>0.23529411764705882</v>
      </c>
      <c r="L979" s="59">
        <f>ROUND(INDEX(DetailByDistrict[],MATCH($H979,DetailByDistrict[Dist],0),MATCH(L$2,DetailByDistrict[#Headers],0))*K979,2)</f>
        <v>259.52999999999997</v>
      </c>
      <c r="M979" s="59">
        <f>ROUND(INDEX(DetailByDistrict[],MATCH($H979,DetailByDistrict[Dist],0),MATCH(M$2,DetailByDistrict[#Headers],0))*K979,2)</f>
        <v>285.18</v>
      </c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spans="1:26" ht="15.75" customHeight="1" x14ac:dyDescent="0.25">
      <c r="A980" s="53">
        <v>11</v>
      </c>
      <c r="B980" s="54" t="s">
        <v>1123</v>
      </c>
      <c r="C980" s="54" t="s">
        <v>934</v>
      </c>
      <c r="D980" s="53">
        <v>6579</v>
      </c>
      <c r="E980" s="53">
        <v>8502</v>
      </c>
      <c r="F980" s="54" t="s">
        <v>1143</v>
      </c>
      <c r="G980" s="53" t="s">
        <v>228</v>
      </c>
      <c r="H980" s="58" t="str">
        <f>_xlfn.IFNA(INDEX(ActiveSchools!$C$2:$F$326,MATCH(G980,ActiveSchools!$F$2:$F$326,0),1),"Total")</f>
        <v>7110</v>
      </c>
      <c r="I980" s="53">
        <v>9</v>
      </c>
      <c r="J980" s="59">
        <f>_xlfn.IFNA(INDEX(DetailByDistrict[],MATCH($H980,DetailByDistrict[Dist],0),MATCH(J$2,DetailByDistrict[#Headers],0)),0)</f>
        <v>28</v>
      </c>
      <c r="K980" s="54">
        <f t="shared" si="15"/>
        <v>0.32142857142857145</v>
      </c>
      <c r="L980" s="59">
        <f>ROUND(INDEX(DetailByDistrict[],MATCH($H980,DetailByDistrict[Dist],0),MATCH(L$2,DetailByDistrict[#Headers],0))*K980,2)</f>
        <v>583.71</v>
      </c>
      <c r="M980" s="59">
        <f>ROUND(INDEX(DetailByDistrict[],MATCH($H980,DetailByDistrict[Dist],0),MATCH(M$2,DetailByDistrict[#Headers],0))*K980,2)</f>
        <v>641.57000000000005</v>
      </c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spans="1:26" ht="15.75" customHeight="1" x14ac:dyDescent="0.25">
      <c r="A981" s="53">
        <v>11</v>
      </c>
      <c r="B981" s="54" t="s">
        <v>1123</v>
      </c>
      <c r="C981" s="54" t="s">
        <v>935</v>
      </c>
      <c r="D981" s="53">
        <v>6579</v>
      </c>
      <c r="E981" s="53">
        <v>8503</v>
      </c>
      <c r="F981" s="54" t="s">
        <v>1156</v>
      </c>
      <c r="G981" s="57" t="s">
        <v>176</v>
      </c>
      <c r="H981" s="58" t="str">
        <f>_xlfn.IFNA(INDEX(ActiveSchools!$C$2:$F$326,MATCH(G981,ActiveSchools!$F$2:$F$326,0),1),"Total")</f>
        <v>0027</v>
      </c>
      <c r="I981" s="53">
        <v>9</v>
      </c>
      <c r="J981" s="59">
        <f>_xlfn.IFNA(INDEX(DetailByDistrict[],MATCH($H981,DetailByDistrict[Dist],0),MATCH(J$2,DetailByDistrict[#Headers],0)),0)</f>
        <v>51</v>
      </c>
      <c r="K981" s="54">
        <f t="shared" si="15"/>
        <v>0.17647058823529413</v>
      </c>
      <c r="L981" s="59">
        <f>ROUND(INDEX(DetailByDistrict[],MATCH($H981,DetailByDistrict[Dist],0),MATCH(L$2,DetailByDistrict[#Headers],0))*K981,2)</f>
        <v>583.76</v>
      </c>
      <c r="M981" s="59">
        <f>ROUND(INDEX(DetailByDistrict[],MATCH($H981,DetailByDistrict[Dist],0),MATCH(M$2,DetailByDistrict[#Headers],0))*K981,2)</f>
        <v>641.47</v>
      </c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spans="1:26" ht="15.75" customHeight="1" x14ac:dyDescent="0.25">
      <c r="A982" s="53">
        <v>11</v>
      </c>
      <c r="B982" s="54" t="s">
        <v>1123</v>
      </c>
      <c r="C982" s="54" t="s">
        <v>935</v>
      </c>
      <c r="D982" s="53">
        <v>6579</v>
      </c>
      <c r="E982" s="53">
        <v>8503</v>
      </c>
      <c r="F982" s="54" t="s">
        <v>1125</v>
      </c>
      <c r="G982" s="57" t="s">
        <v>178</v>
      </c>
      <c r="H982" s="58" t="str">
        <f>_xlfn.IFNA(INDEX(ActiveSchools!$C$2:$F$326,MATCH(G982,ActiveSchools!$F$2:$F$326,0),1),"Total")</f>
        <v>0261</v>
      </c>
      <c r="I982" s="53">
        <v>19</v>
      </c>
      <c r="J982" s="59">
        <f>_xlfn.IFNA(INDEX(DetailByDistrict[],MATCH($H982,DetailByDistrict[Dist],0),MATCH(J$2,DetailByDistrict[#Headers],0)),0)</f>
        <v>1188</v>
      </c>
      <c r="K982" s="54">
        <f t="shared" si="15"/>
        <v>1.5993265993265993E-2</v>
      </c>
      <c r="L982" s="59">
        <f>ROUND(INDEX(DetailByDistrict[],MATCH($H982,DetailByDistrict[Dist],0),MATCH(L$2,DetailByDistrict[#Headers],0))*K982,2)</f>
        <v>1232.3499999999999</v>
      </c>
      <c r="M982" s="59">
        <f>ROUND(INDEX(DetailByDistrict[],MATCH($H982,DetailByDistrict[Dist],0),MATCH(M$2,DetailByDistrict[#Headers],0))*K982,2)</f>
        <v>1354.33</v>
      </c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spans="1:26" ht="15.75" customHeight="1" x14ac:dyDescent="0.25">
      <c r="A983" s="53">
        <v>11</v>
      </c>
      <c r="B983" s="54" t="s">
        <v>1123</v>
      </c>
      <c r="C983" s="54" t="s">
        <v>935</v>
      </c>
      <c r="D983" s="53">
        <v>6579</v>
      </c>
      <c r="E983" s="53">
        <v>8503</v>
      </c>
      <c r="F983" s="54" t="s">
        <v>1151</v>
      </c>
      <c r="G983" s="57" t="s">
        <v>184</v>
      </c>
      <c r="H983" s="58" t="str">
        <f>_xlfn.IFNA(INDEX(ActiveSchools!$C$2:$F$326,MATCH(G983,ActiveSchools!$F$2:$F$326,0),1),"Total")</f>
        <v>0981</v>
      </c>
      <c r="I983" s="53">
        <v>2</v>
      </c>
      <c r="J983" s="59">
        <f>_xlfn.IFNA(INDEX(DetailByDistrict[],MATCH($H983,DetailByDistrict[Dist],0),MATCH(J$2,DetailByDistrict[#Headers],0)),0)</f>
        <v>68</v>
      </c>
      <c r="K983" s="54">
        <f t="shared" si="15"/>
        <v>2.9411764705882353E-2</v>
      </c>
      <c r="L983" s="59">
        <f>ROUND(INDEX(DetailByDistrict[],MATCH($H983,DetailByDistrict[Dist],0),MATCH(L$2,DetailByDistrict[#Headers],0))*K983,2)</f>
        <v>129.71</v>
      </c>
      <c r="M983" s="59">
        <f>ROUND(INDEX(DetailByDistrict[],MATCH($H983,DetailByDistrict[Dist],0),MATCH(M$2,DetailByDistrict[#Headers],0))*K983,2)</f>
        <v>142.56</v>
      </c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spans="1:26" ht="15.75" customHeight="1" x14ac:dyDescent="0.25">
      <c r="A984" s="53">
        <v>11</v>
      </c>
      <c r="B984" s="54" t="s">
        <v>1123</v>
      </c>
      <c r="C984" s="54" t="s">
        <v>935</v>
      </c>
      <c r="D984" s="53">
        <v>6579</v>
      </c>
      <c r="E984" s="53">
        <v>8503</v>
      </c>
      <c r="F984" s="54" t="s">
        <v>1150</v>
      </c>
      <c r="G984" s="53" t="s">
        <v>186</v>
      </c>
      <c r="H984" s="58" t="str">
        <f>_xlfn.IFNA(INDEX(ActiveSchools!$C$2:$F$326,MATCH(G984,ActiveSchools!$F$2:$F$326,0),1),"Total")</f>
        <v>1332</v>
      </c>
      <c r="I984" s="53">
        <v>2</v>
      </c>
      <c r="J984" s="59">
        <f>_xlfn.IFNA(INDEX(DetailByDistrict[],MATCH($H984,DetailByDistrict[Dist],0),MATCH(J$2,DetailByDistrict[#Headers],0)),0)</f>
        <v>11</v>
      </c>
      <c r="K984" s="54">
        <f t="shared" si="15"/>
        <v>0.18181818181818182</v>
      </c>
      <c r="L984" s="59">
        <f>ROUND(INDEX(DetailByDistrict[],MATCH($H984,DetailByDistrict[Dist],0),MATCH(L$2,DetailByDistrict[#Headers],0))*K984,2)</f>
        <v>129.63999999999999</v>
      </c>
      <c r="M984" s="59">
        <f>ROUND(INDEX(DetailByDistrict[],MATCH($H984,DetailByDistrict[Dist],0),MATCH(M$2,DetailByDistrict[#Headers],0))*K984,2)</f>
        <v>142.55000000000001</v>
      </c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spans="1:26" ht="15.75" customHeight="1" x14ac:dyDescent="0.25">
      <c r="A985" s="53">
        <v>11</v>
      </c>
      <c r="B985" s="54" t="s">
        <v>1123</v>
      </c>
      <c r="C985" s="54" t="s">
        <v>935</v>
      </c>
      <c r="D985" s="53">
        <v>6579</v>
      </c>
      <c r="E985" s="53">
        <v>8503</v>
      </c>
      <c r="F985" s="54" t="s">
        <v>1144</v>
      </c>
      <c r="G985" s="53" t="s">
        <v>190</v>
      </c>
      <c r="H985" s="58" t="str">
        <f>_xlfn.IFNA(INDEX(ActiveSchools!$C$2:$F$326,MATCH(G985,ActiveSchools!$F$2:$F$326,0),1),"Total")</f>
        <v>1576</v>
      </c>
      <c r="I985" s="53">
        <v>42</v>
      </c>
      <c r="J985" s="59">
        <f>_xlfn.IFNA(INDEX(DetailByDistrict[],MATCH($H985,DetailByDistrict[Dist],0),MATCH(J$2,DetailByDistrict[#Headers],0)),0)</f>
        <v>123</v>
      </c>
      <c r="K985" s="54">
        <f t="shared" si="15"/>
        <v>0.34146341463414637</v>
      </c>
      <c r="L985" s="59">
        <f>ROUND(INDEX(DetailByDistrict[],MATCH($H985,DetailByDistrict[Dist],0),MATCH(L$2,DetailByDistrict[#Headers],0))*K985,2)</f>
        <v>2724.2</v>
      </c>
      <c r="M985" s="59">
        <f>ROUND(INDEX(DetailByDistrict[],MATCH($H985,DetailByDistrict[Dist],0),MATCH(M$2,DetailByDistrict[#Headers],0))*K985,2)</f>
        <v>2993.61</v>
      </c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spans="1:26" ht="15.75" customHeight="1" x14ac:dyDescent="0.25">
      <c r="A986" s="53">
        <v>11</v>
      </c>
      <c r="B986" s="54" t="s">
        <v>1123</v>
      </c>
      <c r="C986" s="54" t="s">
        <v>935</v>
      </c>
      <c r="D986" s="53">
        <v>6579</v>
      </c>
      <c r="E986" s="53">
        <v>8503</v>
      </c>
      <c r="F986" s="54" t="s">
        <v>1134</v>
      </c>
      <c r="G986" s="53" t="s">
        <v>191</v>
      </c>
      <c r="H986" s="58" t="str">
        <f>_xlfn.IFNA(INDEX(ActiveSchools!$C$2:$F$326,MATCH(G986,ActiveSchools!$F$2:$F$326,0),1),"Total")</f>
        <v>1737</v>
      </c>
      <c r="I986" s="53">
        <v>25</v>
      </c>
      <c r="J986" s="59">
        <f>_xlfn.IFNA(INDEX(DetailByDistrict[],MATCH($H986,DetailByDistrict[Dist],0),MATCH(J$2,DetailByDistrict[#Headers],0)),0)</f>
        <v>2968</v>
      </c>
      <c r="K986" s="54">
        <f t="shared" si="15"/>
        <v>8.4231805929919131E-3</v>
      </c>
      <c r="L986" s="59">
        <f>ROUND(INDEX(DetailByDistrict[],MATCH($H986,DetailByDistrict[Dist],0),MATCH(L$2,DetailByDistrict[#Headers],0))*K986,2)</f>
        <v>1621.5</v>
      </c>
      <c r="M986" s="59">
        <f>ROUND(INDEX(DetailByDistrict[],MATCH($H986,DetailByDistrict[Dist],0),MATCH(M$2,DetailByDistrict[#Headers],0))*K986,2)</f>
        <v>1782</v>
      </c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spans="1:26" ht="15.75" customHeight="1" x14ac:dyDescent="0.25">
      <c r="A987" s="53">
        <v>11</v>
      </c>
      <c r="B987" s="54" t="s">
        <v>1123</v>
      </c>
      <c r="C987" s="54" t="s">
        <v>935</v>
      </c>
      <c r="D987" s="53">
        <v>6579</v>
      </c>
      <c r="E987" s="53">
        <v>8503</v>
      </c>
      <c r="F987" s="54" t="s">
        <v>1162</v>
      </c>
      <c r="G987" s="53" t="s">
        <v>198</v>
      </c>
      <c r="H987" s="58" t="str">
        <f>_xlfn.IFNA(INDEX(ActiveSchools!$C$2:$F$326,MATCH(G987,ActiveSchools!$F$2:$F$326,0),1),"Total")</f>
        <v>3119</v>
      </c>
      <c r="I987" s="53">
        <v>1</v>
      </c>
      <c r="J987" s="59">
        <f>_xlfn.IFNA(INDEX(DetailByDistrict[],MATCH($H987,DetailByDistrict[Dist],0),MATCH(J$2,DetailByDistrict[#Headers],0)),0)</f>
        <v>16</v>
      </c>
      <c r="K987" s="54">
        <f t="shared" si="15"/>
        <v>6.25E-2</v>
      </c>
      <c r="L987" s="59">
        <f>ROUND(INDEX(DetailByDistrict[],MATCH($H987,DetailByDistrict[Dist],0),MATCH(L$2,DetailByDistrict[#Headers],0))*K987,2)</f>
        <v>64.88</v>
      </c>
      <c r="M987" s="59">
        <f>ROUND(INDEX(DetailByDistrict[],MATCH($H987,DetailByDistrict[Dist],0),MATCH(M$2,DetailByDistrict[#Headers],0))*K987,2)</f>
        <v>71.25</v>
      </c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spans="1:26" ht="15.75" customHeight="1" x14ac:dyDescent="0.25">
      <c r="A988" s="53">
        <v>11</v>
      </c>
      <c r="B988" s="54" t="s">
        <v>1123</v>
      </c>
      <c r="C988" s="54" t="s">
        <v>935</v>
      </c>
      <c r="D988" s="53">
        <v>6579</v>
      </c>
      <c r="E988" s="53">
        <v>8503</v>
      </c>
      <c r="F988" s="54" t="s">
        <v>1135</v>
      </c>
      <c r="G988" s="53" t="s">
        <v>199</v>
      </c>
      <c r="H988" s="58" t="str">
        <f>_xlfn.IFNA(INDEX(ActiveSchools!$C$2:$F$326,MATCH(G988,ActiveSchools!$F$2:$F$326,0),1),"Total")</f>
        <v>3231</v>
      </c>
      <c r="I988" s="53">
        <v>105</v>
      </c>
      <c r="J988" s="59">
        <f>_xlfn.IFNA(INDEX(DetailByDistrict[],MATCH($H988,DetailByDistrict[Dist],0),MATCH(J$2,DetailByDistrict[#Headers],0)),0)</f>
        <v>509</v>
      </c>
      <c r="K988" s="54">
        <f t="shared" si="15"/>
        <v>0.206286836935167</v>
      </c>
      <c r="L988" s="59">
        <f>ROUND(INDEX(DetailByDistrict[],MATCH($H988,DetailByDistrict[Dist],0),MATCH(L$2,DetailByDistrict[#Headers],0))*K988,2)</f>
        <v>6810.35</v>
      </c>
      <c r="M988" s="59">
        <f>ROUND(INDEX(DetailByDistrict[],MATCH($H988,DetailByDistrict[Dist],0),MATCH(M$2,DetailByDistrict[#Headers],0))*K988,2)</f>
        <v>7484.5</v>
      </c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spans="1:26" ht="15.75" customHeight="1" x14ac:dyDescent="0.25">
      <c r="A989" s="53">
        <v>11</v>
      </c>
      <c r="B989" s="54" t="s">
        <v>1123</v>
      </c>
      <c r="C989" s="54" t="s">
        <v>935</v>
      </c>
      <c r="D989" s="53">
        <v>6579</v>
      </c>
      <c r="E989" s="53">
        <v>8503</v>
      </c>
      <c r="F989" s="54" t="s">
        <v>1171</v>
      </c>
      <c r="G989" s="53" t="s">
        <v>203</v>
      </c>
      <c r="H989" s="58" t="str">
        <f>_xlfn.IFNA(INDEX(ActiveSchools!$C$2:$F$326,MATCH(G989,ActiveSchools!$F$2:$F$326,0),1),"Total")</f>
        <v>4122</v>
      </c>
      <c r="I989" s="53">
        <v>6</v>
      </c>
      <c r="J989" s="59">
        <f>_xlfn.IFNA(INDEX(DetailByDistrict[],MATCH($H989,DetailByDistrict[Dist],0),MATCH(J$2,DetailByDistrict[#Headers],0)),0)</f>
        <v>24</v>
      </c>
      <c r="K989" s="54">
        <f t="shared" si="15"/>
        <v>0.25</v>
      </c>
      <c r="L989" s="59">
        <f>ROUND(INDEX(DetailByDistrict[],MATCH($H989,DetailByDistrict[Dist],0),MATCH(L$2,DetailByDistrict[#Headers],0))*K989,2)</f>
        <v>389.25</v>
      </c>
      <c r="M989" s="59">
        <f>ROUND(INDEX(DetailByDistrict[],MATCH($H989,DetailByDistrict[Dist],0),MATCH(M$2,DetailByDistrict[#Headers],0))*K989,2)</f>
        <v>427.75</v>
      </c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spans="1:26" ht="15.75" customHeight="1" x14ac:dyDescent="0.25">
      <c r="A990" s="53">
        <v>11</v>
      </c>
      <c r="B990" s="54" t="s">
        <v>1123</v>
      </c>
      <c r="C990" s="54" t="s">
        <v>935</v>
      </c>
      <c r="D990" s="53">
        <v>6579</v>
      </c>
      <c r="E990" s="53">
        <v>8503</v>
      </c>
      <c r="F990" s="54" t="s">
        <v>1136</v>
      </c>
      <c r="G990" s="53" t="s">
        <v>207</v>
      </c>
      <c r="H990" s="58" t="str">
        <f>_xlfn.IFNA(INDEX(ActiveSchools!$C$2:$F$326,MATCH(G990,ActiveSchools!$F$2:$F$326,0),1),"Total")</f>
        <v>4779</v>
      </c>
      <c r="I990" s="53">
        <v>10</v>
      </c>
      <c r="J990" s="59">
        <f>_xlfn.IFNA(INDEX(DetailByDistrict[],MATCH($H990,DetailByDistrict[Dist],0),MATCH(J$2,DetailByDistrict[#Headers],0)),0)</f>
        <v>58</v>
      </c>
      <c r="K990" s="54">
        <f t="shared" si="15"/>
        <v>0.17241379310344829</v>
      </c>
      <c r="L990" s="59">
        <f>ROUND(INDEX(DetailByDistrict[],MATCH($H990,DetailByDistrict[Dist],0),MATCH(L$2,DetailByDistrict[#Headers],0))*K990,2)</f>
        <v>648.62</v>
      </c>
      <c r="M990" s="59">
        <f>ROUND(INDEX(DetailByDistrict[],MATCH($H990,DetailByDistrict[Dist],0),MATCH(M$2,DetailByDistrict[#Headers],0))*K990,2)</f>
        <v>712.76</v>
      </c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spans="1:26" ht="15.75" customHeight="1" x14ac:dyDescent="0.25">
      <c r="A991" s="53">
        <v>11</v>
      </c>
      <c r="B991" s="54" t="s">
        <v>1123</v>
      </c>
      <c r="C991" s="54" t="s">
        <v>935</v>
      </c>
      <c r="D991" s="53">
        <v>6579</v>
      </c>
      <c r="E991" s="53">
        <v>8503</v>
      </c>
      <c r="F991" s="54" t="s">
        <v>1153</v>
      </c>
      <c r="G991" s="53" t="s">
        <v>208</v>
      </c>
      <c r="H991" s="58" t="str">
        <f>_xlfn.IFNA(INDEX(ActiveSchools!$C$2:$F$326,MATCH(G991,ActiveSchools!$F$2:$F$326,0),1),"Total")</f>
        <v>4797</v>
      </c>
      <c r="I991" s="53">
        <v>8</v>
      </c>
      <c r="J991" s="59">
        <f>_xlfn.IFNA(INDEX(DetailByDistrict[],MATCH($H991,DetailByDistrict[Dist],0),MATCH(J$2,DetailByDistrict[#Headers],0)),0)</f>
        <v>161</v>
      </c>
      <c r="K991" s="54">
        <f t="shared" si="15"/>
        <v>4.9689440993788817E-2</v>
      </c>
      <c r="L991" s="59">
        <f>ROUND(INDEX(DetailByDistrict[],MATCH($H991,DetailByDistrict[Dist],0),MATCH(L$2,DetailByDistrict[#Headers],0))*K991,2)</f>
        <v>518.86</v>
      </c>
      <c r="M991" s="59">
        <f>ROUND(INDEX(DetailByDistrict[],MATCH($H991,DetailByDistrict[Dist],0),MATCH(M$2,DetailByDistrict[#Headers],0))*K991,2)</f>
        <v>570.24</v>
      </c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spans="1:26" ht="15.75" customHeight="1" x14ac:dyDescent="0.25">
      <c r="A992" s="53">
        <v>11</v>
      </c>
      <c r="B992" s="54" t="s">
        <v>1123</v>
      </c>
      <c r="C992" s="54" t="s">
        <v>935</v>
      </c>
      <c r="D992" s="53">
        <v>6579</v>
      </c>
      <c r="E992" s="53">
        <v>8503</v>
      </c>
      <c r="F992" s="54" t="s">
        <v>1170</v>
      </c>
      <c r="G992" s="53" t="s">
        <v>214</v>
      </c>
      <c r="H992" s="58" t="str">
        <f>_xlfn.IFNA(INDEX(ActiveSchools!$C$2:$F$326,MATCH(G992,ActiveSchools!$F$2:$F$326,0),1),"Total")</f>
        <v>5184</v>
      </c>
      <c r="I992" s="53">
        <v>1</v>
      </c>
      <c r="J992" s="59">
        <f>_xlfn.IFNA(INDEX(DetailByDistrict[],MATCH($H992,DetailByDistrict[Dist],0),MATCH(J$2,DetailByDistrict[#Headers],0)),0)</f>
        <v>92</v>
      </c>
      <c r="K992" s="54">
        <f t="shared" si="15"/>
        <v>1.0869565217391304E-2</v>
      </c>
      <c r="L992" s="59">
        <f>ROUND(INDEX(DetailByDistrict[],MATCH($H992,DetailByDistrict[Dist],0),MATCH(L$2,DetailByDistrict[#Headers],0))*K992,2)</f>
        <v>64.86</v>
      </c>
      <c r="M992" s="59">
        <f>ROUND(INDEX(DetailByDistrict[],MATCH($H992,DetailByDistrict[Dist],0),MATCH(M$2,DetailByDistrict[#Headers],0))*K992,2)</f>
        <v>71.28</v>
      </c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spans="1:26" ht="15.75" customHeight="1" x14ac:dyDescent="0.25">
      <c r="A993" s="53">
        <v>11</v>
      </c>
      <c r="B993" s="54" t="s">
        <v>1123</v>
      </c>
      <c r="C993" s="54" t="s">
        <v>935</v>
      </c>
      <c r="D993" s="53">
        <v>6579</v>
      </c>
      <c r="E993" s="53">
        <v>8503</v>
      </c>
      <c r="F993" s="54" t="s">
        <v>1137</v>
      </c>
      <c r="G993" s="53" t="s">
        <v>217</v>
      </c>
      <c r="H993" s="58" t="str">
        <f>_xlfn.IFNA(INDEX(ActiveSchools!$C$2:$F$326,MATCH(G993,ActiveSchools!$F$2:$F$326,0),1),"Total")</f>
        <v>5805</v>
      </c>
      <c r="I993" s="53">
        <v>2</v>
      </c>
      <c r="J993" s="59">
        <f>_xlfn.IFNA(INDEX(DetailByDistrict[],MATCH($H993,DetailByDistrict[Dist],0),MATCH(J$2,DetailByDistrict[#Headers],0)),0)</f>
        <v>75</v>
      </c>
      <c r="K993" s="54">
        <f t="shared" si="15"/>
        <v>2.6666666666666668E-2</v>
      </c>
      <c r="L993" s="59">
        <f>ROUND(INDEX(DetailByDistrict[],MATCH($H993,DetailByDistrict[Dist],0),MATCH(L$2,DetailByDistrict[#Headers],0))*K993,2)</f>
        <v>129.72999999999999</v>
      </c>
      <c r="M993" s="59">
        <f>ROUND(INDEX(DetailByDistrict[],MATCH($H993,DetailByDistrict[Dist],0),MATCH(M$2,DetailByDistrict[#Headers],0))*K993,2)</f>
        <v>142.56</v>
      </c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spans="1:26" ht="15.75" customHeight="1" x14ac:dyDescent="0.25">
      <c r="A994" s="53">
        <v>11</v>
      </c>
      <c r="B994" s="54" t="s">
        <v>1123</v>
      </c>
      <c r="C994" s="54" t="s">
        <v>935</v>
      </c>
      <c r="D994" s="53">
        <v>6579</v>
      </c>
      <c r="E994" s="53">
        <v>8503</v>
      </c>
      <c r="F994" s="54" t="s">
        <v>1142</v>
      </c>
      <c r="G994" s="53" t="s">
        <v>218</v>
      </c>
      <c r="H994" s="58" t="str">
        <f>_xlfn.IFNA(INDEX(ActiveSchools!$C$2:$F$326,MATCH(G994,ActiveSchools!$F$2:$F$326,0),1),"Total")</f>
        <v>6101</v>
      </c>
      <c r="I994" s="53">
        <v>2</v>
      </c>
      <c r="J994" s="59">
        <f>_xlfn.IFNA(INDEX(DetailByDistrict[],MATCH($H994,DetailByDistrict[Dist],0),MATCH(J$2,DetailByDistrict[#Headers],0)),0)</f>
        <v>431</v>
      </c>
      <c r="K994" s="54">
        <f t="shared" si="15"/>
        <v>4.6403712296983757E-3</v>
      </c>
      <c r="L994" s="59">
        <f>ROUND(INDEX(DetailByDistrict[],MATCH($H994,DetailByDistrict[Dist],0),MATCH(L$2,DetailByDistrict[#Headers],0))*K994,2)</f>
        <v>129.72</v>
      </c>
      <c r="M994" s="59">
        <f>ROUND(INDEX(DetailByDistrict[],MATCH($H994,DetailByDistrict[Dist],0),MATCH(M$2,DetailByDistrict[#Headers],0))*K994,2)</f>
        <v>142.56</v>
      </c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spans="1:26" ht="15.75" customHeight="1" x14ac:dyDescent="0.25">
      <c r="A995" s="53">
        <v>11</v>
      </c>
      <c r="B995" s="54" t="s">
        <v>1123</v>
      </c>
      <c r="C995" s="54" t="s">
        <v>935</v>
      </c>
      <c r="D995" s="53">
        <v>6579</v>
      </c>
      <c r="E995" s="53">
        <v>8503</v>
      </c>
      <c r="F995" s="54" t="s">
        <v>1145</v>
      </c>
      <c r="G995" s="53" t="s">
        <v>222</v>
      </c>
      <c r="H995" s="58" t="str">
        <f>_xlfn.IFNA(INDEX(ActiveSchools!$C$2:$F$326,MATCH(G995,ActiveSchools!$F$2:$F$326,0),1),"Total")</f>
        <v>6579</v>
      </c>
      <c r="I995" s="53">
        <v>77</v>
      </c>
      <c r="J995" s="59">
        <f>_xlfn.IFNA(INDEX(DetailByDistrict[],MATCH($H995,DetailByDistrict[Dist],0),MATCH(J$2,DetailByDistrict[#Headers],0)),0)</f>
        <v>484</v>
      </c>
      <c r="K995" s="54">
        <f t="shared" si="15"/>
        <v>0.15909090909090909</v>
      </c>
      <c r="L995" s="59">
        <f>ROUND(INDEX(DetailByDistrict[],MATCH($H995,DetailByDistrict[Dist],0),MATCH(L$2,DetailByDistrict[#Headers],0))*K995,2)</f>
        <v>4994.18</v>
      </c>
      <c r="M995" s="59">
        <f>ROUND(INDEX(DetailByDistrict[],MATCH($H995,DetailByDistrict[Dist],0),MATCH(M$2,DetailByDistrict[#Headers],0))*K995,2)</f>
        <v>5488.64</v>
      </c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spans="1:26" ht="15.75" customHeight="1" x14ac:dyDescent="0.25">
      <c r="A996" s="53">
        <v>11</v>
      </c>
      <c r="B996" s="54" t="s">
        <v>1123</v>
      </c>
      <c r="C996" s="54" t="s">
        <v>935</v>
      </c>
      <c r="D996" s="53">
        <v>6579</v>
      </c>
      <c r="E996" s="53">
        <v>8503</v>
      </c>
      <c r="F996" s="54" t="s">
        <v>1160</v>
      </c>
      <c r="G996" s="53" t="s">
        <v>223</v>
      </c>
      <c r="H996" s="58" t="str">
        <f>_xlfn.IFNA(INDEX(ActiveSchools!$C$2:$F$326,MATCH(G996,ActiveSchools!$F$2:$F$326,0),1),"Total")</f>
        <v>6615</v>
      </c>
      <c r="I996" s="53">
        <v>11</v>
      </c>
      <c r="J996" s="59">
        <f>_xlfn.IFNA(INDEX(DetailByDistrict[],MATCH($H996,DetailByDistrict[Dist],0),MATCH(J$2,DetailByDistrict[#Headers],0)),0)</f>
        <v>42</v>
      </c>
      <c r="K996" s="54">
        <f t="shared" si="15"/>
        <v>0.26190476190476192</v>
      </c>
      <c r="L996" s="59">
        <f>ROUND(INDEX(DetailByDistrict[],MATCH($H996,DetailByDistrict[Dist],0),MATCH(L$2,DetailByDistrict[#Headers],0))*K996,2)</f>
        <v>713.43</v>
      </c>
      <c r="M996" s="59">
        <f>ROUND(INDEX(DetailByDistrict[],MATCH($H996,DetailByDistrict[Dist],0),MATCH(M$2,DetailByDistrict[#Headers],0))*K996,2)</f>
        <v>784.14</v>
      </c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spans="1:26" ht="15.75" customHeight="1" x14ac:dyDescent="0.25">
      <c r="A997" s="53">
        <v>11</v>
      </c>
      <c r="B997" s="54" t="s">
        <v>1123</v>
      </c>
      <c r="C997" s="54" t="s">
        <v>935</v>
      </c>
      <c r="D997" s="53">
        <v>6579</v>
      </c>
      <c r="E997" s="53">
        <v>8503</v>
      </c>
      <c r="F997" s="54" t="s">
        <v>1138</v>
      </c>
      <c r="G997" s="53" t="s">
        <v>224</v>
      </c>
      <c r="H997" s="58" t="str">
        <f>_xlfn.IFNA(INDEX(ActiveSchools!$C$2:$F$326,MATCH(G997,ActiveSchools!$F$2:$F$326,0),1),"Total")</f>
        <v>6822</v>
      </c>
      <c r="I997" s="53">
        <v>291</v>
      </c>
      <c r="J997" s="59">
        <f>_xlfn.IFNA(INDEX(DetailByDistrict[],MATCH($H997,DetailByDistrict[Dist],0),MATCH(J$2,DetailByDistrict[#Headers],0)),0)</f>
        <v>1399</v>
      </c>
      <c r="K997" s="54">
        <f t="shared" si="15"/>
        <v>0.20800571837026446</v>
      </c>
      <c r="L997" s="59">
        <f>ROUND(INDEX(DetailByDistrict[],MATCH($H997,DetailByDistrict[Dist],0),MATCH(L$2,DetailByDistrict[#Headers],0))*K997,2)</f>
        <v>18874.23</v>
      </c>
      <c r="M997" s="59">
        <f>ROUND(INDEX(DetailByDistrict[],MATCH($H997,DetailByDistrict[Dist],0),MATCH(M$2,DetailByDistrict[#Headers],0))*K997,2)</f>
        <v>20742.54</v>
      </c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spans="1:26" ht="15.75" customHeight="1" x14ac:dyDescent="0.25">
      <c r="A998" s="53">
        <v>11</v>
      </c>
      <c r="B998" s="54" t="s">
        <v>1123</v>
      </c>
      <c r="C998" s="54" t="s">
        <v>935</v>
      </c>
      <c r="D998" s="53">
        <v>6579</v>
      </c>
      <c r="E998" s="53">
        <v>8503</v>
      </c>
      <c r="F998" s="54" t="s">
        <v>1139</v>
      </c>
      <c r="G998" s="53" t="s">
        <v>226</v>
      </c>
      <c r="H998" s="58" t="str">
        <f>_xlfn.IFNA(INDEX(ActiveSchools!$C$2:$F$326,MATCH(G998,ActiveSchools!$F$2:$F$326,0),1),"Total")</f>
        <v>6957</v>
      </c>
      <c r="I998" s="53">
        <v>147</v>
      </c>
      <c r="J998" s="59">
        <f>_xlfn.IFNA(INDEX(DetailByDistrict[],MATCH($H998,DetailByDistrict[Dist],0),MATCH(J$2,DetailByDistrict[#Headers],0)),0)</f>
        <v>1305</v>
      </c>
      <c r="K998" s="54">
        <f t="shared" si="15"/>
        <v>0.11264367816091954</v>
      </c>
      <c r="L998" s="59">
        <f>ROUND(INDEX(DetailByDistrict[],MATCH($H998,DetailByDistrict[Dist],0),MATCH(L$2,DetailByDistrict[#Headers],0))*K998,2)</f>
        <v>9534.39</v>
      </c>
      <c r="M998" s="59">
        <f>ROUND(INDEX(DetailByDistrict[],MATCH($H998,DetailByDistrict[Dist],0),MATCH(M$2,DetailByDistrict[#Headers],0))*K998,2)</f>
        <v>10478.11</v>
      </c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spans="1:26" ht="15.75" customHeight="1" x14ac:dyDescent="0.25">
      <c r="A999" s="53">
        <v>11</v>
      </c>
      <c r="B999" s="54" t="s">
        <v>1123</v>
      </c>
      <c r="C999" s="54" t="s">
        <v>935</v>
      </c>
      <c r="D999" s="53">
        <v>6579</v>
      </c>
      <c r="E999" s="53">
        <v>8503</v>
      </c>
      <c r="F999" s="54" t="s">
        <v>1165</v>
      </c>
      <c r="G999" s="53" t="s">
        <v>227</v>
      </c>
      <c r="H999" s="58" t="str">
        <f>_xlfn.IFNA(INDEX(ActiveSchools!$C$2:$F$326,MATCH(G999,ActiveSchools!$F$2:$F$326,0),1),"Total")</f>
        <v>7056</v>
      </c>
      <c r="I999" s="53">
        <v>5</v>
      </c>
      <c r="J999" s="59">
        <f>_xlfn.IFNA(INDEX(DetailByDistrict[],MATCH($H999,DetailByDistrict[Dist],0),MATCH(J$2,DetailByDistrict[#Headers],0)),0)</f>
        <v>17</v>
      </c>
      <c r="K999" s="54">
        <f t="shared" si="15"/>
        <v>0.29411764705882354</v>
      </c>
      <c r="L999" s="59">
        <f>ROUND(INDEX(DetailByDistrict[],MATCH($H999,DetailByDistrict[Dist],0),MATCH(L$2,DetailByDistrict[#Headers],0))*K999,2)</f>
        <v>324.41000000000003</v>
      </c>
      <c r="M999" s="59">
        <f>ROUND(INDEX(DetailByDistrict[],MATCH($H999,DetailByDistrict[Dist],0),MATCH(M$2,DetailByDistrict[#Headers],0))*K999,2)</f>
        <v>356.47</v>
      </c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spans="1:26" ht="15.75" customHeight="1" x14ac:dyDescent="0.25">
      <c r="A1000" s="53">
        <v>11</v>
      </c>
      <c r="B1000" s="54" t="s">
        <v>1123</v>
      </c>
      <c r="C1000" s="54" t="s">
        <v>935</v>
      </c>
      <c r="D1000" s="53">
        <v>6579</v>
      </c>
      <c r="E1000" s="53">
        <v>8503</v>
      </c>
      <c r="F1000" s="54" t="s">
        <v>1143</v>
      </c>
      <c r="G1000" s="53" t="s">
        <v>228</v>
      </c>
      <c r="H1000" s="58" t="str">
        <f>_xlfn.IFNA(INDEX(ActiveSchools!$C$2:$F$326,MATCH(G1000,ActiveSchools!$F$2:$F$326,0),1),"Total")</f>
        <v>7110</v>
      </c>
      <c r="I1000" s="53">
        <v>3</v>
      </c>
      <c r="J1000" s="59">
        <f>_xlfn.IFNA(INDEX(DetailByDistrict[],MATCH($H1000,DetailByDistrict[Dist],0),MATCH(J$2,DetailByDistrict[#Headers],0)),0)</f>
        <v>28</v>
      </c>
      <c r="K1000" s="54">
        <f t="shared" si="15"/>
        <v>0.10714285714285714</v>
      </c>
      <c r="L1000" s="59">
        <f>ROUND(INDEX(DetailByDistrict[],MATCH($H1000,DetailByDistrict[Dist],0),MATCH(L$2,DetailByDistrict[#Headers],0))*K1000,2)</f>
        <v>194.57</v>
      </c>
      <c r="M1000" s="59">
        <f>ROUND(INDEX(DetailByDistrict[],MATCH($H1000,DetailByDistrict[Dist],0),MATCH(M$2,DetailByDistrict[#Headers],0))*K1000,2)</f>
        <v>213.86</v>
      </c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  <row r="1001" spans="1:26" ht="15.75" customHeight="1" x14ac:dyDescent="0.25">
      <c r="A1001" s="53">
        <v>11</v>
      </c>
      <c r="B1001" s="54" t="s">
        <v>1123</v>
      </c>
      <c r="C1001" s="54" t="s">
        <v>947</v>
      </c>
      <c r="D1001" s="53">
        <v>6822</v>
      </c>
      <c r="E1001" s="53">
        <v>8101</v>
      </c>
      <c r="F1001" s="54" t="s">
        <v>1156</v>
      </c>
      <c r="G1001" s="57" t="s">
        <v>176</v>
      </c>
      <c r="H1001" s="58" t="str">
        <f>_xlfn.IFNA(INDEX(ActiveSchools!$C$2:$F$326,MATCH(G1001,ActiveSchools!$F$2:$F$326,0),1),"Total")</f>
        <v>0027</v>
      </c>
      <c r="I1001" s="53">
        <v>18</v>
      </c>
      <c r="J1001" s="59">
        <f>_xlfn.IFNA(INDEX(DetailByDistrict[],MATCH($H1001,DetailByDistrict[Dist],0),MATCH(J$2,DetailByDistrict[#Headers],0)),0)</f>
        <v>51</v>
      </c>
      <c r="K1001" s="54">
        <f t="shared" si="15"/>
        <v>0.35294117647058826</v>
      </c>
      <c r="L1001" s="59">
        <f>ROUND(INDEX(DetailByDistrict[],MATCH($H1001,DetailByDistrict[Dist],0),MATCH(L$2,DetailByDistrict[#Headers],0))*K1001,2)</f>
        <v>1167.53</v>
      </c>
      <c r="M1001" s="59">
        <f>ROUND(INDEX(DetailByDistrict[],MATCH($H1001,DetailByDistrict[Dist],0),MATCH(M$2,DetailByDistrict[#Headers],0))*K1001,2)</f>
        <v>1282.94</v>
      </c>
      <c r="N1001" s="78"/>
      <c r="O1001" s="78"/>
      <c r="P1001" s="78"/>
      <c r="Q1001" s="78"/>
      <c r="R1001" s="78"/>
      <c r="S1001" s="78"/>
      <c r="T1001" s="78"/>
      <c r="U1001" s="78"/>
      <c r="V1001" s="78"/>
      <c r="W1001" s="78"/>
      <c r="X1001" s="78"/>
      <c r="Y1001" s="78"/>
      <c r="Z1001" s="78"/>
    </row>
    <row r="1002" spans="1:26" ht="15.75" customHeight="1" x14ac:dyDescent="0.25">
      <c r="A1002" s="53">
        <v>11</v>
      </c>
      <c r="B1002" s="54" t="s">
        <v>1123</v>
      </c>
      <c r="C1002" s="54" t="s">
        <v>947</v>
      </c>
      <c r="D1002" s="53">
        <v>6822</v>
      </c>
      <c r="E1002" s="53">
        <v>8101</v>
      </c>
      <c r="F1002" s="54" t="s">
        <v>1151</v>
      </c>
      <c r="G1002" s="57" t="s">
        <v>184</v>
      </c>
      <c r="H1002" s="58" t="str">
        <f>_xlfn.IFNA(INDEX(ActiveSchools!$C$2:$F$326,MATCH(G1002,ActiveSchools!$F$2:$F$326,0),1),"Total")</f>
        <v>0981</v>
      </c>
      <c r="I1002" s="53">
        <v>2</v>
      </c>
      <c r="J1002" s="59">
        <f>_xlfn.IFNA(INDEX(DetailByDistrict[],MATCH($H1002,DetailByDistrict[Dist],0),MATCH(J$2,DetailByDistrict[#Headers],0)),0)</f>
        <v>68</v>
      </c>
      <c r="K1002" s="54">
        <f t="shared" si="15"/>
        <v>2.9411764705882353E-2</v>
      </c>
      <c r="L1002" s="59">
        <f>ROUND(INDEX(DetailByDistrict[],MATCH($H1002,DetailByDistrict[Dist],0),MATCH(L$2,DetailByDistrict[#Headers],0))*K1002,2)</f>
        <v>129.71</v>
      </c>
      <c r="M1002" s="59">
        <f>ROUND(INDEX(DetailByDistrict[],MATCH($H1002,DetailByDistrict[Dist],0),MATCH(M$2,DetailByDistrict[#Headers],0))*K1002,2)</f>
        <v>142.56</v>
      </c>
      <c r="N1002" s="78"/>
      <c r="O1002" s="78"/>
      <c r="P1002" s="78"/>
      <c r="Q1002" s="78"/>
      <c r="R1002" s="78"/>
      <c r="S1002" s="78"/>
      <c r="T1002" s="78"/>
      <c r="U1002" s="78"/>
      <c r="V1002" s="78"/>
      <c r="W1002" s="78"/>
      <c r="X1002" s="78"/>
      <c r="Y1002" s="78"/>
      <c r="Z1002" s="78"/>
    </row>
    <row r="1003" spans="1:26" ht="15.75" customHeight="1" x14ac:dyDescent="0.25">
      <c r="A1003" s="53">
        <v>11</v>
      </c>
      <c r="B1003" s="54" t="s">
        <v>1123</v>
      </c>
      <c r="C1003" s="54" t="s">
        <v>947</v>
      </c>
      <c r="D1003" s="53">
        <v>6822</v>
      </c>
      <c r="E1003" s="53">
        <v>8101</v>
      </c>
      <c r="F1003" s="54" t="s">
        <v>1144</v>
      </c>
      <c r="G1003" s="53" t="s">
        <v>190</v>
      </c>
      <c r="H1003" s="58" t="str">
        <f>_xlfn.IFNA(INDEX(ActiveSchools!$C$2:$F$326,MATCH(G1003,ActiveSchools!$F$2:$F$326,0),1),"Total")</f>
        <v>1576</v>
      </c>
      <c r="I1003" s="53">
        <v>1</v>
      </c>
      <c r="J1003" s="59">
        <f>_xlfn.IFNA(INDEX(DetailByDistrict[],MATCH($H1003,DetailByDistrict[Dist],0),MATCH(J$2,DetailByDistrict[#Headers],0)),0)</f>
        <v>123</v>
      </c>
      <c r="K1003" s="54">
        <f t="shared" si="15"/>
        <v>8.130081300813009E-3</v>
      </c>
      <c r="L1003" s="59">
        <f>ROUND(INDEX(DetailByDistrict[],MATCH($H1003,DetailByDistrict[Dist],0),MATCH(L$2,DetailByDistrict[#Headers],0))*K1003,2)</f>
        <v>64.86</v>
      </c>
      <c r="M1003" s="59">
        <f>ROUND(INDEX(DetailByDistrict[],MATCH($H1003,DetailByDistrict[Dist],0),MATCH(M$2,DetailByDistrict[#Headers],0))*K1003,2)</f>
        <v>71.28</v>
      </c>
      <c r="N1003" s="78"/>
      <c r="O1003" s="78"/>
      <c r="P1003" s="78"/>
      <c r="Q1003" s="78"/>
      <c r="R1003" s="78"/>
      <c r="S1003" s="78"/>
      <c r="T1003" s="78"/>
      <c r="U1003" s="78"/>
      <c r="V1003" s="78"/>
      <c r="W1003" s="78"/>
      <c r="X1003" s="78"/>
      <c r="Y1003" s="78"/>
      <c r="Z1003" s="78"/>
    </row>
    <row r="1004" spans="1:26" ht="15.75" customHeight="1" x14ac:dyDescent="0.25">
      <c r="A1004" s="53">
        <v>11</v>
      </c>
      <c r="B1004" s="54" t="s">
        <v>1123</v>
      </c>
      <c r="C1004" s="54" t="s">
        <v>947</v>
      </c>
      <c r="D1004" s="53">
        <v>6822</v>
      </c>
      <c r="E1004" s="53">
        <v>8101</v>
      </c>
      <c r="F1004" s="54" t="s">
        <v>1134</v>
      </c>
      <c r="G1004" s="53" t="s">
        <v>191</v>
      </c>
      <c r="H1004" s="58" t="str">
        <f>_xlfn.IFNA(INDEX(ActiveSchools!$C$2:$F$326,MATCH(G1004,ActiveSchools!$F$2:$F$326,0),1),"Total")</f>
        <v>1737</v>
      </c>
      <c r="I1004" s="53">
        <v>3</v>
      </c>
      <c r="J1004" s="59">
        <f>_xlfn.IFNA(INDEX(DetailByDistrict[],MATCH($H1004,DetailByDistrict[Dist],0),MATCH(J$2,DetailByDistrict[#Headers],0)),0)</f>
        <v>2968</v>
      </c>
      <c r="K1004" s="54">
        <f t="shared" si="15"/>
        <v>1.0107816711590297E-3</v>
      </c>
      <c r="L1004" s="59">
        <f>ROUND(INDEX(DetailByDistrict[],MATCH($H1004,DetailByDistrict[Dist],0),MATCH(L$2,DetailByDistrict[#Headers],0))*K1004,2)</f>
        <v>194.58</v>
      </c>
      <c r="M1004" s="59">
        <f>ROUND(INDEX(DetailByDistrict[],MATCH($H1004,DetailByDistrict[Dist],0),MATCH(M$2,DetailByDistrict[#Headers],0))*K1004,2)</f>
        <v>213.84</v>
      </c>
      <c r="N1004" s="78"/>
      <c r="O1004" s="78"/>
      <c r="P1004" s="78"/>
      <c r="Q1004" s="78"/>
      <c r="R1004" s="78"/>
      <c r="S1004" s="78"/>
      <c r="T1004" s="78"/>
      <c r="U1004" s="78"/>
      <c r="V1004" s="78"/>
      <c r="W1004" s="78"/>
      <c r="X1004" s="78"/>
      <c r="Y1004" s="78"/>
      <c r="Z1004" s="78"/>
    </row>
    <row r="1005" spans="1:26" ht="15.75" customHeight="1" x14ac:dyDescent="0.25">
      <c r="A1005" s="53">
        <v>11</v>
      </c>
      <c r="B1005" s="54" t="s">
        <v>1123</v>
      </c>
      <c r="C1005" s="54" t="s">
        <v>947</v>
      </c>
      <c r="D1005" s="53">
        <v>6822</v>
      </c>
      <c r="E1005" s="53">
        <v>8101</v>
      </c>
      <c r="F1005" s="54" t="s">
        <v>1157</v>
      </c>
      <c r="G1005" s="53" t="s">
        <v>192</v>
      </c>
      <c r="H1005" s="58" t="str">
        <f>_xlfn.IFNA(INDEX(ActiveSchools!$C$2:$F$326,MATCH(G1005,ActiveSchools!$F$2:$F$326,0),1),"Total")</f>
        <v>1953</v>
      </c>
      <c r="I1005" s="53">
        <v>1</v>
      </c>
      <c r="J1005" s="59">
        <f>_xlfn.IFNA(INDEX(DetailByDistrict[],MATCH($H1005,DetailByDistrict[Dist],0),MATCH(J$2,DetailByDistrict[#Headers],0)),0)</f>
        <v>7</v>
      </c>
      <c r="K1005" s="54">
        <f t="shared" si="15"/>
        <v>0.14285714285714285</v>
      </c>
      <c r="L1005" s="59">
        <f>ROUND(INDEX(DetailByDistrict[],MATCH($H1005,DetailByDistrict[Dist],0),MATCH(L$2,DetailByDistrict[#Headers],0))*K1005,2)</f>
        <v>64.86</v>
      </c>
      <c r="M1005" s="59">
        <f>ROUND(INDEX(DetailByDistrict[],MATCH($H1005,DetailByDistrict[Dist],0),MATCH(M$2,DetailByDistrict[#Headers],0))*K1005,2)</f>
        <v>71.290000000000006</v>
      </c>
      <c r="N1005" s="78"/>
      <c r="O1005" s="78"/>
      <c r="P1005" s="78"/>
      <c r="Q1005" s="78"/>
      <c r="R1005" s="78"/>
      <c r="S1005" s="78"/>
      <c r="T1005" s="78"/>
      <c r="U1005" s="78"/>
      <c r="V1005" s="78"/>
      <c r="W1005" s="78"/>
      <c r="X1005" s="78"/>
      <c r="Y1005" s="78"/>
      <c r="Z1005" s="78"/>
    </row>
    <row r="1006" spans="1:26" ht="15.75" customHeight="1" x14ac:dyDescent="0.25">
      <c r="A1006" s="53">
        <v>11</v>
      </c>
      <c r="B1006" s="54" t="s">
        <v>1123</v>
      </c>
      <c r="C1006" s="54" t="s">
        <v>947</v>
      </c>
      <c r="D1006" s="53">
        <v>6822</v>
      </c>
      <c r="E1006" s="53">
        <v>8101</v>
      </c>
      <c r="F1006" s="54" t="s">
        <v>1162</v>
      </c>
      <c r="G1006" s="53" t="s">
        <v>198</v>
      </c>
      <c r="H1006" s="58" t="str">
        <f>_xlfn.IFNA(INDEX(ActiveSchools!$C$2:$F$326,MATCH(G1006,ActiveSchools!$F$2:$F$326,0),1),"Total")</f>
        <v>3119</v>
      </c>
      <c r="I1006" s="53">
        <v>3</v>
      </c>
      <c r="J1006" s="59">
        <f>_xlfn.IFNA(INDEX(DetailByDistrict[],MATCH($H1006,DetailByDistrict[Dist],0),MATCH(J$2,DetailByDistrict[#Headers],0)),0)</f>
        <v>16</v>
      </c>
      <c r="K1006" s="54">
        <f t="shared" si="15"/>
        <v>0.1875</v>
      </c>
      <c r="L1006" s="59">
        <f>ROUND(INDEX(DetailByDistrict[],MATCH($H1006,DetailByDistrict[Dist],0),MATCH(L$2,DetailByDistrict[#Headers],0))*K1006,2)</f>
        <v>194.63</v>
      </c>
      <c r="M1006" s="59">
        <f>ROUND(INDEX(DetailByDistrict[],MATCH($H1006,DetailByDistrict[Dist],0),MATCH(M$2,DetailByDistrict[#Headers],0))*K1006,2)</f>
        <v>213.75</v>
      </c>
      <c r="N1006" s="78"/>
      <c r="O1006" s="78"/>
      <c r="P1006" s="78"/>
      <c r="Q1006" s="78"/>
      <c r="R1006" s="78"/>
      <c r="S1006" s="78"/>
      <c r="T1006" s="78"/>
      <c r="U1006" s="78"/>
      <c r="V1006" s="78"/>
      <c r="W1006" s="78"/>
      <c r="X1006" s="78"/>
      <c r="Y1006" s="78"/>
      <c r="Z1006" s="78"/>
    </row>
    <row r="1007" spans="1:26" ht="15.75" customHeight="1" x14ac:dyDescent="0.25">
      <c r="A1007" s="53">
        <v>11</v>
      </c>
      <c r="B1007" s="54" t="s">
        <v>1123</v>
      </c>
      <c r="C1007" s="54" t="s">
        <v>947</v>
      </c>
      <c r="D1007" s="53">
        <v>6822</v>
      </c>
      <c r="E1007" s="53">
        <v>8101</v>
      </c>
      <c r="F1007" s="54" t="s">
        <v>1135</v>
      </c>
      <c r="G1007" s="53" t="s">
        <v>199</v>
      </c>
      <c r="H1007" s="58" t="str">
        <f>_xlfn.IFNA(INDEX(ActiveSchools!$C$2:$F$326,MATCH(G1007,ActiveSchools!$F$2:$F$326,0),1),"Total")</f>
        <v>3231</v>
      </c>
      <c r="I1007" s="53">
        <v>8</v>
      </c>
      <c r="J1007" s="59">
        <f>_xlfn.IFNA(INDEX(DetailByDistrict[],MATCH($H1007,DetailByDistrict[Dist],0),MATCH(J$2,DetailByDistrict[#Headers],0)),0)</f>
        <v>509</v>
      </c>
      <c r="K1007" s="54">
        <f t="shared" si="15"/>
        <v>1.5717092337917484E-2</v>
      </c>
      <c r="L1007" s="59">
        <f>ROUND(INDEX(DetailByDistrict[],MATCH($H1007,DetailByDistrict[Dist],0),MATCH(L$2,DetailByDistrict[#Headers],0))*K1007,2)</f>
        <v>518.88</v>
      </c>
      <c r="M1007" s="59">
        <f>ROUND(INDEX(DetailByDistrict[],MATCH($H1007,DetailByDistrict[Dist],0),MATCH(M$2,DetailByDistrict[#Headers],0))*K1007,2)</f>
        <v>570.25</v>
      </c>
      <c r="N1007" s="78"/>
      <c r="O1007" s="78"/>
      <c r="P1007" s="78"/>
      <c r="Q1007" s="78"/>
      <c r="R1007" s="78"/>
      <c r="S1007" s="78"/>
      <c r="T1007" s="78"/>
      <c r="U1007" s="78"/>
      <c r="V1007" s="78"/>
      <c r="W1007" s="78"/>
      <c r="X1007" s="78"/>
      <c r="Y1007" s="78"/>
      <c r="Z1007" s="78"/>
    </row>
    <row r="1008" spans="1:26" ht="15.75" customHeight="1" x14ac:dyDescent="0.25">
      <c r="A1008" s="53">
        <v>11</v>
      </c>
      <c r="B1008" s="54" t="s">
        <v>1123</v>
      </c>
      <c r="C1008" s="54" t="s">
        <v>947</v>
      </c>
      <c r="D1008" s="53">
        <v>6822</v>
      </c>
      <c r="E1008" s="53">
        <v>8101</v>
      </c>
      <c r="F1008" s="54" t="s">
        <v>1171</v>
      </c>
      <c r="G1008" s="53" t="s">
        <v>203</v>
      </c>
      <c r="H1008" s="58" t="str">
        <f>_xlfn.IFNA(INDEX(ActiveSchools!$C$2:$F$326,MATCH(G1008,ActiveSchools!$F$2:$F$326,0),1),"Total")</f>
        <v>4122</v>
      </c>
      <c r="I1008" s="53">
        <v>6</v>
      </c>
      <c r="J1008" s="59">
        <f>_xlfn.IFNA(INDEX(DetailByDistrict[],MATCH($H1008,DetailByDistrict[Dist],0),MATCH(J$2,DetailByDistrict[#Headers],0)),0)</f>
        <v>24</v>
      </c>
      <c r="K1008" s="54">
        <f t="shared" si="15"/>
        <v>0.25</v>
      </c>
      <c r="L1008" s="59">
        <f>ROUND(INDEX(DetailByDistrict[],MATCH($H1008,DetailByDistrict[Dist],0),MATCH(L$2,DetailByDistrict[#Headers],0))*K1008,2)</f>
        <v>389.25</v>
      </c>
      <c r="M1008" s="59">
        <f>ROUND(INDEX(DetailByDistrict[],MATCH($H1008,DetailByDistrict[Dist],0),MATCH(M$2,DetailByDistrict[#Headers],0))*K1008,2)</f>
        <v>427.75</v>
      </c>
      <c r="N1008" s="78"/>
      <c r="O1008" s="78"/>
      <c r="P1008" s="78"/>
      <c r="Q1008" s="78"/>
      <c r="R1008" s="78"/>
      <c r="S1008" s="78"/>
      <c r="T1008" s="78"/>
      <c r="U1008" s="78"/>
      <c r="V1008" s="78"/>
      <c r="W1008" s="78"/>
      <c r="X1008" s="78"/>
      <c r="Y1008" s="78"/>
      <c r="Z1008" s="78"/>
    </row>
    <row r="1009" spans="1:26" ht="15.75" customHeight="1" x14ac:dyDescent="0.25">
      <c r="A1009" s="53">
        <v>11</v>
      </c>
      <c r="B1009" s="54" t="s">
        <v>1123</v>
      </c>
      <c r="C1009" s="54" t="s">
        <v>947</v>
      </c>
      <c r="D1009" s="53">
        <v>6822</v>
      </c>
      <c r="E1009" s="53">
        <v>8101</v>
      </c>
      <c r="F1009" s="54" t="s">
        <v>1153</v>
      </c>
      <c r="G1009" s="53" t="s">
        <v>208</v>
      </c>
      <c r="H1009" s="58" t="str">
        <f>_xlfn.IFNA(INDEX(ActiveSchools!$C$2:$F$326,MATCH(G1009,ActiveSchools!$F$2:$F$326,0),1),"Total")</f>
        <v>4797</v>
      </c>
      <c r="I1009" s="53">
        <v>14</v>
      </c>
      <c r="J1009" s="59">
        <f>_xlfn.IFNA(INDEX(DetailByDistrict[],MATCH($H1009,DetailByDistrict[Dist],0),MATCH(J$2,DetailByDistrict[#Headers],0)),0)</f>
        <v>161</v>
      </c>
      <c r="K1009" s="54">
        <f t="shared" si="15"/>
        <v>8.6956521739130432E-2</v>
      </c>
      <c r="L1009" s="59">
        <f>ROUND(INDEX(DetailByDistrict[],MATCH($H1009,DetailByDistrict[Dist],0),MATCH(L$2,DetailByDistrict[#Headers],0))*K1009,2)</f>
        <v>908</v>
      </c>
      <c r="M1009" s="59">
        <f>ROUND(INDEX(DetailByDistrict[],MATCH($H1009,DetailByDistrict[Dist],0),MATCH(M$2,DetailByDistrict[#Headers],0))*K1009,2)</f>
        <v>997.91</v>
      </c>
      <c r="N1009" s="78"/>
      <c r="O1009" s="78"/>
      <c r="P1009" s="78"/>
      <c r="Q1009" s="78"/>
      <c r="R1009" s="78"/>
      <c r="S1009" s="78"/>
      <c r="T1009" s="78"/>
      <c r="U1009" s="78"/>
      <c r="V1009" s="78"/>
      <c r="W1009" s="78"/>
      <c r="X1009" s="78"/>
      <c r="Y1009" s="78"/>
      <c r="Z1009" s="78"/>
    </row>
    <row r="1010" spans="1:26" ht="15.75" customHeight="1" x14ac:dyDescent="0.25">
      <c r="A1010" s="53">
        <v>11</v>
      </c>
      <c r="B1010" s="54" t="s">
        <v>1123</v>
      </c>
      <c r="C1010" s="54" t="s">
        <v>947</v>
      </c>
      <c r="D1010" s="53">
        <v>6822</v>
      </c>
      <c r="E1010" s="53">
        <v>8101</v>
      </c>
      <c r="F1010" s="54" t="s">
        <v>1145</v>
      </c>
      <c r="G1010" s="53" t="s">
        <v>222</v>
      </c>
      <c r="H1010" s="58" t="str">
        <f>_xlfn.IFNA(INDEX(ActiveSchools!$C$2:$F$326,MATCH(G1010,ActiveSchools!$F$2:$F$326,0),1),"Total")</f>
        <v>6579</v>
      </c>
      <c r="I1010" s="53">
        <v>17</v>
      </c>
      <c r="J1010" s="59">
        <f>_xlfn.IFNA(INDEX(DetailByDistrict[],MATCH($H1010,DetailByDistrict[Dist],0),MATCH(J$2,DetailByDistrict[#Headers],0)),0)</f>
        <v>484</v>
      </c>
      <c r="K1010" s="54">
        <f t="shared" si="15"/>
        <v>3.5123966942148761E-2</v>
      </c>
      <c r="L1010" s="59">
        <f>ROUND(INDEX(DetailByDistrict[],MATCH($H1010,DetailByDistrict[Dist],0),MATCH(L$2,DetailByDistrict[#Headers],0))*K1010,2)</f>
        <v>1102.6099999999999</v>
      </c>
      <c r="M1010" s="59">
        <f>ROUND(INDEX(DetailByDistrict[],MATCH($H1010,DetailByDistrict[Dist],0),MATCH(M$2,DetailByDistrict[#Headers],0))*K1010,2)</f>
        <v>1211.78</v>
      </c>
      <c r="N1010" s="78"/>
      <c r="O1010" s="78"/>
      <c r="P1010" s="78"/>
      <c r="Q1010" s="78"/>
      <c r="R1010" s="78"/>
      <c r="S1010" s="78"/>
      <c r="T1010" s="78"/>
      <c r="U1010" s="78"/>
      <c r="V1010" s="78"/>
      <c r="W1010" s="78"/>
      <c r="X1010" s="78"/>
      <c r="Y1010" s="78"/>
      <c r="Z1010" s="78"/>
    </row>
    <row r="1011" spans="1:26" ht="15.75" customHeight="1" x14ac:dyDescent="0.25">
      <c r="A1011" s="53">
        <v>11</v>
      </c>
      <c r="B1011" s="54" t="s">
        <v>1123</v>
      </c>
      <c r="C1011" s="54" t="s">
        <v>947</v>
      </c>
      <c r="D1011" s="53">
        <v>6822</v>
      </c>
      <c r="E1011" s="53">
        <v>8101</v>
      </c>
      <c r="F1011" s="54" t="s">
        <v>1160</v>
      </c>
      <c r="G1011" s="53" t="s">
        <v>223</v>
      </c>
      <c r="H1011" s="58" t="str">
        <f>_xlfn.IFNA(INDEX(ActiveSchools!$C$2:$F$326,MATCH(G1011,ActiveSchools!$F$2:$F$326,0),1),"Total")</f>
        <v>6615</v>
      </c>
      <c r="I1011" s="53">
        <v>12</v>
      </c>
      <c r="J1011" s="59">
        <f>_xlfn.IFNA(INDEX(DetailByDistrict[],MATCH($H1011,DetailByDistrict[Dist],0),MATCH(J$2,DetailByDistrict[#Headers],0)),0)</f>
        <v>42</v>
      </c>
      <c r="K1011" s="54">
        <f t="shared" si="15"/>
        <v>0.2857142857142857</v>
      </c>
      <c r="L1011" s="59">
        <f>ROUND(INDEX(DetailByDistrict[],MATCH($H1011,DetailByDistrict[Dist],0),MATCH(L$2,DetailByDistrict[#Headers],0))*K1011,2)</f>
        <v>778.29</v>
      </c>
      <c r="M1011" s="59">
        <f>ROUND(INDEX(DetailByDistrict[],MATCH($H1011,DetailByDistrict[Dist],0),MATCH(M$2,DetailByDistrict[#Headers],0))*K1011,2)</f>
        <v>855.43</v>
      </c>
      <c r="N1011" s="78"/>
      <c r="O1011" s="78"/>
      <c r="P1011" s="78"/>
      <c r="Q1011" s="78"/>
      <c r="R1011" s="78"/>
      <c r="S1011" s="78"/>
      <c r="T1011" s="78"/>
      <c r="U1011" s="78"/>
      <c r="V1011" s="78"/>
      <c r="W1011" s="78"/>
      <c r="X1011" s="78"/>
      <c r="Y1011" s="78"/>
      <c r="Z1011" s="78"/>
    </row>
    <row r="1012" spans="1:26" ht="15.75" customHeight="1" x14ac:dyDescent="0.25">
      <c r="A1012" s="53">
        <v>11</v>
      </c>
      <c r="B1012" s="54" t="s">
        <v>1123</v>
      </c>
      <c r="C1012" s="54" t="s">
        <v>947</v>
      </c>
      <c r="D1012" s="53">
        <v>6822</v>
      </c>
      <c r="E1012" s="53">
        <v>8101</v>
      </c>
      <c r="F1012" s="54" t="s">
        <v>1138</v>
      </c>
      <c r="G1012" s="53" t="s">
        <v>224</v>
      </c>
      <c r="H1012" s="58" t="str">
        <f>_xlfn.IFNA(INDEX(ActiveSchools!$C$2:$F$326,MATCH(G1012,ActiveSchools!$F$2:$F$326,0),1),"Total")</f>
        <v>6822</v>
      </c>
      <c r="I1012" s="53">
        <v>412</v>
      </c>
      <c r="J1012" s="59">
        <f>_xlfn.IFNA(INDEX(DetailByDistrict[],MATCH($H1012,DetailByDistrict[Dist],0),MATCH(J$2,DetailByDistrict[#Headers],0)),0)</f>
        <v>1399</v>
      </c>
      <c r="K1012" s="54">
        <f t="shared" si="15"/>
        <v>0.2944960686204432</v>
      </c>
      <c r="L1012" s="59">
        <f>ROUND(INDEX(DetailByDistrict[],MATCH($H1012,DetailByDistrict[Dist],0),MATCH(L$2,DetailByDistrict[#Headers],0))*K1012,2)</f>
        <v>26722.28</v>
      </c>
      <c r="M1012" s="59">
        <f>ROUND(INDEX(DetailByDistrict[],MATCH($H1012,DetailByDistrict[Dist],0),MATCH(M$2,DetailByDistrict[#Headers],0))*K1012,2)</f>
        <v>29367.439999999999</v>
      </c>
      <c r="N1012" s="78"/>
      <c r="O1012" s="78"/>
      <c r="P1012" s="78"/>
      <c r="Q1012" s="78"/>
      <c r="R1012" s="78"/>
      <c r="S1012" s="78"/>
      <c r="T1012" s="78"/>
      <c r="U1012" s="78"/>
      <c r="V1012" s="78"/>
      <c r="W1012" s="78"/>
      <c r="X1012" s="78"/>
      <c r="Y1012" s="78"/>
      <c r="Z1012" s="78"/>
    </row>
    <row r="1013" spans="1:26" ht="15.75" customHeight="1" x14ac:dyDescent="0.25">
      <c r="A1013" s="53">
        <v>11</v>
      </c>
      <c r="B1013" s="54" t="s">
        <v>1123</v>
      </c>
      <c r="C1013" s="54" t="s">
        <v>947</v>
      </c>
      <c r="D1013" s="53">
        <v>6822</v>
      </c>
      <c r="E1013" s="53">
        <v>8101</v>
      </c>
      <c r="F1013" s="54" t="s">
        <v>1139</v>
      </c>
      <c r="G1013" s="53" t="s">
        <v>226</v>
      </c>
      <c r="H1013" s="58" t="str">
        <f>_xlfn.IFNA(INDEX(ActiveSchools!$C$2:$F$326,MATCH(G1013,ActiveSchools!$F$2:$F$326,0),1),"Total")</f>
        <v>6957</v>
      </c>
      <c r="I1013" s="53">
        <v>175</v>
      </c>
      <c r="J1013" s="59">
        <f>_xlfn.IFNA(INDEX(DetailByDistrict[],MATCH($H1013,DetailByDistrict[Dist],0),MATCH(J$2,DetailByDistrict[#Headers],0)),0)</f>
        <v>1305</v>
      </c>
      <c r="K1013" s="54">
        <f t="shared" si="15"/>
        <v>0.13409961685823754</v>
      </c>
      <c r="L1013" s="59">
        <f>ROUND(INDEX(DetailByDistrict[],MATCH($H1013,DetailByDistrict[Dist],0),MATCH(L$2,DetailByDistrict[#Headers],0))*K1013,2)</f>
        <v>11350.46</v>
      </c>
      <c r="M1013" s="59">
        <f>ROUND(INDEX(DetailByDistrict[],MATCH($H1013,DetailByDistrict[Dist],0),MATCH(M$2,DetailByDistrict[#Headers],0))*K1013,2)</f>
        <v>12473.95</v>
      </c>
      <c r="N1013" s="78"/>
      <c r="O1013" s="78"/>
      <c r="P1013" s="78"/>
      <c r="Q1013" s="78"/>
      <c r="R1013" s="78"/>
      <c r="S1013" s="78"/>
      <c r="T1013" s="78"/>
      <c r="U1013" s="78"/>
      <c r="V1013" s="78"/>
      <c r="W1013" s="78"/>
      <c r="X1013" s="78"/>
      <c r="Y1013" s="78"/>
      <c r="Z1013" s="78"/>
    </row>
    <row r="1014" spans="1:26" ht="15.75" customHeight="1" x14ac:dyDescent="0.25">
      <c r="A1014" s="53">
        <v>11</v>
      </c>
      <c r="B1014" s="54" t="s">
        <v>1123</v>
      </c>
      <c r="C1014" s="54" t="s">
        <v>951</v>
      </c>
      <c r="D1014" s="53">
        <v>6957</v>
      </c>
      <c r="E1014" s="53">
        <v>8103</v>
      </c>
      <c r="F1014" s="54" t="s">
        <v>1156</v>
      </c>
      <c r="G1014" s="57" t="s">
        <v>176</v>
      </c>
      <c r="H1014" s="58" t="str">
        <f>_xlfn.IFNA(INDEX(ActiveSchools!$C$2:$F$326,MATCH(G1014,ActiveSchools!$F$2:$F$326,0),1),"Total")</f>
        <v>0027</v>
      </c>
      <c r="I1014" s="53">
        <v>6</v>
      </c>
      <c r="J1014" s="59">
        <f>_xlfn.IFNA(INDEX(DetailByDistrict[],MATCH($H1014,DetailByDistrict[Dist],0),MATCH(J$2,DetailByDistrict[#Headers],0)),0)</f>
        <v>51</v>
      </c>
      <c r="K1014" s="54">
        <f t="shared" si="15"/>
        <v>0.11764705882352941</v>
      </c>
      <c r="L1014" s="59">
        <f>ROUND(INDEX(DetailByDistrict[],MATCH($H1014,DetailByDistrict[Dist],0),MATCH(L$2,DetailByDistrict[#Headers],0))*K1014,2)</f>
        <v>389.18</v>
      </c>
      <c r="M1014" s="59">
        <f>ROUND(INDEX(DetailByDistrict[],MATCH($H1014,DetailByDistrict[Dist],0),MATCH(M$2,DetailByDistrict[#Headers],0))*K1014,2)</f>
        <v>427.65</v>
      </c>
      <c r="N1014" s="78"/>
      <c r="O1014" s="78"/>
      <c r="P1014" s="78"/>
      <c r="Q1014" s="78"/>
      <c r="R1014" s="78"/>
      <c r="S1014" s="78"/>
      <c r="T1014" s="78"/>
      <c r="U1014" s="78"/>
      <c r="V1014" s="78"/>
      <c r="W1014" s="78"/>
      <c r="X1014" s="78"/>
      <c r="Y1014" s="78"/>
      <c r="Z1014" s="78"/>
    </row>
    <row r="1015" spans="1:26" ht="15.75" customHeight="1" x14ac:dyDescent="0.25">
      <c r="A1015" s="53">
        <v>11</v>
      </c>
      <c r="B1015" s="54" t="s">
        <v>1123</v>
      </c>
      <c r="C1015" s="54" t="s">
        <v>951</v>
      </c>
      <c r="D1015" s="53">
        <v>6957</v>
      </c>
      <c r="E1015" s="53">
        <v>8103</v>
      </c>
      <c r="F1015" s="54" t="s">
        <v>1125</v>
      </c>
      <c r="G1015" s="57" t="s">
        <v>178</v>
      </c>
      <c r="H1015" s="58" t="str">
        <f>_xlfn.IFNA(INDEX(ActiveSchools!$C$2:$F$326,MATCH(G1015,ActiveSchools!$F$2:$F$326,0),1),"Total")</f>
        <v>0261</v>
      </c>
      <c r="I1015" s="53">
        <v>61</v>
      </c>
      <c r="J1015" s="59">
        <f>_xlfn.IFNA(INDEX(DetailByDistrict[],MATCH($H1015,DetailByDistrict[Dist],0),MATCH(J$2,DetailByDistrict[#Headers],0)),0)</f>
        <v>1188</v>
      </c>
      <c r="K1015" s="54">
        <f t="shared" si="15"/>
        <v>5.1346801346801349E-2</v>
      </c>
      <c r="L1015" s="59">
        <f>ROUND(INDEX(DetailByDistrict[],MATCH($H1015,DetailByDistrict[Dist],0),MATCH(L$2,DetailByDistrict[#Headers],0))*K1015,2)</f>
        <v>3956.48</v>
      </c>
      <c r="M1015" s="59">
        <f>ROUND(INDEX(DetailByDistrict[],MATCH($H1015,DetailByDistrict[Dist],0),MATCH(M$2,DetailByDistrict[#Headers],0))*K1015,2)</f>
        <v>4348.1000000000004</v>
      </c>
      <c r="N1015" s="78"/>
      <c r="O1015" s="78"/>
      <c r="P1015" s="78"/>
      <c r="Q1015" s="78"/>
      <c r="R1015" s="78"/>
      <c r="S1015" s="78"/>
      <c r="T1015" s="78"/>
      <c r="U1015" s="78"/>
      <c r="V1015" s="78"/>
      <c r="W1015" s="78"/>
      <c r="X1015" s="78"/>
      <c r="Y1015" s="78"/>
      <c r="Z1015" s="78"/>
    </row>
    <row r="1016" spans="1:26" ht="15.75" customHeight="1" x14ac:dyDescent="0.25">
      <c r="A1016" s="53">
        <v>11</v>
      </c>
      <c r="B1016" s="54" t="s">
        <v>1123</v>
      </c>
      <c r="C1016" s="54" t="s">
        <v>951</v>
      </c>
      <c r="D1016" s="53">
        <v>6957</v>
      </c>
      <c r="E1016" s="53">
        <v>8103</v>
      </c>
      <c r="F1016" s="54" t="s">
        <v>1126</v>
      </c>
      <c r="G1016" s="57" t="s">
        <v>180</v>
      </c>
      <c r="H1016" s="58" t="str">
        <f>_xlfn.IFNA(INDEX(ActiveSchools!$C$2:$F$326,MATCH(G1016,ActiveSchools!$F$2:$F$326,0),1),"Total")</f>
        <v>0472</v>
      </c>
      <c r="I1016" s="53">
        <v>2</v>
      </c>
      <c r="J1016" s="59">
        <f>_xlfn.IFNA(INDEX(DetailByDistrict[],MATCH($H1016,DetailByDistrict[Dist],0),MATCH(J$2,DetailByDistrict[#Headers],0)),0)</f>
        <v>41</v>
      </c>
      <c r="K1016" s="54">
        <f t="shared" si="15"/>
        <v>4.878048780487805E-2</v>
      </c>
      <c r="L1016" s="59">
        <f>ROUND(INDEX(DetailByDistrict[],MATCH($H1016,DetailByDistrict[Dist],0),MATCH(L$2,DetailByDistrict[#Headers],0))*K1016,2)</f>
        <v>129.71</v>
      </c>
      <c r="M1016" s="59">
        <f>ROUND(INDEX(DetailByDistrict[],MATCH($H1016,DetailByDistrict[Dist],0),MATCH(M$2,DetailByDistrict[#Headers],0))*K1016,2)</f>
        <v>142.54</v>
      </c>
      <c r="N1016" s="78"/>
      <c r="O1016" s="78"/>
      <c r="P1016" s="78"/>
      <c r="Q1016" s="78"/>
      <c r="R1016" s="78"/>
      <c r="S1016" s="78"/>
      <c r="T1016" s="78"/>
      <c r="U1016" s="78"/>
      <c r="V1016" s="78"/>
      <c r="W1016" s="78"/>
      <c r="X1016" s="78"/>
      <c r="Y1016" s="78"/>
      <c r="Z1016" s="78"/>
    </row>
    <row r="1017" spans="1:26" ht="15.75" customHeight="1" x14ac:dyDescent="0.25">
      <c r="A1017" s="53">
        <v>11</v>
      </c>
      <c r="B1017" s="54" t="s">
        <v>1123</v>
      </c>
      <c r="C1017" s="54" t="s">
        <v>951</v>
      </c>
      <c r="D1017" s="53">
        <v>6957</v>
      </c>
      <c r="E1017" s="53">
        <v>8103</v>
      </c>
      <c r="F1017" s="54" t="s">
        <v>1140</v>
      </c>
      <c r="G1017" s="57" t="s">
        <v>182</v>
      </c>
      <c r="H1017" s="58" t="str">
        <f>_xlfn.IFNA(INDEX(ActiveSchools!$C$2:$F$326,MATCH(G1017,ActiveSchools!$F$2:$F$326,0),1),"Total")</f>
        <v>0720</v>
      </c>
      <c r="I1017" s="53">
        <v>2</v>
      </c>
      <c r="J1017" s="59">
        <f>_xlfn.IFNA(INDEX(DetailByDistrict[],MATCH($H1017,DetailByDistrict[Dist],0),MATCH(J$2,DetailByDistrict[#Headers],0)),0)</f>
        <v>80</v>
      </c>
      <c r="K1017" s="54">
        <f t="shared" si="15"/>
        <v>2.5000000000000001E-2</v>
      </c>
      <c r="L1017" s="59">
        <f>ROUND(INDEX(DetailByDistrict[],MATCH($H1017,DetailByDistrict[Dist],0),MATCH(L$2,DetailByDistrict[#Headers],0))*K1017,2)</f>
        <v>129.72999999999999</v>
      </c>
      <c r="M1017" s="59">
        <f>ROUND(INDEX(DetailByDistrict[],MATCH($H1017,DetailByDistrict[Dist],0),MATCH(M$2,DetailByDistrict[#Headers],0))*K1017,2)</f>
        <v>142.55000000000001</v>
      </c>
      <c r="N1017" s="78"/>
      <c r="O1017" s="78"/>
      <c r="P1017" s="78"/>
      <c r="Q1017" s="78"/>
      <c r="R1017" s="78"/>
      <c r="S1017" s="78"/>
      <c r="T1017" s="78"/>
      <c r="U1017" s="78"/>
      <c r="V1017" s="78"/>
      <c r="W1017" s="78"/>
      <c r="X1017" s="78"/>
      <c r="Y1017" s="78"/>
      <c r="Z1017" s="78"/>
    </row>
    <row r="1018" spans="1:26" ht="15.75" customHeight="1" x14ac:dyDescent="0.25">
      <c r="A1018" s="53">
        <v>11</v>
      </c>
      <c r="B1018" s="54" t="s">
        <v>1123</v>
      </c>
      <c r="C1018" s="54" t="s">
        <v>951</v>
      </c>
      <c r="D1018" s="53">
        <v>6957</v>
      </c>
      <c r="E1018" s="53">
        <v>8103</v>
      </c>
      <c r="F1018" s="54" t="s">
        <v>1151</v>
      </c>
      <c r="G1018" s="57" t="s">
        <v>184</v>
      </c>
      <c r="H1018" s="58" t="str">
        <f>_xlfn.IFNA(INDEX(ActiveSchools!$C$2:$F$326,MATCH(G1018,ActiveSchools!$F$2:$F$326,0),1),"Total")</f>
        <v>0981</v>
      </c>
      <c r="I1018" s="53">
        <v>6</v>
      </c>
      <c r="J1018" s="59">
        <f>_xlfn.IFNA(INDEX(DetailByDistrict[],MATCH($H1018,DetailByDistrict[Dist],0),MATCH(J$2,DetailByDistrict[#Headers],0)),0)</f>
        <v>68</v>
      </c>
      <c r="K1018" s="54">
        <f t="shared" si="15"/>
        <v>8.8235294117647065E-2</v>
      </c>
      <c r="L1018" s="59">
        <f>ROUND(INDEX(DetailByDistrict[],MATCH($H1018,DetailByDistrict[Dist],0),MATCH(L$2,DetailByDistrict[#Headers],0))*K1018,2)</f>
        <v>389.12</v>
      </c>
      <c r="M1018" s="59">
        <f>ROUND(INDEX(DetailByDistrict[],MATCH($H1018,DetailByDistrict[Dist],0),MATCH(M$2,DetailByDistrict[#Headers],0))*K1018,2)</f>
        <v>427.68</v>
      </c>
      <c r="N1018" s="78"/>
      <c r="O1018" s="78"/>
      <c r="P1018" s="78"/>
      <c r="Q1018" s="78"/>
      <c r="R1018" s="78"/>
      <c r="S1018" s="78"/>
      <c r="T1018" s="78"/>
      <c r="U1018" s="78"/>
      <c r="V1018" s="78"/>
      <c r="W1018" s="78"/>
      <c r="X1018" s="78"/>
      <c r="Y1018" s="78"/>
      <c r="Z1018" s="78"/>
    </row>
    <row r="1019" spans="1:26" ht="15.75" customHeight="1" x14ac:dyDescent="0.25">
      <c r="A1019" s="53">
        <v>11</v>
      </c>
      <c r="B1019" s="54" t="s">
        <v>1123</v>
      </c>
      <c r="C1019" s="54" t="s">
        <v>951</v>
      </c>
      <c r="D1019" s="53">
        <v>6957</v>
      </c>
      <c r="E1019" s="53">
        <v>8103</v>
      </c>
      <c r="F1019" s="54" t="s">
        <v>1150</v>
      </c>
      <c r="G1019" s="53" t="s">
        <v>186</v>
      </c>
      <c r="H1019" s="58" t="str">
        <f>_xlfn.IFNA(INDEX(ActiveSchools!$C$2:$F$326,MATCH(G1019,ActiveSchools!$F$2:$F$326,0),1),"Total")</f>
        <v>1332</v>
      </c>
      <c r="I1019" s="53">
        <v>2</v>
      </c>
      <c r="J1019" s="59">
        <f>_xlfn.IFNA(INDEX(DetailByDistrict[],MATCH($H1019,DetailByDistrict[Dist],0),MATCH(J$2,DetailByDistrict[#Headers],0)),0)</f>
        <v>11</v>
      </c>
      <c r="K1019" s="54">
        <f t="shared" si="15"/>
        <v>0.18181818181818182</v>
      </c>
      <c r="L1019" s="59">
        <f>ROUND(INDEX(DetailByDistrict[],MATCH($H1019,DetailByDistrict[Dist],0),MATCH(L$2,DetailByDistrict[#Headers],0))*K1019,2)</f>
        <v>129.63999999999999</v>
      </c>
      <c r="M1019" s="59">
        <f>ROUND(INDEX(DetailByDistrict[],MATCH($H1019,DetailByDistrict[Dist],0),MATCH(M$2,DetailByDistrict[#Headers],0))*K1019,2)</f>
        <v>142.55000000000001</v>
      </c>
      <c r="N1019" s="78"/>
      <c r="O1019" s="78"/>
      <c r="P1019" s="78"/>
      <c r="Q1019" s="78"/>
      <c r="R1019" s="78"/>
      <c r="S1019" s="78"/>
      <c r="T1019" s="78"/>
      <c r="U1019" s="78"/>
      <c r="V1019" s="78"/>
      <c r="W1019" s="78"/>
      <c r="X1019" s="78"/>
      <c r="Y1019" s="78"/>
      <c r="Z1019" s="78"/>
    </row>
    <row r="1020" spans="1:26" ht="15.75" customHeight="1" x14ac:dyDescent="0.25">
      <c r="A1020" s="53">
        <v>11</v>
      </c>
      <c r="B1020" s="54" t="s">
        <v>1123</v>
      </c>
      <c r="C1020" s="54" t="s">
        <v>951</v>
      </c>
      <c r="D1020" s="53">
        <v>6957</v>
      </c>
      <c r="E1020" s="53">
        <v>8103</v>
      </c>
      <c r="F1020" s="54" t="s">
        <v>1154</v>
      </c>
      <c r="G1020" s="53" t="s">
        <v>187</v>
      </c>
      <c r="H1020" s="58" t="str">
        <f>_xlfn.IFNA(INDEX(ActiveSchools!$C$2:$F$326,MATCH(G1020,ActiveSchools!$F$2:$F$326,0),1),"Total")</f>
        <v>1350</v>
      </c>
      <c r="I1020" s="53">
        <v>1</v>
      </c>
      <c r="J1020" s="59">
        <f>_xlfn.IFNA(INDEX(DetailByDistrict[],MATCH($H1020,DetailByDistrict[Dist],0),MATCH(J$2,DetailByDistrict[#Headers],0)),0)</f>
        <v>3</v>
      </c>
      <c r="K1020" s="54">
        <f t="shared" si="15"/>
        <v>0.33333333333333331</v>
      </c>
      <c r="L1020" s="59">
        <f>ROUND(INDEX(DetailByDistrict[],MATCH($H1020,DetailByDistrict[Dist],0),MATCH(L$2,DetailByDistrict[#Headers],0))*K1020,2)</f>
        <v>65</v>
      </c>
      <c r="M1020" s="59">
        <f>ROUND(INDEX(DetailByDistrict[],MATCH($H1020,DetailByDistrict[Dist],0),MATCH(M$2,DetailByDistrict[#Headers],0))*K1020,2)</f>
        <v>71.33</v>
      </c>
      <c r="N1020" s="78"/>
      <c r="O1020" s="78"/>
      <c r="P1020" s="78"/>
      <c r="Q1020" s="78"/>
      <c r="R1020" s="78"/>
      <c r="S1020" s="78"/>
      <c r="T1020" s="78"/>
      <c r="U1020" s="78"/>
      <c r="V1020" s="78"/>
      <c r="W1020" s="78"/>
      <c r="X1020" s="78"/>
      <c r="Y1020" s="78"/>
      <c r="Z1020" s="78"/>
    </row>
    <row r="1021" spans="1:26" ht="15.75" customHeight="1" x14ac:dyDescent="0.25">
      <c r="A1021" s="53">
        <v>11</v>
      </c>
      <c r="B1021" s="54" t="s">
        <v>1123</v>
      </c>
      <c r="C1021" s="54" t="s">
        <v>951</v>
      </c>
      <c r="D1021" s="53">
        <v>6957</v>
      </c>
      <c r="E1021" s="53">
        <v>8103</v>
      </c>
      <c r="F1021" s="54" t="s">
        <v>1144</v>
      </c>
      <c r="G1021" s="53" t="s">
        <v>190</v>
      </c>
      <c r="H1021" s="58" t="str">
        <f>_xlfn.IFNA(INDEX(ActiveSchools!$C$2:$F$326,MATCH(G1021,ActiveSchools!$F$2:$F$326,0),1),"Total")</f>
        <v>1576</v>
      </c>
      <c r="I1021" s="53">
        <v>8</v>
      </c>
      <c r="J1021" s="59">
        <f>_xlfn.IFNA(INDEX(DetailByDistrict[],MATCH($H1021,DetailByDistrict[Dist],0),MATCH(J$2,DetailByDistrict[#Headers],0)),0)</f>
        <v>123</v>
      </c>
      <c r="K1021" s="54">
        <f t="shared" si="15"/>
        <v>6.5040650406504072E-2</v>
      </c>
      <c r="L1021" s="59">
        <f>ROUND(INDEX(DetailByDistrict[],MATCH($H1021,DetailByDistrict[Dist],0),MATCH(L$2,DetailByDistrict[#Headers],0))*K1021,2)</f>
        <v>518.89</v>
      </c>
      <c r="M1021" s="59">
        <f>ROUND(INDEX(DetailByDistrict[],MATCH($H1021,DetailByDistrict[Dist],0),MATCH(M$2,DetailByDistrict[#Headers],0))*K1021,2)</f>
        <v>570.21</v>
      </c>
      <c r="N1021" s="78"/>
      <c r="O1021" s="78"/>
      <c r="P1021" s="78"/>
      <c r="Q1021" s="78"/>
      <c r="R1021" s="78"/>
      <c r="S1021" s="78"/>
      <c r="T1021" s="78"/>
      <c r="U1021" s="78"/>
      <c r="V1021" s="78"/>
      <c r="W1021" s="78"/>
      <c r="X1021" s="78"/>
      <c r="Y1021" s="78"/>
      <c r="Z1021" s="78"/>
    </row>
    <row r="1022" spans="1:26" ht="15.75" customHeight="1" x14ac:dyDescent="0.25">
      <c r="A1022" s="53">
        <v>11</v>
      </c>
      <c r="B1022" s="54" t="s">
        <v>1123</v>
      </c>
      <c r="C1022" s="54" t="s">
        <v>951</v>
      </c>
      <c r="D1022" s="53">
        <v>6957</v>
      </c>
      <c r="E1022" s="53">
        <v>8103</v>
      </c>
      <c r="F1022" s="54" t="s">
        <v>1134</v>
      </c>
      <c r="G1022" s="53" t="s">
        <v>191</v>
      </c>
      <c r="H1022" s="58" t="str">
        <f>_xlfn.IFNA(INDEX(ActiveSchools!$C$2:$F$326,MATCH(G1022,ActiveSchools!$F$2:$F$326,0),1),"Total")</f>
        <v>1737</v>
      </c>
      <c r="I1022" s="53">
        <v>519</v>
      </c>
      <c r="J1022" s="59">
        <f>_xlfn.IFNA(INDEX(DetailByDistrict[],MATCH($H1022,DetailByDistrict[Dist],0),MATCH(J$2,DetailByDistrict[#Headers],0)),0)</f>
        <v>2968</v>
      </c>
      <c r="K1022" s="54">
        <f t="shared" si="15"/>
        <v>0.17486522911051214</v>
      </c>
      <c r="L1022" s="59">
        <f>ROUND(INDEX(DetailByDistrict[],MATCH($H1022,DetailByDistrict[Dist],0),MATCH(L$2,DetailByDistrict[#Headers],0))*K1022,2)</f>
        <v>33662.26</v>
      </c>
      <c r="M1022" s="59">
        <f>ROUND(INDEX(DetailByDistrict[],MATCH($H1022,DetailByDistrict[Dist],0),MATCH(M$2,DetailByDistrict[#Headers],0))*K1022,2)</f>
        <v>36994.31</v>
      </c>
      <c r="N1022" s="78"/>
      <c r="O1022" s="78"/>
      <c r="P1022" s="78"/>
      <c r="Q1022" s="78"/>
      <c r="R1022" s="78"/>
      <c r="S1022" s="78"/>
      <c r="T1022" s="78"/>
      <c r="U1022" s="78"/>
      <c r="V1022" s="78"/>
      <c r="W1022" s="78"/>
      <c r="X1022" s="78"/>
      <c r="Y1022" s="78"/>
      <c r="Z1022" s="78"/>
    </row>
    <row r="1023" spans="1:26" ht="15.75" customHeight="1" x14ac:dyDescent="0.25">
      <c r="A1023" s="53">
        <v>11</v>
      </c>
      <c r="B1023" s="54" t="s">
        <v>1123</v>
      </c>
      <c r="C1023" s="54" t="s">
        <v>951</v>
      </c>
      <c r="D1023" s="53">
        <v>6957</v>
      </c>
      <c r="E1023" s="53">
        <v>8103</v>
      </c>
      <c r="F1023" s="54" t="s">
        <v>1157</v>
      </c>
      <c r="G1023" s="53" t="s">
        <v>192</v>
      </c>
      <c r="H1023" s="58" t="str">
        <f>_xlfn.IFNA(INDEX(ActiveSchools!$C$2:$F$326,MATCH(G1023,ActiveSchools!$F$2:$F$326,0),1),"Total")</f>
        <v>1953</v>
      </c>
      <c r="I1023" s="53">
        <v>3</v>
      </c>
      <c r="J1023" s="59">
        <f>_xlfn.IFNA(INDEX(DetailByDistrict[],MATCH($H1023,DetailByDistrict[Dist],0),MATCH(J$2,DetailByDistrict[#Headers],0)),0)</f>
        <v>7</v>
      </c>
      <c r="K1023" s="54">
        <f t="shared" si="15"/>
        <v>0.42857142857142855</v>
      </c>
      <c r="L1023" s="59">
        <f>ROUND(INDEX(DetailByDistrict[],MATCH($H1023,DetailByDistrict[Dist],0),MATCH(L$2,DetailByDistrict[#Headers],0))*K1023,2)</f>
        <v>194.57</v>
      </c>
      <c r="M1023" s="59">
        <f>ROUND(INDEX(DetailByDistrict[],MATCH($H1023,DetailByDistrict[Dist],0),MATCH(M$2,DetailByDistrict[#Headers],0))*K1023,2)</f>
        <v>213.86</v>
      </c>
      <c r="N1023" s="78"/>
      <c r="O1023" s="78"/>
      <c r="P1023" s="78"/>
      <c r="Q1023" s="78"/>
      <c r="R1023" s="78"/>
      <c r="S1023" s="78"/>
      <c r="T1023" s="78"/>
      <c r="U1023" s="78"/>
      <c r="V1023" s="78"/>
      <c r="W1023" s="78"/>
      <c r="X1023" s="78"/>
      <c r="Y1023" s="78"/>
      <c r="Z1023" s="78"/>
    </row>
    <row r="1024" spans="1:26" ht="15.75" customHeight="1" x14ac:dyDescent="0.25">
      <c r="A1024" s="53">
        <v>11</v>
      </c>
      <c r="B1024" s="54" t="s">
        <v>1123</v>
      </c>
      <c r="C1024" s="54" t="s">
        <v>951</v>
      </c>
      <c r="D1024" s="53">
        <v>6957</v>
      </c>
      <c r="E1024" s="53">
        <v>8103</v>
      </c>
      <c r="F1024" s="54" t="s">
        <v>1152</v>
      </c>
      <c r="G1024" s="53" t="s">
        <v>197</v>
      </c>
      <c r="H1024" s="58" t="str">
        <f>_xlfn.IFNA(INDEX(ActiveSchools!$C$2:$F$326,MATCH(G1024,ActiveSchools!$F$2:$F$326,0),1),"Total")</f>
        <v>3114</v>
      </c>
      <c r="I1024" s="53">
        <v>4</v>
      </c>
      <c r="J1024" s="59">
        <f>_xlfn.IFNA(INDEX(DetailByDistrict[],MATCH($H1024,DetailByDistrict[Dist],0),MATCH(J$2,DetailByDistrict[#Headers],0)),0)</f>
        <v>145</v>
      </c>
      <c r="K1024" s="54">
        <f t="shared" si="15"/>
        <v>2.7586206896551724E-2</v>
      </c>
      <c r="L1024" s="59">
        <f>ROUND(INDEX(DetailByDistrict[],MATCH($H1024,DetailByDistrict[Dist],0),MATCH(L$2,DetailByDistrict[#Headers],0))*K1024,2)</f>
        <v>259.45</v>
      </c>
      <c r="M1024" s="59">
        <f>ROUND(INDEX(DetailByDistrict[],MATCH($H1024,DetailByDistrict[Dist],0),MATCH(M$2,DetailByDistrict[#Headers],0))*K1024,2)</f>
        <v>285.13</v>
      </c>
      <c r="N1024" s="78"/>
      <c r="O1024" s="78"/>
      <c r="P1024" s="78"/>
      <c r="Q1024" s="78"/>
      <c r="R1024" s="78"/>
      <c r="S1024" s="78"/>
      <c r="T1024" s="78"/>
      <c r="U1024" s="78"/>
      <c r="V1024" s="78"/>
      <c r="W1024" s="78"/>
      <c r="X1024" s="78"/>
      <c r="Y1024" s="78"/>
      <c r="Z1024" s="78"/>
    </row>
    <row r="1025" spans="1:26" ht="15.75" customHeight="1" x14ac:dyDescent="0.25">
      <c r="A1025" s="53">
        <v>11</v>
      </c>
      <c r="B1025" s="54" t="s">
        <v>1123</v>
      </c>
      <c r="C1025" s="54" t="s">
        <v>951</v>
      </c>
      <c r="D1025" s="53">
        <v>6957</v>
      </c>
      <c r="E1025" s="53">
        <v>8103</v>
      </c>
      <c r="F1025" s="54" t="s">
        <v>1135</v>
      </c>
      <c r="G1025" s="53" t="s">
        <v>199</v>
      </c>
      <c r="H1025" s="58" t="str">
        <f>_xlfn.IFNA(INDEX(ActiveSchools!$C$2:$F$326,MATCH(G1025,ActiveSchools!$F$2:$F$326,0),1),"Total")</f>
        <v>3231</v>
      </c>
      <c r="I1025" s="53">
        <v>65</v>
      </c>
      <c r="J1025" s="59">
        <f>_xlfn.IFNA(INDEX(DetailByDistrict[],MATCH($H1025,DetailByDistrict[Dist],0),MATCH(J$2,DetailByDistrict[#Headers],0)),0)</f>
        <v>509</v>
      </c>
      <c r="K1025" s="54">
        <f t="shared" si="15"/>
        <v>0.12770137524557956</v>
      </c>
      <c r="L1025" s="59">
        <f>ROUND(INDEX(DetailByDistrict[],MATCH($H1025,DetailByDistrict[Dist],0),MATCH(L$2,DetailByDistrict[#Headers],0))*K1025,2)</f>
        <v>4215.93</v>
      </c>
      <c r="M1025" s="59">
        <f>ROUND(INDEX(DetailByDistrict[],MATCH($H1025,DetailByDistrict[Dist],0),MATCH(M$2,DetailByDistrict[#Headers],0))*K1025,2)</f>
        <v>4633.26</v>
      </c>
      <c r="N1025" s="78"/>
      <c r="O1025" s="78"/>
      <c r="P1025" s="78"/>
      <c r="Q1025" s="78"/>
      <c r="R1025" s="78"/>
      <c r="S1025" s="78"/>
      <c r="T1025" s="78"/>
      <c r="U1025" s="78"/>
      <c r="V1025" s="78"/>
      <c r="W1025" s="78"/>
      <c r="X1025" s="78"/>
      <c r="Y1025" s="78"/>
      <c r="Z1025" s="78"/>
    </row>
    <row r="1026" spans="1:26" ht="15.75" customHeight="1" x14ac:dyDescent="0.25">
      <c r="A1026" s="53">
        <v>11</v>
      </c>
      <c r="B1026" s="54" t="s">
        <v>1123</v>
      </c>
      <c r="C1026" s="54" t="s">
        <v>951</v>
      </c>
      <c r="D1026" s="53">
        <v>6957</v>
      </c>
      <c r="E1026" s="53">
        <v>8103</v>
      </c>
      <c r="F1026" s="54" t="s">
        <v>1171</v>
      </c>
      <c r="G1026" s="53" t="s">
        <v>203</v>
      </c>
      <c r="H1026" s="58" t="str">
        <f>_xlfn.IFNA(INDEX(ActiveSchools!$C$2:$F$326,MATCH(G1026,ActiveSchools!$F$2:$F$326,0),1),"Total")</f>
        <v>4122</v>
      </c>
      <c r="I1026" s="53">
        <v>3</v>
      </c>
      <c r="J1026" s="59">
        <f>_xlfn.IFNA(INDEX(DetailByDistrict[],MATCH($H1026,DetailByDistrict[Dist],0),MATCH(J$2,DetailByDistrict[#Headers],0)),0)</f>
        <v>24</v>
      </c>
      <c r="K1026" s="54">
        <f t="shared" si="15"/>
        <v>0.125</v>
      </c>
      <c r="L1026" s="59">
        <f>ROUND(INDEX(DetailByDistrict[],MATCH($H1026,DetailByDistrict[Dist],0),MATCH(L$2,DetailByDistrict[#Headers],0))*K1026,2)</f>
        <v>194.63</v>
      </c>
      <c r="M1026" s="59">
        <f>ROUND(INDEX(DetailByDistrict[],MATCH($H1026,DetailByDistrict[Dist],0),MATCH(M$2,DetailByDistrict[#Headers],0))*K1026,2)</f>
        <v>213.88</v>
      </c>
      <c r="N1026" s="78"/>
      <c r="O1026" s="78"/>
      <c r="P1026" s="78"/>
      <c r="Q1026" s="78"/>
      <c r="R1026" s="78"/>
      <c r="S1026" s="78"/>
      <c r="T1026" s="78"/>
      <c r="U1026" s="78"/>
      <c r="V1026" s="78"/>
      <c r="W1026" s="78"/>
      <c r="X1026" s="78"/>
      <c r="Y1026" s="78"/>
      <c r="Z1026" s="78"/>
    </row>
    <row r="1027" spans="1:26" ht="15.75" customHeight="1" x14ac:dyDescent="0.25">
      <c r="A1027" s="53">
        <v>11</v>
      </c>
      <c r="B1027" s="54" t="s">
        <v>1123</v>
      </c>
      <c r="C1027" s="54" t="s">
        <v>951</v>
      </c>
      <c r="D1027" s="53">
        <v>6957</v>
      </c>
      <c r="E1027" s="53">
        <v>8103</v>
      </c>
      <c r="F1027" s="54" t="s">
        <v>1136</v>
      </c>
      <c r="G1027" s="53" t="s">
        <v>207</v>
      </c>
      <c r="H1027" s="58" t="str">
        <f>_xlfn.IFNA(INDEX(ActiveSchools!$C$2:$F$326,MATCH(G1027,ActiveSchools!$F$2:$F$326,0),1),"Total")</f>
        <v>4779</v>
      </c>
      <c r="I1027" s="53">
        <v>3</v>
      </c>
      <c r="J1027" s="59">
        <f>_xlfn.IFNA(INDEX(DetailByDistrict[],MATCH($H1027,DetailByDistrict[Dist],0),MATCH(J$2,DetailByDistrict[#Headers],0)),0)</f>
        <v>58</v>
      </c>
      <c r="K1027" s="54">
        <f t="shared" si="15"/>
        <v>5.1724137931034482E-2</v>
      </c>
      <c r="L1027" s="59">
        <f>ROUND(INDEX(DetailByDistrict[],MATCH($H1027,DetailByDistrict[Dist],0),MATCH(L$2,DetailByDistrict[#Headers],0))*K1027,2)</f>
        <v>194.59</v>
      </c>
      <c r="M1027" s="59">
        <f>ROUND(INDEX(DetailByDistrict[],MATCH($H1027,DetailByDistrict[Dist],0),MATCH(M$2,DetailByDistrict[#Headers],0))*K1027,2)</f>
        <v>213.83</v>
      </c>
      <c r="N1027" s="78"/>
      <c r="O1027" s="78"/>
      <c r="P1027" s="78"/>
      <c r="Q1027" s="78"/>
      <c r="R1027" s="78"/>
      <c r="S1027" s="78"/>
      <c r="T1027" s="78"/>
      <c r="U1027" s="78"/>
      <c r="V1027" s="78"/>
      <c r="W1027" s="78"/>
      <c r="X1027" s="78"/>
      <c r="Y1027" s="78"/>
      <c r="Z1027" s="78"/>
    </row>
    <row r="1028" spans="1:26" ht="15.75" customHeight="1" x14ac:dyDescent="0.25">
      <c r="A1028" s="53">
        <v>11</v>
      </c>
      <c r="B1028" s="54" t="s">
        <v>1123</v>
      </c>
      <c r="C1028" s="54" t="s">
        <v>951</v>
      </c>
      <c r="D1028" s="53">
        <v>6957</v>
      </c>
      <c r="E1028" s="53">
        <v>8103</v>
      </c>
      <c r="F1028" s="54" t="s">
        <v>1153</v>
      </c>
      <c r="G1028" s="53" t="s">
        <v>208</v>
      </c>
      <c r="H1028" s="58" t="str">
        <f>_xlfn.IFNA(INDEX(ActiveSchools!$C$2:$F$326,MATCH(G1028,ActiveSchools!$F$2:$F$326,0),1),"Total")</f>
        <v>4797</v>
      </c>
      <c r="I1028" s="53">
        <v>26</v>
      </c>
      <c r="J1028" s="59">
        <f>_xlfn.IFNA(INDEX(DetailByDistrict[],MATCH($H1028,DetailByDistrict[Dist],0),MATCH(J$2,DetailByDistrict[#Headers],0)),0)</f>
        <v>161</v>
      </c>
      <c r="K1028" s="54">
        <f t="shared" ref="K1028:K1091" si="16">I1028/J1028</f>
        <v>0.16149068322981366</v>
      </c>
      <c r="L1028" s="59">
        <f>ROUND(INDEX(DetailByDistrict[],MATCH($H1028,DetailByDistrict[Dist],0),MATCH(L$2,DetailByDistrict[#Headers],0))*K1028,2)</f>
        <v>1686.29</v>
      </c>
      <c r="M1028" s="59">
        <f>ROUND(INDEX(DetailByDistrict[],MATCH($H1028,DetailByDistrict[Dist],0),MATCH(M$2,DetailByDistrict[#Headers],0))*K1028,2)</f>
        <v>1853.27</v>
      </c>
      <c r="N1028" s="78"/>
      <c r="O1028" s="78"/>
      <c r="P1028" s="78"/>
      <c r="Q1028" s="78"/>
      <c r="R1028" s="78"/>
      <c r="S1028" s="78"/>
      <c r="T1028" s="78"/>
      <c r="U1028" s="78"/>
      <c r="V1028" s="78"/>
      <c r="W1028" s="78"/>
      <c r="X1028" s="78"/>
      <c r="Y1028" s="78"/>
      <c r="Z1028" s="78"/>
    </row>
    <row r="1029" spans="1:26" ht="15.75" customHeight="1" x14ac:dyDescent="0.25">
      <c r="A1029" s="53">
        <v>11</v>
      </c>
      <c r="B1029" s="54" t="s">
        <v>1123</v>
      </c>
      <c r="C1029" s="54" t="s">
        <v>951</v>
      </c>
      <c r="D1029" s="53">
        <v>6957</v>
      </c>
      <c r="E1029" s="53">
        <v>8103</v>
      </c>
      <c r="F1029" s="54" t="s">
        <v>1170</v>
      </c>
      <c r="G1029" s="53" t="s">
        <v>214</v>
      </c>
      <c r="H1029" s="58" t="str">
        <f>_xlfn.IFNA(INDEX(ActiveSchools!$C$2:$F$326,MATCH(G1029,ActiveSchools!$F$2:$F$326,0),1),"Total")</f>
        <v>5184</v>
      </c>
      <c r="I1029" s="53">
        <v>2</v>
      </c>
      <c r="J1029" s="59">
        <f>_xlfn.IFNA(INDEX(DetailByDistrict[],MATCH($H1029,DetailByDistrict[Dist],0),MATCH(J$2,DetailByDistrict[#Headers],0)),0)</f>
        <v>92</v>
      </c>
      <c r="K1029" s="54">
        <f t="shared" si="16"/>
        <v>2.1739130434782608E-2</v>
      </c>
      <c r="L1029" s="59">
        <f>ROUND(INDEX(DetailByDistrict[],MATCH($H1029,DetailByDistrict[Dist],0),MATCH(L$2,DetailByDistrict[#Headers],0))*K1029,2)</f>
        <v>129.72</v>
      </c>
      <c r="M1029" s="59">
        <f>ROUND(INDEX(DetailByDistrict[],MATCH($H1029,DetailByDistrict[Dist],0),MATCH(M$2,DetailByDistrict[#Headers],0))*K1029,2)</f>
        <v>142.57</v>
      </c>
      <c r="N1029" s="78"/>
      <c r="O1029" s="78"/>
      <c r="P1029" s="78"/>
      <c r="Q1029" s="78"/>
      <c r="R1029" s="78"/>
      <c r="S1029" s="78"/>
      <c r="T1029" s="78"/>
      <c r="U1029" s="78"/>
      <c r="V1029" s="78"/>
      <c r="W1029" s="78"/>
      <c r="X1029" s="78"/>
      <c r="Y1029" s="78"/>
      <c r="Z1029" s="78"/>
    </row>
    <row r="1030" spans="1:26" ht="15.75" customHeight="1" x14ac:dyDescent="0.25">
      <c r="A1030" s="53">
        <v>11</v>
      </c>
      <c r="B1030" s="54" t="s">
        <v>1123</v>
      </c>
      <c r="C1030" s="54" t="s">
        <v>951</v>
      </c>
      <c r="D1030" s="53">
        <v>6957</v>
      </c>
      <c r="E1030" s="53">
        <v>8103</v>
      </c>
      <c r="F1030" s="54" t="s">
        <v>1137</v>
      </c>
      <c r="G1030" s="53" t="s">
        <v>217</v>
      </c>
      <c r="H1030" s="58" t="str">
        <f>_xlfn.IFNA(INDEX(ActiveSchools!$C$2:$F$326,MATCH(G1030,ActiveSchools!$F$2:$F$326,0),1),"Total")</f>
        <v>5805</v>
      </c>
      <c r="I1030" s="53">
        <v>5</v>
      </c>
      <c r="J1030" s="59">
        <f>_xlfn.IFNA(INDEX(DetailByDistrict[],MATCH($H1030,DetailByDistrict[Dist],0),MATCH(J$2,DetailByDistrict[#Headers],0)),0)</f>
        <v>75</v>
      </c>
      <c r="K1030" s="54">
        <f t="shared" si="16"/>
        <v>6.6666666666666666E-2</v>
      </c>
      <c r="L1030" s="59">
        <f>ROUND(INDEX(DetailByDistrict[],MATCH($H1030,DetailByDistrict[Dist],0),MATCH(L$2,DetailByDistrict[#Headers],0))*K1030,2)</f>
        <v>324.33</v>
      </c>
      <c r="M1030" s="59">
        <f>ROUND(INDEX(DetailByDistrict[],MATCH($H1030,DetailByDistrict[Dist],0),MATCH(M$2,DetailByDistrict[#Headers],0))*K1030,2)</f>
        <v>356.4</v>
      </c>
      <c r="N1030" s="78"/>
      <c r="O1030" s="78"/>
      <c r="P1030" s="78"/>
      <c r="Q1030" s="78"/>
      <c r="R1030" s="78"/>
      <c r="S1030" s="78"/>
      <c r="T1030" s="78"/>
      <c r="U1030" s="78"/>
      <c r="V1030" s="78"/>
      <c r="W1030" s="78"/>
      <c r="X1030" s="78"/>
      <c r="Y1030" s="78"/>
      <c r="Z1030" s="78"/>
    </row>
    <row r="1031" spans="1:26" ht="15.75" customHeight="1" x14ac:dyDescent="0.25">
      <c r="A1031" s="53">
        <v>11</v>
      </c>
      <c r="B1031" s="54" t="s">
        <v>1123</v>
      </c>
      <c r="C1031" s="54" t="s">
        <v>951</v>
      </c>
      <c r="D1031" s="53">
        <v>6957</v>
      </c>
      <c r="E1031" s="53">
        <v>8103</v>
      </c>
      <c r="F1031" s="54" t="s">
        <v>1142</v>
      </c>
      <c r="G1031" s="53" t="s">
        <v>218</v>
      </c>
      <c r="H1031" s="58" t="str">
        <f>_xlfn.IFNA(INDEX(ActiveSchools!$C$2:$F$326,MATCH(G1031,ActiveSchools!$F$2:$F$326,0),1),"Total")</f>
        <v>6101</v>
      </c>
      <c r="I1031" s="53">
        <v>36</v>
      </c>
      <c r="J1031" s="59">
        <f>_xlfn.IFNA(INDEX(DetailByDistrict[],MATCH($H1031,DetailByDistrict[Dist],0),MATCH(J$2,DetailByDistrict[#Headers],0)),0)</f>
        <v>431</v>
      </c>
      <c r="K1031" s="54">
        <f t="shared" si="16"/>
        <v>8.3526682134570762E-2</v>
      </c>
      <c r="L1031" s="59">
        <f>ROUND(INDEX(DetailByDistrict[],MATCH($H1031,DetailByDistrict[Dist],0),MATCH(L$2,DetailByDistrict[#Headers],0))*K1031,2)</f>
        <v>2334.9899999999998</v>
      </c>
      <c r="M1031" s="59">
        <f>ROUND(INDEX(DetailByDistrict[],MATCH($H1031,DetailByDistrict[Dist],0),MATCH(M$2,DetailByDistrict[#Headers],0))*K1031,2)</f>
        <v>2566.11</v>
      </c>
      <c r="N1031" s="78"/>
      <c r="O1031" s="78"/>
      <c r="P1031" s="78"/>
      <c r="Q1031" s="78"/>
      <c r="R1031" s="78"/>
      <c r="S1031" s="78"/>
      <c r="T1031" s="78"/>
      <c r="U1031" s="78"/>
      <c r="V1031" s="78"/>
      <c r="W1031" s="78"/>
      <c r="X1031" s="78"/>
      <c r="Y1031" s="78"/>
      <c r="Z1031" s="78"/>
    </row>
    <row r="1032" spans="1:26" ht="15.75" customHeight="1" x14ac:dyDescent="0.25">
      <c r="A1032" s="53">
        <v>11</v>
      </c>
      <c r="B1032" s="54" t="s">
        <v>1123</v>
      </c>
      <c r="C1032" s="54" t="s">
        <v>951</v>
      </c>
      <c r="D1032" s="53">
        <v>6957</v>
      </c>
      <c r="E1032" s="53">
        <v>8103</v>
      </c>
      <c r="F1032" s="54" t="s">
        <v>1172</v>
      </c>
      <c r="G1032" s="53" t="s">
        <v>225</v>
      </c>
      <c r="H1032" s="58" t="str">
        <f>_xlfn.IFNA(INDEX(ActiveSchools!$C$2:$F$326,MATCH(G1032,ActiveSchools!$F$2:$F$326,0),1),"Total")</f>
        <v>6264</v>
      </c>
      <c r="I1032" s="53">
        <v>1</v>
      </c>
      <c r="J1032" s="59">
        <f>_xlfn.IFNA(INDEX(DetailByDistrict[],MATCH($H1032,DetailByDistrict[Dist],0),MATCH(J$2,DetailByDistrict[#Headers],0)),0)</f>
        <v>4</v>
      </c>
      <c r="K1032" s="54">
        <f t="shared" si="16"/>
        <v>0.25</v>
      </c>
      <c r="L1032" s="59">
        <f>ROUND(INDEX(DetailByDistrict[],MATCH($H1032,DetailByDistrict[Dist],0),MATCH(L$2,DetailByDistrict[#Headers],0))*K1032,2)</f>
        <v>64.75</v>
      </c>
      <c r="M1032" s="59">
        <f>ROUND(INDEX(DetailByDistrict[],MATCH($H1032,DetailByDistrict[Dist],0),MATCH(M$2,DetailByDistrict[#Headers],0))*K1032,2)</f>
        <v>71.25</v>
      </c>
      <c r="N1032" s="78"/>
      <c r="O1032" s="78"/>
      <c r="P1032" s="78"/>
      <c r="Q1032" s="78"/>
      <c r="R1032" s="78"/>
      <c r="S1032" s="78"/>
      <c r="T1032" s="78"/>
      <c r="U1032" s="78"/>
      <c r="V1032" s="78"/>
      <c r="W1032" s="78"/>
      <c r="X1032" s="78"/>
      <c r="Y1032" s="78"/>
      <c r="Z1032" s="78"/>
    </row>
    <row r="1033" spans="1:26" ht="15.75" customHeight="1" x14ac:dyDescent="0.25">
      <c r="A1033" s="53">
        <v>11</v>
      </c>
      <c r="B1033" s="54" t="s">
        <v>1123</v>
      </c>
      <c r="C1033" s="54" t="s">
        <v>951</v>
      </c>
      <c r="D1033" s="53">
        <v>6957</v>
      </c>
      <c r="E1033" s="53">
        <v>8103</v>
      </c>
      <c r="F1033" s="54" t="s">
        <v>1145</v>
      </c>
      <c r="G1033" s="53" t="s">
        <v>222</v>
      </c>
      <c r="H1033" s="58" t="str">
        <f>_xlfn.IFNA(INDEX(ActiveSchools!$C$2:$F$326,MATCH(G1033,ActiveSchools!$F$2:$F$326,0),1),"Total")</f>
        <v>6579</v>
      </c>
      <c r="I1033" s="53">
        <v>69</v>
      </c>
      <c r="J1033" s="59">
        <f>_xlfn.IFNA(INDEX(DetailByDistrict[],MATCH($H1033,DetailByDistrict[Dist],0),MATCH(J$2,DetailByDistrict[#Headers],0)),0)</f>
        <v>484</v>
      </c>
      <c r="K1033" s="54">
        <f t="shared" si="16"/>
        <v>0.14256198347107438</v>
      </c>
      <c r="L1033" s="59">
        <f>ROUND(INDEX(DetailByDistrict[],MATCH($H1033,DetailByDistrict[Dist],0),MATCH(L$2,DetailByDistrict[#Headers],0))*K1033,2)</f>
        <v>4475.3100000000004</v>
      </c>
      <c r="M1033" s="59">
        <f>ROUND(INDEX(DetailByDistrict[],MATCH($H1033,DetailByDistrict[Dist],0),MATCH(M$2,DetailByDistrict[#Headers],0))*K1033,2)</f>
        <v>4918.3900000000003</v>
      </c>
      <c r="N1033" s="78"/>
      <c r="O1033" s="78"/>
      <c r="P1033" s="78"/>
      <c r="Q1033" s="78"/>
      <c r="R1033" s="78"/>
      <c r="S1033" s="78"/>
      <c r="T1033" s="78"/>
      <c r="U1033" s="78"/>
      <c r="V1033" s="78"/>
      <c r="W1033" s="78"/>
      <c r="X1033" s="78"/>
      <c r="Y1033" s="78"/>
      <c r="Z1033" s="78"/>
    </row>
    <row r="1034" spans="1:26" ht="15.75" customHeight="1" x14ac:dyDescent="0.25">
      <c r="A1034" s="53">
        <v>11</v>
      </c>
      <c r="B1034" s="54" t="s">
        <v>1123</v>
      </c>
      <c r="C1034" s="54" t="s">
        <v>951</v>
      </c>
      <c r="D1034" s="53">
        <v>6957</v>
      </c>
      <c r="E1034" s="53">
        <v>8103</v>
      </c>
      <c r="F1034" s="54" t="s">
        <v>1160</v>
      </c>
      <c r="G1034" s="53" t="s">
        <v>223</v>
      </c>
      <c r="H1034" s="58" t="str">
        <f>_xlfn.IFNA(INDEX(ActiveSchools!$C$2:$F$326,MATCH(G1034,ActiveSchools!$F$2:$F$326,0),1),"Total")</f>
        <v>6615</v>
      </c>
      <c r="I1034" s="53">
        <v>10</v>
      </c>
      <c r="J1034" s="59">
        <f>_xlfn.IFNA(INDEX(DetailByDistrict[],MATCH($H1034,DetailByDistrict[Dist],0),MATCH(J$2,DetailByDistrict[#Headers],0)),0)</f>
        <v>42</v>
      </c>
      <c r="K1034" s="54">
        <f t="shared" si="16"/>
        <v>0.23809523809523808</v>
      </c>
      <c r="L1034" s="59">
        <f>ROUND(INDEX(DetailByDistrict[],MATCH($H1034,DetailByDistrict[Dist],0),MATCH(L$2,DetailByDistrict[#Headers],0))*K1034,2)</f>
        <v>648.57000000000005</v>
      </c>
      <c r="M1034" s="59">
        <f>ROUND(INDEX(DetailByDistrict[],MATCH($H1034,DetailByDistrict[Dist],0),MATCH(M$2,DetailByDistrict[#Headers],0))*K1034,2)</f>
        <v>712.86</v>
      </c>
      <c r="N1034" s="78"/>
      <c r="O1034" s="78"/>
      <c r="P1034" s="78"/>
      <c r="Q1034" s="78"/>
      <c r="R1034" s="78"/>
      <c r="S1034" s="78"/>
      <c r="T1034" s="78"/>
      <c r="U1034" s="78"/>
      <c r="V1034" s="78"/>
      <c r="W1034" s="78"/>
      <c r="X1034" s="78"/>
      <c r="Y1034" s="78"/>
      <c r="Z1034" s="78"/>
    </row>
    <row r="1035" spans="1:26" ht="15.75" customHeight="1" x14ac:dyDescent="0.25">
      <c r="A1035" s="53">
        <v>11</v>
      </c>
      <c r="B1035" s="54" t="s">
        <v>1123</v>
      </c>
      <c r="C1035" s="54" t="s">
        <v>951</v>
      </c>
      <c r="D1035" s="53">
        <v>6957</v>
      </c>
      <c r="E1035" s="53">
        <v>8103</v>
      </c>
      <c r="F1035" s="54" t="s">
        <v>1138</v>
      </c>
      <c r="G1035" s="53" t="s">
        <v>224</v>
      </c>
      <c r="H1035" s="58" t="str">
        <f>_xlfn.IFNA(INDEX(ActiveSchools!$C$2:$F$326,MATCH(G1035,ActiveSchools!$F$2:$F$326,0),1),"Total")</f>
        <v>6822</v>
      </c>
      <c r="I1035" s="53">
        <v>261</v>
      </c>
      <c r="J1035" s="59">
        <f>_xlfn.IFNA(INDEX(DetailByDistrict[],MATCH($H1035,DetailByDistrict[Dist],0),MATCH(J$2,DetailByDistrict[#Headers],0)),0)</f>
        <v>1399</v>
      </c>
      <c r="K1035" s="54">
        <f t="shared" si="16"/>
        <v>0.18656182987848463</v>
      </c>
      <c r="L1035" s="59">
        <f>ROUND(INDEX(DetailByDistrict[],MATCH($H1035,DetailByDistrict[Dist],0),MATCH(L$2,DetailByDistrict[#Headers],0))*K1035,2)</f>
        <v>16928.43</v>
      </c>
      <c r="M1035" s="59">
        <f>ROUND(INDEX(DetailByDistrict[],MATCH($H1035,DetailByDistrict[Dist],0),MATCH(M$2,DetailByDistrict[#Headers],0))*K1035,2)</f>
        <v>18604.13</v>
      </c>
      <c r="N1035" s="78"/>
      <c r="O1035" s="78"/>
      <c r="P1035" s="78"/>
      <c r="Q1035" s="78"/>
      <c r="R1035" s="78"/>
      <c r="S1035" s="78"/>
      <c r="T1035" s="78"/>
      <c r="U1035" s="78"/>
      <c r="V1035" s="78"/>
      <c r="W1035" s="78"/>
      <c r="X1035" s="78"/>
      <c r="Y1035" s="78"/>
      <c r="Z1035" s="78"/>
    </row>
    <row r="1036" spans="1:26" ht="15.75" customHeight="1" x14ac:dyDescent="0.25">
      <c r="A1036" s="53">
        <v>11</v>
      </c>
      <c r="B1036" s="54" t="s">
        <v>1123</v>
      </c>
      <c r="C1036" s="54" t="s">
        <v>951</v>
      </c>
      <c r="D1036" s="53">
        <v>6957</v>
      </c>
      <c r="E1036" s="53">
        <v>8103</v>
      </c>
      <c r="F1036" s="54" t="s">
        <v>1139</v>
      </c>
      <c r="G1036" s="53" t="s">
        <v>226</v>
      </c>
      <c r="H1036" s="58" t="str">
        <f>_xlfn.IFNA(INDEX(ActiveSchools!$C$2:$F$326,MATCH(G1036,ActiveSchools!$F$2:$F$326,0),1),"Total")</f>
        <v>6957</v>
      </c>
      <c r="I1036" s="53">
        <v>296</v>
      </c>
      <c r="J1036" s="59">
        <f>_xlfn.IFNA(INDEX(DetailByDistrict[],MATCH($H1036,DetailByDistrict[Dist],0),MATCH(J$2,DetailByDistrict[#Headers],0)),0)</f>
        <v>1305</v>
      </c>
      <c r="K1036" s="54">
        <f t="shared" si="16"/>
        <v>0.2268199233716475</v>
      </c>
      <c r="L1036" s="59">
        <f>ROUND(INDEX(DetailByDistrict[],MATCH($H1036,DetailByDistrict[Dist],0),MATCH(L$2,DetailByDistrict[#Headers],0))*K1036,2)</f>
        <v>19198.490000000002</v>
      </c>
      <c r="M1036" s="59">
        <f>ROUND(INDEX(DetailByDistrict[],MATCH($H1036,DetailByDistrict[Dist],0),MATCH(M$2,DetailByDistrict[#Headers],0))*K1036,2)</f>
        <v>21098.79</v>
      </c>
      <c r="N1036" s="78"/>
      <c r="O1036" s="78"/>
      <c r="P1036" s="78"/>
      <c r="Q1036" s="78"/>
      <c r="R1036" s="78"/>
      <c r="S1036" s="78"/>
      <c r="T1036" s="78"/>
      <c r="U1036" s="78"/>
      <c r="V1036" s="78"/>
      <c r="W1036" s="78"/>
      <c r="X1036" s="78"/>
      <c r="Y1036" s="78"/>
      <c r="Z1036" s="78"/>
    </row>
    <row r="1037" spans="1:26" ht="15.75" customHeight="1" x14ac:dyDescent="0.25">
      <c r="A1037" s="53">
        <v>11</v>
      </c>
      <c r="B1037" s="54" t="s">
        <v>1123</v>
      </c>
      <c r="C1037" s="54" t="s">
        <v>951</v>
      </c>
      <c r="D1037" s="53">
        <v>6957</v>
      </c>
      <c r="E1037" s="53">
        <v>8103</v>
      </c>
      <c r="F1037" s="54" t="s">
        <v>1165</v>
      </c>
      <c r="G1037" s="53" t="s">
        <v>227</v>
      </c>
      <c r="H1037" s="58" t="str">
        <f>_xlfn.IFNA(INDEX(ActiveSchools!$C$2:$F$326,MATCH(G1037,ActiveSchools!$F$2:$F$326,0),1),"Total")</f>
        <v>7056</v>
      </c>
      <c r="I1037" s="53">
        <v>3</v>
      </c>
      <c r="J1037" s="59">
        <f>_xlfn.IFNA(INDEX(DetailByDistrict[],MATCH($H1037,DetailByDistrict[Dist],0),MATCH(J$2,DetailByDistrict[#Headers],0)),0)</f>
        <v>17</v>
      </c>
      <c r="K1037" s="54">
        <f t="shared" si="16"/>
        <v>0.17647058823529413</v>
      </c>
      <c r="L1037" s="59">
        <f>ROUND(INDEX(DetailByDistrict[],MATCH($H1037,DetailByDistrict[Dist],0),MATCH(L$2,DetailByDistrict[#Headers],0))*K1037,2)</f>
        <v>194.65</v>
      </c>
      <c r="M1037" s="59">
        <f>ROUND(INDEX(DetailByDistrict[],MATCH($H1037,DetailByDistrict[Dist],0),MATCH(M$2,DetailByDistrict[#Headers],0))*K1037,2)</f>
        <v>213.88</v>
      </c>
      <c r="N1037" s="78"/>
      <c r="O1037" s="78"/>
      <c r="P1037" s="78"/>
      <c r="Q1037" s="78"/>
      <c r="R1037" s="78"/>
      <c r="S1037" s="78"/>
      <c r="T1037" s="78"/>
      <c r="U1037" s="78"/>
      <c r="V1037" s="78"/>
      <c r="W1037" s="78"/>
      <c r="X1037" s="78"/>
      <c r="Y1037" s="78"/>
      <c r="Z1037" s="78"/>
    </row>
    <row r="1038" spans="1:26" ht="15.75" customHeight="1" x14ac:dyDescent="0.25">
      <c r="A1038" s="53">
        <v>11</v>
      </c>
      <c r="B1038" s="54" t="s">
        <v>1123</v>
      </c>
      <c r="C1038" s="54" t="s">
        <v>951</v>
      </c>
      <c r="D1038" s="53">
        <v>6957</v>
      </c>
      <c r="E1038" s="53">
        <v>8103</v>
      </c>
      <c r="F1038" s="54" t="s">
        <v>1143</v>
      </c>
      <c r="G1038" s="53" t="s">
        <v>228</v>
      </c>
      <c r="H1038" s="58" t="str">
        <f>_xlfn.IFNA(INDEX(ActiveSchools!$C$2:$F$326,MATCH(G1038,ActiveSchools!$F$2:$F$326,0),1),"Total")</f>
        <v>7110</v>
      </c>
      <c r="I1038" s="53">
        <v>10</v>
      </c>
      <c r="J1038" s="59">
        <f>_xlfn.IFNA(INDEX(DetailByDistrict[],MATCH($H1038,DetailByDistrict[Dist],0),MATCH(J$2,DetailByDistrict[#Headers],0)),0)</f>
        <v>28</v>
      </c>
      <c r="K1038" s="54">
        <f t="shared" si="16"/>
        <v>0.35714285714285715</v>
      </c>
      <c r="L1038" s="59">
        <f>ROUND(INDEX(DetailByDistrict[],MATCH($H1038,DetailByDistrict[Dist],0),MATCH(L$2,DetailByDistrict[#Headers],0))*K1038,2)</f>
        <v>648.57000000000005</v>
      </c>
      <c r="M1038" s="59">
        <f>ROUND(INDEX(DetailByDistrict[],MATCH($H1038,DetailByDistrict[Dist],0),MATCH(M$2,DetailByDistrict[#Headers],0))*K1038,2)</f>
        <v>712.86</v>
      </c>
      <c r="N1038" s="78"/>
      <c r="O1038" s="78"/>
      <c r="P1038" s="78"/>
      <c r="Q1038" s="78"/>
      <c r="R1038" s="78"/>
      <c r="S1038" s="78"/>
      <c r="T1038" s="78"/>
      <c r="U1038" s="78"/>
      <c r="V1038" s="78"/>
      <c r="W1038" s="78"/>
      <c r="X1038" s="78"/>
      <c r="Y1038" s="78"/>
      <c r="Z1038" s="78"/>
    </row>
    <row r="1039" spans="1:26" ht="15.75" customHeight="1" x14ac:dyDescent="0.25">
      <c r="A1039" s="53">
        <v>11</v>
      </c>
      <c r="B1039" s="54" t="s">
        <v>1123</v>
      </c>
      <c r="C1039" s="54" t="s">
        <v>783</v>
      </c>
      <c r="D1039" s="53">
        <v>6957</v>
      </c>
      <c r="E1039" s="53">
        <v>8104</v>
      </c>
      <c r="F1039" s="54" t="s">
        <v>1156</v>
      </c>
      <c r="G1039" s="57" t="s">
        <v>176</v>
      </c>
      <c r="H1039" s="58" t="str">
        <f>_xlfn.IFNA(INDEX(ActiveSchools!$C$2:$F$326,MATCH(G1039,ActiveSchools!$F$2:$F$326,0),1),"Total")</f>
        <v>0027</v>
      </c>
      <c r="I1039" s="53">
        <v>3</v>
      </c>
      <c r="J1039" s="59">
        <f>_xlfn.IFNA(INDEX(DetailByDistrict[],MATCH($H1039,DetailByDistrict[Dist],0),MATCH(J$2,DetailByDistrict[#Headers],0)),0)</f>
        <v>51</v>
      </c>
      <c r="K1039" s="54">
        <f t="shared" si="16"/>
        <v>5.8823529411764705E-2</v>
      </c>
      <c r="L1039" s="59">
        <f>ROUND(INDEX(DetailByDistrict[],MATCH($H1039,DetailByDistrict[Dist],0),MATCH(L$2,DetailByDistrict[#Headers],0))*K1039,2)</f>
        <v>194.59</v>
      </c>
      <c r="M1039" s="59">
        <f>ROUND(INDEX(DetailByDistrict[],MATCH($H1039,DetailByDistrict[Dist],0),MATCH(M$2,DetailByDistrict[#Headers],0))*K1039,2)</f>
        <v>213.82</v>
      </c>
      <c r="N1039" s="78"/>
      <c r="O1039" s="78"/>
      <c r="P1039" s="78"/>
      <c r="Q1039" s="78"/>
      <c r="R1039" s="78"/>
      <c r="S1039" s="78"/>
      <c r="T1039" s="78"/>
      <c r="U1039" s="78"/>
      <c r="V1039" s="78"/>
      <c r="W1039" s="78"/>
      <c r="X1039" s="78"/>
      <c r="Y1039" s="78"/>
      <c r="Z1039" s="78"/>
    </row>
    <row r="1040" spans="1:26" ht="15.75" customHeight="1" x14ac:dyDescent="0.25">
      <c r="A1040" s="53">
        <v>11</v>
      </c>
      <c r="B1040" s="54" t="s">
        <v>1123</v>
      </c>
      <c r="C1040" s="54" t="s">
        <v>783</v>
      </c>
      <c r="D1040" s="53">
        <v>6957</v>
      </c>
      <c r="E1040" s="53">
        <v>8104</v>
      </c>
      <c r="F1040" s="54" t="s">
        <v>1125</v>
      </c>
      <c r="G1040" s="57" t="s">
        <v>178</v>
      </c>
      <c r="H1040" s="58" t="str">
        <f>_xlfn.IFNA(INDEX(ActiveSchools!$C$2:$F$326,MATCH(G1040,ActiveSchools!$F$2:$F$326,0),1),"Total")</f>
        <v>0261</v>
      </c>
      <c r="I1040" s="53">
        <v>1</v>
      </c>
      <c r="J1040" s="59">
        <f>_xlfn.IFNA(INDEX(DetailByDistrict[],MATCH($H1040,DetailByDistrict[Dist],0),MATCH(J$2,DetailByDistrict[#Headers],0)),0)</f>
        <v>1188</v>
      </c>
      <c r="K1040" s="54">
        <f t="shared" si="16"/>
        <v>8.4175084175084171E-4</v>
      </c>
      <c r="L1040" s="59">
        <f>ROUND(INDEX(DetailByDistrict[],MATCH($H1040,DetailByDistrict[Dist],0),MATCH(L$2,DetailByDistrict[#Headers],0))*K1040,2)</f>
        <v>64.86</v>
      </c>
      <c r="M1040" s="59">
        <f>ROUND(INDEX(DetailByDistrict[],MATCH($H1040,DetailByDistrict[Dist],0),MATCH(M$2,DetailByDistrict[#Headers],0))*K1040,2)</f>
        <v>71.28</v>
      </c>
      <c r="N1040" s="78"/>
      <c r="O1040" s="78"/>
      <c r="P1040" s="78"/>
      <c r="Q1040" s="78"/>
      <c r="R1040" s="78"/>
      <c r="S1040" s="78"/>
      <c r="T1040" s="78"/>
      <c r="U1040" s="78"/>
      <c r="V1040" s="78"/>
      <c r="W1040" s="78"/>
      <c r="X1040" s="78"/>
      <c r="Y1040" s="78"/>
      <c r="Z1040" s="78"/>
    </row>
    <row r="1041" spans="1:26" ht="15.75" customHeight="1" x14ac:dyDescent="0.25">
      <c r="A1041" s="53">
        <v>11</v>
      </c>
      <c r="B1041" s="54" t="s">
        <v>1123</v>
      </c>
      <c r="C1041" s="54" t="s">
        <v>783</v>
      </c>
      <c r="D1041" s="53">
        <v>6957</v>
      </c>
      <c r="E1041" s="53">
        <v>8104</v>
      </c>
      <c r="F1041" s="54" t="s">
        <v>1144</v>
      </c>
      <c r="G1041" s="53" t="s">
        <v>190</v>
      </c>
      <c r="H1041" s="58" t="str">
        <f>_xlfn.IFNA(INDEX(ActiveSchools!$C$2:$F$326,MATCH(G1041,ActiveSchools!$F$2:$F$326,0),1),"Total")</f>
        <v>1576</v>
      </c>
      <c r="I1041" s="53">
        <v>4</v>
      </c>
      <c r="J1041" s="59">
        <f>_xlfn.IFNA(INDEX(DetailByDistrict[],MATCH($H1041,DetailByDistrict[Dist],0),MATCH(J$2,DetailByDistrict[#Headers],0)),0)</f>
        <v>123</v>
      </c>
      <c r="K1041" s="54">
        <f t="shared" si="16"/>
        <v>3.2520325203252036E-2</v>
      </c>
      <c r="L1041" s="59">
        <f>ROUND(INDEX(DetailByDistrict[],MATCH($H1041,DetailByDistrict[Dist],0),MATCH(L$2,DetailByDistrict[#Headers],0))*K1041,2)</f>
        <v>259.45</v>
      </c>
      <c r="M1041" s="59">
        <f>ROUND(INDEX(DetailByDistrict[],MATCH($H1041,DetailByDistrict[Dist],0),MATCH(M$2,DetailByDistrict[#Headers],0))*K1041,2)</f>
        <v>285.11</v>
      </c>
      <c r="N1041" s="78"/>
      <c r="O1041" s="78"/>
      <c r="P1041" s="78"/>
      <c r="Q1041" s="78"/>
      <c r="R1041" s="78"/>
      <c r="S1041" s="78"/>
      <c r="T1041" s="78"/>
      <c r="U1041" s="78"/>
      <c r="V1041" s="78"/>
      <c r="W1041" s="78"/>
      <c r="X1041" s="78"/>
      <c r="Y1041" s="78"/>
      <c r="Z1041" s="78"/>
    </row>
    <row r="1042" spans="1:26" ht="15.75" customHeight="1" x14ac:dyDescent="0.25">
      <c r="A1042" s="53">
        <v>11</v>
      </c>
      <c r="B1042" s="54" t="s">
        <v>1123</v>
      </c>
      <c r="C1042" s="54" t="s">
        <v>783</v>
      </c>
      <c r="D1042" s="53">
        <v>6957</v>
      </c>
      <c r="E1042" s="53">
        <v>8104</v>
      </c>
      <c r="F1042" s="54" t="s">
        <v>1134</v>
      </c>
      <c r="G1042" s="53" t="s">
        <v>191</v>
      </c>
      <c r="H1042" s="58" t="str">
        <f>_xlfn.IFNA(INDEX(ActiveSchools!$C$2:$F$326,MATCH(G1042,ActiveSchools!$F$2:$F$326,0),1),"Total")</f>
        <v>1737</v>
      </c>
      <c r="I1042" s="53">
        <v>87</v>
      </c>
      <c r="J1042" s="59">
        <f>_xlfn.IFNA(INDEX(DetailByDistrict[],MATCH($H1042,DetailByDistrict[Dist],0),MATCH(J$2,DetailByDistrict[#Headers],0)),0)</f>
        <v>2968</v>
      </c>
      <c r="K1042" s="54">
        <f t="shared" si="16"/>
        <v>2.9312668463611861E-2</v>
      </c>
      <c r="L1042" s="59">
        <f>ROUND(INDEX(DetailByDistrict[],MATCH($H1042,DetailByDistrict[Dist],0),MATCH(L$2,DetailByDistrict[#Headers],0))*K1042,2)</f>
        <v>5642.81</v>
      </c>
      <c r="M1042" s="59">
        <f>ROUND(INDEX(DetailByDistrict[],MATCH($H1042,DetailByDistrict[Dist],0),MATCH(M$2,DetailByDistrict[#Headers],0))*K1042,2)</f>
        <v>6201.36</v>
      </c>
      <c r="N1042" s="78"/>
      <c r="O1042" s="78"/>
      <c r="P1042" s="78"/>
      <c r="Q1042" s="78"/>
      <c r="R1042" s="78"/>
      <c r="S1042" s="78"/>
      <c r="T1042" s="78"/>
      <c r="U1042" s="78"/>
      <c r="V1042" s="78"/>
      <c r="W1042" s="78"/>
      <c r="X1042" s="78"/>
      <c r="Y1042" s="78"/>
      <c r="Z1042" s="78"/>
    </row>
    <row r="1043" spans="1:26" ht="15.75" customHeight="1" x14ac:dyDescent="0.25">
      <c r="A1043" s="53">
        <v>11</v>
      </c>
      <c r="B1043" s="54" t="s">
        <v>1123</v>
      </c>
      <c r="C1043" s="54" t="s">
        <v>783</v>
      </c>
      <c r="D1043" s="53">
        <v>6957</v>
      </c>
      <c r="E1043" s="53">
        <v>8104</v>
      </c>
      <c r="F1043" s="54" t="s">
        <v>1135</v>
      </c>
      <c r="G1043" s="53" t="s">
        <v>199</v>
      </c>
      <c r="H1043" s="58" t="str">
        <f>_xlfn.IFNA(INDEX(ActiveSchools!$C$2:$F$326,MATCH(G1043,ActiveSchools!$F$2:$F$326,0),1),"Total")</f>
        <v>3231</v>
      </c>
      <c r="I1043" s="53">
        <v>8</v>
      </c>
      <c r="J1043" s="59">
        <f>_xlfn.IFNA(INDEX(DetailByDistrict[],MATCH($H1043,DetailByDistrict[Dist],0),MATCH(J$2,DetailByDistrict[#Headers],0)),0)</f>
        <v>509</v>
      </c>
      <c r="K1043" s="54">
        <f t="shared" si="16"/>
        <v>1.5717092337917484E-2</v>
      </c>
      <c r="L1043" s="59">
        <f>ROUND(INDEX(DetailByDistrict[],MATCH($H1043,DetailByDistrict[Dist],0),MATCH(L$2,DetailByDistrict[#Headers],0))*K1043,2)</f>
        <v>518.88</v>
      </c>
      <c r="M1043" s="59">
        <f>ROUND(INDEX(DetailByDistrict[],MATCH($H1043,DetailByDistrict[Dist],0),MATCH(M$2,DetailByDistrict[#Headers],0))*K1043,2)</f>
        <v>570.25</v>
      </c>
      <c r="N1043" s="78"/>
      <c r="O1043" s="78"/>
      <c r="P1043" s="78"/>
      <c r="Q1043" s="78"/>
      <c r="R1043" s="78"/>
      <c r="S1043" s="78"/>
      <c r="T1043" s="78"/>
      <c r="U1043" s="78"/>
      <c r="V1043" s="78"/>
      <c r="W1043" s="78"/>
      <c r="X1043" s="78"/>
      <c r="Y1043" s="78"/>
      <c r="Z1043" s="78"/>
    </row>
    <row r="1044" spans="1:26" ht="15.75" customHeight="1" x14ac:dyDescent="0.25">
      <c r="A1044" s="53">
        <v>11</v>
      </c>
      <c r="B1044" s="54" t="s">
        <v>1123</v>
      </c>
      <c r="C1044" s="54" t="s">
        <v>783</v>
      </c>
      <c r="D1044" s="53">
        <v>6957</v>
      </c>
      <c r="E1044" s="53">
        <v>8104</v>
      </c>
      <c r="F1044" s="54" t="s">
        <v>1171</v>
      </c>
      <c r="G1044" s="53" t="s">
        <v>203</v>
      </c>
      <c r="H1044" s="58" t="str">
        <f>_xlfn.IFNA(INDEX(ActiveSchools!$C$2:$F$326,MATCH(G1044,ActiveSchools!$F$2:$F$326,0),1),"Total")</f>
        <v>4122</v>
      </c>
      <c r="I1044" s="53">
        <v>3</v>
      </c>
      <c r="J1044" s="59">
        <f>_xlfn.IFNA(INDEX(DetailByDistrict[],MATCH($H1044,DetailByDistrict[Dist],0),MATCH(J$2,DetailByDistrict[#Headers],0)),0)</f>
        <v>24</v>
      </c>
      <c r="K1044" s="54">
        <f t="shared" si="16"/>
        <v>0.125</v>
      </c>
      <c r="L1044" s="59">
        <f>ROUND(INDEX(DetailByDistrict[],MATCH($H1044,DetailByDistrict[Dist],0),MATCH(L$2,DetailByDistrict[#Headers],0))*K1044,2)</f>
        <v>194.63</v>
      </c>
      <c r="M1044" s="59">
        <f>ROUND(INDEX(DetailByDistrict[],MATCH($H1044,DetailByDistrict[Dist],0),MATCH(M$2,DetailByDistrict[#Headers],0))*K1044,2)</f>
        <v>213.88</v>
      </c>
      <c r="N1044" s="78"/>
      <c r="O1044" s="78"/>
      <c r="P1044" s="78"/>
      <c r="Q1044" s="78"/>
      <c r="R1044" s="78"/>
      <c r="S1044" s="78"/>
      <c r="T1044" s="78"/>
      <c r="U1044" s="78"/>
      <c r="V1044" s="78"/>
      <c r="W1044" s="78"/>
      <c r="X1044" s="78"/>
      <c r="Y1044" s="78"/>
      <c r="Z1044" s="78"/>
    </row>
    <row r="1045" spans="1:26" ht="15.75" customHeight="1" x14ac:dyDescent="0.25">
      <c r="A1045" s="53">
        <v>11</v>
      </c>
      <c r="B1045" s="54" t="s">
        <v>1123</v>
      </c>
      <c r="C1045" s="54" t="s">
        <v>783</v>
      </c>
      <c r="D1045" s="53">
        <v>6957</v>
      </c>
      <c r="E1045" s="53">
        <v>8104</v>
      </c>
      <c r="F1045" s="54" t="s">
        <v>1153</v>
      </c>
      <c r="G1045" s="53" t="s">
        <v>208</v>
      </c>
      <c r="H1045" s="58" t="str">
        <f>_xlfn.IFNA(INDEX(ActiveSchools!$C$2:$F$326,MATCH(G1045,ActiveSchools!$F$2:$F$326,0),1),"Total")</f>
        <v>4797</v>
      </c>
      <c r="I1045" s="53">
        <v>15</v>
      </c>
      <c r="J1045" s="59">
        <f>_xlfn.IFNA(INDEX(DetailByDistrict[],MATCH($H1045,DetailByDistrict[Dist],0),MATCH(J$2,DetailByDistrict[#Headers],0)),0)</f>
        <v>161</v>
      </c>
      <c r="K1045" s="54">
        <f t="shared" si="16"/>
        <v>9.3167701863354033E-2</v>
      </c>
      <c r="L1045" s="59">
        <f>ROUND(INDEX(DetailByDistrict[],MATCH($H1045,DetailByDistrict[Dist],0),MATCH(L$2,DetailByDistrict[#Headers],0))*K1045,2)</f>
        <v>972.86</v>
      </c>
      <c r="M1045" s="59">
        <f>ROUND(INDEX(DetailByDistrict[],MATCH($H1045,DetailByDistrict[Dist],0),MATCH(M$2,DetailByDistrict[#Headers],0))*K1045,2)</f>
        <v>1069.19</v>
      </c>
      <c r="N1045" s="78"/>
      <c r="O1045" s="78"/>
      <c r="P1045" s="78"/>
      <c r="Q1045" s="78"/>
      <c r="R1045" s="78"/>
      <c r="S1045" s="78"/>
      <c r="T1045" s="78"/>
      <c r="U1045" s="78"/>
      <c r="V1045" s="78"/>
      <c r="W1045" s="78"/>
      <c r="X1045" s="78"/>
      <c r="Y1045" s="78"/>
      <c r="Z1045" s="78"/>
    </row>
    <row r="1046" spans="1:26" ht="15.75" customHeight="1" x14ac:dyDescent="0.25">
      <c r="A1046" s="53">
        <v>11</v>
      </c>
      <c r="B1046" s="54" t="s">
        <v>1123</v>
      </c>
      <c r="C1046" s="54" t="s">
        <v>783</v>
      </c>
      <c r="D1046" s="53">
        <v>6957</v>
      </c>
      <c r="E1046" s="53">
        <v>8104</v>
      </c>
      <c r="F1046" s="54" t="s">
        <v>1142</v>
      </c>
      <c r="G1046" s="53" t="s">
        <v>218</v>
      </c>
      <c r="H1046" s="58" t="str">
        <f>_xlfn.IFNA(INDEX(ActiveSchools!$C$2:$F$326,MATCH(G1046,ActiveSchools!$F$2:$F$326,0),1),"Total")</f>
        <v>6101</v>
      </c>
      <c r="I1046" s="53">
        <v>2</v>
      </c>
      <c r="J1046" s="59">
        <f>_xlfn.IFNA(INDEX(DetailByDistrict[],MATCH($H1046,DetailByDistrict[Dist],0),MATCH(J$2,DetailByDistrict[#Headers],0)),0)</f>
        <v>431</v>
      </c>
      <c r="K1046" s="54">
        <f t="shared" si="16"/>
        <v>4.6403712296983757E-3</v>
      </c>
      <c r="L1046" s="59">
        <f>ROUND(INDEX(DetailByDistrict[],MATCH($H1046,DetailByDistrict[Dist],0),MATCH(L$2,DetailByDistrict[#Headers],0))*K1046,2)</f>
        <v>129.72</v>
      </c>
      <c r="M1046" s="59">
        <f>ROUND(INDEX(DetailByDistrict[],MATCH($H1046,DetailByDistrict[Dist],0),MATCH(M$2,DetailByDistrict[#Headers],0))*K1046,2)</f>
        <v>142.56</v>
      </c>
      <c r="N1046" s="78"/>
      <c r="O1046" s="78"/>
      <c r="P1046" s="78"/>
      <c r="Q1046" s="78"/>
      <c r="R1046" s="78"/>
      <c r="S1046" s="78"/>
      <c r="T1046" s="78"/>
      <c r="U1046" s="78"/>
      <c r="V1046" s="78"/>
      <c r="W1046" s="78"/>
      <c r="X1046" s="78"/>
      <c r="Y1046" s="78"/>
      <c r="Z1046" s="78"/>
    </row>
    <row r="1047" spans="1:26" ht="15.75" customHeight="1" x14ac:dyDescent="0.25">
      <c r="A1047" s="53">
        <v>11</v>
      </c>
      <c r="B1047" s="54" t="s">
        <v>1123</v>
      </c>
      <c r="C1047" s="54" t="s">
        <v>783</v>
      </c>
      <c r="D1047" s="53">
        <v>6957</v>
      </c>
      <c r="E1047" s="53">
        <v>8104</v>
      </c>
      <c r="F1047" s="54" t="s">
        <v>1145</v>
      </c>
      <c r="G1047" s="53" t="s">
        <v>222</v>
      </c>
      <c r="H1047" s="58" t="str">
        <f>_xlfn.IFNA(INDEX(ActiveSchools!$C$2:$F$326,MATCH(G1047,ActiveSchools!$F$2:$F$326,0),1),"Total")</f>
        <v>6579</v>
      </c>
      <c r="I1047" s="53">
        <v>3</v>
      </c>
      <c r="J1047" s="59">
        <f>_xlfn.IFNA(INDEX(DetailByDistrict[],MATCH($H1047,DetailByDistrict[Dist],0),MATCH(J$2,DetailByDistrict[#Headers],0)),0)</f>
        <v>484</v>
      </c>
      <c r="K1047" s="54">
        <f t="shared" si="16"/>
        <v>6.1983471074380167E-3</v>
      </c>
      <c r="L1047" s="59">
        <f>ROUND(INDEX(DetailByDistrict[],MATCH($H1047,DetailByDistrict[Dist],0),MATCH(L$2,DetailByDistrict[#Headers],0))*K1047,2)</f>
        <v>194.58</v>
      </c>
      <c r="M1047" s="59">
        <f>ROUND(INDEX(DetailByDistrict[],MATCH($H1047,DetailByDistrict[Dist],0),MATCH(M$2,DetailByDistrict[#Headers],0))*K1047,2)</f>
        <v>213.84</v>
      </c>
      <c r="N1047" s="78"/>
      <c r="O1047" s="78"/>
      <c r="P1047" s="78"/>
      <c r="Q1047" s="78"/>
      <c r="R1047" s="78"/>
      <c r="S1047" s="78"/>
      <c r="T1047" s="78"/>
      <c r="U1047" s="78"/>
      <c r="V1047" s="78"/>
      <c r="W1047" s="78"/>
      <c r="X1047" s="78"/>
      <c r="Y1047" s="78"/>
      <c r="Z1047" s="78"/>
    </row>
    <row r="1048" spans="1:26" ht="15.75" customHeight="1" x14ac:dyDescent="0.25">
      <c r="A1048" s="53">
        <v>11</v>
      </c>
      <c r="B1048" s="54" t="s">
        <v>1123</v>
      </c>
      <c r="C1048" s="54" t="s">
        <v>783</v>
      </c>
      <c r="D1048" s="53">
        <v>6957</v>
      </c>
      <c r="E1048" s="53">
        <v>8104</v>
      </c>
      <c r="F1048" s="54" t="s">
        <v>1138</v>
      </c>
      <c r="G1048" s="53" t="s">
        <v>224</v>
      </c>
      <c r="H1048" s="58" t="str">
        <f>_xlfn.IFNA(INDEX(ActiveSchools!$C$2:$F$326,MATCH(G1048,ActiveSchools!$F$2:$F$326,0),1),"Total")</f>
        <v>6822</v>
      </c>
      <c r="I1048" s="53">
        <v>86</v>
      </c>
      <c r="J1048" s="59">
        <f>_xlfn.IFNA(INDEX(DetailByDistrict[],MATCH($H1048,DetailByDistrict[Dist],0),MATCH(J$2,DetailByDistrict[#Headers],0)),0)</f>
        <v>1399</v>
      </c>
      <c r="K1048" s="54">
        <f t="shared" si="16"/>
        <v>6.1472480343102216E-2</v>
      </c>
      <c r="L1048" s="59">
        <f>ROUND(INDEX(DetailByDistrict[],MATCH($H1048,DetailByDistrict[Dist],0),MATCH(L$2,DetailByDistrict[#Headers],0))*K1048,2)</f>
        <v>5577.95</v>
      </c>
      <c r="M1048" s="59">
        <f>ROUND(INDEX(DetailByDistrict[],MATCH($H1048,DetailByDistrict[Dist],0),MATCH(M$2,DetailByDistrict[#Headers],0))*K1048,2)</f>
        <v>6130.1</v>
      </c>
      <c r="N1048" s="78"/>
      <c r="O1048" s="78"/>
      <c r="P1048" s="78"/>
      <c r="Q1048" s="78"/>
      <c r="R1048" s="78"/>
      <c r="S1048" s="78"/>
      <c r="T1048" s="78"/>
      <c r="U1048" s="78"/>
      <c r="V1048" s="78"/>
      <c r="W1048" s="78"/>
      <c r="X1048" s="78"/>
      <c r="Y1048" s="78"/>
      <c r="Z1048" s="78"/>
    </row>
    <row r="1049" spans="1:26" ht="15.75" customHeight="1" x14ac:dyDescent="0.25">
      <c r="A1049" s="53">
        <v>11</v>
      </c>
      <c r="B1049" s="54" t="s">
        <v>1123</v>
      </c>
      <c r="C1049" s="54" t="s">
        <v>783</v>
      </c>
      <c r="D1049" s="53">
        <v>6957</v>
      </c>
      <c r="E1049" s="53">
        <v>8104</v>
      </c>
      <c r="F1049" s="54" t="s">
        <v>1139</v>
      </c>
      <c r="G1049" s="53" t="s">
        <v>226</v>
      </c>
      <c r="H1049" s="58" t="str">
        <f>_xlfn.IFNA(INDEX(ActiveSchools!$C$2:$F$326,MATCH(G1049,ActiveSchools!$F$2:$F$326,0),1),"Total")</f>
        <v>6957</v>
      </c>
      <c r="I1049" s="53">
        <v>276</v>
      </c>
      <c r="J1049" s="59">
        <f>_xlfn.IFNA(INDEX(DetailByDistrict[],MATCH($H1049,DetailByDistrict[Dist],0),MATCH(J$2,DetailByDistrict[#Headers],0)),0)</f>
        <v>1305</v>
      </c>
      <c r="K1049" s="54">
        <f t="shared" si="16"/>
        <v>0.21149425287356322</v>
      </c>
      <c r="L1049" s="59">
        <f>ROUND(INDEX(DetailByDistrict[],MATCH($H1049,DetailByDistrict[Dist],0),MATCH(L$2,DetailByDistrict[#Headers],0))*K1049,2)</f>
        <v>17901.3</v>
      </c>
      <c r="M1049" s="59">
        <f>ROUND(INDEX(DetailByDistrict[],MATCH($H1049,DetailByDistrict[Dist],0),MATCH(M$2,DetailByDistrict[#Headers],0))*K1049,2)</f>
        <v>19673.2</v>
      </c>
      <c r="N1049" s="78"/>
      <c r="O1049" s="78"/>
      <c r="P1049" s="78"/>
      <c r="Q1049" s="78"/>
      <c r="R1049" s="78"/>
      <c r="S1049" s="78"/>
      <c r="T1049" s="78"/>
      <c r="U1049" s="78"/>
      <c r="V1049" s="78"/>
      <c r="W1049" s="78"/>
      <c r="X1049" s="78"/>
      <c r="Y1049" s="78"/>
      <c r="Z1049" s="78"/>
    </row>
    <row r="1050" spans="1:26" ht="15.75" customHeight="1" x14ac:dyDescent="0.25">
      <c r="A1050" s="53">
        <v>11</v>
      </c>
      <c r="B1050" s="54" t="s">
        <v>1123</v>
      </c>
      <c r="C1050" s="54" t="s">
        <v>952</v>
      </c>
      <c r="D1050" s="53">
        <v>6957</v>
      </c>
      <c r="E1050" s="53">
        <v>8106</v>
      </c>
      <c r="F1050" s="54" t="s">
        <v>1125</v>
      </c>
      <c r="G1050" s="57" t="s">
        <v>178</v>
      </c>
      <c r="H1050" s="58" t="str">
        <f>_xlfn.IFNA(INDEX(ActiveSchools!$C$2:$F$326,MATCH(G1050,ActiveSchools!$F$2:$F$326,0),1),"Total")</f>
        <v>0261</v>
      </c>
      <c r="I1050" s="53">
        <v>3</v>
      </c>
      <c r="J1050" s="59">
        <f>_xlfn.IFNA(INDEX(DetailByDistrict[],MATCH($H1050,DetailByDistrict[Dist],0),MATCH(J$2,DetailByDistrict[#Headers],0)),0)</f>
        <v>1188</v>
      </c>
      <c r="K1050" s="54">
        <f t="shared" si="16"/>
        <v>2.5252525252525255E-3</v>
      </c>
      <c r="L1050" s="59">
        <f>ROUND(INDEX(DetailByDistrict[],MATCH($H1050,DetailByDistrict[Dist],0),MATCH(L$2,DetailByDistrict[#Headers],0))*K1050,2)</f>
        <v>194.58</v>
      </c>
      <c r="M1050" s="59">
        <f>ROUND(INDEX(DetailByDistrict[],MATCH($H1050,DetailByDistrict[Dist],0),MATCH(M$2,DetailByDistrict[#Headers],0))*K1050,2)</f>
        <v>213.84</v>
      </c>
      <c r="N1050" s="78"/>
      <c r="O1050" s="78"/>
      <c r="P1050" s="78"/>
      <c r="Q1050" s="78"/>
      <c r="R1050" s="78"/>
      <c r="S1050" s="78"/>
      <c r="T1050" s="78"/>
      <c r="U1050" s="78"/>
      <c r="V1050" s="78"/>
      <c r="W1050" s="78"/>
      <c r="X1050" s="78"/>
      <c r="Y1050" s="78"/>
      <c r="Z1050" s="78"/>
    </row>
    <row r="1051" spans="1:26" ht="15.75" customHeight="1" x14ac:dyDescent="0.25">
      <c r="A1051" s="53">
        <v>11</v>
      </c>
      <c r="B1051" s="54" t="s">
        <v>1123</v>
      </c>
      <c r="C1051" s="54" t="s">
        <v>952</v>
      </c>
      <c r="D1051" s="53">
        <v>6957</v>
      </c>
      <c r="E1051" s="53">
        <v>8106</v>
      </c>
      <c r="F1051" s="54" t="s">
        <v>1134</v>
      </c>
      <c r="G1051" s="53" t="s">
        <v>191</v>
      </c>
      <c r="H1051" s="58" t="str">
        <f>_xlfn.IFNA(INDEX(ActiveSchools!$C$2:$F$326,MATCH(G1051,ActiveSchools!$F$2:$F$326,0),1),"Total")</f>
        <v>1737</v>
      </c>
      <c r="I1051" s="53">
        <v>85</v>
      </c>
      <c r="J1051" s="59">
        <f>_xlfn.IFNA(INDEX(DetailByDistrict[],MATCH($H1051,DetailByDistrict[Dist],0),MATCH(J$2,DetailByDistrict[#Headers],0)),0)</f>
        <v>2968</v>
      </c>
      <c r="K1051" s="54">
        <f t="shared" si="16"/>
        <v>2.8638814016172506E-2</v>
      </c>
      <c r="L1051" s="59">
        <f>ROUND(INDEX(DetailByDistrict[],MATCH($H1051,DetailByDistrict[Dist],0),MATCH(L$2,DetailByDistrict[#Headers],0))*K1051,2)</f>
        <v>5513.09</v>
      </c>
      <c r="M1051" s="59">
        <f>ROUND(INDEX(DetailByDistrict[],MATCH($H1051,DetailByDistrict[Dist],0),MATCH(M$2,DetailByDistrict[#Headers],0))*K1051,2)</f>
        <v>6058.8</v>
      </c>
      <c r="N1051" s="78"/>
      <c r="O1051" s="78"/>
      <c r="P1051" s="78"/>
      <c r="Q1051" s="78"/>
      <c r="R1051" s="78"/>
      <c r="S1051" s="78"/>
      <c r="T1051" s="78"/>
      <c r="U1051" s="78"/>
      <c r="V1051" s="78"/>
      <c r="W1051" s="78"/>
      <c r="X1051" s="78"/>
      <c r="Y1051" s="78"/>
      <c r="Z1051" s="78"/>
    </row>
    <row r="1052" spans="1:26" ht="15.75" customHeight="1" x14ac:dyDescent="0.25">
      <c r="A1052" s="53">
        <v>11</v>
      </c>
      <c r="B1052" s="54" t="s">
        <v>1123</v>
      </c>
      <c r="C1052" s="54" t="s">
        <v>952</v>
      </c>
      <c r="D1052" s="53">
        <v>6957</v>
      </c>
      <c r="E1052" s="53">
        <v>8106</v>
      </c>
      <c r="F1052" s="54" t="s">
        <v>1142</v>
      </c>
      <c r="G1052" s="53" t="s">
        <v>218</v>
      </c>
      <c r="H1052" s="58" t="str">
        <f>_xlfn.IFNA(INDEX(ActiveSchools!$C$2:$F$326,MATCH(G1052,ActiveSchools!$F$2:$F$326,0),1),"Total")</f>
        <v>6101</v>
      </c>
      <c r="I1052" s="53">
        <v>1</v>
      </c>
      <c r="J1052" s="59">
        <f>_xlfn.IFNA(INDEX(DetailByDistrict[],MATCH($H1052,DetailByDistrict[Dist],0),MATCH(J$2,DetailByDistrict[#Headers],0)),0)</f>
        <v>431</v>
      </c>
      <c r="K1052" s="54">
        <f t="shared" si="16"/>
        <v>2.3201856148491878E-3</v>
      </c>
      <c r="L1052" s="59">
        <f>ROUND(INDEX(DetailByDistrict[],MATCH($H1052,DetailByDistrict[Dist],0),MATCH(L$2,DetailByDistrict[#Headers],0))*K1052,2)</f>
        <v>64.86</v>
      </c>
      <c r="M1052" s="59">
        <f>ROUND(INDEX(DetailByDistrict[],MATCH($H1052,DetailByDistrict[Dist],0),MATCH(M$2,DetailByDistrict[#Headers],0))*K1052,2)</f>
        <v>71.28</v>
      </c>
      <c r="N1052" s="78"/>
      <c r="O1052" s="78"/>
      <c r="P1052" s="78"/>
      <c r="Q1052" s="78"/>
      <c r="R1052" s="78"/>
      <c r="S1052" s="78"/>
      <c r="T1052" s="78"/>
      <c r="U1052" s="78"/>
      <c r="V1052" s="78"/>
      <c r="W1052" s="78"/>
      <c r="X1052" s="78"/>
      <c r="Y1052" s="78"/>
      <c r="Z1052" s="78"/>
    </row>
    <row r="1053" spans="1:26" ht="15.75" customHeight="1" x14ac:dyDescent="0.25">
      <c r="A1053" s="53">
        <v>11</v>
      </c>
      <c r="B1053" s="54" t="s">
        <v>1123</v>
      </c>
      <c r="C1053" s="54" t="s">
        <v>952</v>
      </c>
      <c r="D1053" s="53">
        <v>6957</v>
      </c>
      <c r="E1053" s="53">
        <v>8106</v>
      </c>
      <c r="F1053" s="54" t="s">
        <v>1145</v>
      </c>
      <c r="G1053" s="53" t="s">
        <v>222</v>
      </c>
      <c r="H1053" s="58" t="str">
        <f>_xlfn.IFNA(INDEX(ActiveSchools!$C$2:$F$326,MATCH(G1053,ActiveSchools!$F$2:$F$326,0),1),"Total")</f>
        <v>6579</v>
      </c>
      <c r="I1053" s="53">
        <v>6</v>
      </c>
      <c r="J1053" s="59">
        <f>_xlfn.IFNA(INDEX(DetailByDistrict[],MATCH($H1053,DetailByDistrict[Dist],0),MATCH(J$2,DetailByDistrict[#Headers],0)),0)</f>
        <v>484</v>
      </c>
      <c r="K1053" s="54">
        <f t="shared" si="16"/>
        <v>1.2396694214876033E-2</v>
      </c>
      <c r="L1053" s="59">
        <f>ROUND(INDEX(DetailByDistrict[],MATCH($H1053,DetailByDistrict[Dist],0),MATCH(L$2,DetailByDistrict[#Headers],0))*K1053,2)</f>
        <v>389.16</v>
      </c>
      <c r="M1053" s="59">
        <f>ROUND(INDEX(DetailByDistrict[],MATCH($H1053,DetailByDistrict[Dist],0),MATCH(M$2,DetailByDistrict[#Headers],0))*K1053,2)</f>
        <v>427.69</v>
      </c>
      <c r="N1053" s="78"/>
      <c r="O1053" s="78"/>
      <c r="P1053" s="78"/>
      <c r="Q1053" s="78"/>
      <c r="R1053" s="78"/>
      <c r="S1053" s="78"/>
      <c r="T1053" s="78"/>
      <c r="U1053" s="78"/>
      <c r="V1053" s="78"/>
      <c r="W1053" s="78"/>
      <c r="X1053" s="78"/>
      <c r="Y1053" s="78"/>
      <c r="Z1053" s="78"/>
    </row>
    <row r="1054" spans="1:26" ht="15.75" customHeight="1" x14ac:dyDescent="0.25">
      <c r="A1054" s="53">
        <v>11</v>
      </c>
      <c r="B1054" s="54" t="s">
        <v>1123</v>
      </c>
      <c r="C1054" s="54" t="s">
        <v>952</v>
      </c>
      <c r="D1054" s="53">
        <v>6957</v>
      </c>
      <c r="E1054" s="53">
        <v>8106</v>
      </c>
      <c r="F1054" s="54" t="s">
        <v>1138</v>
      </c>
      <c r="G1054" s="53" t="s">
        <v>224</v>
      </c>
      <c r="H1054" s="58" t="str">
        <f>_xlfn.IFNA(INDEX(ActiveSchools!$C$2:$F$326,MATCH(G1054,ActiveSchools!$F$2:$F$326,0),1),"Total")</f>
        <v>6822</v>
      </c>
      <c r="I1054" s="53">
        <v>9</v>
      </c>
      <c r="J1054" s="59">
        <f>_xlfn.IFNA(INDEX(DetailByDistrict[],MATCH($H1054,DetailByDistrict[Dist],0),MATCH(J$2,DetailByDistrict[#Headers],0)),0)</f>
        <v>1399</v>
      </c>
      <c r="K1054" s="54">
        <f t="shared" si="16"/>
        <v>6.4331665475339528E-3</v>
      </c>
      <c r="L1054" s="59">
        <f>ROUND(INDEX(DetailByDistrict[],MATCH($H1054,DetailByDistrict[Dist],0),MATCH(L$2,DetailByDistrict[#Headers],0))*K1054,2)</f>
        <v>583.74</v>
      </c>
      <c r="M1054" s="59">
        <f>ROUND(INDEX(DetailByDistrict[],MATCH($H1054,DetailByDistrict[Dist],0),MATCH(M$2,DetailByDistrict[#Headers],0))*K1054,2)</f>
        <v>641.52</v>
      </c>
      <c r="N1054" s="78"/>
      <c r="O1054" s="78"/>
      <c r="P1054" s="78"/>
      <c r="Q1054" s="78"/>
      <c r="R1054" s="78"/>
      <c r="S1054" s="78"/>
      <c r="T1054" s="78"/>
      <c r="U1054" s="78"/>
      <c r="V1054" s="78"/>
      <c r="W1054" s="78"/>
      <c r="X1054" s="78"/>
      <c r="Y1054" s="78"/>
      <c r="Z1054" s="78"/>
    </row>
    <row r="1055" spans="1:26" ht="15.75" customHeight="1" x14ac:dyDescent="0.25">
      <c r="A1055" s="53">
        <v>11</v>
      </c>
      <c r="B1055" s="54" t="s">
        <v>1123</v>
      </c>
      <c r="C1055" s="54" t="s">
        <v>952</v>
      </c>
      <c r="D1055" s="53">
        <v>6957</v>
      </c>
      <c r="E1055" s="53">
        <v>8106</v>
      </c>
      <c r="F1055" s="54" t="s">
        <v>1139</v>
      </c>
      <c r="G1055" s="53" t="s">
        <v>226</v>
      </c>
      <c r="H1055" s="58" t="str">
        <f>_xlfn.IFNA(INDEX(ActiveSchools!$C$2:$F$326,MATCH(G1055,ActiveSchools!$F$2:$F$326,0),1),"Total")</f>
        <v>6957</v>
      </c>
      <c r="I1055" s="53">
        <v>22</v>
      </c>
      <c r="J1055" s="59">
        <f>_xlfn.IFNA(INDEX(DetailByDistrict[],MATCH($H1055,DetailByDistrict[Dist],0),MATCH(J$2,DetailByDistrict[#Headers],0)),0)</f>
        <v>1305</v>
      </c>
      <c r="K1055" s="54">
        <f t="shared" si="16"/>
        <v>1.6858237547892719E-2</v>
      </c>
      <c r="L1055" s="59">
        <f>ROUND(INDEX(DetailByDistrict[],MATCH($H1055,DetailByDistrict[Dist],0),MATCH(L$2,DetailByDistrict[#Headers],0))*K1055,2)</f>
        <v>1426.91</v>
      </c>
      <c r="M1055" s="59">
        <f>ROUND(INDEX(DetailByDistrict[],MATCH($H1055,DetailByDistrict[Dist],0),MATCH(M$2,DetailByDistrict[#Headers],0))*K1055,2)</f>
        <v>1568.15</v>
      </c>
      <c r="N1055" s="78"/>
      <c r="O1055" s="78"/>
      <c r="P1055" s="78"/>
      <c r="Q1055" s="78"/>
      <c r="R1055" s="78"/>
      <c r="S1055" s="78"/>
      <c r="T1055" s="78"/>
      <c r="U1055" s="78"/>
      <c r="V1055" s="78"/>
      <c r="W1055" s="78"/>
      <c r="X1055" s="78"/>
      <c r="Y1055" s="78"/>
      <c r="Z1055" s="78"/>
    </row>
    <row r="1056" spans="1:26" ht="15.75" customHeight="1" x14ac:dyDescent="0.25">
      <c r="A1056" s="62"/>
      <c r="B1056" s="64"/>
      <c r="C1056" s="65"/>
      <c r="D1056" s="62"/>
      <c r="E1056" s="62"/>
      <c r="F1056" s="62" t="s">
        <v>1123</v>
      </c>
      <c r="G1056" s="62" t="s">
        <v>736</v>
      </c>
      <c r="H1056" s="62" t="str">
        <f>_xlfn.IFNA(INDEX(ActiveSchools!$C$2:$F$326,MATCH(G1056,ActiveSchools!$F$2:$F$326,0),1),"Total")</f>
        <v>Total</v>
      </c>
      <c r="I1056" s="62">
        <f>SUM(I651:I1055)</f>
        <v>11598</v>
      </c>
      <c r="J1056" s="62">
        <f>_xlfn.IFNA(INDEX(DetailByDistrict[],MATCH($H1056,DetailByDistrict[Dist],0),MATCH(J$2,DetailByDistrict[#Headers],0)),0)</f>
        <v>0</v>
      </c>
      <c r="K1056" s="62" t="e">
        <f t="shared" si="16"/>
        <v>#DIV/0!</v>
      </c>
      <c r="L1056" s="63">
        <f>SUM(L651:L1055)</f>
        <v>752247.99999999884</v>
      </c>
      <c r="M1056" s="63">
        <f>SUM(M651:M1055)</f>
        <v>826706.0000000007</v>
      </c>
      <c r="N1056" s="78"/>
      <c r="O1056" s="78"/>
      <c r="P1056" s="78"/>
      <c r="Q1056" s="78"/>
      <c r="R1056" s="78"/>
      <c r="S1056" s="78"/>
      <c r="T1056" s="78"/>
      <c r="U1056" s="78"/>
      <c r="V1056" s="78"/>
      <c r="W1056" s="78"/>
      <c r="X1056" s="78"/>
      <c r="Y1056" s="78"/>
      <c r="Z1056" s="78"/>
    </row>
    <row r="1057" spans="1:26" ht="15.75" customHeight="1" x14ac:dyDescent="0.25">
      <c r="A1057" s="53">
        <v>12</v>
      </c>
      <c r="B1057" s="54" t="s">
        <v>671</v>
      </c>
      <c r="C1057" s="54" t="s">
        <v>785</v>
      </c>
      <c r="D1057" s="57" t="s">
        <v>232</v>
      </c>
      <c r="E1057" s="53">
        <v>8109</v>
      </c>
      <c r="F1057" s="54" t="s">
        <v>1173</v>
      </c>
      <c r="G1057" s="57" t="s">
        <v>232</v>
      </c>
      <c r="H1057" s="58" t="str">
        <f>_xlfn.IFNA(INDEX(ActiveSchools!$C$2:$F$326,MATCH(G1057,ActiveSchools!$F$2:$F$326,0),1),"Total")</f>
        <v>0747</v>
      </c>
      <c r="I1057" s="53">
        <v>26</v>
      </c>
      <c r="J1057" s="59">
        <f>_xlfn.IFNA(INDEX(DetailByDistrict[],MATCH($H1057,DetailByDistrict[Dist],0),MATCH(J$2,DetailByDistrict[#Headers],0)),0)</f>
        <v>399</v>
      </c>
      <c r="K1057" s="54">
        <f t="shared" si="16"/>
        <v>6.5162907268170422E-2</v>
      </c>
      <c r="L1057" s="59">
        <f>ROUND(INDEX(DetailByDistrict[],MATCH($H1057,DetailByDistrict[Dist],0),MATCH(L$2,DetailByDistrict[#Headers],0))*K1057,2)</f>
        <v>1697.04</v>
      </c>
      <c r="M1057" s="59">
        <f>ROUND(INDEX(DetailByDistrict[],MATCH($H1057,DetailByDistrict[Dist],0),MATCH(M$2,DetailByDistrict[#Headers],0))*K1057,2)</f>
        <v>1899.56</v>
      </c>
      <c r="N1057" s="78"/>
      <c r="O1057" s="78"/>
      <c r="P1057" s="78"/>
      <c r="Q1057" s="78"/>
      <c r="R1057" s="78"/>
      <c r="S1057" s="78"/>
      <c r="T1057" s="78"/>
      <c r="U1057" s="78"/>
      <c r="V1057" s="78"/>
      <c r="W1057" s="78"/>
      <c r="X1057" s="78"/>
      <c r="Y1057" s="78"/>
      <c r="Z1057" s="78"/>
    </row>
    <row r="1058" spans="1:26" ht="15.75" customHeight="1" x14ac:dyDescent="0.25">
      <c r="A1058" s="53">
        <v>12</v>
      </c>
      <c r="B1058" s="54" t="s">
        <v>671</v>
      </c>
      <c r="C1058" s="54" t="s">
        <v>785</v>
      </c>
      <c r="D1058" s="57" t="s">
        <v>232</v>
      </c>
      <c r="E1058" s="53">
        <v>8109</v>
      </c>
      <c r="F1058" s="54" t="s">
        <v>1174</v>
      </c>
      <c r="G1058" s="53" t="s">
        <v>233</v>
      </c>
      <c r="H1058" s="58" t="str">
        <f>_xlfn.IFNA(INDEX(ActiveSchools!$C$2:$F$326,MATCH(G1058,ActiveSchools!$F$2:$F$326,0),1),"Total")</f>
        <v>1095</v>
      </c>
      <c r="I1058" s="53">
        <v>14</v>
      </c>
      <c r="J1058" s="59">
        <f>_xlfn.IFNA(INDEX(DetailByDistrict[],MATCH($H1058,DetailByDistrict[Dist],0),MATCH(J$2,DetailByDistrict[#Headers],0)),0)</f>
        <v>151</v>
      </c>
      <c r="K1058" s="54">
        <f t="shared" si="16"/>
        <v>9.2715231788079472E-2</v>
      </c>
      <c r="L1058" s="59">
        <f>ROUND(INDEX(DetailByDistrict[],MATCH($H1058,DetailByDistrict[Dist],0),MATCH(L$2,DetailByDistrict[#Headers],0))*K1058,2)</f>
        <v>913.8</v>
      </c>
      <c r="M1058" s="59">
        <f>ROUND(INDEX(DetailByDistrict[],MATCH($H1058,DetailByDistrict[Dist],0),MATCH(M$2,DetailByDistrict[#Headers],0))*K1058,2)</f>
        <v>1022.83</v>
      </c>
      <c r="N1058" s="78"/>
      <c r="O1058" s="78"/>
      <c r="P1058" s="78"/>
      <c r="Q1058" s="78"/>
      <c r="R1058" s="78"/>
      <c r="S1058" s="78"/>
      <c r="T1058" s="78"/>
      <c r="U1058" s="78"/>
      <c r="V1058" s="78"/>
      <c r="W1058" s="78"/>
      <c r="X1058" s="78"/>
      <c r="Y1058" s="78"/>
      <c r="Z1058" s="78"/>
    </row>
    <row r="1059" spans="1:26" ht="15.75" customHeight="1" x14ac:dyDescent="0.25">
      <c r="A1059" s="53">
        <v>12</v>
      </c>
      <c r="B1059" s="54" t="s">
        <v>671</v>
      </c>
      <c r="C1059" s="54" t="s">
        <v>785</v>
      </c>
      <c r="D1059" s="57" t="s">
        <v>232</v>
      </c>
      <c r="E1059" s="53">
        <v>8109</v>
      </c>
      <c r="F1059" s="54" t="s">
        <v>1175</v>
      </c>
      <c r="G1059" s="53" t="s">
        <v>238</v>
      </c>
      <c r="H1059" s="58" t="str">
        <f>_xlfn.IFNA(INDEX(ActiveSchools!$C$2:$F$326,MATCH(G1059,ActiveSchools!$F$2:$F$326,0),1),"Total")</f>
        <v>2457</v>
      </c>
      <c r="I1059" s="53">
        <v>1</v>
      </c>
      <c r="J1059" s="59">
        <f>_xlfn.IFNA(INDEX(DetailByDistrict[],MATCH($H1059,DetailByDistrict[Dist],0),MATCH(J$2,DetailByDistrict[#Headers],0)),0)</f>
        <v>14</v>
      </c>
      <c r="K1059" s="54">
        <f t="shared" si="16"/>
        <v>7.1428571428571425E-2</v>
      </c>
      <c r="L1059" s="59">
        <f>ROUND(INDEX(DetailByDistrict[],MATCH($H1059,DetailByDistrict[Dist],0),MATCH(L$2,DetailByDistrict[#Headers],0))*K1059,2)</f>
        <v>65.290000000000006</v>
      </c>
      <c r="M1059" s="59">
        <f>ROUND(INDEX(DetailByDistrict[],MATCH($H1059,DetailByDistrict[Dist],0),MATCH(M$2,DetailByDistrict[#Headers],0))*K1059,2)</f>
        <v>73.069999999999993</v>
      </c>
      <c r="N1059" s="78"/>
      <c r="O1059" s="78"/>
      <c r="P1059" s="78"/>
      <c r="Q1059" s="78"/>
      <c r="R1059" s="78"/>
      <c r="S1059" s="78"/>
      <c r="T1059" s="78"/>
      <c r="U1059" s="78"/>
      <c r="V1059" s="78"/>
      <c r="W1059" s="78"/>
      <c r="X1059" s="78"/>
      <c r="Y1059" s="78"/>
      <c r="Z1059" s="78"/>
    </row>
    <row r="1060" spans="1:26" ht="15.75" customHeight="1" x14ac:dyDescent="0.25">
      <c r="A1060" s="53">
        <v>12</v>
      </c>
      <c r="B1060" s="54" t="s">
        <v>671</v>
      </c>
      <c r="C1060" s="54" t="s">
        <v>785</v>
      </c>
      <c r="D1060" s="57" t="s">
        <v>232</v>
      </c>
      <c r="E1060" s="53">
        <v>8109</v>
      </c>
      <c r="F1060" s="54" t="s">
        <v>1176</v>
      </c>
      <c r="G1060" s="53" t="s">
        <v>246</v>
      </c>
      <c r="H1060" s="58" t="str">
        <f>_xlfn.IFNA(INDEX(ActiveSchools!$C$2:$F$326,MATCH(G1060,ActiveSchools!$F$2:$F$326,0),1),"Total")</f>
        <v>4149</v>
      </c>
      <c r="I1060" s="53">
        <v>1</v>
      </c>
      <c r="J1060" s="59">
        <f>_xlfn.IFNA(INDEX(DetailByDistrict[],MATCH($H1060,DetailByDistrict[Dist],0),MATCH(J$2,DetailByDistrict[#Headers],0)),0)</f>
        <v>566</v>
      </c>
      <c r="K1060" s="54">
        <f t="shared" si="16"/>
        <v>1.7667844522968198E-3</v>
      </c>
      <c r="L1060" s="59">
        <f>ROUND(INDEX(DetailByDistrict[],MATCH($H1060,DetailByDistrict[Dist],0),MATCH(L$2,DetailByDistrict[#Headers],0))*K1060,2)</f>
        <v>65.27</v>
      </c>
      <c r="M1060" s="59">
        <f>ROUND(INDEX(DetailByDistrict[],MATCH($H1060,DetailByDistrict[Dist],0),MATCH(M$2,DetailByDistrict[#Headers],0))*K1060,2)</f>
        <v>73.06</v>
      </c>
      <c r="N1060" s="78"/>
      <c r="O1060" s="78"/>
      <c r="P1060" s="78"/>
      <c r="Q1060" s="78"/>
      <c r="R1060" s="78"/>
      <c r="S1060" s="78"/>
      <c r="T1060" s="78"/>
      <c r="U1060" s="78"/>
      <c r="V1060" s="78"/>
      <c r="W1060" s="78"/>
      <c r="X1060" s="78"/>
      <c r="Y1060" s="78"/>
      <c r="Z1060" s="78"/>
    </row>
    <row r="1061" spans="1:26" ht="15.75" customHeight="1" x14ac:dyDescent="0.25">
      <c r="A1061" s="53">
        <v>12</v>
      </c>
      <c r="B1061" s="54" t="s">
        <v>671</v>
      </c>
      <c r="C1061" s="54" t="s">
        <v>785</v>
      </c>
      <c r="D1061" s="57" t="s">
        <v>232</v>
      </c>
      <c r="E1061" s="53">
        <v>8109</v>
      </c>
      <c r="F1061" s="54" t="s">
        <v>1177</v>
      </c>
      <c r="G1061" s="53" t="s">
        <v>249</v>
      </c>
      <c r="H1061" s="58" t="str">
        <f>_xlfn.IFNA(INDEX(ActiveSchools!$C$2:$F$326,MATCH(G1061,ActiveSchools!$F$2:$F$326,0),1),"Total")</f>
        <v>5607</v>
      </c>
      <c r="I1061" s="53">
        <v>19</v>
      </c>
      <c r="J1061" s="59">
        <f>_xlfn.IFNA(INDEX(DetailByDistrict[],MATCH($H1061,DetailByDistrict[Dist],0),MATCH(J$2,DetailByDistrict[#Headers],0)),0)</f>
        <v>439</v>
      </c>
      <c r="K1061" s="54">
        <f t="shared" si="16"/>
        <v>4.328018223234624E-2</v>
      </c>
      <c r="L1061" s="59">
        <f>ROUND(INDEX(DetailByDistrict[],MATCH($H1061,DetailByDistrict[Dist],0),MATCH(L$2,DetailByDistrict[#Headers],0))*K1061,2)</f>
        <v>1240.1500000000001</v>
      </c>
      <c r="M1061" s="59">
        <f>ROUND(INDEX(DetailByDistrict[],MATCH($H1061,DetailByDistrict[Dist],0),MATCH(M$2,DetailByDistrict[#Headers],0))*K1061,2)</f>
        <v>1388.13</v>
      </c>
      <c r="N1061" s="78"/>
      <c r="O1061" s="78"/>
      <c r="P1061" s="78"/>
      <c r="Q1061" s="78"/>
      <c r="R1061" s="78"/>
      <c r="S1061" s="78"/>
      <c r="T1061" s="78"/>
      <c r="U1061" s="78"/>
      <c r="V1061" s="78"/>
      <c r="W1061" s="78"/>
      <c r="X1061" s="78"/>
      <c r="Y1061" s="78"/>
      <c r="Z1061" s="78"/>
    </row>
    <row r="1062" spans="1:26" ht="15.75" customHeight="1" x14ac:dyDescent="0.25">
      <c r="A1062" s="53">
        <v>12</v>
      </c>
      <c r="B1062" s="54" t="s">
        <v>671</v>
      </c>
      <c r="C1062" s="54" t="s">
        <v>785</v>
      </c>
      <c r="D1062" s="57" t="s">
        <v>232</v>
      </c>
      <c r="E1062" s="53">
        <v>8109</v>
      </c>
      <c r="F1062" s="54" t="s">
        <v>1178</v>
      </c>
      <c r="G1062" s="53" t="s">
        <v>252</v>
      </c>
      <c r="H1062" s="58" t="str">
        <f>_xlfn.IFNA(INDEX(ActiveSchools!$C$2:$F$326,MATCH(G1062,ActiveSchools!$F$2:$F$326,0),1),"Total")</f>
        <v>5949</v>
      </c>
      <c r="I1062" s="53">
        <v>1</v>
      </c>
      <c r="J1062" s="59">
        <f>_xlfn.IFNA(INDEX(DetailByDistrict[],MATCH($H1062,DetailByDistrict[Dist],0),MATCH(J$2,DetailByDistrict[#Headers],0)),0)</f>
        <v>173</v>
      </c>
      <c r="K1062" s="54">
        <f t="shared" si="16"/>
        <v>5.7803468208092483E-3</v>
      </c>
      <c r="L1062" s="59">
        <f>ROUND(INDEX(DetailByDistrict[],MATCH($H1062,DetailByDistrict[Dist],0),MATCH(L$2,DetailByDistrict[#Headers],0))*K1062,2)+0.01</f>
        <v>65.28</v>
      </c>
      <c r="M1062" s="59">
        <f>ROUND(INDEX(DetailByDistrict[],MATCH($H1062,DetailByDistrict[Dist],0),MATCH(M$2,DetailByDistrict[#Headers],0))*K1062,2)</f>
        <v>73.06</v>
      </c>
      <c r="N1062" s="78"/>
      <c r="O1062" s="78"/>
      <c r="P1062" s="78"/>
      <c r="Q1062" s="78"/>
      <c r="R1062" s="78"/>
      <c r="S1062" s="78"/>
      <c r="T1062" s="78"/>
      <c r="U1062" s="78"/>
      <c r="V1062" s="78"/>
      <c r="W1062" s="78"/>
      <c r="X1062" s="78"/>
      <c r="Y1062" s="78"/>
      <c r="Z1062" s="78"/>
    </row>
    <row r="1063" spans="1:26" ht="15.75" customHeight="1" x14ac:dyDescent="0.25">
      <c r="A1063" s="53">
        <v>12</v>
      </c>
      <c r="B1063" s="54" t="s">
        <v>671</v>
      </c>
      <c r="C1063" s="54" t="s">
        <v>785</v>
      </c>
      <c r="D1063" s="57" t="s">
        <v>232</v>
      </c>
      <c r="E1063" s="53">
        <v>8109</v>
      </c>
      <c r="F1063" s="54" t="s">
        <v>1179</v>
      </c>
      <c r="G1063" s="53" t="s">
        <v>254</v>
      </c>
      <c r="H1063" s="58" t="str">
        <f>_xlfn.IFNA(INDEX(ActiveSchools!$C$2:$F$326,MATCH(G1063,ActiveSchools!$F$2:$F$326,0),1),"Total")</f>
        <v>6030</v>
      </c>
      <c r="I1063" s="53">
        <v>2</v>
      </c>
      <c r="J1063" s="59">
        <f>_xlfn.IFNA(INDEX(DetailByDistrict[],MATCH($H1063,DetailByDistrict[Dist],0),MATCH(J$2,DetailByDistrict[#Headers],0)),0)</f>
        <v>739</v>
      </c>
      <c r="K1063" s="54">
        <f t="shared" si="16"/>
        <v>2.7063599458728013E-3</v>
      </c>
      <c r="L1063" s="59">
        <f>ROUND(INDEX(DetailByDistrict[],MATCH($H1063,DetailByDistrict[Dist],0),MATCH(L$2,DetailByDistrict[#Headers],0))*K1063,2)</f>
        <v>130.54</v>
      </c>
      <c r="M1063" s="59">
        <f>ROUND(INDEX(DetailByDistrict[],MATCH($H1063,DetailByDistrict[Dist],0),MATCH(M$2,DetailByDistrict[#Headers],0))*K1063,2)</f>
        <v>146.12</v>
      </c>
      <c r="N1063" s="78"/>
      <c r="O1063" s="78"/>
      <c r="P1063" s="78"/>
      <c r="Q1063" s="78"/>
      <c r="R1063" s="78"/>
      <c r="S1063" s="78"/>
      <c r="T1063" s="78"/>
      <c r="U1063" s="78"/>
      <c r="V1063" s="78"/>
      <c r="W1063" s="78"/>
      <c r="X1063" s="78"/>
      <c r="Y1063" s="78"/>
      <c r="Z1063" s="78"/>
    </row>
    <row r="1064" spans="1:26" ht="15.75" customHeight="1" x14ac:dyDescent="0.25">
      <c r="A1064" s="53">
        <v>12</v>
      </c>
      <c r="B1064" s="54" t="s">
        <v>671</v>
      </c>
      <c r="C1064" s="54" t="s">
        <v>786</v>
      </c>
      <c r="D1064" s="57" t="s">
        <v>232</v>
      </c>
      <c r="E1064" s="53">
        <v>8305</v>
      </c>
      <c r="F1064" s="54" t="s">
        <v>1173</v>
      </c>
      <c r="G1064" s="57" t="s">
        <v>232</v>
      </c>
      <c r="H1064" s="58" t="str">
        <f>_xlfn.IFNA(INDEX(ActiveSchools!$C$2:$F$326,MATCH(G1064,ActiveSchools!$F$2:$F$326,0),1),"Total")</f>
        <v>0747</v>
      </c>
      <c r="I1064" s="53">
        <v>156</v>
      </c>
      <c r="J1064" s="59">
        <f>_xlfn.IFNA(INDEX(DetailByDistrict[],MATCH($H1064,DetailByDistrict[Dist],0),MATCH(J$2,DetailByDistrict[#Headers],0)),0)</f>
        <v>399</v>
      </c>
      <c r="K1064" s="54">
        <f t="shared" si="16"/>
        <v>0.39097744360902253</v>
      </c>
      <c r="L1064" s="59">
        <f>ROUND(INDEX(DetailByDistrict[],MATCH($H1064,DetailByDistrict[Dist],0),MATCH(L$2,DetailByDistrict[#Headers],0))*K1064,2)</f>
        <v>10182.23</v>
      </c>
      <c r="M1064" s="59">
        <f>ROUND(INDEX(DetailByDistrict[],MATCH($H1064,DetailByDistrict[Dist],0),MATCH(M$2,DetailByDistrict[#Headers],0))*K1064,2)</f>
        <v>11397.38</v>
      </c>
      <c r="N1064" s="78"/>
      <c r="O1064" s="78"/>
      <c r="P1064" s="78"/>
      <c r="Q1064" s="78"/>
      <c r="R1064" s="78"/>
      <c r="S1064" s="78"/>
      <c r="T1064" s="78"/>
      <c r="U1064" s="78"/>
      <c r="V1064" s="78"/>
      <c r="W1064" s="78"/>
      <c r="X1064" s="78"/>
      <c r="Y1064" s="78"/>
      <c r="Z1064" s="78"/>
    </row>
    <row r="1065" spans="1:26" ht="15.75" customHeight="1" x14ac:dyDescent="0.25">
      <c r="A1065" s="53">
        <v>12</v>
      </c>
      <c r="B1065" s="54" t="s">
        <v>671</v>
      </c>
      <c r="C1065" s="54" t="s">
        <v>786</v>
      </c>
      <c r="D1065" s="57" t="s">
        <v>232</v>
      </c>
      <c r="E1065" s="53">
        <v>8305</v>
      </c>
      <c r="F1065" s="54" t="s">
        <v>1174</v>
      </c>
      <c r="G1065" s="53" t="s">
        <v>233</v>
      </c>
      <c r="H1065" s="58" t="str">
        <f>_xlfn.IFNA(INDEX(ActiveSchools!$C$2:$F$326,MATCH(G1065,ActiveSchools!$F$2:$F$326,0),1),"Total")</f>
        <v>1095</v>
      </c>
      <c r="I1065" s="53">
        <v>21</v>
      </c>
      <c r="J1065" s="59">
        <f>_xlfn.IFNA(INDEX(DetailByDistrict[],MATCH($H1065,DetailByDistrict[Dist],0),MATCH(J$2,DetailByDistrict[#Headers],0)),0)</f>
        <v>151</v>
      </c>
      <c r="K1065" s="54">
        <f t="shared" si="16"/>
        <v>0.13907284768211919</v>
      </c>
      <c r="L1065" s="59">
        <f>ROUND(INDEX(DetailByDistrict[],MATCH($H1065,DetailByDistrict[Dist],0),MATCH(L$2,DetailByDistrict[#Headers],0))*K1065,2)</f>
        <v>1370.7</v>
      </c>
      <c r="M1065" s="59">
        <f>ROUND(INDEX(DetailByDistrict[],MATCH($H1065,DetailByDistrict[Dist],0),MATCH(M$2,DetailByDistrict[#Headers],0))*K1065,2)</f>
        <v>1534.25</v>
      </c>
      <c r="N1065" s="78"/>
      <c r="O1065" s="78"/>
      <c r="P1065" s="78"/>
      <c r="Q1065" s="78"/>
      <c r="R1065" s="78"/>
      <c r="S1065" s="78"/>
      <c r="T1065" s="78"/>
      <c r="U1065" s="78"/>
      <c r="V1065" s="78"/>
      <c r="W1065" s="78"/>
      <c r="X1065" s="78"/>
      <c r="Y1065" s="78"/>
      <c r="Z1065" s="78"/>
    </row>
    <row r="1066" spans="1:26" ht="15.75" customHeight="1" x14ac:dyDescent="0.25">
      <c r="A1066" s="53">
        <v>12</v>
      </c>
      <c r="B1066" s="54" t="s">
        <v>671</v>
      </c>
      <c r="C1066" s="54" t="s">
        <v>786</v>
      </c>
      <c r="D1066" s="57" t="s">
        <v>232</v>
      </c>
      <c r="E1066" s="53">
        <v>8305</v>
      </c>
      <c r="F1066" s="54" t="s">
        <v>1175</v>
      </c>
      <c r="G1066" s="53" t="s">
        <v>238</v>
      </c>
      <c r="H1066" s="58" t="str">
        <f>_xlfn.IFNA(INDEX(ActiveSchools!$C$2:$F$326,MATCH(G1066,ActiveSchools!$F$2:$F$326,0),1),"Total")</f>
        <v>2457</v>
      </c>
      <c r="I1066" s="53">
        <v>3</v>
      </c>
      <c r="J1066" s="59">
        <f>_xlfn.IFNA(INDEX(DetailByDistrict[],MATCH($H1066,DetailByDistrict[Dist],0),MATCH(J$2,DetailByDistrict[#Headers],0)),0)</f>
        <v>14</v>
      </c>
      <c r="K1066" s="54">
        <f t="shared" si="16"/>
        <v>0.21428571428571427</v>
      </c>
      <c r="L1066" s="59">
        <f>ROUND(INDEX(DetailByDistrict[],MATCH($H1066,DetailByDistrict[Dist],0),MATCH(L$2,DetailByDistrict[#Headers],0))*K1066,2)</f>
        <v>195.86</v>
      </c>
      <c r="M1066" s="59">
        <f>ROUND(INDEX(DetailByDistrict[],MATCH($H1066,DetailByDistrict[Dist],0),MATCH(M$2,DetailByDistrict[#Headers],0))*K1066,2)</f>
        <v>219.21</v>
      </c>
      <c r="N1066" s="78"/>
      <c r="O1066" s="78"/>
      <c r="P1066" s="78"/>
      <c r="Q1066" s="78"/>
      <c r="R1066" s="78"/>
      <c r="S1066" s="78"/>
      <c r="T1066" s="78"/>
      <c r="U1066" s="78"/>
      <c r="V1066" s="78"/>
      <c r="W1066" s="78"/>
      <c r="X1066" s="78"/>
      <c r="Y1066" s="78"/>
      <c r="Z1066" s="78"/>
    </row>
    <row r="1067" spans="1:26" ht="15.75" customHeight="1" x14ac:dyDescent="0.25">
      <c r="A1067" s="53">
        <v>12</v>
      </c>
      <c r="B1067" s="54" t="s">
        <v>671</v>
      </c>
      <c r="C1067" s="54" t="s">
        <v>786</v>
      </c>
      <c r="D1067" s="57" t="s">
        <v>232</v>
      </c>
      <c r="E1067" s="53">
        <v>8305</v>
      </c>
      <c r="F1067" s="54" t="s">
        <v>1180</v>
      </c>
      <c r="G1067" s="53" t="s">
        <v>247</v>
      </c>
      <c r="H1067" s="58" t="str">
        <f>_xlfn.IFNA(INDEX(ActiveSchools!$C$2:$F$326,MATCH(G1067,ActiveSchools!$F$2:$F$326,0),1),"Total")</f>
        <v>5486</v>
      </c>
      <c r="I1067" s="53">
        <v>1</v>
      </c>
      <c r="J1067" s="59">
        <f>_xlfn.IFNA(INDEX(DetailByDistrict[],MATCH($H1067,DetailByDistrict[Dist],0),MATCH(J$2,DetailByDistrict[#Headers],0)),0)</f>
        <v>181</v>
      </c>
      <c r="K1067" s="54">
        <f t="shared" si="16"/>
        <v>5.5248618784530384E-3</v>
      </c>
      <c r="L1067" s="59">
        <f>ROUND(INDEX(DetailByDistrict[],MATCH($H1067,DetailByDistrict[Dist],0),MATCH(L$2,DetailByDistrict[#Headers],0))*K1067,2)+0.01</f>
        <v>65.28</v>
      </c>
      <c r="M1067" s="59">
        <f>ROUND(INDEX(DetailByDistrict[],MATCH($H1067,DetailByDistrict[Dist],0),MATCH(M$2,DetailByDistrict[#Headers],0))*K1067,2)</f>
        <v>73.06</v>
      </c>
      <c r="N1067" s="78"/>
      <c r="O1067" s="78"/>
      <c r="P1067" s="78"/>
      <c r="Q1067" s="78"/>
      <c r="R1067" s="78"/>
      <c r="S1067" s="78"/>
      <c r="T1067" s="78"/>
      <c r="U1067" s="78"/>
      <c r="V1067" s="78"/>
      <c r="W1067" s="78"/>
      <c r="X1067" s="78"/>
      <c r="Y1067" s="78"/>
      <c r="Z1067" s="78"/>
    </row>
    <row r="1068" spans="1:26" ht="15.75" customHeight="1" x14ac:dyDescent="0.25">
      <c r="A1068" s="53">
        <v>12</v>
      </c>
      <c r="B1068" s="54" t="s">
        <v>671</v>
      </c>
      <c r="C1068" s="54" t="s">
        <v>786</v>
      </c>
      <c r="D1068" s="57" t="s">
        <v>232</v>
      </c>
      <c r="E1068" s="53">
        <v>8305</v>
      </c>
      <c r="F1068" s="54" t="s">
        <v>1177</v>
      </c>
      <c r="G1068" s="53" t="s">
        <v>249</v>
      </c>
      <c r="H1068" s="58" t="str">
        <f>_xlfn.IFNA(INDEX(ActiveSchools!$C$2:$F$326,MATCH(G1068,ActiveSchools!$F$2:$F$326,0),1),"Total")</f>
        <v>5607</v>
      </c>
      <c r="I1068" s="53">
        <v>1</v>
      </c>
      <c r="J1068" s="59">
        <f>_xlfn.IFNA(INDEX(DetailByDistrict[],MATCH($H1068,DetailByDistrict[Dist],0),MATCH(J$2,DetailByDistrict[#Headers],0)),0)</f>
        <v>439</v>
      </c>
      <c r="K1068" s="54">
        <f t="shared" si="16"/>
        <v>2.2779043280182231E-3</v>
      </c>
      <c r="L1068" s="59">
        <f>ROUND(INDEX(DetailByDistrict[],MATCH($H1068,DetailByDistrict[Dist],0),MATCH(L$2,DetailByDistrict[#Headers],0))*K1068,2)+0.01</f>
        <v>65.28</v>
      </c>
      <c r="M1068" s="59">
        <f>ROUND(INDEX(DetailByDistrict[],MATCH($H1068,DetailByDistrict[Dist],0),MATCH(M$2,DetailByDistrict[#Headers],0))*K1068,2)</f>
        <v>73.06</v>
      </c>
      <c r="N1068" s="78"/>
      <c r="O1068" s="78"/>
      <c r="P1068" s="78"/>
      <c r="Q1068" s="78"/>
      <c r="R1068" s="78"/>
      <c r="S1068" s="78"/>
      <c r="T1068" s="78"/>
      <c r="U1068" s="78"/>
      <c r="V1068" s="78"/>
      <c r="W1068" s="78"/>
      <c r="X1068" s="78"/>
      <c r="Y1068" s="78"/>
      <c r="Z1068" s="78"/>
    </row>
    <row r="1069" spans="1:26" ht="15.75" customHeight="1" x14ac:dyDescent="0.25">
      <c r="A1069" s="53">
        <v>12</v>
      </c>
      <c r="B1069" s="54" t="s">
        <v>671</v>
      </c>
      <c r="C1069" s="54" t="s">
        <v>786</v>
      </c>
      <c r="D1069" s="57" t="s">
        <v>232</v>
      </c>
      <c r="E1069" s="53">
        <v>8305</v>
      </c>
      <c r="F1069" s="54" t="s">
        <v>1181</v>
      </c>
      <c r="G1069" s="53" t="s">
        <v>253</v>
      </c>
      <c r="H1069" s="58" t="str">
        <f>_xlfn.IFNA(INDEX(ActiveSchools!$C$2:$F$326,MATCH(G1069,ActiveSchools!$F$2:$F$326,0),1),"Total")</f>
        <v>5994</v>
      </c>
      <c r="I1069" s="53">
        <v>2</v>
      </c>
      <c r="J1069" s="59">
        <f>_xlfn.IFNA(INDEX(DetailByDistrict[],MATCH($H1069,DetailByDistrict[Dist],0),MATCH(J$2,DetailByDistrict[#Headers],0)),0)</f>
        <v>21</v>
      </c>
      <c r="K1069" s="54">
        <f t="shared" si="16"/>
        <v>9.5238095238095233E-2</v>
      </c>
      <c r="L1069" s="59">
        <f>ROUND(INDEX(DetailByDistrict[],MATCH($H1069,DetailByDistrict[Dist],0),MATCH(L$2,DetailByDistrict[#Headers],0))*K1069,2)</f>
        <v>130.57</v>
      </c>
      <c r="M1069" s="59">
        <f>ROUND(INDEX(DetailByDistrict[],MATCH($H1069,DetailByDistrict[Dist],0),MATCH(M$2,DetailByDistrict[#Headers],0))*K1069,2)</f>
        <v>146.1</v>
      </c>
      <c r="N1069" s="78"/>
      <c r="O1069" s="78"/>
      <c r="P1069" s="78"/>
      <c r="Q1069" s="78"/>
      <c r="R1069" s="78"/>
      <c r="S1069" s="78"/>
      <c r="T1069" s="78"/>
      <c r="U1069" s="78"/>
      <c r="V1069" s="78"/>
      <c r="W1069" s="78"/>
      <c r="X1069" s="78"/>
      <c r="Y1069" s="78"/>
      <c r="Z1069" s="78"/>
    </row>
    <row r="1070" spans="1:26" ht="15.75" customHeight="1" x14ac:dyDescent="0.25">
      <c r="A1070" s="53">
        <v>12</v>
      </c>
      <c r="B1070" s="54" t="s">
        <v>671</v>
      </c>
      <c r="C1070" s="54" t="s">
        <v>786</v>
      </c>
      <c r="D1070" s="57" t="s">
        <v>232</v>
      </c>
      <c r="E1070" s="53">
        <v>8305</v>
      </c>
      <c r="F1070" s="54" t="s">
        <v>1179</v>
      </c>
      <c r="G1070" s="53" t="s">
        <v>254</v>
      </c>
      <c r="H1070" s="58" t="str">
        <f>_xlfn.IFNA(INDEX(ActiveSchools!$C$2:$F$326,MATCH(G1070,ActiveSchools!$F$2:$F$326,0),1),"Total")</f>
        <v>6030</v>
      </c>
      <c r="I1070" s="53">
        <v>4</v>
      </c>
      <c r="J1070" s="59">
        <f>_xlfn.IFNA(INDEX(DetailByDistrict[],MATCH($H1070,DetailByDistrict[Dist],0),MATCH(J$2,DetailByDistrict[#Headers],0)),0)</f>
        <v>739</v>
      </c>
      <c r="K1070" s="54">
        <f t="shared" si="16"/>
        <v>5.4127198917456026E-3</v>
      </c>
      <c r="L1070" s="59">
        <f>ROUND(INDEX(DetailByDistrict[],MATCH($H1070,DetailByDistrict[Dist],0),MATCH(L$2,DetailByDistrict[#Headers],0))*K1070,2)</f>
        <v>261.08</v>
      </c>
      <c r="M1070" s="59">
        <f>ROUND(INDEX(DetailByDistrict[],MATCH($H1070,DetailByDistrict[Dist],0),MATCH(M$2,DetailByDistrict[#Headers],0))*K1070,2)</f>
        <v>292.24</v>
      </c>
      <c r="N1070" s="78"/>
      <c r="O1070" s="78"/>
      <c r="P1070" s="78"/>
      <c r="Q1070" s="78"/>
      <c r="R1070" s="78"/>
      <c r="S1070" s="78"/>
      <c r="T1070" s="78"/>
      <c r="U1070" s="78"/>
      <c r="V1070" s="78"/>
      <c r="W1070" s="78"/>
      <c r="X1070" s="78"/>
      <c r="Y1070" s="78"/>
      <c r="Z1070" s="78"/>
    </row>
    <row r="1071" spans="1:26" ht="15.75" customHeight="1" x14ac:dyDescent="0.25">
      <c r="A1071" s="53">
        <v>12</v>
      </c>
      <c r="B1071" s="54" t="s">
        <v>671</v>
      </c>
      <c r="C1071" s="54" t="s">
        <v>787</v>
      </c>
      <c r="D1071" s="57" t="s">
        <v>232</v>
      </c>
      <c r="E1071" s="53">
        <v>8306</v>
      </c>
      <c r="F1071" s="54" t="s">
        <v>1173</v>
      </c>
      <c r="G1071" s="57" t="s">
        <v>232</v>
      </c>
      <c r="H1071" s="58" t="str">
        <f>_xlfn.IFNA(INDEX(ActiveSchools!$C$2:$F$326,MATCH(G1071,ActiveSchools!$F$2:$F$326,0),1),"Total")</f>
        <v>0747</v>
      </c>
      <c r="I1071" s="53">
        <v>72</v>
      </c>
      <c r="J1071" s="59">
        <f>_xlfn.IFNA(INDEX(DetailByDistrict[],MATCH($H1071,DetailByDistrict[Dist],0),MATCH(J$2,DetailByDistrict[#Headers],0)),0)</f>
        <v>399</v>
      </c>
      <c r="K1071" s="54">
        <f t="shared" si="16"/>
        <v>0.18045112781954886</v>
      </c>
      <c r="L1071" s="59">
        <f>ROUND(INDEX(DetailByDistrict[],MATCH($H1071,DetailByDistrict[Dist],0),MATCH(L$2,DetailByDistrict[#Headers],0))*K1071,2)</f>
        <v>4699.49</v>
      </c>
      <c r="M1071" s="59">
        <f>ROUND(INDEX(DetailByDistrict[],MATCH($H1071,DetailByDistrict[Dist],0),MATCH(M$2,DetailByDistrict[#Headers],0))*K1071,2)</f>
        <v>5260.33</v>
      </c>
      <c r="N1071" s="78"/>
      <c r="O1071" s="78"/>
      <c r="P1071" s="78"/>
      <c r="Q1071" s="78"/>
      <c r="R1071" s="78"/>
      <c r="S1071" s="78"/>
      <c r="T1071" s="78"/>
      <c r="U1071" s="78"/>
      <c r="V1071" s="78"/>
      <c r="W1071" s="78"/>
      <c r="X1071" s="78"/>
      <c r="Y1071" s="78"/>
      <c r="Z1071" s="78"/>
    </row>
    <row r="1072" spans="1:26" ht="15.75" customHeight="1" x14ac:dyDescent="0.25">
      <c r="A1072" s="53">
        <v>12</v>
      </c>
      <c r="B1072" s="54" t="s">
        <v>671</v>
      </c>
      <c r="C1072" s="54" t="s">
        <v>787</v>
      </c>
      <c r="D1072" s="57" t="s">
        <v>232</v>
      </c>
      <c r="E1072" s="53">
        <v>8306</v>
      </c>
      <c r="F1072" s="54" t="s">
        <v>1174</v>
      </c>
      <c r="G1072" s="53" t="s">
        <v>233</v>
      </c>
      <c r="H1072" s="58" t="str">
        <f>_xlfn.IFNA(INDEX(ActiveSchools!$C$2:$F$326,MATCH(G1072,ActiveSchools!$F$2:$F$326,0),1),"Total")</f>
        <v>1095</v>
      </c>
      <c r="I1072" s="53">
        <v>18</v>
      </c>
      <c r="J1072" s="59">
        <f>_xlfn.IFNA(INDEX(DetailByDistrict[],MATCH($H1072,DetailByDistrict[Dist],0),MATCH(J$2,DetailByDistrict[#Headers],0)),0)</f>
        <v>151</v>
      </c>
      <c r="K1072" s="54">
        <f t="shared" si="16"/>
        <v>0.11920529801324503</v>
      </c>
      <c r="L1072" s="59">
        <f>ROUND(INDEX(DetailByDistrict[],MATCH($H1072,DetailByDistrict[Dist],0),MATCH(L$2,DetailByDistrict[#Headers],0))*K1072,2)</f>
        <v>1174.8900000000001</v>
      </c>
      <c r="M1072" s="59">
        <f>ROUND(INDEX(DetailByDistrict[],MATCH($H1072,DetailByDistrict[Dist],0),MATCH(M$2,DetailByDistrict[#Headers],0))*K1072,2)</f>
        <v>1315.07</v>
      </c>
      <c r="N1072" s="78"/>
      <c r="O1072" s="78"/>
      <c r="P1072" s="78"/>
      <c r="Q1072" s="78"/>
      <c r="R1072" s="78"/>
      <c r="S1072" s="78"/>
      <c r="T1072" s="78"/>
      <c r="U1072" s="78"/>
      <c r="V1072" s="78"/>
      <c r="W1072" s="78"/>
      <c r="X1072" s="78"/>
      <c r="Y1072" s="78"/>
      <c r="Z1072" s="78"/>
    </row>
    <row r="1073" spans="1:26" ht="15.75" customHeight="1" x14ac:dyDescent="0.25">
      <c r="A1073" s="53">
        <v>12</v>
      </c>
      <c r="B1073" s="54" t="s">
        <v>671</v>
      </c>
      <c r="C1073" s="54" t="s">
        <v>787</v>
      </c>
      <c r="D1073" s="57" t="s">
        <v>232</v>
      </c>
      <c r="E1073" s="53">
        <v>8306</v>
      </c>
      <c r="F1073" s="54" t="s">
        <v>1175</v>
      </c>
      <c r="G1073" s="53" t="s">
        <v>238</v>
      </c>
      <c r="H1073" s="58" t="str">
        <f>_xlfn.IFNA(INDEX(ActiveSchools!$C$2:$F$326,MATCH(G1073,ActiveSchools!$F$2:$F$326,0),1),"Total")</f>
        <v>2457</v>
      </c>
      <c r="I1073" s="53">
        <v>4</v>
      </c>
      <c r="J1073" s="59">
        <f>_xlfn.IFNA(INDEX(DetailByDistrict[],MATCH($H1073,DetailByDistrict[Dist],0),MATCH(J$2,DetailByDistrict[#Headers],0)),0)</f>
        <v>14</v>
      </c>
      <c r="K1073" s="54">
        <f t="shared" si="16"/>
        <v>0.2857142857142857</v>
      </c>
      <c r="L1073" s="59">
        <f>ROUND(INDEX(DetailByDistrict[],MATCH($H1073,DetailByDistrict[Dist],0),MATCH(L$2,DetailByDistrict[#Headers],0))*K1073,2)</f>
        <v>261.14</v>
      </c>
      <c r="M1073" s="59">
        <f>ROUND(INDEX(DetailByDistrict[],MATCH($H1073,DetailByDistrict[Dist],0),MATCH(M$2,DetailByDistrict[#Headers],0))*K1073,2)</f>
        <v>292.29000000000002</v>
      </c>
      <c r="N1073" s="78"/>
      <c r="O1073" s="78"/>
      <c r="P1073" s="78"/>
      <c r="Q1073" s="78"/>
      <c r="R1073" s="78"/>
      <c r="S1073" s="78"/>
      <c r="T1073" s="78"/>
      <c r="U1073" s="78"/>
      <c r="V1073" s="78"/>
      <c r="W1073" s="78"/>
      <c r="X1073" s="78"/>
      <c r="Y1073" s="78"/>
      <c r="Z1073" s="78"/>
    </row>
    <row r="1074" spans="1:26" ht="15.75" customHeight="1" x14ac:dyDescent="0.25">
      <c r="A1074" s="53">
        <v>12</v>
      </c>
      <c r="B1074" s="54" t="s">
        <v>671</v>
      </c>
      <c r="C1074" s="54" t="s">
        <v>787</v>
      </c>
      <c r="D1074" s="57" t="s">
        <v>232</v>
      </c>
      <c r="E1074" s="53">
        <v>8306</v>
      </c>
      <c r="F1074" s="54" t="s">
        <v>1176</v>
      </c>
      <c r="G1074" s="53" t="s">
        <v>246</v>
      </c>
      <c r="H1074" s="58" t="str">
        <f>_xlfn.IFNA(INDEX(ActiveSchools!$C$2:$F$326,MATCH(G1074,ActiveSchools!$F$2:$F$326,0),1),"Total")</f>
        <v>4149</v>
      </c>
      <c r="I1074" s="53">
        <v>2</v>
      </c>
      <c r="J1074" s="59">
        <f>_xlfn.IFNA(INDEX(DetailByDistrict[],MATCH($H1074,DetailByDistrict[Dist],0),MATCH(J$2,DetailByDistrict[#Headers],0)),0)</f>
        <v>566</v>
      </c>
      <c r="K1074" s="54">
        <f t="shared" si="16"/>
        <v>3.5335689045936395E-3</v>
      </c>
      <c r="L1074" s="59">
        <f>ROUND(INDEX(DetailByDistrict[],MATCH($H1074,DetailByDistrict[Dist],0),MATCH(L$2,DetailByDistrict[#Headers],0))*K1074,2)</f>
        <v>130.54</v>
      </c>
      <c r="M1074" s="59">
        <f>ROUND(INDEX(DetailByDistrict[],MATCH($H1074,DetailByDistrict[Dist],0),MATCH(M$2,DetailByDistrict[#Headers],0))*K1074,2)</f>
        <v>146.12</v>
      </c>
      <c r="N1074" s="78"/>
      <c r="O1074" s="78"/>
      <c r="P1074" s="78"/>
      <c r="Q1074" s="78"/>
      <c r="R1074" s="78"/>
      <c r="S1074" s="78"/>
      <c r="T1074" s="78"/>
      <c r="U1074" s="78"/>
      <c r="V1074" s="78"/>
      <c r="W1074" s="78"/>
      <c r="X1074" s="78"/>
      <c r="Y1074" s="78"/>
      <c r="Z1074" s="78"/>
    </row>
    <row r="1075" spans="1:26" ht="15.75" customHeight="1" x14ac:dyDescent="0.25">
      <c r="A1075" s="53">
        <v>12</v>
      </c>
      <c r="B1075" s="54" t="s">
        <v>671</v>
      </c>
      <c r="C1075" s="54" t="s">
        <v>787</v>
      </c>
      <c r="D1075" s="57" t="s">
        <v>232</v>
      </c>
      <c r="E1075" s="53">
        <v>8306</v>
      </c>
      <c r="F1075" s="54" t="s">
        <v>1177</v>
      </c>
      <c r="G1075" s="53" t="s">
        <v>249</v>
      </c>
      <c r="H1075" s="58" t="str">
        <f>_xlfn.IFNA(INDEX(ActiveSchools!$C$2:$F$326,MATCH(G1075,ActiveSchools!$F$2:$F$326,0),1),"Total")</f>
        <v>5607</v>
      </c>
      <c r="I1075" s="53">
        <v>28</v>
      </c>
      <c r="J1075" s="59">
        <f>_xlfn.IFNA(INDEX(DetailByDistrict[],MATCH($H1075,DetailByDistrict[Dist],0),MATCH(J$2,DetailByDistrict[#Headers],0)),0)</f>
        <v>439</v>
      </c>
      <c r="K1075" s="54">
        <f t="shared" si="16"/>
        <v>6.3781321184510256E-2</v>
      </c>
      <c r="L1075" s="59">
        <f>ROUND(INDEX(DetailByDistrict[],MATCH($H1075,DetailByDistrict[Dist],0),MATCH(L$2,DetailByDistrict[#Headers],0))*K1075,2)</f>
        <v>1827.59</v>
      </c>
      <c r="M1075" s="59">
        <f>ROUND(INDEX(DetailByDistrict[],MATCH($H1075,DetailByDistrict[Dist],0),MATCH(M$2,DetailByDistrict[#Headers],0))*K1075,2)</f>
        <v>2045.66</v>
      </c>
      <c r="N1075" s="78"/>
      <c r="O1075" s="78"/>
      <c r="P1075" s="78"/>
      <c r="Q1075" s="78"/>
      <c r="R1075" s="78"/>
      <c r="S1075" s="78"/>
      <c r="T1075" s="78"/>
      <c r="U1075" s="78"/>
      <c r="V1075" s="78"/>
      <c r="W1075" s="78"/>
      <c r="X1075" s="78"/>
      <c r="Y1075" s="78"/>
      <c r="Z1075" s="78"/>
    </row>
    <row r="1076" spans="1:26" ht="15.75" customHeight="1" x14ac:dyDescent="0.25">
      <c r="A1076" s="53">
        <v>12</v>
      </c>
      <c r="B1076" s="54" t="s">
        <v>671</v>
      </c>
      <c r="C1076" s="54" t="s">
        <v>787</v>
      </c>
      <c r="D1076" s="57" t="s">
        <v>232</v>
      </c>
      <c r="E1076" s="53">
        <v>8306</v>
      </c>
      <c r="F1076" s="54" t="s">
        <v>1178</v>
      </c>
      <c r="G1076" s="53" t="s">
        <v>252</v>
      </c>
      <c r="H1076" s="58" t="str">
        <f>_xlfn.IFNA(INDEX(ActiveSchools!$C$2:$F$326,MATCH(G1076,ActiveSchools!$F$2:$F$326,0),1),"Total")</f>
        <v>5949</v>
      </c>
      <c r="I1076" s="53">
        <v>8</v>
      </c>
      <c r="J1076" s="59">
        <f>_xlfn.IFNA(INDEX(DetailByDistrict[],MATCH($H1076,DetailByDistrict[Dist],0),MATCH(J$2,DetailByDistrict[#Headers],0)),0)</f>
        <v>173</v>
      </c>
      <c r="K1076" s="54">
        <f t="shared" si="16"/>
        <v>4.6242774566473986E-2</v>
      </c>
      <c r="L1076" s="59">
        <f>ROUND(INDEX(DetailByDistrict[],MATCH($H1076,DetailByDistrict[Dist],0),MATCH(L$2,DetailByDistrict[#Headers],0))*K1076,2)</f>
        <v>522.16999999999996</v>
      </c>
      <c r="M1076" s="59">
        <f>ROUND(INDEX(DetailByDistrict[],MATCH($H1076,DetailByDistrict[Dist],0),MATCH(M$2,DetailByDistrict[#Headers],0))*K1076,2)</f>
        <v>584.46</v>
      </c>
      <c r="N1076" s="78"/>
      <c r="O1076" s="78"/>
      <c r="P1076" s="78"/>
      <c r="Q1076" s="78"/>
      <c r="R1076" s="78"/>
      <c r="S1076" s="78"/>
      <c r="T1076" s="78"/>
      <c r="U1076" s="78"/>
      <c r="V1076" s="78"/>
      <c r="W1076" s="78"/>
      <c r="X1076" s="78"/>
      <c r="Y1076" s="78"/>
      <c r="Z1076" s="78"/>
    </row>
    <row r="1077" spans="1:26" ht="15.75" customHeight="1" x14ac:dyDescent="0.25">
      <c r="A1077" s="53">
        <v>12</v>
      </c>
      <c r="B1077" s="54" t="s">
        <v>671</v>
      </c>
      <c r="C1077" s="54" t="s">
        <v>787</v>
      </c>
      <c r="D1077" s="57" t="s">
        <v>232</v>
      </c>
      <c r="E1077" s="53">
        <v>8306</v>
      </c>
      <c r="F1077" s="54" t="s">
        <v>1179</v>
      </c>
      <c r="G1077" s="53" t="s">
        <v>254</v>
      </c>
      <c r="H1077" s="58" t="str">
        <f>_xlfn.IFNA(INDEX(ActiveSchools!$C$2:$F$326,MATCH(G1077,ActiveSchools!$F$2:$F$326,0),1),"Total")</f>
        <v>6030</v>
      </c>
      <c r="I1077" s="53">
        <v>5</v>
      </c>
      <c r="J1077" s="59">
        <f>_xlfn.IFNA(INDEX(DetailByDistrict[],MATCH($H1077,DetailByDistrict[Dist],0),MATCH(J$2,DetailByDistrict[#Headers],0)),0)</f>
        <v>739</v>
      </c>
      <c r="K1077" s="54">
        <f t="shared" si="16"/>
        <v>6.7658998646820028E-3</v>
      </c>
      <c r="L1077" s="59">
        <f>ROUND(INDEX(DetailByDistrict[],MATCH($H1077,DetailByDistrict[Dist],0),MATCH(L$2,DetailByDistrict[#Headers],0))*K1077,2)</f>
        <v>326.35000000000002</v>
      </c>
      <c r="M1077" s="59">
        <f>ROUND(INDEX(DetailByDistrict[],MATCH($H1077,DetailByDistrict[Dist],0),MATCH(M$2,DetailByDistrict[#Headers],0))*K1077,2)</f>
        <v>365.3</v>
      </c>
      <c r="N1077" s="78"/>
      <c r="O1077" s="78"/>
      <c r="P1077" s="78"/>
      <c r="Q1077" s="78"/>
      <c r="R1077" s="78"/>
      <c r="S1077" s="78"/>
      <c r="T1077" s="78"/>
      <c r="U1077" s="78"/>
      <c r="V1077" s="78"/>
      <c r="W1077" s="78"/>
      <c r="X1077" s="78"/>
      <c r="Y1077" s="78"/>
      <c r="Z1077" s="78"/>
    </row>
    <row r="1078" spans="1:26" ht="15.75" customHeight="1" x14ac:dyDescent="0.25">
      <c r="A1078" s="53">
        <v>12</v>
      </c>
      <c r="B1078" s="54" t="s">
        <v>671</v>
      </c>
      <c r="C1078" s="54" t="s">
        <v>787</v>
      </c>
      <c r="D1078" s="57" t="s">
        <v>232</v>
      </c>
      <c r="E1078" s="53">
        <v>8306</v>
      </c>
      <c r="F1078" s="54" t="s">
        <v>1182</v>
      </c>
      <c r="G1078" s="53" t="s">
        <v>257</v>
      </c>
      <c r="H1078" s="58" t="str">
        <f>_xlfn.IFNA(INDEX(ActiveSchools!$C$2:$F$326,MATCH(G1078,ActiveSchools!$F$2:$F$326,0),1),"Total")</f>
        <v>6983</v>
      </c>
      <c r="I1078" s="53">
        <v>5</v>
      </c>
      <c r="J1078" s="59">
        <f>_xlfn.IFNA(INDEX(DetailByDistrict[],MATCH($H1078,DetailByDistrict[Dist],0),MATCH(J$2,DetailByDistrict[#Headers],0)),0)</f>
        <v>165</v>
      </c>
      <c r="K1078" s="54">
        <f t="shared" si="16"/>
        <v>3.0303030303030304E-2</v>
      </c>
      <c r="L1078" s="59">
        <f>ROUND(INDEX(DetailByDistrict[],MATCH($H1078,DetailByDistrict[Dist],0),MATCH(L$2,DetailByDistrict[#Headers],0))*K1078,2)</f>
        <v>326.36</v>
      </c>
      <c r="M1078" s="59">
        <f>ROUND(INDEX(DetailByDistrict[],MATCH($H1078,DetailByDistrict[Dist],0),MATCH(M$2,DetailByDistrict[#Headers],0))*K1078,2)</f>
        <v>365.3</v>
      </c>
      <c r="N1078" s="78"/>
      <c r="O1078" s="78"/>
      <c r="P1078" s="78"/>
      <c r="Q1078" s="78"/>
      <c r="R1078" s="78"/>
      <c r="S1078" s="78"/>
      <c r="T1078" s="78"/>
      <c r="U1078" s="78"/>
      <c r="V1078" s="78"/>
      <c r="W1078" s="78"/>
      <c r="X1078" s="78"/>
      <c r="Y1078" s="78"/>
      <c r="Z1078" s="78"/>
    </row>
    <row r="1079" spans="1:26" ht="15.75" customHeight="1" x14ac:dyDescent="0.25">
      <c r="A1079" s="53">
        <v>12</v>
      </c>
      <c r="B1079" s="54" t="s">
        <v>671</v>
      </c>
      <c r="C1079" s="54" t="s">
        <v>788</v>
      </c>
      <c r="D1079" s="57" t="s">
        <v>232</v>
      </c>
      <c r="E1079" s="53">
        <v>8309</v>
      </c>
      <c r="F1079" s="54" t="s">
        <v>1173</v>
      </c>
      <c r="G1079" s="57" t="s">
        <v>232</v>
      </c>
      <c r="H1079" s="58" t="str">
        <f>_xlfn.IFNA(INDEX(ActiveSchools!$C$2:$F$326,MATCH(G1079,ActiveSchools!$F$2:$F$326,0),1),"Total")</f>
        <v>0747</v>
      </c>
      <c r="I1079" s="53">
        <v>74</v>
      </c>
      <c r="J1079" s="59">
        <f>_xlfn.IFNA(INDEX(DetailByDistrict[],MATCH($H1079,DetailByDistrict[Dist],0),MATCH(J$2,DetailByDistrict[#Headers],0)),0)</f>
        <v>399</v>
      </c>
      <c r="K1079" s="54">
        <f t="shared" si="16"/>
        <v>0.18546365914786966</v>
      </c>
      <c r="L1079" s="59">
        <f>ROUND(INDEX(DetailByDistrict[],MATCH($H1079,DetailByDistrict[Dist],0),MATCH(L$2,DetailByDistrict[#Headers],0))*K1079,2)</f>
        <v>4830.03</v>
      </c>
      <c r="M1079" s="59">
        <f>ROUND(INDEX(DetailByDistrict[],MATCH($H1079,DetailByDistrict[Dist],0),MATCH(M$2,DetailByDistrict[#Headers],0))*K1079,2)</f>
        <v>5406.45</v>
      </c>
      <c r="N1079" s="78"/>
      <c r="O1079" s="78"/>
      <c r="P1079" s="78"/>
      <c r="Q1079" s="78"/>
      <c r="R1079" s="78"/>
      <c r="S1079" s="78"/>
      <c r="T1079" s="78"/>
      <c r="U1079" s="78"/>
      <c r="V1079" s="78"/>
      <c r="W1079" s="78"/>
      <c r="X1079" s="78"/>
      <c r="Y1079" s="78"/>
      <c r="Z1079" s="78"/>
    </row>
    <row r="1080" spans="1:26" ht="15.75" customHeight="1" x14ac:dyDescent="0.25">
      <c r="A1080" s="53">
        <v>12</v>
      </c>
      <c r="B1080" s="54" t="s">
        <v>671</v>
      </c>
      <c r="C1080" s="54" t="s">
        <v>788</v>
      </c>
      <c r="D1080" s="57" t="s">
        <v>232</v>
      </c>
      <c r="E1080" s="53">
        <v>8309</v>
      </c>
      <c r="F1080" s="54" t="s">
        <v>1174</v>
      </c>
      <c r="G1080" s="53" t="s">
        <v>233</v>
      </c>
      <c r="H1080" s="58" t="str">
        <f>_xlfn.IFNA(INDEX(ActiveSchools!$C$2:$F$326,MATCH(G1080,ActiveSchools!$F$2:$F$326,0),1),"Total")</f>
        <v>1095</v>
      </c>
      <c r="I1080" s="53">
        <v>17</v>
      </c>
      <c r="J1080" s="59">
        <f>_xlfn.IFNA(INDEX(DetailByDistrict[],MATCH($H1080,DetailByDistrict[Dist],0),MATCH(J$2,DetailByDistrict[#Headers],0)),0)</f>
        <v>151</v>
      </c>
      <c r="K1080" s="54">
        <f t="shared" si="16"/>
        <v>0.11258278145695365</v>
      </c>
      <c r="L1080" s="59">
        <f>ROUND(INDEX(DetailByDistrict[],MATCH($H1080,DetailByDistrict[Dist],0),MATCH(L$2,DetailByDistrict[#Headers],0))*K1080,2)</f>
        <v>1109.6199999999999</v>
      </c>
      <c r="M1080" s="59">
        <f>ROUND(INDEX(DetailByDistrict[],MATCH($H1080,DetailByDistrict[Dist],0),MATCH(M$2,DetailByDistrict[#Headers],0))*K1080,2)</f>
        <v>1242.01</v>
      </c>
      <c r="N1080" s="78"/>
      <c r="O1080" s="78"/>
      <c r="P1080" s="78"/>
      <c r="Q1080" s="78"/>
      <c r="R1080" s="78"/>
      <c r="S1080" s="78"/>
      <c r="T1080" s="78"/>
      <c r="U1080" s="78"/>
      <c r="V1080" s="78"/>
      <c r="W1080" s="78"/>
      <c r="X1080" s="78"/>
      <c r="Y1080" s="78"/>
      <c r="Z1080" s="78"/>
    </row>
    <row r="1081" spans="1:26" ht="15.75" customHeight="1" x14ac:dyDescent="0.25">
      <c r="A1081" s="53">
        <v>12</v>
      </c>
      <c r="B1081" s="54" t="s">
        <v>671</v>
      </c>
      <c r="C1081" s="54" t="s">
        <v>788</v>
      </c>
      <c r="D1081" s="57" t="s">
        <v>232</v>
      </c>
      <c r="E1081" s="53">
        <v>8309</v>
      </c>
      <c r="F1081" s="54" t="s">
        <v>1183</v>
      </c>
      <c r="G1081" s="53" t="s">
        <v>239</v>
      </c>
      <c r="H1081" s="58" t="str">
        <f>_xlfn.IFNA(INDEX(ActiveSchools!$C$2:$F$326,MATCH(G1081,ActiveSchools!$F$2:$F$326,0),1),"Total")</f>
        <v>2862</v>
      </c>
      <c r="I1081" s="53">
        <v>36</v>
      </c>
      <c r="J1081" s="59">
        <f>_xlfn.IFNA(INDEX(DetailByDistrict[],MATCH($H1081,DetailByDistrict[Dist],0),MATCH(J$2,DetailByDistrict[#Headers],0)),0)</f>
        <v>146</v>
      </c>
      <c r="K1081" s="54">
        <f t="shared" si="16"/>
        <v>0.24657534246575341</v>
      </c>
      <c r="L1081" s="59">
        <f>ROUND(INDEX(DetailByDistrict[],MATCH($H1081,DetailByDistrict[Dist],0),MATCH(L$2,DetailByDistrict[#Headers],0))*K1081,2)</f>
        <v>2349.62</v>
      </c>
      <c r="M1081" s="59">
        <f>ROUND(INDEX(DetailByDistrict[],MATCH($H1081,DetailByDistrict[Dist],0),MATCH(M$2,DetailByDistrict[#Headers],0))*K1081,2)</f>
        <v>2630.22</v>
      </c>
      <c r="N1081" s="78"/>
      <c r="O1081" s="78"/>
      <c r="P1081" s="78"/>
      <c r="Q1081" s="78"/>
      <c r="R1081" s="78"/>
      <c r="S1081" s="78"/>
      <c r="T1081" s="78"/>
      <c r="U1081" s="78"/>
      <c r="V1081" s="78"/>
      <c r="W1081" s="78"/>
      <c r="X1081" s="78"/>
      <c r="Y1081" s="78"/>
      <c r="Z1081" s="78"/>
    </row>
    <row r="1082" spans="1:26" ht="15.75" customHeight="1" x14ac:dyDescent="0.25">
      <c r="A1082" s="53">
        <v>12</v>
      </c>
      <c r="B1082" s="54" t="s">
        <v>671</v>
      </c>
      <c r="C1082" s="54" t="s">
        <v>788</v>
      </c>
      <c r="D1082" s="57" t="s">
        <v>232</v>
      </c>
      <c r="E1082" s="53">
        <v>8309</v>
      </c>
      <c r="F1082" s="54" t="s">
        <v>1184</v>
      </c>
      <c r="G1082" s="53" t="s">
        <v>241</v>
      </c>
      <c r="H1082" s="58" t="str">
        <f>_xlfn.IFNA(INDEX(ActiveSchools!$C$2:$F$326,MATCH(G1082,ActiveSchools!$F$2:$F$326,0),1),"Total")</f>
        <v>3348</v>
      </c>
      <c r="I1082" s="53">
        <v>1</v>
      </c>
      <c r="J1082" s="59">
        <f>_xlfn.IFNA(INDEX(DetailByDistrict[],MATCH($H1082,DetailByDistrict[Dist],0),MATCH(J$2,DetailByDistrict[#Headers],0)),0)</f>
        <v>7</v>
      </c>
      <c r="K1082" s="54">
        <f t="shared" si="16"/>
        <v>0.14285714285714285</v>
      </c>
      <c r="L1082" s="59">
        <f>ROUND(INDEX(DetailByDistrict[],MATCH($H1082,DetailByDistrict[Dist],0),MATCH(L$2,DetailByDistrict[#Headers],0))*K1082,2)</f>
        <v>65.290000000000006</v>
      </c>
      <c r="M1082" s="59">
        <f>ROUND(INDEX(DetailByDistrict[],MATCH($H1082,DetailByDistrict[Dist],0),MATCH(M$2,DetailByDistrict[#Headers],0))*K1082,2)</f>
        <v>73</v>
      </c>
      <c r="N1082" s="78"/>
      <c r="O1082" s="78"/>
      <c r="P1082" s="78"/>
      <c r="Q1082" s="78"/>
      <c r="R1082" s="78"/>
      <c r="S1082" s="78"/>
      <c r="T1082" s="78"/>
      <c r="U1082" s="78"/>
      <c r="V1082" s="78"/>
      <c r="W1082" s="78"/>
      <c r="X1082" s="78"/>
      <c r="Y1082" s="78"/>
      <c r="Z1082" s="78"/>
    </row>
    <row r="1083" spans="1:26" ht="15.75" customHeight="1" x14ac:dyDescent="0.25">
      <c r="A1083" s="53">
        <v>12</v>
      </c>
      <c r="B1083" s="54" t="s">
        <v>671</v>
      </c>
      <c r="C1083" s="54" t="s">
        <v>788</v>
      </c>
      <c r="D1083" s="57" t="s">
        <v>232</v>
      </c>
      <c r="E1083" s="53">
        <v>8309</v>
      </c>
      <c r="F1083" s="54" t="s">
        <v>1177</v>
      </c>
      <c r="G1083" s="53" t="s">
        <v>249</v>
      </c>
      <c r="H1083" s="58" t="str">
        <f>_xlfn.IFNA(INDEX(ActiveSchools!$C$2:$F$326,MATCH(G1083,ActiveSchools!$F$2:$F$326,0),1),"Total")</f>
        <v>5607</v>
      </c>
      <c r="I1083" s="53">
        <v>73</v>
      </c>
      <c r="J1083" s="59">
        <f>_xlfn.IFNA(INDEX(DetailByDistrict[],MATCH($H1083,DetailByDistrict[Dist],0),MATCH(J$2,DetailByDistrict[#Headers],0)),0)</f>
        <v>439</v>
      </c>
      <c r="K1083" s="54">
        <f t="shared" si="16"/>
        <v>0.1662870159453303</v>
      </c>
      <c r="L1083" s="59">
        <f>ROUND(INDEX(DetailByDistrict[],MATCH($H1083,DetailByDistrict[Dist],0),MATCH(L$2,DetailByDistrict[#Headers],0))*K1083,2)</f>
        <v>4764.79</v>
      </c>
      <c r="M1083" s="59">
        <f>ROUND(INDEX(DetailByDistrict[],MATCH($H1083,DetailByDistrict[Dist],0),MATCH(M$2,DetailByDistrict[#Headers],0))*K1083,2)</f>
        <v>5333.32</v>
      </c>
      <c r="N1083" s="78"/>
      <c r="O1083" s="78"/>
      <c r="P1083" s="78"/>
      <c r="Q1083" s="78"/>
      <c r="R1083" s="78"/>
      <c r="S1083" s="78"/>
      <c r="T1083" s="78"/>
      <c r="U1083" s="78"/>
      <c r="V1083" s="78"/>
      <c r="W1083" s="78"/>
      <c r="X1083" s="78"/>
      <c r="Y1083" s="78"/>
      <c r="Z1083" s="78"/>
    </row>
    <row r="1084" spans="1:26" ht="15.75" customHeight="1" x14ac:dyDescent="0.25">
      <c r="A1084" s="53">
        <v>12</v>
      </c>
      <c r="B1084" s="54" t="s">
        <v>671</v>
      </c>
      <c r="C1084" s="54" t="s">
        <v>788</v>
      </c>
      <c r="D1084" s="57" t="s">
        <v>232</v>
      </c>
      <c r="E1084" s="53">
        <v>8309</v>
      </c>
      <c r="F1084" s="54" t="s">
        <v>1178</v>
      </c>
      <c r="G1084" s="53" t="s">
        <v>252</v>
      </c>
      <c r="H1084" s="58" t="str">
        <f>_xlfn.IFNA(INDEX(ActiveSchools!$C$2:$F$326,MATCH(G1084,ActiveSchools!$F$2:$F$326,0),1),"Total")</f>
        <v>5949</v>
      </c>
      <c r="I1084" s="53">
        <v>23</v>
      </c>
      <c r="J1084" s="59">
        <f>_xlfn.IFNA(INDEX(DetailByDistrict[],MATCH($H1084,DetailByDistrict[Dist],0),MATCH(J$2,DetailByDistrict[#Headers],0)),0)</f>
        <v>173</v>
      </c>
      <c r="K1084" s="54">
        <f t="shared" si="16"/>
        <v>0.13294797687861271</v>
      </c>
      <c r="L1084" s="59">
        <f>ROUND(INDEX(DetailByDistrict[],MATCH($H1084,DetailByDistrict[Dist],0),MATCH(L$2,DetailByDistrict[#Headers],0))*K1084,2)</f>
        <v>1501.25</v>
      </c>
      <c r="M1084" s="59">
        <f>ROUND(INDEX(DetailByDistrict[],MATCH($H1084,DetailByDistrict[Dist],0),MATCH(M$2,DetailByDistrict[#Headers],0))*K1084,2)</f>
        <v>1680.33</v>
      </c>
      <c r="N1084" s="78"/>
      <c r="O1084" s="78"/>
      <c r="P1084" s="78"/>
      <c r="Q1084" s="78"/>
      <c r="R1084" s="78"/>
      <c r="S1084" s="78"/>
      <c r="T1084" s="78"/>
      <c r="U1084" s="78"/>
      <c r="V1084" s="78"/>
      <c r="W1084" s="78"/>
      <c r="X1084" s="78"/>
      <c r="Y1084" s="78"/>
      <c r="Z1084" s="78"/>
    </row>
    <row r="1085" spans="1:26" ht="15.75" customHeight="1" x14ac:dyDescent="0.25">
      <c r="A1085" s="53">
        <v>12</v>
      </c>
      <c r="B1085" s="54" t="s">
        <v>671</v>
      </c>
      <c r="C1085" s="54" t="s">
        <v>788</v>
      </c>
      <c r="D1085" s="57" t="s">
        <v>232</v>
      </c>
      <c r="E1085" s="53">
        <v>8309</v>
      </c>
      <c r="F1085" s="54" t="s">
        <v>1181</v>
      </c>
      <c r="G1085" s="53" t="s">
        <v>253</v>
      </c>
      <c r="H1085" s="58" t="str">
        <f>_xlfn.IFNA(INDEX(ActiveSchools!$C$2:$F$326,MATCH(G1085,ActiveSchools!$F$2:$F$326,0),1),"Total")</f>
        <v>5994</v>
      </c>
      <c r="I1085" s="53">
        <v>6</v>
      </c>
      <c r="J1085" s="59">
        <f>_xlfn.IFNA(INDEX(DetailByDistrict[],MATCH($H1085,DetailByDistrict[Dist],0),MATCH(J$2,DetailByDistrict[#Headers],0)),0)</f>
        <v>21</v>
      </c>
      <c r="K1085" s="54">
        <f t="shared" si="16"/>
        <v>0.2857142857142857</v>
      </c>
      <c r="L1085" s="59">
        <f>ROUND(INDEX(DetailByDistrict[],MATCH($H1085,DetailByDistrict[Dist],0),MATCH(L$2,DetailByDistrict[#Headers],0))*K1085,2)</f>
        <v>391.71</v>
      </c>
      <c r="M1085" s="59">
        <f>ROUND(INDEX(DetailByDistrict[],MATCH($H1085,DetailByDistrict[Dist],0),MATCH(M$2,DetailByDistrict[#Headers],0))*K1085,2)</f>
        <v>438.29</v>
      </c>
      <c r="N1085" s="78"/>
      <c r="O1085" s="78"/>
      <c r="P1085" s="78"/>
      <c r="Q1085" s="78"/>
      <c r="R1085" s="78"/>
      <c r="S1085" s="78"/>
      <c r="T1085" s="78"/>
      <c r="U1085" s="78"/>
      <c r="V1085" s="78"/>
      <c r="W1085" s="78"/>
      <c r="X1085" s="78"/>
      <c r="Y1085" s="78"/>
      <c r="Z1085" s="78"/>
    </row>
    <row r="1086" spans="1:26" ht="15.75" customHeight="1" x14ac:dyDescent="0.25">
      <c r="A1086" s="53">
        <v>12</v>
      </c>
      <c r="B1086" s="54" t="s">
        <v>671</v>
      </c>
      <c r="C1086" s="54" t="s">
        <v>788</v>
      </c>
      <c r="D1086" s="57" t="s">
        <v>232</v>
      </c>
      <c r="E1086" s="53">
        <v>8309</v>
      </c>
      <c r="F1086" s="54" t="s">
        <v>1179</v>
      </c>
      <c r="G1086" s="53" t="s">
        <v>254</v>
      </c>
      <c r="H1086" s="58" t="str">
        <f>_xlfn.IFNA(INDEX(ActiveSchools!$C$2:$F$326,MATCH(G1086,ActiveSchools!$F$2:$F$326,0),1),"Total")</f>
        <v>6030</v>
      </c>
      <c r="I1086" s="53">
        <v>63</v>
      </c>
      <c r="J1086" s="59">
        <f>_xlfn.IFNA(INDEX(DetailByDistrict[],MATCH($H1086,DetailByDistrict[Dist],0),MATCH(J$2,DetailByDistrict[#Headers],0)),0)</f>
        <v>739</v>
      </c>
      <c r="K1086" s="54">
        <f t="shared" si="16"/>
        <v>8.5250338294993233E-2</v>
      </c>
      <c r="L1086" s="59">
        <f>ROUND(INDEX(DetailByDistrict[],MATCH($H1086,DetailByDistrict[Dist],0),MATCH(L$2,DetailByDistrict[#Headers],0))*K1086,2)</f>
        <v>4112.05</v>
      </c>
      <c r="M1086" s="59">
        <f>ROUND(INDEX(DetailByDistrict[],MATCH($H1086,DetailByDistrict[Dist],0),MATCH(M$2,DetailByDistrict[#Headers],0))*K1086,2)</f>
        <v>4602.75</v>
      </c>
      <c r="N1086" s="78"/>
      <c r="O1086" s="78"/>
      <c r="P1086" s="78"/>
      <c r="Q1086" s="78"/>
      <c r="R1086" s="78"/>
      <c r="S1086" s="78"/>
      <c r="T1086" s="78"/>
      <c r="U1086" s="78"/>
      <c r="V1086" s="78"/>
      <c r="W1086" s="78"/>
      <c r="X1086" s="78"/>
      <c r="Y1086" s="78"/>
      <c r="Z1086" s="78"/>
    </row>
    <row r="1087" spans="1:26" ht="15.75" customHeight="1" x14ac:dyDescent="0.25">
      <c r="A1087" s="53">
        <v>12</v>
      </c>
      <c r="B1087" s="54" t="s">
        <v>671</v>
      </c>
      <c r="C1087" s="54" t="s">
        <v>788</v>
      </c>
      <c r="D1087" s="57" t="s">
        <v>232</v>
      </c>
      <c r="E1087" s="53">
        <v>8309</v>
      </c>
      <c r="F1087" s="54" t="s">
        <v>1182</v>
      </c>
      <c r="G1087" s="53" t="s">
        <v>257</v>
      </c>
      <c r="H1087" s="58" t="str">
        <f>_xlfn.IFNA(INDEX(ActiveSchools!$C$2:$F$326,MATCH(G1087,ActiveSchools!$F$2:$F$326,0),1),"Total")</f>
        <v>6983</v>
      </c>
      <c r="I1087" s="53">
        <v>18</v>
      </c>
      <c r="J1087" s="59">
        <f>_xlfn.IFNA(INDEX(DetailByDistrict[],MATCH($H1087,DetailByDistrict[Dist],0),MATCH(J$2,DetailByDistrict[#Headers],0)),0)</f>
        <v>165</v>
      </c>
      <c r="K1087" s="54">
        <f t="shared" si="16"/>
        <v>0.10909090909090909</v>
      </c>
      <c r="L1087" s="59">
        <f>ROUND(INDEX(DetailByDistrict[],MATCH($H1087,DetailByDistrict[Dist],0),MATCH(L$2,DetailByDistrict[#Headers],0))*K1087,2)</f>
        <v>1174.9100000000001</v>
      </c>
      <c r="M1087" s="59">
        <f>ROUND(INDEX(DetailByDistrict[],MATCH($H1087,DetailByDistrict[Dist],0),MATCH(M$2,DetailByDistrict[#Headers],0))*K1087,2)</f>
        <v>1315.09</v>
      </c>
      <c r="N1087" s="78"/>
      <c r="O1087" s="78"/>
      <c r="P1087" s="78"/>
      <c r="Q1087" s="78"/>
      <c r="R1087" s="78"/>
      <c r="S1087" s="78"/>
      <c r="T1087" s="78"/>
      <c r="U1087" s="78"/>
      <c r="V1087" s="78"/>
      <c r="W1087" s="78"/>
      <c r="X1087" s="78"/>
      <c r="Y1087" s="78"/>
      <c r="Z1087" s="78"/>
    </row>
    <row r="1088" spans="1:26" ht="15.75" customHeight="1" x14ac:dyDescent="0.25">
      <c r="A1088" s="53">
        <v>12</v>
      </c>
      <c r="B1088" s="54" t="s">
        <v>671</v>
      </c>
      <c r="C1088" s="54" t="s">
        <v>793</v>
      </c>
      <c r="D1088" s="57" t="s">
        <v>185</v>
      </c>
      <c r="E1088" s="53">
        <v>8101</v>
      </c>
      <c r="F1088" s="54" t="s">
        <v>1185</v>
      </c>
      <c r="G1088" s="57" t="s">
        <v>231</v>
      </c>
      <c r="H1088" s="58" t="str">
        <f>_xlfn.IFNA(INDEX(ActiveSchools!$C$2:$F$326,MATCH(G1088,ActiveSchools!$F$2:$F$326,0),1),"Total")</f>
        <v>0355</v>
      </c>
      <c r="I1088" s="53">
        <v>30</v>
      </c>
      <c r="J1088" s="59">
        <f>_xlfn.IFNA(INDEX(DetailByDistrict[],MATCH($H1088,DetailByDistrict[Dist],0),MATCH(J$2,DetailByDistrict[#Headers],0)),0)</f>
        <v>67</v>
      </c>
      <c r="K1088" s="54">
        <f t="shared" si="16"/>
        <v>0.44776119402985076</v>
      </c>
      <c r="L1088" s="59">
        <f>ROUND(INDEX(DetailByDistrict[],MATCH($H1088,DetailByDistrict[Dist],0),MATCH(L$2,DetailByDistrict[#Headers],0))*K1088,2)</f>
        <v>1958.06</v>
      </c>
      <c r="M1088" s="59">
        <f>ROUND(INDEX(DetailByDistrict[],MATCH($H1088,DetailByDistrict[Dist],0),MATCH(M$2,DetailByDistrict[#Headers],0))*K1088,2)</f>
        <v>2191.79</v>
      </c>
      <c r="N1088" s="78"/>
      <c r="O1088" s="78"/>
      <c r="P1088" s="78"/>
      <c r="Q1088" s="78"/>
      <c r="R1088" s="78"/>
      <c r="S1088" s="78"/>
      <c r="T1088" s="78"/>
      <c r="U1088" s="78"/>
      <c r="V1088" s="78"/>
      <c r="W1088" s="78"/>
      <c r="X1088" s="78"/>
      <c r="Y1088" s="78"/>
      <c r="Z1088" s="78"/>
    </row>
    <row r="1089" spans="1:26" ht="15.75" customHeight="1" x14ac:dyDescent="0.25">
      <c r="A1089" s="53">
        <v>12</v>
      </c>
      <c r="B1089" s="54" t="s">
        <v>671</v>
      </c>
      <c r="C1089" s="54" t="s">
        <v>793</v>
      </c>
      <c r="D1089" s="57" t="s">
        <v>185</v>
      </c>
      <c r="E1089" s="53">
        <v>8101</v>
      </c>
      <c r="F1089" s="54" t="s">
        <v>1186</v>
      </c>
      <c r="G1089" s="53" t="s">
        <v>43</v>
      </c>
      <c r="H1089" s="58" t="str">
        <f>_xlfn.IFNA(INDEX(ActiveSchools!$C$2:$F$326,MATCH(G1089,ActiveSchools!$F$2:$F$326,0),1),"Total")</f>
        <v>4860</v>
      </c>
      <c r="I1089" s="53">
        <v>1</v>
      </c>
      <c r="J1089" s="59">
        <f>_xlfn.IFNA(INDEX(DetailByDistrict[],MATCH($H1089,DetailByDistrict[Dist],0),MATCH(J$2,DetailByDistrict[#Headers],0)),0)</f>
        <v>23</v>
      </c>
      <c r="K1089" s="54">
        <f t="shared" si="16"/>
        <v>4.3478260869565216E-2</v>
      </c>
      <c r="L1089" s="59">
        <f>ROUND(INDEX(DetailByDistrict[],MATCH($H1089,DetailByDistrict[Dist],0),MATCH(L$2,DetailByDistrict[#Headers],0))*K1089,2)+0.01</f>
        <v>65.27000000000001</v>
      </c>
      <c r="M1089" s="59">
        <f>ROUND(INDEX(DetailByDistrict[],MATCH($H1089,DetailByDistrict[Dist],0),MATCH(M$2,DetailByDistrict[#Headers],0))*K1089,2)</f>
        <v>73.040000000000006</v>
      </c>
      <c r="N1089" s="78"/>
      <c r="O1089" s="78"/>
      <c r="P1089" s="78"/>
      <c r="Q1089" s="78"/>
      <c r="R1089" s="78"/>
      <c r="S1089" s="78"/>
      <c r="T1089" s="78"/>
      <c r="U1089" s="78"/>
      <c r="V1089" s="78"/>
      <c r="W1089" s="78"/>
      <c r="X1089" s="78"/>
      <c r="Y1089" s="78"/>
      <c r="Z1089" s="78"/>
    </row>
    <row r="1090" spans="1:26" ht="15.75" customHeight="1" x14ac:dyDescent="0.25">
      <c r="A1090" s="53">
        <v>12</v>
      </c>
      <c r="B1090" s="54" t="s">
        <v>671</v>
      </c>
      <c r="C1090" s="54" t="s">
        <v>794</v>
      </c>
      <c r="D1090" s="57" t="s">
        <v>185</v>
      </c>
      <c r="E1090" s="53">
        <v>8104</v>
      </c>
      <c r="F1090" s="54" t="s">
        <v>1185</v>
      </c>
      <c r="G1090" s="57" t="s">
        <v>231</v>
      </c>
      <c r="H1090" s="58" t="str">
        <f>_xlfn.IFNA(INDEX(ActiveSchools!$C$2:$F$326,MATCH(G1090,ActiveSchools!$F$2:$F$326,0),1),"Total")</f>
        <v>0355</v>
      </c>
      <c r="I1090" s="53">
        <v>27</v>
      </c>
      <c r="J1090" s="59">
        <f>_xlfn.IFNA(INDEX(DetailByDistrict[],MATCH($H1090,DetailByDistrict[Dist],0),MATCH(J$2,DetailByDistrict[#Headers],0)),0)</f>
        <v>67</v>
      </c>
      <c r="K1090" s="54">
        <f t="shared" si="16"/>
        <v>0.40298507462686567</v>
      </c>
      <c r="L1090" s="59">
        <f>ROUND(INDEX(DetailByDistrict[],MATCH($H1090,DetailByDistrict[Dist],0),MATCH(L$2,DetailByDistrict[#Headers],0))*K1090,2)</f>
        <v>1762.25</v>
      </c>
      <c r="M1090" s="59">
        <f>ROUND(INDEX(DetailByDistrict[],MATCH($H1090,DetailByDistrict[Dist],0),MATCH(M$2,DetailByDistrict[#Headers],0))*K1090,2)</f>
        <v>1972.61</v>
      </c>
      <c r="N1090" s="78"/>
      <c r="O1090" s="78"/>
      <c r="P1090" s="78"/>
      <c r="Q1090" s="78"/>
      <c r="R1090" s="78"/>
      <c r="S1090" s="78"/>
      <c r="T1090" s="78"/>
      <c r="U1090" s="78"/>
      <c r="V1090" s="78"/>
      <c r="W1090" s="78"/>
      <c r="X1090" s="78"/>
      <c r="Y1090" s="78"/>
      <c r="Z1090" s="78"/>
    </row>
    <row r="1091" spans="1:26" ht="15.75" customHeight="1" x14ac:dyDescent="0.25">
      <c r="A1091" s="53">
        <v>12</v>
      </c>
      <c r="B1091" s="54" t="s">
        <v>671</v>
      </c>
      <c r="C1091" s="54" t="s">
        <v>794</v>
      </c>
      <c r="D1091" s="57" t="s">
        <v>185</v>
      </c>
      <c r="E1091" s="53">
        <v>8104</v>
      </c>
      <c r="F1091" s="54" t="s">
        <v>1186</v>
      </c>
      <c r="G1091" s="53" t="s">
        <v>43</v>
      </c>
      <c r="H1091" s="58" t="str">
        <f>_xlfn.IFNA(INDEX(ActiveSchools!$C$2:$F$326,MATCH(G1091,ActiveSchools!$F$2:$F$326,0),1),"Total")</f>
        <v>4860</v>
      </c>
      <c r="I1091" s="53">
        <v>5</v>
      </c>
      <c r="J1091" s="59">
        <f>_xlfn.IFNA(INDEX(DetailByDistrict[],MATCH($H1091,DetailByDistrict[Dist],0),MATCH(J$2,DetailByDistrict[#Headers],0)),0)</f>
        <v>23</v>
      </c>
      <c r="K1091" s="54">
        <f t="shared" si="16"/>
        <v>0.21739130434782608</v>
      </c>
      <c r="L1091" s="59">
        <f>ROUND(INDEX(DetailByDistrict[],MATCH($H1091,DetailByDistrict[Dist],0),MATCH(L$2,DetailByDistrict[#Headers],0))*K1091,2)</f>
        <v>326.3</v>
      </c>
      <c r="M1091" s="59">
        <f>ROUND(INDEX(DetailByDistrict[],MATCH($H1091,DetailByDistrict[Dist],0),MATCH(M$2,DetailByDistrict[#Headers],0))*K1091,2)</f>
        <v>365.22</v>
      </c>
      <c r="N1091" s="78"/>
      <c r="O1091" s="78"/>
      <c r="P1091" s="78"/>
      <c r="Q1091" s="78"/>
      <c r="R1091" s="78"/>
      <c r="S1091" s="78"/>
      <c r="T1091" s="78"/>
      <c r="U1091" s="78"/>
      <c r="V1091" s="78"/>
      <c r="W1091" s="78"/>
      <c r="X1091" s="78"/>
      <c r="Y1091" s="78"/>
      <c r="Z1091" s="78"/>
    </row>
    <row r="1092" spans="1:26" ht="15.75" customHeight="1" x14ac:dyDescent="0.25">
      <c r="A1092" s="53">
        <v>12</v>
      </c>
      <c r="B1092" s="54" t="s">
        <v>671</v>
      </c>
      <c r="C1092" s="54" t="s">
        <v>807</v>
      </c>
      <c r="D1092" s="53">
        <v>1095</v>
      </c>
      <c r="E1092" s="53">
        <v>8505</v>
      </c>
      <c r="F1092" s="54" t="s">
        <v>1174</v>
      </c>
      <c r="G1092" s="53" t="s">
        <v>233</v>
      </c>
      <c r="H1092" s="58" t="str">
        <f>_xlfn.IFNA(INDEX(ActiveSchools!$C$2:$F$326,MATCH(G1092,ActiveSchools!$F$2:$F$326,0),1),"Total")</f>
        <v>1095</v>
      </c>
      <c r="I1092" s="53">
        <v>16</v>
      </c>
      <c r="J1092" s="59">
        <f>_xlfn.IFNA(INDEX(DetailByDistrict[],MATCH($H1092,DetailByDistrict[Dist],0),MATCH(J$2,DetailByDistrict[#Headers],0)),0)</f>
        <v>151</v>
      </c>
      <c r="K1092" s="54">
        <f t="shared" ref="K1092:K1155" si="17">I1092/J1092</f>
        <v>0.10596026490066225</v>
      </c>
      <c r="L1092" s="59">
        <f>ROUND(INDEX(DetailByDistrict[],MATCH($H1092,DetailByDistrict[Dist],0),MATCH(L$2,DetailByDistrict[#Headers],0))*K1092,2)</f>
        <v>1044.3399999999999</v>
      </c>
      <c r="M1092" s="59">
        <f>ROUND(INDEX(DetailByDistrict[],MATCH($H1092,DetailByDistrict[Dist],0),MATCH(M$2,DetailByDistrict[#Headers],0))*K1092,2)</f>
        <v>1168.95</v>
      </c>
      <c r="N1092" s="78"/>
      <c r="O1092" s="78"/>
      <c r="P1092" s="78"/>
      <c r="Q1092" s="78"/>
      <c r="R1092" s="78"/>
      <c r="S1092" s="78"/>
      <c r="T1092" s="78"/>
      <c r="U1092" s="78"/>
      <c r="V1092" s="78"/>
      <c r="W1092" s="78"/>
      <c r="X1092" s="78"/>
      <c r="Y1092" s="78"/>
      <c r="Z1092" s="78"/>
    </row>
    <row r="1093" spans="1:26" ht="15.75" customHeight="1" x14ac:dyDescent="0.25">
      <c r="A1093" s="53">
        <v>12</v>
      </c>
      <c r="B1093" s="54" t="s">
        <v>671</v>
      </c>
      <c r="C1093" s="54" t="s">
        <v>807</v>
      </c>
      <c r="D1093" s="53">
        <v>1095</v>
      </c>
      <c r="E1093" s="53">
        <v>8505</v>
      </c>
      <c r="F1093" s="54" t="s">
        <v>1177</v>
      </c>
      <c r="G1093" s="53" t="s">
        <v>249</v>
      </c>
      <c r="H1093" s="58" t="str">
        <f>_xlfn.IFNA(INDEX(ActiveSchools!$C$2:$F$326,MATCH(G1093,ActiveSchools!$F$2:$F$326,0),1),"Total")</f>
        <v>5607</v>
      </c>
      <c r="I1093" s="53">
        <v>6</v>
      </c>
      <c r="J1093" s="59">
        <f>_xlfn.IFNA(INDEX(DetailByDistrict[],MATCH($H1093,DetailByDistrict[Dist],0),MATCH(J$2,DetailByDistrict[#Headers],0)),0)</f>
        <v>439</v>
      </c>
      <c r="K1093" s="54">
        <f t="shared" si="17"/>
        <v>1.366742596810934E-2</v>
      </c>
      <c r="L1093" s="59">
        <f>ROUND(INDEX(DetailByDistrict[],MATCH($H1093,DetailByDistrict[Dist],0),MATCH(L$2,DetailByDistrict[#Headers],0))*K1093,2)</f>
        <v>391.63</v>
      </c>
      <c r="M1093" s="59">
        <f>ROUND(INDEX(DetailByDistrict[],MATCH($H1093,DetailByDistrict[Dist],0),MATCH(M$2,DetailByDistrict[#Headers],0))*K1093,2)</f>
        <v>438.36</v>
      </c>
      <c r="N1093" s="78"/>
      <c r="O1093" s="78"/>
      <c r="P1093" s="78"/>
      <c r="Q1093" s="78"/>
      <c r="R1093" s="78"/>
      <c r="S1093" s="78"/>
      <c r="T1093" s="78"/>
      <c r="U1093" s="78"/>
      <c r="V1093" s="78"/>
      <c r="W1093" s="78"/>
      <c r="X1093" s="78"/>
      <c r="Y1093" s="78"/>
      <c r="Z1093" s="78"/>
    </row>
    <row r="1094" spans="1:26" ht="15.75" customHeight="1" x14ac:dyDescent="0.25">
      <c r="A1094" s="53">
        <v>12</v>
      </c>
      <c r="B1094" s="54" t="s">
        <v>671</v>
      </c>
      <c r="C1094" s="54" t="s">
        <v>807</v>
      </c>
      <c r="D1094" s="53">
        <v>1095</v>
      </c>
      <c r="E1094" s="53">
        <v>8505</v>
      </c>
      <c r="F1094" s="54" t="s">
        <v>1182</v>
      </c>
      <c r="G1094" s="53" t="s">
        <v>257</v>
      </c>
      <c r="H1094" s="58" t="str">
        <f>_xlfn.IFNA(INDEX(ActiveSchools!$C$2:$F$326,MATCH(G1094,ActiveSchools!$F$2:$F$326,0),1),"Total")</f>
        <v>6983</v>
      </c>
      <c r="I1094" s="53">
        <v>2</v>
      </c>
      <c r="J1094" s="59">
        <f>_xlfn.IFNA(INDEX(DetailByDistrict[],MATCH($H1094,DetailByDistrict[Dist],0),MATCH(J$2,DetailByDistrict[#Headers],0)),0)</f>
        <v>165</v>
      </c>
      <c r="K1094" s="54">
        <f t="shared" si="17"/>
        <v>1.2121212121212121E-2</v>
      </c>
      <c r="L1094" s="59">
        <f>ROUND(INDEX(DetailByDistrict[],MATCH($H1094,DetailByDistrict[Dist],0),MATCH(L$2,DetailByDistrict[#Headers],0))*K1094,2)</f>
        <v>130.55000000000001</v>
      </c>
      <c r="M1094" s="59">
        <f>ROUND(INDEX(DetailByDistrict[],MATCH($H1094,DetailByDistrict[Dist],0),MATCH(M$2,DetailByDistrict[#Headers],0))*K1094,2)</f>
        <v>146.12</v>
      </c>
      <c r="N1094" s="78"/>
      <c r="O1094" s="78"/>
      <c r="P1094" s="78"/>
      <c r="Q1094" s="78"/>
      <c r="R1094" s="78"/>
      <c r="S1094" s="78"/>
      <c r="T1094" s="78"/>
      <c r="U1094" s="78"/>
      <c r="V1094" s="78"/>
      <c r="W1094" s="78"/>
      <c r="X1094" s="78"/>
      <c r="Y1094" s="78"/>
      <c r="Z1094" s="78"/>
    </row>
    <row r="1095" spans="1:26" ht="15.75" customHeight="1" x14ac:dyDescent="0.25">
      <c r="A1095" s="53">
        <v>12</v>
      </c>
      <c r="B1095" s="54" t="s">
        <v>671</v>
      </c>
      <c r="C1095" s="54" t="s">
        <v>824</v>
      </c>
      <c r="D1095" s="53">
        <v>1701</v>
      </c>
      <c r="E1095" s="53">
        <v>8102</v>
      </c>
      <c r="F1095" s="54" t="s">
        <v>1185</v>
      </c>
      <c r="G1095" s="57" t="s">
        <v>231</v>
      </c>
      <c r="H1095" s="58" t="str">
        <f>_xlfn.IFNA(INDEX(ActiveSchools!$C$2:$F$326,MATCH(G1095,ActiveSchools!$F$2:$F$326,0),1),"Total")</f>
        <v>0355</v>
      </c>
      <c r="I1095" s="53">
        <v>4</v>
      </c>
      <c r="J1095" s="59">
        <f>_xlfn.IFNA(INDEX(DetailByDistrict[],MATCH($H1095,DetailByDistrict[Dist],0),MATCH(J$2,DetailByDistrict[#Headers],0)),0)</f>
        <v>67</v>
      </c>
      <c r="K1095" s="54">
        <f t="shared" si="17"/>
        <v>5.9701492537313432E-2</v>
      </c>
      <c r="L1095" s="59">
        <f>ROUND(INDEX(DetailByDistrict[],MATCH($H1095,DetailByDistrict[Dist],0),MATCH(L$2,DetailByDistrict[#Headers],0))*K1095,2)</f>
        <v>261.07</v>
      </c>
      <c r="M1095" s="59">
        <f>ROUND(INDEX(DetailByDistrict[],MATCH($H1095,DetailByDistrict[Dist],0),MATCH(M$2,DetailByDistrict[#Headers],0))*K1095,2)</f>
        <v>292.24</v>
      </c>
      <c r="N1095" s="78"/>
      <c r="O1095" s="78"/>
      <c r="P1095" s="78"/>
      <c r="Q1095" s="78"/>
      <c r="R1095" s="78"/>
      <c r="S1095" s="78"/>
      <c r="T1095" s="78"/>
      <c r="U1095" s="78"/>
      <c r="V1095" s="78"/>
      <c r="W1095" s="78"/>
      <c r="X1095" s="78"/>
      <c r="Y1095" s="78"/>
      <c r="Z1095" s="78"/>
    </row>
    <row r="1096" spans="1:26" ht="15.75" customHeight="1" x14ac:dyDescent="0.25">
      <c r="A1096" s="53">
        <v>12</v>
      </c>
      <c r="B1096" s="54" t="s">
        <v>671</v>
      </c>
      <c r="C1096" s="54" t="s">
        <v>824</v>
      </c>
      <c r="D1096" s="53">
        <v>1701</v>
      </c>
      <c r="E1096" s="53">
        <v>8102</v>
      </c>
      <c r="F1096" s="54" t="s">
        <v>1187</v>
      </c>
      <c r="G1096" s="53" t="s">
        <v>234</v>
      </c>
      <c r="H1096" s="58" t="str">
        <f>_xlfn.IFNA(INDEX(ActiveSchools!$C$2:$F$326,MATCH(G1096,ActiveSchools!$F$2:$F$326,0),1),"Total")</f>
        <v>1134</v>
      </c>
      <c r="I1096" s="53">
        <v>3</v>
      </c>
      <c r="J1096" s="59">
        <f>_xlfn.IFNA(INDEX(DetailByDistrict[],MATCH($H1096,DetailByDistrict[Dist],0),MATCH(J$2,DetailByDistrict[#Headers],0)),0)</f>
        <v>4</v>
      </c>
      <c r="K1096" s="54">
        <f t="shared" si="17"/>
        <v>0.75</v>
      </c>
      <c r="L1096" s="59">
        <f>ROUND(INDEX(DetailByDistrict[],MATCH($H1096,DetailByDistrict[Dist],0),MATCH(L$2,DetailByDistrict[#Headers],0))*K1096,2)</f>
        <v>195.75</v>
      </c>
      <c r="M1096" s="59">
        <f>ROUND(INDEX(DetailByDistrict[],MATCH($H1096,DetailByDistrict[Dist],0),MATCH(M$2,DetailByDistrict[#Headers],0))*K1096,2)</f>
        <v>219</v>
      </c>
      <c r="N1096" s="78"/>
      <c r="O1096" s="78"/>
      <c r="P1096" s="78"/>
      <c r="Q1096" s="78"/>
      <c r="R1096" s="78"/>
      <c r="S1096" s="78"/>
      <c r="T1096" s="78"/>
      <c r="U1096" s="78"/>
      <c r="V1096" s="78"/>
      <c r="W1096" s="78"/>
      <c r="X1096" s="78"/>
      <c r="Y1096" s="78"/>
      <c r="Z1096" s="78"/>
    </row>
    <row r="1097" spans="1:26" ht="15.75" customHeight="1" x14ac:dyDescent="0.25">
      <c r="A1097" s="53">
        <v>12</v>
      </c>
      <c r="B1097" s="54" t="s">
        <v>671</v>
      </c>
      <c r="C1097" s="54" t="s">
        <v>824</v>
      </c>
      <c r="D1097" s="53">
        <v>1701</v>
      </c>
      <c r="E1097" s="53">
        <v>8102</v>
      </c>
      <c r="F1097" s="54" t="s">
        <v>1188</v>
      </c>
      <c r="G1097" s="53" t="s">
        <v>236</v>
      </c>
      <c r="H1097" s="58" t="str">
        <f>_xlfn.IFNA(INDEX(ActiveSchools!$C$2:$F$326,MATCH(G1097,ActiveSchools!$F$2:$F$326,0),1),"Total")</f>
        <v>1701</v>
      </c>
      <c r="I1097" s="53">
        <v>84</v>
      </c>
      <c r="J1097" s="59">
        <f>_xlfn.IFNA(INDEX(DetailByDistrict[],MATCH($H1097,DetailByDistrict[Dist],0),MATCH(J$2,DetailByDistrict[#Headers],0)),0)</f>
        <v>141</v>
      </c>
      <c r="K1097" s="54">
        <f t="shared" si="17"/>
        <v>0.5957446808510638</v>
      </c>
      <c r="L1097" s="59">
        <f>ROUND(INDEX(DetailByDistrict[],MATCH($H1097,DetailByDistrict[Dist],0),MATCH(L$2,DetailByDistrict[#Headers],0))*K1097,2)</f>
        <v>5482.64</v>
      </c>
      <c r="M1097" s="59">
        <f>ROUND(INDEX(DetailByDistrict[],MATCH($H1097,DetailByDistrict[Dist],0),MATCH(M$2,DetailByDistrict[#Headers],0))*K1097,2)</f>
        <v>6136.77</v>
      </c>
      <c r="N1097" s="78"/>
      <c r="O1097" s="78"/>
      <c r="P1097" s="78"/>
      <c r="Q1097" s="78"/>
      <c r="R1097" s="78"/>
      <c r="S1097" s="78"/>
      <c r="T1097" s="78"/>
      <c r="U1097" s="78"/>
      <c r="V1097" s="78"/>
      <c r="W1097" s="78"/>
      <c r="X1097" s="78"/>
      <c r="Y1097" s="78"/>
      <c r="Z1097" s="78"/>
    </row>
    <row r="1098" spans="1:26" ht="15.75" customHeight="1" x14ac:dyDescent="0.25">
      <c r="A1098" s="53">
        <v>12</v>
      </c>
      <c r="B1098" s="54" t="s">
        <v>671</v>
      </c>
      <c r="C1098" s="54" t="s">
        <v>825</v>
      </c>
      <c r="D1098" s="53">
        <v>1701</v>
      </c>
      <c r="E1098" s="53">
        <v>8201</v>
      </c>
      <c r="F1098" s="54" t="s">
        <v>1185</v>
      </c>
      <c r="G1098" s="57" t="s">
        <v>231</v>
      </c>
      <c r="H1098" s="58" t="str">
        <f>_xlfn.IFNA(INDEX(ActiveSchools!$C$2:$F$326,MATCH(G1098,ActiveSchools!$F$2:$F$326,0),1),"Total")</f>
        <v>0355</v>
      </c>
      <c r="I1098" s="53">
        <v>6</v>
      </c>
      <c r="J1098" s="59">
        <f>_xlfn.IFNA(INDEX(DetailByDistrict[],MATCH($H1098,DetailByDistrict[Dist],0),MATCH(J$2,DetailByDistrict[#Headers],0)),0)</f>
        <v>67</v>
      </c>
      <c r="K1098" s="54">
        <f t="shared" si="17"/>
        <v>8.9552238805970144E-2</v>
      </c>
      <c r="L1098" s="59">
        <f>ROUND(INDEX(DetailByDistrict[],MATCH($H1098,DetailByDistrict[Dist],0),MATCH(L$2,DetailByDistrict[#Headers],0))*K1098,2)</f>
        <v>391.61</v>
      </c>
      <c r="M1098" s="59">
        <f>ROUND(INDEX(DetailByDistrict[],MATCH($H1098,DetailByDistrict[Dist],0),MATCH(M$2,DetailByDistrict[#Headers],0))*K1098,2)</f>
        <v>438.36</v>
      </c>
      <c r="N1098" s="78"/>
      <c r="O1098" s="78"/>
      <c r="P1098" s="78"/>
      <c r="Q1098" s="78"/>
      <c r="R1098" s="78"/>
      <c r="S1098" s="78"/>
      <c r="T1098" s="78"/>
      <c r="U1098" s="78"/>
      <c r="V1098" s="78"/>
      <c r="W1098" s="78"/>
      <c r="X1098" s="78"/>
      <c r="Y1098" s="78"/>
      <c r="Z1098" s="78"/>
    </row>
    <row r="1099" spans="1:26" ht="15.75" customHeight="1" x14ac:dyDescent="0.25">
      <c r="A1099" s="53">
        <v>12</v>
      </c>
      <c r="B1099" s="54" t="s">
        <v>671</v>
      </c>
      <c r="C1099" s="54" t="s">
        <v>825</v>
      </c>
      <c r="D1099" s="53">
        <v>1701</v>
      </c>
      <c r="E1099" s="53">
        <v>8201</v>
      </c>
      <c r="F1099" s="54" t="s">
        <v>1188</v>
      </c>
      <c r="G1099" s="53" t="s">
        <v>236</v>
      </c>
      <c r="H1099" s="58" t="str">
        <f>_xlfn.IFNA(INDEX(ActiveSchools!$C$2:$F$326,MATCH(G1099,ActiveSchools!$F$2:$F$326,0),1),"Total")</f>
        <v>1701</v>
      </c>
      <c r="I1099" s="53">
        <v>57</v>
      </c>
      <c r="J1099" s="59">
        <f>_xlfn.IFNA(INDEX(DetailByDistrict[],MATCH($H1099,DetailByDistrict[Dist],0),MATCH(J$2,DetailByDistrict[#Headers],0)),0)</f>
        <v>141</v>
      </c>
      <c r="K1099" s="54">
        <f t="shared" si="17"/>
        <v>0.40425531914893614</v>
      </c>
      <c r="L1099" s="59">
        <f>ROUND(INDEX(DetailByDistrict[],MATCH($H1099,DetailByDistrict[Dist],0),MATCH(L$2,DetailByDistrict[#Headers],0))*K1099,2)</f>
        <v>3720.36</v>
      </c>
      <c r="M1099" s="59">
        <f>ROUND(INDEX(DetailByDistrict[],MATCH($H1099,DetailByDistrict[Dist],0),MATCH(M$2,DetailByDistrict[#Headers],0))*K1099,2)</f>
        <v>4164.2299999999996</v>
      </c>
      <c r="N1099" s="78"/>
      <c r="O1099" s="78"/>
      <c r="P1099" s="78"/>
      <c r="Q1099" s="78"/>
      <c r="R1099" s="78"/>
      <c r="S1099" s="78"/>
      <c r="T1099" s="78"/>
      <c r="U1099" s="78"/>
      <c r="V1099" s="78"/>
      <c r="W1099" s="78"/>
      <c r="X1099" s="78"/>
      <c r="Y1099" s="78"/>
      <c r="Z1099" s="78"/>
    </row>
    <row r="1100" spans="1:26" ht="15.75" customHeight="1" x14ac:dyDescent="0.25">
      <c r="A1100" s="53">
        <v>12</v>
      </c>
      <c r="B1100" s="54" t="s">
        <v>671</v>
      </c>
      <c r="C1100" s="54" t="s">
        <v>825</v>
      </c>
      <c r="D1100" s="53">
        <v>1701</v>
      </c>
      <c r="E1100" s="53">
        <v>8201</v>
      </c>
      <c r="F1100" s="54" t="s">
        <v>1186</v>
      </c>
      <c r="G1100" s="53" t="s">
        <v>43</v>
      </c>
      <c r="H1100" s="58" t="str">
        <f>_xlfn.IFNA(INDEX(ActiveSchools!$C$2:$F$326,MATCH(G1100,ActiveSchools!$F$2:$F$326,0),1),"Total")</f>
        <v>4860</v>
      </c>
      <c r="I1100" s="53">
        <v>4</v>
      </c>
      <c r="J1100" s="59">
        <f>_xlfn.IFNA(INDEX(DetailByDistrict[],MATCH($H1100,DetailByDistrict[Dist],0),MATCH(J$2,DetailByDistrict[#Headers],0)),0)</f>
        <v>23</v>
      </c>
      <c r="K1100" s="54">
        <f t="shared" si="17"/>
        <v>0.17391304347826086</v>
      </c>
      <c r="L1100" s="59">
        <f>ROUND(INDEX(DetailByDistrict[],MATCH($H1100,DetailByDistrict[Dist],0),MATCH(L$2,DetailByDistrict[#Headers],0))*K1100,2)</f>
        <v>261.04000000000002</v>
      </c>
      <c r="M1100" s="59">
        <f>ROUND(INDEX(DetailByDistrict[],MATCH($H1100,DetailByDistrict[Dist],0),MATCH(M$2,DetailByDistrict[#Headers],0))*K1100,2)</f>
        <v>292.17</v>
      </c>
      <c r="N1100" s="78"/>
      <c r="O1100" s="78"/>
      <c r="P1100" s="78"/>
      <c r="Q1100" s="78"/>
      <c r="R1100" s="78"/>
      <c r="S1100" s="78"/>
      <c r="T1100" s="78"/>
      <c r="U1100" s="78"/>
      <c r="V1100" s="78"/>
      <c r="W1100" s="78"/>
      <c r="X1100" s="78"/>
      <c r="Y1100" s="78"/>
      <c r="Z1100" s="78"/>
    </row>
    <row r="1101" spans="1:26" ht="15.75" customHeight="1" x14ac:dyDescent="0.25">
      <c r="A1101" s="53">
        <v>12</v>
      </c>
      <c r="B1101" s="54" t="s">
        <v>671</v>
      </c>
      <c r="C1101" s="54" t="s">
        <v>825</v>
      </c>
      <c r="D1101" s="53">
        <v>1701</v>
      </c>
      <c r="E1101" s="53">
        <v>8201</v>
      </c>
      <c r="F1101" s="54" t="s">
        <v>1189</v>
      </c>
      <c r="G1101" s="53" t="s">
        <v>250</v>
      </c>
      <c r="H1101" s="58" t="str">
        <f>_xlfn.IFNA(INDEX(ActiveSchools!$C$2:$F$326,MATCH(G1101,ActiveSchools!$F$2:$F$326,0),1),"Total")</f>
        <v>5832</v>
      </c>
      <c r="I1101" s="53">
        <v>1</v>
      </c>
      <c r="J1101" s="59">
        <f>_xlfn.IFNA(INDEX(DetailByDistrict[],MATCH($H1101,DetailByDistrict[Dist],0),MATCH(J$2,DetailByDistrict[#Headers],0)),0)</f>
        <v>1</v>
      </c>
      <c r="K1101" s="54">
        <f t="shared" si="17"/>
        <v>1</v>
      </c>
      <c r="L1101" s="59">
        <f>ROUND(INDEX(DetailByDistrict[],MATCH($H1101,DetailByDistrict[Dist],0),MATCH(L$2,DetailByDistrict[#Headers],0))*K1101,2)</f>
        <v>65</v>
      </c>
      <c r="M1101" s="59">
        <f>ROUND(INDEX(DetailByDistrict[],MATCH($H1101,DetailByDistrict[Dist],0),MATCH(M$2,DetailByDistrict[#Headers],0))*K1101,2)</f>
        <v>73</v>
      </c>
      <c r="N1101" s="78"/>
      <c r="O1101" s="78"/>
      <c r="P1101" s="78"/>
      <c r="Q1101" s="78"/>
      <c r="R1101" s="78"/>
      <c r="S1101" s="78"/>
      <c r="T1101" s="78"/>
      <c r="U1101" s="78"/>
      <c r="V1101" s="78"/>
      <c r="W1101" s="78"/>
      <c r="X1101" s="78"/>
      <c r="Y1101" s="78"/>
      <c r="Z1101" s="78"/>
    </row>
    <row r="1102" spans="1:26" ht="15.75" customHeight="1" x14ac:dyDescent="0.25">
      <c r="A1102" s="53">
        <v>12</v>
      </c>
      <c r="B1102" s="54" t="s">
        <v>671</v>
      </c>
      <c r="C1102" s="54" t="s">
        <v>862</v>
      </c>
      <c r="D1102" s="53">
        <v>2862</v>
      </c>
      <c r="E1102" s="53">
        <v>8304</v>
      </c>
      <c r="F1102" s="54" t="s">
        <v>1183</v>
      </c>
      <c r="G1102" s="53" t="s">
        <v>239</v>
      </c>
      <c r="H1102" s="58" t="str">
        <f>_xlfn.IFNA(INDEX(ActiveSchools!$C$2:$F$326,MATCH(G1102,ActiveSchools!$F$2:$F$326,0),1),"Total")</f>
        <v>2862</v>
      </c>
      <c r="I1102" s="53">
        <v>101</v>
      </c>
      <c r="J1102" s="59">
        <f>_xlfn.IFNA(INDEX(DetailByDistrict[],MATCH($H1102,DetailByDistrict[Dist],0),MATCH(J$2,DetailByDistrict[#Headers],0)),0)</f>
        <v>146</v>
      </c>
      <c r="K1102" s="54">
        <f t="shared" si="17"/>
        <v>0.69178082191780821</v>
      </c>
      <c r="L1102" s="59">
        <f>ROUND(INDEX(DetailByDistrict[],MATCH($H1102,DetailByDistrict[Dist],0),MATCH(L$2,DetailByDistrict[#Headers],0))*K1102,2)</f>
        <v>6591.98</v>
      </c>
      <c r="M1102" s="59">
        <f>ROUND(INDEX(DetailByDistrict[],MATCH($H1102,DetailByDistrict[Dist],0),MATCH(M$2,DetailByDistrict[#Headers],0))*K1102,2)</f>
        <v>7379.23</v>
      </c>
      <c r="N1102" s="78"/>
      <c r="O1102" s="78"/>
      <c r="P1102" s="78"/>
      <c r="Q1102" s="78"/>
      <c r="R1102" s="78"/>
      <c r="S1102" s="78"/>
      <c r="T1102" s="78"/>
      <c r="U1102" s="78"/>
      <c r="V1102" s="78"/>
      <c r="W1102" s="78"/>
      <c r="X1102" s="78"/>
      <c r="Y1102" s="78"/>
      <c r="Z1102" s="78"/>
    </row>
    <row r="1103" spans="1:26" ht="15.75" customHeight="1" x14ac:dyDescent="0.25">
      <c r="A1103" s="53">
        <v>12</v>
      </c>
      <c r="B1103" s="54" t="s">
        <v>671</v>
      </c>
      <c r="C1103" s="54" t="s">
        <v>862</v>
      </c>
      <c r="D1103" s="53">
        <v>2862</v>
      </c>
      <c r="E1103" s="53">
        <v>8304</v>
      </c>
      <c r="F1103" s="54" t="s">
        <v>1178</v>
      </c>
      <c r="G1103" s="53" t="s">
        <v>252</v>
      </c>
      <c r="H1103" s="58" t="str">
        <f>_xlfn.IFNA(INDEX(ActiveSchools!$C$2:$F$326,MATCH(G1103,ActiveSchools!$F$2:$F$326,0),1),"Total")</f>
        <v>5949</v>
      </c>
      <c r="I1103" s="53">
        <v>1</v>
      </c>
      <c r="J1103" s="59">
        <f>_xlfn.IFNA(INDEX(DetailByDistrict[],MATCH($H1103,DetailByDistrict[Dist],0),MATCH(J$2,DetailByDistrict[#Headers],0)),0)</f>
        <v>173</v>
      </c>
      <c r="K1103" s="54">
        <f t="shared" si="17"/>
        <v>5.7803468208092483E-3</v>
      </c>
      <c r="L1103" s="59">
        <f>ROUND(INDEX(DetailByDistrict[],MATCH($H1103,DetailByDistrict[Dist],0),MATCH(L$2,DetailByDistrict[#Headers],0))*K1103,2)</f>
        <v>65.27</v>
      </c>
      <c r="M1103" s="59">
        <f>ROUND(INDEX(DetailByDistrict[],MATCH($H1103,DetailByDistrict[Dist],0),MATCH(M$2,DetailByDistrict[#Headers],0))*K1103,2)</f>
        <v>73.06</v>
      </c>
      <c r="N1103" s="78"/>
      <c r="O1103" s="78"/>
      <c r="P1103" s="78"/>
      <c r="Q1103" s="78"/>
      <c r="R1103" s="78"/>
      <c r="S1103" s="78"/>
      <c r="T1103" s="78"/>
      <c r="U1103" s="78"/>
      <c r="V1103" s="78"/>
      <c r="W1103" s="78"/>
      <c r="X1103" s="78"/>
      <c r="Y1103" s="78"/>
      <c r="Z1103" s="78"/>
    </row>
    <row r="1104" spans="1:26" ht="15.75" customHeight="1" x14ac:dyDescent="0.25">
      <c r="A1104" s="53">
        <v>12</v>
      </c>
      <c r="B1104" s="54" t="s">
        <v>671</v>
      </c>
      <c r="C1104" s="54" t="s">
        <v>862</v>
      </c>
      <c r="D1104" s="53">
        <v>2862</v>
      </c>
      <c r="E1104" s="53">
        <v>8304</v>
      </c>
      <c r="F1104" s="54" t="s">
        <v>1181</v>
      </c>
      <c r="G1104" s="53" t="s">
        <v>253</v>
      </c>
      <c r="H1104" s="58" t="str">
        <f>_xlfn.IFNA(INDEX(ActiveSchools!$C$2:$F$326,MATCH(G1104,ActiveSchools!$F$2:$F$326,0),1),"Total")</f>
        <v>5994</v>
      </c>
      <c r="I1104" s="53">
        <v>4</v>
      </c>
      <c r="J1104" s="59">
        <f>_xlfn.IFNA(INDEX(DetailByDistrict[],MATCH($H1104,DetailByDistrict[Dist],0),MATCH(J$2,DetailByDistrict[#Headers],0)),0)</f>
        <v>21</v>
      </c>
      <c r="K1104" s="54">
        <f t="shared" si="17"/>
        <v>0.19047619047619047</v>
      </c>
      <c r="L1104" s="59">
        <f>ROUND(INDEX(DetailByDistrict[],MATCH($H1104,DetailByDistrict[Dist],0),MATCH(L$2,DetailByDistrict[#Headers],0))*K1104,2)</f>
        <v>261.14</v>
      </c>
      <c r="M1104" s="59">
        <f>ROUND(INDEX(DetailByDistrict[],MATCH($H1104,DetailByDistrict[Dist],0),MATCH(M$2,DetailByDistrict[#Headers],0))*K1104,2)</f>
        <v>292.19</v>
      </c>
      <c r="N1104" s="78"/>
      <c r="O1104" s="78"/>
      <c r="P1104" s="78"/>
      <c r="Q1104" s="78"/>
      <c r="R1104" s="78"/>
      <c r="S1104" s="78"/>
      <c r="T1104" s="78"/>
      <c r="U1104" s="78"/>
      <c r="V1104" s="78"/>
      <c r="W1104" s="78"/>
      <c r="X1104" s="78"/>
      <c r="Y1104" s="78"/>
      <c r="Z1104" s="78"/>
    </row>
    <row r="1105" spans="1:26" ht="15.75" customHeight="1" x14ac:dyDescent="0.25">
      <c r="A1105" s="53">
        <v>12</v>
      </c>
      <c r="B1105" s="54" t="s">
        <v>671</v>
      </c>
      <c r="C1105" s="54" t="s">
        <v>862</v>
      </c>
      <c r="D1105" s="53">
        <v>2862</v>
      </c>
      <c r="E1105" s="53">
        <v>8304</v>
      </c>
      <c r="F1105" s="54" t="s">
        <v>1190</v>
      </c>
      <c r="G1105" s="53" t="s">
        <v>702</v>
      </c>
      <c r="H1105" s="58" t="str">
        <f>_xlfn.IFNA(INDEX(ActiveSchools!$C$2:$F$326,MATCH(G1105,ActiveSchools!$F$2:$F$326,0),1),"Total")</f>
        <v>5157</v>
      </c>
      <c r="I1105" s="53">
        <v>7</v>
      </c>
      <c r="J1105" s="59">
        <f>_xlfn.IFNA(INDEX(DetailByDistrict[],MATCH($H1105,DetailByDistrict[Dist],0),MATCH(J$2,DetailByDistrict[#Headers],0)),0)</f>
        <v>85</v>
      </c>
      <c r="K1105" s="54">
        <f t="shared" si="17"/>
        <v>8.2352941176470587E-2</v>
      </c>
      <c r="L1105" s="59">
        <f>ROUND(INDEX(DetailByDistrict[],MATCH($H1105,DetailByDistrict[Dist],0),MATCH(L$2,DetailByDistrict[#Headers],0))*K1105,2)</f>
        <v>456.89</v>
      </c>
      <c r="M1105" s="59">
        <f>ROUND(INDEX(DetailByDistrict[],MATCH($H1105,DetailByDistrict[Dist],0),MATCH(M$2,DetailByDistrict[#Headers],0))*K1105,2)</f>
        <v>511.41</v>
      </c>
      <c r="N1105" s="78"/>
      <c r="O1105" s="78"/>
      <c r="P1105" s="78"/>
      <c r="Q1105" s="78"/>
      <c r="R1105" s="78"/>
      <c r="S1105" s="78"/>
      <c r="T1105" s="78"/>
      <c r="U1105" s="78"/>
      <c r="V1105" s="78"/>
      <c r="W1105" s="78"/>
      <c r="X1105" s="78"/>
      <c r="Y1105" s="78"/>
      <c r="Z1105" s="78"/>
    </row>
    <row r="1106" spans="1:26" ht="15.75" customHeight="1" x14ac:dyDescent="0.25">
      <c r="A1106" s="53">
        <v>12</v>
      </c>
      <c r="B1106" s="54" t="s">
        <v>671</v>
      </c>
      <c r="C1106" s="54" t="s">
        <v>881</v>
      </c>
      <c r="D1106" s="53">
        <v>3600</v>
      </c>
      <c r="E1106" s="53">
        <v>8104</v>
      </c>
      <c r="F1106" s="54" t="s">
        <v>1191</v>
      </c>
      <c r="G1106" s="53" t="s">
        <v>235</v>
      </c>
      <c r="H1106" s="58" t="str">
        <f>_xlfn.IFNA(INDEX(ActiveSchools!$C$2:$F$326,MATCH(G1106,ActiveSchools!$F$2:$F$326,0),1),"Total")</f>
        <v>1152</v>
      </c>
      <c r="I1106" s="53">
        <v>1</v>
      </c>
      <c r="J1106" s="59">
        <f>_xlfn.IFNA(INDEX(DetailByDistrict[],MATCH($H1106,DetailByDistrict[Dist],0),MATCH(J$2,DetailByDistrict[#Headers],0)),0)</f>
        <v>6</v>
      </c>
      <c r="K1106" s="54">
        <f t="shared" si="17"/>
        <v>0.16666666666666666</v>
      </c>
      <c r="L1106" s="59">
        <f>ROUND(INDEX(DetailByDistrict[],MATCH($H1106,DetailByDistrict[Dist],0),MATCH(L$2,DetailByDistrict[#Headers],0))*K1106,2)</f>
        <v>65.33</v>
      </c>
      <c r="M1106" s="59">
        <f>ROUND(INDEX(DetailByDistrict[],MATCH($H1106,DetailByDistrict[Dist],0),MATCH(M$2,DetailByDistrict[#Headers],0))*K1106,2)</f>
        <v>73</v>
      </c>
      <c r="N1106" s="78"/>
      <c r="O1106" s="78"/>
      <c r="P1106" s="78"/>
      <c r="Q1106" s="78"/>
      <c r="R1106" s="78"/>
      <c r="S1106" s="78"/>
      <c r="T1106" s="78"/>
      <c r="U1106" s="78"/>
      <c r="V1106" s="78"/>
      <c r="W1106" s="78"/>
      <c r="X1106" s="78"/>
      <c r="Y1106" s="78"/>
      <c r="Z1106" s="78"/>
    </row>
    <row r="1107" spans="1:26" ht="15.75" customHeight="1" x14ac:dyDescent="0.25">
      <c r="A1107" s="53">
        <v>12</v>
      </c>
      <c r="B1107" s="54" t="s">
        <v>671</v>
      </c>
      <c r="C1107" s="54" t="s">
        <v>881</v>
      </c>
      <c r="D1107" s="53">
        <v>3600</v>
      </c>
      <c r="E1107" s="53">
        <v>8104</v>
      </c>
      <c r="F1107" s="54" t="s">
        <v>1192</v>
      </c>
      <c r="G1107" s="53" t="s">
        <v>243</v>
      </c>
      <c r="H1107" s="58" t="str">
        <f>_xlfn.IFNA(INDEX(ActiveSchools!$C$2:$F$326,MATCH(G1107,ActiveSchools!$F$2:$F$326,0),1),"Total")</f>
        <v>3600</v>
      </c>
      <c r="I1107" s="53">
        <v>176</v>
      </c>
      <c r="J1107" s="59">
        <f>_xlfn.IFNA(INDEX(DetailByDistrict[],MATCH($H1107,DetailByDistrict[Dist],0),MATCH(J$2,DetailByDistrict[#Headers],0)),0)</f>
        <v>503</v>
      </c>
      <c r="K1107" s="54">
        <f t="shared" si="17"/>
        <v>0.3499005964214712</v>
      </c>
      <c r="L1107" s="59">
        <f>ROUND(INDEX(DetailByDistrict[],MATCH($H1107,DetailByDistrict[Dist],0),MATCH(L$2,DetailByDistrict[#Headers],0))*K1107,2)</f>
        <v>11487.59</v>
      </c>
      <c r="M1107" s="59">
        <f>ROUND(INDEX(DetailByDistrict[],MATCH($H1107,DetailByDistrict[Dist],0),MATCH(M$2,DetailByDistrict[#Headers],0))*K1107,2)</f>
        <v>12858.5</v>
      </c>
      <c r="N1107" s="78"/>
      <c r="O1107" s="78"/>
      <c r="P1107" s="78"/>
      <c r="Q1107" s="78"/>
      <c r="R1107" s="78"/>
      <c r="S1107" s="78"/>
      <c r="T1107" s="78"/>
      <c r="U1107" s="78"/>
      <c r="V1107" s="78"/>
      <c r="W1107" s="78"/>
      <c r="X1107" s="78"/>
      <c r="Y1107" s="78"/>
      <c r="Z1107" s="78"/>
    </row>
    <row r="1108" spans="1:26" ht="15.75" customHeight="1" x14ac:dyDescent="0.25">
      <c r="A1108" s="53">
        <v>12</v>
      </c>
      <c r="B1108" s="54" t="s">
        <v>671</v>
      </c>
      <c r="C1108" s="54" t="s">
        <v>881</v>
      </c>
      <c r="D1108" s="53">
        <v>3600</v>
      </c>
      <c r="E1108" s="53">
        <v>8104</v>
      </c>
      <c r="F1108" s="54" t="s">
        <v>1176</v>
      </c>
      <c r="G1108" s="53" t="s">
        <v>246</v>
      </c>
      <c r="H1108" s="58" t="str">
        <f>_xlfn.IFNA(INDEX(ActiveSchools!$C$2:$F$326,MATCH(G1108,ActiveSchools!$F$2:$F$326,0),1),"Total")</f>
        <v>4149</v>
      </c>
      <c r="I1108" s="53">
        <v>30</v>
      </c>
      <c r="J1108" s="59">
        <f>_xlfn.IFNA(INDEX(DetailByDistrict[],MATCH($H1108,DetailByDistrict[Dist],0),MATCH(J$2,DetailByDistrict[#Headers],0)),0)</f>
        <v>566</v>
      </c>
      <c r="K1108" s="54">
        <f t="shared" si="17"/>
        <v>5.3003533568904596E-2</v>
      </c>
      <c r="L1108" s="59">
        <f>ROUND(INDEX(DetailByDistrict[],MATCH($H1108,DetailByDistrict[Dist],0),MATCH(L$2,DetailByDistrict[#Headers],0))*K1108,2)</f>
        <v>1958.11</v>
      </c>
      <c r="M1108" s="59">
        <f>ROUND(INDEX(DetailByDistrict[],MATCH($H1108,DetailByDistrict[Dist],0),MATCH(M$2,DetailByDistrict[#Headers],0))*K1108,2)</f>
        <v>2191.8000000000002</v>
      </c>
      <c r="N1108" s="78"/>
      <c r="O1108" s="78"/>
      <c r="P1108" s="78"/>
      <c r="Q1108" s="78"/>
      <c r="R1108" s="78"/>
      <c r="S1108" s="78"/>
      <c r="T1108" s="78"/>
      <c r="U1108" s="78"/>
      <c r="V1108" s="78"/>
      <c r="W1108" s="78"/>
      <c r="X1108" s="78"/>
      <c r="Y1108" s="78"/>
      <c r="Z1108" s="78"/>
    </row>
    <row r="1109" spans="1:26" ht="15.75" customHeight="1" x14ac:dyDescent="0.25">
      <c r="A1109" s="53">
        <v>12</v>
      </c>
      <c r="B1109" s="54" t="s">
        <v>671</v>
      </c>
      <c r="C1109" s="54" t="s">
        <v>881</v>
      </c>
      <c r="D1109" s="53">
        <v>3600</v>
      </c>
      <c r="E1109" s="53">
        <v>8104</v>
      </c>
      <c r="F1109" s="54" t="s">
        <v>1180</v>
      </c>
      <c r="G1109" s="53" t="s">
        <v>247</v>
      </c>
      <c r="H1109" s="58" t="str">
        <f>_xlfn.IFNA(INDEX(ActiveSchools!$C$2:$F$326,MATCH(G1109,ActiveSchools!$F$2:$F$326,0),1),"Total")</f>
        <v>5486</v>
      </c>
      <c r="I1109" s="53">
        <v>10</v>
      </c>
      <c r="J1109" s="59">
        <f>_xlfn.IFNA(INDEX(DetailByDistrict[],MATCH($H1109,DetailByDistrict[Dist],0),MATCH(J$2,DetailByDistrict[#Headers],0)),0)</f>
        <v>181</v>
      </c>
      <c r="K1109" s="54">
        <f t="shared" si="17"/>
        <v>5.5248618784530384E-2</v>
      </c>
      <c r="L1109" s="59">
        <f>ROUND(INDEX(DetailByDistrict[],MATCH($H1109,DetailByDistrict[Dist],0),MATCH(L$2,DetailByDistrict[#Headers],0))*K1109,2)</f>
        <v>652.71</v>
      </c>
      <c r="M1109" s="59">
        <f>ROUND(INDEX(DetailByDistrict[],MATCH($H1109,DetailByDistrict[Dist],0),MATCH(M$2,DetailByDistrict[#Headers],0))*K1109,2)</f>
        <v>730.61</v>
      </c>
      <c r="N1109" s="78"/>
      <c r="O1109" s="78"/>
      <c r="P1109" s="78"/>
      <c r="Q1109" s="78"/>
      <c r="R1109" s="78"/>
      <c r="S1109" s="78"/>
      <c r="T1109" s="78"/>
      <c r="U1109" s="78"/>
      <c r="V1109" s="78"/>
      <c r="W1109" s="78"/>
      <c r="X1109" s="78"/>
      <c r="Y1109" s="78"/>
      <c r="Z1109" s="78"/>
    </row>
    <row r="1110" spans="1:26" ht="15.75" customHeight="1" x14ac:dyDescent="0.25">
      <c r="A1110" s="53">
        <v>12</v>
      </c>
      <c r="B1110" s="54" t="s">
        <v>671</v>
      </c>
      <c r="C1110" s="54" t="s">
        <v>881</v>
      </c>
      <c r="D1110" s="53">
        <v>3600</v>
      </c>
      <c r="E1110" s="53">
        <v>8104</v>
      </c>
      <c r="F1110" s="54" t="s">
        <v>1179</v>
      </c>
      <c r="G1110" s="53" t="s">
        <v>254</v>
      </c>
      <c r="H1110" s="58" t="str">
        <f>_xlfn.IFNA(INDEX(ActiveSchools!$C$2:$F$326,MATCH(G1110,ActiveSchools!$F$2:$F$326,0),1),"Total")</f>
        <v>6030</v>
      </c>
      <c r="I1110" s="53">
        <v>1</v>
      </c>
      <c r="J1110" s="59">
        <f>_xlfn.IFNA(INDEX(DetailByDistrict[],MATCH($H1110,DetailByDistrict[Dist],0),MATCH(J$2,DetailByDistrict[#Headers],0)),0)</f>
        <v>739</v>
      </c>
      <c r="K1110" s="54">
        <f t="shared" si="17"/>
        <v>1.3531799729364006E-3</v>
      </c>
      <c r="L1110" s="59">
        <f>ROUND(INDEX(DetailByDistrict[],MATCH($H1110,DetailByDistrict[Dist],0),MATCH(L$2,DetailByDistrict[#Headers],0))*K1110,2)</f>
        <v>65.27</v>
      </c>
      <c r="M1110" s="59">
        <f>ROUND(INDEX(DetailByDistrict[],MATCH($H1110,DetailByDistrict[Dist],0),MATCH(M$2,DetailByDistrict[#Headers],0))*K1110,2)</f>
        <v>73.06</v>
      </c>
      <c r="N1110" s="78"/>
      <c r="O1110" s="78"/>
      <c r="P1110" s="78"/>
      <c r="Q1110" s="78"/>
      <c r="R1110" s="78"/>
      <c r="S1110" s="78"/>
      <c r="T1110" s="78"/>
      <c r="U1110" s="78"/>
      <c r="V1110" s="78"/>
      <c r="W1110" s="78"/>
      <c r="X1110" s="78"/>
      <c r="Y1110" s="78"/>
      <c r="Z1110" s="78"/>
    </row>
    <row r="1111" spans="1:26" ht="15.75" customHeight="1" x14ac:dyDescent="0.25">
      <c r="A1111" s="53">
        <v>12</v>
      </c>
      <c r="B1111" s="54" t="s">
        <v>671</v>
      </c>
      <c r="C1111" s="54" t="s">
        <v>881</v>
      </c>
      <c r="D1111" s="53">
        <v>3600</v>
      </c>
      <c r="E1111" s="53">
        <v>8104</v>
      </c>
      <c r="F1111" s="54" t="s">
        <v>1190</v>
      </c>
      <c r="G1111" s="53" t="s">
        <v>702</v>
      </c>
      <c r="H1111" s="58" t="str">
        <f>_xlfn.IFNA(INDEX(ActiveSchools!$C$2:$F$326,MATCH(G1111,ActiveSchools!$F$2:$F$326,0),1),"Total")</f>
        <v>5157</v>
      </c>
      <c r="I1111" s="53">
        <v>3</v>
      </c>
      <c r="J1111" s="59">
        <f>_xlfn.IFNA(INDEX(DetailByDistrict[],MATCH($H1111,DetailByDistrict[Dist],0),MATCH(J$2,DetailByDistrict[#Headers],0)),0)</f>
        <v>85</v>
      </c>
      <c r="K1111" s="54">
        <f t="shared" si="17"/>
        <v>3.5294117647058823E-2</v>
      </c>
      <c r="L1111" s="59">
        <f>ROUND(INDEX(DetailByDistrict[],MATCH($H1111,DetailByDistrict[Dist],0),MATCH(L$2,DetailByDistrict[#Headers],0))*K1111,2)</f>
        <v>195.81</v>
      </c>
      <c r="M1111" s="59">
        <f>ROUND(INDEX(DetailByDistrict[],MATCH($H1111,DetailByDistrict[Dist],0),MATCH(M$2,DetailByDistrict[#Headers],0))*K1111,2)</f>
        <v>219.18</v>
      </c>
      <c r="N1111" s="78"/>
      <c r="O1111" s="78"/>
      <c r="P1111" s="78"/>
      <c r="Q1111" s="78"/>
      <c r="R1111" s="78"/>
      <c r="S1111" s="78"/>
      <c r="T1111" s="78"/>
      <c r="U1111" s="78"/>
      <c r="V1111" s="78"/>
      <c r="W1111" s="78"/>
      <c r="X1111" s="78"/>
      <c r="Y1111" s="78"/>
      <c r="Z1111" s="78"/>
    </row>
    <row r="1112" spans="1:26" ht="15.75" customHeight="1" x14ac:dyDescent="0.25">
      <c r="A1112" s="53">
        <v>12</v>
      </c>
      <c r="B1112" s="54" t="s">
        <v>671</v>
      </c>
      <c r="C1112" s="54" t="s">
        <v>882</v>
      </c>
      <c r="D1112" s="53">
        <v>3600</v>
      </c>
      <c r="E1112" s="53">
        <v>8105</v>
      </c>
      <c r="F1112" s="54" t="s">
        <v>1184</v>
      </c>
      <c r="G1112" s="53" t="s">
        <v>241</v>
      </c>
      <c r="H1112" s="58" t="str">
        <f>_xlfn.IFNA(INDEX(ActiveSchools!$C$2:$F$326,MATCH(G1112,ActiveSchools!$F$2:$F$326,0),1),"Total")</f>
        <v>3348</v>
      </c>
      <c r="I1112" s="53">
        <v>3</v>
      </c>
      <c r="J1112" s="59">
        <f>_xlfn.IFNA(INDEX(DetailByDistrict[],MATCH($H1112,DetailByDistrict[Dist],0),MATCH(J$2,DetailByDistrict[#Headers],0)),0)</f>
        <v>7</v>
      </c>
      <c r="K1112" s="54">
        <f t="shared" si="17"/>
        <v>0.42857142857142855</v>
      </c>
      <c r="L1112" s="59">
        <f>ROUND(INDEX(DetailByDistrict[],MATCH($H1112,DetailByDistrict[Dist],0),MATCH(L$2,DetailByDistrict[#Headers],0))*K1112,2)</f>
        <v>195.86</v>
      </c>
      <c r="M1112" s="59">
        <f>ROUND(INDEX(DetailByDistrict[],MATCH($H1112,DetailByDistrict[Dist],0),MATCH(M$2,DetailByDistrict[#Headers],0))*K1112,2)</f>
        <v>219</v>
      </c>
      <c r="N1112" s="78"/>
      <c r="O1112" s="78"/>
      <c r="P1112" s="78"/>
      <c r="Q1112" s="78"/>
      <c r="R1112" s="78"/>
      <c r="S1112" s="78"/>
      <c r="T1112" s="78"/>
      <c r="U1112" s="78"/>
      <c r="V1112" s="78"/>
      <c r="W1112" s="78"/>
      <c r="X1112" s="78"/>
      <c r="Y1112" s="78"/>
      <c r="Z1112" s="78"/>
    </row>
    <row r="1113" spans="1:26" ht="15.75" customHeight="1" x14ac:dyDescent="0.25">
      <c r="A1113" s="53">
        <v>12</v>
      </c>
      <c r="B1113" s="54" t="s">
        <v>671</v>
      </c>
      <c r="C1113" s="54" t="s">
        <v>882</v>
      </c>
      <c r="D1113" s="53">
        <v>3600</v>
      </c>
      <c r="E1113" s="53">
        <v>8105</v>
      </c>
      <c r="F1113" s="54" t="s">
        <v>1192</v>
      </c>
      <c r="G1113" s="53" t="s">
        <v>243</v>
      </c>
      <c r="H1113" s="58" t="str">
        <f>_xlfn.IFNA(INDEX(ActiveSchools!$C$2:$F$326,MATCH(G1113,ActiveSchools!$F$2:$F$326,0),1),"Total")</f>
        <v>3600</v>
      </c>
      <c r="I1113" s="53">
        <v>301</v>
      </c>
      <c r="J1113" s="59">
        <f>_xlfn.IFNA(INDEX(DetailByDistrict[],MATCH($H1113,DetailByDistrict[Dist],0),MATCH(J$2,DetailByDistrict[#Headers],0)),0)</f>
        <v>503</v>
      </c>
      <c r="K1113" s="54">
        <f t="shared" si="17"/>
        <v>0.59840954274353875</v>
      </c>
      <c r="L1113" s="59">
        <f>ROUND(INDEX(DetailByDistrict[],MATCH($H1113,DetailByDistrict[Dist],0),MATCH(L$2,DetailByDistrict[#Headers],0))*K1113,2)</f>
        <v>19646.38</v>
      </c>
      <c r="M1113" s="59">
        <f>ROUND(INDEX(DetailByDistrict[],MATCH($H1113,DetailByDistrict[Dist],0),MATCH(M$2,DetailByDistrict[#Headers],0))*K1113,2)</f>
        <v>21990.95</v>
      </c>
      <c r="N1113" s="78"/>
      <c r="O1113" s="78"/>
      <c r="P1113" s="78"/>
      <c r="Q1113" s="78"/>
      <c r="R1113" s="78"/>
      <c r="S1113" s="78"/>
      <c r="T1113" s="78"/>
      <c r="U1113" s="78"/>
      <c r="V1113" s="78"/>
      <c r="W1113" s="78"/>
      <c r="X1113" s="78"/>
      <c r="Y1113" s="78"/>
      <c r="Z1113" s="78"/>
    </row>
    <row r="1114" spans="1:26" ht="15.75" customHeight="1" x14ac:dyDescent="0.25">
      <c r="A1114" s="53">
        <v>12</v>
      </c>
      <c r="B1114" s="54" t="s">
        <v>671</v>
      </c>
      <c r="C1114" s="54" t="s">
        <v>882</v>
      </c>
      <c r="D1114" s="53">
        <v>3600</v>
      </c>
      <c r="E1114" s="53">
        <v>8105</v>
      </c>
      <c r="F1114" s="54" t="s">
        <v>1176</v>
      </c>
      <c r="G1114" s="53" t="s">
        <v>246</v>
      </c>
      <c r="H1114" s="58" t="str">
        <f>_xlfn.IFNA(INDEX(ActiveSchools!$C$2:$F$326,MATCH(G1114,ActiveSchools!$F$2:$F$326,0),1),"Total")</f>
        <v>4149</v>
      </c>
      <c r="I1114" s="53">
        <v>22</v>
      </c>
      <c r="J1114" s="59">
        <f>_xlfn.IFNA(INDEX(DetailByDistrict[],MATCH($H1114,DetailByDistrict[Dist],0),MATCH(J$2,DetailByDistrict[#Headers],0)),0)</f>
        <v>566</v>
      </c>
      <c r="K1114" s="54">
        <f t="shared" si="17"/>
        <v>3.8869257950530034E-2</v>
      </c>
      <c r="L1114" s="59">
        <f>ROUND(INDEX(DetailByDistrict[],MATCH($H1114,DetailByDistrict[Dist],0),MATCH(L$2,DetailByDistrict[#Headers],0))*K1114,2)</f>
        <v>1435.95</v>
      </c>
      <c r="M1114" s="59">
        <f>ROUND(INDEX(DetailByDistrict[],MATCH($H1114,DetailByDistrict[Dist],0),MATCH(M$2,DetailByDistrict[#Headers],0))*K1114,2)</f>
        <v>1607.32</v>
      </c>
      <c r="N1114" s="78"/>
      <c r="O1114" s="78"/>
      <c r="P1114" s="78"/>
      <c r="Q1114" s="78"/>
      <c r="R1114" s="78"/>
      <c r="S1114" s="78"/>
      <c r="T1114" s="78"/>
      <c r="U1114" s="78"/>
      <c r="V1114" s="78"/>
      <c r="W1114" s="78"/>
      <c r="X1114" s="78"/>
      <c r="Y1114" s="78"/>
      <c r="Z1114" s="78"/>
    </row>
    <row r="1115" spans="1:26" ht="15.75" customHeight="1" x14ac:dyDescent="0.25">
      <c r="A1115" s="53">
        <v>12</v>
      </c>
      <c r="B1115" s="54" t="s">
        <v>671</v>
      </c>
      <c r="C1115" s="54" t="s">
        <v>882</v>
      </c>
      <c r="D1115" s="53">
        <v>3600</v>
      </c>
      <c r="E1115" s="53">
        <v>8105</v>
      </c>
      <c r="F1115" s="54" t="s">
        <v>1180</v>
      </c>
      <c r="G1115" s="53" t="s">
        <v>247</v>
      </c>
      <c r="H1115" s="58" t="str">
        <f>_xlfn.IFNA(INDEX(ActiveSchools!$C$2:$F$326,MATCH(G1115,ActiveSchools!$F$2:$F$326,0),1),"Total")</f>
        <v>5486</v>
      </c>
      <c r="I1115" s="53">
        <v>9</v>
      </c>
      <c r="J1115" s="59">
        <f>_xlfn.IFNA(INDEX(DetailByDistrict[],MATCH($H1115,DetailByDistrict[Dist],0),MATCH(J$2,DetailByDistrict[#Headers],0)),0)</f>
        <v>181</v>
      </c>
      <c r="K1115" s="54">
        <f t="shared" si="17"/>
        <v>4.9723756906077346E-2</v>
      </c>
      <c r="L1115" s="59">
        <f>ROUND(INDEX(DetailByDistrict[],MATCH($H1115,DetailByDistrict[Dist],0),MATCH(L$2,DetailByDistrict[#Headers],0))*K1115,2)</f>
        <v>587.44000000000005</v>
      </c>
      <c r="M1115" s="59">
        <f>ROUND(INDEX(DetailByDistrict[],MATCH($H1115,DetailByDistrict[Dist],0),MATCH(M$2,DetailByDistrict[#Headers],0))*K1115,2)</f>
        <v>657.55</v>
      </c>
      <c r="N1115" s="78"/>
      <c r="O1115" s="78"/>
      <c r="P1115" s="78"/>
      <c r="Q1115" s="78"/>
      <c r="R1115" s="78"/>
      <c r="S1115" s="78"/>
      <c r="T1115" s="78"/>
      <c r="U1115" s="78"/>
      <c r="V1115" s="78"/>
      <c r="W1115" s="78"/>
      <c r="X1115" s="78"/>
      <c r="Y1115" s="78"/>
      <c r="Z1115" s="78"/>
    </row>
    <row r="1116" spans="1:26" ht="15.75" customHeight="1" x14ac:dyDescent="0.25">
      <c r="A1116" s="53">
        <v>12</v>
      </c>
      <c r="B1116" s="54" t="s">
        <v>671</v>
      </c>
      <c r="C1116" s="54" t="s">
        <v>882</v>
      </c>
      <c r="D1116" s="53">
        <v>3600</v>
      </c>
      <c r="E1116" s="53">
        <v>8105</v>
      </c>
      <c r="F1116" s="54" t="s">
        <v>1179</v>
      </c>
      <c r="G1116" s="53" t="s">
        <v>254</v>
      </c>
      <c r="H1116" s="58" t="str">
        <f>_xlfn.IFNA(INDEX(ActiveSchools!$C$2:$F$326,MATCH(G1116,ActiveSchools!$F$2:$F$326,0),1),"Total")</f>
        <v>6030</v>
      </c>
      <c r="I1116" s="53">
        <v>3</v>
      </c>
      <c r="J1116" s="59">
        <f>_xlfn.IFNA(INDEX(DetailByDistrict[],MATCH($H1116,DetailByDistrict[Dist],0),MATCH(J$2,DetailByDistrict[#Headers],0)),0)</f>
        <v>739</v>
      </c>
      <c r="K1116" s="54">
        <f t="shared" si="17"/>
        <v>4.0595399188092015E-3</v>
      </c>
      <c r="L1116" s="59">
        <f>ROUND(INDEX(DetailByDistrict[],MATCH($H1116,DetailByDistrict[Dist],0),MATCH(L$2,DetailByDistrict[#Headers],0))*K1116,2)</f>
        <v>195.81</v>
      </c>
      <c r="M1116" s="59">
        <f>ROUND(INDEX(DetailByDistrict[],MATCH($H1116,DetailByDistrict[Dist],0),MATCH(M$2,DetailByDistrict[#Headers],0))*K1116,2)</f>
        <v>219.18</v>
      </c>
      <c r="N1116" s="78"/>
      <c r="O1116" s="78"/>
      <c r="P1116" s="78"/>
      <c r="Q1116" s="78"/>
      <c r="R1116" s="78"/>
      <c r="S1116" s="78"/>
      <c r="T1116" s="78"/>
      <c r="U1116" s="78"/>
      <c r="V1116" s="78"/>
      <c r="W1116" s="78"/>
      <c r="X1116" s="78"/>
      <c r="Y1116" s="78"/>
      <c r="Z1116" s="78"/>
    </row>
    <row r="1117" spans="1:26" ht="15.75" customHeight="1" x14ac:dyDescent="0.25">
      <c r="A1117" s="53">
        <v>12</v>
      </c>
      <c r="B1117" s="54" t="s">
        <v>671</v>
      </c>
      <c r="C1117" s="54" t="s">
        <v>882</v>
      </c>
      <c r="D1117" s="53">
        <v>3600</v>
      </c>
      <c r="E1117" s="53">
        <v>8105</v>
      </c>
      <c r="F1117" s="54" t="s">
        <v>1193</v>
      </c>
      <c r="G1117" s="53" t="s">
        <v>259</v>
      </c>
      <c r="H1117" s="58" t="str">
        <f>_xlfn.IFNA(INDEX(ActiveSchools!$C$2:$F$326,MATCH(G1117,ActiveSchools!$F$2:$F$326,0),1),"Total")</f>
        <v>6990</v>
      </c>
      <c r="I1117" s="53">
        <v>2</v>
      </c>
      <c r="J1117" s="59">
        <f>_xlfn.IFNA(INDEX(DetailByDistrict[],MATCH($H1117,DetailByDistrict[Dist],0),MATCH(J$2,DetailByDistrict[#Headers],0)),0)</f>
        <v>95</v>
      </c>
      <c r="K1117" s="54">
        <f t="shared" si="17"/>
        <v>2.1052631578947368E-2</v>
      </c>
      <c r="L1117" s="59">
        <f>ROUND(INDEX(DetailByDistrict[],MATCH($H1117,DetailByDistrict[Dist],0),MATCH(L$2,DetailByDistrict[#Headers],0))*K1117,2)</f>
        <v>130.55000000000001</v>
      </c>
      <c r="M1117" s="59">
        <f>ROUND(INDEX(DetailByDistrict[],MATCH($H1117,DetailByDistrict[Dist],0),MATCH(M$2,DetailByDistrict[#Headers],0))*K1117,2)</f>
        <v>146.13</v>
      </c>
      <c r="N1117" s="78"/>
      <c r="O1117" s="78"/>
      <c r="P1117" s="78"/>
      <c r="Q1117" s="78"/>
      <c r="R1117" s="78"/>
      <c r="S1117" s="78"/>
      <c r="T1117" s="78"/>
      <c r="U1117" s="78"/>
      <c r="V1117" s="78"/>
      <c r="W1117" s="78"/>
      <c r="X1117" s="78"/>
      <c r="Y1117" s="78"/>
      <c r="Z1117" s="78"/>
    </row>
    <row r="1118" spans="1:26" ht="15.75" customHeight="1" x14ac:dyDescent="0.25">
      <c r="A1118" s="53">
        <v>12</v>
      </c>
      <c r="B1118" s="54" t="s">
        <v>671</v>
      </c>
      <c r="C1118" s="54" t="s">
        <v>887</v>
      </c>
      <c r="D1118" s="53">
        <v>4033</v>
      </c>
      <c r="E1118" s="53">
        <v>8103</v>
      </c>
      <c r="F1118" s="54" t="s">
        <v>1187</v>
      </c>
      <c r="G1118" s="53" t="s">
        <v>234</v>
      </c>
      <c r="H1118" s="58" t="str">
        <f>_xlfn.IFNA(INDEX(ActiveSchools!$C$2:$F$326,MATCH(G1118,ActiveSchools!$F$2:$F$326,0),1),"Total")</f>
        <v>1134</v>
      </c>
      <c r="I1118" s="53">
        <v>1</v>
      </c>
      <c r="J1118" s="59">
        <f>_xlfn.IFNA(INDEX(DetailByDistrict[],MATCH($H1118,DetailByDistrict[Dist],0),MATCH(J$2,DetailByDistrict[#Headers],0)),0)</f>
        <v>4</v>
      </c>
      <c r="K1118" s="54">
        <f t="shared" si="17"/>
        <v>0.25</v>
      </c>
      <c r="L1118" s="59">
        <f>ROUND(INDEX(DetailByDistrict[],MATCH($H1118,DetailByDistrict[Dist],0),MATCH(L$2,DetailByDistrict[#Headers],0))*K1118,2)</f>
        <v>65.25</v>
      </c>
      <c r="M1118" s="59">
        <f>ROUND(INDEX(DetailByDistrict[],MATCH($H1118,DetailByDistrict[Dist],0),MATCH(M$2,DetailByDistrict[#Headers],0))*K1118,2)</f>
        <v>73</v>
      </c>
      <c r="N1118" s="78"/>
      <c r="O1118" s="78"/>
      <c r="P1118" s="78"/>
      <c r="Q1118" s="78"/>
      <c r="R1118" s="78"/>
      <c r="S1118" s="78"/>
      <c r="T1118" s="78"/>
      <c r="U1118" s="78"/>
      <c r="V1118" s="78"/>
      <c r="W1118" s="78"/>
      <c r="X1118" s="78"/>
      <c r="Y1118" s="78"/>
      <c r="Z1118" s="78"/>
    </row>
    <row r="1119" spans="1:26" ht="15.75" customHeight="1" x14ac:dyDescent="0.25">
      <c r="A1119" s="53">
        <v>12</v>
      </c>
      <c r="B1119" s="54" t="s">
        <v>671</v>
      </c>
      <c r="C1119" s="54" t="s">
        <v>887</v>
      </c>
      <c r="D1119" s="53">
        <v>4033</v>
      </c>
      <c r="E1119" s="53">
        <v>8103</v>
      </c>
      <c r="F1119" s="54" t="s">
        <v>1194</v>
      </c>
      <c r="G1119" s="53" t="s">
        <v>244</v>
      </c>
      <c r="H1119" s="58" t="str">
        <f>_xlfn.IFNA(INDEX(ActiveSchools!$C$2:$F$326,MATCH(G1119,ActiveSchools!$F$2:$F$326,0),1),"Total")</f>
        <v>4033</v>
      </c>
      <c r="I1119" s="53">
        <v>29</v>
      </c>
      <c r="J1119" s="59">
        <f>_xlfn.IFNA(INDEX(DetailByDistrict[],MATCH($H1119,DetailByDistrict[Dist],0),MATCH(J$2,DetailByDistrict[#Headers],0)),0)</f>
        <v>37</v>
      </c>
      <c r="K1119" s="54">
        <f t="shared" si="17"/>
        <v>0.78378378378378377</v>
      </c>
      <c r="L1119" s="59">
        <f>ROUND(INDEX(DetailByDistrict[],MATCH($H1119,DetailByDistrict[Dist],0),MATCH(L$2,DetailByDistrict[#Headers],0))*K1119,2)</f>
        <v>1892.84</v>
      </c>
      <c r="M1119" s="59">
        <f>ROUND(INDEX(DetailByDistrict[],MATCH($H1119,DetailByDistrict[Dist],0),MATCH(M$2,DetailByDistrict[#Headers],0))*K1119,2)</f>
        <v>2118.5700000000002</v>
      </c>
      <c r="N1119" s="78"/>
      <c r="O1119" s="78"/>
      <c r="P1119" s="78"/>
      <c r="Q1119" s="78"/>
      <c r="R1119" s="78"/>
      <c r="S1119" s="78"/>
      <c r="T1119" s="78"/>
      <c r="U1119" s="78"/>
      <c r="V1119" s="78"/>
      <c r="W1119" s="78"/>
      <c r="X1119" s="78"/>
      <c r="Y1119" s="78"/>
      <c r="Z1119" s="78"/>
    </row>
    <row r="1120" spans="1:26" ht="15.75" customHeight="1" x14ac:dyDescent="0.25">
      <c r="A1120" s="53">
        <v>12</v>
      </c>
      <c r="B1120" s="54" t="s">
        <v>671</v>
      </c>
      <c r="C1120" s="54" t="s">
        <v>887</v>
      </c>
      <c r="D1120" s="53">
        <v>4033</v>
      </c>
      <c r="E1120" s="53">
        <v>8103</v>
      </c>
      <c r="F1120" s="54" t="s">
        <v>1186</v>
      </c>
      <c r="G1120" s="53" t="s">
        <v>43</v>
      </c>
      <c r="H1120" s="58" t="str">
        <f>_xlfn.IFNA(INDEX(ActiveSchools!$C$2:$F$326,MATCH(G1120,ActiveSchools!$F$2:$F$326,0),1),"Total")</f>
        <v>4860</v>
      </c>
      <c r="I1120" s="53">
        <v>13</v>
      </c>
      <c r="J1120" s="59">
        <f>_xlfn.IFNA(INDEX(DetailByDistrict[],MATCH($H1120,DetailByDistrict[Dist],0),MATCH(J$2,DetailByDistrict[#Headers],0)),0)</f>
        <v>23</v>
      </c>
      <c r="K1120" s="54">
        <f t="shared" si="17"/>
        <v>0.56521739130434778</v>
      </c>
      <c r="L1120" s="59">
        <f>ROUND(INDEX(DetailByDistrict[],MATCH($H1120,DetailByDistrict[Dist],0),MATCH(L$2,DetailByDistrict[#Headers],0))*K1120,2)</f>
        <v>848.39</v>
      </c>
      <c r="M1120" s="59">
        <f>ROUND(INDEX(DetailByDistrict[],MATCH($H1120,DetailByDistrict[Dist],0),MATCH(M$2,DetailByDistrict[#Headers],0))*K1120,2)</f>
        <v>949.57</v>
      </c>
      <c r="N1120" s="78"/>
      <c r="O1120" s="78"/>
      <c r="P1120" s="78"/>
      <c r="Q1120" s="78"/>
      <c r="R1120" s="78"/>
      <c r="S1120" s="78"/>
      <c r="T1120" s="78"/>
      <c r="U1120" s="78"/>
      <c r="V1120" s="78"/>
      <c r="W1120" s="78"/>
      <c r="X1120" s="78"/>
      <c r="Y1120" s="78"/>
      <c r="Z1120" s="78"/>
    </row>
    <row r="1121" spans="1:26" ht="15.75" customHeight="1" x14ac:dyDescent="0.25">
      <c r="A1121" s="53">
        <v>12</v>
      </c>
      <c r="B1121" s="54" t="s">
        <v>671</v>
      </c>
      <c r="C1121" s="54" t="s">
        <v>893</v>
      </c>
      <c r="D1121" s="53">
        <v>4149</v>
      </c>
      <c r="E1121" s="53">
        <v>8308</v>
      </c>
      <c r="F1121" s="54" t="s">
        <v>1192</v>
      </c>
      <c r="G1121" s="53" t="s">
        <v>243</v>
      </c>
      <c r="H1121" s="58" t="str">
        <f>_xlfn.IFNA(INDEX(ActiveSchools!$C$2:$F$326,MATCH(G1121,ActiveSchools!$F$2:$F$326,0),1),"Total")</f>
        <v>3600</v>
      </c>
      <c r="I1121" s="53">
        <v>2</v>
      </c>
      <c r="J1121" s="59">
        <f>_xlfn.IFNA(INDEX(DetailByDistrict[],MATCH($H1121,DetailByDistrict[Dist],0),MATCH(J$2,DetailByDistrict[#Headers],0)),0)</f>
        <v>503</v>
      </c>
      <c r="K1121" s="54">
        <f t="shared" si="17"/>
        <v>3.9761431411530811E-3</v>
      </c>
      <c r="L1121" s="59">
        <f>ROUND(INDEX(DetailByDistrict[],MATCH($H1121,DetailByDistrict[Dist],0),MATCH(L$2,DetailByDistrict[#Headers],0))*K1121,2)</f>
        <v>130.54</v>
      </c>
      <c r="M1121" s="59">
        <f>ROUND(INDEX(DetailByDistrict[],MATCH($H1121,DetailByDistrict[Dist],0),MATCH(M$2,DetailByDistrict[#Headers],0))*K1121,2)</f>
        <v>146.12</v>
      </c>
      <c r="N1121" s="78"/>
      <c r="O1121" s="78"/>
      <c r="P1121" s="78"/>
      <c r="Q1121" s="78"/>
      <c r="R1121" s="78"/>
      <c r="S1121" s="78"/>
      <c r="T1121" s="78"/>
      <c r="U1121" s="78"/>
      <c r="V1121" s="78"/>
      <c r="W1121" s="78"/>
      <c r="X1121" s="78"/>
      <c r="Y1121" s="78"/>
      <c r="Z1121" s="78"/>
    </row>
    <row r="1122" spans="1:26" ht="15.75" customHeight="1" x14ac:dyDescent="0.25">
      <c r="A1122" s="53">
        <v>12</v>
      </c>
      <c r="B1122" s="54" t="s">
        <v>671</v>
      </c>
      <c r="C1122" s="54" t="s">
        <v>893</v>
      </c>
      <c r="D1122" s="53">
        <v>4149</v>
      </c>
      <c r="E1122" s="53">
        <v>8308</v>
      </c>
      <c r="F1122" s="54" t="s">
        <v>1176</v>
      </c>
      <c r="G1122" s="53" t="s">
        <v>246</v>
      </c>
      <c r="H1122" s="58" t="str">
        <f>_xlfn.IFNA(INDEX(ActiveSchools!$C$2:$F$326,MATCH(G1122,ActiveSchools!$F$2:$F$326,0),1),"Total")</f>
        <v>4149</v>
      </c>
      <c r="I1122" s="53">
        <v>306</v>
      </c>
      <c r="J1122" s="59">
        <f>_xlfn.IFNA(INDEX(DetailByDistrict[],MATCH($H1122,DetailByDistrict[Dist],0),MATCH(J$2,DetailByDistrict[#Headers],0)),0)</f>
        <v>566</v>
      </c>
      <c r="K1122" s="54">
        <f t="shared" si="17"/>
        <v>0.54063604240282681</v>
      </c>
      <c r="L1122" s="59">
        <f>ROUND(INDEX(DetailByDistrict[],MATCH($H1122,DetailByDistrict[Dist],0),MATCH(L$2,DetailByDistrict[#Headers],0))*K1122,2)</f>
        <v>19972.72</v>
      </c>
      <c r="M1122" s="59">
        <f>ROUND(INDEX(DetailByDistrict[],MATCH($H1122,DetailByDistrict[Dist],0),MATCH(M$2,DetailByDistrict[#Headers],0))*K1122,2)</f>
        <v>22356.38</v>
      </c>
      <c r="N1122" s="78"/>
      <c r="O1122" s="78"/>
      <c r="P1122" s="78"/>
      <c r="Q1122" s="78"/>
      <c r="R1122" s="78"/>
      <c r="S1122" s="78"/>
      <c r="T1122" s="78"/>
      <c r="U1122" s="78"/>
      <c r="V1122" s="78"/>
      <c r="W1122" s="78"/>
      <c r="X1122" s="78"/>
      <c r="Y1122" s="78"/>
      <c r="Z1122" s="78"/>
    </row>
    <row r="1123" spans="1:26" ht="15.75" customHeight="1" x14ac:dyDescent="0.25">
      <c r="A1123" s="53">
        <v>12</v>
      </c>
      <c r="B1123" s="54" t="s">
        <v>671</v>
      </c>
      <c r="C1123" s="54" t="s">
        <v>893</v>
      </c>
      <c r="D1123" s="53">
        <v>4149</v>
      </c>
      <c r="E1123" s="53">
        <v>8308</v>
      </c>
      <c r="F1123" s="54" t="s">
        <v>1179</v>
      </c>
      <c r="G1123" s="53" t="s">
        <v>254</v>
      </c>
      <c r="H1123" s="58" t="str">
        <f>_xlfn.IFNA(INDEX(ActiveSchools!$C$2:$F$326,MATCH(G1123,ActiveSchools!$F$2:$F$326,0),1),"Total")</f>
        <v>6030</v>
      </c>
      <c r="I1123" s="53">
        <v>2</v>
      </c>
      <c r="J1123" s="59">
        <f>_xlfn.IFNA(INDEX(DetailByDistrict[],MATCH($H1123,DetailByDistrict[Dist],0),MATCH(J$2,DetailByDistrict[#Headers],0)),0)</f>
        <v>739</v>
      </c>
      <c r="K1123" s="54">
        <f t="shared" si="17"/>
        <v>2.7063599458728013E-3</v>
      </c>
      <c r="L1123" s="59">
        <f>ROUND(INDEX(DetailByDistrict[],MATCH($H1123,DetailByDistrict[Dist],0),MATCH(L$2,DetailByDistrict[#Headers],0))*K1123,2)</f>
        <v>130.54</v>
      </c>
      <c r="M1123" s="59">
        <f>ROUND(INDEX(DetailByDistrict[],MATCH($H1123,DetailByDistrict[Dist],0),MATCH(M$2,DetailByDistrict[#Headers],0))*K1123,2)</f>
        <v>146.12</v>
      </c>
      <c r="N1123" s="78"/>
      <c r="O1123" s="78"/>
      <c r="P1123" s="78"/>
      <c r="Q1123" s="78"/>
      <c r="R1123" s="78"/>
      <c r="S1123" s="78"/>
      <c r="T1123" s="78"/>
      <c r="U1123" s="78"/>
      <c r="V1123" s="78"/>
      <c r="W1123" s="78"/>
      <c r="X1123" s="78"/>
      <c r="Y1123" s="78"/>
      <c r="Z1123" s="78"/>
    </row>
    <row r="1124" spans="1:26" ht="15.75" customHeight="1" x14ac:dyDescent="0.25">
      <c r="A1124" s="53">
        <v>12</v>
      </c>
      <c r="B1124" s="54" t="s">
        <v>671</v>
      </c>
      <c r="C1124" s="54" t="s">
        <v>893</v>
      </c>
      <c r="D1124" s="53">
        <v>4149</v>
      </c>
      <c r="E1124" s="53">
        <v>8308</v>
      </c>
      <c r="F1124" s="54" t="s">
        <v>1193</v>
      </c>
      <c r="G1124" s="53" t="s">
        <v>259</v>
      </c>
      <c r="H1124" s="58" t="str">
        <f>_xlfn.IFNA(INDEX(ActiveSchools!$C$2:$F$326,MATCH(G1124,ActiveSchools!$F$2:$F$326,0),1),"Total")</f>
        <v>6990</v>
      </c>
      <c r="I1124" s="53">
        <v>1</v>
      </c>
      <c r="J1124" s="59">
        <f>_xlfn.IFNA(INDEX(DetailByDistrict[],MATCH($H1124,DetailByDistrict[Dist],0),MATCH(J$2,DetailByDistrict[#Headers],0)),0)</f>
        <v>95</v>
      </c>
      <c r="K1124" s="54">
        <f t="shared" si="17"/>
        <v>1.0526315789473684E-2</v>
      </c>
      <c r="L1124" s="59">
        <f>ROUND(INDEX(DetailByDistrict[],MATCH($H1124,DetailByDistrict[Dist],0),MATCH(L$2,DetailByDistrict[#Headers],0))*K1124,2)</f>
        <v>65.27</v>
      </c>
      <c r="M1124" s="59">
        <f>ROUND(INDEX(DetailByDistrict[],MATCH($H1124,DetailByDistrict[Dist],0),MATCH(M$2,DetailByDistrict[#Headers],0))*K1124,2)</f>
        <v>73.06</v>
      </c>
      <c r="N1124" s="78"/>
      <c r="O1124" s="78"/>
      <c r="P1124" s="78"/>
      <c r="Q1124" s="78"/>
      <c r="R1124" s="78"/>
      <c r="S1124" s="78"/>
      <c r="T1124" s="78"/>
      <c r="U1124" s="78"/>
      <c r="V1124" s="78"/>
      <c r="W1124" s="78"/>
      <c r="X1124" s="78"/>
      <c r="Y1124" s="78"/>
      <c r="Z1124" s="78"/>
    </row>
    <row r="1125" spans="1:26" ht="15.75" customHeight="1" x14ac:dyDescent="0.25">
      <c r="A1125" s="53">
        <v>12</v>
      </c>
      <c r="B1125" s="54" t="s">
        <v>671</v>
      </c>
      <c r="C1125" s="54" t="s">
        <v>894</v>
      </c>
      <c r="D1125" s="53">
        <v>4149</v>
      </c>
      <c r="E1125" s="53">
        <v>8317</v>
      </c>
      <c r="F1125" s="54" t="s">
        <v>1173</v>
      </c>
      <c r="G1125" s="57" t="s">
        <v>232</v>
      </c>
      <c r="H1125" s="58" t="str">
        <f>_xlfn.IFNA(INDEX(ActiveSchools!$C$2:$F$326,MATCH(G1125,ActiveSchools!$F$2:$F$326,0),1),"Total")</f>
        <v>0747</v>
      </c>
      <c r="I1125" s="53">
        <v>3</v>
      </c>
      <c r="J1125" s="59">
        <f>_xlfn.IFNA(INDEX(DetailByDistrict[],MATCH($H1125,DetailByDistrict[Dist],0),MATCH(J$2,DetailByDistrict[#Headers],0)),0)</f>
        <v>399</v>
      </c>
      <c r="K1125" s="54">
        <f t="shared" si="17"/>
        <v>7.5187969924812026E-3</v>
      </c>
      <c r="L1125" s="59">
        <f>ROUND(INDEX(DetailByDistrict[],MATCH($H1125,DetailByDistrict[Dist],0),MATCH(L$2,DetailByDistrict[#Headers],0))*K1125,2)</f>
        <v>195.81</v>
      </c>
      <c r="M1125" s="59">
        <f>ROUND(INDEX(DetailByDistrict[],MATCH($H1125,DetailByDistrict[Dist],0),MATCH(M$2,DetailByDistrict[#Headers],0))*K1125,2)</f>
        <v>219.18</v>
      </c>
      <c r="N1125" s="78"/>
      <c r="O1125" s="78"/>
      <c r="P1125" s="78"/>
      <c r="Q1125" s="78"/>
      <c r="R1125" s="78"/>
      <c r="S1125" s="78"/>
      <c r="T1125" s="78"/>
      <c r="U1125" s="78"/>
      <c r="V1125" s="78"/>
      <c r="W1125" s="78"/>
      <c r="X1125" s="78"/>
      <c r="Y1125" s="78"/>
      <c r="Z1125" s="78"/>
    </row>
    <row r="1126" spans="1:26" ht="15.75" customHeight="1" x14ac:dyDescent="0.25">
      <c r="A1126" s="53">
        <v>12</v>
      </c>
      <c r="B1126" s="54" t="s">
        <v>671</v>
      </c>
      <c r="C1126" s="54" t="s">
        <v>894</v>
      </c>
      <c r="D1126" s="53">
        <v>4149</v>
      </c>
      <c r="E1126" s="53">
        <v>8317</v>
      </c>
      <c r="F1126" s="54" t="s">
        <v>1174</v>
      </c>
      <c r="G1126" s="53" t="s">
        <v>233</v>
      </c>
      <c r="H1126" s="58" t="str">
        <f>_xlfn.IFNA(INDEX(ActiveSchools!$C$2:$F$326,MATCH(G1126,ActiveSchools!$F$2:$F$326,0),1),"Total")</f>
        <v>1095</v>
      </c>
      <c r="I1126" s="53">
        <v>1</v>
      </c>
      <c r="J1126" s="59">
        <f>_xlfn.IFNA(INDEX(DetailByDistrict[],MATCH($H1126,DetailByDistrict[Dist],0),MATCH(J$2,DetailByDistrict[#Headers],0)),0)</f>
        <v>151</v>
      </c>
      <c r="K1126" s="54">
        <f t="shared" si="17"/>
        <v>6.6225165562913907E-3</v>
      </c>
      <c r="L1126" s="59">
        <f>ROUND(INDEX(DetailByDistrict[],MATCH($H1126,DetailByDistrict[Dist],0),MATCH(L$2,DetailByDistrict[#Headers],0))*K1126,2)</f>
        <v>65.27</v>
      </c>
      <c r="M1126" s="59">
        <f>ROUND(INDEX(DetailByDistrict[],MATCH($H1126,DetailByDistrict[Dist],0),MATCH(M$2,DetailByDistrict[#Headers],0))*K1126,2)</f>
        <v>73.06</v>
      </c>
      <c r="N1126" s="78"/>
      <c r="O1126" s="78"/>
      <c r="P1126" s="78"/>
      <c r="Q1126" s="78"/>
      <c r="R1126" s="78"/>
      <c r="S1126" s="78"/>
      <c r="T1126" s="78"/>
      <c r="U1126" s="78"/>
      <c r="V1126" s="78"/>
      <c r="W1126" s="78"/>
      <c r="X1126" s="78"/>
      <c r="Y1126" s="78"/>
      <c r="Z1126" s="78"/>
    </row>
    <row r="1127" spans="1:26" ht="15.75" customHeight="1" x14ac:dyDescent="0.25">
      <c r="A1127" s="53">
        <v>12</v>
      </c>
      <c r="B1127" s="54" t="s">
        <v>671</v>
      </c>
      <c r="C1127" s="54" t="s">
        <v>894</v>
      </c>
      <c r="D1127" s="53">
        <v>4149</v>
      </c>
      <c r="E1127" s="53">
        <v>8317</v>
      </c>
      <c r="F1127" s="54" t="s">
        <v>1192</v>
      </c>
      <c r="G1127" s="53" t="s">
        <v>243</v>
      </c>
      <c r="H1127" s="58" t="str">
        <f>_xlfn.IFNA(INDEX(ActiveSchools!$C$2:$F$326,MATCH(G1127,ActiveSchools!$F$2:$F$326,0),1),"Total")</f>
        <v>3600</v>
      </c>
      <c r="I1127" s="53">
        <v>3</v>
      </c>
      <c r="J1127" s="59">
        <f>_xlfn.IFNA(INDEX(DetailByDistrict[],MATCH($H1127,DetailByDistrict[Dist],0),MATCH(J$2,DetailByDistrict[#Headers],0)),0)</f>
        <v>503</v>
      </c>
      <c r="K1127" s="54">
        <f t="shared" si="17"/>
        <v>5.9642147117296221E-3</v>
      </c>
      <c r="L1127" s="59">
        <f>ROUND(INDEX(DetailByDistrict[],MATCH($H1127,DetailByDistrict[Dist],0),MATCH(L$2,DetailByDistrict[#Headers],0))*K1127,2)</f>
        <v>195.81</v>
      </c>
      <c r="M1127" s="59">
        <f>ROUND(INDEX(DetailByDistrict[],MATCH($H1127,DetailByDistrict[Dist],0),MATCH(M$2,DetailByDistrict[#Headers],0))*K1127,2)</f>
        <v>219.18</v>
      </c>
      <c r="N1127" s="78"/>
      <c r="O1127" s="78"/>
      <c r="P1127" s="78"/>
      <c r="Q1127" s="78"/>
      <c r="R1127" s="78"/>
      <c r="S1127" s="78"/>
      <c r="T1127" s="78"/>
      <c r="U1127" s="78"/>
      <c r="V1127" s="78"/>
      <c r="W1127" s="78"/>
      <c r="X1127" s="78"/>
      <c r="Y1127" s="78"/>
      <c r="Z1127" s="78"/>
    </row>
    <row r="1128" spans="1:26" ht="15.75" customHeight="1" x14ac:dyDescent="0.25">
      <c r="A1128" s="53">
        <v>12</v>
      </c>
      <c r="B1128" s="54" t="s">
        <v>671</v>
      </c>
      <c r="C1128" s="54" t="s">
        <v>894</v>
      </c>
      <c r="D1128" s="53">
        <v>4149</v>
      </c>
      <c r="E1128" s="53">
        <v>8317</v>
      </c>
      <c r="F1128" s="54" t="s">
        <v>1176</v>
      </c>
      <c r="G1128" s="53" t="s">
        <v>246</v>
      </c>
      <c r="H1128" s="58" t="str">
        <f>_xlfn.IFNA(INDEX(ActiveSchools!$C$2:$F$326,MATCH(G1128,ActiveSchools!$F$2:$F$326,0),1),"Total")</f>
        <v>4149</v>
      </c>
      <c r="I1128" s="53">
        <v>150</v>
      </c>
      <c r="J1128" s="59">
        <f>_xlfn.IFNA(INDEX(DetailByDistrict[],MATCH($H1128,DetailByDistrict[Dist],0),MATCH(J$2,DetailByDistrict[#Headers],0)),0)</f>
        <v>566</v>
      </c>
      <c r="K1128" s="54">
        <f t="shared" si="17"/>
        <v>0.26501766784452296</v>
      </c>
      <c r="L1128" s="59">
        <f>ROUND(INDEX(DetailByDistrict[],MATCH($H1128,DetailByDistrict[Dist],0),MATCH(L$2,DetailByDistrict[#Headers],0))*K1128,2)</f>
        <v>9790.5499999999993</v>
      </c>
      <c r="M1128" s="59">
        <f>ROUND(INDEX(DetailByDistrict[],MATCH($H1128,DetailByDistrict[Dist],0),MATCH(M$2,DetailByDistrict[#Headers],0))*K1128,2)</f>
        <v>10959.01</v>
      </c>
      <c r="N1128" s="78"/>
      <c r="O1128" s="78"/>
      <c r="P1128" s="78"/>
      <c r="Q1128" s="78"/>
      <c r="R1128" s="78"/>
      <c r="S1128" s="78"/>
      <c r="T1128" s="78"/>
      <c r="U1128" s="78"/>
      <c r="V1128" s="78"/>
      <c r="W1128" s="78"/>
      <c r="X1128" s="78"/>
      <c r="Y1128" s="78"/>
      <c r="Z1128" s="78"/>
    </row>
    <row r="1129" spans="1:26" ht="15.75" customHeight="1" x14ac:dyDescent="0.25">
      <c r="A1129" s="53">
        <v>12</v>
      </c>
      <c r="B1129" s="54" t="s">
        <v>671</v>
      </c>
      <c r="C1129" s="54" t="s">
        <v>894</v>
      </c>
      <c r="D1129" s="53">
        <v>4149</v>
      </c>
      <c r="E1129" s="53">
        <v>8317</v>
      </c>
      <c r="F1129" s="54" t="s">
        <v>1178</v>
      </c>
      <c r="G1129" s="53" t="s">
        <v>252</v>
      </c>
      <c r="H1129" s="58" t="str">
        <f>_xlfn.IFNA(INDEX(ActiveSchools!$C$2:$F$326,MATCH(G1129,ActiveSchools!$F$2:$F$326,0),1),"Total")</f>
        <v>5949</v>
      </c>
      <c r="I1129" s="53">
        <v>16</v>
      </c>
      <c r="J1129" s="59">
        <f>_xlfn.IFNA(INDEX(DetailByDistrict[],MATCH($H1129,DetailByDistrict[Dist],0),MATCH(J$2,DetailByDistrict[#Headers],0)),0)</f>
        <v>173</v>
      </c>
      <c r="K1129" s="54">
        <f t="shared" si="17"/>
        <v>9.2485549132947972E-2</v>
      </c>
      <c r="L1129" s="59">
        <f>ROUND(INDEX(DetailByDistrict[],MATCH($H1129,DetailByDistrict[Dist],0),MATCH(L$2,DetailByDistrict[#Headers],0))*K1129,2)</f>
        <v>1044.3499999999999</v>
      </c>
      <c r="M1129" s="59">
        <f>ROUND(INDEX(DetailByDistrict[],MATCH($H1129,DetailByDistrict[Dist],0),MATCH(M$2,DetailByDistrict[#Headers],0))*K1129,2)</f>
        <v>1168.92</v>
      </c>
      <c r="N1129" s="78"/>
      <c r="O1129" s="78"/>
      <c r="P1129" s="78"/>
      <c r="Q1129" s="78"/>
      <c r="R1129" s="78"/>
      <c r="S1129" s="78"/>
      <c r="T1129" s="78"/>
      <c r="U1129" s="78"/>
      <c r="V1129" s="78"/>
      <c r="W1129" s="78"/>
      <c r="X1129" s="78"/>
      <c r="Y1129" s="78"/>
      <c r="Z1129" s="78"/>
    </row>
    <row r="1130" spans="1:26" ht="15.75" customHeight="1" x14ac:dyDescent="0.25">
      <c r="A1130" s="53">
        <v>12</v>
      </c>
      <c r="B1130" s="54" t="s">
        <v>671</v>
      </c>
      <c r="C1130" s="54" t="s">
        <v>894</v>
      </c>
      <c r="D1130" s="53">
        <v>4149</v>
      </c>
      <c r="E1130" s="53">
        <v>8317</v>
      </c>
      <c r="F1130" s="54" t="s">
        <v>1179</v>
      </c>
      <c r="G1130" s="53" t="s">
        <v>254</v>
      </c>
      <c r="H1130" s="58" t="str">
        <f>_xlfn.IFNA(INDEX(ActiveSchools!$C$2:$F$326,MATCH(G1130,ActiveSchools!$F$2:$F$326,0),1),"Total")</f>
        <v>6030</v>
      </c>
      <c r="I1130" s="53">
        <v>161</v>
      </c>
      <c r="J1130" s="59">
        <f>_xlfn.IFNA(INDEX(DetailByDistrict[],MATCH($H1130,DetailByDistrict[Dist],0),MATCH(J$2,DetailByDistrict[#Headers],0)),0)</f>
        <v>739</v>
      </c>
      <c r="K1130" s="54">
        <f t="shared" si="17"/>
        <v>0.2178619756427605</v>
      </c>
      <c r="L1130" s="59">
        <f>ROUND(INDEX(DetailByDistrict[],MATCH($H1130,DetailByDistrict[Dist],0),MATCH(L$2,DetailByDistrict[#Headers],0))*K1130,2)</f>
        <v>10508.57</v>
      </c>
      <c r="M1130" s="59">
        <f>ROUND(INDEX(DetailByDistrict[],MATCH($H1130,DetailByDistrict[Dist],0),MATCH(M$2,DetailByDistrict[#Headers],0))*K1130,2)</f>
        <v>11762.59</v>
      </c>
      <c r="N1130" s="78"/>
      <c r="O1130" s="78"/>
      <c r="P1130" s="78"/>
      <c r="Q1130" s="78"/>
      <c r="R1130" s="78"/>
      <c r="S1130" s="78"/>
      <c r="T1130" s="78"/>
      <c r="U1130" s="78"/>
      <c r="V1130" s="78"/>
      <c r="W1130" s="78"/>
      <c r="X1130" s="78"/>
      <c r="Y1130" s="78"/>
      <c r="Z1130" s="78"/>
    </row>
    <row r="1131" spans="1:26" ht="15.75" customHeight="1" x14ac:dyDescent="0.25">
      <c r="A1131" s="53">
        <v>12</v>
      </c>
      <c r="B1131" s="54" t="s">
        <v>671</v>
      </c>
      <c r="C1131" s="54" t="s">
        <v>894</v>
      </c>
      <c r="D1131" s="53">
        <v>4149</v>
      </c>
      <c r="E1131" s="53">
        <v>8317</v>
      </c>
      <c r="F1131" s="54" t="s">
        <v>1190</v>
      </c>
      <c r="G1131" s="53" t="s">
        <v>702</v>
      </c>
      <c r="H1131" s="58" t="str">
        <f>_xlfn.IFNA(INDEX(ActiveSchools!$C$2:$F$326,MATCH(G1131,ActiveSchools!$F$2:$F$326,0),1),"Total")</f>
        <v>5157</v>
      </c>
      <c r="I1131" s="53">
        <v>5</v>
      </c>
      <c r="J1131" s="59">
        <f>_xlfn.IFNA(INDEX(DetailByDistrict[],MATCH($H1131,DetailByDistrict[Dist],0),MATCH(J$2,DetailByDistrict[#Headers],0)),0)</f>
        <v>85</v>
      </c>
      <c r="K1131" s="54">
        <f t="shared" si="17"/>
        <v>5.8823529411764705E-2</v>
      </c>
      <c r="L1131" s="59">
        <f>ROUND(INDEX(DetailByDistrict[],MATCH($H1131,DetailByDistrict[Dist],0),MATCH(L$2,DetailByDistrict[#Headers],0))*K1131,2)</f>
        <v>326.35000000000002</v>
      </c>
      <c r="M1131" s="59">
        <f>ROUND(INDEX(DetailByDistrict[],MATCH($H1131,DetailByDistrict[Dist],0),MATCH(M$2,DetailByDistrict[#Headers],0))*K1131,2)</f>
        <v>365.29</v>
      </c>
      <c r="N1131" s="78"/>
      <c r="O1131" s="78"/>
      <c r="P1131" s="78"/>
      <c r="Q1131" s="78"/>
      <c r="R1131" s="78"/>
      <c r="S1131" s="78"/>
      <c r="T1131" s="78"/>
      <c r="U1131" s="78"/>
      <c r="V1131" s="78"/>
      <c r="W1131" s="78"/>
      <c r="X1131" s="78"/>
      <c r="Y1131" s="78"/>
      <c r="Z1131" s="78"/>
    </row>
    <row r="1132" spans="1:26" ht="15.75" customHeight="1" x14ac:dyDescent="0.25">
      <c r="A1132" s="53">
        <v>12</v>
      </c>
      <c r="B1132" s="54" t="s">
        <v>671</v>
      </c>
      <c r="C1132" s="54" t="s">
        <v>894</v>
      </c>
      <c r="D1132" s="53">
        <v>4149</v>
      </c>
      <c r="E1132" s="53">
        <v>8317</v>
      </c>
      <c r="F1132" s="54" t="s">
        <v>1193</v>
      </c>
      <c r="G1132" s="53" t="s">
        <v>259</v>
      </c>
      <c r="H1132" s="58" t="str">
        <f>_xlfn.IFNA(INDEX(ActiveSchools!$C$2:$F$326,MATCH(G1132,ActiveSchools!$F$2:$F$326,0),1),"Total")</f>
        <v>6990</v>
      </c>
      <c r="I1132" s="53">
        <v>20</v>
      </c>
      <c r="J1132" s="59">
        <f>_xlfn.IFNA(INDEX(DetailByDistrict[],MATCH($H1132,DetailByDistrict[Dist],0),MATCH(J$2,DetailByDistrict[#Headers],0)),0)</f>
        <v>95</v>
      </c>
      <c r="K1132" s="54">
        <f t="shared" si="17"/>
        <v>0.21052631578947367</v>
      </c>
      <c r="L1132" s="59">
        <f>ROUND(INDEX(DetailByDistrict[],MATCH($H1132,DetailByDistrict[Dist],0),MATCH(L$2,DetailByDistrict[#Headers],0))*K1132,2)</f>
        <v>1305.47</v>
      </c>
      <c r="M1132" s="59">
        <f>ROUND(INDEX(DetailByDistrict[],MATCH($H1132,DetailByDistrict[Dist],0),MATCH(M$2,DetailByDistrict[#Headers],0))*K1132,2)</f>
        <v>1461.26</v>
      </c>
      <c r="N1132" s="78"/>
      <c r="O1132" s="78"/>
      <c r="P1132" s="78"/>
      <c r="Q1132" s="78"/>
      <c r="R1132" s="78"/>
      <c r="S1132" s="78"/>
      <c r="T1132" s="78"/>
      <c r="U1132" s="78"/>
      <c r="V1132" s="78"/>
      <c r="W1132" s="78"/>
      <c r="X1132" s="78"/>
      <c r="Y1132" s="78"/>
      <c r="Z1132" s="78"/>
    </row>
    <row r="1133" spans="1:26" ht="15.75" customHeight="1" x14ac:dyDescent="0.25">
      <c r="A1133" s="53">
        <v>12</v>
      </c>
      <c r="B1133" s="54" t="s">
        <v>671</v>
      </c>
      <c r="C1133" s="54" t="s">
        <v>912</v>
      </c>
      <c r="D1133" s="53">
        <v>5486</v>
      </c>
      <c r="E1133" s="53">
        <v>8102</v>
      </c>
      <c r="F1133" s="54" t="s">
        <v>1195</v>
      </c>
      <c r="G1133" s="53" t="s">
        <v>245</v>
      </c>
      <c r="H1133" s="58" t="str">
        <f>_xlfn.IFNA(INDEX(ActiveSchools!$C$2:$F$326,MATCH(G1133,ActiveSchools!$F$2:$F$326,0),1),"Total")</f>
        <v>4068</v>
      </c>
      <c r="I1133" s="53">
        <v>4</v>
      </c>
      <c r="J1133" s="59">
        <f>_xlfn.IFNA(INDEX(DetailByDistrict[],MATCH($H1133,DetailByDistrict[Dist],0),MATCH(J$2,DetailByDistrict[#Headers],0)),0)</f>
        <v>13</v>
      </c>
      <c r="K1133" s="54">
        <f t="shared" si="17"/>
        <v>0.30769230769230771</v>
      </c>
      <c r="L1133" s="59">
        <f>ROUND(INDEX(DetailByDistrict[],MATCH($H1133,DetailByDistrict[Dist],0),MATCH(L$2,DetailByDistrict[#Headers],0))*K1133,2)</f>
        <v>261.23</v>
      </c>
      <c r="M1133" s="59">
        <f>ROUND(INDEX(DetailByDistrict[],MATCH($H1133,DetailByDistrict[Dist],0),MATCH(M$2,DetailByDistrict[#Headers],0))*K1133,2)</f>
        <v>292.31</v>
      </c>
      <c r="N1133" s="78"/>
      <c r="O1133" s="78"/>
      <c r="P1133" s="78"/>
      <c r="Q1133" s="78"/>
      <c r="R1133" s="78"/>
      <c r="S1133" s="78"/>
      <c r="T1133" s="78"/>
      <c r="U1133" s="78"/>
      <c r="V1133" s="78"/>
      <c r="W1133" s="78"/>
      <c r="X1133" s="78"/>
      <c r="Y1133" s="78"/>
      <c r="Z1133" s="78"/>
    </row>
    <row r="1134" spans="1:26" ht="15.75" customHeight="1" x14ac:dyDescent="0.25">
      <c r="A1134" s="53">
        <v>12</v>
      </c>
      <c r="B1134" s="54" t="s">
        <v>671</v>
      </c>
      <c r="C1134" s="54" t="s">
        <v>912</v>
      </c>
      <c r="D1134" s="53">
        <v>5486</v>
      </c>
      <c r="E1134" s="53">
        <v>8102</v>
      </c>
      <c r="F1134" s="54" t="s">
        <v>1176</v>
      </c>
      <c r="G1134" s="53" t="s">
        <v>246</v>
      </c>
      <c r="H1134" s="58" t="str">
        <f>_xlfn.IFNA(INDEX(ActiveSchools!$C$2:$F$326,MATCH(G1134,ActiveSchools!$F$2:$F$326,0),1),"Total")</f>
        <v>4149</v>
      </c>
      <c r="I1134" s="53">
        <v>2</v>
      </c>
      <c r="J1134" s="59">
        <f>_xlfn.IFNA(INDEX(DetailByDistrict[],MATCH($H1134,DetailByDistrict[Dist],0),MATCH(J$2,DetailByDistrict[#Headers],0)),0)</f>
        <v>566</v>
      </c>
      <c r="K1134" s="54">
        <f t="shared" si="17"/>
        <v>3.5335689045936395E-3</v>
      </c>
      <c r="L1134" s="59">
        <f>ROUND(INDEX(DetailByDistrict[],MATCH($H1134,DetailByDistrict[Dist],0),MATCH(L$2,DetailByDistrict[#Headers],0))*K1134,2)</f>
        <v>130.54</v>
      </c>
      <c r="M1134" s="59">
        <f>ROUND(INDEX(DetailByDistrict[],MATCH($H1134,DetailByDistrict[Dist],0),MATCH(M$2,DetailByDistrict[#Headers],0))*K1134,2)</f>
        <v>146.12</v>
      </c>
      <c r="N1134" s="78"/>
      <c r="O1134" s="78"/>
      <c r="P1134" s="78"/>
      <c r="Q1134" s="78"/>
      <c r="R1134" s="78"/>
      <c r="S1134" s="78"/>
      <c r="T1134" s="78"/>
      <c r="U1134" s="78"/>
      <c r="V1134" s="78"/>
      <c r="W1134" s="78"/>
      <c r="X1134" s="78"/>
      <c r="Y1134" s="78"/>
      <c r="Z1134" s="78"/>
    </row>
    <row r="1135" spans="1:26" ht="15.75" customHeight="1" x14ac:dyDescent="0.25">
      <c r="A1135" s="53">
        <v>12</v>
      </c>
      <c r="B1135" s="54" t="s">
        <v>671</v>
      </c>
      <c r="C1135" s="54" t="s">
        <v>912</v>
      </c>
      <c r="D1135" s="53">
        <v>5486</v>
      </c>
      <c r="E1135" s="53">
        <v>8102</v>
      </c>
      <c r="F1135" s="54" t="s">
        <v>1180</v>
      </c>
      <c r="G1135" s="53" t="s">
        <v>247</v>
      </c>
      <c r="H1135" s="58" t="str">
        <f>_xlfn.IFNA(INDEX(ActiveSchools!$C$2:$F$326,MATCH(G1135,ActiveSchools!$F$2:$F$326,0),1),"Total")</f>
        <v>5486</v>
      </c>
      <c r="I1135" s="53">
        <v>71</v>
      </c>
      <c r="J1135" s="59">
        <f>_xlfn.IFNA(INDEX(DetailByDistrict[],MATCH($H1135,DetailByDistrict[Dist],0),MATCH(J$2,DetailByDistrict[#Headers],0)),0)</f>
        <v>181</v>
      </c>
      <c r="K1135" s="54">
        <f t="shared" si="17"/>
        <v>0.39226519337016574</v>
      </c>
      <c r="L1135" s="59">
        <f>ROUND(INDEX(DetailByDistrict[],MATCH($H1135,DetailByDistrict[Dist],0),MATCH(L$2,DetailByDistrict[#Headers],0))*K1135,2)</f>
        <v>4634.22</v>
      </c>
      <c r="M1135" s="59">
        <f>ROUND(INDEX(DetailByDistrict[],MATCH($H1135,DetailByDistrict[Dist],0),MATCH(M$2,DetailByDistrict[#Headers],0))*K1135,2)</f>
        <v>5187.3100000000004</v>
      </c>
      <c r="N1135" s="78"/>
      <c r="O1135" s="78"/>
      <c r="P1135" s="78"/>
      <c r="Q1135" s="78"/>
      <c r="R1135" s="78"/>
      <c r="S1135" s="78"/>
      <c r="T1135" s="78"/>
      <c r="U1135" s="78"/>
      <c r="V1135" s="78"/>
      <c r="W1135" s="78"/>
      <c r="X1135" s="78"/>
      <c r="Y1135" s="78"/>
      <c r="Z1135" s="78"/>
    </row>
    <row r="1136" spans="1:26" ht="15.75" customHeight="1" x14ac:dyDescent="0.25">
      <c r="A1136" s="53">
        <v>12</v>
      </c>
      <c r="B1136" s="54" t="s">
        <v>671</v>
      </c>
      <c r="C1136" s="54" t="s">
        <v>1196</v>
      </c>
      <c r="D1136" s="53">
        <v>5486</v>
      </c>
      <c r="E1136" s="53">
        <v>8103</v>
      </c>
      <c r="F1136" s="54" t="s">
        <v>1191</v>
      </c>
      <c r="G1136" s="53" t="s">
        <v>235</v>
      </c>
      <c r="H1136" s="58" t="str">
        <f>_xlfn.IFNA(INDEX(ActiveSchools!$C$2:$F$326,MATCH(G1136,ActiveSchools!$F$2:$F$326,0),1),"Total")</f>
        <v>1152</v>
      </c>
      <c r="I1136" s="53">
        <v>1</v>
      </c>
      <c r="J1136" s="59">
        <f>_xlfn.IFNA(INDEX(DetailByDistrict[],MATCH($H1136,DetailByDistrict[Dist],0),MATCH(J$2,DetailByDistrict[#Headers],0)),0)</f>
        <v>6</v>
      </c>
      <c r="K1136" s="54">
        <f t="shared" si="17"/>
        <v>0.16666666666666666</v>
      </c>
      <c r="L1136" s="59">
        <f>ROUND(INDEX(DetailByDistrict[],MATCH($H1136,DetailByDistrict[Dist],0),MATCH(L$2,DetailByDistrict[#Headers],0))*K1136,2)</f>
        <v>65.33</v>
      </c>
      <c r="M1136" s="59">
        <f>ROUND(INDEX(DetailByDistrict[],MATCH($H1136,DetailByDistrict[Dist],0),MATCH(M$2,DetailByDistrict[#Headers],0))*K1136,2)</f>
        <v>73</v>
      </c>
      <c r="N1136" s="78"/>
      <c r="O1136" s="78"/>
      <c r="P1136" s="78"/>
      <c r="Q1136" s="78"/>
      <c r="R1136" s="78"/>
      <c r="S1136" s="78"/>
      <c r="T1136" s="78"/>
      <c r="U1136" s="78"/>
      <c r="V1136" s="78"/>
      <c r="W1136" s="78"/>
      <c r="X1136" s="78"/>
      <c r="Y1136" s="78"/>
      <c r="Z1136" s="78"/>
    </row>
    <row r="1137" spans="1:26" ht="15.75" customHeight="1" x14ac:dyDescent="0.25">
      <c r="A1137" s="53">
        <v>12</v>
      </c>
      <c r="B1137" s="54" t="s">
        <v>671</v>
      </c>
      <c r="C1137" s="54" t="s">
        <v>1196</v>
      </c>
      <c r="D1137" s="53">
        <v>5486</v>
      </c>
      <c r="E1137" s="53">
        <v>8103</v>
      </c>
      <c r="F1137" s="54" t="s">
        <v>1184</v>
      </c>
      <c r="G1137" s="53" t="s">
        <v>241</v>
      </c>
      <c r="H1137" s="58" t="str">
        <f>_xlfn.IFNA(INDEX(ActiveSchools!$C$2:$F$326,MATCH(G1137,ActiveSchools!$F$2:$F$326,0),1),"Total")</f>
        <v>3348</v>
      </c>
      <c r="I1137" s="53">
        <v>1</v>
      </c>
      <c r="J1137" s="59">
        <f>_xlfn.IFNA(INDEX(DetailByDistrict[],MATCH($H1137,DetailByDistrict[Dist],0),MATCH(J$2,DetailByDistrict[#Headers],0)),0)</f>
        <v>7</v>
      </c>
      <c r="K1137" s="54">
        <f t="shared" si="17"/>
        <v>0.14285714285714285</v>
      </c>
      <c r="L1137" s="59">
        <f>ROUND(INDEX(DetailByDistrict[],MATCH($H1137,DetailByDistrict[Dist],0),MATCH(L$2,DetailByDistrict[#Headers],0))*K1137,2)</f>
        <v>65.290000000000006</v>
      </c>
      <c r="M1137" s="59">
        <f>ROUND(INDEX(DetailByDistrict[],MATCH($H1137,DetailByDistrict[Dist],0),MATCH(M$2,DetailByDistrict[#Headers],0))*K1137,2)</f>
        <v>73</v>
      </c>
      <c r="N1137" s="78"/>
      <c r="O1137" s="78"/>
      <c r="P1137" s="78"/>
      <c r="Q1137" s="78"/>
      <c r="R1137" s="78"/>
      <c r="S1137" s="78"/>
      <c r="T1137" s="78"/>
      <c r="U1137" s="78"/>
      <c r="V1137" s="78"/>
      <c r="W1137" s="78"/>
      <c r="X1137" s="78"/>
      <c r="Y1137" s="78"/>
      <c r="Z1137" s="78"/>
    </row>
    <row r="1138" spans="1:26" ht="15.75" customHeight="1" x14ac:dyDescent="0.25">
      <c r="A1138" s="53">
        <v>12</v>
      </c>
      <c r="B1138" s="54" t="s">
        <v>671</v>
      </c>
      <c r="C1138" s="54" t="s">
        <v>1196</v>
      </c>
      <c r="D1138" s="53">
        <v>5486</v>
      </c>
      <c r="E1138" s="53">
        <v>8103</v>
      </c>
      <c r="F1138" s="54" t="s">
        <v>1192</v>
      </c>
      <c r="G1138" s="53" t="s">
        <v>243</v>
      </c>
      <c r="H1138" s="58" t="str">
        <f>_xlfn.IFNA(INDEX(ActiveSchools!$C$2:$F$326,MATCH(G1138,ActiveSchools!$F$2:$F$326,0),1),"Total")</f>
        <v>3600</v>
      </c>
      <c r="I1138" s="53">
        <v>7</v>
      </c>
      <c r="J1138" s="59">
        <f>_xlfn.IFNA(INDEX(DetailByDistrict[],MATCH($H1138,DetailByDistrict[Dist],0),MATCH(J$2,DetailByDistrict[#Headers],0)),0)</f>
        <v>503</v>
      </c>
      <c r="K1138" s="54">
        <f t="shared" si="17"/>
        <v>1.3916500994035786E-2</v>
      </c>
      <c r="L1138" s="59">
        <f>ROUND(INDEX(DetailByDistrict[],MATCH($H1138,DetailByDistrict[Dist],0),MATCH(L$2,DetailByDistrict[#Headers],0))*K1138,2)</f>
        <v>456.89</v>
      </c>
      <c r="M1138" s="59">
        <f>ROUND(INDEX(DetailByDistrict[],MATCH($H1138,DetailByDistrict[Dist],0),MATCH(M$2,DetailByDistrict[#Headers],0))*K1138,2)</f>
        <v>511.42</v>
      </c>
      <c r="N1138" s="78"/>
      <c r="O1138" s="78"/>
      <c r="P1138" s="78"/>
      <c r="Q1138" s="78"/>
      <c r="R1138" s="78"/>
      <c r="S1138" s="78"/>
      <c r="T1138" s="78"/>
      <c r="U1138" s="78"/>
      <c r="V1138" s="78"/>
      <c r="W1138" s="78"/>
      <c r="X1138" s="78"/>
      <c r="Y1138" s="78"/>
      <c r="Z1138" s="78"/>
    </row>
    <row r="1139" spans="1:26" ht="15.75" customHeight="1" x14ac:dyDescent="0.25">
      <c r="A1139" s="53">
        <v>12</v>
      </c>
      <c r="B1139" s="54" t="s">
        <v>671</v>
      </c>
      <c r="C1139" s="54" t="s">
        <v>1196</v>
      </c>
      <c r="D1139" s="53">
        <v>5486</v>
      </c>
      <c r="E1139" s="53">
        <v>8103</v>
      </c>
      <c r="F1139" s="54" t="s">
        <v>1195</v>
      </c>
      <c r="G1139" s="53" t="s">
        <v>245</v>
      </c>
      <c r="H1139" s="58" t="str">
        <f>_xlfn.IFNA(INDEX(ActiveSchools!$C$2:$F$326,MATCH(G1139,ActiveSchools!$F$2:$F$326,0),1),"Total")</f>
        <v>4068</v>
      </c>
      <c r="I1139" s="53">
        <v>7</v>
      </c>
      <c r="J1139" s="59">
        <f>_xlfn.IFNA(INDEX(DetailByDistrict[],MATCH($H1139,DetailByDistrict[Dist],0),MATCH(J$2,DetailByDistrict[#Headers],0)),0)</f>
        <v>13</v>
      </c>
      <c r="K1139" s="54">
        <f t="shared" si="17"/>
        <v>0.53846153846153844</v>
      </c>
      <c r="L1139" s="59">
        <f>ROUND(INDEX(DetailByDistrict[],MATCH($H1139,DetailByDistrict[Dist],0),MATCH(L$2,DetailByDistrict[#Headers],0))*K1139,2)</f>
        <v>457.15</v>
      </c>
      <c r="M1139" s="59">
        <f>ROUND(INDEX(DetailByDistrict[],MATCH($H1139,DetailByDistrict[Dist],0),MATCH(M$2,DetailByDistrict[#Headers],0))*K1139,2)</f>
        <v>511.54</v>
      </c>
      <c r="N1139" s="78"/>
      <c r="O1139" s="78"/>
      <c r="P1139" s="78"/>
      <c r="Q1139" s="78"/>
      <c r="R1139" s="78"/>
      <c r="S1139" s="78"/>
      <c r="T1139" s="78"/>
      <c r="U1139" s="78"/>
      <c r="V1139" s="78"/>
      <c r="W1139" s="78"/>
      <c r="X1139" s="78"/>
      <c r="Y1139" s="78"/>
      <c r="Z1139" s="78"/>
    </row>
    <row r="1140" spans="1:26" ht="15.75" customHeight="1" x14ac:dyDescent="0.25">
      <c r="A1140" s="53">
        <v>12</v>
      </c>
      <c r="B1140" s="54" t="s">
        <v>671</v>
      </c>
      <c r="C1140" s="54" t="s">
        <v>1196</v>
      </c>
      <c r="D1140" s="53">
        <v>5486</v>
      </c>
      <c r="E1140" s="53">
        <v>8103</v>
      </c>
      <c r="F1140" s="54" t="s">
        <v>1180</v>
      </c>
      <c r="G1140" s="53" t="s">
        <v>247</v>
      </c>
      <c r="H1140" s="58" t="str">
        <f>_xlfn.IFNA(INDEX(ActiveSchools!$C$2:$F$326,MATCH(G1140,ActiveSchools!$F$2:$F$326,0),1),"Total")</f>
        <v>5486</v>
      </c>
      <c r="I1140" s="53">
        <v>90</v>
      </c>
      <c r="J1140" s="59">
        <f>_xlfn.IFNA(INDEX(DetailByDistrict[],MATCH($H1140,DetailByDistrict[Dist],0),MATCH(J$2,DetailByDistrict[#Headers],0)),0)</f>
        <v>181</v>
      </c>
      <c r="K1140" s="54">
        <f t="shared" si="17"/>
        <v>0.49723756906077349</v>
      </c>
      <c r="L1140" s="59">
        <f>ROUND(INDEX(DetailByDistrict[],MATCH($H1140,DetailByDistrict[Dist],0),MATCH(L$2,DetailByDistrict[#Headers],0))*K1140,2)</f>
        <v>5874.36</v>
      </c>
      <c r="M1140" s="59">
        <f>ROUND(INDEX(DetailByDistrict[],MATCH($H1140,DetailByDistrict[Dist],0),MATCH(M$2,DetailByDistrict[#Headers],0))*K1140,2)</f>
        <v>6575.47</v>
      </c>
      <c r="N1140" s="78"/>
      <c r="O1140" s="78"/>
      <c r="P1140" s="78"/>
      <c r="Q1140" s="78"/>
      <c r="R1140" s="78"/>
      <c r="S1140" s="78"/>
      <c r="T1140" s="78"/>
      <c r="U1140" s="78"/>
      <c r="V1140" s="78"/>
      <c r="W1140" s="78"/>
      <c r="X1140" s="78"/>
      <c r="Y1140" s="78"/>
      <c r="Z1140" s="78"/>
    </row>
    <row r="1141" spans="1:26" ht="15.75" customHeight="1" x14ac:dyDescent="0.25">
      <c r="A1141" s="53">
        <v>12</v>
      </c>
      <c r="B1141" s="54" t="s">
        <v>671</v>
      </c>
      <c r="C1141" s="54" t="s">
        <v>913</v>
      </c>
      <c r="D1141" s="53">
        <v>5607</v>
      </c>
      <c r="E1141" s="53">
        <v>8315</v>
      </c>
      <c r="F1141" s="54" t="s">
        <v>1173</v>
      </c>
      <c r="G1141" s="57" t="s">
        <v>232</v>
      </c>
      <c r="H1141" s="58" t="str">
        <f>_xlfn.IFNA(INDEX(ActiveSchools!$C$2:$F$326,MATCH(G1141,ActiveSchools!$F$2:$F$326,0),1),"Total")</f>
        <v>0747</v>
      </c>
      <c r="I1141" s="53">
        <v>3</v>
      </c>
      <c r="J1141" s="59">
        <f>_xlfn.IFNA(INDEX(DetailByDistrict[],MATCH($H1141,DetailByDistrict[Dist],0),MATCH(J$2,DetailByDistrict[#Headers],0)),0)</f>
        <v>399</v>
      </c>
      <c r="K1141" s="54">
        <f t="shared" si="17"/>
        <v>7.5187969924812026E-3</v>
      </c>
      <c r="L1141" s="59">
        <f>ROUND(INDEX(DetailByDistrict[],MATCH($H1141,DetailByDistrict[Dist],0),MATCH(L$2,DetailByDistrict[#Headers],0))*K1141,2)</f>
        <v>195.81</v>
      </c>
      <c r="M1141" s="59">
        <f>ROUND(INDEX(DetailByDistrict[],MATCH($H1141,DetailByDistrict[Dist],0),MATCH(M$2,DetailByDistrict[#Headers],0))*K1141,2)</f>
        <v>219.18</v>
      </c>
      <c r="N1141" s="78"/>
      <c r="O1141" s="78"/>
      <c r="P1141" s="78"/>
      <c r="Q1141" s="78"/>
      <c r="R1141" s="78"/>
      <c r="S1141" s="78"/>
      <c r="T1141" s="78"/>
      <c r="U1141" s="78"/>
      <c r="V1141" s="78"/>
      <c r="W1141" s="78"/>
      <c r="X1141" s="78"/>
      <c r="Y1141" s="78"/>
      <c r="Z1141" s="78"/>
    </row>
    <row r="1142" spans="1:26" ht="15.75" customHeight="1" x14ac:dyDescent="0.25">
      <c r="A1142" s="53">
        <v>12</v>
      </c>
      <c r="B1142" s="54" t="s">
        <v>671</v>
      </c>
      <c r="C1142" s="54" t="s">
        <v>913</v>
      </c>
      <c r="D1142" s="53">
        <v>5607</v>
      </c>
      <c r="E1142" s="53">
        <v>8315</v>
      </c>
      <c r="F1142" s="54" t="s">
        <v>1174</v>
      </c>
      <c r="G1142" s="53" t="s">
        <v>233</v>
      </c>
      <c r="H1142" s="58" t="str">
        <f>_xlfn.IFNA(INDEX(ActiveSchools!$C$2:$F$326,MATCH(G1142,ActiveSchools!$F$2:$F$326,0),1),"Total")</f>
        <v>1095</v>
      </c>
      <c r="I1142" s="53">
        <v>29</v>
      </c>
      <c r="J1142" s="59">
        <f>_xlfn.IFNA(INDEX(DetailByDistrict[],MATCH($H1142,DetailByDistrict[Dist],0),MATCH(J$2,DetailByDistrict[#Headers],0)),0)</f>
        <v>151</v>
      </c>
      <c r="K1142" s="54">
        <f t="shared" si="17"/>
        <v>0.19205298013245034</v>
      </c>
      <c r="L1142" s="59">
        <f>ROUND(INDEX(DetailByDistrict[],MATCH($H1142,DetailByDistrict[Dist],0),MATCH(L$2,DetailByDistrict[#Headers],0))*K1142,2)</f>
        <v>1892.87</v>
      </c>
      <c r="M1142" s="59">
        <f>ROUND(INDEX(DetailByDistrict[],MATCH($H1142,DetailByDistrict[Dist],0),MATCH(M$2,DetailByDistrict[#Headers],0))*K1142,2)</f>
        <v>2118.73</v>
      </c>
      <c r="N1142" s="78"/>
      <c r="O1142" s="78"/>
      <c r="P1142" s="78"/>
      <c r="Q1142" s="78"/>
      <c r="R1142" s="78"/>
      <c r="S1142" s="78"/>
      <c r="T1142" s="78"/>
      <c r="U1142" s="78"/>
      <c r="V1142" s="78"/>
      <c r="W1142" s="78"/>
      <c r="X1142" s="78"/>
      <c r="Y1142" s="78"/>
      <c r="Z1142" s="78"/>
    </row>
    <row r="1143" spans="1:26" ht="15.75" customHeight="1" x14ac:dyDescent="0.25">
      <c r="A1143" s="53">
        <v>12</v>
      </c>
      <c r="B1143" s="54" t="s">
        <v>671</v>
      </c>
      <c r="C1143" s="54" t="s">
        <v>913</v>
      </c>
      <c r="D1143" s="53">
        <v>5607</v>
      </c>
      <c r="E1143" s="53">
        <v>8315</v>
      </c>
      <c r="F1143" s="54" t="s">
        <v>1176</v>
      </c>
      <c r="G1143" s="53" t="s">
        <v>246</v>
      </c>
      <c r="H1143" s="58" t="str">
        <f>_xlfn.IFNA(INDEX(ActiveSchools!$C$2:$F$326,MATCH(G1143,ActiveSchools!$F$2:$F$326,0),1),"Total")</f>
        <v>4149</v>
      </c>
      <c r="I1143" s="53">
        <v>2</v>
      </c>
      <c r="J1143" s="59">
        <f>_xlfn.IFNA(INDEX(DetailByDistrict[],MATCH($H1143,DetailByDistrict[Dist],0),MATCH(J$2,DetailByDistrict[#Headers],0)),0)</f>
        <v>566</v>
      </c>
      <c r="K1143" s="54">
        <f t="shared" si="17"/>
        <v>3.5335689045936395E-3</v>
      </c>
      <c r="L1143" s="59">
        <f>ROUND(INDEX(DetailByDistrict[],MATCH($H1143,DetailByDistrict[Dist],0),MATCH(L$2,DetailByDistrict[#Headers],0))*K1143,2)</f>
        <v>130.54</v>
      </c>
      <c r="M1143" s="59">
        <f>ROUND(INDEX(DetailByDistrict[],MATCH($H1143,DetailByDistrict[Dist],0),MATCH(M$2,DetailByDistrict[#Headers],0))*K1143,2)</f>
        <v>146.12</v>
      </c>
      <c r="N1143" s="78"/>
      <c r="O1143" s="78"/>
      <c r="P1143" s="78"/>
      <c r="Q1143" s="78"/>
      <c r="R1143" s="78"/>
      <c r="S1143" s="78"/>
      <c r="T1143" s="78"/>
      <c r="U1143" s="78"/>
      <c r="V1143" s="78"/>
      <c r="W1143" s="78"/>
      <c r="X1143" s="78"/>
      <c r="Y1143" s="78"/>
      <c r="Z1143" s="78"/>
    </row>
    <row r="1144" spans="1:26" ht="15.75" customHeight="1" x14ac:dyDescent="0.25">
      <c r="A1144" s="53">
        <v>12</v>
      </c>
      <c r="B1144" s="54" t="s">
        <v>671</v>
      </c>
      <c r="C1144" s="54" t="s">
        <v>913</v>
      </c>
      <c r="D1144" s="53">
        <v>5607</v>
      </c>
      <c r="E1144" s="53">
        <v>8315</v>
      </c>
      <c r="F1144" s="54" t="s">
        <v>1177</v>
      </c>
      <c r="G1144" s="53" t="s">
        <v>249</v>
      </c>
      <c r="H1144" s="58" t="str">
        <f>_xlfn.IFNA(INDEX(ActiveSchools!$C$2:$F$326,MATCH(G1144,ActiveSchools!$F$2:$F$326,0),1),"Total")</f>
        <v>5607</v>
      </c>
      <c r="I1144" s="53">
        <v>145</v>
      </c>
      <c r="J1144" s="59">
        <f>_xlfn.IFNA(INDEX(DetailByDistrict[],MATCH($H1144,DetailByDistrict[Dist],0),MATCH(J$2,DetailByDistrict[#Headers],0)),0)</f>
        <v>439</v>
      </c>
      <c r="K1144" s="54">
        <f t="shared" si="17"/>
        <v>0.33029612756264237</v>
      </c>
      <c r="L1144" s="59">
        <f>ROUND(INDEX(DetailByDistrict[],MATCH($H1144,DetailByDistrict[Dist],0),MATCH(L$2,DetailByDistrict[#Headers],0))*K1144,2)</f>
        <v>9464.31</v>
      </c>
      <c r="M1144" s="59">
        <f>ROUND(INDEX(DetailByDistrict[],MATCH($H1144,DetailByDistrict[Dist],0),MATCH(M$2,DetailByDistrict[#Headers],0))*K1144,2)</f>
        <v>10593.59</v>
      </c>
      <c r="N1144" s="78"/>
      <c r="O1144" s="78"/>
      <c r="P1144" s="78"/>
      <c r="Q1144" s="78"/>
      <c r="R1144" s="78"/>
      <c r="S1144" s="78"/>
      <c r="T1144" s="78"/>
      <c r="U1144" s="78"/>
      <c r="V1144" s="78"/>
      <c r="W1144" s="78"/>
      <c r="X1144" s="78"/>
      <c r="Y1144" s="78"/>
      <c r="Z1144" s="78"/>
    </row>
    <row r="1145" spans="1:26" ht="15.75" customHeight="1" x14ac:dyDescent="0.25">
      <c r="A1145" s="53">
        <v>12</v>
      </c>
      <c r="B1145" s="54" t="s">
        <v>671</v>
      </c>
      <c r="C1145" s="54" t="s">
        <v>913</v>
      </c>
      <c r="D1145" s="53">
        <v>5607</v>
      </c>
      <c r="E1145" s="53">
        <v>8315</v>
      </c>
      <c r="F1145" s="54" t="s">
        <v>1179</v>
      </c>
      <c r="G1145" s="53" t="s">
        <v>254</v>
      </c>
      <c r="H1145" s="58" t="str">
        <f>_xlfn.IFNA(INDEX(ActiveSchools!$C$2:$F$326,MATCH(G1145,ActiveSchools!$F$2:$F$326,0),1),"Total")</f>
        <v>6030</v>
      </c>
      <c r="I1145" s="53">
        <v>1</v>
      </c>
      <c r="J1145" s="59">
        <f>_xlfn.IFNA(INDEX(DetailByDistrict[],MATCH($H1145,DetailByDistrict[Dist],0),MATCH(J$2,DetailByDistrict[#Headers],0)),0)</f>
        <v>739</v>
      </c>
      <c r="K1145" s="54">
        <f t="shared" si="17"/>
        <v>1.3531799729364006E-3</v>
      </c>
      <c r="L1145" s="59">
        <f>ROUND(INDEX(DetailByDistrict[],MATCH($H1145,DetailByDistrict[Dist],0),MATCH(L$2,DetailByDistrict[#Headers],0))*K1145,2)</f>
        <v>65.27</v>
      </c>
      <c r="M1145" s="59">
        <f>ROUND(INDEX(DetailByDistrict[],MATCH($H1145,DetailByDistrict[Dist],0),MATCH(M$2,DetailByDistrict[#Headers],0))*K1145,2)</f>
        <v>73.06</v>
      </c>
      <c r="N1145" s="78"/>
      <c r="O1145" s="78"/>
      <c r="P1145" s="78"/>
      <c r="Q1145" s="78"/>
      <c r="R1145" s="78"/>
      <c r="S1145" s="78"/>
      <c r="T1145" s="78"/>
      <c r="U1145" s="78"/>
      <c r="V1145" s="78"/>
      <c r="W1145" s="78"/>
      <c r="X1145" s="78"/>
      <c r="Y1145" s="78"/>
      <c r="Z1145" s="78"/>
    </row>
    <row r="1146" spans="1:26" ht="15.75" customHeight="1" x14ac:dyDescent="0.25">
      <c r="A1146" s="53">
        <v>12</v>
      </c>
      <c r="B1146" s="54" t="s">
        <v>671</v>
      </c>
      <c r="C1146" s="54" t="s">
        <v>913</v>
      </c>
      <c r="D1146" s="53">
        <v>5607</v>
      </c>
      <c r="E1146" s="53">
        <v>8315</v>
      </c>
      <c r="F1146" s="54" t="s">
        <v>1182</v>
      </c>
      <c r="G1146" s="53" t="s">
        <v>257</v>
      </c>
      <c r="H1146" s="58" t="str">
        <f>_xlfn.IFNA(INDEX(ActiveSchools!$C$2:$F$326,MATCH(G1146,ActiveSchools!$F$2:$F$326,0),1),"Total")</f>
        <v>6983</v>
      </c>
      <c r="I1146" s="53">
        <v>21</v>
      </c>
      <c r="J1146" s="59">
        <f>_xlfn.IFNA(INDEX(DetailByDistrict[],MATCH($H1146,DetailByDistrict[Dist],0),MATCH(J$2,DetailByDistrict[#Headers],0)),0)</f>
        <v>165</v>
      </c>
      <c r="K1146" s="54">
        <f t="shared" si="17"/>
        <v>0.12727272727272726</v>
      </c>
      <c r="L1146" s="59">
        <f>ROUND(INDEX(DetailByDistrict[],MATCH($H1146,DetailByDistrict[Dist],0),MATCH(L$2,DetailByDistrict[#Headers],0))*K1146,2)</f>
        <v>1370.73</v>
      </c>
      <c r="M1146" s="59">
        <f>ROUND(INDEX(DetailByDistrict[],MATCH($H1146,DetailByDistrict[Dist],0),MATCH(M$2,DetailByDistrict[#Headers],0))*K1146,2)</f>
        <v>1534.27</v>
      </c>
      <c r="N1146" s="78"/>
      <c r="O1146" s="78"/>
      <c r="P1146" s="78"/>
      <c r="Q1146" s="78"/>
      <c r="R1146" s="78"/>
      <c r="S1146" s="78"/>
      <c r="T1146" s="78"/>
      <c r="U1146" s="78"/>
      <c r="V1146" s="78"/>
      <c r="W1146" s="78"/>
      <c r="X1146" s="78"/>
      <c r="Y1146" s="78"/>
      <c r="Z1146" s="78"/>
    </row>
    <row r="1147" spans="1:26" ht="15.75" customHeight="1" x14ac:dyDescent="0.25">
      <c r="A1147" s="53">
        <v>12</v>
      </c>
      <c r="B1147" s="54" t="s">
        <v>671</v>
      </c>
      <c r="C1147" s="54" t="s">
        <v>914</v>
      </c>
      <c r="D1147" s="53">
        <v>5607</v>
      </c>
      <c r="E1147" s="53">
        <v>8319</v>
      </c>
      <c r="F1147" s="54" t="s">
        <v>1173</v>
      </c>
      <c r="G1147" s="57" t="s">
        <v>232</v>
      </c>
      <c r="H1147" s="58" t="str">
        <f>_xlfn.IFNA(INDEX(ActiveSchools!$C$2:$F$326,MATCH(G1147,ActiveSchools!$F$2:$F$326,0),1),"Total")</f>
        <v>0747</v>
      </c>
      <c r="I1147" s="53">
        <v>49</v>
      </c>
      <c r="J1147" s="59">
        <f>_xlfn.IFNA(INDEX(DetailByDistrict[],MATCH($H1147,DetailByDistrict[Dist],0),MATCH(J$2,DetailByDistrict[#Headers],0)),0)</f>
        <v>399</v>
      </c>
      <c r="K1147" s="54">
        <f t="shared" si="17"/>
        <v>0.12280701754385964</v>
      </c>
      <c r="L1147" s="59">
        <f>ROUND(INDEX(DetailByDistrict[],MATCH($H1147,DetailByDistrict[Dist],0),MATCH(L$2,DetailByDistrict[#Headers],0))*K1147,2)</f>
        <v>3198.26</v>
      </c>
      <c r="M1147" s="59">
        <f>ROUND(INDEX(DetailByDistrict[],MATCH($H1147,DetailByDistrict[Dist],0),MATCH(M$2,DetailByDistrict[#Headers],0))*K1147,2)</f>
        <v>3579.95</v>
      </c>
      <c r="N1147" s="78"/>
      <c r="O1147" s="78"/>
      <c r="P1147" s="78"/>
      <c r="Q1147" s="78"/>
      <c r="R1147" s="78"/>
      <c r="S1147" s="78"/>
      <c r="T1147" s="78"/>
      <c r="U1147" s="78"/>
      <c r="V1147" s="78"/>
      <c r="W1147" s="78"/>
      <c r="X1147" s="78"/>
      <c r="Y1147" s="78"/>
      <c r="Z1147" s="78"/>
    </row>
    <row r="1148" spans="1:26" ht="15.75" customHeight="1" x14ac:dyDescent="0.25">
      <c r="A1148" s="53">
        <v>12</v>
      </c>
      <c r="B1148" s="54" t="s">
        <v>671</v>
      </c>
      <c r="C1148" s="54" t="s">
        <v>914</v>
      </c>
      <c r="D1148" s="53">
        <v>5607</v>
      </c>
      <c r="E1148" s="53">
        <v>8319</v>
      </c>
      <c r="F1148" s="54" t="s">
        <v>1174</v>
      </c>
      <c r="G1148" s="53" t="s">
        <v>233</v>
      </c>
      <c r="H1148" s="58" t="str">
        <f>_xlfn.IFNA(INDEX(ActiveSchools!$C$2:$F$326,MATCH(G1148,ActiveSchools!$F$2:$F$326,0),1),"Total")</f>
        <v>1095</v>
      </c>
      <c r="I1148" s="53">
        <v>30</v>
      </c>
      <c r="J1148" s="59">
        <f>_xlfn.IFNA(INDEX(DetailByDistrict[],MATCH($H1148,DetailByDistrict[Dist],0),MATCH(J$2,DetailByDistrict[#Headers],0)),0)</f>
        <v>151</v>
      </c>
      <c r="K1148" s="54">
        <f t="shared" si="17"/>
        <v>0.19867549668874171</v>
      </c>
      <c r="L1148" s="59">
        <f>ROUND(INDEX(DetailByDistrict[],MATCH($H1148,DetailByDistrict[Dist],0),MATCH(L$2,DetailByDistrict[#Headers],0))*K1148,2)</f>
        <v>1958.15</v>
      </c>
      <c r="M1148" s="59">
        <f>ROUND(INDEX(DetailByDistrict[],MATCH($H1148,DetailByDistrict[Dist],0),MATCH(M$2,DetailByDistrict[#Headers],0))*K1148,2)</f>
        <v>2191.79</v>
      </c>
      <c r="N1148" s="78"/>
      <c r="O1148" s="78"/>
      <c r="P1148" s="78"/>
      <c r="Q1148" s="78"/>
      <c r="R1148" s="78"/>
      <c r="S1148" s="78"/>
      <c r="T1148" s="78"/>
      <c r="U1148" s="78"/>
      <c r="V1148" s="78"/>
      <c r="W1148" s="78"/>
      <c r="X1148" s="78"/>
      <c r="Y1148" s="78"/>
      <c r="Z1148" s="78"/>
    </row>
    <row r="1149" spans="1:26" ht="15.75" customHeight="1" x14ac:dyDescent="0.25">
      <c r="A1149" s="53">
        <v>12</v>
      </c>
      <c r="B1149" s="54" t="s">
        <v>671</v>
      </c>
      <c r="C1149" s="54" t="s">
        <v>914</v>
      </c>
      <c r="D1149" s="53">
        <v>5607</v>
      </c>
      <c r="E1149" s="53">
        <v>8319</v>
      </c>
      <c r="F1149" s="54" t="s">
        <v>1175</v>
      </c>
      <c r="G1149" s="53" t="s">
        <v>238</v>
      </c>
      <c r="H1149" s="58" t="str">
        <f>_xlfn.IFNA(INDEX(ActiveSchools!$C$2:$F$326,MATCH(G1149,ActiveSchools!$F$2:$F$326,0),1),"Total")</f>
        <v>2457</v>
      </c>
      <c r="I1149" s="53">
        <v>6</v>
      </c>
      <c r="J1149" s="59">
        <f>_xlfn.IFNA(INDEX(DetailByDistrict[],MATCH($H1149,DetailByDistrict[Dist],0),MATCH(J$2,DetailByDistrict[#Headers],0)),0)</f>
        <v>14</v>
      </c>
      <c r="K1149" s="54">
        <f t="shared" si="17"/>
        <v>0.42857142857142855</v>
      </c>
      <c r="L1149" s="59">
        <f>ROUND(INDEX(DetailByDistrict[],MATCH($H1149,DetailByDistrict[Dist],0),MATCH(L$2,DetailByDistrict[#Headers],0))*K1149,2)</f>
        <v>391.71</v>
      </c>
      <c r="M1149" s="59">
        <f>ROUND(INDEX(DetailByDistrict[],MATCH($H1149,DetailByDistrict[Dist],0),MATCH(M$2,DetailByDistrict[#Headers],0))*K1149,2)</f>
        <v>438.43</v>
      </c>
      <c r="N1149" s="78"/>
      <c r="O1149" s="78"/>
      <c r="P1149" s="78"/>
      <c r="Q1149" s="78"/>
      <c r="R1149" s="78"/>
      <c r="S1149" s="78"/>
      <c r="T1149" s="78"/>
      <c r="U1149" s="78"/>
      <c r="V1149" s="78"/>
      <c r="W1149" s="78"/>
      <c r="X1149" s="78"/>
      <c r="Y1149" s="78"/>
      <c r="Z1149" s="78"/>
    </row>
    <row r="1150" spans="1:26" ht="15.75" customHeight="1" x14ac:dyDescent="0.25">
      <c r="A1150" s="53">
        <v>12</v>
      </c>
      <c r="B1150" s="54" t="s">
        <v>671</v>
      </c>
      <c r="C1150" s="54" t="s">
        <v>914</v>
      </c>
      <c r="D1150" s="53">
        <v>5607</v>
      </c>
      <c r="E1150" s="53">
        <v>8319</v>
      </c>
      <c r="F1150" s="54" t="s">
        <v>1176</v>
      </c>
      <c r="G1150" s="53" t="s">
        <v>246</v>
      </c>
      <c r="H1150" s="58" t="str">
        <f>_xlfn.IFNA(INDEX(ActiveSchools!$C$2:$F$326,MATCH(G1150,ActiveSchools!$F$2:$F$326,0),1),"Total")</f>
        <v>4149</v>
      </c>
      <c r="I1150" s="53">
        <v>12</v>
      </c>
      <c r="J1150" s="59">
        <f>_xlfn.IFNA(INDEX(DetailByDistrict[],MATCH($H1150,DetailByDistrict[Dist],0),MATCH(J$2,DetailByDistrict[#Headers],0)),0)</f>
        <v>566</v>
      </c>
      <c r="K1150" s="54">
        <f t="shared" si="17"/>
        <v>2.1201413427561839E-2</v>
      </c>
      <c r="L1150" s="59">
        <f>ROUND(INDEX(DetailByDistrict[],MATCH($H1150,DetailByDistrict[Dist],0),MATCH(L$2,DetailByDistrict[#Headers],0))*K1150,2)</f>
        <v>783.24</v>
      </c>
      <c r="M1150" s="59">
        <f>ROUND(INDEX(DetailByDistrict[],MATCH($H1150,DetailByDistrict[Dist],0),MATCH(M$2,DetailByDistrict[#Headers],0))*K1150,2)</f>
        <v>876.72</v>
      </c>
      <c r="N1150" s="78"/>
      <c r="O1150" s="78"/>
      <c r="P1150" s="78"/>
      <c r="Q1150" s="78"/>
      <c r="R1150" s="78"/>
      <c r="S1150" s="78"/>
      <c r="T1150" s="78"/>
      <c r="U1150" s="78"/>
      <c r="V1150" s="78"/>
      <c r="W1150" s="78"/>
      <c r="X1150" s="78"/>
      <c r="Y1150" s="78"/>
      <c r="Z1150" s="78"/>
    </row>
    <row r="1151" spans="1:26" ht="15.75" customHeight="1" x14ac:dyDescent="0.25">
      <c r="A1151" s="53">
        <v>12</v>
      </c>
      <c r="B1151" s="54" t="s">
        <v>671</v>
      </c>
      <c r="C1151" s="54" t="s">
        <v>914</v>
      </c>
      <c r="D1151" s="53">
        <v>5607</v>
      </c>
      <c r="E1151" s="53">
        <v>8319</v>
      </c>
      <c r="F1151" s="54" t="s">
        <v>1177</v>
      </c>
      <c r="G1151" s="53" t="s">
        <v>249</v>
      </c>
      <c r="H1151" s="58" t="str">
        <f>_xlfn.IFNA(INDEX(ActiveSchools!$C$2:$F$326,MATCH(G1151,ActiveSchools!$F$2:$F$326,0),1),"Total")</f>
        <v>5607</v>
      </c>
      <c r="I1151" s="53">
        <v>151</v>
      </c>
      <c r="J1151" s="59">
        <f>_xlfn.IFNA(INDEX(DetailByDistrict[],MATCH($H1151,DetailByDistrict[Dist],0),MATCH(J$2,DetailByDistrict[#Headers],0)),0)</f>
        <v>439</v>
      </c>
      <c r="K1151" s="54">
        <f t="shared" si="17"/>
        <v>0.3439635535307517</v>
      </c>
      <c r="L1151" s="59">
        <f>ROUND(INDEX(DetailByDistrict[],MATCH($H1151,DetailByDistrict[Dist],0),MATCH(L$2,DetailByDistrict[#Headers],0))*K1151,2)</f>
        <v>9855.93</v>
      </c>
      <c r="M1151" s="59">
        <f>ROUND(INDEX(DetailByDistrict[],MATCH($H1151,DetailByDistrict[Dist],0),MATCH(M$2,DetailByDistrict[#Headers],0))*K1151,2)</f>
        <v>11031.94</v>
      </c>
      <c r="N1151" s="78"/>
      <c r="O1151" s="78"/>
      <c r="P1151" s="78"/>
      <c r="Q1151" s="78"/>
      <c r="R1151" s="78"/>
      <c r="S1151" s="78"/>
      <c r="T1151" s="78"/>
      <c r="U1151" s="78"/>
      <c r="V1151" s="78"/>
      <c r="W1151" s="78"/>
      <c r="X1151" s="78"/>
      <c r="Y1151" s="78"/>
      <c r="Z1151" s="78"/>
    </row>
    <row r="1152" spans="1:26" ht="15.75" customHeight="1" x14ac:dyDescent="0.25">
      <c r="A1152" s="53">
        <v>12</v>
      </c>
      <c r="B1152" s="54" t="s">
        <v>671</v>
      </c>
      <c r="C1152" s="54" t="s">
        <v>914</v>
      </c>
      <c r="D1152" s="53">
        <v>5607</v>
      </c>
      <c r="E1152" s="53">
        <v>8316</v>
      </c>
      <c r="F1152" s="54" t="s">
        <v>1178</v>
      </c>
      <c r="G1152" s="53" t="s">
        <v>252</v>
      </c>
      <c r="H1152" s="58" t="str">
        <f>_xlfn.IFNA(INDEX(ActiveSchools!$C$2:$F$326,MATCH(G1152,ActiveSchools!$F$2:$F$326,0),1),"Total")</f>
        <v>5949</v>
      </c>
      <c r="I1152" s="53">
        <v>1</v>
      </c>
      <c r="J1152" s="59">
        <f>_xlfn.IFNA(INDEX(DetailByDistrict[],MATCH($H1152,DetailByDistrict[Dist],0),MATCH(J$2,DetailByDistrict[#Headers],0)),0)</f>
        <v>173</v>
      </c>
      <c r="K1152" s="54">
        <f t="shared" si="17"/>
        <v>5.7803468208092483E-3</v>
      </c>
      <c r="L1152" s="59">
        <f>ROUND(INDEX(DetailByDistrict[],MATCH($H1152,DetailByDistrict[Dist],0),MATCH(L$2,DetailByDistrict[#Headers],0))*K1152,2)</f>
        <v>65.27</v>
      </c>
      <c r="M1152" s="59">
        <f>ROUND(INDEX(DetailByDistrict[],MATCH($H1152,DetailByDistrict[Dist],0),MATCH(M$2,DetailByDistrict[#Headers],0))*K1152,2)</f>
        <v>73.06</v>
      </c>
      <c r="N1152" s="78"/>
      <c r="O1152" s="78"/>
      <c r="P1152" s="78"/>
      <c r="Q1152" s="78"/>
      <c r="R1152" s="78"/>
      <c r="S1152" s="78"/>
      <c r="T1152" s="78"/>
      <c r="U1152" s="78"/>
      <c r="V1152" s="78"/>
      <c r="W1152" s="78"/>
      <c r="X1152" s="78"/>
      <c r="Y1152" s="78"/>
      <c r="Z1152" s="78"/>
    </row>
    <row r="1153" spans="1:26" ht="15.75" customHeight="1" x14ac:dyDescent="0.25">
      <c r="A1153" s="53">
        <v>12</v>
      </c>
      <c r="B1153" s="54" t="s">
        <v>671</v>
      </c>
      <c r="C1153" s="54" t="s">
        <v>914</v>
      </c>
      <c r="D1153" s="53">
        <v>5607</v>
      </c>
      <c r="E1153" s="53">
        <v>8319</v>
      </c>
      <c r="F1153" s="54" t="s">
        <v>1179</v>
      </c>
      <c r="G1153" s="53" t="s">
        <v>254</v>
      </c>
      <c r="H1153" s="58" t="str">
        <f>_xlfn.IFNA(INDEX(ActiveSchools!$C$2:$F$326,MATCH(G1153,ActiveSchools!$F$2:$F$326,0),1),"Total")</f>
        <v>6030</v>
      </c>
      <c r="I1153" s="53">
        <v>48</v>
      </c>
      <c r="J1153" s="59">
        <f>_xlfn.IFNA(INDEX(DetailByDistrict[],MATCH($H1153,DetailByDistrict[Dist],0),MATCH(J$2,DetailByDistrict[#Headers],0)),0)</f>
        <v>739</v>
      </c>
      <c r="K1153" s="54">
        <f t="shared" si="17"/>
        <v>6.4952638700947224E-2</v>
      </c>
      <c r="L1153" s="59">
        <f>ROUND(INDEX(DetailByDistrict[],MATCH($H1153,DetailByDistrict[Dist],0),MATCH(L$2,DetailByDistrict[#Headers],0))*K1153,2)</f>
        <v>3132.99</v>
      </c>
      <c r="M1153" s="59">
        <f>ROUND(INDEX(DetailByDistrict[],MATCH($H1153,DetailByDistrict[Dist],0),MATCH(M$2,DetailByDistrict[#Headers],0))*K1153,2)</f>
        <v>3506.86</v>
      </c>
      <c r="N1153" s="78"/>
      <c r="O1153" s="78"/>
      <c r="P1153" s="78"/>
      <c r="Q1153" s="78"/>
      <c r="R1153" s="78"/>
      <c r="S1153" s="78"/>
      <c r="T1153" s="78"/>
      <c r="U1153" s="78"/>
      <c r="V1153" s="78"/>
      <c r="W1153" s="78"/>
      <c r="X1153" s="78"/>
      <c r="Y1153" s="78"/>
      <c r="Z1153" s="78"/>
    </row>
    <row r="1154" spans="1:26" ht="15.75" customHeight="1" x14ac:dyDescent="0.25">
      <c r="A1154" s="53">
        <v>12</v>
      </c>
      <c r="B1154" s="54" t="s">
        <v>671</v>
      </c>
      <c r="C1154" s="54" t="s">
        <v>914</v>
      </c>
      <c r="D1154" s="53">
        <v>5607</v>
      </c>
      <c r="E1154" s="53">
        <v>8319</v>
      </c>
      <c r="F1154" s="54" t="s">
        <v>1182</v>
      </c>
      <c r="G1154" s="53" t="s">
        <v>257</v>
      </c>
      <c r="H1154" s="58" t="str">
        <f>_xlfn.IFNA(INDEX(ActiveSchools!$C$2:$F$326,MATCH(G1154,ActiveSchools!$F$2:$F$326,0),1),"Total")</f>
        <v>6983</v>
      </c>
      <c r="I1154" s="53">
        <v>87</v>
      </c>
      <c r="J1154" s="59">
        <f>_xlfn.IFNA(INDEX(DetailByDistrict[],MATCH($H1154,DetailByDistrict[Dist],0),MATCH(J$2,DetailByDistrict[#Headers],0)),0)</f>
        <v>165</v>
      </c>
      <c r="K1154" s="54">
        <f t="shared" si="17"/>
        <v>0.52727272727272723</v>
      </c>
      <c r="L1154" s="59">
        <f>ROUND(INDEX(DetailByDistrict[],MATCH($H1154,DetailByDistrict[Dist],0),MATCH(L$2,DetailByDistrict[#Headers],0))*K1154,2)</f>
        <v>5678.73</v>
      </c>
      <c r="M1154" s="59">
        <f>ROUND(INDEX(DetailByDistrict[],MATCH($H1154,DetailByDistrict[Dist],0),MATCH(M$2,DetailByDistrict[#Headers],0))*K1154,2)</f>
        <v>6356.27</v>
      </c>
      <c r="N1154" s="78"/>
      <c r="O1154" s="78"/>
      <c r="P1154" s="78"/>
      <c r="Q1154" s="78"/>
      <c r="R1154" s="78"/>
      <c r="S1154" s="78"/>
      <c r="T1154" s="78"/>
      <c r="U1154" s="78"/>
      <c r="V1154" s="78"/>
      <c r="W1154" s="78"/>
      <c r="X1154" s="78"/>
      <c r="Y1154" s="78"/>
      <c r="Z1154" s="78"/>
    </row>
    <row r="1155" spans="1:26" ht="15.75" customHeight="1" x14ac:dyDescent="0.25">
      <c r="A1155" s="53">
        <v>12</v>
      </c>
      <c r="B1155" s="54" t="s">
        <v>671</v>
      </c>
      <c r="C1155" s="54" t="s">
        <v>914</v>
      </c>
      <c r="D1155" s="53">
        <v>5607</v>
      </c>
      <c r="E1155" s="53">
        <v>8319</v>
      </c>
      <c r="F1155" s="54" t="s">
        <v>1193</v>
      </c>
      <c r="G1155" s="53" t="s">
        <v>259</v>
      </c>
      <c r="H1155" s="58" t="str">
        <f>_xlfn.IFNA(INDEX(ActiveSchools!$C$2:$F$326,MATCH(G1155,ActiveSchools!$F$2:$F$326,0),1),"Total")</f>
        <v>6990</v>
      </c>
      <c r="I1155" s="53">
        <v>19</v>
      </c>
      <c r="J1155" s="59">
        <f>_xlfn.IFNA(INDEX(DetailByDistrict[],MATCH($H1155,DetailByDistrict[Dist],0),MATCH(J$2,DetailByDistrict[#Headers],0)),0)</f>
        <v>95</v>
      </c>
      <c r="K1155" s="54">
        <f t="shared" si="17"/>
        <v>0.2</v>
      </c>
      <c r="L1155" s="59">
        <f>ROUND(INDEX(DetailByDistrict[],MATCH($H1155,DetailByDistrict[Dist],0),MATCH(L$2,DetailByDistrict[#Headers],0))*K1155,2)</f>
        <v>1240.2</v>
      </c>
      <c r="M1155" s="59">
        <f>ROUND(INDEX(DetailByDistrict[],MATCH($H1155,DetailByDistrict[Dist],0),MATCH(M$2,DetailByDistrict[#Headers],0))*K1155,2)</f>
        <v>1388.2</v>
      </c>
      <c r="N1155" s="78"/>
      <c r="O1155" s="78"/>
      <c r="P1155" s="78"/>
      <c r="Q1155" s="78"/>
      <c r="R1155" s="78"/>
      <c r="S1155" s="78"/>
      <c r="T1155" s="78"/>
      <c r="U1155" s="78"/>
      <c r="V1155" s="78"/>
      <c r="W1155" s="78"/>
      <c r="X1155" s="78"/>
      <c r="Y1155" s="78"/>
      <c r="Z1155" s="78"/>
    </row>
    <row r="1156" spans="1:26" ht="15.75" customHeight="1" x14ac:dyDescent="0.25">
      <c r="A1156" s="53">
        <v>12</v>
      </c>
      <c r="B1156" s="54" t="s">
        <v>671</v>
      </c>
      <c r="C1156" s="54" t="s">
        <v>916</v>
      </c>
      <c r="D1156" s="53">
        <v>5949</v>
      </c>
      <c r="E1156" s="53">
        <v>8101</v>
      </c>
      <c r="F1156" s="54" t="s">
        <v>1183</v>
      </c>
      <c r="G1156" s="53" t="s">
        <v>239</v>
      </c>
      <c r="H1156" s="58" t="str">
        <f>_xlfn.IFNA(INDEX(ActiveSchools!$C$2:$F$326,MATCH(G1156,ActiveSchools!$F$2:$F$326,0),1),"Total")</f>
        <v>2862</v>
      </c>
      <c r="I1156" s="53">
        <v>2</v>
      </c>
      <c r="J1156" s="59">
        <f>_xlfn.IFNA(INDEX(DetailByDistrict[],MATCH($H1156,DetailByDistrict[Dist],0),MATCH(J$2,DetailByDistrict[#Headers],0)),0)</f>
        <v>146</v>
      </c>
      <c r="K1156" s="54">
        <f t="shared" ref="K1156:K1219" si="18">I1156/J1156</f>
        <v>1.3698630136986301E-2</v>
      </c>
      <c r="L1156" s="59">
        <f>ROUND(INDEX(DetailByDistrict[],MATCH($H1156,DetailByDistrict[Dist],0),MATCH(L$2,DetailByDistrict[#Headers],0))*K1156,2)</f>
        <v>130.53</v>
      </c>
      <c r="M1156" s="59">
        <f>ROUND(INDEX(DetailByDistrict[],MATCH($H1156,DetailByDistrict[Dist],0),MATCH(M$2,DetailByDistrict[#Headers],0))*K1156,2)</f>
        <v>146.12</v>
      </c>
      <c r="N1156" s="78"/>
      <c r="O1156" s="78"/>
      <c r="P1156" s="78"/>
      <c r="Q1156" s="78"/>
      <c r="R1156" s="78"/>
      <c r="S1156" s="78"/>
      <c r="T1156" s="78"/>
      <c r="U1156" s="78"/>
      <c r="V1156" s="78"/>
      <c r="W1156" s="78"/>
      <c r="X1156" s="78"/>
      <c r="Y1156" s="78"/>
      <c r="Z1156" s="78"/>
    </row>
    <row r="1157" spans="1:26" ht="15.75" customHeight="1" x14ac:dyDescent="0.25">
      <c r="A1157" s="53">
        <v>12</v>
      </c>
      <c r="B1157" s="54" t="s">
        <v>671</v>
      </c>
      <c r="C1157" s="54" t="s">
        <v>916</v>
      </c>
      <c r="D1157" s="53">
        <v>5949</v>
      </c>
      <c r="E1157" s="53">
        <v>8101</v>
      </c>
      <c r="F1157" s="54" t="s">
        <v>1178</v>
      </c>
      <c r="G1157" s="53" t="s">
        <v>252</v>
      </c>
      <c r="H1157" s="58" t="str">
        <f>_xlfn.IFNA(INDEX(ActiveSchools!$C$2:$F$326,MATCH(G1157,ActiveSchools!$F$2:$F$326,0),1),"Total")</f>
        <v>5949</v>
      </c>
      <c r="I1157" s="53">
        <v>35</v>
      </c>
      <c r="J1157" s="59">
        <f>_xlfn.IFNA(INDEX(DetailByDistrict[],MATCH($H1157,DetailByDistrict[Dist],0),MATCH(J$2,DetailByDistrict[#Headers],0)),0)</f>
        <v>173</v>
      </c>
      <c r="K1157" s="54">
        <f t="shared" si="18"/>
        <v>0.20231213872832371</v>
      </c>
      <c r="L1157" s="59">
        <f>ROUND(INDEX(DetailByDistrict[],MATCH($H1157,DetailByDistrict[Dist],0),MATCH(L$2,DetailByDistrict[#Headers],0))*K1157,2)</f>
        <v>2284.5100000000002</v>
      </c>
      <c r="M1157" s="59">
        <f>ROUND(INDEX(DetailByDistrict[],MATCH($H1157,DetailByDistrict[Dist],0),MATCH(M$2,DetailByDistrict[#Headers],0))*K1157,2)</f>
        <v>2557.02</v>
      </c>
      <c r="N1157" s="78"/>
      <c r="O1157" s="78"/>
      <c r="P1157" s="78"/>
      <c r="Q1157" s="78"/>
      <c r="R1157" s="78"/>
      <c r="S1157" s="78"/>
      <c r="T1157" s="78"/>
      <c r="U1157" s="78"/>
      <c r="V1157" s="78"/>
      <c r="W1157" s="78"/>
      <c r="X1157" s="78"/>
      <c r="Y1157" s="78"/>
      <c r="Z1157" s="78"/>
    </row>
    <row r="1158" spans="1:26" ht="15.75" customHeight="1" x14ac:dyDescent="0.25">
      <c r="A1158" s="53">
        <v>12</v>
      </c>
      <c r="B1158" s="54" t="s">
        <v>671</v>
      </c>
      <c r="C1158" s="54" t="s">
        <v>916</v>
      </c>
      <c r="D1158" s="53">
        <v>5949</v>
      </c>
      <c r="E1158" s="53">
        <v>8101</v>
      </c>
      <c r="F1158" s="54" t="s">
        <v>1181</v>
      </c>
      <c r="G1158" s="53" t="s">
        <v>253</v>
      </c>
      <c r="H1158" s="58" t="str">
        <f>_xlfn.IFNA(INDEX(ActiveSchools!$C$2:$F$326,MATCH(G1158,ActiveSchools!$F$2:$F$326,0),1),"Total")</f>
        <v>5994</v>
      </c>
      <c r="I1158" s="53">
        <v>2</v>
      </c>
      <c r="J1158" s="59">
        <f>_xlfn.IFNA(INDEX(DetailByDistrict[],MATCH($H1158,DetailByDistrict[Dist],0),MATCH(J$2,DetailByDistrict[#Headers],0)),0)</f>
        <v>21</v>
      </c>
      <c r="K1158" s="54">
        <f t="shared" si="18"/>
        <v>9.5238095238095233E-2</v>
      </c>
      <c r="L1158" s="59">
        <f>ROUND(INDEX(DetailByDistrict[],MATCH($H1158,DetailByDistrict[Dist],0),MATCH(L$2,DetailByDistrict[#Headers],0))*K1158,2)</f>
        <v>130.57</v>
      </c>
      <c r="M1158" s="59">
        <f>ROUND(INDEX(DetailByDistrict[],MATCH($H1158,DetailByDistrict[Dist],0),MATCH(M$2,DetailByDistrict[#Headers],0))*K1158,2)</f>
        <v>146.1</v>
      </c>
      <c r="N1158" s="78"/>
      <c r="O1158" s="78"/>
      <c r="P1158" s="78"/>
      <c r="Q1158" s="78"/>
      <c r="R1158" s="78"/>
      <c r="S1158" s="78"/>
      <c r="T1158" s="78"/>
      <c r="U1158" s="78"/>
      <c r="V1158" s="78"/>
      <c r="W1158" s="78"/>
      <c r="X1158" s="78"/>
      <c r="Y1158" s="78"/>
      <c r="Z1158" s="78"/>
    </row>
    <row r="1159" spans="1:26" ht="15.75" customHeight="1" x14ac:dyDescent="0.25">
      <c r="A1159" s="53">
        <v>12</v>
      </c>
      <c r="B1159" s="54" t="s">
        <v>671</v>
      </c>
      <c r="C1159" s="54" t="s">
        <v>917</v>
      </c>
      <c r="D1159" s="53">
        <v>5949</v>
      </c>
      <c r="E1159" s="53">
        <v>8305</v>
      </c>
      <c r="F1159" s="54" t="s">
        <v>1173</v>
      </c>
      <c r="G1159" s="57" t="s">
        <v>232</v>
      </c>
      <c r="H1159" s="58" t="str">
        <f>_xlfn.IFNA(INDEX(ActiveSchools!$C$2:$F$326,MATCH(G1159,ActiveSchools!$F$2:$F$326,0),1),"Total")</f>
        <v>0747</v>
      </c>
      <c r="I1159" s="53">
        <v>5</v>
      </c>
      <c r="J1159" s="59">
        <f>_xlfn.IFNA(INDEX(DetailByDistrict[],MATCH($H1159,DetailByDistrict[Dist],0),MATCH(J$2,DetailByDistrict[#Headers],0)),0)</f>
        <v>399</v>
      </c>
      <c r="K1159" s="54">
        <f t="shared" si="18"/>
        <v>1.2531328320802004E-2</v>
      </c>
      <c r="L1159" s="59">
        <f>ROUND(INDEX(DetailByDistrict[],MATCH($H1159,DetailByDistrict[Dist],0),MATCH(L$2,DetailByDistrict[#Headers],0))*K1159,2)</f>
        <v>326.35000000000002</v>
      </c>
      <c r="M1159" s="59">
        <f>ROUND(INDEX(DetailByDistrict[],MATCH($H1159,DetailByDistrict[Dist],0),MATCH(M$2,DetailByDistrict[#Headers],0))*K1159,2)</f>
        <v>365.3</v>
      </c>
      <c r="N1159" s="78"/>
      <c r="O1159" s="78"/>
      <c r="P1159" s="78"/>
      <c r="Q1159" s="78"/>
      <c r="R1159" s="78"/>
      <c r="S1159" s="78"/>
      <c r="T1159" s="78"/>
      <c r="U1159" s="78"/>
      <c r="V1159" s="78"/>
      <c r="W1159" s="78"/>
      <c r="X1159" s="78"/>
      <c r="Y1159" s="78"/>
      <c r="Z1159" s="78"/>
    </row>
    <row r="1160" spans="1:26" ht="15.75" customHeight="1" x14ac:dyDescent="0.25">
      <c r="A1160" s="53">
        <v>12</v>
      </c>
      <c r="B1160" s="54" t="s">
        <v>671</v>
      </c>
      <c r="C1160" s="54" t="s">
        <v>917</v>
      </c>
      <c r="D1160" s="53">
        <v>5949</v>
      </c>
      <c r="E1160" s="53">
        <v>8305</v>
      </c>
      <c r="F1160" s="54" t="s">
        <v>1183</v>
      </c>
      <c r="G1160" s="53" t="s">
        <v>239</v>
      </c>
      <c r="H1160" s="58" t="str">
        <f>_xlfn.IFNA(INDEX(ActiveSchools!$C$2:$F$326,MATCH(G1160,ActiveSchools!$F$2:$F$326,0),1),"Total")</f>
        <v>2862</v>
      </c>
      <c r="I1160" s="53">
        <v>2</v>
      </c>
      <c r="J1160" s="59">
        <f>_xlfn.IFNA(INDEX(DetailByDistrict[],MATCH($H1160,DetailByDistrict[Dist],0),MATCH(J$2,DetailByDistrict[#Headers],0)),0)</f>
        <v>146</v>
      </c>
      <c r="K1160" s="54">
        <f t="shared" si="18"/>
        <v>1.3698630136986301E-2</v>
      </c>
      <c r="L1160" s="59">
        <f>ROUND(INDEX(DetailByDistrict[],MATCH($H1160,DetailByDistrict[Dist],0),MATCH(L$2,DetailByDistrict[#Headers],0))*K1160,2)</f>
        <v>130.53</v>
      </c>
      <c r="M1160" s="59">
        <f>ROUND(INDEX(DetailByDistrict[],MATCH($H1160,DetailByDistrict[Dist],0),MATCH(M$2,DetailByDistrict[#Headers],0))*K1160,2)</f>
        <v>146.12</v>
      </c>
      <c r="N1160" s="78"/>
      <c r="O1160" s="78"/>
      <c r="P1160" s="78"/>
      <c r="Q1160" s="78"/>
      <c r="R1160" s="78"/>
      <c r="S1160" s="78"/>
      <c r="T1160" s="78"/>
      <c r="U1160" s="78"/>
      <c r="V1160" s="78"/>
      <c r="W1160" s="78"/>
      <c r="X1160" s="78"/>
      <c r="Y1160" s="78"/>
      <c r="Z1160" s="78"/>
    </row>
    <row r="1161" spans="1:26" ht="15.75" customHeight="1" x14ac:dyDescent="0.25">
      <c r="A1161" s="53">
        <v>12</v>
      </c>
      <c r="B1161" s="54" t="s">
        <v>671</v>
      </c>
      <c r="C1161" s="54" t="s">
        <v>917</v>
      </c>
      <c r="D1161" s="53">
        <v>5949</v>
      </c>
      <c r="E1161" s="53">
        <v>8305</v>
      </c>
      <c r="F1161" s="54" t="s">
        <v>1178</v>
      </c>
      <c r="G1161" s="53" t="s">
        <v>252</v>
      </c>
      <c r="H1161" s="58" t="str">
        <f>_xlfn.IFNA(INDEX(ActiveSchools!$C$2:$F$326,MATCH(G1161,ActiveSchools!$F$2:$F$326,0),1),"Total")</f>
        <v>5949</v>
      </c>
      <c r="I1161" s="53">
        <v>88</v>
      </c>
      <c r="J1161" s="59">
        <f>_xlfn.IFNA(INDEX(DetailByDistrict[],MATCH($H1161,DetailByDistrict[Dist],0),MATCH(J$2,DetailByDistrict[#Headers],0)),0)</f>
        <v>173</v>
      </c>
      <c r="K1161" s="54">
        <f t="shared" si="18"/>
        <v>0.50867052023121384</v>
      </c>
      <c r="L1161" s="59">
        <f>ROUND(INDEX(DetailByDistrict[],MATCH($H1161,DetailByDistrict[Dist],0),MATCH(L$2,DetailByDistrict[#Headers],0))*K1161,2)</f>
        <v>5743.91</v>
      </c>
      <c r="M1161" s="59">
        <f>ROUND(INDEX(DetailByDistrict[],MATCH($H1161,DetailByDistrict[Dist],0),MATCH(M$2,DetailByDistrict[#Headers],0))*K1161,2)</f>
        <v>6429.09</v>
      </c>
      <c r="N1161" s="78"/>
      <c r="O1161" s="78"/>
      <c r="P1161" s="78"/>
      <c r="Q1161" s="78"/>
      <c r="R1161" s="78"/>
      <c r="S1161" s="78"/>
      <c r="T1161" s="78"/>
      <c r="U1161" s="78"/>
      <c r="V1161" s="78"/>
      <c r="W1161" s="78"/>
      <c r="X1161" s="78"/>
      <c r="Y1161" s="78"/>
      <c r="Z1161" s="78"/>
    </row>
    <row r="1162" spans="1:26" ht="15.75" customHeight="1" x14ac:dyDescent="0.25">
      <c r="A1162" s="53">
        <v>12</v>
      </c>
      <c r="B1162" s="54" t="s">
        <v>671</v>
      </c>
      <c r="C1162" s="54" t="s">
        <v>917</v>
      </c>
      <c r="D1162" s="53">
        <v>5949</v>
      </c>
      <c r="E1162" s="53">
        <v>8305</v>
      </c>
      <c r="F1162" s="54" t="s">
        <v>1181</v>
      </c>
      <c r="G1162" s="53" t="s">
        <v>253</v>
      </c>
      <c r="H1162" s="58" t="str">
        <f>_xlfn.IFNA(INDEX(ActiveSchools!$C$2:$F$326,MATCH(G1162,ActiveSchools!$F$2:$F$326,0),1),"Total")</f>
        <v>5994</v>
      </c>
      <c r="I1162" s="53">
        <v>7</v>
      </c>
      <c r="J1162" s="59">
        <f>_xlfn.IFNA(INDEX(DetailByDistrict[],MATCH($H1162,DetailByDistrict[Dist],0),MATCH(J$2,DetailByDistrict[#Headers],0)),0)</f>
        <v>21</v>
      </c>
      <c r="K1162" s="54">
        <f t="shared" si="18"/>
        <v>0.33333333333333331</v>
      </c>
      <c r="L1162" s="59">
        <f>ROUND(INDEX(DetailByDistrict[],MATCH($H1162,DetailByDistrict[Dist],0),MATCH(L$2,DetailByDistrict[#Headers],0))*K1162,2)</f>
        <v>457</v>
      </c>
      <c r="M1162" s="59">
        <f>ROUND(INDEX(DetailByDistrict[],MATCH($H1162,DetailByDistrict[Dist],0),MATCH(M$2,DetailByDistrict[#Headers],0))*K1162,2)</f>
        <v>511.33</v>
      </c>
      <c r="N1162" s="78"/>
      <c r="O1162" s="78"/>
      <c r="P1162" s="78"/>
      <c r="Q1162" s="78"/>
      <c r="R1162" s="78"/>
      <c r="S1162" s="78"/>
      <c r="T1162" s="78"/>
      <c r="U1162" s="78"/>
      <c r="V1162" s="78"/>
      <c r="W1162" s="78"/>
      <c r="X1162" s="78"/>
      <c r="Y1162" s="78"/>
      <c r="Z1162" s="78"/>
    </row>
    <row r="1163" spans="1:26" ht="15.75" customHeight="1" x14ac:dyDescent="0.25">
      <c r="A1163" s="53">
        <v>12</v>
      </c>
      <c r="B1163" s="54" t="s">
        <v>671</v>
      </c>
      <c r="C1163" s="54" t="s">
        <v>917</v>
      </c>
      <c r="D1163" s="53">
        <v>5949</v>
      </c>
      <c r="E1163" s="53">
        <v>8305</v>
      </c>
      <c r="F1163" s="54" t="s">
        <v>1190</v>
      </c>
      <c r="G1163" s="53" t="s">
        <v>702</v>
      </c>
      <c r="H1163" s="58" t="str">
        <f>_xlfn.IFNA(INDEX(ActiveSchools!$C$2:$F$326,MATCH(G1163,ActiveSchools!$F$2:$F$326,0),1),"Total")</f>
        <v>5157</v>
      </c>
      <c r="I1163" s="53">
        <v>1</v>
      </c>
      <c r="J1163" s="59">
        <f>_xlfn.IFNA(INDEX(DetailByDistrict[],MATCH($H1163,DetailByDistrict[Dist],0),MATCH(J$2,DetailByDistrict[#Headers],0)),0)</f>
        <v>85</v>
      </c>
      <c r="K1163" s="54">
        <f t="shared" si="18"/>
        <v>1.1764705882352941E-2</v>
      </c>
      <c r="L1163" s="59">
        <f>ROUND(INDEX(DetailByDistrict[],MATCH($H1163,DetailByDistrict[Dist],0),MATCH(L$2,DetailByDistrict[#Headers],0))*K1163,2)</f>
        <v>65.27</v>
      </c>
      <c r="M1163" s="59">
        <f>ROUND(INDEX(DetailByDistrict[],MATCH($H1163,DetailByDistrict[Dist],0),MATCH(M$2,DetailByDistrict[#Headers],0))*K1163,2)</f>
        <v>73.06</v>
      </c>
      <c r="N1163" s="78"/>
      <c r="O1163" s="78"/>
      <c r="P1163" s="78"/>
      <c r="Q1163" s="78"/>
      <c r="R1163" s="78"/>
      <c r="S1163" s="78"/>
      <c r="T1163" s="78"/>
      <c r="U1163" s="78"/>
      <c r="V1163" s="78"/>
      <c r="W1163" s="78"/>
      <c r="X1163" s="78"/>
      <c r="Y1163" s="78"/>
      <c r="Z1163" s="78"/>
    </row>
    <row r="1164" spans="1:26" ht="15.75" customHeight="1" x14ac:dyDescent="0.25">
      <c r="A1164" s="53">
        <v>12</v>
      </c>
      <c r="B1164" s="54" t="s">
        <v>671</v>
      </c>
      <c r="C1164" s="54" t="s">
        <v>918</v>
      </c>
      <c r="D1164" s="53">
        <v>6030</v>
      </c>
      <c r="E1164" s="53">
        <v>8314</v>
      </c>
      <c r="F1164" s="54" t="s">
        <v>1173</v>
      </c>
      <c r="G1164" s="57" t="s">
        <v>232</v>
      </c>
      <c r="H1164" s="58" t="str">
        <f>_xlfn.IFNA(INDEX(ActiveSchools!$C$2:$F$326,MATCH(G1164,ActiveSchools!$F$2:$F$326,0),1),"Total")</f>
        <v>0747</v>
      </c>
      <c r="I1164" s="53">
        <v>11</v>
      </c>
      <c r="J1164" s="59">
        <f>_xlfn.IFNA(INDEX(DetailByDistrict[],MATCH($H1164,DetailByDistrict[Dist],0),MATCH(J$2,DetailByDistrict[#Headers],0)),0)</f>
        <v>399</v>
      </c>
      <c r="K1164" s="54">
        <f t="shared" si="18"/>
        <v>2.7568922305764409E-2</v>
      </c>
      <c r="L1164" s="59">
        <f>ROUND(INDEX(DetailByDistrict[],MATCH($H1164,DetailByDistrict[Dist],0),MATCH(L$2,DetailByDistrict[#Headers],0))*K1164,2)</f>
        <v>717.98</v>
      </c>
      <c r="M1164" s="59">
        <f>ROUND(INDEX(DetailByDistrict[],MATCH($H1164,DetailByDistrict[Dist],0),MATCH(M$2,DetailByDistrict[#Headers],0))*K1164,2)</f>
        <v>803.66</v>
      </c>
      <c r="N1164" s="78"/>
      <c r="O1164" s="78"/>
      <c r="P1164" s="78"/>
      <c r="Q1164" s="78"/>
      <c r="R1164" s="78"/>
      <c r="S1164" s="78"/>
      <c r="T1164" s="78"/>
      <c r="U1164" s="78"/>
      <c r="V1164" s="78"/>
      <c r="W1164" s="78"/>
      <c r="X1164" s="78"/>
      <c r="Y1164" s="78"/>
      <c r="Z1164" s="78"/>
    </row>
    <row r="1165" spans="1:26" ht="15.75" customHeight="1" x14ac:dyDescent="0.25">
      <c r="A1165" s="53">
        <v>12</v>
      </c>
      <c r="B1165" s="54" t="s">
        <v>671</v>
      </c>
      <c r="C1165" s="54" t="s">
        <v>918</v>
      </c>
      <c r="D1165" s="53">
        <v>6030</v>
      </c>
      <c r="E1165" s="53">
        <v>8314</v>
      </c>
      <c r="F1165" s="54" t="s">
        <v>1176</v>
      </c>
      <c r="G1165" s="53" t="s">
        <v>246</v>
      </c>
      <c r="H1165" s="58" t="str">
        <f>_xlfn.IFNA(INDEX(ActiveSchools!$C$2:$F$326,MATCH(G1165,ActiveSchools!$F$2:$F$326,0),1),"Total")</f>
        <v>4149</v>
      </c>
      <c r="I1165" s="53">
        <v>27</v>
      </c>
      <c r="J1165" s="59">
        <f>_xlfn.IFNA(INDEX(DetailByDistrict[],MATCH($H1165,DetailByDistrict[Dist],0),MATCH(J$2,DetailByDistrict[#Headers],0)),0)</f>
        <v>566</v>
      </c>
      <c r="K1165" s="54">
        <f t="shared" si="18"/>
        <v>4.7703180212014133E-2</v>
      </c>
      <c r="L1165" s="59">
        <f>ROUND(INDEX(DetailByDistrict[],MATCH($H1165,DetailByDistrict[Dist],0),MATCH(L$2,DetailByDistrict[#Headers],0))*K1165,2)</f>
        <v>1762.3</v>
      </c>
      <c r="M1165" s="59">
        <f>ROUND(INDEX(DetailByDistrict[],MATCH($H1165,DetailByDistrict[Dist],0),MATCH(M$2,DetailByDistrict[#Headers],0))*K1165,2)</f>
        <v>1972.62</v>
      </c>
      <c r="N1165" s="78"/>
      <c r="O1165" s="78"/>
      <c r="P1165" s="78"/>
      <c r="Q1165" s="78"/>
      <c r="R1165" s="78"/>
      <c r="S1165" s="78"/>
      <c r="T1165" s="78"/>
      <c r="U1165" s="78"/>
      <c r="V1165" s="78"/>
      <c r="W1165" s="78"/>
      <c r="X1165" s="78"/>
      <c r="Y1165" s="78"/>
      <c r="Z1165" s="78"/>
    </row>
    <row r="1166" spans="1:26" ht="15.75" customHeight="1" x14ac:dyDescent="0.25">
      <c r="A1166" s="53">
        <v>12</v>
      </c>
      <c r="B1166" s="54" t="s">
        <v>671</v>
      </c>
      <c r="C1166" s="54" t="s">
        <v>918</v>
      </c>
      <c r="D1166" s="53">
        <v>6030</v>
      </c>
      <c r="E1166" s="53">
        <v>8314</v>
      </c>
      <c r="F1166" s="54" t="s">
        <v>1177</v>
      </c>
      <c r="G1166" s="53" t="s">
        <v>249</v>
      </c>
      <c r="H1166" s="58" t="str">
        <f>_xlfn.IFNA(INDEX(ActiveSchools!$C$2:$F$326,MATCH(G1166,ActiveSchools!$F$2:$F$326,0),1),"Total")</f>
        <v>5607</v>
      </c>
      <c r="I1166" s="53">
        <v>5</v>
      </c>
      <c r="J1166" s="59">
        <f>_xlfn.IFNA(INDEX(DetailByDistrict[],MATCH($H1166,DetailByDistrict[Dist],0),MATCH(J$2,DetailByDistrict[#Headers],0)),0)</f>
        <v>439</v>
      </c>
      <c r="K1166" s="54">
        <f t="shared" si="18"/>
        <v>1.1389521640091117E-2</v>
      </c>
      <c r="L1166" s="59">
        <f>ROUND(INDEX(DetailByDistrict[],MATCH($H1166,DetailByDistrict[Dist],0),MATCH(L$2,DetailByDistrict[#Headers],0))*K1166,2)</f>
        <v>326.36</v>
      </c>
      <c r="M1166" s="59">
        <f>ROUND(INDEX(DetailByDistrict[],MATCH($H1166,DetailByDistrict[Dist],0),MATCH(M$2,DetailByDistrict[#Headers],0))*K1166,2)</f>
        <v>365.3</v>
      </c>
      <c r="N1166" s="78"/>
      <c r="O1166" s="78"/>
      <c r="P1166" s="78"/>
      <c r="Q1166" s="78"/>
      <c r="R1166" s="78"/>
      <c r="S1166" s="78"/>
      <c r="T1166" s="78"/>
      <c r="U1166" s="78"/>
      <c r="V1166" s="78"/>
      <c r="W1166" s="78"/>
      <c r="X1166" s="78"/>
      <c r="Y1166" s="78"/>
      <c r="Z1166" s="78"/>
    </row>
    <row r="1167" spans="1:26" ht="15.75" customHeight="1" x14ac:dyDescent="0.25">
      <c r="A1167" s="53">
        <v>12</v>
      </c>
      <c r="B1167" s="54" t="s">
        <v>671</v>
      </c>
      <c r="C1167" s="54" t="s">
        <v>918</v>
      </c>
      <c r="D1167" s="53">
        <v>6030</v>
      </c>
      <c r="E1167" s="53">
        <v>8314</v>
      </c>
      <c r="F1167" s="54" t="s">
        <v>1179</v>
      </c>
      <c r="G1167" s="53" t="s">
        <v>254</v>
      </c>
      <c r="H1167" s="58" t="str">
        <f>_xlfn.IFNA(INDEX(ActiveSchools!$C$2:$F$326,MATCH(G1167,ActiveSchools!$F$2:$F$326,0),1),"Total")</f>
        <v>6030</v>
      </c>
      <c r="I1167" s="53">
        <v>444</v>
      </c>
      <c r="J1167" s="59">
        <f>_xlfn.IFNA(INDEX(DetailByDistrict[],MATCH($H1167,DetailByDistrict[Dist],0),MATCH(J$2,DetailByDistrict[#Headers],0)),0)</f>
        <v>739</v>
      </c>
      <c r="K1167" s="54">
        <f t="shared" si="18"/>
        <v>0.60081190798376183</v>
      </c>
      <c r="L1167" s="59">
        <f>ROUND(INDEX(DetailByDistrict[],MATCH($H1167,DetailByDistrict[Dist],0),MATCH(L$2,DetailByDistrict[#Headers],0))*K1167,2)</f>
        <v>28980.16</v>
      </c>
      <c r="M1167" s="59">
        <f>ROUND(INDEX(DetailByDistrict[],MATCH($H1167,DetailByDistrict[Dist],0),MATCH(M$2,DetailByDistrict[#Headers],0))*K1167,2)</f>
        <v>32438.44</v>
      </c>
      <c r="N1167" s="78"/>
      <c r="O1167" s="78"/>
      <c r="P1167" s="78"/>
      <c r="Q1167" s="78"/>
      <c r="R1167" s="78"/>
      <c r="S1167" s="78"/>
      <c r="T1167" s="78"/>
      <c r="U1167" s="78"/>
      <c r="V1167" s="78"/>
      <c r="W1167" s="78"/>
      <c r="X1167" s="78"/>
      <c r="Y1167" s="78"/>
      <c r="Z1167" s="78"/>
    </row>
    <row r="1168" spans="1:26" ht="15.75" customHeight="1" x14ac:dyDescent="0.25">
      <c r="A1168" s="53">
        <v>12</v>
      </c>
      <c r="B1168" s="54" t="s">
        <v>671</v>
      </c>
      <c r="C1168" s="54" t="s">
        <v>918</v>
      </c>
      <c r="D1168" s="53">
        <v>6030</v>
      </c>
      <c r="E1168" s="53">
        <v>8314</v>
      </c>
      <c r="F1168" s="54" t="s">
        <v>1193</v>
      </c>
      <c r="G1168" s="53" t="s">
        <v>259</v>
      </c>
      <c r="H1168" s="58" t="str">
        <f>_xlfn.IFNA(INDEX(ActiveSchools!$C$2:$F$326,MATCH(G1168,ActiveSchools!$F$2:$F$326,0),1),"Total")</f>
        <v>6990</v>
      </c>
      <c r="I1168" s="53">
        <v>12</v>
      </c>
      <c r="J1168" s="59">
        <f>_xlfn.IFNA(INDEX(DetailByDistrict[],MATCH($H1168,DetailByDistrict[Dist],0),MATCH(J$2,DetailByDistrict[#Headers],0)),0)</f>
        <v>95</v>
      </c>
      <c r="K1168" s="54">
        <f t="shared" si="18"/>
        <v>0.12631578947368421</v>
      </c>
      <c r="L1168" s="59">
        <f>ROUND(INDEX(DetailByDistrict[],MATCH($H1168,DetailByDistrict[Dist],0),MATCH(L$2,DetailByDistrict[#Headers],0))*K1168,2)</f>
        <v>783.28</v>
      </c>
      <c r="M1168" s="59">
        <f>ROUND(INDEX(DetailByDistrict[],MATCH($H1168,DetailByDistrict[Dist],0),MATCH(M$2,DetailByDistrict[#Headers],0))*K1168,2)</f>
        <v>876.76</v>
      </c>
      <c r="N1168" s="78"/>
      <c r="O1168" s="78"/>
      <c r="P1168" s="78"/>
      <c r="Q1168" s="78"/>
      <c r="R1168" s="78"/>
      <c r="S1168" s="78"/>
      <c r="T1168" s="78"/>
      <c r="U1168" s="78"/>
      <c r="V1168" s="78"/>
      <c r="W1168" s="78"/>
      <c r="X1168" s="78"/>
      <c r="Y1168" s="78"/>
      <c r="Z1168" s="78"/>
    </row>
    <row r="1169" spans="1:26" ht="15.75" customHeight="1" x14ac:dyDescent="0.25">
      <c r="A1169" s="53">
        <v>12</v>
      </c>
      <c r="B1169" s="54" t="s">
        <v>671</v>
      </c>
      <c r="C1169" s="54" t="s">
        <v>919</v>
      </c>
      <c r="D1169" s="53">
        <v>6039</v>
      </c>
      <c r="E1169" s="53">
        <v>8102</v>
      </c>
      <c r="F1169" s="54" t="s">
        <v>1197</v>
      </c>
      <c r="G1169" s="57" t="s">
        <v>230</v>
      </c>
      <c r="H1169" s="58" t="str">
        <f>_xlfn.IFNA(INDEX(ActiveSchools!$C$2:$F$326,MATCH(G1169,ActiveSchools!$F$2:$F$326,0),1),"Total")</f>
        <v>0063</v>
      </c>
      <c r="I1169" s="53">
        <v>1</v>
      </c>
      <c r="J1169" s="59">
        <f>_xlfn.IFNA(INDEX(DetailByDistrict[],MATCH($H1169,DetailByDistrict[Dist],0),MATCH(J$2,DetailByDistrict[#Headers],0)),0)</f>
        <v>13</v>
      </c>
      <c r="K1169" s="54">
        <f t="shared" si="18"/>
        <v>7.6923076923076927E-2</v>
      </c>
      <c r="L1169" s="59">
        <f>ROUND(INDEX(DetailByDistrict[],MATCH($H1169,DetailByDistrict[Dist],0),MATCH(L$2,DetailByDistrict[#Headers],0))*K1169,2)</f>
        <v>65.31</v>
      </c>
      <c r="M1169" s="59">
        <f>ROUND(INDEX(DetailByDistrict[],MATCH($H1169,DetailByDistrict[Dist],0),MATCH(M$2,DetailByDistrict[#Headers],0))*K1169,2)</f>
        <v>73.08</v>
      </c>
      <c r="N1169" s="78"/>
      <c r="O1169" s="78"/>
      <c r="P1169" s="78"/>
      <c r="Q1169" s="78"/>
      <c r="R1169" s="78"/>
      <c r="S1169" s="78"/>
      <c r="T1169" s="78"/>
      <c r="U1169" s="78"/>
      <c r="V1169" s="78"/>
      <c r="W1169" s="78"/>
      <c r="X1169" s="78"/>
      <c r="Y1169" s="78"/>
      <c r="Z1169" s="78"/>
    </row>
    <row r="1170" spans="1:26" ht="15.75" customHeight="1" x14ac:dyDescent="0.25">
      <c r="A1170" s="53">
        <v>12</v>
      </c>
      <c r="B1170" s="54" t="s">
        <v>671</v>
      </c>
      <c r="C1170" s="54" t="s">
        <v>919</v>
      </c>
      <c r="D1170" s="53">
        <v>6039</v>
      </c>
      <c r="E1170" s="53">
        <v>8102</v>
      </c>
      <c r="F1170" s="54" t="s">
        <v>1198</v>
      </c>
      <c r="G1170" s="53" t="s">
        <v>240</v>
      </c>
      <c r="H1170" s="58" t="str">
        <f>_xlfn.IFNA(INDEX(ActiveSchools!$C$2:$F$326,MATCH(G1170,ActiveSchools!$F$2:$F$326,0),1),"Total")</f>
        <v>2988</v>
      </c>
      <c r="I1170" s="53">
        <v>9</v>
      </c>
      <c r="J1170" s="59">
        <f>_xlfn.IFNA(INDEX(DetailByDistrict[],MATCH($H1170,DetailByDistrict[Dist],0),MATCH(J$2,DetailByDistrict[#Headers],0)),0)</f>
        <v>17</v>
      </c>
      <c r="K1170" s="54">
        <f t="shared" si="18"/>
        <v>0.52941176470588236</v>
      </c>
      <c r="L1170" s="59">
        <f>ROUND(INDEX(DetailByDistrict[],MATCH($H1170,DetailByDistrict[Dist],0),MATCH(L$2,DetailByDistrict[#Headers],0))*K1170,2)</f>
        <v>587.65</v>
      </c>
      <c r="M1170" s="59">
        <f>ROUND(INDEX(DetailByDistrict[],MATCH($H1170,DetailByDistrict[Dist],0),MATCH(M$2,DetailByDistrict[#Headers],0))*K1170,2)</f>
        <v>657.53</v>
      </c>
      <c r="N1170" s="78"/>
      <c r="O1170" s="78"/>
      <c r="P1170" s="78"/>
      <c r="Q1170" s="78"/>
      <c r="R1170" s="78"/>
      <c r="S1170" s="78"/>
      <c r="T1170" s="78"/>
      <c r="U1170" s="78"/>
      <c r="V1170" s="78"/>
      <c r="W1170" s="78"/>
      <c r="X1170" s="78"/>
      <c r="Y1170" s="78"/>
      <c r="Z1170" s="78"/>
    </row>
    <row r="1171" spans="1:26" ht="15.75" customHeight="1" x14ac:dyDescent="0.25">
      <c r="A1171" s="53">
        <v>12</v>
      </c>
      <c r="B1171" s="54" t="s">
        <v>671</v>
      </c>
      <c r="C1171" s="54" t="s">
        <v>919</v>
      </c>
      <c r="D1171" s="53">
        <v>6039</v>
      </c>
      <c r="E1171" s="53">
        <v>8102</v>
      </c>
      <c r="F1171" s="54" t="s">
        <v>1184</v>
      </c>
      <c r="G1171" s="53" t="s">
        <v>241</v>
      </c>
      <c r="H1171" s="58" t="str">
        <f>_xlfn.IFNA(INDEX(ActiveSchools!$C$2:$F$326,MATCH(G1171,ActiveSchools!$F$2:$F$326,0),1),"Total")</f>
        <v>3348</v>
      </c>
      <c r="I1171" s="53">
        <v>1</v>
      </c>
      <c r="J1171" s="59">
        <f>_xlfn.IFNA(INDEX(DetailByDistrict[],MATCH($H1171,DetailByDistrict[Dist],0),MATCH(J$2,DetailByDistrict[#Headers],0)),0)</f>
        <v>7</v>
      </c>
      <c r="K1171" s="54">
        <f t="shared" si="18"/>
        <v>0.14285714285714285</v>
      </c>
      <c r="L1171" s="59">
        <f>ROUND(INDEX(DetailByDistrict[],MATCH($H1171,DetailByDistrict[Dist],0),MATCH(L$2,DetailByDistrict[#Headers],0))*K1171,2)</f>
        <v>65.290000000000006</v>
      </c>
      <c r="M1171" s="59">
        <f>ROUND(INDEX(DetailByDistrict[],MATCH($H1171,DetailByDistrict[Dist],0),MATCH(M$2,DetailByDistrict[#Headers],0))*K1171,2)</f>
        <v>73</v>
      </c>
      <c r="N1171" s="78"/>
      <c r="O1171" s="78"/>
      <c r="P1171" s="78"/>
      <c r="Q1171" s="78"/>
      <c r="R1171" s="78"/>
      <c r="S1171" s="78"/>
      <c r="T1171" s="78"/>
      <c r="U1171" s="78"/>
      <c r="V1171" s="78"/>
      <c r="W1171" s="78"/>
      <c r="X1171" s="78"/>
      <c r="Y1171" s="78"/>
      <c r="Z1171" s="78"/>
    </row>
    <row r="1172" spans="1:26" ht="15.75" customHeight="1" x14ac:dyDescent="0.25">
      <c r="A1172" s="53">
        <v>12</v>
      </c>
      <c r="B1172" s="54" t="s">
        <v>671</v>
      </c>
      <c r="C1172" s="54" t="s">
        <v>919</v>
      </c>
      <c r="D1172" s="53">
        <v>6039</v>
      </c>
      <c r="E1172" s="53">
        <v>8102</v>
      </c>
      <c r="F1172" s="54" t="s">
        <v>1199</v>
      </c>
      <c r="G1172" s="53" t="s">
        <v>242</v>
      </c>
      <c r="H1172" s="58" t="str">
        <f>_xlfn.IFNA(INDEX(ActiveSchools!$C$2:$F$326,MATCH(G1172,ActiveSchools!$F$2:$F$326,0),1),"Total")</f>
        <v>3555</v>
      </c>
      <c r="I1172" s="53">
        <v>15</v>
      </c>
      <c r="J1172" s="59">
        <f>_xlfn.IFNA(INDEX(DetailByDistrict[],MATCH($H1172,DetailByDistrict[Dist],0),MATCH(J$2,DetailByDistrict[#Headers],0)),0)</f>
        <v>23</v>
      </c>
      <c r="K1172" s="54">
        <f t="shared" si="18"/>
        <v>0.65217391304347827</v>
      </c>
      <c r="L1172" s="59">
        <f>ROUND(INDEX(DetailByDistrict[],MATCH($H1172,DetailByDistrict[Dist],0),MATCH(L$2,DetailByDistrict[#Headers],0))*K1172,2)</f>
        <v>978.91</v>
      </c>
      <c r="M1172" s="59">
        <f>ROUND(INDEX(DetailByDistrict[],MATCH($H1172,DetailByDistrict[Dist],0),MATCH(M$2,DetailByDistrict[#Headers],0))*K1172,2)</f>
        <v>1095.6500000000001</v>
      </c>
      <c r="N1172" s="78"/>
      <c r="O1172" s="78"/>
      <c r="P1172" s="78"/>
      <c r="Q1172" s="78"/>
      <c r="R1172" s="78"/>
      <c r="S1172" s="78"/>
      <c r="T1172" s="78"/>
      <c r="U1172" s="78"/>
      <c r="V1172" s="78"/>
      <c r="W1172" s="78"/>
      <c r="X1172" s="78"/>
      <c r="Y1172" s="78"/>
      <c r="Z1172" s="78"/>
    </row>
    <row r="1173" spans="1:26" ht="15.75" customHeight="1" x14ac:dyDescent="0.25">
      <c r="A1173" s="53">
        <v>12</v>
      </c>
      <c r="B1173" s="54" t="s">
        <v>671</v>
      </c>
      <c r="C1173" s="54" t="s">
        <v>919</v>
      </c>
      <c r="D1173" s="53">
        <v>6039</v>
      </c>
      <c r="E1173" s="53">
        <v>8102</v>
      </c>
      <c r="F1173" s="54" t="s">
        <v>1192</v>
      </c>
      <c r="G1173" s="53" t="s">
        <v>243</v>
      </c>
      <c r="H1173" s="58" t="str">
        <f>_xlfn.IFNA(INDEX(ActiveSchools!$C$2:$F$326,MATCH(G1173,ActiveSchools!$F$2:$F$326,0),1),"Total")</f>
        <v>3600</v>
      </c>
      <c r="I1173" s="53">
        <v>2</v>
      </c>
      <c r="J1173" s="59">
        <f>_xlfn.IFNA(INDEX(DetailByDistrict[],MATCH($H1173,DetailByDistrict[Dist],0),MATCH(J$2,DetailByDistrict[#Headers],0)),0)</f>
        <v>503</v>
      </c>
      <c r="K1173" s="54">
        <f t="shared" si="18"/>
        <v>3.9761431411530811E-3</v>
      </c>
      <c r="L1173" s="59">
        <f>ROUND(INDEX(DetailByDistrict[],MATCH($H1173,DetailByDistrict[Dist],0),MATCH(L$2,DetailByDistrict[#Headers],0))*K1173,2)</f>
        <v>130.54</v>
      </c>
      <c r="M1173" s="59">
        <f>ROUND(INDEX(DetailByDistrict[],MATCH($H1173,DetailByDistrict[Dist],0),MATCH(M$2,DetailByDistrict[#Headers],0))*K1173,2)</f>
        <v>146.12</v>
      </c>
      <c r="N1173" s="78"/>
      <c r="O1173" s="78"/>
      <c r="P1173" s="78"/>
      <c r="Q1173" s="78"/>
      <c r="R1173" s="78"/>
      <c r="S1173" s="78"/>
      <c r="T1173" s="78"/>
      <c r="U1173" s="78"/>
      <c r="V1173" s="78"/>
      <c r="W1173" s="78"/>
      <c r="X1173" s="78"/>
      <c r="Y1173" s="78"/>
      <c r="Z1173" s="78"/>
    </row>
    <row r="1174" spans="1:26" ht="15.75" customHeight="1" x14ac:dyDescent="0.25">
      <c r="A1174" s="53">
        <v>12</v>
      </c>
      <c r="B1174" s="54" t="s">
        <v>671</v>
      </c>
      <c r="C1174" s="54" t="s">
        <v>919</v>
      </c>
      <c r="D1174" s="53">
        <v>6039</v>
      </c>
      <c r="E1174" s="53">
        <v>8102</v>
      </c>
      <c r="F1174" s="54" t="s">
        <v>1194</v>
      </c>
      <c r="G1174" s="53" t="s">
        <v>244</v>
      </c>
      <c r="H1174" s="58" t="str">
        <f>_xlfn.IFNA(INDEX(ActiveSchools!$C$2:$F$326,MATCH(G1174,ActiveSchools!$F$2:$F$326,0),1),"Total")</f>
        <v>4033</v>
      </c>
      <c r="I1174" s="53">
        <v>7</v>
      </c>
      <c r="J1174" s="59">
        <f>_xlfn.IFNA(INDEX(DetailByDistrict[],MATCH($H1174,DetailByDistrict[Dist],0),MATCH(J$2,DetailByDistrict[#Headers],0)),0)</f>
        <v>37</v>
      </c>
      <c r="K1174" s="54">
        <f t="shared" si="18"/>
        <v>0.1891891891891892</v>
      </c>
      <c r="L1174" s="59">
        <f>ROUND(INDEX(DetailByDistrict[],MATCH($H1174,DetailByDistrict[Dist],0),MATCH(L$2,DetailByDistrict[#Headers],0))*K1174,2)</f>
        <v>456.89</v>
      </c>
      <c r="M1174" s="59">
        <f>ROUND(INDEX(DetailByDistrict[],MATCH($H1174,DetailByDistrict[Dist],0),MATCH(M$2,DetailByDistrict[#Headers],0))*K1174,2)</f>
        <v>511.38</v>
      </c>
      <c r="N1174" s="78"/>
      <c r="O1174" s="78"/>
      <c r="P1174" s="78"/>
      <c r="Q1174" s="78"/>
      <c r="R1174" s="78"/>
      <c r="S1174" s="78"/>
      <c r="T1174" s="78"/>
      <c r="U1174" s="78"/>
      <c r="V1174" s="78"/>
      <c r="W1174" s="78"/>
      <c r="X1174" s="78"/>
      <c r="Y1174" s="78"/>
      <c r="Z1174" s="78"/>
    </row>
    <row r="1175" spans="1:26" ht="15.75" customHeight="1" x14ac:dyDescent="0.25">
      <c r="A1175" s="53">
        <v>12</v>
      </c>
      <c r="B1175" s="54" t="s">
        <v>671</v>
      </c>
      <c r="C1175" s="54" t="s">
        <v>919</v>
      </c>
      <c r="D1175" s="53">
        <v>6039</v>
      </c>
      <c r="E1175" s="53">
        <v>8102</v>
      </c>
      <c r="F1175" s="54" t="s">
        <v>1200</v>
      </c>
      <c r="G1175" s="53" t="s">
        <v>251</v>
      </c>
      <c r="H1175" s="58" t="str">
        <f>_xlfn.IFNA(INDEX(ActiveSchools!$C$2:$F$326,MATCH(G1175,ActiveSchools!$F$2:$F$326,0),1),"Total")</f>
        <v>5877</v>
      </c>
      <c r="I1175" s="53">
        <v>36</v>
      </c>
      <c r="J1175" s="59">
        <f>_xlfn.IFNA(INDEX(DetailByDistrict[],MATCH($H1175,DetailByDistrict[Dist],0),MATCH(J$2,DetailByDistrict[#Headers],0)),0)</f>
        <v>51</v>
      </c>
      <c r="K1175" s="54">
        <f t="shared" si="18"/>
        <v>0.70588235294117652</v>
      </c>
      <c r="L1175" s="59">
        <f>ROUND(INDEX(DetailByDistrict[],MATCH($H1175,DetailByDistrict[Dist],0),MATCH(L$2,DetailByDistrict[#Headers],0))*K1175,2)</f>
        <v>2349.88</v>
      </c>
      <c r="M1175" s="59">
        <f>ROUND(INDEX(DetailByDistrict[],MATCH($H1175,DetailByDistrict[Dist],0),MATCH(M$2,DetailByDistrict[#Headers],0))*K1175,2)</f>
        <v>2630.12</v>
      </c>
      <c r="N1175" s="78"/>
      <c r="O1175" s="78"/>
      <c r="P1175" s="78"/>
      <c r="Q1175" s="78"/>
      <c r="R1175" s="78"/>
      <c r="S1175" s="78"/>
      <c r="T1175" s="78"/>
      <c r="U1175" s="78"/>
      <c r="V1175" s="78"/>
      <c r="W1175" s="78"/>
      <c r="X1175" s="78"/>
      <c r="Y1175" s="78"/>
      <c r="Z1175" s="78"/>
    </row>
    <row r="1176" spans="1:26" ht="15.75" customHeight="1" x14ac:dyDescent="0.25">
      <c r="A1176" s="53">
        <v>12</v>
      </c>
      <c r="B1176" s="54" t="s">
        <v>671</v>
      </c>
      <c r="C1176" s="54" t="s">
        <v>919</v>
      </c>
      <c r="D1176" s="53">
        <v>6039</v>
      </c>
      <c r="E1176" s="53">
        <v>8102</v>
      </c>
      <c r="F1176" s="54" t="s">
        <v>1201</v>
      </c>
      <c r="G1176" s="53" t="s">
        <v>255</v>
      </c>
      <c r="H1176" s="58" t="str">
        <f>_xlfn.IFNA(INDEX(ActiveSchools!$C$2:$F$326,MATCH(G1176,ActiveSchools!$F$2:$F$326,0),1),"Total")</f>
        <v>6039</v>
      </c>
      <c r="I1176" s="53">
        <v>362</v>
      </c>
      <c r="J1176" s="59">
        <f>_xlfn.IFNA(INDEX(DetailByDistrict[],MATCH($H1176,DetailByDistrict[Dist],0),MATCH(J$2,DetailByDistrict[#Headers],0)),0)</f>
        <v>1679</v>
      </c>
      <c r="K1176" s="54">
        <f t="shared" si="18"/>
        <v>0.21560452650387135</v>
      </c>
      <c r="L1176" s="59">
        <f>ROUND(INDEX(DetailByDistrict[],MATCH($H1176,DetailByDistrict[Dist],0),MATCH(L$2,DetailByDistrict[#Headers],0))*K1176,2)</f>
        <v>23627.67</v>
      </c>
      <c r="M1176" s="59">
        <f>ROUND(INDEX(DetailByDistrict[],MATCH($H1176,DetailByDistrict[Dist],0),MATCH(M$2,DetailByDistrict[#Headers],0))*K1176,2)</f>
        <v>26447.78</v>
      </c>
      <c r="N1176" s="78"/>
      <c r="O1176" s="78"/>
      <c r="P1176" s="78"/>
      <c r="Q1176" s="78"/>
      <c r="R1176" s="78"/>
      <c r="S1176" s="78"/>
      <c r="T1176" s="78"/>
      <c r="U1176" s="78"/>
      <c r="V1176" s="78"/>
      <c r="W1176" s="78"/>
      <c r="X1176" s="78"/>
      <c r="Y1176" s="78"/>
      <c r="Z1176" s="78"/>
    </row>
    <row r="1177" spans="1:26" ht="15.75" customHeight="1" x14ac:dyDescent="0.25">
      <c r="A1177" s="53">
        <v>12</v>
      </c>
      <c r="B1177" s="54" t="s">
        <v>671</v>
      </c>
      <c r="C1177" s="54" t="s">
        <v>919</v>
      </c>
      <c r="D1177" s="53">
        <v>6039</v>
      </c>
      <c r="E1177" s="53">
        <v>8102</v>
      </c>
      <c r="F1177" s="54" t="s">
        <v>1202</v>
      </c>
      <c r="G1177" s="53" t="s">
        <v>258</v>
      </c>
      <c r="H1177" s="58" t="str">
        <f>_xlfn.IFNA(INDEX(ActiveSchools!$C$2:$F$326,MATCH(G1177,ActiveSchools!$F$2:$F$326,0),1),"Total")</f>
        <v>6987</v>
      </c>
      <c r="I1177" s="53">
        <v>2</v>
      </c>
      <c r="J1177" s="59">
        <f>_xlfn.IFNA(INDEX(DetailByDistrict[],MATCH($H1177,DetailByDistrict[Dist],0),MATCH(J$2,DetailByDistrict[#Headers],0)),0)</f>
        <v>2</v>
      </c>
      <c r="K1177" s="54">
        <f t="shared" si="18"/>
        <v>1</v>
      </c>
      <c r="L1177" s="59">
        <f>ROUND(INDEX(DetailByDistrict[],MATCH($H1177,DetailByDistrict[Dist],0),MATCH(L$2,DetailByDistrict[#Headers],0))*K1177,2)</f>
        <v>131</v>
      </c>
      <c r="M1177" s="59">
        <f>ROUND(INDEX(DetailByDistrict[],MATCH($H1177,DetailByDistrict[Dist],0),MATCH(M$2,DetailByDistrict[#Headers],0))*K1177,2)</f>
        <v>146</v>
      </c>
      <c r="N1177" s="78"/>
      <c r="O1177" s="78"/>
      <c r="P1177" s="78"/>
      <c r="Q1177" s="78"/>
      <c r="R1177" s="78"/>
      <c r="S1177" s="78"/>
      <c r="T1177" s="78"/>
      <c r="U1177" s="78"/>
      <c r="V1177" s="78"/>
      <c r="W1177" s="78"/>
      <c r="X1177" s="78"/>
      <c r="Y1177" s="78"/>
      <c r="Z1177" s="78"/>
    </row>
    <row r="1178" spans="1:26" ht="15.75" customHeight="1" x14ac:dyDescent="0.25">
      <c r="A1178" s="53">
        <v>12</v>
      </c>
      <c r="B1178" s="54" t="s">
        <v>671</v>
      </c>
      <c r="C1178" s="54" t="s">
        <v>919</v>
      </c>
      <c r="D1178" s="53">
        <v>6039</v>
      </c>
      <c r="E1178" s="53">
        <v>8102</v>
      </c>
      <c r="F1178" s="54" t="s">
        <v>1203</v>
      </c>
      <c r="G1178" s="53" t="s">
        <v>260</v>
      </c>
      <c r="H1178" s="58" t="str">
        <f>_xlfn.IFNA(INDEX(ActiveSchools!$C$2:$F$326,MATCH(G1178,ActiveSchools!$F$2:$F$326,0),1),"Total")</f>
        <v>6992</v>
      </c>
      <c r="I1178" s="53">
        <v>2</v>
      </c>
      <c r="J1178" s="59">
        <f>_xlfn.IFNA(INDEX(DetailByDistrict[],MATCH($H1178,DetailByDistrict[Dist],0),MATCH(J$2,DetailByDistrict[#Headers],0)),0)</f>
        <v>11</v>
      </c>
      <c r="K1178" s="54">
        <f t="shared" si="18"/>
        <v>0.18181818181818182</v>
      </c>
      <c r="L1178" s="59">
        <f>ROUND(INDEX(DetailByDistrict[],MATCH($H1178,DetailByDistrict[Dist],0),MATCH(L$2,DetailByDistrict[#Headers],0))*K1178,2)</f>
        <v>130.55000000000001</v>
      </c>
      <c r="M1178" s="59">
        <f>ROUND(INDEX(DetailByDistrict[],MATCH($H1178,DetailByDistrict[Dist],0),MATCH(M$2,DetailByDistrict[#Headers],0))*K1178,2)</f>
        <v>146.18</v>
      </c>
      <c r="N1178" s="78"/>
      <c r="O1178" s="78"/>
      <c r="P1178" s="78"/>
      <c r="Q1178" s="78"/>
      <c r="R1178" s="78"/>
      <c r="S1178" s="78"/>
      <c r="T1178" s="78"/>
      <c r="U1178" s="78"/>
      <c r="V1178" s="78"/>
      <c r="W1178" s="78"/>
      <c r="X1178" s="78"/>
      <c r="Y1178" s="78"/>
      <c r="Z1178" s="78"/>
    </row>
    <row r="1179" spans="1:26" ht="15.75" customHeight="1" x14ac:dyDescent="0.25">
      <c r="A1179" s="53">
        <v>12</v>
      </c>
      <c r="B1179" s="54" t="s">
        <v>671</v>
      </c>
      <c r="C1179" s="54" t="s">
        <v>919</v>
      </c>
      <c r="D1179" s="53">
        <v>6039</v>
      </c>
      <c r="E1179" s="53">
        <v>8102</v>
      </c>
      <c r="F1179" s="54" t="s">
        <v>1204</v>
      </c>
      <c r="G1179" s="53" t="s">
        <v>262</v>
      </c>
      <c r="H1179" s="58" t="str">
        <f>_xlfn.IFNA(INDEX(ActiveSchools!$C$2:$F$326,MATCH(G1179,ActiveSchools!$F$2:$F$326,0),1),"Total")</f>
        <v>7098</v>
      </c>
      <c r="I1179" s="53">
        <v>5</v>
      </c>
      <c r="J1179" s="59">
        <f>_xlfn.IFNA(INDEX(DetailByDistrict[],MATCH($H1179,DetailByDistrict[Dist],0),MATCH(J$2,DetailByDistrict[#Headers],0)),0)</f>
        <v>5</v>
      </c>
      <c r="K1179" s="54">
        <f t="shared" si="18"/>
        <v>1</v>
      </c>
      <c r="L1179" s="59">
        <f>ROUND(INDEX(DetailByDistrict[],MATCH($H1179,DetailByDistrict[Dist],0),MATCH(L$2,DetailByDistrict[#Headers],0))*K1179,2)</f>
        <v>326</v>
      </c>
      <c r="M1179" s="59">
        <f>ROUND(INDEX(DetailByDistrict[],MATCH($H1179,DetailByDistrict[Dist],0),MATCH(M$2,DetailByDistrict[#Headers],0))*K1179,2)</f>
        <v>365</v>
      </c>
      <c r="N1179" s="78"/>
      <c r="O1179" s="78"/>
      <c r="P1179" s="78"/>
      <c r="Q1179" s="78"/>
      <c r="R1179" s="78"/>
      <c r="S1179" s="78"/>
      <c r="T1179" s="78"/>
      <c r="U1179" s="78"/>
      <c r="V1179" s="78"/>
      <c r="W1179" s="78"/>
      <c r="X1179" s="78"/>
      <c r="Y1179" s="78"/>
      <c r="Z1179" s="78"/>
    </row>
    <row r="1180" spans="1:26" ht="15.75" customHeight="1" x14ac:dyDescent="0.25">
      <c r="A1180" s="53">
        <v>12</v>
      </c>
      <c r="B1180" s="54" t="s">
        <v>671</v>
      </c>
      <c r="C1180" s="54" t="s">
        <v>920</v>
      </c>
      <c r="D1180" s="53">
        <v>6039</v>
      </c>
      <c r="E1180" s="53">
        <v>8104</v>
      </c>
      <c r="F1180" s="54" t="s">
        <v>1198</v>
      </c>
      <c r="G1180" s="53" t="s">
        <v>240</v>
      </c>
      <c r="H1180" s="58" t="str">
        <f>_xlfn.IFNA(INDEX(ActiveSchools!$C$2:$F$326,MATCH(G1180,ActiveSchools!$F$2:$F$326,0),1),"Total")</f>
        <v>2988</v>
      </c>
      <c r="I1180" s="53">
        <v>2</v>
      </c>
      <c r="J1180" s="59">
        <f>_xlfn.IFNA(INDEX(DetailByDistrict[],MATCH($H1180,DetailByDistrict[Dist],0),MATCH(J$2,DetailByDistrict[#Headers],0)),0)</f>
        <v>17</v>
      </c>
      <c r="K1180" s="54">
        <f t="shared" si="18"/>
        <v>0.11764705882352941</v>
      </c>
      <c r="L1180" s="59">
        <f>ROUND(INDEX(DetailByDistrict[],MATCH($H1180,DetailByDistrict[Dist],0),MATCH(L$2,DetailByDistrict[#Headers],0))*K1180,2)</f>
        <v>130.59</v>
      </c>
      <c r="M1180" s="59">
        <f>ROUND(INDEX(DetailByDistrict[],MATCH($H1180,DetailByDistrict[Dist],0),MATCH(M$2,DetailByDistrict[#Headers],0))*K1180,2)</f>
        <v>146.12</v>
      </c>
      <c r="N1180" s="78"/>
      <c r="O1180" s="78"/>
      <c r="P1180" s="78"/>
      <c r="Q1180" s="78"/>
      <c r="R1180" s="78"/>
      <c r="S1180" s="78"/>
      <c r="T1180" s="78"/>
      <c r="U1180" s="78"/>
      <c r="V1180" s="78"/>
      <c r="W1180" s="78"/>
      <c r="X1180" s="78"/>
      <c r="Y1180" s="78"/>
      <c r="Z1180" s="78"/>
    </row>
    <row r="1181" spans="1:26" ht="15.75" customHeight="1" x14ac:dyDescent="0.25">
      <c r="A1181" s="53">
        <v>12</v>
      </c>
      <c r="B1181" s="54" t="s">
        <v>671</v>
      </c>
      <c r="C1181" s="54" t="s">
        <v>920</v>
      </c>
      <c r="D1181" s="53">
        <v>6039</v>
      </c>
      <c r="E1181" s="53">
        <v>8104</v>
      </c>
      <c r="F1181" s="54" t="s">
        <v>1199</v>
      </c>
      <c r="G1181" s="53" t="s">
        <v>242</v>
      </c>
      <c r="H1181" s="58" t="str">
        <f>_xlfn.IFNA(INDEX(ActiveSchools!$C$2:$F$326,MATCH(G1181,ActiveSchools!$F$2:$F$326,0),1),"Total")</f>
        <v>3555</v>
      </c>
      <c r="I1181" s="53">
        <v>2</v>
      </c>
      <c r="J1181" s="59">
        <f>_xlfn.IFNA(INDEX(DetailByDistrict[],MATCH($H1181,DetailByDistrict[Dist],0),MATCH(J$2,DetailByDistrict[#Headers],0)),0)</f>
        <v>23</v>
      </c>
      <c r="K1181" s="54">
        <f t="shared" si="18"/>
        <v>8.6956521739130432E-2</v>
      </c>
      <c r="L1181" s="59">
        <f>ROUND(INDEX(DetailByDistrict[],MATCH($H1181,DetailByDistrict[Dist],0),MATCH(L$2,DetailByDistrict[#Headers],0))*K1181,2)</f>
        <v>130.52000000000001</v>
      </c>
      <c r="M1181" s="59">
        <f>ROUND(INDEX(DetailByDistrict[],MATCH($H1181,DetailByDistrict[Dist],0),MATCH(M$2,DetailByDistrict[#Headers],0))*K1181,2)</f>
        <v>146.09</v>
      </c>
      <c r="N1181" s="78"/>
      <c r="O1181" s="78"/>
      <c r="P1181" s="78"/>
      <c r="Q1181" s="78"/>
      <c r="R1181" s="78"/>
      <c r="S1181" s="78"/>
      <c r="T1181" s="78"/>
      <c r="U1181" s="78"/>
      <c r="V1181" s="78"/>
      <c r="W1181" s="78"/>
      <c r="X1181" s="78"/>
      <c r="Y1181" s="78"/>
      <c r="Z1181" s="78"/>
    </row>
    <row r="1182" spans="1:26" ht="15.75" customHeight="1" x14ac:dyDescent="0.25">
      <c r="A1182" s="53">
        <v>12</v>
      </c>
      <c r="B1182" s="54" t="s">
        <v>671</v>
      </c>
      <c r="C1182" s="54" t="s">
        <v>920</v>
      </c>
      <c r="D1182" s="53">
        <v>6039</v>
      </c>
      <c r="E1182" s="53">
        <v>8104</v>
      </c>
      <c r="F1182" s="54" t="s">
        <v>1201</v>
      </c>
      <c r="G1182" s="53" t="s">
        <v>255</v>
      </c>
      <c r="H1182" s="58" t="str">
        <f>_xlfn.IFNA(INDEX(ActiveSchools!$C$2:$F$326,MATCH(G1182,ActiveSchools!$F$2:$F$326,0),1),"Total")</f>
        <v>6039</v>
      </c>
      <c r="I1182" s="53">
        <v>228</v>
      </c>
      <c r="J1182" s="59">
        <f>_xlfn.IFNA(INDEX(DetailByDistrict[],MATCH($H1182,DetailByDistrict[Dist],0),MATCH(J$2,DetailByDistrict[#Headers],0)),0)</f>
        <v>1679</v>
      </c>
      <c r="K1182" s="54">
        <f t="shared" si="18"/>
        <v>0.13579511614055986</v>
      </c>
      <c r="L1182" s="59">
        <f>ROUND(INDEX(DetailByDistrict[],MATCH($H1182,DetailByDistrict[Dist],0),MATCH(L$2,DetailByDistrict[#Headers],0))*K1182,2)</f>
        <v>14881.52</v>
      </c>
      <c r="M1182" s="59">
        <f>ROUND(INDEX(DetailByDistrict[],MATCH($H1182,DetailByDistrict[Dist],0),MATCH(M$2,DetailByDistrict[#Headers],0))*K1182,2)</f>
        <v>16657.72</v>
      </c>
      <c r="N1182" s="78"/>
      <c r="O1182" s="78"/>
      <c r="P1182" s="78"/>
      <c r="Q1182" s="78"/>
      <c r="R1182" s="78"/>
      <c r="S1182" s="78"/>
      <c r="T1182" s="78"/>
      <c r="U1182" s="78"/>
      <c r="V1182" s="78"/>
      <c r="W1182" s="78"/>
      <c r="X1182" s="78"/>
      <c r="Y1182" s="78"/>
      <c r="Z1182" s="78"/>
    </row>
    <row r="1183" spans="1:26" ht="15.75" customHeight="1" x14ac:dyDescent="0.25">
      <c r="A1183" s="53">
        <v>12</v>
      </c>
      <c r="B1183" s="54" t="s">
        <v>671</v>
      </c>
      <c r="C1183" s="54" t="s">
        <v>921</v>
      </c>
      <c r="D1183" s="53">
        <v>6039</v>
      </c>
      <c r="E1183" s="53">
        <v>8106</v>
      </c>
      <c r="F1183" s="54" t="s">
        <v>1197</v>
      </c>
      <c r="G1183" s="57" t="s">
        <v>230</v>
      </c>
      <c r="H1183" s="58" t="str">
        <f>_xlfn.IFNA(INDEX(ActiveSchools!$C$2:$F$326,MATCH(G1183,ActiveSchools!$F$2:$F$326,0),1),"Total")</f>
        <v>0063</v>
      </c>
      <c r="I1183" s="53">
        <v>9</v>
      </c>
      <c r="J1183" s="59">
        <f>_xlfn.IFNA(INDEX(DetailByDistrict[],MATCH($H1183,DetailByDistrict[Dist],0),MATCH(J$2,DetailByDistrict[#Headers],0)),0)</f>
        <v>13</v>
      </c>
      <c r="K1183" s="54">
        <f t="shared" si="18"/>
        <v>0.69230769230769229</v>
      </c>
      <c r="L1183" s="59">
        <f>ROUND(INDEX(DetailByDistrict[],MATCH($H1183,DetailByDistrict[Dist],0),MATCH(L$2,DetailByDistrict[#Headers],0))*K1183,2)</f>
        <v>587.77</v>
      </c>
      <c r="M1183" s="59">
        <f>ROUND(INDEX(DetailByDistrict[],MATCH($H1183,DetailByDistrict[Dist],0),MATCH(M$2,DetailByDistrict[#Headers],0))*K1183,2)</f>
        <v>657.69</v>
      </c>
      <c r="N1183" s="78"/>
      <c r="O1183" s="78"/>
      <c r="P1183" s="78"/>
      <c r="Q1183" s="78"/>
      <c r="R1183" s="78"/>
      <c r="S1183" s="78"/>
      <c r="T1183" s="78"/>
      <c r="U1183" s="78"/>
      <c r="V1183" s="78"/>
      <c r="W1183" s="78"/>
      <c r="X1183" s="78"/>
      <c r="Y1183" s="78"/>
      <c r="Z1183" s="78"/>
    </row>
    <row r="1184" spans="1:26" ht="15.75" customHeight="1" x14ac:dyDescent="0.25">
      <c r="A1184" s="53">
        <v>12</v>
      </c>
      <c r="B1184" s="54" t="s">
        <v>671</v>
      </c>
      <c r="C1184" s="54" t="s">
        <v>921</v>
      </c>
      <c r="D1184" s="53">
        <v>6039</v>
      </c>
      <c r="E1184" s="53">
        <v>8106</v>
      </c>
      <c r="F1184" s="54" t="s">
        <v>1198</v>
      </c>
      <c r="G1184" s="53" t="s">
        <v>240</v>
      </c>
      <c r="H1184" s="58" t="str">
        <f>_xlfn.IFNA(INDEX(ActiveSchools!$C$2:$F$326,MATCH(G1184,ActiveSchools!$F$2:$F$326,0),1),"Total")</f>
        <v>2988</v>
      </c>
      <c r="I1184" s="53">
        <v>5</v>
      </c>
      <c r="J1184" s="59">
        <f>_xlfn.IFNA(INDEX(DetailByDistrict[],MATCH($H1184,DetailByDistrict[Dist],0),MATCH(J$2,DetailByDistrict[#Headers],0)),0)</f>
        <v>17</v>
      </c>
      <c r="K1184" s="54">
        <f t="shared" si="18"/>
        <v>0.29411764705882354</v>
      </c>
      <c r="L1184" s="59">
        <f>ROUND(INDEX(DetailByDistrict[],MATCH($H1184,DetailByDistrict[Dist],0),MATCH(L$2,DetailByDistrict[#Headers],0))*K1184,2)</f>
        <v>326.47000000000003</v>
      </c>
      <c r="M1184" s="59">
        <f>ROUND(INDEX(DetailByDistrict[],MATCH($H1184,DetailByDistrict[Dist],0),MATCH(M$2,DetailByDistrict[#Headers],0))*K1184,2)</f>
        <v>365.29</v>
      </c>
      <c r="N1184" s="78"/>
      <c r="O1184" s="78"/>
      <c r="P1184" s="78"/>
      <c r="Q1184" s="78"/>
      <c r="R1184" s="78"/>
      <c r="S1184" s="78"/>
      <c r="T1184" s="78"/>
      <c r="U1184" s="78"/>
      <c r="V1184" s="78"/>
      <c r="W1184" s="78"/>
      <c r="X1184" s="78"/>
      <c r="Y1184" s="78"/>
      <c r="Z1184" s="78"/>
    </row>
    <row r="1185" spans="1:26" ht="15.75" customHeight="1" x14ac:dyDescent="0.25">
      <c r="A1185" s="53">
        <v>12</v>
      </c>
      <c r="B1185" s="54" t="s">
        <v>671</v>
      </c>
      <c r="C1185" s="54" t="s">
        <v>921</v>
      </c>
      <c r="D1185" s="53">
        <v>6039</v>
      </c>
      <c r="E1185" s="53">
        <v>8106</v>
      </c>
      <c r="F1185" s="54" t="s">
        <v>1199</v>
      </c>
      <c r="G1185" s="53" t="s">
        <v>242</v>
      </c>
      <c r="H1185" s="58" t="str">
        <f>_xlfn.IFNA(INDEX(ActiveSchools!$C$2:$F$326,MATCH(G1185,ActiveSchools!$F$2:$F$326,0),1),"Total")</f>
        <v>3555</v>
      </c>
      <c r="I1185" s="53">
        <v>4</v>
      </c>
      <c r="J1185" s="59">
        <f>_xlfn.IFNA(INDEX(DetailByDistrict[],MATCH($H1185,DetailByDistrict[Dist],0),MATCH(J$2,DetailByDistrict[#Headers],0)),0)</f>
        <v>23</v>
      </c>
      <c r="K1185" s="54">
        <f t="shared" si="18"/>
        <v>0.17391304347826086</v>
      </c>
      <c r="L1185" s="59">
        <f>ROUND(INDEX(DetailByDistrict[],MATCH($H1185,DetailByDistrict[Dist],0),MATCH(L$2,DetailByDistrict[#Headers],0))*K1185,2)</f>
        <v>261.04000000000002</v>
      </c>
      <c r="M1185" s="59">
        <f>ROUND(INDEX(DetailByDistrict[],MATCH($H1185,DetailByDistrict[Dist],0),MATCH(M$2,DetailByDistrict[#Headers],0))*K1185,2)</f>
        <v>292.17</v>
      </c>
      <c r="N1185" s="78"/>
      <c r="O1185" s="78"/>
      <c r="P1185" s="78"/>
      <c r="Q1185" s="78"/>
      <c r="R1185" s="78"/>
      <c r="S1185" s="78"/>
      <c r="T1185" s="78"/>
      <c r="U1185" s="78"/>
      <c r="V1185" s="78"/>
      <c r="W1185" s="78"/>
      <c r="X1185" s="78"/>
      <c r="Y1185" s="78"/>
      <c r="Z1185" s="78"/>
    </row>
    <row r="1186" spans="1:26" ht="15.75" customHeight="1" x14ac:dyDescent="0.25">
      <c r="A1186" s="53">
        <v>12</v>
      </c>
      <c r="B1186" s="54" t="s">
        <v>671</v>
      </c>
      <c r="C1186" s="54" t="s">
        <v>921</v>
      </c>
      <c r="D1186" s="53">
        <v>6039</v>
      </c>
      <c r="E1186" s="53">
        <v>8106</v>
      </c>
      <c r="F1186" s="54" t="s">
        <v>1192</v>
      </c>
      <c r="G1186" s="53" t="s">
        <v>243</v>
      </c>
      <c r="H1186" s="58" t="str">
        <f>_xlfn.IFNA(INDEX(ActiveSchools!$C$2:$F$326,MATCH(G1186,ActiveSchools!$F$2:$F$326,0),1),"Total")</f>
        <v>3600</v>
      </c>
      <c r="I1186" s="53">
        <v>1</v>
      </c>
      <c r="J1186" s="59">
        <f>_xlfn.IFNA(INDEX(DetailByDistrict[],MATCH($H1186,DetailByDistrict[Dist],0),MATCH(J$2,DetailByDistrict[#Headers],0)),0)</f>
        <v>503</v>
      </c>
      <c r="K1186" s="54">
        <f t="shared" si="18"/>
        <v>1.9880715705765406E-3</v>
      </c>
      <c r="L1186" s="59">
        <f>ROUND(INDEX(DetailByDistrict[],MATCH($H1186,DetailByDistrict[Dist],0),MATCH(L$2,DetailByDistrict[#Headers],0))*K1186,2)</f>
        <v>65.27</v>
      </c>
      <c r="M1186" s="59">
        <f>ROUND(INDEX(DetailByDistrict[],MATCH($H1186,DetailByDistrict[Dist],0),MATCH(M$2,DetailByDistrict[#Headers],0))*K1186,2)</f>
        <v>73.06</v>
      </c>
      <c r="N1186" s="78"/>
      <c r="O1186" s="78"/>
      <c r="P1186" s="78"/>
      <c r="Q1186" s="78"/>
      <c r="R1186" s="78"/>
      <c r="S1186" s="78"/>
      <c r="T1186" s="78"/>
      <c r="U1186" s="78"/>
      <c r="V1186" s="78"/>
      <c r="W1186" s="78"/>
      <c r="X1186" s="78"/>
      <c r="Y1186" s="78"/>
      <c r="Z1186" s="78"/>
    </row>
    <row r="1187" spans="1:26" ht="15.75" customHeight="1" x14ac:dyDescent="0.25">
      <c r="A1187" s="53">
        <v>12</v>
      </c>
      <c r="B1187" s="54" t="s">
        <v>671</v>
      </c>
      <c r="C1187" s="54" t="s">
        <v>921</v>
      </c>
      <c r="D1187" s="53">
        <v>6039</v>
      </c>
      <c r="E1187" s="53">
        <v>8106</v>
      </c>
      <c r="F1187" s="54" t="s">
        <v>1194</v>
      </c>
      <c r="G1187" s="53" t="s">
        <v>244</v>
      </c>
      <c r="H1187" s="58" t="str">
        <f>_xlfn.IFNA(INDEX(ActiveSchools!$C$2:$F$326,MATCH(G1187,ActiveSchools!$F$2:$F$326,0),1),"Total")</f>
        <v>4033</v>
      </c>
      <c r="I1187" s="53">
        <v>1</v>
      </c>
      <c r="J1187" s="59">
        <f>_xlfn.IFNA(INDEX(DetailByDistrict[],MATCH($H1187,DetailByDistrict[Dist],0),MATCH(J$2,DetailByDistrict[#Headers],0)),0)</f>
        <v>37</v>
      </c>
      <c r="K1187" s="54">
        <f t="shared" si="18"/>
        <v>2.7027027027027029E-2</v>
      </c>
      <c r="L1187" s="59">
        <f>ROUND(INDEX(DetailByDistrict[],MATCH($H1187,DetailByDistrict[Dist],0),MATCH(L$2,DetailByDistrict[#Headers],0))*K1187,2)+0.01</f>
        <v>65.28</v>
      </c>
      <c r="M1187" s="59">
        <f>ROUND(INDEX(DetailByDistrict[],MATCH($H1187,DetailByDistrict[Dist],0),MATCH(M$2,DetailByDistrict[#Headers],0))*K1187,2)</f>
        <v>73.05</v>
      </c>
      <c r="N1187" s="78"/>
      <c r="O1187" s="78"/>
      <c r="P1187" s="78"/>
      <c r="Q1187" s="78"/>
      <c r="R1187" s="78"/>
      <c r="S1187" s="78"/>
      <c r="T1187" s="78"/>
      <c r="U1187" s="78"/>
      <c r="V1187" s="78"/>
      <c r="W1187" s="78"/>
      <c r="X1187" s="78"/>
      <c r="Y1187" s="78"/>
      <c r="Z1187" s="78"/>
    </row>
    <row r="1188" spans="1:26" ht="15.75" customHeight="1" x14ac:dyDescent="0.25">
      <c r="A1188" s="53">
        <v>12</v>
      </c>
      <c r="B1188" s="54" t="s">
        <v>671</v>
      </c>
      <c r="C1188" s="54" t="s">
        <v>921</v>
      </c>
      <c r="D1188" s="53">
        <v>6039</v>
      </c>
      <c r="E1188" s="53">
        <v>8106</v>
      </c>
      <c r="F1188" s="54" t="s">
        <v>1200</v>
      </c>
      <c r="G1188" s="53" t="s">
        <v>251</v>
      </c>
      <c r="H1188" s="58" t="str">
        <f>_xlfn.IFNA(INDEX(ActiveSchools!$C$2:$F$326,MATCH(G1188,ActiveSchools!$F$2:$F$326,0),1),"Total")</f>
        <v>5877</v>
      </c>
      <c r="I1188" s="53">
        <v>7</v>
      </c>
      <c r="J1188" s="59">
        <f>_xlfn.IFNA(INDEX(DetailByDistrict[],MATCH($H1188,DetailByDistrict[Dist],0),MATCH(J$2,DetailByDistrict[#Headers],0)),0)</f>
        <v>51</v>
      </c>
      <c r="K1188" s="54">
        <f t="shared" si="18"/>
        <v>0.13725490196078433</v>
      </c>
      <c r="L1188" s="59">
        <f>ROUND(INDEX(DetailByDistrict[],MATCH($H1188,DetailByDistrict[Dist],0),MATCH(L$2,DetailByDistrict[#Headers],0))*K1188,2)</f>
        <v>456.92</v>
      </c>
      <c r="M1188" s="59">
        <f>ROUND(INDEX(DetailByDistrict[],MATCH($H1188,DetailByDistrict[Dist],0),MATCH(M$2,DetailByDistrict[#Headers],0))*K1188,2)</f>
        <v>511.41</v>
      </c>
      <c r="N1188" s="78"/>
      <c r="O1188" s="78"/>
      <c r="P1188" s="78"/>
      <c r="Q1188" s="78"/>
      <c r="R1188" s="78"/>
      <c r="S1188" s="78"/>
      <c r="T1188" s="78"/>
      <c r="U1188" s="78"/>
      <c r="V1188" s="78"/>
      <c r="W1188" s="78"/>
      <c r="X1188" s="78"/>
      <c r="Y1188" s="78"/>
      <c r="Z1188" s="78"/>
    </row>
    <row r="1189" spans="1:26" ht="15.75" customHeight="1" x14ac:dyDescent="0.25">
      <c r="A1189" s="53">
        <v>12</v>
      </c>
      <c r="B1189" s="54" t="s">
        <v>671</v>
      </c>
      <c r="C1189" s="54" t="s">
        <v>921</v>
      </c>
      <c r="D1189" s="53">
        <v>6039</v>
      </c>
      <c r="E1189" s="53">
        <v>8106</v>
      </c>
      <c r="F1189" s="54" t="s">
        <v>1201</v>
      </c>
      <c r="G1189" s="53" t="s">
        <v>255</v>
      </c>
      <c r="H1189" s="58" t="str">
        <f>_xlfn.IFNA(INDEX(ActiveSchools!$C$2:$F$326,MATCH(G1189,ActiveSchools!$F$2:$F$326,0),1),"Total")</f>
        <v>6039</v>
      </c>
      <c r="I1189" s="53">
        <v>404</v>
      </c>
      <c r="J1189" s="59">
        <f>_xlfn.IFNA(INDEX(DetailByDistrict[],MATCH($H1189,DetailByDistrict[Dist],0),MATCH(J$2,DetailByDistrict[#Headers],0)),0)</f>
        <v>1679</v>
      </c>
      <c r="K1189" s="54">
        <f t="shared" si="18"/>
        <v>0.24061941631923764</v>
      </c>
      <c r="L1189" s="59">
        <f>ROUND(INDEX(DetailByDistrict[],MATCH($H1189,DetailByDistrict[Dist],0),MATCH(L$2,DetailByDistrict[#Headers],0))*K1189,2)</f>
        <v>26369</v>
      </c>
      <c r="M1189" s="59">
        <f>ROUND(INDEX(DetailByDistrict[],MATCH($H1189,DetailByDistrict[Dist],0),MATCH(M$2,DetailByDistrict[#Headers],0))*K1189,2)</f>
        <v>29516.3</v>
      </c>
      <c r="N1189" s="78"/>
      <c r="O1189" s="78"/>
      <c r="P1189" s="78"/>
      <c r="Q1189" s="78"/>
      <c r="R1189" s="78"/>
      <c r="S1189" s="78"/>
      <c r="T1189" s="78"/>
      <c r="U1189" s="78"/>
      <c r="V1189" s="78"/>
      <c r="W1189" s="78"/>
      <c r="X1189" s="78"/>
      <c r="Y1189" s="78"/>
      <c r="Z1189" s="78"/>
    </row>
    <row r="1190" spans="1:26" ht="15.75" customHeight="1" x14ac:dyDescent="0.25">
      <c r="A1190" s="53">
        <v>12</v>
      </c>
      <c r="B1190" s="54" t="s">
        <v>671</v>
      </c>
      <c r="C1190" s="54" t="s">
        <v>921</v>
      </c>
      <c r="D1190" s="53">
        <v>6039</v>
      </c>
      <c r="E1190" s="53">
        <v>8106</v>
      </c>
      <c r="F1190" s="54" t="s">
        <v>1203</v>
      </c>
      <c r="G1190" s="53" t="s">
        <v>260</v>
      </c>
      <c r="H1190" s="58" t="str">
        <f>_xlfn.IFNA(INDEX(ActiveSchools!$C$2:$F$326,MATCH(G1190,ActiveSchools!$F$2:$F$326,0),1),"Total")</f>
        <v>6992</v>
      </c>
      <c r="I1190" s="53">
        <v>2</v>
      </c>
      <c r="J1190" s="59">
        <f>_xlfn.IFNA(INDEX(DetailByDistrict[],MATCH($H1190,DetailByDistrict[Dist],0),MATCH(J$2,DetailByDistrict[#Headers],0)),0)</f>
        <v>11</v>
      </c>
      <c r="K1190" s="54">
        <f t="shared" si="18"/>
        <v>0.18181818181818182</v>
      </c>
      <c r="L1190" s="59">
        <f>ROUND(INDEX(DetailByDistrict[],MATCH($H1190,DetailByDistrict[Dist],0),MATCH(L$2,DetailByDistrict[#Headers],0))*K1190,2)</f>
        <v>130.55000000000001</v>
      </c>
      <c r="M1190" s="59">
        <f>ROUND(INDEX(DetailByDistrict[],MATCH($H1190,DetailByDistrict[Dist],0),MATCH(M$2,DetailByDistrict[#Headers],0))*K1190,2)</f>
        <v>146.18</v>
      </c>
      <c r="N1190" s="78"/>
      <c r="O1190" s="78"/>
      <c r="P1190" s="78"/>
      <c r="Q1190" s="78"/>
      <c r="R1190" s="78"/>
      <c r="S1190" s="78"/>
      <c r="T1190" s="78"/>
      <c r="U1190" s="78"/>
      <c r="V1190" s="78"/>
      <c r="W1190" s="78"/>
      <c r="X1190" s="78"/>
      <c r="Y1190" s="78"/>
      <c r="Z1190" s="78"/>
    </row>
    <row r="1191" spans="1:26" ht="15.75" customHeight="1" x14ac:dyDescent="0.25">
      <c r="A1191" s="53">
        <v>12</v>
      </c>
      <c r="B1191" s="54" t="s">
        <v>671</v>
      </c>
      <c r="C1191" s="54" t="s">
        <v>922</v>
      </c>
      <c r="D1191" s="53">
        <v>6039</v>
      </c>
      <c r="E1191" s="53">
        <v>8107</v>
      </c>
      <c r="F1191" s="54" t="s">
        <v>1198</v>
      </c>
      <c r="G1191" s="53" t="s">
        <v>240</v>
      </c>
      <c r="H1191" s="58" t="str">
        <f>_xlfn.IFNA(INDEX(ActiveSchools!$C$2:$F$326,MATCH(G1191,ActiveSchools!$F$2:$F$326,0),1),"Total")</f>
        <v>2988</v>
      </c>
      <c r="I1191" s="53">
        <v>1</v>
      </c>
      <c r="J1191" s="59">
        <f>_xlfn.IFNA(INDEX(DetailByDistrict[],MATCH($H1191,DetailByDistrict[Dist],0),MATCH(J$2,DetailByDistrict[#Headers],0)),0)</f>
        <v>17</v>
      </c>
      <c r="K1191" s="54">
        <f t="shared" si="18"/>
        <v>5.8823529411764705E-2</v>
      </c>
      <c r="L1191" s="59">
        <f>ROUND(INDEX(DetailByDistrict[],MATCH($H1191,DetailByDistrict[Dist],0),MATCH(L$2,DetailByDistrict[#Headers],0))*K1191,2)</f>
        <v>65.290000000000006</v>
      </c>
      <c r="M1191" s="59">
        <f>ROUND(INDEX(DetailByDistrict[],MATCH($H1191,DetailByDistrict[Dist],0),MATCH(M$2,DetailByDistrict[#Headers],0))*K1191,2)</f>
        <v>73.06</v>
      </c>
      <c r="N1191" s="78"/>
      <c r="O1191" s="78"/>
      <c r="P1191" s="78"/>
      <c r="Q1191" s="78"/>
      <c r="R1191" s="78"/>
      <c r="S1191" s="78"/>
      <c r="T1191" s="78"/>
      <c r="U1191" s="78"/>
      <c r="V1191" s="78"/>
      <c r="W1191" s="78"/>
      <c r="X1191" s="78"/>
      <c r="Y1191" s="78"/>
      <c r="Z1191" s="78"/>
    </row>
    <row r="1192" spans="1:26" ht="15.75" customHeight="1" x14ac:dyDescent="0.25">
      <c r="A1192" s="53">
        <v>12</v>
      </c>
      <c r="B1192" s="54" t="s">
        <v>671</v>
      </c>
      <c r="C1192" s="54" t="s">
        <v>922</v>
      </c>
      <c r="D1192" s="53">
        <v>6039</v>
      </c>
      <c r="E1192" s="53">
        <v>8107</v>
      </c>
      <c r="F1192" s="54" t="s">
        <v>1201</v>
      </c>
      <c r="G1192" s="53" t="s">
        <v>255</v>
      </c>
      <c r="H1192" s="58" t="str">
        <f>_xlfn.IFNA(INDEX(ActiveSchools!$C$2:$F$326,MATCH(G1192,ActiveSchools!$F$2:$F$326,0),1),"Total")</f>
        <v>6039</v>
      </c>
      <c r="I1192" s="53">
        <v>69</v>
      </c>
      <c r="J1192" s="59">
        <f>_xlfn.IFNA(INDEX(DetailByDistrict[],MATCH($H1192,DetailByDistrict[Dist],0),MATCH(J$2,DetailByDistrict[#Headers],0)),0)</f>
        <v>1679</v>
      </c>
      <c r="K1192" s="54">
        <f t="shared" si="18"/>
        <v>4.1095890410958902E-2</v>
      </c>
      <c r="L1192" s="59">
        <f>ROUND(INDEX(DetailByDistrict[],MATCH($H1192,DetailByDistrict[Dist],0),MATCH(L$2,DetailByDistrict[#Headers],0))*K1192,2)</f>
        <v>4503.62</v>
      </c>
      <c r="M1192" s="59">
        <f>ROUND(INDEX(DetailByDistrict[],MATCH($H1192,DetailByDistrict[Dist],0),MATCH(M$2,DetailByDistrict[#Headers],0))*K1192,2)</f>
        <v>5041.1499999999996</v>
      </c>
      <c r="N1192" s="78"/>
      <c r="O1192" s="78"/>
      <c r="P1192" s="78"/>
      <c r="Q1192" s="78"/>
      <c r="R1192" s="78"/>
      <c r="S1192" s="78"/>
      <c r="T1192" s="78"/>
      <c r="U1192" s="78"/>
      <c r="V1192" s="78"/>
      <c r="W1192" s="78"/>
      <c r="X1192" s="78"/>
      <c r="Y1192" s="78"/>
      <c r="Z1192" s="78"/>
    </row>
    <row r="1193" spans="1:26" ht="15.75" customHeight="1" x14ac:dyDescent="0.25">
      <c r="A1193" s="53">
        <v>12</v>
      </c>
      <c r="B1193" s="54" t="s">
        <v>671</v>
      </c>
      <c r="C1193" s="54" t="s">
        <v>783</v>
      </c>
      <c r="D1193" s="53">
        <v>6039</v>
      </c>
      <c r="E1193" s="53">
        <v>8111</v>
      </c>
      <c r="F1193" s="54" t="s">
        <v>1197</v>
      </c>
      <c r="G1193" s="57" t="s">
        <v>230</v>
      </c>
      <c r="H1193" s="58" t="str">
        <f>_xlfn.IFNA(INDEX(ActiveSchools!$C$2:$F$326,MATCH(G1193,ActiveSchools!$F$2:$F$326,0),1),"Total")</f>
        <v>0063</v>
      </c>
      <c r="I1193" s="53">
        <v>3</v>
      </c>
      <c r="J1193" s="59">
        <f>_xlfn.IFNA(INDEX(DetailByDistrict[],MATCH($H1193,DetailByDistrict[Dist],0),MATCH(J$2,DetailByDistrict[#Headers],0)),0)</f>
        <v>13</v>
      </c>
      <c r="K1193" s="54">
        <f t="shared" si="18"/>
        <v>0.23076923076923078</v>
      </c>
      <c r="L1193" s="59">
        <f>ROUND(INDEX(DetailByDistrict[],MATCH($H1193,DetailByDistrict[Dist],0),MATCH(L$2,DetailByDistrict[#Headers],0))*K1193,2)</f>
        <v>195.92</v>
      </c>
      <c r="M1193" s="59">
        <f>ROUND(INDEX(DetailByDistrict[],MATCH($H1193,DetailByDistrict[Dist],0),MATCH(M$2,DetailByDistrict[#Headers],0))*K1193,2)</f>
        <v>219.23</v>
      </c>
      <c r="N1193" s="78"/>
      <c r="O1193" s="78"/>
      <c r="P1193" s="78"/>
      <c r="Q1193" s="78"/>
      <c r="R1193" s="78"/>
      <c r="S1193" s="78"/>
      <c r="T1193" s="78"/>
      <c r="U1193" s="78"/>
      <c r="V1193" s="78"/>
      <c r="W1193" s="78"/>
      <c r="X1193" s="78"/>
      <c r="Y1193" s="78"/>
      <c r="Z1193" s="78"/>
    </row>
    <row r="1194" spans="1:26" ht="15.75" customHeight="1" x14ac:dyDescent="0.25">
      <c r="A1194" s="53">
        <v>12</v>
      </c>
      <c r="B1194" s="54" t="s">
        <v>671</v>
      </c>
      <c r="C1194" s="54" t="s">
        <v>783</v>
      </c>
      <c r="D1194" s="53">
        <v>6039</v>
      </c>
      <c r="E1194" s="53">
        <v>8111</v>
      </c>
      <c r="F1194" s="54" t="s">
        <v>1184</v>
      </c>
      <c r="G1194" s="53" t="s">
        <v>241</v>
      </c>
      <c r="H1194" s="58" t="str">
        <f>_xlfn.IFNA(INDEX(ActiveSchools!$C$2:$F$326,MATCH(G1194,ActiveSchools!$F$2:$F$326,0),1),"Total")</f>
        <v>3348</v>
      </c>
      <c r="I1194" s="53">
        <v>1</v>
      </c>
      <c r="J1194" s="59">
        <f>_xlfn.IFNA(INDEX(DetailByDistrict[],MATCH($H1194,DetailByDistrict[Dist],0),MATCH(J$2,DetailByDistrict[#Headers],0)),0)</f>
        <v>7</v>
      </c>
      <c r="K1194" s="54">
        <f t="shared" si="18"/>
        <v>0.14285714285714285</v>
      </c>
      <c r="L1194" s="59">
        <f>ROUND(INDEX(DetailByDistrict[],MATCH($H1194,DetailByDistrict[Dist],0),MATCH(L$2,DetailByDistrict[#Headers],0))*K1194,2)</f>
        <v>65.290000000000006</v>
      </c>
      <c r="M1194" s="59">
        <f>ROUND(INDEX(DetailByDistrict[],MATCH($H1194,DetailByDistrict[Dist],0),MATCH(M$2,DetailByDistrict[#Headers],0))*K1194,2)</f>
        <v>73</v>
      </c>
      <c r="N1194" s="78"/>
      <c r="O1194" s="78"/>
      <c r="P1194" s="78"/>
      <c r="Q1194" s="78"/>
      <c r="R1194" s="78"/>
      <c r="S1194" s="78"/>
      <c r="T1194" s="78"/>
      <c r="U1194" s="78"/>
      <c r="V1194" s="78"/>
      <c r="W1194" s="78"/>
      <c r="X1194" s="78"/>
      <c r="Y1194" s="78"/>
      <c r="Z1194" s="78"/>
    </row>
    <row r="1195" spans="1:26" ht="15.75" customHeight="1" x14ac:dyDescent="0.25">
      <c r="A1195" s="53">
        <v>12</v>
      </c>
      <c r="B1195" s="54" t="s">
        <v>671</v>
      </c>
      <c r="C1195" s="54" t="s">
        <v>783</v>
      </c>
      <c r="D1195" s="53">
        <v>6039</v>
      </c>
      <c r="E1195" s="53">
        <v>8111</v>
      </c>
      <c r="F1195" s="54" t="s">
        <v>1201</v>
      </c>
      <c r="G1195" s="53" t="s">
        <v>255</v>
      </c>
      <c r="H1195" s="58" t="str">
        <f>_xlfn.IFNA(INDEX(ActiveSchools!$C$2:$F$326,MATCH(G1195,ActiveSchools!$F$2:$F$326,0),1),"Total")</f>
        <v>6039</v>
      </c>
      <c r="I1195" s="53">
        <v>260</v>
      </c>
      <c r="J1195" s="59">
        <f>_xlfn.IFNA(INDEX(DetailByDistrict[],MATCH($H1195,DetailByDistrict[Dist],0),MATCH(J$2,DetailByDistrict[#Headers],0)),0)</f>
        <v>1679</v>
      </c>
      <c r="K1195" s="54">
        <f t="shared" si="18"/>
        <v>0.15485407980941035</v>
      </c>
      <c r="L1195" s="59">
        <f>ROUND(INDEX(DetailByDistrict[],MATCH($H1195,DetailByDistrict[Dist],0),MATCH(L$2,DetailByDistrict[#Headers],0))*K1195,2)</f>
        <v>16970.150000000001</v>
      </c>
      <c r="M1195" s="59">
        <f>ROUND(INDEX(DetailByDistrict[],MATCH($H1195,DetailByDistrict[Dist],0),MATCH(M$2,DetailByDistrict[#Headers],0))*K1195,2)</f>
        <v>18995.64</v>
      </c>
      <c r="N1195" s="78"/>
      <c r="O1195" s="78"/>
      <c r="P1195" s="78"/>
      <c r="Q1195" s="78"/>
      <c r="R1195" s="78"/>
      <c r="S1195" s="78"/>
      <c r="T1195" s="78"/>
      <c r="U1195" s="78"/>
      <c r="V1195" s="78"/>
      <c r="W1195" s="78"/>
      <c r="X1195" s="78"/>
      <c r="Y1195" s="78"/>
      <c r="Z1195" s="78"/>
    </row>
    <row r="1196" spans="1:26" ht="15.75" customHeight="1" x14ac:dyDescent="0.25">
      <c r="A1196" s="53">
        <v>12</v>
      </c>
      <c r="B1196" s="54" t="s">
        <v>671</v>
      </c>
      <c r="C1196" s="54" t="s">
        <v>923</v>
      </c>
      <c r="D1196" s="53">
        <v>6039</v>
      </c>
      <c r="E1196" s="53">
        <v>8114</v>
      </c>
      <c r="F1196" s="54" t="s">
        <v>1201</v>
      </c>
      <c r="G1196" s="53" t="s">
        <v>255</v>
      </c>
      <c r="H1196" s="58" t="str">
        <f>_xlfn.IFNA(INDEX(ActiveSchools!$C$2:$F$326,MATCH(G1196,ActiveSchools!$F$2:$F$326,0),1),"Total")</f>
        <v>6039</v>
      </c>
      <c r="I1196" s="53">
        <v>89</v>
      </c>
      <c r="J1196" s="59">
        <f>_xlfn.IFNA(INDEX(DetailByDistrict[],MATCH($H1196,DetailByDistrict[Dist],0),MATCH(J$2,DetailByDistrict[#Headers],0)),0)</f>
        <v>1679</v>
      </c>
      <c r="K1196" s="54">
        <f t="shared" si="18"/>
        <v>5.3007742703990474E-2</v>
      </c>
      <c r="L1196" s="59">
        <f>ROUND(INDEX(DetailByDistrict[],MATCH($H1196,DetailByDistrict[Dist],0),MATCH(L$2,DetailByDistrict[#Headers],0))*K1196,2)</f>
        <v>5809.01</v>
      </c>
      <c r="M1196" s="59">
        <f>ROUND(INDEX(DetailByDistrict[],MATCH($H1196,DetailByDistrict[Dist],0),MATCH(M$2,DetailByDistrict[#Headers],0))*K1196,2)</f>
        <v>6502.35</v>
      </c>
      <c r="N1196" s="78"/>
      <c r="O1196" s="78"/>
      <c r="P1196" s="78"/>
      <c r="Q1196" s="78"/>
      <c r="R1196" s="78"/>
      <c r="S1196" s="78"/>
      <c r="T1196" s="78"/>
      <c r="U1196" s="78"/>
      <c r="V1196" s="78"/>
      <c r="W1196" s="78"/>
      <c r="X1196" s="78"/>
      <c r="Y1196" s="78"/>
      <c r="Z1196" s="78"/>
    </row>
    <row r="1197" spans="1:26" ht="15.75" customHeight="1" x14ac:dyDescent="0.25">
      <c r="A1197" s="53">
        <v>12</v>
      </c>
      <c r="B1197" s="54" t="s">
        <v>671</v>
      </c>
      <c r="C1197" s="54" t="s">
        <v>924</v>
      </c>
      <c r="D1197" s="53">
        <v>6039</v>
      </c>
      <c r="E1197" s="53">
        <v>8115</v>
      </c>
      <c r="F1197" s="54" t="s">
        <v>1201</v>
      </c>
      <c r="G1197" s="53" t="s">
        <v>255</v>
      </c>
      <c r="H1197" s="58" t="str">
        <f>_xlfn.IFNA(INDEX(ActiveSchools!$C$2:$F$326,MATCH(G1197,ActiveSchools!$F$2:$F$326,0),1),"Total")</f>
        <v>6039</v>
      </c>
      <c r="I1197" s="53">
        <v>133</v>
      </c>
      <c r="J1197" s="59">
        <f>_xlfn.IFNA(INDEX(DetailByDistrict[],MATCH($H1197,DetailByDistrict[Dist],0),MATCH(J$2,DetailByDistrict[#Headers],0)),0)</f>
        <v>1679</v>
      </c>
      <c r="K1197" s="54">
        <f t="shared" si="18"/>
        <v>7.9213817748659918E-2</v>
      </c>
      <c r="L1197" s="59">
        <f>ROUND(INDEX(DetailByDistrict[],MATCH($H1197,DetailByDistrict[Dist],0),MATCH(L$2,DetailByDistrict[#Headers],0))*K1197,2)</f>
        <v>8680.8799999999992</v>
      </c>
      <c r="M1197" s="59">
        <f>ROUND(INDEX(DetailByDistrict[],MATCH($H1197,DetailByDistrict[Dist],0),MATCH(M$2,DetailByDistrict[#Headers],0))*K1197,2)</f>
        <v>9717</v>
      </c>
      <c r="N1197" s="78"/>
      <c r="O1197" s="78"/>
      <c r="P1197" s="78"/>
      <c r="Q1197" s="78"/>
      <c r="R1197" s="78"/>
      <c r="S1197" s="78"/>
      <c r="T1197" s="78"/>
      <c r="U1197" s="78"/>
      <c r="V1197" s="78"/>
      <c r="W1197" s="78"/>
      <c r="X1197" s="78"/>
      <c r="Y1197" s="78"/>
      <c r="Z1197" s="78"/>
    </row>
    <row r="1198" spans="1:26" ht="15.75" customHeight="1" x14ac:dyDescent="0.25">
      <c r="A1198" s="53">
        <v>12</v>
      </c>
      <c r="B1198" s="54" t="s">
        <v>671</v>
      </c>
      <c r="C1198" s="54" t="s">
        <v>924</v>
      </c>
      <c r="D1198" s="53">
        <v>6039</v>
      </c>
      <c r="E1198" s="53">
        <v>8115</v>
      </c>
      <c r="F1198" s="54" t="s">
        <v>1203</v>
      </c>
      <c r="G1198" s="53" t="s">
        <v>260</v>
      </c>
      <c r="H1198" s="58" t="str">
        <f>_xlfn.IFNA(INDEX(ActiveSchools!$C$2:$F$326,MATCH(G1198,ActiveSchools!$F$2:$F$326,0),1),"Total")</f>
        <v>6992</v>
      </c>
      <c r="I1198" s="53">
        <v>1</v>
      </c>
      <c r="J1198" s="59">
        <f>_xlfn.IFNA(INDEX(DetailByDistrict[],MATCH($H1198,DetailByDistrict[Dist],0),MATCH(J$2,DetailByDistrict[#Headers],0)),0)</f>
        <v>11</v>
      </c>
      <c r="K1198" s="54">
        <f t="shared" si="18"/>
        <v>9.0909090909090912E-2</v>
      </c>
      <c r="L1198" s="59">
        <f>ROUND(INDEX(DetailByDistrict[],MATCH($H1198,DetailByDistrict[Dist],0),MATCH(L$2,DetailByDistrict[#Headers],0))*K1198,2)+0.01</f>
        <v>65.28</v>
      </c>
      <c r="M1198" s="59">
        <f>ROUND(INDEX(DetailByDistrict[],MATCH($H1198,DetailByDistrict[Dist],0),MATCH(M$2,DetailByDistrict[#Headers],0))*K1198,2)</f>
        <v>73.09</v>
      </c>
      <c r="N1198" s="78"/>
      <c r="O1198" s="78"/>
      <c r="P1198" s="78"/>
      <c r="Q1198" s="78"/>
      <c r="R1198" s="78"/>
      <c r="S1198" s="78"/>
      <c r="T1198" s="78"/>
      <c r="U1198" s="78"/>
      <c r="V1198" s="78"/>
      <c r="W1198" s="78"/>
      <c r="X1198" s="78"/>
      <c r="Y1198" s="78"/>
      <c r="Z1198" s="78"/>
    </row>
    <row r="1199" spans="1:26" ht="15.75" customHeight="1" x14ac:dyDescent="0.25">
      <c r="A1199" s="53">
        <v>12</v>
      </c>
      <c r="B1199" s="54" t="s">
        <v>671</v>
      </c>
      <c r="C1199" s="54" t="s">
        <v>925</v>
      </c>
      <c r="D1199" s="53">
        <v>6039</v>
      </c>
      <c r="E1199" s="53">
        <v>8116</v>
      </c>
      <c r="F1199" s="54" t="s">
        <v>1199</v>
      </c>
      <c r="G1199" s="53" t="s">
        <v>242</v>
      </c>
      <c r="H1199" s="58" t="str">
        <f>_xlfn.IFNA(INDEX(ActiveSchools!$C$2:$F$326,MATCH(G1199,ActiveSchools!$F$2:$F$326,0),1),"Total")</f>
        <v>3555</v>
      </c>
      <c r="I1199" s="53">
        <v>2</v>
      </c>
      <c r="J1199" s="59">
        <f>_xlfn.IFNA(INDEX(DetailByDistrict[],MATCH($H1199,DetailByDistrict[Dist],0),MATCH(J$2,DetailByDistrict[#Headers],0)),0)</f>
        <v>23</v>
      </c>
      <c r="K1199" s="54">
        <f t="shared" si="18"/>
        <v>8.6956521739130432E-2</v>
      </c>
      <c r="L1199" s="59">
        <f>ROUND(INDEX(DetailByDistrict[],MATCH($H1199,DetailByDistrict[Dist],0),MATCH(L$2,DetailByDistrict[#Headers],0))*K1199,2)</f>
        <v>130.52000000000001</v>
      </c>
      <c r="M1199" s="59">
        <f>ROUND(INDEX(DetailByDistrict[],MATCH($H1199,DetailByDistrict[Dist],0),MATCH(M$2,DetailByDistrict[#Headers],0))*K1199,2)</f>
        <v>146.09</v>
      </c>
      <c r="N1199" s="78"/>
      <c r="O1199" s="78"/>
      <c r="P1199" s="78"/>
      <c r="Q1199" s="78"/>
      <c r="R1199" s="78"/>
      <c r="S1199" s="78"/>
      <c r="T1199" s="78"/>
      <c r="U1199" s="78"/>
      <c r="V1199" s="78"/>
      <c r="W1199" s="78"/>
      <c r="X1199" s="78"/>
      <c r="Y1199" s="78"/>
      <c r="Z1199" s="78"/>
    </row>
    <row r="1200" spans="1:26" ht="15.75" customHeight="1" x14ac:dyDescent="0.25">
      <c r="A1200" s="53">
        <v>12</v>
      </c>
      <c r="B1200" s="54" t="s">
        <v>671</v>
      </c>
      <c r="C1200" s="54" t="s">
        <v>925</v>
      </c>
      <c r="D1200" s="53">
        <v>6039</v>
      </c>
      <c r="E1200" s="53">
        <v>8116</v>
      </c>
      <c r="F1200" s="54" t="s">
        <v>1200</v>
      </c>
      <c r="G1200" s="53" t="s">
        <v>251</v>
      </c>
      <c r="H1200" s="58" t="str">
        <f>_xlfn.IFNA(INDEX(ActiveSchools!$C$2:$F$326,MATCH(G1200,ActiveSchools!$F$2:$F$326,0),1),"Total")</f>
        <v>5877</v>
      </c>
      <c r="I1200" s="53">
        <v>8</v>
      </c>
      <c r="J1200" s="59">
        <f>_xlfn.IFNA(INDEX(DetailByDistrict[],MATCH($H1200,DetailByDistrict[Dist],0),MATCH(J$2,DetailByDistrict[#Headers],0)),0)</f>
        <v>51</v>
      </c>
      <c r="K1200" s="54">
        <f t="shared" si="18"/>
        <v>0.15686274509803921</v>
      </c>
      <c r="L1200" s="59">
        <f>ROUND(INDEX(DetailByDistrict[],MATCH($H1200,DetailByDistrict[Dist],0),MATCH(L$2,DetailByDistrict[#Headers],0))*K1200,2)</f>
        <v>522.20000000000005</v>
      </c>
      <c r="M1200" s="59">
        <f>ROUND(INDEX(DetailByDistrict[],MATCH($H1200,DetailByDistrict[Dist],0),MATCH(M$2,DetailByDistrict[#Headers],0))*K1200,2)</f>
        <v>584.47</v>
      </c>
      <c r="N1200" s="78"/>
      <c r="O1200" s="78"/>
      <c r="P1200" s="78"/>
      <c r="Q1200" s="78"/>
      <c r="R1200" s="78"/>
      <c r="S1200" s="78"/>
      <c r="T1200" s="78"/>
      <c r="U1200" s="78"/>
      <c r="V1200" s="78"/>
      <c r="W1200" s="78"/>
      <c r="X1200" s="78"/>
      <c r="Y1200" s="78"/>
      <c r="Z1200" s="78"/>
    </row>
    <row r="1201" spans="1:26" ht="15.75" customHeight="1" x14ac:dyDescent="0.25">
      <c r="A1201" s="53">
        <v>12</v>
      </c>
      <c r="B1201" s="54" t="s">
        <v>671</v>
      </c>
      <c r="C1201" s="54" t="s">
        <v>925</v>
      </c>
      <c r="D1201" s="53">
        <v>6039</v>
      </c>
      <c r="E1201" s="53">
        <v>8116</v>
      </c>
      <c r="F1201" s="54" t="s">
        <v>1201</v>
      </c>
      <c r="G1201" s="53" t="s">
        <v>255</v>
      </c>
      <c r="H1201" s="58" t="str">
        <f>_xlfn.IFNA(INDEX(ActiveSchools!$C$2:$F$326,MATCH(G1201,ActiveSchools!$F$2:$F$326,0),1),"Total")</f>
        <v>6039</v>
      </c>
      <c r="I1201" s="53">
        <v>108</v>
      </c>
      <c r="J1201" s="59">
        <f>_xlfn.IFNA(INDEX(DetailByDistrict[],MATCH($H1201,DetailByDistrict[Dist],0),MATCH(J$2,DetailByDistrict[#Headers],0)),0)</f>
        <v>1679</v>
      </c>
      <c r="K1201" s="54">
        <f t="shared" si="18"/>
        <v>6.432400238237046E-2</v>
      </c>
      <c r="L1201" s="59">
        <f>ROUND(INDEX(DetailByDistrict[],MATCH($H1201,DetailByDistrict[Dist],0),MATCH(L$2,DetailByDistrict[#Headers],0))*K1201,2)</f>
        <v>7049.14</v>
      </c>
      <c r="M1201" s="59">
        <f>ROUND(INDEX(DetailByDistrict[],MATCH($H1201,DetailByDistrict[Dist],0),MATCH(M$2,DetailByDistrict[#Headers],0))*K1201,2)</f>
        <v>7890.5</v>
      </c>
      <c r="N1201" s="78"/>
      <c r="O1201" s="78"/>
      <c r="P1201" s="78"/>
      <c r="Q1201" s="78"/>
      <c r="R1201" s="78"/>
      <c r="S1201" s="78"/>
      <c r="T1201" s="78"/>
      <c r="U1201" s="78"/>
      <c r="V1201" s="78"/>
      <c r="W1201" s="78"/>
      <c r="X1201" s="78"/>
      <c r="Y1201" s="78"/>
      <c r="Z1201" s="78"/>
    </row>
    <row r="1202" spans="1:26" ht="15.75" customHeight="1" x14ac:dyDescent="0.25">
      <c r="A1202" s="53">
        <v>12</v>
      </c>
      <c r="B1202" s="54" t="s">
        <v>671</v>
      </c>
      <c r="C1202" s="54" t="s">
        <v>925</v>
      </c>
      <c r="D1202" s="53">
        <v>6039</v>
      </c>
      <c r="E1202" s="53">
        <v>8116</v>
      </c>
      <c r="F1202" s="54" t="s">
        <v>1203</v>
      </c>
      <c r="G1202" s="53" t="s">
        <v>260</v>
      </c>
      <c r="H1202" s="58" t="str">
        <f>_xlfn.IFNA(INDEX(ActiveSchools!$C$2:$F$326,MATCH(G1202,ActiveSchools!$F$2:$F$326,0),1),"Total")</f>
        <v>6992</v>
      </c>
      <c r="I1202" s="53">
        <v>6</v>
      </c>
      <c r="J1202" s="59">
        <f>_xlfn.IFNA(INDEX(DetailByDistrict[],MATCH($H1202,DetailByDistrict[Dist],0),MATCH(J$2,DetailByDistrict[#Headers],0)),0)</f>
        <v>11</v>
      </c>
      <c r="K1202" s="54">
        <f t="shared" si="18"/>
        <v>0.54545454545454541</v>
      </c>
      <c r="L1202" s="59">
        <f>ROUND(INDEX(DetailByDistrict[],MATCH($H1202,DetailByDistrict[Dist],0),MATCH(L$2,DetailByDistrict[#Headers],0))*K1202,2)</f>
        <v>391.64</v>
      </c>
      <c r="M1202" s="59">
        <f>ROUND(INDEX(DetailByDistrict[],MATCH($H1202,DetailByDistrict[Dist],0),MATCH(M$2,DetailByDistrict[#Headers],0))*K1202,2)</f>
        <v>438.55</v>
      </c>
      <c r="N1202" s="78"/>
      <c r="O1202" s="78"/>
      <c r="P1202" s="78"/>
      <c r="Q1202" s="78"/>
      <c r="R1202" s="78"/>
      <c r="S1202" s="78"/>
      <c r="T1202" s="78"/>
      <c r="U1202" s="78"/>
      <c r="V1202" s="78"/>
      <c r="W1202" s="78"/>
      <c r="X1202" s="78"/>
      <c r="Y1202" s="78"/>
      <c r="Z1202" s="78"/>
    </row>
    <row r="1203" spans="1:26" ht="15.75" customHeight="1" x14ac:dyDescent="0.25">
      <c r="A1203" s="53">
        <v>12</v>
      </c>
      <c r="B1203" s="54" t="s">
        <v>671</v>
      </c>
      <c r="C1203" s="54" t="s">
        <v>792</v>
      </c>
      <c r="D1203" s="53">
        <v>6039</v>
      </c>
      <c r="E1203" s="53">
        <v>8217</v>
      </c>
      <c r="F1203" s="54" t="s">
        <v>1201</v>
      </c>
      <c r="G1203" s="53" t="s">
        <v>255</v>
      </c>
      <c r="H1203" s="58" t="str">
        <f>_xlfn.IFNA(INDEX(ActiveSchools!$C$2:$F$326,MATCH(G1203,ActiveSchools!$F$2:$F$326,0),1),"Total")</f>
        <v>6039</v>
      </c>
      <c r="I1203" s="53">
        <v>26</v>
      </c>
      <c r="J1203" s="59">
        <f>_xlfn.IFNA(INDEX(DetailByDistrict[],MATCH($H1203,DetailByDistrict[Dist],0),MATCH(J$2,DetailByDistrict[#Headers],0)),0)</f>
        <v>1679</v>
      </c>
      <c r="K1203" s="54">
        <f t="shared" si="18"/>
        <v>1.5485407980941036E-2</v>
      </c>
      <c r="L1203" s="59">
        <f>ROUND(INDEX(DetailByDistrict[],MATCH($H1203,DetailByDistrict[Dist],0),MATCH(L$2,DetailByDistrict[#Headers],0))*K1203,2)</f>
        <v>1697.01</v>
      </c>
      <c r="M1203" s="59">
        <f>ROUND(INDEX(DetailByDistrict[],MATCH($H1203,DetailByDistrict[Dist],0),MATCH(M$2,DetailByDistrict[#Headers],0))*K1203,2)</f>
        <v>1899.56</v>
      </c>
      <c r="N1203" s="78"/>
      <c r="O1203" s="78"/>
      <c r="P1203" s="78"/>
      <c r="Q1203" s="78"/>
      <c r="R1203" s="78"/>
      <c r="S1203" s="78"/>
      <c r="T1203" s="78"/>
      <c r="U1203" s="78"/>
      <c r="V1203" s="78"/>
      <c r="W1203" s="78"/>
      <c r="X1203" s="78"/>
      <c r="Y1203" s="78"/>
      <c r="Z1203" s="78"/>
    </row>
    <row r="1204" spans="1:26" ht="15.75" customHeight="1" x14ac:dyDescent="0.25">
      <c r="A1204" s="53">
        <v>12</v>
      </c>
      <c r="B1204" s="54" t="s">
        <v>671</v>
      </c>
      <c r="C1204" s="54" t="s">
        <v>926</v>
      </c>
      <c r="D1204" s="53">
        <v>6099</v>
      </c>
      <c r="E1204" s="53">
        <v>8203</v>
      </c>
      <c r="F1204" s="54" t="s">
        <v>1191</v>
      </c>
      <c r="G1204" s="53" t="s">
        <v>235</v>
      </c>
      <c r="H1204" s="58" t="str">
        <f>_xlfn.IFNA(INDEX(ActiveSchools!$C$2:$F$326,MATCH(G1204,ActiveSchools!$F$2:$F$326,0),1),"Total")</f>
        <v>1152</v>
      </c>
      <c r="I1204" s="53">
        <v>4</v>
      </c>
      <c r="J1204" s="59">
        <f>_xlfn.IFNA(INDEX(DetailByDistrict[],MATCH($H1204,DetailByDistrict[Dist],0),MATCH(J$2,DetailByDistrict[#Headers],0)),0)</f>
        <v>6</v>
      </c>
      <c r="K1204" s="54">
        <f t="shared" si="18"/>
        <v>0.66666666666666663</v>
      </c>
      <c r="L1204" s="59">
        <f>ROUND(INDEX(DetailByDistrict[],MATCH($H1204,DetailByDistrict[Dist],0),MATCH(L$2,DetailByDistrict[#Headers],0))*K1204,2)</f>
        <v>261.33</v>
      </c>
      <c r="M1204" s="59">
        <f>ROUND(INDEX(DetailByDistrict[],MATCH($H1204,DetailByDistrict[Dist],0),MATCH(M$2,DetailByDistrict[#Headers],0))*K1204,2)</f>
        <v>292</v>
      </c>
      <c r="N1204" s="78"/>
      <c r="O1204" s="78"/>
      <c r="P1204" s="78"/>
      <c r="Q1204" s="78"/>
      <c r="R1204" s="78"/>
      <c r="S1204" s="78"/>
      <c r="T1204" s="78"/>
      <c r="U1204" s="78"/>
      <c r="V1204" s="78"/>
      <c r="W1204" s="78"/>
      <c r="X1204" s="78"/>
      <c r="Y1204" s="78"/>
      <c r="Z1204" s="78"/>
    </row>
    <row r="1205" spans="1:26" ht="15.75" customHeight="1" x14ac:dyDescent="0.25">
      <c r="A1205" s="53">
        <v>12</v>
      </c>
      <c r="B1205" s="54" t="s">
        <v>671</v>
      </c>
      <c r="C1205" s="54" t="s">
        <v>926</v>
      </c>
      <c r="D1205" s="53">
        <v>6099</v>
      </c>
      <c r="E1205" s="53">
        <v>8203</v>
      </c>
      <c r="F1205" s="54" t="s">
        <v>1183</v>
      </c>
      <c r="G1205" s="53" t="s">
        <v>239</v>
      </c>
      <c r="H1205" s="58" t="str">
        <f>_xlfn.IFNA(INDEX(ActiveSchools!$C$2:$F$326,MATCH(G1205,ActiveSchools!$F$2:$F$326,0),1),"Total")</f>
        <v>2862</v>
      </c>
      <c r="I1205" s="53">
        <v>2</v>
      </c>
      <c r="J1205" s="59">
        <f>_xlfn.IFNA(INDEX(DetailByDistrict[],MATCH($H1205,DetailByDistrict[Dist],0),MATCH(J$2,DetailByDistrict[#Headers],0)),0)</f>
        <v>146</v>
      </c>
      <c r="K1205" s="54">
        <f t="shared" si="18"/>
        <v>1.3698630136986301E-2</v>
      </c>
      <c r="L1205" s="59">
        <f>ROUND(INDEX(DetailByDistrict[],MATCH($H1205,DetailByDistrict[Dist],0),MATCH(L$2,DetailByDistrict[#Headers],0))*K1205,2)</f>
        <v>130.53</v>
      </c>
      <c r="M1205" s="59">
        <f>ROUND(INDEX(DetailByDistrict[],MATCH($H1205,DetailByDistrict[Dist],0),MATCH(M$2,DetailByDistrict[#Headers],0))*K1205,2)</f>
        <v>146.12</v>
      </c>
      <c r="N1205" s="78"/>
      <c r="O1205" s="78"/>
      <c r="P1205" s="78"/>
      <c r="Q1205" s="78"/>
      <c r="R1205" s="78"/>
      <c r="S1205" s="78"/>
      <c r="T1205" s="78"/>
      <c r="U1205" s="78"/>
      <c r="V1205" s="78"/>
      <c r="W1205" s="78"/>
      <c r="X1205" s="78"/>
      <c r="Y1205" s="78"/>
      <c r="Z1205" s="78"/>
    </row>
    <row r="1206" spans="1:26" ht="15.75" customHeight="1" x14ac:dyDescent="0.25">
      <c r="A1206" s="53">
        <v>12</v>
      </c>
      <c r="B1206" s="54" t="s">
        <v>671</v>
      </c>
      <c r="C1206" s="54" t="s">
        <v>926</v>
      </c>
      <c r="D1206" s="53">
        <v>6099</v>
      </c>
      <c r="E1206" s="53">
        <v>8203</v>
      </c>
      <c r="F1206" s="54" t="s">
        <v>1195</v>
      </c>
      <c r="G1206" s="53" t="s">
        <v>245</v>
      </c>
      <c r="H1206" s="58" t="str">
        <f>_xlfn.IFNA(INDEX(ActiveSchools!$C$2:$F$326,MATCH(G1206,ActiveSchools!$F$2:$F$326,0),1),"Total")</f>
        <v>4068</v>
      </c>
      <c r="I1206" s="53">
        <v>2</v>
      </c>
      <c r="J1206" s="59">
        <f>_xlfn.IFNA(INDEX(DetailByDistrict[],MATCH($H1206,DetailByDistrict[Dist],0),MATCH(J$2,DetailByDistrict[#Headers],0)),0)</f>
        <v>13</v>
      </c>
      <c r="K1206" s="54">
        <f t="shared" si="18"/>
        <v>0.15384615384615385</v>
      </c>
      <c r="L1206" s="59">
        <f>ROUND(INDEX(DetailByDistrict[],MATCH($H1206,DetailByDistrict[Dist],0),MATCH(L$2,DetailByDistrict[#Headers],0))*K1206,2)</f>
        <v>130.62</v>
      </c>
      <c r="M1206" s="59">
        <f>ROUND(INDEX(DetailByDistrict[],MATCH($H1206,DetailByDistrict[Dist],0),MATCH(M$2,DetailByDistrict[#Headers],0))*K1206,2)</f>
        <v>146.15</v>
      </c>
      <c r="N1206" s="78"/>
      <c r="O1206" s="78"/>
      <c r="P1206" s="78"/>
      <c r="Q1206" s="78"/>
      <c r="R1206" s="78"/>
      <c r="S1206" s="78"/>
      <c r="T1206" s="78"/>
      <c r="U1206" s="78"/>
      <c r="V1206" s="78"/>
      <c r="W1206" s="78"/>
      <c r="X1206" s="78"/>
      <c r="Y1206" s="78"/>
      <c r="Z1206" s="78"/>
    </row>
    <row r="1207" spans="1:26" ht="15.75" customHeight="1" x14ac:dyDescent="0.25">
      <c r="A1207" s="53">
        <v>12</v>
      </c>
      <c r="B1207" s="54" t="s">
        <v>671</v>
      </c>
      <c r="C1207" s="54" t="s">
        <v>926</v>
      </c>
      <c r="D1207" s="53">
        <v>6099</v>
      </c>
      <c r="E1207" s="53">
        <v>8203</v>
      </c>
      <c r="F1207" s="54" t="s">
        <v>1190</v>
      </c>
      <c r="G1207" s="53" t="s">
        <v>702</v>
      </c>
      <c r="H1207" s="58" t="str">
        <f>_xlfn.IFNA(INDEX(ActiveSchools!$C$2:$F$326,MATCH(G1207,ActiveSchools!$F$2:$F$326,0),1),"Total")</f>
        <v>5157</v>
      </c>
      <c r="I1207" s="53">
        <v>69</v>
      </c>
      <c r="J1207" s="59">
        <f>_xlfn.IFNA(INDEX(DetailByDistrict[],MATCH($H1207,DetailByDistrict[Dist],0),MATCH(J$2,DetailByDistrict[#Headers],0)),0)</f>
        <v>85</v>
      </c>
      <c r="K1207" s="54">
        <f t="shared" si="18"/>
        <v>0.81176470588235294</v>
      </c>
      <c r="L1207" s="59">
        <f>ROUND(INDEX(DetailByDistrict[],MATCH($H1207,DetailByDistrict[Dist],0),MATCH(L$2,DetailByDistrict[#Headers],0))*K1207,2)</f>
        <v>4503.67</v>
      </c>
      <c r="M1207" s="59">
        <f>ROUND(INDEX(DetailByDistrict[],MATCH($H1207,DetailByDistrict[Dist],0),MATCH(M$2,DetailByDistrict[#Headers],0))*K1207,2)</f>
        <v>5041.0600000000004</v>
      </c>
      <c r="N1207" s="78"/>
      <c r="O1207" s="78"/>
      <c r="P1207" s="78"/>
      <c r="Q1207" s="78"/>
      <c r="R1207" s="78"/>
      <c r="S1207" s="78"/>
      <c r="T1207" s="78"/>
      <c r="U1207" s="78"/>
      <c r="V1207" s="78"/>
      <c r="W1207" s="78"/>
      <c r="X1207" s="78"/>
      <c r="Y1207" s="78"/>
      <c r="Z1207" s="78"/>
    </row>
    <row r="1208" spans="1:26" ht="15.75" customHeight="1" x14ac:dyDescent="0.25">
      <c r="A1208" s="53">
        <v>12</v>
      </c>
      <c r="B1208" s="54" t="s">
        <v>671</v>
      </c>
      <c r="C1208" s="54" t="s">
        <v>929</v>
      </c>
      <c r="D1208" s="53">
        <v>6102</v>
      </c>
      <c r="E1208" s="53">
        <v>8102</v>
      </c>
      <c r="F1208" s="54" t="s">
        <v>1183</v>
      </c>
      <c r="G1208" s="53" t="s">
        <v>239</v>
      </c>
      <c r="H1208" s="58" t="str">
        <f>_xlfn.IFNA(INDEX(ActiveSchools!$C$2:$F$326,MATCH(G1208,ActiveSchools!$F$2:$F$326,0),1),"Total")</f>
        <v>2862</v>
      </c>
      <c r="I1208" s="53">
        <v>3</v>
      </c>
      <c r="J1208" s="59">
        <f>_xlfn.IFNA(INDEX(DetailByDistrict[],MATCH($H1208,DetailByDistrict[Dist],0),MATCH(J$2,DetailByDistrict[#Headers],0)),0)</f>
        <v>146</v>
      </c>
      <c r="K1208" s="54">
        <f t="shared" si="18"/>
        <v>2.0547945205479451E-2</v>
      </c>
      <c r="L1208" s="59">
        <f>ROUND(INDEX(DetailByDistrict[],MATCH($H1208,DetailByDistrict[Dist],0),MATCH(L$2,DetailByDistrict[#Headers],0))*K1208,2)</f>
        <v>195.8</v>
      </c>
      <c r="M1208" s="59">
        <f>ROUND(INDEX(DetailByDistrict[],MATCH($H1208,DetailByDistrict[Dist],0),MATCH(M$2,DetailByDistrict[#Headers],0))*K1208,2)</f>
        <v>219.18</v>
      </c>
      <c r="N1208" s="78"/>
      <c r="O1208" s="78"/>
      <c r="P1208" s="78"/>
      <c r="Q1208" s="78"/>
      <c r="R1208" s="78"/>
      <c r="S1208" s="78"/>
      <c r="T1208" s="78"/>
      <c r="U1208" s="78"/>
      <c r="V1208" s="78"/>
      <c r="W1208" s="78"/>
      <c r="X1208" s="78"/>
      <c r="Y1208" s="78"/>
      <c r="Z1208" s="78"/>
    </row>
    <row r="1209" spans="1:26" ht="15.75" customHeight="1" x14ac:dyDescent="0.25">
      <c r="A1209" s="53">
        <v>12</v>
      </c>
      <c r="B1209" s="54" t="s">
        <v>671</v>
      </c>
      <c r="C1209" s="54" t="s">
        <v>959</v>
      </c>
      <c r="D1209" s="53">
        <v>6983</v>
      </c>
      <c r="E1209" s="53">
        <v>8303</v>
      </c>
      <c r="F1209" s="54" t="s">
        <v>1174</v>
      </c>
      <c r="G1209" s="53" t="s">
        <v>233</v>
      </c>
      <c r="H1209" s="58" t="str">
        <f>_xlfn.IFNA(INDEX(ActiveSchools!$C$2:$F$326,MATCH(G1209,ActiveSchools!$F$2:$F$326,0),1),"Total")</f>
        <v>1095</v>
      </c>
      <c r="I1209" s="53">
        <v>5</v>
      </c>
      <c r="J1209" s="59">
        <f>_xlfn.IFNA(INDEX(DetailByDistrict[],MATCH($H1209,DetailByDistrict[Dist],0),MATCH(J$2,DetailByDistrict[#Headers],0)),0)</f>
        <v>151</v>
      </c>
      <c r="K1209" s="54">
        <f t="shared" si="18"/>
        <v>3.3112582781456956E-2</v>
      </c>
      <c r="L1209" s="59">
        <f>ROUND(INDEX(DetailByDistrict[],MATCH($H1209,DetailByDistrict[Dist],0),MATCH(L$2,DetailByDistrict[#Headers],0))*K1209,2)</f>
        <v>326.36</v>
      </c>
      <c r="M1209" s="59">
        <f>ROUND(INDEX(DetailByDistrict[],MATCH($H1209,DetailByDistrict[Dist],0),MATCH(M$2,DetailByDistrict[#Headers],0))*K1209,2)</f>
        <v>365.3</v>
      </c>
      <c r="N1209" s="78"/>
      <c r="O1209" s="78"/>
      <c r="P1209" s="78"/>
      <c r="Q1209" s="78"/>
      <c r="R1209" s="78"/>
      <c r="S1209" s="78"/>
      <c r="T1209" s="78"/>
      <c r="U1209" s="78"/>
      <c r="V1209" s="78"/>
      <c r="W1209" s="78"/>
      <c r="X1209" s="78"/>
      <c r="Y1209" s="78"/>
      <c r="Z1209" s="78"/>
    </row>
    <row r="1210" spans="1:26" ht="15.75" customHeight="1" x14ac:dyDescent="0.25">
      <c r="A1210" s="53">
        <v>12</v>
      </c>
      <c r="B1210" s="54" t="s">
        <v>671</v>
      </c>
      <c r="C1210" s="54" t="s">
        <v>959</v>
      </c>
      <c r="D1210" s="53">
        <v>6983</v>
      </c>
      <c r="E1210" s="53">
        <v>8303</v>
      </c>
      <c r="F1210" s="54" t="s">
        <v>1177</v>
      </c>
      <c r="G1210" s="53" t="s">
        <v>249</v>
      </c>
      <c r="H1210" s="58" t="str">
        <f>_xlfn.IFNA(INDEX(ActiveSchools!$C$2:$F$326,MATCH(G1210,ActiveSchools!$F$2:$F$326,0),1),"Total")</f>
        <v>5607</v>
      </c>
      <c r="I1210" s="53">
        <v>3</v>
      </c>
      <c r="J1210" s="59">
        <f>_xlfn.IFNA(INDEX(DetailByDistrict[],MATCH($H1210,DetailByDistrict[Dist],0),MATCH(J$2,DetailByDistrict[#Headers],0)),0)</f>
        <v>439</v>
      </c>
      <c r="K1210" s="54">
        <f t="shared" si="18"/>
        <v>6.8337129840546698E-3</v>
      </c>
      <c r="L1210" s="59">
        <f>ROUND(INDEX(DetailByDistrict[],MATCH($H1210,DetailByDistrict[Dist],0),MATCH(L$2,DetailByDistrict[#Headers],0))*K1210,2)</f>
        <v>195.81</v>
      </c>
      <c r="M1210" s="59">
        <f>ROUND(INDEX(DetailByDistrict[],MATCH($H1210,DetailByDistrict[Dist],0),MATCH(M$2,DetailByDistrict[#Headers],0))*K1210,2)</f>
        <v>219.18</v>
      </c>
      <c r="N1210" s="78"/>
      <c r="O1210" s="78"/>
      <c r="P1210" s="78"/>
      <c r="Q1210" s="78"/>
      <c r="R1210" s="78"/>
      <c r="S1210" s="78"/>
      <c r="T1210" s="78"/>
      <c r="U1210" s="78"/>
      <c r="V1210" s="78"/>
      <c r="W1210" s="78"/>
      <c r="X1210" s="78"/>
      <c r="Y1210" s="78"/>
      <c r="Z1210" s="78"/>
    </row>
    <row r="1211" spans="1:26" ht="15.75" customHeight="1" x14ac:dyDescent="0.25">
      <c r="A1211" s="53">
        <v>12</v>
      </c>
      <c r="B1211" s="54" t="s">
        <v>671</v>
      </c>
      <c r="C1211" s="54" t="s">
        <v>959</v>
      </c>
      <c r="D1211" s="53">
        <v>6983</v>
      </c>
      <c r="E1211" s="53">
        <v>8303</v>
      </c>
      <c r="F1211" s="54" t="s">
        <v>1182</v>
      </c>
      <c r="G1211" s="53" t="s">
        <v>257</v>
      </c>
      <c r="H1211" s="58" t="str">
        <f>_xlfn.IFNA(INDEX(ActiveSchools!$C$2:$F$326,MATCH(G1211,ActiveSchools!$F$2:$F$326,0),1),"Total")</f>
        <v>6983</v>
      </c>
      <c r="I1211" s="53">
        <v>32</v>
      </c>
      <c r="J1211" s="59">
        <f>_xlfn.IFNA(INDEX(DetailByDistrict[],MATCH($H1211,DetailByDistrict[Dist],0),MATCH(J$2,DetailByDistrict[#Headers],0)),0)</f>
        <v>165</v>
      </c>
      <c r="K1211" s="54">
        <f t="shared" si="18"/>
        <v>0.19393939393939394</v>
      </c>
      <c r="L1211" s="59">
        <f>ROUND(INDEX(DetailByDistrict[],MATCH($H1211,DetailByDistrict[Dist],0),MATCH(L$2,DetailByDistrict[#Headers],0))*K1211,2)</f>
        <v>2088.73</v>
      </c>
      <c r="M1211" s="59">
        <f>ROUND(INDEX(DetailByDistrict[],MATCH($H1211,DetailByDistrict[Dist],0),MATCH(M$2,DetailByDistrict[#Headers],0))*K1211,2)</f>
        <v>2337.94</v>
      </c>
      <c r="N1211" s="78"/>
      <c r="O1211" s="78"/>
      <c r="P1211" s="78"/>
      <c r="Q1211" s="78"/>
      <c r="R1211" s="78"/>
      <c r="S1211" s="78"/>
      <c r="T1211" s="78"/>
      <c r="U1211" s="78"/>
      <c r="V1211" s="78"/>
      <c r="W1211" s="78"/>
      <c r="X1211" s="78"/>
      <c r="Y1211" s="78"/>
      <c r="Z1211" s="78"/>
    </row>
    <row r="1212" spans="1:26" ht="15.75" customHeight="1" x14ac:dyDescent="0.25">
      <c r="A1212" s="53">
        <v>12</v>
      </c>
      <c r="B1212" s="54" t="s">
        <v>671</v>
      </c>
      <c r="C1212" s="54" t="s">
        <v>960</v>
      </c>
      <c r="D1212" s="53">
        <v>6990</v>
      </c>
      <c r="E1212" s="53">
        <v>8311</v>
      </c>
      <c r="F1212" s="54" t="s">
        <v>1192</v>
      </c>
      <c r="G1212" s="53" t="s">
        <v>243</v>
      </c>
      <c r="H1212" s="58" t="str">
        <f>_xlfn.IFNA(INDEX(ActiveSchools!$C$2:$F$326,MATCH(G1212,ActiveSchools!$F$2:$F$326,0),1),"Total")</f>
        <v>3600</v>
      </c>
      <c r="I1212" s="53">
        <v>11</v>
      </c>
      <c r="J1212" s="59">
        <f>_xlfn.IFNA(INDEX(DetailByDistrict[],MATCH($H1212,DetailByDistrict[Dist],0),MATCH(J$2,DetailByDistrict[#Headers],0)),0)</f>
        <v>503</v>
      </c>
      <c r="K1212" s="54">
        <f t="shared" si="18"/>
        <v>2.186878727634195E-2</v>
      </c>
      <c r="L1212" s="59">
        <f>ROUND(INDEX(DetailByDistrict[],MATCH($H1212,DetailByDistrict[Dist],0),MATCH(L$2,DetailByDistrict[#Headers],0))*K1212,2)</f>
        <v>717.97</v>
      </c>
      <c r="M1212" s="59">
        <f>ROUND(INDEX(DetailByDistrict[],MATCH($H1212,DetailByDistrict[Dist],0),MATCH(M$2,DetailByDistrict[#Headers],0))*K1212,2)</f>
        <v>803.66</v>
      </c>
      <c r="N1212" s="78"/>
      <c r="O1212" s="78"/>
      <c r="P1212" s="78"/>
      <c r="Q1212" s="78"/>
      <c r="R1212" s="78"/>
      <c r="S1212" s="78"/>
      <c r="T1212" s="78"/>
      <c r="U1212" s="78"/>
      <c r="V1212" s="78"/>
      <c r="W1212" s="78"/>
      <c r="X1212" s="78"/>
      <c r="Y1212" s="78"/>
      <c r="Z1212" s="78"/>
    </row>
    <row r="1213" spans="1:26" ht="15.75" customHeight="1" x14ac:dyDescent="0.25">
      <c r="A1213" s="53">
        <v>12</v>
      </c>
      <c r="B1213" s="54" t="s">
        <v>671</v>
      </c>
      <c r="C1213" s="54" t="s">
        <v>960</v>
      </c>
      <c r="D1213" s="53">
        <v>6990</v>
      </c>
      <c r="E1213" s="53">
        <v>8311</v>
      </c>
      <c r="F1213" s="54" t="s">
        <v>1176</v>
      </c>
      <c r="G1213" s="53" t="s">
        <v>246</v>
      </c>
      <c r="H1213" s="58" t="str">
        <f>_xlfn.IFNA(INDEX(ActiveSchools!$C$2:$F$326,MATCH(G1213,ActiveSchools!$F$2:$F$326,0),1),"Total")</f>
        <v>4149</v>
      </c>
      <c r="I1213" s="53">
        <v>12</v>
      </c>
      <c r="J1213" s="59">
        <f>_xlfn.IFNA(INDEX(DetailByDistrict[],MATCH($H1213,DetailByDistrict[Dist],0),MATCH(J$2,DetailByDistrict[#Headers],0)),0)</f>
        <v>566</v>
      </c>
      <c r="K1213" s="54">
        <f t="shared" si="18"/>
        <v>2.1201413427561839E-2</v>
      </c>
      <c r="L1213" s="59">
        <f>ROUND(INDEX(DetailByDistrict[],MATCH($H1213,DetailByDistrict[Dist],0),MATCH(L$2,DetailByDistrict[#Headers],0))*K1213,2)</f>
        <v>783.24</v>
      </c>
      <c r="M1213" s="59">
        <f>ROUND(INDEX(DetailByDistrict[],MATCH($H1213,DetailByDistrict[Dist],0),MATCH(M$2,DetailByDistrict[#Headers],0))*K1213,2)</f>
        <v>876.72</v>
      </c>
      <c r="N1213" s="78"/>
      <c r="O1213" s="78"/>
      <c r="P1213" s="78"/>
      <c r="Q1213" s="78"/>
      <c r="R1213" s="78"/>
      <c r="S1213" s="78"/>
      <c r="T1213" s="78"/>
      <c r="U1213" s="78"/>
      <c r="V1213" s="78"/>
      <c r="W1213" s="78"/>
      <c r="X1213" s="78"/>
      <c r="Y1213" s="78"/>
      <c r="Z1213" s="78"/>
    </row>
    <row r="1214" spans="1:26" ht="15.75" customHeight="1" x14ac:dyDescent="0.25">
      <c r="A1214" s="53">
        <v>12</v>
      </c>
      <c r="B1214" s="54" t="s">
        <v>671</v>
      </c>
      <c r="C1214" s="54" t="s">
        <v>960</v>
      </c>
      <c r="D1214" s="53">
        <v>6990</v>
      </c>
      <c r="E1214" s="53">
        <v>8311</v>
      </c>
      <c r="F1214" s="54" t="s">
        <v>1177</v>
      </c>
      <c r="G1214" s="53" t="s">
        <v>249</v>
      </c>
      <c r="H1214" s="58" t="str">
        <f>_xlfn.IFNA(INDEX(ActiveSchools!$C$2:$F$326,MATCH(G1214,ActiveSchools!$F$2:$F$326,0),1),"Total")</f>
        <v>5607</v>
      </c>
      <c r="I1214" s="53">
        <v>8</v>
      </c>
      <c r="J1214" s="59">
        <f>_xlfn.IFNA(INDEX(DetailByDistrict[],MATCH($H1214,DetailByDistrict[Dist],0),MATCH(J$2,DetailByDistrict[#Headers],0)),0)</f>
        <v>439</v>
      </c>
      <c r="K1214" s="54">
        <f t="shared" si="18"/>
        <v>1.8223234624145785E-2</v>
      </c>
      <c r="L1214" s="59">
        <f>ROUND(INDEX(DetailByDistrict[],MATCH($H1214,DetailByDistrict[Dist],0),MATCH(L$2,DetailByDistrict[#Headers],0))*K1214,2)</f>
        <v>522.16999999999996</v>
      </c>
      <c r="M1214" s="59">
        <f>ROUND(INDEX(DetailByDistrict[],MATCH($H1214,DetailByDistrict[Dist],0),MATCH(M$2,DetailByDistrict[#Headers],0))*K1214,2)</f>
        <v>584.47</v>
      </c>
      <c r="N1214" s="78"/>
      <c r="O1214" s="78"/>
      <c r="P1214" s="78"/>
      <c r="Q1214" s="78"/>
      <c r="R1214" s="78"/>
      <c r="S1214" s="78"/>
      <c r="T1214" s="78"/>
      <c r="U1214" s="78"/>
      <c r="V1214" s="78"/>
      <c r="W1214" s="78"/>
      <c r="X1214" s="78"/>
      <c r="Y1214" s="78"/>
      <c r="Z1214" s="78"/>
    </row>
    <row r="1215" spans="1:26" ht="15.75" customHeight="1" x14ac:dyDescent="0.25">
      <c r="A1215" s="53">
        <v>12</v>
      </c>
      <c r="B1215" s="54" t="s">
        <v>671</v>
      </c>
      <c r="C1215" s="54" t="s">
        <v>960</v>
      </c>
      <c r="D1215" s="53">
        <v>6990</v>
      </c>
      <c r="E1215" s="53">
        <v>8311</v>
      </c>
      <c r="F1215" s="54" t="s">
        <v>1179</v>
      </c>
      <c r="G1215" s="53" t="s">
        <v>254</v>
      </c>
      <c r="H1215" s="58" t="str">
        <f>_xlfn.IFNA(INDEX(ActiveSchools!$C$2:$F$326,MATCH(G1215,ActiveSchools!$F$2:$F$326,0),1),"Total")</f>
        <v>6030</v>
      </c>
      <c r="I1215" s="53">
        <v>5</v>
      </c>
      <c r="J1215" s="59">
        <f>_xlfn.IFNA(INDEX(DetailByDistrict[],MATCH($H1215,DetailByDistrict[Dist],0),MATCH(J$2,DetailByDistrict[#Headers],0)),0)</f>
        <v>739</v>
      </c>
      <c r="K1215" s="54">
        <f t="shared" si="18"/>
        <v>6.7658998646820028E-3</v>
      </c>
      <c r="L1215" s="59">
        <f>ROUND(INDEX(DetailByDistrict[],MATCH($H1215,DetailByDistrict[Dist],0),MATCH(L$2,DetailByDistrict[#Headers],0))*K1215,2)</f>
        <v>326.35000000000002</v>
      </c>
      <c r="M1215" s="59">
        <f>ROUND(INDEX(DetailByDistrict[],MATCH($H1215,DetailByDistrict[Dist],0),MATCH(M$2,DetailByDistrict[#Headers],0))*K1215,2)</f>
        <v>365.3</v>
      </c>
      <c r="N1215" s="78"/>
      <c r="O1215" s="78"/>
      <c r="P1215" s="78"/>
      <c r="Q1215" s="78"/>
      <c r="R1215" s="78"/>
      <c r="S1215" s="78"/>
      <c r="T1215" s="78"/>
      <c r="U1215" s="78"/>
      <c r="V1215" s="78"/>
      <c r="W1215" s="78"/>
      <c r="X1215" s="78"/>
      <c r="Y1215" s="78"/>
      <c r="Z1215" s="78"/>
    </row>
    <row r="1216" spans="1:26" ht="15.75" customHeight="1" x14ac:dyDescent="0.25">
      <c r="A1216" s="53">
        <v>12</v>
      </c>
      <c r="B1216" s="54" t="s">
        <v>671</v>
      </c>
      <c r="C1216" s="54" t="s">
        <v>960</v>
      </c>
      <c r="D1216" s="53">
        <v>6990</v>
      </c>
      <c r="E1216" s="53">
        <v>8311</v>
      </c>
      <c r="F1216" s="54" t="s">
        <v>1193</v>
      </c>
      <c r="G1216" s="53" t="s">
        <v>259</v>
      </c>
      <c r="H1216" s="58" t="str">
        <f>_xlfn.IFNA(INDEX(ActiveSchools!$C$2:$F$326,MATCH(G1216,ActiveSchools!$F$2:$F$326,0),1),"Total")</f>
        <v>6990</v>
      </c>
      <c r="I1216" s="53">
        <v>41</v>
      </c>
      <c r="J1216" s="59">
        <f>_xlfn.IFNA(INDEX(DetailByDistrict[],MATCH($H1216,DetailByDistrict[Dist],0),MATCH(J$2,DetailByDistrict[#Headers],0)),0)</f>
        <v>95</v>
      </c>
      <c r="K1216" s="54">
        <f t="shared" si="18"/>
        <v>0.43157894736842106</v>
      </c>
      <c r="L1216" s="59">
        <f>ROUND(INDEX(DetailByDistrict[],MATCH($H1216,DetailByDistrict[Dist],0),MATCH(L$2,DetailByDistrict[#Headers],0))*K1216,2)</f>
        <v>2676.22</v>
      </c>
      <c r="M1216" s="59">
        <f>ROUND(INDEX(DetailByDistrict[],MATCH($H1216,DetailByDistrict[Dist],0),MATCH(M$2,DetailByDistrict[#Headers],0))*K1216,2)</f>
        <v>2995.59</v>
      </c>
      <c r="N1216" s="78"/>
      <c r="O1216" s="78"/>
      <c r="P1216" s="78"/>
      <c r="Q1216" s="78"/>
      <c r="R1216" s="78"/>
      <c r="S1216" s="78"/>
      <c r="T1216" s="78"/>
      <c r="U1216" s="78"/>
      <c r="V1216" s="78"/>
      <c r="W1216" s="78"/>
      <c r="X1216" s="78"/>
      <c r="Y1216" s="78"/>
      <c r="Z1216" s="78"/>
    </row>
    <row r="1217" spans="1:26" ht="15.75" customHeight="1" x14ac:dyDescent="0.25">
      <c r="A1217" s="62"/>
      <c r="B1217" s="64"/>
      <c r="C1217" s="65"/>
      <c r="D1217" s="62"/>
      <c r="E1217" s="62"/>
      <c r="F1217" s="62" t="s">
        <v>671</v>
      </c>
      <c r="G1217" s="62" t="s">
        <v>736</v>
      </c>
      <c r="H1217" s="62" t="str">
        <f>_xlfn.IFNA(INDEX(ActiveSchools!$C$2:$F$326,MATCH(G1217,ActiveSchools!$F$2:$F$326,0),1),"Total")</f>
        <v>Total</v>
      </c>
      <c r="I1217" s="62">
        <f>SUM(I1057:I1216)</f>
        <v>5777</v>
      </c>
      <c r="J1217" s="62">
        <f>_xlfn.IFNA(INDEX(DetailByDistrict[],MATCH($H1217,DetailByDistrict[Dist],0),MATCH(J$2,DetailByDistrict[#Headers],0)),0)</f>
        <v>0</v>
      </c>
      <c r="K1217" s="62" t="e">
        <f t="shared" si="18"/>
        <v>#DIV/0!</v>
      </c>
      <c r="L1217" s="63">
        <f>SUM(L1057:L1216)</f>
        <v>377069</v>
      </c>
      <c r="M1217" s="63">
        <f>SUM(M1057:M1216)</f>
        <v>422064.99999999983</v>
      </c>
      <c r="N1217" s="78"/>
      <c r="O1217" s="78"/>
      <c r="P1217" s="78"/>
      <c r="Q1217" s="78"/>
      <c r="R1217" s="78"/>
      <c r="S1217" s="78"/>
      <c r="T1217" s="78"/>
      <c r="U1217" s="78"/>
      <c r="V1217" s="78"/>
      <c r="W1217" s="78"/>
      <c r="X1217" s="78"/>
      <c r="Y1217" s="78"/>
      <c r="Z1217" s="78"/>
    </row>
    <row r="1218" spans="1:26" ht="15.75" customHeight="1" x14ac:dyDescent="0.25">
      <c r="A1218" s="53">
        <v>13</v>
      </c>
      <c r="B1218" s="54" t="s">
        <v>1205</v>
      </c>
      <c r="C1218" s="54" t="s">
        <v>793</v>
      </c>
      <c r="D1218" s="57" t="s">
        <v>185</v>
      </c>
      <c r="E1218" s="53">
        <v>8101</v>
      </c>
      <c r="F1218" s="54" t="s">
        <v>1206</v>
      </c>
      <c r="G1218" s="53" t="s">
        <v>285</v>
      </c>
      <c r="H1218" s="58" t="str">
        <f>_xlfn.IFNA(INDEX(ActiveSchools!$C$2:$F$326,MATCH(G1218,ActiveSchools!$F$2:$F$326,0),1),"Total")</f>
        <v>3168</v>
      </c>
      <c r="I1218" s="53">
        <v>6</v>
      </c>
      <c r="J1218" s="59">
        <f>_xlfn.IFNA(INDEX(DetailByDistrict[],MATCH($H1218,DetailByDistrict[Dist],0),MATCH(J$2,DetailByDistrict[#Headers],0)),0)</f>
        <v>20</v>
      </c>
      <c r="K1218" s="54">
        <f t="shared" si="18"/>
        <v>0.3</v>
      </c>
      <c r="L1218" s="59">
        <f>ROUND(INDEX(DetailByDistrict[],MATCH($H1218,DetailByDistrict[Dist],0),MATCH(L$2,DetailByDistrict[#Headers],0))*K1218,2)</f>
        <v>390</v>
      </c>
      <c r="M1218" s="59">
        <f>ROUND(INDEX(DetailByDistrict[],MATCH($H1218,DetailByDistrict[Dist],0),MATCH(M$2,DetailByDistrict[#Headers],0))*K1218,2)</f>
        <v>431.1</v>
      </c>
      <c r="N1218" s="78"/>
      <c r="O1218" s="78"/>
      <c r="P1218" s="78"/>
      <c r="Q1218" s="78"/>
      <c r="R1218" s="78"/>
      <c r="S1218" s="78"/>
      <c r="T1218" s="78"/>
      <c r="U1218" s="78"/>
      <c r="V1218" s="78"/>
      <c r="W1218" s="78"/>
      <c r="X1218" s="78"/>
      <c r="Y1218" s="78"/>
      <c r="Z1218" s="78"/>
    </row>
    <row r="1219" spans="1:26" ht="15.75" customHeight="1" x14ac:dyDescent="0.25">
      <c r="A1219" s="53">
        <v>13</v>
      </c>
      <c r="B1219" s="54" t="s">
        <v>1205</v>
      </c>
      <c r="C1219" s="54" t="s">
        <v>794</v>
      </c>
      <c r="D1219" s="57" t="s">
        <v>185</v>
      </c>
      <c r="E1219" s="53">
        <v>8104</v>
      </c>
      <c r="F1219" s="54" t="s">
        <v>1206</v>
      </c>
      <c r="G1219" s="53" t="s">
        <v>285</v>
      </c>
      <c r="H1219" s="58" t="str">
        <f>_xlfn.IFNA(INDEX(ActiveSchools!$C$2:$F$326,MATCH(G1219,ActiveSchools!$F$2:$F$326,0),1),"Total")</f>
        <v>3168</v>
      </c>
      <c r="I1219" s="53">
        <v>3</v>
      </c>
      <c r="J1219" s="59">
        <f>_xlfn.IFNA(INDEX(DetailByDistrict[],MATCH($H1219,DetailByDistrict[Dist],0),MATCH(J$2,DetailByDistrict[#Headers],0)),0)</f>
        <v>20</v>
      </c>
      <c r="K1219" s="54">
        <f t="shared" si="18"/>
        <v>0.15</v>
      </c>
      <c r="L1219" s="59">
        <f>ROUND(INDEX(DetailByDistrict[],MATCH($H1219,DetailByDistrict[Dist],0),MATCH(L$2,DetailByDistrict[#Headers],0))*K1219,2)</f>
        <v>195</v>
      </c>
      <c r="M1219" s="59">
        <f>ROUND(INDEX(DetailByDistrict[],MATCH($H1219,DetailByDistrict[Dist],0),MATCH(M$2,DetailByDistrict[#Headers],0))*K1219,2)</f>
        <v>215.55</v>
      </c>
      <c r="N1219" s="78"/>
      <c r="O1219" s="78"/>
      <c r="P1219" s="78"/>
      <c r="Q1219" s="78"/>
      <c r="R1219" s="78"/>
      <c r="S1219" s="78"/>
      <c r="T1219" s="78"/>
      <c r="U1219" s="78"/>
      <c r="V1219" s="78"/>
      <c r="W1219" s="78"/>
      <c r="X1219" s="78"/>
      <c r="Y1219" s="78"/>
      <c r="Z1219" s="78"/>
    </row>
    <row r="1220" spans="1:26" ht="15.75" customHeight="1" x14ac:dyDescent="0.25">
      <c r="A1220" s="53">
        <v>13</v>
      </c>
      <c r="B1220" s="54" t="s">
        <v>1205</v>
      </c>
      <c r="C1220" s="54" t="s">
        <v>810</v>
      </c>
      <c r="D1220" s="53">
        <v>1197</v>
      </c>
      <c r="E1220" s="53">
        <v>8202</v>
      </c>
      <c r="F1220" s="54" t="s">
        <v>1207</v>
      </c>
      <c r="G1220" s="57" t="s">
        <v>266</v>
      </c>
      <c r="H1220" s="58" t="str">
        <f>_xlfn.IFNA(INDEX(ActiveSchools!$C$2:$F$326,MATCH(G1220,ActiveSchools!$F$2:$F$326,0),1),"Total")</f>
        <v>0549</v>
      </c>
      <c r="I1220" s="53">
        <v>4</v>
      </c>
      <c r="J1220" s="59">
        <f>_xlfn.IFNA(INDEX(DetailByDistrict[],MATCH($H1220,DetailByDistrict[Dist],0),MATCH(J$2,DetailByDistrict[#Headers],0)),0)</f>
        <v>4</v>
      </c>
      <c r="K1220" s="54">
        <f t="shared" ref="K1220:K1283" si="19">I1220/J1220</f>
        <v>1</v>
      </c>
      <c r="L1220" s="59">
        <f>ROUND(INDEX(DetailByDistrict[],MATCH($H1220,DetailByDistrict[Dist],0),MATCH(L$2,DetailByDistrict[#Headers],0))*K1220,2)</f>
        <v>260</v>
      </c>
      <c r="M1220" s="59">
        <f>ROUND(INDEX(DetailByDistrict[],MATCH($H1220,DetailByDistrict[Dist],0),MATCH(M$2,DetailByDistrict[#Headers],0))*K1220,2)</f>
        <v>287</v>
      </c>
      <c r="N1220" s="78"/>
      <c r="O1220" s="78"/>
      <c r="P1220" s="78"/>
      <c r="Q1220" s="78"/>
      <c r="R1220" s="78"/>
      <c r="S1220" s="78"/>
      <c r="T1220" s="78"/>
      <c r="U1220" s="78"/>
      <c r="V1220" s="78"/>
      <c r="W1220" s="78"/>
      <c r="X1220" s="78"/>
      <c r="Y1220" s="78"/>
      <c r="Z1220" s="78"/>
    </row>
    <row r="1221" spans="1:26" ht="15.75" customHeight="1" x14ac:dyDescent="0.25">
      <c r="A1221" s="53">
        <v>13</v>
      </c>
      <c r="B1221" s="54" t="s">
        <v>1205</v>
      </c>
      <c r="C1221" s="54" t="s">
        <v>810</v>
      </c>
      <c r="D1221" s="53">
        <v>1197</v>
      </c>
      <c r="E1221" s="53">
        <v>8202</v>
      </c>
      <c r="F1221" s="54" t="s">
        <v>1208</v>
      </c>
      <c r="G1221" s="53" t="s">
        <v>271</v>
      </c>
      <c r="H1221" s="58" t="str">
        <f>_xlfn.IFNA(INDEX(ActiveSchools!$C$2:$F$326,MATCH(G1221,ActiveSchools!$F$2:$F$326,0),1),"Total")</f>
        <v>1197</v>
      </c>
      <c r="I1221" s="53">
        <v>58</v>
      </c>
      <c r="J1221" s="59">
        <f>_xlfn.IFNA(INDEX(DetailByDistrict[],MATCH($H1221,DetailByDistrict[Dist],0),MATCH(J$2,DetailByDistrict[#Headers],0)),0)</f>
        <v>58</v>
      </c>
      <c r="K1221" s="54">
        <f t="shared" si="19"/>
        <v>1</v>
      </c>
      <c r="L1221" s="59">
        <f>ROUND(INDEX(DetailByDistrict[],MATCH($H1221,DetailByDistrict[Dist],0),MATCH(L$2,DetailByDistrict[#Headers],0))*K1221,2)</f>
        <v>3769</v>
      </c>
      <c r="M1221" s="59">
        <f>ROUND(INDEX(DetailByDistrict[],MATCH($H1221,DetailByDistrict[Dist],0),MATCH(M$2,DetailByDistrict[#Headers],0))*K1221,2)</f>
        <v>4168</v>
      </c>
      <c r="N1221" s="78"/>
      <c r="O1221" s="78"/>
      <c r="P1221" s="78"/>
      <c r="Q1221" s="78"/>
      <c r="R1221" s="78"/>
      <c r="S1221" s="78"/>
      <c r="T1221" s="78"/>
      <c r="U1221" s="78"/>
      <c r="V1221" s="78"/>
      <c r="W1221" s="78"/>
      <c r="X1221" s="78"/>
      <c r="Y1221" s="78"/>
      <c r="Z1221" s="78"/>
    </row>
    <row r="1222" spans="1:26" ht="15.75" customHeight="1" x14ac:dyDescent="0.25">
      <c r="A1222" s="53">
        <v>13</v>
      </c>
      <c r="B1222" s="54" t="s">
        <v>1205</v>
      </c>
      <c r="C1222" s="54" t="s">
        <v>810</v>
      </c>
      <c r="D1222" s="53">
        <v>1197</v>
      </c>
      <c r="E1222" s="53">
        <v>8202</v>
      </c>
      <c r="F1222" s="54" t="s">
        <v>1209</v>
      </c>
      <c r="G1222" s="53" t="s">
        <v>279</v>
      </c>
      <c r="H1222" s="58" t="str">
        <f>_xlfn.IFNA(INDEX(ActiveSchools!$C$2:$F$326,MATCH(G1222,ActiveSchools!$F$2:$F$326,0),1),"Total")</f>
        <v>2113</v>
      </c>
      <c r="I1222" s="53">
        <v>5</v>
      </c>
      <c r="J1222" s="59">
        <f>_xlfn.IFNA(INDEX(DetailByDistrict[],MATCH($H1222,DetailByDistrict[Dist],0),MATCH(J$2,DetailByDistrict[#Headers],0)),0)</f>
        <v>5</v>
      </c>
      <c r="K1222" s="54">
        <f t="shared" si="19"/>
        <v>1</v>
      </c>
      <c r="L1222" s="59">
        <f>ROUND(INDEX(DetailByDistrict[],MATCH($H1222,DetailByDistrict[Dist],0),MATCH(L$2,DetailByDistrict[#Headers],0))*K1222,2)</f>
        <v>325</v>
      </c>
      <c r="M1222" s="59">
        <f>ROUND(INDEX(DetailByDistrict[],MATCH($H1222,DetailByDistrict[Dist],0),MATCH(M$2,DetailByDistrict[#Headers],0))*K1222,2)</f>
        <v>359</v>
      </c>
      <c r="N1222" s="78"/>
      <c r="O1222" s="78"/>
      <c r="P1222" s="78"/>
      <c r="Q1222" s="78"/>
      <c r="R1222" s="78"/>
      <c r="S1222" s="78"/>
      <c r="T1222" s="78"/>
      <c r="U1222" s="78"/>
      <c r="V1222" s="78"/>
      <c r="W1222" s="78"/>
      <c r="X1222" s="78"/>
      <c r="Y1222" s="78"/>
      <c r="Z1222" s="78"/>
    </row>
    <row r="1223" spans="1:26" ht="15.75" customHeight="1" x14ac:dyDescent="0.25">
      <c r="A1223" s="53">
        <v>13</v>
      </c>
      <c r="B1223" s="54" t="s">
        <v>1205</v>
      </c>
      <c r="C1223" s="54" t="s">
        <v>810</v>
      </c>
      <c r="D1223" s="53">
        <v>1197</v>
      </c>
      <c r="E1223" s="53">
        <v>8202</v>
      </c>
      <c r="F1223" s="54" t="s">
        <v>1210</v>
      </c>
      <c r="G1223" s="53" t="s">
        <v>298</v>
      </c>
      <c r="H1223" s="58" t="str">
        <f>_xlfn.IFNA(INDEX(ActiveSchools!$C$2:$F$326,MATCH(G1223,ActiveSchools!$F$2:$F$326,0),1),"Total")</f>
        <v>5976</v>
      </c>
      <c r="I1223" s="53">
        <v>10</v>
      </c>
      <c r="J1223" s="59">
        <f>_xlfn.IFNA(INDEX(DetailByDistrict[],MATCH($H1223,DetailByDistrict[Dist],0),MATCH(J$2,DetailByDistrict[#Headers],0)),0)</f>
        <v>10</v>
      </c>
      <c r="K1223" s="54">
        <f t="shared" si="19"/>
        <v>1</v>
      </c>
      <c r="L1223" s="59">
        <f>ROUND(INDEX(DetailByDistrict[],MATCH($H1223,DetailByDistrict[Dist],0),MATCH(L$2,DetailByDistrict[#Headers],0))*K1223,2)</f>
        <v>650</v>
      </c>
      <c r="M1223" s="59">
        <f>ROUND(INDEX(DetailByDistrict[],MATCH($H1223,DetailByDistrict[Dist],0),MATCH(M$2,DetailByDistrict[#Headers],0))*K1223,2)</f>
        <v>719</v>
      </c>
      <c r="N1223" s="78"/>
      <c r="O1223" s="78"/>
      <c r="P1223" s="78"/>
      <c r="Q1223" s="78"/>
      <c r="R1223" s="78"/>
      <c r="S1223" s="78"/>
      <c r="T1223" s="78"/>
      <c r="U1223" s="78"/>
      <c r="V1223" s="78"/>
      <c r="W1223" s="78"/>
      <c r="X1223" s="78"/>
      <c r="Y1223" s="78"/>
      <c r="Z1223" s="78"/>
    </row>
    <row r="1224" spans="1:26" ht="15.75" customHeight="1" x14ac:dyDescent="0.25">
      <c r="A1224" s="53">
        <v>13</v>
      </c>
      <c r="B1224" s="54" t="s">
        <v>1205</v>
      </c>
      <c r="C1224" s="54" t="s">
        <v>815</v>
      </c>
      <c r="D1224" s="53">
        <v>1476</v>
      </c>
      <c r="E1224" s="53">
        <v>8108</v>
      </c>
      <c r="F1224" s="54" t="s">
        <v>1211</v>
      </c>
      <c r="G1224" s="53" t="s">
        <v>274</v>
      </c>
      <c r="H1224" s="58" t="str">
        <f>_xlfn.IFNA(INDEX(ActiveSchools!$C$2:$F$326,MATCH(G1224,ActiveSchools!$F$2:$F$326,0),1),"Total")</f>
        <v>1476</v>
      </c>
      <c r="I1224" s="53">
        <v>368</v>
      </c>
      <c r="J1224" s="59">
        <f>_xlfn.IFNA(INDEX(DetailByDistrict[],MATCH($H1224,DetailByDistrict[Dist],0),MATCH(J$2,DetailByDistrict[#Headers],0)),0)</f>
        <v>498</v>
      </c>
      <c r="K1224" s="54">
        <f t="shared" si="19"/>
        <v>0.73895582329317266</v>
      </c>
      <c r="L1224" s="59">
        <f>ROUND(INDEX(DetailByDistrict[],MATCH($H1224,DetailByDistrict[Dist],0),MATCH(L$2,DetailByDistrict[#Headers],0))*K1224,2)</f>
        <v>23916.31</v>
      </c>
      <c r="M1224" s="59">
        <f>ROUND(INDEX(DetailByDistrict[],MATCH($H1224,DetailByDistrict[Dist],0),MATCH(M$2,DetailByDistrict[#Headers],0))*K1224,2)</f>
        <v>26444.27</v>
      </c>
      <c r="N1224" s="78"/>
      <c r="O1224" s="78"/>
      <c r="P1224" s="78"/>
      <c r="Q1224" s="78"/>
      <c r="R1224" s="78"/>
      <c r="S1224" s="78"/>
      <c r="T1224" s="78"/>
      <c r="U1224" s="78"/>
      <c r="V1224" s="78"/>
      <c r="W1224" s="78"/>
      <c r="X1224" s="78"/>
      <c r="Y1224" s="78"/>
      <c r="Z1224" s="78"/>
    </row>
    <row r="1225" spans="1:26" ht="15.75" customHeight="1" x14ac:dyDescent="0.25">
      <c r="A1225" s="53">
        <v>13</v>
      </c>
      <c r="B1225" s="54" t="s">
        <v>1205</v>
      </c>
      <c r="C1225" s="54" t="s">
        <v>815</v>
      </c>
      <c r="D1225" s="53">
        <v>1476</v>
      </c>
      <c r="E1225" s="53">
        <v>8108</v>
      </c>
      <c r="F1225" s="54" t="s">
        <v>1212</v>
      </c>
      <c r="G1225" s="53" t="s">
        <v>280</v>
      </c>
      <c r="H1225" s="58" t="str">
        <f>_xlfn.IFNA(INDEX(ActiveSchools!$C$2:$F$326,MATCH(G1225,ActiveSchools!$F$2:$F$326,0),1),"Total")</f>
        <v>2369</v>
      </c>
      <c r="I1225" s="53">
        <v>4</v>
      </c>
      <c r="J1225" s="59">
        <f>_xlfn.IFNA(INDEX(DetailByDistrict[],MATCH($H1225,DetailByDistrict[Dist],0),MATCH(J$2,DetailByDistrict[#Headers],0)),0)</f>
        <v>5</v>
      </c>
      <c r="K1225" s="54">
        <f t="shared" si="19"/>
        <v>0.8</v>
      </c>
      <c r="L1225" s="59">
        <f>ROUND(INDEX(DetailByDistrict[],MATCH($H1225,DetailByDistrict[Dist],0),MATCH(L$2,DetailByDistrict[#Headers],0))*K1225,2)</f>
        <v>260</v>
      </c>
      <c r="M1225" s="59">
        <f>ROUND(INDEX(DetailByDistrict[],MATCH($H1225,DetailByDistrict[Dist],0),MATCH(M$2,DetailByDistrict[#Headers],0))*K1225,2)</f>
        <v>287.2</v>
      </c>
      <c r="N1225" s="78"/>
      <c r="O1225" s="78"/>
      <c r="P1225" s="78"/>
      <c r="Q1225" s="78"/>
      <c r="R1225" s="78"/>
      <c r="S1225" s="78"/>
      <c r="T1225" s="78"/>
      <c r="U1225" s="78"/>
      <c r="V1225" s="78"/>
      <c r="W1225" s="78"/>
      <c r="X1225" s="78"/>
      <c r="Y1225" s="78"/>
      <c r="Z1225" s="78"/>
    </row>
    <row r="1226" spans="1:26" ht="15.75" customHeight="1" x14ac:dyDescent="0.25">
      <c r="A1226" s="53">
        <v>13</v>
      </c>
      <c r="B1226" s="54" t="s">
        <v>1205</v>
      </c>
      <c r="C1226" s="54" t="s">
        <v>815</v>
      </c>
      <c r="D1226" s="53">
        <v>1476</v>
      </c>
      <c r="E1226" s="53">
        <v>8108</v>
      </c>
      <c r="F1226" s="54" t="s">
        <v>1213</v>
      </c>
      <c r="G1226" s="53" t="s">
        <v>281</v>
      </c>
      <c r="H1226" s="58" t="str">
        <f>_xlfn.IFNA(INDEX(ActiveSchools!$C$2:$F$326,MATCH(G1226,ActiveSchools!$F$2:$F$326,0),1),"Total")</f>
        <v>2511</v>
      </c>
      <c r="I1226" s="53">
        <v>11</v>
      </c>
      <c r="J1226" s="59">
        <f>_xlfn.IFNA(INDEX(DetailByDistrict[],MATCH($H1226,DetailByDistrict[Dist],0),MATCH(J$2,DetailByDistrict[#Headers],0)),0)</f>
        <v>30</v>
      </c>
      <c r="K1226" s="54">
        <f t="shared" si="19"/>
        <v>0.36666666666666664</v>
      </c>
      <c r="L1226" s="59">
        <f>ROUND(INDEX(DetailByDistrict[],MATCH($H1226,DetailByDistrict[Dist],0),MATCH(L$2,DetailByDistrict[#Headers],0))*K1226,2)</f>
        <v>715</v>
      </c>
      <c r="M1226" s="59">
        <f>ROUND(INDEX(DetailByDistrict[],MATCH($H1226,DetailByDistrict[Dist],0),MATCH(M$2,DetailByDistrict[#Headers],0))*K1226,2)</f>
        <v>790.53</v>
      </c>
      <c r="N1226" s="78"/>
      <c r="O1226" s="78"/>
      <c r="P1226" s="78"/>
      <c r="Q1226" s="78"/>
      <c r="R1226" s="78"/>
      <c r="S1226" s="78"/>
      <c r="T1226" s="78"/>
      <c r="U1226" s="78"/>
      <c r="V1226" s="78"/>
      <c r="W1226" s="78"/>
      <c r="X1226" s="78"/>
      <c r="Y1226" s="78"/>
      <c r="Z1226" s="78"/>
    </row>
    <row r="1227" spans="1:26" ht="15.75" customHeight="1" x14ac:dyDescent="0.25">
      <c r="A1227" s="53">
        <v>13</v>
      </c>
      <c r="B1227" s="54" t="s">
        <v>1205</v>
      </c>
      <c r="C1227" s="54" t="s">
        <v>815</v>
      </c>
      <c r="D1227" s="53">
        <v>1476</v>
      </c>
      <c r="E1227" s="53">
        <v>8108</v>
      </c>
      <c r="F1227" s="54" t="s">
        <v>1214</v>
      </c>
      <c r="G1227" s="53" t="s">
        <v>288</v>
      </c>
      <c r="H1227" s="58" t="str">
        <f>_xlfn.IFNA(INDEX(ActiveSchools!$C$2:$F$326,MATCH(G1227,ActiveSchools!$F$2:$F$326,0),1),"Total")</f>
        <v>3645</v>
      </c>
      <c r="I1227" s="53">
        <v>185</v>
      </c>
      <c r="J1227" s="59">
        <f>_xlfn.IFNA(INDEX(DetailByDistrict[],MATCH($H1227,DetailByDistrict[Dist],0),MATCH(J$2,DetailByDistrict[#Headers],0)),0)</f>
        <v>251</v>
      </c>
      <c r="K1227" s="54">
        <f t="shared" si="19"/>
        <v>0.73705179282868527</v>
      </c>
      <c r="L1227" s="59">
        <f>ROUND(INDEX(DetailByDistrict[],MATCH($H1227,DetailByDistrict[Dist],0),MATCH(L$2,DetailByDistrict[#Headers],0))*K1227,2)</f>
        <v>12022.79</v>
      </c>
      <c r="M1227" s="59">
        <f>ROUND(INDEX(DetailByDistrict[],MATCH($H1227,DetailByDistrict[Dist],0),MATCH(M$2,DetailByDistrict[#Headers],0))*K1227,2)</f>
        <v>13294.2</v>
      </c>
      <c r="N1227" s="78"/>
      <c r="O1227" s="78"/>
      <c r="P1227" s="78"/>
      <c r="Q1227" s="78"/>
      <c r="R1227" s="78"/>
      <c r="S1227" s="78"/>
      <c r="T1227" s="78"/>
      <c r="U1227" s="78"/>
      <c r="V1227" s="78"/>
      <c r="W1227" s="78"/>
      <c r="X1227" s="78"/>
      <c r="Y1227" s="78"/>
      <c r="Z1227" s="78"/>
    </row>
    <row r="1228" spans="1:26" ht="15.75" customHeight="1" x14ac:dyDescent="0.25">
      <c r="A1228" s="53">
        <v>13</v>
      </c>
      <c r="B1228" s="54" t="s">
        <v>1205</v>
      </c>
      <c r="C1228" s="54" t="s">
        <v>815</v>
      </c>
      <c r="D1228" s="53">
        <v>1476</v>
      </c>
      <c r="E1228" s="53">
        <v>8108</v>
      </c>
      <c r="F1228" s="54" t="s">
        <v>1215</v>
      </c>
      <c r="G1228" s="53" t="s">
        <v>289</v>
      </c>
      <c r="H1228" s="58" t="str">
        <f>_xlfn.IFNA(INDEX(ActiveSchools!$C$2:$F$326,MATCH(G1228,ActiveSchools!$F$2:$F$326,0),1),"Total")</f>
        <v>3798</v>
      </c>
      <c r="I1228" s="53">
        <v>2</v>
      </c>
      <c r="J1228" s="59">
        <f>_xlfn.IFNA(INDEX(DetailByDistrict[],MATCH($H1228,DetailByDistrict[Dist],0),MATCH(J$2,DetailByDistrict[#Headers],0)),0)</f>
        <v>2</v>
      </c>
      <c r="K1228" s="54">
        <f t="shared" si="19"/>
        <v>1</v>
      </c>
      <c r="L1228" s="59">
        <f>ROUND(INDEX(DetailByDistrict[],MATCH($H1228,DetailByDistrict[Dist],0),MATCH(L$2,DetailByDistrict[#Headers],0))*K1228,2)</f>
        <v>130</v>
      </c>
      <c r="M1228" s="59">
        <f>ROUND(INDEX(DetailByDistrict[],MATCH($H1228,DetailByDistrict[Dist],0),MATCH(M$2,DetailByDistrict[#Headers],0))*K1228,2)</f>
        <v>144</v>
      </c>
      <c r="N1228" s="78"/>
      <c r="O1228" s="78"/>
      <c r="P1228" s="78"/>
      <c r="Q1228" s="78"/>
      <c r="R1228" s="78"/>
      <c r="S1228" s="78"/>
      <c r="T1228" s="78"/>
      <c r="U1228" s="78"/>
      <c r="V1228" s="78"/>
      <c r="W1228" s="78"/>
      <c r="X1228" s="78"/>
      <c r="Y1228" s="78"/>
      <c r="Z1228" s="78"/>
    </row>
    <row r="1229" spans="1:26" ht="15.75" customHeight="1" x14ac:dyDescent="0.25">
      <c r="A1229" s="53">
        <v>13</v>
      </c>
      <c r="B1229" s="54" t="s">
        <v>1205</v>
      </c>
      <c r="C1229" s="54" t="s">
        <v>815</v>
      </c>
      <c r="D1229" s="53">
        <v>1476</v>
      </c>
      <c r="E1229" s="53">
        <v>8108</v>
      </c>
      <c r="F1229" s="54" t="s">
        <v>1216</v>
      </c>
      <c r="G1229" s="53" t="s">
        <v>290</v>
      </c>
      <c r="H1229" s="58" t="str">
        <f>_xlfn.IFNA(INDEX(ActiveSchools!$C$2:$F$326,MATCH(G1229,ActiveSchools!$F$2:$F$326,0),1),"Total")</f>
        <v>4356</v>
      </c>
      <c r="I1229" s="53">
        <v>6</v>
      </c>
      <c r="J1229" s="59">
        <f>_xlfn.IFNA(INDEX(DetailByDistrict[],MATCH($H1229,DetailByDistrict[Dist],0),MATCH(J$2,DetailByDistrict[#Headers],0)),0)</f>
        <v>8</v>
      </c>
      <c r="K1229" s="54">
        <f t="shared" si="19"/>
        <v>0.75</v>
      </c>
      <c r="L1229" s="59">
        <f>ROUND(INDEX(DetailByDistrict[],MATCH($H1229,DetailByDistrict[Dist],0),MATCH(L$2,DetailByDistrict[#Headers],0))*K1229,2)</f>
        <v>390</v>
      </c>
      <c r="M1229" s="59">
        <f>ROUND(INDEX(DetailByDistrict[],MATCH($H1229,DetailByDistrict[Dist],0),MATCH(M$2,DetailByDistrict[#Headers],0))*K1229,2)</f>
        <v>431.25</v>
      </c>
      <c r="N1229" s="78"/>
      <c r="O1229" s="78"/>
      <c r="P1229" s="78"/>
      <c r="Q1229" s="78"/>
      <c r="R1229" s="78"/>
      <c r="S1229" s="78"/>
      <c r="T1229" s="78"/>
      <c r="U1229" s="78"/>
      <c r="V1229" s="78"/>
      <c r="W1229" s="78"/>
      <c r="X1229" s="78"/>
      <c r="Y1229" s="78"/>
      <c r="Z1229" s="78"/>
    </row>
    <row r="1230" spans="1:26" ht="15.75" customHeight="1" x14ac:dyDescent="0.25">
      <c r="A1230" s="53">
        <v>13</v>
      </c>
      <c r="B1230" s="54" t="s">
        <v>1205</v>
      </c>
      <c r="C1230" s="54" t="s">
        <v>815</v>
      </c>
      <c r="D1230" s="53">
        <v>1476</v>
      </c>
      <c r="E1230" s="53">
        <v>8108</v>
      </c>
      <c r="F1230" s="54" t="s">
        <v>1217</v>
      </c>
      <c r="G1230" s="53" t="s">
        <v>303</v>
      </c>
      <c r="H1230" s="58" t="str">
        <f>_xlfn.IFNA(INDEX(ActiveSchools!$C$2:$F$326,MATCH(G1230,ActiveSchools!$F$2:$F$326,0),1),"Total")</f>
        <v>6460</v>
      </c>
      <c r="I1230" s="53">
        <v>1</v>
      </c>
      <c r="J1230" s="59">
        <f>_xlfn.IFNA(INDEX(DetailByDistrict[],MATCH($H1230,DetailByDistrict[Dist],0),MATCH(J$2,DetailByDistrict[#Headers],0)),0)</f>
        <v>6</v>
      </c>
      <c r="K1230" s="54">
        <f t="shared" si="19"/>
        <v>0.16666666666666666</v>
      </c>
      <c r="L1230" s="59">
        <f>ROUND(INDEX(DetailByDistrict[],MATCH($H1230,DetailByDistrict[Dist],0),MATCH(L$2,DetailByDistrict[#Headers],0))*K1230,2)</f>
        <v>65</v>
      </c>
      <c r="M1230" s="59">
        <f>ROUND(INDEX(DetailByDistrict[],MATCH($H1230,DetailByDistrict[Dist],0),MATCH(M$2,DetailByDistrict[#Headers],0))*K1230,2)</f>
        <v>71.83</v>
      </c>
      <c r="N1230" s="78"/>
      <c r="O1230" s="78"/>
      <c r="P1230" s="78"/>
      <c r="Q1230" s="78"/>
      <c r="R1230" s="78"/>
      <c r="S1230" s="78"/>
      <c r="T1230" s="78"/>
      <c r="U1230" s="78"/>
      <c r="V1230" s="78"/>
      <c r="W1230" s="78"/>
      <c r="X1230" s="78"/>
      <c r="Y1230" s="78"/>
      <c r="Z1230" s="78"/>
    </row>
    <row r="1231" spans="1:26" ht="15.75" customHeight="1" x14ac:dyDescent="0.25">
      <c r="A1231" s="53">
        <v>13</v>
      </c>
      <c r="B1231" s="54" t="s">
        <v>1205</v>
      </c>
      <c r="C1231" s="54" t="s">
        <v>815</v>
      </c>
      <c r="D1231" s="53">
        <v>1476</v>
      </c>
      <c r="E1231" s="53">
        <v>8108</v>
      </c>
      <c r="F1231" s="54" t="s">
        <v>1218</v>
      </c>
      <c r="G1231" s="53" t="s">
        <v>302</v>
      </c>
      <c r="H1231" s="58" t="str">
        <f>_xlfn.IFNA(INDEX(ActiveSchools!$C$2:$F$326,MATCH(G1231,ActiveSchools!$F$2:$F$326,0),1),"Total")</f>
        <v>6453</v>
      </c>
      <c r="I1231" s="53">
        <v>34</v>
      </c>
      <c r="J1231" s="59">
        <f>_xlfn.IFNA(INDEX(DetailByDistrict[],MATCH($H1231,DetailByDistrict[Dist],0),MATCH(J$2,DetailByDistrict[#Headers],0)),0)</f>
        <v>41</v>
      </c>
      <c r="K1231" s="54">
        <f t="shared" si="19"/>
        <v>0.82926829268292679</v>
      </c>
      <c r="L1231" s="59">
        <f>ROUND(INDEX(DetailByDistrict[],MATCH($H1231,DetailByDistrict[Dist],0),MATCH(L$2,DetailByDistrict[#Headers],0))*K1231,2)</f>
        <v>2210</v>
      </c>
      <c r="M1231" s="59">
        <f>ROUND(INDEX(DetailByDistrict[],MATCH($H1231,DetailByDistrict[Dist],0),MATCH(M$2,DetailByDistrict[#Headers],0))*K1231,2)</f>
        <v>2443.02</v>
      </c>
      <c r="N1231" s="78"/>
      <c r="O1231" s="78"/>
      <c r="P1231" s="78"/>
      <c r="Q1231" s="78"/>
      <c r="R1231" s="78"/>
      <c r="S1231" s="78"/>
      <c r="T1231" s="78"/>
      <c r="U1231" s="78"/>
      <c r="V1231" s="78"/>
      <c r="W1231" s="78"/>
      <c r="X1231" s="78"/>
      <c r="Y1231" s="78"/>
      <c r="Z1231" s="78"/>
    </row>
    <row r="1232" spans="1:26" ht="15.75" customHeight="1" x14ac:dyDescent="0.25">
      <c r="A1232" s="53">
        <v>13</v>
      </c>
      <c r="B1232" s="54" t="s">
        <v>1205</v>
      </c>
      <c r="C1232" s="54" t="s">
        <v>815</v>
      </c>
      <c r="D1232" s="53">
        <v>1476</v>
      </c>
      <c r="E1232" s="53">
        <v>8108</v>
      </c>
      <c r="F1232" s="54" t="s">
        <v>1219</v>
      </c>
      <c r="G1232" s="53" t="s">
        <v>304</v>
      </c>
      <c r="H1232" s="58" t="str">
        <f>_xlfn.IFNA(INDEX(ActiveSchools!$C$2:$F$326,MATCH(G1232,ActiveSchools!$F$2:$F$326,0),1),"Total")</f>
        <v>6534</v>
      </c>
      <c r="I1232" s="53">
        <v>32</v>
      </c>
      <c r="J1232" s="59">
        <f>_xlfn.IFNA(INDEX(DetailByDistrict[],MATCH($H1232,DetailByDistrict[Dist],0),MATCH(J$2,DetailByDistrict[#Headers],0)),0)</f>
        <v>40</v>
      </c>
      <c r="K1232" s="54">
        <f t="shared" si="19"/>
        <v>0.8</v>
      </c>
      <c r="L1232" s="59">
        <f>ROUND(INDEX(DetailByDistrict[],MATCH($H1232,DetailByDistrict[Dist],0),MATCH(L$2,DetailByDistrict[#Headers],0))*K1232,2)</f>
        <v>2080</v>
      </c>
      <c r="M1232" s="59">
        <f>ROUND(INDEX(DetailByDistrict[],MATCH($H1232,DetailByDistrict[Dist],0),MATCH(M$2,DetailByDistrict[#Headers],0))*K1232,2)</f>
        <v>2299.1999999999998</v>
      </c>
      <c r="N1232" s="78"/>
      <c r="O1232" s="78"/>
      <c r="P1232" s="78"/>
      <c r="Q1232" s="78"/>
      <c r="R1232" s="78"/>
      <c r="S1232" s="78"/>
      <c r="T1232" s="78"/>
      <c r="U1232" s="78"/>
      <c r="V1232" s="78"/>
      <c r="W1232" s="78"/>
      <c r="X1232" s="78"/>
      <c r="Y1232" s="78"/>
      <c r="Z1232" s="78"/>
    </row>
    <row r="1233" spans="1:26" ht="15.75" customHeight="1" x14ac:dyDescent="0.25">
      <c r="A1233" s="53">
        <v>13</v>
      </c>
      <c r="B1233" s="54" t="s">
        <v>1205</v>
      </c>
      <c r="C1233" s="54" t="s">
        <v>815</v>
      </c>
      <c r="D1233" s="53">
        <v>1476</v>
      </c>
      <c r="E1233" s="53">
        <v>8108</v>
      </c>
      <c r="F1233" s="54" t="s">
        <v>1220</v>
      </c>
      <c r="G1233" s="53" t="s">
        <v>307</v>
      </c>
      <c r="H1233" s="58" t="str">
        <f>_xlfn.IFNA(INDEX(ActiveSchools!$C$2:$F$326,MATCH(G1233,ActiveSchools!$F$2:$F$326,0),1),"Total")</f>
        <v>7092</v>
      </c>
      <c r="I1233" s="53">
        <v>3</v>
      </c>
      <c r="J1233" s="59">
        <f>_xlfn.IFNA(INDEX(DetailByDistrict[],MATCH($H1233,DetailByDistrict[Dist],0),MATCH(J$2,DetailByDistrict[#Headers],0)),0)</f>
        <v>4</v>
      </c>
      <c r="K1233" s="54">
        <f t="shared" si="19"/>
        <v>0.75</v>
      </c>
      <c r="L1233" s="59">
        <f>ROUND(INDEX(DetailByDistrict[],MATCH($H1233,DetailByDistrict[Dist],0),MATCH(L$2,DetailByDistrict[#Headers],0))*K1233,2)</f>
        <v>195</v>
      </c>
      <c r="M1233" s="59">
        <f>ROUND(INDEX(DetailByDistrict[],MATCH($H1233,DetailByDistrict[Dist],0),MATCH(M$2,DetailByDistrict[#Headers],0))*K1233,2)</f>
        <v>215.25</v>
      </c>
      <c r="N1233" s="78"/>
      <c r="O1233" s="78"/>
      <c r="P1233" s="78"/>
      <c r="Q1233" s="78"/>
      <c r="R1233" s="78"/>
      <c r="S1233" s="78"/>
      <c r="T1233" s="78"/>
      <c r="U1233" s="78"/>
      <c r="V1233" s="78"/>
      <c r="W1233" s="78"/>
      <c r="X1233" s="78"/>
      <c r="Y1233" s="78"/>
      <c r="Z1233" s="78"/>
    </row>
    <row r="1234" spans="1:26" ht="15.75" customHeight="1" x14ac:dyDescent="0.25">
      <c r="A1234" s="53">
        <v>13</v>
      </c>
      <c r="B1234" s="54" t="s">
        <v>1205</v>
      </c>
      <c r="C1234" s="54" t="s">
        <v>816</v>
      </c>
      <c r="D1234" s="53">
        <v>1476</v>
      </c>
      <c r="E1234" s="53">
        <v>8109</v>
      </c>
      <c r="F1234" s="54" t="s">
        <v>1214</v>
      </c>
      <c r="G1234" s="53" t="s">
        <v>288</v>
      </c>
      <c r="H1234" s="58" t="str">
        <f>_xlfn.IFNA(INDEX(ActiveSchools!$C$2:$F$326,MATCH(G1234,ActiveSchools!$F$2:$F$326,0),1),"Total")</f>
        <v>3645</v>
      </c>
      <c r="I1234" s="53">
        <v>12</v>
      </c>
      <c r="J1234" s="59">
        <f>_xlfn.IFNA(INDEX(DetailByDistrict[],MATCH($H1234,DetailByDistrict[Dist],0),MATCH(J$2,DetailByDistrict[#Headers],0)),0)</f>
        <v>251</v>
      </c>
      <c r="K1234" s="54">
        <f t="shared" si="19"/>
        <v>4.7808764940239043E-2</v>
      </c>
      <c r="L1234" s="59">
        <f>ROUND(INDEX(DetailByDistrict[],MATCH($H1234,DetailByDistrict[Dist],0),MATCH(L$2,DetailByDistrict[#Headers],0))*K1234,2)</f>
        <v>779.86</v>
      </c>
      <c r="M1234" s="59">
        <f>ROUND(INDEX(DetailByDistrict[],MATCH($H1234,DetailByDistrict[Dist],0),MATCH(M$2,DetailByDistrict[#Headers],0))*K1234,2)</f>
        <v>862.33</v>
      </c>
      <c r="N1234" s="78"/>
      <c r="O1234" s="78"/>
      <c r="P1234" s="78"/>
      <c r="Q1234" s="78"/>
      <c r="R1234" s="78"/>
      <c r="S1234" s="78"/>
      <c r="T1234" s="78"/>
      <c r="U1234" s="78"/>
      <c r="V1234" s="78"/>
      <c r="W1234" s="78"/>
      <c r="X1234" s="78"/>
      <c r="Y1234" s="78"/>
      <c r="Z1234" s="78"/>
    </row>
    <row r="1235" spans="1:26" ht="15.75" customHeight="1" x14ac:dyDescent="0.25">
      <c r="A1235" s="53">
        <v>13</v>
      </c>
      <c r="B1235" s="54" t="s">
        <v>1205</v>
      </c>
      <c r="C1235" s="54" t="s">
        <v>816</v>
      </c>
      <c r="D1235" s="53">
        <v>1476</v>
      </c>
      <c r="E1235" s="53">
        <v>8109</v>
      </c>
      <c r="F1235" s="54" t="s">
        <v>1218</v>
      </c>
      <c r="G1235" s="53" t="s">
        <v>302</v>
      </c>
      <c r="H1235" s="58" t="str">
        <f>_xlfn.IFNA(INDEX(ActiveSchools!$C$2:$F$326,MATCH(G1235,ActiveSchools!$F$2:$F$326,0),1),"Total")</f>
        <v>6453</v>
      </c>
      <c r="I1235" s="53">
        <v>3</v>
      </c>
      <c r="J1235" s="59">
        <f>_xlfn.IFNA(INDEX(DetailByDistrict[],MATCH($H1235,DetailByDistrict[Dist],0),MATCH(J$2,DetailByDistrict[#Headers],0)),0)</f>
        <v>41</v>
      </c>
      <c r="K1235" s="54">
        <f t="shared" si="19"/>
        <v>7.3170731707317069E-2</v>
      </c>
      <c r="L1235" s="59">
        <f>ROUND(INDEX(DetailByDistrict[],MATCH($H1235,DetailByDistrict[Dist],0),MATCH(L$2,DetailByDistrict[#Headers],0))*K1235,2)</f>
        <v>195</v>
      </c>
      <c r="M1235" s="59">
        <f>ROUND(INDEX(DetailByDistrict[],MATCH($H1235,DetailByDistrict[Dist],0),MATCH(M$2,DetailByDistrict[#Headers],0))*K1235,2)</f>
        <v>215.56</v>
      </c>
      <c r="N1235" s="78"/>
      <c r="O1235" s="78"/>
      <c r="P1235" s="78"/>
      <c r="Q1235" s="78"/>
      <c r="R1235" s="78"/>
      <c r="S1235" s="78"/>
      <c r="T1235" s="78"/>
      <c r="U1235" s="78"/>
      <c r="V1235" s="78"/>
      <c r="W1235" s="78"/>
      <c r="X1235" s="78"/>
      <c r="Y1235" s="78"/>
      <c r="Z1235" s="78"/>
    </row>
    <row r="1236" spans="1:26" ht="15.75" customHeight="1" x14ac:dyDescent="0.25">
      <c r="A1236" s="53">
        <v>13</v>
      </c>
      <c r="B1236" s="54" t="s">
        <v>1205</v>
      </c>
      <c r="C1236" s="54" t="s">
        <v>817</v>
      </c>
      <c r="D1236" s="53">
        <v>1503</v>
      </c>
      <c r="E1236" s="53">
        <v>8101</v>
      </c>
      <c r="F1236" s="54" t="s">
        <v>1221</v>
      </c>
      <c r="G1236" s="57" t="s">
        <v>268</v>
      </c>
      <c r="H1236" s="58" t="str">
        <f>_xlfn.IFNA(INDEX(ActiveSchools!$C$2:$F$326,MATCH(G1236,ActiveSchools!$F$2:$F$326,0),1),"Total")</f>
        <v>0914</v>
      </c>
      <c r="I1236" s="53">
        <v>2</v>
      </c>
      <c r="J1236" s="59">
        <f>_xlfn.IFNA(INDEX(DetailByDistrict[],MATCH($H1236,DetailByDistrict[Dist],0),MATCH(J$2,DetailByDistrict[#Headers],0)),0)</f>
        <v>2</v>
      </c>
      <c r="K1236" s="54">
        <f t="shared" si="19"/>
        <v>1</v>
      </c>
      <c r="L1236" s="59">
        <f>ROUND(INDEX(DetailByDistrict[],MATCH($H1236,DetailByDistrict[Dist],0),MATCH(L$2,DetailByDistrict[#Headers],0))*K1236,2)</f>
        <v>130</v>
      </c>
      <c r="M1236" s="59">
        <f>ROUND(INDEX(DetailByDistrict[],MATCH($H1236,DetailByDistrict[Dist],0),MATCH(M$2,DetailByDistrict[#Headers],0))*K1236,2)</f>
        <v>144</v>
      </c>
      <c r="N1236" s="78"/>
      <c r="O1236" s="78"/>
      <c r="P1236" s="78"/>
      <c r="Q1236" s="78"/>
      <c r="R1236" s="78"/>
      <c r="S1236" s="78"/>
      <c r="T1236" s="78"/>
      <c r="U1236" s="78"/>
      <c r="V1236" s="78"/>
      <c r="W1236" s="78"/>
      <c r="X1236" s="78"/>
      <c r="Y1236" s="78"/>
      <c r="Z1236" s="78"/>
    </row>
    <row r="1237" spans="1:26" ht="15.75" customHeight="1" x14ac:dyDescent="0.25">
      <c r="A1237" s="53">
        <v>13</v>
      </c>
      <c r="B1237" s="54" t="s">
        <v>1205</v>
      </c>
      <c r="C1237" s="54" t="s">
        <v>817</v>
      </c>
      <c r="D1237" s="53">
        <v>1503</v>
      </c>
      <c r="E1237" s="53">
        <v>8101</v>
      </c>
      <c r="F1237" s="54" t="s">
        <v>1222</v>
      </c>
      <c r="G1237" s="53" t="s">
        <v>273</v>
      </c>
      <c r="H1237" s="58" t="str">
        <f>_xlfn.IFNA(INDEX(ActiveSchools!$C$2:$F$326,MATCH(G1237,ActiveSchools!$F$2:$F$326,0),1),"Total")</f>
        <v>1431</v>
      </c>
      <c r="I1237" s="53">
        <v>5</v>
      </c>
      <c r="J1237" s="59">
        <f>_xlfn.IFNA(INDEX(DetailByDistrict[],MATCH($H1237,DetailByDistrict[Dist],0),MATCH(J$2,DetailByDistrict[#Headers],0)),0)</f>
        <v>5</v>
      </c>
      <c r="K1237" s="54">
        <f t="shared" si="19"/>
        <v>1</v>
      </c>
      <c r="L1237" s="59">
        <f>ROUND(INDEX(DetailByDistrict[],MATCH($H1237,DetailByDistrict[Dist],0),MATCH(L$2,DetailByDistrict[#Headers],0))*K1237,2)</f>
        <v>325</v>
      </c>
      <c r="M1237" s="59">
        <f>ROUND(INDEX(DetailByDistrict[],MATCH($H1237,DetailByDistrict[Dist],0),MATCH(M$2,DetailByDistrict[#Headers],0))*K1237,2)</f>
        <v>359</v>
      </c>
      <c r="N1237" s="78"/>
      <c r="O1237" s="78"/>
      <c r="P1237" s="78"/>
      <c r="Q1237" s="78"/>
      <c r="R1237" s="78"/>
      <c r="S1237" s="78"/>
      <c r="T1237" s="78"/>
      <c r="U1237" s="78"/>
      <c r="V1237" s="78"/>
      <c r="W1237" s="78"/>
      <c r="X1237" s="78"/>
      <c r="Y1237" s="78"/>
      <c r="Z1237" s="78"/>
    </row>
    <row r="1238" spans="1:26" ht="15.75" customHeight="1" x14ac:dyDescent="0.25">
      <c r="A1238" s="53">
        <v>13</v>
      </c>
      <c r="B1238" s="54" t="s">
        <v>1205</v>
      </c>
      <c r="C1238" s="54" t="s">
        <v>817</v>
      </c>
      <c r="D1238" s="53">
        <v>1503</v>
      </c>
      <c r="E1238" s="53">
        <v>8101</v>
      </c>
      <c r="F1238" s="54" t="s">
        <v>1223</v>
      </c>
      <c r="G1238" s="53" t="s">
        <v>275</v>
      </c>
      <c r="H1238" s="58" t="str">
        <f>_xlfn.IFNA(INDEX(ActiveSchools!$C$2:$F$326,MATCH(G1238,ActiveSchools!$F$2:$F$326,0),1),"Total")</f>
        <v>1503</v>
      </c>
      <c r="I1238" s="53">
        <v>112</v>
      </c>
      <c r="J1238" s="59">
        <f>_xlfn.IFNA(INDEX(DetailByDistrict[],MATCH($H1238,DetailByDistrict[Dist],0),MATCH(J$2,DetailByDistrict[#Headers],0)),0)</f>
        <v>112</v>
      </c>
      <c r="K1238" s="54">
        <f t="shared" si="19"/>
        <v>1</v>
      </c>
      <c r="L1238" s="59">
        <f>ROUND(INDEX(DetailByDistrict[],MATCH($H1238,DetailByDistrict[Dist],0),MATCH(L$2,DetailByDistrict[#Headers],0))*K1238,2)</f>
        <v>7279</v>
      </c>
      <c r="M1238" s="59">
        <f>ROUND(INDEX(DetailByDistrict[],MATCH($H1238,DetailByDistrict[Dist],0),MATCH(M$2,DetailByDistrict[#Headers],0))*K1238,2)</f>
        <v>8048</v>
      </c>
      <c r="N1238" s="78"/>
      <c r="O1238" s="78"/>
      <c r="P1238" s="78"/>
      <c r="Q1238" s="78"/>
      <c r="R1238" s="78"/>
      <c r="S1238" s="78"/>
      <c r="T1238" s="78"/>
      <c r="U1238" s="78"/>
      <c r="V1238" s="78"/>
      <c r="W1238" s="78"/>
      <c r="X1238" s="78"/>
      <c r="Y1238" s="78"/>
      <c r="Z1238" s="78"/>
    </row>
    <row r="1239" spans="1:26" ht="15.75" customHeight="1" x14ac:dyDescent="0.25">
      <c r="A1239" s="53">
        <v>13</v>
      </c>
      <c r="B1239" s="54" t="s">
        <v>1205</v>
      </c>
      <c r="C1239" s="54" t="s">
        <v>817</v>
      </c>
      <c r="D1239" s="53">
        <v>1503</v>
      </c>
      <c r="E1239" s="53">
        <v>8101</v>
      </c>
      <c r="F1239" s="54" t="s">
        <v>1224</v>
      </c>
      <c r="G1239" s="53" t="s">
        <v>278</v>
      </c>
      <c r="H1239" s="58" t="str">
        <f>_xlfn.IFNA(INDEX(ActiveSchools!$C$2:$F$326,MATCH(G1239,ActiveSchools!$F$2:$F$326,0),1),"Total")</f>
        <v>1970</v>
      </c>
      <c r="I1239" s="53">
        <v>7</v>
      </c>
      <c r="J1239" s="59">
        <f>_xlfn.IFNA(INDEX(DetailByDistrict[],MATCH($H1239,DetailByDistrict[Dist],0),MATCH(J$2,DetailByDistrict[#Headers],0)),0)</f>
        <v>10</v>
      </c>
      <c r="K1239" s="54">
        <f t="shared" si="19"/>
        <v>0.7</v>
      </c>
      <c r="L1239" s="59">
        <f>ROUND(INDEX(DetailByDistrict[],MATCH($H1239,DetailByDistrict[Dist],0),MATCH(L$2,DetailByDistrict[#Headers],0))*K1239,2)</f>
        <v>455</v>
      </c>
      <c r="M1239" s="59">
        <f>ROUND(INDEX(DetailByDistrict[],MATCH($H1239,DetailByDistrict[Dist],0),MATCH(M$2,DetailByDistrict[#Headers],0))*K1239,2)</f>
        <v>503.3</v>
      </c>
      <c r="N1239" s="78"/>
      <c r="O1239" s="78"/>
      <c r="P1239" s="78"/>
      <c r="Q1239" s="78"/>
      <c r="R1239" s="78"/>
      <c r="S1239" s="78"/>
      <c r="T1239" s="78"/>
      <c r="U1239" s="78"/>
      <c r="V1239" s="78"/>
      <c r="W1239" s="78"/>
      <c r="X1239" s="78"/>
      <c r="Y1239" s="78"/>
      <c r="Z1239" s="78"/>
    </row>
    <row r="1240" spans="1:26" ht="15.75" customHeight="1" x14ac:dyDescent="0.25">
      <c r="A1240" s="53">
        <v>13</v>
      </c>
      <c r="B1240" s="54" t="s">
        <v>1205</v>
      </c>
      <c r="C1240" s="54" t="s">
        <v>817</v>
      </c>
      <c r="D1240" s="53">
        <v>1503</v>
      </c>
      <c r="E1240" s="53">
        <v>8101</v>
      </c>
      <c r="F1240" s="54" t="s">
        <v>1225</v>
      </c>
      <c r="G1240" s="53" t="s">
        <v>294</v>
      </c>
      <c r="H1240" s="58" t="str">
        <f>_xlfn.IFNA(INDEX(ActiveSchools!$C$2:$F$326,MATCH(G1240,ActiveSchools!$F$2:$F$326,0),1),"Total")</f>
        <v>2673</v>
      </c>
      <c r="I1240" s="53">
        <v>10</v>
      </c>
      <c r="J1240" s="59">
        <f>_xlfn.IFNA(INDEX(DetailByDistrict[],MATCH($H1240,DetailByDistrict[Dist],0),MATCH(J$2,DetailByDistrict[#Headers],0)),0)</f>
        <v>11</v>
      </c>
      <c r="K1240" s="54">
        <f t="shared" si="19"/>
        <v>0.90909090909090906</v>
      </c>
      <c r="L1240" s="59">
        <f>ROUND(INDEX(DetailByDistrict[],MATCH($H1240,DetailByDistrict[Dist],0),MATCH(L$2,DetailByDistrict[#Headers],0))*K1240,2)</f>
        <v>650</v>
      </c>
      <c r="M1240" s="59">
        <f>ROUND(INDEX(DetailByDistrict[],MATCH($H1240,DetailByDistrict[Dist],0),MATCH(M$2,DetailByDistrict[#Headers],0))*K1240,2)</f>
        <v>718.18</v>
      </c>
      <c r="N1240" s="78"/>
      <c r="O1240" s="78"/>
      <c r="P1240" s="78"/>
      <c r="Q1240" s="78"/>
      <c r="R1240" s="78"/>
      <c r="S1240" s="78"/>
      <c r="T1240" s="78"/>
      <c r="U1240" s="78"/>
      <c r="V1240" s="78"/>
      <c r="W1240" s="78"/>
      <c r="X1240" s="78"/>
      <c r="Y1240" s="78"/>
      <c r="Z1240" s="78"/>
    </row>
    <row r="1241" spans="1:26" ht="15.75" customHeight="1" x14ac:dyDescent="0.25">
      <c r="A1241" s="53">
        <v>13</v>
      </c>
      <c r="B1241" s="54" t="s">
        <v>1205</v>
      </c>
      <c r="C1241" s="54" t="s">
        <v>817</v>
      </c>
      <c r="D1241" s="53">
        <v>1503</v>
      </c>
      <c r="E1241" s="53">
        <v>8101</v>
      </c>
      <c r="F1241" s="54" t="s">
        <v>1226</v>
      </c>
      <c r="G1241" s="53" t="s">
        <v>293</v>
      </c>
      <c r="H1241" s="58" t="str">
        <f>_xlfn.IFNA(INDEX(ActiveSchools!$C$2:$F$326,MATCH(G1241,ActiveSchools!$F$2:$F$326,0),1),"Total")</f>
        <v>4572</v>
      </c>
      <c r="I1241" s="53">
        <v>1</v>
      </c>
      <c r="J1241" s="59">
        <f>_xlfn.IFNA(INDEX(DetailByDistrict[],MATCH($H1241,DetailByDistrict[Dist],0),MATCH(J$2,DetailByDistrict[#Headers],0)),0)</f>
        <v>1</v>
      </c>
      <c r="K1241" s="54">
        <f t="shared" si="19"/>
        <v>1</v>
      </c>
      <c r="L1241" s="59">
        <f>ROUND(INDEX(DetailByDistrict[],MATCH($H1241,DetailByDistrict[Dist],0),MATCH(L$2,DetailByDistrict[#Headers],0))*K1241,2)</f>
        <v>65</v>
      </c>
      <c r="M1241" s="59">
        <f>ROUND(INDEX(DetailByDistrict[],MATCH($H1241,DetailByDistrict[Dist],0),MATCH(M$2,DetailByDistrict[#Headers],0))*K1241,2)</f>
        <v>72</v>
      </c>
      <c r="N1241" s="78"/>
      <c r="O1241" s="78"/>
      <c r="P1241" s="78"/>
      <c r="Q1241" s="78"/>
      <c r="R1241" s="78"/>
      <c r="S1241" s="78"/>
      <c r="T1241" s="78"/>
      <c r="U1241" s="78"/>
      <c r="V1241" s="78"/>
      <c r="W1241" s="78"/>
      <c r="X1241" s="78"/>
      <c r="Y1241" s="78"/>
      <c r="Z1241" s="78"/>
    </row>
    <row r="1242" spans="1:26" ht="15.75" customHeight="1" x14ac:dyDescent="0.25">
      <c r="A1242" s="53">
        <v>13</v>
      </c>
      <c r="B1242" s="54" t="s">
        <v>1205</v>
      </c>
      <c r="C1242" s="54" t="s">
        <v>817</v>
      </c>
      <c r="D1242" s="53">
        <v>1503</v>
      </c>
      <c r="E1242" s="53">
        <v>8101</v>
      </c>
      <c r="F1242" s="54" t="s">
        <v>1227</v>
      </c>
      <c r="G1242" s="53" t="s">
        <v>295</v>
      </c>
      <c r="H1242" s="58" t="str">
        <f>_xlfn.IFNA(INDEX(ActiveSchools!$C$2:$F$326,MATCH(G1242,ActiveSchools!$F$2:$F$326,0),1),"Total")</f>
        <v>4978</v>
      </c>
      <c r="I1242" s="53">
        <v>7</v>
      </c>
      <c r="J1242" s="59">
        <f>_xlfn.IFNA(INDEX(DetailByDistrict[],MATCH($H1242,DetailByDistrict[Dist],0),MATCH(J$2,DetailByDistrict[#Headers],0)),0)</f>
        <v>7</v>
      </c>
      <c r="K1242" s="54">
        <f t="shared" si="19"/>
        <v>1</v>
      </c>
      <c r="L1242" s="59">
        <f>ROUND(INDEX(DetailByDistrict[],MATCH($H1242,DetailByDistrict[Dist],0),MATCH(L$2,DetailByDistrict[#Headers],0))*K1242,2)</f>
        <v>455</v>
      </c>
      <c r="M1242" s="59">
        <f>ROUND(INDEX(DetailByDistrict[],MATCH($H1242,DetailByDistrict[Dist],0),MATCH(M$2,DetailByDistrict[#Headers],0))*K1242,2)</f>
        <v>503</v>
      </c>
      <c r="N1242" s="78"/>
      <c r="O1242" s="78"/>
      <c r="P1242" s="78"/>
      <c r="Q1242" s="78"/>
      <c r="R1242" s="78"/>
      <c r="S1242" s="78"/>
      <c r="T1242" s="78"/>
      <c r="U1242" s="78"/>
      <c r="V1242" s="78"/>
      <c r="W1242" s="78"/>
      <c r="X1242" s="78"/>
      <c r="Y1242" s="78"/>
      <c r="Z1242" s="78"/>
    </row>
    <row r="1243" spans="1:26" ht="15.75" customHeight="1" x14ac:dyDescent="0.25">
      <c r="A1243" s="53">
        <v>13</v>
      </c>
      <c r="B1243" s="54" t="s">
        <v>1205</v>
      </c>
      <c r="C1243" s="54" t="s">
        <v>824</v>
      </c>
      <c r="D1243" s="53">
        <v>1701</v>
      </c>
      <c r="E1243" s="53">
        <v>8102</v>
      </c>
      <c r="F1243" s="54" t="s">
        <v>1206</v>
      </c>
      <c r="G1243" s="53" t="s">
        <v>285</v>
      </c>
      <c r="H1243" s="58" t="str">
        <f>_xlfn.IFNA(INDEX(ActiveSchools!$C$2:$F$326,MATCH(G1243,ActiveSchools!$F$2:$F$326,0),1),"Total")</f>
        <v>3168</v>
      </c>
      <c r="I1243" s="53">
        <v>2</v>
      </c>
      <c r="J1243" s="59">
        <f>_xlfn.IFNA(INDEX(DetailByDistrict[],MATCH($H1243,DetailByDistrict[Dist],0),MATCH(J$2,DetailByDistrict[#Headers],0)),0)</f>
        <v>20</v>
      </c>
      <c r="K1243" s="54">
        <f t="shared" si="19"/>
        <v>0.1</v>
      </c>
      <c r="L1243" s="59">
        <f>ROUND(INDEX(DetailByDistrict[],MATCH($H1243,DetailByDistrict[Dist],0),MATCH(L$2,DetailByDistrict[#Headers],0))*K1243,2)</f>
        <v>130</v>
      </c>
      <c r="M1243" s="59">
        <f>ROUND(INDEX(DetailByDistrict[],MATCH($H1243,DetailByDistrict[Dist],0),MATCH(M$2,DetailByDistrict[#Headers],0))*K1243,2)</f>
        <v>143.69999999999999</v>
      </c>
      <c r="N1243" s="78"/>
      <c r="O1243" s="78"/>
      <c r="P1243" s="78"/>
      <c r="Q1243" s="78"/>
      <c r="R1243" s="78"/>
      <c r="S1243" s="78"/>
      <c r="T1243" s="78"/>
      <c r="U1243" s="78"/>
      <c r="V1243" s="78"/>
      <c r="W1243" s="78"/>
      <c r="X1243" s="78"/>
      <c r="Y1243" s="78"/>
      <c r="Z1243" s="78"/>
    </row>
    <row r="1244" spans="1:26" ht="15.75" customHeight="1" x14ac:dyDescent="0.25">
      <c r="A1244" s="53">
        <v>13</v>
      </c>
      <c r="B1244" s="54" t="s">
        <v>1205</v>
      </c>
      <c r="C1244" s="54" t="s">
        <v>825</v>
      </c>
      <c r="D1244" s="53">
        <v>1701</v>
      </c>
      <c r="E1244" s="53">
        <v>8201</v>
      </c>
      <c r="F1244" s="54" t="s">
        <v>1228</v>
      </c>
      <c r="G1244" s="53" t="s">
        <v>267</v>
      </c>
      <c r="H1244" s="58" t="str">
        <f>_xlfn.IFNA(INDEX(ActiveSchools!$C$2:$F$326,MATCH(G1244,ActiveSchools!$F$2:$F$326,0),1),"Total")</f>
        <v>1917</v>
      </c>
      <c r="I1244" s="53">
        <v>3</v>
      </c>
      <c r="J1244" s="59">
        <f>_xlfn.IFNA(INDEX(DetailByDistrict[],MATCH($H1244,DetailByDistrict[Dist],0),MATCH(J$2,DetailByDistrict[#Headers],0)),0)</f>
        <v>3</v>
      </c>
      <c r="K1244" s="54">
        <f t="shared" si="19"/>
        <v>1</v>
      </c>
      <c r="L1244" s="59">
        <f>ROUND(INDEX(DetailByDistrict[],MATCH($H1244,DetailByDistrict[Dist],0),MATCH(L$2,DetailByDistrict[#Headers],0))*K1244,2)</f>
        <v>195</v>
      </c>
      <c r="M1244" s="59">
        <f>ROUND(INDEX(DetailByDistrict[],MATCH($H1244,DetailByDistrict[Dist],0),MATCH(M$2,DetailByDistrict[#Headers],0))*K1244,2)</f>
        <v>216</v>
      </c>
      <c r="N1244" s="78"/>
      <c r="O1244" s="78"/>
      <c r="P1244" s="78"/>
      <c r="Q1244" s="78"/>
      <c r="R1244" s="78"/>
      <c r="S1244" s="78"/>
      <c r="T1244" s="78"/>
      <c r="U1244" s="78"/>
      <c r="V1244" s="78"/>
      <c r="W1244" s="78"/>
      <c r="X1244" s="78"/>
      <c r="Y1244" s="78"/>
      <c r="Z1244" s="78"/>
    </row>
    <row r="1245" spans="1:26" ht="15.75" customHeight="1" x14ac:dyDescent="0.25">
      <c r="A1245" s="53">
        <v>13</v>
      </c>
      <c r="B1245" s="54" t="s">
        <v>1205</v>
      </c>
      <c r="C1245" s="54" t="s">
        <v>825</v>
      </c>
      <c r="D1245" s="53">
        <v>1701</v>
      </c>
      <c r="E1245" s="53">
        <v>8201</v>
      </c>
      <c r="F1245" s="54" t="s">
        <v>1206</v>
      </c>
      <c r="G1245" s="53" t="s">
        <v>285</v>
      </c>
      <c r="H1245" s="58" t="str">
        <f>_xlfn.IFNA(INDEX(ActiveSchools!$C$2:$F$326,MATCH(G1245,ActiveSchools!$F$2:$F$326,0),1),"Total")</f>
        <v>3168</v>
      </c>
      <c r="I1245" s="53">
        <v>9</v>
      </c>
      <c r="J1245" s="59">
        <f>_xlfn.IFNA(INDEX(DetailByDistrict[],MATCH($H1245,DetailByDistrict[Dist],0),MATCH(J$2,DetailByDistrict[#Headers],0)),0)</f>
        <v>20</v>
      </c>
      <c r="K1245" s="54">
        <f t="shared" si="19"/>
        <v>0.45</v>
      </c>
      <c r="L1245" s="59">
        <f>ROUND(INDEX(DetailByDistrict[],MATCH($H1245,DetailByDistrict[Dist],0),MATCH(L$2,DetailByDistrict[#Headers],0))*K1245,2)</f>
        <v>585</v>
      </c>
      <c r="M1245" s="59">
        <f>ROUND(INDEX(DetailByDistrict[],MATCH($H1245,DetailByDistrict[Dist],0),MATCH(M$2,DetailByDistrict[#Headers],0))*K1245,2)</f>
        <v>646.65</v>
      </c>
      <c r="N1245" s="78"/>
      <c r="O1245" s="78"/>
      <c r="P1245" s="78"/>
      <c r="Q1245" s="78"/>
      <c r="R1245" s="78"/>
      <c r="S1245" s="78"/>
      <c r="T1245" s="78"/>
      <c r="U1245" s="78"/>
      <c r="V1245" s="78"/>
      <c r="W1245" s="78"/>
      <c r="X1245" s="78"/>
      <c r="Y1245" s="78"/>
      <c r="Z1245" s="78"/>
    </row>
    <row r="1246" spans="1:26" ht="15.75" customHeight="1" x14ac:dyDescent="0.25">
      <c r="A1246" s="53">
        <v>13</v>
      </c>
      <c r="B1246" s="54" t="s">
        <v>1205</v>
      </c>
      <c r="C1246" s="54" t="s">
        <v>861</v>
      </c>
      <c r="D1246" s="53">
        <v>2826</v>
      </c>
      <c r="E1246" s="53">
        <v>8101</v>
      </c>
      <c r="F1246" s="54" t="s">
        <v>1229</v>
      </c>
      <c r="G1246" s="57" t="s">
        <v>264</v>
      </c>
      <c r="H1246" s="58" t="str">
        <f>_xlfn.IFNA(INDEX(ActiveSchools!$C$2:$F$326,MATCH(G1246,ActiveSchools!$F$2:$F$326,0),1),"Total")</f>
        <v>0441</v>
      </c>
      <c r="I1246" s="53">
        <v>3</v>
      </c>
      <c r="J1246" s="59">
        <f>_xlfn.IFNA(INDEX(DetailByDistrict[],MATCH($H1246,DetailByDistrict[Dist],0),MATCH(J$2,DetailByDistrict[#Headers],0)),0)</f>
        <v>3</v>
      </c>
      <c r="K1246" s="54">
        <f t="shared" si="19"/>
        <v>1</v>
      </c>
      <c r="L1246" s="59">
        <f>ROUND(INDEX(DetailByDistrict[],MATCH($H1246,DetailByDistrict[Dist],0),MATCH(L$2,DetailByDistrict[#Headers],0))*K1246,2)</f>
        <v>195</v>
      </c>
      <c r="M1246" s="59">
        <f>ROUND(INDEX(DetailByDistrict[],MATCH($H1246,DetailByDistrict[Dist],0),MATCH(M$2,DetailByDistrict[#Headers],0))*K1246,2)</f>
        <v>216</v>
      </c>
      <c r="N1246" s="78"/>
      <c r="O1246" s="78"/>
      <c r="P1246" s="78"/>
      <c r="Q1246" s="78"/>
      <c r="R1246" s="78"/>
      <c r="S1246" s="78"/>
      <c r="T1246" s="78"/>
      <c r="U1246" s="78"/>
      <c r="V1246" s="78"/>
      <c r="W1246" s="78"/>
      <c r="X1246" s="78"/>
      <c r="Y1246" s="78"/>
      <c r="Z1246" s="78"/>
    </row>
    <row r="1247" spans="1:26" ht="15.75" customHeight="1" x14ac:dyDescent="0.25">
      <c r="A1247" s="53">
        <v>13</v>
      </c>
      <c r="B1247" s="54" t="s">
        <v>1205</v>
      </c>
      <c r="C1247" s="54" t="s">
        <v>861</v>
      </c>
      <c r="D1247" s="53">
        <v>2826</v>
      </c>
      <c r="E1247" s="53">
        <v>8101</v>
      </c>
      <c r="F1247" s="54" t="s">
        <v>1230</v>
      </c>
      <c r="G1247" s="53" t="s">
        <v>284</v>
      </c>
      <c r="H1247" s="58" t="str">
        <f>_xlfn.IFNA(INDEX(ActiveSchools!$C$2:$F$326,MATCH(G1247,ActiveSchools!$F$2:$F$326,0),1),"Total")</f>
        <v>2826</v>
      </c>
      <c r="I1247" s="53">
        <v>75</v>
      </c>
      <c r="J1247" s="59">
        <f>_xlfn.IFNA(INDEX(DetailByDistrict[],MATCH($H1247,DetailByDistrict[Dist],0),MATCH(J$2,DetailByDistrict[#Headers],0)),0)</f>
        <v>75</v>
      </c>
      <c r="K1247" s="54">
        <f t="shared" si="19"/>
        <v>1</v>
      </c>
      <c r="L1247" s="59">
        <f>ROUND(INDEX(DetailByDistrict[],MATCH($H1247,DetailByDistrict[Dist],0),MATCH(L$2,DetailByDistrict[#Headers],0))*K1247,2)</f>
        <v>4874</v>
      </c>
      <c r="M1247" s="59">
        <f>ROUND(INDEX(DetailByDistrict[],MATCH($H1247,DetailByDistrict[Dist],0),MATCH(M$2,DetailByDistrict[#Headers],0))*K1247,2)</f>
        <v>5390</v>
      </c>
      <c r="N1247" s="78"/>
      <c r="O1247" s="78"/>
      <c r="P1247" s="78"/>
      <c r="Q1247" s="78"/>
      <c r="R1247" s="78"/>
      <c r="S1247" s="78"/>
      <c r="T1247" s="78"/>
      <c r="U1247" s="78"/>
      <c r="V1247" s="78"/>
      <c r="W1247" s="78"/>
      <c r="X1247" s="78"/>
      <c r="Y1247" s="78"/>
      <c r="Z1247" s="78"/>
    </row>
    <row r="1248" spans="1:26" ht="15.75" customHeight="1" x14ac:dyDescent="0.25">
      <c r="A1248" s="53">
        <v>13</v>
      </c>
      <c r="B1248" s="54" t="s">
        <v>1205</v>
      </c>
      <c r="C1248" s="54" t="s">
        <v>861</v>
      </c>
      <c r="D1248" s="53">
        <v>2826</v>
      </c>
      <c r="E1248" s="53">
        <v>8101</v>
      </c>
      <c r="F1248" s="54" t="s">
        <v>1217</v>
      </c>
      <c r="G1248" s="53" t="s">
        <v>303</v>
      </c>
      <c r="H1248" s="58" t="str">
        <f>_xlfn.IFNA(INDEX(ActiveSchools!$C$2:$F$326,MATCH(G1248,ActiveSchools!$F$2:$F$326,0),1),"Total")</f>
        <v>6460</v>
      </c>
      <c r="I1248" s="53">
        <v>1</v>
      </c>
      <c r="J1248" s="59">
        <f>_xlfn.IFNA(INDEX(DetailByDistrict[],MATCH($H1248,DetailByDistrict[Dist],0),MATCH(J$2,DetailByDistrict[#Headers],0)),0)</f>
        <v>6</v>
      </c>
      <c r="K1248" s="54">
        <f t="shared" si="19"/>
        <v>0.16666666666666666</v>
      </c>
      <c r="L1248" s="59">
        <f>ROUND(INDEX(DetailByDistrict[],MATCH($H1248,DetailByDistrict[Dist],0),MATCH(L$2,DetailByDistrict[#Headers],0))*K1248,2)</f>
        <v>65</v>
      </c>
      <c r="M1248" s="59">
        <f>ROUND(INDEX(DetailByDistrict[],MATCH($H1248,DetailByDistrict[Dist],0),MATCH(M$2,DetailByDistrict[#Headers],0))*K1248,2)</f>
        <v>71.83</v>
      </c>
      <c r="N1248" s="78"/>
      <c r="O1248" s="78"/>
      <c r="P1248" s="78"/>
      <c r="Q1248" s="78"/>
      <c r="R1248" s="78"/>
      <c r="S1248" s="78"/>
      <c r="T1248" s="78"/>
      <c r="U1248" s="78"/>
      <c r="V1248" s="78"/>
      <c r="W1248" s="78"/>
      <c r="X1248" s="78"/>
      <c r="Y1248" s="78"/>
      <c r="Z1248" s="78"/>
    </row>
    <row r="1249" spans="1:26" ht="15.75" customHeight="1" x14ac:dyDescent="0.25">
      <c r="A1249" s="53">
        <v>13</v>
      </c>
      <c r="B1249" s="54" t="s">
        <v>1205</v>
      </c>
      <c r="C1249" s="54" t="s">
        <v>861</v>
      </c>
      <c r="D1249" s="53">
        <v>2826</v>
      </c>
      <c r="E1249" s="53">
        <v>8101</v>
      </c>
      <c r="F1249" s="54" t="s">
        <v>1220</v>
      </c>
      <c r="G1249" s="53" t="s">
        <v>307</v>
      </c>
      <c r="H1249" s="58" t="str">
        <f>_xlfn.IFNA(INDEX(ActiveSchools!$C$2:$F$326,MATCH(G1249,ActiveSchools!$F$2:$F$326,0),1),"Total")</f>
        <v>7092</v>
      </c>
      <c r="I1249" s="53">
        <v>1</v>
      </c>
      <c r="J1249" s="59">
        <f>_xlfn.IFNA(INDEX(DetailByDistrict[],MATCH($H1249,DetailByDistrict[Dist],0),MATCH(J$2,DetailByDistrict[#Headers],0)),0)</f>
        <v>4</v>
      </c>
      <c r="K1249" s="54">
        <f t="shared" si="19"/>
        <v>0.25</v>
      </c>
      <c r="L1249" s="59">
        <f>ROUND(INDEX(DetailByDistrict[],MATCH($H1249,DetailByDistrict[Dist],0),MATCH(L$2,DetailByDistrict[#Headers],0))*K1249,2)</f>
        <v>65</v>
      </c>
      <c r="M1249" s="59">
        <f>ROUND(INDEX(DetailByDistrict[],MATCH($H1249,DetailByDistrict[Dist],0),MATCH(M$2,DetailByDistrict[#Headers],0))*K1249,2)</f>
        <v>71.75</v>
      </c>
      <c r="N1249" s="78"/>
      <c r="O1249" s="78"/>
      <c r="P1249" s="78"/>
      <c r="Q1249" s="78"/>
      <c r="R1249" s="78"/>
      <c r="S1249" s="78"/>
      <c r="T1249" s="78"/>
      <c r="U1249" s="78"/>
      <c r="V1249" s="78"/>
      <c r="W1249" s="78"/>
      <c r="X1249" s="78"/>
      <c r="Y1249" s="78"/>
      <c r="Z1249" s="78"/>
    </row>
    <row r="1250" spans="1:26" ht="15.75" customHeight="1" x14ac:dyDescent="0.25">
      <c r="A1250" s="53">
        <v>13</v>
      </c>
      <c r="B1250" s="54" t="s">
        <v>1205</v>
      </c>
      <c r="C1250" s="54" t="s">
        <v>866</v>
      </c>
      <c r="D1250" s="53">
        <v>3114</v>
      </c>
      <c r="E1250" s="53">
        <v>8102</v>
      </c>
      <c r="F1250" s="54" t="s">
        <v>1231</v>
      </c>
      <c r="G1250" s="53" t="s">
        <v>272</v>
      </c>
      <c r="H1250" s="58" t="str">
        <f>_xlfn.IFNA(INDEX(ActiveSchools!$C$2:$F$326,MATCH(G1250,ActiveSchools!$F$2:$F$326,0),1),"Total")</f>
        <v>1211</v>
      </c>
      <c r="I1250" s="53">
        <v>6</v>
      </c>
      <c r="J1250" s="59">
        <f>_xlfn.IFNA(INDEX(DetailByDistrict[],MATCH($H1250,DetailByDistrict[Dist],0),MATCH(J$2,DetailByDistrict[#Headers],0)),0)</f>
        <v>6</v>
      </c>
      <c r="K1250" s="54">
        <f t="shared" si="19"/>
        <v>1</v>
      </c>
      <c r="L1250" s="59">
        <f>ROUND(INDEX(DetailByDistrict[],MATCH($H1250,DetailByDistrict[Dist],0),MATCH(L$2,DetailByDistrict[#Headers],0))*K1250,2)</f>
        <v>390</v>
      </c>
      <c r="M1250" s="59">
        <f>ROUND(INDEX(DetailByDistrict[],MATCH($H1250,DetailByDistrict[Dist],0),MATCH(M$2,DetailByDistrict[#Headers],0))*K1250,2)</f>
        <v>431</v>
      </c>
      <c r="N1250" s="78"/>
      <c r="O1250" s="78"/>
      <c r="P1250" s="78"/>
      <c r="Q1250" s="78"/>
      <c r="R1250" s="78"/>
      <c r="S1250" s="78"/>
      <c r="T1250" s="78"/>
      <c r="U1250" s="78"/>
      <c r="V1250" s="78"/>
      <c r="W1250" s="78"/>
      <c r="X1250" s="78"/>
      <c r="Y1250" s="78"/>
      <c r="Z1250" s="78"/>
    </row>
    <row r="1251" spans="1:26" ht="15.75" customHeight="1" x14ac:dyDescent="0.25">
      <c r="A1251" s="53">
        <v>13</v>
      </c>
      <c r="B1251" s="54" t="s">
        <v>1205</v>
      </c>
      <c r="C1251" s="54" t="s">
        <v>866</v>
      </c>
      <c r="D1251" s="53">
        <v>3114</v>
      </c>
      <c r="E1251" s="53">
        <v>8102</v>
      </c>
      <c r="F1251" s="54" t="s">
        <v>1224</v>
      </c>
      <c r="G1251" s="53" t="s">
        <v>278</v>
      </c>
      <c r="H1251" s="58" t="str">
        <f>_xlfn.IFNA(INDEX(ActiveSchools!$C$2:$F$326,MATCH(G1251,ActiveSchools!$F$2:$F$326,0),1),"Total")</f>
        <v>1970</v>
      </c>
      <c r="I1251" s="53">
        <v>3</v>
      </c>
      <c r="J1251" s="59">
        <f>_xlfn.IFNA(INDEX(DetailByDistrict[],MATCH($H1251,DetailByDistrict[Dist],0),MATCH(J$2,DetailByDistrict[#Headers],0)),0)</f>
        <v>10</v>
      </c>
      <c r="K1251" s="54">
        <f t="shared" si="19"/>
        <v>0.3</v>
      </c>
      <c r="L1251" s="59">
        <f>ROUND(INDEX(DetailByDistrict[],MATCH($H1251,DetailByDistrict[Dist],0),MATCH(L$2,DetailByDistrict[#Headers],0))*K1251,2)</f>
        <v>195</v>
      </c>
      <c r="M1251" s="59">
        <f>ROUND(INDEX(DetailByDistrict[],MATCH($H1251,DetailByDistrict[Dist],0),MATCH(M$2,DetailByDistrict[#Headers],0))*K1251,2)</f>
        <v>215.7</v>
      </c>
      <c r="N1251" s="78"/>
      <c r="O1251" s="78"/>
      <c r="P1251" s="78"/>
      <c r="Q1251" s="78"/>
      <c r="R1251" s="78"/>
      <c r="S1251" s="78"/>
      <c r="T1251" s="78"/>
      <c r="U1251" s="78"/>
      <c r="V1251" s="78"/>
      <c r="W1251" s="78"/>
      <c r="X1251" s="78"/>
      <c r="Y1251" s="78"/>
      <c r="Z1251" s="78"/>
    </row>
    <row r="1252" spans="1:26" ht="15.75" customHeight="1" x14ac:dyDescent="0.25">
      <c r="A1252" s="53">
        <v>13</v>
      </c>
      <c r="B1252" s="54" t="s">
        <v>1205</v>
      </c>
      <c r="C1252" s="54" t="s">
        <v>867</v>
      </c>
      <c r="D1252" s="53">
        <v>3114</v>
      </c>
      <c r="E1252" s="53">
        <v>8165</v>
      </c>
      <c r="F1252" s="54" t="s">
        <v>1232</v>
      </c>
      <c r="G1252" s="53" t="s">
        <v>270</v>
      </c>
      <c r="H1252" s="58" t="str">
        <f>_xlfn.IFNA(INDEX(ActiveSchools!$C$2:$F$326,MATCH(G1252,ActiveSchools!$F$2:$F$326,0),1),"Total")</f>
        <v>1093</v>
      </c>
      <c r="I1252" s="53">
        <v>1</v>
      </c>
      <c r="J1252" s="59">
        <f>_xlfn.IFNA(INDEX(DetailByDistrict[],MATCH($H1252,DetailByDistrict[Dist],0),MATCH(J$2,DetailByDistrict[#Headers],0)),0)</f>
        <v>1</v>
      </c>
      <c r="K1252" s="54">
        <f t="shared" si="19"/>
        <v>1</v>
      </c>
      <c r="L1252" s="59">
        <f>ROUND(INDEX(DetailByDistrict[],MATCH($H1252,DetailByDistrict[Dist],0),MATCH(L$2,DetailByDistrict[#Headers],0))*K1252,2)</f>
        <v>65</v>
      </c>
      <c r="M1252" s="59">
        <f>ROUND(INDEX(DetailByDistrict[],MATCH($H1252,DetailByDistrict[Dist],0),MATCH(M$2,DetailByDistrict[#Headers],0))*K1252,2)</f>
        <v>72</v>
      </c>
      <c r="N1252" s="78"/>
      <c r="O1252" s="78"/>
      <c r="P1252" s="78"/>
      <c r="Q1252" s="78"/>
      <c r="R1252" s="78"/>
      <c r="S1252" s="78"/>
      <c r="T1252" s="78"/>
      <c r="U1252" s="78"/>
      <c r="V1252" s="78"/>
      <c r="W1252" s="78"/>
      <c r="X1252" s="78"/>
      <c r="Y1252" s="78"/>
      <c r="Z1252" s="78"/>
    </row>
    <row r="1253" spans="1:26" ht="15.75" customHeight="1" x14ac:dyDescent="0.25">
      <c r="A1253" s="53">
        <v>13</v>
      </c>
      <c r="B1253" s="54" t="s">
        <v>1205</v>
      </c>
      <c r="C1253" s="54" t="s">
        <v>883</v>
      </c>
      <c r="D1253" s="53">
        <v>3645</v>
      </c>
      <c r="E1253" s="53">
        <v>8100</v>
      </c>
      <c r="F1253" s="54" t="s">
        <v>1211</v>
      </c>
      <c r="G1253" s="53" t="s">
        <v>274</v>
      </c>
      <c r="H1253" s="58" t="str">
        <f>_xlfn.IFNA(INDEX(ActiveSchools!$C$2:$F$326,MATCH(G1253,ActiveSchools!$F$2:$F$326,0),1),"Total")</f>
        <v>1476</v>
      </c>
      <c r="I1253" s="53">
        <v>130</v>
      </c>
      <c r="J1253" s="59">
        <f>_xlfn.IFNA(INDEX(DetailByDistrict[],MATCH($H1253,DetailByDistrict[Dist],0),MATCH(J$2,DetailByDistrict[#Headers],0)),0)</f>
        <v>498</v>
      </c>
      <c r="K1253" s="54">
        <f t="shared" si="19"/>
        <v>0.26104417670682734</v>
      </c>
      <c r="L1253" s="59">
        <f>ROUND(INDEX(DetailByDistrict[],MATCH($H1253,DetailByDistrict[Dist],0),MATCH(L$2,DetailByDistrict[#Headers],0))*K1253,2)</f>
        <v>8448.69</v>
      </c>
      <c r="M1253" s="59">
        <f>ROUND(INDEX(DetailByDistrict[],MATCH($H1253,DetailByDistrict[Dist],0),MATCH(M$2,DetailByDistrict[#Headers],0))*K1253,2)</f>
        <v>9341.73</v>
      </c>
      <c r="N1253" s="78"/>
      <c r="O1253" s="78"/>
      <c r="P1253" s="78"/>
      <c r="Q1253" s="78"/>
      <c r="R1253" s="78"/>
      <c r="S1253" s="78"/>
      <c r="T1253" s="78"/>
      <c r="U1253" s="78"/>
      <c r="V1253" s="78"/>
      <c r="W1253" s="78"/>
      <c r="X1253" s="78"/>
      <c r="Y1253" s="78"/>
      <c r="Z1253" s="78"/>
    </row>
    <row r="1254" spans="1:26" ht="15.75" customHeight="1" x14ac:dyDescent="0.25">
      <c r="A1254" s="53">
        <v>13</v>
      </c>
      <c r="B1254" s="54" t="s">
        <v>1205</v>
      </c>
      <c r="C1254" s="54" t="s">
        <v>883</v>
      </c>
      <c r="D1254" s="53">
        <v>3645</v>
      </c>
      <c r="E1254" s="53">
        <v>8100</v>
      </c>
      <c r="F1254" s="54" t="s">
        <v>1212</v>
      </c>
      <c r="G1254" s="53" t="s">
        <v>280</v>
      </c>
      <c r="H1254" s="58" t="str">
        <f>_xlfn.IFNA(INDEX(ActiveSchools!$C$2:$F$326,MATCH(G1254,ActiveSchools!$F$2:$F$326,0),1),"Total")</f>
        <v>2369</v>
      </c>
      <c r="I1254" s="53">
        <v>1</v>
      </c>
      <c r="J1254" s="59">
        <f>_xlfn.IFNA(INDEX(DetailByDistrict[],MATCH($H1254,DetailByDistrict[Dist],0),MATCH(J$2,DetailByDistrict[#Headers],0)),0)</f>
        <v>5</v>
      </c>
      <c r="K1254" s="54">
        <f t="shared" si="19"/>
        <v>0.2</v>
      </c>
      <c r="L1254" s="59">
        <f>ROUND(INDEX(DetailByDistrict[],MATCH($H1254,DetailByDistrict[Dist],0),MATCH(L$2,DetailByDistrict[#Headers],0))*K1254,2)</f>
        <v>65</v>
      </c>
      <c r="M1254" s="59">
        <f>ROUND(INDEX(DetailByDistrict[],MATCH($H1254,DetailByDistrict[Dist],0),MATCH(M$2,DetailByDistrict[#Headers],0))*K1254,2)</f>
        <v>71.8</v>
      </c>
      <c r="N1254" s="78"/>
      <c r="O1254" s="78"/>
      <c r="P1254" s="78"/>
      <c r="Q1254" s="78"/>
      <c r="R1254" s="78"/>
      <c r="S1254" s="78"/>
      <c r="T1254" s="78"/>
      <c r="U1254" s="78"/>
      <c r="V1254" s="78"/>
      <c r="W1254" s="78"/>
      <c r="X1254" s="78"/>
      <c r="Y1254" s="78"/>
      <c r="Z1254" s="78"/>
    </row>
    <row r="1255" spans="1:26" ht="15.75" customHeight="1" x14ac:dyDescent="0.25">
      <c r="A1255" s="53">
        <v>13</v>
      </c>
      <c r="B1255" s="54" t="s">
        <v>1205</v>
      </c>
      <c r="C1255" s="54" t="s">
        <v>883</v>
      </c>
      <c r="D1255" s="53">
        <v>3645</v>
      </c>
      <c r="E1255" s="53">
        <v>8100</v>
      </c>
      <c r="F1255" s="54" t="s">
        <v>1213</v>
      </c>
      <c r="G1255" s="53" t="s">
        <v>281</v>
      </c>
      <c r="H1255" s="58" t="str">
        <f>_xlfn.IFNA(INDEX(ActiveSchools!$C$2:$F$326,MATCH(G1255,ActiveSchools!$F$2:$F$326,0),1),"Total")</f>
        <v>2511</v>
      </c>
      <c r="I1255" s="53">
        <v>19</v>
      </c>
      <c r="J1255" s="59">
        <f>_xlfn.IFNA(INDEX(DetailByDistrict[],MATCH($H1255,DetailByDistrict[Dist],0),MATCH(J$2,DetailByDistrict[#Headers],0)),0)</f>
        <v>30</v>
      </c>
      <c r="K1255" s="54">
        <f t="shared" si="19"/>
        <v>0.6333333333333333</v>
      </c>
      <c r="L1255" s="59">
        <f>ROUND(INDEX(DetailByDistrict[],MATCH($H1255,DetailByDistrict[Dist],0),MATCH(L$2,DetailByDistrict[#Headers],0))*K1255,2)</f>
        <v>1235</v>
      </c>
      <c r="M1255" s="59">
        <f>ROUND(INDEX(DetailByDistrict[],MATCH($H1255,DetailByDistrict[Dist],0),MATCH(M$2,DetailByDistrict[#Headers],0))*K1255,2)</f>
        <v>1365.47</v>
      </c>
      <c r="N1255" s="78"/>
      <c r="O1255" s="78"/>
      <c r="P1255" s="78"/>
      <c r="Q1255" s="78"/>
      <c r="R1255" s="78"/>
      <c r="S1255" s="78"/>
      <c r="T1255" s="78"/>
      <c r="U1255" s="78"/>
      <c r="V1255" s="78"/>
      <c r="W1255" s="78"/>
      <c r="X1255" s="78"/>
      <c r="Y1255" s="78"/>
      <c r="Z1255" s="78"/>
    </row>
    <row r="1256" spans="1:26" ht="15.75" customHeight="1" x14ac:dyDescent="0.25">
      <c r="A1256" s="53">
        <v>13</v>
      </c>
      <c r="B1256" s="54" t="s">
        <v>1205</v>
      </c>
      <c r="C1256" s="54" t="s">
        <v>883</v>
      </c>
      <c r="D1256" s="53">
        <v>3645</v>
      </c>
      <c r="E1256" s="53">
        <v>8100</v>
      </c>
      <c r="F1256" s="54" t="s">
        <v>1214</v>
      </c>
      <c r="G1256" s="53" t="s">
        <v>288</v>
      </c>
      <c r="H1256" s="58" t="str">
        <f>_xlfn.IFNA(INDEX(ActiveSchools!$C$2:$F$326,MATCH(G1256,ActiveSchools!$F$2:$F$326,0),1),"Total")</f>
        <v>3645</v>
      </c>
      <c r="I1256" s="53">
        <v>54</v>
      </c>
      <c r="J1256" s="59">
        <f>_xlfn.IFNA(INDEX(DetailByDistrict[],MATCH($H1256,DetailByDistrict[Dist],0),MATCH(J$2,DetailByDistrict[#Headers],0)),0)</f>
        <v>251</v>
      </c>
      <c r="K1256" s="54">
        <f t="shared" si="19"/>
        <v>0.2151394422310757</v>
      </c>
      <c r="L1256" s="59">
        <f>ROUND(INDEX(DetailByDistrict[],MATCH($H1256,DetailByDistrict[Dist],0),MATCH(L$2,DetailByDistrict[#Headers],0))*K1256,2)</f>
        <v>3509.35</v>
      </c>
      <c r="M1256" s="59">
        <f>ROUND(INDEX(DetailByDistrict[],MATCH($H1256,DetailByDistrict[Dist],0),MATCH(M$2,DetailByDistrict[#Headers],0))*K1256,2)</f>
        <v>3880.47</v>
      </c>
      <c r="N1256" s="78"/>
      <c r="O1256" s="78"/>
      <c r="P1256" s="78"/>
      <c r="Q1256" s="78"/>
      <c r="R1256" s="78"/>
      <c r="S1256" s="78"/>
      <c r="T1256" s="78"/>
      <c r="U1256" s="78"/>
      <c r="V1256" s="78"/>
      <c r="W1256" s="78"/>
      <c r="X1256" s="78"/>
      <c r="Y1256" s="78"/>
      <c r="Z1256" s="78"/>
    </row>
    <row r="1257" spans="1:26" ht="15.75" customHeight="1" x14ac:dyDescent="0.25">
      <c r="A1257" s="53">
        <v>13</v>
      </c>
      <c r="B1257" s="54" t="s">
        <v>1205</v>
      </c>
      <c r="C1257" s="54" t="s">
        <v>883</v>
      </c>
      <c r="D1257" s="53">
        <v>3645</v>
      </c>
      <c r="E1257" s="53">
        <v>8100</v>
      </c>
      <c r="F1257" s="54" t="s">
        <v>1233</v>
      </c>
      <c r="G1257" s="53" t="s">
        <v>277</v>
      </c>
      <c r="H1257" s="58" t="str">
        <f>_xlfn.IFNA(INDEX(ActiveSchools!$C$2:$F$326,MATCH(G1257,ActiveSchools!$F$2:$F$326,0),1),"Total")</f>
        <v>3978</v>
      </c>
      <c r="I1257" s="53">
        <v>5</v>
      </c>
      <c r="J1257" s="59">
        <f>_xlfn.IFNA(INDEX(DetailByDistrict[],MATCH($H1257,DetailByDistrict[Dist],0),MATCH(J$2,DetailByDistrict[#Headers],0)),0)</f>
        <v>5</v>
      </c>
      <c r="K1257" s="54">
        <f t="shared" si="19"/>
        <v>1</v>
      </c>
      <c r="L1257" s="59">
        <f>ROUND(INDEX(DetailByDistrict[],MATCH($H1257,DetailByDistrict[Dist],0),MATCH(L$2,DetailByDistrict[#Headers],0))*K1257,2)</f>
        <v>325</v>
      </c>
      <c r="M1257" s="59">
        <f>ROUND(INDEX(DetailByDistrict[],MATCH($H1257,DetailByDistrict[Dist],0),MATCH(M$2,DetailByDistrict[#Headers],0))*K1257,2)</f>
        <v>359</v>
      </c>
      <c r="N1257" s="78"/>
      <c r="O1257" s="78"/>
      <c r="P1257" s="78"/>
      <c r="Q1257" s="78"/>
      <c r="R1257" s="78"/>
      <c r="S1257" s="78"/>
      <c r="T1257" s="78"/>
      <c r="U1257" s="78"/>
      <c r="V1257" s="78"/>
      <c r="W1257" s="78"/>
      <c r="X1257" s="78"/>
      <c r="Y1257" s="78"/>
      <c r="Z1257" s="78"/>
    </row>
    <row r="1258" spans="1:26" ht="15.75" customHeight="1" x14ac:dyDescent="0.25">
      <c r="A1258" s="53">
        <v>13</v>
      </c>
      <c r="B1258" s="54" t="s">
        <v>1205</v>
      </c>
      <c r="C1258" s="54" t="s">
        <v>883</v>
      </c>
      <c r="D1258" s="53">
        <v>3645</v>
      </c>
      <c r="E1258" s="53">
        <v>8100</v>
      </c>
      <c r="F1258" s="54" t="s">
        <v>1216</v>
      </c>
      <c r="G1258" s="53" t="s">
        <v>290</v>
      </c>
      <c r="H1258" s="58" t="str">
        <f>_xlfn.IFNA(INDEX(ActiveSchools!$C$2:$F$326,MATCH(G1258,ActiveSchools!$F$2:$F$326,0),1),"Total")</f>
        <v>4356</v>
      </c>
      <c r="I1258" s="53">
        <v>2</v>
      </c>
      <c r="J1258" s="59">
        <f>_xlfn.IFNA(INDEX(DetailByDistrict[],MATCH($H1258,DetailByDistrict[Dist],0),MATCH(J$2,DetailByDistrict[#Headers],0)),0)</f>
        <v>8</v>
      </c>
      <c r="K1258" s="54">
        <f t="shared" si="19"/>
        <v>0.25</v>
      </c>
      <c r="L1258" s="59">
        <f>ROUND(INDEX(DetailByDistrict[],MATCH($H1258,DetailByDistrict[Dist],0),MATCH(L$2,DetailByDistrict[#Headers],0))*K1258,2)</f>
        <v>130</v>
      </c>
      <c r="M1258" s="59">
        <f>ROUND(INDEX(DetailByDistrict[],MATCH($H1258,DetailByDistrict[Dist],0),MATCH(M$2,DetailByDistrict[#Headers],0))*K1258,2)</f>
        <v>143.75</v>
      </c>
      <c r="N1258" s="78"/>
      <c r="O1258" s="78"/>
      <c r="P1258" s="78"/>
      <c r="Q1258" s="78"/>
      <c r="R1258" s="78"/>
      <c r="S1258" s="78"/>
      <c r="T1258" s="78"/>
      <c r="U1258" s="78"/>
      <c r="V1258" s="78"/>
      <c r="W1258" s="78"/>
      <c r="X1258" s="78"/>
      <c r="Y1258" s="78"/>
      <c r="Z1258" s="78"/>
    </row>
    <row r="1259" spans="1:26" ht="15.75" customHeight="1" x14ac:dyDescent="0.25">
      <c r="A1259" s="53">
        <v>13</v>
      </c>
      <c r="B1259" s="54" t="s">
        <v>1205</v>
      </c>
      <c r="C1259" s="54" t="s">
        <v>883</v>
      </c>
      <c r="D1259" s="53">
        <v>3645</v>
      </c>
      <c r="E1259" s="53">
        <v>8100</v>
      </c>
      <c r="F1259" s="54" t="s">
        <v>1234</v>
      </c>
      <c r="G1259" s="53" t="s">
        <v>700</v>
      </c>
      <c r="H1259" s="58" t="str">
        <f>_xlfn.IFNA(INDEX(ActiveSchools!$C$2:$F$326,MATCH(G1259,ActiveSchools!$F$2:$F$326,0),1),"Total")</f>
        <v>4824</v>
      </c>
      <c r="I1259" s="53">
        <v>1</v>
      </c>
      <c r="J1259" s="59">
        <f>_xlfn.IFNA(INDEX(DetailByDistrict[],MATCH($H1259,DetailByDistrict[Dist],0),MATCH(J$2,DetailByDistrict[#Headers],0)),0)</f>
        <v>1</v>
      </c>
      <c r="K1259" s="54">
        <f t="shared" si="19"/>
        <v>1</v>
      </c>
      <c r="L1259" s="59">
        <f>ROUND(INDEX(DetailByDistrict[],MATCH($H1259,DetailByDistrict[Dist],0),MATCH(L$2,DetailByDistrict[#Headers],0))*K1259,2)</f>
        <v>65</v>
      </c>
      <c r="M1259" s="59">
        <f>ROUND(INDEX(DetailByDistrict[],MATCH($H1259,DetailByDistrict[Dist],0),MATCH(M$2,DetailByDistrict[#Headers],0))*K1259,2)</f>
        <v>72</v>
      </c>
      <c r="N1259" s="78"/>
      <c r="O1259" s="78"/>
      <c r="P1259" s="78"/>
      <c r="Q1259" s="78"/>
      <c r="R1259" s="78"/>
      <c r="S1259" s="78"/>
      <c r="T1259" s="78"/>
      <c r="U1259" s="78"/>
      <c r="V1259" s="78"/>
      <c r="W1259" s="78"/>
      <c r="X1259" s="78"/>
      <c r="Y1259" s="78"/>
      <c r="Z1259" s="78"/>
    </row>
    <row r="1260" spans="1:26" ht="15.75" customHeight="1" x14ac:dyDescent="0.25">
      <c r="A1260" s="53">
        <v>13</v>
      </c>
      <c r="B1260" s="54" t="s">
        <v>1205</v>
      </c>
      <c r="C1260" s="54" t="s">
        <v>883</v>
      </c>
      <c r="D1260" s="53">
        <v>3645</v>
      </c>
      <c r="E1260" s="53">
        <v>8100</v>
      </c>
      <c r="F1260" s="54" t="s">
        <v>1235</v>
      </c>
      <c r="G1260" s="53" t="s">
        <v>299</v>
      </c>
      <c r="H1260" s="58" t="str">
        <f>_xlfn.IFNA(INDEX(ActiveSchools!$C$2:$F$326,MATCH(G1260,ActiveSchools!$F$2:$F$326,0),1),"Total")</f>
        <v>6003</v>
      </c>
      <c r="I1260" s="53">
        <v>2</v>
      </c>
      <c r="J1260" s="59">
        <f>_xlfn.IFNA(INDEX(DetailByDistrict[],MATCH($H1260,DetailByDistrict[Dist],0),MATCH(J$2,DetailByDistrict[#Headers],0)),0)</f>
        <v>2</v>
      </c>
      <c r="K1260" s="54">
        <f t="shared" si="19"/>
        <v>1</v>
      </c>
      <c r="L1260" s="59">
        <f>ROUND(INDEX(DetailByDistrict[],MATCH($H1260,DetailByDistrict[Dist],0),MATCH(L$2,DetailByDistrict[#Headers],0))*K1260,2)</f>
        <v>130</v>
      </c>
      <c r="M1260" s="59">
        <f>ROUND(INDEX(DetailByDistrict[],MATCH($H1260,DetailByDistrict[Dist],0),MATCH(M$2,DetailByDistrict[#Headers],0))*K1260,2)</f>
        <v>144</v>
      </c>
      <c r="N1260" s="78"/>
      <c r="O1260" s="78"/>
      <c r="P1260" s="78"/>
      <c r="Q1260" s="78"/>
      <c r="R1260" s="78"/>
      <c r="S1260" s="78"/>
      <c r="T1260" s="78"/>
      <c r="U1260" s="78"/>
      <c r="V1260" s="78"/>
      <c r="W1260" s="78"/>
      <c r="X1260" s="78"/>
      <c r="Y1260" s="78"/>
      <c r="Z1260" s="78"/>
    </row>
    <row r="1261" spans="1:26" ht="15.75" customHeight="1" x14ac:dyDescent="0.25">
      <c r="A1261" s="53">
        <v>13</v>
      </c>
      <c r="B1261" s="54" t="s">
        <v>1205</v>
      </c>
      <c r="C1261" s="54" t="s">
        <v>883</v>
      </c>
      <c r="D1261" s="53">
        <v>3645</v>
      </c>
      <c r="E1261" s="53">
        <v>8100</v>
      </c>
      <c r="F1261" s="54" t="s">
        <v>1218</v>
      </c>
      <c r="G1261" s="53" t="s">
        <v>302</v>
      </c>
      <c r="H1261" s="58" t="str">
        <f>_xlfn.IFNA(INDEX(ActiveSchools!$C$2:$F$326,MATCH(G1261,ActiveSchools!$F$2:$F$326,0),1),"Total")</f>
        <v>6453</v>
      </c>
      <c r="I1261" s="53">
        <v>4</v>
      </c>
      <c r="J1261" s="59">
        <f>_xlfn.IFNA(INDEX(DetailByDistrict[],MATCH($H1261,DetailByDistrict[Dist],0),MATCH(J$2,DetailByDistrict[#Headers],0)),0)</f>
        <v>41</v>
      </c>
      <c r="K1261" s="54">
        <f t="shared" si="19"/>
        <v>9.7560975609756101E-2</v>
      </c>
      <c r="L1261" s="59">
        <f>ROUND(INDEX(DetailByDistrict[],MATCH($H1261,DetailByDistrict[Dist],0),MATCH(L$2,DetailByDistrict[#Headers],0))*K1261,2)</f>
        <v>260</v>
      </c>
      <c r="M1261" s="59">
        <f>ROUND(INDEX(DetailByDistrict[],MATCH($H1261,DetailByDistrict[Dist],0),MATCH(M$2,DetailByDistrict[#Headers],0))*K1261,2)</f>
        <v>287.41000000000003</v>
      </c>
      <c r="N1261" s="78"/>
      <c r="O1261" s="78"/>
      <c r="P1261" s="78"/>
      <c r="Q1261" s="78"/>
      <c r="R1261" s="78"/>
      <c r="S1261" s="78"/>
      <c r="T1261" s="78"/>
      <c r="U1261" s="78"/>
      <c r="V1261" s="78"/>
      <c r="W1261" s="78"/>
      <c r="X1261" s="78"/>
      <c r="Y1261" s="78"/>
      <c r="Z1261" s="78"/>
    </row>
    <row r="1262" spans="1:26" ht="15.75" customHeight="1" x14ac:dyDescent="0.25">
      <c r="A1262" s="53">
        <v>13</v>
      </c>
      <c r="B1262" s="54" t="s">
        <v>1205</v>
      </c>
      <c r="C1262" s="54" t="s">
        <v>883</v>
      </c>
      <c r="D1262" s="53">
        <v>3645</v>
      </c>
      <c r="E1262" s="53">
        <v>8100</v>
      </c>
      <c r="F1262" s="54" t="s">
        <v>1217</v>
      </c>
      <c r="G1262" s="53" t="s">
        <v>303</v>
      </c>
      <c r="H1262" s="58" t="str">
        <f>_xlfn.IFNA(INDEX(ActiveSchools!$C$2:$F$326,MATCH(G1262,ActiveSchools!$F$2:$F$326,0),1),"Total")</f>
        <v>6460</v>
      </c>
      <c r="I1262" s="53">
        <v>4</v>
      </c>
      <c r="J1262" s="59">
        <f>_xlfn.IFNA(INDEX(DetailByDistrict[],MATCH($H1262,DetailByDistrict[Dist],0),MATCH(J$2,DetailByDistrict[#Headers],0)),0)</f>
        <v>6</v>
      </c>
      <c r="K1262" s="54">
        <f t="shared" si="19"/>
        <v>0.66666666666666663</v>
      </c>
      <c r="L1262" s="59">
        <f>ROUND(INDEX(DetailByDistrict[],MATCH($H1262,DetailByDistrict[Dist],0),MATCH(L$2,DetailByDistrict[#Headers],0))*K1262,2)</f>
        <v>260</v>
      </c>
      <c r="M1262" s="59">
        <f>ROUND(INDEX(DetailByDistrict[],MATCH($H1262,DetailByDistrict[Dist],0),MATCH(M$2,DetailByDistrict[#Headers],0))*K1262,2)</f>
        <v>287.33</v>
      </c>
      <c r="N1262" s="78"/>
      <c r="O1262" s="78"/>
      <c r="P1262" s="78"/>
      <c r="Q1262" s="78"/>
      <c r="R1262" s="78"/>
      <c r="S1262" s="78"/>
      <c r="T1262" s="78"/>
      <c r="U1262" s="78"/>
      <c r="V1262" s="78"/>
      <c r="W1262" s="78"/>
      <c r="X1262" s="78"/>
      <c r="Y1262" s="78"/>
      <c r="Z1262" s="78"/>
    </row>
    <row r="1263" spans="1:26" ht="15.75" customHeight="1" x14ac:dyDescent="0.25">
      <c r="A1263" s="53">
        <v>13</v>
      </c>
      <c r="B1263" s="54" t="s">
        <v>1205</v>
      </c>
      <c r="C1263" s="54" t="s">
        <v>883</v>
      </c>
      <c r="D1263" s="53">
        <v>3645</v>
      </c>
      <c r="E1263" s="53">
        <v>8100</v>
      </c>
      <c r="F1263" s="54" t="s">
        <v>1219</v>
      </c>
      <c r="G1263" s="53" t="s">
        <v>304</v>
      </c>
      <c r="H1263" s="58" t="str">
        <f>_xlfn.IFNA(INDEX(ActiveSchools!$C$2:$F$326,MATCH(G1263,ActiveSchools!$F$2:$F$326,0),1),"Total")</f>
        <v>6534</v>
      </c>
      <c r="I1263" s="53">
        <v>8</v>
      </c>
      <c r="J1263" s="59">
        <f>_xlfn.IFNA(INDEX(DetailByDistrict[],MATCH($H1263,DetailByDistrict[Dist],0),MATCH(J$2,DetailByDistrict[#Headers],0)),0)</f>
        <v>40</v>
      </c>
      <c r="K1263" s="54">
        <f t="shared" si="19"/>
        <v>0.2</v>
      </c>
      <c r="L1263" s="59">
        <f>ROUND(INDEX(DetailByDistrict[],MATCH($H1263,DetailByDistrict[Dist],0),MATCH(L$2,DetailByDistrict[#Headers],0))*K1263,2)</f>
        <v>520</v>
      </c>
      <c r="M1263" s="59">
        <f>ROUND(INDEX(DetailByDistrict[],MATCH($H1263,DetailByDistrict[Dist],0),MATCH(M$2,DetailByDistrict[#Headers],0))*K1263,2)</f>
        <v>574.79999999999995</v>
      </c>
      <c r="N1263" s="78"/>
      <c r="O1263" s="78"/>
      <c r="P1263" s="78"/>
      <c r="Q1263" s="78"/>
      <c r="R1263" s="78"/>
      <c r="S1263" s="78"/>
      <c r="T1263" s="78"/>
      <c r="U1263" s="78"/>
      <c r="V1263" s="78"/>
      <c r="W1263" s="78"/>
      <c r="X1263" s="78"/>
      <c r="Y1263" s="78"/>
      <c r="Z1263" s="78"/>
    </row>
    <row r="1264" spans="1:26" ht="15.75" customHeight="1" x14ac:dyDescent="0.25">
      <c r="A1264" s="53">
        <v>13</v>
      </c>
      <c r="B1264" s="54" t="s">
        <v>1205</v>
      </c>
      <c r="C1264" s="54" t="s">
        <v>935</v>
      </c>
      <c r="D1264" s="53">
        <v>6579</v>
      </c>
      <c r="E1264" s="53">
        <v>8503</v>
      </c>
      <c r="F1264" s="54" t="s">
        <v>1225</v>
      </c>
      <c r="G1264" s="53" t="s">
        <v>294</v>
      </c>
      <c r="H1264" s="58" t="str">
        <f>_xlfn.IFNA(INDEX(ActiveSchools!$C$2:$F$326,MATCH(G1264,ActiveSchools!$F$2:$F$326,0),1),"Total")</f>
        <v>2673</v>
      </c>
      <c r="I1264" s="53">
        <v>1</v>
      </c>
      <c r="J1264" s="59">
        <f>_xlfn.IFNA(INDEX(DetailByDistrict[],MATCH($H1264,DetailByDistrict[Dist],0),MATCH(J$2,DetailByDistrict[#Headers],0)),0)</f>
        <v>11</v>
      </c>
      <c r="K1264" s="54">
        <f t="shared" si="19"/>
        <v>9.0909090909090912E-2</v>
      </c>
      <c r="L1264" s="59">
        <f>ROUND(INDEX(DetailByDistrict[],MATCH($H1264,DetailByDistrict[Dist],0),MATCH(L$2,DetailByDistrict[#Headers],0))*K1264,2)</f>
        <v>65</v>
      </c>
      <c r="M1264" s="59">
        <f>ROUND(INDEX(DetailByDistrict[],MATCH($H1264,DetailByDistrict[Dist],0),MATCH(M$2,DetailByDistrict[#Headers],0))*K1264,2)+0.02</f>
        <v>71.839999999999989</v>
      </c>
      <c r="N1264" s="78"/>
      <c r="O1264" s="78"/>
      <c r="P1264" s="78"/>
      <c r="Q1264" s="78"/>
      <c r="R1264" s="78"/>
      <c r="S1264" s="78"/>
      <c r="T1264" s="78"/>
      <c r="U1264" s="78"/>
      <c r="V1264" s="78"/>
      <c r="W1264" s="78"/>
      <c r="X1264" s="78"/>
      <c r="Y1264" s="78"/>
      <c r="Z1264" s="78"/>
    </row>
    <row r="1265" spans="1:26" ht="15.75" customHeight="1" x14ac:dyDescent="0.25">
      <c r="A1265" s="62"/>
      <c r="B1265" s="64"/>
      <c r="C1265" s="65"/>
      <c r="D1265" s="62"/>
      <c r="E1265" s="62"/>
      <c r="F1265" s="62" t="s">
        <v>1205</v>
      </c>
      <c r="G1265" s="62" t="s">
        <v>736</v>
      </c>
      <c r="H1265" s="62" t="str">
        <f>_xlfn.IFNA(INDEX(ActiveSchools!$C$2:$F$326,MATCH(G1265,ActiveSchools!$F$2:$F$326,0),1),"Total")</f>
        <v>Total</v>
      </c>
      <c r="I1265" s="62">
        <f>SUM(I1218:I1264)</f>
        <v>1226</v>
      </c>
      <c r="J1265" s="62">
        <f>_xlfn.IFNA(INDEX(DetailByDistrict[],MATCH($H1265,DetailByDistrict[Dist],0),MATCH(J$2,DetailByDistrict[#Headers],0)),0)</f>
        <v>0</v>
      </c>
      <c r="K1265" s="62" t="e">
        <f t="shared" si="19"/>
        <v>#DIV/0!</v>
      </c>
      <c r="L1265" s="63">
        <f>SUM(L1218:L1264)</f>
        <v>79679.000000000015</v>
      </c>
      <c r="M1265" s="63">
        <f>SUM(M1218:M1264)</f>
        <v>88100</v>
      </c>
      <c r="N1265" s="78"/>
      <c r="O1265" s="78"/>
      <c r="P1265" s="78"/>
      <c r="Q1265" s="78"/>
      <c r="R1265" s="78"/>
      <c r="S1265" s="78"/>
      <c r="T1265" s="78"/>
      <c r="U1265" s="78"/>
      <c r="V1265" s="78"/>
      <c r="W1265" s="78"/>
      <c r="X1265" s="78"/>
      <c r="Y1265" s="78"/>
      <c r="Z1265" s="78"/>
    </row>
    <row r="1266" spans="1:26" ht="15.75" customHeight="1" x14ac:dyDescent="0.25">
      <c r="A1266" s="53">
        <v>15</v>
      </c>
      <c r="B1266" s="54" t="s">
        <v>1236</v>
      </c>
      <c r="C1266" s="54" t="s">
        <v>789</v>
      </c>
      <c r="D1266" s="57" t="s">
        <v>310</v>
      </c>
      <c r="E1266" s="53">
        <v>8101</v>
      </c>
      <c r="F1266" s="54" t="s">
        <v>1237</v>
      </c>
      <c r="G1266" s="57" t="s">
        <v>310</v>
      </c>
      <c r="H1266" s="58" t="str">
        <f>_xlfn.IFNA(INDEX(ActiveSchools!$C$2:$F$326,MATCH(G1266,ActiveSchools!$F$2:$F$326,0),1),"Total")</f>
        <v>0882</v>
      </c>
      <c r="I1266" s="53">
        <v>170</v>
      </c>
      <c r="J1266" s="59">
        <f>_xlfn.IFNA(INDEX(DetailByDistrict[],MATCH($H1266,DetailByDistrict[Dist],0),MATCH(J$2,DetailByDistrict[#Headers],0)),0)</f>
        <v>321</v>
      </c>
      <c r="K1266" s="54">
        <f t="shared" si="19"/>
        <v>0.52959501557632394</v>
      </c>
      <c r="L1266" s="59">
        <f>ROUNDDOWN(INDEX(DetailByDistrict[],MATCH($H1266,DetailByDistrict[Dist],0),MATCH(L$2,DetailByDistrict[#Headers],0))*K1266,2)-0.08</f>
        <v>11043.03</v>
      </c>
      <c r="M1266" s="59">
        <f>ROUNDDOWN(INDEX(DetailByDistrict[],MATCH($H1266,DetailByDistrict[Dist],0),MATCH(M$2,DetailByDistrict[#Headers],0))*K1266,2)-1.27</f>
        <v>12141.81</v>
      </c>
      <c r="N1266" s="78"/>
      <c r="O1266" s="78"/>
      <c r="P1266" s="78"/>
      <c r="Q1266" s="78"/>
      <c r="R1266" s="78"/>
      <c r="S1266" s="78"/>
      <c r="T1266" s="78"/>
      <c r="U1266" s="78"/>
      <c r="V1266" s="78"/>
      <c r="W1266" s="78"/>
      <c r="X1266" s="78"/>
      <c r="Y1266" s="78"/>
      <c r="Z1266" s="78"/>
    </row>
    <row r="1267" spans="1:26" ht="15.75" customHeight="1" x14ac:dyDescent="0.25">
      <c r="A1267" s="53">
        <v>15</v>
      </c>
      <c r="B1267" s="54" t="s">
        <v>1236</v>
      </c>
      <c r="C1267" s="54" t="s">
        <v>789</v>
      </c>
      <c r="D1267" s="57" t="s">
        <v>310</v>
      </c>
      <c r="E1267" s="53">
        <v>8101</v>
      </c>
      <c r="F1267" s="54" t="s">
        <v>1238</v>
      </c>
      <c r="G1267" s="53" t="s">
        <v>315</v>
      </c>
      <c r="H1267" s="58" t="str">
        <f>_xlfn.IFNA(INDEX(ActiveSchools!$C$2:$F$326,MATCH(G1267,ActiveSchools!$F$2:$F$326,0),1),"Total")</f>
        <v>1602</v>
      </c>
      <c r="I1267" s="53">
        <v>6</v>
      </c>
      <c r="J1267" s="59">
        <f>_xlfn.IFNA(INDEX(DetailByDistrict[],MATCH($H1267,DetailByDistrict[Dist],0),MATCH(J$2,DetailByDistrict[#Headers],0)),0)</f>
        <v>11</v>
      </c>
      <c r="K1267" s="54">
        <f t="shared" si="19"/>
        <v>0.54545454545454541</v>
      </c>
      <c r="L1267" s="59">
        <f>ROUNDDOWN(INDEX(DetailByDistrict[],MATCH($H1267,DetailByDistrict[Dist],0),MATCH(L$2,DetailByDistrict[#Headers],0))*K1267,2)</f>
        <v>390</v>
      </c>
      <c r="M1267" s="59">
        <f>ROUNDDOWN(INDEX(DetailByDistrict[],MATCH($H1267,DetailByDistrict[Dist],0),MATCH(M$2,DetailByDistrict[#Headers],0))*K1267,2)</f>
        <v>428.72</v>
      </c>
      <c r="N1267" s="78"/>
      <c r="O1267" s="78"/>
      <c r="P1267" s="78"/>
      <c r="Q1267" s="78"/>
      <c r="R1267" s="78"/>
      <c r="S1267" s="78"/>
      <c r="T1267" s="78"/>
      <c r="U1267" s="78"/>
      <c r="V1267" s="78"/>
      <c r="W1267" s="78"/>
      <c r="X1267" s="78"/>
      <c r="Y1267" s="78"/>
      <c r="Z1267" s="78"/>
    </row>
    <row r="1268" spans="1:26" ht="15.75" customHeight="1" x14ac:dyDescent="0.25">
      <c r="A1268" s="53">
        <v>15</v>
      </c>
      <c r="B1268" s="54" t="s">
        <v>1236</v>
      </c>
      <c r="C1268" s="54" t="s">
        <v>789</v>
      </c>
      <c r="D1268" s="57" t="s">
        <v>310</v>
      </c>
      <c r="E1268" s="53">
        <v>8101</v>
      </c>
      <c r="F1268" s="54" t="s">
        <v>1239</v>
      </c>
      <c r="G1268" s="53" t="s">
        <v>319</v>
      </c>
      <c r="H1268" s="58" t="str">
        <f>_xlfn.IFNA(INDEX(ActiveSchools!$C$2:$F$326,MATCH(G1268,ActiveSchools!$F$2:$F$326,0),1),"Total")</f>
        <v>2322</v>
      </c>
      <c r="I1268" s="53">
        <v>5</v>
      </c>
      <c r="J1268" s="59">
        <f>_xlfn.IFNA(INDEX(DetailByDistrict[],MATCH($H1268,DetailByDistrict[Dist],0),MATCH(J$2,DetailByDistrict[#Headers],0)),0)</f>
        <v>298</v>
      </c>
      <c r="K1268" s="54">
        <f t="shared" si="19"/>
        <v>1.6778523489932886E-2</v>
      </c>
      <c r="L1268" s="59">
        <f>ROUNDDOWN(INDEX(DetailByDistrict[],MATCH($H1268,DetailByDistrict[Dist],0),MATCH(L$2,DetailByDistrict[#Headers],0))*K1268,2)</f>
        <v>324.79000000000002</v>
      </c>
      <c r="M1268" s="59">
        <f>ROUNDDOWN(INDEX(DetailByDistrict[],MATCH($H1268,DetailByDistrict[Dist],0),MATCH(M$2,DetailByDistrict[#Headers],0))*K1268,2)</f>
        <v>357.14</v>
      </c>
      <c r="N1268" s="78"/>
      <c r="O1268" s="78"/>
      <c r="P1268" s="78"/>
      <c r="Q1268" s="78"/>
      <c r="R1268" s="78"/>
      <c r="S1268" s="78"/>
      <c r="T1268" s="78"/>
      <c r="U1268" s="78"/>
      <c r="V1268" s="78"/>
      <c r="W1268" s="78"/>
      <c r="X1268" s="78"/>
      <c r="Y1268" s="78"/>
      <c r="Z1268" s="78"/>
    </row>
    <row r="1269" spans="1:26" ht="15.75" customHeight="1" x14ac:dyDescent="0.25">
      <c r="A1269" s="53">
        <v>15</v>
      </c>
      <c r="B1269" s="54" t="s">
        <v>1236</v>
      </c>
      <c r="C1269" s="54" t="s">
        <v>789</v>
      </c>
      <c r="D1269" s="57" t="s">
        <v>310</v>
      </c>
      <c r="E1269" s="53">
        <v>8101</v>
      </c>
      <c r="F1269" s="54" t="s">
        <v>1240</v>
      </c>
      <c r="G1269" s="53" t="s">
        <v>320</v>
      </c>
      <c r="H1269" s="58" t="str">
        <f>_xlfn.IFNA(INDEX(ActiveSchools!$C$2:$F$326,MATCH(G1269,ActiveSchools!$F$2:$F$326,0),1),"Total")</f>
        <v>3312</v>
      </c>
      <c r="I1269" s="53">
        <v>1</v>
      </c>
      <c r="J1269" s="59">
        <f>_xlfn.IFNA(INDEX(DetailByDistrict[],MATCH($H1269,DetailByDistrict[Dist],0),MATCH(J$2,DetailByDistrict[#Headers],0)),0)</f>
        <v>104</v>
      </c>
      <c r="K1269" s="54">
        <f t="shared" si="19"/>
        <v>9.6153846153846159E-3</v>
      </c>
      <c r="L1269" s="59">
        <f>ROUNDDOWN(INDEX(DetailByDistrict[],MATCH($H1269,DetailByDistrict[Dist],0),MATCH(L$2,DetailByDistrict[#Headers],0))*K1269,2)</f>
        <v>64.959999999999994</v>
      </c>
      <c r="M1269" s="59">
        <f>ROUNDDOWN(INDEX(DetailByDistrict[],MATCH($H1269,DetailByDistrict[Dist],0),MATCH(M$2,DetailByDistrict[#Headers],0))*K1269,2)</f>
        <v>71.430000000000007</v>
      </c>
      <c r="N1269" s="78"/>
      <c r="O1269" s="78"/>
      <c r="P1269" s="78"/>
      <c r="Q1269" s="78"/>
      <c r="R1269" s="78"/>
      <c r="S1269" s="78"/>
      <c r="T1269" s="78"/>
      <c r="U1269" s="78"/>
      <c r="V1269" s="78"/>
      <c r="W1269" s="78"/>
      <c r="X1269" s="78"/>
      <c r="Y1269" s="78"/>
      <c r="Z1269" s="78"/>
    </row>
    <row r="1270" spans="1:26" ht="15.75" customHeight="1" x14ac:dyDescent="0.25">
      <c r="A1270" s="53">
        <v>15</v>
      </c>
      <c r="B1270" s="54" t="s">
        <v>1236</v>
      </c>
      <c r="C1270" s="54" t="s">
        <v>789</v>
      </c>
      <c r="D1270" s="57" t="s">
        <v>310</v>
      </c>
      <c r="E1270" s="53">
        <v>8101</v>
      </c>
      <c r="F1270" s="54" t="s">
        <v>1241</v>
      </c>
      <c r="G1270" s="53" t="s">
        <v>322</v>
      </c>
      <c r="H1270" s="58" t="str">
        <f>_xlfn.IFNA(INDEX(ActiveSchools!$C$2:$F$326,MATCH(G1270,ActiveSchools!$F$2:$F$326,0),1),"Total")</f>
        <v>4203</v>
      </c>
      <c r="I1270" s="53">
        <v>3</v>
      </c>
      <c r="J1270" s="59">
        <f>_xlfn.IFNA(INDEX(DetailByDistrict[],MATCH($H1270,DetailByDistrict[Dist],0),MATCH(J$2,DetailByDistrict[#Headers],0)),0)</f>
        <v>7</v>
      </c>
      <c r="K1270" s="54">
        <f t="shared" si="19"/>
        <v>0.42857142857142855</v>
      </c>
      <c r="L1270" s="59">
        <f>ROUNDDOWN(INDEX(DetailByDistrict[],MATCH($H1270,DetailByDistrict[Dist],0),MATCH(L$2,DetailByDistrict[#Headers],0))*K1270,2)</f>
        <v>195</v>
      </c>
      <c r="M1270" s="59">
        <f>ROUNDDOWN(INDEX(DetailByDistrict[],MATCH($H1270,DetailByDistrict[Dist],0),MATCH(M$2,DetailByDistrict[#Headers],0))*K1270,2)</f>
        <v>214.28</v>
      </c>
      <c r="N1270" s="78"/>
      <c r="O1270" s="78"/>
      <c r="P1270" s="78"/>
      <c r="Q1270" s="78"/>
      <c r="R1270" s="78"/>
      <c r="S1270" s="78"/>
      <c r="T1270" s="78"/>
      <c r="U1270" s="78"/>
      <c r="V1270" s="78"/>
      <c r="W1270" s="78"/>
      <c r="X1270" s="78"/>
      <c r="Y1270" s="78"/>
      <c r="Z1270" s="78"/>
    </row>
    <row r="1271" spans="1:26" ht="15.75" customHeight="1" x14ac:dyDescent="0.25">
      <c r="A1271" s="53">
        <v>15</v>
      </c>
      <c r="B1271" s="54" t="s">
        <v>1236</v>
      </c>
      <c r="C1271" s="54" t="s">
        <v>789</v>
      </c>
      <c r="D1271" s="57" t="s">
        <v>310</v>
      </c>
      <c r="E1271" s="53">
        <v>8101</v>
      </c>
      <c r="F1271" s="54" t="s">
        <v>1242</v>
      </c>
      <c r="G1271" s="53" t="s">
        <v>326</v>
      </c>
      <c r="H1271" s="58" t="str">
        <f>_xlfn.IFNA(INDEX(ActiveSchools!$C$2:$F$326,MATCH(G1271,ActiveSchools!$F$2:$F$326,0),1),"Total")</f>
        <v>4536</v>
      </c>
      <c r="I1271" s="53">
        <v>2</v>
      </c>
      <c r="J1271" s="59">
        <f>_xlfn.IFNA(INDEX(DetailByDistrict[],MATCH($H1271,DetailByDistrict[Dist],0),MATCH(J$2,DetailByDistrict[#Headers],0)),0)</f>
        <v>7</v>
      </c>
      <c r="K1271" s="54">
        <f t="shared" si="19"/>
        <v>0.2857142857142857</v>
      </c>
      <c r="L1271" s="59">
        <f>ROUNDDOWN(INDEX(DetailByDistrict[],MATCH($H1271,DetailByDistrict[Dist],0),MATCH(L$2,DetailByDistrict[#Headers],0))*K1271,2)</f>
        <v>130</v>
      </c>
      <c r="M1271" s="59">
        <f>ROUNDDOWN(INDEX(DetailByDistrict[],MATCH($H1271,DetailByDistrict[Dist],0),MATCH(M$2,DetailByDistrict[#Headers],0))*K1271,2)</f>
        <v>142.85</v>
      </c>
      <c r="N1271" s="78"/>
      <c r="O1271" s="78"/>
      <c r="P1271" s="78"/>
      <c r="Q1271" s="78"/>
      <c r="R1271" s="78"/>
      <c r="S1271" s="78"/>
      <c r="T1271" s="78"/>
      <c r="U1271" s="78"/>
      <c r="V1271" s="78"/>
      <c r="W1271" s="78"/>
      <c r="X1271" s="78"/>
      <c r="Y1271" s="78"/>
      <c r="Z1271" s="78"/>
    </row>
    <row r="1272" spans="1:26" ht="15.75" customHeight="1" x14ac:dyDescent="0.25">
      <c r="A1272" s="53">
        <v>15</v>
      </c>
      <c r="B1272" s="54" t="s">
        <v>1236</v>
      </c>
      <c r="C1272" s="54" t="s">
        <v>789</v>
      </c>
      <c r="D1272" s="57" t="s">
        <v>310</v>
      </c>
      <c r="E1272" s="53">
        <v>8101</v>
      </c>
      <c r="F1272" s="54" t="s">
        <v>1243</v>
      </c>
      <c r="G1272" s="53" t="s">
        <v>327</v>
      </c>
      <c r="H1272" s="58" t="str">
        <f>_xlfn.IFNA(INDEX(ActiveSchools!$C$2:$F$326,MATCH(G1272,ActiveSchools!$F$2:$F$326,0),1),"Total")</f>
        <v>4689</v>
      </c>
      <c r="I1272" s="53">
        <v>3</v>
      </c>
      <c r="J1272" s="59">
        <f>_xlfn.IFNA(INDEX(DetailByDistrict[],MATCH($H1272,DetailByDistrict[Dist],0),MATCH(J$2,DetailByDistrict[#Headers],0)),0)</f>
        <v>11</v>
      </c>
      <c r="K1272" s="54">
        <f t="shared" si="19"/>
        <v>0.27272727272727271</v>
      </c>
      <c r="L1272" s="59">
        <f>ROUNDDOWN(INDEX(DetailByDistrict[],MATCH($H1272,DetailByDistrict[Dist],0),MATCH(L$2,DetailByDistrict[#Headers],0))*K1272,2)</f>
        <v>195</v>
      </c>
      <c r="M1272" s="59">
        <f>ROUNDDOWN(INDEX(DetailByDistrict[],MATCH($H1272,DetailByDistrict[Dist],0),MATCH(M$2,DetailByDistrict[#Headers],0))*K1272,2)</f>
        <v>214.36</v>
      </c>
      <c r="N1272" s="78"/>
      <c r="O1272" s="78"/>
      <c r="P1272" s="78"/>
      <c r="Q1272" s="78"/>
      <c r="R1272" s="78"/>
      <c r="S1272" s="78"/>
      <c r="T1272" s="78"/>
      <c r="U1272" s="78"/>
      <c r="V1272" s="78"/>
      <c r="W1272" s="78"/>
      <c r="X1272" s="78"/>
      <c r="Y1272" s="78"/>
      <c r="Z1272" s="78"/>
    </row>
    <row r="1273" spans="1:26" ht="15.75" customHeight="1" x14ac:dyDescent="0.25">
      <c r="A1273" s="53">
        <v>15</v>
      </c>
      <c r="B1273" s="54" t="s">
        <v>1236</v>
      </c>
      <c r="C1273" s="54" t="s">
        <v>789</v>
      </c>
      <c r="D1273" s="57" t="s">
        <v>310</v>
      </c>
      <c r="E1273" s="53">
        <v>8101</v>
      </c>
      <c r="F1273" s="54" t="s">
        <v>1244</v>
      </c>
      <c r="G1273" s="53" t="s">
        <v>335</v>
      </c>
      <c r="H1273" s="58" t="str">
        <f>_xlfn.IFNA(INDEX(ActiveSchools!$C$2:$F$326,MATCH(G1273,ActiveSchools!$F$2:$F$326,0),1),"Total")</f>
        <v>6592</v>
      </c>
      <c r="I1273" s="53">
        <v>2</v>
      </c>
      <c r="J1273" s="59">
        <f>_xlfn.IFNA(INDEX(DetailByDistrict[],MATCH($H1273,DetailByDistrict[Dist],0),MATCH(J$2,DetailByDistrict[#Headers],0)),0)</f>
        <v>8</v>
      </c>
      <c r="K1273" s="54">
        <f t="shared" si="19"/>
        <v>0.25</v>
      </c>
      <c r="L1273" s="59">
        <f>ROUNDDOWN(INDEX(DetailByDistrict[],MATCH($H1273,DetailByDistrict[Dist],0),MATCH(L$2,DetailByDistrict[#Headers],0))*K1273,2)</f>
        <v>130</v>
      </c>
      <c r="M1273" s="59">
        <f>ROUNDDOWN(INDEX(DetailByDistrict[],MATCH($H1273,DetailByDistrict[Dist],0),MATCH(M$2,DetailByDistrict[#Headers],0))*K1273,2)</f>
        <v>142.75</v>
      </c>
      <c r="N1273" s="78"/>
      <c r="O1273" s="78"/>
      <c r="P1273" s="78"/>
      <c r="Q1273" s="78"/>
      <c r="R1273" s="78"/>
      <c r="S1273" s="78"/>
      <c r="T1273" s="78"/>
      <c r="U1273" s="78"/>
      <c r="V1273" s="78"/>
      <c r="W1273" s="78"/>
      <c r="X1273" s="78"/>
      <c r="Y1273" s="78"/>
      <c r="Z1273" s="78"/>
    </row>
    <row r="1274" spans="1:26" ht="15.75" customHeight="1" x14ac:dyDescent="0.25">
      <c r="A1274" s="53">
        <v>15</v>
      </c>
      <c r="B1274" s="54" t="s">
        <v>1236</v>
      </c>
      <c r="C1274" s="54" t="s">
        <v>789</v>
      </c>
      <c r="D1274" s="57" t="s">
        <v>310</v>
      </c>
      <c r="E1274" s="53">
        <v>8101</v>
      </c>
      <c r="F1274" s="54" t="s">
        <v>1245</v>
      </c>
      <c r="G1274" s="53" t="s">
        <v>337</v>
      </c>
      <c r="H1274" s="58" t="str">
        <f>_xlfn.IFNA(INDEX(ActiveSchools!$C$2:$F$326,MATCH(G1274,ActiveSchools!$F$2:$F$326,0),1),"Total")</f>
        <v>6759</v>
      </c>
      <c r="I1274" s="53">
        <v>1</v>
      </c>
      <c r="J1274" s="59">
        <f>_xlfn.IFNA(INDEX(DetailByDistrict[],MATCH($H1274,DetailByDistrict[Dist],0),MATCH(J$2,DetailByDistrict[#Headers],0)),0)</f>
        <v>1</v>
      </c>
      <c r="K1274" s="54">
        <f t="shared" si="19"/>
        <v>1</v>
      </c>
      <c r="L1274" s="59">
        <f>ROUNDDOWN(INDEX(DetailByDistrict[],MATCH($H1274,DetailByDistrict[Dist],0),MATCH(L$2,DetailByDistrict[#Headers],0))*K1274,2)</f>
        <v>65</v>
      </c>
      <c r="M1274" s="59">
        <f>ROUNDDOWN(INDEX(DetailByDistrict[],MATCH($H1274,DetailByDistrict[Dist],0),MATCH(M$2,DetailByDistrict[#Headers],0))*K1274,2)</f>
        <v>71</v>
      </c>
      <c r="N1274" s="78"/>
      <c r="O1274" s="78"/>
      <c r="P1274" s="78"/>
      <c r="Q1274" s="78"/>
      <c r="R1274" s="78"/>
      <c r="S1274" s="78"/>
      <c r="T1274" s="78"/>
      <c r="U1274" s="78"/>
      <c r="V1274" s="78"/>
      <c r="W1274" s="78"/>
      <c r="X1274" s="78"/>
      <c r="Y1274" s="78"/>
      <c r="Z1274" s="78"/>
    </row>
    <row r="1275" spans="1:26" ht="15.75" customHeight="1" x14ac:dyDescent="0.25">
      <c r="A1275" s="53">
        <v>15</v>
      </c>
      <c r="B1275" s="54" t="s">
        <v>1236</v>
      </c>
      <c r="C1275" s="54" t="s">
        <v>789</v>
      </c>
      <c r="D1275" s="57" t="s">
        <v>310</v>
      </c>
      <c r="E1275" s="53">
        <v>8101</v>
      </c>
      <c r="F1275" s="54" t="s">
        <v>1246</v>
      </c>
      <c r="G1275" s="53" t="s">
        <v>339</v>
      </c>
      <c r="H1275" s="58" t="str">
        <f>_xlfn.IFNA(INDEX(ActiveSchools!$C$2:$F$326,MATCH(G1275,ActiveSchools!$F$2:$F$326,0),1),"Total")</f>
        <v>6937</v>
      </c>
      <c r="I1275" s="53">
        <v>26</v>
      </c>
      <c r="J1275" s="59">
        <f>_xlfn.IFNA(INDEX(DetailByDistrict[],MATCH($H1275,DetailByDistrict[Dist],0),MATCH(J$2,DetailByDistrict[#Headers],0)),0)</f>
        <v>32</v>
      </c>
      <c r="K1275" s="54">
        <f t="shared" si="19"/>
        <v>0.8125</v>
      </c>
      <c r="L1275" s="59">
        <f>ROUNDDOWN(INDEX(DetailByDistrict[],MATCH($H1275,DetailByDistrict[Dist],0),MATCH(L$2,DetailByDistrict[#Headers],0))*K1275,2)</f>
        <v>1689.18</v>
      </c>
      <c r="M1275" s="59">
        <f>ROUNDDOWN(INDEX(DetailByDistrict[],MATCH($H1275,DetailByDistrict[Dist],0),MATCH(M$2,DetailByDistrict[#Headers],0))*K1275,2)</f>
        <v>1857.37</v>
      </c>
      <c r="N1275" s="78"/>
      <c r="O1275" s="78"/>
      <c r="P1275" s="78"/>
      <c r="Q1275" s="78"/>
      <c r="R1275" s="78"/>
      <c r="S1275" s="78"/>
      <c r="T1275" s="78"/>
      <c r="U1275" s="78"/>
      <c r="V1275" s="78"/>
      <c r="W1275" s="78"/>
      <c r="X1275" s="78"/>
      <c r="Y1275" s="78"/>
      <c r="Z1275" s="78"/>
    </row>
    <row r="1276" spans="1:26" ht="15.75" customHeight="1" x14ac:dyDescent="0.25">
      <c r="A1276" s="53">
        <v>15</v>
      </c>
      <c r="B1276" s="54" t="s">
        <v>1236</v>
      </c>
      <c r="C1276" s="54" t="s">
        <v>790</v>
      </c>
      <c r="D1276" s="57" t="s">
        <v>310</v>
      </c>
      <c r="E1276" s="53">
        <v>8104</v>
      </c>
      <c r="F1276" s="54" t="s">
        <v>1237</v>
      </c>
      <c r="G1276" s="57" t="s">
        <v>310</v>
      </c>
      <c r="H1276" s="58" t="str">
        <f>_xlfn.IFNA(INDEX(ActiveSchools!$C$2:$F$326,MATCH(G1276,ActiveSchools!$F$2:$F$326,0),1),"Total")</f>
        <v>0882</v>
      </c>
      <c r="I1276" s="53">
        <v>124</v>
      </c>
      <c r="J1276" s="59">
        <f>_xlfn.IFNA(INDEX(DetailByDistrict[],MATCH($H1276,DetailByDistrict[Dist],0),MATCH(J$2,DetailByDistrict[#Headers],0)),0)</f>
        <v>321</v>
      </c>
      <c r="K1276" s="54">
        <f t="shared" si="19"/>
        <v>0.38629283489096572</v>
      </c>
      <c r="L1276" s="59">
        <f>ROUNDDOWN(INDEX(DetailByDistrict[],MATCH($H1276,DetailByDistrict[Dist],0),MATCH(L$2,DetailByDistrict[#Headers],0))*K1276,2)</f>
        <v>8054.97</v>
      </c>
      <c r="M1276" s="59">
        <f>ROUNDDOWN(INDEX(DetailByDistrict[],MATCH($H1276,DetailByDistrict[Dist],0),MATCH(M$2,DetailByDistrict[#Headers],0))*K1276,2)</f>
        <v>8857.2999999999993</v>
      </c>
      <c r="N1276" s="78"/>
      <c r="O1276" s="78"/>
      <c r="P1276" s="78"/>
      <c r="Q1276" s="78"/>
      <c r="R1276" s="78"/>
      <c r="S1276" s="78"/>
      <c r="T1276" s="78"/>
      <c r="U1276" s="78"/>
      <c r="V1276" s="78"/>
      <c r="W1276" s="78"/>
      <c r="X1276" s="78"/>
      <c r="Y1276" s="78"/>
      <c r="Z1276" s="78"/>
    </row>
    <row r="1277" spans="1:26" ht="15.75" customHeight="1" x14ac:dyDescent="0.25">
      <c r="A1277" s="53">
        <v>15</v>
      </c>
      <c r="B1277" s="54" t="s">
        <v>1236</v>
      </c>
      <c r="C1277" s="54" t="s">
        <v>790</v>
      </c>
      <c r="D1277" s="57" t="s">
        <v>310</v>
      </c>
      <c r="E1277" s="53">
        <v>8104</v>
      </c>
      <c r="F1277" s="54" t="s">
        <v>1238</v>
      </c>
      <c r="G1277" s="53" t="s">
        <v>315</v>
      </c>
      <c r="H1277" s="58" t="str">
        <f>_xlfn.IFNA(INDEX(ActiveSchools!$C$2:$F$326,MATCH(G1277,ActiveSchools!$F$2:$F$326,0),1),"Total")</f>
        <v>1602</v>
      </c>
      <c r="I1277" s="53">
        <v>4</v>
      </c>
      <c r="J1277" s="59">
        <f>_xlfn.IFNA(INDEX(DetailByDistrict[],MATCH($H1277,DetailByDistrict[Dist],0),MATCH(J$2,DetailByDistrict[#Headers],0)),0)</f>
        <v>11</v>
      </c>
      <c r="K1277" s="54">
        <f t="shared" si="19"/>
        <v>0.36363636363636365</v>
      </c>
      <c r="L1277" s="59">
        <f>ROUNDDOWN(INDEX(DetailByDistrict[],MATCH($H1277,DetailByDistrict[Dist],0),MATCH(L$2,DetailByDistrict[#Headers],0))*K1277,2)</f>
        <v>260</v>
      </c>
      <c r="M1277" s="59">
        <f>ROUNDDOWN(INDEX(DetailByDistrict[],MATCH($H1277,DetailByDistrict[Dist],0),MATCH(M$2,DetailByDistrict[#Headers],0))*K1277,2)</f>
        <v>285.81</v>
      </c>
      <c r="N1277" s="78"/>
      <c r="O1277" s="78"/>
      <c r="P1277" s="78"/>
      <c r="Q1277" s="78"/>
      <c r="R1277" s="78"/>
      <c r="S1277" s="78"/>
      <c r="T1277" s="78"/>
      <c r="U1277" s="78"/>
      <c r="V1277" s="78"/>
      <c r="W1277" s="78"/>
      <c r="X1277" s="78"/>
      <c r="Y1277" s="78"/>
      <c r="Z1277" s="78"/>
    </row>
    <row r="1278" spans="1:26" ht="15.75" customHeight="1" x14ac:dyDescent="0.25">
      <c r="A1278" s="53">
        <v>15</v>
      </c>
      <c r="B1278" s="54" t="s">
        <v>1236</v>
      </c>
      <c r="C1278" s="54" t="s">
        <v>790</v>
      </c>
      <c r="D1278" s="57" t="s">
        <v>310</v>
      </c>
      <c r="E1278" s="53">
        <v>8104</v>
      </c>
      <c r="F1278" s="54" t="s">
        <v>1239</v>
      </c>
      <c r="G1278" s="53" t="s">
        <v>319</v>
      </c>
      <c r="H1278" s="58" t="str">
        <f>_xlfn.IFNA(INDEX(ActiveSchools!$C$2:$F$326,MATCH(G1278,ActiveSchools!$F$2:$F$326,0),1),"Total")</f>
        <v>2322</v>
      </c>
      <c r="I1278" s="53">
        <v>1</v>
      </c>
      <c r="J1278" s="59">
        <f>_xlfn.IFNA(INDEX(DetailByDistrict[],MATCH($H1278,DetailByDistrict[Dist],0),MATCH(J$2,DetailByDistrict[#Headers],0)),0)</f>
        <v>298</v>
      </c>
      <c r="K1278" s="54">
        <f t="shared" si="19"/>
        <v>3.3557046979865771E-3</v>
      </c>
      <c r="L1278" s="59">
        <f>ROUNDDOWN(INDEX(DetailByDistrict[],MATCH($H1278,DetailByDistrict[Dist],0),MATCH(L$2,DetailByDistrict[#Headers],0))*K1278,2)</f>
        <v>64.95</v>
      </c>
      <c r="M1278" s="59">
        <f>ROUNDDOWN(INDEX(DetailByDistrict[],MATCH($H1278,DetailByDistrict[Dist],0),MATCH(M$2,DetailByDistrict[#Headers],0))*K1278,2)</f>
        <v>71.42</v>
      </c>
      <c r="N1278" s="78"/>
      <c r="O1278" s="78"/>
      <c r="P1278" s="78"/>
      <c r="Q1278" s="78"/>
      <c r="R1278" s="78"/>
      <c r="S1278" s="78"/>
      <c r="T1278" s="78"/>
      <c r="U1278" s="78"/>
      <c r="V1278" s="78"/>
      <c r="W1278" s="78"/>
      <c r="X1278" s="78"/>
      <c r="Y1278" s="78"/>
      <c r="Z1278" s="78"/>
    </row>
    <row r="1279" spans="1:26" ht="15.75" customHeight="1" x14ac:dyDescent="0.25">
      <c r="A1279" s="53">
        <v>15</v>
      </c>
      <c r="B1279" s="54" t="s">
        <v>1236</v>
      </c>
      <c r="C1279" s="54" t="s">
        <v>790</v>
      </c>
      <c r="D1279" s="57" t="s">
        <v>310</v>
      </c>
      <c r="E1279" s="53">
        <v>8104</v>
      </c>
      <c r="F1279" s="54" t="s">
        <v>1242</v>
      </c>
      <c r="G1279" s="53" t="s">
        <v>326</v>
      </c>
      <c r="H1279" s="58" t="str">
        <f>_xlfn.IFNA(INDEX(ActiveSchools!$C$2:$F$326,MATCH(G1279,ActiveSchools!$F$2:$F$326,0),1),"Total")</f>
        <v>4536</v>
      </c>
      <c r="I1279" s="53">
        <v>1</v>
      </c>
      <c r="J1279" s="59">
        <f>_xlfn.IFNA(INDEX(DetailByDistrict[],MATCH($H1279,DetailByDistrict[Dist],0),MATCH(J$2,DetailByDistrict[#Headers],0)),0)</f>
        <v>7</v>
      </c>
      <c r="K1279" s="54">
        <f t="shared" si="19"/>
        <v>0.14285714285714285</v>
      </c>
      <c r="L1279" s="59">
        <f>ROUNDDOWN(INDEX(DetailByDistrict[],MATCH($H1279,DetailByDistrict[Dist],0),MATCH(L$2,DetailByDistrict[#Headers],0))*K1279,2)</f>
        <v>65</v>
      </c>
      <c r="M1279" s="59">
        <f>ROUNDDOWN(INDEX(DetailByDistrict[],MATCH($H1279,DetailByDistrict[Dist],0),MATCH(M$2,DetailByDistrict[#Headers],0))*K1279,2)</f>
        <v>71.42</v>
      </c>
      <c r="N1279" s="78"/>
      <c r="O1279" s="78"/>
      <c r="P1279" s="78"/>
      <c r="Q1279" s="78"/>
      <c r="R1279" s="78"/>
      <c r="S1279" s="78"/>
      <c r="T1279" s="78"/>
      <c r="U1279" s="78"/>
      <c r="V1279" s="78"/>
      <c r="W1279" s="78"/>
      <c r="X1279" s="78"/>
      <c r="Y1279" s="78"/>
      <c r="Z1279" s="78"/>
    </row>
    <row r="1280" spans="1:26" ht="15.75" customHeight="1" x14ac:dyDescent="0.25">
      <c r="A1280" s="53">
        <v>15</v>
      </c>
      <c r="B1280" s="54" t="s">
        <v>1236</v>
      </c>
      <c r="C1280" s="54" t="s">
        <v>790</v>
      </c>
      <c r="D1280" s="57" t="s">
        <v>310</v>
      </c>
      <c r="E1280" s="53">
        <v>8104</v>
      </c>
      <c r="F1280" s="54" t="s">
        <v>1243</v>
      </c>
      <c r="G1280" s="53" t="s">
        <v>327</v>
      </c>
      <c r="H1280" s="58" t="str">
        <f>_xlfn.IFNA(INDEX(ActiveSchools!$C$2:$F$326,MATCH(G1280,ActiveSchools!$F$2:$F$326,0),1),"Total")</f>
        <v>4689</v>
      </c>
      <c r="I1280" s="53">
        <v>6</v>
      </c>
      <c r="J1280" s="59">
        <f>_xlfn.IFNA(INDEX(DetailByDistrict[],MATCH($H1280,DetailByDistrict[Dist],0),MATCH(J$2,DetailByDistrict[#Headers],0)),0)</f>
        <v>11</v>
      </c>
      <c r="K1280" s="54">
        <f t="shared" si="19"/>
        <v>0.54545454545454541</v>
      </c>
      <c r="L1280" s="59">
        <f>ROUNDDOWN(INDEX(DetailByDistrict[],MATCH($H1280,DetailByDistrict[Dist],0),MATCH(L$2,DetailByDistrict[#Headers],0))*K1280,2)</f>
        <v>390</v>
      </c>
      <c r="M1280" s="59">
        <f>ROUNDDOWN(INDEX(DetailByDistrict[],MATCH($H1280,DetailByDistrict[Dist],0),MATCH(M$2,DetailByDistrict[#Headers],0))*K1280,2)</f>
        <v>428.72</v>
      </c>
      <c r="N1280" s="78"/>
      <c r="O1280" s="78"/>
      <c r="P1280" s="78"/>
      <c r="Q1280" s="78"/>
      <c r="R1280" s="78"/>
      <c r="S1280" s="78"/>
      <c r="T1280" s="78"/>
      <c r="U1280" s="78"/>
      <c r="V1280" s="78"/>
      <c r="W1280" s="78"/>
      <c r="X1280" s="78"/>
      <c r="Y1280" s="78"/>
      <c r="Z1280" s="78"/>
    </row>
    <row r="1281" spans="1:26" ht="15.75" customHeight="1" x14ac:dyDescent="0.25">
      <c r="A1281" s="53">
        <v>15</v>
      </c>
      <c r="B1281" s="54" t="s">
        <v>1236</v>
      </c>
      <c r="C1281" s="54" t="s">
        <v>790</v>
      </c>
      <c r="D1281" s="57" t="s">
        <v>310</v>
      </c>
      <c r="E1281" s="53">
        <v>8104</v>
      </c>
      <c r="F1281" s="54" t="s">
        <v>1246</v>
      </c>
      <c r="G1281" s="53" t="s">
        <v>339</v>
      </c>
      <c r="H1281" s="58" t="str">
        <f>_xlfn.IFNA(INDEX(ActiveSchools!$C$2:$F$326,MATCH(G1281,ActiveSchools!$F$2:$F$326,0),1),"Total")</f>
        <v>6937</v>
      </c>
      <c r="I1281" s="53">
        <v>5</v>
      </c>
      <c r="J1281" s="59">
        <f>_xlfn.IFNA(INDEX(DetailByDistrict[],MATCH($H1281,DetailByDistrict[Dist],0),MATCH(J$2,DetailByDistrict[#Headers],0)),0)</f>
        <v>32</v>
      </c>
      <c r="K1281" s="54">
        <f t="shared" si="19"/>
        <v>0.15625</v>
      </c>
      <c r="L1281" s="59">
        <f>ROUNDDOWN(INDEX(DetailByDistrict[],MATCH($H1281,DetailByDistrict[Dist],0),MATCH(L$2,DetailByDistrict[#Headers],0))*K1281,2)</f>
        <v>324.83999999999997</v>
      </c>
      <c r="M1281" s="59">
        <f>ROUNDDOWN(INDEX(DetailByDistrict[],MATCH($H1281,DetailByDistrict[Dist],0),MATCH(M$2,DetailByDistrict[#Headers],0))*K1281,2)</f>
        <v>357.18</v>
      </c>
      <c r="N1281" s="78"/>
      <c r="O1281" s="78"/>
      <c r="P1281" s="78"/>
      <c r="Q1281" s="78"/>
      <c r="R1281" s="78"/>
      <c r="S1281" s="78"/>
      <c r="T1281" s="78"/>
      <c r="U1281" s="78"/>
      <c r="V1281" s="78"/>
      <c r="W1281" s="78"/>
      <c r="X1281" s="78"/>
      <c r="Y1281" s="78"/>
      <c r="Z1281" s="78"/>
    </row>
    <row r="1282" spans="1:26" ht="15.75" customHeight="1" x14ac:dyDescent="0.25">
      <c r="A1282" s="53">
        <v>15</v>
      </c>
      <c r="B1282" s="54" t="s">
        <v>1236</v>
      </c>
      <c r="C1282" s="54" t="s">
        <v>791</v>
      </c>
      <c r="D1282" s="57" t="s">
        <v>310</v>
      </c>
      <c r="E1282" s="53">
        <v>8106</v>
      </c>
      <c r="F1282" s="54" t="s">
        <v>1237</v>
      </c>
      <c r="G1282" s="57" t="s">
        <v>310</v>
      </c>
      <c r="H1282" s="58" t="str">
        <f>_xlfn.IFNA(INDEX(ActiveSchools!$C$2:$F$326,MATCH(G1282,ActiveSchools!$F$2:$F$326,0),1),"Total")</f>
        <v>0882</v>
      </c>
      <c r="I1282" s="53">
        <v>25</v>
      </c>
      <c r="J1282" s="59">
        <f>_xlfn.IFNA(INDEX(DetailByDistrict[],MATCH($H1282,DetailByDistrict[Dist],0),MATCH(J$2,DetailByDistrict[#Headers],0)),0)</f>
        <v>321</v>
      </c>
      <c r="K1282" s="54">
        <f t="shared" si="19"/>
        <v>7.7881619937694699E-2</v>
      </c>
      <c r="L1282" s="59">
        <f>ROUNDDOWN(INDEX(DetailByDistrict[],MATCH($H1282,DetailByDistrict[Dist],0),MATCH(L$2,DetailByDistrict[#Headers],0))*K1282,2)</f>
        <v>1623.98</v>
      </c>
      <c r="M1282" s="59">
        <f>ROUNDDOWN(INDEX(DetailByDistrict[],MATCH($H1282,DetailByDistrict[Dist],0),MATCH(M$2,DetailByDistrict[#Headers],0))*K1282,2)</f>
        <v>1785.74</v>
      </c>
      <c r="N1282" s="78"/>
      <c r="O1282" s="78"/>
      <c r="P1282" s="78"/>
      <c r="Q1282" s="78"/>
      <c r="R1282" s="78"/>
      <c r="S1282" s="78"/>
      <c r="T1282" s="78"/>
      <c r="U1282" s="78"/>
      <c r="V1282" s="78"/>
      <c r="W1282" s="78"/>
      <c r="X1282" s="78"/>
      <c r="Y1282" s="78"/>
      <c r="Z1282" s="78"/>
    </row>
    <row r="1283" spans="1:26" ht="15.75" customHeight="1" x14ac:dyDescent="0.25">
      <c r="A1283" s="53">
        <v>15</v>
      </c>
      <c r="B1283" s="54" t="s">
        <v>1236</v>
      </c>
      <c r="C1283" s="54" t="s">
        <v>791</v>
      </c>
      <c r="D1283" s="57" t="s">
        <v>310</v>
      </c>
      <c r="E1283" s="53">
        <v>8106</v>
      </c>
      <c r="F1283" s="54" t="s">
        <v>1238</v>
      </c>
      <c r="G1283" s="53" t="s">
        <v>315</v>
      </c>
      <c r="H1283" s="58" t="str">
        <f>_xlfn.IFNA(INDEX(ActiveSchools!$C$2:$F$326,MATCH(G1283,ActiveSchools!$F$2:$F$326,0),1),"Total")</f>
        <v>1602</v>
      </c>
      <c r="I1283" s="53">
        <v>1</v>
      </c>
      <c r="J1283" s="59">
        <f>_xlfn.IFNA(INDEX(DetailByDistrict[],MATCH($H1283,DetailByDistrict[Dist],0),MATCH(J$2,DetailByDistrict[#Headers],0)),0)</f>
        <v>11</v>
      </c>
      <c r="K1283" s="54">
        <f t="shared" si="19"/>
        <v>9.0909090909090912E-2</v>
      </c>
      <c r="L1283" s="59">
        <f>ROUNDDOWN(INDEX(DetailByDistrict[],MATCH($H1283,DetailByDistrict[Dist],0),MATCH(L$2,DetailByDistrict[#Headers],0))*K1283,2)</f>
        <v>65</v>
      </c>
      <c r="M1283" s="59">
        <f>ROUNDDOWN(INDEX(DetailByDistrict[],MATCH($H1283,DetailByDistrict[Dist],0),MATCH(M$2,DetailByDistrict[#Headers],0))*K1283,2)</f>
        <v>71.45</v>
      </c>
      <c r="N1283" s="78"/>
      <c r="O1283" s="78"/>
      <c r="P1283" s="78"/>
      <c r="Q1283" s="78"/>
      <c r="R1283" s="78"/>
      <c r="S1283" s="78"/>
      <c r="T1283" s="78"/>
      <c r="U1283" s="78"/>
      <c r="V1283" s="78"/>
      <c r="W1283" s="78"/>
      <c r="X1283" s="78"/>
      <c r="Y1283" s="78"/>
      <c r="Z1283" s="78"/>
    </row>
    <row r="1284" spans="1:26" ht="15.75" customHeight="1" x14ac:dyDescent="0.25">
      <c r="A1284" s="53">
        <v>15</v>
      </c>
      <c r="B1284" s="54" t="s">
        <v>1236</v>
      </c>
      <c r="C1284" s="54" t="s">
        <v>791</v>
      </c>
      <c r="D1284" s="57" t="s">
        <v>310</v>
      </c>
      <c r="E1284" s="53">
        <v>8106</v>
      </c>
      <c r="F1284" s="54" t="s">
        <v>1239</v>
      </c>
      <c r="G1284" s="53" t="s">
        <v>319</v>
      </c>
      <c r="H1284" s="58" t="str">
        <f>_xlfn.IFNA(INDEX(ActiveSchools!$C$2:$F$326,MATCH(G1284,ActiveSchools!$F$2:$F$326,0),1),"Total")</f>
        <v>2322</v>
      </c>
      <c r="I1284" s="53">
        <v>4</v>
      </c>
      <c r="J1284" s="59">
        <f>_xlfn.IFNA(INDEX(DetailByDistrict[],MATCH($H1284,DetailByDistrict[Dist],0),MATCH(J$2,DetailByDistrict[#Headers],0)),0)</f>
        <v>298</v>
      </c>
      <c r="K1284" s="54">
        <f t="shared" ref="K1284:K1347" si="20">I1284/J1284</f>
        <v>1.3422818791946308E-2</v>
      </c>
      <c r="L1284" s="59">
        <f>ROUNDDOWN(INDEX(DetailByDistrict[],MATCH($H1284,DetailByDistrict[Dist],0),MATCH(L$2,DetailByDistrict[#Headers],0))*K1284,2)</f>
        <v>259.83</v>
      </c>
      <c r="M1284" s="59">
        <f>ROUNDDOWN(INDEX(DetailByDistrict[],MATCH($H1284,DetailByDistrict[Dist],0),MATCH(M$2,DetailByDistrict[#Headers],0))*K1284,2)</f>
        <v>285.70999999999998</v>
      </c>
      <c r="N1284" s="78"/>
      <c r="O1284" s="78"/>
      <c r="P1284" s="78"/>
      <c r="Q1284" s="78"/>
      <c r="R1284" s="78"/>
      <c r="S1284" s="78"/>
      <c r="T1284" s="78"/>
      <c r="U1284" s="78"/>
      <c r="V1284" s="78"/>
      <c r="W1284" s="78"/>
      <c r="X1284" s="78"/>
      <c r="Y1284" s="78"/>
      <c r="Z1284" s="78"/>
    </row>
    <row r="1285" spans="1:26" ht="15.75" customHeight="1" x14ac:dyDescent="0.25">
      <c r="A1285" s="53">
        <v>15</v>
      </c>
      <c r="B1285" s="54" t="s">
        <v>1236</v>
      </c>
      <c r="C1285" s="54" t="s">
        <v>791</v>
      </c>
      <c r="D1285" s="57" t="s">
        <v>310</v>
      </c>
      <c r="E1285" s="53">
        <v>8106</v>
      </c>
      <c r="F1285" s="54" t="s">
        <v>1241</v>
      </c>
      <c r="G1285" s="53" t="s">
        <v>322</v>
      </c>
      <c r="H1285" s="58" t="str">
        <f>_xlfn.IFNA(INDEX(ActiveSchools!$C$2:$F$326,MATCH(G1285,ActiveSchools!$F$2:$F$326,0),1),"Total")</f>
        <v>4203</v>
      </c>
      <c r="I1285" s="53">
        <v>2</v>
      </c>
      <c r="J1285" s="59">
        <f>_xlfn.IFNA(INDEX(DetailByDistrict[],MATCH($H1285,DetailByDistrict[Dist],0),MATCH(J$2,DetailByDistrict[#Headers],0)),0)</f>
        <v>7</v>
      </c>
      <c r="K1285" s="54">
        <f t="shared" si="20"/>
        <v>0.2857142857142857</v>
      </c>
      <c r="L1285" s="59">
        <f>ROUNDDOWN(INDEX(DetailByDistrict[],MATCH($H1285,DetailByDistrict[Dist],0),MATCH(L$2,DetailByDistrict[#Headers],0))*K1285,2)</f>
        <v>130</v>
      </c>
      <c r="M1285" s="59">
        <f>ROUNDDOWN(INDEX(DetailByDistrict[],MATCH($H1285,DetailByDistrict[Dist],0),MATCH(M$2,DetailByDistrict[#Headers],0))*K1285,2)</f>
        <v>142.85</v>
      </c>
      <c r="N1285" s="78"/>
      <c r="O1285" s="78"/>
      <c r="P1285" s="78"/>
      <c r="Q1285" s="78"/>
      <c r="R1285" s="78"/>
      <c r="S1285" s="78"/>
      <c r="T1285" s="78"/>
      <c r="U1285" s="78"/>
      <c r="V1285" s="78"/>
      <c r="W1285" s="78"/>
      <c r="X1285" s="78"/>
      <c r="Y1285" s="78"/>
      <c r="Z1285" s="78"/>
    </row>
    <row r="1286" spans="1:26" ht="15.75" customHeight="1" x14ac:dyDescent="0.25">
      <c r="A1286" s="53">
        <v>15</v>
      </c>
      <c r="B1286" s="54" t="s">
        <v>1236</v>
      </c>
      <c r="C1286" s="54" t="s">
        <v>791</v>
      </c>
      <c r="D1286" s="57" t="s">
        <v>310</v>
      </c>
      <c r="E1286" s="53">
        <v>8106</v>
      </c>
      <c r="F1286" s="54" t="s">
        <v>1246</v>
      </c>
      <c r="G1286" s="53" t="s">
        <v>339</v>
      </c>
      <c r="H1286" s="58" t="str">
        <f>_xlfn.IFNA(INDEX(ActiveSchools!$C$2:$F$326,MATCH(G1286,ActiveSchools!$F$2:$F$326,0),1),"Total")</f>
        <v>6937</v>
      </c>
      <c r="I1286" s="53">
        <v>1</v>
      </c>
      <c r="J1286" s="59">
        <f>_xlfn.IFNA(INDEX(DetailByDistrict[],MATCH($H1286,DetailByDistrict[Dist],0),MATCH(J$2,DetailByDistrict[#Headers],0)),0)</f>
        <v>32</v>
      </c>
      <c r="K1286" s="54">
        <f t="shared" si="20"/>
        <v>3.125E-2</v>
      </c>
      <c r="L1286" s="59">
        <f>ROUNDDOWN(INDEX(DetailByDistrict[],MATCH($H1286,DetailByDistrict[Dist],0),MATCH(L$2,DetailByDistrict[#Headers],0))*K1286,2)</f>
        <v>64.959999999999994</v>
      </c>
      <c r="M1286" s="59">
        <f>ROUNDDOWN(INDEX(DetailByDistrict[],MATCH($H1286,DetailByDistrict[Dist],0),MATCH(M$2,DetailByDistrict[#Headers],0))*K1286,2)</f>
        <v>71.430000000000007</v>
      </c>
      <c r="N1286" s="78"/>
      <c r="O1286" s="78"/>
      <c r="P1286" s="78"/>
      <c r="Q1286" s="78"/>
      <c r="R1286" s="78"/>
      <c r="S1286" s="78"/>
      <c r="T1286" s="78"/>
      <c r="U1286" s="78"/>
      <c r="V1286" s="78"/>
      <c r="W1286" s="78"/>
      <c r="X1286" s="78"/>
      <c r="Y1286" s="78"/>
      <c r="Z1286" s="78"/>
    </row>
    <row r="1287" spans="1:26" ht="15.75" customHeight="1" x14ac:dyDescent="0.25">
      <c r="A1287" s="53">
        <v>15</v>
      </c>
      <c r="B1287" s="54" t="s">
        <v>1236</v>
      </c>
      <c r="C1287" s="54" t="s">
        <v>852</v>
      </c>
      <c r="D1287" s="53">
        <v>2169</v>
      </c>
      <c r="E1287" s="53">
        <v>8165</v>
      </c>
      <c r="F1287" s="54" t="s">
        <v>1247</v>
      </c>
      <c r="G1287" s="53" t="s">
        <v>318</v>
      </c>
      <c r="H1287" s="58" t="str">
        <f>_xlfn.IFNA(INDEX(ActiveSchools!$C$2:$F$326,MATCH(G1287,ActiveSchools!$F$2:$F$326,0),1),"Total")</f>
        <v>2169</v>
      </c>
      <c r="I1287" s="53">
        <v>36</v>
      </c>
      <c r="J1287" s="59">
        <f>_xlfn.IFNA(INDEX(DetailByDistrict[],MATCH($H1287,DetailByDistrict[Dist],0),MATCH(J$2,DetailByDistrict[#Headers],0)),0)</f>
        <v>178</v>
      </c>
      <c r="K1287" s="54">
        <f t="shared" si="20"/>
        <v>0.20224719101123595</v>
      </c>
      <c r="L1287" s="59">
        <f>ROUNDDOWN(INDEX(DetailByDistrict[],MATCH($H1287,DetailByDistrict[Dist],0),MATCH(L$2,DetailByDistrict[#Headers],0))*K1287,2)</f>
        <v>2338.58</v>
      </c>
      <c r="M1287" s="59">
        <f>ROUNDDOWN(INDEX(DetailByDistrict[],MATCH($H1287,DetailByDistrict[Dist],0),MATCH(M$2,DetailByDistrict[#Headers],0))*K1287,2)</f>
        <v>2571.5700000000002</v>
      </c>
      <c r="N1287" s="78"/>
      <c r="O1287" s="78"/>
      <c r="P1287" s="78"/>
      <c r="Q1287" s="78"/>
      <c r="R1287" s="78"/>
      <c r="S1287" s="78"/>
      <c r="T1287" s="78"/>
      <c r="U1287" s="78"/>
      <c r="V1287" s="78"/>
      <c r="W1287" s="78"/>
      <c r="X1287" s="78"/>
      <c r="Y1287" s="78"/>
      <c r="Z1287" s="78"/>
    </row>
    <row r="1288" spans="1:26" ht="15.75" customHeight="1" x14ac:dyDescent="0.25">
      <c r="A1288" s="53">
        <v>15</v>
      </c>
      <c r="B1288" s="54" t="s">
        <v>1236</v>
      </c>
      <c r="C1288" s="54" t="s">
        <v>852</v>
      </c>
      <c r="D1288" s="53">
        <v>2169</v>
      </c>
      <c r="E1288" s="53">
        <v>8165</v>
      </c>
      <c r="F1288" s="54" t="s">
        <v>1244</v>
      </c>
      <c r="G1288" s="53" t="s">
        <v>335</v>
      </c>
      <c r="H1288" s="58" t="str">
        <f>_xlfn.IFNA(INDEX(ActiveSchools!$C$2:$F$326,MATCH(G1288,ActiveSchools!$F$2:$F$326,0),1),"Total")</f>
        <v>6592</v>
      </c>
      <c r="I1288" s="53">
        <v>2</v>
      </c>
      <c r="J1288" s="59">
        <f>_xlfn.IFNA(INDEX(DetailByDistrict[],MATCH($H1288,DetailByDistrict[Dist],0),MATCH(J$2,DetailByDistrict[#Headers],0)),0)</f>
        <v>8</v>
      </c>
      <c r="K1288" s="54">
        <f t="shared" si="20"/>
        <v>0.25</v>
      </c>
      <c r="L1288" s="59">
        <f>ROUNDDOWN(INDEX(DetailByDistrict[],MATCH($H1288,DetailByDistrict[Dist],0),MATCH(L$2,DetailByDistrict[#Headers],0))*K1288,2)</f>
        <v>130</v>
      </c>
      <c r="M1288" s="59">
        <f>ROUNDDOWN(INDEX(DetailByDistrict[],MATCH($H1288,DetailByDistrict[Dist],0),MATCH(M$2,DetailByDistrict[#Headers],0))*K1288,2)</f>
        <v>142.75</v>
      </c>
      <c r="N1288" s="78"/>
      <c r="O1288" s="78"/>
      <c r="P1288" s="78"/>
      <c r="Q1288" s="78"/>
      <c r="R1288" s="78"/>
      <c r="S1288" s="78"/>
      <c r="T1288" s="78"/>
      <c r="U1288" s="78"/>
      <c r="V1288" s="78"/>
      <c r="W1288" s="78"/>
      <c r="X1288" s="78"/>
      <c r="Y1288" s="78"/>
      <c r="Z1288" s="78"/>
    </row>
    <row r="1289" spans="1:26" ht="15.75" customHeight="1" x14ac:dyDescent="0.25">
      <c r="A1289" s="53">
        <v>15</v>
      </c>
      <c r="B1289" s="54" t="s">
        <v>1236</v>
      </c>
      <c r="C1289" s="54" t="s">
        <v>853</v>
      </c>
      <c r="D1289" s="53">
        <v>2169</v>
      </c>
      <c r="E1289" s="53">
        <v>8502</v>
      </c>
      <c r="F1289" s="54" t="s">
        <v>1247</v>
      </c>
      <c r="G1289" s="53" t="s">
        <v>318</v>
      </c>
      <c r="H1289" s="58" t="str">
        <f>_xlfn.IFNA(INDEX(ActiveSchools!$C$2:$F$326,MATCH(G1289,ActiveSchools!$F$2:$F$326,0),1),"Total")</f>
        <v>2169</v>
      </c>
      <c r="I1289" s="53">
        <v>134</v>
      </c>
      <c r="J1289" s="59">
        <f>_xlfn.IFNA(INDEX(DetailByDistrict[],MATCH($H1289,DetailByDistrict[Dist],0),MATCH(J$2,DetailByDistrict[#Headers],0)),0)</f>
        <v>178</v>
      </c>
      <c r="K1289" s="54">
        <f t="shared" si="20"/>
        <v>0.7528089887640449</v>
      </c>
      <c r="L1289" s="59">
        <f>ROUNDDOWN(INDEX(DetailByDistrict[],MATCH($H1289,DetailByDistrict[Dist],0),MATCH(L$2,DetailByDistrict[#Headers],0))*K1289,2)</f>
        <v>8704.73</v>
      </c>
      <c r="M1289" s="59">
        <f>ROUNDDOWN(INDEX(DetailByDistrict[],MATCH($H1289,DetailByDistrict[Dist],0),MATCH(M$2,DetailByDistrict[#Headers],0))*K1289,2)</f>
        <v>9571.9599999999991</v>
      </c>
      <c r="N1289" s="78"/>
      <c r="O1289" s="78"/>
      <c r="P1289" s="78"/>
      <c r="Q1289" s="78"/>
      <c r="R1289" s="78"/>
      <c r="S1289" s="78"/>
      <c r="T1289" s="78"/>
      <c r="U1289" s="78"/>
      <c r="V1289" s="78"/>
      <c r="W1289" s="78"/>
      <c r="X1289" s="78"/>
      <c r="Y1289" s="78"/>
      <c r="Z1289" s="78"/>
    </row>
    <row r="1290" spans="1:26" ht="15.75" customHeight="1" x14ac:dyDescent="0.25">
      <c r="A1290" s="53">
        <v>15</v>
      </c>
      <c r="B1290" s="54" t="s">
        <v>1236</v>
      </c>
      <c r="C1290" s="54" t="s">
        <v>853</v>
      </c>
      <c r="D1290" s="53">
        <v>2169</v>
      </c>
      <c r="E1290" s="53">
        <v>8502</v>
      </c>
      <c r="F1290" s="54" t="s">
        <v>1248</v>
      </c>
      <c r="G1290" s="53" t="s">
        <v>336</v>
      </c>
      <c r="H1290" s="58" t="str">
        <f>_xlfn.IFNA(INDEX(ActiveSchools!$C$2:$F$326,MATCH(G1290,ActiveSchools!$F$2:$F$326,0),1),"Total")</f>
        <v>6700</v>
      </c>
      <c r="I1290" s="53">
        <v>2</v>
      </c>
      <c r="J1290" s="59">
        <f>_xlfn.IFNA(INDEX(DetailByDistrict[],MATCH($H1290,DetailByDistrict[Dist],0),MATCH(J$2,DetailByDistrict[#Headers],0)),0)</f>
        <v>2</v>
      </c>
      <c r="K1290" s="54">
        <f t="shared" si="20"/>
        <v>1</v>
      </c>
      <c r="L1290" s="59">
        <f>ROUNDDOWN(INDEX(DetailByDistrict[],MATCH($H1290,DetailByDistrict[Dist],0),MATCH(L$2,DetailByDistrict[#Headers],0))*K1290,2)</f>
        <v>130</v>
      </c>
      <c r="M1290" s="59">
        <f>ROUNDDOWN(INDEX(DetailByDistrict[],MATCH($H1290,DetailByDistrict[Dist],0),MATCH(M$2,DetailByDistrict[#Headers],0))*K1290,2)</f>
        <v>143</v>
      </c>
      <c r="N1290" s="78"/>
      <c r="O1290" s="78"/>
      <c r="P1290" s="78"/>
      <c r="Q1290" s="78"/>
      <c r="R1290" s="78"/>
      <c r="S1290" s="78"/>
      <c r="T1290" s="78"/>
      <c r="U1290" s="78"/>
      <c r="V1290" s="78"/>
      <c r="W1290" s="78"/>
      <c r="X1290" s="78"/>
      <c r="Y1290" s="78"/>
      <c r="Z1290" s="78"/>
    </row>
    <row r="1291" spans="1:26" ht="15.75" customHeight="1" x14ac:dyDescent="0.25">
      <c r="A1291" s="53">
        <v>15</v>
      </c>
      <c r="B1291" s="54" t="s">
        <v>1236</v>
      </c>
      <c r="C1291" s="54" t="s">
        <v>857</v>
      </c>
      <c r="D1291" s="53">
        <v>2322</v>
      </c>
      <c r="E1291" s="53">
        <v>8105</v>
      </c>
      <c r="F1291" s="54" t="s">
        <v>1237</v>
      </c>
      <c r="G1291" s="57" t="s">
        <v>310</v>
      </c>
      <c r="H1291" s="58" t="str">
        <f>_xlfn.IFNA(INDEX(ActiveSchools!$C$2:$F$326,MATCH(G1291,ActiveSchools!$F$2:$F$326,0),1),"Total")</f>
        <v>0882</v>
      </c>
      <c r="I1291" s="53">
        <v>1</v>
      </c>
      <c r="J1291" s="59">
        <f>_xlfn.IFNA(INDEX(DetailByDistrict[],MATCH($H1291,DetailByDistrict[Dist],0),MATCH(J$2,DetailByDistrict[#Headers],0)),0)</f>
        <v>321</v>
      </c>
      <c r="K1291" s="54">
        <f t="shared" si="20"/>
        <v>3.1152647975077881E-3</v>
      </c>
      <c r="L1291" s="59">
        <f>ROUNDDOWN(INDEX(DetailByDistrict[],MATCH($H1291,DetailByDistrict[Dist],0),MATCH(L$2,DetailByDistrict[#Headers],0))*K1291,2)</f>
        <v>64.95</v>
      </c>
      <c r="M1291" s="59">
        <f>ROUNDDOWN(INDEX(DetailByDistrict[],MATCH($H1291,DetailByDistrict[Dist],0),MATCH(M$2,DetailByDistrict[#Headers],0))*K1291,2)</f>
        <v>71.42</v>
      </c>
      <c r="N1291" s="78"/>
      <c r="O1291" s="78"/>
      <c r="P1291" s="78"/>
      <c r="Q1291" s="78"/>
      <c r="R1291" s="78"/>
      <c r="S1291" s="78"/>
      <c r="T1291" s="78"/>
      <c r="U1291" s="78"/>
      <c r="V1291" s="78"/>
      <c r="W1291" s="78"/>
      <c r="X1291" s="78"/>
      <c r="Y1291" s="78"/>
      <c r="Z1291" s="78"/>
    </row>
    <row r="1292" spans="1:26" ht="15.75" customHeight="1" x14ac:dyDescent="0.25">
      <c r="A1292" s="53">
        <v>15</v>
      </c>
      <c r="B1292" s="54" t="s">
        <v>1236</v>
      </c>
      <c r="C1292" s="54" t="s">
        <v>857</v>
      </c>
      <c r="D1292" s="53">
        <v>2322</v>
      </c>
      <c r="E1292" s="53">
        <v>8105</v>
      </c>
      <c r="F1292" s="54" t="s">
        <v>1249</v>
      </c>
      <c r="G1292" s="53" t="s">
        <v>313</v>
      </c>
      <c r="H1292" s="58" t="str">
        <f>_xlfn.IFNA(INDEX(ActiveSchools!$C$2:$F$326,MATCH(G1292,ActiveSchools!$F$2:$F$326,0),1),"Total")</f>
        <v>1079</v>
      </c>
      <c r="I1292" s="53">
        <v>6</v>
      </c>
      <c r="J1292" s="59">
        <f>_xlfn.IFNA(INDEX(DetailByDistrict[],MATCH($H1292,DetailByDistrict[Dist],0),MATCH(J$2,DetailByDistrict[#Headers],0)),0)</f>
        <v>22</v>
      </c>
      <c r="K1292" s="54">
        <f t="shared" si="20"/>
        <v>0.27272727272727271</v>
      </c>
      <c r="L1292" s="59">
        <f>ROUNDDOWN(INDEX(DetailByDistrict[],MATCH($H1292,DetailByDistrict[Dist],0),MATCH(L$2,DetailByDistrict[#Headers],0))*K1292,2)</f>
        <v>389.72</v>
      </c>
      <c r="M1292" s="59">
        <f>ROUNDDOWN(INDEX(DetailByDistrict[],MATCH($H1292,DetailByDistrict[Dist],0),MATCH(M$2,DetailByDistrict[#Headers],0))*K1292,2)</f>
        <v>428.45</v>
      </c>
      <c r="N1292" s="78"/>
      <c r="O1292" s="78"/>
      <c r="P1292" s="78"/>
      <c r="Q1292" s="78"/>
      <c r="R1292" s="78"/>
      <c r="S1292" s="78"/>
      <c r="T1292" s="78"/>
      <c r="U1292" s="78"/>
      <c r="V1292" s="78"/>
      <c r="W1292" s="78"/>
      <c r="X1292" s="78"/>
      <c r="Y1292" s="78"/>
      <c r="Z1292" s="78"/>
    </row>
    <row r="1293" spans="1:26" ht="15.75" customHeight="1" x14ac:dyDescent="0.25">
      <c r="A1293" s="53">
        <v>15</v>
      </c>
      <c r="B1293" s="54" t="s">
        <v>1236</v>
      </c>
      <c r="C1293" s="54" t="s">
        <v>857</v>
      </c>
      <c r="D1293" s="53">
        <v>2322</v>
      </c>
      <c r="E1293" s="53">
        <v>8105</v>
      </c>
      <c r="F1293" s="54" t="s">
        <v>1239</v>
      </c>
      <c r="G1293" s="53" t="s">
        <v>319</v>
      </c>
      <c r="H1293" s="58" t="str">
        <f>_xlfn.IFNA(INDEX(ActiveSchools!$C$2:$F$326,MATCH(G1293,ActiveSchools!$F$2:$F$326,0),1),"Total")</f>
        <v>2322</v>
      </c>
      <c r="I1293" s="53">
        <v>126</v>
      </c>
      <c r="J1293" s="59">
        <f>_xlfn.IFNA(INDEX(DetailByDistrict[],MATCH($H1293,DetailByDistrict[Dist],0),MATCH(J$2,DetailByDistrict[#Headers],0)),0)</f>
        <v>298</v>
      </c>
      <c r="K1293" s="54">
        <f t="shared" si="20"/>
        <v>0.42281879194630873</v>
      </c>
      <c r="L1293" s="59">
        <f>ROUNDDOWN(INDEX(DetailByDistrict[],MATCH($H1293,DetailByDistrict[Dist],0),MATCH(L$2,DetailByDistrict[#Headers],0))*K1293,2)</f>
        <v>8184.92</v>
      </c>
      <c r="M1293" s="59">
        <f>ROUNDDOWN(INDEX(DetailByDistrict[],MATCH($H1293,DetailByDistrict[Dist],0),MATCH(M$2,DetailByDistrict[#Headers],0))*K1293,2)</f>
        <v>9000.1200000000008</v>
      </c>
      <c r="N1293" s="78"/>
      <c r="O1293" s="78"/>
      <c r="P1293" s="78"/>
      <c r="Q1293" s="78"/>
      <c r="R1293" s="78"/>
      <c r="S1293" s="78"/>
      <c r="T1293" s="78"/>
      <c r="U1293" s="78"/>
      <c r="V1293" s="78"/>
      <c r="W1293" s="78"/>
      <c r="X1293" s="78"/>
      <c r="Y1293" s="78"/>
      <c r="Z1293" s="78"/>
    </row>
    <row r="1294" spans="1:26" ht="15.75" customHeight="1" x14ac:dyDescent="0.25">
      <c r="A1294" s="53">
        <v>15</v>
      </c>
      <c r="B1294" s="54" t="s">
        <v>1236</v>
      </c>
      <c r="C1294" s="54" t="s">
        <v>857</v>
      </c>
      <c r="D1294" s="53">
        <v>2322</v>
      </c>
      <c r="E1294" s="53">
        <v>8105</v>
      </c>
      <c r="F1294" s="54" t="s">
        <v>1240</v>
      </c>
      <c r="G1294" s="53" t="s">
        <v>320</v>
      </c>
      <c r="H1294" s="58" t="str">
        <f>_xlfn.IFNA(INDEX(ActiveSchools!$C$2:$F$326,MATCH(G1294,ActiveSchools!$F$2:$F$326,0),1),"Total")</f>
        <v>3312</v>
      </c>
      <c r="I1294" s="53">
        <v>2</v>
      </c>
      <c r="J1294" s="59">
        <f>_xlfn.IFNA(INDEX(DetailByDistrict[],MATCH($H1294,DetailByDistrict[Dist],0),MATCH(J$2,DetailByDistrict[#Headers],0)),0)</f>
        <v>104</v>
      </c>
      <c r="K1294" s="54">
        <f t="shared" si="20"/>
        <v>1.9230769230769232E-2</v>
      </c>
      <c r="L1294" s="59">
        <f>ROUNDDOWN(INDEX(DetailByDistrict[],MATCH($H1294,DetailByDistrict[Dist],0),MATCH(L$2,DetailByDistrict[#Headers],0))*K1294,2)</f>
        <v>129.91999999999999</v>
      </c>
      <c r="M1294" s="59">
        <f>ROUNDDOWN(INDEX(DetailByDistrict[],MATCH($H1294,DetailByDistrict[Dist],0),MATCH(M$2,DetailByDistrict[#Headers],0))*K1294,2)</f>
        <v>142.86000000000001</v>
      </c>
      <c r="N1294" s="78"/>
      <c r="O1294" s="78"/>
      <c r="P1294" s="78"/>
      <c r="Q1294" s="78"/>
      <c r="R1294" s="78"/>
      <c r="S1294" s="78"/>
      <c r="T1294" s="78"/>
      <c r="U1294" s="78"/>
      <c r="V1294" s="78"/>
      <c r="W1294" s="78"/>
      <c r="X1294" s="78"/>
      <c r="Y1294" s="78"/>
      <c r="Z1294" s="78"/>
    </row>
    <row r="1295" spans="1:26" ht="15.75" customHeight="1" x14ac:dyDescent="0.25">
      <c r="A1295" s="53">
        <v>15</v>
      </c>
      <c r="B1295" s="54" t="s">
        <v>1236</v>
      </c>
      <c r="C1295" s="54" t="s">
        <v>857</v>
      </c>
      <c r="D1295" s="53">
        <v>2322</v>
      </c>
      <c r="E1295" s="53">
        <v>8105</v>
      </c>
      <c r="F1295" s="54" t="s">
        <v>1241</v>
      </c>
      <c r="G1295" s="53" t="s">
        <v>322</v>
      </c>
      <c r="H1295" s="58" t="str">
        <f>_xlfn.IFNA(INDEX(ActiveSchools!$C$2:$F$326,MATCH(G1295,ActiveSchools!$F$2:$F$326,0),1),"Total")</f>
        <v>4203</v>
      </c>
      <c r="I1295" s="53">
        <v>2</v>
      </c>
      <c r="J1295" s="59">
        <f>_xlfn.IFNA(INDEX(DetailByDistrict[],MATCH($H1295,DetailByDistrict[Dist],0),MATCH(J$2,DetailByDistrict[#Headers],0)),0)</f>
        <v>7</v>
      </c>
      <c r="K1295" s="54">
        <f t="shared" si="20"/>
        <v>0.2857142857142857</v>
      </c>
      <c r="L1295" s="59">
        <f>ROUNDDOWN(INDEX(DetailByDistrict[],MATCH($H1295,DetailByDistrict[Dist],0),MATCH(L$2,DetailByDistrict[#Headers],0))*K1295,2)</f>
        <v>130</v>
      </c>
      <c r="M1295" s="59">
        <f>ROUNDDOWN(INDEX(DetailByDistrict[],MATCH($H1295,DetailByDistrict[Dist],0),MATCH(M$2,DetailByDistrict[#Headers],0))*K1295,2)</f>
        <v>142.85</v>
      </c>
      <c r="N1295" s="78"/>
      <c r="O1295" s="78"/>
      <c r="P1295" s="78"/>
      <c r="Q1295" s="78"/>
      <c r="R1295" s="78"/>
      <c r="S1295" s="78"/>
      <c r="T1295" s="78"/>
      <c r="U1295" s="78"/>
      <c r="V1295" s="78"/>
      <c r="W1295" s="78"/>
      <c r="X1295" s="78"/>
      <c r="Y1295" s="78"/>
      <c r="Z1295" s="78"/>
    </row>
    <row r="1296" spans="1:26" ht="15.75" customHeight="1" x14ac:dyDescent="0.25">
      <c r="A1296" s="53">
        <v>15</v>
      </c>
      <c r="B1296" s="54" t="s">
        <v>1236</v>
      </c>
      <c r="C1296" s="54" t="s">
        <v>857</v>
      </c>
      <c r="D1296" s="53">
        <v>2322</v>
      </c>
      <c r="E1296" s="53">
        <v>8105</v>
      </c>
      <c r="F1296" s="54" t="s">
        <v>1243</v>
      </c>
      <c r="G1296" s="53" t="s">
        <v>327</v>
      </c>
      <c r="H1296" s="58" t="str">
        <f>_xlfn.IFNA(INDEX(ActiveSchools!$C$2:$F$326,MATCH(G1296,ActiveSchools!$F$2:$F$326,0),1),"Total")</f>
        <v>4689</v>
      </c>
      <c r="I1296" s="53">
        <v>2</v>
      </c>
      <c r="J1296" s="59">
        <f>_xlfn.IFNA(INDEX(DetailByDistrict[],MATCH($H1296,DetailByDistrict[Dist],0),MATCH(J$2,DetailByDistrict[#Headers],0)),0)</f>
        <v>11</v>
      </c>
      <c r="K1296" s="54">
        <f t="shared" si="20"/>
        <v>0.18181818181818182</v>
      </c>
      <c r="L1296" s="59">
        <f>ROUNDDOWN(INDEX(DetailByDistrict[],MATCH($H1296,DetailByDistrict[Dist],0),MATCH(L$2,DetailByDistrict[#Headers],0))*K1296,2)</f>
        <v>130</v>
      </c>
      <c r="M1296" s="59">
        <f>ROUNDDOWN(INDEX(DetailByDistrict[],MATCH($H1296,DetailByDistrict[Dist],0),MATCH(M$2,DetailByDistrict[#Headers],0))*K1296,2)</f>
        <v>142.9</v>
      </c>
      <c r="N1296" s="78"/>
      <c r="O1296" s="78"/>
      <c r="P1296" s="78"/>
      <c r="Q1296" s="78"/>
      <c r="R1296" s="78"/>
      <c r="S1296" s="78"/>
      <c r="T1296" s="78"/>
      <c r="U1296" s="78"/>
      <c r="V1296" s="78"/>
      <c r="W1296" s="78"/>
      <c r="X1296" s="78"/>
      <c r="Y1296" s="78"/>
      <c r="Z1296" s="78"/>
    </row>
    <row r="1297" spans="1:26" ht="15.75" customHeight="1" x14ac:dyDescent="0.25">
      <c r="A1297" s="53">
        <v>15</v>
      </c>
      <c r="B1297" s="54" t="s">
        <v>1236</v>
      </c>
      <c r="C1297" s="54" t="s">
        <v>858</v>
      </c>
      <c r="D1297" s="53">
        <v>2322</v>
      </c>
      <c r="E1297" s="53">
        <v>8602</v>
      </c>
      <c r="F1297" s="54" t="s">
        <v>1237</v>
      </c>
      <c r="G1297" s="57" t="s">
        <v>310</v>
      </c>
      <c r="H1297" s="58" t="str">
        <f>_xlfn.IFNA(INDEX(ActiveSchools!$C$2:$F$326,MATCH(G1297,ActiveSchools!$F$2:$F$326,0),1),"Total")</f>
        <v>0882</v>
      </c>
      <c r="I1297" s="53">
        <v>1</v>
      </c>
      <c r="J1297" s="59">
        <f>_xlfn.IFNA(INDEX(DetailByDistrict[],MATCH($H1297,DetailByDistrict[Dist],0),MATCH(J$2,DetailByDistrict[#Headers],0)),0)</f>
        <v>321</v>
      </c>
      <c r="K1297" s="54">
        <f t="shared" si="20"/>
        <v>3.1152647975077881E-3</v>
      </c>
      <c r="L1297" s="59">
        <f>ROUNDDOWN(INDEX(DetailByDistrict[],MATCH($H1297,DetailByDistrict[Dist],0),MATCH(L$2,DetailByDistrict[#Headers],0))*K1297,2)</f>
        <v>64.95</v>
      </c>
      <c r="M1297" s="59">
        <f>ROUNDDOWN(INDEX(DetailByDistrict[],MATCH($H1297,DetailByDistrict[Dist],0),MATCH(M$2,DetailByDistrict[#Headers],0))*K1297,2)</f>
        <v>71.42</v>
      </c>
      <c r="N1297" s="78"/>
      <c r="O1297" s="78"/>
      <c r="P1297" s="78"/>
      <c r="Q1297" s="78"/>
      <c r="R1297" s="78"/>
      <c r="S1297" s="78"/>
      <c r="T1297" s="78"/>
      <c r="U1297" s="78"/>
      <c r="V1297" s="78"/>
      <c r="W1297" s="78"/>
      <c r="X1297" s="78"/>
      <c r="Y1297" s="78"/>
      <c r="Z1297" s="78"/>
    </row>
    <row r="1298" spans="1:26" ht="15.75" customHeight="1" x14ac:dyDescent="0.25">
      <c r="A1298" s="53">
        <v>15</v>
      </c>
      <c r="B1298" s="54" t="s">
        <v>1236</v>
      </c>
      <c r="C1298" s="54" t="s">
        <v>858</v>
      </c>
      <c r="D1298" s="53">
        <v>2322</v>
      </c>
      <c r="E1298" s="53">
        <v>8602</v>
      </c>
      <c r="F1298" s="54" t="s">
        <v>1249</v>
      </c>
      <c r="G1298" s="53" t="s">
        <v>313</v>
      </c>
      <c r="H1298" s="58" t="str">
        <f>_xlfn.IFNA(INDEX(ActiveSchools!$C$2:$F$326,MATCH(G1298,ActiveSchools!$F$2:$F$326,0),1),"Total")</f>
        <v>1079</v>
      </c>
      <c r="I1298" s="53">
        <v>9</v>
      </c>
      <c r="J1298" s="59">
        <f>_xlfn.IFNA(INDEX(DetailByDistrict[],MATCH($H1298,DetailByDistrict[Dist],0),MATCH(J$2,DetailByDistrict[#Headers],0)),0)</f>
        <v>22</v>
      </c>
      <c r="K1298" s="54">
        <f t="shared" si="20"/>
        <v>0.40909090909090912</v>
      </c>
      <c r="L1298" s="59">
        <f>ROUNDDOWN(INDEX(DetailByDistrict[],MATCH($H1298,DetailByDistrict[Dist],0),MATCH(L$2,DetailByDistrict[#Headers],0))*K1298,2)</f>
        <v>584.59</v>
      </c>
      <c r="M1298" s="59">
        <f>ROUNDDOWN(INDEX(DetailByDistrict[],MATCH($H1298,DetailByDistrict[Dist],0),MATCH(M$2,DetailByDistrict[#Headers],0))*K1298,2)</f>
        <v>642.67999999999995</v>
      </c>
      <c r="N1298" s="78"/>
      <c r="O1298" s="78"/>
      <c r="P1298" s="78"/>
      <c r="Q1298" s="78"/>
      <c r="R1298" s="78"/>
      <c r="S1298" s="78"/>
      <c r="T1298" s="78"/>
      <c r="U1298" s="78"/>
      <c r="V1298" s="78"/>
      <c r="W1298" s="78"/>
      <c r="X1298" s="78"/>
      <c r="Y1298" s="78"/>
      <c r="Z1298" s="78"/>
    </row>
    <row r="1299" spans="1:26" ht="15.75" customHeight="1" x14ac:dyDescent="0.25">
      <c r="A1299" s="53">
        <v>15</v>
      </c>
      <c r="B1299" s="54" t="s">
        <v>1236</v>
      </c>
      <c r="C1299" s="54" t="s">
        <v>858</v>
      </c>
      <c r="D1299" s="53">
        <v>2322</v>
      </c>
      <c r="E1299" s="53">
        <v>8602</v>
      </c>
      <c r="F1299" s="54" t="s">
        <v>1239</v>
      </c>
      <c r="G1299" s="53" t="s">
        <v>319</v>
      </c>
      <c r="H1299" s="58" t="str">
        <f>_xlfn.IFNA(INDEX(ActiveSchools!$C$2:$F$326,MATCH(G1299,ActiveSchools!$F$2:$F$326,0),1),"Total")</f>
        <v>2322</v>
      </c>
      <c r="I1299" s="53">
        <v>161</v>
      </c>
      <c r="J1299" s="59">
        <f>_xlfn.IFNA(INDEX(DetailByDistrict[],MATCH($H1299,DetailByDistrict[Dist],0),MATCH(J$2,DetailByDistrict[#Headers],0)),0)</f>
        <v>298</v>
      </c>
      <c r="K1299" s="54">
        <f t="shared" si="20"/>
        <v>0.54026845637583898</v>
      </c>
      <c r="L1299" s="59">
        <f>ROUNDDOWN(INDEX(DetailByDistrict[],MATCH($H1299,DetailByDistrict[Dist],0),MATCH(L$2,DetailByDistrict[#Headers],0))*K1299,2)</f>
        <v>10458.51</v>
      </c>
      <c r="M1299" s="59">
        <f>ROUNDDOWN(INDEX(DetailByDistrict[],MATCH($H1299,DetailByDistrict[Dist],0),MATCH(M$2,DetailByDistrict[#Headers],0))*K1299,2)</f>
        <v>11500.15</v>
      </c>
      <c r="N1299" s="78"/>
      <c r="O1299" s="78"/>
      <c r="P1299" s="78"/>
      <c r="Q1299" s="78"/>
      <c r="R1299" s="78"/>
      <c r="S1299" s="78"/>
      <c r="T1299" s="78"/>
      <c r="U1299" s="78"/>
      <c r="V1299" s="78"/>
      <c r="W1299" s="78"/>
      <c r="X1299" s="78"/>
      <c r="Y1299" s="78"/>
      <c r="Z1299" s="78"/>
    </row>
    <row r="1300" spans="1:26" ht="15.75" customHeight="1" x14ac:dyDescent="0.25">
      <c r="A1300" s="53">
        <v>15</v>
      </c>
      <c r="B1300" s="54" t="s">
        <v>1236</v>
      </c>
      <c r="C1300" s="54" t="s">
        <v>858</v>
      </c>
      <c r="D1300" s="53">
        <v>2322</v>
      </c>
      <c r="E1300" s="53">
        <v>8602</v>
      </c>
      <c r="F1300" s="54" t="s">
        <v>1240</v>
      </c>
      <c r="G1300" s="53" t="s">
        <v>320</v>
      </c>
      <c r="H1300" s="58" t="str">
        <f>_xlfn.IFNA(INDEX(ActiveSchools!$C$2:$F$326,MATCH(G1300,ActiveSchools!$F$2:$F$326,0),1),"Total")</f>
        <v>3312</v>
      </c>
      <c r="I1300" s="53">
        <v>1</v>
      </c>
      <c r="J1300" s="59">
        <f>_xlfn.IFNA(INDEX(DetailByDistrict[],MATCH($H1300,DetailByDistrict[Dist],0),MATCH(J$2,DetailByDistrict[#Headers],0)),0)</f>
        <v>104</v>
      </c>
      <c r="K1300" s="54">
        <f t="shared" si="20"/>
        <v>9.6153846153846159E-3</v>
      </c>
      <c r="L1300" s="59">
        <f>ROUNDDOWN(INDEX(DetailByDistrict[],MATCH($H1300,DetailByDistrict[Dist],0),MATCH(L$2,DetailByDistrict[#Headers],0))*K1300,2)</f>
        <v>64.959999999999994</v>
      </c>
      <c r="M1300" s="59">
        <f>ROUNDDOWN(INDEX(DetailByDistrict[],MATCH($H1300,DetailByDistrict[Dist],0),MATCH(M$2,DetailByDistrict[#Headers],0))*K1300,2)</f>
        <v>71.430000000000007</v>
      </c>
      <c r="N1300" s="78"/>
      <c r="O1300" s="78"/>
      <c r="P1300" s="78"/>
      <c r="Q1300" s="78"/>
      <c r="R1300" s="78"/>
      <c r="S1300" s="78"/>
      <c r="T1300" s="78"/>
      <c r="U1300" s="78"/>
      <c r="V1300" s="78"/>
      <c r="W1300" s="78"/>
      <c r="X1300" s="78"/>
      <c r="Y1300" s="78"/>
      <c r="Z1300" s="78"/>
    </row>
    <row r="1301" spans="1:26" ht="15.75" customHeight="1" x14ac:dyDescent="0.25">
      <c r="A1301" s="53">
        <v>15</v>
      </c>
      <c r="B1301" s="54" t="s">
        <v>1236</v>
      </c>
      <c r="C1301" s="54" t="s">
        <v>858</v>
      </c>
      <c r="D1301" s="53">
        <v>2322</v>
      </c>
      <c r="E1301" s="53">
        <v>8602</v>
      </c>
      <c r="F1301" s="54" t="s">
        <v>1242</v>
      </c>
      <c r="G1301" s="53" t="s">
        <v>326</v>
      </c>
      <c r="H1301" s="58" t="str">
        <f>_xlfn.IFNA(INDEX(ActiveSchools!$C$2:$F$326,MATCH(G1301,ActiveSchools!$F$2:$F$326,0),1),"Total")</f>
        <v>4536</v>
      </c>
      <c r="I1301" s="53">
        <v>4</v>
      </c>
      <c r="J1301" s="59">
        <f>_xlfn.IFNA(INDEX(DetailByDistrict[],MATCH($H1301,DetailByDistrict[Dist],0),MATCH(J$2,DetailByDistrict[#Headers],0)),0)</f>
        <v>7</v>
      </c>
      <c r="K1301" s="54">
        <f t="shared" si="20"/>
        <v>0.5714285714285714</v>
      </c>
      <c r="L1301" s="59">
        <f>ROUNDDOWN(INDEX(DetailByDistrict[],MATCH($H1301,DetailByDistrict[Dist],0),MATCH(L$2,DetailByDistrict[#Headers],0))*K1301,2)</f>
        <v>260</v>
      </c>
      <c r="M1301" s="59">
        <f>ROUNDDOWN(INDEX(DetailByDistrict[],MATCH($H1301,DetailByDistrict[Dist],0),MATCH(M$2,DetailByDistrict[#Headers],0))*K1301,2)</f>
        <v>285.70999999999998</v>
      </c>
      <c r="N1301" s="78"/>
      <c r="O1301" s="78"/>
      <c r="P1301" s="78"/>
      <c r="Q1301" s="78"/>
      <c r="R1301" s="78"/>
      <c r="S1301" s="78"/>
      <c r="T1301" s="78"/>
      <c r="U1301" s="78"/>
      <c r="V1301" s="78"/>
      <c r="W1301" s="78"/>
      <c r="X1301" s="78"/>
      <c r="Y1301" s="78"/>
      <c r="Z1301" s="78"/>
    </row>
    <row r="1302" spans="1:26" ht="15.75" customHeight="1" x14ac:dyDescent="0.25">
      <c r="A1302" s="53">
        <v>15</v>
      </c>
      <c r="B1302" s="54" t="s">
        <v>1236</v>
      </c>
      <c r="C1302" s="54" t="s">
        <v>858</v>
      </c>
      <c r="D1302" s="53">
        <v>2322</v>
      </c>
      <c r="E1302" s="53">
        <v>8602</v>
      </c>
      <c r="F1302" s="54" t="s">
        <v>1244</v>
      </c>
      <c r="G1302" s="53" t="s">
        <v>335</v>
      </c>
      <c r="H1302" s="58" t="str">
        <f>_xlfn.IFNA(INDEX(ActiveSchools!$C$2:$F$326,MATCH(G1302,ActiveSchools!$F$2:$F$326,0),1),"Total")</f>
        <v>6592</v>
      </c>
      <c r="I1302" s="53">
        <v>1</v>
      </c>
      <c r="J1302" s="59">
        <f>_xlfn.IFNA(INDEX(DetailByDistrict[],MATCH($H1302,DetailByDistrict[Dist],0),MATCH(J$2,DetailByDistrict[#Headers],0)),0)</f>
        <v>8</v>
      </c>
      <c r="K1302" s="54">
        <f t="shared" si="20"/>
        <v>0.125</v>
      </c>
      <c r="L1302" s="59">
        <f>ROUNDDOWN(INDEX(DetailByDistrict[],MATCH($H1302,DetailByDistrict[Dist],0),MATCH(L$2,DetailByDistrict[#Headers],0))*K1302,2)</f>
        <v>65</v>
      </c>
      <c r="M1302" s="59">
        <f>ROUNDDOWN(INDEX(DetailByDistrict[],MATCH($H1302,DetailByDistrict[Dist],0),MATCH(M$2,DetailByDistrict[#Headers],0))*K1302,2)</f>
        <v>71.37</v>
      </c>
      <c r="N1302" s="78"/>
      <c r="O1302" s="78"/>
      <c r="P1302" s="78"/>
      <c r="Q1302" s="78"/>
      <c r="R1302" s="78"/>
      <c r="S1302" s="78"/>
      <c r="T1302" s="78"/>
      <c r="U1302" s="78"/>
      <c r="V1302" s="78"/>
      <c r="W1302" s="78"/>
      <c r="X1302" s="78"/>
      <c r="Y1302" s="78"/>
      <c r="Z1302" s="78"/>
    </row>
    <row r="1303" spans="1:26" ht="15.75" customHeight="1" x14ac:dyDescent="0.25">
      <c r="A1303" s="53">
        <v>15</v>
      </c>
      <c r="B1303" s="54" t="s">
        <v>1236</v>
      </c>
      <c r="C1303" s="54" t="s">
        <v>866</v>
      </c>
      <c r="D1303" s="53">
        <v>3114</v>
      </c>
      <c r="E1303" s="53">
        <v>8102</v>
      </c>
      <c r="F1303" s="54" t="s">
        <v>1250</v>
      </c>
      <c r="G1303" s="53" t="s">
        <v>314</v>
      </c>
      <c r="H1303" s="58" t="str">
        <f>_xlfn.IFNA(INDEX(ActiveSchools!$C$2:$F$326,MATCH(G1303,ActiveSchools!$F$2:$F$326,0),1),"Total")</f>
        <v>1107</v>
      </c>
      <c r="I1303" s="53">
        <v>3</v>
      </c>
      <c r="J1303" s="59">
        <f>_xlfn.IFNA(INDEX(DetailByDistrict[],MATCH($H1303,DetailByDistrict[Dist],0),MATCH(J$2,DetailByDistrict[#Headers],0)),0)</f>
        <v>8</v>
      </c>
      <c r="K1303" s="54">
        <f t="shared" si="20"/>
        <v>0.375</v>
      </c>
      <c r="L1303" s="59">
        <f>ROUNDDOWN(INDEX(DetailByDistrict[],MATCH($H1303,DetailByDistrict[Dist],0),MATCH(L$2,DetailByDistrict[#Headers],0))*K1303,2)</f>
        <v>195</v>
      </c>
      <c r="M1303" s="59">
        <f>ROUNDDOWN(INDEX(DetailByDistrict[],MATCH($H1303,DetailByDistrict[Dist],0),MATCH(M$2,DetailByDistrict[#Headers],0))*K1303,2)</f>
        <v>214.12</v>
      </c>
      <c r="N1303" s="78"/>
      <c r="O1303" s="78"/>
      <c r="P1303" s="78"/>
      <c r="Q1303" s="78"/>
      <c r="R1303" s="78"/>
      <c r="S1303" s="78"/>
      <c r="T1303" s="78"/>
      <c r="U1303" s="78"/>
      <c r="V1303" s="78"/>
      <c r="W1303" s="78"/>
      <c r="X1303" s="78"/>
      <c r="Y1303" s="78"/>
      <c r="Z1303" s="78"/>
    </row>
    <row r="1304" spans="1:26" ht="15.75" customHeight="1" x14ac:dyDescent="0.25">
      <c r="A1304" s="53">
        <v>15</v>
      </c>
      <c r="B1304" s="54" t="s">
        <v>1236</v>
      </c>
      <c r="C1304" s="54" t="s">
        <v>879</v>
      </c>
      <c r="D1304" s="53">
        <v>3312</v>
      </c>
      <c r="E1304" s="53">
        <v>8115</v>
      </c>
      <c r="F1304" s="54" t="s">
        <v>1249</v>
      </c>
      <c r="G1304" s="53" t="s">
        <v>313</v>
      </c>
      <c r="H1304" s="58" t="str">
        <f>_xlfn.IFNA(INDEX(ActiveSchools!$C$2:$F$326,MATCH(G1304,ActiveSchools!$F$2:$F$326,0),1),"Total")</f>
        <v>1079</v>
      </c>
      <c r="I1304" s="53">
        <v>1</v>
      </c>
      <c r="J1304" s="59">
        <f>_xlfn.IFNA(INDEX(DetailByDistrict[],MATCH($H1304,DetailByDistrict[Dist],0),MATCH(J$2,DetailByDistrict[#Headers],0)),0)</f>
        <v>22</v>
      </c>
      <c r="K1304" s="54">
        <f t="shared" si="20"/>
        <v>4.5454545454545456E-2</v>
      </c>
      <c r="L1304" s="59">
        <f>ROUNDDOWN(INDEX(DetailByDistrict[],MATCH($H1304,DetailByDistrict[Dist],0),MATCH(L$2,DetailByDistrict[#Headers],0))*K1304,2)</f>
        <v>64.95</v>
      </c>
      <c r="M1304" s="59">
        <f>ROUNDDOWN(INDEX(DetailByDistrict[],MATCH($H1304,DetailByDistrict[Dist],0),MATCH(M$2,DetailByDistrict[#Headers],0))*K1304,2)</f>
        <v>71.400000000000006</v>
      </c>
      <c r="N1304" s="78"/>
      <c r="O1304" s="78"/>
      <c r="P1304" s="78"/>
      <c r="Q1304" s="78"/>
      <c r="R1304" s="78"/>
      <c r="S1304" s="78"/>
      <c r="T1304" s="78"/>
      <c r="U1304" s="78"/>
      <c r="V1304" s="78"/>
      <c r="W1304" s="78"/>
      <c r="X1304" s="78"/>
      <c r="Y1304" s="78"/>
      <c r="Z1304" s="78"/>
    </row>
    <row r="1305" spans="1:26" ht="15.75" customHeight="1" x14ac:dyDescent="0.25">
      <c r="A1305" s="53">
        <v>15</v>
      </c>
      <c r="B1305" s="54" t="s">
        <v>1236</v>
      </c>
      <c r="C1305" s="54" t="s">
        <v>879</v>
      </c>
      <c r="D1305" s="53">
        <v>3312</v>
      </c>
      <c r="E1305" s="53">
        <v>8115</v>
      </c>
      <c r="F1305" s="54" t="s">
        <v>1240</v>
      </c>
      <c r="G1305" s="53" t="s">
        <v>320</v>
      </c>
      <c r="H1305" s="58" t="str">
        <f>_xlfn.IFNA(INDEX(ActiveSchools!$C$2:$F$326,MATCH(G1305,ActiveSchools!$F$2:$F$326,0),1),"Total")</f>
        <v>3312</v>
      </c>
      <c r="I1305" s="53">
        <v>60</v>
      </c>
      <c r="J1305" s="59">
        <f>_xlfn.IFNA(INDEX(DetailByDistrict[],MATCH($H1305,DetailByDistrict[Dist],0),MATCH(J$2,DetailByDistrict[#Headers],0)),0)</f>
        <v>104</v>
      </c>
      <c r="K1305" s="54">
        <f t="shared" si="20"/>
        <v>0.57692307692307687</v>
      </c>
      <c r="L1305" s="59">
        <f>ROUNDDOWN(INDEX(DetailByDistrict[],MATCH($H1305,DetailByDistrict[Dist],0),MATCH(L$2,DetailByDistrict[#Headers],0))*K1305,2)</f>
        <v>3897.69</v>
      </c>
      <c r="M1305" s="59">
        <f>ROUNDDOWN(INDEX(DetailByDistrict[],MATCH($H1305,DetailByDistrict[Dist],0),MATCH(M$2,DetailByDistrict[#Headers],0))*K1305,2)</f>
        <v>4285.96</v>
      </c>
      <c r="N1305" s="78"/>
      <c r="O1305" s="78"/>
      <c r="P1305" s="78"/>
      <c r="Q1305" s="78"/>
      <c r="R1305" s="78"/>
      <c r="S1305" s="78"/>
      <c r="T1305" s="78"/>
      <c r="U1305" s="78"/>
      <c r="V1305" s="78"/>
      <c r="W1305" s="78"/>
      <c r="X1305" s="78"/>
      <c r="Y1305" s="78"/>
      <c r="Z1305" s="78"/>
    </row>
    <row r="1306" spans="1:26" ht="15.75" customHeight="1" x14ac:dyDescent="0.25">
      <c r="A1306" s="53">
        <v>15</v>
      </c>
      <c r="B1306" s="54" t="s">
        <v>1236</v>
      </c>
      <c r="C1306" s="54" t="s">
        <v>880</v>
      </c>
      <c r="D1306" s="53">
        <v>3312</v>
      </c>
      <c r="E1306" s="53">
        <v>8165</v>
      </c>
      <c r="F1306" s="54" t="s">
        <v>1249</v>
      </c>
      <c r="G1306" s="53" t="s">
        <v>313</v>
      </c>
      <c r="H1306" s="58" t="str">
        <f>_xlfn.IFNA(INDEX(ActiveSchools!$C$2:$F$326,MATCH(G1306,ActiveSchools!$F$2:$F$326,0),1),"Total")</f>
        <v>1079</v>
      </c>
      <c r="I1306" s="53">
        <v>6</v>
      </c>
      <c r="J1306" s="59">
        <f>_xlfn.IFNA(INDEX(DetailByDistrict[],MATCH($H1306,DetailByDistrict[Dist],0),MATCH(J$2,DetailByDistrict[#Headers],0)),0)</f>
        <v>22</v>
      </c>
      <c r="K1306" s="54">
        <f t="shared" si="20"/>
        <v>0.27272727272727271</v>
      </c>
      <c r="L1306" s="59">
        <f>ROUNDDOWN(INDEX(DetailByDistrict[],MATCH($H1306,DetailByDistrict[Dist],0),MATCH(L$2,DetailByDistrict[#Headers],0))*K1306,2)</f>
        <v>389.72</v>
      </c>
      <c r="M1306" s="59">
        <f>ROUNDDOWN(INDEX(DetailByDistrict[],MATCH($H1306,DetailByDistrict[Dist],0),MATCH(M$2,DetailByDistrict[#Headers],0))*K1306,2)</f>
        <v>428.45</v>
      </c>
      <c r="N1306" s="78"/>
      <c r="O1306" s="78"/>
      <c r="P1306" s="78"/>
      <c r="Q1306" s="78"/>
      <c r="R1306" s="78"/>
      <c r="S1306" s="78"/>
      <c r="T1306" s="78"/>
      <c r="U1306" s="78"/>
      <c r="V1306" s="78"/>
      <c r="W1306" s="78"/>
      <c r="X1306" s="78"/>
      <c r="Y1306" s="78"/>
      <c r="Z1306" s="78"/>
    </row>
    <row r="1307" spans="1:26" ht="15.75" customHeight="1" x14ac:dyDescent="0.25">
      <c r="A1307" s="53">
        <v>15</v>
      </c>
      <c r="B1307" s="54" t="s">
        <v>1236</v>
      </c>
      <c r="C1307" s="54" t="s">
        <v>880</v>
      </c>
      <c r="D1307" s="53">
        <v>3312</v>
      </c>
      <c r="E1307" s="53">
        <v>8165</v>
      </c>
      <c r="F1307" s="54" t="s">
        <v>1239</v>
      </c>
      <c r="G1307" s="53" t="s">
        <v>319</v>
      </c>
      <c r="H1307" s="58" t="str">
        <f>_xlfn.IFNA(INDEX(ActiveSchools!$C$2:$F$326,MATCH(G1307,ActiveSchools!$F$2:$F$326,0),1),"Total")</f>
        <v>2322</v>
      </c>
      <c r="I1307" s="53">
        <v>1</v>
      </c>
      <c r="J1307" s="59">
        <f>_xlfn.IFNA(INDEX(DetailByDistrict[],MATCH($H1307,DetailByDistrict[Dist],0),MATCH(J$2,DetailByDistrict[#Headers],0)),0)</f>
        <v>298</v>
      </c>
      <c r="K1307" s="54">
        <f t="shared" si="20"/>
        <v>3.3557046979865771E-3</v>
      </c>
      <c r="L1307" s="59">
        <f>ROUNDDOWN(INDEX(DetailByDistrict[],MATCH($H1307,DetailByDistrict[Dist],0),MATCH(L$2,DetailByDistrict[#Headers],0))*K1307,2)</f>
        <v>64.95</v>
      </c>
      <c r="M1307" s="59">
        <f>ROUNDDOWN(INDEX(DetailByDistrict[],MATCH($H1307,DetailByDistrict[Dist],0),MATCH(M$2,DetailByDistrict[#Headers],0))*K1307,2)</f>
        <v>71.42</v>
      </c>
      <c r="N1307" s="78"/>
      <c r="O1307" s="78"/>
      <c r="P1307" s="78"/>
      <c r="Q1307" s="78"/>
      <c r="R1307" s="78"/>
      <c r="S1307" s="78"/>
      <c r="T1307" s="78"/>
      <c r="U1307" s="78"/>
      <c r="V1307" s="78"/>
      <c r="W1307" s="78"/>
      <c r="X1307" s="78"/>
      <c r="Y1307" s="78"/>
      <c r="Z1307" s="78"/>
    </row>
    <row r="1308" spans="1:26" ht="15.75" customHeight="1" x14ac:dyDescent="0.25">
      <c r="A1308" s="53">
        <v>15</v>
      </c>
      <c r="B1308" s="54" t="s">
        <v>1236</v>
      </c>
      <c r="C1308" s="54" t="s">
        <v>880</v>
      </c>
      <c r="D1308" s="53">
        <v>3312</v>
      </c>
      <c r="E1308" s="53">
        <v>8165</v>
      </c>
      <c r="F1308" s="54" t="s">
        <v>1240</v>
      </c>
      <c r="G1308" s="53" t="s">
        <v>320</v>
      </c>
      <c r="H1308" s="58" t="str">
        <f>_xlfn.IFNA(INDEX(ActiveSchools!$C$2:$F$326,MATCH(G1308,ActiveSchools!$F$2:$F$326,0),1),"Total")</f>
        <v>3312</v>
      </c>
      <c r="I1308" s="53">
        <v>40</v>
      </c>
      <c r="J1308" s="59">
        <f>_xlfn.IFNA(INDEX(DetailByDistrict[],MATCH($H1308,DetailByDistrict[Dist],0),MATCH(J$2,DetailByDistrict[#Headers],0)),0)</f>
        <v>104</v>
      </c>
      <c r="K1308" s="54">
        <f t="shared" si="20"/>
        <v>0.38461538461538464</v>
      </c>
      <c r="L1308" s="59">
        <f>ROUNDDOWN(INDEX(DetailByDistrict[],MATCH($H1308,DetailByDistrict[Dist],0),MATCH(L$2,DetailByDistrict[#Headers],0))*K1308,2)</f>
        <v>2598.46</v>
      </c>
      <c r="M1308" s="59">
        <f>ROUNDDOWN(INDEX(DetailByDistrict[],MATCH($H1308,DetailByDistrict[Dist],0),MATCH(M$2,DetailByDistrict[#Headers],0))*K1308,2)</f>
        <v>2857.3</v>
      </c>
      <c r="N1308" s="78"/>
      <c r="O1308" s="78"/>
      <c r="P1308" s="78"/>
      <c r="Q1308" s="78"/>
      <c r="R1308" s="78"/>
      <c r="S1308" s="78"/>
      <c r="T1308" s="78"/>
      <c r="U1308" s="78"/>
      <c r="V1308" s="78"/>
      <c r="W1308" s="78"/>
      <c r="X1308" s="78"/>
      <c r="Y1308" s="78"/>
      <c r="Z1308" s="78"/>
    </row>
    <row r="1309" spans="1:26" ht="15.75" customHeight="1" x14ac:dyDescent="0.25">
      <c r="A1309" s="53">
        <v>15</v>
      </c>
      <c r="B1309" s="54" t="s">
        <v>1236</v>
      </c>
      <c r="C1309" s="54" t="s">
        <v>896</v>
      </c>
      <c r="D1309" s="53">
        <v>4271</v>
      </c>
      <c r="E1309" s="53">
        <v>8506</v>
      </c>
      <c r="F1309" s="54" t="s">
        <v>1251</v>
      </c>
      <c r="G1309" s="53" t="s">
        <v>321</v>
      </c>
      <c r="H1309" s="58" t="str">
        <f>_xlfn.IFNA(INDEX(ActiveSchools!$C$2:$F$326,MATCH(G1309,ActiveSchools!$F$2:$F$326,0),1),"Total")</f>
        <v>3330</v>
      </c>
      <c r="I1309" s="53">
        <v>3</v>
      </c>
      <c r="J1309" s="59">
        <f>_xlfn.IFNA(INDEX(DetailByDistrict[],MATCH($H1309,DetailByDistrict[Dist],0),MATCH(J$2,DetailByDistrict[#Headers],0)),0)</f>
        <v>4</v>
      </c>
      <c r="K1309" s="54">
        <f t="shared" si="20"/>
        <v>0.75</v>
      </c>
      <c r="L1309" s="59">
        <f>ROUNDDOWN(INDEX(DetailByDistrict[],MATCH($H1309,DetailByDistrict[Dist],0),MATCH(L$2,DetailByDistrict[#Headers],0))*K1309,2)</f>
        <v>195</v>
      </c>
      <c r="M1309" s="59">
        <f>ROUNDDOWN(INDEX(DetailByDistrict[],MATCH($H1309,DetailByDistrict[Dist],0),MATCH(M$2,DetailByDistrict[#Headers],0))*K1309,2)</f>
        <v>214.5</v>
      </c>
      <c r="N1309" s="78"/>
      <c r="O1309" s="78"/>
      <c r="P1309" s="78"/>
      <c r="Q1309" s="78"/>
      <c r="R1309" s="78"/>
      <c r="S1309" s="78"/>
      <c r="T1309" s="78"/>
      <c r="U1309" s="78"/>
      <c r="V1309" s="78"/>
      <c r="W1309" s="78"/>
      <c r="X1309" s="78"/>
      <c r="Y1309" s="78"/>
      <c r="Z1309" s="78"/>
    </row>
    <row r="1310" spans="1:26" ht="15.75" customHeight="1" x14ac:dyDescent="0.25">
      <c r="A1310" s="53">
        <v>15</v>
      </c>
      <c r="B1310" s="54" t="s">
        <v>1236</v>
      </c>
      <c r="C1310" s="54" t="s">
        <v>903</v>
      </c>
      <c r="D1310" s="53">
        <v>4797</v>
      </c>
      <c r="E1310" s="53">
        <v>8121</v>
      </c>
      <c r="F1310" s="54" t="s">
        <v>1244</v>
      </c>
      <c r="G1310" s="53" t="s">
        <v>335</v>
      </c>
      <c r="H1310" s="58" t="str">
        <f>_xlfn.IFNA(INDEX(ActiveSchools!$C$2:$F$326,MATCH(G1310,ActiveSchools!$F$2:$F$326,0),1),"Total")</f>
        <v>6592</v>
      </c>
      <c r="I1310" s="53">
        <v>1</v>
      </c>
      <c r="J1310" s="59">
        <f>_xlfn.IFNA(INDEX(DetailByDistrict[],MATCH($H1310,DetailByDistrict[Dist],0),MATCH(J$2,DetailByDistrict[#Headers],0)),0)</f>
        <v>8</v>
      </c>
      <c r="K1310" s="54">
        <f t="shared" si="20"/>
        <v>0.125</v>
      </c>
      <c r="L1310" s="59">
        <f>ROUNDDOWN(INDEX(DetailByDistrict[],MATCH($H1310,DetailByDistrict[Dist],0),MATCH(L$2,DetailByDistrict[#Headers],0))*K1310,2)</f>
        <v>65</v>
      </c>
      <c r="M1310" s="59">
        <f>ROUNDDOWN(INDEX(DetailByDistrict[],MATCH($H1310,DetailByDistrict[Dist],0),MATCH(M$2,DetailByDistrict[#Headers],0))*K1310,2)</f>
        <v>71.37</v>
      </c>
      <c r="N1310" s="78"/>
      <c r="O1310" s="78"/>
      <c r="P1310" s="78"/>
      <c r="Q1310" s="78"/>
      <c r="R1310" s="78"/>
      <c r="S1310" s="78"/>
      <c r="T1310" s="78"/>
      <c r="U1310" s="78"/>
      <c r="V1310" s="78"/>
      <c r="W1310" s="78"/>
      <c r="X1310" s="78"/>
      <c r="Y1310" s="78"/>
      <c r="Z1310" s="78"/>
    </row>
    <row r="1311" spans="1:26" ht="15.75" customHeight="1" x14ac:dyDescent="0.25">
      <c r="A1311" s="53">
        <v>15</v>
      </c>
      <c r="B1311" s="54" t="s">
        <v>1236</v>
      </c>
      <c r="C1311" s="54" t="s">
        <v>904</v>
      </c>
      <c r="D1311" s="53">
        <v>5013</v>
      </c>
      <c r="E1311" s="53">
        <v>8301</v>
      </c>
      <c r="F1311" s="54" t="s">
        <v>1252</v>
      </c>
      <c r="G1311" s="57" t="s">
        <v>309</v>
      </c>
      <c r="H1311" s="58" t="str">
        <f>_xlfn.IFNA(INDEX(ActiveSchools!$C$2:$F$326,MATCH(G1311,ActiveSchools!$F$2:$F$326,0),1),"Total")</f>
        <v>0081</v>
      </c>
      <c r="I1311" s="53">
        <v>1</v>
      </c>
      <c r="J1311" s="59">
        <f>_xlfn.IFNA(INDEX(DetailByDistrict[],MATCH($H1311,DetailByDistrict[Dist],0),MATCH(J$2,DetailByDistrict[#Headers],0)),0)</f>
        <v>7</v>
      </c>
      <c r="K1311" s="54">
        <f t="shared" si="20"/>
        <v>0.14285714285714285</v>
      </c>
      <c r="L1311" s="59">
        <f>ROUNDDOWN(INDEX(DetailByDistrict[],MATCH($H1311,DetailByDistrict[Dist],0),MATCH(L$2,DetailByDistrict[#Headers],0))*K1311,2)</f>
        <v>65</v>
      </c>
      <c r="M1311" s="59">
        <f>ROUNDDOWN(INDEX(DetailByDistrict[],MATCH($H1311,DetailByDistrict[Dist],0),MATCH(M$2,DetailByDistrict[#Headers],0))*K1311,2)</f>
        <v>71.42</v>
      </c>
      <c r="N1311" s="78"/>
      <c r="O1311" s="78"/>
      <c r="P1311" s="78"/>
      <c r="Q1311" s="78"/>
      <c r="R1311" s="78"/>
      <c r="S1311" s="78"/>
      <c r="T1311" s="78"/>
      <c r="U1311" s="78"/>
      <c r="V1311" s="78"/>
      <c r="W1311" s="78"/>
      <c r="X1311" s="78"/>
      <c r="Y1311" s="78"/>
      <c r="Z1311" s="78"/>
    </row>
    <row r="1312" spans="1:26" ht="15.75" customHeight="1" x14ac:dyDescent="0.25">
      <c r="A1312" s="53">
        <v>15</v>
      </c>
      <c r="B1312" s="54" t="s">
        <v>1236</v>
      </c>
      <c r="C1312" s="54" t="s">
        <v>904</v>
      </c>
      <c r="D1312" s="53">
        <v>5013</v>
      </c>
      <c r="E1312" s="53">
        <v>8301</v>
      </c>
      <c r="F1312" s="54" t="s">
        <v>1253</v>
      </c>
      <c r="G1312" s="57" t="s">
        <v>317</v>
      </c>
      <c r="H1312" s="58" t="str">
        <f>_xlfn.IFNA(INDEX(ActiveSchools!$C$2:$F$326,MATCH(G1312,ActiveSchools!$F$2:$F$326,0),1),"Total")</f>
        <v>0657</v>
      </c>
      <c r="I1312" s="53">
        <v>7</v>
      </c>
      <c r="J1312" s="59">
        <f>_xlfn.IFNA(INDEX(DetailByDistrict[],MATCH($H1312,DetailByDistrict[Dist],0),MATCH(J$2,DetailByDistrict[#Headers],0)),0)</f>
        <v>18</v>
      </c>
      <c r="K1312" s="54">
        <f t="shared" si="20"/>
        <v>0.3888888888888889</v>
      </c>
      <c r="L1312" s="59">
        <f>ROUNDDOWN(INDEX(DetailByDistrict[],MATCH($H1312,DetailByDistrict[Dist],0),MATCH(L$2,DetailByDistrict[#Headers],0))*K1312,2)</f>
        <v>454.61</v>
      </c>
      <c r="M1312" s="59">
        <f>ROUNDDOWN(INDEX(DetailByDistrict[],MATCH($H1312,DetailByDistrict[Dist],0),MATCH(M$2,DetailByDistrict[#Headers],0))*K1312,2)</f>
        <v>500.11</v>
      </c>
      <c r="N1312" s="78"/>
      <c r="O1312" s="78"/>
      <c r="P1312" s="78"/>
      <c r="Q1312" s="78"/>
      <c r="R1312" s="78"/>
      <c r="S1312" s="78"/>
      <c r="T1312" s="78"/>
      <c r="U1312" s="78"/>
      <c r="V1312" s="78"/>
      <c r="W1312" s="78"/>
      <c r="X1312" s="78"/>
      <c r="Y1312" s="78"/>
      <c r="Z1312" s="78"/>
    </row>
    <row r="1313" spans="1:26" ht="15.75" customHeight="1" x14ac:dyDescent="0.25">
      <c r="A1313" s="53">
        <v>15</v>
      </c>
      <c r="B1313" s="54" t="s">
        <v>1236</v>
      </c>
      <c r="C1313" s="54" t="s">
        <v>904</v>
      </c>
      <c r="D1313" s="53">
        <v>5013</v>
      </c>
      <c r="E1313" s="53">
        <v>8301</v>
      </c>
      <c r="F1313" s="54" t="s">
        <v>1254</v>
      </c>
      <c r="G1313" s="53" t="s">
        <v>328</v>
      </c>
      <c r="H1313" s="58" t="str">
        <f>_xlfn.IFNA(INDEX(ActiveSchools!$C$2:$F$326,MATCH(G1313,ActiveSchools!$F$2:$F$326,0),1),"Total")</f>
        <v>4776</v>
      </c>
      <c r="I1313" s="53">
        <v>3</v>
      </c>
      <c r="J1313" s="59">
        <f>_xlfn.IFNA(INDEX(DetailByDistrict[],MATCH($H1313,DetailByDistrict[Dist],0),MATCH(J$2,DetailByDistrict[#Headers],0)),0)</f>
        <v>32</v>
      </c>
      <c r="K1313" s="54">
        <f t="shared" si="20"/>
        <v>9.375E-2</v>
      </c>
      <c r="L1313" s="59">
        <f>ROUNDDOWN(INDEX(DetailByDistrict[],MATCH($H1313,DetailByDistrict[Dist],0),MATCH(L$2,DetailByDistrict[#Headers],0))*K1313,2)</f>
        <v>194.9</v>
      </c>
      <c r="M1313" s="59">
        <f>ROUNDDOWN(INDEX(DetailByDistrict[],MATCH($H1313,DetailByDistrict[Dist],0),MATCH(M$2,DetailByDistrict[#Headers],0))*K1313,2)</f>
        <v>214.31</v>
      </c>
      <c r="N1313" s="78"/>
      <c r="O1313" s="78"/>
      <c r="P1313" s="78"/>
      <c r="Q1313" s="78"/>
      <c r="R1313" s="78"/>
      <c r="S1313" s="78"/>
      <c r="T1313" s="78"/>
      <c r="U1313" s="78"/>
      <c r="V1313" s="78"/>
      <c r="W1313" s="78"/>
      <c r="X1313" s="78"/>
      <c r="Y1313" s="78"/>
      <c r="Z1313" s="78"/>
    </row>
    <row r="1314" spans="1:26" ht="15.75" customHeight="1" x14ac:dyDescent="0.25">
      <c r="A1314" s="53">
        <v>15</v>
      </c>
      <c r="B1314" s="54" t="s">
        <v>1236</v>
      </c>
      <c r="C1314" s="54" t="s">
        <v>904</v>
      </c>
      <c r="D1314" s="53">
        <v>5013</v>
      </c>
      <c r="E1314" s="53">
        <v>8301</v>
      </c>
      <c r="F1314" s="54" t="s">
        <v>1255</v>
      </c>
      <c r="G1314" s="53" t="s">
        <v>329</v>
      </c>
      <c r="H1314" s="58" t="str">
        <f>_xlfn.IFNA(INDEX(ActiveSchools!$C$2:$F$326,MATCH(G1314,ActiveSchools!$F$2:$F$326,0),1),"Total")</f>
        <v>5013</v>
      </c>
      <c r="I1314" s="53">
        <v>152</v>
      </c>
      <c r="J1314" s="59">
        <f>_xlfn.IFNA(INDEX(DetailByDistrict[],MATCH($H1314,DetailByDistrict[Dist],0),MATCH(J$2,DetailByDistrict[#Headers],0)),0)</f>
        <v>193</v>
      </c>
      <c r="K1314" s="54">
        <f t="shared" si="20"/>
        <v>0.78756476683937826</v>
      </c>
      <c r="L1314" s="59">
        <f>ROUNDDOWN(INDEX(DetailByDistrict[],MATCH($H1314,DetailByDistrict[Dist],0),MATCH(L$2,DetailByDistrict[#Headers],0))*K1314,2)</f>
        <v>9873.69</v>
      </c>
      <c r="M1314" s="59">
        <f>ROUNDDOWN(INDEX(DetailByDistrict[],MATCH($H1314,DetailByDistrict[Dist],0),MATCH(M$2,DetailByDistrict[#Headers],0))*K1314,2)</f>
        <v>10857.36</v>
      </c>
      <c r="N1314" s="78"/>
      <c r="O1314" s="78"/>
      <c r="P1314" s="78"/>
      <c r="Q1314" s="78"/>
      <c r="R1314" s="78"/>
      <c r="S1314" s="78"/>
      <c r="T1314" s="78"/>
      <c r="U1314" s="78"/>
      <c r="V1314" s="78"/>
      <c r="W1314" s="78"/>
      <c r="X1314" s="78"/>
      <c r="Y1314" s="78"/>
      <c r="Z1314" s="78"/>
    </row>
    <row r="1315" spans="1:26" ht="15.75" customHeight="1" x14ac:dyDescent="0.25">
      <c r="A1315" s="53">
        <v>15</v>
      </c>
      <c r="B1315" s="54" t="s">
        <v>1236</v>
      </c>
      <c r="C1315" s="54" t="s">
        <v>904</v>
      </c>
      <c r="D1315" s="53">
        <v>5013</v>
      </c>
      <c r="E1315" s="53">
        <v>8301</v>
      </c>
      <c r="F1315" s="54" t="s">
        <v>1256</v>
      </c>
      <c r="G1315" s="53" t="s">
        <v>330</v>
      </c>
      <c r="H1315" s="58" t="str">
        <f>_xlfn.IFNA(INDEX(ActiveSchools!$C$2:$F$326,MATCH(G1315,ActiveSchools!$F$2:$F$326,0),1),"Total")</f>
        <v>5049</v>
      </c>
      <c r="I1315" s="53">
        <v>1</v>
      </c>
      <c r="J1315" s="59">
        <f>_xlfn.IFNA(INDEX(DetailByDistrict[],MATCH($H1315,DetailByDistrict[Dist],0),MATCH(J$2,DetailByDistrict[#Headers],0)),0)</f>
        <v>170</v>
      </c>
      <c r="K1315" s="54">
        <f t="shared" si="20"/>
        <v>5.8823529411764705E-3</v>
      </c>
      <c r="L1315" s="59">
        <f>ROUNDDOWN(INDEX(DetailByDistrict[],MATCH($H1315,DetailByDistrict[Dist],0),MATCH(L$2,DetailByDistrict[#Headers],0))*K1315,2)</f>
        <v>64.95</v>
      </c>
      <c r="M1315" s="59">
        <f>ROUNDDOWN(INDEX(DetailByDistrict[],MATCH($H1315,DetailByDistrict[Dist],0),MATCH(M$2,DetailByDistrict[#Headers],0))*K1315,2)</f>
        <v>71.42</v>
      </c>
      <c r="N1315" s="78"/>
      <c r="O1315" s="78"/>
      <c r="P1315" s="78"/>
      <c r="Q1315" s="78"/>
      <c r="R1315" s="78"/>
      <c r="S1315" s="78"/>
      <c r="T1315" s="78"/>
      <c r="U1315" s="78"/>
      <c r="V1315" s="78"/>
      <c r="W1315" s="78"/>
      <c r="X1315" s="78"/>
      <c r="Y1315" s="78"/>
      <c r="Z1315" s="78"/>
    </row>
    <row r="1316" spans="1:26" ht="15.75" customHeight="1" x14ac:dyDescent="0.25">
      <c r="A1316" s="53">
        <v>15</v>
      </c>
      <c r="B1316" s="54" t="s">
        <v>1236</v>
      </c>
      <c r="C1316" s="54" t="s">
        <v>904</v>
      </c>
      <c r="D1316" s="53">
        <v>5013</v>
      </c>
      <c r="E1316" s="53">
        <v>8301</v>
      </c>
      <c r="F1316" s="54" t="s">
        <v>1257</v>
      </c>
      <c r="G1316" s="53" t="s">
        <v>334</v>
      </c>
      <c r="H1316" s="58" t="str">
        <f>_xlfn.IFNA(INDEX(ActiveSchools!$C$2:$F$326,MATCH(G1316,ActiveSchools!$F$2:$F$326,0),1),"Total")</f>
        <v>6462</v>
      </c>
      <c r="I1316" s="53">
        <v>3</v>
      </c>
      <c r="J1316" s="59">
        <f>_xlfn.IFNA(INDEX(DetailByDistrict[],MATCH($H1316,DetailByDistrict[Dist],0),MATCH(J$2,DetailByDistrict[#Headers],0)),0)</f>
        <v>6</v>
      </c>
      <c r="K1316" s="54">
        <f t="shared" si="20"/>
        <v>0.5</v>
      </c>
      <c r="L1316" s="59">
        <f>ROUNDDOWN(INDEX(DetailByDistrict[],MATCH($H1316,DetailByDistrict[Dist],0),MATCH(L$2,DetailByDistrict[#Headers],0))*K1316,2)</f>
        <v>195</v>
      </c>
      <c r="M1316" s="59">
        <f>ROUNDDOWN(INDEX(DetailByDistrict[],MATCH($H1316,DetailByDistrict[Dist],0),MATCH(M$2,DetailByDistrict[#Headers],0))*K1316,2)</f>
        <v>214.5</v>
      </c>
      <c r="N1316" s="78"/>
      <c r="O1316" s="78"/>
      <c r="P1316" s="78"/>
      <c r="Q1316" s="78"/>
      <c r="R1316" s="78"/>
      <c r="S1316" s="78"/>
      <c r="T1316" s="78"/>
      <c r="U1316" s="78"/>
      <c r="V1316" s="78"/>
      <c r="W1316" s="78"/>
      <c r="X1316" s="78"/>
      <c r="Y1316" s="78"/>
      <c r="Z1316" s="78"/>
    </row>
    <row r="1317" spans="1:26" ht="15.75" customHeight="1" x14ac:dyDescent="0.25">
      <c r="A1317" s="53">
        <v>15</v>
      </c>
      <c r="B1317" s="54" t="s">
        <v>1236</v>
      </c>
      <c r="C1317" s="54" t="s">
        <v>905</v>
      </c>
      <c r="D1317" s="53">
        <v>5049</v>
      </c>
      <c r="E1317" s="53">
        <v>8101</v>
      </c>
      <c r="F1317" s="54" t="s">
        <v>1252</v>
      </c>
      <c r="G1317" s="57" t="s">
        <v>309</v>
      </c>
      <c r="H1317" s="58" t="str">
        <f>_xlfn.IFNA(INDEX(ActiveSchools!$C$2:$F$326,MATCH(G1317,ActiveSchools!$F$2:$F$326,0),1),"Total")</f>
        <v>0081</v>
      </c>
      <c r="I1317" s="53">
        <v>1</v>
      </c>
      <c r="J1317" s="59">
        <f>_xlfn.IFNA(INDEX(DetailByDistrict[],MATCH($H1317,DetailByDistrict[Dist],0),MATCH(J$2,DetailByDistrict[#Headers],0)),0)</f>
        <v>7</v>
      </c>
      <c r="K1317" s="54">
        <f t="shared" si="20"/>
        <v>0.14285714285714285</v>
      </c>
      <c r="L1317" s="59">
        <f>ROUNDDOWN(INDEX(DetailByDistrict[],MATCH($H1317,DetailByDistrict[Dist],0),MATCH(L$2,DetailByDistrict[#Headers],0))*K1317,2)</f>
        <v>65</v>
      </c>
      <c r="M1317" s="59">
        <f>ROUNDDOWN(INDEX(DetailByDistrict[],MATCH($H1317,DetailByDistrict[Dist],0),MATCH(M$2,DetailByDistrict[#Headers],0))*K1317,2)</f>
        <v>71.42</v>
      </c>
      <c r="N1317" s="78"/>
      <c r="O1317" s="78"/>
      <c r="P1317" s="78"/>
      <c r="Q1317" s="78"/>
      <c r="R1317" s="78"/>
      <c r="S1317" s="78"/>
      <c r="T1317" s="78"/>
      <c r="U1317" s="78"/>
      <c r="V1317" s="78"/>
      <c r="W1317" s="78"/>
      <c r="X1317" s="78"/>
      <c r="Y1317" s="78"/>
      <c r="Z1317" s="78"/>
    </row>
    <row r="1318" spans="1:26" ht="15.75" customHeight="1" x14ac:dyDescent="0.25">
      <c r="A1318" s="53">
        <v>15</v>
      </c>
      <c r="B1318" s="54" t="s">
        <v>1236</v>
      </c>
      <c r="C1318" s="54" t="s">
        <v>905</v>
      </c>
      <c r="D1318" s="53">
        <v>5049</v>
      </c>
      <c r="E1318" s="53">
        <v>8101</v>
      </c>
      <c r="F1318" s="54" t="s">
        <v>1253</v>
      </c>
      <c r="G1318" s="57" t="s">
        <v>317</v>
      </c>
      <c r="H1318" s="58" t="str">
        <f>_xlfn.IFNA(INDEX(ActiveSchools!$C$2:$F$326,MATCH(G1318,ActiveSchools!$F$2:$F$326,0),1),"Total")</f>
        <v>0657</v>
      </c>
      <c r="I1318" s="53">
        <v>1</v>
      </c>
      <c r="J1318" s="59">
        <f>_xlfn.IFNA(INDEX(DetailByDistrict[],MATCH($H1318,DetailByDistrict[Dist],0),MATCH(J$2,DetailByDistrict[#Headers],0)),0)</f>
        <v>18</v>
      </c>
      <c r="K1318" s="54">
        <f t="shared" si="20"/>
        <v>5.5555555555555552E-2</v>
      </c>
      <c r="L1318" s="59">
        <f>ROUNDDOWN(INDEX(DetailByDistrict[],MATCH($H1318,DetailByDistrict[Dist],0),MATCH(L$2,DetailByDistrict[#Headers],0))*K1318,2)</f>
        <v>64.94</v>
      </c>
      <c r="M1318" s="59">
        <f>ROUNDDOWN(INDEX(DetailByDistrict[],MATCH($H1318,DetailByDistrict[Dist],0),MATCH(M$2,DetailByDistrict[#Headers],0))*K1318,2)</f>
        <v>71.44</v>
      </c>
      <c r="N1318" s="78"/>
      <c r="O1318" s="78"/>
      <c r="P1318" s="78"/>
      <c r="Q1318" s="78"/>
      <c r="R1318" s="78"/>
      <c r="S1318" s="78"/>
      <c r="T1318" s="78"/>
      <c r="U1318" s="78"/>
      <c r="V1318" s="78"/>
      <c r="W1318" s="78"/>
      <c r="X1318" s="78"/>
      <c r="Y1318" s="78"/>
      <c r="Z1318" s="78"/>
    </row>
    <row r="1319" spans="1:26" ht="15.75" customHeight="1" x14ac:dyDescent="0.25">
      <c r="A1319" s="53">
        <v>15</v>
      </c>
      <c r="B1319" s="54" t="s">
        <v>1236</v>
      </c>
      <c r="C1319" s="54" t="s">
        <v>905</v>
      </c>
      <c r="D1319" s="53">
        <v>5049</v>
      </c>
      <c r="E1319" s="53">
        <v>8101</v>
      </c>
      <c r="F1319" s="54" t="s">
        <v>1258</v>
      </c>
      <c r="G1319" s="53" t="s">
        <v>316</v>
      </c>
      <c r="H1319" s="58" t="str">
        <f>_xlfn.IFNA(INDEX(ActiveSchools!$C$2:$F$326,MATCH(G1319,ActiveSchools!$F$2:$F$326,0),1),"Total")</f>
        <v>1619</v>
      </c>
      <c r="I1319" s="53">
        <v>1</v>
      </c>
      <c r="J1319" s="59">
        <f>_xlfn.IFNA(INDEX(DetailByDistrict[],MATCH($H1319,DetailByDistrict[Dist],0),MATCH(J$2,DetailByDistrict[#Headers],0)),0)</f>
        <v>5</v>
      </c>
      <c r="K1319" s="54">
        <f t="shared" si="20"/>
        <v>0.2</v>
      </c>
      <c r="L1319" s="59">
        <f>ROUNDDOWN(INDEX(DetailByDistrict[],MATCH($H1319,DetailByDistrict[Dist],0),MATCH(L$2,DetailByDistrict[#Headers],0))*K1319,2)</f>
        <v>65</v>
      </c>
      <c r="M1319" s="59">
        <f>ROUNDDOWN(INDEX(DetailByDistrict[],MATCH($H1319,DetailByDistrict[Dist],0),MATCH(M$2,DetailByDistrict[#Headers],0))*K1319,2)</f>
        <v>71.400000000000006</v>
      </c>
      <c r="N1319" s="78"/>
      <c r="O1319" s="78"/>
      <c r="P1319" s="78"/>
      <c r="Q1319" s="78"/>
      <c r="R1319" s="78"/>
      <c r="S1319" s="78"/>
      <c r="T1319" s="78"/>
      <c r="U1319" s="78"/>
      <c r="V1319" s="78"/>
      <c r="W1319" s="78"/>
      <c r="X1319" s="78"/>
      <c r="Y1319" s="78"/>
      <c r="Z1319" s="78"/>
    </row>
    <row r="1320" spans="1:26" ht="15.75" customHeight="1" x14ac:dyDescent="0.25">
      <c r="A1320" s="53">
        <v>15</v>
      </c>
      <c r="B1320" s="54" t="s">
        <v>1236</v>
      </c>
      <c r="C1320" s="54" t="s">
        <v>905</v>
      </c>
      <c r="D1320" s="53">
        <v>5049</v>
      </c>
      <c r="E1320" s="53">
        <v>8101</v>
      </c>
      <c r="F1320" s="54" t="s">
        <v>1256</v>
      </c>
      <c r="G1320" s="53" t="s">
        <v>330</v>
      </c>
      <c r="H1320" s="58" t="str">
        <f>_xlfn.IFNA(INDEX(ActiveSchools!$C$2:$F$326,MATCH(G1320,ActiveSchools!$F$2:$F$326,0),1),"Total")</f>
        <v>5049</v>
      </c>
      <c r="I1320" s="53">
        <v>70</v>
      </c>
      <c r="J1320" s="59">
        <f>_xlfn.IFNA(INDEX(DetailByDistrict[],MATCH($H1320,DetailByDistrict[Dist],0),MATCH(J$2,DetailByDistrict[#Headers],0)),0)</f>
        <v>170</v>
      </c>
      <c r="K1320" s="54">
        <f t="shared" si="20"/>
        <v>0.41176470588235292</v>
      </c>
      <c r="L1320" s="59">
        <f>ROUNDDOWN(INDEX(DetailByDistrict[],MATCH($H1320,DetailByDistrict[Dist],0),MATCH(L$2,DetailByDistrict[#Headers],0))*K1320,2)</f>
        <v>4547.1099999999997</v>
      </c>
      <c r="M1320" s="59">
        <f>ROUNDDOWN(INDEX(DetailByDistrict[],MATCH($H1320,DetailByDistrict[Dist],0),MATCH(M$2,DetailByDistrict[#Headers],0))*K1320,2)</f>
        <v>5000.05</v>
      </c>
      <c r="N1320" s="78"/>
      <c r="O1320" s="78"/>
      <c r="P1320" s="78"/>
      <c r="Q1320" s="78"/>
      <c r="R1320" s="78"/>
      <c r="S1320" s="78"/>
      <c r="T1320" s="78"/>
      <c r="U1320" s="78"/>
      <c r="V1320" s="78"/>
      <c r="W1320" s="78"/>
      <c r="X1320" s="78"/>
      <c r="Y1320" s="78"/>
      <c r="Z1320" s="78"/>
    </row>
    <row r="1321" spans="1:26" ht="15.75" customHeight="1" x14ac:dyDescent="0.25">
      <c r="A1321" s="53">
        <v>15</v>
      </c>
      <c r="B1321" s="54" t="s">
        <v>1236</v>
      </c>
      <c r="C1321" s="54" t="s">
        <v>906</v>
      </c>
      <c r="D1321" s="53">
        <v>5049</v>
      </c>
      <c r="E1321" s="53">
        <v>8301</v>
      </c>
      <c r="F1321" s="54" t="s">
        <v>1252</v>
      </c>
      <c r="G1321" s="57" t="s">
        <v>309</v>
      </c>
      <c r="H1321" s="58" t="str">
        <f>_xlfn.IFNA(INDEX(ActiveSchools!$C$2:$F$326,MATCH(G1321,ActiveSchools!$F$2:$F$326,0),1),"Total")</f>
        <v>0081</v>
      </c>
      <c r="I1321" s="53">
        <v>1</v>
      </c>
      <c r="J1321" s="59">
        <f>_xlfn.IFNA(INDEX(DetailByDistrict[],MATCH($H1321,DetailByDistrict[Dist],0),MATCH(J$2,DetailByDistrict[#Headers],0)),0)</f>
        <v>7</v>
      </c>
      <c r="K1321" s="54">
        <f t="shared" si="20"/>
        <v>0.14285714285714285</v>
      </c>
      <c r="L1321" s="59">
        <f>ROUNDDOWN(INDEX(DetailByDistrict[],MATCH($H1321,DetailByDistrict[Dist],0),MATCH(L$2,DetailByDistrict[#Headers],0))*K1321,2)</f>
        <v>65</v>
      </c>
      <c r="M1321" s="59">
        <f>ROUNDDOWN(INDEX(DetailByDistrict[],MATCH($H1321,DetailByDistrict[Dist],0),MATCH(M$2,DetailByDistrict[#Headers],0))*K1321,2)</f>
        <v>71.42</v>
      </c>
      <c r="N1321" s="78"/>
      <c r="O1321" s="78"/>
      <c r="P1321" s="78"/>
      <c r="Q1321" s="78"/>
      <c r="R1321" s="78"/>
      <c r="S1321" s="78"/>
      <c r="T1321" s="78"/>
      <c r="U1321" s="78"/>
      <c r="V1321" s="78"/>
      <c r="W1321" s="78"/>
      <c r="X1321" s="78"/>
      <c r="Y1321" s="78"/>
      <c r="Z1321" s="78"/>
    </row>
    <row r="1322" spans="1:26" ht="15.75" customHeight="1" x14ac:dyDescent="0.25">
      <c r="A1322" s="53">
        <v>15</v>
      </c>
      <c r="B1322" s="54" t="s">
        <v>1236</v>
      </c>
      <c r="C1322" s="54" t="s">
        <v>906</v>
      </c>
      <c r="D1322" s="53">
        <v>5049</v>
      </c>
      <c r="E1322" s="53">
        <v>8301</v>
      </c>
      <c r="F1322" s="54" t="s">
        <v>1253</v>
      </c>
      <c r="G1322" s="57" t="s">
        <v>317</v>
      </c>
      <c r="H1322" s="58" t="str">
        <f>_xlfn.IFNA(INDEX(ActiveSchools!$C$2:$F$326,MATCH(G1322,ActiveSchools!$F$2:$F$326,0),1),"Total")</f>
        <v>0657</v>
      </c>
      <c r="I1322" s="53">
        <v>6</v>
      </c>
      <c r="J1322" s="59">
        <f>_xlfn.IFNA(INDEX(DetailByDistrict[],MATCH($H1322,DetailByDistrict[Dist],0),MATCH(J$2,DetailByDistrict[#Headers],0)),0)</f>
        <v>18</v>
      </c>
      <c r="K1322" s="54">
        <f t="shared" si="20"/>
        <v>0.33333333333333331</v>
      </c>
      <c r="L1322" s="59">
        <f>ROUNDDOWN(INDEX(DetailByDistrict[],MATCH($H1322,DetailByDistrict[Dist],0),MATCH(L$2,DetailByDistrict[#Headers],0))*K1322,2)</f>
        <v>389.66</v>
      </c>
      <c r="M1322" s="59">
        <f>ROUNDDOWN(INDEX(DetailByDistrict[],MATCH($H1322,DetailByDistrict[Dist],0),MATCH(M$2,DetailByDistrict[#Headers],0))*K1322,2)</f>
        <v>428.66</v>
      </c>
      <c r="N1322" s="78"/>
      <c r="O1322" s="78"/>
      <c r="P1322" s="78"/>
      <c r="Q1322" s="78"/>
      <c r="R1322" s="78"/>
      <c r="S1322" s="78"/>
      <c r="T1322" s="78"/>
      <c r="U1322" s="78"/>
      <c r="V1322" s="78"/>
      <c r="W1322" s="78"/>
      <c r="X1322" s="78"/>
      <c r="Y1322" s="78"/>
      <c r="Z1322" s="78"/>
    </row>
    <row r="1323" spans="1:26" ht="15.75" customHeight="1" x14ac:dyDescent="0.25">
      <c r="A1323" s="53">
        <v>15</v>
      </c>
      <c r="B1323" s="54" t="s">
        <v>1236</v>
      </c>
      <c r="C1323" s="54" t="s">
        <v>906</v>
      </c>
      <c r="D1323" s="53">
        <v>5049</v>
      </c>
      <c r="E1323" s="53">
        <v>8301</v>
      </c>
      <c r="F1323" s="54" t="s">
        <v>1259</v>
      </c>
      <c r="G1323" s="57" t="s">
        <v>311</v>
      </c>
      <c r="H1323" s="58" t="str">
        <f>_xlfn.IFNA(INDEX(ActiveSchools!$C$2:$F$326,MATCH(G1323,ActiveSchools!$F$2:$F$326,0),1),"Total")</f>
        <v>0977</v>
      </c>
      <c r="I1323" s="53">
        <v>3</v>
      </c>
      <c r="J1323" s="59">
        <f>_xlfn.IFNA(INDEX(DetailByDistrict[],MATCH($H1323,DetailByDistrict[Dist],0),MATCH(J$2,DetailByDistrict[#Headers],0)),0)</f>
        <v>3</v>
      </c>
      <c r="K1323" s="54">
        <f t="shared" si="20"/>
        <v>1</v>
      </c>
      <c r="L1323" s="59">
        <f>ROUNDDOWN(INDEX(DetailByDistrict[],MATCH($H1323,DetailByDistrict[Dist],0),MATCH(L$2,DetailByDistrict[#Headers],0))*K1323,2)</f>
        <v>195</v>
      </c>
      <c r="M1323" s="59">
        <f>ROUNDDOWN(INDEX(DetailByDistrict[],MATCH($H1323,DetailByDistrict[Dist],0),MATCH(M$2,DetailByDistrict[#Headers],0))*K1323,2)</f>
        <v>214</v>
      </c>
      <c r="N1323" s="78"/>
      <c r="O1323" s="78"/>
      <c r="P1323" s="78"/>
      <c r="Q1323" s="78"/>
      <c r="R1323" s="78"/>
      <c r="S1323" s="78"/>
      <c r="T1323" s="78"/>
      <c r="U1323" s="78"/>
      <c r="V1323" s="78"/>
      <c r="W1323" s="78"/>
      <c r="X1323" s="78"/>
      <c r="Y1323" s="78"/>
      <c r="Z1323" s="78"/>
    </row>
    <row r="1324" spans="1:26" ht="15.75" customHeight="1" x14ac:dyDescent="0.25">
      <c r="A1324" s="53">
        <v>15</v>
      </c>
      <c r="B1324" s="54" t="s">
        <v>1236</v>
      </c>
      <c r="C1324" s="54" t="s">
        <v>906</v>
      </c>
      <c r="D1324" s="53">
        <v>5049</v>
      </c>
      <c r="E1324" s="53">
        <v>8301</v>
      </c>
      <c r="F1324" s="54" t="s">
        <v>1258</v>
      </c>
      <c r="G1324" s="53" t="s">
        <v>316</v>
      </c>
      <c r="H1324" s="58" t="str">
        <f>_xlfn.IFNA(INDEX(ActiveSchools!$C$2:$F$326,MATCH(G1324,ActiveSchools!$F$2:$F$326,0),1),"Total")</f>
        <v>1619</v>
      </c>
      <c r="I1324" s="53">
        <v>4</v>
      </c>
      <c r="J1324" s="59">
        <f>_xlfn.IFNA(INDEX(DetailByDistrict[],MATCH($H1324,DetailByDistrict[Dist],0),MATCH(J$2,DetailByDistrict[#Headers],0)),0)</f>
        <v>5</v>
      </c>
      <c r="K1324" s="54">
        <f t="shared" si="20"/>
        <v>0.8</v>
      </c>
      <c r="L1324" s="59">
        <f>ROUNDDOWN(INDEX(DetailByDistrict[],MATCH($H1324,DetailByDistrict[Dist],0),MATCH(L$2,DetailByDistrict[#Headers],0))*K1324,2)</f>
        <v>260</v>
      </c>
      <c r="M1324" s="59">
        <f>ROUNDDOWN(INDEX(DetailByDistrict[],MATCH($H1324,DetailByDistrict[Dist],0),MATCH(M$2,DetailByDistrict[#Headers],0))*K1324,2)</f>
        <v>285.60000000000002</v>
      </c>
      <c r="N1324" s="78"/>
      <c r="O1324" s="78"/>
      <c r="P1324" s="78"/>
      <c r="Q1324" s="78"/>
      <c r="R1324" s="78"/>
      <c r="S1324" s="78"/>
      <c r="T1324" s="78"/>
      <c r="U1324" s="78"/>
      <c r="V1324" s="78"/>
      <c r="W1324" s="78"/>
      <c r="X1324" s="78"/>
      <c r="Y1324" s="78"/>
      <c r="Z1324" s="78"/>
    </row>
    <row r="1325" spans="1:26" ht="15.75" customHeight="1" x14ac:dyDescent="0.25">
      <c r="A1325" s="53">
        <v>15</v>
      </c>
      <c r="B1325" s="54" t="s">
        <v>1236</v>
      </c>
      <c r="C1325" s="54" t="s">
        <v>906</v>
      </c>
      <c r="D1325" s="53">
        <v>5049</v>
      </c>
      <c r="E1325" s="53">
        <v>8301</v>
      </c>
      <c r="F1325" s="54" t="s">
        <v>1247</v>
      </c>
      <c r="G1325" s="53" t="s">
        <v>318</v>
      </c>
      <c r="H1325" s="58" t="str">
        <f>_xlfn.IFNA(INDEX(ActiveSchools!$C$2:$F$326,MATCH(G1325,ActiveSchools!$F$2:$F$326,0),1),"Total")</f>
        <v>2169</v>
      </c>
      <c r="I1325" s="53">
        <v>4</v>
      </c>
      <c r="J1325" s="59">
        <f>_xlfn.IFNA(INDEX(DetailByDistrict[],MATCH($H1325,DetailByDistrict[Dist],0),MATCH(J$2,DetailByDistrict[#Headers],0)),0)</f>
        <v>178</v>
      </c>
      <c r="K1325" s="54">
        <f t="shared" si="20"/>
        <v>2.247191011235955E-2</v>
      </c>
      <c r="L1325" s="59">
        <f>ROUNDDOWN(INDEX(DetailByDistrict[],MATCH($H1325,DetailByDistrict[Dist],0),MATCH(L$2,DetailByDistrict[#Headers],0))*K1325,2)</f>
        <v>259.83999999999997</v>
      </c>
      <c r="M1325" s="59">
        <f>ROUNDDOWN(INDEX(DetailByDistrict[],MATCH($H1325,DetailByDistrict[Dist],0),MATCH(M$2,DetailByDistrict[#Headers],0))*K1325,2)</f>
        <v>285.73</v>
      </c>
      <c r="N1325" s="78"/>
      <c r="O1325" s="78"/>
      <c r="P1325" s="78"/>
      <c r="Q1325" s="78"/>
      <c r="R1325" s="78"/>
      <c r="S1325" s="78"/>
      <c r="T1325" s="78"/>
      <c r="U1325" s="78"/>
      <c r="V1325" s="78"/>
      <c r="W1325" s="78"/>
      <c r="X1325" s="78"/>
      <c r="Y1325" s="78"/>
      <c r="Z1325" s="78"/>
    </row>
    <row r="1326" spans="1:26" ht="15.75" customHeight="1" x14ac:dyDescent="0.25">
      <c r="A1326" s="53">
        <v>15</v>
      </c>
      <c r="B1326" s="54" t="s">
        <v>1236</v>
      </c>
      <c r="C1326" s="54" t="s">
        <v>906</v>
      </c>
      <c r="D1326" s="53">
        <v>5049</v>
      </c>
      <c r="E1326" s="53">
        <v>8301</v>
      </c>
      <c r="F1326" s="54" t="s">
        <v>1256</v>
      </c>
      <c r="G1326" s="53" t="s">
        <v>330</v>
      </c>
      <c r="H1326" s="58" t="str">
        <f>_xlfn.IFNA(INDEX(ActiveSchools!$C$2:$F$326,MATCH(G1326,ActiveSchools!$F$2:$F$326,0),1),"Total")</f>
        <v>5049</v>
      </c>
      <c r="I1326" s="53">
        <v>95</v>
      </c>
      <c r="J1326" s="59">
        <f>_xlfn.IFNA(INDEX(DetailByDistrict[],MATCH($H1326,DetailByDistrict[Dist],0),MATCH(J$2,DetailByDistrict[#Headers],0)),0)</f>
        <v>170</v>
      </c>
      <c r="K1326" s="54">
        <f t="shared" si="20"/>
        <v>0.55882352941176472</v>
      </c>
      <c r="L1326" s="59">
        <f>ROUNDDOWN(INDEX(DetailByDistrict[],MATCH($H1326,DetailByDistrict[Dist],0),MATCH(L$2,DetailByDistrict[#Headers],0))*K1326,2)</f>
        <v>6171.08</v>
      </c>
      <c r="M1326" s="59">
        <f>ROUNDDOWN(INDEX(DetailByDistrict[],MATCH($H1326,DetailByDistrict[Dist],0),MATCH(M$2,DetailByDistrict[#Headers],0))*K1326,2)</f>
        <v>6785.79</v>
      </c>
      <c r="N1326" s="78"/>
      <c r="O1326" s="78"/>
      <c r="P1326" s="78"/>
      <c r="Q1326" s="78"/>
      <c r="R1326" s="78"/>
      <c r="S1326" s="78"/>
      <c r="T1326" s="78"/>
      <c r="U1326" s="78"/>
      <c r="V1326" s="78"/>
      <c r="W1326" s="78"/>
      <c r="X1326" s="78"/>
      <c r="Y1326" s="78"/>
      <c r="Z1326" s="78"/>
    </row>
    <row r="1327" spans="1:26" ht="15.75" customHeight="1" x14ac:dyDescent="0.25">
      <c r="A1327" s="53">
        <v>15</v>
      </c>
      <c r="B1327" s="54" t="s">
        <v>1236</v>
      </c>
      <c r="C1327" s="54" t="s">
        <v>907</v>
      </c>
      <c r="D1327" s="53">
        <v>5163</v>
      </c>
      <c r="E1327" s="53">
        <v>8106</v>
      </c>
      <c r="F1327" s="54" t="s">
        <v>1247</v>
      </c>
      <c r="G1327" s="53" t="s">
        <v>318</v>
      </c>
      <c r="H1327" s="58" t="str">
        <f>_xlfn.IFNA(INDEX(ActiveSchools!$C$2:$F$326,MATCH(G1327,ActiveSchools!$F$2:$F$326,0),1),"Total")</f>
        <v>2169</v>
      </c>
      <c r="I1327" s="53">
        <v>4</v>
      </c>
      <c r="J1327" s="59">
        <f>_xlfn.IFNA(INDEX(DetailByDistrict[],MATCH($H1327,DetailByDistrict[Dist],0),MATCH(J$2,DetailByDistrict[#Headers],0)),0)</f>
        <v>178</v>
      </c>
      <c r="K1327" s="54">
        <f t="shared" si="20"/>
        <v>2.247191011235955E-2</v>
      </c>
      <c r="L1327" s="59">
        <f>ROUNDDOWN(INDEX(DetailByDistrict[],MATCH($H1327,DetailByDistrict[Dist],0),MATCH(L$2,DetailByDistrict[#Headers],0))*K1327,2)</f>
        <v>259.83999999999997</v>
      </c>
      <c r="M1327" s="59">
        <f>ROUNDDOWN(INDEX(DetailByDistrict[],MATCH($H1327,DetailByDistrict[Dist],0),MATCH(M$2,DetailByDistrict[#Headers],0))*K1327,2)</f>
        <v>285.73</v>
      </c>
      <c r="N1327" s="78"/>
      <c r="O1327" s="78"/>
      <c r="P1327" s="78"/>
      <c r="Q1327" s="78"/>
      <c r="R1327" s="78"/>
      <c r="S1327" s="78"/>
      <c r="T1327" s="78"/>
      <c r="U1327" s="78"/>
      <c r="V1327" s="78"/>
      <c r="W1327" s="78"/>
      <c r="X1327" s="78"/>
      <c r="Y1327" s="78"/>
      <c r="Z1327" s="78"/>
    </row>
    <row r="1328" spans="1:26" ht="15.75" customHeight="1" x14ac:dyDescent="0.25">
      <c r="A1328" s="53">
        <v>15</v>
      </c>
      <c r="B1328" s="54" t="s">
        <v>1236</v>
      </c>
      <c r="C1328" s="54" t="s">
        <v>907</v>
      </c>
      <c r="D1328" s="53">
        <v>5163</v>
      </c>
      <c r="E1328" s="53">
        <v>8106</v>
      </c>
      <c r="F1328" s="54" t="s">
        <v>1260</v>
      </c>
      <c r="G1328" s="53" t="s">
        <v>331</v>
      </c>
      <c r="H1328" s="58" t="str">
        <f>_xlfn.IFNA(INDEX(ActiveSchools!$C$2:$F$326,MATCH(G1328,ActiveSchools!$F$2:$F$326,0),1),"Total")</f>
        <v>5163</v>
      </c>
      <c r="I1328" s="53">
        <v>18</v>
      </c>
      <c r="J1328" s="59">
        <f>_xlfn.IFNA(INDEX(DetailByDistrict[],MATCH($H1328,DetailByDistrict[Dist],0),MATCH(J$2,DetailByDistrict[#Headers],0)),0)</f>
        <v>18</v>
      </c>
      <c r="K1328" s="54">
        <f t="shared" si="20"/>
        <v>1</v>
      </c>
      <c r="L1328" s="59">
        <f>ROUNDDOWN(INDEX(DetailByDistrict[],MATCH($H1328,DetailByDistrict[Dist],0),MATCH(L$2,DetailByDistrict[#Headers],0))*K1328,2)</f>
        <v>1169</v>
      </c>
      <c r="M1328" s="59">
        <f>ROUNDDOWN(INDEX(DetailByDistrict[],MATCH($H1328,DetailByDistrict[Dist],0),MATCH(M$2,DetailByDistrict[#Headers],0))*K1328,2)</f>
        <v>1286</v>
      </c>
      <c r="N1328" s="78"/>
      <c r="O1328" s="78"/>
      <c r="P1328" s="78"/>
      <c r="Q1328" s="78"/>
      <c r="R1328" s="78"/>
      <c r="S1328" s="78"/>
      <c r="T1328" s="78"/>
      <c r="U1328" s="78"/>
      <c r="V1328" s="78"/>
      <c r="W1328" s="78"/>
      <c r="X1328" s="78"/>
      <c r="Y1328" s="78"/>
      <c r="Z1328" s="78"/>
    </row>
    <row r="1329" spans="1:26" ht="15.75" customHeight="1" x14ac:dyDescent="0.25">
      <c r="A1329" s="53">
        <v>15</v>
      </c>
      <c r="B1329" s="54" t="s">
        <v>1236</v>
      </c>
      <c r="C1329" s="54" t="s">
        <v>907</v>
      </c>
      <c r="D1329" s="53">
        <v>5163</v>
      </c>
      <c r="E1329" s="53">
        <v>8106</v>
      </c>
      <c r="F1329" s="54" t="s">
        <v>1261</v>
      </c>
      <c r="G1329" s="53" t="s">
        <v>333</v>
      </c>
      <c r="H1329" s="58" t="str">
        <f>_xlfn.IFNA(INDEX(ActiveSchools!$C$2:$F$326,MATCH(G1329,ActiveSchools!$F$2:$F$326,0),1),"Total")</f>
        <v>6012</v>
      </c>
      <c r="I1329" s="53">
        <v>3</v>
      </c>
      <c r="J1329" s="59">
        <f>_xlfn.IFNA(INDEX(DetailByDistrict[],MATCH($H1329,DetailByDistrict[Dist],0),MATCH(J$2,DetailByDistrict[#Headers],0)),0)</f>
        <v>4</v>
      </c>
      <c r="K1329" s="54">
        <f t="shared" si="20"/>
        <v>0.75</v>
      </c>
      <c r="L1329" s="59">
        <f>ROUNDDOWN(INDEX(DetailByDistrict[],MATCH($H1329,DetailByDistrict[Dist],0),MATCH(L$2,DetailByDistrict[#Headers],0))*K1329,2)</f>
        <v>195</v>
      </c>
      <c r="M1329" s="59">
        <f>ROUNDDOWN(INDEX(DetailByDistrict[],MATCH($H1329,DetailByDistrict[Dist],0),MATCH(M$2,DetailByDistrict[#Headers],0))*K1329,2)</f>
        <v>214.5</v>
      </c>
      <c r="N1329" s="78"/>
      <c r="O1329" s="78"/>
      <c r="P1329" s="78"/>
      <c r="Q1329" s="78"/>
      <c r="R1329" s="78"/>
      <c r="S1329" s="78"/>
      <c r="T1329" s="78"/>
      <c r="U1329" s="78"/>
      <c r="V1329" s="78"/>
      <c r="W1329" s="78"/>
      <c r="X1329" s="78"/>
      <c r="Y1329" s="78"/>
      <c r="Z1329" s="78"/>
    </row>
    <row r="1330" spans="1:26" ht="15.75" customHeight="1" x14ac:dyDescent="0.25">
      <c r="A1330" s="53">
        <v>15</v>
      </c>
      <c r="B1330" s="54" t="s">
        <v>1236</v>
      </c>
      <c r="C1330" s="54" t="s">
        <v>907</v>
      </c>
      <c r="D1330" s="53">
        <v>5163</v>
      </c>
      <c r="E1330" s="53">
        <v>8106</v>
      </c>
      <c r="F1330" s="54" t="s">
        <v>1244</v>
      </c>
      <c r="G1330" s="53" t="s">
        <v>335</v>
      </c>
      <c r="H1330" s="58" t="str">
        <f>_xlfn.IFNA(INDEX(ActiveSchools!$C$2:$F$326,MATCH(G1330,ActiveSchools!$F$2:$F$326,0),1),"Total")</f>
        <v>6592</v>
      </c>
      <c r="I1330" s="53">
        <v>2</v>
      </c>
      <c r="J1330" s="59">
        <f>_xlfn.IFNA(INDEX(DetailByDistrict[],MATCH($H1330,DetailByDistrict[Dist],0),MATCH(J$2,DetailByDistrict[#Headers],0)),0)</f>
        <v>8</v>
      </c>
      <c r="K1330" s="54">
        <f t="shared" si="20"/>
        <v>0.25</v>
      </c>
      <c r="L1330" s="59">
        <f>ROUNDDOWN(INDEX(DetailByDistrict[],MATCH($H1330,DetailByDistrict[Dist],0),MATCH(L$2,DetailByDistrict[#Headers],0))*K1330,2)</f>
        <v>130</v>
      </c>
      <c r="M1330" s="59">
        <f>ROUNDDOWN(INDEX(DetailByDistrict[],MATCH($H1330,DetailByDistrict[Dist],0),MATCH(M$2,DetailByDistrict[#Headers],0))*K1330,2)</f>
        <v>142.75</v>
      </c>
      <c r="N1330" s="78"/>
      <c r="O1330" s="78"/>
      <c r="P1330" s="78"/>
      <c r="Q1330" s="78"/>
      <c r="R1330" s="78"/>
      <c r="S1330" s="78"/>
      <c r="T1330" s="78"/>
      <c r="U1330" s="78"/>
      <c r="V1330" s="78"/>
      <c r="W1330" s="78"/>
      <c r="X1330" s="78"/>
      <c r="Y1330" s="78"/>
      <c r="Z1330" s="78"/>
    </row>
    <row r="1331" spans="1:26" ht="15.75" customHeight="1" x14ac:dyDescent="0.25">
      <c r="A1331" s="53">
        <v>15</v>
      </c>
      <c r="B1331" s="54" t="s">
        <v>1236</v>
      </c>
      <c r="C1331" s="54" t="s">
        <v>908</v>
      </c>
      <c r="D1331" s="53">
        <v>5166</v>
      </c>
      <c r="E1331" s="53">
        <v>8301</v>
      </c>
      <c r="F1331" s="54" t="s">
        <v>1252</v>
      </c>
      <c r="G1331" s="57" t="s">
        <v>309</v>
      </c>
      <c r="H1331" s="58" t="str">
        <f>_xlfn.IFNA(INDEX(ActiveSchools!$C$2:$F$326,MATCH(G1331,ActiveSchools!$F$2:$F$326,0),1),"Total")</f>
        <v>0081</v>
      </c>
      <c r="I1331" s="53">
        <v>3</v>
      </c>
      <c r="J1331" s="59">
        <f>_xlfn.IFNA(INDEX(DetailByDistrict[],MATCH($H1331,DetailByDistrict[Dist],0),MATCH(J$2,DetailByDistrict[#Headers],0)),0)</f>
        <v>7</v>
      </c>
      <c r="K1331" s="54">
        <f t="shared" si="20"/>
        <v>0.42857142857142855</v>
      </c>
      <c r="L1331" s="59">
        <f>ROUNDDOWN(INDEX(DetailByDistrict[],MATCH($H1331,DetailByDistrict[Dist],0),MATCH(L$2,DetailByDistrict[#Headers],0))*K1331,2)</f>
        <v>195</v>
      </c>
      <c r="M1331" s="59">
        <f>ROUNDDOWN(INDEX(DetailByDistrict[],MATCH($H1331,DetailByDistrict[Dist],0),MATCH(M$2,DetailByDistrict[#Headers],0))*K1331,2)</f>
        <v>214.28</v>
      </c>
      <c r="N1331" s="78"/>
      <c r="O1331" s="78"/>
      <c r="P1331" s="78"/>
      <c r="Q1331" s="78"/>
      <c r="R1331" s="78"/>
      <c r="S1331" s="78"/>
      <c r="T1331" s="78"/>
      <c r="U1331" s="78"/>
      <c r="V1331" s="78"/>
      <c r="W1331" s="78"/>
      <c r="X1331" s="78"/>
      <c r="Y1331" s="78"/>
      <c r="Z1331" s="78"/>
    </row>
    <row r="1332" spans="1:26" ht="15.75" customHeight="1" x14ac:dyDescent="0.25">
      <c r="A1332" s="53">
        <v>15</v>
      </c>
      <c r="B1332" s="54" t="s">
        <v>1236</v>
      </c>
      <c r="C1332" s="54" t="s">
        <v>908</v>
      </c>
      <c r="D1332" s="53">
        <v>5166</v>
      </c>
      <c r="E1332" s="53">
        <v>8301</v>
      </c>
      <c r="F1332" s="54" t="s">
        <v>1250</v>
      </c>
      <c r="G1332" s="53" t="s">
        <v>314</v>
      </c>
      <c r="H1332" s="58" t="str">
        <f>_xlfn.IFNA(INDEX(ActiveSchools!$C$2:$F$326,MATCH(G1332,ActiveSchools!$F$2:$F$326,0),1),"Total")</f>
        <v>1107</v>
      </c>
      <c r="I1332" s="53">
        <v>4</v>
      </c>
      <c r="J1332" s="59">
        <f>_xlfn.IFNA(INDEX(DetailByDistrict[],MATCH($H1332,DetailByDistrict[Dist],0),MATCH(J$2,DetailByDistrict[#Headers],0)),0)</f>
        <v>8</v>
      </c>
      <c r="K1332" s="54">
        <f t="shared" si="20"/>
        <v>0.5</v>
      </c>
      <c r="L1332" s="59">
        <f>ROUNDDOWN(INDEX(DetailByDistrict[],MATCH($H1332,DetailByDistrict[Dist],0),MATCH(L$2,DetailByDistrict[#Headers],0))*K1332,2)</f>
        <v>260</v>
      </c>
      <c r="M1332" s="59">
        <f>ROUNDDOWN(INDEX(DetailByDistrict[],MATCH($H1332,DetailByDistrict[Dist],0),MATCH(M$2,DetailByDistrict[#Headers],0))*K1332,2)</f>
        <v>285.5</v>
      </c>
      <c r="N1332" s="78"/>
      <c r="O1332" s="78"/>
      <c r="P1332" s="78"/>
      <c r="Q1332" s="78"/>
      <c r="R1332" s="78"/>
      <c r="S1332" s="78"/>
      <c r="T1332" s="78"/>
      <c r="U1332" s="78"/>
      <c r="V1332" s="78"/>
      <c r="W1332" s="78"/>
      <c r="X1332" s="78"/>
      <c r="Y1332" s="78"/>
      <c r="Z1332" s="78"/>
    </row>
    <row r="1333" spans="1:26" ht="15.75" customHeight="1" x14ac:dyDescent="0.25">
      <c r="A1333" s="53">
        <v>15</v>
      </c>
      <c r="B1333" s="54" t="s">
        <v>1236</v>
      </c>
      <c r="C1333" s="54" t="s">
        <v>908</v>
      </c>
      <c r="D1333" s="53">
        <v>5166</v>
      </c>
      <c r="E1333" s="53">
        <v>8301</v>
      </c>
      <c r="F1333" s="54" t="s">
        <v>1254</v>
      </c>
      <c r="G1333" s="53" t="s">
        <v>328</v>
      </c>
      <c r="H1333" s="58" t="str">
        <f>_xlfn.IFNA(INDEX(ActiveSchools!$C$2:$F$326,MATCH(G1333,ActiveSchools!$F$2:$F$326,0),1),"Total")</f>
        <v>4776</v>
      </c>
      <c r="I1333" s="53">
        <v>10</v>
      </c>
      <c r="J1333" s="59">
        <f>_xlfn.IFNA(INDEX(DetailByDistrict[],MATCH($H1333,DetailByDistrict[Dist],0),MATCH(J$2,DetailByDistrict[#Headers],0)),0)</f>
        <v>32</v>
      </c>
      <c r="K1333" s="54">
        <f t="shared" si="20"/>
        <v>0.3125</v>
      </c>
      <c r="L1333" s="59">
        <f>ROUNDDOWN(INDEX(DetailByDistrict[],MATCH($H1333,DetailByDistrict[Dist],0),MATCH(L$2,DetailByDistrict[#Headers],0))*K1333,2)</f>
        <v>649.67999999999995</v>
      </c>
      <c r="M1333" s="59">
        <f>ROUNDDOWN(INDEX(DetailByDistrict[],MATCH($H1333,DetailByDistrict[Dist],0),MATCH(M$2,DetailByDistrict[#Headers],0))*K1333,2)</f>
        <v>714.37</v>
      </c>
      <c r="N1333" s="78"/>
      <c r="O1333" s="78"/>
      <c r="P1333" s="78"/>
      <c r="Q1333" s="78"/>
      <c r="R1333" s="78"/>
      <c r="S1333" s="78"/>
      <c r="T1333" s="78"/>
      <c r="U1333" s="78"/>
      <c r="V1333" s="78"/>
      <c r="W1333" s="78"/>
      <c r="X1333" s="78"/>
      <c r="Y1333" s="78"/>
      <c r="Z1333" s="78"/>
    </row>
    <row r="1334" spans="1:26" ht="15.75" customHeight="1" x14ac:dyDescent="0.25">
      <c r="A1334" s="53">
        <v>15</v>
      </c>
      <c r="B1334" s="54" t="s">
        <v>1236</v>
      </c>
      <c r="C1334" s="54" t="s">
        <v>908</v>
      </c>
      <c r="D1334" s="53">
        <v>5166</v>
      </c>
      <c r="E1334" s="53">
        <v>8301</v>
      </c>
      <c r="F1334" s="54" t="s">
        <v>1255</v>
      </c>
      <c r="G1334" s="53" t="s">
        <v>329</v>
      </c>
      <c r="H1334" s="58" t="str">
        <f>_xlfn.IFNA(INDEX(ActiveSchools!$C$2:$F$326,MATCH(G1334,ActiveSchools!$F$2:$F$326,0),1),"Total")</f>
        <v>5013</v>
      </c>
      <c r="I1334" s="53">
        <v>19</v>
      </c>
      <c r="J1334" s="59">
        <f>_xlfn.IFNA(INDEX(DetailByDistrict[],MATCH($H1334,DetailByDistrict[Dist],0),MATCH(J$2,DetailByDistrict[#Headers],0)),0)</f>
        <v>193</v>
      </c>
      <c r="K1334" s="54">
        <f t="shared" si="20"/>
        <v>9.8445595854922283E-2</v>
      </c>
      <c r="L1334" s="59">
        <f>ROUNDDOWN(INDEX(DetailByDistrict[],MATCH($H1334,DetailByDistrict[Dist],0),MATCH(L$2,DetailByDistrict[#Headers],0))*K1334,2)</f>
        <v>1234.21</v>
      </c>
      <c r="M1334" s="59">
        <f>ROUNDDOWN(INDEX(DetailByDistrict[],MATCH($H1334,DetailByDistrict[Dist],0),MATCH(M$2,DetailByDistrict[#Headers],0))*K1334,2)</f>
        <v>1357.17</v>
      </c>
      <c r="N1334" s="78"/>
      <c r="O1334" s="78"/>
      <c r="P1334" s="78"/>
      <c r="Q1334" s="78"/>
      <c r="R1334" s="78"/>
      <c r="S1334" s="78"/>
      <c r="T1334" s="78"/>
      <c r="U1334" s="78"/>
      <c r="V1334" s="78"/>
      <c r="W1334" s="78"/>
      <c r="X1334" s="78"/>
      <c r="Y1334" s="78"/>
      <c r="Z1334" s="78"/>
    </row>
    <row r="1335" spans="1:26" ht="15.75" customHeight="1" x14ac:dyDescent="0.25">
      <c r="A1335" s="53">
        <v>15</v>
      </c>
      <c r="B1335" s="54" t="s">
        <v>1236</v>
      </c>
      <c r="C1335" s="54" t="s">
        <v>908</v>
      </c>
      <c r="D1335" s="53">
        <v>5166</v>
      </c>
      <c r="E1335" s="53">
        <v>8301</v>
      </c>
      <c r="F1335" s="54" t="s">
        <v>1256</v>
      </c>
      <c r="G1335" s="53" t="s">
        <v>330</v>
      </c>
      <c r="H1335" s="58" t="str">
        <f>_xlfn.IFNA(INDEX(ActiveSchools!$C$2:$F$326,MATCH(G1335,ActiveSchools!$F$2:$F$326,0),1),"Total")</f>
        <v>5049</v>
      </c>
      <c r="I1335" s="53">
        <v>1</v>
      </c>
      <c r="J1335" s="59">
        <f>_xlfn.IFNA(INDEX(DetailByDistrict[],MATCH($H1335,DetailByDistrict[Dist],0),MATCH(J$2,DetailByDistrict[#Headers],0)),0)</f>
        <v>170</v>
      </c>
      <c r="K1335" s="54">
        <f t="shared" si="20"/>
        <v>5.8823529411764705E-3</v>
      </c>
      <c r="L1335" s="59">
        <f>ROUNDDOWN(INDEX(DetailByDistrict[],MATCH($H1335,DetailByDistrict[Dist],0),MATCH(L$2,DetailByDistrict[#Headers],0))*K1335,2)</f>
        <v>64.95</v>
      </c>
      <c r="M1335" s="59">
        <f>ROUNDDOWN(INDEX(DetailByDistrict[],MATCH($H1335,DetailByDistrict[Dist],0),MATCH(M$2,DetailByDistrict[#Headers],0))*K1335,2)</f>
        <v>71.42</v>
      </c>
      <c r="N1335" s="78"/>
      <c r="O1335" s="78"/>
      <c r="P1335" s="78"/>
      <c r="Q1335" s="78"/>
      <c r="R1335" s="78"/>
      <c r="S1335" s="78"/>
      <c r="T1335" s="78"/>
      <c r="U1335" s="78"/>
      <c r="V1335" s="78"/>
      <c r="W1335" s="78"/>
      <c r="X1335" s="78"/>
      <c r="Y1335" s="78"/>
      <c r="Z1335" s="78"/>
    </row>
    <row r="1336" spans="1:26" ht="15.75" customHeight="1" x14ac:dyDescent="0.25">
      <c r="A1336" s="53">
        <v>15</v>
      </c>
      <c r="B1336" s="54" t="s">
        <v>1236</v>
      </c>
      <c r="C1336" s="54" t="s">
        <v>909</v>
      </c>
      <c r="D1336" s="53">
        <v>5166</v>
      </c>
      <c r="E1336" s="53">
        <v>8302</v>
      </c>
      <c r="F1336" s="54" t="s">
        <v>1252</v>
      </c>
      <c r="G1336" s="57" t="s">
        <v>309</v>
      </c>
      <c r="H1336" s="58" t="str">
        <f>_xlfn.IFNA(INDEX(ActiveSchools!$C$2:$F$326,MATCH(G1336,ActiveSchools!$F$2:$F$326,0),1),"Total")</f>
        <v>0081</v>
      </c>
      <c r="I1336" s="53">
        <v>1</v>
      </c>
      <c r="J1336" s="59">
        <f>_xlfn.IFNA(INDEX(DetailByDistrict[],MATCH($H1336,DetailByDistrict[Dist],0),MATCH(J$2,DetailByDistrict[#Headers],0)),0)</f>
        <v>7</v>
      </c>
      <c r="K1336" s="54">
        <f t="shared" si="20"/>
        <v>0.14285714285714285</v>
      </c>
      <c r="L1336" s="59">
        <f>ROUNDDOWN(INDEX(DetailByDistrict[],MATCH($H1336,DetailByDistrict[Dist],0),MATCH(L$2,DetailByDistrict[#Headers],0))*K1336,2)</f>
        <v>65</v>
      </c>
      <c r="M1336" s="59">
        <f>ROUNDDOWN(INDEX(DetailByDistrict[],MATCH($H1336,DetailByDistrict[Dist],0),MATCH(M$2,DetailByDistrict[#Headers],0))*K1336,2)</f>
        <v>71.42</v>
      </c>
      <c r="N1336" s="78"/>
      <c r="O1336" s="78"/>
      <c r="P1336" s="78"/>
      <c r="Q1336" s="78"/>
      <c r="R1336" s="78"/>
      <c r="S1336" s="78"/>
      <c r="T1336" s="78"/>
      <c r="U1336" s="78"/>
      <c r="V1336" s="78"/>
      <c r="W1336" s="78"/>
      <c r="X1336" s="78"/>
      <c r="Y1336" s="78"/>
      <c r="Z1336" s="78"/>
    </row>
    <row r="1337" spans="1:26" ht="15.75" customHeight="1" x14ac:dyDescent="0.25">
      <c r="A1337" s="53">
        <v>15</v>
      </c>
      <c r="B1337" s="54" t="s">
        <v>1236</v>
      </c>
      <c r="C1337" s="54" t="s">
        <v>909</v>
      </c>
      <c r="D1337" s="53">
        <v>5166</v>
      </c>
      <c r="E1337" s="53">
        <v>8302</v>
      </c>
      <c r="F1337" s="54" t="s">
        <v>1253</v>
      </c>
      <c r="G1337" s="57" t="s">
        <v>317</v>
      </c>
      <c r="H1337" s="58" t="str">
        <f>_xlfn.IFNA(INDEX(ActiveSchools!$C$2:$F$326,MATCH(G1337,ActiveSchools!$F$2:$F$326,0),1),"Total")</f>
        <v>0657</v>
      </c>
      <c r="I1337" s="53">
        <v>4</v>
      </c>
      <c r="J1337" s="59">
        <f>_xlfn.IFNA(INDEX(DetailByDistrict[],MATCH($H1337,DetailByDistrict[Dist],0),MATCH(J$2,DetailByDistrict[#Headers],0)),0)</f>
        <v>18</v>
      </c>
      <c r="K1337" s="54">
        <f t="shared" si="20"/>
        <v>0.22222222222222221</v>
      </c>
      <c r="L1337" s="59">
        <f>ROUNDDOWN(INDEX(DetailByDistrict[],MATCH($H1337,DetailByDistrict[Dist],0),MATCH(L$2,DetailByDistrict[#Headers],0))*K1337,2)</f>
        <v>259.77</v>
      </c>
      <c r="M1337" s="59">
        <f>ROUNDDOWN(INDEX(DetailByDistrict[],MATCH($H1337,DetailByDistrict[Dist],0),MATCH(M$2,DetailByDistrict[#Headers],0))*K1337,2)</f>
        <v>285.77</v>
      </c>
      <c r="N1337" s="78"/>
      <c r="O1337" s="78"/>
      <c r="P1337" s="78"/>
      <c r="Q1337" s="78"/>
      <c r="R1337" s="78"/>
      <c r="S1337" s="78"/>
      <c r="T1337" s="78"/>
      <c r="U1337" s="78"/>
      <c r="V1337" s="78"/>
      <c r="W1337" s="78"/>
      <c r="X1337" s="78"/>
      <c r="Y1337" s="78"/>
      <c r="Z1337" s="78"/>
    </row>
    <row r="1338" spans="1:26" ht="15.75" customHeight="1" x14ac:dyDescent="0.25">
      <c r="A1338" s="53">
        <v>15</v>
      </c>
      <c r="B1338" s="54" t="s">
        <v>1236</v>
      </c>
      <c r="C1338" s="54" t="s">
        <v>909</v>
      </c>
      <c r="D1338" s="53">
        <v>5166</v>
      </c>
      <c r="E1338" s="53">
        <v>8302</v>
      </c>
      <c r="F1338" s="54" t="s">
        <v>1250</v>
      </c>
      <c r="G1338" s="53" t="s">
        <v>314</v>
      </c>
      <c r="H1338" s="58" t="str">
        <f>_xlfn.IFNA(INDEX(ActiveSchools!$C$2:$F$326,MATCH(G1338,ActiveSchools!$F$2:$F$326,0),1),"Total")</f>
        <v>1107</v>
      </c>
      <c r="I1338" s="53">
        <v>1</v>
      </c>
      <c r="J1338" s="59">
        <f>_xlfn.IFNA(INDEX(DetailByDistrict[],MATCH($H1338,DetailByDistrict[Dist],0),MATCH(J$2,DetailByDistrict[#Headers],0)),0)</f>
        <v>8</v>
      </c>
      <c r="K1338" s="54">
        <f t="shared" si="20"/>
        <v>0.125</v>
      </c>
      <c r="L1338" s="59">
        <f>ROUNDDOWN(INDEX(DetailByDistrict[],MATCH($H1338,DetailByDistrict[Dist],0),MATCH(L$2,DetailByDistrict[#Headers],0))*K1338,2)</f>
        <v>65</v>
      </c>
      <c r="M1338" s="59">
        <f>ROUNDDOWN(INDEX(DetailByDistrict[],MATCH($H1338,DetailByDistrict[Dist],0),MATCH(M$2,DetailByDistrict[#Headers],0))*K1338,2)</f>
        <v>71.37</v>
      </c>
      <c r="N1338" s="78"/>
      <c r="O1338" s="78"/>
      <c r="P1338" s="78"/>
      <c r="Q1338" s="78"/>
      <c r="R1338" s="78"/>
      <c r="S1338" s="78"/>
      <c r="T1338" s="78"/>
      <c r="U1338" s="78"/>
      <c r="V1338" s="78"/>
      <c r="W1338" s="78"/>
      <c r="X1338" s="78"/>
      <c r="Y1338" s="78"/>
      <c r="Z1338" s="78"/>
    </row>
    <row r="1339" spans="1:26" ht="15.75" customHeight="1" x14ac:dyDescent="0.25">
      <c r="A1339" s="53">
        <v>15</v>
      </c>
      <c r="B1339" s="54" t="s">
        <v>1236</v>
      </c>
      <c r="C1339" s="54" t="s">
        <v>909</v>
      </c>
      <c r="D1339" s="53">
        <v>5166</v>
      </c>
      <c r="E1339" s="53">
        <v>8302</v>
      </c>
      <c r="F1339" s="54" t="s">
        <v>1254</v>
      </c>
      <c r="G1339" s="53" t="s">
        <v>328</v>
      </c>
      <c r="H1339" s="58" t="str">
        <f>_xlfn.IFNA(INDEX(ActiveSchools!$C$2:$F$326,MATCH(G1339,ActiveSchools!$F$2:$F$326,0),1),"Total")</f>
        <v>4776</v>
      </c>
      <c r="I1339" s="53">
        <v>9</v>
      </c>
      <c r="J1339" s="59">
        <f>_xlfn.IFNA(INDEX(DetailByDistrict[],MATCH($H1339,DetailByDistrict[Dist],0),MATCH(J$2,DetailByDistrict[#Headers],0)),0)</f>
        <v>32</v>
      </c>
      <c r="K1339" s="54">
        <f t="shared" si="20"/>
        <v>0.28125</v>
      </c>
      <c r="L1339" s="59">
        <f>ROUNDDOWN(INDEX(DetailByDistrict[],MATCH($H1339,DetailByDistrict[Dist],0),MATCH(L$2,DetailByDistrict[#Headers],0))*K1339,2)</f>
        <v>584.71</v>
      </c>
      <c r="M1339" s="59">
        <f>ROUNDDOWN(INDEX(DetailByDistrict[],MATCH($H1339,DetailByDistrict[Dist],0),MATCH(M$2,DetailByDistrict[#Headers],0))*K1339,2)</f>
        <v>642.92999999999995</v>
      </c>
      <c r="N1339" s="78"/>
      <c r="O1339" s="78"/>
      <c r="P1339" s="78"/>
      <c r="Q1339" s="78"/>
      <c r="R1339" s="78"/>
      <c r="S1339" s="78"/>
      <c r="T1339" s="78"/>
      <c r="U1339" s="78"/>
      <c r="V1339" s="78"/>
      <c r="W1339" s="78"/>
      <c r="X1339" s="78"/>
      <c r="Y1339" s="78"/>
      <c r="Z1339" s="78"/>
    </row>
    <row r="1340" spans="1:26" ht="15.75" customHeight="1" x14ac:dyDescent="0.25">
      <c r="A1340" s="53">
        <v>15</v>
      </c>
      <c r="B1340" s="54" t="s">
        <v>1236</v>
      </c>
      <c r="C1340" s="54" t="s">
        <v>909</v>
      </c>
      <c r="D1340" s="53">
        <v>5166</v>
      </c>
      <c r="E1340" s="53">
        <v>8302</v>
      </c>
      <c r="F1340" s="54" t="s">
        <v>1255</v>
      </c>
      <c r="G1340" s="53" t="s">
        <v>329</v>
      </c>
      <c r="H1340" s="58" t="str">
        <f>_xlfn.IFNA(INDEX(ActiveSchools!$C$2:$F$326,MATCH(G1340,ActiveSchools!$F$2:$F$326,0),1),"Total")</f>
        <v>5013</v>
      </c>
      <c r="I1340" s="53">
        <v>20</v>
      </c>
      <c r="J1340" s="59">
        <f>_xlfn.IFNA(INDEX(DetailByDistrict[],MATCH($H1340,DetailByDistrict[Dist],0),MATCH(J$2,DetailByDistrict[#Headers],0)),0)</f>
        <v>193</v>
      </c>
      <c r="K1340" s="54">
        <f t="shared" si="20"/>
        <v>0.10362694300518134</v>
      </c>
      <c r="L1340" s="59">
        <f>ROUNDDOWN(INDEX(DetailByDistrict[],MATCH($H1340,DetailByDistrict[Dist],0),MATCH(L$2,DetailByDistrict[#Headers],0))*K1340,2)</f>
        <v>1299.17</v>
      </c>
      <c r="M1340" s="59">
        <f>ROUNDDOWN(INDEX(DetailByDistrict[],MATCH($H1340,DetailByDistrict[Dist],0),MATCH(M$2,DetailByDistrict[#Headers],0))*K1340,2)</f>
        <v>1428.6</v>
      </c>
      <c r="N1340" s="78"/>
      <c r="O1340" s="78"/>
      <c r="P1340" s="78"/>
      <c r="Q1340" s="78"/>
      <c r="R1340" s="78"/>
      <c r="S1340" s="78"/>
      <c r="T1340" s="78"/>
      <c r="U1340" s="78"/>
      <c r="V1340" s="78"/>
      <c r="W1340" s="78"/>
      <c r="X1340" s="78"/>
      <c r="Y1340" s="78"/>
      <c r="Z1340" s="78"/>
    </row>
    <row r="1341" spans="1:26" ht="15.75" customHeight="1" x14ac:dyDescent="0.25">
      <c r="A1341" s="53">
        <v>15</v>
      </c>
      <c r="B1341" s="54" t="s">
        <v>1236</v>
      </c>
      <c r="C1341" s="54" t="s">
        <v>909</v>
      </c>
      <c r="D1341" s="53">
        <v>5166</v>
      </c>
      <c r="E1341" s="53">
        <v>8302</v>
      </c>
      <c r="F1341" s="54" t="s">
        <v>1256</v>
      </c>
      <c r="G1341" s="53" t="s">
        <v>330</v>
      </c>
      <c r="H1341" s="58" t="str">
        <f>_xlfn.IFNA(INDEX(ActiveSchools!$C$2:$F$326,MATCH(G1341,ActiveSchools!$F$2:$F$326,0),1),"Total")</f>
        <v>5049</v>
      </c>
      <c r="I1341" s="53">
        <v>3</v>
      </c>
      <c r="J1341" s="59">
        <f>_xlfn.IFNA(INDEX(DetailByDistrict[],MATCH($H1341,DetailByDistrict[Dist],0),MATCH(J$2,DetailByDistrict[#Headers],0)),0)</f>
        <v>170</v>
      </c>
      <c r="K1341" s="54">
        <f t="shared" si="20"/>
        <v>1.7647058823529412E-2</v>
      </c>
      <c r="L1341" s="59">
        <f>ROUNDDOWN(INDEX(DetailByDistrict[],MATCH($H1341,DetailByDistrict[Dist],0),MATCH(L$2,DetailByDistrict[#Headers],0))*K1341,2)</f>
        <v>194.87</v>
      </c>
      <c r="M1341" s="59">
        <f>ROUNDDOWN(INDEX(DetailByDistrict[],MATCH($H1341,DetailByDistrict[Dist],0),MATCH(M$2,DetailByDistrict[#Headers],0))*K1341,2)</f>
        <v>214.28</v>
      </c>
      <c r="N1341" s="78"/>
      <c r="O1341" s="78"/>
      <c r="P1341" s="78"/>
      <c r="Q1341" s="78"/>
      <c r="R1341" s="78"/>
      <c r="S1341" s="78"/>
      <c r="T1341" s="78"/>
      <c r="U1341" s="78"/>
      <c r="V1341" s="78"/>
      <c r="W1341" s="78"/>
      <c r="X1341" s="78"/>
      <c r="Y1341" s="78"/>
      <c r="Z1341" s="78"/>
    </row>
    <row r="1342" spans="1:26" ht="15.75" customHeight="1" x14ac:dyDescent="0.25">
      <c r="A1342" s="53">
        <v>15</v>
      </c>
      <c r="B1342" s="54" t="s">
        <v>1236</v>
      </c>
      <c r="C1342" s="54" t="s">
        <v>909</v>
      </c>
      <c r="D1342" s="53">
        <v>5166</v>
      </c>
      <c r="E1342" s="53">
        <v>8302</v>
      </c>
      <c r="F1342" s="54" t="s">
        <v>1261</v>
      </c>
      <c r="G1342" s="53" t="s">
        <v>53</v>
      </c>
      <c r="H1342" s="58" t="str">
        <f>_xlfn.IFNA(INDEX(ActiveSchools!$C$2:$F$326,MATCH(G1342,ActiveSchools!$F$2:$F$326,0),1),"Total")</f>
        <v>6102</v>
      </c>
      <c r="I1342" s="53">
        <v>1</v>
      </c>
      <c r="J1342" s="59">
        <f>_xlfn.IFNA(INDEX(DetailByDistrict[],MATCH($H1342,DetailByDistrict[Dist],0),MATCH(J$2,DetailByDistrict[#Headers],0)),0)</f>
        <v>228</v>
      </c>
      <c r="K1342" s="54">
        <f t="shared" si="20"/>
        <v>4.3859649122807015E-3</v>
      </c>
      <c r="L1342" s="59">
        <f>ROUNDDOWN(INDEX(DetailByDistrict[],MATCH($H1342,DetailByDistrict[Dist],0),MATCH(L$2,DetailByDistrict[#Headers],0))*K1342,2)</f>
        <v>65.34</v>
      </c>
      <c r="M1342" s="59">
        <f>ROUNDDOWN(INDEX(DetailByDistrict[],MATCH($H1342,DetailByDistrict[Dist],0),MATCH(M$2,DetailByDistrict[#Headers],0))*K1342,2)</f>
        <v>73.150000000000006</v>
      </c>
      <c r="N1342" s="78"/>
      <c r="O1342" s="78"/>
      <c r="P1342" s="78"/>
      <c r="Q1342" s="78"/>
      <c r="R1342" s="78"/>
      <c r="S1342" s="78"/>
      <c r="T1342" s="78"/>
      <c r="U1342" s="78"/>
      <c r="V1342" s="78"/>
      <c r="W1342" s="78"/>
      <c r="X1342" s="78"/>
      <c r="Y1342" s="78"/>
      <c r="Z1342" s="78"/>
    </row>
    <row r="1343" spans="1:26" ht="15.75" customHeight="1" x14ac:dyDescent="0.25">
      <c r="A1343" s="53">
        <v>15</v>
      </c>
      <c r="B1343" s="54" t="s">
        <v>1236</v>
      </c>
      <c r="C1343" s="54" t="s">
        <v>909</v>
      </c>
      <c r="D1343" s="53">
        <v>5166</v>
      </c>
      <c r="E1343" s="53">
        <v>8302</v>
      </c>
      <c r="F1343" s="54" t="s">
        <v>1257</v>
      </c>
      <c r="G1343" s="53" t="s">
        <v>334</v>
      </c>
      <c r="H1343" s="58" t="str">
        <f>_xlfn.IFNA(INDEX(ActiveSchools!$C$2:$F$326,MATCH(G1343,ActiveSchools!$F$2:$F$326,0),1),"Total")</f>
        <v>6462</v>
      </c>
      <c r="I1343" s="53">
        <v>1</v>
      </c>
      <c r="J1343" s="59">
        <f>_xlfn.IFNA(INDEX(DetailByDistrict[],MATCH($H1343,DetailByDistrict[Dist],0),MATCH(J$2,DetailByDistrict[#Headers],0)),0)</f>
        <v>6</v>
      </c>
      <c r="K1343" s="54">
        <f t="shared" si="20"/>
        <v>0.16666666666666666</v>
      </c>
      <c r="L1343" s="59">
        <f>ROUNDDOWN(INDEX(DetailByDistrict[],MATCH($H1343,DetailByDistrict[Dist],0),MATCH(L$2,DetailByDistrict[#Headers],0))*K1343,2)</f>
        <v>65</v>
      </c>
      <c r="M1343" s="59">
        <f>ROUNDDOWN(INDEX(DetailByDistrict[],MATCH($H1343,DetailByDistrict[Dist],0),MATCH(M$2,DetailByDistrict[#Headers],0))*K1343,2)</f>
        <v>71.5</v>
      </c>
      <c r="N1343" s="78"/>
      <c r="O1343" s="78"/>
      <c r="P1343" s="78"/>
      <c r="Q1343" s="78"/>
      <c r="R1343" s="78"/>
      <c r="S1343" s="78"/>
      <c r="T1343" s="78"/>
      <c r="U1343" s="78"/>
      <c r="V1343" s="78"/>
      <c r="W1343" s="78"/>
      <c r="X1343" s="78"/>
      <c r="Y1343" s="78"/>
      <c r="Z1343" s="78"/>
    </row>
    <row r="1344" spans="1:26" ht="15.75" customHeight="1" x14ac:dyDescent="0.25">
      <c r="A1344" s="53">
        <v>15</v>
      </c>
      <c r="B1344" s="54" t="s">
        <v>1236</v>
      </c>
      <c r="C1344" s="54" t="s">
        <v>910</v>
      </c>
      <c r="D1344" s="53">
        <v>5166</v>
      </c>
      <c r="E1344" s="53">
        <v>8305</v>
      </c>
      <c r="F1344" s="54" t="s">
        <v>1254</v>
      </c>
      <c r="G1344" s="53" t="s">
        <v>328</v>
      </c>
      <c r="H1344" s="58" t="str">
        <f>_xlfn.IFNA(INDEX(ActiveSchools!$C$2:$F$326,MATCH(G1344,ActiveSchools!$F$2:$F$326,0),1),"Total")</f>
        <v>4776</v>
      </c>
      <c r="I1344" s="53">
        <v>10</v>
      </c>
      <c r="J1344" s="59">
        <f>_xlfn.IFNA(INDEX(DetailByDistrict[],MATCH($H1344,DetailByDistrict[Dist],0),MATCH(J$2,DetailByDistrict[#Headers],0)),0)</f>
        <v>32</v>
      </c>
      <c r="K1344" s="54">
        <f t="shared" si="20"/>
        <v>0.3125</v>
      </c>
      <c r="L1344" s="59">
        <f>ROUNDDOWN(INDEX(DetailByDistrict[],MATCH($H1344,DetailByDistrict[Dist],0),MATCH(L$2,DetailByDistrict[#Headers],0))*K1344,2)</f>
        <v>649.67999999999995</v>
      </c>
      <c r="M1344" s="59">
        <f>ROUNDDOWN(INDEX(DetailByDistrict[],MATCH($H1344,DetailByDistrict[Dist],0),MATCH(M$2,DetailByDistrict[#Headers],0))*K1344,2)</f>
        <v>714.37</v>
      </c>
      <c r="N1344" s="78"/>
      <c r="O1344" s="78"/>
      <c r="P1344" s="78"/>
      <c r="Q1344" s="78"/>
      <c r="R1344" s="78"/>
      <c r="S1344" s="78"/>
      <c r="T1344" s="78"/>
      <c r="U1344" s="78"/>
      <c r="V1344" s="78"/>
      <c r="W1344" s="78"/>
      <c r="X1344" s="78"/>
      <c r="Y1344" s="78"/>
      <c r="Z1344" s="78"/>
    </row>
    <row r="1345" spans="1:26" ht="15.75" customHeight="1" x14ac:dyDescent="0.25">
      <c r="A1345" s="53">
        <v>15</v>
      </c>
      <c r="B1345" s="54" t="s">
        <v>1236</v>
      </c>
      <c r="C1345" s="54" t="s">
        <v>910</v>
      </c>
      <c r="D1345" s="53">
        <v>5166</v>
      </c>
      <c r="E1345" s="53">
        <v>8305</v>
      </c>
      <c r="F1345" s="54" t="s">
        <v>1255</v>
      </c>
      <c r="G1345" s="53" t="s">
        <v>329</v>
      </c>
      <c r="H1345" s="58" t="str">
        <f>_xlfn.IFNA(INDEX(ActiveSchools!$C$2:$F$326,MATCH(G1345,ActiveSchools!$F$2:$F$326,0),1),"Total")</f>
        <v>5013</v>
      </c>
      <c r="I1345" s="53">
        <v>2</v>
      </c>
      <c r="J1345" s="59">
        <f>_xlfn.IFNA(INDEX(DetailByDistrict[],MATCH($H1345,DetailByDistrict[Dist],0),MATCH(J$2,DetailByDistrict[#Headers],0)),0)</f>
        <v>193</v>
      </c>
      <c r="K1345" s="54">
        <f t="shared" si="20"/>
        <v>1.0362694300518135E-2</v>
      </c>
      <c r="L1345" s="59">
        <f>ROUNDDOWN(INDEX(DetailByDistrict[],MATCH($H1345,DetailByDistrict[Dist],0),MATCH(L$2,DetailByDistrict[#Headers],0))*K1345,2)</f>
        <v>129.91</v>
      </c>
      <c r="M1345" s="59">
        <f>ROUNDDOWN(INDEX(DetailByDistrict[],MATCH($H1345,DetailByDistrict[Dist],0),MATCH(M$2,DetailByDistrict[#Headers],0))*K1345,2)</f>
        <v>142.86000000000001</v>
      </c>
      <c r="N1345" s="78"/>
      <c r="O1345" s="78"/>
      <c r="P1345" s="78"/>
      <c r="Q1345" s="78"/>
      <c r="R1345" s="78"/>
      <c r="S1345" s="78"/>
      <c r="T1345" s="78"/>
      <c r="U1345" s="78"/>
      <c r="V1345" s="78"/>
      <c r="W1345" s="78"/>
      <c r="X1345" s="78"/>
      <c r="Y1345" s="78"/>
      <c r="Z1345" s="78"/>
    </row>
    <row r="1346" spans="1:26" ht="15.75" customHeight="1" x14ac:dyDescent="0.25">
      <c r="A1346" s="53">
        <v>15</v>
      </c>
      <c r="B1346" s="54" t="s">
        <v>1236</v>
      </c>
      <c r="C1346" s="54" t="s">
        <v>937</v>
      </c>
      <c r="D1346" s="53">
        <v>6768</v>
      </c>
      <c r="E1346" s="53">
        <v>8103</v>
      </c>
      <c r="F1346" s="54" t="s">
        <v>1251</v>
      </c>
      <c r="G1346" s="53" t="s">
        <v>321</v>
      </c>
      <c r="H1346" s="58" t="str">
        <f>_xlfn.IFNA(INDEX(ActiveSchools!$C$2:$F$326,MATCH(G1346,ActiveSchools!$F$2:$F$326,0),1),"Total")</f>
        <v>3330</v>
      </c>
      <c r="I1346" s="53">
        <v>1</v>
      </c>
      <c r="J1346" s="59">
        <f>_xlfn.IFNA(INDEX(DetailByDistrict[],MATCH($H1346,DetailByDistrict[Dist],0),MATCH(J$2,DetailByDistrict[#Headers],0)),0)</f>
        <v>4</v>
      </c>
      <c r="K1346" s="54">
        <f t="shared" si="20"/>
        <v>0.25</v>
      </c>
      <c r="L1346" s="59">
        <f>ROUNDDOWN(INDEX(DetailByDistrict[],MATCH($H1346,DetailByDistrict[Dist],0),MATCH(L$2,DetailByDistrict[#Headers],0))*K1346,2)</f>
        <v>65</v>
      </c>
      <c r="M1346" s="59">
        <f>ROUNDDOWN(INDEX(DetailByDistrict[],MATCH($H1346,DetailByDistrict[Dist],0),MATCH(M$2,DetailByDistrict[#Headers],0))*K1346,2)</f>
        <v>71.5</v>
      </c>
      <c r="N1346" s="78"/>
      <c r="O1346" s="78"/>
      <c r="P1346" s="78"/>
      <c r="Q1346" s="78"/>
      <c r="R1346" s="78"/>
      <c r="S1346" s="78"/>
      <c r="T1346" s="78"/>
      <c r="U1346" s="78"/>
      <c r="V1346" s="78"/>
      <c r="W1346" s="78"/>
      <c r="X1346" s="78"/>
      <c r="Y1346" s="78"/>
      <c r="Z1346" s="78"/>
    </row>
    <row r="1347" spans="1:26" ht="15.75" customHeight="1" x14ac:dyDescent="0.25">
      <c r="A1347" s="53">
        <v>15</v>
      </c>
      <c r="B1347" s="54" t="s">
        <v>1236</v>
      </c>
      <c r="C1347" s="54" t="s">
        <v>961</v>
      </c>
      <c r="D1347" s="53">
        <v>7029</v>
      </c>
      <c r="E1347" s="53">
        <v>8204</v>
      </c>
      <c r="F1347" s="54" t="s">
        <v>1257</v>
      </c>
      <c r="G1347" s="53" t="s">
        <v>334</v>
      </c>
      <c r="H1347" s="58" t="str">
        <f>_xlfn.IFNA(INDEX(ActiveSchools!$C$2:$F$326,MATCH(G1347,ActiveSchools!$F$2:$F$326,0),1),"Total")</f>
        <v>6462</v>
      </c>
      <c r="I1347" s="53">
        <v>2</v>
      </c>
      <c r="J1347" s="59">
        <f>_xlfn.IFNA(INDEX(DetailByDistrict[],MATCH($H1347,DetailByDistrict[Dist],0),MATCH(J$2,DetailByDistrict[#Headers],0)),0)</f>
        <v>6</v>
      </c>
      <c r="K1347" s="54">
        <f t="shared" si="20"/>
        <v>0.33333333333333331</v>
      </c>
      <c r="L1347" s="59">
        <f>ROUNDDOWN(INDEX(DetailByDistrict[],MATCH($H1347,DetailByDistrict[Dist],0),MATCH(L$2,DetailByDistrict[#Headers],0))*K1347,2)</f>
        <v>130</v>
      </c>
      <c r="M1347" s="59">
        <f>ROUNDDOWN(INDEX(DetailByDistrict[],MATCH($H1347,DetailByDistrict[Dist],0),MATCH(M$2,DetailByDistrict[#Headers],0))*K1347,2)</f>
        <v>143</v>
      </c>
      <c r="N1347" s="78"/>
      <c r="O1347" s="78"/>
      <c r="P1347" s="78"/>
      <c r="Q1347" s="78"/>
      <c r="R1347" s="78"/>
      <c r="S1347" s="78"/>
      <c r="T1347" s="78"/>
      <c r="U1347" s="78"/>
      <c r="V1347" s="78"/>
      <c r="W1347" s="78"/>
      <c r="X1347" s="78"/>
      <c r="Y1347" s="78"/>
      <c r="Z1347" s="78"/>
    </row>
    <row r="1348" spans="1:26" ht="15.75" customHeight="1" x14ac:dyDescent="0.25">
      <c r="A1348" s="62"/>
      <c r="B1348" s="64"/>
      <c r="C1348" s="65"/>
      <c r="D1348" s="62"/>
      <c r="E1348" s="62"/>
      <c r="F1348" s="62" t="s">
        <v>1236</v>
      </c>
      <c r="G1348" s="62" t="s">
        <v>736</v>
      </c>
      <c r="H1348" s="62" t="str">
        <f>_xlfn.IFNA(INDEX(ActiveSchools!$C$2:$F$326,MATCH(G1348,ActiveSchools!$F$2:$F$326,0),1),"Total")</f>
        <v>Total</v>
      </c>
      <c r="I1348" s="62">
        <f>SUM(I1266:I1347)</f>
        <v>1470</v>
      </c>
      <c r="J1348" s="62">
        <f>_xlfn.IFNA(INDEX(DetailByDistrict[],MATCH($H1348,DetailByDistrict[Dist],0),MATCH(J$2,DetailByDistrict[#Headers],0)),0)</f>
        <v>0</v>
      </c>
      <c r="K1348" s="62" t="e">
        <f t="shared" ref="K1348:K1349" si="21">I1348/J1348</f>
        <v>#DIV/0!</v>
      </c>
      <c r="L1348" s="63">
        <f>SUM(L1266:L1347)</f>
        <v>95493.999999999985</v>
      </c>
      <c r="M1348" s="63">
        <f>SUM(M1266:M1347)</f>
        <v>105002.99999999996</v>
      </c>
      <c r="N1348" s="78"/>
      <c r="O1348" s="78"/>
      <c r="P1348" s="78"/>
      <c r="Q1348" s="78"/>
      <c r="R1348" s="78"/>
      <c r="S1348" s="78"/>
      <c r="T1348" s="78"/>
      <c r="U1348" s="78"/>
      <c r="V1348" s="78"/>
      <c r="W1348" s="78"/>
      <c r="X1348" s="78"/>
      <c r="Y1348" s="78"/>
      <c r="Z1348" s="78"/>
    </row>
    <row r="1349" spans="1:26" ht="15.75" customHeight="1" x14ac:dyDescent="0.25">
      <c r="A1349" s="69"/>
      <c r="B1349" s="70"/>
      <c r="C1349" s="71"/>
      <c r="D1349" s="69"/>
      <c r="E1349" s="69"/>
      <c r="F1349" s="69"/>
      <c r="G1349" s="69" t="s">
        <v>1262</v>
      </c>
      <c r="H1349" s="58" t="str">
        <f>_xlfn.IFNA(INDEX(ActiveSchools!$C$2:$F$326,MATCH(G1349,ActiveSchools!$F$2:$F$326,0),1),"Total")</f>
        <v>Total</v>
      </c>
      <c r="I1349" s="72">
        <f>SUM(I84+I170+I353+I448+I650+I1056+I1217+I1265+I1348)</f>
        <v>39356</v>
      </c>
      <c r="J1349" s="59">
        <f>_xlfn.IFNA(INDEX(DetailByDistrict[],MATCH($H1349,DetailByDistrict[Dist],0),MATCH(J$2,DetailByDistrict[#Headers],0)),0)</f>
        <v>0</v>
      </c>
      <c r="K1349" s="54" t="e">
        <f t="shared" si="21"/>
        <v>#DIV/0!</v>
      </c>
      <c r="L1349" s="73">
        <f>SUM(L84+L170+L353+L448+L650+L1056+L1217+L1265+L1348)</f>
        <v>2560105.9999999991</v>
      </c>
      <c r="M1349" s="73">
        <f>SUM(M84+M170+M353+M448+M650+M1056+M1217+M1265+M1348)</f>
        <v>2831676.0000000005</v>
      </c>
      <c r="N1349" s="78"/>
      <c r="O1349" s="78"/>
      <c r="P1349" s="78"/>
      <c r="Q1349" s="78"/>
      <c r="R1349" s="78"/>
      <c r="S1349" s="78"/>
      <c r="T1349" s="78"/>
      <c r="U1349" s="78"/>
      <c r="V1349" s="78"/>
      <c r="W1349" s="78"/>
      <c r="X1349" s="78"/>
      <c r="Y1349" s="78"/>
      <c r="Z1349" s="78"/>
    </row>
    <row r="1350" spans="1:26" ht="15.75" customHeight="1" x14ac:dyDescent="0.25">
      <c r="A1350" s="76"/>
      <c r="B1350" s="78"/>
      <c r="C1350" s="78"/>
      <c r="D1350" s="76"/>
      <c r="E1350" s="76"/>
      <c r="F1350" s="78"/>
      <c r="G1350" s="76"/>
      <c r="H1350" s="76"/>
      <c r="I1350" s="76"/>
      <c r="J1350" s="78"/>
      <c r="K1350" s="78"/>
      <c r="L1350" s="78"/>
      <c r="M1350" s="78"/>
      <c r="N1350" s="78"/>
      <c r="O1350" s="78"/>
      <c r="P1350" s="78"/>
      <c r="Q1350" s="78"/>
      <c r="R1350" s="78"/>
      <c r="S1350" s="78"/>
      <c r="T1350" s="78"/>
      <c r="U1350" s="78"/>
      <c r="V1350" s="78"/>
      <c r="W1350" s="78"/>
      <c r="X1350" s="78"/>
      <c r="Y1350" s="78"/>
      <c r="Z1350" s="78"/>
    </row>
  </sheetData>
  <sheetProtection sheet="1" objects="1" scenarios="1"/>
  <pageMargins left="0.7" right="0.7" top="0.75" bottom="0.75" header="0" footer="0"/>
  <pageSetup scale="58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C63F1-1334-4DEC-873F-187DF315AC18}">
  <sheetPr>
    <tabColor theme="2" tint="-0.499984740745262"/>
    <pageSetUpPr fitToPage="1"/>
  </sheetPr>
  <dimension ref="A1:G290"/>
  <sheetViews>
    <sheetView workbookViewId="0">
      <pane xSplit="1" ySplit="2" topLeftCell="B264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5703125" customWidth="1"/>
    <col min="2" max="2" width="17.140625" customWidth="1"/>
    <col min="3" max="3" width="40.42578125" customWidth="1"/>
    <col min="4" max="5" width="14.42578125" customWidth="1"/>
    <col min="6" max="6" width="25.28515625" customWidth="1"/>
    <col min="7" max="7" width="21.140625" customWidth="1"/>
  </cols>
  <sheetData>
    <row r="1" spans="1:7" x14ac:dyDescent="0.25">
      <c r="A1" s="79" t="s">
        <v>1278</v>
      </c>
    </row>
    <row r="2" spans="1:7" ht="45" x14ac:dyDescent="0.25">
      <c r="A2" s="55" t="s">
        <v>343</v>
      </c>
      <c r="B2" s="55" t="s">
        <v>344</v>
      </c>
      <c r="C2" s="55" t="s">
        <v>964</v>
      </c>
      <c r="D2" s="55" t="s">
        <v>1275</v>
      </c>
      <c r="E2" s="55" t="s">
        <v>963</v>
      </c>
      <c r="F2" s="55" t="s">
        <v>1264</v>
      </c>
      <c r="G2" s="55" t="s">
        <v>1265</v>
      </c>
    </row>
    <row r="3" spans="1:7" x14ac:dyDescent="0.25">
      <c r="A3" s="80" t="s">
        <v>0</v>
      </c>
      <c r="B3" s="81" t="s">
        <v>967</v>
      </c>
      <c r="C3" s="81" t="s">
        <v>768</v>
      </c>
      <c r="D3" s="80" t="s">
        <v>1</v>
      </c>
      <c r="E3" s="82">
        <v>8102</v>
      </c>
      <c r="F3" s="35">
        <f>SUMIFS('Media&amp;EdByAEA,Dist,Nonpublic'!$L$3:$L$1349,'Media&amp;EdByAEA,Dist,Nonpublic'!$A$3:$A$1349,'Media&amp;EdByAEA,Nonpublic'!$A3,'Media&amp;EdByAEA,Dist,Nonpublic'!$D$3:$D$1349,'Media&amp;EdByAEA,Nonpublic'!$D3,'Media&amp;EdByAEA,Dist,Nonpublic'!$E$3:$E$1349,'Media&amp;EdByAEA,Nonpublic'!$E3)</f>
        <v>10964.45</v>
      </c>
      <c r="G3" s="35">
        <f>SUMIFS('Media&amp;EdByAEA,Dist,Nonpublic'!$M$3:$M$1349,'Media&amp;EdByAEA,Dist,Nonpublic'!$A$3:$A$1349,'Media&amp;EdByAEA,Nonpublic'!$A3,'Media&amp;EdByAEA,Dist,Nonpublic'!$D$3:$D$1349,'Media&amp;EdByAEA,Nonpublic'!$D3,'Media&amp;EdByAEA,Dist,Nonpublic'!$E$3:$E$1349,'Media&amp;EdByAEA,Nonpublic'!$E3)</f>
        <v>12211.86</v>
      </c>
    </row>
    <row r="4" spans="1:7" x14ac:dyDescent="0.25">
      <c r="A4" s="80" t="s">
        <v>0</v>
      </c>
      <c r="B4" s="81" t="s">
        <v>967</v>
      </c>
      <c r="C4" s="81" t="s">
        <v>775</v>
      </c>
      <c r="D4" s="80" t="s">
        <v>120</v>
      </c>
      <c r="E4" s="82">
        <v>8107</v>
      </c>
      <c r="F4" s="35">
        <f>SUMIFS('Media&amp;EdByAEA,Dist,Nonpublic'!$L$3:$L$1349,'Media&amp;EdByAEA,Dist,Nonpublic'!$A$3:$A$1349,'Media&amp;EdByAEA,Nonpublic'!$A4,'Media&amp;EdByAEA,Dist,Nonpublic'!$D$3:$D$1349,'Media&amp;EdByAEA,Nonpublic'!$D4,'Media&amp;EdByAEA,Dist,Nonpublic'!$E$3:$E$1349,'Media&amp;EdByAEA,Nonpublic'!$E4)</f>
        <v>1500.98</v>
      </c>
      <c r="G4" s="35">
        <f>SUMIFS('Media&amp;EdByAEA,Dist,Nonpublic'!$M$3:$M$1349,'Media&amp;EdByAEA,Dist,Nonpublic'!$A$3:$A$1349,'Media&amp;EdByAEA,Nonpublic'!$A4,'Media&amp;EdByAEA,Dist,Nonpublic'!$D$3:$D$1349,'Media&amp;EdByAEA,Nonpublic'!$D4,'Media&amp;EdByAEA,Dist,Nonpublic'!$E$3:$E$1349,'Media&amp;EdByAEA,Nonpublic'!$E4)</f>
        <v>1671.87</v>
      </c>
    </row>
    <row r="5" spans="1:7" x14ac:dyDescent="0.25">
      <c r="A5" s="80" t="s">
        <v>0</v>
      </c>
      <c r="B5" s="81" t="s">
        <v>967</v>
      </c>
      <c r="C5" s="81" t="s">
        <v>776</v>
      </c>
      <c r="D5" s="80" t="s">
        <v>120</v>
      </c>
      <c r="E5" s="82">
        <v>8109</v>
      </c>
      <c r="F5" s="35">
        <f>SUMIFS('Media&amp;EdByAEA,Dist,Nonpublic'!$L$3:$L$1349,'Media&amp;EdByAEA,Dist,Nonpublic'!$A$3:$A$1349,'Media&amp;EdByAEA,Nonpublic'!$A5,'Media&amp;EdByAEA,Dist,Nonpublic'!$D$3:$D$1349,'Media&amp;EdByAEA,Nonpublic'!$D5,'Media&amp;EdByAEA,Dist,Nonpublic'!$E$3:$E$1349,'Media&amp;EdByAEA,Nonpublic'!$E5)</f>
        <v>456.82</v>
      </c>
      <c r="G5" s="35">
        <f>SUMIFS('Media&amp;EdByAEA,Dist,Nonpublic'!$M$3:$M$1349,'Media&amp;EdByAEA,Dist,Nonpublic'!$A$3:$A$1349,'Media&amp;EdByAEA,Nonpublic'!$A5,'Media&amp;EdByAEA,Dist,Nonpublic'!$D$3:$D$1349,'Media&amp;EdByAEA,Nonpublic'!$D5,'Media&amp;EdByAEA,Dist,Nonpublic'!$E$3:$E$1349,'Media&amp;EdByAEA,Nonpublic'!$E5)</f>
        <v>508.83</v>
      </c>
    </row>
    <row r="6" spans="1:7" x14ac:dyDescent="0.25">
      <c r="A6" s="80" t="s">
        <v>0</v>
      </c>
      <c r="B6" s="81" t="s">
        <v>967</v>
      </c>
      <c r="C6" s="81" t="s">
        <v>808</v>
      </c>
      <c r="D6" s="82">
        <v>1116</v>
      </c>
      <c r="E6" s="82">
        <v>8102</v>
      </c>
      <c r="F6" s="35">
        <f>SUMIFS('Media&amp;EdByAEA,Dist,Nonpublic'!$L$3:$L$1349,'Media&amp;EdByAEA,Dist,Nonpublic'!$A$3:$A$1349,'Media&amp;EdByAEA,Nonpublic'!$A6,'Media&amp;EdByAEA,Dist,Nonpublic'!$D$3:$D$1349,'Media&amp;EdByAEA,Nonpublic'!$D6,'Media&amp;EdByAEA,Dist,Nonpublic'!$E$3:$E$1349,'Media&amp;EdByAEA,Nonpublic'!$E6)</f>
        <v>195.76999999999998</v>
      </c>
      <c r="G6" s="35">
        <f>SUMIFS('Media&amp;EdByAEA,Dist,Nonpublic'!$M$3:$M$1349,'Media&amp;EdByAEA,Dist,Nonpublic'!$A$3:$A$1349,'Media&amp;EdByAEA,Nonpublic'!$A6,'Media&amp;EdByAEA,Dist,Nonpublic'!$D$3:$D$1349,'Media&amp;EdByAEA,Nonpublic'!$D6,'Media&amp;EdByAEA,Dist,Nonpublic'!$E$3:$E$1349,'Media&amp;EdByAEA,Nonpublic'!$E6)</f>
        <v>218.07</v>
      </c>
    </row>
    <row r="7" spans="1:7" x14ac:dyDescent="0.25">
      <c r="A7" s="80" t="s">
        <v>0</v>
      </c>
      <c r="B7" s="81" t="s">
        <v>967</v>
      </c>
      <c r="C7" s="81" t="s">
        <v>809</v>
      </c>
      <c r="D7" s="82">
        <v>1116</v>
      </c>
      <c r="E7" s="82">
        <v>8106</v>
      </c>
      <c r="F7" s="35">
        <f>SUMIFS('Media&amp;EdByAEA,Dist,Nonpublic'!$L$3:$L$1349,'Media&amp;EdByAEA,Dist,Nonpublic'!$A$3:$A$1349,'Media&amp;EdByAEA,Nonpublic'!$A7,'Media&amp;EdByAEA,Dist,Nonpublic'!$D$3:$D$1349,'Media&amp;EdByAEA,Nonpublic'!$D7,'Media&amp;EdByAEA,Dist,Nonpublic'!$E$3:$E$1349,'Media&amp;EdByAEA,Nonpublic'!$E7)</f>
        <v>65.33</v>
      </c>
      <c r="G7" s="35">
        <f>SUMIFS('Media&amp;EdByAEA,Dist,Nonpublic'!$M$3:$M$1349,'Media&amp;EdByAEA,Dist,Nonpublic'!$A$3:$A$1349,'Media&amp;EdByAEA,Nonpublic'!$A7,'Media&amp;EdByAEA,Dist,Nonpublic'!$D$3:$D$1349,'Media&amp;EdByAEA,Nonpublic'!$D7,'Media&amp;EdByAEA,Dist,Nonpublic'!$E$3:$E$1349,'Media&amp;EdByAEA,Nonpublic'!$E7)</f>
        <v>72.67</v>
      </c>
    </row>
    <row r="8" spans="1:7" x14ac:dyDescent="0.25">
      <c r="A8" s="80" t="s">
        <v>0</v>
      </c>
      <c r="B8" s="81" t="s">
        <v>967</v>
      </c>
      <c r="C8" s="81" t="s">
        <v>822</v>
      </c>
      <c r="D8" s="82">
        <v>1638</v>
      </c>
      <c r="E8" s="82">
        <v>8102</v>
      </c>
      <c r="F8" s="35">
        <f>SUMIFS('Media&amp;EdByAEA,Dist,Nonpublic'!$L$3:$L$1349,'Media&amp;EdByAEA,Dist,Nonpublic'!$A$3:$A$1349,'Media&amp;EdByAEA,Nonpublic'!$A8,'Media&amp;EdByAEA,Dist,Nonpublic'!$D$3:$D$1349,'Media&amp;EdByAEA,Nonpublic'!$D8,'Media&amp;EdByAEA,Dist,Nonpublic'!$E$3:$E$1349,'Media&amp;EdByAEA,Nonpublic'!$E8)</f>
        <v>9984.6</v>
      </c>
      <c r="G8" s="35">
        <f>SUMIFS('Media&amp;EdByAEA,Dist,Nonpublic'!$M$3:$M$1349,'Media&amp;EdByAEA,Dist,Nonpublic'!$A$3:$A$1349,'Media&amp;EdByAEA,Nonpublic'!$A8,'Media&amp;EdByAEA,Dist,Nonpublic'!$D$3:$D$1349,'Media&amp;EdByAEA,Nonpublic'!$D8,'Media&amp;EdByAEA,Dist,Nonpublic'!$E$3:$E$1349,'Media&amp;EdByAEA,Nonpublic'!$E8)</f>
        <v>11121.32</v>
      </c>
    </row>
    <row r="9" spans="1:7" x14ac:dyDescent="0.25">
      <c r="A9" s="80" t="s">
        <v>0</v>
      </c>
      <c r="B9" s="81" t="s">
        <v>967</v>
      </c>
      <c r="C9" s="81" t="s">
        <v>823</v>
      </c>
      <c r="D9" s="82">
        <v>1638</v>
      </c>
      <c r="E9" s="82">
        <v>8106</v>
      </c>
      <c r="F9" s="35">
        <f>SUMIFS('Media&amp;EdByAEA,Dist,Nonpublic'!$L$3:$L$1349,'Media&amp;EdByAEA,Dist,Nonpublic'!$A$3:$A$1349,'Media&amp;EdByAEA,Nonpublic'!$A9,'Media&amp;EdByAEA,Dist,Nonpublic'!$D$3:$D$1349,'Media&amp;EdByAEA,Nonpublic'!$D9,'Media&amp;EdByAEA,Dist,Nonpublic'!$E$3:$E$1349,'Media&amp;EdByAEA,Nonpublic'!$E9)</f>
        <v>1631.47</v>
      </c>
      <c r="G9" s="35">
        <f>SUMIFS('Media&amp;EdByAEA,Dist,Nonpublic'!$M$3:$M$1349,'Media&amp;EdByAEA,Dist,Nonpublic'!$A$3:$A$1349,'Media&amp;EdByAEA,Nonpublic'!$A9,'Media&amp;EdByAEA,Dist,Nonpublic'!$D$3:$D$1349,'Media&amp;EdByAEA,Nonpublic'!$D9,'Media&amp;EdByAEA,Dist,Nonpublic'!$E$3:$E$1349,'Media&amp;EdByAEA,Nonpublic'!$E9)</f>
        <v>1817.21</v>
      </c>
    </row>
    <row r="10" spans="1:7" x14ac:dyDescent="0.25">
      <c r="A10" s="80" t="s">
        <v>0</v>
      </c>
      <c r="B10" s="81" t="s">
        <v>967</v>
      </c>
      <c r="C10" s="81" t="s">
        <v>843</v>
      </c>
      <c r="D10" s="82">
        <v>1863</v>
      </c>
      <c r="E10" s="82">
        <v>8122</v>
      </c>
      <c r="F10" s="35">
        <f>SUMIFS('Media&amp;EdByAEA,Dist,Nonpublic'!$L$3:$L$1349,'Media&amp;EdByAEA,Dist,Nonpublic'!$A$3:$A$1349,'Media&amp;EdByAEA,Nonpublic'!$A10,'Media&amp;EdByAEA,Dist,Nonpublic'!$D$3:$D$1349,'Media&amp;EdByAEA,Nonpublic'!$D10,'Media&amp;EdByAEA,Dist,Nonpublic'!$E$3:$E$1349,'Media&amp;EdByAEA,Nonpublic'!$E10)</f>
        <v>17685.52</v>
      </c>
      <c r="G10" s="35">
        <f>SUMIFS('Media&amp;EdByAEA,Dist,Nonpublic'!$M$3:$M$1349,'Media&amp;EdByAEA,Dist,Nonpublic'!$A$3:$A$1349,'Media&amp;EdByAEA,Nonpublic'!$A10,'Media&amp;EdByAEA,Dist,Nonpublic'!$D$3:$D$1349,'Media&amp;EdByAEA,Nonpublic'!$D10,'Media&amp;EdByAEA,Dist,Nonpublic'!$E$3:$E$1349,'Media&amp;EdByAEA,Nonpublic'!$E10)</f>
        <v>19699.02</v>
      </c>
    </row>
    <row r="11" spans="1:7" x14ac:dyDescent="0.25">
      <c r="A11" s="80" t="s">
        <v>0</v>
      </c>
      <c r="B11" s="81" t="s">
        <v>967</v>
      </c>
      <c r="C11" s="81" t="s">
        <v>844</v>
      </c>
      <c r="D11" s="82">
        <v>1863</v>
      </c>
      <c r="E11" s="82">
        <v>8126</v>
      </c>
      <c r="F11" s="35">
        <f>SUMIFS('Media&amp;EdByAEA,Dist,Nonpublic'!$L$3:$L$1349,'Media&amp;EdByAEA,Dist,Nonpublic'!$A$3:$A$1349,'Media&amp;EdByAEA,Nonpublic'!$A11,'Media&amp;EdByAEA,Dist,Nonpublic'!$D$3:$D$1349,'Media&amp;EdByAEA,Nonpublic'!$D11,'Media&amp;EdByAEA,Dist,Nonpublic'!$E$3:$E$1349,'Media&amp;EdByAEA,Nonpublic'!$E11)</f>
        <v>17228.699999999997</v>
      </c>
      <c r="G11" s="35">
        <f>SUMIFS('Media&amp;EdByAEA,Dist,Nonpublic'!$M$3:$M$1349,'Media&amp;EdByAEA,Dist,Nonpublic'!$A$3:$A$1349,'Media&amp;EdByAEA,Nonpublic'!$A11,'Media&amp;EdByAEA,Dist,Nonpublic'!$D$3:$D$1349,'Media&amp;EdByAEA,Nonpublic'!$D11,'Media&amp;EdByAEA,Dist,Nonpublic'!$E$3:$E$1349,'Media&amp;EdByAEA,Nonpublic'!$E11)</f>
        <v>19190.189999999999</v>
      </c>
    </row>
    <row r="12" spans="1:7" x14ac:dyDescent="0.25">
      <c r="A12" s="80" t="s">
        <v>0</v>
      </c>
      <c r="B12" s="81" t="s">
        <v>967</v>
      </c>
      <c r="C12" s="81" t="s">
        <v>845</v>
      </c>
      <c r="D12" s="82">
        <v>1863</v>
      </c>
      <c r="E12" s="82">
        <v>8128</v>
      </c>
      <c r="F12" s="35">
        <f>SUMIFS('Media&amp;EdByAEA,Dist,Nonpublic'!$L$3:$L$1349,'Media&amp;EdByAEA,Dist,Nonpublic'!$A$3:$A$1349,'Media&amp;EdByAEA,Nonpublic'!$A12,'Media&amp;EdByAEA,Dist,Nonpublic'!$D$3:$D$1349,'Media&amp;EdByAEA,Nonpublic'!$D12,'Media&amp;EdByAEA,Dist,Nonpublic'!$E$3:$E$1349,'Media&amp;EdByAEA,Nonpublic'!$E12)</f>
        <v>23232.639999999999</v>
      </c>
      <c r="G12" s="35">
        <f>SUMIFS('Media&amp;EdByAEA,Dist,Nonpublic'!$M$3:$M$1349,'Media&amp;EdByAEA,Dist,Nonpublic'!$A$3:$A$1349,'Media&amp;EdByAEA,Nonpublic'!$A12,'Media&amp;EdByAEA,Dist,Nonpublic'!$D$3:$D$1349,'Media&amp;EdByAEA,Nonpublic'!$D12,'Media&amp;EdByAEA,Dist,Nonpublic'!$E$3:$E$1349,'Media&amp;EdByAEA,Nonpublic'!$E12)</f>
        <v>25877.679999999997</v>
      </c>
    </row>
    <row r="13" spans="1:7" x14ac:dyDescent="0.25">
      <c r="A13" s="80" t="s">
        <v>0</v>
      </c>
      <c r="B13" s="81" t="s">
        <v>967</v>
      </c>
      <c r="C13" s="81" t="s">
        <v>846</v>
      </c>
      <c r="D13" s="82">
        <v>1863</v>
      </c>
      <c r="E13" s="82">
        <v>8134</v>
      </c>
      <c r="F13" s="35">
        <f>SUMIFS('Media&amp;EdByAEA,Dist,Nonpublic'!$L$3:$L$1349,'Media&amp;EdByAEA,Dist,Nonpublic'!$A$3:$A$1349,'Media&amp;EdByAEA,Nonpublic'!$A13,'Media&amp;EdByAEA,Dist,Nonpublic'!$D$3:$D$1349,'Media&amp;EdByAEA,Nonpublic'!$D13,'Media&amp;EdByAEA,Dist,Nonpublic'!$E$3:$E$1349,'Media&amp;EdByAEA,Nonpublic'!$E13)</f>
        <v>27474.51</v>
      </c>
      <c r="G13" s="35">
        <f>SUMIFS('Media&amp;EdByAEA,Dist,Nonpublic'!$M$3:$M$1349,'Media&amp;EdByAEA,Dist,Nonpublic'!$A$3:$A$1349,'Media&amp;EdByAEA,Nonpublic'!$A13,'Media&amp;EdByAEA,Dist,Nonpublic'!$D$3:$D$1349,'Media&amp;EdByAEA,Nonpublic'!$D13,'Media&amp;EdByAEA,Dist,Nonpublic'!$E$3:$E$1349,'Media&amp;EdByAEA,Nonpublic'!$E13)</f>
        <v>30602.54</v>
      </c>
    </row>
    <row r="14" spans="1:7" x14ac:dyDescent="0.25">
      <c r="A14" s="80" t="s">
        <v>0</v>
      </c>
      <c r="B14" s="81" t="s">
        <v>967</v>
      </c>
      <c r="C14" s="81" t="s">
        <v>847</v>
      </c>
      <c r="D14" s="82">
        <v>1863</v>
      </c>
      <c r="E14" s="82">
        <v>8136</v>
      </c>
      <c r="F14" s="35">
        <f>SUMIFS('Media&amp;EdByAEA,Dist,Nonpublic'!$L$3:$L$1349,'Media&amp;EdByAEA,Dist,Nonpublic'!$A$3:$A$1349,'Media&amp;EdByAEA,Nonpublic'!$A14,'Media&amp;EdByAEA,Dist,Nonpublic'!$D$3:$D$1349,'Media&amp;EdByAEA,Nonpublic'!$D14,'Media&amp;EdByAEA,Dist,Nonpublic'!$E$3:$E$1349,'Media&amp;EdByAEA,Nonpublic'!$E14)</f>
        <v>19512.800000000003</v>
      </c>
      <c r="G14" s="35">
        <f>SUMIFS('Media&amp;EdByAEA,Dist,Nonpublic'!$M$3:$M$1349,'Media&amp;EdByAEA,Dist,Nonpublic'!$A$3:$A$1349,'Media&amp;EdByAEA,Nonpublic'!$A14,'Media&amp;EdByAEA,Dist,Nonpublic'!$D$3:$D$1349,'Media&amp;EdByAEA,Nonpublic'!$D14,'Media&amp;EdByAEA,Dist,Nonpublic'!$E$3:$E$1349,'Media&amp;EdByAEA,Nonpublic'!$E14)</f>
        <v>21734.34</v>
      </c>
    </row>
    <row r="15" spans="1:7" x14ac:dyDescent="0.25">
      <c r="A15" s="80" t="s">
        <v>0</v>
      </c>
      <c r="B15" s="81" t="s">
        <v>967</v>
      </c>
      <c r="C15" s="81" t="s">
        <v>848</v>
      </c>
      <c r="D15" s="82">
        <v>1863</v>
      </c>
      <c r="E15" s="82">
        <v>8163</v>
      </c>
      <c r="F15" s="35">
        <f>SUMIFS('Media&amp;EdByAEA,Dist,Nonpublic'!$L$3:$L$1349,'Media&amp;EdByAEA,Dist,Nonpublic'!$A$3:$A$1349,'Media&amp;EdByAEA,Nonpublic'!$A15,'Media&amp;EdByAEA,Dist,Nonpublic'!$D$3:$D$1349,'Media&amp;EdByAEA,Nonpublic'!$D15,'Media&amp;EdByAEA,Dist,Nonpublic'!$E$3:$E$1349,'Media&amp;EdByAEA,Nonpublic'!$E15)</f>
        <v>4764</v>
      </c>
      <c r="G15" s="35">
        <f>SUMIFS('Media&amp;EdByAEA,Dist,Nonpublic'!$M$3:$M$1349,'Media&amp;EdByAEA,Dist,Nonpublic'!$A$3:$A$1349,'Media&amp;EdByAEA,Nonpublic'!$A15,'Media&amp;EdByAEA,Dist,Nonpublic'!$D$3:$D$1349,'Media&amp;EdByAEA,Nonpublic'!$D15,'Media&amp;EdByAEA,Dist,Nonpublic'!$E$3:$E$1349,'Media&amp;EdByAEA,Nonpublic'!$E15)</f>
        <v>5306.38</v>
      </c>
    </row>
    <row r="16" spans="1:7" x14ac:dyDescent="0.25">
      <c r="A16" s="80" t="s">
        <v>0</v>
      </c>
      <c r="B16" s="81" t="s">
        <v>967</v>
      </c>
      <c r="C16" s="81" t="s">
        <v>849</v>
      </c>
      <c r="D16" s="82">
        <v>1863</v>
      </c>
      <c r="E16" s="82">
        <v>8165</v>
      </c>
      <c r="F16" s="35">
        <f>SUMIFS('Media&amp;EdByAEA,Dist,Nonpublic'!$L$3:$L$1349,'Media&amp;EdByAEA,Dist,Nonpublic'!$A$3:$A$1349,'Media&amp;EdByAEA,Nonpublic'!$A16,'Media&amp;EdByAEA,Dist,Nonpublic'!$D$3:$D$1349,'Media&amp;EdByAEA,Nonpublic'!$D16,'Media&amp;EdByAEA,Dist,Nonpublic'!$E$3:$E$1349,'Media&amp;EdByAEA,Nonpublic'!$E16)</f>
        <v>5873.4100000000008</v>
      </c>
      <c r="G16" s="35">
        <f>SUMIFS('Media&amp;EdByAEA,Dist,Nonpublic'!$M$3:$M$1349,'Media&amp;EdByAEA,Dist,Nonpublic'!$A$3:$A$1349,'Media&amp;EdByAEA,Nonpublic'!$A16,'Media&amp;EdByAEA,Dist,Nonpublic'!$D$3:$D$1349,'Media&amp;EdByAEA,Nonpublic'!$D16,'Media&amp;EdByAEA,Dist,Nonpublic'!$E$3:$E$1349,'Media&amp;EdByAEA,Nonpublic'!$E16)</f>
        <v>6542.12</v>
      </c>
    </row>
    <row r="17" spans="1:7" x14ac:dyDescent="0.25">
      <c r="A17" s="80" t="s">
        <v>0</v>
      </c>
      <c r="B17" s="81" t="s">
        <v>967</v>
      </c>
      <c r="C17" s="81" t="s">
        <v>850</v>
      </c>
      <c r="D17" s="82">
        <v>1863</v>
      </c>
      <c r="E17" s="82">
        <v>8170</v>
      </c>
      <c r="F17" s="35">
        <f>SUMIFS('Media&amp;EdByAEA,Dist,Nonpublic'!$L$3:$L$1349,'Media&amp;EdByAEA,Dist,Nonpublic'!$A$3:$A$1349,'Media&amp;EdByAEA,Nonpublic'!$A17,'Media&amp;EdByAEA,Dist,Nonpublic'!$D$3:$D$1349,'Media&amp;EdByAEA,Nonpublic'!$D17,'Media&amp;EdByAEA,Dist,Nonpublic'!$E$3:$E$1349,'Media&amp;EdByAEA,Nonpublic'!$E17)</f>
        <v>5873.42</v>
      </c>
      <c r="G17" s="35">
        <f>SUMIFS('Media&amp;EdByAEA,Dist,Nonpublic'!$M$3:$M$1349,'Media&amp;EdByAEA,Dist,Nonpublic'!$A$3:$A$1349,'Media&amp;EdByAEA,Nonpublic'!$A17,'Media&amp;EdByAEA,Dist,Nonpublic'!$D$3:$D$1349,'Media&amp;EdByAEA,Nonpublic'!$D17,'Media&amp;EdByAEA,Dist,Nonpublic'!$E$3:$E$1349,'Media&amp;EdByAEA,Nonpublic'!$E17)</f>
        <v>6542.11</v>
      </c>
    </row>
    <row r="18" spans="1:7" x14ac:dyDescent="0.25">
      <c r="A18" s="80" t="s">
        <v>0</v>
      </c>
      <c r="B18" s="81" t="s">
        <v>967</v>
      </c>
      <c r="C18" s="81" t="s">
        <v>790</v>
      </c>
      <c r="D18" s="82">
        <v>3029</v>
      </c>
      <c r="E18" s="82">
        <v>8104</v>
      </c>
      <c r="F18" s="35">
        <f>SUMIFS('Media&amp;EdByAEA,Dist,Nonpublic'!$L$3:$L$1349,'Media&amp;EdByAEA,Dist,Nonpublic'!$A$3:$A$1349,'Media&amp;EdByAEA,Nonpublic'!$A18,'Media&amp;EdByAEA,Dist,Nonpublic'!$D$3:$D$1349,'Media&amp;EdByAEA,Nonpublic'!$D18,'Media&amp;EdByAEA,Dist,Nonpublic'!$E$3:$E$1349,'Media&amp;EdByAEA,Nonpublic'!$E18)</f>
        <v>6852.2800000000007</v>
      </c>
      <c r="G18" s="35">
        <f>SUMIFS('Media&amp;EdByAEA,Dist,Nonpublic'!$M$3:$M$1349,'Media&amp;EdByAEA,Dist,Nonpublic'!$A$3:$A$1349,'Media&amp;EdByAEA,Nonpublic'!$A18,'Media&amp;EdByAEA,Dist,Nonpublic'!$D$3:$D$1349,'Media&amp;EdByAEA,Nonpublic'!$D18,'Media&amp;EdByAEA,Dist,Nonpublic'!$E$3:$E$1349,'Media&amp;EdByAEA,Nonpublic'!$E18)</f>
        <v>7632.5699999999988</v>
      </c>
    </row>
    <row r="19" spans="1:7" x14ac:dyDescent="0.25">
      <c r="A19" s="80" t="s">
        <v>0</v>
      </c>
      <c r="B19" s="81" t="s">
        <v>967</v>
      </c>
      <c r="C19" s="81" t="s">
        <v>864</v>
      </c>
      <c r="D19" s="82">
        <v>3105</v>
      </c>
      <c r="E19" s="82">
        <v>8105</v>
      </c>
      <c r="F19" s="35">
        <f>SUMIFS('Media&amp;EdByAEA,Dist,Nonpublic'!$L$3:$L$1349,'Media&amp;EdByAEA,Dist,Nonpublic'!$A$3:$A$1349,'Media&amp;EdByAEA,Nonpublic'!$A19,'Media&amp;EdByAEA,Dist,Nonpublic'!$D$3:$D$1349,'Media&amp;EdByAEA,Nonpublic'!$D19,'Media&amp;EdByAEA,Dist,Nonpublic'!$E$3:$E$1349,'Media&amp;EdByAEA,Nonpublic'!$E19)</f>
        <v>522.14</v>
      </c>
      <c r="G19" s="35">
        <f>SUMIFS('Media&amp;EdByAEA,Dist,Nonpublic'!$M$3:$M$1349,'Media&amp;EdByAEA,Dist,Nonpublic'!$A$3:$A$1349,'Media&amp;EdByAEA,Nonpublic'!$A19,'Media&amp;EdByAEA,Dist,Nonpublic'!$D$3:$D$1349,'Media&amp;EdByAEA,Nonpublic'!$D19,'Media&amp;EdByAEA,Dist,Nonpublic'!$E$3:$E$1349,'Media&amp;EdByAEA,Nonpublic'!$E19)</f>
        <v>581.86</v>
      </c>
    </row>
    <row r="20" spans="1:7" x14ac:dyDescent="0.25">
      <c r="A20" s="80" t="s">
        <v>0</v>
      </c>
      <c r="B20" s="81" t="s">
        <v>967</v>
      </c>
      <c r="C20" s="81" t="s">
        <v>865</v>
      </c>
      <c r="D20" s="82">
        <v>3105</v>
      </c>
      <c r="E20" s="82">
        <v>8121</v>
      </c>
      <c r="F20" s="35">
        <f>SUMIFS('Media&amp;EdByAEA,Dist,Nonpublic'!$L$3:$L$1349,'Media&amp;EdByAEA,Dist,Nonpublic'!$A$3:$A$1349,'Media&amp;EdByAEA,Nonpublic'!$A20,'Media&amp;EdByAEA,Dist,Nonpublic'!$D$3:$D$1349,'Media&amp;EdByAEA,Nonpublic'!$D20,'Media&amp;EdByAEA,Dist,Nonpublic'!$E$3:$E$1349,'Media&amp;EdByAEA,Nonpublic'!$E20)</f>
        <v>130.55000000000001</v>
      </c>
      <c r="G20" s="35">
        <f>SUMIFS('Media&amp;EdByAEA,Dist,Nonpublic'!$M$3:$M$1349,'Media&amp;EdByAEA,Dist,Nonpublic'!$A$3:$A$1349,'Media&amp;EdByAEA,Nonpublic'!$A20,'Media&amp;EdByAEA,Dist,Nonpublic'!$D$3:$D$1349,'Media&amp;EdByAEA,Nonpublic'!$D20,'Media&amp;EdByAEA,Dist,Nonpublic'!$E$3:$E$1349,'Media&amp;EdByAEA,Nonpublic'!$E20)</f>
        <v>145.44999999999999</v>
      </c>
    </row>
    <row r="21" spans="1:7" x14ac:dyDescent="0.25">
      <c r="A21" s="80" t="s">
        <v>0</v>
      </c>
      <c r="B21" s="81" t="s">
        <v>967</v>
      </c>
      <c r="C21" s="81" t="s">
        <v>890</v>
      </c>
      <c r="D21" s="82">
        <v>4131</v>
      </c>
      <c r="E21" s="82">
        <v>8102</v>
      </c>
      <c r="F21" s="35">
        <f>SUMIFS('Media&amp;EdByAEA,Dist,Nonpublic'!$L$3:$L$1349,'Media&amp;EdByAEA,Dist,Nonpublic'!$A$3:$A$1349,'Media&amp;EdByAEA,Nonpublic'!$A21,'Media&amp;EdByAEA,Dist,Nonpublic'!$D$3:$D$1349,'Media&amp;EdByAEA,Nonpublic'!$D21,'Media&amp;EdByAEA,Dist,Nonpublic'!$E$3:$E$1349,'Media&amp;EdByAEA,Nonpublic'!$E21)</f>
        <v>130.52000000000001</v>
      </c>
      <c r="G21" s="35">
        <f>SUMIFS('Media&amp;EdByAEA,Dist,Nonpublic'!$M$3:$M$1349,'Media&amp;EdByAEA,Dist,Nonpublic'!$A$3:$A$1349,'Media&amp;EdByAEA,Nonpublic'!$A21,'Media&amp;EdByAEA,Dist,Nonpublic'!$D$3:$D$1349,'Media&amp;EdByAEA,Nonpublic'!$D21,'Media&amp;EdByAEA,Dist,Nonpublic'!$E$3:$E$1349,'Media&amp;EdByAEA,Nonpublic'!$E21)</f>
        <v>145.38</v>
      </c>
    </row>
    <row r="22" spans="1:7" x14ac:dyDescent="0.25">
      <c r="A22" s="80" t="s">
        <v>0</v>
      </c>
      <c r="B22" s="81" t="s">
        <v>967</v>
      </c>
      <c r="C22" s="81" t="s">
        <v>897</v>
      </c>
      <c r="D22" s="82">
        <v>4446</v>
      </c>
      <c r="E22" s="82">
        <v>8106</v>
      </c>
      <c r="F22" s="35">
        <f>SUMIFS('Media&amp;EdByAEA,Dist,Nonpublic'!$L$3:$L$1349,'Media&amp;EdByAEA,Dist,Nonpublic'!$A$3:$A$1349,'Media&amp;EdByAEA,Nonpublic'!$A22,'Media&amp;EdByAEA,Dist,Nonpublic'!$D$3:$D$1349,'Media&amp;EdByAEA,Nonpublic'!$D22,'Media&amp;EdByAEA,Dist,Nonpublic'!$E$3:$E$1349,'Media&amp;EdByAEA,Nonpublic'!$E22)</f>
        <v>130.5</v>
      </c>
      <c r="G22" s="35">
        <f>SUMIFS('Media&amp;EdByAEA,Dist,Nonpublic'!$M$3:$M$1349,'Media&amp;EdByAEA,Dist,Nonpublic'!$A$3:$A$1349,'Media&amp;EdByAEA,Nonpublic'!$A22,'Media&amp;EdByAEA,Dist,Nonpublic'!$D$3:$D$1349,'Media&amp;EdByAEA,Nonpublic'!$D22,'Media&amp;EdByAEA,Dist,Nonpublic'!$E$3:$E$1349,'Media&amp;EdByAEA,Nonpublic'!$E22)</f>
        <v>145.4</v>
      </c>
    </row>
    <row r="23" spans="1:7" x14ac:dyDescent="0.25">
      <c r="A23" s="80" t="s">
        <v>0</v>
      </c>
      <c r="B23" s="81" t="s">
        <v>967</v>
      </c>
      <c r="C23" s="81" t="s">
        <v>900</v>
      </c>
      <c r="D23" s="82">
        <v>4662</v>
      </c>
      <c r="E23" s="82">
        <v>8106</v>
      </c>
      <c r="F23" s="35">
        <f>SUMIFS('Media&amp;EdByAEA,Dist,Nonpublic'!$L$3:$L$1349,'Media&amp;EdByAEA,Dist,Nonpublic'!$A$3:$A$1349,'Media&amp;EdByAEA,Nonpublic'!$A23,'Media&amp;EdByAEA,Dist,Nonpublic'!$D$3:$D$1349,'Media&amp;EdByAEA,Nonpublic'!$D23,'Media&amp;EdByAEA,Dist,Nonpublic'!$E$3:$E$1349,'Media&amp;EdByAEA,Nonpublic'!$E23)</f>
        <v>4567.75</v>
      </c>
      <c r="G23" s="35">
        <f>SUMIFS('Media&amp;EdByAEA,Dist,Nonpublic'!$M$3:$M$1349,'Media&amp;EdByAEA,Dist,Nonpublic'!$A$3:$A$1349,'Media&amp;EdByAEA,Nonpublic'!$A23,'Media&amp;EdByAEA,Dist,Nonpublic'!$D$3:$D$1349,'Media&amp;EdByAEA,Nonpublic'!$D23,'Media&amp;EdByAEA,Dist,Nonpublic'!$E$3:$E$1349,'Media&amp;EdByAEA,Nonpublic'!$E23)</f>
        <v>5088.3099999999995</v>
      </c>
    </row>
    <row r="24" spans="1:7" x14ac:dyDescent="0.25">
      <c r="A24" s="80" t="s">
        <v>0</v>
      </c>
      <c r="B24" s="81" t="s">
        <v>967</v>
      </c>
      <c r="C24" s="81" t="s">
        <v>927</v>
      </c>
      <c r="D24" s="82">
        <v>6100</v>
      </c>
      <c r="E24" s="82">
        <v>8101</v>
      </c>
      <c r="F24" s="35">
        <f>SUMIFS('Media&amp;EdByAEA,Dist,Nonpublic'!$L$3:$L$1349,'Media&amp;EdByAEA,Dist,Nonpublic'!$A$3:$A$1349,'Media&amp;EdByAEA,Nonpublic'!$A24,'Media&amp;EdByAEA,Dist,Nonpublic'!$D$3:$D$1349,'Media&amp;EdByAEA,Nonpublic'!$D24,'Media&amp;EdByAEA,Dist,Nonpublic'!$E$3:$E$1349,'Media&amp;EdByAEA,Nonpublic'!$E24)</f>
        <v>2741.17</v>
      </c>
      <c r="G24" s="35">
        <f>SUMIFS('Media&amp;EdByAEA,Dist,Nonpublic'!$M$3:$M$1349,'Media&amp;EdByAEA,Dist,Nonpublic'!$A$3:$A$1349,'Media&amp;EdByAEA,Nonpublic'!$A24,'Media&amp;EdByAEA,Dist,Nonpublic'!$D$3:$D$1349,'Media&amp;EdByAEA,Nonpublic'!$D24,'Media&amp;EdByAEA,Dist,Nonpublic'!$E$3:$E$1349,'Media&amp;EdByAEA,Nonpublic'!$E24)</f>
        <v>3052.84</v>
      </c>
    </row>
    <row r="25" spans="1:7" x14ac:dyDescent="0.25">
      <c r="A25" s="80" t="s">
        <v>0</v>
      </c>
      <c r="B25" s="81" t="s">
        <v>967</v>
      </c>
      <c r="C25" s="81" t="s">
        <v>928</v>
      </c>
      <c r="D25" s="82">
        <v>6100</v>
      </c>
      <c r="E25" s="82">
        <v>8105</v>
      </c>
      <c r="F25" s="35">
        <f>SUMIFS('Media&amp;EdByAEA,Dist,Nonpublic'!$L$3:$L$1349,'Media&amp;EdByAEA,Dist,Nonpublic'!$A$3:$A$1349,'Media&amp;EdByAEA,Nonpublic'!$A25,'Media&amp;EdByAEA,Dist,Nonpublic'!$D$3:$D$1349,'Media&amp;EdByAEA,Nonpublic'!$D25,'Media&amp;EdByAEA,Dist,Nonpublic'!$E$3:$E$1349,'Media&amp;EdByAEA,Nonpublic'!$E25)</f>
        <v>8680.41</v>
      </c>
      <c r="G25" s="35">
        <f>SUMIFS('Media&amp;EdByAEA,Dist,Nonpublic'!$M$3:$M$1349,'Media&amp;EdByAEA,Dist,Nonpublic'!$A$3:$A$1349,'Media&amp;EdByAEA,Nonpublic'!$A25,'Media&amp;EdByAEA,Dist,Nonpublic'!$D$3:$D$1349,'Media&amp;EdByAEA,Nonpublic'!$D25,'Media&amp;EdByAEA,Dist,Nonpublic'!$E$3:$E$1349,'Media&amp;EdByAEA,Nonpublic'!$E25)</f>
        <v>9667.0800000000017</v>
      </c>
    </row>
    <row r="26" spans="1:7" x14ac:dyDescent="0.25">
      <c r="A26" s="80" t="s">
        <v>0</v>
      </c>
      <c r="B26" s="81" t="s">
        <v>967</v>
      </c>
      <c r="C26" s="81" t="s">
        <v>932</v>
      </c>
      <c r="D26" s="82">
        <v>6509</v>
      </c>
      <c r="E26" s="82">
        <v>8109</v>
      </c>
      <c r="F26" s="35">
        <f>SUMIFS('Media&amp;EdByAEA,Dist,Nonpublic'!$L$3:$L$1349,'Media&amp;EdByAEA,Dist,Nonpublic'!$A$3:$A$1349,'Media&amp;EdByAEA,Nonpublic'!$A26,'Media&amp;EdByAEA,Dist,Nonpublic'!$D$3:$D$1349,'Media&amp;EdByAEA,Nonpublic'!$D26,'Media&amp;EdByAEA,Dist,Nonpublic'!$E$3:$E$1349,'Media&amp;EdByAEA,Nonpublic'!$E26)</f>
        <v>3524.0099999999998</v>
      </c>
      <c r="G26" s="35">
        <f>SUMIFS('Media&amp;EdByAEA,Dist,Nonpublic'!$M$3:$M$1349,'Media&amp;EdByAEA,Dist,Nonpublic'!$A$3:$A$1349,'Media&amp;EdByAEA,Nonpublic'!$A26,'Media&amp;EdByAEA,Dist,Nonpublic'!$D$3:$D$1349,'Media&amp;EdByAEA,Nonpublic'!$D26,'Media&amp;EdByAEA,Dist,Nonpublic'!$E$3:$E$1349,'Media&amp;EdByAEA,Nonpublic'!$E26)</f>
        <v>3925.04</v>
      </c>
    </row>
    <row r="27" spans="1:7" x14ac:dyDescent="0.25">
      <c r="A27" s="80" t="s">
        <v>0</v>
      </c>
      <c r="B27" s="81" t="s">
        <v>967</v>
      </c>
      <c r="C27" s="81" t="s">
        <v>939</v>
      </c>
      <c r="D27" s="82">
        <v>6795</v>
      </c>
      <c r="E27" s="82">
        <v>8110</v>
      </c>
      <c r="F27" s="35">
        <f>SUMIFS('Media&amp;EdByAEA,Dist,Nonpublic'!$L$3:$L$1349,'Media&amp;EdByAEA,Dist,Nonpublic'!$A$3:$A$1349,'Media&amp;EdByAEA,Nonpublic'!$A27,'Media&amp;EdByAEA,Dist,Nonpublic'!$D$3:$D$1349,'Media&amp;EdByAEA,Nonpublic'!$D27,'Media&amp;EdByAEA,Dist,Nonpublic'!$E$3:$E$1349,'Media&amp;EdByAEA,Nonpublic'!$E27)</f>
        <v>65.27</v>
      </c>
      <c r="G27" s="35">
        <f>SUMIFS('Media&amp;EdByAEA,Dist,Nonpublic'!$M$3:$M$1349,'Media&amp;EdByAEA,Dist,Nonpublic'!$A$3:$A$1349,'Media&amp;EdByAEA,Nonpublic'!$A27,'Media&amp;EdByAEA,Dist,Nonpublic'!$D$3:$D$1349,'Media&amp;EdByAEA,Nonpublic'!$D27,'Media&amp;EdByAEA,Dist,Nonpublic'!$E$3:$E$1349,'Media&amp;EdByAEA,Nonpublic'!$E27)</f>
        <v>72.73</v>
      </c>
    </row>
    <row r="28" spans="1:7" x14ac:dyDescent="0.25">
      <c r="A28" s="80" t="s">
        <v>0</v>
      </c>
      <c r="B28" s="81" t="s">
        <v>967</v>
      </c>
      <c r="C28" s="81" t="s">
        <v>942</v>
      </c>
      <c r="D28" s="82">
        <v>6795</v>
      </c>
      <c r="E28" s="82">
        <v>8115</v>
      </c>
      <c r="F28" s="35">
        <f>SUMIFS('Media&amp;EdByAEA,Dist,Nonpublic'!$L$3:$L$1349,'Media&amp;EdByAEA,Dist,Nonpublic'!$A$3:$A$1349,'Media&amp;EdByAEA,Nonpublic'!$A28,'Media&amp;EdByAEA,Dist,Nonpublic'!$D$3:$D$1349,'Media&amp;EdByAEA,Nonpublic'!$D28,'Media&amp;EdByAEA,Dist,Nonpublic'!$E$3:$E$1349,'Media&amp;EdByAEA,Nonpublic'!$E28)</f>
        <v>195.81</v>
      </c>
      <c r="G28" s="35">
        <f>SUMIFS('Media&amp;EdByAEA,Dist,Nonpublic'!$M$3:$M$1349,'Media&amp;EdByAEA,Dist,Nonpublic'!$A$3:$A$1349,'Media&amp;EdByAEA,Nonpublic'!$A28,'Media&amp;EdByAEA,Dist,Nonpublic'!$D$3:$D$1349,'Media&amp;EdByAEA,Nonpublic'!$D28,'Media&amp;EdByAEA,Dist,Nonpublic'!$E$3:$E$1349,'Media&amp;EdByAEA,Nonpublic'!$E28)</f>
        <v>218.14</v>
      </c>
    </row>
    <row r="29" spans="1:7" x14ac:dyDescent="0.25">
      <c r="A29" s="80" t="s">
        <v>0</v>
      </c>
      <c r="B29" s="81" t="s">
        <v>967</v>
      </c>
      <c r="C29" s="81" t="s">
        <v>950</v>
      </c>
      <c r="D29" s="82">
        <v>6950</v>
      </c>
      <c r="E29" s="82">
        <v>8104</v>
      </c>
      <c r="F29" s="35">
        <f>SUMIFS('Media&amp;EdByAEA,Dist,Nonpublic'!$L$3:$L$1349,'Media&amp;EdByAEA,Dist,Nonpublic'!$A$3:$A$1349,'Media&amp;EdByAEA,Nonpublic'!$A29,'Media&amp;EdByAEA,Dist,Nonpublic'!$D$3:$D$1349,'Media&amp;EdByAEA,Nonpublic'!$D29,'Media&amp;EdByAEA,Dist,Nonpublic'!$E$3:$E$1349,'Media&amp;EdByAEA,Nonpublic'!$E29)</f>
        <v>13965.18</v>
      </c>
      <c r="G29" s="35">
        <f>SUMIFS('Media&amp;EdByAEA,Dist,Nonpublic'!$M$3:$M$1349,'Media&amp;EdByAEA,Dist,Nonpublic'!$A$3:$A$1349,'Media&amp;EdByAEA,Nonpublic'!$A29,'Media&amp;EdByAEA,Dist,Nonpublic'!$D$3:$D$1349,'Media&amp;EdByAEA,Nonpublic'!$D29,'Media&amp;EdByAEA,Dist,Nonpublic'!$E$3:$E$1349,'Media&amp;EdByAEA,Nonpublic'!$E29)</f>
        <v>15555.5</v>
      </c>
    </row>
    <row r="30" spans="1:7" x14ac:dyDescent="0.25">
      <c r="A30" s="80" t="s">
        <v>0</v>
      </c>
      <c r="B30" s="81" t="s">
        <v>967</v>
      </c>
      <c r="C30" s="81" t="s">
        <v>953</v>
      </c>
      <c r="D30" s="82">
        <v>6961</v>
      </c>
      <c r="E30" s="82">
        <v>8103</v>
      </c>
      <c r="F30" s="35">
        <f>SUMIFS('Media&amp;EdByAEA,Dist,Nonpublic'!$L$3:$L$1349,'Media&amp;EdByAEA,Dist,Nonpublic'!$A$3:$A$1349,'Media&amp;EdByAEA,Nonpublic'!$A30,'Media&amp;EdByAEA,Dist,Nonpublic'!$D$3:$D$1349,'Media&amp;EdByAEA,Nonpublic'!$D30,'Media&amp;EdByAEA,Dist,Nonpublic'!$E$3:$E$1349,'Media&amp;EdByAEA,Nonpublic'!$E30)</f>
        <v>19316.689999999999</v>
      </c>
      <c r="G30" s="35">
        <f>SUMIFS('Media&amp;EdByAEA,Dist,Nonpublic'!$M$3:$M$1349,'Media&amp;EdByAEA,Dist,Nonpublic'!$A$3:$A$1349,'Media&amp;EdByAEA,Nonpublic'!$A30,'Media&amp;EdByAEA,Dist,Nonpublic'!$D$3:$D$1349,'Media&amp;EdByAEA,Nonpublic'!$D30,'Media&amp;EdByAEA,Dist,Nonpublic'!$E$3:$E$1349,'Media&amp;EdByAEA,Nonpublic'!$E30)</f>
        <v>21516.620000000003</v>
      </c>
    </row>
    <row r="31" spans="1:7" x14ac:dyDescent="0.25">
      <c r="A31" s="80" t="s">
        <v>0</v>
      </c>
      <c r="B31" s="81" t="s">
        <v>967</v>
      </c>
      <c r="C31" s="81" t="s">
        <v>954</v>
      </c>
      <c r="D31" s="82">
        <v>6961</v>
      </c>
      <c r="E31" s="82">
        <v>8146</v>
      </c>
      <c r="F31" s="35">
        <f>SUMIFS('Media&amp;EdByAEA,Dist,Nonpublic'!$L$3:$L$1349,'Media&amp;EdByAEA,Dist,Nonpublic'!$A$3:$A$1349,'Media&amp;EdByAEA,Nonpublic'!$A31,'Media&amp;EdByAEA,Dist,Nonpublic'!$D$3:$D$1349,'Media&amp;EdByAEA,Nonpublic'!$D31,'Media&amp;EdByAEA,Dist,Nonpublic'!$E$3:$E$1349,'Media&amp;EdByAEA,Nonpublic'!$E31)</f>
        <v>21731.34</v>
      </c>
      <c r="G31" s="35">
        <f>SUMIFS('Media&amp;EdByAEA,Dist,Nonpublic'!$M$3:$M$1349,'Media&amp;EdByAEA,Dist,Nonpublic'!$A$3:$A$1349,'Media&amp;EdByAEA,Nonpublic'!$A31,'Media&amp;EdByAEA,Dist,Nonpublic'!$D$3:$D$1349,'Media&amp;EdByAEA,Nonpublic'!$D31,'Media&amp;EdByAEA,Dist,Nonpublic'!$E$3:$E$1349,'Media&amp;EdByAEA,Nonpublic'!$E31)</f>
        <v>24205.809999999998</v>
      </c>
    </row>
    <row r="32" spans="1:7" x14ac:dyDescent="0.25">
      <c r="A32" s="80" t="s">
        <v>0</v>
      </c>
      <c r="B32" s="81" t="s">
        <v>967</v>
      </c>
      <c r="C32" s="81" t="s">
        <v>955</v>
      </c>
      <c r="D32" s="82">
        <v>6961</v>
      </c>
      <c r="E32" s="82">
        <v>8148</v>
      </c>
      <c r="F32" s="35">
        <f>SUMIFS('Media&amp;EdByAEA,Dist,Nonpublic'!$L$3:$L$1349,'Media&amp;EdByAEA,Dist,Nonpublic'!$A$3:$A$1349,'Media&amp;EdByAEA,Nonpublic'!$A32,'Media&amp;EdByAEA,Dist,Nonpublic'!$D$3:$D$1349,'Media&amp;EdByAEA,Nonpublic'!$D32,'Media&amp;EdByAEA,Dist,Nonpublic'!$E$3:$E$1349,'Media&amp;EdByAEA,Nonpublic'!$E32)</f>
        <v>3785.13</v>
      </c>
      <c r="G32" s="35">
        <f>SUMIFS('Media&amp;EdByAEA,Dist,Nonpublic'!$M$3:$M$1349,'Media&amp;EdByAEA,Dist,Nonpublic'!$A$3:$A$1349,'Media&amp;EdByAEA,Nonpublic'!$A32,'Media&amp;EdByAEA,Dist,Nonpublic'!$D$3:$D$1349,'Media&amp;EdByAEA,Nonpublic'!$D32,'Media&amp;EdByAEA,Dist,Nonpublic'!$E$3:$E$1349,'Media&amp;EdByAEA,Nonpublic'!$E32)</f>
        <v>4216.1400000000003</v>
      </c>
    </row>
    <row r="33" spans="1:7" x14ac:dyDescent="0.25">
      <c r="A33" s="80" t="s">
        <v>0</v>
      </c>
      <c r="B33" s="81" t="s">
        <v>967</v>
      </c>
      <c r="C33" s="81" t="s">
        <v>956</v>
      </c>
      <c r="D33" s="82">
        <v>6961</v>
      </c>
      <c r="E33" s="82">
        <v>8150</v>
      </c>
      <c r="F33" s="35">
        <f>SUMIFS('Media&amp;EdByAEA,Dist,Nonpublic'!$L$3:$L$1349,'Media&amp;EdByAEA,Dist,Nonpublic'!$A$3:$A$1349,'Media&amp;EdByAEA,Nonpublic'!$A33,'Media&amp;EdByAEA,Dist,Nonpublic'!$D$3:$D$1349,'Media&amp;EdByAEA,Nonpublic'!$D33,'Media&amp;EdByAEA,Dist,Nonpublic'!$E$3:$E$1349,'Media&amp;EdByAEA,Nonpublic'!$E33)</f>
        <v>11551.05</v>
      </c>
      <c r="G33" s="35">
        <f>SUMIFS('Media&amp;EdByAEA,Dist,Nonpublic'!$M$3:$M$1349,'Media&amp;EdByAEA,Dist,Nonpublic'!$A$3:$A$1349,'Media&amp;EdByAEA,Nonpublic'!$A33,'Media&amp;EdByAEA,Dist,Nonpublic'!$D$3:$D$1349,'Media&amp;EdByAEA,Nonpublic'!$D33,'Media&amp;EdByAEA,Dist,Nonpublic'!$E$3:$E$1349,'Media&amp;EdByAEA,Nonpublic'!$E33)</f>
        <v>12866.18</v>
      </c>
    </row>
    <row r="34" spans="1:7" x14ac:dyDescent="0.25">
      <c r="A34" s="80" t="s">
        <v>0</v>
      </c>
      <c r="B34" s="81" t="s">
        <v>967</v>
      </c>
      <c r="C34" s="81" t="s">
        <v>957</v>
      </c>
      <c r="D34" s="82">
        <v>6961</v>
      </c>
      <c r="E34" s="82">
        <v>8153</v>
      </c>
      <c r="F34" s="35">
        <f>SUMIFS('Media&amp;EdByAEA,Dist,Nonpublic'!$L$3:$L$1349,'Media&amp;EdByAEA,Dist,Nonpublic'!$A$3:$A$1349,'Media&amp;EdByAEA,Nonpublic'!$A34,'Media&amp;EdByAEA,Dist,Nonpublic'!$D$3:$D$1349,'Media&amp;EdByAEA,Nonpublic'!$D34,'Media&amp;EdByAEA,Dist,Nonpublic'!$E$3:$E$1349,'Media&amp;EdByAEA,Nonpublic'!$E34)</f>
        <v>6395.5</v>
      </c>
      <c r="G34" s="35">
        <f>SUMIFS('Media&amp;EdByAEA,Dist,Nonpublic'!$M$3:$M$1349,'Media&amp;EdByAEA,Dist,Nonpublic'!$A$3:$A$1349,'Media&amp;EdByAEA,Nonpublic'!$A34,'Media&amp;EdByAEA,Dist,Nonpublic'!$D$3:$D$1349,'Media&amp;EdByAEA,Nonpublic'!$D34,'Media&amp;EdByAEA,Dist,Nonpublic'!$E$3:$E$1349,'Media&amp;EdByAEA,Nonpublic'!$E34)</f>
        <v>7123.6399999999994</v>
      </c>
    </row>
    <row r="35" spans="1:7" x14ac:dyDescent="0.25">
      <c r="A35" s="80" t="s">
        <v>0</v>
      </c>
      <c r="B35" s="81" t="s">
        <v>967</v>
      </c>
      <c r="C35" s="81" t="s">
        <v>958</v>
      </c>
      <c r="D35" s="82">
        <v>6961</v>
      </c>
      <c r="E35" s="82">
        <v>8157</v>
      </c>
      <c r="F35" s="35">
        <f>SUMIFS('Media&amp;EdByAEA,Dist,Nonpublic'!$L$3:$L$1349,'Media&amp;EdByAEA,Dist,Nonpublic'!$A$3:$A$1349,'Media&amp;EdByAEA,Nonpublic'!$A35,'Media&amp;EdByAEA,Dist,Nonpublic'!$D$3:$D$1349,'Media&amp;EdByAEA,Nonpublic'!$D35,'Media&amp;EdByAEA,Dist,Nonpublic'!$E$3:$E$1349,'Media&amp;EdByAEA,Nonpublic'!$E35)</f>
        <v>11355.279999999999</v>
      </c>
      <c r="G35" s="35">
        <f>SUMIFS('Media&amp;EdByAEA,Dist,Nonpublic'!$M$3:$M$1349,'Media&amp;EdByAEA,Dist,Nonpublic'!$A$3:$A$1349,'Media&amp;EdByAEA,Nonpublic'!$A35,'Media&amp;EdByAEA,Dist,Nonpublic'!$D$3:$D$1349,'Media&amp;EdByAEA,Nonpublic'!$D35,'Media&amp;EdByAEA,Dist,Nonpublic'!$E$3:$E$1349,'Media&amp;EdByAEA,Nonpublic'!$E35)</f>
        <v>12648.099999999999</v>
      </c>
    </row>
    <row r="36" spans="1:7" x14ac:dyDescent="0.25">
      <c r="A36" s="80" t="s">
        <v>22</v>
      </c>
      <c r="B36" s="81" t="s">
        <v>987</v>
      </c>
      <c r="C36" s="81" t="s">
        <v>766</v>
      </c>
      <c r="D36" s="80" t="s">
        <v>24</v>
      </c>
      <c r="E36" s="82">
        <v>8101</v>
      </c>
      <c r="F36" s="35">
        <f>SUMIFS('Media&amp;EdByAEA,Dist,Nonpublic'!$L$3:$L$1349,'Media&amp;EdByAEA,Dist,Nonpublic'!$A$3:$A$1349,'Media&amp;EdByAEA,Nonpublic'!$A36,'Media&amp;EdByAEA,Dist,Nonpublic'!$D$3:$D$1349,'Media&amp;EdByAEA,Nonpublic'!$D36,'Media&amp;EdByAEA,Dist,Nonpublic'!$E$3:$E$1349,'Media&amp;EdByAEA,Nonpublic'!$E36)</f>
        <v>6599.46</v>
      </c>
      <c r="G36" s="35">
        <f>SUMIFS('Media&amp;EdByAEA,Dist,Nonpublic'!$M$3:$M$1349,'Media&amp;EdByAEA,Dist,Nonpublic'!$A$3:$A$1349,'Media&amp;EdByAEA,Nonpublic'!$A36,'Media&amp;EdByAEA,Dist,Nonpublic'!$D$3:$D$1349,'Media&amp;EdByAEA,Nonpublic'!$D36,'Media&amp;EdByAEA,Dist,Nonpublic'!$E$3:$E$1349,'Media&amp;EdByAEA,Nonpublic'!$E36)</f>
        <v>7389.0999999999995</v>
      </c>
    </row>
    <row r="37" spans="1:7" x14ac:dyDescent="0.25">
      <c r="A37" s="80" t="s">
        <v>22</v>
      </c>
      <c r="B37" s="81" t="s">
        <v>987</v>
      </c>
      <c r="C37" s="81" t="s">
        <v>767</v>
      </c>
      <c r="D37" s="80" t="s">
        <v>24</v>
      </c>
      <c r="E37" s="82">
        <v>8108</v>
      </c>
      <c r="F37" s="35">
        <f>SUMIFS('Media&amp;EdByAEA,Dist,Nonpublic'!$L$3:$L$1349,'Media&amp;EdByAEA,Dist,Nonpublic'!$A$3:$A$1349,'Media&amp;EdByAEA,Nonpublic'!$A37,'Media&amp;EdByAEA,Dist,Nonpublic'!$D$3:$D$1349,'Media&amp;EdByAEA,Nonpublic'!$D37,'Media&amp;EdByAEA,Dist,Nonpublic'!$E$3:$E$1349,'Media&amp;EdByAEA,Nonpublic'!$E37)</f>
        <v>20713.469999999998</v>
      </c>
      <c r="G37" s="35">
        <f>SUMIFS('Media&amp;EdByAEA,Dist,Nonpublic'!$M$3:$M$1349,'Media&amp;EdByAEA,Dist,Nonpublic'!$A$3:$A$1349,'Media&amp;EdByAEA,Nonpublic'!$A37,'Media&amp;EdByAEA,Dist,Nonpublic'!$D$3:$D$1349,'Media&amp;EdByAEA,Nonpublic'!$D37,'Media&amp;EdByAEA,Dist,Nonpublic'!$E$3:$E$1349,'Media&amp;EdByAEA,Nonpublic'!$E37)</f>
        <v>23191.480000000003</v>
      </c>
    </row>
    <row r="38" spans="1:7" x14ac:dyDescent="0.25">
      <c r="A38" s="80" t="s">
        <v>22</v>
      </c>
      <c r="B38" s="81" t="s">
        <v>987</v>
      </c>
      <c r="C38" s="81" t="s">
        <v>770</v>
      </c>
      <c r="D38" s="80" t="s">
        <v>177</v>
      </c>
      <c r="E38" s="82">
        <v>8104</v>
      </c>
      <c r="F38" s="35">
        <f>SUMIFS('Media&amp;EdByAEA,Dist,Nonpublic'!$L$3:$L$1349,'Media&amp;EdByAEA,Dist,Nonpublic'!$A$3:$A$1349,'Media&amp;EdByAEA,Nonpublic'!$A38,'Media&amp;EdByAEA,Dist,Nonpublic'!$D$3:$D$1349,'Media&amp;EdByAEA,Nonpublic'!$D38,'Media&amp;EdByAEA,Dist,Nonpublic'!$E$3:$E$1349,'Media&amp;EdByAEA,Nonpublic'!$E38)</f>
        <v>65.290000000000006</v>
      </c>
      <c r="G38" s="35">
        <f>SUMIFS('Media&amp;EdByAEA,Dist,Nonpublic'!$M$3:$M$1349,'Media&amp;EdByAEA,Dist,Nonpublic'!$A$3:$A$1349,'Media&amp;EdByAEA,Nonpublic'!$A38,'Media&amp;EdByAEA,Dist,Nonpublic'!$D$3:$D$1349,'Media&amp;EdByAEA,Nonpublic'!$D38,'Media&amp;EdByAEA,Dist,Nonpublic'!$E$3:$E$1349,'Media&amp;EdByAEA,Nonpublic'!$E38)</f>
        <v>73.14</v>
      </c>
    </row>
    <row r="39" spans="1:7" x14ac:dyDescent="0.25">
      <c r="A39" s="80" t="s">
        <v>22</v>
      </c>
      <c r="B39" s="81" t="s">
        <v>987</v>
      </c>
      <c r="C39" s="81" t="s">
        <v>773</v>
      </c>
      <c r="D39" s="80" t="s">
        <v>178</v>
      </c>
      <c r="E39" s="82">
        <v>8503</v>
      </c>
      <c r="F39" s="35">
        <f>SUMIFS('Media&amp;EdByAEA,Dist,Nonpublic'!$L$3:$L$1349,'Media&amp;EdByAEA,Dist,Nonpublic'!$A$3:$A$1349,'Media&amp;EdByAEA,Nonpublic'!$A39,'Media&amp;EdByAEA,Dist,Nonpublic'!$D$3:$D$1349,'Media&amp;EdByAEA,Nonpublic'!$D39,'Media&amp;EdByAEA,Dist,Nonpublic'!$E$3:$E$1349,'Media&amp;EdByAEA,Nonpublic'!$E39)</f>
        <v>261.38</v>
      </c>
      <c r="G39" s="35">
        <f>SUMIFS('Media&amp;EdByAEA,Dist,Nonpublic'!$M$3:$M$1349,'Media&amp;EdByAEA,Dist,Nonpublic'!$A$3:$A$1349,'Media&amp;EdByAEA,Nonpublic'!$A39,'Media&amp;EdByAEA,Dist,Nonpublic'!$D$3:$D$1349,'Media&amp;EdByAEA,Nonpublic'!$D39,'Media&amp;EdByAEA,Dist,Nonpublic'!$E$3:$E$1349,'Media&amp;EdByAEA,Nonpublic'!$E39)</f>
        <v>292.62</v>
      </c>
    </row>
    <row r="40" spans="1:7" x14ac:dyDescent="0.25">
      <c r="A40" s="80" t="s">
        <v>22</v>
      </c>
      <c r="B40" s="81" t="s">
        <v>987</v>
      </c>
      <c r="C40" s="81" t="s">
        <v>784</v>
      </c>
      <c r="D40" s="80" t="s">
        <v>183</v>
      </c>
      <c r="E40" s="82">
        <v>8204</v>
      </c>
      <c r="F40" s="35">
        <f>SUMIFS('Media&amp;EdByAEA,Dist,Nonpublic'!$L$3:$L$1349,'Media&amp;EdByAEA,Dist,Nonpublic'!$A$3:$A$1349,'Media&amp;EdByAEA,Nonpublic'!$A40,'Media&amp;EdByAEA,Dist,Nonpublic'!$D$3:$D$1349,'Media&amp;EdByAEA,Nonpublic'!$D40,'Media&amp;EdByAEA,Dist,Nonpublic'!$E$3:$E$1349,'Media&amp;EdByAEA,Nonpublic'!$E40)</f>
        <v>130.72</v>
      </c>
      <c r="G40" s="35">
        <f>SUMIFS('Media&amp;EdByAEA,Dist,Nonpublic'!$M$3:$M$1349,'Media&amp;EdByAEA,Dist,Nonpublic'!$A$3:$A$1349,'Media&amp;EdByAEA,Nonpublic'!$A40,'Media&amp;EdByAEA,Dist,Nonpublic'!$D$3:$D$1349,'Media&amp;EdByAEA,Nonpublic'!$D40,'Media&amp;EdByAEA,Dist,Nonpublic'!$E$3:$E$1349,'Media&amp;EdByAEA,Nonpublic'!$E40)</f>
        <v>146.32</v>
      </c>
    </row>
    <row r="41" spans="1:7" x14ac:dyDescent="0.25">
      <c r="A41" s="80" t="s">
        <v>22</v>
      </c>
      <c r="B41" s="81" t="s">
        <v>987</v>
      </c>
      <c r="C41" s="81" t="s">
        <v>793</v>
      </c>
      <c r="D41" s="80" t="s">
        <v>185</v>
      </c>
      <c r="E41" s="82">
        <v>8101</v>
      </c>
      <c r="F41" s="35">
        <f>SUMIFS('Media&amp;EdByAEA,Dist,Nonpublic'!$L$3:$L$1349,'Media&amp;EdByAEA,Dist,Nonpublic'!$A$3:$A$1349,'Media&amp;EdByAEA,Nonpublic'!$A41,'Media&amp;EdByAEA,Dist,Nonpublic'!$D$3:$D$1349,'Media&amp;EdByAEA,Nonpublic'!$D41,'Media&amp;EdByAEA,Dist,Nonpublic'!$E$3:$E$1349,'Media&amp;EdByAEA,Nonpublic'!$E41)</f>
        <v>2613.79</v>
      </c>
      <c r="G41" s="35">
        <f>SUMIFS('Media&amp;EdByAEA,Dist,Nonpublic'!$M$3:$M$1349,'Media&amp;EdByAEA,Dist,Nonpublic'!$A$3:$A$1349,'Media&amp;EdByAEA,Nonpublic'!$A41,'Media&amp;EdByAEA,Dist,Nonpublic'!$D$3:$D$1349,'Media&amp;EdByAEA,Nonpublic'!$D41,'Media&amp;EdByAEA,Dist,Nonpublic'!$E$3:$E$1349,'Media&amp;EdByAEA,Nonpublic'!$E41)</f>
        <v>2926.3199999999997</v>
      </c>
    </row>
    <row r="42" spans="1:7" x14ac:dyDescent="0.25">
      <c r="A42" s="80" t="s">
        <v>22</v>
      </c>
      <c r="B42" s="81" t="s">
        <v>987</v>
      </c>
      <c r="C42" s="81" t="s">
        <v>794</v>
      </c>
      <c r="D42" s="80" t="s">
        <v>185</v>
      </c>
      <c r="E42" s="82">
        <v>8104</v>
      </c>
      <c r="F42" s="35">
        <f>SUMIFS('Media&amp;EdByAEA,Dist,Nonpublic'!$L$3:$L$1349,'Media&amp;EdByAEA,Dist,Nonpublic'!$A$3:$A$1349,'Media&amp;EdByAEA,Nonpublic'!$A42,'Media&amp;EdByAEA,Dist,Nonpublic'!$D$3:$D$1349,'Media&amp;EdByAEA,Nonpublic'!$D42,'Media&amp;EdByAEA,Dist,Nonpublic'!$E$3:$E$1349,'Media&amp;EdByAEA,Nonpublic'!$E42)</f>
        <v>4312.3500000000004</v>
      </c>
      <c r="G42" s="35">
        <f>SUMIFS('Media&amp;EdByAEA,Dist,Nonpublic'!$M$3:$M$1349,'Media&amp;EdByAEA,Dist,Nonpublic'!$A$3:$A$1349,'Media&amp;EdByAEA,Nonpublic'!$A42,'Media&amp;EdByAEA,Dist,Nonpublic'!$D$3:$D$1349,'Media&amp;EdByAEA,Nonpublic'!$D42,'Media&amp;EdByAEA,Dist,Nonpublic'!$E$3:$E$1349,'Media&amp;EdByAEA,Nonpublic'!$E42)</f>
        <v>4828.25</v>
      </c>
    </row>
    <row r="43" spans="1:7" x14ac:dyDescent="0.25">
      <c r="A43" s="80" t="s">
        <v>22</v>
      </c>
      <c r="B43" s="81" t="s">
        <v>987</v>
      </c>
      <c r="C43" s="81" t="s">
        <v>811</v>
      </c>
      <c r="D43" s="82">
        <v>1233</v>
      </c>
      <c r="E43" s="82">
        <v>8102</v>
      </c>
      <c r="F43" s="35">
        <f>SUMIFS('Media&amp;EdByAEA,Dist,Nonpublic'!$L$3:$L$1349,'Media&amp;EdByAEA,Dist,Nonpublic'!$A$3:$A$1349,'Media&amp;EdByAEA,Nonpublic'!$A43,'Media&amp;EdByAEA,Dist,Nonpublic'!$D$3:$D$1349,'Media&amp;EdByAEA,Nonpublic'!$D43,'Media&amp;EdByAEA,Dist,Nonpublic'!$E$3:$E$1349,'Media&amp;EdByAEA,Nonpublic'!$E43)</f>
        <v>65.400000000000006</v>
      </c>
      <c r="G43" s="35">
        <f>SUMIFS('Media&amp;EdByAEA,Dist,Nonpublic'!$M$3:$M$1349,'Media&amp;EdByAEA,Dist,Nonpublic'!$A$3:$A$1349,'Media&amp;EdByAEA,Nonpublic'!$A43,'Media&amp;EdByAEA,Dist,Nonpublic'!$D$3:$D$1349,'Media&amp;EdByAEA,Nonpublic'!$D43,'Media&amp;EdByAEA,Dist,Nonpublic'!$E$3:$E$1349,'Media&amp;EdByAEA,Nonpublic'!$E43)</f>
        <v>73.2</v>
      </c>
    </row>
    <row r="44" spans="1:7" x14ac:dyDescent="0.25">
      <c r="A44" s="80" t="s">
        <v>22</v>
      </c>
      <c r="B44" s="81" t="s">
        <v>987</v>
      </c>
      <c r="C44" s="81" t="s">
        <v>851</v>
      </c>
      <c r="D44" s="82">
        <v>2088</v>
      </c>
      <c r="E44" s="82">
        <v>8102</v>
      </c>
      <c r="F44" s="35">
        <f>SUMIFS('Media&amp;EdByAEA,Dist,Nonpublic'!$L$3:$L$1349,'Media&amp;EdByAEA,Dist,Nonpublic'!$A$3:$A$1349,'Media&amp;EdByAEA,Nonpublic'!$A44,'Media&amp;EdByAEA,Dist,Nonpublic'!$D$3:$D$1349,'Media&amp;EdByAEA,Nonpublic'!$D44,'Media&amp;EdByAEA,Dist,Nonpublic'!$E$3:$E$1349,'Media&amp;EdByAEA,Nonpublic'!$E44)</f>
        <v>5945.66</v>
      </c>
      <c r="G44" s="35">
        <f>SUMIFS('Media&amp;EdByAEA,Dist,Nonpublic'!$M$3:$M$1349,'Media&amp;EdByAEA,Dist,Nonpublic'!$A$3:$A$1349,'Media&amp;EdByAEA,Nonpublic'!$A44,'Media&amp;EdByAEA,Dist,Nonpublic'!$D$3:$D$1349,'Media&amp;EdByAEA,Nonpublic'!$D44,'Media&amp;EdByAEA,Dist,Nonpublic'!$E$3:$E$1349,'Media&amp;EdByAEA,Nonpublic'!$E44)</f>
        <v>6657.84</v>
      </c>
    </row>
    <row r="45" spans="1:7" x14ac:dyDescent="0.25">
      <c r="A45" s="80" t="s">
        <v>22</v>
      </c>
      <c r="B45" s="81" t="s">
        <v>987</v>
      </c>
      <c r="C45" s="81" t="s">
        <v>854</v>
      </c>
      <c r="D45" s="82">
        <v>2313</v>
      </c>
      <c r="E45" s="82">
        <v>8104</v>
      </c>
      <c r="F45" s="35">
        <f>SUMIFS('Media&amp;EdByAEA,Dist,Nonpublic'!$L$3:$L$1349,'Media&amp;EdByAEA,Dist,Nonpublic'!$A$3:$A$1349,'Media&amp;EdByAEA,Nonpublic'!$A45,'Media&amp;EdByAEA,Dist,Nonpublic'!$D$3:$D$1349,'Media&amp;EdByAEA,Nonpublic'!$D45,'Media&amp;EdByAEA,Dist,Nonpublic'!$E$3:$E$1349,'Media&amp;EdByAEA,Nonpublic'!$E45)</f>
        <v>40903.39</v>
      </c>
      <c r="G45" s="35">
        <f>SUMIFS('Media&amp;EdByAEA,Dist,Nonpublic'!$M$3:$M$1349,'Media&amp;EdByAEA,Dist,Nonpublic'!$A$3:$A$1349,'Media&amp;EdByAEA,Nonpublic'!$A45,'Media&amp;EdByAEA,Dist,Nonpublic'!$D$3:$D$1349,'Media&amp;EdByAEA,Nonpublic'!$D45,'Media&amp;EdByAEA,Dist,Nonpublic'!$E$3:$E$1349,'Media&amp;EdByAEA,Nonpublic'!$E45)</f>
        <v>45797.57</v>
      </c>
    </row>
    <row r="46" spans="1:7" x14ac:dyDescent="0.25">
      <c r="A46" s="80" t="s">
        <v>22</v>
      </c>
      <c r="B46" s="81" t="s">
        <v>987</v>
      </c>
      <c r="C46" s="81" t="s">
        <v>855</v>
      </c>
      <c r="D46" s="82">
        <v>2313</v>
      </c>
      <c r="E46" s="82">
        <v>8206</v>
      </c>
      <c r="F46" s="35">
        <f>SUMIFS('Media&amp;EdByAEA,Dist,Nonpublic'!$L$3:$L$1349,'Media&amp;EdByAEA,Dist,Nonpublic'!$A$3:$A$1349,'Media&amp;EdByAEA,Nonpublic'!$A46,'Media&amp;EdByAEA,Dist,Nonpublic'!$D$3:$D$1349,'Media&amp;EdByAEA,Nonpublic'!$D46,'Media&amp;EdByAEA,Dist,Nonpublic'!$E$3:$E$1349,'Media&amp;EdByAEA,Nonpublic'!$E46)</f>
        <v>6272.7</v>
      </c>
      <c r="G46" s="35">
        <f>SUMIFS('Media&amp;EdByAEA,Dist,Nonpublic'!$M$3:$M$1349,'Media&amp;EdByAEA,Dist,Nonpublic'!$A$3:$A$1349,'Media&amp;EdByAEA,Nonpublic'!$A46,'Media&amp;EdByAEA,Dist,Nonpublic'!$D$3:$D$1349,'Media&amp;EdByAEA,Nonpublic'!$D46,'Media&amp;EdByAEA,Dist,Nonpublic'!$E$3:$E$1349,'Media&amp;EdByAEA,Nonpublic'!$E46)</f>
        <v>7023.2799999999988</v>
      </c>
    </row>
    <row r="47" spans="1:7" x14ac:dyDescent="0.25">
      <c r="A47" s="80" t="s">
        <v>22</v>
      </c>
      <c r="B47" s="81" t="s">
        <v>987</v>
      </c>
      <c r="C47" s="81" t="s">
        <v>856</v>
      </c>
      <c r="D47" s="82">
        <v>2313</v>
      </c>
      <c r="E47" s="82">
        <v>8301</v>
      </c>
      <c r="F47" s="35">
        <f>SUMIFS('Media&amp;EdByAEA,Dist,Nonpublic'!$L$3:$L$1349,'Media&amp;EdByAEA,Dist,Nonpublic'!$A$3:$A$1349,'Media&amp;EdByAEA,Nonpublic'!$A47,'Media&amp;EdByAEA,Dist,Nonpublic'!$D$3:$D$1349,'Media&amp;EdByAEA,Nonpublic'!$D47,'Media&amp;EdByAEA,Dist,Nonpublic'!$E$3:$E$1349,'Media&amp;EdByAEA,Nonpublic'!$E47)</f>
        <v>4900.55</v>
      </c>
      <c r="G47" s="35">
        <f>SUMIFS('Media&amp;EdByAEA,Dist,Nonpublic'!$M$3:$M$1349,'Media&amp;EdByAEA,Dist,Nonpublic'!$A$3:$A$1349,'Media&amp;EdByAEA,Nonpublic'!$A47,'Media&amp;EdByAEA,Dist,Nonpublic'!$D$3:$D$1349,'Media&amp;EdByAEA,Nonpublic'!$D47,'Media&amp;EdByAEA,Dist,Nonpublic'!$E$3:$E$1349,'Media&amp;EdByAEA,Nonpublic'!$E47)</f>
        <v>5486.94</v>
      </c>
    </row>
    <row r="48" spans="1:7" x14ac:dyDescent="0.25">
      <c r="A48" s="80" t="s">
        <v>22</v>
      </c>
      <c r="B48" s="81" t="s">
        <v>987</v>
      </c>
      <c r="C48" s="81" t="s">
        <v>863</v>
      </c>
      <c r="D48" s="82">
        <v>3060</v>
      </c>
      <c r="E48" s="82">
        <v>8101</v>
      </c>
      <c r="F48" s="35">
        <f>SUMIFS('Media&amp;EdByAEA,Dist,Nonpublic'!$L$3:$L$1349,'Media&amp;EdByAEA,Dist,Nonpublic'!$A$3:$A$1349,'Media&amp;EdByAEA,Nonpublic'!$A48,'Media&amp;EdByAEA,Dist,Nonpublic'!$D$3:$D$1349,'Media&amp;EdByAEA,Nonpublic'!$D48,'Media&amp;EdByAEA,Dist,Nonpublic'!$E$3:$E$1349,'Media&amp;EdByAEA,Nonpublic'!$E48)</f>
        <v>9735.66</v>
      </c>
      <c r="G48" s="35">
        <f>SUMIFS('Media&amp;EdByAEA,Dist,Nonpublic'!$M$3:$M$1349,'Media&amp;EdByAEA,Dist,Nonpublic'!$A$3:$A$1349,'Media&amp;EdByAEA,Nonpublic'!$A48,'Media&amp;EdByAEA,Dist,Nonpublic'!$D$3:$D$1349,'Media&amp;EdByAEA,Nonpublic'!$D48,'Media&amp;EdByAEA,Dist,Nonpublic'!$E$3:$E$1349,'Media&amp;EdByAEA,Nonpublic'!$E48)</f>
        <v>10900.259999999998</v>
      </c>
    </row>
    <row r="49" spans="1:7" x14ac:dyDescent="0.25">
      <c r="A49" s="80" t="s">
        <v>22</v>
      </c>
      <c r="B49" s="81" t="s">
        <v>987</v>
      </c>
      <c r="C49" s="81" t="s">
        <v>768</v>
      </c>
      <c r="D49" s="82">
        <v>5184</v>
      </c>
      <c r="E49" s="82">
        <v>8102</v>
      </c>
      <c r="F49" s="35">
        <f>SUMIFS('Media&amp;EdByAEA,Dist,Nonpublic'!$L$3:$L$1349,'Media&amp;EdByAEA,Dist,Nonpublic'!$A$3:$A$1349,'Media&amp;EdByAEA,Nonpublic'!$A49,'Media&amp;EdByAEA,Dist,Nonpublic'!$D$3:$D$1349,'Media&amp;EdByAEA,Nonpublic'!$D49,'Media&amp;EdByAEA,Dist,Nonpublic'!$E$3:$E$1349,'Media&amp;EdByAEA,Nonpublic'!$E49)</f>
        <v>130.57</v>
      </c>
      <c r="G49" s="35">
        <f>SUMIFS('Media&amp;EdByAEA,Dist,Nonpublic'!$M$3:$M$1349,'Media&amp;EdByAEA,Dist,Nonpublic'!$A$3:$A$1349,'Media&amp;EdByAEA,Nonpublic'!$A49,'Media&amp;EdByAEA,Dist,Nonpublic'!$D$3:$D$1349,'Media&amp;EdByAEA,Nonpublic'!$D49,'Media&amp;EdByAEA,Dist,Nonpublic'!$E$3:$E$1349,'Media&amp;EdByAEA,Nonpublic'!$E49)</f>
        <v>146.29</v>
      </c>
    </row>
    <row r="50" spans="1:7" x14ac:dyDescent="0.25">
      <c r="A50" s="80" t="s">
        <v>22</v>
      </c>
      <c r="B50" s="81" t="s">
        <v>987</v>
      </c>
      <c r="C50" s="81" t="s">
        <v>911</v>
      </c>
      <c r="D50" s="82">
        <v>5283</v>
      </c>
      <c r="E50" s="82">
        <v>8102</v>
      </c>
      <c r="F50" s="35">
        <f>SUMIFS('Media&amp;EdByAEA,Dist,Nonpublic'!$L$3:$L$1349,'Media&amp;EdByAEA,Dist,Nonpublic'!$A$3:$A$1349,'Media&amp;EdByAEA,Nonpublic'!$A50,'Media&amp;EdByAEA,Dist,Nonpublic'!$D$3:$D$1349,'Media&amp;EdByAEA,Nonpublic'!$D50,'Media&amp;EdByAEA,Dist,Nonpublic'!$E$3:$E$1349,'Media&amp;EdByAEA,Nonpublic'!$E50)</f>
        <v>6076.96</v>
      </c>
      <c r="G50" s="35">
        <f>SUMIFS('Media&amp;EdByAEA,Dist,Nonpublic'!$M$3:$M$1349,'Media&amp;EdByAEA,Dist,Nonpublic'!$A$3:$A$1349,'Media&amp;EdByAEA,Nonpublic'!$A50,'Media&amp;EdByAEA,Dist,Nonpublic'!$D$3:$D$1349,'Media&amp;EdByAEA,Nonpublic'!$D50,'Media&amp;EdByAEA,Dist,Nonpublic'!$E$3:$E$1349,'Media&amp;EdByAEA,Nonpublic'!$E50)</f>
        <v>6804.03</v>
      </c>
    </row>
    <row r="51" spans="1:7" x14ac:dyDescent="0.25">
      <c r="A51" s="80" t="s">
        <v>22</v>
      </c>
      <c r="B51" s="81" t="s">
        <v>987</v>
      </c>
      <c r="C51" s="81" t="s">
        <v>783</v>
      </c>
      <c r="D51" s="82">
        <v>6102</v>
      </c>
      <c r="E51" s="82">
        <v>8101</v>
      </c>
      <c r="F51" s="35">
        <f>SUMIFS('Media&amp;EdByAEA,Dist,Nonpublic'!$L$3:$L$1349,'Media&amp;EdByAEA,Dist,Nonpublic'!$A$3:$A$1349,'Media&amp;EdByAEA,Nonpublic'!$A51,'Media&amp;EdByAEA,Dist,Nonpublic'!$D$3:$D$1349,'Media&amp;EdByAEA,Nonpublic'!$D51,'Media&amp;EdByAEA,Dist,Nonpublic'!$E$3:$E$1349,'Media&amp;EdByAEA,Nonpublic'!$E51)</f>
        <v>10780.72</v>
      </c>
      <c r="G51" s="35">
        <f>SUMIFS('Media&amp;EdByAEA,Dist,Nonpublic'!$M$3:$M$1349,'Media&amp;EdByAEA,Dist,Nonpublic'!$A$3:$A$1349,'Media&amp;EdByAEA,Nonpublic'!$A51,'Media&amp;EdByAEA,Dist,Nonpublic'!$D$3:$D$1349,'Media&amp;EdByAEA,Nonpublic'!$D51,'Media&amp;EdByAEA,Dist,Nonpublic'!$E$3:$E$1349,'Media&amp;EdByAEA,Nonpublic'!$E51)</f>
        <v>12071.51</v>
      </c>
    </row>
    <row r="52" spans="1:7" x14ac:dyDescent="0.25">
      <c r="A52" s="80" t="s">
        <v>22</v>
      </c>
      <c r="B52" s="81" t="s">
        <v>987</v>
      </c>
      <c r="C52" s="81" t="s">
        <v>929</v>
      </c>
      <c r="D52" s="82">
        <v>6102</v>
      </c>
      <c r="E52" s="82">
        <v>8102</v>
      </c>
      <c r="F52" s="35">
        <f>SUMIFS('Media&amp;EdByAEA,Dist,Nonpublic'!$L$3:$L$1349,'Media&amp;EdByAEA,Dist,Nonpublic'!$A$3:$A$1349,'Media&amp;EdByAEA,Nonpublic'!$A52,'Media&amp;EdByAEA,Dist,Nonpublic'!$D$3:$D$1349,'Media&amp;EdByAEA,Nonpublic'!$D52,'Media&amp;EdByAEA,Dist,Nonpublic'!$E$3:$E$1349,'Media&amp;EdByAEA,Nonpublic'!$E52)</f>
        <v>8559.4500000000007</v>
      </c>
      <c r="G52" s="35">
        <f>SUMIFS('Media&amp;EdByAEA,Dist,Nonpublic'!$M$3:$M$1349,'Media&amp;EdByAEA,Dist,Nonpublic'!$A$3:$A$1349,'Media&amp;EdByAEA,Nonpublic'!$A52,'Media&amp;EdByAEA,Dist,Nonpublic'!$D$3:$D$1349,'Media&amp;EdByAEA,Nonpublic'!$D52,'Media&amp;EdByAEA,Dist,Nonpublic'!$E$3:$E$1349,'Media&amp;EdByAEA,Nonpublic'!$E52)</f>
        <v>9583.93</v>
      </c>
    </row>
    <row r="53" spans="1:7" x14ac:dyDescent="0.25">
      <c r="A53" s="80" t="s">
        <v>22</v>
      </c>
      <c r="B53" s="81" t="s">
        <v>987</v>
      </c>
      <c r="C53" s="81" t="s">
        <v>930</v>
      </c>
      <c r="D53" s="82">
        <v>6219</v>
      </c>
      <c r="E53" s="82">
        <v>8101</v>
      </c>
      <c r="F53" s="35">
        <f>SUMIFS('Media&amp;EdByAEA,Dist,Nonpublic'!$L$3:$L$1349,'Media&amp;EdByAEA,Dist,Nonpublic'!$A$3:$A$1349,'Media&amp;EdByAEA,Nonpublic'!$A53,'Media&amp;EdByAEA,Dist,Nonpublic'!$D$3:$D$1349,'Media&amp;EdByAEA,Nonpublic'!$D53,'Media&amp;EdByAEA,Dist,Nonpublic'!$E$3:$E$1349,'Media&amp;EdByAEA,Nonpublic'!$E53)</f>
        <v>7775.25</v>
      </c>
      <c r="G53" s="35">
        <f>SUMIFS('Media&amp;EdByAEA,Dist,Nonpublic'!$M$3:$M$1349,'Media&amp;EdByAEA,Dist,Nonpublic'!$A$3:$A$1349,'Media&amp;EdByAEA,Nonpublic'!$A53,'Media&amp;EdByAEA,Dist,Nonpublic'!$D$3:$D$1349,'Media&amp;EdByAEA,Nonpublic'!$D53,'Media&amp;EdByAEA,Dist,Nonpublic'!$E$3:$E$1349,'Media&amp;EdByAEA,Nonpublic'!$E53)</f>
        <v>8706.4600000000009</v>
      </c>
    </row>
    <row r="54" spans="1:7" x14ac:dyDescent="0.25">
      <c r="A54" s="80" t="s">
        <v>22</v>
      </c>
      <c r="B54" s="81" t="s">
        <v>987</v>
      </c>
      <c r="C54" s="81" t="s">
        <v>931</v>
      </c>
      <c r="D54" s="82">
        <v>6219</v>
      </c>
      <c r="E54" s="82">
        <v>8102</v>
      </c>
      <c r="F54" s="35">
        <f>SUMIFS('Media&amp;EdByAEA,Dist,Nonpublic'!$L$3:$L$1349,'Media&amp;EdByAEA,Dist,Nonpublic'!$A$3:$A$1349,'Media&amp;EdByAEA,Nonpublic'!$A54,'Media&amp;EdByAEA,Dist,Nonpublic'!$D$3:$D$1349,'Media&amp;EdByAEA,Nonpublic'!$D54,'Media&amp;EdByAEA,Dist,Nonpublic'!$E$3:$E$1349,'Media&amp;EdByAEA,Nonpublic'!$E54)</f>
        <v>9343.3700000000008</v>
      </c>
      <c r="G54" s="35">
        <f>SUMIFS('Media&amp;EdByAEA,Dist,Nonpublic'!$M$3:$M$1349,'Media&amp;EdByAEA,Dist,Nonpublic'!$A$3:$A$1349,'Media&amp;EdByAEA,Nonpublic'!$A54,'Media&amp;EdByAEA,Dist,Nonpublic'!$D$3:$D$1349,'Media&amp;EdByAEA,Nonpublic'!$D54,'Media&amp;EdByAEA,Dist,Nonpublic'!$E$3:$E$1349,'Media&amp;EdByAEA,Nonpublic'!$E54)</f>
        <v>10462.32</v>
      </c>
    </row>
    <row r="55" spans="1:7" x14ac:dyDescent="0.25">
      <c r="A55" s="80" t="s">
        <v>22</v>
      </c>
      <c r="B55" s="81" t="s">
        <v>987</v>
      </c>
      <c r="C55" s="81" t="s">
        <v>948</v>
      </c>
      <c r="D55" s="82">
        <v>6867</v>
      </c>
      <c r="E55" s="82">
        <v>8102</v>
      </c>
      <c r="F55" s="35">
        <f>SUMIFS('Media&amp;EdByAEA,Dist,Nonpublic'!$L$3:$L$1349,'Media&amp;EdByAEA,Dist,Nonpublic'!$A$3:$A$1349,'Media&amp;EdByAEA,Nonpublic'!$A55,'Media&amp;EdByAEA,Dist,Nonpublic'!$D$3:$D$1349,'Media&amp;EdByAEA,Nonpublic'!$D55,'Media&amp;EdByAEA,Dist,Nonpublic'!$E$3:$E$1349,'Media&amp;EdByAEA,Nonpublic'!$E55)</f>
        <v>5292.86</v>
      </c>
      <c r="G55" s="35">
        <f>SUMIFS('Media&amp;EdByAEA,Dist,Nonpublic'!$M$3:$M$1349,'Media&amp;EdByAEA,Dist,Nonpublic'!$A$3:$A$1349,'Media&amp;EdByAEA,Nonpublic'!$A55,'Media&amp;EdByAEA,Dist,Nonpublic'!$D$3:$D$1349,'Media&amp;EdByAEA,Nonpublic'!$D55,'Media&amp;EdByAEA,Dist,Nonpublic'!$E$3:$E$1349,'Media&amp;EdByAEA,Nonpublic'!$E55)</f>
        <v>5925.14</v>
      </c>
    </row>
    <row r="56" spans="1:7" x14ac:dyDescent="0.25">
      <c r="A56" s="80" t="s">
        <v>60</v>
      </c>
      <c r="B56" s="81" t="s">
        <v>1021</v>
      </c>
      <c r="C56" s="81" t="s">
        <v>765</v>
      </c>
      <c r="D56" s="80" t="s">
        <v>61</v>
      </c>
      <c r="E56" s="82">
        <v>8302</v>
      </c>
      <c r="F56" s="35">
        <f>SUMIFS('Media&amp;EdByAEA,Dist,Nonpublic'!$L$3:$L$1349,'Media&amp;EdByAEA,Dist,Nonpublic'!$A$3:$A$1349,'Media&amp;EdByAEA,Nonpublic'!$A56,'Media&amp;EdByAEA,Dist,Nonpublic'!$D$3:$D$1349,'Media&amp;EdByAEA,Nonpublic'!$D56,'Media&amp;EdByAEA,Dist,Nonpublic'!$E$3:$E$1349,'Media&amp;EdByAEA,Nonpublic'!$E56)</f>
        <v>4179.08</v>
      </c>
      <c r="G56" s="35">
        <f>SUMIFS('Media&amp;EdByAEA,Dist,Nonpublic'!$M$3:$M$1349,'Media&amp;EdByAEA,Dist,Nonpublic'!$A$3:$A$1349,'Media&amp;EdByAEA,Nonpublic'!$A56,'Media&amp;EdByAEA,Dist,Nonpublic'!$D$3:$D$1349,'Media&amp;EdByAEA,Nonpublic'!$D56,'Media&amp;EdByAEA,Dist,Nonpublic'!$E$3:$E$1349,'Media&amp;EdByAEA,Nonpublic'!$E56)</f>
        <v>4658.59</v>
      </c>
    </row>
    <row r="57" spans="1:7" x14ac:dyDescent="0.25">
      <c r="A57" s="80" t="s">
        <v>60</v>
      </c>
      <c r="B57" s="81" t="s">
        <v>1021</v>
      </c>
      <c r="C57" s="81" t="s">
        <v>766</v>
      </c>
      <c r="D57" s="80" t="s">
        <v>24</v>
      </c>
      <c r="E57" s="82">
        <v>8101</v>
      </c>
      <c r="F57" s="35">
        <f>SUMIFS('Media&amp;EdByAEA,Dist,Nonpublic'!$L$3:$L$1349,'Media&amp;EdByAEA,Dist,Nonpublic'!$A$3:$A$1349,'Media&amp;EdByAEA,Nonpublic'!$A57,'Media&amp;EdByAEA,Dist,Nonpublic'!$D$3:$D$1349,'Media&amp;EdByAEA,Nonpublic'!$D57,'Media&amp;EdByAEA,Dist,Nonpublic'!$E$3:$E$1349,'Media&amp;EdByAEA,Nonpublic'!$E57)</f>
        <v>130.66999999999999</v>
      </c>
      <c r="G57" s="35">
        <f>SUMIFS('Media&amp;EdByAEA,Dist,Nonpublic'!$M$3:$M$1349,'Media&amp;EdByAEA,Dist,Nonpublic'!$A$3:$A$1349,'Media&amp;EdByAEA,Nonpublic'!$A57,'Media&amp;EdByAEA,Dist,Nonpublic'!$D$3:$D$1349,'Media&amp;EdByAEA,Nonpublic'!$D57,'Media&amp;EdByAEA,Dist,Nonpublic'!$E$3:$E$1349,'Media&amp;EdByAEA,Nonpublic'!$E57)</f>
        <v>145.56</v>
      </c>
    </row>
    <row r="58" spans="1:7" x14ac:dyDescent="0.25">
      <c r="A58" s="80" t="s">
        <v>60</v>
      </c>
      <c r="B58" s="81" t="s">
        <v>1021</v>
      </c>
      <c r="C58" s="81" t="s">
        <v>769</v>
      </c>
      <c r="D58" s="80" t="s">
        <v>177</v>
      </c>
      <c r="E58" s="82">
        <v>8102</v>
      </c>
      <c r="F58" s="35">
        <f>SUMIFS('Media&amp;EdByAEA,Dist,Nonpublic'!$L$3:$L$1349,'Media&amp;EdByAEA,Dist,Nonpublic'!$A$3:$A$1349,'Media&amp;EdByAEA,Nonpublic'!$A58,'Media&amp;EdByAEA,Dist,Nonpublic'!$D$3:$D$1349,'Media&amp;EdByAEA,Nonpublic'!$D58,'Media&amp;EdByAEA,Dist,Nonpublic'!$E$3:$E$1349,'Media&amp;EdByAEA,Nonpublic'!$E58)</f>
        <v>130.5</v>
      </c>
      <c r="G58" s="35">
        <f>SUMIFS('Media&amp;EdByAEA,Dist,Nonpublic'!$M$3:$M$1349,'Media&amp;EdByAEA,Dist,Nonpublic'!$A$3:$A$1349,'Media&amp;EdByAEA,Nonpublic'!$A58,'Media&amp;EdByAEA,Dist,Nonpublic'!$D$3:$D$1349,'Media&amp;EdByAEA,Nonpublic'!$D58,'Media&amp;EdByAEA,Dist,Nonpublic'!$E$3:$E$1349,'Media&amp;EdByAEA,Nonpublic'!$E58)</f>
        <v>145.5</v>
      </c>
    </row>
    <row r="59" spans="1:7" x14ac:dyDescent="0.25">
      <c r="A59" s="80" t="s">
        <v>60</v>
      </c>
      <c r="B59" s="81" t="s">
        <v>1021</v>
      </c>
      <c r="C59" s="81" t="s">
        <v>772</v>
      </c>
      <c r="D59" s="80" t="s">
        <v>178</v>
      </c>
      <c r="E59" s="82">
        <v>8101</v>
      </c>
      <c r="F59" s="35">
        <f>SUMIFS('Media&amp;EdByAEA,Dist,Nonpublic'!$L$3:$L$1349,'Media&amp;EdByAEA,Dist,Nonpublic'!$A$3:$A$1349,'Media&amp;EdByAEA,Nonpublic'!$A59,'Media&amp;EdByAEA,Dist,Nonpublic'!$D$3:$D$1349,'Media&amp;EdByAEA,Nonpublic'!$D59,'Media&amp;EdByAEA,Dist,Nonpublic'!$E$3:$E$1349,'Media&amp;EdByAEA,Nonpublic'!$E59)</f>
        <v>65.290000000000006</v>
      </c>
      <c r="G59" s="35">
        <f>SUMIFS('Media&amp;EdByAEA,Dist,Nonpublic'!$M$3:$M$1349,'Media&amp;EdByAEA,Dist,Nonpublic'!$A$3:$A$1349,'Media&amp;EdByAEA,Nonpublic'!$A59,'Media&amp;EdByAEA,Dist,Nonpublic'!$D$3:$D$1349,'Media&amp;EdByAEA,Nonpublic'!$D59,'Media&amp;EdByAEA,Dist,Nonpublic'!$E$3:$E$1349,'Media&amp;EdByAEA,Nonpublic'!$E59)</f>
        <v>72.78</v>
      </c>
    </row>
    <row r="60" spans="1:7" x14ac:dyDescent="0.25">
      <c r="A60" s="80" t="s">
        <v>60</v>
      </c>
      <c r="B60" s="81" t="s">
        <v>1021</v>
      </c>
      <c r="C60" s="81" t="s">
        <v>777</v>
      </c>
      <c r="D60" s="80" t="s">
        <v>144</v>
      </c>
      <c r="E60" s="82">
        <v>8204</v>
      </c>
      <c r="F60" s="35">
        <f>SUMIFS('Media&amp;EdByAEA,Dist,Nonpublic'!$L$3:$L$1349,'Media&amp;EdByAEA,Dist,Nonpublic'!$A$3:$A$1349,'Media&amp;EdByAEA,Nonpublic'!$A60,'Media&amp;EdByAEA,Dist,Nonpublic'!$D$3:$D$1349,'Media&amp;EdByAEA,Nonpublic'!$D60,'Media&amp;EdByAEA,Dist,Nonpublic'!$E$3:$E$1349,'Media&amp;EdByAEA,Nonpublic'!$E60)</f>
        <v>130.57</v>
      </c>
      <c r="G60" s="35">
        <f>SUMIFS('Media&amp;EdByAEA,Dist,Nonpublic'!$M$3:$M$1349,'Media&amp;EdByAEA,Dist,Nonpublic'!$A$3:$A$1349,'Media&amp;EdByAEA,Nonpublic'!$A60,'Media&amp;EdByAEA,Dist,Nonpublic'!$D$3:$D$1349,'Media&amp;EdByAEA,Nonpublic'!$D60,'Media&amp;EdByAEA,Dist,Nonpublic'!$E$3:$E$1349,'Media&amp;EdByAEA,Nonpublic'!$E60)</f>
        <v>145.54</v>
      </c>
    </row>
    <row r="61" spans="1:7" x14ac:dyDescent="0.25">
      <c r="A61" s="80" t="s">
        <v>60</v>
      </c>
      <c r="B61" s="81" t="s">
        <v>1021</v>
      </c>
      <c r="C61" s="81" t="s">
        <v>792</v>
      </c>
      <c r="D61" s="80" t="s">
        <v>69</v>
      </c>
      <c r="E61" s="82">
        <v>8201</v>
      </c>
      <c r="F61" s="35">
        <f>SUMIFS('Media&amp;EdByAEA,Dist,Nonpublic'!$L$3:$L$1349,'Media&amp;EdByAEA,Dist,Nonpublic'!$A$3:$A$1349,'Media&amp;EdByAEA,Nonpublic'!$A61,'Media&amp;EdByAEA,Dist,Nonpublic'!$D$3:$D$1349,'Media&amp;EdByAEA,Nonpublic'!$D61,'Media&amp;EdByAEA,Dist,Nonpublic'!$E$3:$E$1349,'Media&amp;EdByAEA,Nonpublic'!$E61)</f>
        <v>2676.83</v>
      </c>
      <c r="G61" s="35">
        <f>SUMIFS('Media&amp;EdByAEA,Dist,Nonpublic'!$M$3:$M$1349,'Media&amp;EdByAEA,Dist,Nonpublic'!$A$3:$A$1349,'Media&amp;EdByAEA,Nonpublic'!$A61,'Media&amp;EdByAEA,Dist,Nonpublic'!$D$3:$D$1349,'Media&amp;EdByAEA,Nonpublic'!$D61,'Media&amp;EdByAEA,Dist,Nonpublic'!$E$3:$E$1349,'Media&amp;EdByAEA,Nonpublic'!$E61)</f>
        <v>2984.31</v>
      </c>
    </row>
    <row r="62" spans="1:7" x14ac:dyDescent="0.25">
      <c r="A62" s="80" t="s">
        <v>60</v>
      </c>
      <c r="B62" s="81" t="s">
        <v>1021</v>
      </c>
      <c r="C62" s="81" t="s">
        <v>795</v>
      </c>
      <c r="D62" s="82">
        <v>1044</v>
      </c>
      <c r="E62" s="82">
        <v>8100</v>
      </c>
      <c r="F62" s="35">
        <f>SUMIFS('Media&amp;EdByAEA,Dist,Nonpublic'!$L$3:$L$1349,'Media&amp;EdByAEA,Dist,Nonpublic'!$A$3:$A$1349,'Media&amp;EdByAEA,Nonpublic'!$A62,'Media&amp;EdByAEA,Dist,Nonpublic'!$D$3:$D$1349,'Media&amp;EdByAEA,Nonpublic'!$D62,'Media&amp;EdByAEA,Dist,Nonpublic'!$E$3:$E$1349,'Media&amp;EdByAEA,Nonpublic'!$E62)</f>
        <v>11556.78</v>
      </c>
      <c r="G62" s="35">
        <f>SUMIFS('Media&amp;EdByAEA,Dist,Nonpublic'!$M$3:$M$1349,'Media&amp;EdByAEA,Dist,Nonpublic'!$A$3:$A$1349,'Media&amp;EdByAEA,Nonpublic'!$A62,'Media&amp;EdByAEA,Dist,Nonpublic'!$D$3:$D$1349,'Media&amp;EdByAEA,Nonpublic'!$D62,'Media&amp;EdByAEA,Dist,Nonpublic'!$E$3:$E$1349,'Media&amp;EdByAEA,Nonpublic'!$E62)</f>
        <v>12882.470000000001</v>
      </c>
    </row>
    <row r="63" spans="1:7" x14ac:dyDescent="0.25">
      <c r="A63" s="80" t="s">
        <v>60</v>
      </c>
      <c r="B63" s="81" t="s">
        <v>1021</v>
      </c>
      <c r="C63" s="81" t="s">
        <v>768</v>
      </c>
      <c r="D63" s="82">
        <v>1044</v>
      </c>
      <c r="E63" s="82">
        <v>8113</v>
      </c>
      <c r="F63" s="35">
        <f>SUMIFS('Media&amp;EdByAEA,Dist,Nonpublic'!$L$3:$L$1349,'Media&amp;EdByAEA,Dist,Nonpublic'!$A$3:$A$1349,'Media&amp;EdByAEA,Nonpublic'!$A63,'Media&amp;EdByAEA,Dist,Nonpublic'!$D$3:$D$1349,'Media&amp;EdByAEA,Nonpublic'!$D63,'Media&amp;EdByAEA,Dist,Nonpublic'!$E$3:$E$1349,'Media&amp;EdByAEA,Nonpublic'!$E63)</f>
        <v>12796.78</v>
      </c>
      <c r="G63" s="35">
        <f>SUMIFS('Media&amp;EdByAEA,Dist,Nonpublic'!$M$3:$M$1349,'Media&amp;EdByAEA,Dist,Nonpublic'!$A$3:$A$1349,'Media&amp;EdByAEA,Nonpublic'!$A63,'Media&amp;EdByAEA,Dist,Nonpublic'!$D$3:$D$1349,'Media&amp;EdByAEA,Nonpublic'!$D63,'Media&amp;EdByAEA,Dist,Nonpublic'!$E$3:$E$1349,'Media&amp;EdByAEA,Nonpublic'!$E63)</f>
        <v>14264.9</v>
      </c>
    </row>
    <row r="64" spans="1:7" x14ac:dyDescent="0.25">
      <c r="A64" s="80" t="s">
        <v>60</v>
      </c>
      <c r="B64" s="81" t="s">
        <v>1021</v>
      </c>
      <c r="C64" s="81" t="s">
        <v>798</v>
      </c>
      <c r="D64" s="82">
        <v>1053</v>
      </c>
      <c r="E64" s="82">
        <v>8105</v>
      </c>
      <c r="F64" s="35">
        <f>SUMIFS('Media&amp;EdByAEA,Dist,Nonpublic'!$L$3:$L$1349,'Media&amp;EdByAEA,Dist,Nonpublic'!$A$3:$A$1349,'Media&amp;EdByAEA,Nonpublic'!$A64,'Media&amp;EdByAEA,Dist,Nonpublic'!$D$3:$D$1349,'Media&amp;EdByAEA,Nonpublic'!$D64,'Media&amp;EdByAEA,Dist,Nonpublic'!$E$3:$E$1349,'Media&amp;EdByAEA,Nonpublic'!$E64)</f>
        <v>65.290000000000006</v>
      </c>
      <c r="G64" s="35">
        <f>SUMIFS('Media&amp;EdByAEA,Dist,Nonpublic'!$M$3:$M$1349,'Media&amp;EdByAEA,Dist,Nonpublic'!$A$3:$A$1349,'Media&amp;EdByAEA,Nonpublic'!$A64,'Media&amp;EdByAEA,Dist,Nonpublic'!$D$3:$D$1349,'Media&amp;EdByAEA,Nonpublic'!$D64,'Media&amp;EdByAEA,Dist,Nonpublic'!$E$3:$E$1349,'Media&amp;EdByAEA,Nonpublic'!$E64)</f>
        <v>72.78</v>
      </c>
    </row>
    <row r="65" spans="1:7" x14ac:dyDescent="0.25">
      <c r="A65" s="80" t="s">
        <v>60</v>
      </c>
      <c r="B65" s="81" t="s">
        <v>1021</v>
      </c>
      <c r="C65" s="81" t="s">
        <v>805</v>
      </c>
      <c r="D65" s="82">
        <v>1053</v>
      </c>
      <c r="E65" s="82">
        <v>8220</v>
      </c>
      <c r="F65" s="35">
        <f>SUMIFS('Media&amp;EdByAEA,Dist,Nonpublic'!$L$3:$L$1349,'Media&amp;EdByAEA,Dist,Nonpublic'!$A$3:$A$1349,'Media&amp;EdByAEA,Nonpublic'!$A65,'Media&amp;EdByAEA,Dist,Nonpublic'!$D$3:$D$1349,'Media&amp;EdByAEA,Nonpublic'!$D65,'Media&amp;EdByAEA,Dist,Nonpublic'!$E$3:$E$1349,'Media&amp;EdByAEA,Nonpublic'!$E65)</f>
        <v>195.88</v>
      </c>
      <c r="G65" s="35">
        <f>SUMIFS('Media&amp;EdByAEA,Dist,Nonpublic'!$M$3:$M$1349,'Media&amp;EdByAEA,Dist,Nonpublic'!$A$3:$A$1349,'Media&amp;EdByAEA,Nonpublic'!$A65,'Media&amp;EdByAEA,Dist,Nonpublic'!$D$3:$D$1349,'Media&amp;EdByAEA,Nonpublic'!$D65,'Media&amp;EdByAEA,Dist,Nonpublic'!$E$3:$E$1349,'Media&amp;EdByAEA,Nonpublic'!$E65)</f>
        <v>218.34</v>
      </c>
    </row>
    <row r="66" spans="1:7" x14ac:dyDescent="0.25">
      <c r="A66" s="80" t="s">
        <v>60</v>
      </c>
      <c r="B66" s="81" t="s">
        <v>1021</v>
      </c>
      <c r="C66" s="81" t="s">
        <v>808</v>
      </c>
      <c r="D66" s="82">
        <v>1116</v>
      </c>
      <c r="E66" s="82">
        <v>8102</v>
      </c>
      <c r="F66" s="35">
        <f>SUMIFS('Media&amp;EdByAEA,Dist,Nonpublic'!$L$3:$L$1349,'Media&amp;EdByAEA,Dist,Nonpublic'!$A$3:$A$1349,'Media&amp;EdByAEA,Nonpublic'!$A66,'Media&amp;EdByAEA,Dist,Nonpublic'!$D$3:$D$1349,'Media&amp;EdByAEA,Nonpublic'!$D66,'Media&amp;EdByAEA,Dist,Nonpublic'!$E$3:$E$1349,'Media&amp;EdByAEA,Nonpublic'!$E66)</f>
        <v>11947.830000000002</v>
      </c>
      <c r="G66" s="35">
        <f>SUMIFS('Media&amp;EdByAEA,Dist,Nonpublic'!$M$3:$M$1349,'Media&amp;EdByAEA,Dist,Nonpublic'!$A$3:$A$1349,'Media&amp;EdByAEA,Nonpublic'!$A66,'Media&amp;EdByAEA,Dist,Nonpublic'!$D$3:$D$1349,'Media&amp;EdByAEA,Nonpublic'!$D66,'Media&amp;EdByAEA,Dist,Nonpublic'!$E$3:$E$1349,'Media&amp;EdByAEA,Nonpublic'!$E66)</f>
        <v>13319.050000000001</v>
      </c>
    </row>
    <row r="67" spans="1:7" x14ac:dyDescent="0.25">
      <c r="A67" s="80" t="s">
        <v>60</v>
      </c>
      <c r="B67" s="81" t="s">
        <v>1021</v>
      </c>
      <c r="C67" s="81" t="s">
        <v>809</v>
      </c>
      <c r="D67" s="82">
        <v>1116</v>
      </c>
      <c r="E67" s="82">
        <v>8106</v>
      </c>
      <c r="F67" s="35">
        <f>SUMIFS('Media&amp;EdByAEA,Dist,Nonpublic'!$L$3:$L$1349,'Media&amp;EdByAEA,Dist,Nonpublic'!$A$3:$A$1349,'Media&amp;EdByAEA,Nonpublic'!$A67,'Media&amp;EdByAEA,Dist,Nonpublic'!$D$3:$D$1349,'Media&amp;EdByAEA,Nonpublic'!$D67,'Media&amp;EdByAEA,Dist,Nonpublic'!$E$3:$E$1349,'Media&amp;EdByAEA,Nonpublic'!$E67)</f>
        <v>3329.37</v>
      </c>
      <c r="G67" s="35">
        <f>SUMIFS('Media&amp;EdByAEA,Dist,Nonpublic'!$M$3:$M$1349,'Media&amp;EdByAEA,Dist,Nonpublic'!$A$3:$A$1349,'Media&amp;EdByAEA,Nonpublic'!$A67,'Media&amp;EdByAEA,Dist,Nonpublic'!$D$3:$D$1349,'Media&amp;EdByAEA,Nonpublic'!$D67,'Media&amp;EdByAEA,Dist,Nonpublic'!$E$3:$E$1349,'Media&amp;EdByAEA,Nonpublic'!$E67)</f>
        <v>3711.77</v>
      </c>
    </row>
    <row r="68" spans="1:7" x14ac:dyDescent="0.25">
      <c r="A68" s="80" t="s">
        <v>60</v>
      </c>
      <c r="B68" s="81" t="s">
        <v>1021</v>
      </c>
      <c r="C68" s="81" t="s">
        <v>811</v>
      </c>
      <c r="D68" s="82">
        <v>1233</v>
      </c>
      <c r="E68" s="82">
        <v>8102</v>
      </c>
      <c r="F68" s="35">
        <f>SUMIFS('Media&amp;EdByAEA,Dist,Nonpublic'!$L$3:$L$1349,'Media&amp;EdByAEA,Dist,Nonpublic'!$A$3:$A$1349,'Media&amp;EdByAEA,Nonpublic'!$A68,'Media&amp;EdByAEA,Dist,Nonpublic'!$D$3:$D$1349,'Media&amp;EdByAEA,Nonpublic'!$D68,'Media&amp;EdByAEA,Dist,Nonpublic'!$E$3:$E$1349,'Media&amp;EdByAEA,Nonpublic'!$E68)</f>
        <v>5027.1400000000003</v>
      </c>
      <c r="G68" s="35">
        <f>SUMIFS('Media&amp;EdByAEA,Dist,Nonpublic'!$M$3:$M$1349,'Media&amp;EdByAEA,Dist,Nonpublic'!$A$3:$A$1349,'Media&amp;EdByAEA,Nonpublic'!$A68,'Media&amp;EdByAEA,Dist,Nonpublic'!$D$3:$D$1349,'Media&amp;EdByAEA,Nonpublic'!$D68,'Media&amp;EdByAEA,Dist,Nonpublic'!$E$3:$E$1349,'Media&amp;EdByAEA,Nonpublic'!$E68)</f>
        <v>5603.9800000000005</v>
      </c>
    </row>
    <row r="69" spans="1:7" x14ac:dyDescent="0.25">
      <c r="A69" s="80" t="s">
        <v>60</v>
      </c>
      <c r="B69" s="81" t="s">
        <v>1021</v>
      </c>
      <c r="C69" s="81" t="s">
        <v>855</v>
      </c>
      <c r="D69" s="82">
        <v>2313</v>
      </c>
      <c r="E69" s="82">
        <v>8206</v>
      </c>
      <c r="F69" s="35">
        <f>SUMIFS('Media&amp;EdByAEA,Dist,Nonpublic'!$L$3:$L$1349,'Media&amp;EdByAEA,Dist,Nonpublic'!$A$3:$A$1349,'Media&amp;EdByAEA,Nonpublic'!$A69,'Media&amp;EdByAEA,Dist,Nonpublic'!$D$3:$D$1349,'Media&amp;EdByAEA,Nonpublic'!$D69,'Media&amp;EdByAEA,Dist,Nonpublic'!$E$3:$E$1349,'Media&amp;EdByAEA,Nonpublic'!$E69)</f>
        <v>65.28</v>
      </c>
      <c r="G69" s="35">
        <f>SUMIFS('Media&amp;EdByAEA,Dist,Nonpublic'!$M$3:$M$1349,'Media&amp;EdByAEA,Dist,Nonpublic'!$A$3:$A$1349,'Media&amp;EdByAEA,Nonpublic'!$A69,'Media&amp;EdByAEA,Dist,Nonpublic'!$D$3:$D$1349,'Media&amp;EdByAEA,Nonpublic'!$D69,'Media&amp;EdByAEA,Dist,Nonpublic'!$E$3:$E$1349,'Media&amp;EdByAEA,Nonpublic'!$E69)</f>
        <v>72.8</v>
      </c>
    </row>
    <row r="70" spans="1:7" x14ac:dyDescent="0.25">
      <c r="A70" s="80" t="s">
        <v>60</v>
      </c>
      <c r="B70" s="81" t="s">
        <v>1021</v>
      </c>
      <c r="C70" s="81" t="s">
        <v>859</v>
      </c>
      <c r="D70" s="82">
        <v>2403</v>
      </c>
      <c r="E70" s="82">
        <v>8103</v>
      </c>
      <c r="F70" s="35">
        <f>SUMIFS('Media&amp;EdByAEA,Dist,Nonpublic'!$L$3:$L$1349,'Media&amp;EdByAEA,Dist,Nonpublic'!$A$3:$A$1349,'Media&amp;EdByAEA,Nonpublic'!$A70,'Media&amp;EdByAEA,Dist,Nonpublic'!$D$3:$D$1349,'Media&amp;EdByAEA,Nonpublic'!$D70,'Media&amp;EdByAEA,Dist,Nonpublic'!$E$3:$E$1349,'Media&amp;EdByAEA,Nonpublic'!$E70)</f>
        <v>3786.8300000000004</v>
      </c>
      <c r="G70" s="35">
        <f>SUMIFS('Media&amp;EdByAEA,Dist,Nonpublic'!$M$3:$M$1349,'Media&amp;EdByAEA,Dist,Nonpublic'!$A$3:$A$1349,'Media&amp;EdByAEA,Nonpublic'!$A70,'Media&amp;EdByAEA,Dist,Nonpublic'!$D$3:$D$1349,'Media&amp;EdByAEA,Nonpublic'!$D70,'Media&amp;EdByAEA,Dist,Nonpublic'!$E$3:$E$1349,'Media&amp;EdByAEA,Nonpublic'!$E70)</f>
        <v>4221.17</v>
      </c>
    </row>
    <row r="71" spans="1:7" x14ac:dyDescent="0.25">
      <c r="A71" s="80" t="s">
        <v>60</v>
      </c>
      <c r="B71" s="81" t="s">
        <v>1021</v>
      </c>
      <c r="C71" s="81" t="s">
        <v>860</v>
      </c>
      <c r="D71" s="82">
        <v>2709</v>
      </c>
      <c r="E71" s="82">
        <v>8501</v>
      </c>
      <c r="F71" s="35">
        <f>SUMIFS('Media&amp;EdByAEA,Dist,Nonpublic'!$L$3:$L$1349,'Media&amp;EdByAEA,Dist,Nonpublic'!$A$3:$A$1349,'Media&amp;EdByAEA,Nonpublic'!$A71,'Media&amp;EdByAEA,Dist,Nonpublic'!$D$3:$D$1349,'Media&amp;EdByAEA,Nonpublic'!$D71,'Media&amp;EdByAEA,Dist,Nonpublic'!$E$3:$E$1349,'Media&amp;EdByAEA,Nonpublic'!$E71)</f>
        <v>4178.55</v>
      </c>
      <c r="G71" s="35">
        <f>SUMIFS('Media&amp;EdByAEA,Dist,Nonpublic'!$M$3:$M$1349,'Media&amp;EdByAEA,Dist,Nonpublic'!$A$3:$A$1349,'Media&amp;EdByAEA,Nonpublic'!$A71,'Media&amp;EdByAEA,Dist,Nonpublic'!$D$3:$D$1349,'Media&amp;EdByAEA,Nonpublic'!$D71,'Media&amp;EdByAEA,Dist,Nonpublic'!$E$3:$E$1349,'Media&amp;EdByAEA,Nonpublic'!$E71)</f>
        <v>4658.09</v>
      </c>
    </row>
    <row r="72" spans="1:7" x14ac:dyDescent="0.25">
      <c r="A72" s="80" t="s">
        <v>60</v>
      </c>
      <c r="B72" s="81" t="s">
        <v>1021</v>
      </c>
      <c r="C72" s="81" t="s">
        <v>864</v>
      </c>
      <c r="D72" s="82">
        <v>3105</v>
      </c>
      <c r="E72" s="82">
        <v>8105</v>
      </c>
      <c r="F72" s="35">
        <f>SUMIFS('Media&amp;EdByAEA,Dist,Nonpublic'!$L$3:$L$1349,'Media&amp;EdByAEA,Dist,Nonpublic'!$A$3:$A$1349,'Media&amp;EdByAEA,Nonpublic'!$A72,'Media&amp;EdByAEA,Dist,Nonpublic'!$D$3:$D$1349,'Media&amp;EdByAEA,Nonpublic'!$D72,'Media&amp;EdByAEA,Dist,Nonpublic'!$E$3:$E$1349,'Media&amp;EdByAEA,Nonpublic'!$E72)</f>
        <v>8161.45</v>
      </c>
      <c r="G72" s="35">
        <f>SUMIFS('Media&amp;EdByAEA,Dist,Nonpublic'!$M$3:$M$1349,'Media&amp;EdByAEA,Dist,Nonpublic'!$A$3:$A$1349,'Media&amp;EdByAEA,Nonpublic'!$A72,'Media&amp;EdByAEA,Dist,Nonpublic'!$D$3:$D$1349,'Media&amp;EdByAEA,Nonpublic'!$D72,'Media&amp;EdByAEA,Dist,Nonpublic'!$E$3:$E$1349,'Media&amp;EdByAEA,Nonpublic'!$E72)</f>
        <v>9097.35</v>
      </c>
    </row>
    <row r="73" spans="1:7" x14ac:dyDescent="0.25">
      <c r="A73" s="80" t="s">
        <v>60</v>
      </c>
      <c r="B73" s="81" t="s">
        <v>1021</v>
      </c>
      <c r="C73" s="81" t="s">
        <v>865</v>
      </c>
      <c r="D73" s="82">
        <v>3105</v>
      </c>
      <c r="E73" s="82">
        <v>8121</v>
      </c>
      <c r="F73" s="35">
        <f>SUMIFS('Media&amp;EdByAEA,Dist,Nonpublic'!$L$3:$L$1349,'Media&amp;EdByAEA,Dist,Nonpublic'!$A$3:$A$1349,'Media&amp;EdByAEA,Nonpublic'!$A73,'Media&amp;EdByAEA,Dist,Nonpublic'!$D$3:$D$1349,'Media&amp;EdByAEA,Nonpublic'!$D73,'Media&amp;EdByAEA,Dist,Nonpublic'!$E$3:$E$1349,'Media&amp;EdByAEA,Nonpublic'!$E73)</f>
        <v>848.78</v>
      </c>
      <c r="G73" s="35">
        <f>SUMIFS('Media&amp;EdByAEA,Dist,Nonpublic'!$M$3:$M$1349,'Media&amp;EdByAEA,Dist,Nonpublic'!$A$3:$A$1349,'Media&amp;EdByAEA,Nonpublic'!$A73,'Media&amp;EdByAEA,Dist,Nonpublic'!$D$3:$D$1349,'Media&amp;EdByAEA,Nonpublic'!$D73,'Media&amp;EdByAEA,Dist,Nonpublic'!$E$3:$E$1349,'Media&amp;EdByAEA,Nonpublic'!$E73)</f>
        <v>946.14</v>
      </c>
    </row>
    <row r="74" spans="1:7" x14ac:dyDescent="0.25">
      <c r="A74" s="80" t="s">
        <v>60</v>
      </c>
      <c r="B74" s="81" t="s">
        <v>1021</v>
      </c>
      <c r="C74" s="81" t="s">
        <v>876</v>
      </c>
      <c r="D74" s="82">
        <v>3204</v>
      </c>
      <c r="E74" s="82">
        <v>8104</v>
      </c>
      <c r="F74" s="35">
        <f>SUMIFS('Media&amp;EdByAEA,Dist,Nonpublic'!$L$3:$L$1349,'Media&amp;EdByAEA,Dist,Nonpublic'!$A$3:$A$1349,'Media&amp;EdByAEA,Nonpublic'!$A74,'Media&amp;EdByAEA,Dist,Nonpublic'!$D$3:$D$1349,'Media&amp;EdByAEA,Nonpublic'!$D74,'Media&amp;EdByAEA,Dist,Nonpublic'!$E$3:$E$1349,'Media&amp;EdByAEA,Nonpublic'!$E74)</f>
        <v>5157.76</v>
      </c>
      <c r="G74" s="35">
        <f>SUMIFS('Media&amp;EdByAEA,Dist,Nonpublic'!$M$3:$M$1349,'Media&amp;EdByAEA,Dist,Nonpublic'!$A$3:$A$1349,'Media&amp;EdByAEA,Nonpublic'!$A74,'Media&amp;EdByAEA,Dist,Nonpublic'!$D$3:$D$1349,'Media&amp;EdByAEA,Nonpublic'!$D74,'Media&amp;EdByAEA,Dist,Nonpublic'!$E$3:$E$1349,'Media&amp;EdByAEA,Nonpublic'!$E74)</f>
        <v>5749.41</v>
      </c>
    </row>
    <row r="75" spans="1:7" x14ac:dyDescent="0.25">
      <c r="A75" s="80" t="s">
        <v>60</v>
      </c>
      <c r="B75" s="81" t="s">
        <v>1021</v>
      </c>
      <c r="C75" s="81" t="s">
        <v>878</v>
      </c>
      <c r="D75" s="82">
        <v>3231</v>
      </c>
      <c r="E75" s="82">
        <v>8165</v>
      </c>
      <c r="F75" s="35">
        <f>SUMIFS('Media&amp;EdByAEA,Dist,Nonpublic'!$L$3:$L$1349,'Media&amp;EdByAEA,Dist,Nonpublic'!$A$3:$A$1349,'Media&amp;EdByAEA,Nonpublic'!$A75,'Media&amp;EdByAEA,Dist,Nonpublic'!$D$3:$D$1349,'Media&amp;EdByAEA,Nonpublic'!$D75,'Media&amp;EdByAEA,Dist,Nonpublic'!$E$3:$E$1349,'Media&amp;EdByAEA,Nonpublic'!$E75)</f>
        <v>65.290000000000006</v>
      </c>
      <c r="G75" s="35">
        <f>SUMIFS('Media&amp;EdByAEA,Dist,Nonpublic'!$M$3:$M$1349,'Media&amp;EdByAEA,Dist,Nonpublic'!$A$3:$A$1349,'Media&amp;EdByAEA,Nonpublic'!$A75,'Media&amp;EdByAEA,Dist,Nonpublic'!$D$3:$D$1349,'Media&amp;EdByAEA,Nonpublic'!$D75,'Media&amp;EdByAEA,Dist,Nonpublic'!$E$3:$E$1349,'Media&amp;EdByAEA,Nonpublic'!$E75)</f>
        <v>72.78</v>
      </c>
    </row>
    <row r="76" spans="1:7" x14ac:dyDescent="0.25">
      <c r="A76" s="80" t="s">
        <v>60</v>
      </c>
      <c r="B76" s="81" t="s">
        <v>1021</v>
      </c>
      <c r="C76" s="81" t="s">
        <v>886</v>
      </c>
      <c r="D76" s="82">
        <v>3906</v>
      </c>
      <c r="E76" s="82">
        <v>8303</v>
      </c>
      <c r="F76" s="35">
        <f>SUMIFS('Media&amp;EdByAEA,Dist,Nonpublic'!$L$3:$L$1349,'Media&amp;EdByAEA,Dist,Nonpublic'!$A$3:$A$1349,'Media&amp;EdByAEA,Nonpublic'!$A76,'Media&amp;EdByAEA,Dist,Nonpublic'!$D$3:$D$1349,'Media&amp;EdByAEA,Nonpublic'!$D76,'Media&amp;EdByAEA,Dist,Nonpublic'!$E$3:$E$1349,'Media&amp;EdByAEA,Nonpublic'!$E76)</f>
        <v>326.45</v>
      </c>
      <c r="G76" s="35">
        <f>SUMIFS('Media&amp;EdByAEA,Dist,Nonpublic'!$M$3:$M$1349,'Media&amp;EdByAEA,Dist,Nonpublic'!$A$3:$A$1349,'Media&amp;EdByAEA,Nonpublic'!$A76,'Media&amp;EdByAEA,Dist,Nonpublic'!$D$3:$D$1349,'Media&amp;EdByAEA,Nonpublic'!$D76,'Media&amp;EdByAEA,Dist,Nonpublic'!$E$3:$E$1349,'Media&amp;EdByAEA,Nonpublic'!$E76)</f>
        <v>363.91</v>
      </c>
    </row>
    <row r="77" spans="1:7" x14ac:dyDescent="0.25">
      <c r="A77" s="80" t="s">
        <v>60</v>
      </c>
      <c r="B77" s="81" t="s">
        <v>1021</v>
      </c>
      <c r="C77" s="81" t="s">
        <v>888</v>
      </c>
      <c r="D77" s="82">
        <v>4104</v>
      </c>
      <c r="E77" s="82">
        <v>8103</v>
      </c>
      <c r="F77" s="35">
        <f>SUMIFS('Media&amp;EdByAEA,Dist,Nonpublic'!$L$3:$L$1349,'Media&amp;EdByAEA,Dist,Nonpublic'!$A$3:$A$1349,'Media&amp;EdByAEA,Nonpublic'!$A77,'Media&amp;EdByAEA,Dist,Nonpublic'!$D$3:$D$1349,'Media&amp;EdByAEA,Nonpublic'!$D77,'Media&amp;EdByAEA,Dist,Nonpublic'!$E$3:$E$1349,'Media&amp;EdByAEA,Nonpublic'!$E77)</f>
        <v>13449.54</v>
      </c>
      <c r="G77" s="35">
        <f>SUMIFS('Media&amp;EdByAEA,Dist,Nonpublic'!$M$3:$M$1349,'Media&amp;EdByAEA,Dist,Nonpublic'!$A$3:$A$1349,'Media&amp;EdByAEA,Nonpublic'!$A77,'Media&amp;EdByAEA,Dist,Nonpublic'!$D$3:$D$1349,'Media&amp;EdByAEA,Nonpublic'!$D77,'Media&amp;EdByAEA,Dist,Nonpublic'!$E$3:$E$1349,'Media&amp;EdByAEA,Nonpublic'!$E77)</f>
        <v>14992.69</v>
      </c>
    </row>
    <row r="78" spans="1:7" x14ac:dyDescent="0.25">
      <c r="A78" s="80" t="s">
        <v>60</v>
      </c>
      <c r="B78" s="81" t="s">
        <v>1021</v>
      </c>
      <c r="C78" s="81" t="s">
        <v>889</v>
      </c>
      <c r="D78" s="82">
        <v>4104</v>
      </c>
      <c r="E78" s="82">
        <v>8105</v>
      </c>
      <c r="F78" s="35">
        <f>SUMIFS('Media&amp;EdByAEA,Dist,Nonpublic'!$L$3:$L$1349,'Media&amp;EdByAEA,Dist,Nonpublic'!$A$3:$A$1349,'Media&amp;EdByAEA,Nonpublic'!$A78,'Media&amp;EdByAEA,Dist,Nonpublic'!$D$3:$D$1349,'Media&amp;EdByAEA,Nonpublic'!$D78,'Media&amp;EdByAEA,Dist,Nonpublic'!$E$3:$E$1349,'Media&amp;EdByAEA,Nonpublic'!$E78)</f>
        <v>8161.13</v>
      </c>
      <c r="G78" s="35">
        <f>SUMIFS('Media&amp;EdByAEA,Dist,Nonpublic'!$M$3:$M$1349,'Media&amp;EdByAEA,Dist,Nonpublic'!$A$3:$A$1349,'Media&amp;EdByAEA,Nonpublic'!$A78,'Media&amp;EdByAEA,Dist,Nonpublic'!$D$3:$D$1349,'Media&amp;EdByAEA,Nonpublic'!$D78,'Media&amp;EdByAEA,Dist,Nonpublic'!$E$3:$E$1349,'Media&amp;EdByAEA,Nonpublic'!$E78)</f>
        <v>9097.6899999999987</v>
      </c>
    </row>
    <row r="79" spans="1:7" x14ac:dyDescent="0.25">
      <c r="A79" s="80" t="s">
        <v>60</v>
      </c>
      <c r="B79" s="81" t="s">
        <v>1021</v>
      </c>
      <c r="C79" s="81" t="s">
        <v>890</v>
      </c>
      <c r="D79" s="82">
        <v>4131</v>
      </c>
      <c r="E79" s="82">
        <v>8102</v>
      </c>
      <c r="F79" s="35">
        <f>SUMIFS('Media&amp;EdByAEA,Dist,Nonpublic'!$L$3:$L$1349,'Media&amp;EdByAEA,Dist,Nonpublic'!$A$3:$A$1349,'Media&amp;EdByAEA,Nonpublic'!$A79,'Media&amp;EdByAEA,Dist,Nonpublic'!$D$3:$D$1349,'Media&amp;EdByAEA,Nonpublic'!$D79,'Media&amp;EdByAEA,Dist,Nonpublic'!$E$3:$E$1349,'Media&amp;EdByAEA,Nonpublic'!$E79)</f>
        <v>19782.859999999997</v>
      </c>
      <c r="G79" s="35">
        <f>SUMIFS('Media&amp;EdByAEA,Dist,Nonpublic'!$M$3:$M$1349,'Media&amp;EdByAEA,Dist,Nonpublic'!$A$3:$A$1349,'Media&amp;EdByAEA,Nonpublic'!$A79,'Media&amp;EdByAEA,Dist,Nonpublic'!$D$3:$D$1349,'Media&amp;EdByAEA,Nonpublic'!$D79,'Media&amp;EdByAEA,Dist,Nonpublic'!$E$3:$E$1349,'Media&amp;EdByAEA,Nonpublic'!$E79)</f>
        <v>22052.26</v>
      </c>
    </row>
    <row r="80" spans="1:7" x14ac:dyDescent="0.25">
      <c r="A80" s="80" t="s">
        <v>60</v>
      </c>
      <c r="B80" s="81" t="s">
        <v>1021</v>
      </c>
      <c r="C80" s="81" t="s">
        <v>891</v>
      </c>
      <c r="D80" s="82">
        <v>4131</v>
      </c>
      <c r="E80" s="82">
        <v>8105</v>
      </c>
      <c r="F80" s="35">
        <f>SUMIFS('Media&amp;EdByAEA,Dist,Nonpublic'!$L$3:$L$1349,'Media&amp;EdByAEA,Dist,Nonpublic'!$A$3:$A$1349,'Media&amp;EdByAEA,Nonpublic'!$A80,'Media&amp;EdByAEA,Dist,Nonpublic'!$D$3:$D$1349,'Media&amp;EdByAEA,Nonpublic'!$D80,'Media&amp;EdByAEA,Dist,Nonpublic'!$E$3:$E$1349,'Media&amp;EdByAEA,Nonpublic'!$E80)</f>
        <v>19325.449999999997</v>
      </c>
      <c r="G80" s="35">
        <f>SUMIFS('Media&amp;EdByAEA,Dist,Nonpublic'!$M$3:$M$1349,'Media&amp;EdByAEA,Dist,Nonpublic'!$A$3:$A$1349,'Media&amp;EdByAEA,Nonpublic'!$A80,'Media&amp;EdByAEA,Dist,Nonpublic'!$D$3:$D$1349,'Media&amp;EdByAEA,Nonpublic'!$D80,'Media&amp;EdByAEA,Dist,Nonpublic'!$E$3:$E$1349,'Media&amp;EdByAEA,Nonpublic'!$E80)</f>
        <v>21543.08</v>
      </c>
    </row>
    <row r="81" spans="1:7" x14ac:dyDescent="0.25">
      <c r="A81" s="80" t="s">
        <v>60</v>
      </c>
      <c r="B81" s="81" t="s">
        <v>1021</v>
      </c>
      <c r="C81" s="81" t="s">
        <v>892</v>
      </c>
      <c r="D81" s="82">
        <v>4131</v>
      </c>
      <c r="E81" s="82">
        <v>8401</v>
      </c>
      <c r="F81" s="35">
        <f>SUMIFS('Media&amp;EdByAEA,Dist,Nonpublic'!$L$3:$L$1349,'Media&amp;EdByAEA,Dist,Nonpublic'!$A$3:$A$1349,'Media&amp;EdByAEA,Nonpublic'!$A81,'Media&amp;EdByAEA,Dist,Nonpublic'!$D$3:$D$1349,'Media&amp;EdByAEA,Nonpublic'!$D81,'Media&amp;EdByAEA,Dist,Nonpublic'!$E$3:$E$1349,'Media&amp;EdByAEA,Nonpublic'!$E81)</f>
        <v>5745.45</v>
      </c>
      <c r="G81" s="35">
        <f>SUMIFS('Media&amp;EdByAEA,Dist,Nonpublic'!$M$3:$M$1349,'Media&amp;EdByAEA,Dist,Nonpublic'!$A$3:$A$1349,'Media&amp;EdByAEA,Nonpublic'!$A81,'Media&amp;EdByAEA,Dist,Nonpublic'!$D$3:$D$1349,'Media&amp;EdByAEA,Nonpublic'!$D81,'Media&amp;EdByAEA,Dist,Nonpublic'!$E$3:$E$1349,'Media&amp;EdByAEA,Nonpublic'!$E81)</f>
        <v>6404.58</v>
      </c>
    </row>
    <row r="82" spans="1:7" x14ac:dyDescent="0.25">
      <c r="A82" s="80" t="s">
        <v>60</v>
      </c>
      <c r="B82" s="81" t="s">
        <v>1021</v>
      </c>
      <c r="C82" s="81" t="s">
        <v>900</v>
      </c>
      <c r="D82" s="82">
        <v>4662</v>
      </c>
      <c r="E82" s="82">
        <v>8106</v>
      </c>
      <c r="F82" s="35">
        <f>SUMIFS('Media&amp;EdByAEA,Dist,Nonpublic'!$L$3:$L$1349,'Media&amp;EdByAEA,Dist,Nonpublic'!$A$3:$A$1349,'Media&amp;EdByAEA,Nonpublic'!$A82,'Media&amp;EdByAEA,Dist,Nonpublic'!$D$3:$D$1349,'Media&amp;EdByAEA,Nonpublic'!$D82,'Media&amp;EdByAEA,Dist,Nonpublic'!$E$3:$E$1349,'Media&amp;EdByAEA,Nonpublic'!$E82)</f>
        <v>783.01</v>
      </c>
      <c r="G82" s="35">
        <f>SUMIFS('Media&amp;EdByAEA,Dist,Nonpublic'!$M$3:$M$1349,'Media&amp;EdByAEA,Dist,Nonpublic'!$A$3:$A$1349,'Media&amp;EdByAEA,Nonpublic'!$A82,'Media&amp;EdByAEA,Dist,Nonpublic'!$D$3:$D$1349,'Media&amp;EdByAEA,Nonpublic'!$D82,'Media&amp;EdByAEA,Dist,Nonpublic'!$E$3:$E$1349,'Media&amp;EdByAEA,Nonpublic'!$E82)</f>
        <v>873.48</v>
      </c>
    </row>
    <row r="83" spans="1:7" x14ac:dyDescent="0.25">
      <c r="A83" s="80" t="s">
        <v>60</v>
      </c>
      <c r="B83" s="81" t="s">
        <v>1021</v>
      </c>
      <c r="C83" s="81" t="s">
        <v>904</v>
      </c>
      <c r="D83" s="82">
        <v>5013</v>
      </c>
      <c r="E83" s="82">
        <v>8301</v>
      </c>
      <c r="F83" s="35">
        <f>SUMIFS('Media&amp;EdByAEA,Dist,Nonpublic'!$L$3:$L$1349,'Media&amp;EdByAEA,Dist,Nonpublic'!$A$3:$A$1349,'Media&amp;EdByAEA,Nonpublic'!$A83,'Media&amp;EdByAEA,Dist,Nonpublic'!$D$3:$D$1349,'Media&amp;EdByAEA,Nonpublic'!$D83,'Media&amp;EdByAEA,Dist,Nonpublic'!$E$3:$E$1349,'Media&amp;EdByAEA,Nonpublic'!$E83)</f>
        <v>130.66999999999999</v>
      </c>
      <c r="G83" s="35">
        <f>SUMIFS('Media&amp;EdByAEA,Dist,Nonpublic'!$M$3:$M$1349,'Media&amp;EdByAEA,Dist,Nonpublic'!$A$3:$A$1349,'Media&amp;EdByAEA,Nonpublic'!$A83,'Media&amp;EdByAEA,Dist,Nonpublic'!$D$3:$D$1349,'Media&amp;EdByAEA,Nonpublic'!$D83,'Media&amp;EdByAEA,Dist,Nonpublic'!$E$3:$E$1349,'Media&amp;EdByAEA,Nonpublic'!$E83)</f>
        <v>145.66999999999999</v>
      </c>
    </row>
    <row r="84" spans="1:7" x14ac:dyDescent="0.25">
      <c r="A84" s="80" t="s">
        <v>60</v>
      </c>
      <c r="B84" s="81" t="s">
        <v>1021</v>
      </c>
      <c r="C84" s="81" t="s">
        <v>909</v>
      </c>
      <c r="D84" s="82">
        <v>5166</v>
      </c>
      <c r="E84" s="82">
        <v>8302</v>
      </c>
      <c r="F84" s="35">
        <f>SUMIFS('Media&amp;EdByAEA,Dist,Nonpublic'!$L$3:$L$1349,'Media&amp;EdByAEA,Dist,Nonpublic'!$A$3:$A$1349,'Media&amp;EdByAEA,Nonpublic'!$A84,'Media&amp;EdByAEA,Dist,Nonpublic'!$D$3:$D$1349,'Media&amp;EdByAEA,Nonpublic'!$D84,'Media&amp;EdByAEA,Dist,Nonpublic'!$E$3:$E$1349,'Media&amp;EdByAEA,Nonpublic'!$E84)</f>
        <v>195.94</v>
      </c>
      <c r="G84" s="35">
        <f>SUMIFS('Media&amp;EdByAEA,Dist,Nonpublic'!$M$3:$M$1349,'Media&amp;EdByAEA,Dist,Nonpublic'!$A$3:$A$1349,'Media&amp;EdByAEA,Nonpublic'!$A84,'Media&amp;EdByAEA,Dist,Nonpublic'!$D$3:$D$1349,'Media&amp;EdByAEA,Nonpublic'!$D84,'Media&amp;EdByAEA,Dist,Nonpublic'!$E$3:$E$1349,'Media&amp;EdByAEA,Nonpublic'!$E84)</f>
        <v>218.46999999999997</v>
      </c>
    </row>
    <row r="85" spans="1:7" x14ac:dyDescent="0.25">
      <c r="A85" s="80" t="s">
        <v>60</v>
      </c>
      <c r="B85" s="81" t="s">
        <v>1021</v>
      </c>
      <c r="C85" s="81" t="s">
        <v>936</v>
      </c>
      <c r="D85" s="82">
        <v>6762</v>
      </c>
      <c r="E85" s="82">
        <v>8203</v>
      </c>
      <c r="F85" s="35">
        <f>SUMIFS('Media&amp;EdByAEA,Dist,Nonpublic'!$L$3:$L$1349,'Media&amp;EdByAEA,Dist,Nonpublic'!$A$3:$A$1349,'Media&amp;EdByAEA,Nonpublic'!$A85,'Media&amp;EdByAEA,Dist,Nonpublic'!$D$3:$D$1349,'Media&amp;EdByAEA,Nonpublic'!$D85,'Media&amp;EdByAEA,Dist,Nonpublic'!$E$3:$E$1349,'Media&amp;EdByAEA,Nonpublic'!$E85)</f>
        <v>2872.6899999999996</v>
      </c>
      <c r="G85" s="35">
        <f>SUMIFS('Media&amp;EdByAEA,Dist,Nonpublic'!$M$3:$M$1349,'Media&amp;EdByAEA,Dist,Nonpublic'!$A$3:$A$1349,'Media&amp;EdByAEA,Nonpublic'!$A85,'Media&amp;EdByAEA,Dist,Nonpublic'!$D$3:$D$1349,'Media&amp;EdByAEA,Nonpublic'!$D85,'Media&amp;EdByAEA,Dist,Nonpublic'!$E$3:$E$1349,'Media&amp;EdByAEA,Nonpublic'!$E85)</f>
        <v>3202.97</v>
      </c>
    </row>
    <row r="86" spans="1:7" x14ac:dyDescent="0.25">
      <c r="A86" s="80" t="s">
        <v>60</v>
      </c>
      <c r="B86" s="81" t="s">
        <v>1021</v>
      </c>
      <c r="C86" s="81" t="s">
        <v>938</v>
      </c>
      <c r="D86" s="82">
        <v>6795</v>
      </c>
      <c r="E86" s="82">
        <v>8105</v>
      </c>
      <c r="F86" s="35">
        <f>SUMIFS('Media&amp;EdByAEA,Dist,Nonpublic'!$L$3:$L$1349,'Media&amp;EdByAEA,Dist,Nonpublic'!$A$3:$A$1349,'Media&amp;EdByAEA,Nonpublic'!$A86,'Media&amp;EdByAEA,Dist,Nonpublic'!$D$3:$D$1349,'Media&amp;EdByAEA,Nonpublic'!$D86,'Media&amp;EdByAEA,Dist,Nonpublic'!$E$3:$E$1349,'Media&amp;EdByAEA,Nonpublic'!$E86)</f>
        <v>22394.1</v>
      </c>
      <c r="G86" s="35">
        <f>SUMIFS('Media&amp;EdByAEA,Dist,Nonpublic'!$M$3:$M$1349,'Media&amp;EdByAEA,Dist,Nonpublic'!$A$3:$A$1349,'Media&amp;EdByAEA,Nonpublic'!$A86,'Media&amp;EdByAEA,Dist,Nonpublic'!$D$3:$D$1349,'Media&amp;EdByAEA,Nonpublic'!$D86,'Media&amp;EdByAEA,Dist,Nonpublic'!$E$3:$E$1349,'Media&amp;EdByAEA,Nonpublic'!$E86)</f>
        <v>24963.390000000003</v>
      </c>
    </row>
    <row r="87" spans="1:7" x14ac:dyDescent="0.25">
      <c r="A87" s="80" t="s">
        <v>60</v>
      </c>
      <c r="B87" s="81" t="s">
        <v>1021</v>
      </c>
      <c r="C87" s="81" t="s">
        <v>939</v>
      </c>
      <c r="D87" s="82">
        <v>6795</v>
      </c>
      <c r="E87" s="82">
        <v>8110</v>
      </c>
      <c r="F87" s="35">
        <f>SUMIFS('Media&amp;EdByAEA,Dist,Nonpublic'!$L$3:$L$1349,'Media&amp;EdByAEA,Dist,Nonpublic'!$A$3:$A$1349,'Media&amp;EdByAEA,Nonpublic'!$A87,'Media&amp;EdByAEA,Dist,Nonpublic'!$D$3:$D$1349,'Media&amp;EdByAEA,Nonpublic'!$D87,'Media&amp;EdByAEA,Dist,Nonpublic'!$E$3:$E$1349,'Media&amp;EdByAEA,Nonpublic'!$E87)</f>
        <v>13253.779999999999</v>
      </c>
      <c r="G87" s="35">
        <f>SUMIFS('Media&amp;EdByAEA,Dist,Nonpublic'!$M$3:$M$1349,'Media&amp;EdByAEA,Dist,Nonpublic'!$A$3:$A$1349,'Media&amp;EdByAEA,Nonpublic'!$A87,'Media&amp;EdByAEA,Dist,Nonpublic'!$D$3:$D$1349,'Media&amp;EdByAEA,Nonpublic'!$D87,'Media&amp;EdByAEA,Dist,Nonpublic'!$E$3:$E$1349,'Media&amp;EdByAEA,Nonpublic'!$E87)</f>
        <v>14774.060000000001</v>
      </c>
    </row>
    <row r="88" spans="1:7" x14ac:dyDescent="0.25">
      <c r="A88" s="80" t="s">
        <v>60</v>
      </c>
      <c r="B88" s="81" t="s">
        <v>1021</v>
      </c>
      <c r="C88" s="81" t="s">
        <v>940</v>
      </c>
      <c r="D88" s="82">
        <v>6795</v>
      </c>
      <c r="E88" s="82">
        <v>8112</v>
      </c>
      <c r="F88" s="35">
        <f>SUMIFS('Media&amp;EdByAEA,Dist,Nonpublic'!$L$3:$L$1349,'Media&amp;EdByAEA,Dist,Nonpublic'!$A$3:$A$1349,'Media&amp;EdByAEA,Nonpublic'!$A88,'Media&amp;EdByAEA,Dist,Nonpublic'!$D$3:$D$1349,'Media&amp;EdByAEA,Nonpublic'!$D88,'Media&amp;EdByAEA,Dist,Nonpublic'!$E$3:$E$1349,'Media&amp;EdByAEA,Nonpublic'!$E88)</f>
        <v>12405.07</v>
      </c>
      <c r="G88" s="35">
        <f>SUMIFS('Media&amp;EdByAEA,Dist,Nonpublic'!$M$3:$M$1349,'Media&amp;EdByAEA,Dist,Nonpublic'!$A$3:$A$1349,'Media&amp;EdByAEA,Nonpublic'!$A88,'Media&amp;EdByAEA,Dist,Nonpublic'!$D$3:$D$1349,'Media&amp;EdByAEA,Nonpublic'!$D88,'Media&amp;EdByAEA,Dist,Nonpublic'!$E$3:$E$1349,'Media&amp;EdByAEA,Nonpublic'!$E88)</f>
        <v>13828.08</v>
      </c>
    </row>
    <row r="89" spans="1:7" x14ac:dyDescent="0.25">
      <c r="A89" s="80" t="s">
        <v>60</v>
      </c>
      <c r="B89" s="81" t="s">
        <v>1021</v>
      </c>
      <c r="C89" s="81" t="s">
        <v>941</v>
      </c>
      <c r="D89" s="82">
        <v>6795</v>
      </c>
      <c r="E89" s="82">
        <v>8114</v>
      </c>
      <c r="F89" s="35">
        <f>SUMIFS('Media&amp;EdByAEA,Dist,Nonpublic'!$L$3:$L$1349,'Media&amp;EdByAEA,Dist,Nonpublic'!$A$3:$A$1349,'Media&amp;EdByAEA,Nonpublic'!$A89,'Media&amp;EdByAEA,Dist,Nonpublic'!$D$3:$D$1349,'Media&amp;EdByAEA,Nonpublic'!$D89,'Media&amp;EdByAEA,Dist,Nonpublic'!$E$3:$E$1349,'Media&amp;EdByAEA,Nonpublic'!$E89)</f>
        <v>15800.130000000001</v>
      </c>
      <c r="G89" s="35">
        <f>SUMIFS('Media&amp;EdByAEA,Dist,Nonpublic'!$M$3:$M$1349,'Media&amp;EdByAEA,Dist,Nonpublic'!$A$3:$A$1349,'Media&amp;EdByAEA,Nonpublic'!$A89,'Media&amp;EdByAEA,Dist,Nonpublic'!$D$3:$D$1349,'Media&amp;EdByAEA,Nonpublic'!$D89,'Media&amp;EdByAEA,Dist,Nonpublic'!$E$3:$E$1349,'Media&amp;EdByAEA,Nonpublic'!$E89)</f>
        <v>17612.650000000001</v>
      </c>
    </row>
    <row r="90" spans="1:7" x14ac:dyDescent="0.25">
      <c r="A90" s="80" t="s">
        <v>60</v>
      </c>
      <c r="B90" s="81" t="s">
        <v>1021</v>
      </c>
      <c r="C90" s="81" t="s">
        <v>942</v>
      </c>
      <c r="D90" s="82">
        <v>6795</v>
      </c>
      <c r="E90" s="82">
        <v>8115</v>
      </c>
      <c r="F90" s="35">
        <f>SUMIFS('Media&amp;EdByAEA,Dist,Nonpublic'!$L$3:$L$1349,'Media&amp;EdByAEA,Dist,Nonpublic'!$A$3:$A$1349,'Media&amp;EdByAEA,Nonpublic'!$A90,'Media&amp;EdByAEA,Dist,Nonpublic'!$D$3:$D$1349,'Media&amp;EdByAEA,Nonpublic'!$D90,'Media&amp;EdByAEA,Dist,Nonpublic'!$E$3:$E$1349,'Media&amp;EdByAEA,Nonpublic'!$E90)</f>
        <v>7247.1</v>
      </c>
      <c r="G90" s="35">
        <f>SUMIFS('Media&amp;EdByAEA,Dist,Nonpublic'!$M$3:$M$1349,'Media&amp;EdByAEA,Dist,Nonpublic'!$A$3:$A$1349,'Media&amp;EdByAEA,Nonpublic'!$A90,'Media&amp;EdByAEA,Dist,Nonpublic'!$D$3:$D$1349,'Media&amp;EdByAEA,Nonpublic'!$D90,'Media&amp;EdByAEA,Dist,Nonpublic'!$E$3:$E$1349,'Media&amp;EdByAEA,Nonpublic'!$E90)</f>
        <v>8078.43</v>
      </c>
    </row>
    <row r="91" spans="1:7" x14ac:dyDescent="0.25">
      <c r="A91" s="80" t="s">
        <v>60</v>
      </c>
      <c r="B91" s="81" t="s">
        <v>1021</v>
      </c>
      <c r="C91" s="81" t="s">
        <v>943</v>
      </c>
      <c r="D91" s="82">
        <v>6795</v>
      </c>
      <c r="E91" s="82">
        <v>8401</v>
      </c>
      <c r="F91" s="35">
        <f>SUMIFS('Media&amp;EdByAEA,Dist,Nonpublic'!$L$3:$L$1349,'Media&amp;EdByAEA,Dist,Nonpublic'!$A$3:$A$1349,'Media&amp;EdByAEA,Nonpublic'!$A91,'Media&amp;EdByAEA,Dist,Nonpublic'!$D$3:$D$1349,'Media&amp;EdByAEA,Nonpublic'!$D91,'Media&amp;EdByAEA,Dist,Nonpublic'!$E$3:$E$1349,'Media&amp;EdByAEA,Nonpublic'!$E91)</f>
        <v>2285.15</v>
      </c>
      <c r="G91" s="35">
        <f>SUMIFS('Media&amp;EdByAEA,Dist,Nonpublic'!$M$3:$M$1349,'Media&amp;EdByAEA,Dist,Nonpublic'!$A$3:$A$1349,'Media&amp;EdByAEA,Nonpublic'!$A91,'Media&amp;EdByAEA,Dist,Nonpublic'!$D$3:$D$1349,'Media&amp;EdByAEA,Nonpublic'!$D91,'Media&amp;EdByAEA,Dist,Nonpublic'!$E$3:$E$1349,'Media&amp;EdByAEA,Nonpublic'!$E91)</f>
        <v>2547.2799999999997</v>
      </c>
    </row>
    <row r="92" spans="1:7" x14ac:dyDescent="0.25">
      <c r="A92" s="80" t="s">
        <v>60</v>
      </c>
      <c r="B92" s="81" t="s">
        <v>1021</v>
      </c>
      <c r="C92" s="81" t="s">
        <v>944</v>
      </c>
      <c r="D92" s="82">
        <v>6795</v>
      </c>
      <c r="E92" s="82">
        <v>8501</v>
      </c>
      <c r="F92" s="35">
        <f>SUMIFS('Media&amp;EdByAEA,Dist,Nonpublic'!$L$3:$L$1349,'Media&amp;EdByAEA,Dist,Nonpublic'!$A$3:$A$1349,'Media&amp;EdByAEA,Nonpublic'!$A92,'Media&amp;EdByAEA,Dist,Nonpublic'!$D$3:$D$1349,'Media&amp;EdByAEA,Nonpublic'!$D92,'Media&amp;EdByAEA,Dist,Nonpublic'!$E$3:$E$1349,'Media&amp;EdByAEA,Nonpublic'!$E92)</f>
        <v>11034.01</v>
      </c>
      <c r="G92" s="35">
        <f>SUMIFS('Media&amp;EdByAEA,Dist,Nonpublic'!$M$3:$M$1349,'Media&amp;EdByAEA,Dist,Nonpublic'!$A$3:$A$1349,'Media&amp;EdByAEA,Nonpublic'!$A92,'Media&amp;EdByAEA,Dist,Nonpublic'!$D$3:$D$1349,'Media&amp;EdByAEA,Nonpublic'!$D92,'Media&amp;EdByAEA,Dist,Nonpublic'!$E$3:$E$1349,'Media&amp;EdByAEA,Nonpublic'!$E92)</f>
        <v>12299.61</v>
      </c>
    </row>
    <row r="93" spans="1:7" x14ac:dyDescent="0.25">
      <c r="A93" s="80" t="s">
        <v>60</v>
      </c>
      <c r="B93" s="81" t="s">
        <v>1021</v>
      </c>
      <c r="C93" s="81" t="s">
        <v>945</v>
      </c>
      <c r="D93" s="82">
        <v>6795</v>
      </c>
      <c r="E93" s="82">
        <v>8502</v>
      </c>
      <c r="F93" s="35">
        <f>SUMIFS('Media&amp;EdByAEA,Dist,Nonpublic'!$L$3:$L$1349,'Media&amp;EdByAEA,Dist,Nonpublic'!$A$3:$A$1349,'Media&amp;EdByAEA,Nonpublic'!$A93,'Media&amp;EdByAEA,Dist,Nonpublic'!$D$3:$D$1349,'Media&amp;EdByAEA,Nonpublic'!$D93,'Media&amp;EdByAEA,Dist,Nonpublic'!$E$3:$E$1349,'Media&amp;EdByAEA,Nonpublic'!$E93)</f>
        <v>4570.3</v>
      </c>
      <c r="G93" s="35">
        <f>SUMIFS('Media&amp;EdByAEA,Dist,Nonpublic'!$M$3:$M$1349,'Media&amp;EdByAEA,Dist,Nonpublic'!$A$3:$A$1349,'Media&amp;EdByAEA,Nonpublic'!$A93,'Media&amp;EdByAEA,Dist,Nonpublic'!$D$3:$D$1349,'Media&amp;EdByAEA,Nonpublic'!$D93,'Media&amp;EdByAEA,Dist,Nonpublic'!$E$3:$E$1349,'Media&amp;EdByAEA,Nonpublic'!$E93)</f>
        <v>5094.6100000000006</v>
      </c>
    </row>
    <row r="94" spans="1:7" x14ac:dyDescent="0.25">
      <c r="A94" s="80" t="s">
        <v>60</v>
      </c>
      <c r="B94" s="81" t="s">
        <v>1021</v>
      </c>
      <c r="C94" s="81" t="s">
        <v>946</v>
      </c>
      <c r="D94" s="82">
        <v>6795</v>
      </c>
      <c r="E94" s="82">
        <v>8503</v>
      </c>
      <c r="F94" s="35">
        <f>SUMIFS('Media&amp;EdByAEA,Dist,Nonpublic'!$L$3:$L$1349,'Media&amp;EdByAEA,Dist,Nonpublic'!$A$3:$A$1349,'Media&amp;EdByAEA,Nonpublic'!$A94,'Media&amp;EdByAEA,Dist,Nonpublic'!$D$3:$D$1349,'Media&amp;EdByAEA,Nonpublic'!$D94,'Media&amp;EdByAEA,Dist,Nonpublic'!$E$3:$E$1349,'Media&amp;EdByAEA,Nonpublic'!$E94)</f>
        <v>6594.4000000000005</v>
      </c>
      <c r="G94" s="35">
        <f>SUMIFS('Media&amp;EdByAEA,Dist,Nonpublic'!$M$3:$M$1349,'Media&amp;EdByAEA,Dist,Nonpublic'!$A$3:$A$1349,'Media&amp;EdByAEA,Nonpublic'!$A94,'Media&amp;EdByAEA,Dist,Nonpublic'!$D$3:$D$1349,'Media&amp;EdByAEA,Nonpublic'!$D94,'Media&amp;EdByAEA,Dist,Nonpublic'!$E$3:$E$1349,'Media&amp;EdByAEA,Nonpublic'!$E94)</f>
        <v>7350.6600000000008</v>
      </c>
    </row>
    <row r="95" spans="1:7" x14ac:dyDescent="0.25">
      <c r="A95" s="80" t="s">
        <v>60</v>
      </c>
      <c r="B95" s="81" t="s">
        <v>1021</v>
      </c>
      <c r="C95" s="81" t="s">
        <v>792</v>
      </c>
      <c r="D95" s="82">
        <v>6840</v>
      </c>
      <c r="E95" s="82">
        <v>8207</v>
      </c>
      <c r="F95" s="35">
        <f>SUMIFS('Media&amp;EdByAEA,Dist,Nonpublic'!$L$3:$L$1349,'Media&amp;EdByAEA,Dist,Nonpublic'!$A$3:$A$1349,'Media&amp;EdByAEA,Nonpublic'!$A95,'Media&amp;EdByAEA,Dist,Nonpublic'!$D$3:$D$1349,'Media&amp;EdByAEA,Nonpublic'!$D95,'Media&amp;EdByAEA,Dist,Nonpublic'!$E$3:$E$1349,'Media&amp;EdByAEA,Nonpublic'!$E95)</f>
        <v>12013.29</v>
      </c>
      <c r="G95" s="35">
        <f>SUMIFS('Media&amp;EdByAEA,Dist,Nonpublic'!$M$3:$M$1349,'Media&amp;EdByAEA,Dist,Nonpublic'!$A$3:$A$1349,'Media&amp;EdByAEA,Nonpublic'!$A95,'Media&amp;EdByAEA,Dist,Nonpublic'!$D$3:$D$1349,'Media&amp;EdByAEA,Nonpublic'!$D95,'Media&amp;EdByAEA,Dist,Nonpublic'!$E$3:$E$1349,'Media&amp;EdByAEA,Nonpublic'!$E95)</f>
        <v>13392.240000000002</v>
      </c>
    </row>
    <row r="96" spans="1:7" x14ac:dyDescent="0.25">
      <c r="A96" s="80" t="s">
        <v>60</v>
      </c>
      <c r="B96" s="81" t="s">
        <v>1021</v>
      </c>
      <c r="C96" s="81" t="s">
        <v>950</v>
      </c>
      <c r="D96" s="82">
        <v>6950</v>
      </c>
      <c r="E96" s="82">
        <v>8104</v>
      </c>
      <c r="F96" s="35">
        <f>SUMIFS('Media&amp;EdByAEA,Dist,Nonpublic'!$L$3:$L$1349,'Media&amp;EdByAEA,Dist,Nonpublic'!$A$3:$A$1349,'Media&amp;EdByAEA,Nonpublic'!$A96,'Media&amp;EdByAEA,Dist,Nonpublic'!$D$3:$D$1349,'Media&amp;EdByAEA,Nonpublic'!$D96,'Media&amp;EdByAEA,Dist,Nonpublic'!$E$3:$E$1349,'Media&amp;EdByAEA,Nonpublic'!$E96)</f>
        <v>195.86</v>
      </c>
      <c r="G96" s="35">
        <f>SUMIFS('Media&amp;EdByAEA,Dist,Nonpublic'!$M$3:$M$1349,'Media&amp;EdByAEA,Dist,Nonpublic'!$A$3:$A$1349,'Media&amp;EdByAEA,Nonpublic'!$A96,'Media&amp;EdByAEA,Dist,Nonpublic'!$D$3:$D$1349,'Media&amp;EdByAEA,Nonpublic'!$D96,'Media&amp;EdByAEA,Dist,Nonpublic'!$E$3:$E$1349,'Media&amp;EdByAEA,Nonpublic'!$E96)</f>
        <v>218.21</v>
      </c>
    </row>
    <row r="97" spans="1:7" x14ac:dyDescent="0.25">
      <c r="A97" s="80" t="s">
        <v>60</v>
      </c>
      <c r="B97" s="81" t="s">
        <v>1021</v>
      </c>
      <c r="C97" s="81" t="s">
        <v>961</v>
      </c>
      <c r="D97" s="82">
        <v>7029</v>
      </c>
      <c r="E97" s="82">
        <v>8204</v>
      </c>
      <c r="F97" s="35">
        <f>SUMIFS('Media&amp;EdByAEA,Dist,Nonpublic'!$L$3:$L$1349,'Media&amp;EdByAEA,Dist,Nonpublic'!$A$3:$A$1349,'Media&amp;EdByAEA,Nonpublic'!$A97,'Media&amp;EdByAEA,Dist,Nonpublic'!$D$3:$D$1349,'Media&amp;EdByAEA,Nonpublic'!$D97,'Media&amp;EdByAEA,Dist,Nonpublic'!$E$3:$E$1349,'Media&amp;EdByAEA,Nonpublic'!$E97)</f>
        <v>130.66999999999999</v>
      </c>
      <c r="G97" s="35">
        <f>SUMIFS('Media&amp;EdByAEA,Dist,Nonpublic'!$M$3:$M$1349,'Media&amp;EdByAEA,Dist,Nonpublic'!$A$3:$A$1349,'Media&amp;EdByAEA,Nonpublic'!$A97,'Media&amp;EdByAEA,Dist,Nonpublic'!$D$3:$D$1349,'Media&amp;EdByAEA,Nonpublic'!$D97,'Media&amp;EdByAEA,Dist,Nonpublic'!$E$3:$E$1349,'Media&amp;EdByAEA,Nonpublic'!$E97)</f>
        <v>145.66999999999999</v>
      </c>
    </row>
    <row r="98" spans="1:7" x14ac:dyDescent="0.25">
      <c r="A98" s="80" t="s">
        <v>118</v>
      </c>
      <c r="B98" s="81" t="s">
        <v>1069</v>
      </c>
      <c r="C98" s="81" t="s">
        <v>775</v>
      </c>
      <c r="D98" s="80" t="s">
        <v>120</v>
      </c>
      <c r="E98" s="82">
        <v>8107</v>
      </c>
      <c r="F98" s="35">
        <f>SUMIFS('Media&amp;EdByAEA,Dist,Nonpublic'!$L$3:$L$1349,'Media&amp;EdByAEA,Dist,Nonpublic'!$A$3:$A$1349,'Media&amp;EdByAEA,Nonpublic'!$A98,'Media&amp;EdByAEA,Dist,Nonpublic'!$D$3:$D$1349,'Media&amp;EdByAEA,Nonpublic'!$D98,'Media&amp;EdByAEA,Dist,Nonpublic'!$E$3:$E$1349,'Media&amp;EdByAEA,Nonpublic'!$E98)</f>
        <v>10886.43</v>
      </c>
      <c r="G98" s="35">
        <f>SUMIFS('Media&amp;EdByAEA,Dist,Nonpublic'!$M$3:$M$1349,'Media&amp;EdByAEA,Dist,Nonpublic'!$A$3:$A$1349,'Media&amp;EdByAEA,Nonpublic'!$A98,'Media&amp;EdByAEA,Dist,Nonpublic'!$D$3:$D$1349,'Media&amp;EdByAEA,Nonpublic'!$D98,'Media&amp;EdByAEA,Dist,Nonpublic'!$E$3:$E$1349,'Media&amp;EdByAEA,Nonpublic'!$E98)</f>
        <v>11904.34</v>
      </c>
    </row>
    <row r="99" spans="1:7" x14ac:dyDescent="0.25">
      <c r="A99" s="80" t="s">
        <v>118</v>
      </c>
      <c r="B99" s="81" t="s">
        <v>1069</v>
      </c>
      <c r="C99" s="81" t="s">
        <v>776</v>
      </c>
      <c r="D99" s="80" t="s">
        <v>120</v>
      </c>
      <c r="E99" s="82">
        <v>8109</v>
      </c>
      <c r="F99" s="35">
        <f>SUMIFS('Media&amp;EdByAEA,Dist,Nonpublic'!$L$3:$L$1349,'Media&amp;EdByAEA,Dist,Nonpublic'!$A$3:$A$1349,'Media&amp;EdByAEA,Nonpublic'!$A99,'Media&amp;EdByAEA,Dist,Nonpublic'!$D$3:$D$1349,'Media&amp;EdByAEA,Nonpublic'!$D99,'Media&amp;EdByAEA,Dist,Nonpublic'!$E$3:$E$1349,'Media&amp;EdByAEA,Nonpublic'!$E99)</f>
        <v>3888</v>
      </c>
      <c r="G99" s="35">
        <f>SUMIFS('Media&amp;EdByAEA,Dist,Nonpublic'!$M$3:$M$1349,'Media&amp;EdByAEA,Dist,Nonpublic'!$A$3:$A$1349,'Media&amp;EdByAEA,Nonpublic'!$A99,'Media&amp;EdByAEA,Dist,Nonpublic'!$D$3:$D$1349,'Media&amp;EdByAEA,Nonpublic'!$D99,'Media&amp;EdByAEA,Dist,Nonpublic'!$E$3:$E$1349,'Media&amp;EdByAEA,Nonpublic'!$E99)</f>
        <v>4251.5600000000004</v>
      </c>
    </row>
    <row r="100" spans="1:7" x14ac:dyDescent="0.25">
      <c r="A100" s="80" t="s">
        <v>118</v>
      </c>
      <c r="B100" s="81" t="s">
        <v>1069</v>
      </c>
      <c r="C100" s="81" t="s">
        <v>778</v>
      </c>
      <c r="D100" s="80" t="s">
        <v>122</v>
      </c>
      <c r="E100" s="82">
        <v>8106</v>
      </c>
      <c r="F100" s="35">
        <f>SUMIFS('Media&amp;EdByAEA,Dist,Nonpublic'!$L$3:$L$1349,'Media&amp;EdByAEA,Dist,Nonpublic'!$A$3:$A$1349,'Media&amp;EdByAEA,Nonpublic'!$A100,'Media&amp;EdByAEA,Dist,Nonpublic'!$D$3:$D$1349,'Media&amp;EdByAEA,Nonpublic'!$D100,'Media&amp;EdByAEA,Dist,Nonpublic'!$E$3:$E$1349,'Media&amp;EdByAEA,Nonpublic'!$E100)</f>
        <v>12895.21</v>
      </c>
      <c r="G100" s="35">
        <f>SUMIFS('Media&amp;EdByAEA,Dist,Nonpublic'!$M$3:$M$1349,'Media&amp;EdByAEA,Dist,Nonpublic'!$A$3:$A$1349,'Media&amp;EdByAEA,Nonpublic'!$A100,'Media&amp;EdByAEA,Dist,Nonpublic'!$D$3:$D$1349,'Media&amp;EdByAEA,Nonpublic'!$D100,'Media&amp;EdByAEA,Dist,Nonpublic'!$E$3:$E$1349,'Media&amp;EdByAEA,Nonpublic'!$E100)</f>
        <v>14100.949999999999</v>
      </c>
    </row>
    <row r="101" spans="1:7" x14ac:dyDescent="0.25">
      <c r="A101" s="80" t="s">
        <v>118</v>
      </c>
      <c r="B101" s="81" t="s">
        <v>1069</v>
      </c>
      <c r="C101" s="81" t="s">
        <v>779</v>
      </c>
      <c r="D101" s="80" t="s">
        <v>122</v>
      </c>
      <c r="E101" s="82">
        <v>8110</v>
      </c>
      <c r="F101" s="35">
        <f>SUMIFS('Media&amp;EdByAEA,Dist,Nonpublic'!$L$3:$L$1349,'Media&amp;EdByAEA,Dist,Nonpublic'!$A$3:$A$1349,'Media&amp;EdByAEA,Nonpublic'!$A101,'Media&amp;EdByAEA,Dist,Nonpublic'!$D$3:$D$1349,'Media&amp;EdByAEA,Nonpublic'!$D101,'Media&amp;EdByAEA,Dist,Nonpublic'!$E$3:$E$1349,'Media&amp;EdByAEA,Nonpublic'!$E101)</f>
        <v>8553.6099999999988</v>
      </c>
      <c r="G101" s="35">
        <f>SUMIFS('Media&amp;EdByAEA,Dist,Nonpublic'!$M$3:$M$1349,'Media&amp;EdByAEA,Dist,Nonpublic'!$A$3:$A$1349,'Media&amp;EdByAEA,Nonpublic'!$A101,'Media&amp;EdByAEA,Dist,Nonpublic'!$D$3:$D$1349,'Media&amp;EdByAEA,Nonpublic'!$D101,'Media&amp;EdByAEA,Dist,Nonpublic'!$E$3:$E$1349,'Media&amp;EdByAEA,Nonpublic'!$E101)</f>
        <v>9353.4599999999991</v>
      </c>
    </row>
    <row r="102" spans="1:7" x14ac:dyDescent="0.25">
      <c r="A102" s="80" t="s">
        <v>118</v>
      </c>
      <c r="B102" s="81" t="s">
        <v>1069</v>
      </c>
      <c r="C102" s="81" t="s">
        <v>780</v>
      </c>
      <c r="D102" s="80" t="s">
        <v>122</v>
      </c>
      <c r="E102" s="82">
        <v>8114</v>
      </c>
      <c r="F102" s="35">
        <f>SUMIFS('Media&amp;EdByAEA,Dist,Nonpublic'!$L$3:$L$1349,'Media&amp;EdByAEA,Dist,Nonpublic'!$A$3:$A$1349,'Media&amp;EdByAEA,Nonpublic'!$A102,'Media&amp;EdByAEA,Dist,Nonpublic'!$D$3:$D$1349,'Media&amp;EdByAEA,Nonpublic'!$D102,'Media&amp;EdByAEA,Dist,Nonpublic'!$E$3:$E$1349,'Media&amp;EdByAEA,Nonpublic'!$E102)</f>
        <v>18662.47</v>
      </c>
      <c r="G102" s="35">
        <f>SUMIFS('Media&amp;EdByAEA,Dist,Nonpublic'!$M$3:$M$1349,'Media&amp;EdByAEA,Dist,Nonpublic'!$A$3:$A$1349,'Media&amp;EdByAEA,Nonpublic'!$A102,'Media&amp;EdByAEA,Dist,Nonpublic'!$D$3:$D$1349,'Media&amp;EdByAEA,Nonpublic'!$D102,'Media&amp;EdByAEA,Dist,Nonpublic'!$E$3:$E$1349,'Media&amp;EdByAEA,Nonpublic'!$E102)</f>
        <v>20407.54</v>
      </c>
    </row>
    <row r="103" spans="1:7" x14ac:dyDescent="0.25">
      <c r="A103" s="80" t="s">
        <v>118</v>
      </c>
      <c r="B103" s="81" t="s">
        <v>1069</v>
      </c>
      <c r="C103" s="81" t="s">
        <v>781</v>
      </c>
      <c r="D103" s="80" t="s">
        <v>122</v>
      </c>
      <c r="E103" s="82">
        <v>8121</v>
      </c>
      <c r="F103" s="35">
        <f>SUMIFS('Media&amp;EdByAEA,Dist,Nonpublic'!$L$3:$L$1349,'Media&amp;EdByAEA,Dist,Nonpublic'!$A$3:$A$1349,'Media&amp;EdByAEA,Nonpublic'!$A103,'Media&amp;EdByAEA,Dist,Nonpublic'!$D$3:$D$1349,'Media&amp;EdByAEA,Nonpublic'!$D103,'Media&amp;EdByAEA,Dist,Nonpublic'!$E$3:$E$1349,'Media&amp;EdByAEA,Nonpublic'!$E103)</f>
        <v>7257.58</v>
      </c>
      <c r="G103" s="35">
        <f>SUMIFS('Media&amp;EdByAEA,Dist,Nonpublic'!$M$3:$M$1349,'Media&amp;EdByAEA,Dist,Nonpublic'!$A$3:$A$1349,'Media&amp;EdByAEA,Nonpublic'!$A103,'Media&amp;EdByAEA,Dist,Nonpublic'!$D$3:$D$1349,'Media&amp;EdByAEA,Nonpublic'!$D103,'Media&amp;EdByAEA,Dist,Nonpublic'!$E$3:$E$1349,'Media&amp;EdByAEA,Nonpublic'!$E103)</f>
        <v>7936.2599999999993</v>
      </c>
    </row>
    <row r="104" spans="1:7" x14ac:dyDescent="0.25">
      <c r="A104" s="80" t="s">
        <v>118</v>
      </c>
      <c r="B104" s="81" t="s">
        <v>1069</v>
      </c>
      <c r="C104" s="81" t="s">
        <v>782</v>
      </c>
      <c r="D104" s="80" t="s">
        <v>122</v>
      </c>
      <c r="E104" s="82">
        <v>8125</v>
      </c>
      <c r="F104" s="35">
        <f>SUMIFS('Media&amp;EdByAEA,Dist,Nonpublic'!$L$3:$L$1349,'Media&amp;EdByAEA,Dist,Nonpublic'!$A$3:$A$1349,'Media&amp;EdByAEA,Nonpublic'!$A104,'Media&amp;EdByAEA,Dist,Nonpublic'!$D$3:$D$1349,'Media&amp;EdByAEA,Nonpublic'!$D104,'Media&amp;EdByAEA,Dist,Nonpublic'!$E$3:$E$1349,'Media&amp;EdByAEA,Nonpublic'!$E104)</f>
        <v>3823.2</v>
      </c>
      <c r="G104" s="35">
        <f>SUMIFS('Media&amp;EdByAEA,Dist,Nonpublic'!$M$3:$M$1349,'Media&amp;EdByAEA,Dist,Nonpublic'!$A$3:$A$1349,'Media&amp;EdByAEA,Nonpublic'!$A104,'Media&amp;EdByAEA,Dist,Nonpublic'!$D$3:$D$1349,'Media&amp;EdByAEA,Nonpublic'!$D104,'Media&amp;EdByAEA,Dist,Nonpublic'!$E$3:$E$1349,'Media&amp;EdByAEA,Nonpublic'!$E104)</f>
        <v>4180.4800000000005</v>
      </c>
    </row>
    <row r="105" spans="1:7" x14ac:dyDescent="0.25">
      <c r="A105" s="80" t="s">
        <v>118</v>
      </c>
      <c r="B105" s="81" t="s">
        <v>1069</v>
      </c>
      <c r="C105" s="81" t="s">
        <v>789</v>
      </c>
      <c r="D105" s="80" t="s">
        <v>310</v>
      </c>
      <c r="E105" s="82">
        <v>8101</v>
      </c>
      <c r="F105" s="35">
        <f>SUMIFS('Media&amp;EdByAEA,Dist,Nonpublic'!$L$3:$L$1349,'Media&amp;EdByAEA,Dist,Nonpublic'!$A$3:$A$1349,'Media&amp;EdByAEA,Nonpublic'!$A105,'Media&amp;EdByAEA,Dist,Nonpublic'!$D$3:$D$1349,'Media&amp;EdByAEA,Nonpublic'!$D105,'Media&amp;EdByAEA,Dist,Nonpublic'!$E$3:$E$1349,'Media&amp;EdByAEA,Nonpublic'!$E105)</f>
        <v>64.67</v>
      </c>
      <c r="G105" s="35">
        <f>SUMIFS('Media&amp;EdByAEA,Dist,Nonpublic'!$M$3:$M$1349,'Media&amp;EdByAEA,Dist,Nonpublic'!$A$3:$A$1349,'Media&amp;EdByAEA,Nonpublic'!$A105,'Media&amp;EdByAEA,Dist,Nonpublic'!$D$3:$D$1349,'Media&amp;EdByAEA,Nonpublic'!$D105,'Media&amp;EdByAEA,Dist,Nonpublic'!$E$3:$E$1349,'Media&amp;EdByAEA,Nonpublic'!$E105)</f>
        <v>71</v>
      </c>
    </row>
    <row r="106" spans="1:7" x14ac:dyDescent="0.25">
      <c r="A106" s="80" t="s">
        <v>118</v>
      </c>
      <c r="B106" s="81" t="s">
        <v>1069</v>
      </c>
      <c r="C106" s="81" t="s">
        <v>799</v>
      </c>
      <c r="D106" s="82">
        <v>1053</v>
      </c>
      <c r="E106" s="82">
        <v>8109</v>
      </c>
      <c r="F106" s="35">
        <f>SUMIFS('Media&amp;EdByAEA,Dist,Nonpublic'!$L$3:$L$1349,'Media&amp;EdByAEA,Dist,Nonpublic'!$A$3:$A$1349,'Media&amp;EdByAEA,Nonpublic'!$A106,'Media&amp;EdByAEA,Dist,Nonpublic'!$D$3:$D$1349,'Media&amp;EdByAEA,Nonpublic'!$D106,'Media&amp;EdByAEA,Dist,Nonpublic'!$E$3:$E$1349,'Media&amp;EdByAEA,Nonpublic'!$E106)</f>
        <v>64.8</v>
      </c>
      <c r="G106" s="35">
        <f>SUMIFS('Media&amp;EdByAEA,Dist,Nonpublic'!$M$3:$M$1349,'Media&amp;EdByAEA,Dist,Nonpublic'!$A$3:$A$1349,'Media&amp;EdByAEA,Nonpublic'!$A106,'Media&amp;EdByAEA,Dist,Nonpublic'!$D$3:$D$1349,'Media&amp;EdByAEA,Nonpublic'!$D106,'Media&amp;EdByAEA,Dist,Nonpublic'!$E$3:$E$1349,'Media&amp;EdByAEA,Nonpublic'!$E106)</f>
        <v>70.86</v>
      </c>
    </row>
    <row r="107" spans="1:7" x14ac:dyDescent="0.25">
      <c r="A107" s="80" t="s">
        <v>118</v>
      </c>
      <c r="B107" s="81" t="s">
        <v>1069</v>
      </c>
      <c r="C107" s="81" t="s">
        <v>806</v>
      </c>
      <c r="D107" s="82">
        <v>1082</v>
      </c>
      <c r="E107" s="82">
        <v>8109</v>
      </c>
      <c r="F107" s="35">
        <f>SUMIFS('Media&amp;EdByAEA,Dist,Nonpublic'!$L$3:$L$1349,'Media&amp;EdByAEA,Dist,Nonpublic'!$A$3:$A$1349,'Media&amp;EdByAEA,Nonpublic'!$A107,'Media&amp;EdByAEA,Dist,Nonpublic'!$D$3:$D$1349,'Media&amp;EdByAEA,Nonpublic'!$D107,'Media&amp;EdByAEA,Dist,Nonpublic'!$E$3:$E$1349,'Media&amp;EdByAEA,Nonpublic'!$E107)</f>
        <v>10108.969999999999</v>
      </c>
      <c r="G107" s="35">
        <f>SUMIFS('Media&amp;EdByAEA,Dist,Nonpublic'!$M$3:$M$1349,'Media&amp;EdByAEA,Dist,Nonpublic'!$A$3:$A$1349,'Media&amp;EdByAEA,Nonpublic'!$A107,'Media&amp;EdByAEA,Dist,Nonpublic'!$D$3:$D$1349,'Media&amp;EdByAEA,Nonpublic'!$D107,'Media&amp;EdByAEA,Dist,Nonpublic'!$E$3:$E$1349,'Media&amp;EdByAEA,Nonpublic'!$E107)</f>
        <v>11053.420000000002</v>
      </c>
    </row>
    <row r="108" spans="1:7" x14ac:dyDescent="0.25">
      <c r="A108" s="80" t="s">
        <v>118</v>
      </c>
      <c r="B108" s="81" t="s">
        <v>1069</v>
      </c>
      <c r="C108" s="81" t="s">
        <v>812</v>
      </c>
      <c r="D108" s="82">
        <v>1278</v>
      </c>
      <c r="E108" s="82">
        <v>8103</v>
      </c>
      <c r="F108" s="35">
        <f>SUMIFS('Media&amp;EdByAEA,Dist,Nonpublic'!$L$3:$L$1349,'Media&amp;EdByAEA,Dist,Nonpublic'!$A$3:$A$1349,'Media&amp;EdByAEA,Nonpublic'!$A108,'Media&amp;EdByAEA,Dist,Nonpublic'!$D$3:$D$1349,'Media&amp;EdByAEA,Nonpublic'!$D108,'Media&amp;EdByAEA,Dist,Nonpublic'!$E$3:$E$1349,'Media&amp;EdByAEA,Nonpublic'!$E108)</f>
        <v>6998.25</v>
      </c>
      <c r="G108" s="35">
        <f>SUMIFS('Media&amp;EdByAEA,Dist,Nonpublic'!$M$3:$M$1349,'Media&amp;EdByAEA,Dist,Nonpublic'!$A$3:$A$1349,'Media&amp;EdByAEA,Nonpublic'!$A108,'Media&amp;EdByAEA,Dist,Nonpublic'!$D$3:$D$1349,'Media&amp;EdByAEA,Nonpublic'!$D108,'Media&amp;EdByAEA,Dist,Nonpublic'!$E$3:$E$1349,'Media&amp;EdByAEA,Nonpublic'!$E108)</f>
        <v>7652.71</v>
      </c>
    </row>
    <row r="109" spans="1:7" x14ac:dyDescent="0.25">
      <c r="A109" s="80" t="s">
        <v>118</v>
      </c>
      <c r="B109" s="81" t="s">
        <v>1069</v>
      </c>
      <c r="C109" s="81" t="s">
        <v>813</v>
      </c>
      <c r="D109" s="82">
        <v>1278</v>
      </c>
      <c r="E109" s="82">
        <v>8110</v>
      </c>
      <c r="F109" s="35">
        <f>SUMIFS('Media&amp;EdByAEA,Dist,Nonpublic'!$L$3:$L$1349,'Media&amp;EdByAEA,Dist,Nonpublic'!$A$3:$A$1349,'Media&amp;EdByAEA,Nonpublic'!$A109,'Media&amp;EdByAEA,Dist,Nonpublic'!$D$3:$D$1349,'Media&amp;EdByAEA,Nonpublic'!$D109,'Media&amp;EdByAEA,Dist,Nonpublic'!$E$3:$E$1349,'Media&amp;EdByAEA,Nonpublic'!$E109)</f>
        <v>6738.95</v>
      </c>
      <c r="G109" s="35">
        <f>SUMIFS('Media&amp;EdByAEA,Dist,Nonpublic'!$M$3:$M$1349,'Media&amp;EdByAEA,Dist,Nonpublic'!$A$3:$A$1349,'Media&amp;EdByAEA,Nonpublic'!$A109,'Media&amp;EdByAEA,Dist,Nonpublic'!$D$3:$D$1349,'Media&amp;EdByAEA,Nonpublic'!$D109,'Media&amp;EdByAEA,Dist,Nonpublic'!$E$3:$E$1349,'Media&amp;EdByAEA,Nonpublic'!$E109)</f>
        <v>7369.4299999999994</v>
      </c>
    </row>
    <row r="110" spans="1:7" x14ac:dyDescent="0.25">
      <c r="A110" s="80" t="s">
        <v>118</v>
      </c>
      <c r="B110" s="81" t="s">
        <v>1069</v>
      </c>
      <c r="C110" s="81" t="s">
        <v>818</v>
      </c>
      <c r="D110" s="82">
        <v>1611</v>
      </c>
      <c r="E110" s="82">
        <v>8101</v>
      </c>
      <c r="F110" s="35">
        <f>SUMIFS('Media&amp;EdByAEA,Dist,Nonpublic'!$L$3:$L$1349,'Media&amp;EdByAEA,Dist,Nonpublic'!$A$3:$A$1349,'Media&amp;EdByAEA,Nonpublic'!$A110,'Media&amp;EdByAEA,Dist,Nonpublic'!$D$3:$D$1349,'Media&amp;EdByAEA,Nonpublic'!$D110,'Media&amp;EdByAEA,Dist,Nonpublic'!$E$3:$E$1349,'Media&amp;EdByAEA,Nonpublic'!$E110)</f>
        <v>27993.610000000004</v>
      </c>
      <c r="G110" s="35">
        <f>SUMIFS('Media&amp;EdByAEA,Dist,Nonpublic'!$M$3:$M$1349,'Media&amp;EdByAEA,Dist,Nonpublic'!$A$3:$A$1349,'Media&amp;EdByAEA,Nonpublic'!$A110,'Media&amp;EdByAEA,Dist,Nonpublic'!$D$3:$D$1349,'Media&amp;EdByAEA,Nonpublic'!$D110,'Media&amp;EdByAEA,Dist,Nonpublic'!$E$3:$E$1349,'Media&amp;EdByAEA,Nonpublic'!$E110)</f>
        <v>30611.210000000003</v>
      </c>
    </row>
    <row r="111" spans="1:7" x14ac:dyDescent="0.25">
      <c r="A111" s="80" t="s">
        <v>118</v>
      </c>
      <c r="B111" s="81" t="s">
        <v>1069</v>
      </c>
      <c r="C111" s="81" t="s">
        <v>819</v>
      </c>
      <c r="D111" s="82">
        <v>1611</v>
      </c>
      <c r="E111" s="82">
        <v>8103</v>
      </c>
      <c r="F111" s="35">
        <f>SUMIFS('Media&amp;EdByAEA,Dist,Nonpublic'!$L$3:$L$1349,'Media&amp;EdByAEA,Dist,Nonpublic'!$A$3:$A$1349,'Media&amp;EdByAEA,Nonpublic'!$A111,'Media&amp;EdByAEA,Dist,Nonpublic'!$D$3:$D$1349,'Media&amp;EdByAEA,Nonpublic'!$D111,'Media&amp;EdByAEA,Dist,Nonpublic'!$E$3:$E$1349,'Media&amp;EdByAEA,Nonpublic'!$E111)</f>
        <v>24429.63</v>
      </c>
      <c r="G111" s="35">
        <f>SUMIFS('Media&amp;EdByAEA,Dist,Nonpublic'!$M$3:$M$1349,'Media&amp;EdByAEA,Dist,Nonpublic'!$A$3:$A$1349,'Media&amp;EdByAEA,Nonpublic'!$A111,'Media&amp;EdByAEA,Dist,Nonpublic'!$D$3:$D$1349,'Media&amp;EdByAEA,Nonpublic'!$D111,'Media&amp;EdByAEA,Dist,Nonpublic'!$E$3:$E$1349,'Media&amp;EdByAEA,Nonpublic'!$E111)</f>
        <v>26714.149999999998</v>
      </c>
    </row>
    <row r="112" spans="1:7" x14ac:dyDescent="0.25">
      <c r="A112" s="80" t="s">
        <v>118</v>
      </c>
      <c r="B112" s="81" t="s">
        <v>1069</v>
      </c>
      <c r="C112" s="81" t="s">
        <v>820</v>
      </c>
      <c r="D112" s="82">
        <v>1611</v>
      </c>
      <c r="E112" s="82">
        <v>8109</v>
      </c>
      <c r="F112" s="35">
        <f>SUMIFS('Media&amp;EdByAEA,Dist,Nonpublic'!$L$3:$L$1349,'Media&amp;EdByAEA,Dist,Nonpublic'!$A$3:$A$1349,'Media&amp;EdByAEA,Nonpublic'!$A112,'Media&amp;EdByAEA,Dist,Nonpublic'!$D$3:$D$1349,'Media&amp;EdByAEA,Nonpublic'!$D112,'Media&amp;EdByAEA,Dist,Nonpublic'!$E$3:$E$1349,'Media&amp;EdByAEA,Nonpublic'!$E112)</f>
        <v>26244.039999999997</v>
      </c>
      <c r="G112" s="35">
        <f>SUMIFS('Media&amp;EdByAEA,Dist,Nonpublic'!$M$3:$M$1349,'Media&amp;EdByAEA,Dist,Nonpublic'!$A$3:$A$1349,'Media&amp;EdByAEA,Nonpublic'!$A112,'Media&amp;EdByAEA,Dist,Nonpublic'!$D$3:$D$1349,'Media&amp;EdByAEA,Nonpublic'!$D112,'Media&amp;EdByAEA,Dist,Nonpublic'!$E$3:$E$1349,'Media&amp;EdByAEA,Nonpublic'!$E112)</f>
        <v>28698.23</v>
      </c>
    </row>
    <row r="113" spans="1:7" x14ac:dyDescent="0.25">
      <c r="A113" s="80" t="s">
        <v>118</v>
      </c>
      <c r="B113" s="81" t="s">
        <v>1069</v>
      </c>
      <c r="C113" s="81" t="s">
        <v>1087</v>
      </c>
      <c r="D113" s="82">
        <v>1611</v>
      </c>
      <c r="E113" s="82">
        <v>8115</v>
      </c>
      <c r="F113" s="35">
        <f>SUMIFS('Media&amp;EdByAEA,Dist,Nonpublic'!$L$3:$L$1349,'Media&amp;EdByAEA,Dist,Nonpublic'!$A$3:$A$1349,'Media&amp;EdByAEA,Nonpublic'!$A113,'Media&amp;EdByAEA,Dist,Nonpublic'!$D$3:$D$1349,'Media&amp;EdByAEA,Nonpublic'!$D113,'Media&amp;EdByAEA,Dist,Nonpublic'!$E$3:$E$1349,'Media&amp;EdByAEA,Nonpublic'!$E113)</f>
        <v>26049.629999999997</v>
      </c>
      <c r="G113" s="35">
        <f>SUMIFS('Media&amp;EdByAEA,Dist,Nonpublic'!$M$3:$M$1349,'Media&amp;EdByAEA,Dist,Nonpublic'!$A$3:$A$1349,'Media&amp;EdByAEA,Nonpublic'!$A113,'Media&amp;EdByAEA,Dist,Nonpublic'!$D$3:$D$1349,'Media&amp;EdByAEA,Nonpublic'!$D113,'Media&amp;EdByAEA,Dist,Nonpublic'!$E$3:$E$1349,'Media&amp;EdByAEA,Nonpublic'!$E113)</f>
        <v>28485.600000000002</v>
      </c>
    </row>
    <row r="114" spans="1:7" x14ac:dyDescent="0.25">
      <c r="A114" s="80" t="s">
        <v>118</v>
      </c>
      <c r="B114" s="81" t="s">
        <v>1069</v>
      </c>
      <c r="C114" s="81" t="s">
        <v>821</v>
      </c>
      <c r="D114" s="82">
        <v>1611</v>
      </c>
      <c r="E114" s="82">
        <v>8121</v>
      </c>
      <c r="F114" s="35">
        <f>SUMIFS('Media&amp;EdByAEA,Dist,Nonpublic'!$L$3:$L$1349,'Media&amp;EdByAEA,Dist,Nonpublic'!$A$3:$A$1349,'Media&amp;EdByAEA,Nonpublic'!$A114,'Media&amp;EdByAEA,Dist,Nonpublic'!$D$3:$D$1349,'Media&amp;EdByAEA,Nonpublic'!$D114,'Media&amp;EdByAEA,Dist,Nonpublic'!$E$3:$E$1349,'Media&amp;EdByAEA,Nonpublic'!$E114)</f>
        <v>648</v>
      </c>
      <c r="G114" s="35">
        <f>SUMIFS('Media&amp;EdByAEA,Dist,Nonpublic'!$M$3:$M$1349,'Media&amp;EdByAEA,Dist,Nonpublic'!$A$3:$A$1349,'Media&amp;EdByAEA,Nonpublic'!$A114,'Media&amp;EdByAEA,Dist,Nonpublic'!$D$3:$D$1349,'Media&amp;EdByAEA,Nonpublic'!$D114,'Media&amp;EdByAEA,Dist,Nonpublic'!$E$3:$E$1349,'Media&amp;EdByAEA,Nonpublic'!$E114)</f>
        <v>708.6</v>
      </c>
    </row>
    <row r="115" spans="1:7" x14ac:dyDescent="0.25">
      <c r="A115" s="80" t="s">
        <v>118</v>
      </c>
      <c r="B115" s="81" t="s">
        <v>1069</v>
      </c>
      <c r="C115" s="81" t="s">
        <v>784</v>
      </c>
      <c r="D115" s="82">
        <v>1611</v>
      </c>
      <c r="E115" s="82">
        <v>8212</v>
      </c>
      <c r="F115" s="35">
        <f>SUMIFS('Media&amp;EdByAEA,Dist,Nonpublic'!$L$3:$L$1349,'Media&amp;EdByAEA,Dist,Nonpublic'!$A$3:$A$1349,'Media&amp;EdByAEA,Nonpublic'!$A115,'Media&amp;EdByAEA,Dist,Nonpublic'!$D$3:$D$1349,'Media&amp;EdByAEA,Nonpublic'!$D115,'Media&amp;EdByAEA,Dist,Nonpublic'!$E$3:$E$1349,'Media&amp;EdByAEA,Nonpublic'!$E115)</f>
        <v>23976.04</v>
      </c>
      <c r="G115" s="35">
        <f>SUMIFS('Media&amp;EdByAEA,Dist,Nonpublic'!$M$3:$M$1349,'Media&amp;EdByAEA,Dist,Nonpublic'!$A$3:$A$1349,'Media&amp;EdByAEA,Nonpublic'!$A115,'Media&amp;EdByAEA,Dist,Nonpublic'!$D$3:$D$1349,'Media&amp;EdByAEA,Nonpublic'!$D115,'Media&amp;EdByAEA,Dist,Nonpublic'!$E$3:$E$1349,'Media&amp;EdByAEA,Nonpublic'!$E115)</f>
        <v>26218.15</v>
      </c>
    </row>
    <row r="116" spans="1:7" x14ac:dyDescent="0.25">
      <c r="A116" s="80" t="s">
        <v>118</v>
      </c>
      <c r="B116" s="81" t="s">
        <v>1069</v>
      </c>
      <c r="C116" s="81" t="s">
        <v>843</v>
      </c>
      <c r="D116" s="82">
        <v>1863</v>
      </c>
      <c r="E116" s="82">
        <v>8122</v>
      </c>
      <c r="F116" s="35">
        <f>SUMIFS('Media&amp;EdByAEA,Dist,Nonpublic'!$L$3:$L$1349,'Media&amp;EdByAEA,Dist,Nonpublic'!$A$3:$A$1349,'Media&amp;EdByAEA,Nonpublic'!$A116,'Media&amp;EdByAEA,Dist,Nonpublic'!$D$3:$D$1349,'Media&amp;EdByAEA,Nonpublic'!$D116,'Media&amp;EdByAEA,Dist,Nonpublic'!$E$3:$E$1349,'Media&amp;EdByAEA,Nonpublic'!$E116)</f>
        <v>64.8</v>
      </c>
      <c r="G116" s="35">
        <f>SUMIFS('Media&amp;EdByAEA,Dist,Nonpublic'!$M$3:$M$1349,'Media&amp;EdByAEA,Dist,Nonpublic'!$A$3:$A$1349,'Media&amp;EdByAEA,Nonpublic'!$A116,'Media&amp;EdByAEA,Dist,Nonpublic'!$D$3:$D$1349,'Media&amp;EdByAEA,Nonpublic'!$D116,'Media&amp;EdByAEA,Dist,Nonpublic'!$E$3:$E$1349,'Media&amp;EdByAEA,Nonpublic'!$E116)</f>
        <v>70.86</v>
      </c>
    </row>
    <row r="117" spans="1:7" x14ac:dyDescent="0.25">
      <c r="A117" s="80" t="s">
        <v>118</v>
      </c>
      <c r="B117" s="81" t="s">
        <v>1069</v>
      </c>
      <c r="C117" s="81" t="s">
        <v>844</v>
      </c>
      <c r="D117" s="82">
        <v>1863</v>
      </c>
      <c r="E117" s="82">
        <v>8126</v>
      </c>
      <c r="F117" s="35">
        <f>SUMIFS('Media&amp;EdByAEA,Dist,Nonpublic'!$L$3:$L$1349,'Media&amp;EdByAEA,Dist,Nonpublic'!$A$3:$A$1349,'Media&amp;EdByAEA,Nonpublic'!$A117,'Media&amp;EdByAEA,Dist,Nonpublic'!$D$3:$D$1349,'Media&amp;EdByAEA,Nonpublic'!$D117,'Media&amp;EdByAEA,Dist,Nonpublic'!$E$3:$E$1349,'Media&amp;EdByAEA,Nonpublic'!$E117)</f>
        <v>194.39</v>
      </c>
      <c r="G117" s="35">
        <f>SUMIFS('Media&amp;EdByAEA,Dist,Nonpublic'!$M$3:$M$1349,'Media&amp;EdByAEA,Dist,Nonpublic'!$A$3:$A$1349,'Media&amp;EdByAEA,Nonpublic'!$A117,'Media&amp;EdByAEA,Dist,Nonpublic'!$D$3:$D$1349,'Media&amp;EdByAEA,Nonpublic'!$D117,'Media&amp;EdByAEA,Dist,Nonpublic'!$E$3:$E$1349,'Media&amp;EdByAEA,Nonpublic'!$E117)</f>
        <v>212.57999999999998</v>
      </c>
    </row>
    <row r="118" spans="1:7" x14ac:dyDescent="0.25">
      <c r="A118" s="80" t="s">
        <v>118</v>
      </c>
      <c r="B118" s="81" t="s">
        <v>1069</v>
      </c>
      <c r="C118" s="81" t="s">
        <v>845</v>
      </c>
      <c r="D118" s="82">
        <v>1863</v>
      </c>
      <c r="E118" s="82">
        <v>8128</v>
      </c>
      <c r="F118" s="35">
        <f>SUMIFS('Media&amp;EdByAEA,Dist,Nonpublic'!$L$3:$L$1349,'Media&amp;EdByAEA,Dist,Nonpublic'!$A$3:$A$1349,'Media&amp;EdByAEA,Nonpublic'!$A118,'Media&amp;EdByAEA,Dist,Nonpublic'!$D$3:$D$1349,'Media&amp;EdByAEA,Nonpublic'!$D118,'Media&amp;EdByAEA,Dist,Nonpublic'!$E$3:$E$1349,'Media&amp;EdByAEA,Nonpublic'!$E118)</f>
        <v>194.39</v>
      </c>
      <c r="G118" s="35">
        <f>SUMIFS('Media&amp;EdByAEA,Dist,Nonpublic'!$M$3:$M$1349,'Media&amp;EdByAEA,Dist,Nonpublic'!$A$3:$A$1349,'Media&amp;EdByAEA,Nonpublic'!$A118,'Media&amp;EdByAEA,Dist,Nonpublic'!$D$3:$D$1349,'Media&amp;EdByAEA,Nonpublic'!$D118,'Media&amp;EdByAEA,Dist,Nonpublic'!$E$3:$E$1349,'Media&amp;EdByAEA,Nonpublic'!$E118)</f>
        <v>212.57999999999998</v>
      </c>
    </row>
    <row r="119" spans="1:7" x14ac:dyDescent="0.25">
      <c r="A119" s="80" t="s">
        <v>118</v>
      </c>
      <c r="B119" s="81" t="s">
        <v>1069</v>
      </c>
      <c r="C119" s="81" t="s">
        <v>846</v>
      </c>
      <c r="D119" s="82">
        <v>1863</v>
      </c>
      <c r="E119" s="82">
        <v>8134</v>
      </c>
      <c r="F119" s="35">
        <f>SUMIFS('Media&amp;EdByAEA,Dist,Nonpublic'!$L$3:$L$1349,'Media&amp;EdByAEA,Dist,Nonpublic'!$A$3:$A$1349,'Media&amp;EdByAEA,Nonpublic'!$A119,'Media&amp;EdByAEA,Dist,Nonpublic'!$D$3:$D$1349,'Media&amp;EdByAEA,Nonpublic'!$D119,'Media&amp;EdByAEA,Dist,Nonpublic'!$E$3:$E$1349,'Media&amp;EdByAEA,Nonpublic'!$E119)</f>
        <v>194.39</v>
      </c>
      <c r="G119" s="35">
        <f>SUMIFS('Media&amp;EdByAEA,Dist,Nonpublic'!$M$3:$M$1349,'Media&amp;EdByAEA,Dist,Nonpublic'!$A$3:$A$1349,'Media&amp;EdByAEA,Nonpublic'!$A119,'Media&amp;EdByAEA,Dist,Nonpublic'!$D$3:$D$1349,'Media&amp;EdByAEA,Nonpublic'!$D119,'Media&amp;EdByAEA,Dist,Nonpublic'!$E$3:$E$1349,'Media&amp;EdByAEA,Nonpublic'!$E119)</f>
        <v>212.57999999999998</v>
      </c>
    </row>
    <row r="120" spans="1:7" x14ac:dyDescent="0.25">
      <c r="A120" s="80" t="s">
        <v>118</v>
      </c>
      <c r="B120" s="81" t="s">
        <v>1069</v>
      </c>
      <c r="C120" s="81" t="s">
        <v>848</v>
      </c>
      <c r="D120" s="82">
        <v>1863</v>
      </c>
      <c r="E120" s="82">
        <v>8163</v>
      </c>
      <c r="F120" s="35">
        <f>SUMIFS('Media&amp;EdByAEA,Dist,Nonpublic'!$L$3:$L$1349,'Media&amp;EdByAEA,Dist,Nonpublic'!$A$3:$A$1349,'Media&amp;EdByAEA,Nonpublic'!$A120,'Media&amp;EdByAEA,Dist,Nonpublic'!$D$3:$D$1349,'Media&amp;EdByAEA,Nonpublic'!$D120,'Media&amp;EdByAEA,Dist,Nonpublic'!$E$3:$E$1349,'Media&amp;EdByAEA,Nonpublic'!$E120)</f>
        <v>64.8</v>
      </c>
      <c r="G120" s="35">
        <f>SUMIFS('Media&amp;EdByAEA,Dist,Nonpublic'!$M$3:$M$1349,'Media&amp;EdByAEA,Dist,Nonpublic'!$A$3:$A$1349,'Media&amp;EdByAEA,Nonpublic'!$A120,'Media&amp;EdByAEA,Dist,Nonpublic'!$D$3:$D$1349,'Media&amp;EdByAEA,Nonpublic'!$D120,'Media&amp;EdByAEA,Dist,Nonpublic'!$E$3:$E$1349,'Media&amp;EdByAEA,Nonpublic'!$E120)</f>
        <v>70.86</v>
      </c>
    </row>
    <row r="121" spans="1:7" x14ac:dyDescent="0.25">
      <c r="A121" s="80" t="s">
        <v>118</v>
      </c>
      <c r="B121" s="81" t="s">
        <v>1069</v>
      </c>
      <c r="C121" s="81" t="s">
        <v>869</v>
      </c>
      <c r="D121" s="82">
        <v>3141</v>
      </c>
      <c r="E121" s="82">
        <v>8103</v>
      </c>
      <c r="F121" s="35">
        <f>SUMIFS('Media&amp;EdByAEA,Dist,Nonpublic'!$L$3:$L$1349,'Media&amp;EdByAEA,Dist,Nonpublic'!$A$3:$A$1349,'Media&amp;EdByAEA,Nonpublic'!$A121,'Media&amp;EdByAEA,Dist,Nonpublic'!$D$3:$D$1349,'Media&amp;EdByAEA,Nonpublic'!$D121,'Media&amp;EdByAEA,Dist,Nonpublic'!$E$3:$E$1349,'Media&amp;EdByAEA,Nonpublic'!$E121)</f>
        <v>129.5</v>
      </c>
      <c r="G121" s="35">
        <f>SUMIFS('Media&amp;EdByAEA,Dist,Nonpublic'!$M$3:$M$1349,'Media&amp;EdByAEA,Dist,Nonpublic'!$A$3:$A$1349,'Media&amp;EdByAEA,Nonpublic'!$A121,'Media&amp;EdByAEA,Dist,Nonpublic'!$D$3:$D$1349,'Media&amp;EdByAEA,Nonpublic'!$D121,'Media&amp;EdByAEA,Dist,Nonpublic'!$E$3:$E$1349,'Media&amp;EdByAEA,Nonpublic'!$E121)</f>
        <v>141.75</v>
      </c>
    </row>
    <row r="122" spans="1:7" x14ac:dyDescent="0.25">
      <c r="A122" s="80" t="s">
        <v>118</v>
      </c>
      <c r="B122" s="81" t="s">
        <v>1069</v>
      </c>
      <c r="C122" s="81" t="s">
        <v>870</v>
      </c>
      <c r="D122" s="82">
        <v>3141</v>
      </c>
      <c r="E122" s="82">
        <v>8104</v>
      </c>
      <c r="F122" s="35">
        <f>SUMIFS('Media&amp;EdByAEA,Dist,Nonpublic'!$L$3:$L$1349,'Media&amp;EdByAEA,Dist,Nonpublic'!$A$3:$A$1349,'Media&amp;EdByAEA,Nonpublic'!$A122,'Media&amp;EdByAEA,Dist,Nonpublic'!$D$3:$D$1349,'Media&amp;EdByAEA,Nonpublic'!$D122,'Media&amp;EdByAEA,Dist,Nonpublic'!$E$3:$E$1349,'Media&amp;EdByAEA,Nonpublic'!$E122)</f>
        <v>194.55</v>
      </c>
      <c r="G122" s="35">
        <f>SUMIFS('Media&amp;EdByAEA,Dist,Nonpublic'!$M$3:$M$1349,'Media&amp;EdByAEA,Dist,Nonpublic'!$A$3:$A$1349,'Media&amp;EdByAEA,Nonpublic'!$A122,'Media&amp;EdByAEA,Dist,Nonpublic'!$D$3:$D$1349,'Media&amp;EdByAEA,Nonpublic'!$D122,'Media&amp;EdByAEA,Dist,Nonpublic'!$E$3:$E$1349,'Media&amp;EdByAEA,Nonpublic'!$E122)</f>
        <v>212.74</v>
      </c>
    </row>
    <row r="123" spans="1:7" x14ac:dyDescent="0.25">
      <c r="A123" s="80" t="s">
        <v>118</v>
      </c>
      <c r="B123" s="81" t="s">
        <v>1069</v>
      </c>
      <c r="C123" s="81" t="s">
        <v>872</v>
      </c>
      <c r="D123" s="82">
        <v>3141</v>
      </c>
      <c r="E123" s="82">
        <v>8108</v>
      </c>
      <c r="F123" s="35">
        <f>SUMIFS('Media&amp;EdByAEA,Dist,Nonpublic'!$L$3:$L$1349,'Media&amp;EdByAEA,Dist,Nonpublic'!$A$3:$A$1349,'Media&amp;EdByAEA,Nonpublic'!$A123,'Media&amp;EdByAEA,Dist,Nonpublic'!$D$3:$D$1349,'Media&amp;EdByAEA,Nonpublic'!$D123,'Media&amp;EdByAEA,Dist,Nonpublic'!$E$3:$E$1349,'Media&amp;EdByAEA,Nonpublic'!$E123)</f>
        <v>388.8</v>
      </c>
      <c r="G123" s="35">
        <f>SUMIFS('Media&amp;EdByAEA,Dist,Nonpublic'!$M$3:$M$1349,'Media&amp;EdByAEA,Dist,Nonpublic'!$A$3:$A$1349,'Media&amp;EdByAEA,Nonpublic'!$A123,'Media&amp;EdByAEA,Dist,Nonpublic'!$D$3:$D$1349,'Media&amp;EdByAEA,Nonpublic'!$D123,'Media&amp;EdByAEA,Dist,Nonpublic'!$E$3:$E$1349,'Media&amp;EdByAEA,Nonpublic'!$E123)</f>
        <v>425.3</v>
      </c>
    </row>
    <row r="124" spans="1:7" x14ac:dyDescent="0.25">
      <c r="A124" s="80" t="s">
        <v>118</v>
      </c>
      <c r="B124" s="81" t="s">
        <v>1069</v>
      </c>
      <c r="C124" s="81" t="s">
        <v>783</v>
      </c>
      <c r="D124" s="82">
        <v>4041</v>
      </c>
      <c r="E124" s="82">
        <v>8108</v>
      </c>
      <c r="F124" s="35">
        <f>SUMIFS('Media&amp;EdByAEA,Dist,Nonpublic'!$L$3:$L$1349,'Media&amp;EdByAEA,Dist,Nonpublic'!$A$3:$A$1349,'Media&amp;EdByAEA,Nonpublic'!$A124,'Media&amp;EdByAEA,Dist,Nonpublic'!$D$3:$D$1349,'Media&amp;EdByAEA,Nonpublic'!$D124,'Media&amp;EdByAEA,Dist,Nonpublic'!$E$3:$E$1349,'Media&amp;EdByAEA,Nonpublic'!$E124)</f>
        <v>7970.21</v>
      </c>
      <c r="G124" s="35">
        <f>SUMIFS('Media&amp;EdByAEA,Dist,Nonpublic'!$M$3:$M$1349,'Media&amp;EdByAEA,Dist,Nonpublic'!$A$3:$A$1349,'Media&amp;EdByAEA,Nonpublic'!$A124,'Media&amp;EdByAEA,Dist,Nonpublic'!$D$3:$D$1349,'Media&amp;EdByAEA,Nonpublic'!$D124,'Media&amp;EdByAEA,Dist,Nonpublic'!$E$3:$E$1349,'Media&amp;EdByAEA,Nonpublic'!$E124)</f>
        <v>8715.92</v>
      </c>
    </row>
    <row r="125" spans="1:7" x14ac:dyDescent="0.25">
      <c r="A125" s="80" t="s">
        <v>118</v>
      </c>
      <c r="B125" s="81" t="s">
        <v>1069</v>
      </c>
      <c r="C125" s="81" t="s">
        <v>896</v>
      </c>
      <c r="D125" s="82">
        <v>4271</v>
      </c>
      <c r="E125" s="82">
        <v>8506</v>
      </c>
      <c r="F125" s="35">
        <f>SUMIFS('Media&amp;EdByAEA,Dist,Nonpublic'!$L$3:$L$1349,'Media&amp;EdByAEA,Dist,Nonpublic'!$A$3:$A$1349,'Media&amp;EdByAEA,Nonpublic'!$A125,'Media&amp;EdByAEA,Dist,Nonpublic'!$D$3:$D$1349,'Media&amp;EdByAEA,Nonpublic'!$D125,'Media&amp;EdByAEA,Dist,Nonpublic'!$E$3:$E$1349,'Media&amp;EdByAEA,Nonpublic'!$E125)</f>
        <v>64.75</v>
      </c>
      <c r="G125" s="35">
        <f>SUMIFS('Media&amp;EdByAEA,Dist,Nonpublic'!$M$3:$M$1349,'Media&amp;EdByAEA,Dist,Nonpublic'!$A$3:$A$1349,'Media&amp;EdByAEA,Nonpublic'!$A125,'Media&amp;EdByAEA,Dist,Nonpublic'!$D$3:$D$1349,'Media&amp;EdByAEA,Nonpublic'!$D125,'Media&amp;EdByAEA,Dist,Nonpublic'!$E$3:$E$1349,'Media&amp;EdByAEA,Nonpublic'!$E125)</f>
        <v>70.88</v>
      </c>
    </row>
    <row r="126" spans="1:7" x14ac:dyDescent="0.25">
      <c r="A126" s="80" t="s">
        <v>118</v>
      </c>
      <c r="B126" s="81" t="s">
        <v>1069</v>
      </c>
      <c r="C126" s="81" t="s">
        <v>898</v>
      </c>
      <c r="D126" s="82">
        <v>4581</v>
      </c>
      <c r="E126" s="82">
        <v>8103</v>
      </c>
      <c r="F126" s="35">
        <f>SUMIFS('Media&amp;EdByAEA,Dist,Nonpublic'!$L$3:$L$1349,'Media&amp;EdByAEA,Dist,Nonpublic'!$A$3:$A$1349,'Media&amp;EdByAEA,Nonpublic'!$A126,'Media&amp;EdByAEA,Dist,Nonpublic'!$D$3:$D$1349,'Media&amp;EdByAEA,Nonpublic'!$D126,'Media&amp;EdByAEA,Dist,Nonpublic'!$E$3:$E$1349,'Media&amp;EdByAEA,Nonpublic'!$E126)</f>
        <v>14450.47</v>
      </c>
      <c r="G126" s="35">
        <f>SUMIFS('Media&amp;EdByAEA,Dist,Nonpublic'!$M$3:$M$1349,'Media&amp;EdByAEA,Dist,Nonpublic'!$A$3:$A$1349,'Media&amp;EdByAEA,Nonpublic'!$A126,'Media&amp;EdByAEA,Dist,Nonpublic'!$D$3:$D$1349,'Media&amp;EdByAEA,Nonpublic'!$D126,'Media&amp;EdByAEA,Dist,Nonpublic'!$E$3:$E$1349,'Media&amp;EdByAEA,Nonpublic'!$E126)</f>
        <v>15801.79</v>
      </c>
    </row>
    <row r="127" spans="1:7" x14ac:dyDescent="0.25">
      <c r="A127" s="80" t="s">
        <v>118</v>
      </c>
      <c r="B127" s="81" t="s">
        <v>1069</v>
      </c>
      <c r="C127" s="83" t="s">
        <v>899</v>
      </c>
      <c r="D127" s="82">
        <v>4581</v>
      </c>
      <c r="E127" s="82">
        <v>8165</v>
      </c>
      <c r="F127" s="35">
        <f>SUMIFS('Media&amp;EdByAEA,Dist,Nonpublic'!$L$3:$L$1349,'Media&amp;EdByAEA,Dist,Nonpublic'!$A$3:$A$1349,'Media&amp;EdByAEA,Nonpublic'!$A127,'Media&amp;EdByAEA,Dist,Nonpublic'!$D$3:$D$1349,'Media&amp;EdByAEA,Nonpublic'!$D127,'Media&amp;EdByAEA,Dist,Nonpublic'!$E$3:$E$1349,'Media&amp;EdByAEA,Nonpublic'!$E127)</f>
        <v>2462.46</v>
      </c>
      <c r="G127" s="35">
        <f>SUMIFS('Media&amp;EdByAEA,Dist,Nonpublic'!$M$3:$M$1349,'Media&amp;EdByAEA,Dist,Nonpublic'!$A$3:$A$1349,'Media&amp;EdByAEA,Nonpublic'!$A127,'Media&amp;EdByAEA,Dist,Nonpublic'!$D$3:$D$1349,'Media&amp;EdByAEA,Nonpublic'!$D127,'Media&amp;EdByAEA,Dist,Nonpublic'!$E$3:$E$1349,'Media&amp;EdByAEA,Nonpublic'!$E127)</f>
        <v>2692.63</v>
      </c>
    </row>
    <row r="128" spans="1:7" x14ac:dyDescent="0.25">
      <c r="A128" s="80" t="s">
        <v>118</v>
      </c>
      <c r="B128" s="81" t="s">
        <v>1069</v>
      </c>
      <c r="C128" s="83" t="s">
        <v>949</v>
      </c>
      <c r="D128" s="82">
        <v>6930</v>
      </c>
      <c r="E128" s="82">
        <v>8503</v>
      </c>
      <c r="F128" s="35">
        <f>SUMIFS('Media&amp;EdByAEA,Dist,Nonpublic'!$L$3:$L$1349,'Media&amp;EdByAEA,Dist,Nonpublic'!$A$3:$A$1349,'Media&amp;EdByAEA,Nonpublic'!$A128,'Media&amp;EdByAEA,Dist,Nonpublic'!$D$3:$D$1349,'Media&amp;EdByAEA,Nonpublic'!$D128,'Media&amp;EdByAEA,Dist,Nonpublic'!$E$3:$E$1349,'Media&amp;EdByAEA,Nonpublic'!$E128)</f>
        <v>64.8</v>
      </c>
      <c r="G128" s="35">
        <f>SUMIFS('Media&amp;EdByAEA,Dist,Nonpublic'!$M$3:$M$1349,'Media&amp;EdByAEA,Dist,Nonpublic'!$A$3:$A$1349,'Media&amp;EdByAEA,Nonpublic'!$A128,'Media&amp;EdByAEA,Dist,Nonpublic'!$D$3:$D$1349,'Media&amp;EdByAEA,Nonpublic'!$D128,'Media&amp;EdByAEA,Dist,Nonpublic'!$E$3:$E$1349,'Media&amp;EdByAEA,Nonpublic'!$E128)</f>
        <v>70.86</v>
      </c>
    </row>
    <row r="129" spans="1:7" x14ac:dyDescent="0.25">
      <c r="A129" s="80" t="s">
        <v>118</v>
      </c>
      <c r="B129" s="81" t="s">
        <v>1069</v>
      </c>
      <c r="C129" s="83" t="s">
        <v>956</v>
      </c>
      <c r="D129" s="82">
        <v>6961</v>
      </c>
      <c r="E129" s="82">
        <v>8150</v>
      </c>
      <c r="F129" s="35">
        <f>SUMIFS('Media&amp;EdByAEA,Dist,Nonpublic'!$L$3:$L$1349,'Media&amp;EdByAEA,Dist,Nonpublic'!$A$3:$A$1349,'Media&amp;EdByAEA,Nonpublic'!$A129,'Media&amp;EdByAEA,Dist,Nonpublic'!$D$3:$D$1349,'Media&amp;EdByAEA,Nonpublic'!$D129,'Media&amp;EdByAEA,Dist,Nonpublic'!$E$3:$E$1349,'Media&amp;EdByAEA,Nonpublic'!$E129)</f>
        <v>129.6</v>
      </c>
      <c r="G129" s="35">
        <f>SUMIFS('Media&amp;EdByAEA,Dist,Nonpublic'!$M$3:$M$1349,'Media&amp;EdByAEA,Dist,Nonpublic'!$A$3:$A$1349,'Media&amp;EdByAEA,Nonpublic'!$A129,'Media&amp;EdByAEA,Dist,Nonpublic'!$D$3:$D$1349,'Media&amp;EdByAEA,Nonpublic'!$D129,'Media&amp;EdByAEA,Dist,Nonpublic'!$E$3:$E$1349,'Media&amp;EdByAEA,Nonpublic'!$E129)</f>
        <v>141.72</v>
      </c>
    </row>
    <row r="130" spans="1:7" x14ac:dyDescent="0.25">
      <c r="A130" s="82">
        <v>10</v>
      </c>
      <c r="B130" s="81" t="s">
        <v>1090</v>
      </c>
      <c r="C130" s="81" t="s">
        <v>771</v>
      </c>
      <c r="D130" s="80" t="s">
        <v>142</v>
      </c>
      <c r="E130" s="82">
        <v>8102</v>
      </c>
      <c r="F130" s="35">
        <f>SUMIFS('Media&amp;EdByAEA,Dist,Nonpublic'!$L$3:$L$1349,'Media&amp;EdByAEA,Dist,Nonpublic'!$A$3:$A$1349,'Media&amp;EdByAEA,Nonpublic'!$A130,'Media&amp;EdByAEA,Dist,Nonpublic'!$D$3:$D$1349,'Media&amp;EdByAEA,Nonpublic'!$D130,'Media&amp;EdByAEA,Dist,Nonpublic'!$E$3:$E$1349,'Media&amp;EdByAEA,Nonpublic'!$E130)</f>
        <v>3574.26</v>
      </c>
      <c r="G130" s="35">
        <f>SUMIFS('Media&amp;EdByAEA,Dist,Nonpublic'!$M$3:$M$1349,'Media&amp;EdByAEA,Dist,Nonpublic'!$A$3:$A$1349,'Media&amp;EdByAEA,Nonpublic'!$A130,'Media&amp;EdByAEA,Dist,Nonpublic'!$D$3:$D$1349,'Media&amp;EdByAEA,Nonpublic'!$D130,'Media&amp;EdByAEA,Dist,Nonpublic'!$E$3:$E$1349,'Media&amp;EdByAEA,Nonpublic'!$E130)</f>
        <v>3929.79</v>
      </c>
    </row>
    <row r="131" spans="1:7" x14ac:dyDescent="0.25">
      <c r="A131" s="82">
        <v>10</v>
      </c>
      <c r="B131" s="81" t="s">
        <v>1090</v>
      </c>
      <c r="C131" s="81" t="s">
        <v>776</v>
      </c>
      <c r="D131" s="80" t="s">
        <v>120</v>
      </c>
      <c r="E131" s="82">
        <v>8109</v>
      </c>
      <c r="F131" s="35">
        <f>SUMIFS('Media&amp;EdByAEA,Dist,Nonpublic'!$L$3:$L$1349,'Media&amp;EdByAEA,Dist,Nonpublic'!$A$3:$A$1349,'Media&amp;EdByAEA,Nonpublic'!$A131,'Media&amp;EdByAEA,Dist,Nonpublic'!$D$3:$D$1349,'Media&amp;EdByAEA,Nonpublic'!$D131,'Media&amp;EdByAEA,Dist,Nonpublic'!$E$3:$E$1349,'Media&amp;EdByAEA,Nonpublic'!$E131)</f>
        <v>65</v>
      </c>
      <c r="G131" s="35">
        <f>SUMIFS('Media&amp;EdByAEA,Dist,Nonpublic'!$M$3:$M$1349,'Media&amp;EdByAEA,Dist,Nonpublic'!$A$3:$A$1349,'Media&amp;EdByAEA,Nonpublic'!$A131,'Media&amp;EdByAEA,Dist,Nonpublic'!$D$3:$D$1349,'Media&amp;EdByAEA,Nonpublic'!$D131,'Media&amp;EdByAEA,Dist,Nonpublic'!$E$3:$E$1349,'Media&amp;EdByAEA,Nonpublic'!$E131)</f>
        <v>71.5</v>
      </c>
    </row>
    <row r="132" spans="1:7" x14ac:dyDescent="0.25">
      <c r="A132" s="82">
        <v>10</v>
      </c>
      <c r="B132" s="81" t="s">
        <v>1090</v>
      </c>
      <c r="C132" s="81" t="s">
        <v>777</v>
      </c>
      <c r="D132" s="80" t="s">
        <v>144</v>
      </c>
      <c r="E132" s="82">
        <v>8204</v>
      </c>
      <c r="F132" s="35">
        <f>SUMIFS('Media&amp;EdByAEA,Dist,Nonpublic'!$L$3:$L$1349,'Media&amp;EdByAEA,Dist,Nonpublic'!$A$3:$A$1349,'Media&amp;EdByAEA,Nonpublic'!$A132,'Media&amp;EdByAEA,Dist,Nonpublic'!$D$3:$D$1349,'Media&amp;EdByAEA,Nonpublic'!$D132,'Media&amp;EdByAEA,Dist,Nonpublic'!$E$3:$E$1349,'Media&amp;EdByAEA,Nonpublic'!$E132)</f>
        <v>8967.369999999999</v>
      </c>
      <c r="G132" s="35">
        <f>SUMIFS('Media&amp;EdByAEA,Dist,Nonpublic'!$M$3:$M$1349,'Media&amp;EdByAEA,Dist,Nonpublic'!$A$3:$A$1349,'Media&amp;EdByAEA,Nonpublic'!$A132,'Media&amp;EdByAEA,Dist,Nonpublic'!$D$3:$D$1349,'Media&amp;EdByAEA,Nonpublic'!$D132,'Media&amp;EdByAEA,Dist,Nonpublic'!$E$3:$E$1349,'Media&amp;EdByAEA,Nonpublic'!$E132)</f>
        <v>9861.31</v>
      </c>
    </row>
    <row r="133" spans="1:7" x14ac:dyDescent="0.25">
      <c r="A133" s="82">
        <v>10</v>
      </c>
      <c r="B133" s="81" t="s">
        <v>1090</v>
      </c>
      <c r="C133" s="81" t="s">
        <v>796</v>
      </c>
      <c r="D133" s="82">
        <v>1053</v>
      </c>
      <c r="E133" s="82">
        <v>8101</v>
      </c>
      <c r="F133" s="35">
        <f>SUMIFS('Media&amp;EdByAEA,Dist,Nonpublic'!$L$3:$L$1349,'Media&amp;EdByAEA,Dist,Nonpublic'!$A$3:$A$1349,'Media&amp;EdByAEA,Nonpublic'!$A133,'Media&amp;EdByAEA,Dist,Nonpublic'!$D$3:$D$1349,'Media&amp;EdByAEA,Nonpublic'!$D133,'Media&amp;EdByAEA,Dist,Nonpublic'!$E$3:$E$1349,'Media&amp;EdByAEA,Nonpublic'!$E133)</f>
        <v>7342.74</v>
      </c>
      <c r="G133" s="35">
        <f>SUMIFS('Media&amp;EdByAEA,Dist,Nonpublic'!$M$3:$M$1349,'Media&amp;EdByAEA,Dist,Nonpublic'!$A$3:$A$1349,'Media&amp;EdByAEA,Nonpublic'!$A133,'Media&amp;EdByAEA,Dist,Nonpublic'!$D$3:$D$1349,'Media&amp;EdByAEA,Nonpublic'!$D133,'Media&amp;EdByAEA,Dist,Nonpublic'!$E$3:$E$1349,'Media&amp;EdByAEA,Nonpublic'!$E133)</f>
        <v>8075.0300000000007</v>
      </c>
    </row>
    <row r="134" spans="1:7" x14ac:dyDescent="0.25">
      <c r="A134" s="82">
        <v>10</v>
      </c>
      <c r="B134" s="81" t="s">
        <v>1090</v>
      </c>
      <c r="C134" s="81" t="s">
        <v>797</v>
      </c>
      <c r="D134" s="82">
        <v>1053</v>
      </c>
      <c r="E134" s="82">
        <v>8102</v>
      </c>
      <c r="F134" s="35">
        <f>SUMIFS('Media&amp;EdByAEA,Dist,Nonpublic'!$L$3:$L$1349,'Media&amp;EdByAEA,Dist,Nonpublic'!$A$3:$A$1349,'Media&amp;EdByAEA,Nonpublic'!$A134,'Media&amp;EdByAEA,Dist,Nonpublic'!$D$3:$D$1349,'Media&amp;EdByAEA,Nonpublic'!$D134,'Media&amp;EdByAEA,Dist,Nonpublic'!$E$3:$E$1349,'Media&amp;EdByAEA,Nonpublic'!$E134)</f>
        <v>12931.239999999998</v>
      </c>
      <c r="G134" s="35">
        <f>SUMIFS('Media&amp;EdByAEA,Dist,Nonpublic'!$M$3:$M$1349,'Media&amp;EdByAEA,Dist,Nonpublic'!$A$3:$A$1349,'Media&amp;EdByAEA,Nonpublic'!$A134,'Media&amp;EdByAEA,Dist,Nonpublic'!$D$3:$D$1349,'Media&amp;EdByAEA,Nonpublic'!$D134,'Media&amp;EdByAEA,Dist,Nonpublic'!$E$3:$E$1349,'Media&amp;EdByAEA,Nonpublic'!$E134)</f>
        <v>14220.819999999996</v>
      </c>
    </row>
    <row r="135" spans="1:7" x14ac:dyDescent="0.25">
      <c r="A135" s="82">
        <v>10</v>
      </c>
      <c r="B135" s="81" t="s">
        <v>1090</v>
      </c>
      <c r="C135" s="81" t="s">
        <v>798</v>
      </c>
      <c r="D135" s="82">
        <v>1053</v>
      </c>
      <c r="E135" s="82">
        <v>8105</v>
      </c>
      <c r="F135" s="35">
        <f>SUMIFS('Media&amp;EdByAEA,Dist,Nonpublic'!$L$3:$L$1349,'Media&amp;EdByAEA,Dist,Nonpublic'!$A$3:$A$1349,'Media&amp;EdByAEA,Nonpublic'!$A135,'Media&amp;EdByAEA,Dist,Nonpublic'!$D$3:$D$1349,'Media&amp;EdByAEA,Nonpublic'!$D135,'Media&amp;EdByAEA,Dist,Nonpublic'!$E$3:$E$1349,'Media&amp;EdByAEA,Nonpublic'!$E135)</f>
        <v>39118.33</v>
      </c>
      <c r="G135" s="35">
        <f>SUMIFS('Media&amp;EdByAEA,Dist,Nonpublic'!$M$3:$M$1349,'Media&amp;EdByAEA,Dist,Nonpublic'!$A$3:$A$1349,'Media&amp;EdByAEA,Nonpublic'!$A135,'Media&amp;EdByAEA,Dist,Nonpublic'!$D$3:$D$1349,'Media&amp;EdByAEA,Nonpublic'!$D135,'Media&amp;EdByAEA,Dist,Nonpublic'!$E$3:$E$1349,'Media&amp;EdByAEA,Nonpublic'!$E135)</f>
        <v>43019.150000000009</v>
      </c>
    </row>
    <row r="136" spans="1:7" x14ac:dyDescent="0.25">
      <c r="A136" s="82">
        <v>10</v>
      </c>
      <c r="B136" s="81" t="s">
        <v>1090</v>
      </c>
      <c r="C136" s="81" t="s">
        <v>799</v>
      </c>
      <c r="D136" s="82">
        <v>1053</v>
      </c>
      <c r="E136" s="82">
        <v>8109</v>
      </c>
      <c r="F136" s="35">
        <f>SUMIFS('Media&amp;EdByAEA,Dist,Nonpublic'!$L$3:$L$1349,'Media&amp;EdByAEA,Dist,Nonpublic'!$A$3:$A$1349,'Media&amp;EdByAEA,Nonpublic'!$A136,'Media&amp;EdByAEA,Dist,Nonpublic'!$D$3:$D$1349,'Media&amp;EdByAEA,Nonpublic'!$D136,'Media&amp;EdByAEA,Dist,Nonpublic'!$E$3:$E$1349,'Media&amp;EdByAEA,Nonpublic'!$E136)</f>
        <v>15140.419999999996</v>
      </c>
      <c r="G136" s="35">
        <f>SUMIFS('Media&amp;EdByAEA,Dist,Nonpublic'!$M$3:$M$1349,'Media&amp;EdByAEA,Dist,Nonpublic'!$A$3:$A$1349,'Media&amp;EdByAEA,Nonpublic'!$A136,'Media&amp;EdByAEA,Dist,Nonpublic'!$D$3:$D$1349,'Media&amp;EdByAEA,Nonpublic'!$D136,'Media&amp;EdByAEA,Dist,Nonpublic'!$E$3:$E$1349,'Media&amp;EdByAEA,Nonpublic'!$E136)</f>
        <v>16650.25</v>
      </c>
    </row>
    <row r="137" spans="1:7" x14ac:dyDescent="0.25">
      <c r="A137" s="82">
        <v>10</v>
      </c>
      <c r="B137" s="81" t="s">
        <v>1090</v>
      </c>
      <c r="C137" s="81" t="s">
        <v>800</v>
      </c>
      <c r="D137" s="82">
        <v>1053</v>
      </c>
      <c r="E137" s="82">
        <v>8116</v>
      </c>
      <c r="F137" s="35">
        <f>SUMIFS('Media&amp;EdByAEA,Dist,Nonpublic'!$L$3:$L$1349,'Media&amp;EdByAEA,Dist,Nonpublic'!$A$3:$A$1349,'Media&amp;EdByAEA,Nonpublic'!$A137,'Media&amp;EdByAEA,Dist,Nonpublic'!$D$3:$D$1349,'Media&amp;EdByAEA,Nonpublic'!$D137,'Media&amp;EdByAEA,Dist,Nonpublic'!$E$3:$E$1349,'Media&amp;EdByAEA,Nonpublic'!$E137)</f>
        <v>23198.05</v>
      </c>
      <c r="G137" s="35">
        <f>SUMIFS('Media&amp;EdByAEA,Dist,Nonpublic'!$M$3:$M$1349,'Media&amp;EdByAEA,Dist,Nonpublic'!$A$3:$A$1349,'Media&amp;EdByAEA,Nonpublic'!$A137,'Media&amp;EdByAEA,Dist,Nonpublic'!$D$3:$D$1349,'Media&amp;EdByAEA,Nonpublic'!$D137,'Media&amp;EdByAEA,Dist,Nonpublic'!$E$3:$E$1349,'Media&amp;EdByAEA,Nonpublic'!$E137)</f>
        <v>25511.41</v>
      </c>
    </row>
    <row r="138" spans="1:7" x14ac:dyDescent="0.25">
      <c r="A138" s="82">
        <v>10</v>
      </c>
      <c r="B138" s="81" t="s">
        <v>1090</v>
      </c>
      <c r="C138" s="81" t="s">
        <v>801</v>
      </c>
      <c r="D138" s="82">
        <v>1053</v>
      </c>
      <c r="E138" s="82">
        <v>8117</v>
      </c>
      <c r="F138" s="35">
        <f>SUMIFS('Media&amp;EdByAEA,Dist,Nonpublic'!$L$3:$L$1349,'Media&amp;EdByAEA,Dist,Nonpublic'!$A$3:$A$1349,'Media&amp;EdByAEA,Nonpublic'!$A138,'Media&amp;EdByAEA,Dist,Nonpublic'!$D$3:$D$1349,'Media&amp;EdByAEA,Nonpublic'!$D138,'Media&amp;EdByAEA,Dist,Nonpublic'!$E$3:$E$1349,'Media&amp;EdByAEA,Nonpublic'!$E138)</f>
        <v>12996.119999999999</v>
      </c>
      <c r="G138" s="35">
        <f>SUMIFS('Media&amp;EdByAEA,Dist,Nonpublic'!$M$3:$M$1349,'Media&amp;EdByAEA,Dist,Nonpublic'!$A$3:$A$1349,'Media&amp;EdByAEA,Nonpublic'!$A138,'Media&amp;EdByAEA,Dist,Nonpublic'!$D$3:$D$1349,'Media&amp;EdByAEA,Nonpublic'!$D138,'Media&amp;EdByAEA,Dist,Nonpublic'!$E$3:$E$1349,'Media&amp;EdByAEA,Nonpublic'!$E138)</f>
        <v>14291.929999999998</v>
      </c>
    </row>
    <row r="139" spans="1:7" x14ac:dyDescent="0.25">
      <c r="A139" s="82">
        <v>10</v>
      </c>
      <c r="B139" s="81" t="s">
        <v>1090</v>
      </c>
      <c r="C139" s="81" t="s">
        <v>802</v>
      </c>
      <c r="D139" s="82">
        <v>1053</v>
      </c>
      <c r="E139" s="82">
        <v>8200</v>
      </c>
      <c r="F139" s="35">
        <f>SUMIFS('Media&amp;EdByAEA,Dist,Nonpublic'!$L$3:$L$1349,'Media&amp;EdByAEA,Dist,Nonpublic'!$A$3:$A$1349,'Media&amp;EdByAEA,Nonpublic'!$A139,'Media&amp;EdByAEA,Dist,Nonpublic'!$D$3:$D$1349,'Media&amp;EdByAEA,Nonpublic'!$D139,'Media&amp;EdByAEA,Dist,Nonpublic'!$E$3:$E$1349,'Media&amp;EdByAEA,Nonpublic'!$E139)</f>
        <v>7277.83</v>
      </c>
      <c r="G139" s="35">
        <f>SUMIFS('Media&amp;EdByAEA,Dist,Nonpublic'!$M$3:$M$1349,'Media&amp;EdByAEA,Dist,Nonpublic'!$A$3:$A$1349,'Media&amp;EdByAEA,Nonpublic'!$A139,'Media&amp;EdByAEA,Dist,Nonpublic'!$D$3:$D$1349,'Media&amp;EdByAEA,Nonpublic'!$D139,'Media&amp;EdByAEA,Dist,Nonpublic'!$E$3:$E$1349,'Media&amp;EdByAEA,Nonpublic'!$E139)</f>
        <v>8003.61</v>
      </c>
    </row>
    <row r="140" spans="1:7" x14ac:dyDescent="0.25">
      <c r="A140" s="82">
        <v>10</v>
      </c>
      <c r="B140" s="81" t="s">
        <v>1090</v>
      </c>
      <c r="C140" s="81" t="s">
        <v>784</v>
      </c>
      <c r="D140" s="82">
        <v>1053</v>
      </c>
      <c r="E140" s="82">
        <v>8214</v>
      </c>
      <c r="F140" s="35">
        <f>SUMIFS('Media&amp;EdByAEA,Dist,Nonpublic'!$L$3:$L$1349,'Media&amp;EdByAEA,Dist,Nonpublic'!$A$3:$A$1349,'Media&amp;EdByAEA,Nonpublic'!$A140,'Media&amp;EdByAEA,Dist,Nonpublic'!$D$3:$D$1349,'Media&amp;EdByAEA,Nonpublic'!$D140,'Media&amp;EdByAEA,Dist,Nonpublic'!$E$3:$E$1349,'Media&amp;EdByAEA,Nonpublic'!$E140)</f>
        <v>12411.25</v>
      </c>
      <c r="G140" s="35">
        <f>SUMIFS('Media&amp;EdByAEA,Dist,Nonpublic'!$M$3:$M$1349,'Media&amp;EdByAEA,Dist,Nonpublic'!$A$3:$A$1349,'Media&amp;EdByAEA,Nonpublic'!$A140,'Media&amp;EdByAEA,Dist,Nonpublic'!$D$3:$D$1349,'Media&amp;EdByAEA,Nonpublic'!$D140,'Media&amp;EdByAEA,Dist,Nonpublic'!$E$3:$E$1349,'Media&amp;EdByAEA,Nonpublic'!$E140)</f>
        <v>13648.839999999998</v>
      </c>
    </row>
    <row r="141" spans="1:7" x14ac:dyDescent="0.25">
      <c r="A141" s="82">
        <v>10</v>
      </c>
      <c r="B141" s="81" t="s">
        <v>1090</v>
      </c>
      <c r="C141" s="81" t="s">
        <v>803</v>
      </c>
      <c r="D141" s="82">
        <v>1053</v>
      </c>
      <c r="E141" s="82">
        <v>8216</v>
      </c>
      <c r="F141" s="35">
        <f>SUMIFS('Media&amp;EdByAEA,Dist,Nonpublic'!$L$3:$L$1349,'Media&amp;EdByAEA,Dist,Nonpublic'!$A$3:$A$1349,'Media&amp;EdByAEA,Nonpublic'!$A141,'Media&amp;EdByAEA,Dist,Nonpublic'!$D$3:$D$1349,'Media&amp;EdByAEA,Nonpublic'!$D141,'Media&amp;EdByAEA,Dist,Nonpublic'!$E$3:$E$1349,'Media&amp;EdByAEA,Nonpublic'!$E141)</f>
        <v>19624.169999999998</v>
      </c>
      <c r="G141" s="35">
        <f>SUMIFS('Media&amp;EdByAEA,Dist,Nonpublic'!$M$3:$M$1349,'Media&amp;EdByAEA,Dist,Nonpublic'!$A$3:$A$1349,'Media&amp;EdByAEA,Nonpublic'!$A141,'Media&amp;EdByAEA,Dist,Nonpublic'!$D$3:$D$1349,'Media&amp;EdByAEA,Nonpublic'!$D141,'Media&amp;EdByAEA,Dist,Nonpublic'!$E$3:$E$1349,'Media&amp;EdByAEA,Nonpublic'!$E141)</f>
        <v>21581.159999999996</v>
      </c>
    </row>
    <row r="142" spans="1:7" x14ac:dyDescent="0.25">
      <c r="A142" s="82">
        <v>10</v>
      </c>
      <c r="B142" s="81" t="s">
        <v>1090</v>
      </c>
      <c r="C142" s="81" t="s">
        <v>804</v>
      </c>
      <c r="D142" s="82">
        <v>1053</v>
      </c>
      <c r="E142" s="82">
        <v>8217</v>
      </c>
      <c r="F142" s="35">
        <f>SUMIFS('Media&amp;EdByAEA,Dist,Nonpublic'!$L$3:$L$1349,'Media&amp;EdByAEA,Dist,Nonpublic'!$A$3:$A$1349,'Media&amp;EdByAEA,Nonpublic'!$A142,'Media&amp;EdByAEA,Dist,Nonpublic'!$D$3:$D$1349,'Media&amp;EdByAEA,Nonpublic'!$D142,'Media&amp;EdByAEA,Dist,Nonpublic'!$E$3:$E$1349,'Media&amp;EdByAEA,Nonpublic'!$E142)</f>
        <v>10916.72</v>
      </c>
      <c r="G142" s="35">
        <f>SUMIFS('Media&amp;EdByAEA,Dist,Nonpublic'!$M$3:$M$1349,'Media&amp;EdByAEA,Dist,Nonpublic'!$A$3:$A$1349,'Media&amp;EdByAEA,Nonpublic'!$A142,'Media&amp;EdByAEA,Dist,Nonpublic'!$D$3:$D$1349,'Media&amp;EdByAEA,Nonpublic'!$D142,'Media&amp;EdByAEA,Dist,Nonpublic'!$E$3:$E$1349,'Media&amp;EdByAEA,Nonpublic'!$E142)</f>
        <v>12005.27</v>
      </c>
    </row>
    <row r="143" spans="1:7" x14ac:dyDescent="0.25">
      <c r="A143" s="82">
        <v>10</v>
      </c>
      <c r="B143" s="81" t="s">
        <v>1090</v>
      </c>
      <c r="C143" s="81" t="s">
        <v>805</v>
      </c>
      <c r="D143" s="82">
        <v>1053</v>
      </c>
      <c r="E143" s="82">
        <v>8220</v>
      </c>
      <c r="F143" s="35">
        <f>SUMIFS('Media&amp;EdByAEA,Dist,Nonpublic'!$L$3:$L$1349,'Media&amp;EdByAEA,Dist,Nonpublic'!$A$3:$A$1349,'Media&amp;EdByAEA,Nonpublic'!$A143,'Media&amp;EdByAEA,Dist,Nonpublic'!$D$3:$D$1349,'Media&amp;EdByAEA,Nonpublic'!$D143,'Media&amp;EdByAEA,Dist,Nonpublic'!$E$3:$E$1349,'Media&amp;EdByAEA,Nonpublic'!$E143)</f>
        <v>25667.53</v>
      </c>
      <c r="G143" s="35">
        <f>SUMIFS('Media&amp;EdByAEA,Dist,Nonpublic'!$M$3:$M$1349,'Media&amp;EdByAEA,Dist,Nonpublic'!$A$3:$A$1349,'Media&amp;EdByAEA,Nonpublic'!$A143,'Media&amp;EdByAEA,Dist,Nonpublic'!$D$3:$D$1349,'Media&amp;EdByAEA,Nonpublic'!$D143,'Media&amp;EdByAEA,Dist,Nonpublic'!$E$3:$E$1349,'Media&amp;EdByAEA,Nonpublic'!$E143)</f>
        <v>28226.800000000003</v>
      </c>
    </row>
    <row r="144" spans="1:7" x14ac:dyDescent="0.25">
      <c r="A144" s="82">
        <v>10</v>
      </c>
      <c r="B144" s="81" t="s">
        <v>1090</v>
      </c>
      <c r="C144" s="81" t="s">
        <v>814</v>
      </c>
      <c r="D144" s="82">
        <v>1278</v>
      </c>
      <c r="E144" s="82">
        <v>8130</v>
      </c>
      <c r="F144" s="35">
        <f>SUMIFS('Media&amp;EdByAEA,Dist,Nonpublic'!$L$3:$L$1349,'Media&amp;EdByAEA,Dist,Nonpublic'!$A$3:$A$1349,'Media&amp;EdByAEA,Nonpublic'!$A144,'Media&amp;EdByAEA,Dist,Nonpublic'!$D$3:$D$1349,'Media&amp;EdByAEA,Nonpublic'!$D144,'Media&amp;EdByAEA,Dist,Nonpublic'!$E$3:$E$1349,'Media&amp;EdByAEA,Nonpublic'!$E144)</f>
        <v>64.98</v>
      </c>
      <c r="G144" s="35">
        <f>SUMIFS('Media&amp;EdByAEA,Dist,Nonpublic'!$M$3:$M$1349,'Media&amp;EdByAEA,Dist,Nonpublic'!$A$3:$A$1349,'Media&amp;EdByAEA,Nonpublic'!$A144,'Media&amp;EdByAEA,Dist,Nonpublic'!$D$3:$D$1349,'Media&amp;EdByAEA,Nonpublic'!$D144,'Media&amp;EdByAEA,Dist,Nonpublic'!$E$3:$E$1349,'Media&amp;EdByAEA,Nonpublic'!$E144)</f>
        <v>71.459999999999994</v>
      </c>
    </row>
    <row r="145" spans="1:7" x14ac:dyDescent="0.25">
      <c r="A145" s="82">
        <v>10</v>
      </c>
      <c r="B145" s="81" t="s">
        <v>1090</v>
      </c>
      <c r="C145" s="81" t="s">
        <v>818</v>
      </c>
      <c r="D145" s="82">
        <v>1611</v>
      </c>
      <c r="E145" s="82">
        <v>8101</v>
      </c>
      <c r="F145" s="35">
        <f>SUMIFS('Media&amp;EdByAEA,Dist,Nonpublic'!$L$3:$L$1349,'Media&amp;EdByAEA,Dist,Nonpublic'!$A$3:$A$1349,'Media&amp;EdByAEA,Nonpublic'!$A145,'Media&amp;EdByAEA,Dist,Nonpublic'!$D$3:$D$1349,'Media&amp;EdByAEA,Nonpublic'!$D145,'Media&amp;EdByAEA,Dist,Nonpublic'!$E$3:$E$1349,'Media&amp;EdByAEA,Nonpublic'!$E145)</f>
        <v>65</v>
      </c>
      <c r="G145" s="35">
        <f>SUMIFS('Media&amp;EdByAEA,Dist,Nonpublic'!$M$3:$M$1349,'Media&amp;EdByAEA,Dist,Nonpublic'!$A$3:$A$1349,'Media&amp;EdByAEA,Nonpublic'!$A145,'Media&amp;EdByAEA,Dist,Nonpublic'!$D$3:$D$1349,'Media&amp;EdByAEA,Nonpublic'!$D145,'Media&amp;EdByAEA,Dist,Nonpublic'!$E$3:$E$1349,'Media&amp;EdByAEA,Nonpublic'!$E145)</f>
        <v>71.5</v>
      </c>
    </row>
    <row r="146" spans="1:7" x14ac:dyDescent="0.25">
      <c r="A146" s="82">
        <v>10</v>
      </c>
      <c r="B146" s="81" t="s">
        <v>1090</v>
      </c>
      <c r="C146" s="81" t="s">
        <v>820</v>
      </c>
      <c r="D146" s="82">
        <v>1611</v>
      </c>
      <c r="E146" s="82">
        <v>8109</v>
      </c>
      <c r="F146" s="35">
        <f>SUMIFS('Media&amp;EdByAEA,Dist,Nonpublic'!$L$3:$L$1349,'Media&amp;EdByAEA,Dist,Nonpublic'!$A$3:$A$1349,'Media&amp;EdByAEA,Nonpublic'!$A146,'Media&amp;EdByAEA,Dist,Nonpublic'!$D$3:$D$1349,'Media&amp;EdByAEA,Nonpublic'!$D146,'Media&amp;EdByAEA,Dist,Nonpublic'!$E$3:$E$1349,'Media&amp;EdByAEA,Nonpublic'!$E146)</f>
        <v>65</v>
      </c>
      <c r="G146" s="35">
        <f>SUMIFS('Media&amp;EdByAEA,Dist,Nonpublic'!$M$3:$M$1349,'Media&amp;EdByAEA,Dist,Nonpublic'!$A$3:$A$1349,'Media&amp;EdByAEA,Nonpublic'!$A146,'Media&amp;EdByAEA,Dist,Nonpublic'!$D$3:$D$1349,'Media&amp;EdByAEA,Nonpublic'!$D146,'Media&amp;EdByAEA,Dist,Nonpublic'!$E$3:$E$1349,'Media&amp;EdByAEA,Nonpublic'!$E146)</f>
        <v>71.36</v>
      </c>
    </row>
    <row r="147" spans="1:7" x14ac:dyDescent="0.25">
      <c r="A147" s="82">
        <v>10</v>
      </c>
      <c r="B147" s="81" t="s">
        <v>1090</v>
      </c>
      <c r="C147" s="81" t="s">
        <v>784</v>
      </c>
      <c r="D147" s="82">
        <v>1611</v>
      </c>
      <c r="E147" s="82">
        <v>8212</v>
      </c>
      <c r="F147" s="35">
        <f>SUMIFS('Media&amp;EdByAEA,Dist,Nonpublic'!$L$3:$L$1349,'Media&amp;EdByAEA,Dist,Nonpublic'!$A$3:$A$1349,'Media&amp;EdByAEA,Nonpublic'!$A147,'Media&amp;EdByAEA,Dist,Nonpublic'!$D$3:$D$1349,'Media&amp;EdByAEA,Nonpublic'!$D147,'Media&amp;EdByAEA,Dist,Nonpublic'!$E$3:$E$1349,'Media&amp;EdByAEA,Nonpublic'!$E147)</f>
        <v>130</v>
      </c>
      <c r="G147" s="35">
        <f>SUMIFS('Media&amp;EdByAEA,Dist,Nonpublic'!$M$3:$M$1349,'Media&amp;EdByAEA,Dist,Nonpublic'!$A$3:$A$1349,'Media&amp;EdByAEA,Nonpublic'!$A147,'Media&amp;EdByAEA,Dist,Nonpublic'!$D$3:$D$1349,'Media&amp;EdByAEA,Nonpublic'!$D147,'Media&amp;EdByAEA,Dist,Nonpublic'!$E$3:$E$1349,'Media&amp;EdByAEA,Nonpublic'!$E147)</f>
        <v>142.66999999999999</v>
      </c>
    </row>
    <row r="148" spans="1:7" x14ac:dyDescent="0.25">
      <c r="A148" s="82">
        <v>10</v>
      </c>
      <c r="B148" s="81" t="s">
        <v>1090</v>
      </c>
      <c r="C148" s="81" t="s">
        <v>868</v>
      </c>
      <c r="D148" s="82">
        <v>3141</v>
      </c>
      <c r="E148" s="82">
        <v>8102</v>
      </c>
      <c r="F148" s="35">
        <f>SUMIFS('Media&amp;EdByAEA,Dist,Nonpublic'!$L$3:$L$1349,'Media&amp;EdByAEA,Dist,Nonpublic'!$A$3:$A$1349,'Media&amp;EdByAEA,Nonpublic'!$A148,'Media&amp;EdByAEA,Dist,Nonpublic'!$D$3:$D$1349,'Media&amp;EdByAEA,Nonpublic'!$D148,'Media&amp;EdByAEA,Dist,Nonpublic'!$E$3:$E$1349,'Media&amp;EdByAEA,Nonpublic'!$E148)</f>
        <v>4093.72</v>
      </c>
      <c r="G148" s="35">
        <f>SUMIFS('Media&amp;EdByAEA,Dist,Nonpublic'!$M$3:$M$1349,'Media&amp;EdByAEA,Dist,Nonpublic'!$A$3:$A$1349,'Media&amp;EdByAEA,Nonpublic'!$A148,'Media&amp;EdByAEA,Dist,Nonpublic'!$D$3:$D$1349,'Media&amp;EdByAEA,Nonpublic'!$D148,'Media&amp;EdByAEA,Dist,Nonpublic'!$E$3:$E$1349,'Media&amp;EdByAEA,Nonpublic'!$E148)</f>
        <v>4501.99</v>
      </c>
    </row>
    <row r="149" spans="1:7" x14ac:dyDescent="0.25">
      <c r="A149" s="82">
        <v>10</v>
      </c>
      <c r="B149" s="81" t="s">
        <v>1090</v>
      </c>
      <c r="C149" s="81" t="s">
        <v>869</v>
      </c>
      <c r="D149" s="82">
        <v>3141</v>
      </c>
      <c r="E149" s="82">
        <v>8103</v>
      </c>
      <c r="F149" s="35">
        <f>SUMIFS('Media&amp;EdByAEA,Dist,Nonpublic'!$L$3:$L$1349,'Media&amp;EdByAEA,Dist,Nonpublic'!$A$3:$A$1349,'Media&amp;EdByAEA,Nonpublic'!$A149,'Media&amp;EdByAEA,Dist,Nonpublic'!$D$3:$D$1349,'Media&amp;EdByAEA,Nonpublic'!$D149,'Media&amp;EdByAEA,Dist,Nonpublic'!$E$3:$E$1349,'Media&amp;EdByAEA,Nonpublic'!$E149)</f>
        <v>7537.66</v>
      </c>
      <c r="G149" s="35">
        <f>SUMIFS('Media&amp;EdByAEA,Dist,Nonpublic'!$M$3:$M$1349,'Media&amp;EdByAEA,Dist,Nonpublic'!$A$3:$A$1349,'Media&amp;EdByAEA,Nonpublic'!$A149,'Media&amp;EdByAEA,Dist,Nonpublic'!$D$3:$D$1349,'Media&amp;EdByAEA,Nonpublic'!$D149,'Media&amp;EdByAEA,Dist,Nonpublic'!$E$3:$E$1349,'Media&amp;EdByAEA,Nonpublic'!$E149)</f>
        <v>8289.39</v>
      </c>
    </row>
    <row r="150" spans="1:7" x14ac:dyDescent="0.25">
      <c r="A150" s="82">
        <v>10</v>
      </c>
      <c r="B150" s="81" t="s">
        <v>1090</v>
      </c>
      <c r="C150" s="81" t="s">
        <v>870</v>
      </c>
      <c r="D150" s="82">
        <v>3141</v>
      </c>
      <c r="E150" s="82">
        <v>8104</v>
      </c>
      <c r="F150" s="35">
        <f>SUMIFS('Media&amp;EdByAEA,Dist,Nonpublic'!$L$3:$L$1349,'Media&amp;EdByAEA,Dist,Nonpublic'!$A$3:$A$1349,'Media&amp;EdByAEA,Nonpublic'!$A150,'Media&amp;EdByAEA,Dist,Nonpublic'!$D$3:$D$1349,'Media&amp;EdByAEA,Nonpublic'!$D150,'Media&amp;EdByAEA,Dist,Nonpublic'!$E$3:$E$1349,'Media&amp;EdByAEA,Nonpublic'!$E150)</f>
        <v>26381.98</v>
      </c>
      <c r="G150" s="35">
        <f>SUMIFS('Media&amp;EdByAEA,Dist,Nonpublic'!$M$3:$M$1349,'Media&amp;EdByAEA,Dist,Nonpublic'!$A$3:$A$1349,'Media&amp;EdByAEA,Nonpublic'!$A150,'Media&amp;EdByAEA,Dist,Nonpublic'!$D$3:$D$1349,'Media&amp;EdByAEA,Nonpublic'!$D150,'Media&amp;EdByAEA,Dist,Nonpublic'!$E$3:$E$1349,'Media&amp;EdByAEA,Nonpublic'!$E150)</f>
        <v>29012.959999999999</v>
      </c>
    </row>
    <row r="151" spans="1:7" x14ac:dyDescent="0.25">
      <c r="A151" s="82">
        <v>10</v>
      </c>
      <c r="B151" s="81" t="s">
        <v>1090</v>
      </c>
      <c r="C151" s="81" t="s">
        <v>871</v>
      </c>
      <c r="D151" s="82">
        <v>3141</v>
      </c>
      <c r="E151" s="82">
        <v>8106</v>
      </c>
      <c r="F151" s="35">
        <f>SUMIFS('Media&amp;EdByAEA,Dist,Nonpublic'!$L$3:$L$1349,'Media&amp;EdByAEA,Dist,Nonpublic'!$A$3:$A$1349,'Media&amp;EdByAEA,Nonpublic'!$A151,'Media&amp;EdByAEA,Dist,Nonpublic'!$D$3:$D$1349,'Media&amp;EdByAEA,Nonpublic'!$D151,'Media&amp;EdByAEA,Dist,Nonpublic'!$E$3:$E$1349,'Media&amp;EdByAEA,Nonpublic'!$E151)</f>
        <v>13970.820000000002</v>
      </c>
      <c r="G151" s="35">
        <f>SUMIFS('Media&amp;EdByAEA,Dist,Nonpublic'!$M$3:$M$1349,'Media&amp;EdByAEA,Dist,Nonpublic'!$A$3:$A$1349,'Media&amp;EdByAEA,Nonpublic'!$A151,'Media&amp;EdByAEA,Dist,Nonpublic'!$D$3:$D$1349,'Media&amp;EdByAEA,Nonpublic'!$D151,'Media&amp;EdByAEA,Dist,Nonpublic'!$E$3:$E$1349,'Media&amp;EdByAEA,Nonpublic'!$E151)</f>
        <v>15364.03</v>
      </c>
    </row>
    <row r="152" spans="1:7" x14ac:dyDescent="0.25">
      <c r="A152" s="82">
        <v>10</v>
      </c>
      <c r="B152" s="81" t="s">
        <v>1090</v>
      </c>
      <c r="C152" s="81" t="s">
        <v>872</v>
      </c>
      <c r="D152" s="82">
        <v>3141</v>
      </c>
      <c r="E152" s="82">
        <v>8108</v>
      </c>
      <c r="F152" s="35">
        <f>SUMIFS('Media&amp;EdByAEA,Dist,Nonpublic'!$L$3:$L$1349,'Media&amp;EdByAEA,Dist,Nonpublic'!$A$3:$A$1349,'Media&amp;EdByAEA,Nonpublic'!$A152,'Media&amp;EdByAEA,Dist,Nonpublic'!$D$3:$D$1349,'Media&amp;EdByAEA,Nonpublic'!$D152,'Media&amp;EdByAEA,Dist,Nonpublic'!$E$3:$E$1349,'Media&amp;EdByAEA,Nonpublic'!$E152)</f>
        <v>34114.820000000007</v>
      </c>
      <c r="G152" s="35">
        <f>SUMIFS('Media&amp;EdByAEA,Dist,Nonpublic'!$M$3:$M$1349,'Media&amp;EdByAEA,Dist,Nonpublic'!$A$3:$A$1349,'Media&amp;EdByAEA,Nonpublic'!$A152,'Media&amp;EdByAEA,Dist,Nonpublic'!$D$3:$D$1349,'Media&amp;EdByAEA,Nonpublic'!$D152,'Media&amp;EdByAEA,Dist,Nonpublic'!$E$3:$E$1349,'Media&amp;EdByAEA,Nonpublic'!$E152)</f>
        <v>37516.969999999994</v>
      </c>
    </row>
    <row r="153" spans="1:7" x14ac:dyDescent="0.25">
      <c r="A153" s="82">
        <v>10</v>
      </c>
      <c r="B153" s="81" t="s">
        <v>1090</v>
      </c>
      <c r="C153" s="81" t="s">
        <v>873</v>
      </c>
      <c r="D153" s="82">
        <v>3141</v>
      </c>
      <c r="E153" s="82">
        <v>8121</v>
      </c>
      <c r="F153" s="35">
        <f>SUMIFS('Media&amp;EdByAEA,Dist,Nonpublic'!$L$3:$L$1349,'Media&amp;EdByAEA,Dist,Nonpublic'!$A$3:$A$1349,'Media&amp;EdByAEA,Nonpublic'!$A153,'Media&amp;EdByAEA,Dist,Nonpublic'!$D$3:$D$1349,'Media&amp;EdByAEA,Nonpublic'!$D153,'Media&amp;EdByAEA,Dist,Nonpublic'!$E$3:$E$1349,'Media&amp;EdByAEA,Nonpublic'!$E153)</f>
        <v>2339.29</v>
      </c>
      <c r="G153" s="35">
        <f>SUMIFS('Media&amp;EdByAEA,Dist,Nonpublic'!$M$3:$M$1349,'Media&amp;EdByAEA,Dist,Nonpublic'!$A$3:$A$1349,'Media&amp;EdByAEA,Nonpublic'!$A153,'Media&amp;EdByAEA,Dist,Nonpublic'!$D$3:$D$1349,'Media&amp;EdByAEA,Nonpublic'!$D153,'Media&amp;EdByAEA,Dist,Nonpublic'!$E$3:$E$1349,'Media&amp;EdByAEA,Nonpublic'!$E153)</f>
        <v>2572.1</v>
      </c>
    </row>
    <row r="154" spans="1:7" x14ac:dyDescent="0.25">
      <c r="A154" s="82">
        <v>10</v>
      </c>
      <c r="B154" s="81" t="s">
        <v>1090</v>
      </c>
      <c r="C154" s="81" t="s">
        <v>874</v>
      </c>
      <c r="D154" s="82">
        <v>3141</v>
      </c>
      <c r="E154" s="82">
        <v>8165</v>
      </c>
      <c r="F154" s="35">
        <f>SUMIFS('Media&amp;EdByAEA,Dist,Nonpublic'!$L$3:$L$1349,'Media&amp;EdByAEA,Dist,Nonpublic'!$A$3:$A$1349,'Media&amp;EdByAEA,Nonpublic'!$A154,'Media&amp;EdByAEA,Dist,Nonpublic'!$D$3:$D$1349,'Media&amp;EdByAEA,Nonpublic'!$D154,'Media&amp;EdByAEA,Dist,Nonpublic'!$E$3:$E$1349,'Media&amp;EdByAEA,Nonpublic'!$E154)</f>
        <v>2209.3000000000002</v>
      </c>
      <c r="G154" s="35">
        <f>SUMIFS('Media&amp;EdByAEA,Dist,Nonpublic'!$M$3:$M$1349,'Media&amp;EdByAEA,Dist,Nonpublic'!$A$3:$A$1349,'Media&amp;EdByAEA,Nonpublic'!$A154,'Media&amp;EdByAEA,Dist,Nonpublic'!$D$3:$D$1349,'Media&amp;EdByAEA,Nonpublic'!$D154,'Media&amp;EdByAEA,Dist,Nonpublic'!$E$3:$E$1349,'Media&amp;EdByAEA,Nonpublic'!$E154)</f>
        <v>2429.6200000000003</v>
      </c>
    </row>
    <row r="155" spans="1:7" x14ac:dyDescent="0.25">
      <c r="A155" s="82">
        <v>10</v>
      </c>
      <c r="B155" s="81" t="s">
        <v>1090</v>
      </c>
      <c r="C155" s="81" t="s">
        <v>875</v>
      </c>
      <c r="D155" s="82">
        <v>3141</v>
      </c>
      <c r="E155" s="82">
        <v>8167</v>
      </c>
      <c r="F155" s="35">
        <f>SUMIFS('Media&amp;EdByAEA,Dist,Nonpublic'!$L$3:$L$1349,'Media&amp;EdByAEA,Dist,Nonpublic'!$A$3:$A$1349,'Media&amp;EdByAEA,Nonpublic'!$A155,'Media&amp;EdByAEA,Dist,Nonpublic'!$D$3:$D$1349,'Media&amp;EdByAEA,Nonpublic'!$D155,'Media&amp;EdByAEA,Dist,Nonpublic'!$E$3:$E$1349,'Media&amp;EdByAEA,Nonpublic'!$E155)</f>
        <v>1819.52</v>
      </c>
      <c r="G155" s="35">
        <f>SUMIFS('Media&amp;EdByAEA,Dist,Nonpublic'!$M$3:$M$1349,'Media&amp;EdByAEA,Dist,Nonpublic'!$A$3:$A$1349,'Media&amp;EdByAEA,Nonpublic'!$A155,'Media&amp;EdByAEA,Dist,Nonpublic'!$D$3:$D$1349,'Media&amp;EdByAEA,Nonpublic'!$D155,'Media&amp;EdByAEA,Dist,Nonpublic'!$E$3:$E$1349,'Media&amp;EdByAEA,Nonpublic'!$E155)</f>
        <v>2000.95</v>
      </c>
    </row>
    <row r="156" spans="1:7" x14ac:dyDescent="0.25">
      <c r="A156" s="82">
        <v>10</v>
      </c>
      <c r="B156" s="81" t="s">
        <v>1090</v>
      </c>
      <c r="C156" s="81" t="s">
        <v>884</v>
      </c>
      <c r="D156" s="82">
        <v>3715</v>
      </c>
      <c r="E156" s="82">
        <v>8101</v>
      </c>
      <c r="F156" s="35">
        <f>SUMIFS('Media&amp;EdByAEA,Dist,Nonpublic'!$L$3:$L$1349,'Media&amp;EdByAEA,Dist,Nonpublic'!$A$3:$A$1349,'Media&amp;EdByAEA,Nonpublic'!$A156,'Media&amp;EdByAEA,Dist,Nonpublic'!$D$3:$D$1349,'Media&amp;EdByAEA,Nonpublic'!$D156,'Media&amp;EdByAEA,Dist,Nonpublic'!$E$3:$E$1349,'Media&amp;EdByAEA,Nonpublic'!$E156)</f>
        <v>909.73</v>
      </c>
      <c r="G156" s="35">
        <f>SUMIFS('Media&amp;EdByAEA,Dist,Nonpublic'!$M$3:$M$1349,'Media&amp;EdByAEA,Dist,Nonpublic'!$A$3:$A$1349,'Media&amp;EdByAEA,Nonpublic'!$A156,'Media&amp;EdByAEA,Dist,Nonpublic'!$D$3:$D$1349,'Media&amp;EdByAEA,Nonpublic'!$D156,'Media&amp;EdByAEA,Dist,Nonpublic'!$E$3:$E$1349,'Media&amp;EdByAEA,Nonpublic'!$E156)</f>
        <v>1000.4199999999998</v>
      </c>
    </row>
    <row r="157" spans="1:7" x14ac:dyDescent="0.25">
      <c r="A157" s="82">
        <v>10</v>
      </c>
      <c r="B157" s="81" t="s">
        <v>1090</v>
      </c>
      <c r="C157" s="81" t="s">
        <v>885</v>
      </c>
      <c r="D157" s="82">
        <v>3715</v>
      </c>
      <c r="E157" s="82">
        <v>8121</v>
      </c>
      <c r="F157" s="35">
        <f>SUMIFS('Media&amp;EdByAEA,Dist,Nonpublic'!$L$3:$L$1349,'Media&amp;EdByAEA,Dist,Nonpublic'!$A$3:$A$1349,'Media&amp;EdByAEA,Nonpublic'!$A157,'Media&amp;EdByAEA,Dist,Nonpublic'!$D$3:$D$1349,'Media&amp;EdByAEA,Nonpublic'!$D157,'Media&amp;EdByAEA,Dist,Nonpublic'!$E$3:$E$1349,'Media&amp;EdByAEA,Nonpublic'!$E157)</f>
        <v>5198.4399999999996</v>
      </c>
      <c r="G157" s="35">
        <f>SUMIFS('Media&amp;EdByAEA,Dist,Nonpublic'!$M$3:$M$1349,'Media&amp;EdByAEA,Dist,Nonpublic'!$A$3:$A$1349,'Media&amp;EdByAEA,Nonpublic'!$A157,'Media&amp;EdByAEA,Dist,Nonpublic'!$D$3:$D$1349,'Media&amp;EdByAEA,Nonpublic'!$D157,'Media&amp;EdByAEA,Dist,Nonpublic'!$E$3:$E$1349,'Media&amp;EdByAEA,Nonpublic'!$E157)</f>
        <v>5716.8</v>
      </c>
    </row>
    <row r="158" spans="1:7" x14ac:dyDescent="0.25">
      <c r="A158" s="82">
        <v>10</v>
      </c>
      <c r="B158" s="81" t="s">
        <v>1090</v>
      </c>
      <c r="C158" s="81" t="s">
        <v>783</v>
      </c>
      <c r="D158" s="82">
        <v>4041</v>
      </c>
      <c r="E158" s="82">
        <v>8108</v>
      </c>
      <c r="F158" s="35">
        <f>SUMIFS('Media&amp;EdByAEA,Dist,Nonpublic'!$L$3:$L$1349,'Media&amp;EdByAEA,Dist,Nonpublic'!$A$3:$A$1349,'Media&amp;EdByAEA,Nonpublic'!$A158,'Media&amp;EdByAEA,Dist,Nonpublic'!$D$3:$D$1349,'Media&amp;EdByAEA,Nonpublic'!$D158,'Media&amp;EdByAEA,Dist,Nonpublic'!$E$3:$E$1349,'Media&amp;EdByAEA,Nonpublic'!$E158)</f>
        <v>130</v>
      </c>
      <c r="G158" s="35">
        <f>SUMIFS('Media&amp;EdByAEA,Dist,Nonpublic'!$M$3:$M$1349,'Media&amp;EdByAEA,Dist,Nonpublic'!$A$3:$A$1349,'Media&amp;EdByAEA,Nonpublic'!$A158,'Media&amp;EdByAEA,Dist,Nonpublic'!$D$3:$D$1349,'Media&amp;EdByAEA,Nonpublic'!$D158,'Media&amp;EdByAEA,Dist,Nonpublic'!$E$3:$E$1349,'Media&amp;EdByAEA,Nonpublic'!$E158)</f>
        <v>143</v>
      </c>
    </row>
    <row r="159" spans="1:7" x14ac:dyDescent="0.25">
      <c r="A159" s="82">
        <v>10</v>
      </c>
      <c r="B159" s="81" t="s">
        <v>1090</v>
      </c>
      <c r="C159" s="81" t="s">
        <v>806</v>
      </c>
      <c r="D159" s="82">
        <v>4086</v>
      </c>
      <c r="E159" s="82">
        <v>8106</v>
      </c>
      <c r="F159" s="35">
        <f>SUMIFS('Media&amp;EdByAEA,Dist,Nonpublic'!$L$3:$L$1349,'Media&amp;EdByAEA,Dist,Nonpublic'!$A$3:$A$1349,'Media&amp;EdByAEA,Nonpublic'!$A159,'Media&amp;EdByAEA,Dist,Nonpublic'!$D$3:$D$1349,'Media&amp;EdByAEA,Nonpublic'!$D159,'Media&amp;EdByAEA,Dist,Nonpublic'!$E$3:$E$1349,'Media&amp;EdByAEA,Nonpublic'!$E159)</f>
        <v>13061.130000000001</v>
      </c>
      <c r="G159" s="35">
        <f>SUMIFS('Media&amp;EdByAEA,Dist,Nonpublic'!$M$3:$M$1349,'Media&amp;EdByAEA,Dist,Nonpublic'!$A$3:$A$1349,'Media&amp;EdByAEA,Nonpublic'!$A159,'Media&amp;EdByAEA,Dist,Nonpublic'!$D$3:$D$1349,'Media&amp;EdByAEA,Nonpublic'!$D159,'Media&amp;EdByAEA,Dist,Nonpublic'!$E$3:$E$1349,'Media&amp;EdByAEA,Nonpublic'!$E159)</f>
        <v>14363.840000000002</v>
      </c>
    </row>
    <row r="160" spans="1:7" x14ac:dyDescent="0.25">
      <c r="A160" s="82">
        <v>10</v>
      </c>
      <c r="B160" s="81" t="s">
        <v>1090</v>
      </c>
      <c r="C160" s="81" t="s">
        <v>895</v>
      </c>
      <c r="D160" s="82">
        <v>4271</v>
      </c>
      <c r="E160" s="82">
        <v>8106</v>
      </c>
      <c r="F160" s="35">
        <f>SUMIFS('Media&amp;EdByAEA,Dist,Nonpublic'!$L$3:$L$1349,'Media&amp;EdByAEA,Dist,Nonpublic'!$A$3:$A$1349,'Media&amp;EdByAEA,Nonpublic'!$A160,'Media&amp;EdByAEA,Dist,Nonpublic'!$D$3:$D$1349,'Media&amp;EdByAEA,Nonpublic'!$D160,'Media&amp;EdByAEA,Dist,Nonpublic'!$E$3:$E$1349,'Media&amp;EdByAEA,Nonpublic'!$E160)</f>
        <v>5393.5</v>
      </c>
      <c r="G160" s="35">
        <f>SUMIFS('Media&amp;EdByAEA,Dist,Nonpublic'!$M$3:$M$1349,'Media&amp;EdByAEA,Dist,Nonpublic'!$A$3:$A$1349,'Media&amp;EdByAEA,Nonpublic'!$A160,'Media&amp;EdByAEA,Dist,Nonpublic'!$D$3:$D$1349,'Media&amp;EdByAEA,Nonpublic'!$D160,'Media&amp;EdByAEA,Dist,Nonpublic'!$E$3:$E$1349,'Media&amp;EdByAEA,Nonpublic'!$E160)</f>
        <v>5930.9400000000005</v>
      </c>
    </row>
    <row r="161" spans="1:7" x14ac:dyDescent="0.25">
      <c r="A161" s="82">
        <v>10</v>
      </c>
      <c r="B161" s="81" t="s">
        <v>1090</v>
      </c>
      <c r="C161" s="81" t="s">
        <v>896</v>
      </c>
      <c r="D161" s="82">
        <v>4271</v>
      </c>
      <c r="E161" s="82">
        <v>8506</v>
      </c>
      <c r="F161" s="35">
        <f>SUMIFS('Media&amp;EdByAEA,Dist,Nonpublic'!$L$3:$L$1349,'Media&amp;EdByAEA,Dist,Nonpublic'!$A$3:$A$1349,'Media&amp;EdByAEA,Nonpublic'!$A161,'Media&amp;EdByAEA,Dist,Nonpublic'!$D$3:$D$1349,'Media&amp;EdByAEA,Nonpublic'!$D161,'Media&amp;EdByAEA,Dist,Nonpublic'!$E$3:$E$1349,'Media&amp;EdByAEA,Nonpublic'!$E161)</f>
        <v>10397.099999999999</v>
      </c>
      <c r="G161" s="35">
        <f>SUMIFS('Media&amp;EdByAEA,Dist,Nonpublic'!$M$3:$M$1349,'Media&amp;EdByAEA,Dist,Nonpublic'!$A$3:$A$1349,'Media&amp;EdByAEA,Nonpublic'!$A161,'Media&amp;EdByAEA,Dist,Nonpublic'!$D$3:$D$1349,'Media&amp;EdByAEA,Nonpublic'!$D161,'Media&amp;EdByAEA,Dist,Nonpublic'!$E$3:$E$1349,'Media&amp;EdByAEA,Nonpublic'!$E161)</f>
        <v>11433.35</v>
      </c>
    </row>
    <row r="162" spans="1:7" x14ac:dyDescent="0.25">
      <c r="A162" s="82">
        <v>10</v>
      </c>
      <c r="B162" s="81" t="s">
        <v>1090</v>
      </c>
      <c r="C162" s="81" t="s">
        <v>897</v>
      </c>
      <c r="D162" s="82">
        <v>4446</v>
      </c>
      <c r="E162" s="82">
        <v>8106</v>
      </c>
      <c r="F162" s="35">
        <f>SUMIFS('Media&amp;EdByAEA,Dist,Nonpublic'!$L$3:$L$1349,'Media&amp;EdByAEA,Dist,Nonpublic'!$A$3:$A$1349,'Media&amp;EdByAEA,Nonpublic'!$A162,'Media&amp;EdByAEA,Dist,Nonpublic'!$D$3:$D$1349,'Media&amp;EdByAEA,Nonpublic'!$D162,'Media&amp;EdByAEA,Dist,Nonpublic'!$E$3:$E$1349,'Media&amp;EdByAEA,Nonpublic'!$E162)</f>
        <v>2274.2399999999998</v>
      </c>
      <c r="G162" s="35">
        <f>SUMIFS('Media&amp;EdByAEA,Dist,Nonpublic'!$M$3:$M$1349,'Media&amp;EdByAEA,Dist,Nonpublic'!$A$3:$A$1349,'Media&amp;EdByAEA,Nonpublic'!$A162,'Media&amp;EdByAEA,Dist,Nonpublic'!$D$3:$D$1349,'Media&amp;EdByAEA,Nonpublic'!$D162,'Media&amp;EdByAEA,Dist,Nonpublic'!$E$3:$E$1349,'Media&amp;EdByAEA,Nonpublic'!$E162)</f>
        <v>2500.98</v>
      </c>
    </row>
    <row r="163" spans="1:7" x14ac:dyDescent="0.25">
      <c r="A163" s="82">
        <v>10</v>
      </c>
      <c r="B163" s="81" t="s">
        <v>1090</v>
      </c>
      <c r="C163" s="81" t="s">
        <v>898</v>
      </c>
      <c r="D163" s="82">
        <v>4581</v>
      </c>
      <c r="E163" s="82">
        <v>8103</v>
      </c>
      <c r="F163" s="35">
        <f>SUMIFS('Media&amp;EdByAEA,Dist,Nonpublic'!$L$3:$L$1349,'Media&amp;EdByAEA,Dist,Nonpublic'!$A$3:$A$1349,'Media&amp;EdByAEA,Nonpublic'!$A163,'Media&amp;EdByAEA,Dist,Nonpublic'!$D$3:$D$1349,'Media&amp;EdByAEA,Nonpublic'!$D163,'Media&amp;EdByAEA,Dist,Nonpublic'!$E$3:$E$1349,'Media&amp;EdByAEA,Nonpublic'!$E163)</f>
        <v>64.98</v>
      </c>
      <c r="G163" s="35">
        <f>SUMIFS('Media&amp;EdByAEA,Dist,Nonpublic'!$M$3:$M$1349,'Media&amp;EdByAEA,Dist,Nonpublic'!$A$3:$A$1349,'Media&amp;EdByAEA,Nonpublic'!$A163,'Media&amp;EdByAEA,Dist,Nonpublic'!$D$3:$D$1349,'Media&amp;EdByAEA,Nonpublic'!$D163,'Media&amp;EdByAEA,Dist,Nonpublic'!$E$3:$E$1349,'Media&amp;EdByAEA,Nonpublic'!$E163)</f>
        <v>71.459999999999994</v>
      </c>
    </row>
    <row r="164" spans="1:7" x14ac:dyDescent="0.25">
      <c r="A164" s="82">
        <v>10</v>
      </c>
      <c r="B164" s="81" t="s">
        <v>1090</v>
      </c>
      <c r="C164" s="81" t="s">
        <v>937</v>
      </c>
      <c r="D164" s="82">
        <v>6768</v>
      </c>
      <c r="E164" s="82">
        <v>8103</v>
      </c>
      <c r="F164" s="35">
        <f>SUMIFS('Media&amp;EdByAEA,Dist,Nonpublic'!$L$3:$L$1349,'Media&amp;EdByAEA,Dist,Nonpublic'!$A$3:$A$1349,'Media&amp;EdByAEA,Nonpublic'!$A164,'Media&amp;EdByAEA,Dist,Nonpublic'!$D$3:$D$1349,'Media&amp;EdByAEA,Nonpublic'!$D164,'Media&amp;EdByAEA,Dist,Nonpublic'!$E$3:$E$1349,'Media&amp;EdByAEA,Nonpublic'!$E164)</f>
        <v>6303.3</v>
      </c>
      <c r="G164" s="35">
        <f>SUMIFS('Media&amp;EdByAEA,Dist,Nonpublic'!$M$3:$M$1349,'Media&amp;EdByAEA,Dist,Nonpublic'!$A$3:$A$1349,'Media&amp;EdByAEA,Nonpublic'!$A164,'Media&amp;EdByAEA,Dist,Nonpublic'!$D$3:$D$1349,'Media&amp;EdByAEA,Nonpublic'!$D164,'Media&amp;EdByAEA,Dist,Nonpublic'!$E$3:$E$1349,'Media&amp;EdByAEA,Nonpublic'!$E164)</f>
        <v>6931.54</v>
      </c>
    </row>
    <row r="165" spans="1:7" x14ac:dyDescent="0.25">
      <c r="A165" s="82">
        <v>10</v>
      </c>
      <c r="B165" s="81" t="s">
        <v>1090</v>
      </c>
      <c r="C165" s="81" t="s">
        <v>949</v>
      </c>
      <c r="D165" s="82">
        <v>6930</v>
      </c>
      <c r="E165" s="82">
        <v>8503</v>
      </c>
      <c r="F165" s="35">
        <f>SUMIFS('Media&amp;EdByAEA,Dist,Nonpublic'!$L$3:$L$1349,'Media&amp;EdByAEA,Dist,Nonpublic'!$A$3:$A$1349,'Media&amp;EdByAEA,Nonpublic'!$A165,'Media&amp;EdByAEA,Dist,Nonpublic'!$D$3:$D$1349,'Media&amp;EdByAEA,Nonpublic'!$D165,'Media&amp;EdByAEA,Dist,Nonpublic'!$E$3:$E$1349,'Media&amp;EdByAEA,Nonpublic'!$E165)</f>
        <v>1364.64</v>
      </c>
      <c r="G165" s="35">
        <f>SUMIFS('Media&amp;EdByAEA,Dist,Nonpublic'!$M$3:$M$1349,'Media&amp;EdByAEA,Dist,Nonpublic'!$A$3:$A$1349,'Media&amp;EdByAEA,Nonpublic'!$A165,'Media&amp;EdByAEA,Dist,Nonpublic'!$D$3:$D$1349,'Media&amp;EdByAEA,Nonpublic'!$D165,'Media&amp;EdByAEA,Dist,Nonpublic'!$E$3:$E$1349,'Media&amp;EdByAEA,Nonpublic'!$E165)</f>
        <v>1500.6800000000003</v>
      </c>
    </row>
    <row r="166" spans="1:7" x14ac:dyDescent="0.25">
      <c r="A166" s="82">
        <v>10</v>
      </c>
      <c r="B166" s="81" t="s">
        <v>1090</v>
      </c>
      <c r="C166" s="81" t="s">
        <v>950</v>
      </c>
      <c r="D166" s="82">
        <v>6950</v>
      </c>
      <c r="E166" s="82">
        <v>8104</v>
      </c>
      <c r="F166" s="35">
        <f>SUMIFS('Media&amp;EdByAEA,Dist,Nonpublic'!$L$3:$L$1349,'Media&amp;EdByAEA,Dist,Nonpublic'!$A$3:$A$1349,'Media&amp;EdByAEA,Nonpublic'!$A166,'Media&amp;EdByAEA,Dist,Nonpublic'!$D$3:$D$1349,'Media&amp;EdByAEA,Nonpublic'!$D166,'Media&amp;EdByAEA,Dist,Nonpublic'!$E$3:$E$1349,'Media&amp;EdByAEA,Nonpublic'!$E166)</f>
        <v>130</v>
      </c>
      <c r="G166" s="35">
        <f>SUMIFS('Media&amp;EdByAEA,Dist,Nonpublic'!$M$3:$M$1349,'Media&amp;EdByAEA,Dist,Nonpublic'!$A$3:$A$1349,'Media&amp;EdByAEA,Nonpublic'!$A166,'Media&amp;EdByAEA,Dist,Nonpublic'!$D$3:$D$1349,'Media&amp;EdByAEA,Nonpublic'!$D166,'Media&amp;EdByAEA,Dist,Nonpublic'!$E$3:$E$1349,'Media&amp;EdByAEA,Nonpublic'!$E166)</f>
        <v>142.80000000000001</v>
      </c>
    </row>
    <row r="167" spans="1:7" x14ac:dyDescent="0.25">
      <c r="A167" s="82">
        <v>10</v>
      </c>
      <c r="B167" s="81" t="s">
        <v>1090</v>
      </c>
      <c r="C167" s="81" t="s">
        <v>952</v>
      </c>
      <c r="D167" s="82">
        <v>6957</v>
      </c>
      <c r="E167" s="82">
        <v>8106</v>
      </c>
      <c r="F167" s="35">
        <f>SUMIFS('Media&amp;EdByAEA,Dist,Nonpublic'!$L$3:$L$1349,'Media&amp;EdByAEA,Dist,Nonpublic'!$A$3:$A$1349,'Media&amp;EdByAEA,Nonpublic'!$A167,'Media&amp;EdByAEA,Dist,Nonpublic'!$D$3:$D$1349,'Media&amp;EdByAEA,Nonpublic'!$D167,'Media&amp;EdByAEA,Dist,Nonpublic'!$E$3:$E$1349,'Media&amp;EdByAEA,Nonpublic'!$E167)</f>
        <v>714.78</v>
      </c>
      <c r="G167" s="35">
        <f>SUMIFS('Media&amp;EdByAEA,Dist,Nonpublic'!$M$3:$M$1349,'Media&amp;EdByAEA,Dist,Nonpublic'!$A$3:$A$1349,'Media&amp;EdByAEA,Nonpublic'!$A167,'Media&amp;EdByAEA,Dist,Nonpublic'!$D$3:$D$1349,'Media&amp;EdByAEA,Nonpublic'!$D167,'Media&amp;EdByAEA,Dist,Nonpublic'!$E$3:$E$1349,'Media&amp;EdByAEA,Nonpublic'!$E167)</f>
        <v>786.06</v>
      </c>
    </row>
    <row r="168" spans="1:7" x14ac:dyDescent="0.25">
      <c r="A168" s="82">
        <v>10</v>
      </c>
      <c r="B168" s="81" t="s">
        <v>1090</v>
      </c>
      <c r="C168" s="81" t="s">
        <v>953</v>
      </c>
      <c r="D168" s="82">
        <v>6961</v>
      </c>
      <c r="E168" s="82">
        <v>8103</v>
      </c>
      <c r="F168" s="35">
        <f>SUMIFS('Media&amp;EdByAEA,Dist,Nonpublic'!$L$3:$L$1349,'Media&amp;EdByAEA,Dist,Nonpublic'!$A$3:$A$1349,'Media&amp;EdByAEA,Nonpublic'!$A168,'Media&amp;EdByAEA,Dist,Nonpublic'!$D$3:$D$1349,'Media&amp;EdByAEA,Nonpublic'!$D168,'Media&amp;EdByAEA,Dist,Nonpublic'!$E$3:$E$1349,'Media&amp;EdByAEA,Nonpublic'!$E168)</f>
        <v>64.98</v>
      </c>
      <c r="G168" s="35">
        <f>SUMIFS('Media&amp;EdByAEA,Dist,Nonpublic'!$M$3:$M$1349,'Media&amp;EdByAEA,Dist,Nonpublic'!$A$3:$A$1349,'Media&amp;EdByAEA,Nonpublic'!$A168,'Media&amp;EdByAEA,Dist,Nonpublic'!$D$3:$D$1349,'Media&amp;EdByAEA,Nonpublic'!$D168,'Media&amp;EdByAEA,Dist,Nonpublic'!$E$3:$E$1349,'Media&amp;EdByAEA,Nonpublic'!$E168)</f>
        <v>71.459999999999994</v>
      </c>
    </row>
    <row r="169" spans="1:7" x14ac:dyDescent="0.25">
      <c r="A169" s="82">
        <v>10</v>
      </c>
      <c r="B169" s="81" t="s">
        <v>1090</v>
      </c>
      <c r="C169" s="81" t="s">
        <v>956</v>
      </c>
      <c r="D169" s="82">
        <v>6961</v>
      </c>
      <c r="E169" s="82">
        <v>8150</v>
      </c>
      <c r="F169" s="35">
        <f>SUMIFS('Media&amp;EdByAEA,Dist,Nonpublic'!$L$3:$L$1349,'Media&amp;EdByAEA,Dist,Nonpublic'!$A$3:$A$1349,'Media&amp;EdByAEA,Nonpublic'!$A169,'Media&amp;EdByAEA,Dist,Nonpublic'!$D$3:$D$1349,'Media&amp;EdByAEA,Nonpublic'!$D169,'Media&amp;EdByAEA,Dist,Nonpublic'!$E$3:$E$1349,'Media&amp;EdByAEA,Nonpublic'!$E169)</f>
        <v>649.78</v>
      </c>
      <c r="G169" s="35">
        <f>SUMIFS('Media&amp;EdByAEA,Dist,Nonpublic'!$M$3:$M$1349,'Media&amp;EdByAEA,Dist,Nonpublic'!$A$3:$A$1349,'Media&amp;EdByAEA,Nonpublic'!$A169,'Media&amp;EdByAEA,Dist,Nonpublic'!$D$3:$D$1349,'Media&amp;EdByAEA,Nonpublic'!$D169,'Media&amp;EdByAEA,Dist,Nonpublic'!$E$3:$E$1349,'Media&amp;EdByAEA,Nonpublic'!$E169)</f>
        <v>714.57</v>
      </c>
    </row>
    <row r="170" spans="1:7" x14ac:dyDescent="0.25">
      <c r="A170" s="82">
        <v>10</v>
      </c>
      <c r="B170" s="81" t="s">
        <v>1090</v>
      </c>
      <c r="C170" s="81" t="s">
        <v>961</v>
      </c>
      <c r="D170" s="82">
        <v>7029</v>
      </c>
      <c r="E170" s="82">
        <v>8204</v>
      </c>
      <c r="F170" s="35">
        <f>SUMIFS('Media&amp;EdByAEA,Dist,Nonpublic'!$L$3:$L$1349,'Media&amp;EdByAEA,Dist,Nonpublic'!$A$3:$A$1349,'Media&amp;EdByAEA,Nonpublic'!$A170,'Media&amp;EdByAEA,Dist,Nonpublic'!$D$3:$D$1349,'Media&amp;EdByAEA,Nonpublic'!$D170,'Media&amp;EdByAEA,Dist,Nonpublic'!$E$3:$E$1349,'Media&amp;EdByAEA,Nonpublic'!$E170)</f>
        <v>5328.2800000000007</v>
      </c>
      <c r="G170" s="35">
        <f>SUMIFS('Media&amp;EdByAEA,Dist,Nonpublic'!$M$3:$M$1349,'Media&amp;EdByAEA,Dist,Nonpublic'!$A$3:$A$1349,'Media&amp;EdByAEA,Nonpublic'!$A170,'Media&amp;EdByAEA,Dist,Nonpublic'!$D$3:$D$1349,'Media&amp;EdByAEA,Nonpublic'!$D170,'Media&amp;EdByAEA,Dist,Nonpublic'!$E$3:$E$1349,'Media&amp;EdByAEA,Nonpublic'!$E170)</f>
        <v>5859.2300000000005</v>
      </c>
    </row>
    <row r="171" spans="1:7" x14ac:dyDescent="0.25">
      <c r="A171" s="82">
        <v>11</v>
      </c>
      <c r="B171" s="81" t="s">
        <v>1123</v>
      </c>
      <c r="C171" s="81" t="s">
        <v>769</v>
      </c>
      <c r="D171" s="80" t="s">
        <v>177</v>
      </c>
      <c r="E171" s="82">
        <v>8102</v>
      </c>
      <c r="F171" s="35">
        <f>SUMIFS('Media&amp;EdByAEA,Dist,Nonpublic'!$L$3:$L$1349,'Media&amp;EdByAEA,Dist,Nonpublic'!$A$3:$A$1349,'Media&amp;EdByAEA,Nonpublic'!$A171,'Media&amp;EdByAEA,Dist,Nonpublic'!$D$3:$D$1349,'Media&amp;EdByAEA,Nonpublic'!$D171,'Media&amp;EdByAEA,Dist,Nonpublic'!$E$3:$E$1349,'Media&amp;EdByAEA,Nonpublic'!$E171)</f>
        <v>6356.68</v>
      </c>
      <c r="G171" s="35">
        <f>SUMIFS('Media&amp;EdByAEA,Dist,Nonpublic'!$M$3:$M$1349,'Media&amp;EdByAEA,Dist,Nonpublic'!$A$3:$A$1349,'Media&amp;EdByAEA,Nonpublic'!$A171,'Media&amp;EdByAEA,Dist,Nonpublic'!$D$3:$D$1349,'Media&amp;EdByAEA,Nonpublic'!$D171,'Media&amp;EdByAEA,Dist,Nonpublic'!$E$3:$E$1349,'Media&amp;EdByAEA,Nonpublic'!$E171)</f>
        <v>6985.07</v>
      </c>
    </row>
    <row r="172" spans="1:7" x14ac:dyDescent="0.25">
      <c r="A172" s="82">
        <v>11</v>
      </c>
      <c r="B172" s="81" t="s">
        <v>1123</v>
      </c>
      <c r="C172" s="81" t="s">
        <v>770</v>
      </c>
      <c r="D172" s="80" t="s">
        <v>177</v>
      </c>
      <c r="E172" s="82">
        <v>8104</v>
      </c>
      <c r="F172" s="35">
        <f>SUMIFS('Media&amp;EdByAEA,Dist,Nonpublic'!$L$3:$L$1349,'Media&amp;EdByAEA,Dist,Nonpublic'!$A$3:$A$1349,'Media&amp;EdByAEA,Nonpublic'!$A172,'Media&amp;EdByAEA,Dist,Nonpublic'!$D$3:$D$1349,'Media&amp;EdByAEA,Nonpublic'!$D172,'Media&amp;EdByAEA,Dist,Nonpublic'!$E$3:$E$1349,'Media&amp;EdByAEA,Nonpublic'!$E172)</f>
        <v>7783.16</v>
      </c>
      <c r="G172" s="35">
        <f>SUMIFS('Media&amp;EdByAEA,Dist,Nonpublic'!$M$3:$M$1349,'Media&amp;EdByAEA,Dist,Nonpublic'!$A$3:$A$1349,'Media&amp;EdByAEA,Nonpublic'!$A172,'Media&amp;EdByAEA,Dist,Nonpublic'!$D$3:$D$1349,'Media&amp;EdByAEA,Nonpublic'!$D172,'Media&amp;EdByAEA,Dist,Nonpublic'!$E$3:$E$1349,'Media&amp;EdByAEA,Nonpublic'!$E172)</f>
        <v>8553.14</v>
      </c>
    </row>
    <row r="173" spans="1:7" x14ac:dyDescent="0.25">
      <c r="A173" s="82">
        <v>11</v>
      </c>
      <c r="B173" s="81" t="s">
        <v>1123</v>
      </c>
      <c r="C173" s="81" t="s">
        <v>772</v>
      </c>
      <c r="D173" s="80" t="s">
        <v>178</v>
      </c>
      <c r="E173" s="82">
        <v>8101</v>
      </c>
      <c r="F173" s="35">
        <f>SUMIFS('Media&amp;EdByAEA,Dist,Nonpublic'!$L$3:$L$1349,'Media&amp;EdByAEA,Dist,Nonpublic'!$A$3:$A$1349,'Media&amp;EdByAEA,Nonpublic'!$A173,'Media&amp;EdByAEA,Dist,Nonpublic'!$D$3:$D$1349,'Media&amp;EdByAEA,Nonpublic'!$D173,'Media&amp;EdByAEA,Dist,Nonpublic'!$E$3:$E$1349,'Media&amp;EdByAEA,Nonpublic'!$E173)</f>
        <v>24322.67</v>
      </c>
      <c r="G173" s="35">
        <f>SUMIFS('Media&amp;EdByAEA,Dist,Nonpublic'!$M$3:$M$1349,'Media&amp;EdByAEA,Dist,Nonpublic'!$A$3:$A$1349,'Media&amp;EdByAEA,Nonpublic'!$A173,'Media&amp;EdByAEA,Dist,Nonpublic'!$D$3:$D$1349,'Media&amp;EdByAEA,Nonpublic'!$D173,'Media&amp;EdByAEA,Dist,Nonpublic'!$E$3:$E$1349,'Media&amp;EdByAEA,Nonpublic'!$E173)</f>
        <v>26730.03</v>
      </c>
    </row>
    <row r="174" spans="1:7" x14ac:dyDescent="0.25">
      <c r="A174" s="82">
        <v>11</v>
      </c>
      <c r="B174" s="81" t="s">
        <v>1123</v>
      </c>
      <c r="C174" s="81" t="s">
        <v>773</v>
      </c>
      <c r="D174" s="80" t="s">
        <v>178</v>
      </c>
      <c r="E174" s="82">
        <v>8503</v>
      </c>
      <c r="F174" s="35">
        <f>SUMIFS('Media&amp;EdByAEA,Dist,Nonpublic'!$L$3:$L$1349,'Media&amp;EdByAEA,Dist,Nonpublic'!$A$3:$A$1349,'Media&amp;EdByAEA,Nonpublic'!$A174,'Media&amp;EdByAEA,Dist,Nonpublic'!$D$3:$D$1349,'Media&amp;EdByAEA,Nonpublic'!$D174,'Media&amp;EdByAEA,Dist,Nonpublic'!$E$3:$E$1349,'Media&amp;EdByAEA,Nonpublic'!$E174)</f>
        <v>14593.57</v>
      </c>
      <c r="G174" s="35">
        <f>SUMIFS('Media&amp;EdByAEA,Dist,Nonpublic'!$M$3:$M$1349,'Media&amp;EdByAEA,Dist,Nonpublic'!$A$3:$A$1349,'Media&amp;EdByAEA,Nonpublic'!$A174,'Media&amp;EdByAEA,Dist,Nonpublic'!$D$3:$D$1349,'Media&amp;EdByAEA,Nonpublic'!$D174,'Media&amp;EdByAEA,Dist,Nonpublic'!$E$3:$E$1349,'Media&amp;EdByAEA,Nonpublic'!$E174)</f>
        <v>16037.91</v>
      </c>
    </row>
    <row r="175" spans="1:7" x14ac:dyDescent="0.25">
      <c r="A175" s="82">
        <v>11</v>
      </c>
      <c r="B175" s="81" t="s">
        <v>1123</v>
      </c>
      <c r="C175" s="81" t="s">
        <v>774</v>
      </c>
      <c r="D175" s="80" t="s">
        <v>178</v>
      </c>
      <c r="E175" s="82">
        <v>8504</v>
      </c>
      <c r="F175" s="35">
        <f>SUMIFS('Media&amp;EdByAEA,Dist,Nonpublic'!$L$3:$L$1349,'Media&amp;EdByAEA,Dist,Nonpublic'!$A$3:$A$1349,'Media&amp;EdByAEA,Nonpublic'!$A175,'Media&amp;EdByAEA,Dist,Nonpublic'!$D$3:$D$1349,'Media&amp;EdByAEA,Nonpublic'!$D175,'Media&amp;EdByAEA,Dist,Nonpublic'!$E$3:$E$1349,'Media&amp;EdByAEA,Nonpublic'!$E175)</f>
        <v>18225.760000000006</v>
      </c>
      <c r="G175" s="35">
        <f>SUMIFS('Media&amp;EdByAEA,Dist,Nonpublic'!$M$3:$M$1349,'Media&amp;EdByAEA,Dist,Nonpublic'!$A$3:$A$1349,'Media&amp;EdByAEA,Nonpublic'!$A175,'Media&amp;EdByAEA,Dist,Nonpublic'!$D$3:$D$1349,'Media&amp;EdByAEA,Nonpublic'!$D175,'Media&amp;EdByAEA,Dist,Nonpublic'!$E$3:$E$1349,'Media&amp;EdByAEA,Nonpublic'!$E175)</f>
        <v>20029.54</v>
      </c>
    </row>
    <row r="176" spans="1:7" x14ac:dyDescent="0.25">
      <c r="A176" s="82">
        <v>11</v>
      </c>
      <c r="B176" s="81" t="s">
        <v>1123</v>
      </c>
      <c r="C176" s="81" t="s">
        <v>783</v>
      </c>
      <c r="D176" s="80" t="s">
        <v>183</v>
      </c>
      <c r="E176" s="82">
        <v>8103</v>
      </c>
      <c r="F176" s="35">
        <f>SUMIFS('Media&amp;EdByAEA,Dist,Nonpublic'!$L$3:$L$1349,'Media&amp;EdByAEA,Dist,Nonpublic'!$A$3:$A$1349,'Media&amp;EdByAEA,Nonpublic'!$A176,'Media&amp;EdByAEA,Dist,Nonpublic'!$D$3:$D$1349,'Media&amp;EdByAEA,Nonpublic'!$D176,'Media&amp;EdByAEA,Dist,Nonpublic'!$E$3:$E$1349,'Media&amp;EdByAEA,Nonpublic'!$E176)</f>
        <v>4410.74</v>
      </c>
      <c r="G176" s="35">
        <f>SUMIFS('Media&amp;EdByAEA,Dist,Nonpublic'!$M$3:$M$1349,'Media&amp;EdByAEA,Dist,Nonpublic'!$A$3:$A$1349,'Media&amp;EdByAEA,Nonpublic'!$A176,'Media&amp;EdByAEA,Dist,Nonpublic'!$D$3:$D$1349,'Media&amp;EdByAEA,Nonpublic'!$D176,'Media&amp;EdByAEA,Dist,Nonpublic'!$E$3:$E$1349,'Media&amp;EdByAEA,Nonpublic'!$E176)</f>
        <v>4847.38</v>
      </c>
    </row>
    <row r="177" spans="1:7" x14ac:dyDescent="0.25">
      <c r="A177" s="82">
        <v>11</v>
      </c>
      <c r="B177" s="81" t="s">
        <v>1123</v>
      </c>
      <c r="C177" s="81" t="s">
        <v>784</v>
      </c>
      <c r="D177" s="80" t="s">
        <v>183</v>
      </c>
      <c r="E177" s="82">
        <v>8204</v>
      </c>
      <c r="F177" s="35">
        <f>SUMIFS('Media&amp;EdByAEA,Dist,Nonpublic'!$L$3:$L$1349,'Media&amp;EdByAEA,Dist,Nonpublic'!$A$3:$A$1349,'Media&amp;EdByAEA,Nonpublic'!$A177,'Media&amp;EdByAEA,Dist,Nonpublic'!$D$3:$D$1349,'Media&amp;EdByAEA,Nonpublic'!$D177,'Media&amp;EdByAEA,Dist,Nonpublic'!$E$3:$E$1349,'Media&amp;EdByAEA,Nonpublic'!$E177)</f>
        <v>7718.38</v>
      </c>
      <c r="G177" s="35">
        <f>SUMIFS('Media&amp;EdByAEA,Dist,Nonpublic'!$M$3:$M$1349,'Media&amp;EdByAEA,Dist,Nonpublic'!$A$3:$A$1349,'Media&amp;EdByAEA,Nonpublic'!$A177,'Media&amp;EdByAEA,Dist,Nonpublic'!$D$3:$D$1349,'Media&amp;EdByAEA,Nonpublic'!$D177,'Media&amp;EdByAEA,Dist,Nonpublic'!$E$3:$E$1349,'Media&amp;EdByAEA,Nonpublic'!$E177)</f>
        <v>8482.27</v>
      </c>
    </row>
    <row r="178" spans="1:7" x14ac:dyDescent="0.25">
      <c r="A178" s="82">
        <v>11</v>
      </c>
      <c r="B178" s="81" t="s">
        <v>1123</v>
      </c>
      <c r="C178" s="81" t="s">
        <v>793</v>
      </c>
      <c r="D178" s="80" t="s">
        <v>185</v>
      </c>
      <c r="E178" s="82">
        <v>8101</v>
      </c>
      <c r="F178" s="35">
        <f>SUMIFS('Media&amp;EdByAEA,Dist,Nonpublic'!$L$3:$L$1349,'Media&amp;EdByAEA,Dist,Nonpublic'!$A$3:$A$1349,'Media&amp;EdByAEA,Nonpublic'!$A178,'Media&amp;EdByAEA,Dist,Nonpublic'!$D$3:$D$1349,'Media&amp;EdByAEA,Nonpublic'!$D178,'Media&amp;EdByAEA,Dist,Nonpublic'!$E$3:$E$1349,'Media&amp;EdByAEA,Nonpublic'!$E178)</f>
        <v>26073.539999999997</v>
      </c>
      <c r="G178" s="35">
        <f>SUMIFS('Media&amp;EdByAEA,Dist,Nonpublic'!$M$3:$M$1349,'Media&amp;EdByAEA,Dist,Nonpublic'!$A$3:$A$1349,'Media&amp;EdByAEA,Nonpublic'!$A178,'Media&amp;EdByAEA,Dist,Nonpublic'!$D$3:$D$1349,'Media&amp;EdByAEA,Nonpublic'!$D178,'Media&amp;EdByAEA,Dist,Nonpublic'!$E$3:$E$1349,'Media&amp;EdByAEA,Nonpublic'!$E178)</f>
        <v>28654.54</v>
      </c>
    </row>
    <row r="179" spans="1:7" x14ac:dyDescent="0.25">
      <c r="A179" s="82">
        <v>11</v>
      </c>
      <c r="B179" s="81" t="s">
        <v>1123</v>
      </c>
      <c r="C179" s="81" t="s">
        <v>794</v>
      </c>
      <c r="D179" s="80" t="s">
        <v>185</v>
      </c>
      <c r="E179" s="82">
        <v>8104</v>
      </c>
      <c r="F179" s="35">
        <f>SUMIFS('Media&amp;EdByAEA,Dist,Nonpublic'!$L$3:$L$1349,'Media&amp;EdByAEA,Dist,Nonpublic'!$A$3:$A$1349,'Media&amp;EdByAEA,Nonpublic'!$A179,'Media&amp;EdByAEA,Dist,Nonpublic'!$D$3:$D$1349,'Media&amp;EdByAEA,Nonpublic'!$D179,'Media&amp;EdByAEA,Dist,Nonpublic'!$E$3:$E$1349,'Media&amp;EdByAEA,Nonpublic'!$E179)</f>
        <v>37229.58</v>
      </c>
      <c r="G179" s="35">
        <f>SUMIFS('Media&amp;EdByAEA,Dist,Nonpublic'!$M$3:$M$1349,'Media&amp;EdByAEA,Dist,Nonpublic'!$A$3:$A$1349,'Media&amp;EdByAEA,Nonpublic'!$A179,'Media&amp;EdByAEA,Dist,Nonpublic'!$D$3:$D$1349,'Media&amp;EdByAEA,Nonpublic'!$D179,'Media&amp;EdByAEA,Dist,Nonpublic'!$E$3:$E$1349,'Media&amp;EdByAEA,Nonpublic'!$E179)</f>
        <v>40914.76</v>
      </c>
    </row>
    <row r="180" spans="1:7" x14ac:dyDescent="0.25">
      <c r="A180" s="82">
        <v>11</v>
      </c>
      <c r="B180" s="81" t="s">
        <v>1123</v>
      </c>
      <c r="C180" s="81" t="s">
        <v>814</v>
      </c>
      <c r="D180" s="82">
        <v>1278</v>
      </c>
      <c r="E180" s="82">
        <v>8130</v>
      </c>
      <c r="F180" s="35">
        <f>SUMIFS('Media&amp;EdByAEA,Dist,Nonpublic'!$L$3:$L$1349,'Media&amp;EdByAEA,Dist,Nonpublic'!$A$3:$A$1349,'Media&amp;EdByAEA,Nonpublic'!$A180,'Media&amp;EdByAEA,Dist,Nonpublic'!$D$3:$D$1349,'Media&amp;EdByAEA,Nonpublic'!$D180,'Media&amp;EdByAEA,Dist,Nonpublic'!$E$3:$E$1349,'Media&amp;EdByAEA,Nonpublic'!$E180)</f>
        <v>64.86</v>
      </c>
      <c r="G180" s="35">
        <f>SUMIFS('Media&amp;EdByAEA,Dist,Nonpublic'!$M$3:$M$1349,'Media&amp;EdByAEA,Dist,Nonpublic'!$A$3:$A$1349,'Media&amp;EdByAEA,Nonpublic'!$A180,'Media&amp;EdByAEA,Dist,Nonpublic'!$D$3:$D$1349,'Media&amp;EdByAEA,Nonpublic'!$D180,'Media&amp;EdByAEA,Dist,Nonpublic'!$E$3:$E$1349,'Media&amp;EdByAEA,Nonpublic'!$E180)</f>
        <v>71.28</v>
      </c>
    </row>
    <row r="181" spans="1:7" x14ac:dyDescent="0.25">
      <c r="A181" s="82">
        <v>11</v>
      </c>
      <c r="B181" s="81" t="s">
        <v>1123</v>
      </c>
      <c r="C181" s="81" t="s">
        <v>826</v>
      </c>
      <c r="D181" s="82">
        <v>1737</v>
      </c>
      <c r="E181" s="82">
        <v>8014</v>
      </c>
      <c r="F181" s="35">
        <f>SUMIFS('Media&amp;EdByAEA,Dist,Nonpublic'!$L$3:$L$1349,'Media&amp;EdByAEA,Dist,Nonpublic'!$A$3:$A$1349,'Media&amp;EdByAEA,Nonpublic'!$A181,'Media&amp;EdByAEA,Dist,Nonpublic'!$D$3:$D$1349,'Media&amp;EdByAEA,Nonpublic'!$D181,'Media&amp;EdByAEA,Dist,Nonpublic'!$E$3:$E$1349,'Media&amp;EdByAEA,Nonpublic'!$E181)</f>
        <v>9988.4500000000007</v>
      </c>
      <c r="G181" s="35">
        <f>SUMIFS('Media&amp;EdByAEA,Dist,Nonpublic'!$M$3:$M$1349,'Media&amp;EdByAEA,Dist,Nonpublic'!$A$3:$A$1349,'Media&amp;EdByAEA,Nonpublic'!$A181,'Media&amp;EdByAEA,Dist,Nonpublic'!$D$3:$D$1349,'Media&amp;EdByAEA,Nonpublic'!$D181,'Media&amp;EdByAEA,Dist,Nonpublic'!$E$3:$E$1349,'Media&amp;EdByAEA,Nonpublic'!$E181)</f>
        <v>10977.21</v>
      </c>
    </row>
    <row r="182" spans="1:7" x14ac:dyDescent="0.25">
      <c r="A182" s="82">
        <v>11</v>
      </c>
      <c r="B182" s="81" t="s">
        <v>1123</v>
      </c>
      <c r="C182" s="81" t="s">
        <v>827</v>
      </c>
      <c r="D182" s="82">
        <v>1737</v>
      </c>
      <c r="E182" s="82">
        <v>8015</v>
      </c>
      <c r="F182" s="35">
        <f>SUMIFS('Media&amp;EdByAEA,Dist,Nonpublic'!$L$3:$L$1349,'Media&amp;EdByAEA,Dist,Nonpublic'!$A$3:$A$1349,'Media&amp;EdByAEA,Nonpublic'!$A182,'Media&amp;EdByAEA,Dist,Nonpublic'!$D$3:$D$1349,'Media&amp;EdByAEA,Nonpublic'!$D182,'Media&amp;EdByAEA,Dist,Nonpublic'!$E$3:$E$1349,'Media&amp;EdByAEA,Nonpublic'!$E182)</f>
        <v>2659.25</v>
      </c>
      <c r="G182" s="35">
        <f>SUMIFS('Media&amp;EdByAEA,Dist,Nonpublic'!$M$3:$M$1349,'Media&amp;EdByAEA,Dist,Nonpublic'!$A$3:$A$1349,'Media&amp;EdByAEA,Nonpublic'!$A182,'Media&amp;EdByAEA,Dist,Nonpublic'!$D$3:$D$1349,'Media&amp;EdByAEA,Nonpublic'!$D182,'Media&amp;EdByAEA,Dist,Nonpublic'!$E$3:$E$1349,'Media&amp;EdByAEA,Nonpublic'!$E182)</f>
        <v>2922.48</v>
      </c>
    </row>
    <row r="183" spans="1:7" x14ac:dyDescent="0.25">
      <c r="A183" s="82">
        <v>11</v>
      </c>
      <c r="B183" s="81" t="s">
        <v>1123</v>
      </c>
      <c r="C183" s="81" t="s">
        <v>828</v>
      </c>
      <c r="D183" s="82">
        <v>1737</v>
      </c>
      <c r="E183" s="82">
        <v>8016</v>
      </c>
      <c r="F183" s="35">
        <f>SUMIFS('Media&amp;EdByAEA,Dist,Nonpublic'!$L$3:$L$1349,'Media&amp;EdByAEA,Dist,Nonpublic'!$A$3:$A$1349,'Media&amp;EdByAEA,Nonpublic'!$A183,'Media&amp;EdByAEA,Dist,Nonpublic'!$D$3:$D$1349,'Media&amp;EdByAEA,Nonpublic'!$D183,'Media&amp;EdByAEA,Dist,Nonpublic'!$E$3:$E$1349,'Media&amp;EdByAEA,Nonpublic'!$E183)</f>
        <v>2529.5300000000002</v>
      </c>
      <c r="G183" s="35">
        <f>SUMIFS('Media&amp;EdByAEA,Dist,Nonpublic'!$M$3:$M$1349,'Media&amp;EdByAEA,Dist,Nonpublic'!$A$3:$A$1349,'Media&amp;EdByAEA,Nonpublic'!$A183,'Media&amp;EdByAEA,Dist,Nonpublic'!$D$3:$D$1349,'Media&amp;EdByAEA,Nonpublic'!$D183,'Media&amp;EdByAEA,Dist,Nonpublic'!$E$3:$E$1349,'Media&amp;EdByAEA,Nonpublic'!$E183)</f>
        <v>2779.92</v>
      </c>
    </row>
    <row r="184" spans="1:7" x14ac:dyDescent="0.25">
      <c r="A184" s="82">
        <v>11</v>
      </c>
      <c r="B184" s="81" t="s">
        <v>1123</v>
      </c>
      <c r="C184" s="81" t="s">
        <v>829</v>
      </c>
      <c r="D184" s="82">
        <v>1737</v>
      </c>
      <c r="E184" s="82">
        <v>8106</v>
      </c>
      <c r="F184" s="35">
        <f>SUMIFS('Media&amp;EdByAEA,Dist,Nonpublic'!$L$3:$L$1349,'Media&amp;EdByAEA,Dist,Nonpublic'!$A$3:$A$1349,'Media&amp;EdByAEA,Nonpublic'!$A184,'Media&amp;EdByAEA,Dist,Nonpublic'!$D$3:$D$1349,'Media&amp;EdByAEA,Nonpublic'!$D184,'Media&amp;EdByAEA,Dist,Nonpublic'!$E$3:$E$1349,'Media&amp;EdByAEA,Nonpublic'!$E184)</f>
        <v>24062.97</v>
      </c>
      <c r="G184" s="35">
        <f>SUMIFS('Media&amp;EdByAEA,Dist,Nonpublic'!$M$3:$M$1349,'Media&amp;EdByAEA,Dist,Nonpublic'!$A$3:$A$1349,'Media&amp;EdByAEA,Nonpublic'!$A184,'Media&amp;EdByAEA,Dist,Nonpublic'!$D$3:$D$1349,'Media&amp;EdByAEA,Nonpublic'!$D184,'Media&amp;EdByAEA,Dist,Nonpublic'!$E$3:$E$1349,'Media&amp;EdByAEA,Nonpublic'!$E184)</f>
        <v>26444.890000000003</v>
      </c>
    </row>
    <row r="185" spans="1:7" x14ac:dyDescent="0.25">
      <c r="A185" s="82">
        <v>11</v>
      </c>
      <c r="B185" s="81" t="s">
        <v>1123</v>
      </c>
      <c r="C185" s="81" t="s">
        <v>830</v>
      </c>
      <c r="D185" s="82">
        <v>1737</v>
      </c>
      <c r="E185" s="82">
        <v>8107</v>
      </c>
      <c r="F185" s="35">
        <f>SUMIFS('Media&amp;EdByAEA,Dist,Nonpublic'!$L$3:$L$1349,'Media&amp;EdByAEA,Dist,Nonpublic'!$A$3:$A$1349,'Media&amp;EdByAEA,Nonpublic'!$A185,'Media&amp;EdByAEA,Dist,Nonpublic'!$D$3:$D$1349,'Media&amp;EdByAEA,Nonpublic'!$D185,'Media&amp;EdByAEA,Dist,Nonpublic'!$E$3:$E$1349,'Media&amp;EdByAEA,Nonpublic'!$E185)</f>
        <v>18225.61</v>
      </c>
      <c r="G185" s="35">
        <f>SUMIFS('Media&amp;EdByAEA,Dist,Nonpublic'!$M$3:$M$1349,'Media&amp;EdByAEA,Dist,Nonpublic'!$A$3:$A$1349,'Media&amp;EdByAEA,Nonpublic'!$A185,'Media&amp;EdByAEA,Dist,Nonpublic'!$D$3:$D$1349,'Media&amp;EdByAEA,Nonpublic'!$D185,'Media&amp;EdByAEA,Dist,Nonpublic'!$E$3:$E$1349,'Media&amp;EdByAEA,Nonpublic'!$E185)</f>
        <v>20029.670000000002</v>
      </c>
    </row>
    <row r="186" spans="1:7" x14ac:dyDescent="0.25">
      <c r="A186" s="82">
        <v>11</v>
      </c>
      <c r="B186" s="81" t="s">
        <v>1123</v>
      </c>
      <c r="C186" s="81" t="s">
        <v>831</v>
      </c>
      <c r="D186" s="82">
        <v>1737</v>
      </c>
      <c r="E186" s="82">
        <v>8108</v>
      </c>
      <c r="F186" s="35">
        <f>SUMIFS('Media&amp;EdByAEA,Dist,Nonpublic'!$L$3:$L$1349,'Media&amp;EdByAEA,Dist,Nonpublic'!$A$3:$A$1349,'Media&amp;EdByAEA,Nonpublic'!$A186,'Media&amp;EdByAEA,Dist,Nonpublic'!$D$3:$D$1349,'Media&amp;EdByAEA,Nonpublic'!$D186,'Media&amp;EdByAEA,Dist,Nonpublic'!$E$3:$E$1349,'Media&amp;EdByAEA,Nonpublic'!$E186)</f>
        <v>16409.52</v>
      </c>
      <c r="G186" s="35">
        <f>SUMIFS('Media&amp;EdByAEA,Dist,Nonpublic'!$M$3:$M$1349,'Media&amp;EdByAEA,Dist,Nonpublic'!$A$3:$A$1349,'Media&amp;EdByAEA,Nonpublic'!$A186,'Media&amp;EdByAEA,Dist,Nonpublic'!$D$3:$D$1349,'Media&amp;EdByAEA,Nonpublic'!$D186,'Media&amp;EdByAEA,Dist,Nonpublic'!$E$3:$E$1349,'Media&amp;EdByAEA,Nonpublic'!$E186)</f>
        <v>18033.849999999999</v>
      </c>
    </row>
    <row r="187" spans="1:7" x14ac:dyDescent="0.25">
      <c r="A187" s="82">
        <v>11</v>
      </c>
      <c r="B187" s="81" t="s">
        <v>1123</v>
      </c>
      <c r="C187" s="81" t="s">
        <v>832</v>
      </c>
      <c r="D187" s="82">
        <v>1737</v>
      </c>
      <c r="E187" s="82">
        <v>8110</v>
      </c>
      <c r="F187" s="35">
        <f>SUMIFS('Media&amp;EdByAEA,Dist,Nonpublic'!$L$3:$L$1349,'Media&amp;EdByAEA,Dist,Nonpublic'!$A$3:$A$1349,'Media&amp;EdByAEA,Nonpublic'!$A187,'Media&amp;EdByAEA,Dist,Nonpublic'!$D$3:$D$1349,'Media&amp;EdByAEA,Nonpublic'!$D187,'Media&amp;EdByAEA,Dist,Nonpublic'!$E$3:$E$1349,'Media&amp;EdByAEA,Nonpublic'!$E187)</f>
        <v>12842.609999999999</v>
      </c>
      <c r="G187" s="35">
        <f>SUMIFS('Media&amp;EdByAEA,Dist,Nonpublic'!$M$3:$M$1349,'Media&amp;EdByAEA,Dist,Nonpublic'!$A$3:$A$1349,'Media&amp;EdByAEA,Nonpublic'!$A187,'Media&amp;EdByAEA,Dist,Nonpublic'!$D$3:$D$1349,'Media&amp;EdByAEA,Nonpublic'!$D187,'Media&amp;EdByAEA,Dist,Nonpublic'!$E$3:$E$1349,'Media&amp;EdByAEA,Nonpublic'!$E187)</f>
        <v>14113.580000000002</v>
      </c>
    </row>
    <row r="188" spans="1:7" x14ac:dyDescent="0.25">
      <c r="A188" s="82">
        <v>11</v>
      </c>
      <c r="B188" s="81" t="s">
        <v>1123</v>
      </c>
      <c r="C188" s="81" t="s">
        <v>833</v>
      </c>
      <c r="D188" s="82">
        <v>1737</v>
      </c>
      <c r="E188" s="82">
        <v>8113</v>
      </c>
      <c r="F188" s="35">
        <f>SUMIFS('Media&amp;EdByAEA,Dist,Nonpublic'!$L$3:$L$1349,'Media&amp;EdByAEA,Dist,Nonpublic'!$A$3:$A$1349,'Media&amp;EdByAEA,Nonpublic'!$A188,'Media&amp;EdByAEA,Dist,Nonpublic'!$D$3:$D$1349,'Media&amp;EdByAEA,Nonpublic'!$D188,'Media&amp;EdByAEA,Dist,Nonpublic'!$E$3:$E$1349,'Media&amp;EdByAEA,Nonpublic'!$E188)</f>
        <v>16993.29</v>
      </c>
      <c r="G188" s="35">
        <f>SUMIFS('Media&amp;EdByAEA,Dist,Nonpublic'!$M$3:$M$1349,'Media&amp;EdByAEA,Dist,Nonpublic'!$A$3:$A$1349,'Media&amp;EdByAEA,Nonpublic'!$A188,'Media&amp;EdByAEA,Dist,Nonpublic'!$D$3:$D$1349,'Media&amp;EdByAEA,Nonpublic'!$D188,'Media&amp;EdByAEA,Dist,Nonpublic'!$E$3:$E$1349,'Media&amp;EdByAEA,Nonpublic'!$E188)</f>
        <v>18675.38</v>
      </c>
    </row>
    <row r="189" spans="1:7" x14ac:dyDescent="0.25">
      <c r="A189" s="82">
        <v>11</v>
      </c>
      <c r="B189" s="81" t="s">
        <v>1123</v>
      </c>
      <c r="C189" s="81" t="s">
        <v>834</v>
      </c>
      <c r="D189" s="82">
        <v>1737</v>
      </c>
      <c r="E189" s="82">
        <v>8117</v>
      </c>
      <c r="F189" s="35">
        <f>SUMIFS('Media&amp;EdByAEA,Dist,Nonpublic'!$L$3:$L$1349,'Media&amp;EdByAEA,Dist,Nonpublic'!$A$3:$A$1349,'Media&amp;EdByAEA,Nonpublic'!$A189,'Media&amp;EdByAEA,Dist,Nonpublic'!$D$3:$D$1349,'Media&amp;EdByAEA,Nonpublic'!$D189,'Media&amp;EdByAEA,Dist,Nonpublic'!$E$3:$E$1349,'Media&amp;EdByAEA,Nonpublic'!$E189)</f>
        <v>14269.18</v>
      </c>
      <c r="G189" s="35">
        <f>SUMIFS('Media&amp;EdByAEA,Dist,Nonpublic'!$M$3:$M$1349,'Media&amp;EdByAEA,Dist,Nonpublic'!$A$3:$A$1349,'Media&amp;EdByAEA,Nonpublic'!$A189,'Media&amp;EdByAEA,Dist,Nonpublic'!$D$3:$D$1349,'Media&amp;EdByAEA,Nonpublic'!$D189,'Media&amp;EdByAEA,Dist,Nonpublic'!$E$3:$E$1349,'Media&amp;EdByAEA,Nonpublic'!$E189)</f>
        <v>15681.310000000001</v>
      </c>
    </row>
    <row r="190" spans="1:7" x14ac:dyDescent="0.25">
      <c r="A190" s="82">
        <v>11</v>
      </c>
      <c r="B190" s="81" t="s">
        <v>1123</v>
      </c>
      <c r="C190" s="81" t="s">
        <v>835</v>
      </c>
      <c r="D190" s="82">
        <v>1737</v>
      </c>
      <c r="E190" s="82">
        <v>8119</v>
      </c>
      <c r="F190" s="35">
        <f>SUMIFS('Media&amp;EdByAEA,Dist,Nonpublic'!$L$3:$L$1349,'Media&amp;EdByAEA,Dist,Nonpublic'!$A$3:$A$1349,'Media&amp;EdByAEA,Nonpublic'!$A190,'Media&amp;EdByAEA,Dist,Nonpublic'!$D$3:$D$1349,'Media&amp;EdByAEA,Nonpublic'!$D190,'Media&amp;EdByAEA,Dist,Nonpublic'!$E$3:$E$1349,'Media&amp;EdByAEA,Nonpublic'!$E190)</f>
        <v>23155.010000000002</v>
      </c>
      <c r="G190" s="35">
        <f>SUMIFS('Media&amp;EdByAEA,Dist,Nonpublic'!$M$3:$M$1349,'Media&amp;EdByAEA,Dist,Nonpublic'!$A$3:$A$1349,'Media&amp;EdByAEA,Nonpublic'!$A190,'Media&amp;EdByAEA,Dist,Nonpublic'!$D$3:$D$1349,'Media&amp;EdByAEA,Nonpublic'!$D190,'Media&amp;EdByAEA,Dist,Nonpublic'!$E$3:$E$1349,'Media&amp;EdByAEA,Nonpublic'!$E190)</f>
        <v>25447.030000000002</v>
      </c>
    </row>
    <row r="191" spans="1:7" x14ac:dyDescent="0.25">
      <c r="A191" s="82">
        <v>11</v>
      </c>
      <c r="B191" s="81" t="s">
        <v>1123</v>
      </c>
      <c r="C191" s="81" t="s">
        <v>836</v>
      </c>
      <c r="D191" s="82">
        <v>1737</v>
      </c>
      <c r="E191" s="82">
        <v>8120</v>
      </c>
      <c r="F191" s="35">
        <f>SUMIFS('Media&amp;EdByAEA,Dist,Nonpublic'!$L$3:$L$1349,'Media&amp;EdByAEA,Dist,Nonpublic'!$A$3:$A$1349,'Media&amp;EdByAEA,Nonpublic'!$A191,'Media&amp;EdByAEA,Dist,Nonpublic'!$D$3:$D$1349,'Media&amp;EdByAEA,Nonpublic'!$D191,'Media&amp;EdByAEA,Dist,Nonpublic'!$E$3:$E$1349,'Media&amp;EdByAEA,Nonpublic'!$E191)</f>
        <v>1751.2099999999998</v>
      </c>
      <c r="G191" s="35">
        <f>SUMIFS('Media&amp;EdByAEA,Dist,Nonpublic'!$M$3:$M$1349,'Media&amp;EdByAEA,Dist,Nonpublic'!$A$3:$A$1349,'Media&amp;EdByAEA,Nonpublic'!$A191,'Media&amp;EdByAEA,Dist,Nonpublic'!$D$3:$D$1349,'Media&amp;EdByAEA,Nonpublic'!$D191,'Media&amp;EdByAEA,Dist,Nonpublic'!$E$3:$E$1349,'Media&amp;EdByAEA,Nonpublic'!$E191)</f>
        <v>1924.5400000000002</v>
      </c>
    </row>
    <row r="192" spans="1:7" x14ac:dyDescent="0.25">
      <c r="A192" s="82">
        <v>11</v>
      </c>
      <c r="B192" s="81" t="s">
        <v>1123</v>
      </c>
      <c r="C192" s="81" t="s">
        <v>837</v>
      </c>
      <c r="D192" s="82">
        <v>1737</v>
      </c>
      <c r="E192" s="82">
        <v>8130</v>
      </c>
      <c r="F192" s="35">
        <f>SUMIFS('Media&amp;EdByAEA,Dist,Nonpublic'!$L$3:$L$1349,'Media&amp;EdByAEA,Dist,Nonpublic'!$A$3:$A$1349,'Media&amp;EdByAEA,Nonpublic'!$A192,'Media&amp;EdByAEA,Dist,Nonpublic'!$D$3:$D$1349,'Media&amp;EdByAEA,Nonpublic'!$D192,'Media&amp;EdByAEA,Dist,Nonpublic'!$E$3:$E$1349,'Media&amp;EdByAEA,Nonpublic'!$E192)</f>
        <v>972.9</v>
      </c>
      <c r="G192" s="35">
        <f>SUMIFS('Media&amp;EdByAEA,Dist,Nonpublic'!$M$3:$M$1349,'Media&amp;EdByAEA,Dist,Nonpublic'!$A$3:$A$1349,'Media&amp;EdByAEA,Nonpublic'!$A192,'Media&amp;EdByAEA,Dist,Nonpublic'!$D$3:$D$1349,'Media&amp;EdByAEA,Nonpublic'!$D192,'Media&amp;EdByAEA,Dist,Nonpublic'!$E$3:$E$1349,'Media&amp;EdByAEA,Nonpublic'!$E192)</f>
        <v>1069.2</v>
      </c>
    </row>
    <row r="193" spans="1:7" x14ac:dyDescent="0.25">
      <c r="A193" s="82">
        <v>11</v>
      </c>
      <c r="B193" s="81" t="s">
        <v>1123</v>
      </c>
      <c r="C193" s="81" t="s">
        <v>838</v>
      </c>
      <c r="D193" s="82">
        <v>1737</v>
      </c>
      <c r="E193" s="82">
        <v>8133</v>
      </c>
      <c r="F193" s="35">
        <f>SUMIFS('Media&amp;EdByAEA,Dist,Nonpublic'!$L$3:$L$1349,'Media&amp;EdByAEA,Dist,Nonpublic'!$A$3:$A$1349,'Media&amp;EdByAEA,Nonpublic'!$A193,'Media&amp;EdByAEA,Dist,Nonpublic'!$D$3:$D$1349,'Media&amp;EdByAEA,Nonpublic'!$D193,'Media&amp;EdByAEA,Dist,Nonpublic'!$E$3:$E$1349,'Media&amp;EdByAEA,Nonpublic'!$E193)</f>
        <v>4086.18</v>
      </c>
      <c r="G193" s="35">
        <f>SUMIFS('Media&amp;EdByAEA,Dist,Nonpublic'!$M$3:$M$1349,'Media&amp;EdByAEA,Dist,Nonpublic'!$A$3:$A$1349,'Media&amp;EdByAEA,Nonpublic'!$A193,'Media&amp;EdByAEA,Dist,Nonpublic'!$D$3:$D$1349,'Media&amp;EdByAEA,Nonpublic'!$D193,'Media&amp;EdByAEA,Dist,Nonpublic'!$E$3:$E$1349,'Media&amp;EdByAEA,Nonpublic'!$E193)</f>
        <v>4490.6500000000015</v>
      </c>
    </row>
    <row r="194" spans="1:7" x14ac:dyDescent="0.25">
      <c r="A194" s="82">
        <v>11</v>
      </c>
      <c r="B194" s="81" t="s">
        <v>1123</v>
      </c>
      <c r="C194" s="81" t="s">
        <v>839</v>
      </c>
      <c r="D194" s="82">
        <v>1737</v>
      </c>
      <c r="E194" s="82">
        <v>8221</v>
      </c>
      <c r="F194" s="35">
        <f>SUMIFS('Media&amp;EdByAEA,Dist,Nonpublic'!$L$3:$L$1349,'Media&amp;EdByAEA,Dist,Nonpublic'!$A$3:$A$1349,'Media&amp;EdByAEA,Nonpublic'!$A194,'Media&amp;EdByAEA,Dist,Nonpublic'!$D$3:$D$1349,'Media&amp;EdByAEA,Nonpublic'!$D194,'Media&amp;EdByAEA,Dist,Nonpublic'!$E$3:$E$1349,'Media&amp;EdByAEA,Nonpublic'!$E194)</f>
        <v>14723.380000000001</v>
      </c>
      <c r="G194" s="35">
        <f>SUMIFS('Media&amp;EdByAEA,Dist,Nonpublic'!$M$3:$M$1349,'Media&amp;EdByAEA,Dist,Nonpublic'!$A$3:$A$1349,'Media&amp;EdByAEA,Nonpublic'!$A194,'Media&amp;EdByAEA,Dist,Nonpublic'!$D$3:$D$1349,'Media&amp;EdByAEA,Nonpublic'!$D194,'Media&amp;EdByAEA,Dist,Nonpublic'!$E$3:$E$1349,'Media&amp;EdByAEA,Nonpublic'!$E194)</f>
        <v>16180.73</v>
      </c>
    </row>
    <row r="195" spans="1:7" x14ac:dyDescent="0.25">
      <c r="A195" s="82">
        <v>11</v>
      </c>
      <c r="B195" s="81" t="s">
        <v>1123</v>
      </c>
      <c r="C195" s="81" t="s">
        <v>840</v>
      </c>
      <c r="D195" s="82">
        <v>1737</v>
      </c>
      <c r="E195" s="82">
        <v>8504</v>
      </c>
      <c r="F195" s="35">
        <f>SUMIFS('Media&amp;EdByAEA,Dist,Nonpublic'!$L$3:$L$1349,'Media&amp;EdByAEA,Dist,Nonpublic'!$A$3:$A$1349,'Media&amp;EdByAEA,Nonpublic'!$A195,'Media&amp;EdByAEA,Dist,Nonpublic'!$D$3:$D$1349,'Media&amp;EdByAEA,Nonpublic'!$D195,'Media&amp;EdByAEA,Dist,Nonpublic'!$E$3:$E$1349,'Media&amp;EdByAEA,Nonpublic'!$E195)</f>
        <v>15760.999999999996</v>
      </c>
      <c r="G195" s="35">
        <f>SUMIFS('Media&amp;EdByAEA,Dist,Nonpublic'!$M$3:$M$1349,'Media&amp;EdByAEA,Dist,Nonpublic'!$A$3:$A$1349,'Media&amp;EdByAEA,Nonpublic'!$A195,'Media&amp;EdByAEA,Dist,Nonpublic'!$D$3:$D$1349,'Media&amp;EdByAEA,Nonpublic'!$D195,'Media&amp;EdByAEA,Dist,Nonpublic'!$E$3:$E$1349,'Media&amp;EdByAEA,Nonpublic'!$E195)</f>
        <v>17321.030000000002</v>
      </c>
    </row>
    <row r="196" spans="1:7" x14ac:dyDescent="0.25">
      <c r="A196" s="82">
        <v>11</v>
      </c>
      <c r="B196" s="81" t="s">
        <v>1123</v>
      </c>
      <c r="C196" s="81" t="s">
        <v>841</v>
      </c>
      <c r="D196" s="82">
        <v>1737</v>
      </c>
      <c r="E196" s="82">
        <v>8505</v>
      </c>
      <c r="F196" s="35">
        <f>SUMIFS('Media&amp;EdByAEA,Dist,Nonpublic'!$L$3:$L$1349,'Media&amp;EdByAEA,Dist,Nonpublic'!$A$3:$A$1349,'Media&amp;EdByAEA,Nonpublic'!$A196,'Media&amp;EdByAEA,Dist,Nonpublic'!$D$3:$D$1349,'Media&amp;EdByAEA,Nonpublic'!$D196,'Media&amp;EdByAEA,Dist,Nonpublic'!$E$3:$E$1349,'Media&amp;EdByAEA,Nonpublic'!$E196)</f>
        <v>18355.340000000004</v>
      </c>
      <c r="G196" s="35">
        <f>SUMIFS('Media&amp;EdByAEA,Dist,Nonpublic'!$M$3:$M$1349,'Media&amp;EdByAEA,Dist,Nonpublic'!$A$3:$A$1349,'Media&amp;EdByAEA,Nonpublic'!$A196,'Media&amp;EdByAEA,Dist,Nonpublic'!$D$3:$D$1349,'Media&amp;EdByAEA,Nonpublic'!$D196,'Media&amp;EdByAEA,Dist,Nonpublic'!$E$3:$E$1349,'Media&amp;EdByAEA,Nonpublic'!$E196)</f>
        <v>20172.170000000002</v>
      </c>
    </row>
    <row r="197" spans="1:7" x14ac:dyDescent="0.25">
      <c r="A197" s="82">
        <v>11</v>
      </c>
      <c r="B197" s="81" t="s">
        <v>1123</v>
      </c>
      <c r="C197" s="81" t="s">
        <v>842</v>
      </c>
      <c r="D197" s="82">
        <v>1737</v>
      </c>
      <c r="E197" s="82">
        <v>8507</v>
      </c>
      <c r="F197" s="35">
        <f>SUMIFS('Media&amp;EdByAEA,Dist,Nonpublic'!$L$3:$L$1349,'Media&amp;EdByAEA,Dist,Nonpublic'!$A$3:$A$1349,'Media&amp;EdByAEA,Nonpublic'!$A197,'Media&amp;EdByAEA,Dist,Nonpublic'!$D$3:$D$1349,'Media&amp;EdByAEA,Nonpublic'!$D197,'Media&amp;EdByAEA,Dist,Nonpublic'!$E$3:$E$1349,'Media&amp;EdByAEA,Nonpublic'!$E197)</f>
        <v>16733.98</v>
      </c>
      <c r="G197" s="35">
        <f>SUMIFS('Media&amp;EdByAEA,Dist,Nonpublic'!$M$3:$M$1349,'Media&amp;EdByAEA,Dist,Nonpublic'!$A$3:$A$1349,'Media&amp;EdByAEA,Nonpublic'!$A197,'Media&amp;EdByAEA,Dist,Nonpublic'!$D$3:$D$1349,'Media&amp;EdByAEA,Nonpublic'!$D197,'Media&amp;EdByAEA,Dist,Nonpublic'!$E$3:$E$1349,'Media&amp;EdByAEA,Nonpublic'!$E197)</f>
        <v>18390.210000000003</v>
      </c>
    </row>
    <row r="198" spans="1:7" x14ac:dyDescent="0.25">
      <c r="A198" s="82">
        <v>11</v>
      </c>
      <c r="B198" s="81" t="s">
        <v>1123</v>
      </c>
      <c r="C198" s="81" t="s">
        <v>854</v>
      </c>
      <c r="D198" s="82">
        <v>2313</v>
      </c>
      <c r="E198" s="82">
        <v>8104</v>
      </c>
      <c r="F198" s="35">
        <f>SUMIFS('Media&amp;EdByAEA,Dist,Nonpublic'!$L$3:$L$1349,'Media&amp;EdByAEA,Dist,Nonpublic'!$A$3:$A$1349,'Media&amp;EdByAEA,Nonpublic'!$A198,'Media&amp;EdByAEA,Dist,Nonpublic'!$D$3:$D$1349,'Media&amp;EdByAEA,Nonpublic'!$D198,'Media&amp;EdByAEA,Dist,Nonpublic'!$E$3:$E$1349,'Media&amp;EdByAEA,Nonpublic'!$E198)</f>
        <v>64.86</v>
      </c>
      <c r="G198" s="35">
        <f>SUMIFS('Media&amp;EdByAEA,Dist,Nonpublic'!$M$3:$M$1349,'Media&amp;EdByAEA,Dist,Nonpublic'!$A$3:$A$1349,'Media&amp;EdByAEA,Nonpublic'!$A198,'Media&amp;EdByAEA,Dist,Nonpublic'!$D$3:$D$1349,'Media&amp;EdByAEA,Nonpublic'!$D198,'Media&amp;EdByAEA,Dist,Nonpublic'!$E$3:$E$1349,'Media&amp;EdByAEA,Nonpublic'!$E198)</f>
        <v>71.28</v>
      </c>
    </row>
    <row r="199" spans="1:7" x14ac:dyDescent="0.25">
      <c r="A199" s="82">
        <v>11</v>
      </c>
      <c r="B199" s="81" t="s">
        <v>1123</v>
      </c>
      <c r="C199" s="81" t="s">
        <v>861</v>
      </c>
      <c r="D199" s="82">
        <v>2826</v>
      </c>
      <c r="E199" s="82">
        <v>8101</v>
      </c>
      <c r="F199" s="35">
        <f>SUMIFS('Media&amp;EdByAEA,Dist,Nonpublic'!$L$3:$L$1349,'Media&amp;EdByAEA,Dist,Nonpublic'!$A$3:$A$1349,'Media&amp;EdByAEA,Nonpublic'!$A199,'Media&amp;EdByAEA,Dist,Nonpublic'!$D$3:$D$1349,'Media&amp;EdByAEA,Nonpublic'!$D199,'Media&amp;EdByAEA,Dist,Nonpublic'!$E$3:$E$1349,'Media&amp;EdByAEA,Nonpublic'!$E199)</f>
        <v>129.80000000000001</v>
      </c>
      <c r="G199" s="35">
        <f>SUMIFS('Media&amp;EdByAEA,Dist,Nonpublic'!$M$3:$M$1349,'Media&amp;EdByAEA,Dist,Nonpublic'!$A$3:$A$1349,'Media&amp;EdByAEA,Nonpublic'!$A199,'Media&amp;EdByAEA,Dist,Nonpublic'!$D$3:$D$1349,'Media&amp;EdByAEA,Nonpublic'!$D199,'Media&amp;EdByAEA,Dist,Nonpublic'!$E$3:$E$1349,'Media&amp;EdByAEA,Nonpublic'!$E199)</f>
        <v>142.6</v>
      </c>
    </row>
    <row r="200" spans="1:7" x14ac:dyDescent="0.25">
      <c r="A200" s="82">
        <v>11</v>
      </c>
      <c r="B200" s="81" t="s">
        <v>1123</v>
      </c>
      <c r="C200" s="81" t="s">
        <v>866</v>
      </c>
      <c r="D200" s="82">
        <v>3114</v>
      </c>
      <c r="E200" s="82">
        <v>8102</v>
      </c>
      <c r="F200" s="35">
        <f>SUMIFS('Media&amp;EdByAEA,Dist,Nonpublic'!$L$3:$L$1349,'Media&amp;EdByAEA,Dist,Nonpublic'!$A$3:$A$1349,'Media&amp;EdByAEA,Nonpublic'!$A200,'Media&amp;EdByAEA,Dist,Nonpublic'!$D$3:$D$1349,'Media&amp;EdByAEA,Nonpublic'!$D200,'Media&amp;EdByAEA,Dist,Nonpublic'!$E$3:$E$1349,'Media&amp;EdByAEA,Nonpublic'!$E200)</f>
        <v>9405.02</v>
      </c>
      <c r="G200" s="35">
        <f>SUMIFS('Media&amp;EdByAEA,Dist,Nonpublic'!$M$3:$M$1349,'Media&amp;EdByAEA,Dist,Nonpublic'!$A$3:$A$1349,'Media&amp;EdByAEA,Nonpublic'!$A200,'Media&amp;EdByAEA,Dist,Nonpublic'!$D$3:$D$1349,'Media&amp;EdByAEA,Nonpublic'!$D200,'Media&amp;EdByAEA,Dist,Nonpublic'!$E$3:$E$1349,'Media&amp;EdByAEA,Nonpublic'!$E200)</f>
        <v>10335.790000000001</v>
      </c>
    </row>
    <row r="201" spans="1:7" x14ac:dyDescent="0.25">
      <c r="A201" s="82">
        <v>11</v>
      </c>
      <c r="B201" s="81" t="s">
        <v>1123</v>
      </c>
      <c r="C201" s="81" t="s">
        <v>867</v>
      </c>
      <c r="D201" s="82">
        <v>3114</v>
      </c>
      <c r="E201" s="82">
        <v>8165</v>
      </c>
      <c r="F201" s="35">
        <f>SUMIFS('Media&amp;EdByAEA,Dist,Nonpublic'!$L$3:$L$1349,'Media&amp;EdByAEA,Dist,Nonpublic'!$A$3:$A$1349,'Media&amp;EdByAEA,Nonpublic'!$A201,'Media&amp;EdByAEA,Dist,Nonpublic'!$D$3:$D$1349,'Media&amp;EdByAEA,Nonpublic'!$D201,'Media&amp;EdByAEA,Dist,Nonpublic'!$E$3:$E$1349,'Media&amp;EdByAEA,Nonpublic'!$E201)</f>
        <v>1037.78</v>
      </c>
      <c r="G201" s="35">
        <f>SUMIFS('Media&amp;EdByAEA,Dist,Nonpublic'!$M$3:$M$1349,'Media&amp;EdByAEA,Dist,Nonpublic'!$A$3:$A$1349,'Media&amp;EdByAEA,Nonpublic'!$A201,'Media&amp;EdByAEA,Dist,Nonpublic'!$D$3:$D$1349,'Media&amp;EdByAEA,Nonpublic'!$D201,'Media&amp;EdByAEA,Dist,Nonpublic'!$E$3:$E$1349,'Media&amp;EdByAEA,Nonpublic'!$E201)</f>
        <v>1140.53</v>
      </c>
    </row>
    <row r="202" spans="1:7" x14ac:dyDescent="0.25">
      <c r="A202" s="82">
        <v>11</v>
      </c>
      <c r="B202" s="81" t="s">
        <v>1123</v>
      </c>
      <c r="C202" s="81" t="s">
        <v>877</v>
      </c>
      <c r="D202" s="82">
        <v>3231</v>
      </c>
      <c r="E202" s="82">
        <v>8121</v>
      </c>
      <c r="F202" s="35">
        <f>SUMIFS('Media&amp;EdByAEA,Dist,Nonpublic'!$L$3:$L$1349,'Media&amp;EdByAEA,Dist,Nonpublic'!$A$3:$A$1349,'Media&amp;EdByAEA,Nonpublic'!$A202,'Media&amp;EdByAEA,Dist,Nonpublic'!$D$3:$D$1349,'Media&amp;EdByAEA,Nonpublic'!$D202,'Media&amp;EdByAEA,Dist,Nonpublic'!$E$3:$E$1349,'Media&amp;EdByAEA,Nonpublic'!$E202)</f>
        <v>1232.3400000000001</v>
      </c>
      <c r="G202" s="35">
        <f>SUMIFS('Media&amp;EdByAEA,Dist,Nonpublic'!$M$3:$M$1349,'Media&amp;EdByAEA,Dist,Nonpublic'!$A$3:$A$1349,'Media&amp;EdByAEA,Nonpublic'!$A202,'Media&amp;EdByAEA,Dist,Nonpublic'!$D$3:$D$1349,'Media&amp;EdByAEA,Nonpublic'!$D202,'Media&amp;EdByAEA,Dist,Nonpublic'!$E$3:$E$1349,'Media&amp;EdByAEA,Nonpublic'!$E202)</f>
        <v>1354.33</v>
      </c>
    </row>
    <row r="203" spans="1:7" x14ac:dyDescent="0.25">
      <c r="A203" s="82">
        <v>11</v>
      </c>
      <c r="B203" s="81" t="s">
        <v>1123</v>
      </c>
      <c r="C203" s="81" t="s">
        <v>878</v>
      </c>
      <c r="D203" s="82">
        <v>3231</v>
      </c>
      <c r="E203" s="82">
        <v>8165</v>
      </c>
      <c r="F203" s="35">
        <f>SUMIFS('Media&amp;EdByAEA,Dist,Nonpublic'!$L$3:$L$1349,'Media&amp;EdByAEA,Dist,Nonpublic'!$A$3:$A$1349,'Media&amp;EdByAEA,Nonpublic'!$A203,'Media&amp;EdByAEA,Dist,Nonpublic'!$D$3:$D$1349,'Media&amp;EdByAEA,Nonpublic'!$D203,'Media&amp;EdByAEA,Dist,Nonpublic'!$E$3:$E$1349,'Media&amp;EdByAEA,Nonpublic'!$E203)</f>
        <v>64.86</v>
      </c>
      <c r="G203" s="35">
        <f>SUMIFS('Media&amp;EdByAEA,Dist,Nonpublic'!$M$3:$M$1349,'Media&amp;EdByAEA,Dist,Nonpublic'!$A$3:$A$1349,'Media&amp;EdByAEA,Nonpublic'!$A203,'Media&amp;EdByAEA,Dist,Nonpublic'!$D$3:$D$1349,'Media&amp;EdByAEA,Nonpublic'!$D203,'Media&amp;EdByAEA,Dist,Nonpublic'!$E$3:$E$1349,'Media&amp;EdByAEA,Nonpublic'!$E203)</f>
        <v>71.28</v>
      </c>
    </row>
    <row r="204" spans="1:7" x14ac:dyDescent="0.25">
      <c r="A204" s="82">
        <v>11</v>
      </c>
      <c r="B204" s="81" t="s">
        <v>1123</v>
      </c>
      <c r="C204" s="81" t="s">
        <v>886</v>
      </c>
      <c r="D204" s="82">
        <v>3906</v>
      </c>
      <c r="E204" s="82">
        <v>8303</v>
      </c>
      <c r="F204" s="35">
        <f>SUMIFS('Media&amp;EdByAEA,Dist,Nonpublic'!$L$3:$L$1349,'Media&amp;EdByAEA,Dist,Nonpublic'!$A$3:$A$1349,'Media&amp;EdByAEA,Nonpublic'!$A204,'Media&amp;EdByAEA,Dist,Nonpublic'!$D$3:$D$1349,'Media&amp;EdByAEA,Nonpublic'!$D204,'Media&amp;EdByAEA,Dist,Nonpublic'!$E$3:$E$1349,'Media&amp;EdByAEA,Nonpublic'!$E204)</f>
        <v>2724.04</v>
      </c>
      <c r="G204" s="35">
        <f>SUMIFS('Media&amp;EdByAEA,Dist,Nonpublic'!$M$3:$M$1349,'Media&amp;EdByAEA,Dist,Nonpublic'!$A$3:$A$1349,'Media&amp;EdByAEA,Nonpublic'!$A204,'Media&amp;EdByAEA,Dist,Nonpublic'!$D$3:$D$1349,'Media&amp;EdByAEA,Nonpublic'!$D204,'Media&amp;EdByAEA,Dist,Nonpublic'!$E$3:$E$1349,'Media&amp;EdByAEA,Nonpublic'!$E204)</f>
        <v>2993.9300000000003</v>
      </c>
    </row>
    <row r="205" spans="1:7" x14ac:dyDescent="0.25">
      <c r="A205" s="82">
        <v>11</v>
      </c>
      <c r="B205" s="81" t="s">
        <v>1123</v>
      </c>
      <c r="C205" s="81" t="s">
        <v>901</v>
      </c>
      <c r="D205" s="82">
        <v>4725</v>
      </c>
      <c r="E205" s="82">
        <v>8301</v>
      </c>
      <c r="F205" s="35">
        <f>SUMIFS('Media&amp;EdByAEA,Dist,Nonpublic'!$L$3:$L$1349,'Media&amp;EdByAEA,Dist,Nonpublic'!$A$3:$A$1349,'Media&amp;EdByAEA,Nonpublic'!$A205,'Media&amp;EdByAEA,Dist,Nonpublic'!$D$3:$D$1349,'Media&amp;EdByAEA,Nonpublic'!$D205,'Media&amp;EdByAEA,Dist,Nonpublic'!$E$3:$E$1349,'Media&amp;EdByAEA,Nonpublic'!$E205)</f>
        <v>5383.47</v>
      </c>
      <c r="G205" s="35">
        <f>SUMIFS('Media&amp;EdByAEA,Dist,Nonpublic'!$M$3:$M$1349,'Media&amp;EdByAEA,Dist,Nonpublic'!$A$3:$A$1349,'Media&amp;EdByAEA,Nonpublic'!$A205,'Media&amp;EdByAEA,Dist,Nonpublic'!$D$3:$D$1349,'Media&amp;EdByAEA,Nonpublic'!$D205,'Media&amp;EdByAEA,Dist,Nonpublic'!$E$3:$E$1349,'Media&amp;EdByAEA,Nonpublic'!$E205)</f>
        <v>5916.07</v>
      </c>
    </row>
    <row r="206" spans="1:7" x14ac:dyDescent="0.25">
      <c r="A206" s="82">
        <v>11</v>
      </c>
      <c r="B206" s="81" t="s">
        <v>1123</v>
      </c>
      <c r="C206" s="81" t="s">
        <v>902</v>
      </c>
      <c r="D206" s="82">
        <v>4797</v>
      </c>
      <c r="E206" s="82">
        <v>8106</v>
      </c>
      <c r="F206" s="35">
        <f>SUMIFS('Media&amp;EdByAEA,Dist,Nonpublic'!$L$3:$L$1349,'Media&amp;EdByAEA,Dist,Nonpublic'!$A$3:$A$1349,'Media&amp;EdByAEA,Nonpublic'!$A206,'Media&amp;EdByAEA,Dist,Nonpublic'!$D$3:$D$1349,'Media&amp;EdByAEA,Nonpublic'!$D206,'Media&amp;EdByAEA,Dist,Nonpublic'!$E$3:$E$1349,'Media&amp;EdByAEA,Nonpublic'!$E206)</f>
        <v>1426.9</v>
      </c>
      <c r="G206" s="35">
        <f>SUMIFS('Media&amp;EdByAEA,Dist,Nonpublic'!$M$3:$M$1349,'Media&amp;EdByAEA,Dist,Nonpublic'!$A$3:$A$1349,'Media&amp;EdByAEA,Nonpublic'!$A206,'Media&amp;EdByAEA,Dist,Nonpublic'!$D$3:$D$1349,'Media&amp;EdByAEA,Nonpublic'!$D206,'Media&amp;EdByAEA,Dist,Nonpublic'!$E$3:$E$1349,'Media&amp;EdByAEA,Nonpublic'!$E206)</f>
        <v>1568.16</v>
      </c>
    </row>
    <row r="207" spans="1:7" x14ac:dyDescent="0.25">
      <c r="A207" s="82">
        <v>11</v>
      </c>
      <c r="B207" s="81" t="s">
        <v>1123</v>
      </c>
      <c r="C207" s="81" t="s">
        <v>903</v>
      </c>
      <c r="D207" s="82">
        <v>4797</v>
      </c>
      <c r="E207" s="82">
        <v>8121</v>
      </c>
      <c r="F207" s="35">
        <f>SUMIFS('Media&amp;EdByAEA,Dist,Nonpublic'!$L$3:$L$1349,'Media&amp;EdByAEA,Dist,Nonpublic'!$A$3:$A$1349,'Media&amp;EdByAEA,Nonpublic'!$A207,'Media&amp;EdByAEA,Dist,Nonpublic'!$D$3:$D$1349,'Media&amp;EdByAEA,Nonpublic'!$D207,'Media&amp;EdByAEA,Dist,Nonpublic'!$E$3:$E$1349,'Media&amp;EdByAEA,Nonpublic'!$E207)</f>
        <v>843.15</v>
      </c>
      <c r="G207" s="35">
        <f>SUMIFS('Media&amp;EdByAEA,Dist,Nonpublic'!$M$3:$M$1349,'Media&amp;EdByAEA,Dist,Nonpublic'!$A$3:$A$1349,'Media&amp;EdByAEA,Nonpublic'!$A207,'Media&amp;EdByAEA,Dist,Nonpublic'!$D$3:$D$1349,'Media&amp;EdByAEA,Nonpublic'!$D207,'Media&amp;EdByAEA,Dist,Nonpublic'!$E$3:$E$1349,'Media&amp;EdByAEA,Nonpublic'!$E207)</f>
        <v>926.64</v>
      </c>
    </row>
    <row r="208" spans="1:7" x14ac:dyDescent="0.25">
      <c r="A208" s="82">
        <v>11</v>
      </c>
      <c r="B208" s="81" t="s">
        <v>1123</v>
      </c>
      <c r="C208" s="81" t="s">
        <v>904</v>
      </c>
      <c r="D208" s="82">
        <v>5013</v>
      </c>
      <c r="E208" s="82">
        <v>8301</v>
      </c>
      <c r="F208" s="35">
        <f>SUMIFS('Media&amp;EdByAEA,Dist,Nonpublic'!$L$3:$L$1349,'Media&amp;EdByAEA,Dist,Nonpublic'!$A$3:$A$1349,'Media&amp;EdByAEA,Nonpublic'!$A208,'Media&amp;EdByAEA,Dist,Nonpublic'!$D$3:$D$1349,'Media&amp;EdByAEA,Nonpublic'!$D208,'Media&amp;EdByAEA,Dist,Nonpublic'!$E$3:$E$1349,'Media&amp;EdByAEA,Nonpublic'!$E208)</f>
        <v>778.36</v>
      </c>
      <c r="G208" s="35">
        <f>SUMIFS('Media&amp;EdByAEA,Dist,Nonpublic'!$M$3:$M$1349,'Media&amp;EdByAEA,Dist,Nonpublic'!$A$3:$A$1349,'Media&amp;EdByAEA,Nonpublic'!$A208,'Media&amp;EdByAEA,Dist,Nonpublic'!$D$3:$D$1349,'Media&amp;EdByAEA,Nonpublic'!$D208,'Media&amp;EdByAEA,Dist,Nonpublic'!$E$3:$E$1349,'Media&amp;EdByAEA,Nonpublic'!$E208)</f>
        <v>855.28</v>
      </c>
    </row>
    <row r="209" spans="1:7" x14ac:dyDescent="0.25">
      <c r="A209" s="82">
        <v>11</v>
      </c>
      <c r="B209" s="81" t="s">
        <v>1123</v>
      </c>
      <c r="C209" s="81" t="s">
        <v>908</v>
      </c>
      <c r="D209" s="82">
        <v>5166</v>
      </c>
      <c r="E209" s="82">
        <v>8301</v>
      </c>
      <c r="F209" s="35">
        <f>SUMIFS('Media&amp;EdByAEA,Dist,Nonpublic'!$L$3:$L$1349,'Media&amp;EdByAEA,Dist,Nonpublic'!$A$3:$A$1349,'Media&amp;EdByAEA,Nonpublic'!$A209,'Media&amp;EdByAEA,Dist,Nonpublic'!$D$3:$D$1349,'Media&amp;EdByAEA,Nonpublic'!$D209,'Media&amp;EdByAEA,Dist,Nonpublic'!$E$3:$E$1349,'Media&amp;EdByAEA,Nonpublic'!$E209)</f>
        <v>29122.37</v>
      </c>
      <c r="G209" s="35">
        <f>SUMIFS('Media&amp;EdByAEA,Dist,Nonpublic'!$M$3:$M$1349,'Media&amp;EdByAEA,Dist,Nonpublic'!$A$3:$A$1349,'Media&amp;EdByAEA,Nonpublic'!$A209,'Media&amp;EdByAEA,Dist,Nonpublic'!$D$3:$D$1349,'Media&amp;EdByAEA,Nonpublic'!$D209,'Media&amp;EdByAEA,Dist,Nonpublic'!$E$3:$E$1349,'Media&amp;EdByAEA,Nonpublic'!$E209)</f>
        <v>32004.81</v>
      </c>
    </row>
    <row r="210" spans="1:7" x14ac:dyDescent="0.25">
      <c r="A210" s="82">
        <v>11</v>
      </c>
      <c r="B210" s="81" t="s">
        <v>1123</v>
      </c>
      <c r="C210" s="81" t="s">
        <v>909</v>
      </c>
      <c r="D210" s="82">
        <v>5166</v>
      </c>
      <c r="E210" s="82">
        <v>8302</v>
      </c>
      <c r="F210" s="35">
        <f>SUMIFS('Media&amp;EdByAEA,Dist,Nonpublic'!$L$3:$L$1349,'Media&amp;EdByAEA,Dist,Nonpublic'!$A$3:$A$1349,'Media&amp;EdByAEA,Nonpublic'!$A210,'Media&amp;EdByAEA,Dist,Nonpublic'!$D$3:$D$1349,'Media&amp;EdByAEA,Nonpublic'!$D210,'Media&amp;EdByAEA,Dist,Nonpublic'!$E$3:$E$1349,'Media&amp;EdByAEA,Nonpublic'!$E210)</f>
        <v>16215.079999999998</v>
      </c>
      <c r="G210" s="35">
        <f>SUMIFS('Media&amp;EdByAEA,Dist,Nonpublic'!$M$3:$M$1349,'Media&amp;EdByAEA,Dist,Nonpublic'!$A$3:$A$1349,'Media&amp;EdByAEA,Nonpublic'!$A210,'Media&amp;EdByAEA,Dist,Nonpublic'!$D$3:$D$1349,'Media&amp;EdByAEA,Nonpublic'!$D210,'Media&amp;EdByAEA,Dist,Nonpublic'!$E$3:$E$1349,'Media&amp;EdByAEA,Nonpublic'!$E210)</f>
        <v>17820.100000000002</v>
      </c>
    </row>
    <row r="211" spans="1:7" x14ac:dyDescent="0.25">
      <c r="A211" s="82">
        <v>11</v>
      </c>
      <c r="B211" s="81" t="s">
        <v>1123</v>
      </c>
      <c r="C211" s="81" t="s">
        <v>910</v>
      </c>
      <c r="D211" s="82">
        <v>5166</v>
      </c>
      <c r="E211" s="82">
        <v>8305</v>
      </c>
      <c r="F211" s="35">
        <f>SUMIFS('Media&amp;EdByAEA,Dist,Nonpublic'!$L$3:$L$1349,'Media&amp;EdByAEA,Dist,Nonpublic'!$A$3:$A$1349,'Media&amp;EdByAEA,Nonpublic'!$A211,'Media&amp;EdByAEA,Dist,Nonpublic'!$D$3:$D$1349,'Media&amp;EdByAEA,Nonpublic'!$D211,'Media&amp;EdByAEA,Dist,Nonpublic'!$E$3:$E$1349,'Media&amp;EdByAEA,Nonpublic'!$E211)</f>
        <v>2010.65</v>
      </c>
      <c r="G211" s="35">
        <f>SUMIFS('Media&amp;EdByAEA,Dist,Nonpublic'!$M$3:$M$1349,'Media&amp;EdByAEA,Dist,Nonpublic'!$A$3:$A$1349,'Media&amp;EdByAEA,Nonpublic'!$A211,'Media&amp;EdByAEA,Dist,Nonpublic'!$D$3:$D$1349,'Media&amp;EdByAEA,Nonpublic'!$D211,'Media&amp;EdByAEA,Dist,Nonpublic'!$E$3:$E$1349,'Media&amp;EdByAEA,Nonpublic'!$E211)</f>
        <v>2209.7199999999998</v>
      </c>
    </row>
    <row r="212" spans="1:7" x14ac:dyDescent="0.25">
      <c r="A212" s="82">
        <v>11</v>
      </c>
      <c r="B212" s="81" t="s">
        <v>1123</v>
      </c>
      <c r="C212" s="81" t="s">
        <v>768</v>
      </c>
      <c r="D212" s="82">
        <v>5184</v>
      </c>
      <c r="E212" s="82">
        <v>8102</v>
      </c>
      <c r="F212" s="35">
        <f>SUMIFS('Media&amp;EdByAEA,Dist,Nonpublic'!$L$3:$L$1349,'Media&amp;EdByAEA,Dist,Nonpublic'!$A$3:$A$1349,'Media&amp;EdByAEA,Nonpublic'!$A212,'Media&amp;EdByAEA,Dist,Nonpublic'!$D$3:$D$1349,'Media&amp;EdByAEA,Nonpublic'!$D212,'Media&amp;EdByAEA,Dist,Nonpublic'!$E$3:$E$1349,'Media&amp;EdByAEA,Nonpublic'!$E212)</f>
        <v>6161.62</v>
      </c>
      <c r="G212" s="35">
        <f>SUMIFS('Media&amp;EdByAEA,Dist,Nonpublic'!$M$3:$M$1349,'Media&amp;EdByAEA,Dist,Nonpublic'!$A$3:$A$1349,'Media&amp;EdByAEA,Nonpublic'!$A212,'Media&amp;EdByAEA,Dist,Nonpublic'!$D$3:$D$1349,'Media&amp;EdByAEA,Nonpublic'!$D212,'Media&amp;EdByAEA,Dist,Nonpublic'!$E$3:$E$1349,'Media&amp;EdByAEA,Nonpublic'!$E212)</f>
        <v>6771.95</v>
      </c>
    </row>
    <row r="213" spans="1:7" x14ac:dyDescent="0.25">
      <c r="A213" s="82">
        <v>11</v>
      </c>
      <c r="B213" s="81" t="s">
        <v>1123</v>
      </c>
      <c r="C213" s="81" t="s">
        <v>915</v>
      </c>
      <c r="D213" s="82">
        <v>5805</v>
      </c>
      <c r="E213" s="82">
        <v>8109</v>
      </c>
      <c r="F213" s="35">
        <f>SUMIFS('Media&amp;EdByAEA,Dist,Nonpublic'!$L$3:$L$1349,'Media&amp;EdByAEA,Dist,Nonpublic'!$A$3:$A$1349,'Media&amp;EdByAEA,Nonpublic'!$A213,'Media&amp;EdByAEA,Dist,Nonpublic'!$D$3:$D$1349,'Media&amp;EdByAEA,Nonpublic'!$D213,'Media&amp;EdByAEA,Dist,Nonpublic'!$E$3:$E$1349,'Media&amp;EdByAEA,Nonpublic'!$E213)</f>
        <v>33986.86</v>
      </c>
      <c r="G213" s="35">
        <f>SUMIFS('Media&amp;EdByAEA,Dist,Nonpublic'!$M$3:$M$1349,'Media&amp;EdByAEA,Dist,Nonpublic'!$A$3:$A$1349,'Media&amp;EdByAEA,Nonpublic'!$A213,'Media&amp;EdByAEA,Dist,Nonpublic'!$D$3:$D$1349,'Media&amp;EdByAEA,Nonpublic'!$D213,'Media&amp;EdByAEA,Dist,Nonpublic'!$E$3:$E$1349,'Media&amp;EdByAEA,Nonpublic'!$E213)</f>
        <v>37350.54</v>
      </c>
    </row>
    <row r="214" spans="1:7" x14ac:dyDescent="0.25">
      <c r="A214" s="82">
        <v>11</v>
      </c>
      <c r="B214" s="81" t="s">
        <v>1123</v>
      </c>
      <c r="C214" s="81" t="s">
        <v>933</v>
      </c>
      <c r="D214" s="82">
        <v>6579</v>
      </c>
      <c r="E214" s="82">
        <v>8112</v>
      </c>
      <c r="F214" s="35">
        <f>SUMIFS('Media&amp;EdByAEA,Dist,Nonpublic'!$L$3:$L$1349,'Media&amp;EdByAEA,Dist,Nonpublic'!$A$3:$A$1349,'Media&amp;EdByAEA,Nonpublic'!$A214,'Media&amp;EdByAEA,Dist,Nonpublic'!$D$3:$D$1349,'Media&amp;EdByAEA,Nonpublic'!$D214,'Media&amp;EdByAEA,Dist,Nonpublic'!$E$3:$E$1349,'Media&amp;EdByAEA,Nonpublic'!$E214)</f>
        <v>23933.38</v>
      </c>
      <c r="G214" s="35">
        <f>SUMIFS('Media&amp;EdByAEA,Dist,Nonpublic'!$M$3:$M$1349,'Media&amp;EdByAEA,Dist,Nonpublic'!$A$3:$A$1349,'Media&amp;EdByAEA,Nonpublic'!$A214,'Media&amp;EdByAEA,Dist,Nonpublic'!$D$3:$D$1349,'Media&amp;EdByAEA,Nonpublic'!$D214,'Media&amp;EdByAEA,Dist,Nonpublic'!$E$3:$E$1349,'Media&amp;EdByAEA,Nonpublic'!$E214)</f>
        <v>26302.5</v>
      </c>
    </row>
    <row r="215" spans="1:7" x14ac:dyDescent="0.25">
      <c r="A215" s="82">
        <v>11</v>
      </c>
      <c r="B215" s="81" t="s">
        <v>1123</v>
      </c>
      <c r="C215" s="81" t="s">
        <v>934</v>
      </c>
      <c r="D215" s="82">
        <v>6579</v>
      </c>
      <c r="E215" s="82">
        <v>8502</v>
      </c>
      <c r="F215" s="35">
        <f>SUMIFS('Media&amp;EdByAEA,Dist,Nonpublic'!$L$3:$L$1349,'Media&amp;EdByAEA,Dist,Nonpublic'!$A$3:$A$1349,'Media&amp;EdByAEA,Nonpublic'!$A215,'Media&amp;EdByAEA,Dist,Nonpublic'!$D$3:$D$1349,'Media&amp;EdByAEA,Nonpublic'!$D215,'Media&amp;EdByAEA,Dist,Nonpublic'!$E$3:$E$1349,'Media&amp;EdByAEA,Nonpublic'!$E215)</f>
        <v>33143.279999999999</v>
      </c>
      <c r="G215" s="35">
        <f>SUMIFS('Media&amp;EdByAEA,Dist,Nonpublic'!$M$3:$M$1349,'Media&amp;EdByAEA,Dist,Nonpublic'!$A$3:$A$1349,'Media&amp;EdByAEA,Nonpublic'!$A215,'Media&amp;EdByAEA,Dist,Nonpublic'!$D$3:$D$1349,'Media&amp;EdByAEA,Nonpublic'!$D215,'Media&amp;EdByAEA,Dist,Nonpublic'!$E$3:$E$1349,'Media&amp;EdByAEA,Nonpublic'!$E215)</f>
        <v>36424.109999999993</v>
      </c>
    </row>
    <row r="216" spans="1:7" x14ac:dyDescent="0.25">
      <c r="A216" s="82">
        <v>11</v>
      </c>
      <c r="B216" s="81" t="s">
        <v>1123</v>
      </c>
      <c r="C216" s="81" t="s">
        <v>935</v>
      </c>
      <c r="D216" s="82">
        <v>6579</v>
      </c>
      <c r="E216" s="82">
        <v>8503</v>
      </c>
      <c r="F216" s="35">
        <f>SUMIFS('Media&amp;EdByAEA,Dist,Nonpublic'!$L$3:$L$1349,'Media&amp;EdByAEA,Dist,Nonpublic'!$A$3:$A$1349,'Media&amp;EdByAEA,Nonpublic'!$A216,'Media&amp;EdByAEA,Dist,Nonpublic'!$D$3:$D$1349,'Media&amp;EdByAEA,Nonpublic'!$D216,'Media&amp;EdByAEA,Dist,Nonpublic'!$E$3:$E$1349,'Media&amp;EdByAEA,Nonpublic'!$E216)</f>
        <v>49812.640000000007</v>
      </c>
      <c r="G216" s="35">
        <f>SUMIFS('Media&amp;EdByAEA,Dist,Nonpublic'!$M$3:$M$1349,'Media&amp;EdByAEA,Dist,Nonpublic'!$A$3:$A$1349,'Media&amp;EdByAEA,Nonpublic'!$A216,'Media&amp;EdByAEA,Dist,Nonpublic'!$D$3:$D$1349,'Media&amp;EdByAEA,Nonpublic'!$D216,'Media&amp;EdByAEA,Dist,Nonpublic'!$E$3:$E$1349,'Media&amp;EdByAEA,Nonpublic'!$E216)</f>
        <v>54743.180000000008</v>
      </c>
    </row>
    <row r="217" spans="1:7" x14ac:dyDescent="0.25">
      <c r="A217" s="82">
        <v>11</v>
      </c>
      <c r="B217" s="81" t="s">
        <v>1123</v>
      </c>
      <c r="C217" s="81" t="s">
        <v>947</v>
      </c>
      <c r="D217" s="82">
        <v>6822</v>
      </c>
      <c r="E217" s="82">
        <v>8101</v>
      </c>
      <c r="F217" s="35">
        <f>SUMIFS('Media&amp;EdByAEA,Dist,Nonpublic'!$L$3:$L$1349,'Media&amp;EdByAEA,Dist,Nonpublic'!$A$3:$A$1349,'Media&amp;EdByAEA,Nonpublic'!$A217,'Media&amp;EdByAEA,Dist,Nonpublic'!$D$3:$D$1349,'Media&amp;EdByAEA,Nonpublic'!$D217,'Media&amp;EdByAEA,Dist,Nonpublic'!$E$3:$E$1349,'Media&amp;EdByAEA,Nonpublic'!$E217)</f>
        <v>43585.94</v>
      </c>
      <c r="G217" s="35">
        <f>SUMIFS('Media&amp;EdByAEA,Dist,Nonpublic'!$M$3:$M$1349,'Media&amp;EdByAEA,Dist,Nonpublic'!$A$3:$A$1349,'Media&amp;EdByAEA,Nonpublic'!$A217,'Media&amp;EdByAEA,Dist,Nonpublic'!$D$3:$D$1349,'Media&amp;EdByAEA,Nonpublic'!$D217,'Media&amp;EdByAEA,Dist,Nonpublic'!$E$3:$E$1349,'Media&amp;EdByAEA,Nonpublic'!$E217)</f>
        <v>47900.17</v>
      </c>
    </row>
    <row r="218" spans="1:7" x14ac:dyDescent="0.25">
      <c r="A218" s="82">
        <v>11</v>
      </c>
      <c r="B218" s="81" t="s">
        <v>1123</v>
      </c>
      <c r="C218" s="81" t="s">
        <v>951</v>
      </c>
      <c r="D218" s="82">
        <v>6957</v>
      </c>
      <c r="E218" s="82">
        <v>8103</v>
      </c>
      <c r="F218" s="35">
        <f>SUMIFS('Media&amp;EdByAEA,Dist,Nonpublic'!$L$3:$L$1349,'Media&amp;EdByAEA,Dist,Nonpublic'!$A$3:$A$1349,'Media&amp;EdByAEA,Nonpublic'!$A218,'Media&amp;EdByAEA,Dist,Nonpublic'!$D$3:$D$1349,'Media&amp;EdByAEA,Nonpublic'!$D218,'Media&amp;EdByAEA,Dist,Nonpublic'!$E$3:$E$1349,'Media&amp;EdByAEA,Nonpublic'!$E218)</f>
        <v>91063.28</v>
      </c>
      <c r="G218" s="35">
        <f>SUMIFS('Media&amp;EdByAEA,Dist,Nonpublic'!$M$3:$M$1349,'Media&amp;EdByAEA,Dist,Nonpublic'!$A$3:$A$1349,'Media&amp;EdByAEA,Nonpublic'!$A218,'Media&amp;EdByAEA,Dist,Nonpublic'!$D$3:$D$1349,'Media&amp;EdByAEA,Nonpublic'!$D218,'Media&amp;EdByAEA,Dist,Nonpublic'!$E$3:$E$1349,'Media&amp;EdByAEA,Nonpublic'!$E218)</f>
        <v>100077.39</v>
      </c>
    </row>
    <row r="219" spans="1:7" x14ac:dyDescent="0.25">
      <c r="A219" s="82">
        <v>11</v>
      </c>
      <c r="B219" s="81" t="s">
        <v>1123</v>
      </c>
      <c r="C219" s="81" t="s">
        <v>783</v>
      </c>
      <c r="D219" s="82">
        <v>6957</v>
      </c>
      <c r="E219" s="82">
        <v>8104</v>
      </c>
      <c r="F219" s="35">
        <f>SUMIFS('Media&amp;EdByAEA,Dist,Nonpublic'!$L$3:$L$1349,'Media&amp;EdByAEA,Dist,Nonpublic'!$A$3:$A$1349,'Media&amp;EdByAEA,Nonpublic'!$A219,'Media&amp;EdByAEA,Dist,Nonpublic'!$D$3:$D$1349,'Media&amp;EdByAEA,Nonpublic'!$D219,'Media&amp;EdByAEA,Dist,Nonpublic'!$E$3:$E$1349,'Media&amp;EdByAEA,Nonpublic'!$E219)</f>
        <v>31651.629999999997</v>
      </c>
      <c r="G219" s="35">
        <f>SUMIFS('Media&amp;EdByAEA,Dist,Nonpublic'!$M$3:$M$1349,'Media&amp;EdByAEA,Dist,Nonpublic'!$A$3:$A$1349,'Media&amp;EdByAEA,Nonpublic'!$A219,'Media&amp;EdByAEA,Dist,Nonpublic'!$D$3:$D$1349,'Media&amp;EdByAEA,Nonpublic'!$D219,'Media&amp;EdByAEA,Dist,Nonpublic'!$E$3:$E$1349,'Media&amp;EdByAEA,Nonpublic'!$E219)</f>
        <v>34784.589999999997</v>
      </c>
    </row>
    <row r="220" spans="1:7" x14ac:dyDescent="0.25">
      <c r="A220" s="82">
        <v>11</v>
      </c>
      <c r="B220" s="81" t="s">
        <v>1123</v>
      </c>
      <c r="C220" s="81" t="s">
        <v>952</v>
      </c>
      <c r="D220" s="82">
        <v>6957</v>
      </c>
      <c r="E220" s="82">
        <v>8106</v>
      </c>
      <c r="F220" s="35">
        <f>SUMIFS('Media&amp;EdByAEA,Dist,Nonpublic'!$L$3:$L$1349,'Media&amp;EdByAEA,Dist,Nonpublic'!$A$3:$A$1349,'Media&amp;EdByAEA,Nonpublic'!$A220,'Media&amp;EdByAEA,Dist,Nonpublic'!$D$3:$D$1349,'Media&amp;EdByAEA,Nonpublic'!$D220,'Media&amp;EdByAEA,Dist,Nonpublic'!$E$3:$E$1349,'Media&amp;EdByAEA,Nonpublic'!$E220)</f>
        <v>8172.3399999999992</v>
      </c>
      <c r="G220" s="35">
        <f>SUMIFS('Media&amp;EdByAEA,Dist,Nonpublic'!$M$3:$M$1349,'Media&amp;EdByAEA,Dist,Nonpublic'!$A$3:$A$1349,'Media&amp;EdByAEA,Nonpublic'!$A220,'Media&amp;EdByAEA,Dist,Nonpublic'!$D$3:$D$1349,'Media&amp;EdByAEA,Nonpublic'!$D220,'Media&amp;EdByAEA,Dist,Nonpublic'!$E$3:$E$1349,'Media&amp;EdByAEA,Nonpublic'!$E220)</f>
        <v>8981.2799999999988</v>
      </c>
    </row>
    <row r="221" spans="1:7" x14ac:dyDescent="0.25">
      <c r="A221" s="82">
        <v>12</v>
      </c>
      <c r="B221" s="81" t="s">
        <v>671</v>
      </c>
      <c r="C221" s="81" t="s">
        <v>785</v>
      </c>
      <c r="D221" s="80" t="s">
        <v>232</v>
      </c>
      <c r="E221" s="82">
        <v>8109</v>
      </c>
      <c r="F221" s="35">
        <f>SUMIFS('Media&amp;EdByAEA,Dist,Nonpublic'!$L$3:$L$1349,'Media&amp;EdByAEA,Dist,Nonpublic'!$A$3:$A$1349,'Media&amp;EdByAEA,Nonpublic'!$A221,'Media&amp;EdByAEA,Dist,Nonpublic'!$D$3:$D$1349,'Media&amp;EdByAEA,Nonpublic'!$D221,'Media&amp;EdByAEA,Dist,Nonpublic'!$E$3:$E$1349,'Media&amp;EdByAEA,Nonpublic'!$E221)</f>
        <v>4177.3700000000008</v>
      </c>
      <c r="G221" s="35">
        <f>SUMIFS('Media&amp;EdByAEA,Dist,Nonpublic'!$M$3:$M$1349,'Media&amp;EdByAEA,Dist,Nonpublic'!$A$3:$A$1349,'Media&amp;EdByAEA,Nonpublic'!$A221,'Media&amp;EdByAEA,Dist,Nonpublic'!$D$3:$D$1349,'Media&amp;EdByAEA,Nonpublic'!$D221,'Media&amp;EdByAEA,Dist,Nonpublic'!$E$3:$E$1349,'Media&amp;EdByAEA,Nonpublic'!$E221)</f>
        <v>4675.83</v>
      </c>
    </row>
    <row r="222" spans="1:7" x14ac:dyDescent="0.25">
      <c r="A222" s="82">
        <v>12</v>
      </c>
      <c r="B222" s="81" t="s">
        <v>671</v>
      </c>
      <c r="C222" s="81" t="s">
        <v>786</v>
      </c>
      <c r="D222" s="80" t="s">
        <v>232</v>
      </c>
      <c r="E222" s="82">
        <v>8305</v>
      </c>
      <c r="F222" s="35">
        <f>SUMIFS('Media&amp;EdByAEA,Dist,Nonpublic'!$L$3:$L$1349,'Media&amp;EdByAEA,Dist,Nonpublic'!$A$3:$A$1349,'Media&amp;EdByAEA,Nonpublic'!$A222,'Media&amp;EdByAEA,Dist,Nonpublic'!$D$3:$D$1349,'Media&amp;EdByAEA,Nonpublic'!$D222,'Media&amp;EdByAEA,Dist,Nonpublic'!$E$3:$E$1349,'Media&amp;EdByAEA,Nonpublic'!$E222)</f>
        <v>12271.000000000002</v>
      </c>
      <c r="G222" s="35">
        <f>SUMIFS('Media&amp;EdByAEA,Dist,Nonpublic'!$M$3:$M$1349,'Media&amp;EdByAEA,Dist,Nonpublic'!$A$3:$A$1349,'Media&amp;EdByAEA,Nonpublic'!$A222,'Media&amp;EdByAEA,Dist,Nonpublic'!$D$3:$D$1349,'Media&amp;EdByAEA,Nonpublic'!$D222,'Media&amp;EdByAEA,Dist,Nonpublic'!$E$3:$E$1349,'Media&amp;EdByAEA,Nonpublic'!$E222)</f>
        <v>13735.299999999997</v>
      </c>
    </row>
    <row r="223" spans="1:7" x14ac:dyDescent="0.25">
      <c r="A223" s="82">
        <v>12</v>
      </c>
      <c r="B223" s="81" t="s">
        <v>671</v>
      </c>
      <c r="C223" s="81" t="s">
        <v>787</v>
      </c>
      <c r="D223" s="80" t="s">
        <v>232</v>
      </c>
      <c r="E223" s="82">
        <v>8306</v>
      </c>
      <c r="F223" s="35">
        <f>SUMIFS('Media&amp;EdByAEA,Dist,Nonpublic'!$L$3:$L$1349,'Media&amp;EdByAEA,Dist,Nonpublic'!$A$3:$A$1349,'Media&amp;EdByAEA,Nonpublic'!$A223,'Media&amp;EdByAEA,Dist,Nonpublic'!$D$3:$D$1349,'Media&amp;EdByAEA,Nonpublic'!$D223,'Media&amp;EdByAEA,Dist,Nonpublic'!$E$3:$E$1349,'Media&amp;EdByAEA,Nonpublic'!$E223)</f>
        <v>9268.5300000000007</v>
      </c>
      <c r="G223" s="35">
        <f>SUMIFS('Media&amp;EdByAEA,Dist,Nonpublic'!$M$3:$M$1349,'Media&amp;EdByAEA,Dist,Nonpublic'!$A$3:$A$1349,'Media&amp;EdByAEA,Nonpublic'!$A223,'Media&amp;EdByAEA,Dist,Nonpublic'!$D$3:$D$1349,'Media&amp;EdByAEA,Nonpublic'!$D223,'Media&amp;EdByAEA,Dist,Nonpublic'!$E$3:$E$1349,'Media&amp;EdByAEA,Nonpublic'!$E223)</f>
        <v>10374.529999999999</v>
      </c>
    </row>
    <row r="224" spans="1:7" x14ac:dyDescent="0.25">
      <c r="A224" s="82">
        <v>12</v>
      </c>
      <c r="B224" s="81" t="s">
        <v>671</v>
      </c>
      <c r="C224" s="81" t="s">
        <v>788</v>
      </c>
      <c r="D224" s="80" t="s">
        <v>232</v>
      </c>
      <c r="E224" s="82">
        <v>8309</v>
      </c>
      <c r="F224" s="35">
        <f>SUMIFS('Media&amp;EdByAEA,Dist,Nonpublic'!$L$3:$L$1349,'Media&amp;EdByAEA,Dist,Nonpublic'!$A$3:$A$1349,'Media&amp;EdByAEA,Nonpublic'!$A224,'Media&amp;EdByAEA,Dist,Nonpublic'!$D$3:$D$1349,'Media&amp;EdByAEA,Nonpublic'!$D224,'Media&amp;EdByAEA,Dist,Nonpublic'!$E$3:$E$1349,'Media&amp;EdByAEA,Nonpublic'!$E224)</f>
        <v>20299.27</v>
      </c>
      <c r="G224" s="35">
        <f>SUMIFS('Media&amp;EdByAEA,Dist,Nonpublic'!$M$3:$M$1349,'Media&amp;EdByAEA,Dist,Nonpublic'!$A$3:$A$1349,'Media&amp;EdByAEA,Nonpublic'!$A224,'Media&amp;EdByAEA,Dist,Nonpublic'!$D$3:$D$1349,'Media&amp;EdByAEA,Nonpublic'!$D224,'Media&amp;EdByAEA,Dist,Nonpublic'!$E$3:$E$1349,'Media&amp;EdByAEA,Nonpublic'!$E224)</f>
        <v>22721.46</v>
      </c>
    </row>
    <row r="225" spans="1:7" x14ac:dyDescent="0.25">
      <c r="A225" s="82">
        <v>12</v>
      </c>
      <c r="B225" s="81" t="s">
        <v>671</v>
      </c>
      <c r="C225" s="81" t="s">
        <v>793</v>
      </c>
      <c r="D225" s="80" t="s">
        <v>185</v>
      </c>
      <c r="E225" s="82">
        <v>8101</v>
      </c>
      <c r="F225" s="35">
        <f>SUMIFS('Media&amp;EdByAEA,Dist,Nonpublic'!$L$3:$L$1349,'Media&amp;EdByAEA,Dist,Nonpublic'!$A$3:$A$1349,'Media&amp;EdByAEA,Nonpublic'!$A225,'Media&amp;EdByAEA,Dist,Nonpublic'!$D$3:$D$1349,'Media&amp;EdByAEA,Nonpublic'!$D225,'Media&amp;EdByAEA,Dist,Nonpublic'!$E$3:$E$1349,'Media&amp;EdByAEA,Nonpublic'!$E225)</f>
        <v>2023.33</v>
      </c>
      <c r="G225" s="35">
        <f>SUMIFS('Media&amp;EdByAEA,Dist,Nonpublic'!$M$3:$M$1349,'Media&amp;EdByAEA,Dist,Nonpublic'!$A$3:$A$1349,'Media&amp;EdByAEA,Nonpublic'!$A225,'Media&amp;EdByAEA,Dist,Nonpublic'!$D$3:$D$1349,'Media&amp;EdByAEA,Nonpublic'!$D225,'Media&amp;EdByAEA,Dist,Nonpublic'!$E$3:$E$1349,'Media&amp;EdByAEA,Nonpublic'!$E225)</f>
        <v>2264.83</v>
      </c>
    </row>
    <row r="226" spans="1:7" x14ac:dyDescent="0.25">
      <c r="A226" s="82">
        <v>12</v>
      </c>
      <c r="B226" s="81" t="s">
        <v>671</v>
      </c>
      <c r="C226" s="81" t="s">
        <v>794</v>
      </c>
      <c r="D226" s="80" t="s">
        <v>185</v>
      </c>
      <c r="E226" s="82">
        <v>8104</v>
      </c>
      <c r="F226" s="35">
        <f>SUMIFS('Media&amp;EdByAEA,Dist,Nonpublic'!$L$3:$L$1349,'Media&amp;EdByAEA,Dist,Nonpublic'!$A$3:$A$1349,'Media&amp;EdByAEA,Nonpublic'!$A226,'Media&amp;EdByAEA,Dist,Nonpublic'!$D$3:$D$1349,'Media&amp;EdByAEA,Nonpublic'!$D226,'Media&amp;EdByAEA,Dist,Nonpublic'!$E$3:$E$1349,'Media&amp;EdByAEA,Nonpublic'!$E226)</f>
        <v>2088.5500000000002</v>
      </c>
      <c r="G226" s="35">
        <f>SUMIFS('Media&amp;EdByAEA,Dist,Nonpublic'!$M$3:$M$1349,'Media&amp;EdByAEA,Dist,Nonpublic'!$A$3:$A$1349,'Media&amp;EdByAEA,Nonpublic'!$A226,'Media&amp;EdByAEA,Dist,Nonpublic'!$D$3:$D$1349,'Media&amp;EdByAEA,Nonpublic'!$D226,'Media&amp;EdByAEA,Dist,Nonpublic'!$E$3:$E$1349,'Media&amp;EdByAEA,Nonpublic'!$E226)</f>
        <v>2337.83</v>
      </c>
    </row>
    <row r="227" spans="1:7" x14ac:dyDescent="0.25">
      <c r="A227" s="82">
        <v>12</v>
      </c>
      <c r="B227" s="81" t="s">
        <v>671</v>
      </c>
      <c r="C227" s="81" t="s">
        <v>807</v>
      </c>
      <c r="D227" s="82">
        <v>1095</v>
      </c>
      <c r="E227" s="82">
        <v>8505</v>
      </c>
      <c r="F227" s="35">
        <f>SUMIFS('Media&amp;EdByAEA,Dist,Nonpublic'!$L$3:$L$1349,'Media&amp;EdByAEA,Dist,Nonpublic'!$A$3:$A$1349,'Media&amp;EdByAEA,Nonpublic'!$A227,'Media&amp;EdByAEA,Dist,Nonpublic'!$D$3:$D$1349,'Media&amp;EdByAEA,Nonpublic'!$D227,'Media&amp;EdByAEA,Dist,Nonpublic'!$E$3:$E$1349,'Media&amp;EdByAEA,Nonpublic'!$E227)</f>
        <v>1566.5199999999998</v>
      </c>
      <c r="G227" s="35">
        <f>SUMIFS('Media&amp;EdByAEA,Dist,Nonpublic'!$M$3:$M$1349,'Media&amp;EdByAEA,Dist,Nonpublic'!$A$3:$A$1349,'Media&amp;EdByAEA,Nonpublic'!$A227,'Media&amp;EdByAEA,Dist,Nonpublic'!$D$3:$D$1349,'Media&amp;EdByAEA,Nonpublic'!$D227,'Media&amp;EdByAEA,Dist,Nonpublic'!$E$3:$E$1349,'Media&amp;EdByAEA,Nonpublic'!$E227)</f>
        <v>1753.4299999999998</v>
      </c>
    </row>
    <row r="228" spans="1:7" x14ac:dyDescent="0.25">
      <c r="A228" s="82">
        <v>12</v>
      </c>
      <c r="B228" s="81" t="s">
        <v>671</v>
      </c>
      <c r="C228" s="81" t="s">
        <v>824</v>
      </c>
      <c r="D228" s="82">
        <v>1701</v>
      </c>
      <c r="E228" s="82">
        <v>8102</v>
      </c>
      <c r="F228" s="35">
        <f>SUMIFS('Media&amp;EdByAEA,Dist,Nonpublic'!$L$3:$L$1349,'Media&amp;EdByAEA,Dist,Nonpublic'!$A$3:$A$1349,'Media&amp;EdByAEA,Nonpublic'!$A228,'Media&amp;EdByAEA,Dist,Nonpublic'!$D$3:$D$1349,'Media&amp;EdByAEA,Nonpublic'!$D228,'Media&amp;EdByAEA,Dist,Nonpublic'!$E$3:$E$1349,'Media&amp;EdByAEA,Nonpublic'!$E228)</f>
        <v>5939.46</v>
      </c>
      <c r="G228" s="35">
        <f>SUMIFS('Media&amp;EdByAEA,Dist,Nonpublic'!$M$3:$M$1349,'Media&amp;EdByAEA,Dist,Nonpublic'!$A$3:$A$1349,'Media&amp;EdByAEA,Nonpublic'!$A228,'Media&amp;EdByAEA,Dist,Nonpublic'!$D$3:$D$1349,'Media&amp;EdByAEA,Nonpublic'!$D228,'Media&amp;EdByAEA,Dist,Nonpublic'!$E$3:$E$1349,'Media&amp;EdByAEA,Nonpublic'!$E228)</f>
        <v>6648.01</v>
      </c>
    </row>
    <row r="229" spans="1:7" x14ac:dyDescent="0.25">
      <c r="A229" s="82">
        <v>12</v>
      </c>
      <c r="B229" s="81" t="s">
        <v>671</v>
      </c>
      <c r="C229" s="81" t="s">
        <v>825</v>
      </c>
      <c r="D229" s="82">
        <v>1701</v>
      </c>
      <c r="E229" s="82">
        <v>8201</v>
      </c>
      <c r="F229" s="35">
        <f>SUMIFS('Media&amp;EdByAEA,Dist,Nonpublic'!$L$3:$L$1349,'Media&amp;EdByAEA,Dist,Nonpublic'!$A$3:$A$1349,'Media&amp;EdByAEA,Nonpublic'!$A229,'Media&amp;EdByAEA,Dist,Nonpublic'!$D$3:$D$1349,'Media&amp;EdByAEA,Nonpublic'!$D229,'Media&amp;EdByAEA,Dist,Nonpublic'!$E$3:$E$1349,'Media&amp;EdByAEA,Nonpublic'!$E229)</f>
        <v>4438.01</v>
      </c>
      <c r="G229" s="35">
        <f>SUMIFS('Media&amp;EdByAEA,Dist,Nonpublic'!$M$3:$M$1349,'Media&amp;EdByAEA,Dist,Nonpublic'!$A$3:$A$1349,'Media&amp;EdByAEA,Nonpublic'!$A229,'Media&amp;EdByAEA,Dist,Nonpublic'!$D$3:$D$1349,'Media&amp;EdByAEA,Nonpublic'!$D229,'Media&amp;EdByAEA,Dist,Nonpublic'!$E$3:$E$1349,'Media&amp;EdByAEA,Nonpublic'!$E229)</f>
        <v>4967.7599999999993</v>
      </c>
    </row>
    <row r="230" spans="1:7" x14ac:dyDescent="0.25">
      <c r="A230" s="82">
        <v>12</v>
      </c>
      <c r="B230" s="81" t="s">
        <v>671</v>
      </c>
      <c r="C230" s="81" t="s">
        <v>862</v>
      </c>
      <c r="D230" s="82">
        <v>2862</v>
      </c>
      <c r="E230" s="82">
        <v>8304</v>
      </c>
      <c r="F230" s="35">
        <f>SUMIFS('Media&amp;EdByAEA,Dist,Nonpublic'!$L$3:$L$1349,'Media&amp;EdByAEA,Dist,Nonpublic'!$A$3:$A$1349,'Media&amp;EdByAEA,Nonpublic'!$A230,'Media&amp;EdByAEA,Dist,Nonpublic'!$D$3:$D$1349,'Media&amp;EdByAEA,Nonpublic'!$D230,'Media&amp;EdByAEA,Dist,Nonpublic'!$E$3:$E$1349,'Media&amp;EdByAEA,Nonpublic'!$E230)</f>
        <v>7375.2800000000007</v>
      </c>
      <c r="G230" s="35">
        <f>SUMIFS('Media&amp;EdByAEA,Dist,Nonpublic'!$M$3:$M$1349,'Media&amp;EdByAEA,Dist,Nonpublic'!$A$3:$A$1349,'Media&amp;EdByAEA,Nonpublic'!$A230,'Media&amp;EdByAEA,Dist,Nonpublic'!$D$3:$D$1349,'Media&amp;EdByAEA,Nonpublic'!$D230,'Media&amp;EdByAEA,Dist,Nonpublic'!$E$3:$E$1349,'Media&amp;EdByAEA,Nonpublic'!$E230)</f>
        <v>8255.89</v>
      </c>
    </row>
    <row r="231" spans="1:7" x14ac:dyDescent="0.25">
      <c r="A231" s="82">
        <v>12</v>
      </c>
      <c r="B231" s="81" t="s">
        <v>671</v>
      </c>
      <c r="C231" s="81" t="s">
        <v>881</v>
      </c>
      <c r="D231" s="82">
        <v>3600</v>
      </c>
      <c r="E231" s="82">
        <v>8104</v>
      </c>
      <c r="F231" s="35">
        <f>SUMIFS('Media&amp;EdByAEA,Dist,Nonpublic'!$L$3:$L$1349,'Media&amp;EdByAEA,Dist,Nonpublic'!$A$3:$A$1349,'Media&amp;EdByAEA,Nonpublic'!$A231,'Media&amp;EdByAEA,Dist,Nonpublic'!$D$3:$D$1349,'Media&amp;EdByAEA,Nonpublic'!$D231,'Media&amp;EdByAEA,Dist,Nonpublic'!$E$3:$E$1349,'Media&amp;EdByAEA,Nonpublic'!$E231)</f>
        <v>14424.820000000002</v>
      </c>
      <c r="G231" s="35">
        <f>SUMIFS('Media&amp;EdByAEA,Dist,Nonpublic'!$M$3:$M$1349,'Media&amp;EdByAEA,Dist,Nonpublic'!$A$3:$A$1349,'Media&amp;EdByAEA,Nonpublic'!$A231,'Media&amp;EdByAEA,Dist,Nonpublic'!$D$3:$D$1349,'Media&amp;EdByAEA,Nonpublic'!$D231,'Media&amp;EdByAEA,Dist,Nonpublic'!$E$3:$E$1349,'Media&amp;EdByAEA,Nonpublic'!$E231)</f>
        <v>16146.15</v>
      </c>
    </row>
    <row r="232" spans="1:7" x14ac:dyDescent="0.25">
      <c r="A232" s="82">
        <v>12</v>
      </c>
      <c r="B232" s="81" t="s">
        <v>671</v>
      </c>
      <c r="C232" s="81" t="s">
        <v>882</v>
      </c>
      <c r="D232" s="82">
        <v>3600</v>
      </c>
      <c r="E232" s="82">
        <v>8105</v>
      </c>
      <c r="F232" s="35">
        <f>SUMIFS('Media&amp;EdByAEA,Dist,Nonpublic'!$L$3:$L$1349,'Media&amp;EdByAEA,Dist,Nonpublic'!$A$3:$A$1349,'Media&amp;EdByAEA,Nonpublic'!$A232,'Media&amp;EdByAEA,Dist,Nonpublic'!$D$3:$D$1349,'Media&amp;EdByAEA,Nonpublic'!$D232,'Media&amp;EdByAEA,Dist,Nonpublic'!$E$3:$E$1349,'Media&amp;EdByAEA,Nonpublic'!$E232)</f>
        <v>22191.99</v>
      </c>
      <c r="G232" s="35">
        <f>SUMIFS('Media&amp;EdByAEA,Dist,Nonpublic'!$M$3:$M$1349,'Media&amp;EdByAEA,Dist,Nonpublic'!$A$3:$A$1349,'Media&amp;EdByAEA,Nonpublic'!$A232,'Media&amp;EdByAEA,Dist,Nonpublic'!$D$3:$D$1349,'Media&amp;EdByAEA,Nonpublic'!$D232,'Media&amp;EdByAEA,Dist,Nonpublic'!$E$3:$E$1349,'Media&amp;EdByAEA,Nonpublic'!$E232)</f>
        <v>24840.13</v>
      </c>
    </row>
    <row r="233" spans="1:7" x14ac:dyDescent="0.25">
      <c r="A233" s="82">
        <v>12</v>
      </c>
      <c r="B233" s="81" t="s">
        <v>671</v>
      </c>
      <c r="C233" s="81" t="s">
        <v>887</v>
      </c>
      <c r="D233" s="82">
        <v>4033</v>
      </c>
      <c r="E233" s="82">
        <v>8103</v>
      </c>
      <c r="F233" s="35">
        <f>SUMIFS('Media&amp;EdByAEA,Dist,Nonpublic'!$L$3:$L$1349,'Media&amp;EdByAEA,Dist,Nonpublic'!$A$3:$A$1349,'Media&amp;EdByAEA,Nonpublic'!$A233,'Media&amp;EdByAEA,Dist,Nonpublic'!$D$3:$D$1349,'Media&amp;EdByAEA,Nonpublic'!$D233,'Media&amp;EdByAEA,Dist,Nonpublic'!$E$3:$E$1349,'Media&amp;EdByAEA,Nonpublic'!$E233)</f>
        <v>2806.48</v>
      </c>
      <c r="G233" s="35">
        <f>SUMIFS('Media&amp;EdByAEA,Dist,Nonpublic'!$M$3:$M$1349,'Media&amp;EdByAEA,Dist,Nonpublic'!$A$3:$A$1349,'Media&amp;EdByAEA,Nonpublic'!$A233,'Media&amp;EdByAEA,Dist,Nonpublic'!$D$3:$D$1349,'Media&amp;EdByAEA,Nonpublic'!$D233,'Media&amp;EdByAEA,Dist,Nonpublic'!$E$3:$E$1349,'Media&amp;EdByAEA,Nonpublic'!$E233)</f>
        <v>3141.1400000000003</v>
      </c>
    </row>
    <row r="234" spans="1:7" x14ac:dyDescent="0.25">
      <c r="A234" s="82">
        <v>12</v>
      </c>
      <c r="B234" s="81" t="s">
        <v>671</v>
      </c>
      <c r="C234" s="81" t="s">
        <v>893</v>
      </c>
      <c r="D234" s="82">
        <v>4149</v>
      </c>
      <c r="E234" s="82">
        <v>8308</v>
      </c>
      <c r="F234" s="35">
        <f>SUMIFS('Media&amp;EdByAEA,Dist,Nonpublic'!$L$3:$L$1349,'Media&amp;EdByAEA,Dist,Nonpublic'!$A$3:$A$1349,'Media&amp;EdByAEA,Nonpublic'!$A234,'Media&amp;EdByAEA,Dist,Nonpublic'!$D$3:$D$1349,'Media&amp;EdByAEA,Nonpublic'!$D234,'Media&amp;EdByAEA,Dist,Nonpublic'!$E$3:$E$1349,'Media&amp;EdByAEA,Nonpublic'!$E234)</f>
        <v>20299.070000000003</v>
      </c>
      <c r="G234" s="35">
        <f>SUMIFS('Media&amp;EdByAEA,Dist,Nonpublic'!$M$3:$M$1349,'Media&amp;EdByAEA,Dist,Nonpublic'!$A$3:$A$1349,'Media&amp;EdByAEA,Nonpublic'!$A234,'Media&amp;EdByAEA,Dist,Nonpublic'!$D$3:$D$1349,'Media&amp;EdByAEA,Nonpublic'!$D234,'Media&amp;EdByAEA,Dist,Nonpublic'!$E$3:$E$1349,'Media&amp;EdByAEA,Nonpublic'!$E234)</f>
        <v>22721.68</v>
      </c>
    </row>
    <row r="235" spans="1:7" x14ac:dyDescent="0.25">
      <c r="A235" s="82">
        <v>12</v>
      </c>
      <c r="B235" s="81" t="s">
        <v>671</v>
      </c>
      <c r="C235" s="81" t="s">
        <v>894</v>
      </c>
      <c r="D235" s="82">
        <v>4149</v>
      </c>
      <c r="E235" s="82">
        <v>8317</v>
      </c>
      <c r="F235" s="35">
        <f>SUMIFS('Media&amp;EdByAEA,Dist,Nonpublic'!$L$3:$L$1349,'Media&amp;EdByAEA,Dist,Nonpublic'!$A$3:$A$1349,'Media&amp;EdByAEA,Nonpublic'!$A235,'Media&amp;EdByAEA,Dist,Nonpublic'!$D$3:$D$1349,'Media&amp;EdByAEA,Nonpublic'!$D235,'Media&amp;EdByAEA,Dist,Nonpublic'!$E$3:$E$1349,'Media&amp;EdByAEA,Nonpublic'!$E235)</f>
        <v>23432.18</v>
      </c>
      <c r="G235" s="35">
        <f>SUMIFS('Media&amp;EdByAEA,Dist,Nonpublic'!$M$3:$M$1349,'Media&amp;EdByAEA,Dist,Nonpublic'!$A$3:$A$1349,'Media&amp;EdByAEA,Nonpublic'!$A235,'Media&amp;EdByAEA,Dist,Nonpublic'!$D$3:$D$1349,'Media&amp;EdByAEA,Nonpublic'!$D235,'Media&amp;EdByAEA,Dist,Nonpublic'!$E$3:$E$1349,'Media&amp;EdByAEA,Nonpublic'!$E235)</f>
        <v>26228.49</v>
      </c>
    </row>
    <row r="236" spans="1:7" x14ac:dyDescent="0.25">
      <c r="A236" s="82">
        <v>12</v>
      </c>
      <c r="B236" s="81" t="s">
        <v>671</v>
      </c>
      <c r="C236" s="81" t="s">
        <v>912</v>
      </c>
      <c r="D236" s="82">
        <v>5486</v>
      </c>
      <c r="E236" s="82">
        <v>8102</v>
      </c>
      <c r="F236" s="35">
        <f>SUMIFS('Media&amp;EdByAEA,Dist,Nonpublic'!$L$3:$L$1349,'Media&amp;EdByAEA,Dist,Nonpublic'!$A$3:$A$1349,'Media&amp;EdByAEA,Nonpublic'!$A236,'Media&amp;EdByAEA,Dist,Nonpublic'!$D$3:$D$1349,'Media&amp;EdByAEA,Nonpublic'!$D236,'Media&amp;EdByAEA,Dist,Nonpublic'!$E$3:$E$1349,'Media&amp;EdByAEA,Nonpublic'!$E236)</f>
        <v>5025.99</v>
      </c>
      <c r="G236" s="35">
        <f>SUMIFS('Media&amp;EdByAEA,Dist,Nonpublic'!$M$3:$M$1349,'Media&amp;EdByAEA,Dist,Nonpublic'!$A$3:$A$1349,'Media&amp;EdByAEA,Nonpublic'!$A236,'Media&amp;EdByAEA,Dist,Nonpublic'!$D$3:$D$1349,'Media&amp;EdByAEA,Nonpublic'!$D236,'Media&amp;EdByAEA,Dist,Nonpublic'!$E$3:$E$1349,'Media&amp;EdByAEA,Nonpublic'!$E236)</f>
        <v>5625.7400000000007</v>
      </c>
    </row>
    <row r="237" spans="1:7" x14ac:dyDescent="0.25">
      <c r="A237" s="82">
        <v>12</v>
      </c>
      <c r="B237" s="81" t="s">
        <v>671</v>
      </c>
      <c r="C237" s="81" t="s">
        <v>1196</v>
      </c>
      <c r="D237" s="82">
        <v>5486</v>
      </c>
      <c r="E237" s="82">
        <v>8103</v>
      </c>
      <c r="F237" s="35">
        <f>SUMIFS('Media&amp;EdByAEA,Dist,Nonpublic'!$L$3:$L$1349,'Media&amp;EdByAEA,Dist,Nonpublic'!$A$3:$A$1349,'Media&amp;EdByAEA,Nonpublic'!$A237,'Media&amp;EdByAEA,Dist,Nonpublic'!$D$3:$D$1349,'Media&amp;EdByAEA,Nonpublic'!$D237,'Media&amp;EdByAEA,Dist,Nonpublic'!$E$3:$E$1349,'Media&amp;EdByAEA,Nonpublic'!$E237)</f>
        <v>6919.0199999999995</v>
      </c>
      <c r="G237" s="35">
        <f>SUMIFS('Media&amp;EdByAEA,Dist,Nonpublic'!$M$3:$M$1349,'Media&amp;EdByAEA,Dist,Nonpublic'!$A$3:$A$1349,'Media&amp;EdByAEA,Nonpublic'!$A237,'Media&amp;EdByAEA,Dist,Nonpublic'!$D$3:$D$1349,'Media&amp;EdByAEA,Nonpublic'!$D237,'Media&amp;EdByAEA,Dist,Nonpublic'!$E$3:$E$1349,'Media&amp;EdByAEA,Nonpublic'!$E237)</f>
        <v>7744.43</v>
      </c>
    </row>
    <row r="238" spans="1:7" x14ac:dyDescent="0.25">
      <c r="A238" s="82">
        <v>12</v>
      </c>
      <c r="B238" s="81" t="s">
        <v>671</v>
      </c>
      <c r="C238" s="81" t="s">
        <v>913</v>
      </c>
      <c r="D238" s="82">
        <v>5607</v>
      </c>
      <c r="E238" s="82">
        <v>8315</v>
      </c>
      <c r="F238" s="35">
        <f>SUMIFS('Media&amp;EdByAEA,Dist,Nonpublic'!$L$3:$L$1349,'Media&amp;EdByAEA,Dist,Nonpublic'!$A$3:$A$1349,'Media&amp;EdByAEA,Nonpublic'!$A238,'Media&amp;EdByAEA,Dist,Nonpublic'!$D$3:$D$1349,'Media&amp;EdByAEA,Nonpublic'!$D238,'Media&amp;EdByAEA,Dist,Nonpublic'!$E$3:$E$1349,'Media&amp;EdByAEA,Nonpublic'!$E238)</f>
        <v>13119.529999999999</v>
      </c>
      <c r="G238" s="35">
        <f>SUMIFS('Media&amp;EdByAEA,Dist,Nonpublic'!$M$3:$M$1349,'Media&amp;EdByAEA,Dist,Nonpublic'!$A$3:$A$1349,'Media&amp;EdByAEA,Nonpublic'!$A238,'Media&amp;EdByAEA,Dist,Nonpublic'!$D$3:$D$1349,'Media&amp;EdByAEA,Nonpublic'!$D238,'Media&amp;EdByAEA,Dist,Nonpublic'!$E$3:$E$1349,'Media&amp;EdByAEA,Nonpublic'!$E238)</f>
        <v>14684.949999999999</v>
      </c>
    </row>
    <row r="239" spans="1:7" x14ac:dyDescent="0.25">
      <c r="A239" s="82">
        <v>12</v>
      </c>
      <c r="B239" s="81" t="s">
        <v>671</v>
      </c>
      <c r="C239" s="81" t="s">
        <v>914</v>
      </c>
      <c r="D239" s="82">
        <v>5607</v>
      </c>
      <c r="E239" s="82">
        <v>8319</v>
      </c>
      <c r="F239" s="35">
        <f>SUMIFS('Media&amp;EdByAEA,Dist,Nonpublic'!$L$3:$L$1349,'Media&amp;EdByAEA,Dist,Nonpublic'!$A$3:$A$1349,'Media&amp;EdByAEA,Nonpublic'!$A239,'Media&amp;EdByAEA,Dist,Nonpublic'!$D$3:$D$1349,'Media&amp;EdByAEA,Nonpublic'!$D239,'Media&amp;EdByAEA,Dist,Nonpublic'!$E$3:$E$1349,'Media&amp;EdByAEA,Nonpublic'!$E239)</f>
        <v>26239.21</v>
      </c>
      <c r="G239" s="35">
        <f>SUMIFS('Media&amp;EdByAEA,Dist,Nonpublic'!$M$3:$M$1349,'Media&amp;EdByAEA,Dist,Nonpublic'!$A$3:$A$1349,'Media&amp;EdByAEA,Nonpublic'!$A239,'Media&amp;EdByAEA,Dist,Nonpublic'!$D$3:$D$1349,'Media&amp;EdByAEA,Nonpublic'!$D239,'Media&amp;EdByAEA,Dist,Nonpublic'!$E$3:$E$1349,'Media&amp;EdByAEA,Nonpublic'!$E239)</f>
        <v>29370.160000000003</v>
      </c>
    </row>
    <row r="240" spans="1:7" x14ac:dyDescent="0.25">
      <c r="A240" s="82">
        <v>12</v>
      </c>
      <c r="B240" s="81" t="s">
        <v>671</v>
      </c>
      <c r="C240" s="81" t="s">
        <v>914</v>
      </c>
      <c r="D240" s="82">
        <v>5607</v>
      </c>
      <c r="E240" s="82">
        <v>8316</v>
      </c>
      <c r="F240" s="35">
        <f>SUMIFS('Media&amp;EdByAEA,Dist,Nonpublic'!$L$3:$L$1349,'Media&amp;EdByAEA,Dist,Nonpublic'!$A$3:$A$1349,'Media&amp;EdByAEA,Nonpublic'!$A240,'Media&amp;EdByAEA,Dist,Nonpublic'!$D$3:$D$1349,'Media&amp;EdByAEA,Nonpublic'!$D240,'Media&amp;EdByAEA,Dist,Nonpublic'!$E$3:$E$1349,'Media&amp;EdByAEA,Nonpublic'!$E240)</f>
        <v>65.27</v>
      </c>
      <c r="G240" s="35">
        <f>SUMIFS('Media&amp;EdByAEA,Dist,Nonpublic'!$M$3:$M$1349,'Media&amp;EdByAEA,Dist,Nonpublic'!$A$3:$A$1349,'Media&amp;EdByAEA,Nonpublic'!$A240,'Media&amp;EdByAEA,Dist,Nonpublic'!$D$3:$D$1349,'Media&amp;EdByAEA,Nonpublic'!$D240,'Media&amp;EdByAEA,Dist,Nonpublic'!$E$3:$E$1349,'Media&amp;EdByAEA,Nonpublic'!$E240)</f>
        <v>73.06</v>
      </c>
    </row>
    <row r="241" spans="1:7" x14ac:dyDescent="0.25">
      <c r="A241" s="82">
        <v>12</v>
      </c>
      <c r="B241" s="81" t="s">
        <v>671</v>
      </c>
      <c r="C241" s="81" t="s">
        <v>916</v>
      </c>
      <c r="D241" s="82">
        <v>5949</v>
      </c>
      <c r="E241" s="82">
        <v>8101</v>
      </c>
      <c r="F241" s="35">
        <f>SUMIFS('Media&amp;EdByAEA,Dist,Nonpublic'!$L$3:$L$1349,'Media&amp;EdByAEA,Dist,Nonpublic'!$A$3:$A$1349,'Media&amp;EdByAEA,Nonpublic'!$A241,'Media&amp;EdByAEA,Dist,Nonpublic'!$D$3:$D$1349,'Media&amp;EdByAEA,Nonpublic'!$D241,'Media&amp;EdByAEA,Dist,Nonpublic'!$E$3:$E$1349,'Media&amp;EdByAEA,Nonpublic'!$E241)</f>
        <v>2545.6100000000006</v>
      </c>
      <c r="G241" s="35">
        <f>SUMIFS('Media&amp;EdByAEA,Dist,Nonpublic'!$M$3:$M$1349,'Media&amp;EdByAEA,Dist,Nonpublic'!$A$3:$A$1349,'Media&amp;EdByAEA,Nonpublic'!$A241,'Media&amp;EdByAEA,Dist,Nonpublic'!$D$3:$D$1349,'Media&amp;EdByAEA,Nonpublic'!$D241,'Media&amp;EdByAEA,Dist,Nonpublic'!$E$3:$E$1349,'Media&amp;EdByAEA,Nonpublic'!$E241)</f>
        <v>2849.24</v>
      </c>
    </row>
    <row r="242" spans="1:7" x14ac:dyDescent="0.25">
      <c r="A242" s="82">
        <v>12</v>
      </c>
      <c r="B242" s="81" t="s">
        <v>671</v>
      </c>
      <c r="C242" s="81" t="s">
        <v>917</v>
      </c>
      <c r="D242" s="82">
        <v>5949</v>
      </c>
      <c r="E242" s="82">
        <v>8305</v>
      </c>
      <c r="F242" s="35">
        <f>SUMIFS('Media&amp;EdByAEA,Dist,Nonpublic'!$L$3:$L$1349,'Media&amp;EdByAEA,Dist,Nonpublic'!$A$3:$A$1349,'Media&amp;EdByAEA,Nonpublic'!$A242,'Media&amp;EdByAEA,Dist,Nonpublic'!$D$3:$D$1349,'Media&amp;EdByAEA,Nonpublic'!$D242,'Media&amp;EdByAEA,Dist,Nonpublic'!$E$3:$E$1349,'Media&amp;EdByAEA,Nonpublic'!$E242)</f>
        <v>6723.06</v>
      </c>
      <c r="G242" s="35">
        <f>SUMIFS('Media&amp;EdByAEA,Dist,Nonpublic'!$M$3:$M$1349,'Media&amp;EdByAEA,Dist,Nonpublic'!$A$3:$A$1349,'Media&amp;EdByAEA,Nonpublic'!$A242,'Media&amp;EdByAEA,Dist,Nonpublic'!$D$3:$D$1349,'Media&amp;EdByAEA,Nonpublic'!$D242,'Media&amp;EdByAEA,Dist,Nonpublic'!$E$3:$E$1349,'Media&amp;EdByAEA,Nonpublic'!$E242)</f>
        <v>7524.9000000000005</v>
      </c>
    </row>
    <row r="243" spans="1:7" x14ac:dyDescent="0.25">
      <c r="A243" s="82">
        <v>12</v>
      </c>
      <c r="B243" s="81" t="s">
        <v>671</v>
      </c>
      <c r="C243" s="81" t="s">
        <v>918</v>
      </c>
      <c r="D243" s="82">
        <v>6030</v>
      </c>
      <c r="E243" s="82">
        <v>8314</v>
      </c>
      <c r="F243" s="35">
        <f>SUMIFS('Media&amp;EdByAEA,Dist,Nonpublic'!$L$3:$L$1349,'Media&amp;EdByAEA,Dist,Nonpublic'!$A$3:$A$1349,'Media&amp;EdByAEA,Nonpublic'!$A243,'Media&amp;EdByAEA,Dist,Nonpublic'!$D$3:$D$1349,'Media&amp;EdByAEA,Nonpublic'!$D243,'Media&amp;EdByAEA,Dist,Nonpublic'!$E$3:$E$1349,'Media&amp;EdByAEA,Nonpublic'!$E243)</f>
        <v>32570.079999999998</v>
      </c>
      <c r="G243" s="35">
        <f>SUMIFS('Media&amp;EdByAEA,Dist,Nonpublic'!$M$3:$M$1349,'Media&amp;EdByAEA,Dist,Nonpublic'!$A$3:$A$1349,'Media&amp;EdByAEA,Nonpublic'!$A243,'Media&amp;EdByAEA,Dist,Nonpublic'!$D$3:$D$1349,'Media&amp;EdByAEA,Nonpublic'!$D243,'Media&amp;EdByAEA,Dist,Nonpublic'!$E$3:$E$1349,'Media&amp;EdByAEA,Nonpublic'!$E243)</f>
        <v>36456.78</v>
      </c>
    </row>
    <row r="244" spans="1:7" x14ac:dyDescent="0.25">
      <c r="A244" s="82">
        <v>12</v>
      </c>
      <c r="B244" s="81" t="s">
        <v>671</v>
      </c>
      <c r="C244" s="81" t="s">
        <v>919</v>
      </c>
      <c r="D244" s="82">
        <v>6039</v>
      </c>
      <c r="E244" s="82">
        <v>8102</v>
      </c>
      <c r="F244" s="35">
        <f>SUMIFS('Media&amp;EdByAEA,Dist,Nonpublic'!$L$3:$L$1349,'Media&amp;EdByAEA,Dist,Nonpublic'!$A$3:$A$1349,'Media&amp;EdByAEA,Nonpublic'!$A244,'Media&amp;EdByAEA,Dist,Nonpublic'!$D$3:$D$1349,'Media&amp;EdByAEA,Nonpublic'!$D244,'Media&amp;EdByAEA,Dist,Nonpublic'!$E$3:$E$1349,'Media&amp;EdByAEA,Nonpublic'!$E244)</f>
        <v>28849.69</v>
      </c>
      <c r="G244" s="35">
        <f>SUMIFS('Media&amp;EdByAEA,Dist,Nonpublic'!$M$3:$M$1349,'Media&amp;EdByAEA,Dist,Nonpublic'!$A$3:$A$1349,'Media&amp;EdByAEA,Nonpublic'!$A244,'Media&amp;EdByAEA,Dist,Nonpublic'!$D$3:$D$1349,'Media&amp;EdByAEA,Nonpublic'!$D244,'Media&amp;EdByAEA,Dist,Nonpublic'!$E$3:$E$1349,'Media&amp;EdByAEA,Nonpublic'!$E244)</f>
        <v>32291.84</v>
      </c>
    </row>
    <row r="245" spans="1:7" x14ac:dyDescent="0.25">
      <c r="A245" s="82">
        <v>12</v>
      </c>
      <c r="B245" s="81" t="s">
        <v>671</v>
      </c>
      <c r="C245" s="81" t="s">
        <v>920</v>
      </c>
      <c r="D245" s="82">
        <v>6039</v>
      </c>
      <c r="E245" s="82">
        <v>8104</v>
      </c>
      <c r="F245" s="35">
        <f>SUMIFS('Media&amp;EdByAEA,Dist,Nonpublic'!$L$3:$L$1349,'Media&amp;EdByAEA,Dist,Nonpublic'!$A$3:$A$1349,'Media&amp;EdByAEA,Nonpublic'!$A245,'Media&amp;EdByAEA,Dist,Nonpublic'!$D$3:$D$1349,'Media&amp;EdByAEA,Nonpublic'!$D245,'Media&amp;EdByAEA,Dist,Nonpublic'!$E$3:$E$1349,'Media&amp;EdByAEA,Nonpublic'!$E245)</f>
        <v>15142.630000000001</v>
      </c>
      <c r="G245" s="35">
        <f>SUMIFS('Media&amp;EdByAEA,Dist,Nonpublic'!$M$3:$M$1349,'Media&amp;EdByAEA,Dist,Nonpublic'!$A$3:$A$1349,'Media&amp;EdByAEA,Nonpublic'!$A245,'Media&amp;EdByAEA,Dist,Nonpublic'!$D$3:$D$1349,'Media&amp;EdByAEA,Nonpublic'!$D245,'Media&amp;EdByAEA,Dist,Nonpublic'!$E$3:$E$1349,'Media&amp;EdByAEA,Nonpublic'!$E245)</f>
        <v>16949.93</v>
      </c>
    </row>
    <row r="246" spans="1:7" x14ac:dyDescent="0.25">
      <c r="A246" s="82">
        <v>12</v>
      </c>
      <c r="B246" s="81" t="s">
        <v>671</v>
      </c>
      <c r="C246" s="81" t="s">
        <v>921</v>
      </c>
      <c r="D246" s="82">
        <v>6039</v>
      </c>
      <c r="E246" s="82">
        <v>8106</v>
      </c>
      <c r="F246" s="35">
        <f>SUMIFS('Media&amp;EdByAEA,Dist,Nonpublic'!$L$3:$L$1349,'Media&amp;EdByAEA,Dist,Nonpublic'!$A$3:$A$1349,'Media&amp;EdByAEA,Nonpublic'!$A246,'Media&amp;EdByAEA,Dist,Nonpublic'!$D$3:$D$1349,'Media&amp;EdByAEA,Nonpublic'!$D246,'Media&amp;EdByAEA,Dist,Nonpublic'!$E$3:$E$1349,'Media&amp;EdByAEA,Nonpublic'!$E246)</f>
        <v>28262.3</v>
      </c>
      <c r="G246" s="35">
        <f>SUMIFS('Media&amp;EdByAEA,Dist,Nonpublic'!$M$3:$M$1349,'Media&amp;EdByAEA,Dist,Nonpublic'!$A$3:$A$1349,'Media&amp;EdByAEA,Nonpublic'!$A246,'Media&amp;EdByAEA,Dist,Nonpublic'!$D$3:$D$1349,'Media&amp;EdByAEA,Nonpublic'!$D246,'Media&amp;EdByAEA,Dist,Nonpublic'!$E$3:$E$1349,'Media&amp;EdByAEA,Nonpublic'!$E246)</f>
        <v>31635.15</v>
      </c>
    </row>
    <row r="247" spans="1:7" x14ac:dyDescent="0.25">
      <c r="A247" s="82">
        <v>12</v>
      </c>
      <c r="B247" s="81" t="s">
        <v>671</v>
      </c>
      <c r="C247" s="81" t="s">
        <v>922</v>
      </c>
      <c r="D247" s="82">
        <v>6039</v>
      </c>
      <c r="E247" s="82">
        <v>8107</v>
      </c>
      <c r="F247" s="35">
        <f>SUMIFS('Media&amp;EdByAEA,Dist,Nonpublic'!$L$3:$L$1349,'Media&amp;EdByAEA,Dist,Nonpublic'!$A$3:$A$1349,'Media&amp;EdByAEA,Nonpublic'!$A247,'Media&amp;EdByAEA,Dist,Nonpublic'!$D$3:$D$1349,'Media&amp;EdByAEA,Nonpublic'!$D247,'Media&amp;EdByAEA,Dist,Nonpublic'!$E$3:$E$1349,'Media&amp;EdByAEA,Nonpublic'!$E247)</f>
        <v>4568.91</v>
      </c>
      <c r="G247" s="35">
        <f>SUMIFS('Media&amp;EdByAEA,Dist,Nonpublic'!$M$3:$M$1349,'Media&amp;EdByAEA,Dist,Nonpublic'!$A$3:$A$1349,'Media&amp;EdByAEA,Nonpublic'!$A247,'Media&amp;EdByAEA,Dist,Nonpublic'!$D$3:$D$1349,'Media&amp;EdByAEA,Nonpublic'!$D247,'Media&amp;EdByAEA,Dist,Nonpublic'!$E$3:$E$1349,'Media&amp;EdByAEA,Nonpublic'!$E247)</f>
        <v>5114.21</v>
      </c>
    </row>
    <row r="248" spans="1:7" x14ac:dyDescent="0.25">
      <c r="A248" s="82">
        <v>12</v>
      </c>
      <c r="B248" s="81" t="s">
        <v>671</v>
      </c>
      <c r="C248" s="81" t="s">
        <v>783</v>
      </c>
      <c r="D248" s="82">
        <v>6039</v>
      </c>
      <c r="E248" s="82">
        <v>8111</v>
      </c>
      <c r="F248" s="35">
        <f>SUMIFS('Media&amp;EdByAEA,Dist,Nonpublic'!$L$3:$L$1349,'Media&amp;EdByAEA,Dist,Nonpublic'!$A$3:$A$1349,'Media&amp;EdByAEA,Nonpublic'!$A248,'Media&amp;EdByAEA,Dist,Nonpublic'!$D$3:$D$1349,'Media&amp;EdByAEA,Nonpublic'!$D248,'Media&amp;EdByAEA,Dist,Nonpublic'!$E$3:$E$1349,'Media&amp;EdByAEA,Nonpublic'!$E248)</f>
        <v>17231.36</v>
      </c>
      <c r="G248" s="35">
        <f>SUMIFS('Media&amp;EdByAEA,Dist,Nonpublic'!$M$3:$M$1349,'Media&amp;EdByAEA,Dist,Nonpublic'!$A$3:$A$1349,'Media&amp;EdByAEA,Nonpublic'!$A248,'Media&amp;EdByAEA,Dist,Nonpublic'!$D$3:$D$1349,'Media&amp;EdByAEA,Nonpublic'!$D248,'Media&amp;EdByAEA,Dist,Nonpublic'!$E$3:$E$1349,'Media&amp;EdByAEA,Nonpublic'!$E248)</f>
        <v>19287.87</v>
      </c>
    </row>
    <row r="249" spans="1:7" x14ac:dyDescent="0.25">
      <c r="A249" s="82">
        <v>12</v>
      </c>
      <c r="B249" s="81" t="s">
        <v>671</v>
      </c>
      <c r="C249" s="81" t="s">
        <v>923</v>
      </c>
      <c r="D249" s="82">
        <v>6039</v>
      </c>
      <c r="E249" s="82">
        <v>8114</v>
      </c>
      <c r="F249" s="35">
        <f>SUMIFS('Media&amp;EdByAEA,Dist,Nonpublic'!$L$3:$L$1349,'Media&amp;EdByAEA,Dist,Nonpublic'!$A$3:$A$1349,'Media&amp;EdByAEA,Nonpublic'!$A249,'Media&amp;EdByAEA,Dist,Nonpublic'!$D$3:$D$1349,'Media&amp;EdByAEA,Nonpublic'!$D249,'Media&amp;EdByAEA,Dist,Nonpublic'!$E$3:$E$1349,'Media&amp;EdByAEA,Nonpublic'!$E249)</f>
        <v>5809.01</v>
      </c>
      <c r="G249" s="35">
        <f>SUMIFS('Media&amp;EdByAEA,Dist,Nonpublic'!$M$3:$M$1349,'Media&amp;EdByAEA,Dist,Nonpublic'!$A$3:$A$1349,'Media&amp;EdByAEA,Nonpublic'!$A249,'Media&amp;EdByAEA,Dist,Nonpublic'!$D$3:$D$1349,'Media&amp;EdByAEA,Nonpublic'!$D249,'Media&amp;EdByAEA,Dist,Nonpublic'!$E$3:$E$1349,'Media&amp;EdByAEA,Nonpublic'!$E249)</f>
        <v>6502.35</v>
      </c>
    </row>
    <row r="250" spans="1:7" x14ac:dyDescent="0.25">
      <c r="A250" s="82">
        <v>12</v>
      </c>
      <c r="B250" s="81" t="s">
        <v>671</v>
      </c>
      <c r="C250" s="81" t="s">
        <v>924</v>
      </c>
      <c r="D250" s="82">
        <v>6039</v>
      </c>
      <c r="E250" s="82">
        <v>8115</v>
      </c>
      <c r="F250" s="35">
        <f>SUMIFS('Media&amp;EdByAEA,Dist,Nonpublic'!$L$3:$L$1349,'Media&amp;EdByAEA,Dist,Nonpublic'!$A$3:$A$1349,'Media&amp;EdByAEA,Nonpublic'!$A250,'Media&amp;EdByAEA,Dist,Nonpublic'!$D$3:$D$1349,'Media&amp;EdByAEA,Nonpublic'!$D250,'Media&amp;EdByAEA,Dist,Nonpublic'!$E$3:$E$1349,'Media&amp;EdByAEA,Nonpublic'!$E250)</f>
        <v>8746.16</v>
      </c>
      <c r="G250" s="35">
        <f>SUMIFS('Media&amp;EdByAEA,Dist,Nonpublic'!$M$3:$M$1349,'Media&amp;EdByAEA,Dist,Nonpublic'!$A$3:$A$1349,'Media&amp;EdByAEA,Nonpublic'!$A250,'Media&amp;EdByAEA,Dist,Nonpublic'!$D$3:$D$1349,'Media&amp;EdByAEA,Nonpublic'!$D250,'Media&amp;EdByAEA,Dist,Nonpublic'!$E$3:$E$1349,'Media&amp;EdByAEA,Nonpublic'!$E250)</f>
        <v>9790.09</v>
      </c>
    </row>
    <row r="251" spans="1:7" x14ac:dyDescent="0.25">
      <c r="A251" s="82">
        <v>12</v>
      </c>
      <c r="B251" s="81" t="s">
        <v>671</v>
      </c>
      <c r="C251" s="81" t="s">
        <v>925</v>
      </c>
      <c r="D251" s="82">
        <v>6039</v>
      </c>
      <c r="E251" s="82">
        <v>8116</v>
      </c>
      <c r="F251" s="35">
        <f>SUMIFS('Media&amp;EdByAEA,Dist,Nonpublic'!$L$3:$L$1349,'Media&amp;EdByAEA,Dist,Nonpublic'!$A$3:$A$1349,'Media&amp;EdByAEA,Nonpublic'!$A251,'Media&amp;EdByAEA,Dist,Nonpublic'!$D$3:$D$1349,'Media&amp;EdByAEA,Nonpublic'!$D251,'Media&amp;EdByAEA,Dist,Nonpublic'!$E$3:$E$1349,'Media&amp;EdByAEA,Nonpublic'!$E251)</f>
        <v>8093.5000000000009</v>
      </c>
      <c r="G251" s="35">
        <f>SUMIFS('Media&amp;EdByAEA,Dist,Nonpublic'!$M$3:$M$1349,'Media&amp;EdByAEA,Dist,Nonpublic'!$A$3:$A$1349,'Media&amp;EdByAEA,Nonpublic'!$A251,'Media&amp;EdByAEA,Dist,Nonpublic'!$D$3:$D$1349,'Media&amp;EdByAEA,Nonpublic'!$D251,'Media&amp;EdByAEA,Dist,Nonpublic'!$E$3:$E$1349,'Media&amp;EdByAEA,Nonpublic'!$E251)</f>
        <v>9059.6099999999988</v>
      </c>
    </row>
    <row r="252" spans="1:7" x14ac:dyDescent="0.25">
      <c r="A252" s="82">
        <v>12</v>
      </c>
      <c r="B252" s="81" t="s">
        <v>671</v>
      </c>
      <c r="C252" s="81" t="s">
        <v>792</v>
      </c>
      <c r="D252" s="82">
        <v>6039</v>
      </c>
      <c r="E252" s="82">
        <v>8217</v>
      </c>
      <c r="F252" s="35">
        <f>SUMIFS('Media&amp;EdByAEA,Dist,Nonpublic'!$L$3:$L$1349,'Media&amp;EdByAEA,Dist,Nonpublic'!$A$3:$A$1349,'Media&amp;EdByAEA,Nonpublic'!$A252,'Media&amp;EdByAEA,Dist,Nonpublic'!$D$3:$D$1349,'Media&amp;EdByAEA,Nonpublic'!$D252,'Media&amp;EdByAEA,Dist,Nonpublic'!$E$3:$E$1349,'Media&amp;EdByAEA,Nonpublic'!$E252)</f>
        <v>1697.01</v>
      </c>
      <c r="G252" s="35">
        <f>SUMIFS('Media&amp;EdByAEA,Dist,Nonpublic'!$M$3:$M$1349,'Media&amp;EdByAEA,Dist,Nonpublic'!$A$3:$A$1349,'Media&amp;EdByAEA,Nonpublic'!$A252,'Media&amp;EdByAEA,Dist,Nonpublic'!$D$3:$D$1349,'Media&amp;EdByAEA,Nonpublic'!$D252,'Media&amp;EdByAEA,Dist,Nonpublic'!$E$3:$E$1349,'Media&amp;EdByAEA,Nonpublic'!$E252)</f>
        <v>1899.56</v>
      </c>
    </row>
    <row r="253" spans="1:7" x14ac:dyDescent="0.25">
      <c r="A253" s="82">
        <v>12</v>
      </c>
      <c r="B253" s="81" t="s">
        <v>671</v>
      </c>
      <c r="C253" s="81" t="s">
        <v>926</v>
      </c>
      <c r="D253" s="82">
        <v>6099</v>
      </c>
      <c r="E253" s="82">
        <v>8203</v>
      </c>
      <c r="F253" s="35">
        <f>SUMIFS('Media&amp;EdByAEA,Dist,Nonpublic'!$L$3:$L$1349,'Media&amp;EdByAEA,Dist,Nonpublic'!$A$3:$A$1349,'Media&amp;EdByAEA,Nonpublic'!$A253,'Media&amp;EdByAEA,Dist,Nonpublic'!$D$3:$D$1349,'Media&amp;EdByAEA,Nonpublic'!$D253,'Media&amp;EdByAEA,Dist,Nonpublic'!$E$3:$E$1349,'Media&amp;EdByAEA,Nonpublic'!$E253)</f>
        <v>5026.1499999999996</v>
      </c>
      <c r="G253" s="35">
        <f>SUMIFS('Media&amp;EdByAEA,Dist,Nonpublic'!$M$3:$M$1349,'Media&amp;EdByAEA,Dist,Nonpublic'!$A$3:$A$1349,'Media&amp;EdByAEA,Nonpublic'!$A253,'Media&amp;EdByAEA,Dist,Nonpublic'!$D$3:$D$1349,'Media&amp;EdByAEA,Nonpublic'!$D253,'Media&amp;EdByAEA,Dist,Nonpublic'!$E$3:$E$1349,'Media&amp;EdByAEA,Nonpublic'!$E253)</f>
        <v>5625.33</v>
      </c>
    </row>
    <row r="254" spans="1:7" x14ac:dyDescent="0.25">
      <c r="A254" s="82">
        <v>12</v>
      </c>
      <c r="B254" s="81" t="s">
        <v>671</v>
      </c>
      <c r="C254" s="81" t="s">
        <v>929</v>
      </c>
      <c r="D254" s="82">
        <v>6102</v>
      </c>
      <c r="E254" s="82">
        <v>8102</v>
      </c>
      <c r="F254" s="35">
        <f>SUMIFS('Media&amp;EdByAEA,Dist,Nonpublic'!$L$3:$L$1349,'Media&amp;EdByAEA,Dist,Nonpublic'!$A$3:$A$1349,'Media&amp;EdByAEA,Nonpublic'!$A254,'Media&amp;EdByAEA,Dist,Nonpublic'!$D$3:$D$1349,'Media&amp;EdByAEA,Nonpublic'!$D254,'Media&amp;EdByAEA,Dist,Nonpublic'!$E$3:$E$1349,'Media&amp;EdByAEA,Nonpublic'!$E254)</f>
        <v>195.8</v>
      </c>
      <c r="G254" s="35">
        <f>SUMIFS('Media&amp;EdByAEA,Dist,Nonpublic'!$M$3:$M$1349,'Media&amp;EdByAEA,Dist,Nonpublic'!$A$3:$A$1349,'Media&amp;EdByAEA,Nonpublic'!$A254,'Media&amp;EdByAEA,Dist,Nonpublic'!$D$3:$D$1349,'Media&amp;EdByAEA,Nonpublic'!$D254,'Media&amp;EdByAEA,Dist,Nonpublic'!$E$3:$E$1349,'Media&amp;EdByAEA,Nonpublic'!$E254)</f>
        <v>219.18</v>
      </c>
    </row>
    <row r="255" spans="1:7" x14ac:dyDescent="0.25">
      <c r="A255" s="82">
        <v>12</v>
      </c>
      <c r="B255" s="81" t="s">
        <v>671</v>
      </c>
      <c r="C255" s="81" t="s">
        <v>959</v>
      </c>
      <c r="D255" s="82">
        <v>6983</v>
      </c>
      <c r="E255" s="82">
        <v>8303</v>
      </c>
      <c r="F255" s="35">
        <f>SUMIFS('Media&amp;EdByAEA,Dist,Nonpublic'!$L$3:$L$1349,'Media&amp;EdByAEA,Dist,Nonpublic'!$A$3:$A$1349,'Media&amp;EdByAEA,Nonpublic'!$A255,'Media&amp;EdByAEA,Dist,Nonpublic'!$D$3:$D$1349,'Media&amp;EdByAEA,Nonpublic'!$D255,'Media&amp;EdByAEA,Dist,Nonpublic'!$E$3:$E$1349,'Media&amp;EdByAEA,Nonpublic'!$E255)</f>
        <v>2610.9</v>
      </c>
      <c r="G255" s="35">
        <f>SUMIFS('Media&amp;EdByAEA,Dist,Nonpublic'!$M$3:$M$1349,'Media&amp;EdByAEA,Dist,Nonpublic'!$A$3:$A$1349,'Media&amp;EdByAEA,Nonpublic'!$A255,'Media&amp;EdByAEA,Dist,Nonpublic'!$D$3:$D$1349,'Media&amp;EdByAEA,Nonpublic'!$D255,'Media&amp;EdByAEA,Dist,Nonpublic'!$E$3:$E$1349,'Media&amp;EdByAEA,Nonpublic'!$E255)</f>
        <v>2922.42</v>
      </c>
    </row>
    <row r="256" spans="1:7" x14ac:dyDescent="0.25">
      <c r="A256" s="82">
        <v>12</v>
      </c>
      <c r="B256" s="81" t="s">
        <v>671</v>
      </c>
      <c r="C256" s="81" t="s">
        <v>960</v>
      </c>
      <c r="D256" s="82">
        <v>6990</v>
      </c>
      <c r="E256" s="82">
        <v>8311</v>
      </c>
      <c r="F256" s="35">
        <f>SUMIFS('Media&amp;EdByAEA,Dist,Nonpublic'!$L$3:$L$1349,'Media&amp;EdByAEA,Dist,Nonpublic'!$A$3:$A$1349,'Media&amp;EdByAEA,Nonpublic'!$A256,'Media&amp;EdByAEA,Dist,Nonpublic'!$D$3:$D$1349,'Media&amp;EdByAEA,Nonpublic'!$D256,'Media&amp;EdByAEA,Dist,Nonpublic'!$E$3:$E$1349,'Media&amp;EdByAEA,Nonpublic'!$E256)</f>
        <v>5025.95</v>
      </c>
      <c r="G256" s="35">
        <f>SUMIFS('Media&amp;EdByAEA,Dist,Nonpublic'!$M$3:$M$1349,'Media&amp;EdByAEA,Dist,Nonpublic'!$A$3:$A$1349,'Media&amp;EdByAEA,Nonpublic'!$A256,'Media&amp;EdByAEA,Dist,Nonpublic'!$D$3:$D$1349,'Media&amp;EdByAEA,Nonpublic'!$D256,'Media&amp;EdByAEA,Dist,Nonpublic'!$E$3:$E$1349,'Media&amp;EdByAEA,Nonpublic'!$E256)</f>
        <v>5625.7400000000007</v>
      </c>
    </row>
    <row r="257" spans="1:7" x14ac:dyDescent="0.25">
      <c r="A257" s="82">
        <v>13</v>
      </c>
      <c r="B257" s="81" t="s">
        <v>1205</v>
      </c>
      <c r="C257" s="81" t="s">
        <v>793</v>
      </c>
      <c r="D257" s="80" t="s">
        <v>185</v>
      </c>
      <c r="E257" s="82">
        <v>8101</v>
      </c>
      <c r="F257" s="35">
        <f>SUMIFS('Media&amp;EdByAEA,Dist,Nonpublic'!$L$3:$L$1349,'Media&amp;EdByAEA,Dist,Nonpublic'!$A$3:$A$1349,'Media&amp;EdByAEA,Nonpublic'!$A257,'Media&amp;EdByAEA,Dist,Nonpublic'!$D$3:$D$1349,'Media&amp;EdByAEA,Nonpublic'!$D257,'Media&amp;EdByAEA,Dist,Nonpublic'!$E$3:$E$1349,'Media&amp;EdByAEA,Nonpublic'!$E257)</f>
        <v>390</v>
      </c>
      <c r="G257" s="35">
        <f>SUMIFS('Media&amp;EdByAEA,Dist,Nonpublic'!$M$3:$M$1349,'Media&amp;EdByAEA,Dist,Nonpublic'!$A$3:$A$1349,'Media&amp;EdByAEA,Nonpublic'!$A257,'Media&amp;EdByAEA,Dist,Nonpublic'!$D$3:$D$1349,'Media&amp;EdByAEA,Nonpublic'!$D257,'Media&amp;EdByAEA,Dist,Nonpublic'!$E$3:$E$1349,'Media&amp;EdByAEA,Nonpublic'!$E257)</f>
        <v>431.1</v>
      </c>
    </row>
    <row r="258" spans="1:7" x14ac:dyDescent="0.25">
      <c r="A258" s="82">
        <v>13</v>
      </c>
      <c r="B258" s="81" t="s">
        <v>1205</v>
      </c>
      <c r="C258" s="81" t="s">
        <v>794</v>
      </c>
      <c r="D258" s="80" t="s">
        <v>185</v>
      </c>
      <c r="E258" s="82">
        <v>8104</v>
      </c>
      <c r="F258" s="35">
        <f>SUMIFS('Media&amp;EdByAEA,Dist,Nonpublic'!$L$3:$L$1349,'Media&amp;EdByAEA,Dist,Nonpublic'!$A$3:$A$1349,'Media&amp;EdByAEA,Nonpublic'!$A258,'Media&amp;EdByAEA,Dist,Nonpublic'!$D$3:$D$1349,'Media&amp;EdByAEA,Nonpublic'!$D258,'Media&amp;EdByAEA,Dist,Nonpublic'!$E$3:$E$1349,'Media&amp;EdByAEA,Nonpublic'!$E258)</f>
        <v>195</v>
      </c>
      <c r="G258" s="35">
        <f>SUMIFS('Media&amp;EdByAEA,Dist,Nonpublic'!$M$3:$M$1349,'Media&amp;EdByAEA,Dist,Nonpublic'!$A$3:$A$1349,'Media&amp;EdByAEA,Nonpublic'!$A258,'Media&amp;EdByAEA,Dist,Nonpublic'!$D$3:$D$1349,'Media&amp;EdByAEA,Nonpublic'!$D258,'Media&amp;EdByAEA,Dist,Nonpublic'!$E$3:$E$1349,'Media&amp;EdByAEA,Nonpublic'!$E258)</f>
        <v>215.55</v>
      </c>
    </row>
    <row r="259" spans="1:7" x14ac:dyDescent="0.25">
      <c r="A259" s="82">
        <v>13</v>
      </c>
      <c r="B259" s="81" t="s">
        <v>1205</v>
      </c>
      <c r="C259" s="81" t="s">
        <v>810</v>
      </c>
      <c r="D259" s="82">
        <v>1197</v>
      </c>
      <c r="E259" s="82">
        <v>8202</v>
      </c>
      <c r="F259" s="35">
        <f>SUMIFS('Media&amp;EdByAEA,Dist,Nonpublic'!$L$3:$L$1349,'Media&amp;EdByAEA,Dist,Nonpublic'!$A$3:$A$1349,'Media&amp;EdByAEA,Nonpublic'!$A259,'Media&amp;EdByAEA,Dist,Nonpublic'!$D$3:$D$1349,'Media&amp;EdByAEA,Nonpublic'!$D259,'Media&amp;EdByAEA,Dist,Nonpublic'!$E$3:$E$1349,'Media&amp;EdByAEA,Nonpublic'!$E259)</f>
        <v>5004</v>
      </c>
      <c r="G259" s="35">
        <f>SUMIFS('Media&amp;EdByAEA,Dist,Nonpublic'!$M$3:$M$1349,'Media&amp;EdByAEA,Dist,Nonpublic'!$A$3:$A$1349,'Media&amp;EdByAEA,Nonpublic'!$A259,'Media&amp;EdByAEA,Dist,Nonpublic'!$D$3:$D$1349,'Media&amp;EdByAEA,Nonpublic'!$D259,'Media&amp;EdByAEA,Dist,Nonpublic'!$E$3:$E$1349,'Media&amp;EdByAEA,Nonpublic'!$E259)</f>
        <v>5533</v>
      </c>
    </row>
    <row r="260" spans="1:7" x14ac:dyDescent="0.25">
      <c r="A260" s="82">
        <v>13</v>
      </c>
      <c r="B260" s="81" t="s">
        <v>1205</v>
      </c>
      <c r="C260" s="81" t="s">
        <v>815</v>
      </c>
      <c r="D260" s="82">
        <v>1476</v>
      </c>
      <c r="E260" s="82">
        <v>8108</v>
      </c>
      <c r="F260" s="35">
        <f>SUMIFS('Media&amp;EdByAEA,Dist,Nonpublic'!$L$3:$L$1349,'Media&amp;EdByAEA,Dist,Nonpublic'!$A$3:$A$1349,'Media&amp;EdByAEA,Nonpublic'!$A260,'Media&amp;EdByAEA,Dist,Nonpublic'!$D$3:$D$1349,'Media&amp;EdByAEA,Nonpublic'!$D260,'Media&amp;EdByAEA,Dist,Nonpublic'!$E$3:$E$1349,'Media&amp;EdByAEA,Nonpublic'!$E260)</f>
        <v>41984.100000000006</v>
      </c>
      <c r="G260" s="35">
        <f>SUMIFS('Media&amp;EdByAEA,Dist,Nonpublic'!$M$3:$M$1349,'Media&amp;EdByAEA,Dist,Nonpublic'!$A$3:$A$1349,'Media&amp;EdByAEA,Nonpublic'!$A260,'Media&amp;EdByAEA,Dist,Nonpublic'!$D$3:$D$1349,'Media&amp;EdByAEA,Nonpublic'!$D260,'Media&amp;EdByAEA,Dist,Nonpublic'!$E$3:$E$1349,'Media&amp;EdByAEA,Nonpublic'!$E260)</f>
        <v>46420.749999999993</v>
      </c>
    </row>
    <row r="261" spans="1:7" x14ac:dyDescent="0.25">
      <c r="A261" s="82">
        <v>13</v>
      </c>
      <c r="B261" s="81" t="s">
        <v>1205</v>
      </c>
      <c r="C261" s="81" t="s">
        <v>816</v>
      </c>
      <c r="D261" s="82">
        <v>1476</v>
      </c>
      <c r="E261" s="82">
        <v>8109</v>
      </c>
      <c r="F261" s="35">
        <f>SUMIFS('Media&amp;EdByAEA,Dist,Nonpublic'!$L$3:$L$1349,'Media&amp;EdByAEA,Dist,Nonpublic'!$A$3:$A$1349,'Media&amp;EdByAEA,Nonpublic'!$A261,'Media&amp;EdByAEA,Dist,Nonpublic'!$D$3:$D$1349,'Media&amp;EdByAEA,Nonpublic'!$D261,'Media&amp;EdByAEA,Dist,Nonpublic'!$E$3:$E$1349,'Media&amp;EdByAEA,Nonpublic'!$E261)</f>
        <v>974.86</v>
      </c>
      <c r="G261" s="35">
        <f>SUMIFS('Media&amp;EdByAEA,Dist,Nonpublic'!$M$3:$M$1349,'Media&amp;EdByAEA,Dist,Nonpublic'!$A$3:$A$1349,'Media&amp;EdByAEA,Nonpublic'!$A261,'Media&amp;EdByAEA,Dist,Nonpublic'!$D$3:$D$1349,'Media&amp;EdByAEA,Nonpublic'!$D261,'Media&amp;EdByAEA,Dist,Nonpublic'!$E$3:$E$1349,'Media&amp;EdByAEA,Nonpublic'!$E261)</f>
        <v>1077.8900000000001</v>
      </c>
    </row>
    <row r="262" spans="1:7" x14ac:dyDescent="0.25">
      <c r="A262" s="82">
        <v>13</v>
      </c>
      <c r="B262" s="81" t="s">
        <v>1205</v>
      </c>
      <c r="C262" s="81" t="s">
        <v>817</v>
      </c>
      <c r="D262" s="82">
        <v>1503</v>
      </c>
      <c r="E262" s="82">
        <v>8101</v>
      </c>
      <c r="F262" s="35">
        <f>SUMIFS('Media&amp;EdByAEA,Dist,Nonpublic'!$L$3:$L$1349,'Media&amp;EdByAEA,Dist,Nonpublic'!$A$3:$A$1349,'Media&amp;EdByAEA,Nonpublic'!$A262,'Media&amp;EdByAEA,Dist,Nonpublic'!$D$3:$D$1349,'Media&amp;EdByAEA,Nonpublic'!$D262,'Media&amp;EdByAEA,Dist,Nonpublic'!$E$3:$E$1349,'Media&amp;EdByAEA,Nonpublic'!$E262)</f>
        <v>9359</v>
      </c>
      <c r="G262" s="35">
        <f>SUMIFS('Media&amp;EdByAEA,Dist,Nonpublic'!$M$3:$M$1349,'Media&amp;EdByAEA,Dist,Nonpublic'!$A$3:$A$1349,'Media&amp;EdByAEA,Nonpublic'!$A262,'Media&amp;EdByAEA,Dist,Nonpublic'!$D$3:$D$1349,'Media&amp;EdByAEA,Nonpublic'!$D262,'Media&amp;EdByAEA,Dist,Nonpublic'!$E$3:$E$1349,'Media&amp;EdByAEA,Nonpublic'!$E262)</f>
        <v>10347.48</v>
      </c>
    </row>
    <row r="263" spans="1:7" x14ac:dyDescent="0.25">
      <c r="A263" s="82">
        <v>13</v>
      </c>
      <c r="B263" s="81" t="s">
        <v>1205</v>
      </c>
      <c r="C263" s="81" t="s">
        <v>824</v>
      </c>
      <c r="D263" s="82">
        <v>1701</v>
      </c>
      <c r="E263" s="82">
        <v>8102</v>
      </c>
      <c r="F263" s="35">
        <f>SUMIFS('Media&amp;EdByAEA,Dist,Nonpublic'!$L$3:$L$1349,'Media&amp;EdByAEA,Dist,Nonpublic'!$A$3:$A$1349,'Media&amp;EdByAEA,Nonpublic'!$A263,'Media&amp;EdByAEA,Dist,Nonpublic'!$D$3:$D$1349,'Media&amp;EdByAEA,Nonpublic'!$D263,'Media&amp;EdByAEA,Dist,Nonpublic'!$E$3:$E$1349,'Media&amp;EdByAEA,Nonpublic'!$E263)</f>
        <v>130</v>
      </c>
      <c r="G263" s="35">
        <f>SUMIFS('Media&amp;EdByAEA,Dist,Nonpublic'!$M$3:$M$1349,'Media&amp;EdByAEA,Dist,Nonpublic'!$A$3:$A$1349,'Media&amp;EdByAEA,Nonpublic'!$A263,'Media&amp;EdByAEA,Dist,Nonpublic'!$D$3:$D$1349,'Media&amp;EdByAEA,Nonpublic'!$D263,'Media&amp;EdByAEA,Dist,Nonpublic'!$E$3:$E$1349,'Media&amp;EdByAEA,Nonpublic'!$E263)</f>
        <v>143.69999999999999</v>
      </c>
    </row>
    <row r="264" spans="1:7" x14ac:dyDescent="0.25">
      <c r="A264" s="82">
        <v>13</v>
      </c>
      <c r="B264" s="81" t="s">
        <v>1205</v>
      </c>
      <c r="C264" s="81" t="s">
        <v>825</v>
      </c>
      <c r="D264" s="82">
        <v>1701</v>
      </c>
      <c r="E264" s="82">
        <v>8201</v>
      </c>
      <c r="F264" s="35">
        <f>SUMIFS('Media&amp;EdByAEA,Dist,Nonpublic'!$L$3:$L$1349,'Media&amp;EdByAEA,Dist,Nonpublic'!$A$3:$A$1349,'Media&amp;EdByAEA,Nonpublic'!$A264,'Media&amp;EdByAEA,Dist,Nonpublic'!$D$3:$D$1349,'Media&amp;EdByAEA,Nonpublic'!$D264,'Media&amp;EdByAEA,Dist,Nonpublic'!$E$3:$E$1349,'Media&amp;EdByAEA,Nonpublic'!$E264)</f>
        <v>780</v>
      </c>
      <c r="G264" s="35">
        <f>SUMIFS('Media&amp;EdByAEA,Dist,Nonpublic'!$M$3:$M$1349,'Media&amp;EdByAEA,Dist,Nonpublic'!$A$3:$A$1349,'Media&amp;EdByAEA,Nonpublic'!$A264,'Media&amp;EdByAEA,Dist,Nonpublic'!$D$3:$D$1349,'Media&amp;EdByAEA,Nonpublic'!$D264,'Media&amp;EdByAEA,Dist,Nonpublic'!$E$3:$E$1349,'Media&amp;EdByAEA,Nonpublic'!$E264)</f>
        <v>862.65</v>
      </c>
    </row>
    <row r="265" spans="1:7" x14ac:dyDescent="0.25">
      <c r="A265" s="82">
        <v>13</v>
      </c>
      <c r="B265" s="81" t="s">
        <v>1205</v>
      </c>
      <c r="C265" s="81" t="s">
        <v>861</v>
      </c>
      <c r="D265" s="82">
        <v>2826</v>
      </c>
      <c r="E265" s="82">
        <v>8101</v>
      </c>
      <c r="F265" s="35">
        <f>SUMIFS('Media&amp;EdByAEA,Dist,Nonpublic'!$L$3:$L$1349,'Media&amp;EdByAEA,Dist,Nonpublic'!$A$3:$A$1349,'Media&amp;EdByAEA,Nonpublic'!$A265,'Media&amp;EdByAEA,Dist,Nonpublic'!$D$3:$D$1349,'Media&amp;EdByAEA,Nonpublic'!$D265,'Media&amp;EdByAEA,Dist,Nonpublic'!$E$3:$E$1349,'Media&amp;EdByAEA,Nonpublic'!$E265)</f>
        <v>5199</v>
      </c>
      <c r="G265" s="35">
        <f>SUMIFS('Media&amp;EdByAEA,Dist,Nonpublic'!$M$3:$M$1349,'Media&amp;EdByAEA,Dist,Nonpublic'!$A$3:$A$1349,'Media&amp;EdByAEA,Nonpublic'!$A265,'Media&amp;EdByAEA,Dist,Nonpublic'!$D$3:$D$1349,'Media&amp;EdByAEA,Nonpublic'!$D265,'Media&amp;EdByAEA,Dist,Nonpublic'!$E$3:$E$1349,'Media&amp;EdByAEA,Nonpublic'!$E265)</f>
        <v>5749.58</v>
      </c>
    </row>
    <row r="266" spans="1:7" x14ac:dyDescent="0.25">
      <c r="A266" s="82">
        <v>13</v>
      </c>
      <c r="B266" s="81" t="s">
        <v>1205</v>
      </c>
      <c r="C266" s="81" t="s">
        <v>866</v>
      </c>
      <c r="D266" s="82">
        <v>3114</v>
      </c>
      <c r="E266" s="82">
        <v>8102</v>
      </c>
      <c r="F266" s="35">
        <f>SUMIFS('Media&amp;EdByAEA,Dist,Nonpublic'!$L$3:$L$1349,'Media&amp;EdByAEA,Dist,Nonpublic'!$A$3:$A$1349,'Media&amp;EdByAEA,Nonpublic'!$A266,'Media&amp;EdByAEA,Dist,Nonpublic'!$D$3:$D$1349,'Media&amp;EdByAEA,Nonpublic'!$D266,'Media&amp;EdByAEA,Dist,Nonpublic'!$E$3:$E$1349,'Media&amp;EdByAEA,Nonpublic'!$E266)</f>
        <v>585</v>
      </c>
      <c r="G266" s="35">
        <f>SUMIFS('Media&amp;EdByAEA,Dist,Nonpublic'!$M$3:$M$1349,'Media&amp;EdByAEA,Dist,Nonpublic'!$A$3:$A$1349,'Media&amp;EdByAEA,Nonpublic'!$A266,'Media&amp;EdByAEA,Dist,Nonpublic'!$D$3:$D$1349,'Media&amp;EdByAEA,Nonpublic'!$D266,'Media&amp;EdByAEA,Dist,Nonpublic'!$E$3:$E$1349,'Media&amp;EdByAEA,Nonpublic'!$E266)</f>
        <v>646.70000000000005</v>
      </c>
    </row>
    <row r="267" spans="1:7" x14ac:dyDescent="0.25">
      <c r="A267" s="82">
        <v>13</v>
      </c>
      <c r="B267" s="81" t="s">
        <v>1205</v>
      </c>
      <c r="C267" s="81" t="s">
        <v>867</v>
      </c>
      <c r="D267" s="82">
        <v>3114</v>
      </c>
      <c r="E267" s="82">
        <v>8165</v>
      </c>
      <c r="F267" s="35">
        <f>SUMIFS('Media&amp;EdByAEA,Dist,Nonpublic'!$L$3:$L$1349,'Media&amp;EdByAEA,Dist,Nonpublic'!$A$3:$A$1349,'Media&amp;EdByAEA,Nonpublic'!$A267,'Media&amp;EdByAEA,Dist,Nonpublic'!$D$3:$D$1349,'Media&amp;EdByAEA,Nonpublic'!$D267,'Media&amp;EdByAEA,Dist,Nonpublic'!$E$3:$E$1349,'Media&amp;EdByAEA,Nonpublic'!$E267)</f>
        <v>65</v>
      </c>
      <c r="G267" s="35">
        <f>SUMIFS('Media&amp;EdByAEA,Dist,Nonpublic'!$M$3:$M$1349,'Media&amp;EdByAEA,Dist,Nonpublic'!$A$3:$A$1349,'Media&amp;EdByAEA,Nonpublic'!$A267,'Media&amp;EdByAEA,Dist,Nonpublic'!$D$3:$D$1349,'Media&amp;EdByAEA,Nonpublic'!$D267,'Media&amp;EdByAEA,Dist,Nonpublic'!$E$3:$E$1349,'Media&amp;EdByAEA,Nonpublic'!$E267)</f>
        <v>72</v>
      </c>
    </row>
    <row r="268" spans="1:7" x14ac:dyDescent="0.25">
      <c r="A268" s="82">
        <v>13</v>
      </c>
      <c r="B268" s="81" t="s">
        <v>1205</v>
      </c>
      <c r="C268" s="81" t="s">
        <v>883</v>
      </c>
      <c r="D268" s="82">
        <v>3645</v>
      </c>
      <c r="E268" s="82">
        <v>8100</v>
      </c>
      <c r="F268" s="35">
        <f>SUMIFS('Media&amp;EdByAEA,Dist,Nonpublic'!$L$3:$L$1349,'Media&amp;EdByAEA,Dist,Nonpublic'!$A$3:$A$1349,'Media&amp;EdByAEA,Nonpublic'!$A268,'Media&amp;EdByAEA,Dist,Nonpublic'!$D$3:$D$1349,'Media&amp;EdByAEA,Nonpublic'!$D268,'Media&amp;EdByAEA,Dist,Nonpublic'!$E$3:$E$1349,'Media&amp;EdByAEA,Nonpublic'!$E268)</f>
        <v>14948.04</v>
      </c>
      <c r="G268" s="35">
        <f>SUMIFS('Media&amp;EdByAEA,Dist,Nonpublic'!$M$3:$M$1349,'Media&amp;EdByAEA,Dist,Nonpublic'!$A$3:$A$1349,'Media&amp;EdByAEA,Nonpublic'!$A268,'Media&amp;EdByAEA,Dist,Nonpublic'!$D$3:$D$1349,'Media&amp;EdByAEA,Nonpublic'!$D268,'Media&amp;EdByAEA,Dist,Nonpublic'!$E$3:$E$1349,'Media&amp;EdByAEA,Nonpublic'!$E268)</f>
        <v>16527.759999999998</v>
      </c>
    </row>
    <row r="269" spans="1:7" x14ac:dyDescent="0.25">
      <c r="A269" s="82">
        <v>13</v>
      </c>
      <c r="B269" s="81" t="s">
        <v>1205</v>
      </c>
      <c r="C269" s="81" t="s">
        <v>935</v>
      </c>
      <c r="D269" s="82">
        <v>6579</v>
      </c>
      <c r="E269" s="82">
        <v>8503</v>
      </c>
      <c r="F269" s="35">
        <f>SUMIFS('Media&amp;EdByAEA,Dist,Nonpublic'!$L$3:$L$1349,'Media&amp;EdByAEA,Dist,Nonpublic'!$A$3:$A$1349,'Media&amp;EdByAEA,Nonpublic'!$A269,'Media&amp;EdByAEA,Dist,Nonpublic'!$D$3:$D$1349,'Media&amp;EdByAEA,Nonpublic'!$D269,'Media&amp;EdByAEA,Dist,Nonpublic'!$E$3:$E$1349,'Media&amp;EdByAEA,Nonpublic'!$E269)</f>
        <v>65</v>
      </c>
      <c r="G269" s="35">
        <f>SUMIFS('Media&amp;EdByAEA,Dist,Nonpublic'!$M$3:$M$1349,'Media&amp;EdByAEA,Dist,Nonpublic'!$A$3:$A$1349,'Media&amp;EdByAEA,Nonpublic'!$A269,'Media&amp;EdByAEA,Dist,Nonpublic'!$D$3:$D$1349,'Media&amp;EdByAEA,Nonpublic'!$D269,'Media&amp;EdByAEA,Dist,Nonpublic'!$E$3:$E$1349,'Media&amp;EdByAEA,Nonpublic'!$E269)</f>
        <v>71.839999999999989</v>
      </c>
    </row>
    <row r="270" spans="1:7" x14ac:dyDescent="0.25">
      <c r="A270" s="82">
        <v>15</v>
      </c>
      <c r="B270" s="81" t="s">
        <v>1236</v>
      </c>
      <c r="C270" s="81" t="s">
        <v>789</v>
      </c>
      <c r="D270" s="80" t="s">
        <v>310</v>
      </c>
      <c r="E270" s="82">
        <v>8101</v>
      </c>
      <c r="F270" s="35">
        <f>SUMIFS('Media&amp;EdByAEA,Dist,Nonpublic'!$L$3:$L$1349,'Media&amp;EdByAEA,Dist,Nonpublic'!$A$3:$A$1349,'Media&amp;EdByAEA,Nonpublic'!$A270,'Media&amp;EdByAEA,Dist,Nonpublic'!$D$3:$D$1349,'Media&amp;EdByAEA,Nonpublic'!$D270,'Media&amp;EdByAEA,Dist,Nonpublic'!$E$3:$E$1349,'Media&amp;EdByAEA,Nonpublic'!$E270)</f>
        <v>14226.960000000001</v>
      </c>
      <c r="G270" s="35">
        <f>SUMIFS('Media&amp;EdByAEA,Dist,Nonpublic'!$M$3:$M$1349,'Media&amp;EdByAEA,Dist,Nonpublic'!$A$3:$A$1349,'Media&amp;EdByAEA,Nonpublic'!$A270,'Media&amp;EdByAEA,Dist,Nonpublic'!$D$3:$D$1349,'Media&amp;EdByAEA,Nonpublic'!$D270,'Media&amp;EdByAEA,Dist,Nonpublic'!$E$3:$E$1349,'Media&amp;EdByAEA,Nonpublic'!$E270)</f>
        <v>15641.71</v>
      </c>
    </row>
    <row r="271" spans="1:7" x14ac:dyDescent="0.25">
      <c r="A271" s="82">
        <v>15</v>
      </c>
      <c r="B271" s="81" t="s">
        <v>1236</v>
      </c>
      <c r="C271" s="81" t="s">
        <v>790</v>
      </c>
      <c r="D271" s="80" t="s">
        <v>310</v>
      </c>
      <c r="E271" s="82">
        <v>8104</v>
      </c>
      <c r="F271" s="35">
        <f>SUMIFS('Media&amp;EdByAEA,Dist,Nonpublic'!$L$3:$L$1349,'Media&amp;EdByAEA,Dist,Nonpublic'!$A$3:$A$1349,'Media&amp;EdByAEA,Nonpublic'!$A271,'Media&amp;EdByAEA,Dist,Nonpublic'!$D$3:$D$1349,'Media&amp;EdByAEA,Nonpublic'!$D271,'Media&amp;EdByAEA,Dist,Nonpublic'!$E$3:$E$1349,'Media&amp;EdByAEA,Nonpublic'!$E271)</f>
        <v>9159.760000000002</v>
      </c>
      <c r="G271" s="35">
        <f>SUMIFS('Media&amp;EdByAEA,Dist,Nonpublic'!$M$3:$M$1349,'Media&amp;EdByAEA,Dist,Nonpublic'!$A$3:$A$1349,'Media&amp;EdByAEA,Nonpublic'!$A271,'Media&amp;EdByAEA,Dist,Nonpublic'!$D$3:$D$1349,'Media&amp;EdByAEA,Nonpublic'!$D271,'Media&amp;EdByAEA,Dist,Nonpublic'!$E$3:$E$1349,'Media&amp;EdByAEA,Nonpublic'!$E271)</f>
        <v>10071.849999999999</v>
      </c>
    </row>
    <row r="272" spans="1:7" x14ac:dyDescent="0.25">
      <c r="A272" s="82">
        <v>15</v>
      </c>
      <c r="B272" s="81" t="s">
        <v>1236</v>
      </c>
      <c r="C272" s="81" t="s">
        <v>791</v>
      </c>
      <c r="D272" s="80" t="s">
        <v>310</v>
      </c>
      <c r="E272" s="82">
        <v>8106</v>
      </c>
      <c r="F272" s="35">
        <f>SUMIFS('Media&amp;EdByAEA,Dist,Nonpublic'!$L$3:$L$1349,'Media&amp;EdByAEA,Dist,Nonpublic'!$A$3:$A$1349,'Media&amp;EdByAEA,Nonpublic'!$A272,'Media&amp;EdByAEA,Dist,Nonpublic'!$D$3:$D$1349,'Media&amp;EdByAEA,Nonpublic'!$D272,'Media&amp;EdByAEA,Dist,Nonpublic'!$E$3:$E$1349,'Media&amp;EdByAEA,Nonpublic'!$E272)</f>
        <v>2143.77</v>
      </c>
      <c r="G272" s="35">
        <f>SUMIFS('Media&amp;EdByAEA,Dist,Nonpublic'!$M$3:$M$1349,'Media&amp;EdByAEA,Dist,Nonpublic'!$A$3:$A$1349,'Media&amp;EdByAEA,Nonpublic'!$A272,'Media&amp;EdByAEA,Dist,Nonpublic'!$D$3:$D$1349,'Media&amp;EdByAEA,Nonpublic'!$D272,'Media&amp;EdByAEA,Dist,Nonpublic'!$E$3:$E$1349,'Media&amp;EdByAEA,Nonpublic'!$E272)</f>
        <v>2357.1799999999998</v>
      </c>
    </row>
    <row r="273" spans="1:7" x14ac:dyDescent="0.25">
      <c r="A273" s="82">
        <v>15</v>
      </c>
      <c r="B273" s="81" t="s">
        <v>1236</v>
      </c>
      <c r="C273" s="81" t="s">
        <v>852</v>
      </c>
      <c r="D273" s="82">
        <v>2169</v>
      </c>
      <c r="E273" s="82">
        <v>8165</v>
      </c>
      <c r="F273" s="35">
        <f>SUMIFS('Media&amp;EdByAEA,Dist,Nonpublic'!$L$3:$L$1349,'Media&amp;EdByAEA,Dist,Nonpublic'!$A$3:$A$1349,'Media&amp;EdByAEA,Nonpublic'!$A273,'Media&amp;EdByAEA,Dist,Nonpublic'!$D$3:$D$1349,'Media&amp;EdByAEA,Nonpublic'!$D273,'Media&amp;EdByAEA,Dist,Nonpublic'!$E$3:$E$1349,'Media&amp;EdByAEA,Nonpublic'!$E273)</f>
        <v>2468.58</v>
      </c>
      <c r="G273" s="35">
        <f>SUMIFS('Media&amp;EdByAEA,Dist,Nonpublic'!$M$3:$M$1349,'Media&amp;EdByAEA,Dist,Nonpublic'!$A$3:$A$1349,'Media&amp;EdByAEA,Nonpublic'!$A273,'Media&amp;EdByAEA,Dist,Nonpublic'!$D$3:$D$1349,'Media&amp;EdByAEA,Nonpublic'!$D273,'Media&amp;EdByAEA,Dist,Nonpublic'!$E$3:$E$1349,'Media&amp;EdByAEA,Nonpublic'!$E273)</f>
        <v>2714.32</v>
      </c>
    </row>
    <row r="274" spans="1:7" x14ac:dyDescent="0.25">
      <c r="A274" s="82">
        <v>15</v>
      </c>
      <c r="B274" s="81" t="s">
        <v>1236</v>
      </c>
      <c r="C274" s="81" t="s">
        <v>853</v>
      </c>
      <c r="D274" s="82">
        <v>2169</v>
      </c>
      <c r="E274" s="82">
        <v>8502</v>
      </c>
      <c r="F274" s="35">
        <f>SUMIFS('Media&amp;EdByAEA,Dist,Nonpublic'!$L$3:$L$1349,'Media&amp;EdByAEA,Dist,Nonpublic'!$A$3:$A$1349,'Media&amp;EdByAEA,Nonpublic'!$A274,'Media&amp;EdByAEA,Dist,Nonpublic'!$D$3:$D$1349,'Media&amp;EdByAEA,Nonpublic'!$D274,'Media&amp;EdByAEA,Dist,Nonpublic'!$E$3:$E$1349,'Media&amp;EdByAEA,Nonpublic'!$E274)</f>
        <v>8834.73</v>
      </c>
      <c r="G274" s="35">
        <f>SUMIFS('Media&amp;EdByAEA,Dist,Nonpublic'!$M$3:$M$1349,'Media&amp;EdByAEA,Dist,Nonpublic'!$A$3:$A$1349,'Media&amp;EdByAEA,Nonpublic'!$A274,'Media&amp;EdByAEA,Dist,Nonpublic'!$D$3:$D$1349,'Media&amp;EdByAEA,Nonpublic'!$D274,'Media&amp;EdByAEA,Dist,Nonpublic'!$E$3:$E$1349,'Media&amp;EdByAEA,Nonpublic'!$E274)</f>
        <v>9714.9599999999991</v>
      </c>
    </row>
    <row r="275" spans="1:7" x14ac:dyDescent="0.25">
      <c r="A275" s="82">
        <v>15</v>
      </c>
      <c r="B275" s="81" t="s">
        <v>1236</v>
      </c>
      <c r="C275" s="81" t="s">
        <v>857</v>
      </c>
      <c r="D275" s="82">
        <v>2322</v>
      </c>
      <c r="E275" s="82">
        <v>8105</v>
      </c>
      <c r="F275" s="35">
        <f>SUMIFS('Media&amp;EdByAEA,Dist,Nonpublic'!$L$3:$L$1349,'Media&amp;EdByAEA,Dist,Nonpublic'!$A$3:$A$1349,'Media&amp;EdByAEA,Nonpublic'!$A275,'Media&amp;EdByAEA,Dist,Nonpublic'!$D$3:$D$1349,'Media&amp;EdByAEA,Nonpublic'!$D275,'Media&amp;EdByAEA,Dist,Nonpublic'!$E$3:$E$1349,'Media&amp;EdByAEA,Nonpublic'!$E275)</f>
        <v>9029.51</v>
      </c>
      <c r="G275" s="35">
        <f>SUMIFS('Media&amp;EdByAEA,Dist,Nonpublic'!$M$3:$M$1349,'Media&amp;EdByAEA,Dist,Nonpublic'!$A$3:$A$1349,'Media&amp;EdByAEA,Nonpublic'!$A275,'Media&amp;EdByAEA,Dist,Nonpublic'!$D$3:$D$1349,'Media&amp;EdByAEA,Nonpublic'!$D275,'Media&amp;EdByAEA,Dist,Nonpublic'!$E$3:$E$1349,'Media&amp;EdByAEA,Nonpublic'!$E275)</f>
        <v>9928.6000000000022</v>
      </c>
    </row>
    <row r="276" spans="1:7" x14ac:dyDescent="0.25">
      <c r="A276" s="82">
        <v>15</v>
      </c>
      <c r="B276" s="81" t="s">
        <v>1236</v>
      </c>
      <c r="C276" s="81" t="s">
        <v>858</v>
      </c>
      <c r="D276" s="82">
        <v>2322</v>
      </c>
      <c r="E276" s="82">
        <v>8602</v>
      </c>
      <c r="F276" s="35">
        <f>SUMIFS('Media&amp;EdByAEA,Dist,Nonpublic'!$L$3:$L$1349,'Media&amp;EdByAEA,Dist,Nonpublic'!$A$3:$A$1349,'Media&amp;EdByAEA,Nonpublic'!$A276,'Media&amp;EdByAEA,Dist,Nonpublic'!$D$3:$D$1349,'Media&amp;EdByAEA,Nonpublic'!$D276,'Media&amp;EdByAEA,Dist,Nonpublic'!$E$3:$E$1349,'Media&amp;EdByAEA,Nonpublic'!$E276)</f>
        <v>11498.01</v>
      </c>
      <c r="G276" s="35">
        <f>SUMIFS('Media&amp;EdByAEA,Dist,Nonpublic'!$M$3:$M$1349,'Media&amp;EdByAEA,Dist,Nonpublic'!$A$3:$A$1349,'Media&amp;EdByAEA,Nonpublic'!$A276,'Media&amp;EdByAEA,Dist,Nonpublic'!$D$3:$D$1349,'Media&amp;EdByAEA,Nonpublic'!$D276,'Media&amp;EdByAEA,Dist,Nonpublic'!$E$3:$E$1349,'Media&amp;EdByAEA,Nonpublic'!$E276)</f>
        <v>12642.76</v>
      </c>
    </row>
    <row r="277" spans="1:7" x14ac:dyDescent="0.25">
      <c r="A277" s="82">
        <v>15</v>
      </c>
      <c r="B277" s="81" t="s">
        <v>1236</v>
      </c>
      <c r="C277" s="81" t="s">
        <v>866</v>
      </c>
      <c r="D277" s="82">
        <v>3114</v>
      </c>
      <c r="E277" s="82">
        <v>8102</v>
      </c>
      <c r="F277" s="35">
        <f>SUMIFS('Media&amp;EdByAEA,Dist,Nonpublic'!$L$3:$L$1349,'Media&amp;EdByAEA,Dist,Nonpublic'!$A$3:$A$1349,'Media&amp;EdByAEA,Nonpublic'!$A277,'Media&amp;EdByAEA,Dist,Nonpublic'!$D$3:$D$1349,'Media&amp;EdByAEA,Nonpublic'!$D277,'Media&amp;EdByAEA,Dist,Nonpublic'!$E$3:$E$1349,'Media&amp;EdByAEA,Nonpublic'!$E277)</f>
        <v>195</v>
      </c>
      <c r="G277" s="35">
        <f>SUMIFS('Media&amp;EdByAEA,Dist,Nonpublic'!$M$3:$M$1349,'Media&amp;EdByAEA,Dist,Nonpublic'!$A$3:$A$1349,'Media&amp;EdByAEA,Nonpublic'!$A277,'Media&amp;EdByAEA,Dist,Nonpublic'!$D$3:$D$1349,'Media&amp;EdByAEA,Nonpublic'!$D277,'Media&amp;EdByAEA,Dist,Nonpublic'!$E$3:$E$1349,'Media&amp;EdByAEA,Nonpublic'!$E277)</f>
        <v>214.12</v>
      </c>
    </row>
    <row r="278" spans="1:7" x14ac:dyDescent="0.25">
      <c r="A278" s="82">
        <v>15</v>
      </c>
      <c r="B278" s="81" t="s">
        <v>1236</v>
      </c>
      <c r="C278" s="81" t="s">
        <v>879</v>
      </c>
      <c r="D278" s="82">
        <v>3312</v>
      </c>
      <c r="E278" s="82">
        <v>8115</v>
      </c>
      <c r="F278" s="35">
        <f>SUMIFS('Media&amp;EdByAEA,Dist,Nonpublic'!$L$3:$L$1349,'Media&amp;EdByAEA,Dist,Nonpublic'!$A$3:$A$1349,'Media&amp;EdByAEA,Nonpublic'!$A278,'Media&amp;EdByAEA,Dist,Nonpublic'!$D$3:$D$1349,'Media&amp;EdByAEA,Nonpublic'!$D278,'Media&amp;EdByAEA,Dist,Nonpublic'!$E$3:$E$1349,'Media&amp;EdByAEA,Nonpublic'!$E278)</f>
        <v>3962.64</v>
      </c>
      <c r="G278" s="35">
        <f>SUMIFS('Media&amp;EdByAEA,Dist,Nonpublic'!$M$3:$M$1349,'Media&amp;EdByAEA,Dist,Nonpublic'!$A$3:$A$1349,'Media&amp;EdByAEA,Nonpublic'!$A278,'Media&amp;EdByAEA,Dist,Nonpublic'!$D$3:$D$1349,'Media&amp;EdByAEA,Nonpublic'!$D278,'Media&amp;EdByAEA,Dist,Nonpublic'!$E$3:$E$1349,'Media&amp;EdByAEA,Nonpublic'!$E278)</f>
        <v>4357.3599999999997</v>
      </c>
    </row>
    <row r="279" spans="1:7" x14ac:dyDescent="0.25">
      <c r="A279" s="82">
        <v>15</v>
      </c>
      <c r="B279" s="81" t="s">
        <v>1236</v>
      </c>
      <c r="C279" s="81" t="s">
        <v>880</v>
      </c>
      <c r="D279" s="82">
        <v>3312</v>
      </c>
      <c r="E279" s="82">
        <v>8165</v>
      </c>
      <c r="F279" s="35">
        <f>SUMIFS('Media&amp;EdByAEA,Dist,Nonpublic'!$L$3:$L$1349,'Media&amp;EdByAEA,Dist,Nonpublic'!$A$3:$A$1349,'Media&amp;EdByAEA,Nonpublic'!$A279,'Media&amp;EdByAEA,Dist,Nonpublic'!$D$3:$D$1349,'Media&amp;EdByAEA,Nonpublic'!$D279,'Media&amp;EdByAEA,Dist,Nonpublic'!$E$3:$E$1349,'Media&amp;EdByAEA,Nonpublic'!$E279)</f>
        <v>3053.13</v>
      </c>
      <c r="G279" s="35">
        <f>SUMIFS('Media&amp;EdByAEA,Dist,Nonpublic'!$M$3:$M$1349,'Media&amp;EdByAEA,Dist,Nonpublic'!$A$3:$A$1349,'Media&amp;EdByAEA,Nonpublic'!$A279,'Media&amp;EdByAEA,Dist,Nonpublic'!$D$3:$D$1349,'Media&amp;EdByAEA,Nonpublic'!$D279,'Media&amp;EdByAEA,Dist,Nonpublic'!$E$3:$E$1349,'Media&amp;EdByAEA,Nonpublic'!$E279)</f>
        <v>3357.17</v>
      </c>
    </row>
    <row r="280" spans="1:7" x14ac:dyDescent="0.25">
      <c r="A280" s="82">
        <v>15</v>
      </c>
      <c r="B280" s="81" t="s">
        <v>1236</v>
      </c>
      <c r="C280" s="81" t="s">
        <v>896</v>
      </c>
      <c r="D280" s="82">
        <v>4271</v>
      </c>
      <c r="E280" s="82">
        <v>8506</v>
      </c>
      <c r="F280" s="35">
        <f>SUMIFS('Media&amp;EdByAEA,Dist,Nonpublic'!$L$3:$L$1349,'Media&amp;EdByAEA,Dist,Nonpublic'!$A$3:$A$1349,'Media&amp;EdByAEA,Nonpublic'!$A280,'Media&amp;EdByAEA,Dist,Nonpublic'!$D$3:$D$1349,'Media&amp;EdByAEA,Nonpublic'!$D280,'Media&amp;EdByAEA,Dist,Nonpublic'!$E$3:$E$1349,'Media&amp;EdByAEA,Nonpublic'!$E280)</f>
        <v>195</v>
      </c>
      <c r="G280" s="35">
        <f>SUMIFS('Media&amp;EdByAEA,Dist,Nonpublic'!$M$3:$M$1349,'Media&amp;EdByAEA,Dist,Nonpublic'!$A$3:$A$1349,'Media&amp;EdByAEA,Nonpublic'!$A280,'Media&amp;EdByAEA,Dist,Nonpublic'!$D$3:$D$1349,'Media&amp;EdByAEA,Nonpublic'!$D280,'Media&amp;EdByAEA,Dist,Nonpublic'!$E$3:$E$1349,'Media&amp;EdByAEA,Nonpublic'!$E280)</f>
        <v>214.5</v>
      </c>
    </row>
    <row r="281" spans="1:7" x14ac:dyDescent="0.25">
      <c r="A281" s="82">
        <v>15</v>
      </c>
      <c r="B281" s="81" t="s">
        <v>1236</v>
      </c>
      <c r="C281" s="81" t="s">
        <v>903</v>
      </c>
      <c r="D281" s="82">
        <v>4797</v>
      </c>
      <c r="E281" s="82">
        <v>8121</v>
      </c>
      <c r="F281" s="35">
        <f>SUMIFS('Media&amp;EdByAEA,Dist,Nonpublic'!$L$3:$L$1349,'Media&amp;EdByAEA,Dist,Nonpublic'!$A$3:$A$1349,'Media&amp;EdByAEA,Nonpublic'!$A281,'Media&amp;EdByAEA,Dist,Nonpublic'!$D$3:$D$1349,'Media&amp;EdByAEA,Nonpublic'!$D281,'Media&amp;EdByAEA,Dist,Nonpublic'!$E$3:$E$1349,'Media&amp;EdByAEA,Nonpublic'!$E281)</f>
        <v>65</v>
      </c>
      <c r="G281" s="35">
        <f>SUMIFS('Media&amp;EdByAEA,Dist,Nonpublic'!$M$3:$M$1349,'Media&amp;EdByAEA,Dist,Nonpublic'!$A$3:$A$1349,'Media&amp;EdByAEA,Nonpublic'!$A281,'Media&amp;EdByAEA,Dist,Nonpublic'!$D$3:$D$1349,'Media&amp;EdByAEA,Nonpublic'!$D281,'Media&amp;EdByAEA,Dist,Nonpublic'!$E$3:$E$1349,'Media&amp;EdByAEA,Nonpublic'!$E281)</f>
        <v>71.37</v>
      </c>
    </row>
    <row r="282" spans="1:7" x14ac:dyDescent="0.25">
      <c r="A282" s="82">
        <v>15</v>
      </c>
      <c r="B282" s="81" t="s">
        <v>1236</v>
      </c>
      <c r="C282" s="81" t="s">
        <v>904</v>
      </c>
      <c r="D282" s="82">
        <v>5013</v>
      </c>
      <c r="E282" s="82">
        <v>8301</v>
      </c>
      <c r="F282" s="35">
        <f>SUMIFS('Media&amp;EdByAEA,Dist,Nonpublic'!$L$3:$L$1349,'Media&amp;EdByAEA,Dist,Nonpublic'!$A$3:$A$1349,'Media&amp;EdByAEA,Nonpublic'!$A282,'Media&amp;EdByAEA,Dist,Nonpublic'!$D$3:$D$1349,'Media&amp;EdByAEA,Nonpublic'!$D282,'Media&amp;EdByAEA,Dist,Nonpublic'!$E$3:$E$1349,'Media&amp;EdByAEA,Nonpublic'!$E282)</f>
        <v>10848.150000000001</v>
      </c>
      <c r="G282" s="35">
        <f>SUMIFS('Media&amp;EdByAEA,Dist,Nonpublic'!$M$3:$M$1349,'Media&amp;EdByAEA,Dist,Nonpublic'!$A$3:$A$1349,'Media&amp;EdByAEA,Nonpublic'!$A282,'Media&amp;EdByAEA,Dist,Nonpublic'!$D$3:$D$1349,'Media&amp;EdByAEA,Nonpublic'!$D282,'Media&amp;EdByAEA,Dist,Nonpublic'!$E$3:$E$1349,'Media&amp;EdByAEA,Nonpublic'!$E282)</f>
        <v>11929.12</v>
      </c>
    </row>
    <row r="283" spans="1:7" x14ac:dyDescent="0.25">
      <c r="A283" s="82">
        <v>15</v>
      </c>
      <c r="B283" s="81" t="s">
        <v>1236</v>
      </c>
      <c r="C283" s="81" t="s">
        <v>905</v>
      </c>
      <c r="D283" s="82">
        <v>5049</v>
      </c>
      <c r="E283" s="82">
        <v>8101</v>
      </c>
      <c r="F283" s="35">
        <f>SUMIFS('Media&amp;EdByAEA,Dist,Nonpublic'!$L$3:$L$1349,'Media&amp;EdByAEA,Dist,Nonpublic'!$A$3:$A$1349,'Media&amp;EdByAEA,Nonpublic'!$A283,'Media&amp;EdByAEA,Dist,Nonpublic'!$D$3:$D$1349,'Media&amp;EdByAEA,Nonpublic'!$D283,'Media&amp;EdByAEA,Dist,Nonpublic'!$E$3:$E$1349,'Media&amp;EdByAEA,Nonpublic'!$E283)</f>
        <v>4742.0499999999993</v>
      </c>
      <c r="G283" s="35">
        <f>SUMIFS('Media&amp;EdByAEA,Dist,Nonpublic'!$M$3:$M$1349,'Media&amp;EdByAEA,Dist,Nonpublic'!$A$3:$A$1349,'Media&amp;EdByAEA,Nonpublic'!$A283,'Media&amp;EdByAEA,Dist,Nonpublic'!$D$3:$D$1349,'Media&amp;EdByAEA,Nonpublic'!$D283,'Media&amp;EdByAEA,Dist,Nonpublic'!$E$3:$E$1349,'Media&amp;EdByAEA,Nonpublic'!$E283)</f>
        <v>5214.3100000000004</v>
      </c>
    </row>
    <row r="284" spans="1:7" x14ac:dyDescent="0.25">
      <c r="A284" s="82">
        <v>15</v>
      </c>
      <c r="B284" s="81" t="s">
        <v>1236</v>
      </c>
      <c r="C284" s="81" t="s">
        <v>906</v>
      </c>
      <c r="D284" s="82">
        <v>5049</v>
      </c>
      <c r="E284" s="82">
        <v>8301</v>
      </c>
      <c r="F284" s="35">
        <f>SUMIFS('Media&amp;EdByAEA,Dist,Nonpublic'!$L$3:$L$1349,'Media&amp;EdByAEA,Dist,Nonpublic'!$A$3:$A$1349,'Media&amp;EdByAEA,Nonpublic'!$A284,'Media&amp;EdByAEA,Dist,Nonpublic'!$D$3:$D$1349,'Media&amp;EdByAEA,Nonpublic'!$D284,'Media&amp;EdByAEA,Dist,Nonpublic'!$E$3:$E$1349,'Media&amp;EdByAEA,Nonpublic'!$E284)</f>
        <v>7340.58</v>
      </c>
      <c r="G284" s="35">
        <f>SUMIFS('Media&amp;EdByAEA,Dist,Nonpublic'!$M$3:$M$1349,'Media&amp;EdByAEA,Dist,Nonpublic'!$A$3:$A$1349,'Media&amp;EdByAEA,Nonpublic'!$A284,'Media&amp;EdByAEA,Dist,Nonpublic'!$D$3:$D$1349,'Media&amp;EdByAEA,Nonpublic'!$D284,'Media&amp;EdByAEA,Dist,Nonpublic'!$E$3:$E$1349,'Media&amp;EdByAEA,Nonpublic'!$E284)</f>
        <v>8071.2</v>
      </c>
    </row>
    <row r="285" spans="1:7" x14ac:dyDescent="0.25">
      <c r="A285" s="82">
        <v>15</v>
      </c>
      <c r="B285" s="81" t="s">
        <v>1236</v>
      </c>
      <c r="C285" s="81" t="s">
        <v>907</v>
      </c>
      <c r="D285" s="82">
        <v>5163</v>
      </c>
      <c r="E285" s="82">
        <v>8106</v>
      </c>
      <c r="F285" s="35">
        <f>SUMIFS('Media&amp;EdByAEA,Dist,Nonpublic'!$L$3:$L$1349,'Media&amp;EdByAEA,Dist,Nonpublic'!$A$3:$A$1349,'Media&amp;EdByAEA,Nonpublic'!$A285,'Media&amp;EdByAEA,Dist,Nonpublic'!$D$3:$D$1349,'Media&amp;EdByAEA,Nonpublic'!$D285,'Media&amp;EdByAEA,Dist,Nonpublic'!$E$3:$E$1349,'Media&amp;EdByAEA,Nonpublic'!$E285)</f>
        <v>1753.84</v>
      </c>
      <c r="G285" s="35">
        <f>SUMIFS('Media&amp;EdByAEA,Dist,Nonpublic'!$M$3:$M$1349,'Media&amp;EdByAEA,Dist,Nonpublic'!$A$3:$A$1349,'Media&amp;EdByAEA,Nonpublic'!$A285,'Media&amp;EdByAEA,Dist,Nonpublic'!$D$3:$D$1349,'Media&amp;EdByAEA,Nonpublic'!$D285,'Media&amp;EdByAEA,Dist,Nonpublic'!$E$3:$E$1349,'Media&amp;EdByAEA,Nonpublic'!$E285)</f>
        <v>1928.98</v>
      </c>
    </row>
    <row r="286" spans="1:7" x14ac:dyDescent="0.25">
      <c r="A286" s="82">
        <v>15</v>
      </c>
      <c r="B286" s="81" t="s">
        <v>1236</v>
      </c>
      <c r="C286" s="81" t="s">
        <v>908</v>
      </c>
      <c r="D286" s="82">
        <v>5166</v>
      </c>
      <c r="E286" s="82">
        <v>8301</v>
      </c>
      <c r="F286" s="35">
        <f>SUMIFS('Media&amp;EdByAEA,Dist,Nonpublic'!$L$3:$L$1349,'Media&amp;EdByAEA,Dist,Nonpublic'!$A$3:$A$1349,'Media&amp;EdByAEA,Nonpublic'!$A286,'Media&amp;EdByAEA,Dist,Nonpublic'!$D$3:$D$1349,'Media&amp;EdByAEA,Nonpublic'!$D286,'Media&amp;EdByAEA,Dist,Nonpublic'!$E$3:$E$1349,'Media&amp;EdByAEA,Nonpublic'!$E286)</f>
        <v>2403.8399999999997</v>
      </c>
      <c r="G286" s="35">
        <f>SUMIFS('Media&amp;EdByAEA,Dist,Nonpublic'!$M$3:$M$1349,'Media&amp;EdByAEA,Dist,Nonpublic'!$A$3:$A$1349,'Media&amp;EdByAEA,Nonpublic'!$A286,'Media&amp;EdByAEA,Dist,Nonpublic'!$D$3:$D$1349,'Media&amp;EdByAEA,Nonpublic'!$D286,'Media&amp;EdByAEA,Dist,Nonpublic'!$E$3:$E$1349,'Media&amp;EdByAEA,Nonpublic'!$E286)</f>
        <v>2642.7400000000002</v>
      </c>
    </row>
    <row r="287" spans="1:7" x14ac:dyDescent="0.25">
      <c r="A287" s="82">
        <v>15</v>
      </c>
      <c r="B287" s="81" t="s">
        <v>1236</v>
      </c>
      <c r="C287" s="81" t="s">
        <v>909</v>
      </c>
      <c r="D287" s="82">
        <v>5166</v>
      </c>
      <c r="E287" s="82">
        <v>8302</v>
      </c>
      <c r="F287" s="35">
        <f>SUMIFS('Media&amp;EdByAEA,Dist,Nonpublic'!$L$3:$L$1349,'Media&amp;EdByAEA,Dist,Nonpublic'!$A$3:$A$1349,'Media&amp;EdByAEA,Nonpublic'!$A287,'Media&amp;EdByAEA,Dist,Nonpublic'!$D$3:$D$1349,'Media&amp;EdByAEA,Nonpublic'!$D287,'Media&amp;EdByAEA,Dist,Nonpublic'!$E$3:$E$1349,'Media&amp;EdByAEA,Nonpublic'!$E287)</f>
        <v>2598.86</v>
      </c>
      <c r="G287" s="35">
        <f>SUMIFS('Media&amp;EdByAEA,Dist,Nonpublic'!$M$3:$M$1349,'Media&amp;EdByAEA,Dist,Nonpublic'!$A$3:$A$1349,'Media&amp;EdByAEA,Nonpublic'!$A287,'Media&amp;EdByAEA,Dist,Nonpublic'!$D$3:$D$1349,'Media&amp;EdByAEA,Nonpublic'!$D287,'Media&amp;EdByAEA,Dist,Nonpublic'!$E$3:$E$1349,'Media&amp;EdByAEA,Nonpublic'!$E287)</f>
        <v>2859.0200000000004</v>
      </c>
    </row>
    <row r="288" spans="1:7" x14ac:dyDescent="0.25">
      <c r="A288" s="82">
        <v>15</v>
      </c>
      <c r="B288" s="81" t="s">
        <v>1236</v>
      </c>
      <c r="C288" s="81" t="s">
        <v>910</v>
      </c>
      <c r="D288" s="82">
        <v>5166</v>
      </c>
      <c r="E288" s="82">
        <v>8305</v>
      </c>
      <c r="F288" s="35">
        <f>SUMIFS('Media&amp;EdByAEA,Dist,Nonpublic'!$L$3:$L$1349,'Media&amp;EdByAEA,Dist,Nonpublic'!$A$3:$A$1349,'Media&amp;EdByAEA,Nonpublic'!$A288,'Media&amp;EdByAEA,Dist,Nonpublic'!$D$3:$D$1349,'Media&amp;EdByAEA,Nonpublic'!$D288,'Media&amp;EdByAEA,Dist,Nonpublic'!$E$3:$E$1349,'Media&amp;EdByAEA,Nonpublic'!$E288)</f>
        <v>779.58999999999992</v>
      </c>
      <c r="G288" s="35">
        <f>SUMIFS('Media&amp;EdByAEA,Dist,Nonpublic'!$M$3:$M$1349,'Media&amp;EdByAEA,Dist,Nonpublic'!$A$3:$A$1349,'Media&amp;EdByAEA,Nonpublic'!$A288,'Media&amp;EdByAEA,Dist,Nonpublic'!$D$3:$D$1349,'Media&amp;EdByAEA,Nonpublic'!$D288,'Media&amp;EdByAEA,Dist,Nonpublic'!$E$3:$E$1349,'Media&amp;EdByAEA,Nonpublic'!$E288)</f>
        <v>857.23</v>
      </c>
    </row>
    <row r="289" spans="1:7" x14ac:dyDescent="0.25">
      <c r="A289" s="82">
        <v>15</v>
      </c>
      <c r="B289" s="81" t="s">
        <v>1236</v>
      </c>
      <c r="C289" s="81" t="s">
        <v>937</v>
      </c>
      <c r="D289" s="82">
        <v>6768</v>
      </c>
      <c r="E289" s="82">
        <v>8103</v>
      </c>
      <c r="F289" s="35">
        <f>SUMIFS('Media&amp;EdByAEA,Dist,Nonpublic'!$L$3:$L$1349,'Media&amp;EdByAEA,Dist,Nonpublic'!$A$3:$A$1349,'Media&amp;EdByAEA,Nonpublic'!$A289,'Media&amp;EdByAEA,Dist,Nonpublic'!$D$3:$D$1349,'Media&amp;EdByAEA,Nonpublic'!$D289,'Media&amp;EdByAEA,Dist,Nonpublic'!$E$3:$E$1349,'Media&amp;EdByAEA,Nonpublic'!$E289)</f>
        <v>65</v>
      </c>
      <c r="G289" s="35">
        <f>SUMIFS('Media&amp;EdByAEA,Dist,Nonpublic'!$M$3:$M$1349,'Media&amp;EdByAEA,Dist,Nonpublic'!$A$3:$A$1349,'Media&amp;EdByAEA,Nonpublic'!$A289,'Media&amp;EdByAEA,Dist,Nonpublic'!$D$3:$D$1349,'Media&amp;EdByAEA,Nonpublic'!$D289,'Media&amp;EdByAEA,Dist,Nonpublic'!$E$3:$E$1349,'Media&amp;EdByAEA,Nonpublic'!$E289)</f>
        <v>71.5</v>
      </c>
    </row>
    <row r="290" spans="1:7" x14ac:dyDescent="0.25">
      <c r="A290" s="82">
        <v>15</v>
      </c>
      <c r="B290" s="81" t="s">
        <v>1236</v>
      </c>
      <c r="C290" s="81" t="s">
        <v>961</v>
      </c>
      <c r="D290" s="82">
        <v>7029</v>
      </c>
      <c r="E290" s="82">
        <v>8204</v>
      </c>
      <c r="F290" s="35">
        <f>SUMIFS('Media&amp;EdByAEA,Dist,Nonpublic'!$L$3:$L$1349,'Media&amp;EdByAEA,Dist,Nonpublic'!$A$3:$A$1349,'Media&amp;EdByAEA,Nonpublic'!$A290,'Media&amp;EdByAEA,Dist,Nonpublic'!$D$3:$D$1349,'Media&amp;EdByAEA,Nonpublic'!$D290,'Media&amp;EdByAEA,Dist,Nonpublic'!$E$3:$E$1349,'Media&amp;EdByAEA,Nonpublic'!$E290)</f>
        <v>130</v>
      </c>
      <c r="G290" s="35">
        <f>SUMIFS('Media&amp;EdByAEA,Dist,Nonpublic'!$M$3:$M$1349,'Media&amp;EdByAEA,Dist,Nonpublic'!$A$3:$A$1349,'Media&amp;EdByAEA,Nonpublic'!$A290,'Media&amp;EdByAEA,Dist,Nonpublic'!$D$3:$D$1349,'Media&amp;EdByAEA,Nonpublic'!$D290,'Media&amp;EdByAEA,Dist,Nonpublic'!$E$3:$E$1349,'Media&amp;EdByAEA,Nonpublic'!$E290)</f>
        <v>143</v>
      </c>
    </row>
  </sheetData>
  <sheetProtection sheet="1" objects="1" scenarios="1"/>
  <pageMargins left="0.7" right="0.7" top="0.75" bottom="0.75" header="0.3" footer="0.3"/>
  <pageSetup scale="86" fitToHeight="0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E9F08-329F-451A-9393-097D8AB87FB1}">
  <sheetPr>
    <tabColor theme="5"/>
    <pageSetUpPr fitToPage="1"/>
  </sheetPr>
  <dimension ref="A1:E214"/>
  <sheetViews>
    <sheetView workbookViewId="0">
      <pane xSplit="1" ySplit="2" topLeftCell="B18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47.28515625" bestFit="1" customWidth="1"/>
    <col min="2" max="3" width="14.42578125" customWidth="1"/>
    <col min="4" max="4" width="25.28515625" customWidth="1"/>
    <col min="5" max="5" width="21.140625" customWidth="1"/>
  </cols>
  <sheetData>
    <row r="1" spans="1:5" x14ac:dyDescent="0.25">
      <c r="A1" s="79" t="s">
        <v>1279</v>
      </c>
    </row>
    <row r="2" spans="1:5" ht="45" x14ac:dyDescent="0.25">
      <c r="A2" s="55" t="s">
        <v>964</v>
      </c>
      <c r="B2" s="55" t="s">
        <v>1275</v>
      </c>
      <c r="C2" s="55" t="s">
        <v>963</v>
      </c>
      <c r="D2" s="55" t="s">
        <v>1266</v>
      </c>
      <c r="E2" s="55" t="s">
        <v>1267</v>
      </c>
    </row>
    <row r="3" spans="1:5" x14ac:dyDescent="0.25">
      <c r="A3" s="81" t="s">
        <v>819</v>
      </c>
      <c r="B3" s="82">
        <v>1611</v>
      </c>
      <c r="C3" s="82">
        <v>8103</v>
      </c>
      <c r="D3" s="35">
        <f>SUMIFS('Media&amp;EdByAEA,Dist,Nonpublic'!$L$3:$L$1349,'Media&amp;EdByAEA,Dist,Nonpublic'!$D$3:$D$1349,'Media&amp;EdByNonpublic'!$B3,'Media&amp;EdByAEA,Dist,Nonpublic'!$E$3:$E$1349,'Media&amp;EdByNonpublic'!$C3)</f>
        <v>24429.63</v>
      </c>
      <c r="E3" s="35">
        <f>SUMIFS('Media&amp;EdByAEA,Dist,Nonpublic'!$M$3:$M$1349,'Media&amp;EdByAEA,Dist,Nonpublic'!$D$3:$D$1349,'Media&amp;EdByNonpublic'!$B3,'Media&amp;EdByAEA,Dist,Nonpublic'!$E$3:$E$1349,'Media&amp;EdByNonpublic'!$C3)</f>
        <v>26714.149999999998</v>
      </c>
    </row>
    <row r="4" spans="1:5" x14ac:dyDescent="0.25">
      <c r="A4" s="81" t="s">
        <v>796</v>
      </c>
      <c r="B4" s="82">
        <v>1053</v>
      </c>
      <c r="C4" s="82">
        <v>8101</v>
      </c>
      <c r="D4" s="35">
        <f>SUMIFS('Media&amp;EdByAEA,Dist,Nonpublic'!$L$3:$L$1349,'Media&amp;EdByAEA,Dist,Nonpublic'!$D$3:$D$1349,'Media&amp;EdByNonpublic'!$B4,'Media&amp;EdByAEA,Dist,Nonpublic'!$E$3:$E$1349,'Media&amp;EdByNonpublic'!$C4)</f>
        <v>7342.74</v>
      </c>
      <c r="E4" s="35">
        <f>SUMIFS('Media&amp;EdByAEA,Dist,Nonpublic'!$M$3:$M$1349,'Media&amp;EdByAEA,Dist,Nonpublic'!$D$3:$D$1349,'Media&amp;EdByNonpublic'!$B4,'Media&amp;EdByAEA,Dist,Nonpublic'!$E$3:$E$1349,'Media&amp;EdByNonpublic'!$C4)</f>
        <v>8075.0300000000007</v>
      </c>
    </row>
    <row r="5" spans="1:5" x14ac:dyDescent="0.25">
      <c r="A5" s="81" t="s">
        <v>952</v>
      </c>
      <c r="B5" s="82">
        <v>6957</v>
      </c>
      <c r="C5" s="82">
        <v>8106</v>
      </c>
      <c r="D5" s="35">
        <f>SUMIFS('Media&amp;EdByAEA,Dist,Nonpublic'!$L$3:$L$1349,'Media&amp;EdByAEA,Dist,Nonpublic'!$D$3:$D$1349,'Media&amp;EdByNonpublic'!$B5,'Media&amp;EdByAEA,Dist,Nonpublic'!$E$3:$E$1349,'Media&amp;EdByNonpublic'!$C5)</f>
        <v>8887.119999999999</v>
      </c>
      <c r="E5" s="35">
        <f>SUMIFS('Media&amp;EdByAEA,Dist,Nonpublic'!$M$3:$M$1349,'Media&amp;EdByAEA,Dist,Nonpublic'!$D$3:$D$1349,'Media&amp;EdByNonpublic'!$B5,'Media&amp;EdByAEA,Dist,Nonpublic'!$E$3:$E$1349,'Media&amp;EdByNonpublic'!$C5)</f>
        <v>9767.3399999999983</v>
      </c>
    </row>
    <row r="6" spans="1:5" x14ac:dyDescent="0.25">
      <c r="A6" s="81" t="s">
        <v>769</v>
      </c>
      <c r="B6" s="80" t="s">
        <v>177</v>
      </c>
      <c r="C6" s="82">
        <v>8102</v>
      </c>
      <c r="D6" s="35">
        <f>SUMIFS('Media&amp;EdByAEA,Dist,Nonpublic'!$L$3:$L$1349,'Media&amp;EdByAEA,Dist,Nonpublic'!$D$3:$D$1349,'Media&amp;EdByNonpublic'!$B6,'Media&amp;EdByAEA,Dist,Nonpublic'!$E$3:$E$1349,'Media&amp;EdByNonpublic'!$C6)</f>
        <v>6487.18</v>
      </c>
      <c r="E6" s="35">
        <f>SUMIFS('Media&amp;EdByAEA,Dist,Nonpublic'!$M$3:$M$1349,'Media&amp;EdByAEA,Dist,Nonpublic'!$D$3:$D$1349,'Media&amp;EdByNonpublic'!$B6,'Media&amp;EdByAEA,Dist,Nonpublic'!$E$3:$E$1349,'Media&amp;EdByNonpublic'!$C6)</f>
        <v>7130.57</v>
      </c>
    </row>
    <row r="7" spans="1:5" x14ac:dyDescent="0.25">
      <c r="A7" s="81" t="s">
        <v>773</v>
      </c>
      <c r="B7" s="80" t="s">
        <v>178</v>
      </c>
      <c r="C7" s="82">
        <v>8503</v>
      </c>
      <c r="D7" s="35">
        <f>SUMIFS('Media&amp;EdByAEA,Dist,Nonpublic'!$L$3:$L$1349,'Media&amp;EdByAEA,Dist,Nonpublic'!$D$3:$D$1349,'Media&amp;EdByNonpublic'!$B7,'Media&amp;EdByAEA,Dist,Nonpublic'!$E$3:$E$1349,'Media&amp;EdByNonpublic'!$C7)</f>
        <v>14854.949999999999</v>
      </c>
      <c r="E7" s="35">
        <f>SUMIFS('Media&amp;EdByAEA,Dist,Nonpublic'!$M$3:$M$1349,'Media&amp;EdByAEA,Dist,Nonpublic'!$D$3:$D$1349,'Media&amp;EdByNonpublic'!$B7,'Media&amp;EdByAEA,Dist,Nonpublic'!$E$3:$E$1349,'Media&amp;EdByNonpublic'!$C7)</f>
        <v>16330.529999999999</v>
      </c>
    </row>
    <row r="8" spans="1:5" x14ac:dyDescent="0.25">
      <c r="A8" s="81" t="s">
        <v>774</v>
      </c>
      <c r="B8" s="80" t="s">
        <v>178</v>
      </c>
      <c r="C8" s="82">
        <v>8504</v>
      </c>
      <c r="D8" s="35">
        <f>SUMIFS('Media&amp;EdByAEA,Dist,Nonpublic'!$L$3:$L$1349,'Media&amp;EdByAEA,Dist,Nonpublic'!$D$3:$D$1349,'Media&amp;EdByNonpublic'!$B8,'Media&amp;EdByAEA,Dist,Nonpublic'!$E$3:$E$1349,'Media&amp;EdByNonpublic'!$C8)</f>
        <v>18225.760000000006</v>
      </c>
      <c r="E8" s="35">
        <f>SUMIFS('Media&amp;EdByAEA,Dist,Nonpublic'!$M$3:$M$1349,'Media&amp;EdByAEA,Dist,Nonpublic'!$D$3:$D$1349,'Media&amp;EdByNonpublic'!$B8,'Media&amp;EdByAEA,Dist,Nonpublic'!$E$3:$E$1349,'Media&amp;EdByNonpublic'!$C8)</f>
        <v>20029.54</v>
      </c>
    </row>
    <row r="9" spans="1:5" x14ac:dyDescent="0.25">
      <c r="A9" s="81" t="s">
        <v>956</v>
      </c>
      <c r="B9" s="82">
        <v>6961</v>
      </c>
      <c r="C9" s="82">
        <v>8150</v>
      </c>
      <c r="D9" s="35">
        <f>SUMIFS('Media&amp;EdByAEA,Dist,Nonpublic'!$L$3:$L$1349,'Media&amp;EdByAEA,Dist,Nonpublic'!$D$3:$D$1349,'Media&amp;EdByNonpublic'!$B9,'Media&amp;EdByAEA,Dist,Nonpublic'!$E$3:$E$1349,'Media&amp;EdByNonpublic'!$C9)</f>
        <v>12330.43</v>
      </c>
      <c r="E9" s="35">
        <f>SUMIFS('Media&amp;EdByAEA,Dist,Nonpublic'!$M$3:$M$1349,'Media&amp;EdByAEA,Dist,Nonpublic'!$D$3:$D$1349,'Media&amp;EdByNonpublic'!$B9,'Media&amp;EdByAEA,Dist,Nonpublic'!$E$3:$E$1349,'Media&amp;EdByNonpublic'!$C9)</f>
        <v>13722.47</v>
      </c>
    </row>
    <row r="10" spans="1:5" x14ac:dyDescent="0.25">
      <c r="A10" s="81" t="s">
        <v>818</v>
      </c>
      <c r="B10" s="82">
        <v>1611</v>
      </c>
      <c r="C10" s="82">
        <v>8101</v>
      </c>
      <c r="D10" s="35">
        <f>SUMIFS('Media&amp;EdByAEA,Dist,Nonpublic'!$L$3:$L$1349,'Media&amp;EdByAEA,Dist,Nonpublic'!$D$3:$D$1349,'Media&amp;EdByNonpublic'!$B10,'Media&amp;EdByAEA,Dist,Nonpublic'!$E$3:$E$1349,'Media&amp;EdByNonpublic'!$C10)</f>
        <v>28058.610000000004</v>
      </c>
      <c r="E10" s="35">
        <f>SUMIFS('Media&amp;EdByAEA,Dist,Nonpublic'!$M$3:$M$1349,'Media&amp;EdByAEA,Dist,Nonpublic'!$D$3:$D$1349,'Media&amp;EdByNonpublic'!$B10,'Media&amp;EdByAEA,Dist,Nonpublic'!$E$3:$E$1349,'Media&amp;EdByNonpublic'!$C10)</f>
        <v>30682.710000000003</v>
      </c>
    </row>
    <row r="11" spans="1:5" x14ac:dyDescent="0.25">
      <c r="A11" s="81" t="s">
        <v>954</v>
      </c>
      <c r="B11" s="82">
        <v>6961</v>
      </c>
      <c r="C11" s="82">
        <v>8146</v>
      </c>
      <c r="D11" s="35">
        <f>SUMIFS('Media&amp;EdByAEA,Dist,Nonpublic'!$L$3:$L$1349,'Media&amp;EdByAEA,Dist,Nonpublic'!$D$3:$D$1349,'Media&amp;EdByNonpublic'!$B11,'Media&amp;EdByAEA,Dist,Nonpublic'!$E$3:$E$1349,'Media&amp;EdByNonpublic'!$C11)</f>
        <v>21731.34</v>
      </c>
      <c r="E11" s="35">
        <f>SUMIFS('Media&amp;EdByAEA,Dist,Nonpublic'!$M$3:$M$1349,'Media&amp;EdByAEA,Dist,Nonpublic'!$D$3:$D$1349,'Media&amp;EdByNonpublic'!$B11,'Media&amp;EdByAEA,Dist,Nonpublic'!$E$3:$E$1349,'Media&amp;EdByNonpublic'!$C11)</f>
        <v>24205.809999999998</v>
      </c>
    </row>
    <row r="12" spans="1:5" x14ac:dyDescent="0.25">
      <c r="A12" s="81" t="s">
        <v>841</v>
      </c>
      <c r="B12" s="82">
        <v>1737</v>
      </c>
      <c r="C12" s="82">
        <v>8505</v>
      </c>
      <c r="D12" s="35">
        <f>SUMIFS('Media&amp;EdByAEA,Dist,Nonpublic'!$L$3:$L$1349,'Media&amp;EdByAEA,Dist,Nonpublic'!$D$3:$D$1349,'Media&amp;EdByNonpublic'!$B12,'Media&amp;EdByAEA,Dist,Nonpublic'!$E$3:$E$1349,'Media&amp;EdByNonpublic'!$C12)</f>
        <v>18355.340000000004</v>
      </c>
      <c r="E12" s="35">
        <f>SUMIFS('Media&amp;EdByAEA,Dist,Nonpublic'!$M$3:$M$1349,'Media&amp;EdByAEA,Dist,Nonpublic'!$D$3:$D$1349,'Media&amp;EdByNonpublic'!$B12,'Media&amp;EdByAEA,Dist,Nonpublic'!$E$3:$E$1349,'Media&amp;EdByNonpublic'!$C12)</f>
        <v>20172.170000000002</v>
      </c>
    </row>
    <row r="13" spans="1:5" x14ac:dyDescent="0.25">
      <c r="A13" s="81" t="s">
        <v>767</v>
      </c>
      <c r="B13" s="80" t="s">
        <v>24</v>
      </c>
      <c r="C13" s="82">
        <v>8108</v>
      </c>
      <c r="D13" s="35">
        <f>SUMIFS('Media&amp;EdByAEA,Dist,Nonpublic'!$L$3:$L$1349,'Media&amp;EdByAEA,Dist,Nonpublic'!$D$3:$D$1349,'Media&amp;EdByNonpublic'!$B13,'Media&amp;EdByAEA,Dist,Nonpublic'!$E$3:$E$1349,'Media&amp;EdByNonpublic'!$C13)</f>
        <v>20713.469999999998</v>
      </c>
      <c r="E13" s="35">
        <f>SUMIFS('Media&amp;EdByAEA,Dist,Nonpublic'!$M$3:$M$1349,'Media&amp;EdByAEA,Dist,Nonpublic'!$D$3:$D$1349,'Media&amp;EdByNonpublic'!$B13,'Media&amp;EdByAEA,Dist,Nonpublic'!$E$3:$E$1349,'Media&amp;EdByNonpublic'!$C13)</f>
        <v>23191.480000000003</v>
      </c>
    </row>
    <row r="14" spans="1:5" x14ac:dyDescent="0.25">
      <c r="A14" s="81" t="s">
        <v>921</v>
      </c>
      <c r="B14" s="82">
        <v>6039</v>
      </c>
      <c r="C14" s="82">
        <v>8106</v>
      </c>
      <c r="D14" s="35">
        <f>SUMIFS('Media&amp;EdByAEA,Dist,Nonpublic'!$L$3:$L$1349,'Media&amp;EdByAEA,Dist,Nonpublic'!$D$3:$D$1349,'Media&amp;EdByNonpublic'!$B14,'Media&amp;EdByAEA,Dist,Nonpublic'!$E$3:$E$1349,'Media&amp;EdByNonpublic'!$C14)</f>
        <v>28262.3</v>
      </c>
      <c r="E14" s="35">
        <f>SUMIFS('Media&amp;EdByAEA,Dist,Nonpublic'!$M$3:$M$1349,'Media&amp;EdByAEA,Dist,Nonpublic'!$D$3:$D$1349,'Media&amp;EdByNonpublic'!$B14,'Media&amp;EdByAEA,Dist,Nonpublic'!$E$3:$E$1349,'Media&amp;EdByNonpublic'!$C14)</f>
        <v>31635.15</v>
      </c>
    </row>
    <row r="15" spans="1:5" x14ac:dyDescent="0.25">
      <c r="A15" s="81" t="s">
        <v>940</v>
      </c>
      <c r="B15" s="82">
        <v>6795</v>
      </c>
      <c r="C15" s="82">
        <v>8112</v>
      </c>
      <c r="D15" s="35">
        <f>SUMIFS('Media&amp;EdByAEA,Dist,Nonpublic'!$L$3:$L$1349,'Media&amp;EdByAEA,Dist,Nonpublic'!$D$3:$D$1349,'Media&amp;EdByNonpublic'!$B15,'Media&amp;EdByAEA,Dist,Nonpublic'!$E$3:$E$1349,'Media&amp;EdByNonpublic'!$C15)</f>
        <v>12405.07</v>
      </c>
      <c r="E15" s="35">
        <f>SUMIFS('Media&amp;EdByAEA,Dist,Nonpublic'!$M$3:$M$1349,'Media&amp;EdByAEA,Dist,Nonpublic'!$D$3:$D$1349,'Media&amp;EdByNonpublic'!$B15,'Media&amp;EdByAEA,Dist,Nonpublic'!$E$3:$E$1349,'Media&amp;EdByNonpublic'!$C15)</f>
        <v>13828.08</v>
      </c>
    </row>
    <row r="16" spans="1:5" x14ac:dyDescent="0.25">
      <c r="A16" s="81" t="s">
        <v>885</v>
      </c>
      <c r="B16" s="82">
        <v>3715</v>
      </c>
      <c r="C16" s="82">
        <v>8121</v>
      </c>
      <c r="D16" s="35">
        <f>SUMIFS('Media&amp;EdByAEA,Dist,Nonpublic'!$L$3:$L$1349,'Media&amp;EdByAEA,Dist,Nonpublic'!$D$3:$D$1349,'Media&amp;EdByNonpublic'!$B16,'Media&amp;EdByAEA,Dist,Nonpublic'!$E$3:$E$1349,'Media&amp;EdByNonpublic'!$C16)</f>
        <v>5198.4399999999996</v>
      </c>
      <c r="E16" s="35">
        <f>SUMIFS('Media&amp;EdByAEA,Dist,Nonpublic'!$M$3:$M$1349,'Media&amp;EdByAEA,Dist,Nonpublic'!$D$3:$D$1349,'Media&amp;EdByNonpublic'!$B16,'Media&amp;EdByAEA,Dist,Nonpublic'!$E$3:$E$1349,'Media&amp;EdByNonpublic'!$C16)</f>
        <v>5716.8</v>
      </c>
    </row>
    <row r="17" spans="1:5" x14ac:dyDescent="0.25">
      <c r="A17" s="81" t="s">
        <v>922</v>
      </c>
      <c r="B17" s="82">
        <v>6039</v>
      </c>
      <c r="C17" s="82">
        <v>8107</v>
      </c>
      <c r="D17" s="35">
        <f>SUMIFS('Media&amp;EdByAEA,Dist,Nonpublic'!$L$3:$L$1349,'Media&amp;EdByAEA,Dist,Nonpublic'!$D$3:$D$1349,'Media&amp;EdByNonpublic'!$B17,'Media&amp;EdByAEA,Dist,Nonpublic'!$E$3:$E$1349,'Media&amp;EdByNonpublic'!$C17)</f>
        <v>4568.91</v>
      </c>
      <c r="E17" s="35">
        <f>SUMIFS('Media&amp;EdByAEA,Dist,Nonpublic'!$M$3:$M$1349,'Media&amp;EdByAEA,Dist,Nonpublic'!$D$3:$D$1349,'Media&amp;EdByNonpublic'!$B17,'Media&amp;EdByAEA,Dist,Nonpublic'!$E$3:$E$1349,'Media&amp;EdByNonpublic'!$C17)</f>
        <v>5114.21</v>
      </c>
    </row>
    <row r="18" spans="1:5" x14ac:dyDescent="0.25">
      <c r="A18" s="81" t="s">
        <v>797</v>
      </c>
      <c r="B18" s="82">
        <v>1053</v>
      </c>
      <c r="C18" s="82">
        <v>8102</v>
      </c>
      <c r="D18" s="35">
        <f>SUMIFS('Media&amp;EdByAEA,Dist,Nonpublic'!$L$3:$L$1349,'Media&amp;EdByAEA,Dist,Nonpublic'!$D$3:$D$1349,'Media&amp;EdByNonpublic'!$B18,'Media&amp;EdByAEA,Dist,Nonpublic'!$E$3:$E$1349,'Media&amp;EdByNonpublic'!$C18)</f>
        <v>12931.239999999998</v>
      </c>
      <c r="E18" s="35">
        <f>SUMIFS('Media&amp;EdByAEA,Dist,Nonpublic'!$M$3:$M$1349,'Media&amp;EdByAEA,Dist,Nonpublic'!$D$3:$D$1349,'Media&amp;EdByNonpublic'!$B18,'Media&amp;EdByAEA,Dist,Nonpublic'!$E$3:$E$1349,'Media&amp;EdByNonpublic'!$C18)</f>
        <v>14220.819999999996</v>
      </c>
    </row>
    <row r="19" spans="1:5" x14ac:dyDescent="0.25">
      <c r="A19" s="81" t="s">
        <v>860</v>
      </c>
      <c r="B19" s="82">
        <v>2709</v>
      </c>
      <c r="C19" s="82">
        <v>8501</v>
      </c>
      <c r="D19" s="35">
        <f>SUMIFS('Media&amp;EdByAEA,Dist,Nonpublic'!$L$3:$L$1349,'Media&amp;EdByAEA,Dist,Nonpublic'!$D$3:$D$1349,'Media&amp;EdByNonpublic'!$B19,'Media&amp;EdByAEA,Dist,Nonpublic'!$E$3:$E$1349,'Media&amp;EdByNonpublic'!$C19)</f>
        <v>4178.55</v>
      </c>
      <c r="E19" s="35">
        <f>SUMIFS('Media&amp;EdByAEA,Dist,Nonpublic'!$M$3:$M$1349,'Media&amp;EdByAEA,Dist,Nonpublic'!$D$3:$D$1349,'Media&amp;EdByNonpublic'!$B19,'Media&amp;EdByAEA,Dist,Nonpublic'!$E$3:$E$1349,'Media&amp;EdByNonpublic'!$C19)</f>
        <v>4658.09</v>
      </c>
    </row>
    <row r="20" spans="1:5" x14ac:dyDescent="0.25">
      <c r="A20" s="81" t="s">
        <v>777</v>
      </c>
      <c r="B20" s="80" t="s">
        <v>144</v>
      </c>
      <c r="C20" s="82">
        <v>8204</v>
      </c>
      <c r="D20" s="35">
        <f>SUMIFS('Media&amp;EdByAEA,Dist,Nonpublic'!$L$3:$L$1349,'Media&amp;EdByAEA,Dist,Nonpublic'!$D$3:$D$1349,'Media&amp;EdByNonpublic'!$B20,'Media&amp;EdByAEA,Dist,Nonpublic'!$E$3:$E$1349,'Media&amp;EdByNonpublic'!$C20)</f>
        <v>9097.9399999999987</v>
      </c>
      <c r="E20" s="35">
        <f>SUMIFS('Media&amp;EdByAEA,Dist,Nonpublic'!$M$3:$M$1349,'Media&amp;EdByAEA,Dist,Nonpublic'!$D$3:$D$1349,'Media&amp;EdByNonpublic'!$B20,'Media&amp;EdByAEA,Dist,Nonpublic'!$E$3:$E$1349,'Media&amp;EdByNonpublic'!$C20)</f>
        <v>10006.85</v>
      </c>
    </row>
    <row r="21" spans="1:5" x14ac:dyDescent="0.25">
      <c r="A21" s="81" t="s">
        <v>834</v>
      </c>
      <c r="B21" s="82">
        <v>1737</v>
      </c>
      <c r="C21" s="82">
        <v>8117</v>
      </c>
      <c r="D21" s="35">
        <f>SUMIFS('Media&amp;EdByAEA,Dist,Nonpublic'!$L$3:$L$1349,'Media&amp;EdByAEA,Dist,Nonpublic'!$D$3:$D$1349,'Media&amp;EdByNonpublic'!$B21,'Media&amp;EdByAEA,Dist,Nonpublic'!$E$3:$E$1349,'Media&amp;EdByNonpublic'!$C21)</f>
        <v>14269.18</v>
      </c>
      <c r="E21" s="35">
        <f>SUMIFS('Media&amp;EdByAEA,Dist,Nonpublic'!$M$3:$M$1349,'Media&amp;EdByAEA,Dist,Nonpublic'!$D$3:$D$1349,'Media&amp;EdByNonpublic'!$B21,'Media&amp;EdByAEA,Dist,Nonpublic'!$E$3:$E$1349,'Media&amp;EdByNonpublic'!$C21)</f>
        <v>15681.310000000001</v>
      </c>
    </row>
    <row r="22" spans="1:5" x14ac:dyDescent="0.25">
      <c r="A22" s="81" t="s">
        <v>810</v>
      </c>
      <c r="B22" s="82">
        <v>1197</v>
      </c>
      <c r="C22" s="82">
        <v>8202</v>
      </c>
      <c r="D22" s="35">
        <f>SUMIFS('Media&amp;EdByAEA,Dist,Nonpublic'!$L$3:$L$1349,'Media&amp;EdByAEA,Dist,Nonpublic'!$D$3:$D$1349,'Media&amp;EdByNonpublic'!$B22,'Media&amp;EdByAEA,Dist,Nonpublic'!$E$3:$E$1349,'Media&amp;EdByNonpublic'!$C22)</f>
        <v>5004</v>
      </c>
      <c r="E22" s="35">
        <f>SUMIFS('Media&amp;EdByAEA,Dist,Nonpublic'!$M$3:$M$1349,'Media&amp;EdByAEA,Dist,Nonpublic'!$D$3:$D$1349,'Media&amp;EdByNonpublic'!$B22,'Media&amp;EdByAEA,Dist,Nonpublic'!$E$3:$E$1349,'Media&amp;EdByNonpublic'!$C22)</f>
        <v>5533</v>
      </c>
    </row>
    <row r="23" spans="1:5" x14ac:dyDescent="0.25">
      <c r="A23" s="81" t="s">
        <v>859</v>
      </c>
      <c r="B23" s="82">
        <v>2403</v>
      </c>
      <c r="C23" s="82">
        <v>8103</v>
      </c>
      <c r="D23" s="35">
        <f>SUMIFS('Media&amp;EdByAEA,Dist,Nonpublic'!$L$3:$L$1349,'Media&amp;EdByAEA,Dist,Nonpublic'!$D$3:$D$1349,'Media&amp;EdByNonpublic'!$B23,'Media&amp;EdByAEA,Dist,Nonpublic'!$E$3:$E$1349,'Media&amp;EdByNonpublic'!$C23)</f>
        <v>3786.8300000000004</v>
      </c>
      <c r="E23" s="35">
        <f>SUMIFS('Media&amp;EdByAEA,Dist,Nonpublic'!$M$3:$M$1349,'Media&amp;EdByAEA,Dist,Nonpublic'!$D$3:$D$1349,'Media&amp;EdByNonpublic'!$B23,'Media&amp;EdByAEA,Dist,Nonpublic'!$E$3:$E$1349,'Media&amp;EdByNonpublic'!$C23)</f>
        <v>4221.17</v>
      </c>
    </row>
    <row r="24" spans="1:5" x14ac:dyDescent="0.25">
      <c r="A24" s="81" t="s">
        <v>811</v>
      </c>
      <c r="B24" s="82">
        <v>1233</v>
      </c>
      <c r="C24" s="82">
        <v>8102</v>
      </c>
      <c r="D24" s="35">
        <f>SUMIFS('Media&amp;EdByAEA,Dist,Nonpublic'!$L$3:$L$1349,'Media&amp;EdByAEA,Dist,Nonpublic'!$D$3:$D$1349,'Media&amp;EdByNonpublic'!$B24,'Media&amp;EdByAEA,Dist,Nonpublic'!$E$3:$E$1349,'Media&amp;EdByNonpublic'!$C24)</f>
        <v>5092.54</v>
      </c>
      <c r="E24" s="35">
        <f>SUMIFS('Media&amp;EdByAEA,Dist,Nonpublic'!$M$3:$M$1349,'Media&amp;EdByAEA,Dist,Nonpublic'!$D$3:$D$1349,'Media&amp;EdByNonpublic'!$B24,'Media&amp;EdByAEA,Dist,Nonpublic'!$E$3:$E$1349,'Media&amp;EdByNonpublic'!$C24)</f>
        <v>5677.18</v>
      </c>
    </row>
    <row r="25" spans="1:5" x14ac:dyDescent="0.25">
      <c r="A25" s="81" t="s">
        <v>941</v>
      </c>
      <c r="B25" s="82">
        <v>6795</v>
      </c>
      <c r="C25" s="82">
        <v>8114</v>
      </c>
      <c r="D25" s="35">
        <f>SUMIFS('Media&amp;EdByAEA,Dist,Nonpublic'!$L$3:$L$1349,'Media&amp;EdByAEA,Dist,Nonpublic'!$D$3:$D$1349,'Media&amp;EdByNonpublic'!$B25,'Media&amp;EdByAEA,Dist,Nonpublic'!$E$3:$E$1349,'Media&amp;EdByNonpublic'!$C25)</f>
        <v>15800.130000000001</v>
      </c>
      <c r="E25" s="35">
        <f>SUMIFS('Media&amp;EdByAEA,Dist,Nonpublic'!$M$3:$M$1349,'Media&amp;EdByAEA,Dist,Nonpublic'!$D$3:$D$1349,'Media&amp;EdByNonpublic'!$B25,'Media&amp;EdByAEA,Dist,Nonpublic'!$E$3:$E$1349,'Media&amp;EdByNonpublic'!$C25)</f>
        <v>17612.650000000001</v>
      </c>
    </row>
    <row r="26" spans="1:5" x14ac:dyDescent="0.25">
      <c r="A26" s="81" t="s">
        <v>856</v>
      </c>
      <c r="B26" s="82">
        <v>2313</v>
      </c>
      <c r="C26" s="82">
        <v>8301</v>
      </c>
      <c r="D26" s="35">
        <f>SUMIFS('Media&amp;EdByAEA,Dist,Nonpublic'!$L$3:$L$1349,'Media&amp;EdByAEA,Dist,Nonpublic'!$D$3:$D$1349,'Media&amp;EdByNonpublic'!$B26,'Media&amp;EdByAEA,Dist,Nonpublic'!$E$3:$E$1349,'Media&amp;EdByNonpublic'!$C26)</f>
        <v>4900.55</v>
      </c>
      <c r="E26" s="35">
        <f>SUMIFS('Media&amp;EdByAEA,Dist,Nonpublic'!$M$3:$M$1349,'Media&amp;EdByAEA,Dist,Nonpublic'!$D$3:$D$1349,'Media&amp;EdByNonpublic'!$B26,'Media&amp;EdByAEA,Dist,Nonpublic'!$E$3:$E$1349,'Media&amp;EdByNonpublic'!$C26)</f>
        <v>5486.94</v>
      </c>
    </row>
    <row r="27" spans="1:5" x14ac:dyDescent="0.25">
      <c r="A27" s="81" t="s">
        <v>936</v>
      </c>
      <c r="B27" s="82">
        <v>6762</v>
      </c>
      <c r="C27" s="82">
        <v>8203</v>
      </c>
      <c r="D27" s="35">
        <f>SUMIFS('Media&amp;EdByAEA,Dist,Nonpublic'!$L$3:$L$1349,'Media&amp;EdByAEA,Dist,Nonpublic'!$D$3:$D$1349,'Media&amp;EdByNonpublic'!$B27,'Media&amp;EdByAEA,Dist,Nonpublic'!$E$3:$E$1349,'Media&amp;EdByNonpublic'!$C27)</f>
        <v>2872.6899999999996</v>
      </c>
      <c r="E27" s="35">
        <f>SUMIFS('Media&amp;EdByAEA,Dist,Nonpublic'!$M$3:$M$1349,'Media&amp;EdByAEA,Dist,Nonpublic'!$D$3:$D$1349,'Media&amp;EdByNonpublic'!$B27,'Media&amp;EdByAEA,Dist,Nonpublic'!$E$3:$E$1349,'Media&amp;EdByNonpublic'!$C27)</f>
        <v>3202.97</v>
      </c>
    </row>
    <row r="28" spans="1:5" x14ac:dyDescent="0.25">
      <c r="A28" s="81" t="s">
        <v>781</v>
      </c>
      <c r="B28" s="80" t="s">
        <v>122</v>
      </c>
      <c r="C28" s="82">
        <v>8121</v>
      </c>
      <c r="D28" s="35">
        <f>SUMIFS('Media&amp;EdByAEA,Dist,Nonpublic'!$L$3:$L$1349,'Media&amp;EdByAEA,Dist,Nonpublic'!$D$3:$D$1349,'Media&amp;EdByNonpublic'!$B28,'Media&amp;EdByAEA,Dist,Nonpublic'!$E$3:$E$1349,'Media&amp;EdByNonpublic'!$C28)</f>
        <v>7257.58</v>
      </c>
      <c r="E28" s="35">
        <f>SUMIFS('Media&amp;EdByAEA,Dist,Nonpublic'!$M$3:$M$1349,'Media&amp;EdByAEA,Dist,Nonpublic'!$D$3:$D$1349,'Media&amp;EdByNonpublic'!$B28,'Media&amp;EdByAEA,Dist,Nonpublic'!$E$3:$E$1349,'Media&amp;EdByNonpublic'!$C28)</f>
        <v>7936.2599999999993</v>
      </c>
    </row>
    <row r="29" spans="1:5" x14ac:dyDescent="0.25">
      <c r="A29" s="81" t="s">
        <v>887</v>
      </c>
      <c r="B29" s="82">
        <v>4033</v>
      </c>
      <c r="C29" s="82">
        <v>8103</v>
      </c>
      <c r="D29" s="35">
        <f>SUMIFS('Media&amp;EdByAEA,Dist,Nonpublic'!$L$3:$L$1349,'Media&amp;EdByAEA,Dist,Nonpublic'!$D$3:$D$1349,'Media&amp;EdByNonpublic'!$B29,'Media&amp;EdByAEA,Dist,Nonpublic'!$E$3:$E$1349,'Media&amp;EdByNonpublic'!$C29)</f>
        <v>2806.48</v>
      </c>
      <c r="E29" s="35">
        <f>SUMIFS('Media&amp;EdByAEA,Dist,Nonpublic'!$M$3:$M$1349,'Media&amp;EdByAEA,Dist,Nonpublic'!$D$3:$D$1349,'Media&amp;EdByNonpublic'!$B29,'Media&amp;EdByAEA,Dist,Nonpublic'!$E$3:$E$1349,'Media&amp;EdByNonpublic'!$C29)</f>
        <v>3141.1400000000003</v>
      </c>
    </row>
    <row r="30" spans="1:5" x14ac:dyDescent="0.25">
      <c r="A30" s="81" t="s">
        <v>821</v>
      </c>
      <c r="B30" s="82">
        <v>1611</v>
      </c>
      <c r="C30" s="82">
        <v>8121</v>
      </c>
      <c r="D30" s="35">
        <f>SUMIFS('Media&amp;EdByAEA,Dist,Nonpublic'!$L$3:$L$1349,'Media&amp;EdByAEA,Dist,Nonpublic'!$D$3:$D$1349,'Media&amp;EdByNonpublic'!$B30,'Media&amp;EdByAEA,Dist,Nonpublic'!$E$3:$E$1349,'Media&amp;EdByNonpublic'!$C30)</f>
        <v>648</v>
      </c>
      <c r="E30" s="35">
        <f>SUMIFS('Media&amp;EdByAEA,Dist,Nonpublic'!$M$3:$M$1349,'Media&amp;EdByAEA,Dist,Nonpublic'!$D$3:$D$1349,'Media&amp;EdByNonpublic'!$B30,'Media&amp;EdByAEA,Dist,Nonpublic'!$E$3:$E$1349,'Media&amp;EdByNonpublic'!$C30)</f>
        <v>708.6</v>
      </c>
    </row>
    <row r="31" spans="1:5" x14ac:dyDescent="0.25">
      <c r="A31" s="81" t="s">
        <v>934</v>
      </c>
      <c r="B31" s="82">
        <v>6579</v>
      </c>
      <c r="C31" s="82">
        <v>8502</v>
      </c>
      <c r="D31" s="35">
        <f>SUMIFS('Media&amp;EdByAEA,Dist,Nonpublic'!$L$3:$L$1349,'Media&amp;EdByAEA,Dist,Nonpublic'!$D$3:$D$1349,'Media&amp;EdByNonpublic'!$B31,'Media&amp;EdByAEA,Dist,Nonpublic'!$E$3:$E$1349,'Media&amp;EdByNonpublic'!$C31)</f>
        <v>33143.279999999999</v>
      </c>
      <c r="E31" s="35">
        <f>SUMIFS('Media&amp;EdByAEA,Dist,Nonpublic'!$M$3:$M$1349,'Media&amp;EdByAEA,Dist,Nonpublic'!$D$3:$D$1349,'Media&amp;EdByNonpublic'!$B31,'Media&amp;EdByAEA,Dist,Nonpublic'!$E$3:$E$1349,'Media&amp;EdByNonpublic'!$C31)</f>
        <v>36424.109999999993</v>
      </c>
    </row>
    <row r="32" spans="1:5" x14ac:dyDescent="0.25">
      <c r="A32" s="81" t="s">
        <v>935</v>
      </c>
      <c r="B32" s="82">
        <v>6579</v>
      </c>
      <c r="C32" s="82">
        <v>8503</v>
      </c>
      <c r="D32" s="35">
        <f>SUMIFS('Media&amp;EdByAEA,Dist,Nonpublic'!$L$3:$L$1349,'Media&amp;EdByAEA,Dist,Nonpublic'!$D$3:$D$1349,'Media&amp;EdByNonpublic'!$B32,'Media&amp;EdByAEA,Dist,Nonpublic'!$E$3:$E$1349,'Media&amp;EdByNonpublic'!$C32)</f>
        <v>49877.640000000007</v>
      </c>
      <c r="E32" s="35">
        <f>SUMIFS('Media&amp;EdByAEA,Dist,Nonpublic'!$M$3:$M$1349,'Media&amp;EdByAEA,Dist,Nonpublic'!$D$3:$D$1349,'Media&amp;EdByNonpublic'!$B32,'Media&amp;EdByAEA,Dist,Nonpublic'!$E$3:$E$1349,'Media&amp;EdByNonpublic'!$C32)</f>
        <v>54815.020000000004</v>
      </c>
    </row>
    <row r="33" spans="1:5" x14ac:dyDescent="0.25">
      <c r="A33" s="81" t="s">
        <v>942</v>
      </c>
      <c r="B33" s="82">
        <v>6795</v>
      </c>
      <c r="C33" s="82">
        <v>8115</v>
      </c>
      <c r="D33" s="35">
        <f>SUMIFS('Media&amp;EdByAEA,Dist,Nonpublic'!$L$3:$L$1349,'Media&amp;EdByAEA,Dist,Nonpublic'!$D$3:$D$1349,'Media&amp;EdByNonpublic'!$B33,'Media&amp;EdByAEA,Dist,Nonpublic'!$E$3:$E$1349,'Media&amp;EdByNonpublic'!$C33)</f>
        <v>7442.91</v>
      </c>
      <c r="E33" s="35">
        <f>SUMIFS('Media&amp;EdByAEA,Dist,Nonpublic'!$M$3:$M$1349,'Media&amp;EdByAEA,Dist,Nonpublic'!$D$3:$D$1349,'Media&amp;EdByNonpublic'!$B33,'Media&amp;EdByAEA,Dist,Nonpublic'!$E$3:$E$1349,'Media&amp;EdByNonpublic'!$C33)</f>
        <v>8296.57</v>
      </c>
    </row>
    <row r="34" spans="1:5" x14ac:dyDescent="0.25">
      <c r="A34" s="81" t="s">
        <v>951</v>
      </c>
      <c r="B34" s="82">
        <v>6957</v>
      </c>
      <c r="C34" s="82">
        <v>8103</v>
      </c>
      <c r="D34" s="35">
        <f>SUMIFS('Media&amp;EdByAEA,Dist,Nonpublic'!$L$3:$L$1349,'Media&amp;EdByAEA,Dist,Nonpublic'!$D$3:$D$1349,'Media&amp;EdByNonpublic'!$B34,'Media&amp;EdByAEA,Dist,Nonpublic'!$E$3:$E$1349,'Media&amp;EdByNonpublic'!$C34)</f>
        <v>91063.28</v>
      </c>
      <c r="E34" s="35">
        <f>SUMIFS('Media&amp;EdByAEA,Dist,Nonpublic'!$M$3:$M$1349,'Media&amp;EdByAEA,Dist,Nonpublic'!$D$3:$D$1349,'Media&amp;EdByNonpublic'!$B34,'Media&amp;EdByAEA,Dist,Nonpublic'!$E$3:$E$1349,'Media&amp;EdByNonpublic'!$C34)</f>
        <v>100077.39</v>
      </c>
    </row>
    <row r="35" spans="1:5" x14ac:dyDescent="0.25">
      <c r="A35" s="81" t="s">
        <v>850</v>
      </c>
      <c r="B35" s="82">
        <v>1863</v>
      </c>
      <c r="C35" s="82">
        <v>8170</v>
      </c>
      <c r="D35" s="35">
        <f>SUMIFS('Media&amp;EdByAEA,Dist,Nonpublic'!$L$3:$L$1349,'Media&amp;EdByAEA,Dist,Nonpublic'!$D$3:$D$1349,'Media&amp;EdByNonpublic'!$B35,'Media&amp;EdByAEA,Dist,Nonpublic'!$E$3:$E$1349,'Media&amp;EdByNonpublic'!$C35)</f>
        <v>5873.42</v>
      </c>
      <c r="E35" s="35">
        <f>SUMIFS('Media&amp;EdByAEA,Dist,Nonpublic'!$M$3:$M$1349,'Media&amp;EdByAEA,Dist,Nonpublic'!$D$3:$D$1349,'Media&amp;EdByNonpublic'!$B35,'Media&amp;EdByAEA,Dist,Nonpublic'!$E$3:$E$1349,'Media&amp;EdByNonpublic'!$C35)</f>
        <v>6542.11</v>
      </c>
    </row>
    <row r="36" spans="1:5" x14ac:dyDescent="0.25">
      <c r="A36" s="81" t="s">
        <v>851</v>
      </c>
      <c r="B36" s="82">
        <v>2088</v>
      </c>
      <c r="C36" s="82">
        <v>8102</v>
      </c>
      <c r="D36" s="35">
        <f>SUMIFS('Media&amp;EdByAEA,Dist,Nonpublic'!$L$3:$L$1349,'Media&amp;EdByAEA,Dist,Nonpublic'!$D$3:$D$1349,'Media&amp;EdByNonpublic'!$B36,'Media&amp;EdByAEA,Dist,Nonpublic'!$E$3:$E$1349,'Media&amp;EdByNonpublic'!$C36)</f>
        <v>5945.66</v>
      </c>
      <c r="E36" s="35">
        <f>SUMIFS('Media&amp;EdByAEA,Dist,Nonpublic'!$M$3:$M$1349,'Media&amp;EdByAEA,Dist,Nonpublic'!$D$3:$D$1349,'Media&amp;EdByNonpublic'!$B36,'Media&amp;EdByAEA,Dist,Nonpublic'!$E$3:$E$1349,'Media&amp;EdByNonpublic'!$C36)</f>
        <v>6657.84</v>
      </c>
    </row>
    <row r="37" spans="1:5" x14ac:dyDescent="0.25">
      <c r="A37" s="81" t="s">
        <v>837</v>
      </c>
      <c r="B37" s="82">
        <v>1737</v>
      </c>
      <c r="C37" s="82">
        <v>8130</v>
      </c>
      <c r="D37" s="35">
        <f>SUMIFS('Media&amp;EdByAEA,Dist,Nonpublic'!$L$3:$L$1349,'Media&amp;EdByAEA,Dist,Nonpublic'!$D$3:$D$1349,'Media&amp;EdByNonpublic'!$B37,'Media&amp;EdByAEA,Dist,Nonpublic'!$E$3:$E$1349,'Media&amp;EdByNonpublic'!$C37)</f>
        <v>972.9</v>
      </c>
      <c r="E37" s="35">
        <f>SUMIFS('Media&amp;EdByAEA,Dist,Nonpublic'!$M$3:$M$1349,'Media&amp;EdByAEA,Dist,Nonpublic'!$D$3:$D$1349,'Media&amp;EdByNonpublic'!$B37,'Media&amp;EdByAEA,Dist,Nonpublic'!$E$3:$E$1349,'Media&amp;EdByNonpublic'!$C37)</f>
        <v>1069.2</v>
      </c>
    </row>
    <row r="38" spans="1:5" x14ac:dyDescent="0.25">
      <c r="A38" s="81" t="s">
        <v>869</v>
      </c>
      <c r="B38" s="82">
        <v>3141</v>
      </c>
      <c r="C38" s="82">
        <v>8103</v>
      </c>
      <c r="D38" s="35">
        <f>SUMIFS('Media&amp;EdByAEA,Dist,Nonpublic'!$L$3:$L$1349,'Media&amp;EdByAEA,Dist,Nonpublic'!$D$3:$D$1349,'Media&amp;EdByNonpublic'!$B38,'Media&amp;EdByAEA,Dist,Nonpublic'!$E$3:$E$1349,'Media&amp;EdByNonpublic'!$C38)</f>
        <v>7667.16</v>
      </c>
      <c r="E38" s="35">
        <f>SUMIFS('Media&amp;EdByAEA,Dist,Nonpublic'!$M$3:$M$1349,'Media&amp;EdByAEA,Dist,Nonpublic'!$D$3:$D$1349,'Media&amp;EdByNonpublic'!$B38,'Media&amp;EdByAEA,Dist,Nonpublic'!$E$3:$E$1349,'Media&amp;EdByNonpublic'!$C38)</f>
        <v>8431.14</v>
      </c>
    </row>
    <row r="39" spans="1:5" x14ac:dyDescent="0.25">
      <c r="A39" s="81" t="s">
        <v>882</v>
      </c>
      <c r="B39" s="82">
        <v>3600</v>
      </c>
      <c r="C39" s="82">
        <v>8105</v>
      </c>
      <c r="D39" s="35">
        <f>SUMIFS('Media&amp;EdByAEA,Dist,Nonpublic'!$L$3:$L$1349,'Media&amp;EdByAEA,Dist,Nonpublic'!$D$3:$D$1349,'Media&amp;EdByNonpublic'!$B39,'Media&amp;EdByAEA,Dist,Nonpublic'!$E$3:$E$1349,'Media&amp;EdByNonpublic'!$C39)</f>
        <v>22191.99</v>
      </c>
      <c r="E39" s="35">
        <f>SUMIFS('Media&amp;EdByAEA,Dist,Nonpublic'!$M$3:$M$1349,'Media&amp;EdByAEA,Dist,Nonpublic'!$D$3:$D$1349,'Media&amp;EdByNonpublic'!$B39,'Media&amp;EdByAEA,Dist,Nonpublic'!$E$3:$E$1349,'Media&amp;EdByNonpublic'!$C39)</f>
        <v>24840.13</v>
      </c>
    </row>
    <row r="40" spans="1:5" x14ac:dyDescent="0.25">
      <c r="A40" s="81" t="s">
        <v>881</v>
      </c>
      <c r="B40" s="82">
        <v>3600</v>
      </c>
      <c r="C40" s="82">
        <v>8104</v>
      </c>
      <c r="D40" s="35">
        <f>SUMIFS('Media&amp;EdByAEA,Dist,Nonpublic'!$L$3:$L$1349,'Media&amp;EdByAEA,Dist,Nonpublic'!$D$3:$D$1349,'Media&amp;EdByNonpublic'!$B40,'Media&amp;EdByAEA,Dist,Nonpublic'!$E$3:$E$1349,'Media&amp;EdByNonpublic'!$C40)</f>
        <v>14424.820000000002</v>
      </c>
      <c r="E40" s="35">
        <f>SUMIFS('Media&amp;EdByAEA,Dist,Nonpublic'!$M$3:$M$1349,'Media&amp;EdByAEA,Dist,Nonpublic'!$D$3:$D$1349,'Media&amp;EdByNonpublic'!$B40,'Media&amp;EdByAEA,Dist,Nonpublic'!$E$3:$E$1349,'Media&amp;EdByNonpublic'!$C40)</f>
        <v>16146.15</v>
      </c>
    </row>
    <row r="41" spans="1:5" x14ac:dyDescent="0.25">
      <c r="A41" s="81" t="s">
        <v>877</v>
      </c>
      <c r="B41" s="82">
        <v>3231</v>
      </c>
      <c r="C41" s="82">
        <v>8121</v>
      </c>
      <c r="D41" s="35">
        <f>SUMIFS('Media&amp;EdByAEA,Dist,Nonpublic'!$L$3:$L$1349,'Media&amp;EdByAEA,Dist,Nonpublic'!$D$3:$D$1349,'Media&amp;EdByNonpublic'!$B41,'Media&amp;EdByAEA,Dist,Nonpublic'!$E$3:$E$1349,'Media&amp;EdByNonpublic'!$C41)</f>
        <v>1232.3400000000001</v>
      </c>
      <c r="E41" s="35">
        <f>SUMIFS('Media&amp;EdByAEA,Dist,Nonpublic'!$M$3:$M$1349,'Media&amp;EdByAEA,Dist,Nonpublic'!$D$3:$D$1349,'Media&amp;EdByNonpublic'!$B41,'Media&amp;EdByAEA,Dist,Nonpublic'!$E$3:$E$1349,'Media&amp;EdByNonpublic'!$C41)</f>
        <v>1354.33</v>
      </c>
    </row>
    <row r="42" spans="1:5" x14ac:dyDescent="0.25">
      <c r="A42" s="81" t="s">
        <v>915</v>
      </c>
      <c r="B42" s="82">
        <v>5805</v>
      </c>
      <c r="C42" s="82">
        <v>8109</v>
      </c>
      <c r="D42" s="35">
        <f>SUMIFS('Media&amp;EdByAEA,Dist,Nonpublic'!$L$3:$L$1349,'Media&amp;EdByAEA,Dist,Nonpublic'!$D$3:$D$1349,'Media&amp;EdByNonpublic'!$B42,'Media&amp;EdByAEA,Dist,Nonpublic'!$E$3:$E$1349,'Media&amp;EdByNonpublic'!$C42)</f>
        <v>33986.86</v>
      </c>
      <c r="E42" s="35">
        <f>SUMIFS('Media&amp;EdByAEA,Dist,Nonpublic'!$M$3:$M$1349,'Media&amp;EdByAEA,Dist,Nonpublic'!$D$3:$D$1349,'Media&amp;EdByNonpublic'!$B42,'Media&amp;EdByAEA,Dist,Nonpublic'!$E$3:$E$1349,'Media&amp;EdByNonpublic'!$C42)</f>
        <v>37350.54</v>
      </c>
    </row>
    <row r="43" spans="1:5" x14ac:dyDescent="0.25">
      <c r="A43" s="81" t="s">
        <v>840</v>
      </c>
      <c r="B43" s="82">
        <v>1737</v>
      </c>
      <c r="C43" s="82">
        <v>8504</v>
      </c>
      <c r="D43" s="35">
        <f>SUMIFS('Media&amp;EdByAEA,Dist,Nonpublic'!$L$3:$L$1349,'Media&amp;EdByAEA,Dist,Nonpublic'!$D$3:$D$1349,'Media&amp;EdByNonpublic'!$B43,'Media&amp;EdByAEA,Dist,Nonpublic'!$E$3:$E$1349,'Media&amp;EdByNonpublic'!$C43)</f>
        <v>15760.999999999996</v>
      </c>
      <c r="E43" s="35">
        <f>SUMIFS('Media&amp;EdByAEA,Dist,Nonpublic'!$M$3:$M$1349,'Media&amp;EdByAEA,Dist,Nonpublic'!$D$3:$D$1349,'Media&amp;EdByNonpublic'!$B43,'Media&amp;EdByAEA,Dist,Nonpublic'!$E$3:$E$1349,'Media&amp;EdByNonpublic'!$C43)</f>
        <v>17321.030000000002</v>
      </c>
    </row>
    <row r="44" spans="1:5" x14ac:dyDescent="0.25">
      <c r="A44" s="81" t="s">
        <v>842</v>
      </c>
      <c r="B44" s="82">
        <v>1737</v>
      </c>
      <c r="C44" s="82">
        <v>8507</v>
      </c>
      <c r="D44" s="35">
        <f>SUMIFS('Media&amp;EdByAEA,Dist,Nonpublic'!$L$3:$L$1349,'Media&amp;EdByAEA,Dist,Nonpublic'!$D$3:$D$1349,'Media&amp;EdByNonpublic'!$B44,'Media&amp;EdByAEA,Dist,Nonpublic'!$E$3:$E$1349,'Media&amp;EdByNonpublic'!$C44)</f>
        <v>16733.98</v>
      </c>
      <c r="E44" s="35">
        <f>SUMIFS('Media&amp;EdByAEA,Dist,Nonpublic'!$M$3:$M$1349,'Media&amp;EdByAEA,Dist,Nonpublic'!$D$3:$D$1349,'Media&amp;EdByNonpublic'!$B44,'Media&amp;EdByAEA,Dist,Nonpublic'!$E$3:$E$1349,'Media&amp;EdByNonpublic'!$C44)</f>
        <v>18390.210000000003</v>
      </c>
    </row>
    <row r="45" spans="1:5" x14ac:dyDescent="0.25">
      <c r="A45" s="81" t="s">
        <v>791</v>
      </c>
      <c r="B45" s="80" t="s">
        <v>310</v>
      </c>
      <c r="C45" s="82">
        <v>8106</v>
      </c>
      <c r="D45" s="35">
        <f>SUMIFS('Media&amp;EdByAEA,Dist,Nonpublic'!$L$3:$L$1349,'Media&amp;EdByAEA,Dist,Nonpublic'!$D$3:$D$1349,'Media&amp;EdByNonpublic'!$B45,'Media&amp;EdByAEA,Dist,Nonpublic'!$E$3:$E$1349,'Media&amp;EdByNonpublic'!$C45)</f>
        <v>2143.77</v>
      </c>
      <c r="E45" s="35">
        <f>SUMIFS('Media&amp;EdByAEA,Dist,Nonpublic'!$M$3:$M$1349,'Media&amp;EdByAEA,Dist,Nonpublic'!$D$3:$D$1349,'Media&amp;EdByNonpublic'!$B45,'Media&amp;EdByAEA,Dist,Nonpublic'!$E$3:$E$1349,'Media&amp;EdByNonpublic'!$C45)</f>
        <v>2357.1799999999998</v>
      </c>
    </row>
    <row r="46" spans="1:5" x14ac:dyDescent="0.25">
      <c r="A46" s="81" t="s">
        <v>883</v>
      </c>
      <c r="B46" s="82">
        <v>3645</v>
      </c>
      <c r="C46" s="82">
        <v>8100</v>
      </c>
      <c r="D46" s="35">
        <f>SUMIFS('Media&amp;EdByAEA,Dist,Nonpublic'!$L$3:$L$1349,'Media&amp;EdByAEA,Dist,Nonpublic'!$D$3:$D$1349,'Media&amp;EdByNonpublic'!$B46,'Media&amp;EdByAEA,Dist,Nonpublic'!$E$3:$E$1349,'Media&amp;EdByNonpublic'!$C46)</f>
        <v>14948.04</v>
      </c>
      <c r="E46" s="35">
        <f>SUMIFS('Media&amp;EdByAEA,Dist,Nonpublic'!$M$3:$M$1349,'Media&amp;EdByAEA,Dist,Nonpublic'!$D$3:$D$1349,'Media&amp;EdByNonpublic'!$B46,'Media&amp;EdByAEA,Dist,Nonpublic'!$E$3:$E$1349,'Media&amp;EdByNonpublic'!$C46)</f>
        <v>16527.759999999998</v>
      </c>
    </row>
    <row r="47" spans="1:5" x14ac:dyDescent="0.25">
      <c r="A47" s="81" t="s">
        <v>871</v>
      </c>
      <c r="B47" s="82">
        <v>3141</v>
      </c>
      <c r="C47" s="82">
        <v>8106</v>
      </c>
      <c r="D47" s="35">
        <f>SUMIFS('Media&amp;EdByAEA,Dist,Nonpublic'!$L$3:$L$1349,'Media&amp;EdByAEA,Dist,Nonpublic'!$D$3:$D$1349,'Media&amp;EdByNonpublic'!$B47,'Media&amp;EdByAEA,Dist,Nonpublic'!$E$3:$E$1349,'Media&amp;EdByNonpublic'!$C47)</f>
        <v>13970.820000000002</v>
      </c>
      <c r="E47" s="35">
        <f>SUMIFS('Media&amp;EdByAEA,Dist,Nonpublic'!$M$3:$M$1349,'Media&amp;EdByAEA,Dist,Nonpublic'!$D$3:$D$1349,'Media&amp;EdByNonpublic'!$B47,'Media&amp;EdByAEA,Dist,Nonpublic'!$E$3:$E$1349,'Media&amp;EdByNonpublic'!$C47)</f>
        <v>15364.03</v>
      </c>
    </row>
    <row r="48" spans="1:5" x14ac:dyDescent="0.25">
      <c r="A48" s="81" t="s">
        <v>875</v>
      </c>
      <c r="B48" s="82">
        <v>3141</v>
      </c>
      <c r="C48" s="82">
        <v>8167</v>
      </c>
      <c r="D48" s="35">
        <f>SUMIFS('Media&amp;EdByAEA,Dist,Nonpublic'!$L$3:$L$1349,'Media&amp;EdByAEA,Dist,Nonpublic'!$D$3:$D$1349,'Media&amp;EdByNonpublic'!$B48,'Media&amp;EdByAEA,Dist,Nonpublic'!$E$3:$E$1349,'Media&amp;EdByNonpublic'!$C48)</f>
        <v>1819.52</v>
      </c>
      <c r="E48" s="35">
        <f>SUMIFS('Media&amp;EdByAEA,Dist,Nonpublic'!$M$3:$M$1349,'Media&amp;EdByAEA,Dist,Nonpublic'!$D$3:$D$1349,'Media&amp;EdByNonpublic'!$B48,'Media&amp;EdByAEA,Dist,Nonpublic'!$E$3:$E$1349,'Media&amp;EdByNonpublic'!$C48)</f>
        <v>2000.95</v>
      </c>
    </row>
    <row r="49" spans="1:5" x14ac:dyDescent="0.25">
      <c r="A49" s="81" t="s">
        <v>920</v>
      </c>
      <c r="B49" s="82">
        <v>6039</v>
      </c>
      <c r="C49" s="82">
        <v>8104</v>
      </c>
      <c r="D49" s="35">
        <f>SUMIFS('Media&amp;EdByAEA,Dist,Nonpublic'!$L$3:$L$1349,'Media&amp;EdByAEA,Dist,Nonpublic'!$D$3:$D$1349,'Media&amp;EdByNonpublic'!$B49,'Media&amp;EdByAEA,Dist,Nonpublic'!$E$3:$E$1349,'Media&amp;EdByNonpublic'!$C49)</f>
        <v>15142.630000000001</v>
      </c>
      <c r="E49" s="35">
        <f>SUMIFS('Media&amp;EdByAEA,Dist,Nonpublic'!$M$3:$M$1349,'Media&amp;EdByAEA,Dist,Nonpublic'!$D$3:$D$1349,'Media&amp;EdByNonpublic'!$B49,'Media&amp;EdByAEA,Dist,Nonpublic'!$E$3:$E$1349,'Media&amp;EdByNonpublic'!$C49)</f>
        <v>16949.93</v>
      </c>
    </row>
    <row r="50" spans="1:5" x14ac:dyDescent="0.25">
      <c r="A50" s="81" t="s">
        <v>923</v>
      </c>
      <c r="B50" s="82">
        <v>6039</v>
      </c>
      <c r="C50" s="82">
        <v>8114</v>
      </c>
      <c r="D50" s="35">
        <f>SUMIFS('Media&amp;EdByAEA,Dist,Nonpublic'!$L$3:$L$1349,'Media&amp;EdByAEA,Dist,Nonpublic'!$D$3:$D$1349,'Media&amp;EdByNonpublic'!$B50,'Media&amp;EdByAEA,Dist,Nonpublic'!$E$3:$E$1349,'Media&amp;EdByNonpublic'!$C50)</f>
        <v>5809.01</v>
      </c>
      <c r="E50" s="35">
        <f>SUMIFS('Media&amp;EdByAEA,Dist,Nonpublic'!$M$3:$M$1349,'Media&amp;EdByAEA,Dist,Nonpublic'!$D$3:$D$1349,'Media&amp;EdByNonpublic'!$B50,'Media&amp;EdByAEA,Dist,Nonpublic'!$E$3:$E$1349,'Media&amp;EdByNonpublic'!$C50)</f>
        <v>6502.35</v>
      </c>
    </row>
    <row r="51" spans="1:5" x14ac:dyDescent="0.25">
      <c r="A51" s="81" t="s">
        <v>831</v>
      </c>
      <c r="B51" s="82">
        <v>1737</v>
      </c>
      <c r="C51" s="82">
        <v>8108</v>
      </c>
      <c r="D51" s="35">
        <f>SUMIFS('Media&amp;EdByAEA,Dist,Nonpublic'!$L$3:$L$1349,'Media&amp;EdByAEA,Dist,Nonpublic'!$D$3:$D$1349,'Media&amp;EdByNonpublic'!$B51,'Media&amp;EdByAEA,Dist,Nonpublic'!$E$3:$E$1349,'Media&amp;EdByNonpublic'!$C51)</f>
        <v>16409.52</v>
      </c>
      <c r="E51" s="35">
        <f>SUMIFS('Media&amp;EdByAEA,Dist,Nonpublic'!$M$3:$M$1349,'Media&amp;EdByAEA,Dist,Nonpublic'!$D$3:$D$1349,'Media&amp;EdByNonpublic'!$B51,'Media&amp;EdByAEA,Dist,Nonpublic'!$E$3:$E$1349,'Media&amp;EdByNonpublic'!$C51)</f>
        <v>18033.849999999999</v>
      </c>
    </row>
    <row r="52" spans="1:5" x14ac:dyDescent="0.25">
      <c r="A52" s="81" t="s">
        <v>858</v>
      </c>
      <c r="B52" s="82">
        <v>2322</v>
      </c>
      <c r="C52" s="82">
        <v>8602</v>
      </c>
      <c r="D52" s="35">
        <f>SUMIFS('Media&amp;EdByAEA,Dist,Nonpublic'!$L$3:$L$1349,'Media&amp;EdByAEA,Dist,Nonpublic'!$D$3:$D$1349,'Media&amp;EdByNonpublic'!$B52,'Media&amp;EdByAEA,Dist,Nonpublic'!$E$3:$E$1349,'Media&amp;EdByNonpublic'!$C52)</f>
        <v>11498.01</v>
      </c>
      <c r="E52" s="35">
        <f>SUMIFS('Media&amp;EdByAEA,Dist,Nonpublic'!$M$3:$M$1349,'Media&amp;EdByAEA,Dist,Nonpublic'!$D$3:$D$1349,'Media&amp;EdByNonpublic'!$B52,'Media&amp;EdByAEA,Dist,Nonpublic'!$E$3:$E$1349,'Media&amp;EdByNonpublic'!$C52)</f>
        <v>12642.76</v>
      </c>
    </row>
    <row r="53" spans="1:5" x14ac:dyDescent="0.25">
      <c r="A53" s="81" t="s">
        <v>857</v>
      </c>
      <c r="B53" s="82">
        <v>2322</v>
      </c>
      <c r="C53" s="82">
        <v>8105</v>
      </c>
      <c r="D53" s="35">
        <f>SUMIFS('Media&amp;EdByAEA,Dist,Nonpublic'!$L$3:$L$1349,'Media&amp;EdByAEA,Dist,Nonpublic'!$D$3:$D$1349,'Media&amp;EdByNonpublic'!$B53,'Media&amp;EdByAEA,Dist,Nonpublic'!$E$3:$E$1349,'Media&amp;EdByNonpublic'!$C53)</f>
        <v>9029.51</v>
      </c>
      <c r="E53" s="35">
        <f>SUMIFS('Media&amp;EdByAEA,Dist,Nonpublic'!$M$3:$M$1349,'Media&amp;EdByAEA,Dist,Nonpublic'!$D$3:$D$1349,'Media&amp;EdByNonpublic'!$B53,'Media&amp;EdByAEA,Dist,Nonpublic'!$E$3:$E$1349,'Media&amp;EdByNonpublic'!$C53)</f>
        <v>9928.6000000000022</v>
      </c>
    </row>
    <row r="54" spans="1:5" x14ac:dyDescent="0.25">
      <c r="A54" s="81" t="s">
        <v>835</v>
      </c>
      <c r="B54" s="82">
        <v>1737</v>
      </c>
      <c r="C54" s="82">
        <v>8119</v>
      </c>
      <c r="D54" s="35">
        <f>SUMIFS('Media&amp;EdByAEA,Dist,Nonpublic'!$L$3:$L$1349,'Media&amp;EdByAEA,Dist,Nonpublic'!$D$3:$D$1349,'Media&amp;EdByNonpublic'!$B54,'Media&amp;EdByAEA,Dist,Nonpublic'!$E$3:$E$1349,'Media&amp;EdByNonpublic'!$C54)</f>
        <v>23155.010000000002</v>
      </c>
      <c r="E54" s="35">
        <f>SUMIFS('Media&amp;EdByAEA,Dist,Nonpublic'!$M$3:$M$1349,'Media&amp;EdByAEA,Dist,Nonpublic'!$D$3:$D$1349,'Media&amp;EdByNonpublic'!$B54,'Media&amp;EdByAEA,Dist,Nonpublic'!$E$3:$E$1349,'Media&amp;EdByNonpublic'!$C54)</f>
        <v>25447.030000000002</v>
      </c>
    </row>
    <row r="55" spans="1:5" x14ac:dyDescent="0.25">
      <c r="A55" s="81" t="s">
        <v>786</v>
      </c>
      <c r="B55" s="80" t="s">
        <v>232</v>
      </c>
      <c r="C55" s="82">
        <v>8305</v>
      </c>
      <c r="D55" s="35">
        <f>SUMIFS('Media&amp;EdByAEA,Dist,Nonpublic'!$L$3:$L$1349,'Media&amp;EdByAEA,Dist,Nonpublic'!$D$3:$D$1349,'Media&amp;EdByNonpublic'!$B55,'Media&amp;EdByAEA,Dist,Nonpublic'!$E$3:$E$1349,'Media&amp;EdByNonpublic'!$C55)</f>
        <v>12271.000000000002</v>
      </c>
      <c r="E55" s="35">
        <f>SUMIFS('Media&amp;EdByAEA,Dist,Nonpublic'!$M$3:$M$1349,'Media&amp;EdByAEA,Dist,Nonpublic'!$D$3:$D$1349,'Media&amp;EdByNonpublic'!$B55,'Media&amp;EdByAEA,Dist,Nonpublic'!$E$3:$E$1349,'Media&amp;EdByNonpublic'!$C55)</f>
        <v>13735.299999999997</v>
      </c>
    </row>
    <row r="56" spans="1:5" x14ac:dyDescent="0.25">
      <c r="A56" s="81" t="s">
        <v>787</v>
      </c>
      <c r="B56" s="80" t="s">
        <v>232</v>
      </c>
      <c r="C56" s="82">
        <v>8306</v>
      </c>
      <c r="D56" s="35">
        <f>SUMIFS('Media&amp;EdByAEA,Dist,Nonpublic'!$L$3:$L$1349,'Media&amp;EdByAEA,Dist,Nonpublic'!$D$3:$D$1349,'Media&amp;EdByNonpublic'!$B56,'Media&amp;EdByAEA,Dist,Nonpublic'!$E$3:$E$1349,'Media&amp;EdByNonpublic'!$C56)</f>
        <v>9268.5300000000007</v>
      </c>
      <c r="E56" s="35">
        <f>SUMIFS('Media&amp;EdByAEA,Dist,Nonpublic'!$M$3:$M$1349,'Media&amp;EdByAEA,Dist,Nonpublic'!$D$3:$D$1349,'Media&amp;EdByNonpublic'!$B56,'Media&amp;EdByAEA,Dist,Nonpublic'!$E$3:$E$1349,'Media&amp;EdByNonpublic'!$C56)</f>
        <v>10374.529999999999</v>
      </c>
    </row>
    <row r="57" spans="1:5" x14ac:dyDescent="0.25">
      <c r="A57" s="81" t="s">
        <v>939</v>
      </c>
      <c r="B57" s="82">
        <v>6795</v>
      </c>
      <c r="C57" s="82">
        <v>8110</v>
      </c>
      <c r="D57" s="35">
        <f>SUMIFS('Media&amp;EdByAEA,Dist,Nonpublic'!$L$3:$L$1349,'Media&amp;EdByAEA,Dist,Nonpublic'!$D$3:$D$1349,'Media&amp;EdByNonpublic'!$B57,'Media&amp;EdByAEA,Dist,Nonpublic'!$E$3:$E$1349,'Media&amp;EdByNonpublic'!$C57)</f>
        <v>13319.05</v>
      </c>
      <c r="E57" s="35">
        <f>SUMIFS('Media&amp;EdByAEA,Dist,Nonpublic'!$M$3:$M$1349,'Media&amp;EdByAEA,Dist,Nonpublic'!$D$3:$D$1349,'Media&amp;EdByNonpublic'!$B57,'Media&amp;EdByAEA,Dist,Nonpublic'!$E$3:$E$1349,'Media&amp;EdByNonpublic'!$C57)</f>
        <v>14846.79</v>
      </c>
    </row>
    <row r="58" spans="1:5" x14ac:dyDescent="0.25">
      <c r="A58" s="81" t="s">
        <v>808</v>
      </c>
      <c r="B58" s="82">
        <v>1116</v>
      </c>
      <c r="C58" s="82">
        <v>8102</v>
      </c>
      <c r="D58" s="35">
        <f>SUMIFS('Media&amp;EdByAEA,Dist,Nonpublic'!$L$3:$L$1349,'Media&amp;EdByAEA,Dist,Nonpublic'!$D$3:$D$1349,'Media&amp;EdByNonpublic'!$B58,'Media&amp;EdByAEA,Dist,Nonpublic'!$E$3:$E$1349,'Media&amp;EdByNonpublic'!$C58)</f>
        <v>12143.6</v>
      </c>
      <c r="E58" s="35">
        <f>SUMIFS('Media&amp;EdByAEA,Dist,Nonpublic'!$M$3:$M$1349,'Media&amp;EdByAEA,Dist,Nonpublic'!$D$3:$D$1349,'Media&amp;EdByNonpublic'!$B58,'Media&amp;EdByAEA,Dist,Nonpublic'!$E$3:$E$1349,'Media&amp;EdByNonpublic'!$C58)</f>
        <v>13537.120000000003</v>
      </c>
    </row>
    <row r="59" spans="1:5" x14ac:dyDescent="0.25">
      <c r="A59" s="81" t="s">
        <v>959</v>
      </c>
      <c r="B59" s="82">
        <v>6983</v>
      </c>
      <c r="C59" s="82">
        <v>8303</v>
      </c>
      <c r="D59" s="35">
        <f>SUMIFS('Media&amp;EdByAEA,Dist,Nonpublic'!$L$3:$L$1349,'Media&amp;EdByAEA,Dist,Nonpublic'!$D$3:$D$1349,'Media&amp;EdByNonpublic'!$B59,'Media&amp;EdByAEA,Dist,Nonpublic'!$E$3:$E$1349,'Media&amp;EdByNonpublic'!$C59)</f>
        <v>2610.9</v>
      </c>
      <c r="E59" s="35">
        <f>SUMIFS('Media&amp;EdByAEA,Dist,Nonpublic'!$M$3:$M$1349,'Media&amp;EdByAEA,Dist,Nonpublic'!$D$3:$D$1349,'Media&amp;EdByNonpublic'!$B59,'Media&amp;EdByAEA,Dist,Nonpublic'!$E$3:$E$1349,'Media&amp;EdByNonpublic'!$C59)</f>
        <v>2922.42</v>
      </c>
    </row>
    <row r="60" spans="1:5" x14ac:dyDescent="0.25">
      <c r="A60" s="81" t="s">
        <v>929</v>
      </c>
      <c r="B60" s="82">
        <v>6102</v>
      </c>
      <c r="C60" s="82">
        <v>8102</v>
      </c>
      <c r="D60" s="35">
        <f>SUMIFS('Media&amp;EdByAEA,Dist,Nonpublic'!$L$3:$L$1349,'Media&amp;EdByAEA,Dist,Nonpublic'!$D$3:$D$1349,'Media&amp;EdByNonpublic'!$B60,'Media&amp;EdByAEA,Dist,Nonpublic'!$E$3:$E$1349,'Media&amp;EdByNonpublic'!$C60)</f>
        <v>8755.25</v>
      </c>
      <c r="E60" s="35">
        <f>SUMIFS('Media&amp;EdByAEA,Dist,Nonpublic'!$M$3:$M$1349,'Media&amp;EdByAEA,Dist,Nonpublic'!$D$3:$D$1349,'Media&amp;EdByNonpublic'!$B60,'Media&amp;EdByAEA,Dist,Nonpublic'!$E$3:$E$1349,'Media&amp;EdByNonpublic'!$C60)</f>
        <v>9803.11</v>
      </c>
    </row>
    <row r="61" spans="1:5" x14ac:dyDescent="0.25">
      <c r="A61" s="81" t="s">
        <v>896</v>
      </c>
      <c r="B61" s="82">
        <v>4271</v>
      </c>
      <c r="C61" s="82">
        <v>8506</v>
      </c>
      <c r="D61" s="35">
        <f>SUMIFS('Media&amp;EdByAEA,Dist,Nonpublic'!$L$3:$L$1349,'Media&amp;EdByAEA,Dist,Nonpublic'!$D$3:$D$1349,'Media&amp;EdByNonpublic'!$B61,'Media&amp;EdByAEA,Dist,Nonpublic'!$E$3:$E$1349,'Media&amp;EdByNonpublic'!$C61)</f>
        <v>10656.849999999999</v>
      </c>
      <c r="E61" s="35">
        <f>SUMIFS('Media&amp;EdByAEA,Dist,Nonpublic'!$M$3:$M$1349,'Media&amp;EdByAEA,Dist,Nonpublic'!$D$3:$D$1349,'Media&amp;EdByNonpublic'!$B61,'Media&amp;EdByAEA,Dist,Nonpublic'!$E$3:$E$1349,'Media&amp;EdByNonpublic'!$C61)</f>
        <v>11718.73</v>
      </c>
    </row>
    <row r="62" spans="1:5" x14ac:dyDescent="0.25">
      <c r="A62" s="81" t="s">
        <v>960</v>
      </c>
      <c r="B62" s="82">
        <v>6990</v>
      </c>
      <c r="C62" s="82">
        <v>8311</v>
      </c>
      <c r="D62" s="35">
        <f>SUMIFS('Media&amp;EdByAEA,Dist,Nonpublic'!$L$3:$L$1349,'Media&amp;EdByAEA,Dist,Nonpublic'!$D$3:$D$1349,'Media&amp;EdByNonpublic'!$B62,'Media&amp;EdByAEA,Dist,Nonpublic'!$E$3:$E$1349,'Media&amp;EdByNonpublic'!$C62)</f>
        <v>5025.95</v>
      </c>
      <c r="E62" s="35">
        <f>SUMIFS('Media&amp;EdByAEA,Dist,Nonpublic'!$M$3:$M$1349,'Media&amp;EdByAEA,Dist,Nonpublic'!$D$3:$D$1349,'Media&amp;EdByNonpublic'!$B62,'Media&amp;EdByAEA,Dist,Nonpublic'!$E$3:$E$1349,'Media&amp;EdByNonpublic'!$C62)</f>
        <v>5625.7400000000007</v>
      </c>
    </row>
    <row r="63" spans="1:5" x14ac:dyDescent="0.25">
      <c r="A63" s="81" t="s">
        <v>805</v>
      </c>
      <c r="B63" s="82">
        <v>1053</v>
      </c>
      <c r="C63" s="82">
        <v>8220</v>
      </c>
      <c r="D63" s="35">
        <f>SUMIFS('Media&amp;EdByAEA,Dist,Nonpublic'!$L$3:$L$1349,'Media&amp;EdByAEA,Dist,Nonpublic'!$D$3:$D$1349,'Media&amp;EdByNonpublic'!$B63,'Media&amp;EdByAEA,Dist,Nonpublic'!$E$3:$E$1349,'Media&amp;EdByNonpublic'!$C63)</f>
        <v>25863.41</v>
      </c>
      <c r="E63" s="35">
        <f>SUMIFS('Media&amp;EdByAEA,Dist,Nonpublic'!$M$3:$M$1349,'Media&amp;EdByAEA,Dist,Nonpublic'!$D$3:$D$1349,'Media&amp;EdByNonpublic'!$B63,'Media&amp;EdByAEA,Dist,Nonpublic'!$E$3:$E$1349,'Media&amp;EdByNonpublic'!$C63)</f>
        <v>28445.140000000003</v>
      </c>
    </row>
    <row r="64" spans="1:5" x14ac:dyDescent="0.25">
      <c r="A64" s="81" t="s">
        <v>1087</v>
      </c>
      <c r="B64" s="82">
        <v>1611</v>
      </c>
      <c r="C64" s="82">
        <v>8115</v>
      </c>
      <c r="D64" s="35">
        <f>SUMIFS('Media&amp;EdByAEA,Dist,Nonpublic'!$L$3:$L$1349,'Media&amp;EdByAEA,Dist,Nonpublic'!$D$3:$D$1349,'Media&amp;EdByNonpublic'!$B64,'Media&amp;EdByAEA,Dist,Nonpublic'!$E$3:$E$1349,'Media&amp;EdByNonpublic'!$C64)</f>
        <v>26049.629999999997</v>
      </c>
      <c r="E64" s="35">
        <f>SUMIFS('Media&amp;EdByAEA,Dist,Nonpublic'!$M$3:$M$1349,'Media&amp;EdByAEA,Dist,Nonpublic'!$D$3:$D$1349,'Media&amp;EdByNonpublic'!$B64,'Media&amp;EdByAEA,Dist,Nonpublic'!$E$3:$E$1349,'Media&amp;EdByNonpublic'!$C64)</f>
        <v>28485.600000000002</v>
      </c>
    </row>
    <row r="65" spans="1:5" x14ac:dyDescent="0.25">
      <c r="A65" s="81" t="s">
        <v>826</v>
      </c>
      <c r="B65" s="82">
        <v>1737</v>
      </c>
      <c r="C65" s="82">
        <v>8014</v>
      </c>
      <c r="D65" s="35">
        <f>SUMIFS('Media&amp;EdByAEA,Dist,Nonpublic'!$L$3:$L$1349,'Media&amp;EdByAEA,Dist,Nonpublic'!$D$3:$D$1349,'Media&amp;EdByNonpublic'!$B65,'Media&amp;EdByAEA,Dist,Nonpublic'!$E$3:$E$1349,'Media&amp;EdByNonpublic'!$C65)</f>
        <v>9988.4500000000007</v>
      </c>
      <c r="E65" s="35">
        <f>SUMIFS('Media&amp;EdByAEA,Dist,Nonpublic'!$M$3:$M$1349,'Media&amp;EdByAEA,Dist,Nonpublic'!$D$3:$D$1349,'Media&amp;EdByNonpublic'!$B65,'Media&amp;EdByAEA,Dist,Nonpublic'!$E$3:$E$1349,'Media&amp;EdByNonpublic'!$C65)</f>
        <v>10977.21</v>
      </c>
    </row>
    <row r="66" spans="1:5" x14ac:dyDescent="0.25">
      <c r="A66" s="81" t="s">
        <v>827</v>
      </c>
      <c r="B66" s="82">
        <v>1737</v>
      </c>
      <c r="C66" s="82">
        <v>8015</v>
      </c>
      <c r="D66" s="35">
        <f>SUMIFS('Media&amp;EdByAEA,Dist,Nonpublic'!$L$3:$L$1349,'Media&amp;EdByAEA,Dist,Nonpublic'!$D$3:$D$1349,'Media&amp;EdByNonpublic'!$B66,'Media&amp;EdByAEA,Dist,Nonpublic'!$E$3:$E$1349,'Media&amp;EdByNonpublic'!$C66)</f>
        <v>2659.25</v>
      </c>
      <c r="E66" s="35">
        <f>SUMIFS('Media&amp;EdByAEA,Dist,Nonpublic'!$M$3:$M$1349,'Media&amp;EdByAEA,Dist,Nonpublic'!$D$3:$D$1349,'Media&amp;EdByNonpublic'!$B66,'Media&amp;EdByAEA,Dist,Nonpublic'!$E$3:$E$1349,'Media&amp;EdByNonpublic'!$C66)</f>
        <v>2922.48</v>
      </c>
    </row>
    <row r="67" spans="1:5" x14ac:dyDescent="0.25">
      <c r="A67" s="81" t="s">
        <v>828</v>
      </c>
      <c r="B67" s="82">
        <v>1737</v>
      </c>
      <c r="C67" s="82">
        <v>8016</v>
      </c>
      <c r="D67" s="35">
        <f>SUMIFS('Media&amp;EdByAEA,Dist,Nonpublic'!$L$3:$L$1349,'Media&amp;EdByAEA,Dist,Nonpublic'!$D$3:$D$1349,'Media&amp;EdByNonpublic'!$B67,'Media&amp;EdByAEA,Dist,Nonpublic'!$E$3:$E$1349,'Media&amp;EdByNonpublic'!$C67)</f>
        <v>2529.5300000000002</v>
      </c>
      <c r="E67" s="35">
        <f>SUMIFS('Media&amp;EdByAEA,Dist,Nonpublic'!$M$3:$M$1349,'Media&amp;EdByAEA,Dist,Nonpublic'!$D$3:$D$1349,'Media&amp;EdByNonpublic'!$B67,'Media&amp;EdByAEA,Dist,Nonpublic'!$E$3:$E$1349,'Media&amp;EdByNonpublic'!$C67)</f>
        <v>2779.92</v>
      </c>
    </row>
    <row r="68" spans="1:5" x14ac:dyDescent="0.25">
      <c r="A68" s="81" t="s">
        <v>838</v>
      </c>
      <c r="B68" s="82">
        <v>1737</v>
      </c>
      <c r="C68" s="82">
        <v>8133</v>
      </c>
      <c r="D68" s="35">
        <f>SUMIFS('Media&amp;EdByAEA,Dist,Nonpublic'!$L$3:$L$1349,'Media&amp;EdByAEA,Dist,Nonpublic'!$D$3:$D$1349,'Media&amp;EdByNonpublic'!$B68,'Media&amp;EdByAEA,Dist,Nonpublic'!$E$3:$E$1349,'Media&amp;EdByNonpublic'!$C68)</f>
        <v>4086.18</v>
      </c>
      <c r="E68" s="35">
        <f>SUMIFS('Media&amp;EdByAEA,Dist,Nonpublic'!$M$3:$M$1349,'Media&amp;EdByAEA,Dist,Nonpublic'!$D$3:$D$1349,'Media&amp;EdByNonpublic'!$B68,'Media&amp;EdByAEA,Dist,Nonpublic'!$E$3:$E$1349,'Media&amp;EdByNonpublic'!$C68)</f>
        <v>4490.6500000000015</v>
      </c>
    </row>
    <row r="69" spans="1:5" x14ac:dyDescent="0.25">
      <c r="A69" s="81" t="s">
        <v>879</v>
      </c>
      <c r="B69" s="82">
        <v>3312</v>
      </c>
      <c r="C69" s="82">
        <v>8115</v>
      </c>
      <c r="D69" s="35">
        <f>SUMIFS('Media&amp;EdByAEA,Dist,Nonpublic'!$L$3:$L$1349,'Media&amp;EdByAEA,Dist,Nonpublic'!$D$3:$D$1349,'Media&amp;EdByNonpublic'!$B69,'Media&amp;EdByAEA,Dist,Nonpublic'!$E$3:$E$1349,'Media&amp;EdByNonpublic'!$C69)</f>
        <v>3962.64</v>
      </c>
      <c r="E69" s="35">
        <f>SUMIFS('Media&amp;EdByAEA,Dist,Nonpublic'!$M$3:$M$1349,'Media&amp;EdByAEA,Dist,Nonpublic'!$D$3:$D$1349,'Media&amp;EdByNonpublic'!$B69,'Media&amp;EdByAEA,Dist,Nonpublic'!$E$3:$E$1349,'Media&amp;EdByNonpublic'!$C69)</f>
        <v>4357.3599999999997</v>
      </c>
    </row>
    <row r="70" spans="1:5" x14ac:dyDescent="0.25">
      <c r="A70" s="81" t="s">
        <v>880</v>
      </c>
      <c r="B70" s="82">
        <v>3312</v>
      </c>
      <c r="C70" s="82">
        <v>8165</v>
      </c>
      <c r="D70" s="35">
        <f>SUMIFS('Media&amp;EdByAEA,Dist,Nonpublic'!$L$3:$L$1349,'Media&amp;EdByAEA,Dist,Nonpublic'!$D$3:$D$1349,'Media&amp;EdByNonpublic'!$B70,'Media&amp;EdByAEA,Dist,Nonpublic'!$E$3:$E$1349,'Media&amp;EdByNonpublic'!$C70)</f>
        <v>3053.13</v>
      </c>
      <c r="E70" s="35">
        <f>SUMIFS('Media&amp;EdByAEA,Dist,Nonpublic'!$M$3:$M$1349,'Media&amp;EdByAEA,Dist,Nonpublic'!$D$3:$D$1349,'Media&amp;EdByNonpublic'!$B70,'Media&amp;EdByAEA,Dist,Nonpublic'!$E$3:$E$1349,'Media&amp;EdByNonpublic'!$C70)</f>
        <v>3357.17</v>
      </c>
    </row>
    <row r="71" spans="1:5" x14ac:dyDescent="0.25">
      <c r="A71" s="81" t="s">
        <v>794</v>
      </c>
      <c r="B71" s="80" t="s">
        <v>185</v>
      </c>
      <c r="C71" s="82">
        <v>8104</v>
      </c>
      <c r="D71" s="35">
        <f>SUMIFS('Media&amp;EdByAEA,Dist,Nonpublic'!$L$3:$L$1349,'Media&amp;EdByAEA,Dist,Nonpublic'!$D$3:$D$1349,'Media&amp;EdByNonpublic'!$B71,'Media&amp;EdByAEA,Dist,Nonpublic'!$E$3:$E$1349,'Media&amp;EdByNonpublic'!$C71)</f>
        <v>43825.48</v>
      </c>
      <c r="E71" s="35">
        <f>SUMIFS('Media&amp;EdByAEA,Dist,Nonpublic'!$M$3:$M$1349,'Media&amp;EdByAEA,Dist,Nonpublic'!$D$3:$D$1349,'Media&amp;EdByNonpublic'!$B71,'Media&amp;EdByAEA,Dist,Nonpublic'!$E$3:$E$1349,'Media&amp;EdByNonpublic'!$C71)</f>
        <v>48296.390000000007</v>
      </c>
    </row>
    <row r="72" spans="1:5" x14ac:dyDescent="0.25">
      <c r="A72" s="81" t="s">
        <v>793</v>
      </c>
      <c r="B72" s="80" t="s">
        <v>185</v>
      </c>
      <c r="C72" s="82">
        <v>8101</v>
      </c>
      <c r="D72" s="35">
        <f>SUMIFS('Media&amp;EdByAEA,Dist,Nonpublic'!$L$3:$L$1349,'Media&amp;EdByAEA,Dist,Nonpublic'!$D$3:$D$1349,'Media&amp;EdByNonpublic'!$B72,'Media&amp;EdByAEA,Dist,Nonpublic'!$E$3:$E$1349,'Media&amp;EdByNonpublic'!$C72)</f>
        <v>31100.659999999996</v>
      </c>
      <c r="E72" s="35">
        <f>SUMIFS('Media&amp;EdByAEA,Dist,Nonpublic'!$M$3:$M$1349,'Media&amp;EdByAEA,Dist,Nonpublic'!$D$3:$D$1349,'Media&amp;EdByNonpublic'!$B72,'Media&amp;EdByAEA,Dist,Nonpublic'!$E$3:$E$1349,'Media&amp;EdByNonpublic'!$C72)</f>
        <v>34276.79</v>
      </c>
    </row>
    <row r="73" spans="1:5" x14ac:dyDescent="0.25">
      <c r="A73" s="81" t="s">
        <v>955</v>
      </c>
      <c r="B73" s="82">
        <v>6961</v>
      </c>
      <c r="C73" s="82">
        <v>8148</v>
      </c>
      <c r="D73" s="35">
        <f>SUMIFS('Media&amp;EdByAEA,Dist,Nonpublic'!$L$3:$L$1349,'Media&amp;EdByAEA,Dist,Nonpublic'!$D$3:$D$1349,'Media&amp;EdByNonpublic'!$B73,'Media&amp;EdByAEA,Dist,Nonpublic'!$E$3:$E$1349,'Media&amp;EdByNonpublic'!$C73)</f>
        <v>3785.13</v>
      </c>
      <c r="E73" s="35">
        <f>SUMIFS('Media&amp;EdByAEA,Dist,Nonpublic'!$M$3:$M$1349,'Media&amp;EdByAEA,Dist,Nonpublic'!$D$3:$D$1349,'Media&amp;EdByNonpublic'!$B73,'Media&amp;EdByAEA,Dist,Nonpublic'!$E$3:$E$1349,'Media&amp;EdByNonpublic'!$C73)</f>
        <v>4216.1400000000003</v>
      </c>
    </row>
    <row r="74" spans="1:5" x14ac:dyDescent="0.25">
      <c r="A74" s="81" t="s">
        <v>801</v>
      </c>
      <c r="B74" s="82">
        <v>1053</v>
      </c>
      <c r="C74" s="82">
        <v>8117</v>
      </c>
      <c r="D74" s="35">
        <f>SUMIFS('Media&amp;EdByAEA,Dist,Nonpublic'!$L$3:$L$1349,'Media&amp;EdByAEA,Dist,Nonpublic'!$D$3:$D$1349,'Media&amp;EdByNonpublic'!$B74,'Media&amp;EdByAEA,Dist,Nonpublic'!$E$3:$E$1349,'Media&amp;EdByNonpublic'!$C74)</f>
        <v>12996.119999999999</v>
      </c>
      <c r="E74" s="35">
        <f>SUMIFS('Media&amp;EdByAEA,Dist,Nonpublic'!$M$3:$M$1349,'Media&amp;EdByAEA,Dist,Nonpublic'!$D$3:$D$1349,'Media&amp;EdByNonpublic'!$B74,'Media&amp;EdByAEA,Dist,Nonpublic'!$E$3:$E$1349,'Media&amp;EdByNonpublic'!$C74)</f>
        <v>14291.929999999998</v>
      </c>
    </row>
    <row r="75" spans="1:5" x14ac:dyDescent="0.25">
      <c r="A75" s="81" t="s">
        <v>804</v>
      </c>
      <c r="B75" s="82">
        <v>1053</v>
      </c>
      <c r="C75" s="82">
        <v>8217</v>
      </c>
      <c r="D75" s="35">
        <f>SUMIFS('Media&amp;EdByAEA,Dist,Nonpublic'!$L$3:$L$1349,'Media&amp;EdByAEA,Dist,Nonpublic'!$D$3:$D$1349,'Media&amp;EdByNonpublic'!$B75,'Media&amp;EdByAEA,Dist,Nonpublic'!$E$3:$E$1349,'Media&amp;EdByNonpublic'!$C75)</f>
        <v>10916.72</v>
      </c>
      <c r="E75" s="35">
        <f>SUMIFS('Media&amp;EdByAEA,Dist,Nonpublic'!$M$3:$M$1349,'Media&amp;EdByAEA,Dist,Nonpublic'!$D$3:$D$1349,'Media&amp;EdByNonpublic'!$B75,'Media&amp;EdByAEA,Dist,Nonpublic'!$E$3:$E$1349,'Media&amp;EdByNonpublic'!$C75)</f>
        <v>12005.27</v>
      </c>
    </row>
    <row r="76" spans="1:5" x14ac:dyDescent="0.25">
      <c r="A76" s="81" t="s">
        <v>865</v>
      </c>
      <c r="B76" s="82">
        <v>3105</v>
      </c>
      <c r="C76" s="82">
        <v>8121</v>
      </c>
      <c r="D76" s="35">
        <f>SUMIFS('Media&amp;EdByAEA,Dist,Nonpublic'!$L$3:$L$1349,'Media&amp;EdByAEA,Dist,Nonpublic'!$D$3:$D$1349,'Media&amp;EdByNonpublic'!$B76,'Media&amp;EdByAEA,Dist,Nonpublic'!$E$3:$E$1349,'Media&amp;EdByNonpublic'!$C76)</f>
        <v>979.33</v>
      </c>
      <c r="E76" s="35">
        <f>SUMIFS('Media&amp;EdByAEA,Dist,Nonpublic'!$M$3:$M$1349,'Media&amp;EdByAEA,Dist,Nonpublic'!$D$3:$D$1349,'Media&amp;EdByNonpublic'!$B76,'Media&amp;EdByAEA,Dist,Nonpublic'!$E$3:$E$1349,'Media&amp;EdByNonpublic'!$C76)</f>
        <v>1091.5900000000001</v>
      </c>
    </row>
    <row r="77" spans="1:5" x14ac:dyDescent="0.25">
      <c r="A77" s="81" t="s">
        <v>809</v>
      </c>
      <c r="B77" s="82">
        <v>1116</v>
      </c>
      <c r="C77" s="82">
        <v>8106</v>
      </c>
      <c r="D77" s="35">
        <f>SUMIFS('Media&amp;EdByAEA,Dist,Nonpublic'!$L$3:$L$1349,'Media&amp;EdByAEA,Dist,Nonpublic'!$D$3:$D$1349,'Media&amp;EdByNonpublic'!$B77,'Media&amp;EdByAEA,Dist,Nonpublic'!$E$3:$E$1349,'Media&amp;EdByNonpublic'!$C77)</f>
        <v>3394.7</v>
      </c>
      <c r="E77" s="35">
        <f>SUMIFS('Media&amp;EdByAEA,Dist,Nonpublic'!$M$3:$M$1349,'Media&amp;EdByAEA,Dist,Nonpublic'!$D$3:$D$1349,'Media&amp;EdByNonpublic'!$B77,'Media&amp;EdByAEA,Dist,Nonpublic'!$E$3:$E$1349,'Media&amp;EdByNonpublic'!$C77)</f>
        <v>3784.44</v>
      </c>
    </row>
    <row r="78" spans="1:5" x14ac:dyDescent="0.25">
      <c r="A78" s="81" t="s">
        <v>780</v>
      </c>
      <c r="B78" s="80" t="s">
        <v>122</v>
      </c>
      <c r="C78" s="82">
        <v>8114</v>
      </c>
      <c r="D78" s="35">
        <f>SUMIFS('Media&amp;EdByAEA,Dist,Nonpublic'!$L$3:$L$1349,'Media&amp;EdByAEA,Dist,Nonpublic'!$D$3:$D$1349,'Media&amp;EdByNonpublic'!$B78,'Media&amp;EdByAEA,Dist,Nonpublic'!$E$3:$E$1349,'Media&amp;EdByNonpublic'!$C78)</f>
        <v>18662.47</v>
      </c>
      <c r="E78" s="35">
        <f>SUMIFS('Media&amp;EdByAEA,Dist,Nonpublic'!$M$3:$M$1349,'Media&amp;EdByAEA,Dist,Nonpublic'!$D$3:$D$1349,'Media&amp;EdByNonpublic'!$B78,'Media&amp;EdByAEA,Dist,Nonpublic'!$E$3:$E$1349,'Media&amp;EdByNonpublic'!$C78)</f>
        <v>20407.54</v>
      </c>
    </row>
    <row r="79" spans="1:5" x14ac:dyDescent="0.25">
      <c r="A79" s="81" t="s">
        <v>961</v>
      </c>
      <c r="B79" s="82">
        <v>7029</v>
      </c>
      <c r="C79" s="82">
        <v>8204</v>
      </c>
      <c r="D79" s="35">
        <f>SUMIFS('Media&amp;EdByAEA,Dist,Nonpublic'!$L$3:$L$1349,'Media&amp;EdByAEA,Dist,Nonpublic'!$D$3:$D$1349,'Media&amp;EdByNonpublic'!$B79,'Media&amp;EdByAEA,Dist,Nonpublic'!$E$3:$E$1349,'Media&amp;EdByNonpublic'!$C79)</f>
        <v>5588.95</v>
      </c>
      <c r="E79" s="35">
        <f>SUMIFS('Media&amp;EdByAEA,Dist,Nonpublic'!$M$3:$M$1349,'Media&amp;EdByAEA,Dist,Nonpublic'!$D$3:$D$1349,'Media&amp;EdByNonpublic'!$B79,'Media&amp;EdByAEA,Dist,Nonpublic'!$E$3:$E$1349,'Media&amp;EdByNonpublic'!$C79)</f>
        <v>6147.9</v>
      </c>
    </row>
    <row r="80" spans="1:5" x14ac:dyDescent="0.25">
      <c r="A80" s="81" t="s">
        <v>853</v>
      </c>
      <c r="B80" s="82">
        <v>2169</v>
      </c>
      <c r="C80" s="82">
        <v>8502</v>
      </c>
      <c r="D80" s="35">
        <f>SUMIFS('Media&amp;EdByAEA,Dist,Nonpublic'!$L$3:$L$1349,'Media&amp;EdByAEA,Dist,Nonpublic'!$D$3:$D$1349,'Media&amp;EdByNonpublic'!$B80,'Media&amp;EdByAEA,Dist,Nonpublic'!$E$3:$E$1349,'Media&amp;EdByNonpublic'!$C80)</f>
        <v>8834.73</v>
      </c>
      <c r="E80" s="35">
        <f>SUMIFS('Media&amp;EdByAEA,Dist,Nonpublic'!$M$3:$M$1349,'Media&amp;EdByAEA,Dist,Nonpublic'!$D$3:$D$1349,'Media&amp;EdByNonpublic'!$B80,'Media&amp;EdByAEA,Dist,Nonpublic'!$E$3:$E$1349,'Media&amp;EdByNonpublic'!$C80)</f>
        <v>9714.9599999999991</v>
      </c>
    </row>
    <row r="81" spans="1:5" x14ac:dyDescent="0.25">
      <c r="A81" s="81" t="s">
        <v>903</v>
      </c>
      <c r="B81" s="82">
        <v>4797</v>
      </c>
      <c r="C81" s="82">
        <v>8121</v>
      </c>
      <c r="D81" s="35">
        <f>SUMIFS('Media&amp;EdByAEA,Dist,Nonpublic'!$L$3:$L$1349,'Media&amp;EdByAEA,Dist,Nonpublic'!$D$3:$D$1349,'Media&amp;EdByNonpublic'!$B81,'Media&amp;EdByAEA,Dist,Nonpublic'!$E$3:$E$1349,'Media&amp;EdByNonpublic'!$C81)</f>
        <v>908.15</v>
      </c>
      <c r="E81" s="35">
        <f>SUMIFS('Media&amp;EdByAEA,Dist,Nonpublic'!$M$3:$M$1349,'Media&amp;EdByAEA,Dist,Nonpublic'!$D$3:$D$1349,'Media&amp;EdByNonpublic'!$B81,'Media&amp;EdByAEA,Dist,Nonpublic'!$E$3:$E$1349,'Media&amp;EdByNonpublic'!$C81)</f>
        <v>998.01</v>
      </c>
    </row>
    <row r="82" spans="1:5" x14ac:dyDescent="0.25">
      <c r="A82" s="81" t="s">
        <v>775</v>
      </c>
      <c r="B82" s="80" t="s">
        <v>120</v>
      </c>
      <c r="C82" s="82">
        <v>8107</v>
      </c>
      <c r="D82" s="35">
        <f>SUMIFS('Media&amp;EdByAEA,Dist,Nonpublic'!$L$3:$L$1349,'Media&amp;EdByAEA,Dist,Nonpublic'!$D$3:$D$1349,'Media&amp;EdByNonpublic'!$B82,'Media&amp;EdByAEA,Dist,Nonpublic'!$E$3:$E$1349,'Media&amp;EdByNonpublic'!$C82)</f>
        <v>12387.41</v>
      </c>
      <c r="E82" s="35">
        <f>SUMIFS('Media&amp;EdByAEA,Dist,Nonpublic'!$M$3:$M$1349,'Media&amp;EdByAEA,Dist,Nonpublic'!$D$3:$D$1349,'Media&amp;EdByNonpublic'!$B82,'Media&amp;EdByAEA,Dist,Nonpublic'!$E$3:$E$1349,'Media&amp;EdByNonpublic'!$C82)</f>
        <v>13576.21</v>
      </c>
    </row>
    <row r="83" spans="1:5" x14ac:dyDescent="0.25">
      <c r="A83" s="81" t="s">
        <v>776</v>
      </c>
      <c r="B83" s="80" t="s">
        <v>120</v>
      </c>
      <c r="C83" s="82">
        <v>8109</v>
      </c>
      <c r="D83" s="35">
        <f>SUMIFS('Media&amp;EdByAEA,Dist,Nonpublic'!$L$3:$L$1349,'Media&amp;EdByAEA,Dist,Nonpublic'!$D$3:$D$1349,'Media&amp;EdByNonpublic'!$B83,'Media&amp;EdByAEA,Dist,Nonpublic'!$E$3:$E$1349,'Media&amp;EdByNonpublic'!$C83)</f>
        <v>4409.82</v>
      </c>
      <c r="E83" s="35">
        <f>SUMIFS('Media&amp;EdByAEA,Dist,Nonpublic'!$M$3:$M$1349,'Media&amp;EdByAEA,Dist,Nonpublic'!$D$3:$D$1349,'Media&amp;EdByNonpublic'!$B83,'Media&amp;EdByAEA,Dist,Nonpublic'!$E$3:$E$1349,'Media&amp;EdByNonpublic'!$C83)</f>
        <v>4831.8900000000003</v>
      </c>
    </row>
    <row r="84" spans="1:5" x14ac:dyDescent="0.25">
      <c r="A84" s="81" t="s">
        <v>889</v>
      </c>
      <c r="B84" s="82">
        <v>4104</v>
      </c>
      <c r="C84" s="82">
        <v>8105</v>
      </c>
      <c r="D84" s="35">
        <f>SUMIFS('Media&amp;EdByAEA,Dist,Nonpublic'!$L$3:$L$1349,'Media&amp;EdByAEA,Dist,Nonpublic'!$D$3:$D$1349,'Media&amp;EdByNonpublic'!$B84,'Media&amp;EdByAEA,Dist,Nonpublic'!$E$3:$E$1349,'Media&amp;EdByNonpublic'!$C84)</f>
        <v>8161.13</v>
      </c>
      <c r="E84" s="35">
        <f>SUMIFS('Media&amp;EdByAEA,Dist,Nonpublic'!$M$3:$M$1349,'Media&amp;EdByAEA,Dist,Nonpublic'!$D$3:$D$1349,'Media&amp;EdByNonpublic'!$B84,'Media&amp;EdByAEA,Dist,Nonpublic'!$E$3:$E$1349,'Media&amp;EdByNonpublic'!$C84)</f>
        <v>9097.6899999999987</v>
      </c>
    </row>
    <row r="85" spans="1:5" x14ac:dyDescent="0.25">
      <c r="A85" s="81" t="s">
        <v>924</v>
      </c>
      <c r="B85" s="82">
        <v>6039</v>
      </c>
      <c r="C85" s="82">
        <v>8115</v>
      </c>
      <c r="D85" s="35">
        <f>SUMIFS('Media&amp;EdByAEA,Dist,Nonpublic'!$L$3:$L$1349,'Media&amp;EdByAEA,Dist,Nonpublic'!$D$3:$D$1349,'Media&amp;EdByNonpublic'!$B85,'Media&amp;EdByAEA,Dist,Nonpublic'!$E$3:$E$1349,'Media&amp;EdByNonpublic'!$C85)</f>
        <v>8746.16</v>
      </c>
      <c r="E85" s="35">
        <f>SUMIFS('Media&amp;EdByAEA,Dist,Nonpublic'!$M$3:$M$1349,'Media&amp;EdByAEA,Dist,Nonpublic'!$D$3:$D$1349,'Media&amp;EdByNonpublic'!$B85,'Media&amp;EdByAEA,Dist,Nonpublic'!$E$3:$E$1349,'Media&amp;EdByNonpublic'!$C85)</f>
        <v>9790.09</v>
      </c>
    </row>
    <row r="86" spans="1:5" x14ac:dyDescent="0.25">
      <c r="A86" s="81" t="s">
        <v>925</v>
      </c>
      <c r="B86" s="82">
        <v>6039</v>
      </c>
      <c r="C86" s="82">
        <v>8116</v>
      </c>
      <c r="D86" s="35">
        <f>SUMIFS('Media&amp;EdByAEA,Dist,Nonpublic'!$L$3:$L$1349,'Media&amp;EdByAEA,Dist,Nonpublic'!$D$3:$D$1349,'Media&amp;EdByNonpublic'!$B86,'Media&amp;EdByAEA,Dist,Nonpublic'!$E$3:$E$1349,'Media&amp;EdByNonpublic'!$C86)</f>
        <v>8093.5000000000009</v>
      </c>
      <c r="E86" s="35">
        <f>SUMIFS('Media&amp;EdByAEA,Dist,Nonpublic'!$M$3:$M$1349,'Media&amp;EdByAEA,Dist,Nonpublic'!$D$3:$D$1349,'Media&amp;EdByNonpublic'!$B86,'Media&amp;EdByAEA,Dist,Nonpublic'!$E$3:$E$1349,'Media&amp;EdByNonpublic'!$C86)</f>
        <v>9059.6099999999988</v>
      </c>
    </row>
    <row r="87" spans="1:5" x14ac:dyDescent="0.25">
      <c r="A87" s="81" t="s">
        <v>845</v>
      </c>
      <c r="B87" s="82">
        <v>1863</v>
      </c>
      <c r="C87" s="82">
        <v>8128</v>
      </c>
      <c r="D87" s="35">
        <f>SUMIFS('Media&amp;EdByAEA,Dist,Nonpublic'!$L$3:$L$1349,'Media&amp;EdByAEA,Dist,Nonpublic'!$D$3:$D$1349,'Media&amp;EdByNonpublic'!$B87,'Media&amp;EdByAEA,Dist,Nonpublic'!$E$3:$E$1349,'Media&amp;EdByNonpublic'!$C87)</f>
        <v>23427.03</v>
      </c>
      <c r="E87" s="35">
        <f>SUMIFS('Media&amp;EdByAEA,Dist,Nonpublic'!$M$3:$M$1349,'Media&amp;EdByAEA,Dist,Nonpublic'!$D$3:$D$1349,'Media&amp;EdByNonpublic'!$B87,'Media&amp;EdByAEA,Dist,Nonpublic'!$E$3:$E$1349,'Media&amp;EdByNonpublic'!$C87)</f>
        <v>26090.26</v>
      </c>
    </row>
    <row r="88" spans="1:5" x14ac:dyDescent="0.25">
      <c r="A88" s="81" t="s">
        <v>873</v>
      </c>
      <c r="B88" s="82">
        <v>3141</v>
      </c>
      <c r="C88" s="82">
        <v>8121</v>
      </c>
      <c r="D88" s="35">
        <f>SUMIFS('Media&amp;EdByAEA,Dist,Nonpublic'!$L$3:$L$1349,'Media&amp;EdByAEA,Dist,Nonpublic'!$D$3:$D$1349,'Media&amp;EdByNonpublic'!$B88,'Media&amp;EdByAEA,Dist,Nonpublic'!$E$3:$E$1349,'Media&amp;EdByNonpublic'!$C88)</f>
        <v>2339.29</v>
      </c>
      <c r="E88" s="35">
        <f>SUMIFS('Media&amp;EdByAEA,Dist,Nonpublic'!$M$3:$M$1349,'Media&amp;EdByAEA,Dist,Nonpublic'!$D$3:$D$1349,'Media&amp;EdByNonpublic'!$B88,'Media&amp;EdByAEA,Dist,Nonpublic'!$E$3:$E$1349,'Media&amp;EdByNonpublic'!$C88)</f>
        <v>2572.1</v>
      </c>
    </row>
    <row r="89" spans="1:5" x14ac:dyDescent="0.25">
      <c r="A89" s="81" t="s">
        <v>884</v>
      </c>
      <c r="B89" s="82">
        <v>3715</v>
      </c>
      <c r="C89" s="82">
        <v>8101</v>
      </c>
      <c r="D89" s="35">
        <f>SUMIFS('Media&amp;EdByAEA,Dist,Nonpublic'!$L$3:$L$1349,'Media&amp;EdByAEA,Dist,Nonpublic'!$D$3:$D$1349,'Media&amp;EdByNonpublic'!$B89,'Media&amp;EdByAEA,Dist,Nonpublic'!$E$3:$E$1349,'Media&amp;EdByNonpublic'!$C89)</f>
        <v>909.73</v>
      </c>
      <c r="E89" s="35">
        <f>SUMIFS('Media&amp;EdByAEA,Dist,Nonpublic'!$M$3:$M$1349,'Media&amp;EdByAEA,Dist,Nonpublic'!$D$3:$D$1349,'Media&amp;EdByNonpublic'!$B89,'Media&amp;EdByAEA,Dist,Nonpublic'!$E$3:$E$1349,'Media&amp;EdByNonpublic'!$C89)</f>
        <v>1000.4199999999998</v>
      </c>
    </row>
    <row r="90" spans="1:5" x14ac:dyDescent="0.25">
      <c r="A90" s="81" t="s">
        <v>778</v>
      </c>
      <c r="B90" s="80" t="s">
        <v>122</v>
      </c>
      <c r="C90" s="82">
        <v>8106</v>
      </c>
      <c r="D90" s="35">
        <f>SUMIFS('Media&amp;EdByAEA,Dist,Nonpublic'!$L$3:$L$1349,'Media&amp;EdByAEA,Dist,Nonpublic'!$D$3:$D$1349,'Media&amp;EdByNonpublic'!$B90,'Media&amp;EdByAEA,Dist,Nonpublic'!$E$3:$E$1349,'Media&amp;EdByNonpublic'!$C90)</f>
        <v>12895.21</v>
      </c>
      <c r="E90" s="35">
        <f>SUMIFS('Media&amp;EdByAEA,Dist,Nonpublic'!$M$3:$M$1349,'Media&amp;EdByAEA,Dist,Nonpublic'!$D$3:$D$1349,'Media&amp;EdByNonpublic'!$B90,'Media&amp;EdByAEA,Dist,Nonpublic'!$E$3:$E$1349,'Media&amp;EdByNonpublic'!$C90)</f>
        <v>14100.949999999999</v>
      </c>
    </row>
    <row r="91" spans="1:5" x14ac:dyDescent="0.25">
      <c r="A91" s="81" t="s">
        <v>839</v>
      </c>
      <c r="B91" s="82">
        <v>1737</v>
      </c>
      <c r="C91" s="82">
        <v>8221</v>
      </c>
      <c r="D91" s="35">
        <f>SUMIFS('Media&amp;EdByAEA,Dist,Nonpublic'!$L$3:$L$1349,'Media&amp;EdByAEA,Dist,Nonpublic'!$D$3:$D$1349,'Media&amp;EdByNonpublic'!$B91,'Media&amp;EdByAEA,Dist,Nonpublic'!$E$3:$E$1349,'Media&amp;EdByNonpublic'!$C91)</f>
        <v>14723.380000000001</v>
      </c>
      <c r="E91" s="35">
        <f>SUMIFS('Media&amp;EdByAEA,Dist,Nonpublic'!$M$3:$M$1349,'Media&amp;EdByAEA,Dist,Nonpublic'!$D$3:$D$1349,'Media&amp;EdByNonpublic'!$B91,'Media&amp;EdByAEA,Dist,Nonpublic'!$E$3:$E$1349,'Media&amp;EdByNonpublic'!$C91)</f>
        <v>16180.73</v>
      </c>
    </row>
    <row r="92" spans="1:5" x14ac:dyDescent="0.25">
      <c r="A92" s="83" t="s">
        <v>899</v>
      </c>
      <c r="B92" s="82">
        <v>4581</v>
      </c>
      <c r="C92" s="82">
        <v>8165</v>
      </c>
      <c r="D92" s="35">
        <f>SUMIFS('Media&amp;EdByAEA,Dist,Nonpublic'!$L$3:$L$1349,'Media&amp;EdByAEA,Dist,Nonpublic'!$D$3:$D$1349,'Media&amp;EdByNonpublic'!$B92,'Media&amp;EdByAEA,Dist,Nonpublic'!$E$3:$E$1349,'Media&amp;EdByNonpublic'!$C92)</f>
        <v>2462.46</v>
      </c>
      <c r="E92" s="35">
        <f>SUMIFS('Media&amp;EdByAEA,Dist,Nonpublic'!$M$3:$M$1349,'Media&amp;EdByAEA,Dist,Nonpublic'!$D$3:$D$1349,'Media&amp;EdByNonpublic'!$B92,'Media&amp;EdByAEA,Dist,Nonpublic'!$E$3:$E$1349,'Media&amp;EdByNonpublic'!$C92)</f>
        <v>2692.63</v>
      </c>
    </row>
    <row r="93" spans="1:5" x14ac:dyDescent="0.25">
      <c r="A93" s="81" t="s">
        <v>914</v>
      </c>
      <c r="B93" s="82">
        <v>5607</v>
      </c>
      <c r="C93" s="82">
        <v>8319</v>
      </c>
      <c r="D93" s="35">
        <f>SUMIFS('Media&amp;EdByAEA,Dist,Nonpublic'!$L$3:$L$1349,'Media&amp;EdByAEA,Dist,Nonpublic'!$D$3:$D$1349,'Media&amp;EdByNonpublic'!$B93,'Media&amp;EdByAEA,Dist,Nonpublic'!$E$3:$E$1349,'Media&amp;EdByNonpublic'!$C93)</f>
        <v>26239.21</v>
      </c>
      <c r="E93" s="35">
        <f>SUMIFS('Media&amp;EdByAEA,Dist,Nonpublic'!$M$3:$M$1349,'Media&amp;EdByAEA,Dist,Nonpublic'!$D$3:$D$1349,'Media&amp;EdByNonpublic'!$B93,'Media&amp;EdByAEA,Dist,Nonpublic'!$E$3:$E$1349,'Media&amp;EdByNonpublic'!$C93)</f>
        <v>29370.160000000003</v>
      </c>
    </row>
    <row r="94" spans="1:5" x14ac:dyDescent="0.25">
      <c r="A94" s="81" t="s">
        <v>914</v>
      </c>
      <c r="B94" s="82">
        <v>5607</v>
      </c>
      <c r="C94" s="82">
        <v>8316</v>
      </c>
      <c r="D94" s="35">
        <f>SUMIFS('Media&amp;EdByAEA,Dist,Nonpublic'!$L$3:$L$1349,'Media&amp;EdByAEA,Dist,Nonpublic'!$D$3:$D$1349,'Media&amp;EdByNonpublic'!$B94,'Media&amp;EdByAEA,Dist,Nonpublic'!$E$3:$E$1349,'Media&amp;EdByNonpublic'!$C94)</f>
        <v>65.27</v>
      </c>
      <c r="E94" s="35">
        <f>SUMIFS('Media&amp;EdByAEA,Dist,Nonpublic'!$M$3:$M$1349,'Media&amp;EdByAEA,Dist,Nonpublic'!$D$3:$D$1349,'Media&amp;EdByNonpublic'!$B94,'Media&amp;EdByAEA,Dist,Nonpublic'!$E$3:$E$1349,'Media&amp;EdByNonpublic'!$C94)</f>
        <v>73.06</v>
      </c>
    </row>
    <row r="95" spans="1:5" x14ac:dyDescent="0.25">
      <c r="A95" s="81" t="s">
        <v>782</v>
      </c>
      <c r="B95" s="80" t="s">
        <v>122</v>
      </c>
      <c r="C95" s="82">
        <v>8125</v>
      </c>
      <c r="D95" s="35">
        <f>SUMIFS('Media&amp;EdByAEA,Dist,Nonpublic'!$L$3:$L$1349,'Media&amp;EdByAEA,Dist,Nonpublic'!$D$3:$D$1349,'Media&amp;EdByNonpublic'!$B95,'Media&amp;EdByAEA,Dist,Nonpublic'!$E$3:$E$1349,'Media&amp;EdByNonpublic'!$C95)</f>
        <v>3823.2</v>
      </c>
      <c r="E95" s="35">
        <f>SUMIFS('Media&amp;EdByAEA,Dist,Nonpublic'!$M$3:$M$1349,'Media&amp;EdByAEA,Dist,Nonpublic'!$D$3:$D$1349,'Media&amp;EdByNonpublic'!$B95,'Media&amp;EdByAEA,Dist,Nonpublic'!$E$3:$E$1349,'Media&amp;EdByNonpublic'!$C95)</f>
        <v>4180.4800000000005</v>
      </c>
    </row>
    <row r="96" spans="1:5" x14ac:dyDescent="0.25">
      <c r="A96" s="81" t="s">
        <v>890</v>
      </c>
      <c r="B96" s="82">
        <v>4131</v>
      </c>
      <c r="C96" s="82">
        <v>8102</v>
      </c>
      <c r="D96" s="35">
        <f>SUMIFS('Media&amp;EdByAEA,Dist,Nonpublic'!$L$3:$L$1349,'Media&amp;EdByAEA,Dist,Nonpublic'!$D$3:$D$1349,'Media&amp;EdByNonpublic'!$B96,'Media&amp;EdByAEA,Dist,Nonpublic'!$E$3:$E$1349,'Media&amp;EdByNonpublic'!$C96)</f>
        <v>19913.379999999997</v>
      </c>
      <c r="E96" s="35">
        <f>SUMIFS('Media&amp;EdByAEA,Dist,Nonpublic'!$M$3:$M$1349,'Media&amp;EdByAEA,Dist,Nonpublic'!$D$3:$D$1349,'Media&amp;EdByNonpublic'!$B96,'Media&amp;EdByAEA,Dist,Nonpublic'!$E$3:$E$1349,'Media&amp;EdByNonpublic'!$C96)</f>
        <v>22197.64</v>
      </c>
    </row>
    <row r="97" spans="1:5" x14ac:dyDescent="0.25">
      <c r="A97" s="81" t="s">
        <v>891</v>
      </c>
      <c r="B97" s="82">
        <v>4131</v>
      </c>
      <c r="C97" s="82">
        <v>8105</v>
      </c>
      <c r="D97" s="35">
        <f>SUMIFS('Media&amp;EdByAEA,Dist,Nonpublic'!$L$3:$L$1349,'Media&amp;EdByAEA,Dist,Nonpublic'!$D$3:$D$1349,'Media&amp;EdByNonpublic'!$B97,'Media&amp;EdByAEA,Dist,Nonpublic'!$E$3:$E$1349,'Media&amp;EdByNonpublic'!$C97)</f>
        <v>19325.449999999997</v>
      </c>
      <c r="E97" s="35">
        <f>SUMIFS('Media&amp;EdByAEA,Dist,Nonpublic'!$M$3:$M$1349,'Media&amp;EdByAEA,Dist,Nonpublic'!$D$3:$D$1349,'Media&amp;EdByNonpublic'!$B97,'Media&amp;EdByAEA,Dist,Nonpublic'!$E$3:$E$1349,'Media&amp;EdByNonpublic'!$C97)</f>
        <v>21543.08</v>
      </c>
    </row>
    <row r="98" spans="1:5" x14ac:dyDescent="0.25">
      <c r="A98" s="81" t="s">
        <v>901</v>
      </c>
      <c r="B98" s="82">
        <v>4725</v>
      </c>
      <c r="C98" s="82">
        <v>8301</v>
      </c>
      <c r="D98" s="35">
        <f>SUMIFS('Media&amp;EdByAEA,Dist,Nonpublic'!$L$3:$L$1349,'Media&amp;EdByAEA,Dist,Nonpublic'!$D$3:$D$1349,'Media&amp;EdByNonpublic'!$B98,'Media&amp;EdByAEA,Dist,Nonpublic'!$E$3:$E$1349,'Media&amp;EdByNonpublic'!$C98)</f>
        <v>5383.47</v>
      </c>
      <c r="E98" s="35">
        <f>SUMIFS('Media&amp;EdByAEA,Dist,Nonpublic'!$M$3:$M$1349,'Media&amp;EdByAEA,Dist,Nonpublic'!$D$3:$D$1349,'Media&amp;EdByNonpublic'!$B98,'Media&amp;EdByAEA,Dist,Nonpublic'!$E$3:$E$1349,'Media&amp;EdByNonpublic'!$C98)</f>
        <v>5916.07</v>
      </c>
    </row>
    <row r="99" spans="1:5" x14ac:dyDescent="0.25">
      <c r="A99" s="81" t="s">
        <v>892</v>
      </c>
      <c r="B99" s="82">
        <v>4131</v>
      </c>
      <c r="C99" s="82">
        <v>8401</v>
      </c>
      <c r="D99" s="35">
        <f>SUMIFS('Media&amp;EdByAEA,Dist,Nonpublic'!$L$3:$L$1349,'Media&amp;EdByAEA,Dist,Nonpublic'!$D$3:$D$1349,'Media&amp;EdByNonpublic'!$B99,'Media&amp;EdByAEA,Dist,Nonpublic'!$E$3:$E$1349,'Media&amp;EdByNonpublic'!$C99)</f>
        <v>5745.45</v>
      </c>
      <c r="E99" s="35">
        <f>SUMIFS('Media&amp;EdByAEA,Dist,Nonpublic'!$M$3:$M$1349,'Media&amp;EdByAEA,Dist,Nonpublic'!$D$3:$D$1349,'Media&amp;EdByNonpublic'!$B99,'Media&amp;EdByAEA,Dist,Nonpublic'!$E$3:$E$1349,'Media&amp;EdByNonpublic'!$C99)</f>
        <v>6404.58</v>
      </c>
    </row>
    <row r="100" spans="1:5" x14ac:dyDescent="0.25">
      <c r="A100" s="81" t="s">
        <v>823</v>
      </c>
      <c r="B100" s="82">
        <v>1638</v>
      </c>
      <c r="C100" s="82">
        <v>8106</v>
      </c>
      <c r="D100" s="35">
        <f>SUMIFS('Media&amp;EdByAEA,Dist,Nonpublic'!$L$3:$L$1349,'Media&amp;EdByAEA,Dist,Nonpublic'!$D$3:$D$1349,'Media&amp;EdByNonpublic'!$B100,'Media&amp;EdByAEA,Dist,Nonpublic'!$E$3:$E$1349,'Media&amp;EdByNonpublic'!$C100)</f>
        <v>1631.47</v>
      </c>
      <c r="E100" s="35">
        <f>SUMIFS('Media&amp;EdByAEA,Dist,Nonpublic'!$M$3:$M$1349,'Media&amp;EdByAEA,Dist,Nonpublic'!$D$3:$D$1349,'Media&amp;EdByNonpublic'!$B100,'Media&amp;EdByAEA,Dist,Nonpublic'!$E$3:$E$1349,'Media&amp;EdByNonpublic'!$C100)</f>
        <v>1817.21</v>
      </c>
    </row>
    <row r="101" spans="1:5" x14ac:dyDescent="0.25">
      <c r="A101" s="81" t="s">
        <v>807</v>
      </c>
      <c r="B101" s="82">
        <v>1095</v>
      </c>
      <c r="C101" s="82">
        <v>8505</v>
      </c>
      <c r="D101" s="35">
        <f>SUMIFS('Media&amp;EdByAEA,Dist,Nonpublic'!$L$3:$L$1349,'Media&amp;EdByAEA,Dist,Nonpublic'!$D$3:$D$1349,'Media&amp;EdByNonpublic'!$B101,'Media&amp;EdByAEA,Dist,Nonpublic'!$E$3:$E$1349,'Media&amp;EdByNonpublic'!$C101)</f>
        <v>1566.5199999999998</v>
      </c>
      <c r="E101" s="35">
        <f>SUMIFS('Media&amp;EdByAEA,Dist,Nonpublic'!$M$3:$M$1349,'Media&amp;EdByAEA,Dist,Nonpublic'!$D$3:$D$1349,'Media&amp;EdByNonpublic'!$B101,'Media&amp;EdByAEA,Dist,Nonpublic'!$E$3:$E$1349,'Media&amp;EdByNonpublic'!$C101)</f>
        <v>1753.4299999999998</v>
      </c>
    </row>
    <row r="102" spans="1:5" x14ac:dyDescent="0.25">
      <c r="A102" s="81" t="s">
        <v>902</v>
      </c>
      <c r="B102" s="82">
        <v>4797</v>
      </c>
      <c r="C102" s="82">
        <v>8106</v>
      </c>
      <c r="D102" s="35">
        <f>SUMIFS('Media&amp;EdByAEA,Dist,Nonpublic'!$L$3:$L$1349,'Media&amp;EdByAEA,Dist,Nonpublic'!$D$3:$D$1349,'Media&amp;EdByNonpublic'!$B102,'Media&amp;EdByAEA,Dist,Nonpublic'!$E$3:$E$1349,'Media&amp;EdByNonpublic'!$C102)</f>
        <v>1426.9</v>
      </c>
      <c r="E102" s="35">
        <f>SUMIFS('Media&amp;EdByAEA,Dist,Nonpublic'!$M$3:$M$1349,'Media&amp;EdByAEA,Dist,Nonpublic'!$D$3:$D$1349,'Media&amp;EdByNonpublic'!$B102,'Media&amp;EdByAEA,Dist,Nonpublic'!$E$3:$E$1349,'Media&amp;EdByNonpublic'!$C102)</f>
        <v>1568.16</v>
      </c>
    </row>
    <row r="103" spans="1:5" x14ac:dyDescent="0.25">
      <c r="A103" s="81" t="s">
        <v>790</v>
      </c>
      <c r="B103" s="82">
        <v>3029</v>
      </c>
      <c r="C103" s="82">
        <v>8104</v>
      </c>
      <c r="D103" s="35">
        <f>SUMIFS('Media&amp;EdByAEA,Dist,Nonpublic'!$L$3:$L$1349,'Media&amp;EdByAEA,Dist,Nonpublic'!$D$3:$D$1349,'Media&amp;EdByNonpublic'!$B103,'Media&amp;EdByAEA,Dist,Nonpublic'!$E$3:$E$1349,'Media&amp;EdByNonpublic'!$C103)</f>
        <v>6852.2800000000007</v>
      </c>
      <c r="E103" s="35">
        <f>SUMIFS('Media&amp;EdByAEA,Dist,Nonpublic'!$M$3:$M$1349,'Media&amp;EdByAEA,Dist,Nonpublic'!$D$3:$D$1349,'Media&amp;EdByNonpublic'!$B103,'Media&amp;EdByAEA,Dist,Nonpublic'!$E$3:$E$1349,'Media&amp;EdByNonpublic'!$C103)</f>
        <v>7632.5699999999988</v>
      </c>
    </row>
    <row r="104" spans="1:5" x14ac:dyDescent="0.25">
      <c r="A104" s="81" t="s">
        <v>790</v>
      </c>
      <c r="B104" s="80" t="s">
        <v>310</v>
      </c>
      <c r="C104" s="82">
        <v>8104</v>
      </c>
      <c r="D104" s="35">
        <f>SUMIFS('Media&amp;EdByAEA,Dist,Nonpublic'!$L$3:$L$1349,'Media&amp;EdByAEA,Dist,Nonpublic'!$D$3:$D$1349,'Media&amp;EdByNonpublic'!$B104,'Media&amp;EdByAEA,Dist,Nonpublic'!$E$3:$E$1349,'Media&amp;EdByNonpublic'!$C104)</f>
        <v>9159.760000000002</v>
      </c>
      <c r="E104" s="35">
        <f>SUMIFS('Media&amp;EdByAEA,Dist,Nonpublic'!$M$3:$M$1349,'Media&amp;EdByAEA,Dist,Nonpublic'!$D$3:$D$1349,'Media&amp;EdByNonpublic'!$B104,'Media&amp;EdByAEA,Dist,Nonpublic'!$E$3:$E$1349,'Media&amp;EdByNonpublic'!$C104)</f>
        <v>10071.849999999999</v>
      </c>
    </row>
    <row r="105" spans="1:5" x14ac:dyDescent="0.25">
      <c r="A105" s="81" t="s">
        <v>789</v>
      </c>
      <c r="B105" s="80" t="s">
        <v>310</v>
      </c>
      <c r="C105" s="82">
        <v>8101</v>
      </c>
      <c r="D105" s="35">
        <f>SUMIFS('Media&amp;EdByAEA,Dist,Nonpublic'!$L$3:$L$1349,'Media&amp;EdByAEA,Dist,Nonpublic'!$D$3:$D$1349,'Media&amp;EdByNonpublic'!$B105,'Media&amp;EdByAEA,Dist,Nonpublic'!$E$3:$E$1349,'Media&amp;EdByNonpublic'!$C105)</f>
        <v>14291.630000000001</v>
      </c>
      <c r="E105" s="35">
        <f>SUMIFS('Media&amp;EdByAEA,Dist,Nonpublic'!$M$3:$M$1349,'Media&amp;EdByAEA,Dist,Nonpublic'!$D$3:$D$1349,'Media&amp;EdByNonpublic'!$B105,'Media&amp;EdByAEA,Dist,Nonpublic'!$E$3:$E$1349,'Media&amp;EdByNonpublic'!$C105)</f>
        <v>15712.71</v>
      </c>
    </row>
    <row r="106" spans="1:5" x14ac:dyDescent="0.25">
      <c r="A106" s="81" t="s">
        <v>816</v>
      </c>
      <c r="B106" s="82">
        <v>1476</v>
      </c>
      <c r="C106" s="82">
        <v>8109</v>
      </c>
      <c r="D106" s="35">
        <f>SUMIFS('Media&amp;EdByAEA,Dist,Nonpublic'!$L$3:$L$1349,'Media&amp;EdByAEA,Dist,Nonpublic'!$D$3:$D$1349,'Media&amp;EdByNonpublic'!$B106,'Media&amp;EdByAEA,Dist,Nonpublic'!$E$3:$E$1349,'Media&amp;EdByNonpublic'!$C106)</f>
        <v>974.86</v>
      </c>
      <c r="E106" s="35">
        <f>SUMIFS('Media&amp;EdByAEA,Dist,Nonpublic'!$M$3:$M$1349,'Media&amp;EdByAEA,Dist,Nonpublic'!$D$3:$D$1349,'Media&amp;EdByNonpublic'!$B106,'Media&amp;EdByAEA,Dist,Nonpublic'!$E$3:$E$1349,'Media&amp;EdByNonpublic'!$C106)</f>
        <v>1077.8900000000001</v>
      </c>
    </row>
    <row r="107" spans="1:5" x14ac:dyDescent="0.25">
      <c r="A107" s="81" t="s">
        <v>836</v>
      </c>
      <c r="B107" s="82">
        <v>1737</v>
      </c>
      <c r="C107" s="82">
        <v>8120</v>
      </c>
      <c r="D107" s="35">
        <f>SUMIFS('Media&amp;EdByAEA,Dist,Nonpublic'!$L$3:$L$1349,'Media&amp;EdByAEA,Dist,Nonpublic'!$D$3:$D$1349,'Media&amp;EdByNonpublic'!$B107,'Media&amp;EdByAEA,Dist,Nonpublic'!$E$3:$E$1349,'Media&amp;EdByNonpublic'!$C107)</f>
        <v>1751.2099999999998</v>
      </c>
      <c r="E107" s="35">
        <f>SUMIFS('Media&amp;EdByAEA,Dist,Nonpublic'!$M$3:$M$1349,'Media&amp;EdByAEA,Dist,Nonpublic'!$D$3:$D$1349,'Media&amp;EdByNonpublic'!$B107,'Media&amp;EdByAEA,Dist,Nonpublic'!$E$3:$E$1349,'Media&amp;EdByNonpublic'!$C107)</f>
        <v>1924.5400000000002</v>
      </c>
    </row>
    <row r="108" spans="1:5" x14ac:dyDescent="0.25">
      <c r="A108" s="81" t="s">
        <v>893</v>
      </c>
      <c r="B108" s="82">
        <v>4149</v>
      </c>
      <c r="C108" s="82">
        <v>8308</v>
      </c>
      <c r="D108" s="35">
        <f>SUMIFS('Media&amp;EdByAEA,Dist,Nonpublic'!$L$3:$L$1349,'Media&amp;EdByAEA,Dist,Nonpublic'!$D$3:$D$1349,'Media&amp;EdByNonpublic'!$B108,'Media&amp;EdByAEA,Dist,Nonpublic'!$E$3:$E$1349,'Media&amp;EdByNonpublic'!$C108)</f>
        <v>20299.070000000003</v>
      </c>
      <c r="E108" s="35">
        <f>SUMIFS('Media&amp;EdByAEA,Dist,Nonpublic'!$M$3:$M$1349,'Media&amp;EdByAEA,Dist,Nonpublic'!$D$3:$D$1349,'Media&amp;EdByNonpublic'!$B108,'Media&amp;EdByAEA,Dist,Nonpublic'!$E$3:$E$1349,'Media&amp;EdByNonpublic'!$C108)</f>
        <v>22721.68</v>
      </c>
    </row>
    <row r="109" spans="1:5" x14ac:dyDescent="0.25">
      <c r="A109" s="81" t="s">
        <v>904</v>
      </c>
      <c r="B109" s="82">
        <v>5013</v>
      </c>
      <c r="C109" s="82">
        <v>8301</v>
      </c>
      <c r="D109" s="35">
        <f>SUMIFS('Media&amp;EdByAEA,Dist,Nonpublic'!$L$3:$L$1349,'Media&amp;EdByAEA,Dist,Nonpublic'!$D$3:$D$1349,'Media&amp;EdByNonpublic'!$B109,'Media&amp;EdByAEA,Dist,Nonpublic'!$E$3:$E$1349,'Media&amp;EdByNonpublic'!$C109)</f>
        <v>11757.18</v>
      </c>
      <c r="E109" s="35">
        <f>SUMIFS('Media&amp;EdByAEA,Dist,Nonpublic'!$M$3:$M$1349,'Media&amp;EdByAEA,Dist,Nonpublic'!$D$3:$D$1349,'Media&amp;EdByNonpublic'!$B109,'Media&amp;EdByAEA,Dist,Nonpublic'!$E$3:$E$1349,'Media&amp;EdByNonpublic'!$C109)</f>
        <v>12930.070000000002</v>
      </c>
    </row>
    <row r="110" spans="1:5" x14ac:dyDescent="0.25">
      <c r="A110" s="81" t="s">
        <v>906</v>
      </c>
      <c r="B110" s="82">
        <v>5049</v>
      </c>
      <c r="C110" s="82">
        <v>8301</v>
      </c>
      <c r="D110" s="35">
        <f>SUMIFS('Media&amp;EdByAEA,Dist,Nonpublic'!$L$3:$L$1349,'Media&amp;EdByAEA,Dist,Nonpublic'!$D$3:$D$1349,'Media&amp;EdByNonpublic'!$B110,'Media&amp;EdByAEA,Dist,Nonpublic'!$E$3:$E$1349,'Media&amp;EdByNonpublic'!$C110)</f>
        <v>7340.58</v>
      </c>
      <c r="E110" s="35">
        <f>SUMIFS('Media&amp;EdByAEA,Dist,Nonpublic'!$M$3:$M$1349,'Media&amp;EdByAEA,Dist,Nonpublic'!$D$3:$D$1349,'Media&amp;EdByNonpublic'!$B110,'Media&amp;EdByAEA,Dist,Nonpublic'!$E$3:$E$1349,'Media&amp;EdByNonpublic'!$C110)</f>
        <v>8071.2</v>
      </c>
    </row>
    <row r="111" spans="1:5" x14ac:dyDescent="0.25">
      <c r="A111" s="81" t="s">
        <v>844</v>
      </c>
      <c r="B111" s="82">
        <v>1863</v>
      </c>
      <c r="C111" s="82">
        <v>8126</v>
      </c>
      <c r="D111" s="35">
        <f>SUMIFS('Media&amp;EdByAEA,Dist,Nonpublic'!$L$3:$L$1349,'Media&amp;EdByAEA,Dist,Nonpublic'!$D$3:$D$1349,'Media&amp;EdByNonpublic'!$B111,'Media&amp;EdByAEA,Dist,Nonpublic'!$E$3:$E$1349,'Media&amp;EdByNonpublic'!$C111)</f>
        <v>17423.089999999997</v>
      </c>
      <c r="E111" s="35">
        <f>SUMIFS('Media&amp;EdByAEA,Dist,Nonpublic'!$M$3:$M$1349,'Media&amp;EdByAEA,Dist,Nonpublic'!$D$3:$D$1349,'Media&amp;EdByNonpublic'!$B111,'Media&amp;EdByAEA,Dist,Nonpublic'!$E$3:$E$1349,'Media&amp;EdByNonpublic'!$C111)</f>
        <v>19402.77</v>
      </c>
    </row>
    <row r="112" spans="1:5" x14ac:dyDescent="0.25">
      <c r="A112" s="81" t="s">
        <v>895</v>
      </c>
      <c r="B112" s="82">
        <v>4271</v>
      </c>
      <c r="C112" s="82">
        <v>8106</v>
      </c>
      <c r="D112" s="35">
        <f>SUMIFS('Media&amp;EdByAEA,Dist,Nonpublic'!$L$3:$L$1349,'Media&amp;EdByAEA,Dist,Nonpublic'!$D$3:$D$1349,'Media&amp;EdByNonpublic'!$B112,'Media&amp;EdByAEA,Dist,Nonpublic'!$E$3:$E$1349,'Media&amp;EdByNonpublic'!$C112)</f>
        <v>5393.5</v>
      </c>
      <c r="E112" s="35">
        <f>SUMIFS('Media&amp;EdByAEA,Dist,Nonpublic'!$M$3:$M$1349,'Media&amp;EdByAEA,Dist,Nonpublic'!$D$3:$D$1349,'Media&amp;EdByNonpublic'!$B112,'Media&amp;EdByAEA,Dist,Nonpublic'!$E$3:$E$1349,'Media&amp;EdByNonpublic'!$C112)</f>
        <v>5930.9400000000005</v>
      </c>
    </row>
    <row r="113" spans="1:5" x14ac:dyDescent="0.25">
      <c r="A113" s="81" t="s">
        <v>908</v>
      </c>
      <c r="B113" s="82">
        <v>5166</v>
      </c>
      <c r="C113" s="82">
        <v>8301</v>
      </c>
      <c r="D113" s="35">
        <f>SUMIFS('Media&amp;EdByAEA,Dist,Nonpublic'!$L$3:$L$1349,'Media&amp;EdByAEA,Dist,Nonpublic'!$D$3:$D$1349,'Media&amp;EdByNonpublic'!$B113,'Media&amp;EdByAEA,Dist,Nonpublic'!$E$3:$E$1349,'Media&amp;EdByNonpublic'!$C113)</f>
        <v>31526.21</v>
      </c>
      <c r="E113" s="35">
        <f>SUMIFS('Media&amp;EdByAEA,Dist,Nonpublic'!$M$3:$M$1349,'Media&amp;EdByAEA,Dist,Nonpublic'!$D$3:$D$1349,'Media&amp;EdByNonpublic'!$B113,'Media&amp;EdByAEA,Dist,Nonpublic'!$E$3:$E$1349,'Media&amp;EdByNonpublic'!$C113)</f>
        <v>34647.549999999996</v>
      </c>
    </row>
    <row r="114" spans="1:5" x14ac:dyDescent="0.25">
      <c r="A114" s="81" t="s">
        <v>909</v>
      </c>
      <c r="B114" s="82">
        <v>5166</v>
      </c>
      <c r="C114" s="82">
        <v>8302</v>
      </c>
      <c r="D114" s="35">
        <f>SUMIFS('Media&amp;EdByAEA,Dist,Nonpublic'!$L$3:$L$1349,'Media&amp;EdByAEA,Dist,Nonpublic'!$D$3:$D$1349,'Media&amp;EdByNonpublic'!$B114,'Media&amp;EdByAEA,Dist,Nonpublic'!$E$3:$E$1349,'Media&amp;EdByNonpublic'!$C114)</f>
        <v>19009.879999999997</v>
      </c>
      <c r="E114" s="35">
        <f>SUMIFS('Media&amp;EdByAEA,Dist,Nonpublic'!$M$3:$M$1349,'Media&amp;EdByAEA,Dist,Nonpublic'!$D$3:$D$1349,'Media&amp;EdByNonpublic'!$B114,'Media&amp;EdByAEA,Dist,Nonpublic'!$E$3:$E$1349,'Media&amp;EdByNonpublic'!$C114)</f>
        <v>20897.589999999997</v>
      </c>
    </row>
    <row r="115" spans="1:5" x14ac:dyDescent="0.25">
      <c r="A115" s="81" t="s">
        <v>910</v>
      </c>
      <c r="B115" s="82">
        <v>5166</v>
      </c>
      <c r="C115" s="82">
        <v>8305</v>
      </c>
      <c r="D115" s="35">
        <f>SUMIFS('Media&amp;EdByAEA,Dist,Nonpublic'!$L$3:$L$1349,'Media&amp;EdByAEA,Dist,Nonpublic'!$D$3:$D$1349,'Media&amp;EdByNonpublic'!$B115,'Media&amp;EdByAEA,Dist,Nonpublic'!$E$3:$E$1349,'Media&amp;EdByNonpublic'!$C115)</f>
        <v>2790.24</v>
      </c>
      <c r="E115" s="35">
        <f>SUMIFS('Media&amp;EdByAEA,Dist,Nonpublic'!$M$3:$M$1349,'Media&amp;EdByAEA,Dist,Nonpublic'!$D$3:$D$1349,'Media&amp;EdByNonpublic'!$B115,'Media&amp;EdByAEA,Dist,Nonpublic'!$E$3:$E$1349,'Media&amp;EdByNonpublic'!$C115)</f>
        <v>3066.95</v>
      </c>
    </row>
    <row r="116" spans="1:5" x14ac:dyDescent="0.25">
      <c r="A116" s="81" t="s">
        <v>911</v>
      </c>
      <c r="B116" s="82">
        <v>5283</v>
      </c>
      <c r="C116" s="82">
        <v>8102</v>
      </c>
      <c r="D116" s="35">
        <f>SUMIFS('Media&amp;EdByAEA,Dist,Nonpublic'!$L$3:$L$1349,'Media&amp;EdByAEA,Dist,Nonpublic'!$D$3:$D$1349,'Media&amp;EdByNonpublic'!$B116,'Media&amp;EdByAEA,Dist,Nonpublic'!$E$3:$E$1349,'Media&amp;EdByNonpublic'!$C116)</f>
        <v>6076.96</v>
      </c>
      <c r="E116" s="35">
        <f>SUMIFS('Media&amp;EdByAEA,Dist,Nonpublic'!$M$3:$M$1349,'Media&amp;EdByAEA,Dist,Nonpublic'!$D$3:$D$1349,'Media&amp;EdByNonpublic'!$B116,'Media&amp;EdByAEA,Dist,Nonpublic'!$E$3:$E$1349,'Media&amp;EdByNonpublic'!$C116)</f>
        <v>6804.03</v>
      </c>
    </row>
    <row r="117" spans="1:5" x14ac:dyDescent="0.25">
      <c r="A117" s="81" t="s">
        <v>812</v>
      </c>
      <c r="B117" s="82">
        <v>1278</v>
      </c>
      <c r="C117" s="82">
        <v>8103</v>
      </c>
      <c r="D117" s="35">
        <f>SUMIFS('Media&amp;EdByAEA,Dist,Nonpublic'!$L$3:$L$1349,'Media&amp;EdByAEA,Dist,Nonpublic'!$D$3:$D$1349,'Media&amp;EdByNonpublic'!$B117,'Media&amp;EdByAEA,Dist,Nonpublic'!$E$3:$E$1349,'Media&amp;EdByNonpublic'!$C117)</f>
        <v>6998.25</v>
      </c>
      <c r="E117" s="35">
        <f>SUMIFS('Media&amp;EdByAEA,Dist,Nonpublic'!$M$3:$M$1349,'Media&amp;EdByAEA,Dist,Nonpublic'!$D$3:$D$1349,'Media&amp;EdByNonpublic'!$B117,'Media&amp;EdByAEA,Dist,Nonpublic'!$E$3:$E$1349,'Media&amp;EdByNonpublic'!$C117)</f>
        <v>7652.71</v>
      </c>
    </row>
    <row r="118" spans="1:5" x14ac:dyDescent="0.25">
      <c r="A118" s="81" t="s">
        <v>813</v>
      </c>
      <c r="B118" s="82">
        <v>1278</v>
      </c>
      <c r="C118" s="82">
        <v>8110</v>
      </c>
      <c r="D118" s="35">
        <f>SUMIFS('Media&amp;EdByAEA,Dist,Nonpublic'!$L$3:$L$1349,'Media&amp;EdByAEA,Dist,Nonpublic'!$D$3:$D$1349,'Media&amp;EdByNonpublic'!$B118,'Media&amp;EdByAEA,Dist,Nonpublic'!$E$3:$E$1349,'Media&amp;EdByNonpublic'!$C118)</f>
        <v>6738.95</v>
      </c>
      <c r="E118" s="35">
        <f>SUMIFS('Media&amp;EdByAEA,Dist,Nonpublic'!$M$3:$M$1349,'Media&amp;EdByAEA,Dist,Nonpublic'!$D$3:$D$1349,'Media&amp;EdByNonpublic'!$B118,'Media&amp;EdByAEA,Dist,Nonpublic'!$E$3:$E$1349,'Media&amp;EdByNonpublic'!$C118)</f>
        <v>7369.4299999999994</v>
      </c>
    </row>
    <row r="119" spans="1:5" x14ac:dyDescent="0.25">
      <c r="A119" s="81" t="s">
        <v>872</v>
      </c>
      <c r="B119" s="82">
        <v>3141</v>
      </c>
      <c r="C119" s="82">
        <v>8108</v>
      </c>
      <c r="D119" s="35">
        <f>SUMIFS('Media&amp;EdByAEA,Dist,Nonpublic'!$L$3:$L$1349,'Media&amp;EdByAEA,Dist,Nonpublic'!$D$3:$D$1349,'Media&amp;EdByNonpublic'!$B119,'Media&amp;EdByAEA,Dist,Nonpublic'!$E$3:$E$1349,'Media&amp;EdByNonpublic'!$C119)</f>
        <v>34503.62000000001</v>
      </c>
      <c r="E119" s="35">
        <f>SUMIFS('Media&amp;EdByAEA,Dist,Nonpublic'!$M$3:$M$1349,'Media&amp;EdByAEA,Dist,Nonpublic'!$D$3:$D$1349,'Media&amp;EdByNonpublic'!$B119,'Media&amp;EdByAEA,Dist,Nonpublic'!$E$3:$E$1349,'Media&amp;EdByNonpublic'!$C119)</f>
        <v>37942.26999999999</v>
      </c>
    </row>
    <row r="120" spans="1:5" x14ac:dyDescent="0.25">
      <c r="A120" s="81" t="s">
        <v>870</v>
      </c>
      <c r="B120" s="82">
        <v>3141</v>
      </c>
      <c r="C120" s="82">
        <v>8104</v>
      </c>
      <c r="D120" s="35">
        <f>SUMIFS('Media&amp;EdByAEA,Dist,Nonpublic'!$L$3:$L$1349,'Media&amp;EdByAEA,Dist,Nonpublic'!$D$3:$D$1349,'Media&amp;EdByNonpublic'!$B120,'Media&amp;EdByAEA,Dist,Nonpublic'!$E$3:$E$1349,'Media&amp;EdByNonpublic'!$C120)</f>
        <v>26576.53</v>
      </c>
      <c r="E120" s="35">
        <f>SUMIFS('Media&amp;EdByAEA,Dist,Nonpublic'!$M$3:$M$1349,'Media&amp;EdByAEA,Dist,Nonpublic'!$D$3:$D$1349,'Media&amp;EdByNonpublic'!$B120,'Media&amp;EdByAEA,Dist,Nonpublic'!$E$3:$E$1349,'Media&amp;EdByNonpublic'!$C120)</f>
        <v>29225.7</v>
      </c>
    </row>
    <row r="121" spans="1:5" x14ac:dyDescent="0.25">
      <c r="A121" s="81" t="s">
        <v>803</v>
      </c>
      <c r="B121" s="82">
        <v>1053</v>
      </c>
      <c r="C121" s="82">
        <v>8216</v>
      </c>
      <c r="D121" s="35">
        <f>SUMIFS('Media&amp;EdByAEA,Dist,Nonpublic'!$L$3:$L$1349,'Media&amp;EdByAEA,Dist,Nonpublic'!$D$3:$D$1349,'Media&amp;EdByNonpublic'!$B121,'Media&amp;EdByAEA,Dist,Nonpublic'!$E$3:$E$1349,'Media&amp;EdByNonpublic'!$C121)</f>
        <v>19624.169999999998</v>
      </c>
      <c r="E121" s="35">
        <f>SUMIFS('Media&amp;EdByAEA,Dist,Nonpublic'!$M$3:$M$1349,'Media&amp;EdByAEA,Dist,Nonpublic'!$D$3:$D$1349,'Media&amp;EdByNonpublic'!$B121,'Media&amp;EdByAEA,Dist,Nonpublic'!$E$3:$E$1349,'Media&amp;EdByNonpublic'!$C121)</f>
        <v>21581.159999999996</v>
      </c>
    </row>
    <row r="122" spans="1:5" x14ac:dyDescent="0.25">
      <c r="A122" s="81" t="s">
        <v>847</v>
      </c>
      <c r="B122" s="82">
        <v>1863</v>
      </c>
      <c r="C122" s="82">
        <v>8136</v>
      </c>
      <c r="D122" s="35">
        <f>SUMIFS('Media&amp;EdByAEA,Dist,Nonpublic'!$L$3:$L$1349,'Media&amp;EdByAEA,Dist,Nonpublic'!$D$3:$D$1349,'Media&amp;EdByNonpublic'!$B122,'Media&amp;EdByAEA,Dist,Nonpublic'!$E$3:$E$1349,'Media&amp;EdByNonpublic'!$C122)</f>
        <v>19512.800000000003</v>
      </c>
      <c r="E122" s="35">
        <f>SUMIFS('Media&amp;EdByAEA,Dist,Nonpublic'!$M$3:$M$1349,'Media&amp;EdByAEA,Dist,Nonpublic'!$D$3:$D$1349,'Media&amp;EdByNonpublic'!$B122,'Media&amp;EdByAEA,Dist,Nonpublic'!$E$3:$E$1349,'Media&amp;EdByNonpublic'!$C122)</f>
        <v>21734.34</v>
      </c>
    </row>
    <row r="123" spans="1:5" x14ac:dyDescent="0.25">
      <c r="A123" s="81" t="s">
        <v>779</v>
      </c>
      <c r="B123" s="80" t="s">
        <v>122</v>
      </c>
      <c r="C123" s="82">
        <v>8110</v>
      </c>
      <c r="D123" s="35">
        <f>SUMIFS('Media&amp;EdByAEA,Dist,Nonpublic'!$L$3:$L$1349,'Media&amp;EdByAEA,Dist,Nonpublic'!$D$3:$D$1349,'Media&amp;EdByNonpublic'!$B123,'Media&amp;EdByAEA,Dist,Nonpublic'!$E$3:$E$1349,'Media&amp;EdByNonpublic'!$C123)</f>
        <v>8553.6099999999988</v>
      </c>
      <c r="E123" s="35">
        <f>SUMIFS('Media&amp;EdByAEA,Dist,Nonpublic'!$M$3:$M$1349,'Media&amp;EdByAEA,Dist,Nonpublic'!$D$3:$D$1349,'Media&amp;EdByNonpublic'!$B123,'Media&amp;EdByAEA,Dist,Nonpublic'!$E$3:$E$1349,'Media&amp;EdByNonpublic'!$C123)</f>
        <v>9353.4599999999991</v>
      </c>
    </row>
    <row r="124" spans="1:5" x14ac:dyDescent="0.25">
      <c r="A124" s="81" t="s">
        <v>913</v>
      </c>
      <c r="B124" s="82">
        <v>5607</v>
      </c>
      <c r="C124" s="82">
        <v>8315</v>
      </c>
      <c r="D124" s="35">
        <f>SUMIFS('Media&amp;EdByAEA,Dist,Nonpublic'!$L$3:$L$1349,'Media&amp;EdByAEA,Dist,Nonpublic'!$D$3:$D$1349,'Media&amp;EdByNonpublic'!$B124,'Media&amp;EdByAEA,Dist,Nonpublic'!$E$3:$E$1349,'Media&amp;EdByNonpublic'!$C124)</f>
        <v>13119.529999999999</v>
      </c>
      <c r="E124" s="35">
        <f>SUMIFS('Media&amp;EdByAEA,Dist,Nonpublic'!$M$3:$M$1349,'Media&amp;EdByAEA,Dist,Nonpublic'!$D$3:$D$1349,'Media&amp;EdByNonpublic'!$B124,'Media&amp;EdByAEA,Dist,Nonpublic'!$E$3:$E$1349,'Media&amp;EdByNonpublic'!$C124)</f>
        <v>14684.949999999999</v>
      </c>
    </row>
    <row r="125" spans="1:5" x14ac:dyDescent="0.25">
      <c r="A125" s="81" t="s">
        <v>943</v>
      </c>
      <c r="B125" s="82">
        <v>6795</v>
      </c>
      <c r="C125" s="82">
        <v>8401</v>
      </c>
      <c r="D125" s="35">
        <f>SUMIFS('Media&amp;EdByAEA,Dist,Nonpublic'!$L$3:$L$1349,'Media&amp;EdByAEA,Dist,Nonpublic'!$D$3:$D$1349,'Media&amp;EdByNonpublic'!$B125,'Media&amp;EdByAEA,Dist,Nonpublic'!$E$3:$E$1349,'Media&amp;EdByNonpublic'!$C125)</f>
        <v>2285.15</v>
      </c>
      <c r="E125" s="35">
        <f>SUMIFS('Media&amp;EdByAEA,Dist,Nonpublic'!$M$3:$M$1349,'Media&amp;EdByAEA,Dist,Nonpublic'!$D$3:$D$1349,'Media&amp;EdByNonpublic'!$B125,'Media&amp;EdByAEA,Dist,Nonpublic'!$E$3:$E$1349,'Media&amp;EdByNonpublic'!$C125)</f>
        <v>2547.2799999999997</v>
      </c>
    </row>
    <row r="126" spans="1:5" x14ac:dyDescent="0.25">
      <c r="A126" s="81" t="s">
        <v>897</v>
      </c>
      <c r="B126" s="82">
        <v>4446</v>
      </c>
      <c r="C126" s="82">
        <v>8106</v>
      </c>
      <c r="D126" s="35">
        <f>SUMIFS('Media&amp;EdByAEA,Dist,Nonpublic'!$L$3:$L$1349,'Media&amp;EdByAEA,Dist,Nonpublic'!$D$3:$D$1349,'Media&amp;EdByNonpublic'!$B126,'Media&amp;EdByAEA,Dist,Nonpublic'!$E$3:$E$1349,'Media&amp;EdByNonpublic'!$C126)</f>
        <v>2404.7399999999998</v>
      </c>
      <c r="E126" s="35">
        <f>SUMIFS('Media&amp;EdByAEA,Dist,Nonpublic'!$M$3:$M$1349,'Media&amp;EdByAEA,Dist,Nonpublic'!$D$3:$D$1349,'Media&amp;EdByNonpublic'!$B126,'Media&amp;EdByAEA,Dist,Nonpublic'!$E$3:$E$1349,'Media&amp;EdByNonpublic'!$C126)</f>
        <v>2646.38</v>
      </c>
    </row>
    <row r="127" spans="1:5" x14ac:dyDescent="0.25">
      <c r="A127" s="81" t="s">
        <v>783</v>
      </c>
      <c r="B127" s="82">
        <v>6102</v>
      </c>
      <c r="C127" s="82">
        <v>8101</v>
      </c>
      <c r="D127" s="35">
        <f>SUMIFS('Media&amp;EdByAEA,Dist,Nonpublic'!$L$3:$L$1349,'Media&amp;EdByAEA,Dist,Nonpublic'!$D$3:$D$1349,'Media&amp;EdByNonpublic'!$B127,'Media&amp;EdByAEA,Dist,Nonpublic'!$E$3:$E$1349,'Media&amp;EdByNonpublic'!$C127)</f>
        <v>10780.72</v>
      </c>
      <c r="E127" s="35">
        <f>SUMIFS('Media&amp;EdByAEA,Dist,Nonpublic'!$M$3:$M$1349,'Media&amp;EdByAEA,Dist,Nonpublic'!$D$3:$D$1349,'Media&amp;EdByNonpublic'!$B127,'Media&amp;EdByAEA,Dist,Nonpublic'!$E$3:$E$1349,'Media&amp;EdByNonpublic'!$C127)</f>
        <v>12071.51</v>
      </c>
    </row>
    <row r="128" spans="1:5" x14ac:dyDescent="0.25">
      <c r="A128" s="81" t="s">
        <v>783</v>
      </c>
      <c r="B128" s="82">
        <v>4041</v>
      </c>
      <c r="C128" s="82">
        <v>8108</v>
      </c>
      <c r="D128" s="35">
        <f>SUMIFS('Media&amp;EdByAEA,Dist,Nonpublic'!$L$3:$L$1349,'Media&amp;EdByAEA,Dist,Nonpublic'!$D$3:$D$1349,'Media&amp;EdByNonpublic'!$B128,'Media&amp;EdByAEA,Dist,Nonpublic'!$E$3:$E$1349,'Media&amp;EdByNonpublic'!$C128)</f>
        <v>8100.21</v>
      </c>
      <c r="E128" s="35">
        <f>SUMIFS('Media&amp;EdByAEA,Dist,Nonpublic'!$M$3:$M$1349,'Media&amp;EdByAEA,Dist,Nonpublic'!$D$3:$D$1349,'Media&amp;EdByNonpublic'!$B128,'Media&amp;EdByAEA,Dist,Nonpublic'!$E$3:$E$1349,'Media&amp;EdByNonpublic'!$C128)</f>
        <v>8858.92</v>
      </c>
    </row>
    <row r="129" spans="1:5" x14ac:dyDescent="0.25">
      <c r="A129" s="81" t="s">
        <v>783</v>
      </c>
      <c r="B129" s="80" t="s">
        <v>183</v>
      </c>
      <c r="C129" s="82">
        <v>8103</v>
      </c>
      <c r="D129" s="35">
        <f>SUMIFS('Media&amp;EdByAEA,Dist,Nonpublic'!$L$3:$L$1349,'Media&amp;EdByAEA,Dist,Nonpublic'!$D$3:$D$1349,'Media&amp;EdByNonpublic'!$B129,'Media&amp;EdByAEA,Dist,Nonpublic'!$E$3:$E$1349,'Media&amp;EdByNonpublic'!$C129)</f>
        <v>4410.74</v>
      </c>
      <c r="E129" s="35">
        <f>SUMIFS('Media&amp;EdByAEA,Dist,Nonpublic'!$M$3:$M$1349,'Media&amp;EdByAEA,Dist,Nonpublic'!$D$3:$D$1349,'Media&amp;EdByNonpublic'!$B129,'Media&amp;EdByAEA,Dist,Nonpublic'!$E$3:$E$1349,'Media&amp;EdByNonpublic'!$C129)</f>
        <v>4847.38</v>
      </c>
    </row>
    <row r="130" spans="1:5" x14ac:dyDescent="0.25">
      <c r="A130" s="81" t="s">
        <v>783</v>
      </c>
      <c r="B130" s="82">
        <v>6957</v>
      </c>
      <c r="C130" s="82">
        <v>8104</v>
      </c>
      <c r="D130" s="35">
        <f>SUMIFS('Media&amp;EdByAEA,Dist,Nonpublic'!$L$3:$L$1349,'Media&amp;EdByAEA,Dist,Nonpublic'!$D$3:$D$1349,'Media&amp;EdByNonpublic'!$B130,'Media&amp;EdByAEA,Dist,Nonpublic'!$E$3:$E$1349,'Media&amp;EdByNonpublic'!$C130)</f>
        <v>31651.629999999997</v>
      </c>
      <c r="E130" s="35">
        <f>SUMIFS('Media&amp;EdByAEA,Dist,Nonpublic'!$M$3:$M$1349,'Media&amp;EdByAEA,Dist,Nonpublic'!$D$3:$D$1349,'Media&amp;EdByNonpublic'!$B130,'Media&amp;EdByAEA,Dist,Nonpublic'!$E$3:$E$1349,'Media&amp;EdByNonpublic'!$C130)</f>
        <v>34784.589999999997</v>
      </c>
    </row>
    <row r="131" spans="1:5" x14ac:dyDescent="0.25">
      <c r="A131" s="81" t="s">
        <v>783</v>
      </c>
      <c r="B131" s="82">
        <v>6039</v>
      </c>
      <c r="C131" s="82">
        <v>8111</v>
      </c>
      <c r="D131" s="35">
        <f>SUMIFS('Media&amp;EdByAEA,Dist,Nonpublic'!$L$3:$L$1349,'Media&amp;EdByAEA,Dist,Nonpublic'!$D$3:$D$1349,'Media&amp;EdByNonpublic'!$B131,'Media&amp;EdByAEA,Dist,Nonpublic'!$E$3:$E$1349,'Media&amp;EdByNonpublic'!$C131)</f>
        <v>17231.36</v>
      </c>
      <c r="E131" s="35">
        <f>SUMIFS('Media&amp;EdByAEA,Dist,Nonpublic'!$M$3:$M$1349,'Media&amp;EdByAEA,Dist,Nonpublic'!$D$3:$D$1349,'Media&amp;EdByNonpublic'!$B131,'Media&amp;EdByAEA,Dist,Nonpublic'!$E$3:$E$1349,'Media&amp;EdByNonpublic'!$C131)</f>
        <v>19287.87</v>
      </c>
    </row>
    <row r="132" spans="1:5" x14ac:dyDescent="0.25">
      <c r="A132" s="81" t="s">
        <v>815</v>
      </c>
      <c r="B132" s="82">
        <v>1476</v>
      </c>
      <c r="C132" s="82">
        <v>8108</v>
      </c>
      <c r="D132" s="35">
        <f>SUMIFS('Media&amp;EdByAEA,Dist,Nonpublic'!$L$3:$L$1349,'Media&amp;EdByAEA,Dist,Nonpublic'!$D$3:$D$1349,'Media&amp;EdByNonpublic'!$B132,'Media&amp;EdByAEA,Dist,Nonpublic'!$E$3:$E$1349,'Media&amp;EdByNonpublic'!$C132)</f>
        <v>41984.100000000006</v>
      </c>
      <c r="E132" s="35">
        <f>SUMIFS('Media&amp;EdByAEA,Dist,Nonpublic'!$M$3:$M$1349,'Media&amp;EdByAEA,Dist,Nonpublic'!$D$3:$D$1349,'Media&amp;EdByNonpublic'!$B132,'Media&amp;EdByAEA,Dist,Nonpublic'!$E$3:$E$1349,'Media&amp;EdByNonpublic'!$C132)</f>
        <v>46420.749999999993</v>
      </c>
    </row>
    <row r="133" spans="1:5" x14ac:dyDescent="0.25">
      <c r="A133" s="81" t="s">
        <v>938</v>
      </c>
      <c r="B133" s="82">
        <v>6795</v>
      </c>
      <c r="C133" s="82">
        <v>8105</v>
      </c>
      <c r="D133" s="35">
        <f>SUMIFS('Media&amp;EdByAEA,Dist,Nonpublic'!$L$3:$L$1349,'Media&amp;EdByAEA,Dist,Nonpublic'!$D$3:$D$1349,'Media&amp;EdByNonpublic'!$B133,'Media&amp;EdByAEA,Dist,Nonpublic'!$E$3:$E$1349,'Media&amp;EdByNonpublic'!$C133)</f>
        <v>22394.1</v>
      </c>
      <c r="E133" s="35">
        <f>SUMIFS('Media&amp;EdByAEA,Dist,Nonpublic'!$M$3:$M$1349,'Media&amp;EdByAEA,Dist,Nonpublic'!$D$3:$D$1349,'Media&amp;EdByNonpublic'!$B133,'Media&amp;EdByAEA,Dist,Nonpublic'!$E$3:$E$1349,'Media&amp;EdByNonpublic'!$C133)</f>
        <v>24963.390000000003</v>
      </c>
    </row>
    <row r="134" spans="1:5" x14ac:dyDescent="0.25">
      <c r="A134" s="81" t="s">
        <v>898</v>
      </c>
      <c r="B134" s="82">
        <v>4581</v>
      </c>
      <c r="C134" s="82">
        <v>8103</v>
      </c>
      <c r="D134" s="35">
        <f>SUMIFS('Media&amp;EdByAEA,Dist,Nonpublic'!$L$3:$L$1349,'Media&amp;EdByAEA,Dist,Nonpublic'!$D$3:$D$1349,'Media&amp;EdByNonpublic'!$B134,'Media&amp;EdByAEA,Dist,Nonpublic'!$E$3:$E$1349,'Media&amp;EdByNonpublic'!$C134)</f>
        <v>14515.449999999999</v>
      </c>
      <c r="E134" s="35">
        <f>SUMIFS('Media&amp;EdByAEA,Dist,Nonpublic'!$M$3:$M$1349,'Media&amp;EdByAEA,Dist,Nonpublic'!$D$3:$D$1349,'Media&amp;EdByNonpublic'!$B134,'Media&amp;EdByAEA,Dist,Nonpublic'!$E$3:$E$1349,'Media&amp;EdByNonpublic'!$C134)</f>
        <v>15873.25</v>
      </c>
    </row>
    <row r="135" spans="1:5" x14ac:dyDescent="0.25">
      <c r="A135" s="81" t="s">
        <v>862</v>
      </c>
      <c r="B135" s="82">
        <v>2862</v>
      </c>
      <c r="C135" s="82">
        <v>8304</v>
      </c>
      <c r="D135" s="35">
        <f>SUMIFS('Media&amp;EdByAEA,Dist,Nonpublic'!$L$3:$L$1349,'Media&amp;EdByAEA,Dist,Nonpublic'!$D$3:$D$1349,'Media&amp;EdByNonpublic'!$B135,'Media&amp;EdByAEA,Dist,Nonpublic'!$E$3:$E$1349,'Media&amp;EdByNonpublic'!$C135)</f>
        <v>7375.2800000000007</v>
      </c>
      <c r="E135" s="35">
        <f>SUMIFS('Media&amp;EdByAEA,Dist,Nonpublic'!$M$3:$M$1349,'Media&amp;EdByAEA,Dist,Nonpublic'!$D$3:$D$1349,'Media&amp;EdByNonpublic'!$B135,'Media&amp;EdByAEA,Dist,Nonpublic'!$E$3:$E$1349,'Media&amp;EdByNonpublic'!$C135)</f>
        <v>8255.89</v>
      </c>
    </row>
    <row r="136" spans="1:5" x14ac:dyDescent="0.25">
      <c r="A136" s="83" t="s">
        <v>949</v>
      </c>
      <c r="B136" s="82">
        <v>6930</v>
      </c>
      <c r="C136" s="82">
        <v>8503</v>
      </c>
      <c r="D136" s="35">
        <f>SUMIFS('Media&amp;EdByAEA,Dist,Nonpublic'!$L$3:$L$1349,'Media&amp;EdByAEA,Dist,Nonpublic'!$D$3:$D$1349,'Media&amp;EdByNonpublic'!$B136,'Media&amp;EdByAEA,Dist,Nonpublic'!$E$3:$E$1349,'Media&amp;EdByNonpublic'!$C136)</f>
        <v>1429.44</v>
      </c>
      <c r="E136" s="35">
        <f>SUMIFS('Media&amp;EdByAEA,Dist,Nonpublic'!$M$3:$M$1349,'Media&amp;EdByAEA,Dist,Nonpublic'!$D$3:$D$1349,'Media&amp;EdByNonpublic'!$B136,'Media&amp;EdByAEA,Dist,Nonpublic'!$E$3:$E$1349,'Media&amp;EdByNonpublic'!$C136)</f>
        <v>1571.5400000000002</v>
      </c>
    </row>
    <row r="137" spans="1:5" x14ac:dyDescent="0.25">
      <c r="A137" s="81" t="s">
        <v>957</v>
      </c>
      <c r="B137" s="82">
        <v>6961</v>
      </c>
      <c r="C137" s="82">
        <v>8153</v>
      </c>
      <c r="D137" s="35">
        <f>SUMIFS('Media&amp;EdByAEA,Dist,Nonpublic'!$L$3:$L$1349,'Media&amp;EdByAEA,Dist,Nonpublic'!$D$3:$D$1349,'Media&amp;EdByNonpublic'!$B137,'Media&amp;EdByAEA,Dist,Nonpublic'!$E$3:$E$1349,'Media&amp;EdByNonpublic'!$C137)</f>
        <v>6395.5</v>
      </c>
      <c r="E137" s="35">
        <f>SUMIFS('Media&amp;EdByAEA,Dist,Nonpublic'!$M$3:$M$1349,'Media&amp;EdByAEA,Dist,Nonpublic'!$D$3:$D$1349,'Media&amp;EdByNonpublic'!$B137,'Media&amp;EdByAEA,Dist,Nonpublic'!$E$3:$E$1349,'Media&amp;EdByNonpublic'!$C137)</f>
        <v>7123.6399999999994</v>
      </c>
    </row>
    <row r="138" spans="1:5" x14ac:dyDescent="0.25">
      <c r="A138" s="81" t="s">
        <v>958</v>
      </c>
      <c r="B138" s="82">
        <v>6961</v>
      </c>
      <c r="C138" s="82">
        <v>8157</v>
      </c>
      <c r="D138" s="35">
        <f>SUMIFS('Media&amp;EdByAEA,Dist,Nonpublic'!$L$3:$L$1349,'Media&amp;EdByAEA,Dist,Nonpublic'!$D$3:$D$1349,'Media&amp;EdByNonpublic'!$B138,'Media&amp;EdByAEA,Dist,Nonpublic'!$E$3:$E$1349,'Media&amp;EdByNonpublic'!$C138)</f>
        <v>11355.279999999999</v>
      </c>
      <c r="E138" s="35">
        <f>SUMIFS('Media&amp;EdByAEA,Dist,Nonpublic'!$M$3:$M$1349,'Media&amp;EdByAEA,Dist,Nonpublic'!$D$3:$D$1349,'Media&amp;EdByNonpublic'!$B138,'Media&amp;EdByAEA,Dist,Nonpublic'!$E$3:$E$1349,'Media&amp;EdByNonpublic'!$C138)</f>
        <v>12648.099999999999</v>
      </c>
    </row>
    <row r="139" spans="1:5" x14ac:dyDescent="0.25">
      <c r="A139" s="81" t="s">
        <v>905</v>
      </c>
      <c r="B139" s="82">
        <v>5049</v>
      </c>
      <c r="C139" s="82">
        <v>8101</v>
      </c>
      <c r="D139" s="35">
        <f>SUMIFS('Media&amp;EdByAEA,Dist,Nonpublic'!$L$3:$L$1349,'Media&amp;EdByAEA,Dist,Nonpublic'!$D$3:$D$1349,'Media&amp;EdByNonpublic'!$B139,'Media&amp;EdByAEA,Dist,Nonpublic'!$E$3:$E$1349,'Media&amp;EdByNonpublic'!$C139)</f>
        <v>4742.0499999999993</v>
      </c>
      <c r="E139" s="35">
        <f>SUMIFS('Media&amp;EdByAEA,Dist,Nonpublic'!$M$3:$M$1349,'Media&amp;EdByAEA,Dist,Nonpublic'!$D$3:$D$1349,'Media&amp;EdByNonpublic'!$B139,'Media&amp;EdByAEA,Dist,Nonpublic'!$E$3:$E$1349,'Media&amp;EdByNonpublic'!$C139)</f>
        <v>5214.3100000000004</v>
      </c>
    </row>
    <row r="140" spans="1:5" x14ac:dyDescent="0.25">
      <c r="A140" s="81" t="s">
        <v>766</v>
      </c>
      <c r="B140" s="80" t="s">
        <v>24</v>
      </c>
      <c r="C140" s="82">
        <v>8101</v>
      </c>
      <c r="D140" s="35">
        <f>SUMIFS('Media&amp;EdByAEA,Dist,Nonpublic'!$L$3:$L$1349,'Media&amp;EdByAEA,Dist,Nonpublic'!$D$3:$D$1349,'Media&amp;EdByNonpublic'!$B140,'Media&amp;EdByAEA,Dist,Nonpublic'!$E$3:$E$1349,'Media&amp;EdByNonpublic'!$C140)</f>
        <v>6730.13</v>
      </c>
      <c r="E140" s="35">
        <f>SUMIFS('Media&amp;EdByAEA,Dist,Nonpublic'!$M$3:$M$1349,'Media&amp;EdByAEA,Dist,Nonpublic'!$D$3:$D$1349,'Media&amp;EdByNonpublic'!$B140,'Media&amp;EdByAEA,Dist,Nonpublic'!$E$3:$E$1349,'Media&amp;EdByNonpublic'!$C140)</f>
        <v>7534.66</v>
      </c>
    </row>
    <row r="141" spans="1:5" x14ac:dyDescent="0.25">
      <c r="A141" s="81" t="s">
        <v>861</v>
      </c>
      <c r="B141" s="82">
        <v>2826</v>
      </c>
      <c r="C141" s="82">
        <v>8101</v>
      </c>
      <c r="D141" s="35">
        <f>SUMIFS('Media&amp;EdByAEA,Dist,Nonpublic'!$L$3:$L$1349,'Media&amp;EdByAEA,Dist,Nonpublic'!$D$3:$D$1349,'Media&amp;EdByNonpublic'!$B141,'Media&amp;EdByAEA,Dist,Nonpublic'!$E$3:$E$1349,'Media&amp;EdByNonpublic'!$C141)</f>
        <v>5328.8</v>
      </c>
      <c r="E141" s="35">
        <f>SUMIFS('Media&amp;EdByAEA,Dist,Nonpublic'!$M$3:$M$1349,'Media&amp;EdByAEA,Dist,Nonpublic'!$D$3:$D$1349,'Media&amp;EdByNonpublic'!$B141,'Media&amp;EdByAEA,Dist,Nonpublic'!$E$3:$E$1349,'Media&amp;EdByNonpublic'!$C141)</f>
        <v>5892.18</v>
      </c>
    </row>
    <row r="142" spans="1:5" x14ac:dyDescent="0.25">
      <c r="A142" s="81" t="s">
        <v>917</v>
      </c>
      <c r="B142" s="82">
        <v>5949</v>
      </c>
      <c r="C142" s="82">
        <v>8305</v>
      </c>
      <c r="D142" s="35">
        <f>SUMIFS('Media&amp;EdByAEA,Dist,Nonpublic'!$L$3:$L$1349,'Media&amp;EdByAEA,Dist,Nonpublic'!$D$3:$D$1349,'Media&amp;EdByNonpublic'!$B142,'Media&amp;EdByAEA,Dist,Nonpublic'!$E$3:$E$1349,'Media&amp;EdByNonpublic'!$C142)</f>
        <v>6723.06</v>
      </c>
      <c r="E142" s="35">
        <f>SUMIFS('Media&amp;EdByAEA,Dist,Nonpublic'!$M$3:$M$1349,'Media&amp;EdByAEA,Dist,Nonpublic'!$D$3:$D$1349,'Media&amp;EdByNonpublic'!$B142,'Media&amp;EdByAEA,Dist,Nonpublic'!$E$3:$E$1349,'Media&amp;EdByNonpublic'!$C142)</f>
        <v>7524.9000000000005</v>
      </c>
    </row>
    <row r="143" spans="1:5" x14ac:dyDescent="0.25">
      <c r="A143" s="81" t="s">
        <v>852</v>
      </c>
      <c r="B143" s="82">
        <v>2169</v>
      </c>
      <c r="C143" s="82">
        <v>8165</v>
      </c>
      <c r="D143" s="35">
        <f>SUMIFS('Media&amp;EdByAEA,Dist,Nonpublic'!$L$3:$L$1349,'Media&amp;EdByAEA,Dist,Nonpublic'!$D$3:$D$1349,'Media&amp;EdByNonpublic'!$B143,'Media&amp;EdByAEA,Dist,Nonpublic'!$E$3:$E$1349,'Media&amp;EdByNonpublic'!$C143)</f>
        <v>2468.58</v>
      </c>
      <c r="E143" s="35">
        <f>SUMIFS('Media&amp;EdByAEA,Dist,Nonpublic'!$M$3:$M$1349,'Media&amp;EdByAEA,Dist,Nonpublic'!$D$3:$D$1349,'Media&amp;EdByNonpublic'!$B143,'Media&amp;EdByAEA,Dist,Nonpublic'!$E$3:$E$1349,'Media&amp;EdByNonpublic'!$C143)</f>
        <v>2714.32</v>
      </c>
    </row>
    <row r="144" spans="1:5" x14ac:dyDescent="0.25">
      <c r="A144" s="81" t="s">
        <v>918</v>
      </c>
      <c r="B144" s="82">
        <v>6030</v>
      </c>
      <c r="C144" s="82">
        <v>8314</v>
      </c>
      <c r="D144" s="35">
        <f>SUMIFS('Media&amp;EdByAEA,Dist,Nonpublic'!$L$3:$L$1349,'Media&amp;EdByAEA,Dist,Nonpublic'!$D$3:$D$1349,'Media&amp;EdByNonpublic'!$B144,'Media&amp;EdByAEA,Dist,Nonpublic'!$E$3:$E$1349,'Media&amp;EdByNonpublic'!$C144)</f>
        <v>32570.079999999998</v>
      </c>
      <c r="E144" s="35">
        <f>SUMIFS('Media&amp;EdByAEA,Dist,Nonpublic'!$M$3:$M$1349,'Media&amp;EdByAEA,Dist,Nonpublic'!$D$3:$D$1349,'Media&amp;EdByNonpublic'!$B144,'Media&amp;EdByAEA,Dist,Nonpublic'!$E$3:$E$1349,'Media&amp;EdByNonpublic'!$C144)</f>
        <v>36456.78</v>
      </c>
    </row>
    <row r="145" spans="1:5" x14ac:dyDescent="0.25">
      <c r="A145" s="81" t="s">
        <v>919</v>
      </c>
      <c r="B145" s="82">
        <v>6039</v>
      </c>
      <c r="C145" s="82">
        <v>8102</v>
      </c>
      <c r="D145" s="35">
        <f>SUMIFS('Media&amp;EdByAEA,Dist,Nonpublic'!$L$3:$L$1349,'Media&amp;EdByAEA,Dist,Nonpublic'!$D$3:$D$1349,'Media&amp;EdByNonpublic'!$B145,'Media&amp;EdByAEA,Dist,Nonpublic'!$E$3:$E$1349,'Media&amp;EdByNonpublic'!$C145)</f>
        <v>28849.69</v>
      </c>
      <c r="E145" s="35">
        <f>SUMIFS('Media&amp;EdByAEA,Dist,Nonpublic'!$M$3:$M$1349,'Media&amp;EdByAEA,Dist,Nonpublic'!$D$3:$D$1349,'Media&amp;EdByNonpublic'!$B145,'Media&amp;EdByAEA,Dist,Nonpublic'!$E$3:$E$1349,'Media&amp;EdByNonpublic'!$C145)</f>
        <v>32291.84</v>
      </c>
    </row>
    <row r="146" spans="1:5" x14ac:dyDescent="0.25">
      <c r="A146" s="81" t="s">
        <v>907</v>
      </c>
      <c r="B146" s="82">
        <v>5163</v>
      </c>
      <c r="C146" s="82">
        <v>8106</v>
      </c>
      <c r="D146" s="35">
        <f>SUMIFS('Media&amp;EdByAEA,Dist,Nonpublic'!$L$3:$L$1349,'Media&amp;EdByAEA,Dist,Nonpublic'!$D$3:$D$1349,'Media&amp;EdByNonpublic'!$B146,'Media&amp;EdByAEA,Dist,Nonpublic'!$E$3:$E$1349,'Media&amp;EdByNonpublic'!$C146)</f>
        <v>1753.84</v>
      </c>
      <c r="E146" s="35">
        <f>SUMIFS('Media&amp;EdByAEA,Dist,Nonpublic'!$M$3:$M$1349,'Media&amp;EdByAEA,Dist,Nonpublic'!$D$3:$D$1349,'Media&amp;EdByNonpublic'!$B146,'Media&amp;EdByAEA,Dist,Nonpublic'!$E$3:$E$1349,'Media&amp;EdByNonpublic'!$C146)</f>
        <v>1928.98</v>
      </c>
    </row>
    <row r="147" spans="1:5" x14ac:dyDescent="0.25">
      <c r="A147" s="81" t="s">
        <v>829</v>
      </c>
      <c r="B147" s="82">
        <v>1737</v>
      </c>
      <c r="C147" s="82">
        <v>8106</v>
      </c>
      <c r="D147" s="35">
        <f>SUMIFS('Media&amp;EdByAEA,Dist,Nonpublic'!$L$3:$L$1349,'Media&amp;EdByAEA,Dist,Nonpublic'!$D$3:$D$1349,'Media&amp;EdByNonpublic'!$B147,'Media&amp;EdByAEA,Dist,Nonpublic'!$E$3:$E$1349,'Media&amp;EdByNonpublic'!$C147)</f>
        <v>24062.97</v>
      </c>
      <c r="E147" s="35">
        <f>SUMIFS('Media&amp;EdByAEA,Dist,Nonpublic'!$M$3:$M$1349,'Media&amp;EdByAEA,Dist,Nonpublic'!$D$3:$D$1349,'Media&amp;EdByNonpublic'!$B147,'Media&amp;EdByAEA,Dist,Nonpublic'!$E$3:$E$1349,'Media&amp;EdByNonpublic'!$C147)</f>
        <v>26444.890000000003</v>
      </c>
    </row>
    <row r="148" spans="1:5" x14ac:dyDescent="0.25">
      <c r="A148" s="81" t="s">
        <v>876</v>
      </c>
      <c r="B148" s="82">
        <v>3204</v>
      </c>
      <c r="C148" s="82">
        <v>8104</v>
      </c>
      <c r="D148" s="35">
        <f>SUMIFS('Media&amp;EdByAEA,Dist,Nonpublic'!$L$3:$L$1349,'Media&amp;EdByAEA,Dist,Nonpublic'!$D$3:$D$1349,'Media&amp;EdByNonpublic'!$B148,'Media&amp;EdByAEA,Dist,Nonpublic'!$E$3:$E$1349,'Media&amp;EdByNonpublic'!$C148)</f>
        <v>5157.76</v>
      </c>
      <c r="E148" s="35">
        <f>SUMIFS('Media&amp;EdByAEA,Dist,Nonpublic'!$M$3:$M$1349,'Media&amp;EdByAEA,Dist,Nonpublic'!$D$3:$D$1349,'Media&amp;EdByNonpublic'!$B148,'Media&amp;EdByAEA,Dist,Nonpublic'!$E$3:$E$1349,'Media&amp;EdByNonpublic'!$C148)</f>
        <v>5749.41</v>
      </c>
    </row>
    <row r="149" spans="1:5" x14ac:dyDescent="0.25">
      <c r="A149" s="81" t="s">
        <v>830</v>
      </c>
      <c r="B149" s="82">
        <v>1737</v>
      </c>
      <c r="C149" s="82">
        <v>8107</v>
      </c>
      <c r="D149" s="35">
        <f>SUMIFS('Media&amp;EdByAEA,Dist,Nonpublic'!$L$3:$L$1349,'Media&amp;EdByAEA,Dist,Nonpublic'!$D$3:$D$1349,'Media&amp;EdByNonpublic'!$B149,'Media&amp;EdByAEA,Dist,Nonpublic'!$E$3:$E$1349,'Media&amp;EdByNonpublic'!$C149)</f>
        <v>18225.61</v>
      </c>
      <c r="E149" s="35">
        <f>SUMIFS('Media&amp;EdByAEA,Dist,Nonpublic'!$M$3:$M$1349,'Media&amp;EdByAEA,Dist,Nonpublic'!$D$3:$D$1349,'Media&amp;EdByNonpublic'!$B149,'Media&amp;EdByAEA,Dist,Nonpublic'!$E$3:$E$1349,'Media&amp;EdByNonpublic'!$C149)</f>
        <v>20029.670000000002</v>
      </c>
    </row>
    <row r="150" spans="1:5" x14ac:dyDescent="0.25">
      <c r="A150" s="81" t="s">
        <v>822</v>
      </c>
      <c r="B150" s="82">
        <v>1638</v>
      </c>
      <c r="C150" s="82">
        <v>8102</v>
      </c>
      <c r="D150" s="35">
        <f>SUMIFS('Media&amp;EdByAEA,Dist,Nonpublic'!$L$3:$L$1349,'Media&amp;EdByAEA,Dist,Nonpublic'!$D$3:$D$1349,'Media&amp;EdByNonpublic'!$B150,'Media&amp;EdByAEA,Dist,Nonpublic'!$E$3:$E$1349,'Media&amp;EdByNonpublic'!$C150)</f>
        <v>9984.6</v>
      </c>
      <c r="E150" s="35">
        <f>SUMIFS('Media&amp;EdByAEA,Dist,Nonpublic'!$M$3:$M$1349,'Media&amp;EdByAEA,Dist,Nonpublic'!$D$3:$D$1349,'Media&amp;EdByNonpublic'!$B150,'Media&amp;EdByAEA,Dist,Nonpublic'!$E$3:$E$1349,'Media&amp;EdByNonpublic'!$C150)</f>
        <v>11121.32</v>
      </c>
    </row>
    <row r="151" spans="1:5" x14ac:dyDescent="0.25">
      <c r="A151" s="81" t="s">
        <v>770</v>
      </c>
      <c r="B151" s="80" t="s">
        <v>177</v>
      </c>
      <c r="C151" s="82">
        <v>8104</v>
      </c>
      <c r="D151" s="35">
        <f>SUMIFS('Media&amp;EdByAEA,Dist,Nonpublic'!$L$3:$L$1349,'Media&amp;EdByAEA,Dist,Nonpublic'!$D$3:$D$1349,'Media&amp;EdByNonpublic'!$B151,'Media&amp;EdByAEA,Dist,Nonpublic'!$E$3:$E$1349,'Media&amp;EdByNonpublic'!$C151)</f>
        <v>7848.45</v>
      </c>
      <c r="E151" s="35">
        <f>SUMIFS('Media&amp;EdByAEA,Dist,Nonpublic'!$M$3:$M$1349,'Media&amp;EdByAEA,Dist,Nonpublic'!$D$3:$D$1349,'Media&amp;EdByNonpublic'!$B151,'Media&amp;EdByAEA,Dist,Nonpublic'!$E$3:$E$1349,'Media&amp;EdByNonpublic'!$C151)</f>
        <v>8626.2800000000007</v>
      </c>
    </row>
    <row r="152" spans="1:5" x14ac:dyDescent="0.25">
      <c r="A152" s="81" t="s">
        <v>843</v>
      </c>
      <c r="B152" s="82">
        <v>1863</v>
      </c>
      <c r="C152" s="82">
        <v>8122</v>
      </c>
      <c r="D152" s="35">
        <f>SUMIFS('Media&amp;EdByAEA,Dist,Nonpublic'!$L$3:$L$1349,'Media&amp;EdByAEA,Dist,Nonpublic'!$D$3:$D$1349,'Media&amp;EdByNonpublic'!$B152,'Media&amp;EdByAEA,Dist,Nonpublic'!$E$3:$E$1349,'Media&amp;EdByNonpublic'!$C152)</f>
        <v>17750.32</v>
      </c>
      <c r="E152" s="35">
        <f>SUMIFS('Media&amp;EdByAEA,Dist,Nonpublic'!$M$3:$M$1349,'Media&amp;EdByAEA,Dist,Nonpublic'!$D$3:$D$1349,'Media&amp;EdByNonpublic'!$B152,'Media&amp;EdByAEA,Dist,Nonpublic'!$E$3:$E$1349,'Media&amp;EdByNonpublic'!$C152)</f>
        <v>19769.88</v>
      </c>
    </row>
    <row r="153" spans="1:5" x14ac:dyDescent="0.25">
      <c r="A153" s="81" t="s">
        <v>854</v>
      </c>
      <c r="B153" s="82">
        <v>2313</v>
      </c>
      <c r="C153" s="82">
        <v>8104</v>
      </c>
      <c r="D153" s="35">
        <f>SUMIFS('Media&amp;EdByAEA,Dist,Nonpublic'!$L$3:$L$1349,'Media&amp;EdByAEA,Dist,Nonpublic'!$D$3:$D$1349,'Media&amp;EdByNonpublic'!$B153,'Media&amp;EdByAEA,Dist,Nonpublic'!$E$3:$E$1349,'Media&amp;EdByNonpublic'!$C153)</f>
        <v>40968.25</v>
      </c>
      <c r="E153" s="35">
        <f>SUMIFS('Media&amp;EdByAEA,Dist,Nonpublic'!$M$3:$M$1349,'Media&amp;EdByAEA,Dist,Nonpublic'!$D$3:$D$1349,'Media&amp;EdByNonpublic'!$B153,'Media&amp;EdByAEA,Dist,Nonpublic'!$E$3:$E$1349,'Media&amp;EdByNonpublic'!$C153)</f>
        <v>45868.85</v>
      </c>
    </row>
    <row r="154" spans="1:5" x14ac:dyDescent="0.25">
      <c r="A154" s="81" t="s">
        <v>888</v>
      </c>
      <c r="B154" s="82">
        <v>4104</v>
      </c>
      <c r="C154" s="82">
        <v>8103</v>
      </c>
      <c r="D154" s="35">
        <f>SUMIFS('Media&amp;EdByAEA,Dist,Nonpublic'!$L$3:$L$1349,'Media&amp;EdByAEA,Dist,Nonpublic'!$D$3:$D$1349,'Media&amp;EdByNonpublic'!$B154,'Media&amp;EdByAEA,Dist,Nonpublic'!$E$3:$E$1349,'Media&amp;EdByNonpublic'!$C154)</f>
        <v>13449.54</v>
      </c>
      <c r="E154" s="35">
        <f>SUMIFS('Media&amp;EdByAEA,Dist,Nonpublic'!$M$3:$M$1349,'Media&amp;EdByAEA,Dist,Nonpublic'!$D$3:$D$1349,'Media&amp;EdByNonpublic'!$B154,'Media&amp;EdByAEA,Dist,Nonpublic'!$E$3:$E$1349,'Media&amp;EdByNonpublic'!$C154)</f>
        <v>14992.69</v>
      </c>
    </row>
    <row r="155" spans="1:5" x14ac:dyDescent="0.25">
      <c r="A155" s="81" t="s">
        <v>947</v>
      </c>
      <c r="B155" s="82">
        <v>6822</v>
      </c>
      <c r="C155" s="82">
        <v>8101</v>
      </c>
      <c r="D155" s="35">
        <f>SUMIFS('Media&amp;EdByAEA,Dist,Nonpublic'!$L$3:$L$1349,'Media&amp;EdByAEA,Dist,Nonpublic'!$D$3:$D$1349,'Media&amp;EdByNonpublic'!$B155,'Media&amp;EdByAEA,Dist,Nonpublic'!$E$3:$E$1349,'Media&amp;EdByNonpublic'!$C155)</f>
        <v>43585.94</v>
      </c>
      <c r="E155" s="35">
        <f>SUMIFS('Media&amp;EdByAEA,Dist,Nonpublic'!$M$3:$M$1349,'Media&amp;EdByAEA,Dist,Nonpublic'!$D$3:$D$1349,'Media&amp;EdByNonpublic'!$B155,'Media&amp;EdByAEA,Dist,Nonpublic'!$E$3:$E$1349,'Media&amp;EdByNonpublic'!$C155)</f>
        <v>47900.17</v>
      </c>
    </row>
    <row r="156" spans="1:5" x14ac:dyDescent="0.25">
      <c r="A156" s="81" t="s">
        <v>953</v>
      </c>
      <c r="B156" s="82">
        <v>6961</v>
      </c>
      <c r="C156" s="82">
        <v>8103</v>
      </c>
      <c r="D156" s="35">
        <f>SUMIFS('Media&amp;EdByAEA,Dist,Nonpublic'!$L$3:$L$1349,'Media&amp;EdByAEA,Dist,Nonpublic'!$D$3:$D$1349,'Media&amp;EdByNonpublic'!$B156,'Media&amp;EdByAEA,Dist,Nonpublic'!$E$3:$E$1349,'Media&amp;EdByNonpublic'!$C156)</f>
        <v>19381.669999999998</v>
      </c>
      <c r="E156" s="35">
        <f>SUMIFS('Media&amp;EdByAEA,Dist,Nonpublic'!$M$3:$M$1349,'Media&amp;EdByAEA,Dist,Nonpublic'!$D$3:$D$1349,'Media&amp;EdByNonpublic'!$B156,'Media&amp;EdByAEA,Dist,Nonpublic'!$E$3:$E$1349,'Media&amp;EdByNonpublic'!$C156)</f>
        <v>21588.080000000002</v>
      </c>
    </row>
    <row r="157" spans="1:5" x14ac:dyDescent="0.25">
      <c r="A157" s="81" t="s">
        <v>937</v>
      </c>
      <c r="B157" s="82">
        <v>6768</v>
      </c>
      <c r="C157" s="82">
        <v>8103</v>
      </c>
      <c r="D157" s="35">
        <f>SUMIFS('Media&amp;EdByAEA,Dist,Nonpublic'!$L$3:$L$1349,'Media&amp;EdByAEA,Dist,Nonpublic'!$D$3:$D$1349,'Media&amp;EdByNonpublic'!$B157,'Media&amp;EdByAEA,Dist,Nonpublic'!$E$3:$E$1349,'Media&amp;EdByNonpublic'!$C157)</f>
        <v>6368.3</v>
      </c>
      <c r="E157" s="35">
        <f>SUMIFS('Media&amp;EdByAEA,Dist,Nonpublic'!$M$3:$M$1349,'Media&amp;EdByAEA,Dist,Nonpublic'!$D$3:$D$1349,'Media&amp;EdByNonpublic'!$B157,'Media&amp;EdByAEA,Dist,Nonpublic'!$E$3:$E$1349,'Media&amp;EdByNonpublic'!$C157)</f>
        <v>7003.04</v>
      </c>
    </row>
    <row r="158" spans="1:5" x14ac:dyDescent="0.25">
      <c r="A158" s="81" t="s">
        <v>864</v>
      </c>
      <c r="B158" s="82">
        <v>3105</v>
      </c>
      <c r="C158" s="82">
        <v>8105</v>
      </c>
      <c r="D158" s="35">
        <f>SUMIFS('Media&amp;EdByAEA,Dist,Nonpublic'!$L$3:$L$1349,'Media&amp;EdByAEA,Dist,Nonpublic'!$D$3:$D$1349,'Media&amp;EdByNonpublic'!$B158,'Media&amp;EdByAEA,Dist,Nonpublic'!$E$3:$E$1349,'Media&amp;EdByNonpublic'!$C158)</f>
        <v>8683.59</v>
      </c>
      <c r="E158" s="35">
        <f>SUMIFS('Media&amp;EdByAEA,Dist,Nonpublic'!$M$3:$M$1349,'Media&amp;EdByAEA,Dist,Nonpublic'!$D$3:$D$1349,'Media&amp;EdByNonpublic'!$B158,'Media&amp;EdByAEA,Dist,Nonpublic'!$E$3:$E$1349,'Media&amp;EdByNonpublic'!$C158)</f>
        <v>9679.2099999999991</v>
      </c>
    </row>
    <row r="159" spans="1:5" x14ac:dyDescent="0.25">
      <c r="A159" s="81" t="s">
        <v>900</v>
      </c>
      <c r="B159" s="82">
        <v>4662</v>
      </c>
      <c r="C159" s="82">
        <v>8106</v>
      </c>
      <c r="D159" s="35">
        <f>SUMIFS('Media&amp;EdByAEA,Dist,Nonpublic'!$L$3:$L$1349,'Media&amp;EdByAEA,Dist,Nonpublic'!$D$3:$D$1349,'Media&amp;EdByNonpublic'!$B159,'Media&amp;EdByAEA,Dist,Nonpublic'!$E$3:$E$1349,'Media&amp;EdByNonpublic'!$C159)</f>
        <v>5350.7599999999993</v>
      </c>
      <c r="E159" s="35">
        <f>SUMIFS('Media&amp;EdByAEA,Dist,Nonpublic'!$M$3:$M$1349,'Media&amp;EdByAEA,Dist,Nonpublic'!$D$3:$D$1349,'Media&amp;EdByNonpublic'!$B159,'Media&amp;EdByAEA,Dist,Nonpublic'!$E$3:$E$1349,'Media&amp;EdByNonpublic'!$C159)</f>
        <v>5961.7899999999991</v>
      </c>
    </row>
    <row r="160" spans="1:5" x14ac:dyDescent="0.25">
      <c r="A160" s="81" t="s">
        <v>832</v>
      </c>
      <c r="B160" s="82">
        <v>1737</v>
      </c>
      <c r="C160" s="82">
        <v>8110</v>
      </c>
      <c r="D160" s="35">
        <f>SUMIFS('Media&amp;EdByAEA,Dist,Nonpublic'!$L$3:$L$1349,'Media&amp;EdByAEA,Dist,Nonpublic'!$D$3:$D$1349,'Media&amp;EdByNonpublic'!$B160,'Media&amp;EdByAEA,Dist,Nonpublic'!$E$3:$E$1349,'Media&amp;EdByNonpublic'!$C160)</f>
        <v>12842.609999999999</v>
      </c>
      <c r="E160" s="35">
        <f>SUMIFS('Media&amp;EdByAEA,Dist,Nonpublic'!$M$3:$M$1349,'Media&amp;EdByAEA,Dist,Nonpublic'!$D$3:$D$1349,'Media&amp;EdByNonpublic'!$B160,'Media&amp;EdByAEA,Dist,Nonpublic'!$E$3:$E$1349,'Media&amp;EdByNonpublic'!$C160)</f>
        <v>14113.580000000002</v>
      </c>
    </row>
    <row r="161" spans="1:5" x14ac:dyDescent="0.25">
      <c r="A161" s="81" t="s">
        <v>806</v>
      </c>
      <c r="B161" s="82">
        <v>1082</v>
      </c>
      <c r="C161" s="82">
        <v>8109</v>
      </c>
      <c r="D161" s="35">
        <f>SUMIFS('Media&amp;EdByAEA,Dist,Nonpublic'!$L$3:$L$1349,'Media&amp;EdByAEA,Dist,Nonpublic'!$D$3:$D$1349,'Media&amp;EdByNonpublic'!$B161,'Media&amp;EdByAEA,Dist,Nonpublic'!$E$3:$E$1349,'Media&amp;EdByNonpublic'!$C161)</f>
        <v>10108.969999999999</v>
      </c>
      <c r="E161" s="35">
        <f>SUMIFS('Media&amp;EdByAEA,Dist,Nonpublic'!$M$3:$M$1349,'Media&amp;EdByAEA,Dist,Nonpublic'!$D$3:$D$1349,'Media&amp;EdByNonpublic'!$B161,'Media&amp;EdByAEA,Dist,Nonpublic'!$E$3:$E$1349,'Media&amp;EdByNonpublic'!$C161)</f>
        <v>11053.420000000002</v>
      </c>
    </row>
    <row r="162" spans="1:5" x14ac:dyDescent="0.25">
      <c r="A162" s="81" t="s">
        <v>806</v>
      </c>
      <c r="B162" s="82">
        <v>4086</v>
      </c>
      <c r="C162" s="82">
        <v>8106</v>
      </c>
      <c r="D162" s="35">
        <f>SUMIFS('Media&amp;EdByAEA,Dist,Nonpublic'!$L$3:$L$1349,'Media&amp;EdByAEA,Dist,Nonpublic'!$D$3:$D$1349,'Media&amp;EdByNonpublic'!$B162,'Media&amp;EdByAEA,Dist,Nonpublic'!$E$3:$E$1349,'Media&amp;EdByNonpublic'!$C162)</f>
        <v>13061.130000000001</v>
      </c>
      <c r="E162" s="35">
        <f>SUMIFS('Media&amp;EdByAEA,Dist,Nonpublic'!$M$3:$M$1349,'Media&amp;EdByAEA,Dist,Nonpublic'!$D$3:$D$1349,'Media&amp;EdByNonpublic'!$B162,'Media&amp;EdByAEA,Dist,Nonpublic'!$E$3:$E$1349,'Media&amp;EdByNonpublic'!$C162)</f>
        <v>14363.840000000002</v>
      </c>
    </row>
    <row r="163" spans="1:5" x14ac:dyDescent="0.25">
      <c r="A163" s="81" t="s">
        <v>772</v>
      </c>
      <c r="B163" s="80" t="s">
        <v>178</v>
      </c>
      <c r="C163" s="82">
        <v>8101</v>
      </c>
      <c r="D163" s="35">
        <f>SUMIFS('Media&amp;EdByAEA,Dist,Nonpublic'!$L$3:$L$1349,'Media&amp;EdByAEA,Dist,Nonpublic'!$D$3:$D$1349,'Media&amp;EdByNonpublic'!$B163,'Media&amp;EdByAEA,Dist,Nonpublic'!$E$3:$E$1349,'Media&amp;EdByNonpublic'!$C163)</f>
        <v>24387.96</v>
      </c>
      <c r="E163" s="35">
        <f>SUMIFS('Media&amp;EdByAEA,Dist,Nonpublic'!$M$3:$M$1349,'Media&amp;EdByAEA,Dist,Nonpublic'!$D$3:$D$1349,'Media&amp;EdByNonpublic'!$B163,'Media&amp;EdByAEA,Dist,Nonpublic'!$E$3:$E$1349,'Media&amp;EdByNonpublic'!$C163)</f>
        <v>26802.809999999998</v>
      </c>
    </row>
    <row r="164" spans="1:5" x14ac:dyDescent="0.25">
      <c r="A164" s="81" t="s">
        <v>817</v>
      </c>
      <c r="B164" s="82">
        <v>1503</v>
      </c>
      <c r="C164" s="82">
        <v>8101</v>
      </c>
      <c r="D164" s="35">
        <f>SUMIFS('Media&amp;EdByAEA,Dist,Nonpublic'!$L$3:$L$1349,'Media&amp;EdByAEA,Dist,Nonpublic'!$D$3:$D$1349,'Media&amp;EdByNonpublic'!$B164,'Media&amp;EdByAEA,Dist,Nonpublic'!$E$3:$E$1349,'Media&amp;EdByNonpublic'!$C164)</f>
        <v>9359</v>
      </c>
      <c r="E164" s="35">
        <f>SUMIFS('Media&amp;EdByAEA,Dist,Nonpublic'!$M$3:$M$1349,'Media&amp;EdByAEA,Dist,Nonpublic'!$D$3:$D$1349,'Media&amp;EdByNonpublic'!$B164,'Media&amp;EdByAEA,Dist,Nonpublic'!$E$3:$E$1349,'Media&amp;EdByNonpublic'!$C164)</f>
        <v>10347.48</v>
      </c>
    </row>
    <row r="165" spans="1:5" x14ac:dyDescent="0.25">
      <c r="A165" s="81" t="s">
        <v>863</v>
      </c>
      <c r="B165" s="82">
        <v>3060</v>
      </c>
      <c r="C165" s="82">
        <v>8101</v>
      </c>
      <c r="D165" s="35">
        <f>SUMIFS('Media&amp;EdByAEA,Dist,Nonpublic'!$L$3:$L$1349,'Media&amp;EdByAEA,Dist,Nonpublic'!$D$3:$D$1349,'Media&amp;EdByNonpublic'!$B165,'Media&amp;EdByAEA,Dist,Nonpublic'!$E$3:$E$1349,'Media&amp;EdByNonpublic'!$C165)</f>
        <v>9735.66</v>
      </c>
      <c r="E165" s="35">
        <f>SUMIFS('Media&amp;EdByAEA,Dist,Nonpublic'!$M$3:$M$1349,'Media&amp;EdByAEA,Dist,Nonpublic'!$D$3:$D$1349,'Media&amp;EdByNonpublic'!$B165,'Media&amp;EdByAEA,Dist,Nonpublic'!$E$3:$E$1349,'Media&amp;EdByNonpublic'!$C165)</f>
        <v>10900.259999999998</v>
      </c>
    </row>
    <row r="166" spans="1:5" x14ac:dyDescent="0.25">
      <c r="A166" s="81" t="s">
        <v>912</v>
      </c>
      <c r="B166" s="82">
        <v>5486</v>
      </c>
      <c r="C166" s="82">
        <v>8102</v>
      </c>
      <c r="D166" s="35">
        <f>SUMIFS('Media&amp;EdByAEA,Dist,Nonpublic'!$L$3:$L$1349,'Media&amp;EdByAEA,Dist,Nonpublic'!$D$3:$D$1349,'Media&amp;EdByNonpublic'!$B166,'Media&amp;EdByAEA,Dist,Nonpublic'!$E$3:$E$1349,'Media&amp;EdByNonpublic'!$C166)</f>
        <v>5025.99</v>
      </c>
      <c r="E166" s="35">
        <f>SUMIFS('Media&amp;EdByAEA,Dist,Nonpublic'!$M$3:$M$1349,'Media&amp;EdByAEA,Dist,Nonpublic'!$D$3:$D$1349,'Media&amp;EdByNonpublic'!$B166,'Media&amp;EdByAEA,Dist,Nonpublic'!$E$3:$E$1349,'Media&amp;EdByNonpublic'!$C166)</f>
        <v>5625.7400000000007</v>
      </c>
    </row>
    <row r="167" spans="1:5" x14ac:dyDescent="0.25">
      <c r="A167" s="81" t="s">
        <v>930</v>
      </c>
      <c r="B167" s="82">
        <v>6219</v>
      </c>
      <c r="C167" s="82">
        <v>8101</v>
      </c>
      <c r="D167" s="35">
        <f>SUMIFS('Media&amp;EdByAEA,Dist,Nonpublic'!$L$3:$L$1349,'Media&amp;EdByAEA,Dist,Nonpublic'!$D$3:$D$1349,'Media&amp;EdByNonpublic'!$B167,'Media&amp;EdByAEA,Dist,Nonpublic'!$E$3:$E$1349,'Media&amp;EdByNonpublic'!$C167)</f>
        <v>7775.25</v>
      </c>
      <c r="E167" s="35">
        <f>SUMIFS('Media&amp;EdByAEA,Dist,Nonpublic'!$M$3:$M$1349,'Media&amp;EdByAEA,Dist,Nonpublic'!$D$3:$D$1349,'Media&amp;EdByNonpublic'!$B167,'Media&amp;EdByAEA,Dist,Nonpublic'!$E$3:$E$1349,'Media&amp;EdByNonpublic'!$C167)</f>
        <v>8706.4600000000009</v>
      </c>
    </row>
    <row r="168" spans="1:5" x14ac:dyDescent="0.25">
      <c r="A168" s="81" t="s">
        <v>1196</v>
      </c>
      <c r="B168" s="82">
        <v>5486</v>
      </c>
      <c r="C168" s="82">
        <v>8103</v>
      </c>
      <c r="D168" s="35">
        <f>SUMIFS('Media&amp;EdByAEA,Dist,Nonpublic'!$L$3:$L$1349,'Media&amp;EdByAEA,Dist,Nonpublic'!$D$3:$D$1349,'Media&amp;EdByNonpublic'!$B168,'Media&amp;EdByAEA,Dist,Nonpublic'!$E$3:$E$1349,'Media&amp;EdByNonpublic'!$C168)</f>
        <v>6919.0199999999995</v>
      </c>
      <c r="E168" s="35">
        <f>SUMIFS('Media&amp;EdByAEA,Dist,Nonpublic'!$M$3:$M$1349,'Media&amp;EdByAEA,Dist,Nonpublic'!$D$3:$D$1349,'Media&amp;EdByNonpublic'!$B168,'Media&amp;EdByAEA,Dist,Nonpublic'!$E$3:$E$1349,'Media&amp;EdByNonpublic'!$C168)</f>
        <v>7744.43</v>
      </c>
    </row>
    <row r="169" spans="1:5" x14ac:dyDescent="0.25">
      <c r="A169" s="81" t="s">
        <v>950</v>
      </c>
      <c r="B169" s="82">
        <v>6950</v>
      </c>
      <c r="C169" s="82">
        <v>8104</v>
      </c>
      <c r="D169" s="35">
        <f>SUMIFS('Media&amp;EdByAEA,Dist,Nonpublic'!$L$3:$L$1349,'Media&amp;EdByAEA,Dist,Nonpublic'!$D$3:$D$1349,'Media&amp;EdByNonpublic'!$B169,'Media&amp;EdByAEA,Dist,Nonpublic'!$E$3:$E$1349,'Media&amp;EdByNonpublic'!$C169)</f>
        <v>14291.04</v>
      </c>
      <c r="E169" s="35">
        <f>SUMIFS('Media&amp;EdByAEA,Dist,Nonpublic'!$M$3:$M$1349,'Media&amp;EdByAEA,Dist,Nonpublic'!$D$3:$D$1349,'Media&amp;EdByNonpublic'!$B169,'Media&amp;EdByAEA,Dist,Nonpublic'!$E$3:$E$1349,'Media&amp;EdByNonpublic'!$C169)</f>
        <v>15916.51</v>
      </c>
    </row>
    <row r="170" spans="1:5" x14ac:dyDescent="0.25">
      <c r="A170" s="81" t="s">
        <v>799</v>
      </c>
      <c r="B170" s="82">
        <v>1053</v>
      </c>
      <c r="C170" s="82">
        <v>8109</v>
      </c>
      <c r="D170" s="35">
        <f>SUMIFS('Media&amp;EdByAEA,Dist,Nonpublic'!$L$3:$L$1349,'Media&amp;EdByAEA,Dist,Nonpublic'!$D$3:$D$1349,'Media&amp;EdByNonpublic'!$B170,'Media&amp;EdByAEA,Dist,Nonpublic'!$E$3:$E$1349,'Media&amp;EdByNonpublic'!$C170)</f>
        <v>15205.22</v>
      </c>
      <c r="E170" s="35">
        <f>SUMIFS('Media&amp;EdByAEA,Dist,Nonpublic'!$M$3:$M$1349,'Media&amp;EdByAEA,Dist,Nonpublic'!$D$3:$D$1349,'Media&amp;EdByNonpublic'!$B170,'Media&amp;EdByAEA,Dist,Nonpublic'!$E$3:$E$1349,'Media&amp;EdByNonpublic'!$C170)</f>
        <v>16721.11</v>
      </c>
    </row>
    <row r="171" spans="1:5" x14ac:dyDescent="0.25">
      <c r="A171" s="81" t="s">
        <v>768</v>
      </c>
      <c r="B171" s="80" t="s">
        <v>1</v>
      </c>
      <c r="C171" s="82">
        <v>8102</v>
      </c>
      <c r="D171" s="35">
        <f>SUMIFS('Media&amp;EdByAEA,Dist,Nonpublic'!$L$3:$L$1349,'Media&amp;EdByAEA,Dist,Nonpublic'!$D$3:$D$1349,'Media&amp;EdByNonpublic'!$B171,'Media&amp;EdByAEA,Dist,Nonpublic'!$E$3:$E$1349,'Media&amp;EdByNonpublic'!$C171)</f>
        <v>10964.45</v>
      </c>
      <c r="E171" s="35">
        <f>SUMIFS('Media&amp;EdByAEA,Dist,Nonpublic'!$M$3:$M$1349,'Media&amp;EdByAEA,Dist,Nonpublic'!$D$3:$D$1349,'Media&amp;EdByNonpublic'!$B171,'Media&amp;EdByAEA,Dist,Nonpublic'!$E$3:$E$1349,'Media&amp;EdByNonpublic'!$C171)</f>
        <v>12211.86</v>
      </c>
    </row>
    <row r="172" spans="1:5" x14ac:dyDescent="0.25">
      <c r="A172" s="81" t="s">
        <v>768</v>
      </c>
      <c r="B172" s="82">
        <v>5184</v>
      </c>
      <c r="C172" s="82">
        <v>8102</v>
      </c>
      <c r="D172" s="35">
        <f>SUMIFS('Media&amp;EdByAEA,Dist,Nonpublic'!$L$3:$L$1349,'Media&amp;EdByAEA,Dist,Nonpublic'!$D$3:$D$1349,'Media&amp;EdByNonpublic'!$B172,'Media&amp;EdByAEA,Dist,Nonpublic'!$E$3:$E$1349,'Media&amp;EdByNonpublic'!$C172)</f>
        <v>6292.19</v>
      </c>
      <c r="E172" s="35">
        <f>SUMIFS('Media&amp;EdByAEA,Dist,Nonpublic'!$M$3:$M$1349,'Media&amp;EdByAEA,Dist,Nonpublic'!$D$3:$D$1349,'Media&amp;EdByNonpublic'!$B172,'Media&amp;EdByAEA,Dist,Nonpublic'!$E$3:$E$1349,'Media&amp;EdByNonpublic'!$C172)</f>
        <v>6918.24</v>
      </c>
    </row>
    <row r="173" spans="1:5" x14ac:dyDescent="0.25">
      <c r="A173" s="81" t="s">
        <v>768</v>
      </c>
      <c r="B173" s="82">
        <v>1044</v>
      </c>
      <c r="C173" s="82">
        <v>8113</v>
      </c>
      <c r="D173" s="35">
        <f>SUMIFS('Media&amp;EdByAEA,Dist,Nonpublic'!$L$3:$L$1349,'Media&amp;EdByAEA,Dist,Nonpublic'!$D$3:$D$1349,'Media&amp;EdByNonpublic'!$B173,'Media&amp;EdByAEA,Dist,Nonpublic'!$E$3:$E$1349,'Media&amp;EdByNonpublic'!$C173)</f>
        <v>12796.78</v>
      </c>
      <c r="E173" s="35">
        <f>SUMIFS('Media&amp;EdByAEA,Dist,Nonpublic'!$M$3:$M$1349,'Media&amp;EdByAEA,Dist,Nonpublic'!$D$3:$D$1349,'Media&amp;EdByNonpublic'!$B173,'Media&amp;EdByAEA,Dist,Nonpublic'!$E$3:$E$1349,'Media&amp;EdByNonpublic'!$C173)</f>
        <v>14264.9</v>
      </c>
    </row>
    <row r="174" spans="1:5" x14ac:dyDescent="0.25">
      <c r="A174" s="81" t="s">
        <v>916</v>
      </c>
      <c r="B174" s="82">
        <v>5949</v>
      </c>
      <c r="C174" s="82">
        <v>8101</v>
      </c>
      <c r="D174" s="35">
        <f>SUMIFS('Media&amp;EdByAEA,Dist,Nonpublic'!$L$3:$L$1349,'Media&amp;EdByAEA,Dist,Nonpublic'!$D$3:$D$1349,'Media&amp;EdByNonpublic'!$B174,'Media&amp;EdByAEA,Dist,Nonpublic'!$E$3:$E$1349,'Media&amp;EdByNonpublic'!$C174)</f>
        <v>2545.6100000000006</v>
      </c>
      <c r="E174" s="35">
        <f>SUMIFS('Media&amp;EdByAEA,Dist,Nonpublic'!$M$3:$M$1349,'Media&amp;EdByAEA,Dist,Nonpublic'!$D$3:$D$1349,'Media&amp;EdByNonpublic'!$B174,'Media&amp;EdByAEA,Dist,Nonpublic'!$E$3:$E$1349,'Media&amp;EdByNonpublic'!$C174)</f>
        <v>2849.24</v>
      </c>
    </row>
    <row r="175" spans="1:5" x14ac:dyDescent="0.25">
      <c r="A175" s="81" t="s">
        <v>855</v>
      </c>
      <c r="B175" s="82">
        <v>2313</v>
      </c>
      <c r="C175" s="82">
        <v>8206</v>
      </c>
      <c r="D175" s="35">
        <f>SUMIFS('Media&amp;EdByAEA,Dist,Nonpublic'!$L$3:$L$1349,'Media&amp;EdByAEA,Dist,Nonpublic'!$D$3:$D$1349,'Media&amp;EdByNonpublic'!$B175,'Media&amp;EdByAEA,Dist,Nonpublic'!$E$3:$E$1349,'Media&amp;EdByNonpublic'!$C175)</f>
        <v>6337.98</v>
      </c>
      <c r="E175" s="35">
        <f>SUMIFS('Media&amp;EdByAEA,Dist,Nonpublic'!$M$3:$M$1349,'Media&amp;EdByAEA,Dist,Nonpublic'!$D$3:$D$1349,'Media&amp;EdByNonpublic'!$B175,'Media&amp;EdByAEA,Dist,Nonpublic'!$E$3:$E$1349,'Media&amp;EdByNonpublic'!$C175)</f>
        <v>7096.079999999999</v>
      </c>
    </row>
    <row r="176" spans="1:5" x14ac:dyDescent="0.25">
      <c r="A176" s="81" t="s">
        <v>820</v>
      </c>
      <c r="B176" s="82">
        <v>1611</v>
      </c>
      <c r="C176" s="82">
        <v>8109</v>
      </c>
      <c r="D176" s="35">
        <f>SUMIFS('Media&amp;EdByAEA,Dist,Nonpublic'!$L$3:$L$1349,'Media&amp;EdByAEA,Dist,Nonpublic'!$D$3:$D$1349,'Media&amp;EdByNonpublic'!$B176,'Media&amp;EdByAEA,Dist,Nonpublic'!$E$3:$E$1349,'Media&amp;EdByNonpublic'!$C176)</f>
        <v>26309.039999999997</v>
      </c>
      <c r="E176" s="35">
        <f>SUMIFS('Media&amp;EdByAEA,Dist,Nonpublic'!$M$3:$M$1349,'Media&amp;EdByAEA,Dist,Nonpublic'!$D$3:$D$1349,'Media&amp;EdByNonpublic'!$B176,'Media&amp;EdByAEA,Dist,Nonpublic'!$E$3:$E$1349,'Media&amp;EdByNonpublic'!$C176)</f>
        <v>28769.59</v>
      </c>
    </row>
    <row r="177" spans="1:5" x14ac:dyDescent="0.25">
      <c r="A177" s="81" t="s">
        <v>792</v>
      </c>
      <c r="B177" s="80" t="s">
        <v>69</v>
      </c>
      <c r="C177" s="82">
        <v>8201</v>
      </c>
      <c r="D177" s="35">
        <f>SUMIFS('Media&amp;EdByAEA,Dist,Nonpublic'!$L$3:$L$1349,'Media&amp;EdByAEA,Dist,Nonpublic'!$D$3:$D$1349,'Media&amp;EdByNonpublic'!$B177,'Media&amp;EdByAEA,Dist,Nonpublic'!$E$3:$E$1349,'Media&amp;EdByNonpublic'!$C177)</f>
        <v>2676.83</v>
      </c>
      <c r="E177" s="35">
        <f>SUMIFS('Media&amp;EdByAEA,Dist,Nonpublic'!$M$3:$M$1349,'Media&amp;EdByAEA,Dist,Nonpublic'!$D$3:$D$1349,'Media&amp;EdByNonpublic'!$B177,'Media&amp;EdByAEA,Dist,Nonpublic'!$E$3:$E$1349,'Media&amp;EdByNonpublic'!$C177)</f>
        <v>2984.31</v>
      </c>
    </row>
    <row r="178" spans="1:5" x14ac:dyDescent="0.25">
      <c r="A178" s="81" t="s">
        <v>792</v>
      </c>
      <c r="B178" s="82">
        <v>6840</v>
      </c>
      <c r="C178" s="82">
        <v>8207</v>
      </c>
      <c r="D178" s="35">
        <f>SUMIFS('Media&amp;EdByAEA,Dist,Nonpublic'!$L$3:$L$1349,'Media&amp;EdByAEA,Dist,Nonpublic'!$D$3:$D$1349,'Media&amp;EdByNonpublic'!$B178,'Media&amp;EdByAEA,Dist,Nonpublic'!$E$3:$E$1349,'Media&amp;EdByNonpublic'!$C178)</f>
        <v>12013.29</v>
      </c>
      <c r="E178" s="35">
        <f>SUMIFS('Media&amp;EdByAEA,Dist,Nonpublic'!$M$3:$M$1349,'Media&amp;EdByAEA,Dist,Nonpublic'!$D$3:$D$1349,'Media&amp;EdByNonpublic'!$B178,'Media&amp;EdByAEA,Dist,Nonpublic'!$E$3:$E$1349,'Media&amp;EdByNonpublic'!$C178)</f>
        <v>13392.240000000002</v>
      </c>
    </row>
    <row r="179" spans="1:5" x14ac:dyDescent="0.25">
      <c r="A179" s="81" t="s">
        <v>792</v>
      </c>
      <c r="B179" s="82">
        <v>6039</v>
      </c>
      <c r="C179" s="82">
        <v>8217</v>
      </c>
      <c r="D179" s="35">
        <f>SUMIFS('Media&amp;EdByAEA,Dist,Nonpublic'!$L$3:$L$1349,'Media&amp;EdByAEA,Dist,Nonpublic'!$D$3:$D$1349,'Media&amp;EdByNonpublic'!$B179,'Media&amp;EdByAEA,Dist,Nonpublic'!$E$3:$E$1349,'Media&amp;EdByNonpublic'!$C179)</f>
        <v>1697.01</v>
      </c>
      <c r="E179" s="35">
        <f>SUMIFS('Media&amp;EdByAEA,Dist,Nonpublic'!$M$3:$M$1349,'Media&amp;EdByAEA,Dist,Nonpublic'!$D$3:$D$1349,'Media&amp;EdByNonpublic'!$B179,'Media&amp;EdByAEA,Dist,Nonpublic'!$E$3:$E$1349,'Media&amp;EdByNonpublic'!$C179)</f>
        <v>1899.56</v>
      </c>
    </row>
    <row r="180" spans="1:5" x14ac:dyDescent="0.25">
      <c r="A180" s="81" t="s">
        <v>933</v>
      </c>
      <c r="B180" s="82">
        <v>6579</v>
      </c>
      <c r="C180" s="82">
        <v>8112</v>
      </c>
      <c r="D180" s="35">
        <f>SUMIFS('Media&amp;EdByAEA,Dist,Nonpublic'!$L$3:$L$1349,'Media&amp;EdByAEA,Dist,Nonpublic'!$D$3:$D$1349,'Media&amp;EdByNonpublic'!$B180,'Media&amp;EdByAEA,Dist,Nonpublic'!$E$3:$E$1349,'Media&amp;EdByNonpublic'!$C180)</f>
        <v>23933.38</v>
      </c>
      <c r="E180" s="35">
        <f>SUMIFS('Media&amp;EdByAEA,Dist,Nonpublic'!$M$3:$M$1349,'Media&amp;EdByAEA,Dist,Nonpublic'!$D$3:$D$1349,'Media&amp;EdByNonpublic'!$B180,'Media&amp;EdByAEA,Dist,Nonpublic'!$E$3:$E$1349,'Media&amp;EdByNonpublic'!$C180)</f>
        <v>26302.5</v>
      </c>
    </row>
    <row r="181" spans="1:5" x14ac:dyDescent="0.25">
      <c r="A181" s="81" t="s">
        <v>800</v>
      </c>
      <c r="B181" s="82">
        <v>1053</v>
      </c>
      <c r="C181" s="82">
        <v>8116</v>
      </c>
      <c r="D181" s="35">
        <f>SUMIFS('Media&amp;EdByAEA,Dist,Nonpublic'!$L$3:$L$1349,'Media&amp;EdByAEA,Dist,Nonpublic'!$D$3:$D$1349,'Media&amp;EdByNonpublic'!$B181,'Media&amp;EdByAEA,Dist,Nonpublic'!$E$3:$E$1349,'Media&amp;EdByNonpublic'!$C181)</f>
        <v>23198.05</v>
      </c>
      <c r="E181" s="35">
        <f>SUMIFS('Media&amp;EdByAEA,Dist,Nonpublic'!$M$3:$M$1349,'Media&amp;EdByAEA,Dist,Nonpublic'!$D$3:$D$1349,'Media&amp;EdByNonpublic'!$B181,'Media&amp;EdByAEA,Dist,Nonpublic'!$E$3:$E$1349,'Media&amp;EdByNonpublic'!$C181)</f>
        <v>25511.41</v>
      </c>
    </row>
    <row r="182" spans="1:5" x14ac:dyDescent="0.25">
      <c r="A182" s="81" t="s">
        <v>824</v>
      </c>
      <c r="B182" s="82">
        <v>1701</v>
      </c>
      <c r="C182" s="82">
        <v>8102</v>
      </c>
      <c r="D182" s="35">
        <f>SUMIFS('Media&amp;EdByAEA,Dist,Nonpublic'!$L$3:$L$1349,'Media&amp;EdByAEA,Dist,Nonpublic'!$D$3:$D$1349,'Media&amp;EdByNonpublic'!$B182,'Media&amp;EdByAEA,Dist,Nonpublic'!$E$3:$E$1349,'Media&amp;EdByNonpublic'!$C182)</f>
        <v>6069.46</v>
      </c>
      <c r="E182" s="35">
        <f>SUMIFS('Media&amp;EdByAEA,Dist,Nonpublic'!$M$3:$M$1349,'Media&amp;EdByAEA,Dist,Nonpublic'!$D$3:$D$1349,'Media&amp;EdByNonpublic'!$B182,'Media&amp;EdByAEA,Dist,Nonpublic'!$E$3:$E$1349,'Media&amp;EdByNonpublic'!$C182)</f>
        <v>6791.71</v>
      </c>
    </row>
    <row r="183" spans="1:5" x14ac:dyDescent="0.25">
      <c r="A183" s="81" t="s">
        <v>928</v>
      </c>
      <c r="B183" s="82">
        <v>6100</v>
      </c>
      <c r="C183" s="82">
        <v>8105</v>
      </c>
      <c r="D183" s="35">
        <f>SUMIFS('Media&amp;EdByAEA,Dist,Nonpublic'!$L$3:$L$1349,'Media&amp;EdByAEA,Dist,Nonpublic'!$D$3:$D$1349,'Media&amp;EdByNonpublic'!$B183,'Media&amp;EdByAEA,Dist,Nonpublic'!$E$3:$E$1349,'Media&amp;EdByNonpublic'!$C183)</f>
        <v>8680.41</v>
      </c>
      <c r="E183" s="35">
        <f>SUMIFS('Media&amp;EdByAEA,Dist,Nonpublic'!$M$3:$M$1349,'Media&amp;EdByAEA,Dist,Nonpublic'!$D$3:$D$1349,'Media&amp;EdByNonpublic'!$B183,'Media&amp;EdByAEA,Dist,Nonpublic'!$E$3:$E$1349,'Media&amp;EdByNonpublic'!$C183)</f>
        <v>9667.0800000000017</v>
      </c>
    </row>
    <row r="184" spans="1:5" x14ac:dyDescent="0.25">
      <c r="A184" s="81" t="s">
        <v>927</v>
      </c>
      <c r="B184" s="82">
        <v>6100</v>
      </c>
      <c r="C184" s="82">
        <v>8101</v>
      </c>
      <c r="D184" s="35">
        <f>SUMIFS('Media&amp;EdByAEA,Dist,Nonpublic'!$L$3:$L$1349,'Media&amp;EdByAEA,Dist,Nonpublic'!$D$3:$D$1349,'Media&amp;EdByNonpublic'!$B184,'Media&amp;EdByAEA,Dist,Nonpublic'!$E$3:$E$1349,'Media&amp;EdByNonpublic'!$C184)</f>
        <v>2741.17</v>
      </c>
      <c r="E184" s="35">
        <f>SUMIFS('Media&amp;EdByAEA,Dist,Nonpublic'!$M$3:$M$1349,'Media&amp;EdByAEA,Dist,Nonpublic'!$D$3:$D$1349,'Media&amp;EdByNonpublic'!$B184,'Media&amp;EdByAEA,Dist,Nonpublic'!$E$3:$E$1349,'Media&amp;EdByNonpublic'!$C184)</f>
        <v>3052.84</v>
      </c>
    </row>
    <row r="185" spans="1:5" x14ac:dyDescent="0.25">
      <c r="A185" s="81" t="s">
        <v>833</v>
      </c>
      <c r="B185" s="82">
        <v>1737</v>
      </c>
      <c r="C185" s="82">
        <v>8113</v>
      </c>
      <c r="D185" s="35">
        <f>SUMIFS('Media&amp;EdByAEA,Dist,Nonpublic'!$L$3:$L$1349,'Media&amp;EdByAEA,Dist,Nonpublic'!$D$3:$D$1349,'Media&amp;EdByNonpublic'!$B185,'Media&amp;EdByAEA,Dist,Nonpublic'!$E$3:$E$1349,'Media&amp;EdByNonpublic'!$C185)</f>
        <v>16993.29</v>
      </c>
      <c r="E185" s="35">
        <f>SUMIFS('Media&amp;EdByAEA,Dist,Nonpublic'!$M$3:$M$1349,'Media&amp;EdByAEA,Dist,Nonpublic'!$D$3:$D$1349,'Media&amp;EdByNonpublic'!$B185,'Media&amp;EdByAEA,Dist,Nonpublic'!$E$3:$E$1349,'Media&amp;EdByNonpublic'!$C185)</f>
        <v>18675.38</v>
      </c>
    </row>
    <row r="186" spans="1:5" x14ac:dyDescent="0.25">
      <c r="A186" s="81" t="s">
        <v>948</v>
      </c>
      <c r="B186" s="82">
        <v>6867</v>
      </c>
      <c r="C186" s="82">
        <v>8102</v>
      </c>
      <c r="D186" s="35">
        <f>SUMIFS('Media&amp;EdByAEA,Dist,Nonpublic'!$L$3:$L$1349,'Media&amp;EdByAEA,Dist,Nonpublic'!$D$3:$D$1349,'Media&amp;EdByNonpublic'!$B186,'Media&amp;EdByAEA,Dist,Nonpublic'!$E$3:$E$1349,'Media&amp;EdByNonpublic'!$C186)</f>
        <v>5292.86</v>
      </c>
      <c r="E186" s="35">
        <f>SUMIFS('Media&amp;EdByAEA,Dist,Nonpublic'!$M$3:$M$1349,'Media&amp;EdByAEA,Dist,Nonpublic'!$D$3:$D$1349,'Media&amp;EdByNonpublic'!$B186,'Media&amp;EdByAEA,Dist,Nonpublic'!$E$3:$E$1349,'Media&amp;EdByNonpublic'!$C186)</f>
        <v>5925.14</v>
      </c>
    </row>
    <row r="187" spans="1:5" x14ac:dyDescent="0.25">
      <c r="A187" s="81" t="s">
        <v>931</v>
      </c>
      <c r="B187" s="82">
        <v>6219</v>
      </c>
      <c r="C187" s="82">
        <v>8102</v>
      </c>
      <c r="D187" s="35">
        <f>SUMIFS('Media&amp;EdByAEA,Dist,Nonpublic'!$L$3:$L$1349,'Media&amp;EdByAEA,Dist,Nonpublic'!$D$3:$D$1349,'Media&amp;EdByNonpublic'!$B187,'Media&amp;EdByAEA,Dist,Nonpublic'!$E$3:$E$1349,'Media&amp;EdByNonpublic'!$C187)</f>
        <v>9343.3700000000008</v>
      </c>
      <c r="E187" s="35">
        <f>SUMIFS('Media&amp;EdByAEA,Dist,Nonpublic'!$M$3:$M$1349,'Media&amp;EdByAEA,Dist,Nonpublic'!$D$3:$D$1349,'Media&amp;EdByNonpublic'!$B187,'Media&amp;EdByAEA,Dist,Nonpublic'!$E$3:$E$1349,'Media&amp;EdByNonpublic'!$C187)</f>
        <v>10462.32</v>
      </c>
    </row>
    <row r="188" spans="1:5" x14ac:dyDescent="0.25">
      <c r="A188" s="81" t="s">
        <v>771</v>
      </c>
      <c r="B188" s="80" t="s">
        <v>142</v>
      </c>
      <c r="C188" s="82">
        <v>8102</v>
      </c>
      <c r="D188" s="35">
        <f>SUMIFS('Media&amp;EdByAEA,Dist,Nonpublic'!$L$3:$L$1349,'Media&amp;EdByAEA,Dist,Nonpublic'!$D$3:$D$1349,'Media&amp;EdByNonpublic'!$B188,'Media&amp;EdByAEA,Dist,Nonpublic'!$E$3:$E$1349,'Media&amp;EdByNonpublic'!$C188)</f>
        <v>3574.26</v>
      </c>
      <c r="E188" s="35">
        <f>SUMIFS('Media&amp;EdByAEA,Dist,Nonpublic'!$M$3:$M$1349,'Media&amp;EdByAEA,Dist,Nonpublic'!$D$3:$D$1349,'Media&amp;EdByNonpublic'!$B188,'Media&amp;EdByAEA,Dist,Nonpublic'!$E$3:$E$1349,'Media&amp;EdByNonpublic'!$C188)</f>
        <v>3929.79</v>
      </c>
    </row>
    <row r="189" spans="1:5" x14ac:dyDescent="0.25">
      <c r="A189" s="81" t="s">
        <v>866</v>
      </c>
      <c r="B189" s="82">
        <v>3114</v>
      </c>
      <c r="C189" s="82">
        <v>8102</v>
      </c>
      <c r="D189" s="35">
        <f>SUMIFS('Media&amp;EdByAEA,Dist,Nonpublic'!$L$3:$L$1349,'Media&amp;EdByAEA,Dist,Nonpublic'!$D$3:$D$1349,'Media&amp;EdByNonpublic'!$B189,'Media&amp;EdByAEA,Dist,Nonpublic'!$E$3:$E$1349,'Media&amp;EdByNonpublic'!$C189)</f>
        <v>10185.02</v>
      </c>
      <c r="E189" s="35">
        <f>SUMIFS('Media&amp;EdByAEA,Dist,Nonpublic'!$M$3:$M$1349,'Media&amp;EdByAEA,Dist,Nonpublic'!$D$3:$D$1349,'Media&amp;EdByNonpublic'!$B189,'Media&amp;EdByAEA,Dist,Nonpublic'!$E$3:$E$1349,'Media&amp;EdByNonpublic'!$C189)</f>
        <v>11196.610000000002</v>
      </c>
    </row>
    <row r="190" spans="1:5" x14ac:dyDescent="0.25">
      <c r="A190" s="81" t="s">
        <v>886</v>
      </c>
      <c r="B190" s="82">
        <v>3906</v>
      </c>
      <c r="C190" s="82">
        <v>8303</v>
      </c>
      <c r="D190" s="35">
        <f>SUMIFS('Media&amp;EdByAEA,Dist,Nonpublic'!$L$3:$L$1349,'Media&amp;EdByAEA,Dist,Nonpublic'!$D$3:$D$1349,'Media&amp;EdByNonpublic'!$B190,'Media&amp;EdByAEA,Dist,Nonpublic'!$E$3:$E$1349,'Media&amp;EdByNonpublic'!$C190)</f>
        <v>3050.49</v>
      </c>
      <c r="E190" s="35">
        <f>SUMIFS('Media&amp;EdByAEA,Dist,Nonpublic'!$M$3:$M$1349,'Media&amp;EdByAEA,Dist,Nonpublic'!$D$3:$D$1349,'Media&amp;EdByNonpublic'!$B190,'Media&amp;EdByAEA,Dist,Nonpublic'!$E$3:$E$1349,'Media&amp;EdByNonpublic'!$C190)</f>
        <v>3357.84</v>
      </c>
    </row>
    <row r="191" spans="1:5" x14ac:dyDescent="0.25">
      <c r="A191" s="81" t="s">
        <v>802</v>
      </c>
      <c r="B191" s="82">
        <v>1053</v>
      </c>
      <c r="C191" s="82">
        <v>8200</v>
      </c>
      <c r="D191" s="35">
        <f>SUMIFS('Media&amp;EdByAEA,Dist,Nonpublic'!$L$3:$L$1349,'Media&amp;EdByAEA,Dist,Nonpublic'!$D$3:$D$1349,'Media&amp;EdByNonpublic'!$B191,'Media&amp;EdByAEA,Dist,Nonpublic'!$E$3:$E$1349,'Media&amp;EdByNonpublic'!$C191)</f>
        <v>7277.83</v>
      </c>
      <c r="E191" s="35">
        <f>SUMIFS('Media&amp;EdByAEA,Dist,Nonpublic'!$M$3:$M$1349,'Media&amp;EdByAEA,Dist,Nonpublic'!$D$3:$D$1349,'Media&amp;EdByNonpublic'!$B191,'Media&amp;EdByAEA,Dist,Nonpublic'!$E$3:$E$1349,'Media&amp;EdByNonpublic'!$C191)</f>
        <v>8003.61</v>
      </c>
    </row>
    <row r="192" spans="1:5" x14ac:dyDescent="0.25">
      <c r="A192" s="81" t="s">
        <v>874</v>
      </c>
      <c r="B192" s="82">
        <v>3141</v>
      </c>
      <c r="C192" s="82">
        <v>8165</v>
      </c>
      <c r="D192" s="35">
        <f>SUMIFS('Media&amp;EdByAEA,Dist,Nonpublic'!$L$3:$L$1349,'Media&amp;EdByAEA,Dist,Nonpublic'!$D$3:$D$1349,'Media&amp;EdByNonpublic'!$B192,'Media&amp;EdByAEA,Dist,Nonpublic'!$E$3:$E$1349,'Media&amp;EdByNonpublic'!$C192)</f>
        <v>2209.3000000000002</v>
      </c>
      <c r="E192" s="35">
        <f>SUMIFS('Media&amp;EdByAEA,Dist,Nonpublic'!$M$3:$M$1349,'Media&amp;EdByAEA,Dist,Nonpublic'!$D$3:$D$1349,'Media&amp;EdByNonpublic'!$B192,'Media&amp;EdByAEA,Dist,Nonpublic'!$E$3:$E$1349,'Media&amp;EdByNonpublic'!$C192)</f>
        <v>2429.6200000000003</v>
      </c>
    </row>
    <row r="193" spans="1:5" x14ac:dyDescent="0.25">
      <c r="A193" s="81" t="s">
        <v>814</v>
      </c>
      <c r="B193" s="82">
        <v>1278</v>
      </c>
      <c r="C193" s="82">
        <v>8130</v>
      </c>
      <c r="D193" s="35">
        <f>SUMIFS('Media&amp;EdByAEA,Dist,Nonpublic'!$L$3:$L$1349,'Media&amp;EdByAEA,Dist,Nonpublic'!$D$3:$D$1349,'Media&amp;EdByNonpublic'!$B193,'Media&amp;EdByAEA,Dist,Nonpublic'!$E$3:$E$1349,'Media&amp;EdByNonpublic'!$C193)</f>
        <v>129.84</v>
      </c>
      <c r="E193" s="35">
        <f>SUMIFS('Media&amp;EdByAEA,Dist,Nonpublic'!$M$3:$M$1349,'Media&amp;EdByAEA,Dist,Nonpublic'!$D$3:$D$1349,'Media&amp;EdByNonpublic'!$B193,'Media&amp;EdByAEA,Dist,Nonpublic'!$E$3:$E$1349,'Media&amp;EdByNonpublic'!$C193)</f>
        <v>142.74</v>
      </c>
    </row>
    <row r="194" spans="1:5" x14ac:dyDescent="0.25">
      <c r="A194" s="81" t="s">
        <v>765</v>
      </c>
      <c r="B194" s="80" t="s">
        <v>61</v>
      </c>
      <c r="C194" s="82">
        <v>8302</v>
      </c>
      <c r="D194" s="35">
        <f>SUMIFS('Media&amp;EdByAEA,Dist,Nonpublic'!$L$3:$L$1349,'Media&amp;EdByAEA,Dist,Nonpublic'!$D$3:$D$1349,'Media&amp;EdByNonpublic'!$B194,'Media&amp;EdByAEA,Dist,Nonpublic'!$E$3:$E$1349,'Media&amp;EdByNonpublic'!$C194)</f>
        <v>4179.08</v>
      </c>
      <c r="E194" s="35">
        <f>SUMIFS('Media&amp;EdByAEA,Dist,Nonpublic'!$M$3:$M$1349,'Media&amp;EdByAEA,Dist,Nonpublic'!$D$3:$D$1349,'Media&amp;EdByNonpublic'!$B194,'Media&amp;EdByAEA,Dist,Nonpublic'!$E$3:$E$1349,'Media&amp;EdByNonpublic'!$C194)</f>
        <v>4658.59</v>
      </c>
    </row>
    <row r="195" spans="1:5" x14ac:dyDescent="0.25">
      <c r="A195" s="81" t="s">
        <v>932</v>
      </c>
      <c r="B195" s="82">
        <v>6509</v>
      </c>
      <c r="C195" s="82">
        <v>8109</v>
      </c>
      <c r="D195" s="35">
        <f>SUMIFS('Media&amp;EdByAEA,Dist,Nonpublic'!$L$3:$L$1349,'Media&amp;EdByAEA,Dist,Nonpublic'!$D$3:$D$1349,'Media&amp;EdByNonpublic'!$B195,'Media&amp;EdByAEA,Dist,Nonpublic'!$E$3:$E$1349,'Media&amp;EdByNonpublic'!$C195)</f>
        <v>3524.0099999999998</v>
      </c>
      <c r="E195" s="35">
        <f>SUMIFS('Media&amp;EdByAEA,Dist,Nonpublic'!$M$3:$M$1349,'Media&amp;EdByAEA,Dist,Nonpublic'!$D$3:$D$1349,'Media&amp;EdByNonpublic'!$B195,'Media&amp;EdByAEA,Dist,Nonpublic'!$E$3:$E$1349,'Media&amp;EdByNonpublic'!$C195)</f>
        <v>3925.04</v>
      </c>
    </row>
    <row r="196" spans="1:5" x14ac:dyDescent="0.25">
      <c r="A196" s="81" t="s">
        <v>785</v>
      </c>
      <c r="B196" s="80" t="s">
        <v>232</v>
      </c>
      <c r="C196" s="82">
        <v>8109</v>
      </c>
      <c r="D196" s="35">
        <f>SUMIFS('Media&amp;EdByAEA,Dist,Nonpublic'!$L$3:$L$1349,'Media&amp;EdByAEA,Dist,Nonpublic'!$D$3:$D$1349,'Media&amp;EdByNonpublic'!$B196,'Media&amp;EdByAEA,Dist,Nonpublic'!$E$3:$E$1349,'Media&amp;EdByNonpublic'!$C196)</f>
        <v>4177.3700000000008</v>
      </c>
      <c r="E196" s="35">
        <f>SUMIFS('Media&amp;EdByAEA,Dist,Nonpublic'!$M$3:$M$1349,'Media&amp;EdByAEA,Dist,Nonpublic'!$D$3:$D$1349,'Media&amp;EdByNonpublic'!$B196,'Media&amp;EdByAEA,Dist,Nonpublic'!$E$3:$E$1349,'Media&amp;EdByNonpublic'!$C196)</f>
        <v>4675.83</v>
      </c>
    </row>
    <row r="197" spans="1:5" x14ac:dyDescent="0.25">
      <c r="A197" s="81" t="s">
        <v>784</v>
      </c>
      <c r="B197" s="80" t="s">
        <v>183</v>
      </c>
      <c r="C197" s="82">
        <v>8204</v>
      </c>
      <c r="D197" s="35">
        <f>SUMIFS('Media&amp;EdByAEA,Dist,Nonpublic'!$L$3:$L$1349,'Media&amp;EdByAEA,Dist,Nonpublic'!$D$3:$D$1349,'Media&amp;EdByNonpublic'!$B197,'Media&amp;EdByAEA,Dist,Nonpublic'!$E$3:$E$1349,'Media&amp;EdByNonpublic'!$C197)</f>
        <v>7849.1</v>
      </c>
      <c r="E197" s="35">
        <f>SUMIFS('Media&amp;EdByAEA,Dist,Nonpublic'!$M$3:$M$1349,'Media&amp;EdByAEA,Dist,Nonpublic'!$D$3:$D$1349,'Media&amp;EdByNonpublic'!$B197,'Media&amp;EdByAEA,Dist,Nonpublic'!$E$3:$E$1349,'Media&amp;EdByNonpublic'!$C197)</f>
        <v>8628.59</v>
      </c>
    </row>
    <row r="198" spans="1:5" x14ac:dyDescent="0.25">
      <c r="A198" s="81" t="s">
        <v>784</v>
      </c>
      <c r="B198" s="82">
        <v>1611</v>
      </c>
      <c r="C198" s="82">
        <v>8212</v>
      </c>
      <c r="D198" s="35">
        <f>SUMIFS('Media&amp;EdByAEA,Dist,Nonpublic'!$L$3:$L$1349,'Media&amp;EdByAEA,Dist,Nonpublic'!$D$3:$D$1349,'Media&amp;EdByNonpublic'!$B198,'Media&amp;EdByAEA,Dist,Nonpublic'!$E$3:$E$1349,'Media&amp;EdByNonpublic'!$C198)</f>
        <v>24106.04</v>
      </c>
      <c r="E198" s="35">
        <f>SUMIFS('Media&amp;EdByAEA,Dist,Nonpublic'!$M$3:$M$1349,'Media&amp;EdByAEA,Dist,Nonpublic'!$D$3:$D$1349,'Media&amp;EdByNonpublic'!$B198,'Media&amp;EdByAEA,Dist,Nonpublic'!$E$3:$E$1349,'Media&amp;EdByNonpublic'!$C198)</f>
        <v>26360.82</v>
      </c>
    </row>
    <row r="199" spans="1:5" x14ac:dyDescent="0.25">
      <c r="A199" s="81" t="s">
        <v>784</v>
      </c>
      <c r="B199" s="82">
        <v>1053</v>
      </c>
      <c r="C199" s="82">
        <v>8214</v>
      </c>
      <c r="D199" s="35">
        <f>SUMIFS('Media&amp;EdByAEA,Dist,Nonpublic'!$L$3:$L$1349,'Media&amp;EdByAEA,Dist,Nonpublic'!$D$3:$D$1349,'Media&amp;EdByNonpublic'!$B199,'Media&amp;EdByAEA,Dist,Nonpublic'!$E$3:$E$1349,'Media&amp;EdByNonpublic'!$C199)</f>
        <v>12411.25</v>
      </c>
      <c r="E199" s="35">
        <f>SUMIFS('Media&amp;EdByAEA,Dist,Nonpublic'!$M$3:$M$1349,'Media&amp;EdByAEA,Dist,Nonpublic'!$D$3:$D$1349,'Media&amp;EdByNonpublic'!$B199,'Media&amp;EdByAEA,Dist,Nonpublic'!$E$3:$E$1349,'Media&amp;EdByNonpublic'!$C199)</f>
        <v>13648.839999999998</v>
      </c>
    </row>
    <row r="200" spans="1:5" x14ac:dyDescent="0.25">
      <c r="A200" s="81" t="s">
        <v>849</v>
      </c>
      <c r="B200" s="82">
        <v>1863</v>
      </c>
      <c r="C200" s="82">
        <v>8165</v>
      </c>
      <c r="D200" s="35">
        <f>SUMIFS('Media&amp;EdByAEA,Dist,Nonpublic'!$L$3:$L$1349,'Media&amp;EdByAEA,Dist,Nonpublic'!$D$3:$D$1349,'Media&amp;EdByNonpublic'!$B200,'Media&amp;EdByAEA,Dist,Nonpublic'!$E$3:$E$1349,'Media&amp;EdByNonpublic'!$C200)</f>
        <v>5873.4100000000008</v>
      </c>
      <c r="E200" s="35">
        <f>SUMIFS('Media&amp;EdByAEA,Dist,Nonpublic'!$M$3:$M$1349,'Media&amp;EdByAEA,Dist,Nonpublic'!$D$3:$D$1349,'Media&amp;EdByNonpublic'!$B200,'Media&amp;EdByAEA,Dist,Nonpublic'!$E$3:$E$1349,'Media&amp;EdByNonpublic'!$C200)</f>
        <v>6542.12</v>
      </c>
    </row>
    <row r="201" spans="1:5" x14ac:dyDescent="0.25">
      <c r="A201" s="81" t="s">
        <v>848</v>
      </c>
      <c r="B201" s="82">
        <v>1863</v>
      </c>
      <c r="C201" s="82">
        <v>8163</v>
      </c>
      <c r="D201" s="35">
        <f>SUMIFS('Media&amp;EdByAEA,Dist,Nonpublic'!$L$3:$L$1349,'Media&amp;EdByAEA,Dist,Nonpublic'!$D$3:$D$1349,'Media&amp;EdByNonpublic'!$B201,'Media&amp;EdByAEA,Dist,Nonpublic'!$E$3:$E$1349,'Media&amp;EdByNonpublic'!$C201)</f>
        <v>4828.8</v>
      </c>
      <c r="E201" s="35">
        <f>SUMIFS('Media&amp;EdByAEA,Dist,Nonpublic'!$M$3:$M$1349,'Media&amp;EdByAEA,Dist,Nonpublic'!$D$3:$D$1349,'Media&amp;EdByNonpublic'!$B201,'Media&amp;EdByAEA,Dist,Nonpublic'!$E$3:$E$1349,'Media&amp;EdByNonpublic'!$C201)</f>
        <v>5377.24</v>
      </c>
    </row>
    <row r="202" spans="1:5" x14ac:dyDescent="0.25">
      <c r="A202" s="81" t="s">
        <v>894</v>
      </c>
      <c r="B202" s="82">
        <v>4149</v>
      </c>
      <c r="C202" s="82">
        <v>8317</v>
      </c>
      <c r="D202" s="35">
        <f>SUMIFS('Media&amp;EdByAEA,Dist,Nonpublic'!$L$3:$L$1349,'Media&amp;EdByAEA,Dist,Nonpublic'!$D$3:$D$1349,'Media&amp;EdByNonpublic'!$B202,'Media&amp;EdByAEA,Dist,Nonpublic'!$E$3:$E$1349,'Media&amp;EdByNonpublic'!$C202)</f>
        <v>23432.18</v>
      </c>
      <c r="E202" s="35">
        <f>SUMIFS('Media&amp;EdByAEA,Dist,Nonpublic'!$M$3:$M$1349,'Media&amp;EdByAEA,Dist,Nonpublic'!$D$3:$D$1349,'Media&amp;EdByNonpublic'!$B202,'Media&amp;EdByAEA,Dist,Nonpublic'!$E$3:$E$1349,'Media&amp;EdByNonpublic'!$C202)</f>
        <v>26228.49</v>
      </c>
    </row>
    <row r="203" spans="1:5" x14ac:dyDescent="0.25">
      <c r="A203" s="81" t="s">
        <v>825</v>
      </c>
      <c r="B203" s="82">
        <v>1701</v>
      </c>
      <c r="C203" s="82">
        <v>8201</v>
      </c>
      <c r="D203" s="35">
        <f>SUMIFS('Media&amp;EdByAEA,Dist,Nonpublic'!$L$3:$L$1349,'Media&amp;EdByAEA,Dist,Nonpublic'!$D$3:$D$1349,'Media&amp;EdByNonpublic'!$B203,'Media&amp;EdByAEA,Dist,Nonpublic'!$E$3:$E$1349,'Media&amp;EdByNonpublic'!$C203)</f>
        <v>5218.01</v>
      </c>
      <c r="E203" s="35">
        <f>SUMIFS('Media&amp;EdByAEA,Dist,Nonpublic'!$M$3:$M$1349,'Media&amp;EdByAEA,Dist,Nonpublic'!$D$3:$D$1349,'Media&amp;EdByNonpublic'!$B203,'Media&amp;EdByAEA,Dist,Nonpublic'!$E$3:$E$1349,'Media&amp;EdByNonpublic'!$C203)</f>
        <v>5830.4099999999989</v>
      </c>
    </row>
    <row r="204" spans="1:5" x14ac:dyDescent="0.25">
      <c r="A204" s="81" t="s">
        <v>795</v>
      </c>
      <c r="B204" s="82">
        <v>1044</v>
      </c>
      <c r="C204" s="82">
        <v>8100</v>
      </c>
      <c r="D204" s="35">
        <f>SUMIFS('Media&amp;EdByAEA,Dist,Nonpublic'!$L$3:$L$1349,'Media&amp;EdByAEA,Dist,Nonpublic'!$D$3:$D$1349,'Media&amp;EdByNonpublic'!$B204,'Media&amp;EdByAEA,Dist,Nonpublic'!$E$3:$E$1349,'Media&amp;EdByNonpublic'!$C204)</f>
        <v>11556.78</v>
      </c>
      <c r="E204" s="35">
        <f>SUMIFS('Media&amp;EdByAEA,Dist,Nonpublic'!$M$3:$M$1349,'Media&amp;EdByAEA,Dist,Nonpublic'!$D$3:$D$1349,'Media&amp;EdByNonpublic'!$B204,'Media&amp;EdByAEA,Dist,Nonpublic'!$E$3:$E$1349,'Media&amp;EdByNonpublic'!$C204)</f>
        <v>12882.470000000001</v>
      </c>
    </row>
    <row r="205" spans="1:5" x14ac:dyDescent="0.25">
      <c r="A205" s="81" t="s">
        <v>867</v>
      </c>
      <c r="B205" s="82">
        <v>3114</v>
      </c>
      <c r="C205" s="82">
        <v>8165</v>
      </c>
      <c r="D205" s="35">
        <f>SUMIFS('Media&amp;EdByAEA,Dist,Nonpublic'!$L$3:$L$1349,'Media&amp;EdByAEA,Dist,Nonpublic'!$D$3:$D$1349,'Media&amp;EdByNonpublic'!$B205,'Media&amp;EdByAEA,Dist,Nonpublic'!$E$3:$E$1349,'Media&amp;EdByNonpublic'!$C205)</f>
        <v>1102.78</v>
      </c>
      <c r="E205" s="35">
        <f>SUMIFS('Media&amp;EdByAEA,Dist,Nonpublic'!$M$3:$M$1349,'Media&amp;EdByAEA,Dist,Nonpublic'!$D$3:$D$1349,'Media&amp;EdByNonpublic'!$B205,'Media&amp;EdByAEA,Dist,Nonpublic'!$E$3:$E$1349,'Media&amp;EdByNonpublic'!$C205)</f>
        <v>1212.53</v>
      </c>
    </row>
    <row r="206" spans="1:5" x14ac:dyDescent="0.25">
      <c r="A206" s="81" t="s">
        <v>846</v>
      </c>
      <c r="B206" s="82">
        <v>1863</v>
      </c>
      <c r="C206" s="82">
        <v>8134</v>
      </c>
      <c r="D206" s="35">
        <f>SUMIFS('Media&amp;EdByAEA,Dist,Nonpublic'!$L$3:$L$1349,'Media&amp;EdByAEA,Dist,Nonpublic'!$D$3:$D$1349,'Media&amp;EdByNonpublic'!$B206,'Media&amp;EdByAEA,Dist,Nonpublic'!$E$3:$E$1349,'Media&amp;EdByNonpublic'!$C206)</f>
        <v>27668.899999999998</v>
      </c>
      <c r="E206" s="35">
        <f>SUMIFS('Media&amp;EdByAEA,Dist,Nonpublic'!$M$3:$M$1349,'Media&amp;EdByAEA,Dist,Nonpublic'!$D$3:$D$1349,'Media&amp;EdByNonpublic'!$B206,'Media&amp;EdByAEA,Dist,Nonpublic'!$E$3:$E$1349,'Media&amp;EdByNonpublic'!$C206)</f>
        <v>30815.120000000003</v>
      </c>
    </row>
    <row r="207" spans="1:5" x14ac:dyDescent="0.25">
      <c r="A207" s="81" t="s">
        <v>944</v>
      </c>
      <c r="B207" s="82">
        <v>6795</v>
      </c>
      <c r="C207" s="82">
        <v>8501</v>
      </c>
      <c r="D207" s="35">
        <f>SUMIFS('Media&amp;EdByAEA,Dist,Nonpublic'!$L$3:$L$1349,'Media&amp;EdByAEA,Dist,Nonpublic'!$D$3:$D$1349,'Media&amp;EdByNonpublic'!$B207,'Media&amp;EdByAEA,Dist,Nonpublic'!$E$3:$E$1349,'Media&amp;EdByNonpublic'!$C207)</f>
        <v>11034.01</v>
      </c>
      <c r="E207" s="35">
        <f>SUMIFS('Media&amp;EdByAEA,Dist,Nonpublic'!$M$3:$M$1349,'Media&amp;EdByAEA,Dist,Nonpublic'!$D$3:$D$1349,'Media&amp;EdByNonpublic'!$B207,'Media&amp;EdByAEA,Dist,Nonpublic'!$E$3:$E$1349,'Media&amp;EdByNonpublic'!$C207)</f>
        <v>12299.61</v>
      </c>
    </row>
    <row r="208" spans="1:5" x14ac:dyDescent="0.25">
      <c r="A208" s="81" t="s">
        <v>946</v>
      </c>
      <c r="B208" s="82">
        <v>6795</v>
      </c>
      <c r="C208" s="82">
        <v>8503</v>
      </c>
      <c r="D208" s="35">
        <f>SUMIFS('Media&amp;EdByAEA,Dist,Nonpublic'!$L$3:$L$1349,'Media&amp;EdByAEA,Dist,Nonpublic'!$D$3:$D$1349,'Media&amp;EdByNonpublic'!$B208,'Media&amp;EdByAEA,Dist,Nonpublic'!$E$3:$E$1349,'Media&amp;EdByNonpublic'!$C208)</f>
        <v>6594.4000000000005</v>
      </c>
      <c r="E208" s="35">
        <f>SUMIFS('Media&amp;EdByAEA,Dist,Nonpublic'!$M$3:$M$1349,'Media&amp;EdByAEA,Dist,Nonpublic'!$D$3:$D$1349,'Media&amp;EdByNonpublic'!$B208,'Media&amp;EdByAEA,Dist,Nonpublic'!$E$3:$E$1349,'Media&amp;EdByNonpublic'!$C208)</f>
        <v>7350.6600000000008</v>
      </c>
    </row>
    <row r="209" spans="1:5" x14ac:dyDescent="0.25">
      <c r="A209" s="81" t="s">
        <v>945</v>
      </c>
      <c r="B209" s="82">
        <v>6795</v>
      </c>
      <c r="C209" s="82">
        <v>8502</v>
      </c>
      <c r="D209" s="35">
        <f>SUMIFS('Media&amp;EdByAEA,Dist,Nonpublic'!$L$3:$L$1349,'Media&amp;EdByAEA,Dist,Nonpublic'!$D$3:$D$1349,'Media&amp;EdByNonpublic'!$B209,'Media&amp;EdByAEA,Dist,Nonpublic'!$E$3:$E$1349,'Media&amp;EdByNonpublic'!$C209)</f>
        <v>4570.3</v>
      </c>
      <c r="E209" s="35">
        <f>SUMIFS('Media&amp;EdByAEA,Dist,Nonpublic'!$M$3:$M$1349,'Media&amp;EdByAEA,Dist,Nonpublic'!$D$3:$D$1349,'Media&amp;EdByNonpublic'!$B209,'Media&amp;EdByAEA,Dist,Nonpublic'!$E$3:$E$1349,'Media&amp;EdByNonpublic'!$C209)</f>
        <v>5094.6100000000006</v>
      </c>
    </row>
    <row r="210" spans="1:5" x14ac:dyDescent="0.25">
      <c r="A210" s="81" t="s">
        <v>788</v>
      </c>
      <c r="B210" s="80" t="s">
        <v>232</v>
      </c>
      <c r="C210" s="82">
        <v>8309</v>
      </c>
      <c r="D210" s="35">
        <f>SUMIFS('Media&amp;EdByAEA,Dist,Nonpublic'!$L$3:$L$1349,'Media&amp;EdByAEA,Dist,Nonpublic'!$D$3:$D$1349,'Media&amp;EdByNonpublic'!$B210,'Media&amp;EdByAEA,Dist,Nonpublic'!$E$3:$E$1349,'Media&amp;EdByNonpublic'!$C210)</f>
        <v>20299.27</v>
      </c>
      <c r="E210" s="35">
        <f>SUMIFS('Media&amp;EdByAEA,Dist,Nonpublic'!$M$3:$M$1349,'Media&amp;EdByAEA,Dist,Nonpublic'!$D$3:$D$1349,'Media&amp;EdByNonpublic'!$B210,'Media&amp;EdByAEA,Dist,Nonpublic'!$E$3:$E$1349,'Media&amp;EdByNonpublic'!$C210)</f>
        <v>22721.46</v>
      </c>
    </row>
    <row r="211" spans="1:5" x14ac:dyDescent="0.25">
      <c r="A211" s="81" t="s">
        <v>868</v>
      </c>
      <c r="B211" s="82">
        <v>3141</v>
      </c>
      <c r="C211" s="82">
        <v>8102</v>
      </c>
      <c r="D211" s="35">
        <f>SUMIFS('Media&amp;EdByAEA,Dist,Nonpublic'!$L$3:$L$1349,'Media&amp;EdByAEA,Dist,Nonpublic'!$D$3:$D$1349,'Media&amp;EdByNonpublic'!$B211,'Media&amp;EdByAEA,Dist,Nonpublic'!$E$3:$E$1349,'Media&amp;EdByNonpublic'!$C211)</f>
        <v>4093.72</v>
      </c>
      <c r="E211" s="35">
        <f>SUMIFS('Media&amp;EdByAEA,Dist,Nonpublic'!$M$3:$M$1349,'Media&amp;EdByAEA,Dist,Nonpublic'!$D$3:$D$1349,'Media&amp;EdByNonpublic'!$B211,'Media&amp;EdByAEA,Dist,Nonpublic'!$E$3:$E$1349,'Media&amp;EdByNonpublic'!$C211)</f>
        <v>4501.99</v>
      </c>
    </row>
    <row r="212" spans="1:5" x14ac:dyDescent="0.25">
      <c r="A212" s="81" t="s">
        <v>798</v>
      </c>
      <c r="B212" s="82">
        <v>1053</v>
      </c>
      <c r="C212" s="82">
        <v>8105</v>
      </c>
      <c r="D212" s="35">
        <f>SUMIFS('Media&amp;EdByAEA,Dist,Nonpublic'!$L$3:$L$1349,'Media&amp;EdByAEA,Dist,Nonpublic'!$D$3:$D$1349,'Media&amp;EdByNonpublic'!$B212,'Media&amp;EdByAEA,Dist,Nonpublic'!$E$3:$E$1349,'Media&amp;EdByNonpublic'!$C212)</f>
        <v>39183.619999999995</v>
      </c>
      <c r="E212" s="35">
        <f>SUMIFS('Media&amp;EdByAEA,Dist,Nonpublic'!$M$3:$M$1349,'Media&amp;EdByAEA,Dist,Nonpublic'!$D$3:$D$1349,'Media&amp;EdByNonpublic'!$B212,'Media&amp;EdByAEA,Dist,Nonpublic'!$E$3:$E$1349,'Media&amp;EdByNonpublic'!$C212)</f>
        <v>43091.930000000008</v>
      </c>
    </row>
    <row r="213" spans="1:5" x14ac:dyDescent="0.25">
      <c r="A213" s="81" t="s">
        <v>878</v>
      </c>
      <c r="B213" s="82">
        <v>3231</v>
      </c>
      <c r="C213" s="82">
        <v>8165</v>
      </c>
      <c r="D213" s="35">
        <f>SUMIFS('Media&amp;EdByAEA,Dist,Nonpublic'!$L$3:$L$1349,'Media&amp;EdByAEA,Dist,Nonpublic'!$D$3:$D$1349,'Media&amp;EdByNonpublic'!$B213,'Media&amp;EdByAEA,Dist,Nonpublic'!$E$3:$E$1349,'Media&amp;EdByNonpublic'!$C213)</f>
        <v>130.15</v>
      </c>
      <c r="E213" s="35">
        <f>SUMIFS('Media&amp;EdByAEA,Dist,Nonpublic'!$M$3:$M$1349,'Media&amp;EdByAEA,Dist,Nonpublic'!$D$3:$D$1349,'Media&amp;EdByNonpublic'!$B213,'Media&amp;EdByAEA,Dist,Nonpublic'!$E$3:$E$1349,'Media&amp;EdByNonpublic'!$C213)</f>
        <v>144.06</v>
      </c>
    </row>
    <row r="214" spans="1:5" x14ac:dyDescent="0.25">
      <c r="A214" s="81" t="s">
        <v>926</v>
      </c>
      <c r="B214" s="82">
        <v>6099</v>
      </c>
      <c r="C214" s="82">
        <v>8203</v>
      </c>
      <c r="D214" s="35">
        <f>SUMIFS('Media&amp;EdByAEA,Dist,Nonpublic'!$L$3:$L$1349,'Media&amp;EdByAEA,Dist,Nonpublic'!$D$3:$D$1349,'Media&amp;EdByNonpublic'!$B214,'Media&amp;EdByAEA,Dist,Nonpublic'!$E$3:$E$1349,'Media&amp;EdByNonpublic'!$C214)</f>
        <v>5026.1499999999996</v>
      </c>
      <c r="E214" s="35">
        <f>SUMIFS('Media&amp;EdByAEA,Dist,Nonpublic'!$M$3:$M$1349,'Media&amp;EdByAEA,Dist,Nonpublic'!$D$3:$D$1349,'Media&amp;EdByNonpublic'!$B214,'Media&amp;EdByAEA,Dist,Nonpublic'!$E$3:$E$1349,'Media&amp;EdByNonpublic'!$C214)</f>
        <v>5625.33</v>
      </c>
    </row>
  </sheetData>
  <sheetProtection sheet="1" objects="1" scenarios="1"/>
  <sortState xmlns:xlrd2="http://schemas.microsoft.com/office/spreadsheetml/2017/richdata2" ref="A3:E214">
    <sortCondition ref="A3:A214"/>
  </sortState>
  <pageMargins left="0.7" right="0.7" top="0.75" bottom="0.75" header="0.3" footer="0.3"/>
  <pageSetup scale="74" fitToHeight="0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17D05-C4E0-4AB1-AA2E-E364106A9B3E}">
  <dimension ref="B2:C8"/>
  <sheetViews>
    <sheetView workbookViewId="0">
      <selection activeCell="C9" sqref="C9"/>
    </sheetView>
  </sheetViews>
  <sheetFormatPr defaultRowHeight="15" x14ac:dyDescent="0.25"/>
  <sheetData>
    <row r="2" spans="2:3" x14ac:dyDescent="0.25">
      <c r="B2">
        <v>1</v>
      </c>
      <c r="C2" t="s">
        <v>1268</v>
      </c>
    </row>
    <row r="3" spans="2:3" x14ac:dyDescent="0.25">
      <c r="C3" t="s">
        <v>1269</v>
      </c>
    </row>
    <row r="4" spans="2:3" x14ac:dyDescent="0.25">
      <c r="B4">
        <v>2</v>
      </c>
      <c r="C4" t="s">
        <v>1270</v>
      </c>
    </row>
    <row r="5" spans="2:3" x14ac:dyDescent="0.25">
      <c r="B5">
        <v>3</v>
      </c>
      <c r="C5" t="s">
        <v>1271</v>
      </c>
    </row>
    <row r="6" spans="2:3" x14ac:dyDescent="0.25">
      <c r="B6">
        <v>4</v>
      </c>
      <c r="C6" t="s">
        <v>1272</v>
      </c>
    </row>
    <row r="7" spans="2:3" x14ac:dyDescent="0.25">
      <c r="B7">
        <v>5</v>
      </c>
      <c r="C7" t="s">
        <v>1273</v>
      </c>
    </row>
    <row r="8" spans="2:3" x14ac:dyDescent="0.25">
      <c r="B8">
        <v>6</v>
      </c>
      <c r="C8" t="s">
        <v>1274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B26CD-5AB5-4E72-97C5-65916541106C}">
  <sheetPr>
    <tabColor theme="5" tint="0.39997558519241921"/>
  </sheetPr>
  <dimension ref="A1:U326"/>
  <sheetViews>
    <sheetView workbookViewId="0">
      <selection sqref="A1:U326"/>
    </sheetView>
  </sheetViews>
  <sheetFormatPr defaultRowHeight="15" x14ac:dyDescent="0.25"/>
  <cols>
    <col min="1" max="1" width="9.140625" style="1"/>
    <col min="2" max="2" width="12.42578125" customWidth="1"/>
    <col min="3" max="3" width="9.140625" style="1"/>
    <col min="4" max="4" width="9.42578125" customWidth="1"/>
    <col min="5" max="5" width="52.7109375" customWidth="1"/>
    <col min="6" max="6" width="27.42578125" customWidth="1"/>
    <col min="7" max="7" width="34" customWidth="1"/>
    <col min="8" max="8" width="35.85546875" customWidth="1"/>
    <col min="9" max="9" width="37.140625" customWidth="1"/>
    <col min="10" max="10" width="24.7109375" customWidth="1"/>
    <col min="11" max="11" width="35.42578125" customWidth="1"/>
    <col min="12" max="12" width="30.28515625" customWidth="1"/>
    <col min="13" max="13" width="42.140625" customWidth="1"/>
    <col min="14" max="14" width="53" customWidth="1"/>
    <col min="15" max="15" width="34.28515625" customWidth="1"/>
    <col min="16" max="16" width="31.5703125" customWidth="1"/>
    <col min="17" max="17" width="28" customWidth="1"/>
    <col min="18" max="18" width="14.28515625" customWidth="1"/>
    <col min="19" max="19" width="21.28515625" customWidth="1"/>
    <col min="20" max="20" width="18.140625" customWidth="1"/>
  </cols>
  <sheetData>
    <row r="1" spans="1:21" x14ac:dyDescent="0.25">
      <c r="A1" s="1" t="s">
        <v>343</v>
      </c>
      <c r="B1" t="s">
        <v>344</v>
      </c>
      <c r="C1" s="1" t="s">
        <v>664</v>
      </c>
      <c r="D1" t="s">
        <v>345</v>
      </c>
      <c r="E1" t="s">
        <v>680</v>
      </c>
      <c r="F1" t="s">
        <v>676</v>
      </c>
      <c r="G1" t="s">
        <v>342</v>
      </c>
      <c r="H1" t="s">
        <v>677</v>
      </c>
      <c r="I1" t="s">
        <v>678</v>
      </c>
      <c r="J1" t="s">
        <v>346</v>
      </c>
      <c r="K1" t="s">
        <v>683</v>
      </c>
      <c r="L1" t="s">
        <v>679</v>
      </c>
      <c r="M1" t="s">
        <v>681</v>
      </c>
      <c r="N1" t="s">
        <v>682</v>
      </c>
      <c r="O1" t="s">
        <v>341</v>
      </c>
      <c r="P1" t="s">
        <v>347</v>
      </c>
      <c r="Q1" t="s">
        <v>738</v>
      </c>
      <c r="R1" t="s">
        <v>739</v>
      </c>
      <c r="S1" t="s">
        <v>740</v>
      </c>
      <c r="T1" t="s">
        <v>741</v>
      </c>
      <c r="U1" t="s">
        <v>742</v>
      </c>
    </row>
    <row r="2" spans="1:21" x14ac:dyDescent="0.25">
      <c r="A2" s="1" t="s">
        <v>0</v>
      </c>
      <c r="B2" t="s">
        <v>665</v>
      </c>
      <c r="C2" s="1" t="s">
        <v>1</v>
      </c>
      <c r="D2" t="s">
        <v>348</v>
      </c>
      <c r="E2" s="2">
        <v>463226</v>
      </c>
      <c r="F2" s="2">
        <v>351894</v>
      </c>
      <c r="G2" s="2">
        <v>75370</v>
      </c>
      <c r="H2" s="2">
        <v>276524</v>
      </c>
      <c r="I2" s="2">
        <v>111332</v>
      </c>
      <c r="J2" s="2">
        <v>0</v>
      </c>
      <c r="K2" s="2">
        <v>387856</v>
      </c>
      <c r="L2">
        <v>911</v>
      </c>
      <c r="M2" s="2">
        <v>288</v>
      </c>
      <c r="N2" s="2">
        <v>1199</v>
      </c>
      <c r="O2" s="2">
        <v>45938</v>
      </c>
      <c r="P2" s="2">
        <v>0</v>
      </c>
      <c r="Q2" s="2">
        <v>10115</v>
      </c>
      <c r="R2" s="2">
        <v>11267</v>
      </c>
      <c r="S2" s="2">
        <v>68519</v>
      </c>
      <c r="T2" s="2">
        <v>46849</v>
      </c>
      <c r="U2" s="2">
        <v>21670</v>
      </c>
    </row>
    <row r="3" spans="1:21" x14ac:dyDescent="0.25">
      <c r="A3" s="1" t="s">
        <v>0</v>
      </c>
      <c r="B3" t="s">
        <v>665</v>
      </c>
      <c r="C3" s="1" t="s">
        <v>2</v>
      </c>
      <c r="D3" t="s">
        <v>349</v>
      </c>
      <c r="E3" s="2">
        <v>189933</v>
      </c>
      <c r="F3" s="2">
        <v>144285</v>
      </c>
      <c r="G3" s="2">
        <v>30904</v>
      </c>
      <c r="H3" s="2">
        <v>113381</v>
      </c>
      <c r="I3" s="2">
        <v>45648</v>
      </c>
      <c r="J3" s="2">
        <v>1572</v>
      </c>
      <c r="K3">
        <v>160601</v>
      </c>
      <c r="L3">
        <v>373</v>
      </c>
      <c r="M3" s="2">
        <v>117</v>
      </c>
      <c r="N3" s="2">
        <v>490</v>
      </c>
      <c r="O3" s="2">
        <v>18980</v>
      </c>
      <c r="P3" s="2">
        <v>0</v>
      </c>
      <c r="Q3" s="2">
        <v>0</v>
      </c>
      <c r="R3" s="2">
        <v>0</v>
      </c>
      <c r="S3" s="2">
        <v>19470</v>
      </c>
      <c r="T3" s="2">
        <v>19353</v>
      </c>
      <c r="U3" s="2">
        <v>117</v>
      </c>
    </row>
    <row r="4" spans="1:21" x14ac:dyDescent="0.25">
      <c r="A4" s="1" t="s">
        <v>0</v>
      </c>
      <c r="B4" t="s">
        <v>665</v>
      </c>
      <c r="C4" s="1" t="s">
        <v>3</v>
      </c>
      <c r="D4" t="s">
        <v>350</v>
      </c>
      <c r="E4" s="2">
        <v>260838</v>
      </c>
      <c r="F4" s="2">
        <v>198149</v>
      </c>
      <c r="G4" s="2">
        <v>42440</v>
      </c>
      <c r="H4" s="2">
        <v>155709</v>
      </c>
      <c r="I4" s="2">
        <v>62689</v>
      </c>
      <c r="J4">
        <v>0</v>
      </c>
      <c r="K4">
        <v>218398</v>
      </c>
      <c r="L4">
        <v>513</v>
      </c>
      <c r="M4" s="2">
        <v>163</v>
      </c>
      <c r="N4" s="2">
        <v>676</v>
      </c>
      <c r="O4" s="2">
        <v>25867</v>
      </c>
      <c r="P4" s="2">
        <v>0</v>
      </c>
      <c r="Q4" s="2">
        <v>718</v>
      </c>
      <c r="R4" s="2">
        <v>800</v>
      </c>
      <c r="S4" s="2">
        <v>28061</v>
      </c>
      <c r="T4" s="2">
        <v>26380</v>
      </c>
      <c r="U4" s="2">
        <v>1681</v>
      </c>
    </row>
    <row r="5" spans="1:21" x14ac:dyDescent="0.25">
      <c r="A5" s="1" t="s">
        <v>0</v>
      </c>
      <c r="B5" t="s">
        <v>665</v>
      </c>
      <c r="C5" s="1" t="s">
        <v>4</v>
      </c>
      <c r="D5" t="s">
        <v>351</v>
      </c>
      <c r="E5" s="2">
        <v>593876</v>
      </c>
      <c r="F5" s="2">
        <v>451144</v>
      </c>
      <c r="G5" s="2">
        <v>96628</v>
      </c>
      <c r="H5" s="2">
        <v>354516</v>
      </c>
      <c r="I5" s="2">
        <v>142732</v>
      </c>
      <c r="J5" s="2">
        <v>10511</v>
      </c>
      <c r="K5" s="2">
        <v>507759</v>
      </c>
      <c r="L5" s="2">
        <v>1170</v>
      </c>
      <c r="M5" s="2">
        <v>370</v>
      </c>
      <c r="N5" s="2">
        <v>1540</v>
      </c>
      <c r="O5" s="2">
        <v>59900</v>
      </c>
      <c r="P5" s="2">
        <v>0</v>
      </c>
      <c r="Q5" s="2">
        <v>11094</v>
      </c>
      <c r="R5" s="2">
        <v>12357</v>
      </c>
      <c r="S5" s="2">
        <v>84891</v>
      </c>
      <c r="T5" s="2">
        <v>61070</v>
      </c>
      <c r="U5" s="2">
        <v>23821</v>
      </c>
    </row>
    <row r="6" spans="1:21" x14ac:dyDescent="0.25">
      <c r="A6" s="1" t="s">
        <v>0</v>
      </c>
      <c r="B6" t="s">
        <v>665</v>
      </c>
      <c r="C6" s="1" t="s">
        <v>5</v>
      </c>
      <c r="D6" t="s">
        <v>352</v>
      </c>
      <c r="E6" s="2">
        <v>4271001</v>
      </c>
      <c r="F6" s="2">
        <v>3244512</v>
      </c>
      <c r="G6" s="2">
        <v>694923</v>
      </c>
      <c r="H6" s="2">
        <v>2549589</v>
      </c>
      <c r="I6" s="2">
        <v>1026489</v>
      </c>
      <c r="J6" s="2">
        <v>0</v>
      </c>
      <c r="K6" s="2">
        <v>3576078</v>
      </c>
      <c r="L6" s="2">
        <v>8407</v>
      </c>
      <c r="M6" s="2">
        <v>2660</v>
      </c>
      <c r="N6" s="2">
        <v>11067</v>
      </c>
      <c r="O6" s="2">
        <v>423550</v>
      </c>
      <c r="P6" s="2">
        <v>0</v>
      </c>
      <c r="Q6" s="2">
        <v>126148</v>
      </c>
      <c r="R6" s="2">
        <v>140510</v>
      </c>
      <c r="S6" s="2">
        <v>701275</v>
      </c>
      <c r="T6" s="2">
        <v>431957</v>
      </c>
      <c r="U6" s="2">
        <v>269318</v>
      </c>
    </row>
    <row r="7" spans="1:21" x14ac:dyDescent="0.25">
      <c r="A7" s="1" t="s">
        <v>0</v>
      </c>
      <c r="B7" t="s">
        <v>665</v>
      </c>
      <c r="C7" s="1" t="s">
        <v>6</v>
      </c>
      <c r="D7" t="s">
        <v>353</v>
      </c>
      <c r="E7" s="2">
        <v>126533</v>
      </c>
      <c r="F7" s="2">
        <v>96123</v>
      </c>
      <c r="G7" s="2">
        <v>20588</v>
      </c>
      <c r="H7" s="2">
        <v>75535</v>
      </c>
      <c r="I7" s="2">
        <v>30410</v>
      </c>
      <c r="J7" s="2">
        <v>4789</v>
      </c>
      <c r="K7">
        <v>110734</v>
      </c>
      <c r="L7">
        <v>248</v>
      </c>
      <c r="M7" s="2">
        <v>79</v>
      </c>
      <c r="N7" s="2">
        <v>327</v>
      </c>
      <c r="O7" s="2">
        <v>12548</v>
      </c>
      <c r="P7" s="2">
        <v>0</v>
      </c>
      <c r="Q7" s="2">
        <v>653</v>
      </c>
      <c r="R7" s="2">
        <v>727</v>
      </c>
      <c r="S7" s="2">
        <v>14255</v>
      </c>
      <c r="T7" s="2">
        <v>12796</v>
      </c>
      <c r="U7" s="2">
        <v>1459</v>
      </c>
    </row>
    <row r="8" spans="1:21" x14ac:dyDescent="0.25">
      <c r="A8" s="1" t="s">
        <v>0</v>
      </c>
      <c r="B8" t="s">
        <v>665</v>
      </c>
      <c r="C8" s="1" t="s">
        <v>7</v>
      </c>
      <c r="D8" t="s">
        <v>354</v>
      </c>
      <c r="E8" s="2">
        <v>150345</v>
      </c>
      <c r="F8" s="2">
        <v>114212</v>
      </c>
      <c r="G8" s="2">
        <v>24462</v>
      </c>
      <c r="H8" s="2">
        <v>89750</v>
      </c>
      <c r="I8" s="2">
        <v>36133</v>
      </c>
      <c r="J8" s="2">
        <v>0</v>
      </c>
      <c r="K8">
        <v>125883</v>
      </c>
      <c r="L8">
        <v>295</v>
      </c>
      <c r="M8" s="2">
        <v>94</v>
      </c>
      <c r="N8" s="2">
        <v>389</v>
      </c>
      <c r="O8" s="2">
        <v>14910</v>
      </c>
      <c r="P8" s="2">
        <v>0</v>
      </c>
      <c r="Q8" s="2">
        <v>1370</v>
      </c>
      <c r="R8" s="2">
        <v>1526</v>
      </c>
      <c r="S8" s="2">
        <v>18195</v>
      </c>
      <c r="T8" s="2">
        <v>15205</v>
      </c>
      <c r="U8" s="2">
        <v>2990</v>
      </c>
    </row>
    <row r="9" spans="1:21" x14ac:dyDescent="0.25">
      <c r="A9" s="1" t="s">
        <v>0</v>
      </c>
      <c r="B9" t="s">
        <v>665</v>
      </c>
      <c r="C9" s="1" t="s">
        <v>8</v>
      </c>
      <c r="D9" t="s">
        <v>355</v>
      </c>
      <c r="E9" s="2">
        <v>475375</v>
      </c>
      <c r="F9" s="2">
        <v>361124</v>
      </c>
      <c r="G9" s="2">
        <v>77347</v>
      </c>
      <c r="H9" s="2">
        <v>283777</v>
      </c>
      <c r="I9" s="2">
        <v>114251</v>
      </c>
      <c r="J9" s="2">
        <v>0</v>
      </c>
      <c r="K9" s="2">
        <v>398028</v>
      </c>
      <c r="L9">
        <v>936</v>
      </c>
      <c r="M9" s="2">
        <v>296</v>
      </c>
      <c r="N9" s="2">
        <v>1232</v>
      </c>
      <c r="O9" s="2">
        <v>47142</v>
      </c>
      <c r="P9" s="2">
        <v>0</v>
      </c>
      <c r="Q9" s="2">
        <v>7831</v>
      </c>
      <c r="R9" s="2">
        <v>8723</v>
      </c>
      <c r="S9" s="2">
        <v>64928</v>
      </c>
      <c r="T9" s="2">
        <v>48078</v>
      </c>
      <c r="U9" s="2">
        <v>16850</v>
      </c>
    </row>
    <row r="10" spans="1:21" x14ac:dyDescent="0.25">
      <c r="A10" s="1" t="s">
        <v>0</v>
      </c>
      <c r="B10" t="s">
        <v>665</v>
      </c>
      <c r="C10" s="1" t="s">
        <v>10</v>
      </c>
      <c r="D10" t="s">
        <v>357</v>
      </c>
      <c r="E10" s="2">
        <v>325342</v>
      </c>
      <c r="F10" s="2">
        <v>247150</v>
      </c>
      <c r="G10" s="2">
        <v>52936</v>
      </c>
      <c r="H10" s="2">
        <v>194214</v>
      </c>
      <c r="I10" s="2">
        <v>78192</v>
      </c>
      <c r="J10" s="2">
        <v>570</v>
      </c>
      <c r="K10">
        <v>272976</v>
      </c>
      <c r="L10">
        <v>640</v>
      </c>
      <c r="M10" s="2">
        <v>203</v>
      </c>
      <c r="N10" s="2">
        <v>843</v>
      </c>
      <c r="O10" s="2">
        <v>32300</v>
      </c>
      <c r="P10" s="2">
        <v>0</v>
      </c>
      <c r="Q10" s="2">
        <v>392</v>
      </c>
      <c r="R10" s="2">
        <v>436</v>
      </c>
      <c r="S10" s="2">
        <v>33971</v>
      </c>
      <c r="T10" s="2">
        <v>32940</v>
      </c>
      <c r="U10" s="2">
        <v>1031</v>
      </c>
    </row>
    <row r="11" spans="1:21" x14ac:dyDescent="0.25">
      <c r="A11" s="1" t="s">
        <v>0</v>
      </c>
      <c r="B11" t="s">
        <v>665</v>
      </c>
      <c r="C11" s="1" t="s">
        <v>9</v>
      </c>
      <c r="D11" t="s">
        <v>356</v>
      </c>
      <c r="E11" s="2">
        <v>272319</v>
      </c>
      <c r="F11" s="2">
        <v>206870</v>
      </c>
      <c r="G11" s="2">
        <v>44308</v>
      </c>
      <c r="H11" s="2">
        <v>162562</v>
      </c>
      <c r="I11" s="2">
        <v>65449</v>
      </c>
      <c r="J11" s="2">
        <v>0</v>
      </c>
      <c r="K11">
        <v>228011</v>
      </c>
      <c r="L11">
        <v>535</v>
      </c>
      <c r="M11" s="2">
        <v>170</v>
      </c>
      <c r="N11" s="2">
        <v>705</v>
      </c>
      <c r="O11" s="2">
        <v>27006</v>
      </c>
      <c r="P11" s="2">
        <v>0</v>
      </c>
      <c r="Q11" s="2">
        <v>2610</v>
      </c>
      <c r="R11" s="2">
        <v>2908</v>
      </c>
      <c r="S11" s="2">
        <v>33229</v>
      </c>
      <c r="T11" s="2">
        <v>27541</v>
      </c>
      <c r="U11" s="2">
        <v>5688</v>
      </c>
    </row>
    <row r="12" spans="1:21" x14ac:dyDescent="0.25">
      <c r="A12" s="1" t="s">
        <v>0</v>
      </c>
      <c r="B12" t="s">
        <v>665</v>
      </c>
      <c r="C12" s="1" t="s">
        <v>11</v>
      </c>
      <c r="D12" t="s">
        <v>358</v>
      </c>
      <c r="E12" s="2">
        <v>397577</v>
      </c>
      <c r="F12" s="2">
        <v>302024</v>
      </c>
      <c r="G12" s="2">
        <v>64689</v>
      </c>
      <c r="H12" s="2">
        <v>237335</v>
      </c>
      <c r="I12" s="2">
        <v>95553</v>
      </c>
      <c r="J12">
        <v>0</v>
      </c>
      <c r="K12">
        <v>332888</v>
      </c>
      <c r="L12">
        <v>781</v>
      </c>
      <c r="M12" s="2">
        <v>247</v>
      </c>
      <c r="N12" s="2">
        <v>1028</v>
      </c>
      <c r="O12" s="2">
        <v>39427</v>
      </c>
      <c r="P12" s="2">
        <v>0</v>
      </c>
      <c r="Q12" s="2">
        <v>4633</v>
      </c>
      <c r="R12" s="2">
        <v>5161</v>
      </c>
      <c r="S12" s="2">
        <v>50249</v>
      </c>
      <c r="T12" s="2">
        <v>40208</v>
      </c>
      <c r="U12" s="2">
        <v>10041</v>
      </c>
    </row>
    <row r="13" spans="1:21" x14ac:dyDescent="0.25">
      <c r="A13" s="1" t="s">
        <v>0</v>
      </c>
      <c r="B13" t="s">
        <v>665</v>
      </c>
      <c r="C13" s="1" t="s">
        <v>12</v>
      </c>
      <c r="D13" t="s">
        <v>359</v>
      </c>
      <c r="E13" s="2">
        <v>480298</v>
      </c>
      <c r="F13" s="2">
        <v>364864</v>
      </c>
      <c r="G13" s="2">
        <v>78148</v>
      </c>
      <c r="H13" s="2">
        <v>286716</v>
      </c>
      <c r="I13" s="2">
        <v>115434</v>
      </c>
      <c r="J13" s="2">
        <v>0</v>
      </c>
      <c r="K13" s="2">
        <v>402150</v>
      </c>
      <c r="L13">
        <v>947</v>
      </c>
      <c r="M13" s="2">
        <v>299</v>
      </c>
      <c r="N13" s="2">
        <v>1246</v>
      </c>
      <c r="O13" s="2">
        <v>47631</v>
      </c>
      <c r="P13" s="2">
        <v>0</v>
      </c>
      <c r="Q13" s="2">
        <v>131</v>
      </c>
      <c r="R13" s="2">
        <v>145</v>
      </c>
      <c r="S13" s="2">
        <v>49153</v>
      </c>
      <c r="T13" s="2">
        <v>48578</v>
      </c>
      <c r="U13" s="2">
        <v>575</v>
      </c>
    </row>
    <row r="14" spans="1:21" x14ac:dyDescent="0.25">
      <c r="A14" s="1" t="s">
        <v>0</v>
      </c>
      <c r="B14" t="s">
        <v>665</v>
      </c>
      <c r="C14" s="1" t="s">
        <v>13</v>
      </c>
      <c r="D14" t="s">
        <v>360</v>
      </c>
      <c r="E14" s="2">
        <v>551850</v>
      </c>
      <c r="F14" s="2">
        <v>419219</v>
      </c>
      <c r="G14" s="2">
        <v>89790</v>
      </c>
      <c r="H14" s="2">
        <v>329429</v>
      </c>
      <c r="I14" s="2">
        <v>132631</v>
      </c>
      <c r="J14" s="2">
        <v>14083</v>
      </c>
      <c r="K14" s="2">
        <v>476143</v>
      </c>
      <c r="L14" s="2">
        <v>1087</v>
      </c>
      <c r="M14" s="2">
        <v>344</v>
      </c>
      <c r="N14" s="2">
        <v>1431</v>
      </c>
      <c r="O14" s="2">
        <v>56088</v>
      </c>
      <c r="P14" s="2">
        <v>0</v>
      </c>
      <c r="Q14" s="2">
        <v>718</v>
      </c>
      <c r="R14" s="2">
        <v>800</v>
      </c>
      <c r="S14" s="2">
        <v>59037</v>
      </c>
      <c r="T14" s="2">
        <v>57175</v>
      </c>
      <c r="U14" s="2">
        <v>1862</v>
      </c>
    </row>
    <row r="15" spans="1:21" x14ac:dyDescent="0.25">
      <c r="A15" s="1" t="s">
        <v>0</v>
      </c>
      <c r="B15" t="s">
        <v>665</v>
      </c>
      <c r="C15" s="1" t="s">
        <v>14</v>
      </c>
      <c r="D15" t="s">
        <v>361</v>
      </c>
      <c r="E15" s="2">
        <v>300222</v>
      </c>
      <c r="F15" s="2">
        <v>228067</v>
      </c>
      <c r="G15" s="2">
        <v>48849</v>
      </c>
      <c r="H15" s="2">
        <v>179218</v>
      </c>
      <c r="I15" s="2">
        <v>72155</v>
      </c>
      <c r="J15" s="2">
        <v>5855</v>
      </c>
      <c r="K15">
        <v>257228</v>
      </c>
      <c r="L15">
        <v>591</v>
      </c>
      <c r="M15" s="2">
        <v>187</v>
      </c>
      <c r="N15" s="2">
        <v>778</v>
      </c>
      <c r="O15" s="2">
        <v>30335</v>
      </c>
      <c r="P15" s="2">
        <v>0</v>
      </c>
      <c r="Q15" s="2">
        <v>392</v>
      </c>
      <c r="R15" s="2">
        <v>436</v>
      </c>
      <c r="S15" s="2">
        <v>31941</v>
      </c>
      <c r="T15" s="2">
        <v>30926</v>
      </c>
      <c r="U15" s="2">
        <v>1015</v>
      </c>
    </row>
    <row r="16" spans="1:21" x14ac:dyDescent="0.25">
      <c r="A16" s="1" t="s">
        <v>0</v>
      </c>
      <c r="B16" t="s">
        <v>665</v>
      </c>
      <c r="C16" s="1" t="s">
        <v>15</v>
      </c>
      <c r="D16" t="s">
        <v>362</v>
      </c>
      <c r="E16" s="2">
        <v>145026</v>
      </c>
      <c r="F16" s="2">
        <v>110171</v>
      </c>
      <c r="G16" s="2">
        <v>23596</v>
      </c>
      <c r="H16" s="2">
        <v>86575</v>
      </c>
      <c r="I16" s="2">
        <v>34855</v>
      </c>
      <c r="J16">
        <v>0</v>
      </c>
      <c r="K16">
        <v>121430</v>
      </c>
      <c r="L16">
        <v>287</v>
      </c>
      <c r="M16" s="2">
        <v>91</v>
      </c>
      <c r="N16" s="2">
        <v>378</v>
      </c>
      <c r="O16" s="2">
        <v>14382</v>
      </c>
      <c r="P16" s="2">
        <v>0</v>
      </c>
      <c r="Q16" s="2">
        <v>196</v>
      </c>
      <c r="R16" s="2">
        <v>218</v>
      </c>
      <c r="S16" s="2">
        <v>15174</v>
      </c>
      <c r="T16" s="2">
        <v>14669</v>
      </c>
      <c r="U16" s="2">
        <v>505</v>
      </c>
    </row>
    <row r="17" spans="1:21" x14ac:dyDescent="0.25">
      <c r="A17" s="1" t="s">
        <v>0</v>
      </c>
      <c r="B17" t="s">
        <v>665</v>
      </c>
      <c r="C17" s="1" t="s">
        <v>16</v>
      </c>
      <c r="D17" t="s">
        <v>363</v>
      </c>
      <c r="E17" s="2">
        <v>232303</v>
      </c>
      <c r="F17" s="2">
        <v>176472</v>
      </c>
      <c r="G17" s="2">
        <v>37797</v>
      </c>
      <c r="H17" s="2">
        <v>138675</v>
      </c>
      <c r="I17" s="2">
        <v>55831</v>
      </c>
      <c r="J17">
        <v>0</v>
      </c>
      <c r="K17">
        <v>194506</v>
      </c>
      <c r="L17">
        <v>458</v>
      </c>
      <c r="M17" s="2">
        <v>145</v>
      </c>
      <c r="N17" s="2">
        <v>603</v>
      </c>
      <c r="O17" s="2">
        <v>23037</v>
      </c>
      <c r="P17" s="2">
        <v>0</v>
      </c>
      <c r="Q17" s="2">
        <v>10442</v>
      </c>
      <c r="R17" s="2">
        <v>11630</v>
      </c>
      <c r="S17" s="2">
        <v>45712</v>
      </c>
      <c r="T17" s="2">
        <v>23495</v>
      </c>
      <c r="U17" s="2">
        <v>22217</v>
      </c>
    </row>
    <row r="18" spans="1:21" x14ac:dyDescent="0.25">
      <c r="A18" s="1" t="s">
        <v>0</v>
      </c>
      <c r="B18" t="s">
        <v>665</v>
      </c>
      <c r="C18" s="1" t="s">
        <v>17</v>
      </c>
      <c r="D18" t="s">
        <v>364</v>
      </c>
      <c r="E18" s="2">
        <v>234185</v>
      </c>
      <c r="F18" s="2">
        <v>177901</v>
      </c>
      <c r="G18" s="2">
        <v>38103</v>
      </c>
      <c r="H18" s="2">
        <v>139798</v>
      </c>
      <c r="I18" s="2">
        <v>56284</v>
      </c>
      <c r="J18" s="2">
        <v>7751</v>
      </c>
      <c r="K18">
        <v>203833</v>
      </c>
      <c r="L18">
        <v>461</v>
      </c>
      <c r="M18" s="2">
        <v>146</v>
      </c>
      <c r="N18" s="2">
        <v>607</v>
      </c>
      <c r="O18" s="2">
        <v>23978</v>
      </c>
      <c r="P18" s="2">
        <v>0</v>
      </c>
      <c r="Q18" s="2">
        <v>261</v>
      </c>
      <c r="R18" s="2">
        <v>291</v>
      </c>
      <c r="S18" s="2">
        <v>25137</v>
      </c>
      <c r="T18" s="2">
        <v>24439</v>
      </c>
      <c r="U18" s="2">
        <v>698</v>
      </c>
    </row>
    <row r="19" spans="1:21" x14ac:dyDescent="0.25">
      <c r="A19" s="1" t="s">
        <v>0</v>
      </c>
      <c r="B19" t="s">
        <v>665</v>
      </c>
      <c r="C19" s="1" t="s">
        <v>18</v>
      </c>
      <c r="D19" t="s">
        <v>365</v>
      </c>
      <c r="E19" s="2">
        <v>144867</v>
      </c>
      <c r="F19" s="2">
        <v>110049</v>
      </c>
      <c r="G19" s="2">
        <v>23570</v>
      </c>
      <c r="H19" s="2">
        <v>86479</v>
      </c>
      <c r="I19" s="2">
        <v>34818</v>
      </c>
      <c r="J19" s="2">
        <v>1887</v>
      </c>
      <c r="K19">
        <v>123184</v>
      </c>
      <c r="L19">
        <v>284</v>
      </c>
      <c r="M19" s="2">
        <v>90</v>
      </c>
      <c r="N19" s="2">
        <v>374</v>
      </c>
      <c r="O19" s="2">
        <v>14366</v>
      </c>
      <c r="P19" s="2">
        <v>0</v>
      </c>
      <c r="Q19" s="2">
        <v>3524</v>
      </c>
      <c r="R19" s="2">
        <v>3925</v>
      </c>
      <c r="S19" s="2">
        <v>22189</v>
      </c>
      <c r="T19" s="2">
        <v>14650</v>
      </c>
      <c r="U19" s="2">
        <v>7539</v>
      </c>
    </row>
    <row r="20" spans="1:21" x14ac:dyDescent="0.25">
      <c r="A20" s="1" t="s">
        <v>0</v>
      </c>
      <c r="B20" t="s">
        <v>665</v>
      </c>
      <c r="C20" s="1" t="s">
        <v>19</v>
      </c>
      <c r="D20" t="s">
        <v>366</v>
      </c>
      <c r="E20" s="2">
        <v>113447</v>
      </c>
      <c r="F20" s="2">
        <v>86181</v>
      </c>
      <c r="G20" s="2">
        <v>18459</v>
      </c>
      <c r="H20" s="2">
        <v>67722</v>
      </c>
      <c r="I20" s="2">
        <v>27266</v>
      </c>
      <c r="J20">
        <v>0</v>
      </c>
      <c r="K20">
        <v>94988</v>
      </c>
      <c r="L20">
        <v>224</v>
      </c>
      <c r="M20" s="2">
        <v>70</v>
      </c>
      <c r="N20" s="2">
        <v>294</v>
      </c>
      <c r="O20" s="2">
        <v>11250</v>
      </c>
      <c r="P20" s="2">
        <v>0</v>
      </c>
      <c r="Q20" s="2">
        <v>0</v>
      </c>
      <c r="R20" s="2">
        <v>0</v>
      </c>
      <c r="S20" s="2">
        <v>11544</v>
      </c>
      <c r="T20" s="2">
        <v>11474</v>
      </c>
      <c r="U20" s="2">
        <v>70</v>
      </c>
    </row>
    <row r="21" spans="1:21" x14ac:dyDescent="0.25">
      <c r="A21" s="1" t="s">
        <v>0</v>
      </c>
      <c r="B21" t="s">
        <v>665</v>
      </c>
      <c r="C21" s="1" t="s">
        <v>20</v>
      </c>
      <c r="D21" t="s">
        <v>367</v>
      </c>
      <c r="E21" s="2">
        <v>543142</v>
      </c>
      <c r="F21" s="2">
        <v>412603</v>
      </c>
      <c r="G21" s="2">
        <v>88373</v>
      </c>
      <c r="H21" s="2">
        <v>324230</v>
      </c>
      <c r="I21" s="2">
        <v>130539</v>
      </c>
      <c r="J21" s="2">
        <v>0</v>
      </c>
      <c r="K21" s="2">
        <v>454769</v>
      </c>
      <c r="L21" s="2">
        <v>1071</v>
      </c>
      <c r="M21" s="2">
        <v>339</v>
      </c>
      <c r="N21" s="2">
        <v>1410</v>
      </c>
      <c r="O21" s="2">
        <v>53863</v>
      </c>
      <c r="P21" s="2">
        <v>0</v>
      </c>
      <c r="Q21" s="2">
        <v>13639</v>
      </c>
      <c r="R21" s="2">
        <v>15192</v>
      </c>
      <c r="S21" s="2">
        <v>84104</v>
      </c>
      <c r="T21" s="2">
        <v>54934</v>
      </c>
      <c r="U21" s="2">
        <v>29170</v>
      </c>
    </row>
    <row r="22" spans="1:21" x14ac:dyDescent="0.25">
      <c r="A22" s="1" t="s">
        <v>0</v>
      </c>
      <c r="B22" t="s">
        <v>665</v>
      </c>
      <c r="C22" s="1" t="s">
        <v>21</v>
      </c>
      <c r="D22" t="s">
        <v>368</v>
      </c>
      <c r="E22" s="2">
        <v>1304450</v>
      </c>
      <c r="F22" s="2">
        <v>990939</v>
      </c>
      <c r="G22" s="2">
        <v>212243</v>
      </c>
      <c r="H22" s="2">
        <v>778696</v>
      </c>
      <c r="I22" s="2">
        <v>313511</v>
      </c>
      <c r="J22" s="2">
        <v>0</v>
      </c>
      <c r="K22" s="2">
        <v>1092207</v>
      </c>
      <c r="L22" s="2">
        <v>2570</v>
      </c>
      <c r="M22" s="2">
        <v>813</v>
      </c>
      <c r="N22" s="2">
        <v>3383</v>
      </c>
      <c r="O22" s="2">
        <v>129361</v>
      </c>
      <c r="P22" s="2">
        <v>0</v>
      </c>
      <c r="Q22" s="2">
        <v>67218</v>
      </c>
      <c r="R22" s="2">
        <v>74871</v>
      </c>
      <c r="S22" s="2">
        <v>274833</v>
      </c>
      <c r="T22" s="2">
        <v>131931</v>
      </c>
      <c r="U22" s="2">
        <v>142902</v>
      </c>
    </row>
    <row r="23" spans="1:21" x14ac:dyDescent="0.25">
      <c r="A23" s="1" t="s">
        <v>22</v>
      </c>
      <c r="B23" t="s">
        <v>666</v>
      </c>
      <c r="C23" s="1" t="s">
        <v>23</v>
      </c>
      <c r="D23" t="s">
        <v>369</v>
      </c>
      <c r="E23" s="2">
        <v>82726</v>
      </c>
      <c r="F23" s="2">
        <v>63588</v>
      </c>
      <c r="G23" s="2">
        <v>13620</v>
      </c>
      <c r="H23" s="2">
        <v>49968</v>
      </c>
      <c r="I23" s="2">
        <v>19138</v>
      </c>
      <c r="J23" s="2">
        <v>0</v>
      </c>
      <c r="K23">
        <v>69106</v>
      </c>
      <c r="L23">
        <v>0</v>
      </c>
      <c r="M23" s="2">
        <v>0</v>
      </c>
      <c r="N23" s="2">
        <v>0</v>
      </c>
      <c r="O23" s="2">
        <v>8753</v>
      </c>
      <c r="P23" s="2">
        <v>0</v>
      </c>
      <c r="Q23" s="2">
        <v>523</v>
      </c>
      <c r="R23" s="2">
        <v>585</v>
      </c>
      <c r="S23" s="2">
        <v>9861</v>
      </c>
      <c r="T23" s="2">
        <v>8753</v>
      </c>
      <c r="U23" s="2">
        <v>1108</v>
      </c>
    </row>
    <row r="24" spans="1:21" x14ac:dyDescent="0.25">
      <c r="A24" s="1" t="s">
        <v>22</v>
      </c>
      <c r="B24" t="s">
        <v>666</v>
      </c>
      <c r="C24" s="1" t="s">
        <v>24</v>
      </c>
      <c r="D24" t="s">
        <v>370</v>
      </c>
      <c r="E24" s="2">
        <v>587022</v>
      </c>
      <c r="F24" s="2">
        <v>451216</v>
      </c>
      <c r="G24" s="2">
        <v>96643</v>
      </c>
      <c r="H24" s="2">
        <v>354573</v>
      </c>
      <c r="I24" s="2">
        <v>135806</v>
      </c>
      <c r="J24" s="2">
        <v>0</v>
      </c>
      <c r="K24">
        <v>490379</v>
      </c>
      <c r="L24">
        <v>0</v>
      </c>
      <c r="M24" s="2">
        <v>0</v>
      </c>
      <c r="N24" s="2">
        <v>0</v>
      </c>
      <c r="O24" s="2">
        <v>62108</v>
      </c>
      <c r="P24" s="2">
        <v>0</v>
      </c>
      <c r="Q24" s="2">
        <v>21170</v>
      </c>
      <c r="R24" s="2">
        <v>23704</v>
      </c>
      <c r="S24" s="2">
        <v>106982</v>
      </c>
      <c r="T24" s="2">
        <v>62108</v>
      </c>
      <c r="U24" s="2">
        <v>44874</v>
      </c>
    </row>
    <row r="25" spans="1:21" x14ac:dyDescent="0.25">
      <c r="A25" s="1" t="s">
        <v>22</v>
      </c>
      <c r="B25" t="s">
        <v>666</v>
      </c>
      <c r="C25" s="1" t="s">
        <v>25</v>
      </c>
      <c r="D25" t="s">
        <v>371</v>
      </c>
      <c r="E25" s="2">
        <v>334438</v>
      </c>
      <c r="F25" s="2">
        <v>257066</v>
      </c>
      <c r="G25" s="2">
        <v>55059</v>
      </c>
      <c r="H25" s="2">
        <v>202007</v>
      </c>
      <c r="I25" s="2">
        <v>77372</v>
      </c>
      <c r="J25" s="2">
        <v>0</v>
      </c>
      <c r="K25">
        <v>279379</v>
      </c>
      <c r="L25">
        <v>0</v>
      </c>
      <c r="M25" s="2">
        <v>0</v>
      </c>
      <c r="N25" s="2">
        <v>0</v>
      </c>
      <c r="O25" s="2">
        <v>35384</v>
      </c>
      <c r="P25" s="2">
        <v>0</v>
      </c>
      <c r="Q25" s="2">
        <v>1176</v>
      </c>
      <c r="R25" s="2">
        <v>1317</v>
      </c>
      <c r="S25" s="2">
        <v>37877</v>
      </c>
      <c r="T25" s="2">
        <v>35384</v>
      </c>
      <c r="U25" s="2">
        <v>2493</v>
      </c>
    </row>
    <row r="26" spans="1:21" x14ac:dyDescent="0.25">
      <c r="A26" s="1" t="s">
        <v>22</v>
      </c>
      <c r="B26" t="s">
        <v>666</v>
      </c>
      <c r="C26" s="1" t="s">
        <v>26</v>
      </c>
      <c r="D26" t="s">
        <v>372</v>
      </c>
      <c r="E26" s="2">
        <v>387713</v>
      </c>
      <c r="F26" s="2">
        <v>298017</v>
      </c>
      <c r="G26" s="2">
        <v>63830</v>
      </c>
      <c r="H26" s="2">
        <v>234187</v>
      </c>
      <c r="I26" s="2">
        <v>89696</v>
      </c>
      <c r="J26" s="2">
        <v>2582</v>
      </c>
      <c r="K26">
        <v>326465</v>
      </c>
      <c r="L26">
        <v>0</v>
      </c>
      <c r="M26" s="2">
        <v>0</v>
      </c>
      <c r="N26" s="2">
        <v>0</v>
      </c>
      <c r="O26" s="2">
        <v>41020</v>
      </c>
      <c r="P26" s="2">
        <v>0</v>
      </c>
      <c r="Q26" s="2">
        <v>327</v>
      </c>
      <c r="R26" s="2">
        <v>366</v>
      </c>
      <c r="S26" s="2">
        <v>41713</v>
      </c>
      <c r="T26" s="2">
        <v>41020</v>
      </c>
      <c r="U26" s="2">
        <v>693</v>
      </c>
    </row>
    <row r="27" spans="1:21" x14ac:dyDescent="0.25">
      <c r="A27" s="1" t="s">
        <v>22</v>
      </c>
      <c r="B27" t="s">
        <v>666</v>
      </c>
      <c r="C27" s="1" t="s">
        <v>27</v>
      </c>
      <c r="D27" t="s">
        <v>373</v>
      </c>
      <c r="E27" s="2">
        <v>106023</v>
      </c>
      <c r="F27" s="2">
        <v>81495</v>
      </c>
      <c r="G27" s="2">
        <v>17455</v>
      </c>
      <c r="H27" s="2">
        <v>64040</v>
      </c>
      <c r="I27" s="2">
        <v>24528</v>
      </c>
      <c r="J27" s="2">
        <v>19010</v>
      </c>
      <c r="K27">
        <v>107578</v>
      </c>
      <c r="L27">
        <v>0</v>
      </c>
      <c r="M27" s="2">
        <v>0</v>
      </c>
      <c r="N27" s="2">
        <v>0</v>
      </c>
      <c r="O27" s="2">
        <v>11217</v>
      </c>
      <c r="P27" s="2">
        <v>0</v>
      </c>
      <c r="Q27" s="2">
        <v>2287</v>
      </c>
      <c r="R27" s="2">
        <v>2561</v>
      </c>
      <c r="S27" s="2">
        <v>16065</v>
      </c>
      <c r="T27" s="2">
        <v>11217</v>
      </c>
      <c r="U27" s="2">
        <v>4848</v>
      </c>
    </row>
    <row r="28" spans="1:21" x14ac:dyDescent="0.25">
      <c r="A28" s="1" t="s">
        <v>22</v>
      </c>
      <c r="B28" t="s">
        <v>666</v>
      </c>
      <c r="C28" s="1" t="s">
        <v>28</v>
      </c>
      <c r="D28" t="s">
        <v>374</v>
      </c>
      <c r="E28" s="2">
        <v>394323</v>
      </c>
      <c r="F28" s="2">
        <v>303098</v>
      </c>
      <c r="G28" s="2">
        <v>64918</v>
      </c>
      <c r="H28" s="2">
        <v>238180</v>
      </c>
      <c r="I28" s="2">
        <v>91225</v>
      </c>
      <c r="J28" s="2">
        <v>499</v>
      </c>
      <c r="K28">
        <v>329904</v>
      </c>
      <c r="L28">
        <v>0</v>
      </c>
      <c r="M28" s="2">
        <v>0</v>
      </c>
      <c r="N28" s="2">
        <v>0</v>
      </c>
      <c r="O28" s="2">
        <v>41799</v>
      </c>
      <c r="P28" s="2">
        <v>0</v>
      </c>
      <c r="Q28" s="2">
        <v>392</v>
      </c>
      <c r="R28" s="2">
        <v>439</v>
      </c>
      <c r="S28" s="2">
        <v>42630</v>
      </c>
      <c r="T28" s="2">
        <v>41799</v>
      </c>
      <c r="U28" s="2">
        <v>831</v>
      </c>
    </row>
    <row r="29" spans="1:21" x14ac:dyDescent="0.25">
      <c r="A29" s="1" t="s">
        <v>22</v>
      </c>
      <c r="B29" t="s">
        <v>666</v>
      </c>
      <c r="C29" s="1" t="s">
        <v>29</v>
      </c>
      <c r="D29" t="s">
        <v>375</v>
      </c>
      <c r="E29" s="2">
        <v>324190</v>
      </c>
      <c r="F29" s="2">
        <v>249189</v>
      </c>
      <c r="G29" s="2">
        <v>53373</v>
      </c>
      <c r="H29" s="2">
        <v>195816</v>
      </c>
      <c r="I29" s="2">
        <v>75001</v>
      </c>
      <c r="J29" s="2">
        <v>7392</v>
      </c>
      <c r="K29">
        <v>278209</v>
      </c>
      <c r="L29">
        <v>0</v>
      </c>
      <c r="M29" s="2">
        <v>0</v>
      </c>
      <c r="N29" s="2">
        <v>0</v>
      </c>
      <c r="O29" s="2">
        <v>35104</v>
      </c>
      <c r="P29" s="2">
        <v>0</v>
      </c>
      <c r="Q29" s="2">
        <v>3855</v>
      </c>
      <c r="R29" s="2">
        <v>4316</v>
      </c>
      <c r="S29" s="2">
        <v>43275</v>
      </c>
      <c r="T29" s="2">
        <v>35104</v>
      </c>
      <c r="U29" s="2">
        <v>8171</v>
      </c>
    </row>
    <row r="30" spans="1:21" x14ac:dyDescent="0.25">
      <c r="A30" s="1" t="s">
        <v>22</v>
      </c>
      <c r="B30" t="s">
        <v>666</v>
      </c>
      <c r="C30" s="1" t="s">
        <v>30</v>
      </c>
      <c r="D30" t="s">
        <v>376</v>
      </c>
      <c r="E30" s="2">
        <v>251877</v>
      </c>
      <c r="F30" s="2">
        <v>193606</v>
      </c>
      <c r="G30" s="2">
        <v>41467</v>
      </c>
      <c r="H30" s="2">
        <v>152139</v>
      </c>
      <c r="I30" s="2">
        <v>58271</v>
      </c>
      <c r="J30" s="2">
        <v>13389</v>
      </c>
      <c r="K30">
        <v>223799</v>
      </c>
      <c r="L30">
        <v>0</v>
      </c>
      <c r="M30" s="2">
        <v>0</v>
      </c>
      <c r="N30" s="2">
        <v>0</v>
      </c>
      <c r="O30" s="2">
        <v>27860</v>
      </c>
      <c r="P30" s="2">
        <v>0</v>
      </c>
      <c r="Q30" s="2">
        <v>5619</v>
      </c>
      <c r="R30" s="2">
        <v>6292</v>
      </c>
      <c r="S30" s="2">
        <v>39771</v>
      </c>
      <c r="T30" s="2">
        <v>27860</v>
      </c>
      <c r="U30" s="2">
        <v>11911</v>
      </c>
    </row>
    <row r="31" spans="1:21" x14ac:dyDescent="0.25">
      <c r="A31" s="1" t="s">
        <v>22</v>
      </c>
      <c r="B31" t="s">
        <v>666</v>
      </c>
      <c r="C31" s="1" t="s">
        <v>31</v>
      </c>
      <c r="D31" t="s">
        <v>377</v>
      </c>
      <c r="E31" s="2">
        <v>462295</v>
      </c>
      <c r="F31" s="2">
        <v>355344</v>
      </c>
      <c r="G31" s="2">
        <v>76109</v>
      </c>
      <c r="H31" s="2">
        <v>279235</v>
      </c>
      <c r="I31" s="2">
        <v>106951</v>
      </c>
      <c r="J31" s="2">
        <v>4719</v>
      </c>
      <c r="K31">
        <v>390905</v>
      </c>
      <c r="L31">
        <v>0</v>
      </c>
      <c r="M31" s="2">
        <v>0</v>
      </c>
      <c r="N31" s="2">
        <v>0</v>
      </c>
      <c r="O31" s="2">
        <v>48911</v>
      </c>
      <c r="P31" s="2">
        <v>0</v>
      </c>
      <c r="Q31" s="2">
        <v>0</v>
      </c>
      <c r="R31" s="2">
        <v>0</v>
      </c>
      <c r="S31" s="2">
        <v>48911</v>
      </c>
      <c r="T31" s="2">
        <v>48911</v>
      </c>
      <c r="U31" s="2">
        <v>0</v>
      </c>
    </row>
    <row r="32" spans="1:21" x14ac:dyDescent="0.25">
      <c r="A32" s="1" t="s">
        <v>22</v>
      </c>
      <c r="B32" t="s">
        <v>666</v>
      </c>
      <c r="C32" s="1" t="s">
        <v>32</v>
      </c>
      <c r="D32" t="s">
        <v>378</v>
      </c>
      <c r="E32" s="2">
        <v>1402732</v>
      </c>
      <c r="F32" s="2">
        <v>1078213</v>
      </c>
      <c r="G32" s="2">
        <v>230936</v>
      </c>
      <c r="H32" s="2">
        <v>847277</v>
      </c>
      <c r="I32" s="2">
        <v>324519</v>
      </c>
      <c r="J32" s="2">
        <v>31911</v>
      </c>
      <c r="K32">
        <v>1203707</v>
      </c>
      <c r="L32">
        <v>0</v>
      </c>
      <c r="M32" s="2">
        <v>0</v>
      </c>
      <c r="N32" s="2">
        <v>0</v>
      </c>
      <c r="O32" s="2">
        <v>151883</v>
      </c>
      <c r="P32" s="2">
        <v>0</v>
      </c>
      <c r="Q32" s="2">
        <v>44235</v>
      </c>
      <c r="R32" s="2">
        <v>49529</v>
      </c>
      <c r="S32" s="2">
        <v>245647</v>
      </c>
      <c r="T32" s="2">
        <v>151883</v>
      </c>
      <c r="U32" s="2">
        <v>93764</v>
      </c>
    </row>
    <row r="33" spans="1:21" x14ac:dyDescent="0.25">
      <c r="A33" s="1" t="s">
        <v>22</v>
      </c>
      <c r="B33" t="s">
        <v>666</v>
      </c>
      <c r="C33" s="1" t="s">
        <v>33</v>
      </c>
      <c r="D33" t="s">
        <v>379</v>
      </c>
      <c r="E33" s="2">
        <v>65753</v>
      </c>
      <c r="F33" s="2">
        <v>50541</v>
      </c>
      <c r="G33" s="2">
        <v>10825</v>
      </c>
      <c r="H33" s="2">
        <v>39716</v>
      </c>
      <c r="I33" s="2">
        <v>15212</v>
      </c>
      <c r="J33" s="2">
        <v>7575</v>
      </c>
      <c r="K33">
        <v>62503</v>
      </c>
      <c r="L33">
        <v>0</v>
      </c>
      <c r="M33" s="2">
        <v>0</v>
      </c>
      <c r="N33" s="2">
        <v>0</v>
      </c>
      <c r="O33" s="2">
        <v>7022</v>
      </c>
      <c r="P33" s="2">
        <v>0</v>
      </c>
      <c r="Q33" s="2">
        <v>196</v>
      </c>
      <c r="R33" s="2">
        <v>219</v>
      </c>
      <c r="S33" s="2">
        <v>7437</v>
      </c>
      <c r="T33" s="2">
        <v>7022</v>
      </c>
      <c r="U33" s="2">
        <v>415</v>
      </c>
    </row>
    <row r="34" spans="1:21" x14ac:dyDescent="0.25">
      <c r="A34" s="1" t="s">
        <v>22</v>
      </c>
      <c r="B34" t="s">
        <v>666</v>
      </c>
      <c r="C34" s="1" t="s">
        <v>34</v>
      </c>
      <c r="D34" t="s">
        <v>380</v>
      </c>
      <c r="E34" s="2">
        <v>148472</v>
      </c>
      <c r="F34" s="2">
        <v>114123</v>
      </c>
      <c r="G34" s="2">
        <v>24444</v>
      </c>
      <c r="H34" s="2">
        <v>89679</v>
      </c>
      <c r="I34" s="2">
        <v>34349</v>
      </c>
      <c r="J34">
        <v>0</v>
      </c>
      <c r="K34">
        <v>124028</v>
      </c>
      <c r="L34">
        <v>0</v>
      </c>
      <c r="M34" s="2">
        <v>0</v>
      </c>
      <c r="N34" s="2">
        <v>0</v>
      </c>
      <c r="O34" s="2">
        <v>15708</v>
      </c>
      <c r="P34" s="2">
        <v>0</v>
      </c>
      <c r="Q34" s="2">
        <v>392</v>
      </c>
      <c r="R34" s="2">
        <v>439</v>
      </c>
      <c r="S34" s="2">
        <v>16539</v>
      </c>
      <c r="T34" s="2">
        <v>15708</v>
      </c>
      <c r="U34" s="2">
        <v>831</v>
      </c>
    </row>
    <row r="35" spans="1:21" x14ac:dyDescent="0.25">
      <c r="A35" s="1" t="s">
        <v>22</v>
      </c>
      <c r="B35" t="s">
        <v>666</v>
      </c>
      <c r="C35" s="1" t="s">
        <v>35</v>
      </c>
      <c r="D35" t="s">
        <v>381</v>
      </c>
      <c r="E35" s="2">
        <v>489326</v>
      </c>
      <c r="F35" s="2">
        <v>376122</v>
      </c>
      <c r="G35" s="2">
        <v>80560</v>
      </c>
      <c r="H35" s="2">
        <v>295562</v>
      </c>
      <c r="I35" s="2">
        <v>113204</v>
      </c>
      <c r="J35">
        <v>0</v>
      </c>
      <c r="K35">
        <v>408766</v>
      </c>
      <c r="L35">
        <v>0</v>
      </c>
      <c r="M35" s="2">
        <v>0</v>
      </c>
      <c r="N35" s="2">
        <v>0</v>
      </c>
      <c r="O35" s="2">
        <v>51771</v>
      </c>
      <c r="P35" s="2">
        <v>0</v>
      </c>
      <c r="Q35" s="2">
        <v>457</v>
      </c>
      <c r="R35" s="2">
        <v>512</v>
      </c>
      <c r="S35" s="2">
        <v>52740</v>
      </c>
      <c r="T35" s="2">
        <v>51771</v>
      </c>
      <c r="U35" s="2">
        <v>969</v>
      </c>
    </row>
    <row r="36" spans="1:21" x14ac:dyDescent="0.25">
      <c r="A36" s="1" t="s">
        <v>22</v>
      </c>
      <c r="B36" t="s">
        <v>666</v>
      </c>
      <c r="C36" s="1" t="s">
        <v>36</v>
      </c>
      <c r="D36" t="s">
        <v>382</v>
      </c>
      <c r="E36" s="2">
        <v>118069</v>
      </c>
      <c r="F36" s="2">
        <v>90754</v>
      </c>
      <c r="G36" s="2">
        <v>19438</v>
      </c>
      <c r="H36" s="2">
        <v>71316</v>
      </c>
      <c r="I36" s="2">
        <v>27315</v>
      </c>
      <c r="J36" s="2">
        <v>0</v>
      </c>
      <c r="K36">
        <v>98631</v>
      </c>
      <c r="L36">
        <v>0</v>
      </c>
      <c r="M36" s="2">
        <v>0</v>
      </c>
      <c r="N36" s="2">
        <v>0</v>
      </c>
      <c r="O36" s="2">
        <v>12492</v>
      </c>
      <c r="P36" s="2">
        <v>0</v>
      </c>
      <c r="Q36" s="2">
        <v>0</v>
      </c>
      <c r="R36" s="2">
        <v>0</v>
      </c>
      <c r="S36" s="2">
        <v>12492</v>
      </c>
      <c r="T36" s="2">
        <v>12492</v>
      </c>
      <c r="U36" s="2">
        <v>0</v>
      </c>
    </row>
    <row r="37" spans="1:21" x14ac:dyDescent="0.25">
      <c r="A37" s="1" t="s">
        <v>22</v>
      </c>
      <c r="B37" t="s">
        <v>666</v>
      </c>
      <c r="C37" s="1" t="s">
        <v>37</v>
      </c>
      <c r="D37" t="s">
        <v>383</v>
      </c>
      <c r="E37" s="2">
        <v>483707</v>
      </c>
      <c r="F37" s="2">
        <v>371802</v>
      </c>
      <c r="G37" s="2">
        <v>79634</v>
      </c>
      <c r="H37" s="2">
        <v>292168</v>
      </c>
      <c r="I37" s="2">
        <v>111905</v>
      </c>
      <c r="J37" s="2">
        <v>0</v>
      </c>
      <c r="K37">
        <v>404073</v>
      </c>
      <c r="L37">
        <v>0</v>
      </c>
      <c r="M37" s="2">
        <v>0</v>
      </c>
      <c r="N37" s="2">
        <v>0</v>
      </c>
      <c r="O37" s="2">
        <v>51177</v>
      </c>
      <c r="P37" s="2">
        <v>0</v>
      </c>
      <c r="Q37" s="2">
        <v>8690</v>
      </c>
      <c r="R37" s="2">
        <v>9730</v>
      </c>
      <c r="S37" s="2">
        <v>69597</v>
      </c>
      <c r="T37" s="2">
        <v>51177</v>
      </c>
      <c r="U37" s="2">
        <v>18420</v>
      </c>
    </row>
    <row r="38" spans="1:21" x14ac:dyDescent="0.25">
      <c r="A38" s="1" t="s">
        <v>22</v>
      </c>
      <c r="B38" t="s">
        <v>666</v>
      </c>
      <c r="C38" s="1" t="s">
        <v>38</v>
      </c>
      <c r="D38" t="s">
        <v>384</v>
      </c>
      <c r="E38" s="2">
        <v>129983</v>
      </c>
      <c r="F38" s="2">
        <v>99912</v>
      </c>
      <c r="G38" s="2">
        <v>21399</v>
      </c>
      <c r="H38" s="2">
        <v>78513</v>
      </c>
      <c r="I38" s="2">
        <v>30071</v>
      </c>
      <c r="J38" s="2">
        <v>3808</v>
      </c>
      <c r="K38">
        <v>112392</v>
      </c>
      <c r="L38">
        <v>0</v>
      </c>
      <c r="M38" s="2">
        <v>0</v>
      </c>
      <c r="N38" s="2">
        <v>0</v>
      </c>
      <c r="O38" s="2">
        <v>14164</v>
      </c>
      <c r="P38" s="2">
        <v>0</v>
      </c>
      <c r="Q38" s="2">
        <v>131</v>
      </c>
      <c r="R38" s="2">
        <v>146</v>
      </c>
      <c r="S38" s="2">
        <v>14441</v>
      </c>
      <c r="T38" s="2">
        <v>14164</v>
      </c>
      <c r="U38" s="2">
        <v>277</v>
      </c>
    </row>
    <row r="39" spans="1:21" x14ac:dyDescent="0.25">
      <c r="A39" s="1" t="s">
        <v>22</v>
      </c>
      <c r="B39" t="s">
        <v>666</v>
      </c>
      <c r="C39" s="1" t="s">
        <v>39</v>
      </c>
      <c r="D39" t="s">
        <v>385</v>
      </c>
      <c r="E39" s="2">
        <v>260021</v>
      </c>
      <c r="F39" s="2">
        <v>199865</v>
      </c>
      <c r="G39" s="2">
        <v>42808</v>
      </c>
      <c r="H39" s="2">
        <v>157057</v>
      </c>
      <c r="I39" s="2">
        <v>60156</v>
      </c>
      <c r="J39" s="2">
        <v>0</v>
      </c>
      <c r="K39">
        <v>217213</v>
      </c>
      <c r="L39">
        <v>0</v>
      </c>
      <c r="M39" s="2">
        <v>0</v>
      </c>
      <c r="N39" s="2">
        <v>0</v>
      </c>
      <c r="O39" s="2">
        <v>27510</v>
      </c>
      <c r="P39" s="2">
        <v>0</v>
      </c>
      <c r="Q39" s="2">
        <v>5097</v>
      </c>
      <c r="R39" s="2">
        <v>5706</v>
      </c>
      <c r="S39" s="2">
        <v>38313</v>
      </c>
      <c r="T39" s="2">
        <v>27510</v>
      </c>
      <c r="U39" s="2">
        <v>10803</v>
      </c>
    </row>
    <row r="40" spans="1:21" x14ac:dyDescent="0.25">
      <c r="A40" s="1" t="s">
        <v>22</v>
      </c>
      <c r="B40" t="s">
        <v>666</v>
      </c>
      <c r="C40" s="1" t="s">
        <v>40</v>
      </c>
      <c r="D40" t="s">
        <v>386</v>
      </c>
      <c r="E40" s="2">
        <v>180210</v>
      </c>
      <c r="F40" s="2">
        <v>138519</v>
      </c>
      <c r="G40" s="2">
        <v>29669</v>
      </c>
      <c r="H40" s="2">
        <v>108850</v>
      </c>
      <c r="I40" s="2">
        <v>41691</v>
      </c>
      <c r="J40" s="2">
        <v>7932</v>
      </c>
      <c r="K40">
        <v>158473</v>
      </c>
      <c r="L40">
        <v>0</v>
      </c>
      <c r="M40" s="2">
        <v>0</v>
      </c>
      <c r="N40" s="2">
        <v>0</v>
      </c>
      <c r="O40" s="2">
        <v>19647</v>
      </c>
      <c r="P40" s="2">
        <v>0</v>
      </c>
      <c r="Q40" s="2">
        <v>1045</v>
      </c>
      <c r="R40" s="2">
        <v>1171</v>
      </c>
      <c r="S40" s="2">
        <v>21863</v>
      </c>
      <c r="T40" s="2">
        <v>19647</v>
      </c>
      <c r="U40" s="2">
        <v>2216</v>
      </c>
    </row>
    <row r="41" spans="1:21" x14ac:dyDescent="0.25">
      <c r="A41" s="1" t="s">
        <v>22</v>
      </c>
      <c r="B41" t="s">
        <v>666</v>
      </c>
      <c r="C41" s="1" t="s">
        <v>41</v>
      </c>
      <c r="D41" t="s">
        <v>387</v>
      </c>
      <c r="E41" s="2">
        <v>97890</v>
      </c>
      <c r="F41" s="2">
        <v>75243</v>
      </c>
      <c r="G41" s="2">
        <v>16116</v>
      </c>
      <c r="H41" s="2">
        <v>59127</v>
      </c>
      <c r="I41" s="2">
        <v>22647</v>
      </c>
      <c r="J41" s="2">
        <v>11131</v>
      </c>
      <c r="K41">
        <v>92905</v>
      </c>
      <c r="L41">
        <v>0</v>
      </c>
      <c r="M41" s="2">
        <v>0</v>
      </c>
      <c r="N41" s="2">
        <v>0</v>
      </c>
      <c r="O41" s="2">
        <v>10774</v>
      </c>
      <c r="P41" s="2">
        <v>0</v>
      </c>
      <c r="Q41" s="2">
        <v>1634</v>
      </c>
      <c r="R41" s="2">
        <v>1829</v>
      </c>
      <c r="S41" s="2">
        <v>14237</v>
      </c>
      <c r="T41" s="2">
        <v>10774</v>
      </c>
      <c r="U41" s="2">
        <v>3463</v>
      </c>
    </row>
    <row r="42" spans="1:21" x14ac:dyDescent="0.25">
      <c r="A42" s="1" t="s">
        <v>22</v>
      </c>
      <c r="B42" t="s">
        <v>666</v>
      </c>
      <c r="C42" s="1" t="s">
        <v>42</v>
      </c>
      <c r="D42" t="s">
        <v>388</v>
      </c>
      <c r="E42" s="2">
        <v>157445</v>
      </c>
      <c r="F42" s="2">
        <v>121020</v>
      </c>
      <c r="G42" s="2">
        <v>25921</v>
      </c>
      <c r="H42" s="2">
        <v>95099</v>
      </c>
      <c r="I42" s="2">
        <v>36425</v>
      </c>
      <c r="J42" s="2">
        <v>12790</v>
      </c>
      <c r="K42">
        <v>144314</v>
      </c>
      <c r="L42">
        <v>0</v>
      </c>
      <c r="M42" s="2">
        <v>0</v>
      </c>
      <c r="N42" s="2">
        <v>0</v>
      </c>
      <c r="O42" s="2">
        <v>16658</v>
      </c>
      <c r="P42" s="2">
        <v>0</v>
      </c>
      <c r="Q42" s="2">
        <v>915</v>
      </c>
      <c r="R42" s="2">
        <v>1024</v>
      </c>
      <c r="S42" s="2">
        <v>18597</v>
      </c>
      <c r="T42" s="2">
        <v>16658</v>
      </c>
      <c r="U42" s="2">
        <v>1939</v>
      </c>
    </row>
    <row r="43" spans="1:21" x14ac:dyDescent="0.25">
      <c r="A43" s="1" t="s">
        <v>22</v>
      </c>
      <c r="B43" t="s">
        <v>666</v>
      </c>
      <c r="C43" s="1" t="s">
        <v>44</v>
      </c>
      <c r="D43" t="s">
        <v>389</v>
      </c>
      <c r="E43" s="2">
        <v>412094</v>
      </c>
      <c r="F43" s="2">
        <v>316757</v>
      </c>
      <c r="G43" s="2">
        <v>67844</v>
      </c>
      <c r="H43" s="2">
        <v>248913</v>
      </c>
      <c r="I43" s="2">
        <v>95337</v>
      </c>
      <c r="J43" s="2">
        <v>0</v>
      </c>
      <c r="K43">
        <v>344250</v>
      </c>
      <c r="L43">
        <v>0</v>
      </c>
      <c r="M43" s="2">
        <v>0</v>
      </c>
      <c r="N43" s="2">
        <v>0</v>
      </c>
      <c r="O43" s="2">
        <v>43600</v>
      </c>
      <c r="P43" s="2">
        <v>0</v>
      </c>
      <c r="Q43" s="2">
        <v>849</v>
      </c>
      <c r="R43" s="2">
        <v>951</v>
      </c>
      <c r="S43" s="2">
        <v>45400</v>
      </c>
      <c r="T43" s="2">
        <v>43600</v>
      </c>
      <c r="U43" s="2">
        <v>1800</v>
      </c>
    </row>
    <row r="44" spans="1:21" x14ac:dyDescent="0.25">
      <c r="A44" s="1" t="s">
        <v>22</v>
      </c>
      <c r="B44" t="s">
        <v>666</v>
      </c>
      <c r="C44" s="1" t="s">
        <v>45</v>
      </c>
      <c r="D44" t="s">
        <v>390</v>
      </c>
      <c r="E44" s="2">
        <v>72780</v>
      </c>
      <c r="F44" s="2">
        <v>55942</v>
      </c>
      <c r="G44" s="2">
        <v>11982</v>
      </c>
      <c r="H44" s="2">
        <v>43960</v>
      </c>
      <c r="I44" s="2">
        <v>16838</v>
      </c>
      <c r="J44" s="2">
        <v>0</v>
      </c>
      <c r="K44">
        <v>60798</v>
      </c>
      <c r="L44">
        <v>0</v>
      </c>
      <c r="M44" s="2">
        <v>0</v>
      </c>
      <c r="N44" s="2">
        <v>0</v>
      </c>
      <c r="O44" s="2">
        <v>7700</v>
      </c>
      <c r="P44" s="2">
        <v>0</v>
      </c>
      <c r="Q44" s="2">
        <v>327</v>
      </c>
      <c r="R44" s="2">
        <v>366</v>
      </c>
      <c r="S44" s="2">
        <v>8393</v>
      </c>
      <c r="T44" s="2">
        <v>7700</v>
      </c>
      <c r="U44" s="2">
        <v>693</v>
      </c>
    </row>
    <row r="45" spans="1:21" x14ac:dyDescent="0.25">
      <c r="A45" s="1" t="s">
        <v>22</v>
      </c>
      <c r="B45" t="s">
        <v>666</v>
      </c>
      <c r="C45" s="1" t="s">
        <v>46</v>
      </c>
      <c r="D45" t="s">
        <v>391</v>
      </c>
      <c r="E45" s="2">
        <v>265615</v>
      </c>
      <c r="F45" s="2">
        <v>204165</v>
      </c>
      <c r="G45" s="2">
        <v>43729</v>
      </c>
      <c r="H45" s="2">
        <v>160436</v>
      </c>
      <c r="I45" s="2">
        <v>61450</v>
      </c>
      <c r="J45" s="2">
        <v>432</v>
      </c>
      <c r="K45">
        <v>222318</v>
      </c>
      <c r="L45">
        <v>0</v>
      </c>
      <c r="M45" s="2">
        <v>0</v>
      </c>
      <c r="N45" s="2">
        <v>0</v>
      </c>
      <c r="O45" s="2">
        <v>28102</v>
      </c>
      <c r="P45" s="2">
        <v>0</v>
      </c>
      <c r="Q45" s="2">
        <v>5946</v>
      </c>
      <c r="R45" s="2">
        <v>6658</v>
      </c>
      <c r="S45" s="2">
        <v>40706</v>
      </c>
      <c r="T45" s="2">
        <v>28102</v>
      </c>
      <c r="U45" s="2">
        <v>12604</v>
      </c>
    </row>
    <row r="46" spans="1:21" x14ac:dyDescent="0.25">
      <c r="A46" s="1" t="s">
        <v>22</v>
      </c>
      <c r="B46" t="s">
        <v>666</v>
      </c>
      <c r="C46" s="1" t="s">
        <v>47</v>
      </c>
      <c r="D46" t="s">
        <v>392</v>
      </c>
      <c r="E46" s="2">
        <v>78263</v>
      </c>
      <c r="F46" s="2">
        <v>60157</v>
      </c>
      <c r="G46" s="2">
        <v>12884</v>
      </c>
      <c r="H46" s="2">
        <v>47273</v>
      </c>
      <c r="I46" s="2">
        <v>18106</v>
      </c>
      <c r="J46" s="2">
        <v>8212</v>
      </c>
      <c r="K46">
        <v>73591</v>
      </c>
      <c r="L46">
        <v>0</v>
      </c>
      <c r="M46" s="2">
        <v>0</v>
      </c>
      <c r="N46" s="2">
        <v>0</v>
      </c>
      <c r="O46" s="2">
        <v>8280</v>
      </c>
      <c r="P46" s="2">
        <v>0</v>
      </c>
      <c r="Q46" s="2">
        <v>653</v>
      </c>
      <c r="R46" s="2">
        <v>732</v>
      </c>
      <c r="S46" s="2">
        <v>9665</v>
      </c>
      <c r="T46" s="2">
        <v>8280</v>
      </c>
      <c r="U46" s="2">
        <v>1385</v>
      </c>
    </row>
    <row r="47" spans="1:21" x14ac:dyDescent="0.25">
      <c r="A47" s="1" t="s">
        <v>22</v>
      </c>
      <c r="B47" t="s">
        <v>666</v>
      </c>
      <c r="C47" s="1" t="s">
        <v>48</v>
      </c>
      <c r="D47" t="s">
        <v>393</v>
      </c>
      <c r="E47" s="2">
        <v>144967</v>
      </c>
      <c r="F47" s="2">
        <v>111429</v>
      </c>
      <c r="G47" s="2">
        <v>23867</v>
      </c>
      <c r="H47" s="2">
        <v>87562</v>
      </c>
      <c r="I47" s="2">
        <v>33538</v>
      </c>
      <c r="J47" s="2">
        <v>0</v>
      </c>
      <c r="K47">
        <v>121100</v>
      </c>
      <c r="L47">
        <v>0</v>
      </c>
      <c r="M47" s="2">
        <v>0</v>
      </c>
      <c r="N47" s="2">
        <v>0</v>
      </c>
      <c r="O47" s="2">
        <v>15338</v>
      </c>
      <c r="P47" s="2">
        <v>0</v>
      </c>
      <c r="Q47" s="2">
        <v>1503</v>
      </c>
      <c r="R47" s="2">
        <v>1683</v>
      </c>
      <c r="S47" s="2">
        <v>18524</v>
      </c>
      <c r="T47" s="2">
        <v>15338</v>
      </c>
      <c r="U47" s="2">
        <v>3186</v>
      </c>
    </row>
    <row r="48" spans="1:21" x14ac:dyDescent="0.25">
      <c r="A48" s="1" t="s">
        <v>22</v>
      </c>
      <c r="B48" t="s">
        <v>666</v>
      </c>
      <c r="C48" s="1" t="s">
        <v>49</v>
      </c>
      <c r="D48" t="s">
        <v>394</v>
      </c>
      <c r="E48" s="2">
        <v>171679</v>
      </c>
      <c r="F48" s="2">
        <v>131961</v>
      </c>
      <c r="G48" s="2">
        <v>28264</v>
      </c>
      <c r="H48" s="2">
        <v>103697</v>
      </c>
      <c r="I48" s="2">
        <v>39718</v>
      </c>
      <c r="J48" s="2">
        <v>2897</v>
      </c>
      <c r="K48">
        <v>146312</v>
      </c>
      <c r="L48">
        <v>0</v>
      </c>
      <c r="M48" s="2">
        <v>0</v>
      </c>
      <c r="N48" s="2">
        <v>0</v>
      </c>
      <c r="O48" s="2">
        <v>18473</v>
      </c>
      <c r="P48" s="2">
        <v>0</v>
      </c>
      <c r="Q48" s="2">
        <v>849</v>
      </c>
      <c r="R48" s="2">
        <v>951</v>
      </c>
      <c r="S48" s="2">
        <v>20273</v>
      </c>
      <c r="T48" s="2">
        <v>18473</v>
      </c>
      <c r="U48" s="2">
        <v>1800</v>
      </c>
    </row>
    <row r="49" spans="1:21" x14ac:dyDescent="0.25">
      <c r="A49" s="1" t="s">
        <v>22</v>
      </c>
      <c r="B49" t="s">
        <v>666</v>
      </c>
      <c r="C49" s="1" t="s">
        <v>50</v>
      </c>
      <c r="D49" t="s">
        <v>395</v>
      </c>
      <c r="E49" s="2">
        <v>361461</v>
      </c>
      <c r="F49" s="2">
        <v>277838</v>
      </c>
      <c r="G49" s="2">
        <v>59509</v>
      </c>
      <c r="H49" s="2">
        <v>218329</v>
      </c>
      <c r="I49" s="2">
        <v>83623</v>
      </c>
      <c r="J49" s="2">
        <v>1776</v>
      </c>
      <c r="K49">
        <v>303728</v>
      </c>
      <c r="L49">
        <v>0</v>
      </c>
      <c r="M49" s="2">
        <v>0</v>
      </c>
      <c r="N49" s="2">
        <v>0</v>
      </c>
      <c r="O49" s="2">
        <v>38455</v>
      </c>
      <c r="P49" s="2">
        <v>0</v>
      </c>
      <c r="Q49" s="2">
        <v>2483</v>
      </c>
      <c r="R49" s="2">
        <v>2780</v>
      </c>
      <c r="S49" s="2">
        <v>43718</v>
      </c>
      <c r="T49" s="2">
        <v>38455</v>
      </c>
      <c r="U49" s="2">
        <v>5263</v>
      </c>
    </row>
    <row r="50" spans="1:21" x14ac:dyDescent="0.25">
      <c r="A50" s="1" t="s">
        <v>22</v>
      </c>
      <c r="B50" t="s">
        <v>666</v>
      </c>
      <c r="C50" s="1" t="s">
        <v>51</v>
      </c>
      <c r="D50" t="s">
        <v>396</v>
      </c>
      <c r="E50" s="2">
        <v>241934</v>
      </c>
      <c r="F50" s="2">
        <v>185963</v>
      </c>
      <c r="G50" s="2">
        <v>39831</v>
      </c>
      <c r="H50" s="2">
        <v>146132</v>
      </c>
      <c r="I50" s="2">
        <v>55971</v>
      </c>
      <c r="J50">
        <v>0</v>
      </c>
      <c r="K50">
        <v>202103</v>
      </c>
      <c r="L50">
        <v>0</v>
      </c>
      <c r="M50" s="2">
        <v>0</v>
      </c>
      <c r="N50" s="2">
        <v>0</v>
      </c>
      <c r="O50" s="2">
        <v>25597</v>
      </c>
      <c r="P50" s="2">
        <v>0</v>
      </c>
      <c r="Q50" s="2">
        <v>196</v>
      </c>
      <c r="R50" s="2">
        <v>219</v>
      </c>
      <c r="S50" s="2">
        <v>26012</v>
      </c>
      <c r="T50" s="2">
        <v>25597</v>
      </c>
      <c r="U50" s="2">
        <v>415</v>
      </c>
    </row>
    <row r="51" spans="1:21" x14ac:dyDescent="0.25">
      <c r="A51" s="1" t="s">
        <v>22</v>
      </c>
      <c r="B51" t="s">
        <v>666</v>
      </c>
      <c r="C51" s="1" t="s">
        <v>52</v>
      </c>
      <c r="D51" t="s">
        <v>675</v>
      </c>
      <c r="E51" s="2">
        <v>441100</v>
      </c>
      <c r="F51" s="2">
        <v>339052</v>
      </c>
      <c r="G51" s="2">
        <v>72619</v>
      </c>
      <c r="H51" s="2">
        <v>266433</v>
      </c>
      <c r="I51" s="2">
        <v>102048</v>
      </c>
      <c r="J51" s="2">
        <v>0</v>
      </c>
      <c r="K51">
        <v>368481</v>
      </c>
      <c r="L51">
        <v>0</v>
      </c>
      <c r="M51" s="2">
        <v>0</v>
      </c>
      <c r="N51" s="2">
        <v>0</v>
      </c>
      <c r="O51" s="2">
        <v>46669</v>
      </c>
      <c r="P51" s="2">
        <v>0</v>
      </c>
      <c r="Q51" s="2">
        <v>1634</v>
      </c>
      <c r="R51" s="2">
        <v>1829</v>
      </c>
      <c r="S51" s="2">
        <v>50132</v>
      </c>
      <c r="T51" s="2">
        <v>46669</v>
      </c>
      <c r="U51" s="2">
        <v>3463</v>
      </c>
    </row>
    <row r="52" spans="1:21" x14ac:dyDescent="0.25">
      <c r="A52" s="1" t="s">
        <v>22</v>
      </c>
      <c r="B52" t="s">
        <v>666</v>
      </c>
      <c r="C52" s="1" t="s">
        <v>53</v>
      </c>
      <c r="D52" t="s">
        <v>397</v>
      </c>
      <c r="E52" s="2">
        <v>818166</v>
      </c>
      <c r="F52" s="2">
        <v>628885</v>
      </c>
      <c r="G52" s="2">
        <v>134697</v>
      </c>
      <c r="H52" s="2">
        <v>494188</v>
      </c>
      <c r="I52" s="2">
        <v>189281</v>
      </c>
      <c r="J52" s="2">
        <v>20254</v>
      </c>
      <c r="K52">
        <v>703723</v>
      </c>
      <c r="L52">
        <v>0</v>
      </c>
      <c r="M52" s="2">
        <v>0</v>
      </c>
      <c r="N52" s="2">
        <v>0</v>
      </c>
      <c r="O52" s="2">
        <v>88762</v>
      </c>
      <c r="P52" s="2">
        <v>0</v>
      </c>
      <c r="Q52" s="2">
        <v>14898</v>
      </c>
      <c r="R52" s="2">
        <v>16680</v>
      </c>
      <c r="S52" s="2">
        <v>120340</v>
      </c>
      <c r="T52" s="2">
        <v>88762</v>
      </c>
      <c r="U52" s="2">
        <v>31578</v>
      </c>
    </row>
    <row r="53" spans="1:21" x14ac:dyDescent="0.25">
      <c r="A53" s="1" t="s">
        <v>22</v>
      </c>
      <c r="B53" t="s">
        <v>666</v>
      </c>
      <c r="C53" s="1" t="s">
        <v>54</v>
      </c>
      <c r="D53" t="s">
        <v>398</v>
      </c>
      <c r="E53" s="2">
        <v>457186</v>
      </c>
      <c r="F53" s="2">
        <v>351417</v>
      </c>
      <c r="G53" s="2">
        <v>75268</v>
      </c>
      <c r="H53" s="2">
        <v>276149</v>
      </c>
      <c r="I53" s="2">
        <v>105769</v>
      </c>
      <c r="J53" s="2">
        <v>0</v>
      </c>
      <c r="K53">
        <v>381918</v>
      </c>
      <c r="L53">
        <v>0</v>
      </c>
      <c r="M53" s="2">
        <v>0</v>
      </c>
      <c r="N53" s="2">
        <v>0</v>
      </c>
      <c r="O53" s="2">
        <v>48384</v>
      </c>
      <c r="P53" s="2">
        <v>0</v>
      </c>
      <c r="Q53" s="2">
        <v>0</v>
      </c>
      <c r="R53" s="2">
        <v>0</v>
      </c>
      <c r="S53" s="2">
        <v>48384</v>
      </c>
      <c r="T53" s="2">
        <v>48384</v>
      </c>
      <c r="U53" s="2">
        <v>0</v>
      </c>
    </row>
    <row r="54" spans="1:21" x14ac:dyDescent="0.25">
      <c r="A54" s="1" t="s">
        <v>22</v>
      </c>
      <c r="B54" t="s">
        <v>666</v>
      </c>
      <c r="C54" s="1" t="s">
        <v>55</v>
      </c>
      <c r="D54" t="s">
        <v>399</v>
      </c>
      <c r="E54" s="2">
        <v>1089490</v>
      </c>
      <c r="F54" s="2">
        <v>837439</v>
      </c>
      <c r="G54" s="2">
        <v>179366</v>
      </c>
      <c r="H54" s="2">
        <v>658073</v>
      </c>
      <c r="I54" s="2">
        <v>252051</v>
      </c>
      <c r="J54">
        <v>0</v>
      </c>
      <c r="K54">
        <v>910124</v>
      </c>
      <c r="L54">
        <v>0</v>
      </c>
      <c r="M54" s="2">
        <v>0</v>
      </c>
      <c r="N54" s="2">
        <v>0</v>
      </c>
      <c r="O54" s="2">
        <v>115269</v>
      </c>
      <c r="P54" s="2">
        <v>0</v>
      </c>
      <c r="Q54" s="2">
        <v>12937</v>
      </c>
      <c r="R54" s="2">
        <v>14486</v>
      </c>
      <c r="S54" s="2">
        <v>142692</v>
      </c>
      <c r="T54" s="2">
        <v>115269</v>
      </c>
      <c r="U54" s="2">
        <v>27423</v>
      </c>
    </row>
    <row r="55" spans="1:21" x14ac:dyDescent="0.25">
      <c r="A55" s="1" t="s">
        <v>22</v>
      </c>
      <c r="B55" t="s">
        <v>666</v>
      </c>
      <c r="C55" s="1" t="s">
        <v>56</v>
      </c>
      <c r="D55" t="s">
        <v>400</v>
      </c>
      <c r="E55" s="2">
        <v>56410</v>
      </c>
      <c r="F55" s="2">
        <v>43360</v>
      </c>
      <c r="G55" s="2">
        <v>9287</v>
      </c>
      <c r="H55" s="2">
        <v>34073</v>
      </c>
      <c r="I55" s="2">
        <v>13050</v>
      </c>
      <c r="J55" s="2">
        <v>7101</v>
      </c>
      <c r="K55">
        <v>54224</v>
      </c>
      <c r="L55">
        <v>0</v>
      </c>
      <c r="M55" s="2">
        <v>0</v>
      </c>
      <c r="N55" s="2">
        <v>0</v>
      </c>
      <c r="O55" s="2">
        <v>6381</v>
      </c>
      <c r="P55" s="2">
        <v>0</v>
      </c>
      <c r="Q55" s="2">
        <v>392</v>
      </c>
      <c r="R55" s="2">
        <v>439</v>
      </c>
      <c r="S55" s="2">
        <v>7212</v>
      </c>
      <c r="T55" s="2">
        <v>6381</v>
      </c>
      <c r="U55" s="2">
        <v>831</v>
      </c>
    </row>
    <row r="56" spans="1:21" x14ac:dyDescent="0.25">
      <c r="A56" s="1" t="s">
        <v>22</v>
      </c>
      <c r="B56" t="s">
        <v>666</v>
      </c>
      <c r="C56" s="1" t="s">
        <v>57</v>
      </c>
      <c r="D56" t="s">
        <v>401</v>
      </c>
      <c r="E56" s="2">
        <v>67634</v>
      </c>
      <c r="F56" s="2">
        <v>51987</v>
      </c>
      <c r="G56" s="2">
        <v>11135</v>
      </c>
      <c r="H56" s="2">
        <v>40852</v>
      </c>
      <c r="I56" s="2">
        <v>15647</v>
      </c>
      <c r="J56" s="2">
        <v>0</v>
      </c>
      <c r="K56">
        <v>56499</v>
      </c>
      <c r="L56">
        <v>0</v>
      </c>
      <c r="M56" s="2">
        <v>0</v>
      </c>
      <c r="N56" s="2">
        <v>0</v>
      </c>
      <c r="O56" s="2">
        <v>7156</v>
      </c>
      <c r="P56" s="2">
        <v>0</v>
      </c>
      <c r="Q56" s="2">
        <v>1176</v>
      </c>
      <c r="R56" s="2">
        <v>1317</v>
      </c>
      <c r="S56" s="2">
        <v>9649</v>
      </c>
      <c r="T56" s="2">
        <v>7156</v>
      </c>
      <c r="U56" s="2">
        <v>2493</v>
      </c>
    </row>
    <row r="57" spans="1:21" x14ac:dyDescent="0.25">
      <c r="A57" s="1" t="s">
        <v>22</v>
      </c>
      <c r="B57" t="s">
        <v>666</v>
      </c>
      <c r="C57" s="1" t="s">
        <v>58</v>
      </c>
      <c r="D57" t="s">
        <v>402</v>
      </c>
      <c r="E57" s="2">
        <v>692786</v>
      </c>
      <c r="F57" s="2">
        <v>532512</v>
      </c>
      <c r="G57" s="2">
        <v>114055</v>
      </c>
      <c r="H57" s="2">
        <v>418457</v>
      </c>
      <c r="I57" s="2">
        <v>160274</v>
      </c>
      <c r="J57" s="2">
        <v>0</v>
      </c>
      <c r="K57">
        <v>578731</v>
      </c>
      <c r="L57">
        <v>0</v>
      </c>
      <c r="M57" s="2">
        <v>0</v>
      </c>
      <c r="N57" s="2">
        <v>0</v>
      </c>
      <c r="O57" s="2">
        <v>73298</v>
      </c>
      <c r="P57" s="2">
        <v>0</v>
      </c>
      <c r="Q57" s="2">
        <v>5881</v>
      </c>
      <c r="R57" s="2">
        <v>6584</v>
      </c>
      <c r="S57" s="2">
        <v>85763</v>
      </c>
      <c r="T57" s="2">
        <v>73298</v>
      </c>
      <c r="U57" s="2">
        <v>12465</v>
      </c>
    </row>
    <row r="58" spans="1:21" x14ac:dyDescent="0.25">
      <c r="A58" s="1" t="s">
        <v>22</v>
      </c>
      <c r="B58" t="s">
        <v>666</v>
      </c>
      <c r="C58" s="1" t="s">
        <v>59</v>
      </c>
      <c r="D58" t="s">
        <v>403</v>
      </c>
      <c r="E58" s="2">
        <v>125402</v>
      </c>
      <c r="F58" s="2">
        <v>96390</v>
      </c>
      <c r="G58" s="2">
        <v>20645</v>
      </c>
      <c r="H58" s="2">
        <v>75745</v>
      </c>
      <c r="I58" s="2">
        <v>29012</v>
      </c>
      <c r="J58" s="2">
        <v>3986</v>
      </c>
      <c r="K58">
        <v>108743</v>
      </c>
      <c r="L58">
        <v>0</v>
      </c>
      <c r="M58" s="2">
        <v>0</v>
      </c>
      <c r="N58" s="2">
        <v>0</v>
      </c>
      <c r="O58" s="2">
        <v>13698</v>
      </c>
      <c r="P58" s="2">
        <v>0</v>
      </c>
      <c r="Q58" s="2">
        <v>2614</v>
      </c>
      <c r="R58" s="2">
        <v>2926</v>
      </c>
      <c r="S58" s="2">
        <v>19238</v>
      </c>
      <c r="T58" s="2">
        <v>13698</v>
      </c>
      <c r="U58" s="2">
        <v>5540</v>
      </c>
    </row>
    <row r="59" spans="1:21" x14ac:dyDescent="0.25">
      <c r="A59" s="1" t="s">
        <v>60</v>
      </c>
      <c r="B59" t="s">
        <v>667</v>
      </c>
      <c r="C59" s="1" t="s">
        <v>61</v>
      </c>
      <c r="D59" t="s">
        <v>62</v>
      </c>
      <c r="E59" s="2">
        <v>281388</v>
      </c>
      <c r="F59" s="2">
        <v>220358</v>
      </c>
      <c r="G59" s="2">
        <v>47198</v>
      </c>
      <c r="H59" s="2">
        <v>173160</v>
      </c>
      <c r="I59" s="2">
        <v>61030</v>
      </c>
      <c r="J59" s="2">
        <v>4081</v>
      </c>
      <c r="K59">
        <v>238271</v>
      </c>
      <c r="L59">
        <v>270</v>
      </c>
      <c r="M59" s="2">
        <v>75</v>
      </c>
      <c r="N59" s="2">
        <v>345</v>
      </c>
      <c r="O59" s="2">
        <v>35155</v>
      </c>
      <c r="P59" s="2">
        <v>0</v>
      </c>
      <c r="Q59" s="2">
        <v>1632</v>
      </c>
      <c r="R59" s="2">
        <v>1820</v>
      </c>
      <c r="S59" s="2">
        <v>38952</v>
      </c>
      <c r="T59" s="2">
        <v>35425</v>
      </c>
      <c r="U59" s="2">
        <v>3527</v>
      </c>
    </row>
    <row r="60" spans="1:21" x14ac:dyDescent="0.25">
      <c r="A60" s="1" t="s">
        <v>60</v>
      </c>
      <c r="B60" t="s">
        <v>667</v>
      </c>
      <c r="C60" s="1" t="s">
        <v>63</v>
      </c>
      <c r="D60" t="s">
        <v>404</v>
      </c>
      <c r="E60" s="2">
        <v>94422</v>
      </c>
      <c r="F60" s="2">
        <v>73943</v>
      </c>
      <c r="G60" s="2">
        <v>15838</v>
      </c>
      <c r="H60" s="2">
        <v>58105</v>
      </c>
      <c r="I60" s="2">
        <v>20479</v>
      </c>
      <c r="J60" s="2">
        <v>5533</v>
      </c>
      <c r="K60">
        <v>84117</v>
      </c>
      <c r="L60">
        <v>91</v>
      </c>
      <c r="M60" s="2">
        <v>25</v>
      </c>
      <c r="N60" s="2">
        <v>116</v>
      </c>
      <c r="O60" s="2">
        <v>12273</v>
      </c>
      <c r="P60" s="2">
        <v>0</v>
      </c>
      <c r="Q60" s="2">
        <v>0</v>
      </c>
      <c r="R60" s="2">
        <v>0</v>
      </c>
      <c r="S60" s="2">
        <v>12389</v>
      </c>
      <c r="T60" s="2">
        <v>12364</v>
      </c>
      <c r="U60" s="2">
        <v>25</v>
      </c>
    </row>
    <row r="61" spans="1:21" x14ac:dyDescent="0.25">
      <c r="A61" s="1" t="s">
        <v>60</v>
      </c>
      <c r="B61" t="s">
        <v>667</v>
      </c>
      <c r="C61" s="1" t="s">
        <v>64</v>
      </c>
      <c r="D61" t="s">
        <v>405</v>
      </c>
      <c r="E61" s="2">
        <v>321327</v>
      </c>
      <c r="F61" s="2">
        <v>251635</v>
      </c>
      <c r="G61" s="2">
        <v>53897</v>
      </c>
      <c r="H61" s="2">
        <v>197738</v>
      </c>
      <c r="I61" s="2">
        <v>69692</v>
      </c>
      <c r="J61">
        <v>0</v>
      </c>
      <c r="K61">
        <v>267430</v>
      </c>
      <c r="L61">
        <v>306</v>
      </c>
      <c r="M61" s="2">
        <v>85</v>
      </c>
      <c r="N61" s="2">
        <v>391</v>
      </c>
      <c r="O61" s="2">
        <v>39441</v>
      </c>
      <c r="P61" s="2">
        <v>0</v>
      </c>
      <c r="Q61" s="2">
        <v>1306</v>
      </c>
      <c r="R61" s="2">
        <v>1456</v>
      </c>
      <c r="S61" s="2">
        <v>42594</v>
      </c>
      <c r="T61" s="2">
        <v>39747</v>
      </c>
      <c r="U61" s="2">
        <v>2847</v>
      </c>
    </row>
    <row r="62" spans="1:21" x14ac:dyDescent="0.25">
      <c r="A62" s="1" t="s">
        <v>60</v>
      </c>
      <c r="B62" t="s">
        <v>667</v>
      </c>
      <c r="C62" s="1" t="s">
        <v>65</v>
      </c>
      <c r="D62" t="s">
        <v>66</v>
      </c>
      <c r="E62" s="2">
        <v>178888</v>
      </c>
      <c r="F62" s="2">
        <v>140089</v>
      </c>
      <c r="G62" s="2">
        <v>30005</v>
      </c>
      <c r="H62" s="2">
        <v>110084</v>
      </c>
      <c r="I62" s="2">
        <v>38799</v>
      </c>
      <c r="J62" s="2">
        <v>7624</v>
      </c>
      <c r="K62">
        <v>156507</v>
      </c>
      <c r="L62">
        <v>171</v>
      </c>
      <c r="M62" s="2">
        <v>48</v>
      </c>
      <c r="N62" s="2">
        <v>219</v>
      </c>
      <c r="O62" s="2">
        <v>21957</v>
      </c>
      <c r="P62" s="2">
        <v>0</v>
      </c>
      <c r="Q62" s="2">
        <v>261</v>
      </c>
      <c r="R62" s="2">
        <v>291</v>
      </c>
      <c r="S62" s="2">
        <v>22728</v>
      </c>
      <c r="T62" s="2">
        <v>22128</v>
      </c>
      <c r="U62" s="2">
        <v>600</v>
      </c>
    </row>
    <row r="63" spans="1:21" x14ac:dyDescent="0.25">
      <c r="A63" s="1" t="s">
        <v>60</v>
      </c>
      <c r="B63" t="s">
        <v>667</v>
      </c>
      <c r="C63" s="1" t="s">
        <v>67</v>
      </c>
      <c r="D63" t="s">
        <v>406</v>
      </c>
      <c r="E63" s="2">
        <v>283534</v>
      </c>
      <c r="F63" s="2">
        <v>222039</v>
      </c>
      <c r="G63" s="2">
        <v>47558</v>
      </c>
      <c r="H63" s="2">
        <v>174481</v>
      </c>
      <c r="I63" s="2">
        <v>61495</v>
      </c>
      <c r="J63" s="2">
        <v>5664</v>
      </c>
      <c r="K63">
        <v>241640</v>
      </c>
      <c r="L63">
        <v>270</v>
      </c>
      <c r="M63" s="2">
        <v>75</v>
      </c>
      <c r="N63" s="2">
        <v>345</v>
      </c>
      <c r="O63" s="2">
        <v>35614</v>
      </c>
      <c r="P63" s="2">
        <v>0</v>
      </c>
      <c r="Q63" s="2">
        <v>65</v>
      </c>
      <c r="R63" s="2">
        <v>73</v>
      </c>
      <c r="S63" s="2">
        <v>36097</v>
      </c>
      <c r="T63" s="2">
        <v>35884</v>
      </c>
      <c r="U63" s="2">
        <v>213</v>
      </c>
    </row>
    <row r="64" spans="1:21" x14ac:dyDescent="0.25">
      <c r="A64" s="1" t="s">
        <v>60</v>
      </c>
      <c r="B64" t="s">
        <v>667</v>
      </c>
      <c r="C64" s="1" t="s">
        <v>68</v>
      </c>
      <c r="D64" t="s">
        <v>407</v>
      </c>
      <c r="E64" s="2">
        <v>210054</v>
      </c>
      <c r="F64" s="2">
        <v>164496</v>
      </c>
      <c r="G64" s="2">
        <v>35233</v>
      </c>
      <c r="H64" s="2">
        <v>129263</v>
      </c>
      <c r="I64" s="2">
        <v>45558</v>
      </c>
      <c r="J64">
        <v>0</v>
      </c>
      <c r="K64">
        <v>174821</v>
      </c>
      <c r="L64">
        <v>201</v>
      </c>
      <c r="M64" s="2">
        <v>56</v>
      </c>
      <c r="N64" s="2">
        <v>257</v>
      </c>
      <c r="O64" s="2">
        <v>25783</v>
      </c>
      <c r="P64" s="2">
        <v>0</v>
      </c>
      <c r="Q64" s="2">
        <v>0</v>
      </c>
      <c r="R64" s="2">
        <v>0</v>
      </c>
      <c r="S64" s="2">
        <v>26040</v>
      </c>
      <c r="T64" s="2">
        <v>25984</v>
      </c>
      <c r="U64" s="2">
        <v>56</v>
      </c>
    </row>
    <row r="65" spans="1:21" x14ac:dyDescent="0.25">
      <c r="A65" s="1" t="s">
        <v>60</v>
      </c>
      <c r="B65" t="s">
        <v>667</v>
      </c>
      <c r="C65" s="1" t="s">
        <v>69</v>
      </c>
      <c r="D65" t="s">
        <v>70</v>
      </c>
      <c r="E65" s="2">
        <v>115903</v>
      </c>
      <c r="F65" s="2">
        <v>90765</v>
      </c>
      <c r="G65" s="2">
        <v>19440</v>
      </c>
      <c r="H65" s="2">
        <v>71325</v>
      </c>
      <c r="I65" s="2">
        <v>25138</v>
      </c>
      <c r="J65">
        <v>0</v>
      </c>
      <c r="K65">
        <v>96463</v>
      </c>
      <c r="L65">
        <v>110</v>
      </c>
      <c r="M65" s="2">
        <v>31</v>
      </c>
      <c r="N65" s="2">
        <v>141</v>
      </c>
      <c r="O65" s="2">
        <v>14226</v>
      </c>
      <c r="P65" s="2">
        <v>0</v>
      </c>
      <c r="Q65" s="2">
        <v>1567</v>
      </c>
      <c r="R65" s="2">
        <v>1747</v>
      </c>
      <c r="S65" s="2">
        <v>17681</v>
      </c>
      <c r="T65" s="2">
        <v>14336</v>
      </c>
      <c r="U65" s="2">
        <v>3345</v>
      </c>
    </row>
    <row r="66" spans="1:21" x14ac:dyDescent="0.25">
      <c r="A66" s="1" t="s">
        <v>60</v>
      </c>
      <c r="B66" t="s">
        <v>667</v>
      </c>
      <c r="C66" s="1" t="s">
        <v>71</v>
      </c>
      <c r="D66" t="s">
        <v>408</v>
      </c>
      <c r="E66" s="2">
        <v>2210218</v>
      </c>
      <c r="F66" s="2">
        <v>1730848</v>
      </c>
      <c r="G66" s="2">
        <v>370720</v>
      </c>
      <c r="H66" s="2">
        <v>1360128</v>
      </c>
      <c r="I66" s="2">
        <v>479370</v>
      </c>
      <c r="J66" s="2">
        <v>0</v>
      </c>
      <c r="K66" s="2">
        <v>1839498</v>
      </c>
      <c r="L66" s="2">
        <v>2114</v>
      </c>
      <c r="M66" s="2">
        <v>586</v>
      </c>
      <c r="N66" s="2">
        <v>2700</v>
      </c>
      <c r="O66" s="2">
        <v>271292</v>
      </c>
      <c r="P66" s="2">
        <v>0</v>
      </c>
      <c r="Q66" s="2">
        <v>25267</v>
      </c>
      <c r="R66" s="2">
        <v>28166</v>
      </c>
      <c r="S66" s="2">
        <v>327425</v>
      </c>
      <c r="T66" s="2">
        <v>273406</v>
      </c>
      <c r="U66" s="2">
        <v>54019</v>
      </c>
    </row>
    <row r="67" spans="1:21" x14ac:dyDescent="0.25">
      <c r="A67" s="1" t="s">
        <v>60</v>
      </c>
      <c r="B67" t="s">
        <v>667</v>
      </c>
      <c r="C67" s="1" t="s">
        <v>72</v>
      </c>
      <c r="D67" t="s">
        <v>409</v>
      </c>
      <c r="E67" s="2">
        <v>309086</v>
      </c>
      <c r="F67" s="2">
        <v>242049</v>
      </c>
      <c r="G67" s="2">
        <v>51843</v>
      </c>
      <c r="H67" s="2">
        <v>190206</v>
      </c>
      <c r="I67" s="2">
        <v>67037</v>
      </c>
      <c r="J67" s="2">
        <v>549</v>
      </c>
      <c r="K67">
        <v>257792</v>
      </c>
      <c r="L67">
        <v>295</v>
      </c>
      <c r="M67" s="2">
        <v>82</v>
      </c>
      <c r="N67" s="2">
        <v>377</v>
      </c>
      <c r="O67" s="2">
        <v>37939</v>
      </c>
      <c r="P67" s="2">
        <v>0</v>
      </c>
      <c r="Q67" s="2">
        <v>2938</v>
      </c>
      <c r="R67" s="2">
        <v>3275</v>
      </c>
      <c r="S67" s="2">
        <v>44529</v>
      </c>
      <c r="T67" s="2">
        <v>38234</v>
      </c>
      <c r="U67" s="2">
        <v>6295</v>
      </c>
    </row>
    <row r="68" spans="1:21" x14ac:dyDescent="0.25">
      <c r="A68" s="1" t="s">
        <v>60</v>
      </c>
      <c r="B68" t="s">
        <v>667</v>
      </c>
      <c r="C68" s="1" t="s">
        <v>73</v>
      </c>
      <c r="D68" t="s">
        <v>410</v>
      </c>
      <c r="E68" s="2">
        <v>605517</v>
      </c>
      <c r="F68" s="2">
        <v>474187</v>
      </c>
      <c r="G68" s="2">
        <v>101564</v>
      </c>
      <c r="H68" s="2">
        <v>372623</v>
      </c>
      <c r="I68" s="2">
        <v>131330</v>
      </c>
      <c r="J68" s="2">
        <v>8248</v>
      </c>
      <c r="K68">
        <v>512201</v>
      </c>
      <c r="L68">
        <v>580</v>
      </c>
      <c r="M68" s="2">
        <v>160</v>
      </c>
      <c r="N68" s="2">
        <v>740</v>
      </c>
      <c r="O68" s="2">
        <v>75584</v>
      </c>
      <c r="P68" s="2">
        <v>0</v>
      </c>
      <c r="Q68" s="2">
        <v>14951</v>
      </c>
      <c r="R68" s="2">
        <v>16667</v>
      </c>
      <c r="S68" s="2">
        <v>107942</v>
      </c>
      <c r="T68" s="2">
        <v>76164</v>
      </c>
      <c r="U68" s="2">
        <v>31778</v>
      </c>
    </row>
    <row r="69" spans="1:21" x14ac:dyDescent="0.25">
      <c r="A69" s="1" t="s">
        <v>60</v>
      </c>
      <c r="B69" t="s">
        <v>667</v>
      </c>
      <c r="C69" s="1" t="s">
        <v>74</v>
      </c>
      <c r="D69" t="s">
        <v>411</v>
      </c>
      <c r="E69" s="2">
        <v>116090</v>
      </c>
      <c r="F69" s="2">
        <v>90912</v>
      </c>
      <c r="G69" s="2">
        <v>19471</v>
      </c>
      <c r="H69" s="2">
        <v>71441</v>
      </c>
      <c r="I69" s="2">
        <v>25178</v>
      </c>
      <c r="J69" s="2">
        <v>1704</v>
      </c>
      <c r="K69">
        <v>98323</v>
      </c>
      <c r="L69">
        <v>110</v>
      </c>
      <c r="M69" s="2">
        <v>31</v>
      </c>
      <c r="N69" s="2">
        <v>141</v>
      </c>
      <c r="O69" s="2">
        <v>14249</v>
      </c>
      <c r="P69" s="2">
        <v>0</v>
      </c>
      <c r="Q69" s="2">
        <v>326</v>
      </c>
      <c r="R69" s="2">
        <v>364</v>
      </c>
      <c r="S69" s="2">
        <v>15080</v>
      </c>
      <c r="T69" s="2">
        <v>14359</v>
      </c>
      <c r="U69" s="2">
        <v>721</v>
      </c>
    </row>
    <row r="70" spans="1:21" x14ac:dyDescent="0.25">
      <c r="A70" s="1" t="s">
        <v>60</v>
      </c>
      <c r="B70" t="s">
        <v>667</v>
      </c>
      <c r="C70" s="1" t="s">
        <v>75</v>
      </c>
      <c r="D70" t="s">
        <v>412</v>
      </c>
      <c r="E70" s="2">
        <v>455395</v>
      </c>
      <c r="F70" s="2">
        <v>356625</v>
      </c>
      <c r="G70" s="2">
        <v>76383</v>
      </c>
      <c r="H70" s="2">
        <v>280242</v>
      </c>
      <c r="I70" s="2">
        <v>98770</v>
      </c>
      <c r="J70" s="2">
        <v>30</v>
      </c>
      <c r="K70">
        <v>379042</v>
      </c>
      <c r="L70">
        <v>436</v>
      </c>
      <c r="M70" s="2">
        <v>121</v>
      </c>
      <c r="N70" s="2">
        <v>557</v>
      </c>
      <c r="O70" s="2">
        <v>55897</v>
      </c>
      <c r="P70" s="2">
        <v>0</v>
      </c>
      <c r="Q70" s="2">
        <v>3199</v>
      </c>
      <c r="R70" s="2">
        <v>3566</v>
      </c>
      <c r="S70" s="2">
        <v>63219</v>
      </c>
      <c r="T70" s="2">
        <v>56333</v>
      </c>
      <c r="U70" s="2">
        <v>6886</v>
      </c>
    </row>
    <row r="71" spans="1:21" x14ac:dyDescent="0.25">
      <c r="A71" s="1" t="s">
        <v>60</v>
      </c>
      <c r="B71" t="s">
        <v>667</v>
      </c>
      <c r="C71" s="1" t="s">
        <v>76</v>
      </c>
      <c r="D71" t="s">
        <v>413</v>
      </c>
      <c r="E71" s="2">
        <v>335530</v>
      </c>
      <c r="F71" s="2">
        <v>262758</v>
      </c>
      <c r="G71" s="2">
        <v>56278</v>
      </c>
      <c r="H71" s="2">
        <v>206480</v>
      </c>
      <c r="I71" s="2">
        <v>72772</v>
      </c>
      <c r="J71">
        <v>0</v>
      </c>
      <c r="K71">
        <v>279252</v>
      </c>
      <c r="L71">
        <v>320</v>
      </c>
      <c r="M71" s="2">
        <v>89</v>
      </c>
      <c r="N71" s="2">
        <v>409</v>
      </c>
      <c r="O71" s="2">
        <v>41184</v>
      </c>
      <c r="P71" s="2">
        <v>0</v>
      </c>
      <c r="Q71" s="2">
        <v>914</v>
      </c>
      <c r="R71" s="2">
        <v>1019</v>
      </c>
      <c r="S71" s="2">
        <v>43526</v>
      </c>
      <c r="T71" s="2">
        <v>41504</v>
      </c>
      <c r="U71" s="2">
        <v>2022</v>
      </c>
    </row>
    <row r="72" spans="1:21" x14ac:dyDescent="0.25">
      <c r="A72" s="1" t="s">
        <v>60</v>
      </c>
      <c r="B72" t="s">
        <v>667</v>
      </c>
      <c r="C72" s="1" t="s">
        <v>77</v>
      </c>
      <c r="D72" t="s">
        <v>414</v>
      </c>
      <c r="E72" s="2">
        <v>340933</v>
      </c>
      <c r="F72" s="2">
        <v>266989</v>
      </c>
      <c r="G72" s="2">
        <v>57184</v>
      </c>
      <c r="H72" s="2">
        <v>209805</v>
      </c>
      <c r="I72" s="2">
        <v>73944</v>
      </c>
      <c r="J72" s="2">
        <v>178</v>
      </c>
      <c r="K72">
        <v>283927</v>
      </c>
      <c r="L72">
        <v>326</v>
      </c>
      <c r="M72" s="2">
        <v>90</v>
      </c>
      <c r="N72" s="2">
        <v>416</v>
      </c>
      <c r="O72" s="2">
        <v>42007</v>
      </c>
      <c r="P72" s="2">
        <v>0</v>
      </c>
      <c r="Q72" s="2">
        <v>783</v>
      </c>
      <c r="R72" s="2">
        <v>873</v>
      </c>
      <c r="S72" s="2">
        <v>44079</v>
      </c>
      <c r="T72" s="2">
        <v>42333</v>
      </c>
      <c r="U72" s="2">
        <v>1746</v>
      </c>
    </row>
    <row r="73" spans="1:21" x14ac:dyDescent="0.25">
      <c r="A73" s="1" t="s">
        <v>60</v>
      </c>
      <c r="B73" t="s">
        <v>667</v>
      </c>
      <c r="C73" s="1" t="s">
        <v>78</v>
      </c>
      <c r="D73" t="s">
        <v>415</v>
      </c>
      <c r="E73" s="2">
        <v>140913</v>
      </c>
      <c r="F73" s="2">
        <v>110350</v>
      </c>
      <c r="G73" s="2">
        <v>23635</v>
      </c>
      <c r="H73" s="2">
        <v>86715</v>
      </c>
      <c r="I73" s="2">
        <v>30563</v>
      </c>
      <c r="J73" s="2">
        <v>12769</v>
      </c>
      <c r="K73">
        <v>130047</v>
      </c>
      <c r="L73">
        <v>135</v>
      </c>
      <c r="M73" s="2">
        <v>38</v>
      </c>
      <c r="N73" s="2">
        <v>173</v>
      </c>
      <c r="O73" s="2">
        <v>17626</v>
      </c>
      <c r="P73" s="2">
        <v>0</v>
      </c>
      <c r="Q73" s="2">
        <v>1045</v>
      </c>
      <c r="R73" s="2">
        <v>1164</v>
      </c>
      <c r="S73" s="2">
        <v>20008</v>
      </c>
      <c r="T73" s="2">
        <v>17761</v>
      </c>
      <c r="U73" s="2">
        <v>2247</v>
      </c>
    </row>
    <row r="74" spans="1:21" x14ac:dyDescent="0.25">
      <c r="A74" s="1" t="s">
        <v>60</v>
      </c>
      <c r="B74" t="s">
        <v>667</v>
      </c>
      <c r="C74" s="1" t="s">
        <v>79</v>
      </c>
      <c r="D74" t="s">
        <v>416</v>
      </c>
      <c r="E74" s="2">
        <v>201289</v>
      </c>
      <c r="F74" s="2">
        <v>157632</v>
      </c>
      <c r="G74" s="2">
        <v>33762</v>
      </c>
      <c r="H74" s="2">
        <v>123870</v>
      </c>
      <c r="I74" s="2">
        <v>43657</v>
      </c>
      <c r="J74" s="2">
        <v>13471</v>
      </c>
      <c r="K74">
        <v>180998</v>
      </c>
      <c r="L74">
        <v>193</v>
      </c>
      <c r="M74" s="2">
        <v>54</v>
      </c>
      <c r="N74" s="2">
        <v>247</v>
      </c>
      <c r="O74" s="2">
        <v>26401</v>
      </c>
      <c r="P74" s="2">
        <v>0</v>
      </c>
      <c r="Q74" s="2">
        <v>457</v>
      </c>
      <c r="R74" s="2">
        <v>509</v>
      </c>
      <c r="S74" s="2">
        <v>27614</v>
      </c>
      <c r="T74" s="2">
        <v>26594</v>
      </c>
      <c r="U74" s="2">
        <v>1020</v>
      </c>
    </row>
    <row r="75" spans="1:21" x14ac:dyDescent="0.25">
      <c r="A75" s="1" t="s">
        <v>60</v>
      </c>
      <c r="B75" t="s">
        <v>667</v>
      </c>
      <c r="C75" s="1" t="s">
        <v>80</v>
      </c>
      <c r="D75" t="s">
        <v>417</v>
      </c>
      <c r="E75" s="2">
        <v>199971</v>
      </c>
      <c r="F75" s="2">
        <v>156600</v>
      </c>
      <c r="G75" s="2">
        <v>33541</v>
      </c>
      <c r="H75" s="2">
        <v>123059</v>
      </c>
      <c r="I75" s="2">
        <v>43371</v>
      </c>
      <c r="J75" s="2">
        <v>15632</v>
      </c>
      <c r="K75">
        <v>182062</v>
      </c>
      <c r="L75">
        <v>190</v>
      </c>
      <c r="M75" s="2">
        <v>53</v>
      </c>
      <c r="N75" s="2">
        <v>243</v>
      </c>
      <c r="O75" s="2">
        <v>24960</v>
      </c>
      <c r="P75" s="2">
        <v>0</v>
      </c>
      <c r="Q75" s="2">
        <v>979</v>
      </c>
      <c r="R75" s="2">
        <v>1092</v>
      </c>
      <c r="S75" s="2">
        <v>27274</v>
      </c>
      <c r="T75" s="2">
        <v>25150</v>
      </c>
      <c r="U75" s="2">
        <v>2124</v>
      </c>
    </row>
    <row r="76" spans="1:21" x14ac:dyDescent="0.25">
      <c r="A76" s="1" t="s">
        <v>60</v>
      </c>
      <c r="B76" t="s">
        <v>667</v>
      </c>
      <c r="C76" s="1" t="s">
        <v>81</v>
      </c>
      <c r="D76" t="s">
        <v>418</v>
      </c>
      <c r="E76" s="2">
        <v>216148</v>
      </c>
      <c r="F76" s="2">
        <v>169268</v>
      </c>
      <c r="G76" s="2">
        <v>36254</v>
      </c>
      <c r="H76" s="2">
        <v>133014</v>
      </c>
      <c r="I76" s="2">
        <v>46880</v>
      </c>
      <c r="J76" s="2">
        <v>19353</v>
      </c>
      <c r="K76">
        <v>199247</v>
      </c>
      <c r="L76">
        <v>207</v>
      </c>
      <c r="M76" s="2">
        <v>57</v>
      </c>
      <c r="N76" s="2">
        <v>264</v>
      </c>
      <c r="O76" s="2">
        <v>27421</v>
      </c>
      <c r="P76" s="2">
        <v>0</v>
      </c>
      <c r="Q76" s="2">
        <v>588</v>
      </c>
      <c r="R76" s="2">
        <v>655</v>
      </c>
      <c r="S76" s="2">
        <v>28928</v>
      </c>
      <c r="T76" s="2">
        <v>27628</v>
      </c>
      <c r="U76" s="2">
        <v>1300</v>
      </c>
    </row>
    <row r="77" spans="1:21" x14ac:dyDescent="0.25">
      <c r="A77" s="1" t="s">
        <v>60</v>
      </c>
      <c r="B77" t="s">
        <v>667</v>
      </c>
      <c r="C77" s="1" t="s">
        <v>82</v>
      </c>
      <c r="D77" t="s">
        <v>419</v>
      </c>
      <c r="E77" s="2">
        <v>418480</v>
      </c>
      <c r="F77" s="2">
        <v>327717</v>
      </c>
      <c r="G77" s="2">
        <v>70192</v>
      </c>
      <c r="H77" s="2">
        <v>257525</v>
      </c>
      <c r="I77" s="2">
        <v>90763</v>
      </c>
      <c r="J77" s="2">
        <v>4849</v>
      </c>
      <c r="K77">
        <v>353137</v>
      </c>
      <c r="L77">
        <v>400</v>
      </c>
      <c r="M77" s="2">
        <v>111</v>
      </c>
      <c r="N77" s="2">
        <v>511</v>
      </c>
      <c r="O77" s="2">
        <v>52132</v>
      </c>
      <c r="P77" s="2">
        <v>0</v>
      </c>
      <c r="Q77" s="2">
        <v>2024</v>
      </c>
      <c r="R77" s="2">
        <v>2256</v>
      </c>
      <c r="S77" s="2">
        <v>56923</v>
      </c>
      <c r="T77" s="2">
        <v>52532</v>
      </c>
      <c r="U77" s="2">
        <v>4391</v>
      </c>
    </row>
    <row r="78" spans="1:21" x14ac:dyDescent="0.25">
      <c r="A78" s="1" t="s">
        <v>60</v>
      </c>
      <c r="B78" t="s">
        <v>667</v>
      </c>
      <c r="C78" s="1" t="s">
        <v>85</v>
      </c>
      <c r="D78" t="s">
        <v>86</v>
      </c>
      <c r="E78" s="2">
        <v>100773</v>
      </c>
      <c r="F78" s="2">
        <v>78917</v>
      </c>
      <c r="G78" s="2">
        <v>16903</v>
      </c>
      <c r="H78" s="2">
        <v>62014</v>
      </c>
      <c r="I78" s="2">
        <v>21856</v>
      </c>
      <c r="J78" s="2">
        <v>4602</v>
      </c>
      <c r="K78">
        <v>88472</v>
      </c>
      <c r="L78">
        <v>97</v>
      </c>
      <c r="M78" s="2">
        <v>26</v>
      </c>
      <c r="N78" s="2">
        <v>123</v>
      </c>
      <c r="O78" s="2">
        <v>12369</v>
      </c>
      <c r="P78" s="2">
        <v>0</v>
      </c>
      <c r="Q78" s="2">
        <v>131</v>
      </c>
      <c r="R78" s="2">
        <v>146</v>
      </c>
      <c r="S78" s="2">
        <v>12769</v>
      </c>
      <c r="T78" s="2">
        <v>12466</v>
      </c>
      <c r="U78" s="2">
        <v>303</v>
      </c>
    </row>
    <row r="79" spans="1:21" x14ac:dyDescent="0.25">
      <c r="A79" s="1" t="s">
        <v>60</v>
      </c>
      <c r="B79" t="s">
        <v>667</v>
      </c>
      <c r="C79" s="1" t="s">
        <v>83</v>
      </c>
      <c r="D79" t="s">
        <v>420</v>
      </c>
      <c r="E79" s="2">
        <v>323861</v>
      </c>
      <c r="F79" s="2">
        <v>253619</v>
      </c>
      <c r="G79" s="2">
        <v>54322</v>
      </c>
      <c r="H79" s="2">
        <v>199297</v>
      </c>
      <c r="I79" s="2">
        <v>70242</v>
      </c>
      <c r="J79" s="2">
        <v>12289</v>
      </c>
      <c r="K79">
        <v>281828</v>
      </c>
      <c r="L79">
        <v>309</v>
      </c>
      <c r="M79" s="2">
        <v>86</v>
      </c>
      <c r="N79" s="2">
        <v>395</v>
      </c>
      <c r="O79" s="2">
        <v>39808</v>
      </c>
      <c r="P79" s="2">
        <v>0</v>
      </c>
      <c r="Q79" s="2">
        <v>3003</v>
      </c>
      <c r="R79" s="2">
        <v>3348</v>
      </c>
      <c r="S79" s="2">
        <v>46554</v>
      </c>
      <c r="T79" s="2">
        <v>40117</v>
      </c>
      <c r="U79" s="2">
        <v>6437</v>
      </c>
    </row>
    <row r="80" spans="1:21" x14ac:dyDescent="0.25">
      <c r="A80" s="1" t="s">
        <v>60</v>
      </c>
      <c r="B80" t="s">
        <v>667</v>
      </c>
      <c r="C80" s="1" t="s">
        <v>84</v>
      </c>
      <c r="D80" t="s">
        <v>421</v>
      </c>
      <c r="E80" s="2">
        <v>247497</v>
      </c>
      <c r="F80" s="2">
        <v>193818</v>
      </c>
      <c r="G80" s="2">
        <v>41513</v>
      </c>
      <c r="H80" s="2">
        <v>152305</v>
      </c>
      <c r="I80" s="2">
        <v>53679</v>
      </c>
      <c r="J80" s="2">
        <v>0</v>
      </c>
      <c r="K80">
        <v>205984</v>
      </c>
      <c r="L80">
        <v>237</v>
      </c>
      <c r="M80" s="2">
        <v>66</v>
      </c>
      <c r="N80" s="2">
        <v>303</v>
      </c>
      <c r="O80" s="2">
        <v>30379</v>
      </c>
      <c r="P80" s="2">
        <v>0</v>
      </c>
      <c r="Q80" s="2">
        <v>261</v>
      </c>
      <c r="R80" s="2">
        <v>291</v>
      </c>
      <c r="S80" s="2">
        <v>31234</v>
      </c>
      <c r="T80" s="2">
        <v>30616</v>
      </c>
      <c r="U80" s="2">
        <v>618</v>
      </c>
    </row>
    <row r="81" spans="1:21" x14ac:dyDescent="0.25">
      <c r="A81" s="1" t="s">
        <v>60</v>
      </c>
      <c r="B81" t="s">
        <v>667</v>
      </c>
      <c r="C81" s="1" t="s">
        <v>87</v>
      </c>
      <c r="D81" t="s">
        <v>422</v>
      </c>
      <c r="E81" s="2">
        <v>607568</v>
      </c>
      <c r="F81" s="2">
        <v>475794</v>
      </c>
      <c r="G81" s="2">
        <v>101907</v>
      </c>
      <c r="H81" s="2">
        <v>373887</v>
      </c>
      <c r="I81" s="2">
        <v>131774</v>
      </c>
      <c r="J81" s="2">
        <v>0</v>
      </c>
      <c r="K81">
        <v>505661</v>
      </c>
      <c r="L81">
        <v>582</v>
      </c>
      <c r="M81" s="2">
        <v>162</v>
      </c>
      <c r="N81" s="2">
        <v>744</v>
      </c>
      <c r="O81" s="2">
        <v>74575</v>
      </c>
      <c r="P81" s="2">
        <v>0</v>
      </c>
      <c r="Q81" s="2">
        <v>4505</v>
      </c>
      <c r="R81" s="2">
        <v>5022</v>
      </c>
      <c r="S81" s="2">
        <v>84846</v>
      </c>
      <c r="T81" s="2">
        <v>75157</v>
      </c>
      <c r="U81" s="2">
        <v>9689</v>
      </c>
    </row>
    <row r="82" spans="1:21" x14ac:dyDescent="0.25">
      <c r="A82" s="1" t="s">
        <v>60</v>
      </c>
      <c r="B82" t="s">
        <v>667</v>
      </c>
      <c r="C82" s="1" t="s">
        <v>88</v>
      </c>
      <c r="D82" t="s">
        <v>423</v>
      </c>
      <c r="E82" s="2">
        <v>267678</v>
      </c>
      <c r="F82" s="2">
        <v>209622</v>
      </c>
      <c r="G82" s="2">
        <v>44898</v>
      </c>
      <c r="H82" s="2">
        <v>164724</v>
      </c>
      <c r="I82" s="2">
        <v>58056</v>
      </c>
      <c r="J82">
        <v>0</v>
      </c>
      <c r="K82">
        <v>222780</v>
      </c>
      <c r="L82">
        <v>257</v>
      </c>
      <c r="M82" s="2">
        <v>71</v>
      </c>
      <c r="N82" s="2">
        <v>328</v>
      </c>
      <c r="O82" s="2">
        <v>32856</v>
      </c>
      <c r="P82" s="2">
        <v>0</v>
      </c>
      <c r="Q82" s="2">
        <v>653</v>
      </c>
      <c r="R82" s="2">
        <v>728</v>
      </c>
      <c r="S82" s="2">
        <v>34565</v>
      </c>
      <c r="T82" s="2">
        <v>33113</v>
      </c>
      <c r="U82" s="2">
        <v>1452</v>
      </c>
    </row>
    <row r="83" spans="1:21" x14ac:dyDescent="0.25">
      <c r="A83" s="1" t="s">
        <v>60</v>
      </c>
      <c r="B83" t="s">
        <v>667</v>
      </c>
      <c r="C83" s="1" t="s">
        <v>89</v>
      </c>
      <c r="D83" t="s">
        <v>424</v>
      </c>
      <c r="E83" s="2">
        <v>443525</v>
      </c>
      <c r="F83" s="2">
        <v>347329</v>
      </c>
      <c r="G83" s="2">
        <v>74392</v>
      </c>
      <c r="H83" s="2">
        <v>272937</v>
      </c>
      <c r="I83" s="2">
        <v>96196</v>
      </c>
      <c r="J83">
        <v>0</v>
      </c>
      <c r="K83">
        <v>369133</v>
      </c>
      <c r="L83">
        <v>425</v>
      </c>
      <c r="M83" s="2">
        <v>118</v>
      </c>
      <c r="N83" s="2">
        <v>543</v>
      </c>
      <c r="O83" s="2">
        <v>54440</v>
      </c>
      <c r="P83" s="2">
        <v>0</v>
      </c>
      <c r="Q83" s="2">
        <v>914</v>
      </c>
      <c r="R83" s="2">
        <v>1019</v>
      </c>
      <c r="S83" s="2">
        <v>56916</v>
      </c>
      <c r="T83" s="2">
        <v>54865</v>
      </c>
      <c r="U83" s="2">
        <v>2051</v>
      </c>
    </row>
    <row r="84" spans="1:21" x14ac:dyDescent="0.25">
      <c r="A84" s="1" t="s">
        <v>60</v>
      </c>
      <c r="B84" t="s">
        <v>667</v>
      </c>
      <c r="C84" s="1" t="s">
        <v>90</v>
      </c>
      <c r="D84" t="s">
        <v>425</v>
      </c>
      <c r="E84" s="2">
        <v>159063</v>
      </c>
      <c r="F84" s="2">
        <v>124564</v>
      </c>
      <c r="G84" s="2">
        <v>26680</v>
      </c>
      <c r="H84" s="2">
        <v>97884</v>
      </c>
      <c r="I84" s="2">
        <v>34499</v>
      </c>
      <c r="J84">
        <v>0</v>
      </c>
      <c r="K84">
        <v>132383</v>
      </c>
      <c r="L84">
        <v>152</v>
      </c>
      <c r="M84" s="2">
        <v>42</v>
      </c>
      <c r="N84" s="2">
        <v>194</v>
      </c>
      <c r="O84" s="2">
        <v>19524</v>
      </c>
      <c r="P84" s="2">
        <v>0</v>
      </c>
      <c r="Q84" s="2">
        <v>0</v>
      </c>
      <c r="R84" s="2">
        <v>0</v>
      </c>
      <c r="S84" s="2">
        <v>19718</v>
      </c>
      <c r="T84" s="2">
        <v>19676</v>
      </c>
      <c r="U84" s="2">
        <v>42</v>
      </c>
    </row>
    <row r="85" spans="1:21" x14ac:dyDescent="0.25">
      <c r="A85" s="1" t="s">
        <v>60</v>
      </c>
      <c r="B85" t="s">
        <v>667</v>
      </c>
      <c r="C85" s="1" t="s">
        <v>91</v>
      </c>
      <c r="D85" t="s">
        <v>426</v>
      </c>
      <c r="E85" s="2">
        <v>304942</v>
      </c>
      <c r="F85" s="2">
        <v>238803</v>
      </c>
      <c r="G85" s="2">
        <v>51148</v>
      </c>
      <c r="H85" s="2">
        <v>187655</v>
      </c>
      <c r="I85" s="2">
        <v>66139</v>
      </c>
      <c r="J85">
        <v>0</v>
      </c>
      <c r="K85">
        <v>253794</v>
      </c>
      <c r="L85">
        <v>293</v>
      </c>
      <c r="M85" s="2">
        <v>81</v>
      </c>
      <c r="N85" s="2">
        <v>374</v>
      </c>
      <c r="O85" s="2">
        <v>37430</v>
      </c>
      <c r="P85" s="2">
        <v>0</v>
      </c>
      <c r="Q85" s="2">
        <v>1698</v>
      </c>
      <c r="R85" s="2">
        <v>1892</v>
      </c>
      <c r="S85" s="2">
        <v>41394</v>
      </c>
      <c r="T85" s="2">
        <v>37723</v>
      </c>
      <c r="U85" s="2">
        <v>3671</v>
      </c>
    </row>
    <row r="86" spans="1:21" x14ac:dyDescent="0.25">
      <c r="A86" s="1" t="s">
        <v>60</v>
      </c>
      <c r="B86" t="s">
        <v>667</v>
      </c>
      <c r="C86" s="1" t="s">
        <v>92</v>
      </c>
      <c r="D86" t="s">
        <v>427</v>
      </c>
      <c r="E86" s="2">
        <v>540470</v>
      </c>
      <c r="F86" s="2">
        <v>423249</v>
      </c>
      <c r="G86" s="2">
        <v>90653</v>
      </c>
      <c r="H86" s="2">
        <v>332596</v>
      </c>
      <c r="I86" s="2">
        <v>117221</v>
      </c>
      <c r="J86" s="2">
        <v>0</v>
      </c>
      <c r="K86">
        <v>449817</v>
      </c>
      <c r="L86">
        <v>516</v>
      </c>
      <c r="M86" s="2">
        <v>143</v>
      </c>
      <c r="N86" s="2">
        <v>659</v>
      </c>
      <c r="O86" s="2">
        <v>66429</v>
      </c>
      <c r="P86" s="2">
        <v>0</v>
      </c>
      <c r="Q86" s="2">
        <v>8945</v>
      </c>
      <c r="R86" s="2">
        <v>9971</v>
      </c>
      <c r="S86" s="2">
        <v>86004</v>
      </c>
      <c r="T86" s="2">
        <v>66945</v>
      </c>
      <c r="U86" s="2">
        <v>19059</v>
      </c>
    </row>
    <row r="87" spans="1:21" x14ac:dyDescent="0.25">
      <c r="A87" s="1" t="s">
        <v>60</v>
      </c>
      <c r="B87" t="s">
        <v>667</v>
      </c>
      <c r="C87" s="1" t="s">
        <v>93</v>
      </c>
      <c r="D87" t="s">
        <v>428</v>
      </c>
      <c r="E87" s="2">
        <v>380963</v>
      </c>
      <c r="F87" s="2">
        <v>298337</v>
      </c>
      <c r="G87" s="2">
        <v>63899</v>
      </c>
      <c r="H87" s="2">
        <v>234438</v>
      </c>
      <c r="I87" s="2">
        <v>82626</v>
      </c>
      <c r="J87" s="2">
        <v>5217</v>
      </c>
      <c r="K87">
        <v>322281</v>
      </c>
      <c r="L87">
        <v>364</v>
      </c>
      <c r="M87" s="2">
        <v>101</v>
      </c>
      <c r="N87" s="2">
        <v>465</v>
      </c>
      <c r="O87" s="2">
        <v>47557</v>
      </c>
      <c r="P87" s="2">
        <v>0</v>
      </c>
      <c r="Q87" s="2">
        <v>196</v>
      </c>
      <c r="R87" s="2">
        <v>218</v>
      </c>
      <c r="S87" s="2">
        <v>48436</v>
      </c>
      <c r="T87" s="2">
        <v>47921</v>
      </c>
      <c r="U87" s="2">
        <v>515</v>
      </c>
    </row>
    <row r="88" spans="1:21" x14ac:dyDescent="0.25">
      <c r="A88" s="1" t="s">
        <v>60</v>
      </c>
      <c r="B88" t="s">
        <v>667</v>
      </c>
      <c r="C88" s="1" t="s">
        <v>94</v>
      </c>
      <c r="D88" t="s">
        <v>429</v>
      </c>
      <c r="E88" s="2">
        <v>171282</v>
      </c>
      <c r="F88" s="2">
        <v>134133</v>
      </c>
      <c r="G88" s="2">
        <v>28729</v>
      </c>
      <c r="H88" s="2">
        <v>105404</v>
      </c>
      <c r="I88" s="2">
        <v>37149</v>
      </c>
      <c r="J88" s="2">
        <v>0</v>
      </c>
      <c r="K88">
        <v>142553</v>
      </c>
      <c r="L88">
        <v>163</v>
      </c>
      <c r="M88" s="2">
        <v>45</v>
      </c>
      <c r="N88" s="2">
        <v>208</v>
      </c>
      <c r="O88" s="2">
        <v>21024</v>
      </c>
      <c r="P88" s="2">
        <v>0</v>
      </c>
      <c r="Q88" s="2">
        <v>1306</v>
      </c>
      <c r="R88" s="2">
        <v>1456</v>
      </c>
      <c r="S88" s="2">
        <v>23994</v>
      </c>
      <c r="T88" s="2">
        <v>21187</v>
      </c>
      <c r="U88" s="2">
        <v>2807</v>
      </c>
    </row>
    <row r="89" spans="1:21" x14ac:dyDescent="0.25">
      <c r="A89" s="1" t="s">
        <v>60</v>
      </c>
      <c r="B89" t="s">
        <v>667</v>
      </c>
      <c r="C89" s="1" t="s">
        <v>95</v>
      </c>
      <c r="D89" t="s">
        <v>430</v>
      </c>
      <c r="E89" s="2">
        <v>342124</v>
      </c>
      <c r="F89" s="2">
        <v>267921</v>
      </c>
      <c r="G89" s="2">
        <v>57385</v>
      </c>
      <c r="H89" s="2">
        <v>210536</v>
      </c>
      <c r="I89" s="2">
        <v>74203</v>
      </c>
      <c r="J89" s="2">
        <v>87</v>
      </c>
      <c r="K89">
        <v>284826</v>
      </c>
      <c r="L89">
        <v>328</v>
      </c>
      <c r="M89" s="2">
        <v>91</v>
      </c>
      <c r="N89" s="2">
        <v>419</v>
      </c>
      <c r="O89" s="2">
        <v>41994</v>
      </c>
      <c r="P89" s="2">
        <v>0</v>
      </c>
      <c r="Q89" s="2">
        <v>7965</v>
      </c>
      <c r="R89" s="2">
        <v>8879</v>
      </c>
      <c r="S89" s="2">
        <v>59257</v>
      </c>
      <c r="T89" s="2">
        <v>42322</v>
      </c>
      <c r="U89" s="2">
        <v>16935</v>
      </c>
    </row>
    <row r="90" spans="1:21" x14ac:dyDescent="0.25">
      <c r="A90" s="1" t="s">
        <v>60</v>
      </c>
      <c r="B90" t="s">
        <v>667</v>
      </c>
      <c r="C90" s="1" t="s">
        <v>96</v>
      </c>
      <c r="D90" t="s">
        <v>431</v>
      </c>
      <c r="E90" s="2">
        <v>222686</v>
      </c>
      <c r="F90" s="2">
        <v>174388</v>
      </c>
      <c r="G90" s="2">
        <v>37351</v>
      </c>
      <c r="H90" s="2">
        <v>137037</v>
      </c>
      <c r="I90" s="2">
        <v>48298</v>
      </c>
      <c r="J90" s="2">
        <v>0</v>
      </c>
      <c r="K90">
        <v>185335</v>
      </c>
      <c r="L90">
        <v>213</v>
      </c>
      <c r="M90" s="2">
        <v>58</v>
      </c>
      <c r="N90" s="2">
        <v>271</v>
      </c>
      <c r="O90" s="2">
        <v>27333</v>
      </c>
      <c r="P90" s="2">
        <v>0</v>
      </c>
      <c r="Q90" s="2">
        <v>131</v>
      </c>
      <c r="R90" s="2">
        <v>146</v>
      </c>
      <c r="S90" s="2">
        <v>27881</v>
      </c>
      <c r="T90" s="2">
        <v>27546</v>
      </c>
      <c r="U90" s="2">
        <v>335</v>
      </c>
    </row>
    <row r="91" spans="1:21" x14ac:dyDescent="0.25">
      <c r="A91" s="1" t="s">
        <v>60</v>
      </c>
      <c r="B91" t="s">
        <v>667</v>
      </c>
      <c r="C91" s="1" t="s">
        <v>97</v>
      </c>
      <c r="D91" t="s">
        <v>432</v>
      </c>
      <c r="E91" s="2">
        <v>2172609</v>
      </c>
      <c r="F91" s="2">
        <v>1701396</v>
      </c>
      <c r="G91" s="2">
        <v>364412</v>
      </c>
      <c r="H91" s="2">
        <v>1336984</v>
      </c>
      <c r="I91" s="2">
        <v>471213</v>
      </c>
      <c r="J91" s="2">
        <v>0</v>
      </c>
      <c r="K91" s="2">
        <v>1808197</v>
      </c>
      <c r="L91" s="2">
        <v>2078</v>
      </c>
      <c r="M91" s="2">
        <v>576</v>
      </c>
      <c r="N91" s="2">
        <v>2654</v>
      </c>
      <c r="O91" s="2">
        <v>266675</v>
      </c>
      <c r="P91" s="2">
        <v>0</v>
      </c>
      <c r="Q91" s="2">
        <v>19522</v>
      </c>
      <c r="R91" s="2">
        <v>21761</v>
      </c>
      <c r="S91" s="2">
        <v>310612</v>
      </c>
      <c r="T91" s="2">
        <v>268753</v>
      </c>
      <c r="U91" s="2">
        <v>41859</v>
      </c>
    </row>
    <row r="92" spans="1:21" x14ac:dyDescent="0.25">
      <c r="A92" s="1" t="s">
        <v>60</v>
      </c>
      <c r="B92" t="s">
        <v>667</v>
      </c>
      <c r="C92" s="1" t="s">
        <v>98</v>
      </c>
      <c r="D92" t="s">
        <v>433</v>
      </c>
      <c r="E92" s="2">
        <v>1371837</v>
      </c>
      <c r="F92" s="2">
        <v>1074302</v>
      </c>
      <c r="G92" s="2">
        <v>230099</v>
      </c>
      <c r="H92" s="2">
        <v>844203</v>
      </c>
      <c r="I92" s="2">
        <v>297535</v>
      </c>
      <c r="J92" s="2">
        <v>4861</v>
      </c>
      <c r="K92" s="2">
        <v>1146599</v>
      </c>
      <c r="L92" s="2">
        <v>1314</v>
      </c>
      <c r="M92" s="2">
        <v>364</v>
      </c>
      <c r="N92" s="2">
        <v>1678</v>
      </c>
      <c r="O92" s="2">
        <v>169538</v>
      </c>
      <c r="P92" s="2">
        <v>0</v>
      </c>
      <c r="Q92" s="2">
        <v>37868</v>
      </c>
      <c r="R92" s="2">
        <v>42212</v>
      </c>
      <c r="S92" s="2">
        <v>251296</v>
      </c>
      <c r="T92" s="2">
        <v>170852</v>
      </c>
      <c r="U92" s="2">
        <v>80444</v>
      </c>
    </row>
    <row r="93" spans="1:21" x14ac:dyDescent="0.25">
      <c r="A93" s="1" t="s">
        <v>60</v>
      </c>
      <c r="B93" t="s">
        <v>667</v>
      </c>
      <c r="C93" s="1" t="s">
        <v>99</v>
      </c>
      <c r="D93" t="s">
        <v>434</v>
      </c>
      <c r="E93" s="2">
        <v>176742</v>
      </c>
      <c r="F93" s="2">
        <v>138408</v>
      </c>
      <c r="G93" s="2">
        <v>29645</v>
      </c>
      <c r="H93" s="2">
        <v>108763</v>
      </c>
      <c r="I93" s="2">
        <v>38334</v>
      </c>
      <c r="J93" s="2">
        <v>4637</v>
      </c>
      <c r="K93">
        <v>151734</v>
      </c>
      <c r="L93">
        <v>168</v>
      </c>
      <c r="M93" s="2">
        <v>47</v>
      </c>
      <c r="N93" s="2">
        <v>215</v>
      </c>
      <c r="O93" s="2">
        <v>21779</v>
      </c>
      <c r="P93" s="2">
        <v>0</v>
      </c>
      <c r="Q93" s="2">
        <v>392</v>
      </c>
      <c r="R93" s="2">
        <v>437</v>
      </c>
      <c r="S93" s="2">
        <v>22823</v>
      </c>
      <c r="T93" s="2">
        <v>21947</v>
      </c>
      <c r="U93" s="2">
        <v>876</v>
      </c>
    </row>
    <row r="94" spans="1:21" x14ac:dyDescent="0.25">
      <c r="A94" s="1" t="s">
        <v>60</v>
      </c>
      <c r="B94" t="s">
        <v>667</v>
      </c>
      <c r="C94" s="1" t="s">
        <v>100</v>
      </c>
      <c r="D94" t="s">
        <v>435</v>
      </c>
      <c r="E94" s="2">
        <v>224786</v>
      </c>
      <c r="F94" s="2">
        <v>176033</v>
      </c>
      <c r="G94" s="2">
        <v>37704</v>
      </c>
      <c r="H94" s="2">
        <v>138329</v>
      </c>
      <c r="I94" s="2">
        <v>48753</v>
      </c>
      <c r="J94" s="2">
        <v>4440</v>
      </c>
      <c r="K94">
        <v>191522</v>
      </c>
      <c r="L94">
        <v>215</v>
      </c>
      <c r="M94" s="2">
        <v>60</v>
      </c>
      <c r="N94" s="2">
        <v>275</v>
      </c>
      <c r="O94" s="2">
        <v>28229</v>
      </c>
      <c r="P94" s="2">
        <v>0</v>
      </c>
      <c r="Q94" s="2">
        <v>914</v>
      </c>
      <c r="R94" s="2">
        <v>1019</v>
      </c>
      <c r="S94" s="2">
        <v>30437</v>
      </c>
      <c r="T94" s="2">
        <v>28444</v>
      </c>
      <c r="U94" s="2">
        <v>1993</v>
      </c>
    </row>
    <row r="95" spans="1:21" x14ac:dyDescent="0.25">
      <c r="A95" s="1" t="s">
        <v>60</v>
      </c>
      <c r="B95" t="s">
        <v>667</v>
      </c>
      <c r="C95" s="1" t="s">
        <v>101</v>
      </c>
      <c r="D95" t="s">
        <v>436</v>
      </c>
      <c r="E95" s="2">
        <v>214534</v>
      </c>
      <c r="F95" s="2">
        <v>168004</v>
      </c>
      <c r="G95" s="2">
        <v>35984</v>
      </c>
      <c r="H95" s="2">
        <v>132020</v>
      </c>
      <c r="I95" s="2">
        <v>46530</v>
      </c>
      <c r="J95" s="2">
        <v>0</v>
      </c>
      <c r="K95">
        <v>178550</v>
      </c>
      <c r="L95">
        <v>204</v>
      </c>
      <c r="M95" s="2">
        <v>57</v>
      </c>
      <c r="N95" s="2">
        <v>261</v>
      </c>
      <c r="O95" s="2">
        <v>26333</v>
      </c>
      <c r="P95" s="2">
        <v>0</v>
      </c>
      <c r="Q95" s="2">
        <v>326</v>
      </c>
      <c r="R95" s="2">
        <v>364</v>
      </c>
      <c r="S95" s="2">
        <v>27284</v>
      </c>
      <c r="T95" s="2">
        <v>26537</v>
      </c>
      <c r="U95" s="2">
        <v>747</v>
      </c>
    </row>
    <row r="96" spans="1:21" x14ac:dyDescent="0.25">
      <c r="A96" s="1" t="s">
        <v>60</v>
      </c>
      <c r="B96" t="s">
        <v>667</v>
      </c>
      <c r="C96" s="1" t="s">
        <v>102</v>
      </c>
      <c r="D96" t="s">
        <v>437</v>
      </c>
      <c r="E96" s="2">
        <v>185063</v>
      </c>
      <c r="F96" s="2">
        <v>144925</v>
      </c>
      <c r="G96" s="2">
        <v>31040</v>
      </c>
      <c r="H96" s="2">
        <v>113885</v>
      </c>
      <c r="I96" s="2">
        <v>40138</v>
      </c>
      <c r="J96" s="2">
        <v>3953</v>
      </c>
      <c r="K96">
        <v>157976</v>
      </c>
      <c r="L96">
        <v>177</v>
      </c>
      <c r="M96" s="2">
        <v>49</v>
      </c>
      <c r="N96" s="2">
        <v>226</v>
      </c>
      <c r="O96" s="2">
        <v>23277</v>
      </c>
      <c r="P96" s="2">
        <v>0</v>
      </c>
      <c r="Q96" s="2">
        <v>0</v>
      </c>
      <c r="R96" s="2">
        <v>0</v>
      </c>
      <c r="S96" s="2">
        <v>23503</v>
      </c>
      <c r="T96" s="2">
        <v>23454</v>
      </c>
      <c r="U96" s="2">
        <v>49</v>
      </c>
    </row>
    <row r="97" spans="1:21" x14ac:dyDescent="0.25">
      <c r="A97" s="1" t="s">
        <v>60</v>
      </c>
      <c r="B97" t="s">
        <v>667</v>
      </c>
      <c r="C97" s="1" t="s">
        <v>103</v>
      </c>
      <c r="D97" t="s">
        <v>438</v>
      </c>
      <c r="E97" s="2">
        <v>178641</v>
      </c>
      <c r="F97" s="2">
        <v>139896</v>
      </c>
      <c r="G97" s="2">
        <v>29964</v>
      </c>
      <c r="H97" s="2">
        <v>109932</v>
      </c>
      <c r="I97" s="2">
        <v>38745</v>
      </c>
      <c r="J97" s="2">
        <v>0</v>
      </c>
      <c r="K97">
        <v>148677</v>
      </c>
      <c r="L97">
        <v>171</v>
      </c>
      <c r="M97" s="2">
        <v>48</v>
      </c>
      <c r="N97" s="2">
        <v>219</v>
      </c>
      <c r="O97" s="2">
        <v>21937</v>
      </c>
      <c r="P97" s="2">
        <v>0</v>
      </c>
      <c r="Q97" s="2">
        <v>131</v>
      </c>
      <c r="R97" s="2">
        <v>146</v>
      </c>
      <c r="S97" s="2">
        <v>22433</v>
      </c>
      <c r="T97" s="2">
        <v>22108</v>
      </c>
      <c r="U97" s="2">
        <v>325</v>
      </c>
    </row>
    <row r="98" spans="1:21" x14ac:dyDescent="0.25">
      <c r="A98" s="1" t="s">
        <v>60</v>
      </c>
      <c r="B98" t="s">
        <v>667</v>
      </c>
      <c r="C98" s="1" t="s">
        <v>104</v>
      </c>
      <c r="D98" t="s">
        <v>439</v>
      </c>
      <c r="E98" s="2">
        <v>193109</v>
      </c>
      <c r="F98" s="2">
        <v>151226</v>
      </c>
      <c r="G98" s="2">
        <v>32391</v>
      </c>
      <c r="H98" s="2">
        <v>118835</v>
      </c>
      <c r="I98" s="2">
        <v>41883</v>
      </c>
      <c r="J98" s="2">
        <v>8034</v>
      </c>
      <c r="K98">
        <v>168752</v>
      </c>
      <c r="L98">
        <v>185</v>
      </c>
      <c r="M98" s="2">
        <v>51</v>
      </c>
      <c r="N98" s="2">
        <v>236</v>
      </c>
      <c r="O98" s="2">
        <v>24770</v>
      </c>
      <c r="P98" s="2">
        <v>0</v>
      </c>
      <c r="Q98" s="2">
        <v>0</v>
      </c>
      <c r="R98" s="2">
        <v>0</v>
      </c>
      <c r="S98" s="2">
        <v>25006</v>
      </c>
      <c r="T98" s="2">
        <v>24955</v>
      </c>
      <c r="U98" s="2">
        <v>51</v>
      </c>
    </row>
    <row r="99" spans="1:21" x14ac:dyDescent="0.25">
      <c r="A99" s="1" t="s">
        <v>60</v>
      </c>
      <c r="B99" t="s">
        <v>667</v>
      </c>
      <c r="C99" s="1" t="s">
        <v>105</v>
      </c>
      <c r="D99" t="s">
        <v>440</v>
      </c>
      <c r="E99" s="2">
        <v>337067</v>
      </c>
      <c r="F99" s="2">
        <v>263961</v>
      </c>
      <c r="G99" s="2">
        <v>56536</v>
      </c>
      <c r="H99" s="2">
        <v>207425</v>
      </c>
      <c r="I99" s="2">
        <v>73106</v>
      </c>
      <c r="J99" s="2">
        <v>2274</v>
      </c>
      <c r="K99">
        <v>282805</v>
      </c>
      <c r="L99">
        <v>323</v>
      </c>
      <c r="M99" s="2">
        <v>89</v>
      </c>
      <c r="N99" s="2">
        <v>412</v>
      </c>
      <c r="O99" s="2">
        <v>41789</v>
      </c>
      <c r="P99" s="2">
        <v>0</v>
      </c>
      <c r="Q99" s="2">
        <v>522</v>
      </c>
      <c r="R99" s="2">
        <v>582</v>
      </c>
      <c r="S99" s="2">
        <v>43305</v>
      </c>
      <c r="T99" s="2">
        <v>42112</v>
      </c>
      <c r="U99" s="2">
        <v>1193</v>
      </c>
    </row>
    <row r="100" spans="1:21" x14ac:dyDescent="0.25">
      <c r="A100" s="1" t="s">
        <v>60</v>
      </c>
      <c r="B100" t="s">
        <v>667</v>
      </c>
      <c r="C100" s="1" t="s">
        <v>106</v>
      </c>
      <c r="D100" t="s">
        <v>441</v>
      </c>
      <c r="E100" s="2">
        <v>166126</v>
      </c>
      <c r="F100" s="2">
        <v>130095</v>
      </c>
      <c r="G100" s="2">
        <v>27864</v>
      </c>
      <c r="H100" s="2">
        <v>102231</v>
      </c>
      <c r="I100" s="2">
        <v>36031</v>
      </c>
      <c r="J100" s="2">
        <v>3481</v>
      </c>
      <c r="K100">
        <v>141743</v>
      </c>
      <c r="L100">
        <v>160</v>
      </c>
      <c r="M100" s="2">
        <v>44</v>
      </c>
      <c r="N100" s="2">
        <v>204</v>
      </c>
      <c r="O100" s="2">
        <v>20887</v>
      </c>
      <c r="P100" s="2">
        <v>0</v>
      </c>
      <c r="Q100" s="2">
        <v>588</v>
      </c>
      <c r="R100" s="2">
        <v>655</v>
      </c>
      <c r="S100" s="2">
        <v>22334</v>
      </c>
      <c r="T100" s="2">
        <v>21047</v>
      </c>
      <c r="U100" s="2">
        <v>1287</v>
      </c>
    </row>
    <row r="101" spans="1:21" x14ac:dyDescent="0.25">
      <c r="A101" s="1" t="s">
        <v>60</v>
      </c>
      <c r="B101" t="s">
        <v>667</v>
      </c>
      <c r="C101" s="1" t="s">
        <v>107</v>
      </c>
      <c r="D101" t="s">
        <v>442</v>
      </c>
      <c r="E101" s="2">
        <v>557673</v>
      </c>
      <c r="F101" s="2">
        <v>436720</v>
      </c>
      <c r="G101" s="2">
        <v>93539</v>
      </c>
      <c r="H101" s="2">
        <v>343181</v>
      </c>
      <c r="I101" s="2">
        <v>120953</v>
      </c>
      <c r="J101" s="2">
        <v>8523</v>
      </c>
      <c r="K101">
        <v>472657</v>
      </c>
      <c r="L101">
        <v>533</v>
      </c>
      <c r="M101" s="2">
        <v>147</v>
      </c>
      <c r="N101" s="2">
        <v>680</v>
      </c>
      <c r="O101" s="2">
        <v>69726</v>
      </c>
      <c r="P101" s="2">
        <v>0</v>
      </c>
      <c r="Q101" s="2">
        <v>326</v>
      </c>
      <c r="R101" s="2">
        <v>364</v>
      </c>
      <c r="S101" s="2">
        <v>71096</v>
      </c>
      <c r="T101" s="2">
        <v>70259</v>
      </c>
      <c r="U101" s="2">
        <v>837</v>
      </c>
    </row>
    <row r="102" spans="1:21" x14ac:dyDescent="0.25">
      <c r="A102" s="1" t="s">
        <v>60</v>
      </c>
      <c r="B102" t="s">
        <v>667</v>
      </c>
      <c r="C102" s="1" t="s">
        <v>108</v>
      </c>
      <c r="D102" t="s">
        <v>443</v>
      </c>
      <c r="E102" s="2">
        <v>239797</v>
      </c>
      <c r="F102" s="2">
        <v>187788</v>
      </c>
      <c r="G102" s="2">
        <v>40221</v>
      </c>
      <c r="H102" s="2">
        <v>147567</v>
      </c>
      <c r="I102" s="2">
        <v>52009</v>
      </c>
      <c r="J102">
        <v>0</v>
      </c>
      <c r="K102">
        <v>199576</v>
      </c>
      <c r="L102">
        <v>229</v>
      </c>
      <c r="M102" s="2">
        <v>64</v>
      </c>
      <c r="N102" s="2">
        <v>293</v>
      </c>
      <c r="O102" s="2">
        <v>29434</v>
      </c>
      <c r="P102" s="2">
        <v>0</v>
      </c>
      <c r="Q102" s="2">
        <v>0</v>
      </c>
      <c r="R102" s="2">
        <v>0</v>
      </c>
      <c r="S102" s="2">
        <v>29727</v>
      </c>
      <c r="T102" s="2">
        <v>29663</v>
      </c>
      <c r="U102" s="2">
        <v>64</v>
      </c>
    </row>
    <row r="103" spans="1:21" x14ac:dyDescent="0.25">
      <c r="A103" s="1" t="s">
        <v>60</v>
      </c>
      <c r="B103" t="s">
        <v>667</v>
      </c>
      <c r="C103" s="1" t="s">
        <v>109</v>
      </c>
      <c r="D103" t="s">
        <v>444</v>
      </c>
      <c r="E103" s="2">
        <v>314087</v>
      </c>
      <c r="F103" s="2">
        <v>245966</v>
      </c>
      <c r="G103" s="2">
        <v>52682</v>
      </c>
      <c r="H103" s="2">
        <v>193284</v>
      </c>
      <c r="I103" s="2">
        <v>68121</v>
      </c>
      <c r="J103" s="2">
        <v>637</v>
      </c>
      <c r="K103">
        <v>262042</v>
      </c>
      <c r="L103">
        <v>301</v>
      </c>
      <c r="M103" s="2">
        <v>83</v>
      </c>
      <c r="N103" s="2">
        <v>384</v>
      </c>
      <c r="O103" s="2">
        <v>38758</v>
      </c>
      <c r="P103" s="2">
        <v>0</v>
      </c>
      <c r="Q103" s="2">
        <v>326</v>
      </c>
      <c r="R103" s="2">
        <v>364</v>
      </c>
      <c r="S103" s="2">
        <v>39832</v>
      </c>
      <c r="T103" s="2">
        <v>39059</v>
      </c>
      <c r="U103" s="2">
        <v>773</v>
      </c>
    </row>
    <row r="104" spans="1:21" x14ac:dyDescent="0.25">
      <c r="A104" s="1" t="s">
        <v>60</v>
      </c>
      <c r="B104" t="s">
        <v>667</v>
      </c>
      <c r="C104" s="1" t="s">
        <v>110</v>
      </c>
      <c r="D104" t="s">
        <v>445</v>
      </c>
      <c r="E104" s="2">
        <v>156617</v>
      </c>
      <c r="F104" s="2">
        <v>122649</v>
      </c>
      <c r="G104" s="2">
        <v>26269</v>
      </c>
      <c r="H104" s="2">
        <v>96380</v>
      </c>
      <c r="I104" s="2">
        <v>33968</v>
      </c>
      <c r="J104" s="2">
        <v>0</v>
      </c>
      <c r="K104">
        <v>130348</v>
      </c>
      <c r="L104">
        <v>149</v>
      </c>
      <c r="M104" s="2">
        <v>41</v>
      </c>
      <c r="N104" s="2">
        <v>190</v>
      </c>
      <c r="O104" s="2">
        <v>19224</v>
      </c>
      <c r="P104" s="2">
        <v>0</v>
      </c>
      <c r="Q104" s="2">
        <v>392</v>
      </c>
      <c r="R104" s="2">
        <v>437</v>
      </c>
      <c r="S104" s="2">
        <v>20243</v>
      </c>
      <c r="T104" s="2">
        <v>19373</v>
      </c>
      <c r="U104" s="2">
        <v>870</v>
      </c>
    </row>
    <row r="105" spans="1:21" x14ac:dyDescent="0.25">
      <c r="A105" s="1" t="s">
        <v>60</v>
      </c>
      <c r="B105" t="s">
        <v>667</v>
      </c>
      <c r="C105" s="1" t="s">
        <v>111</v>
      </c>
      <c r="D105" t="s">
        <v>446</v>
      </c>
      <c r="E105" s="2">
        <v>373012</v>
      </c>
      <c r="F105" s="2">
        <v>292110</v>
      </c>
      <c r="G105" s="2">
        <v>62565</v>
      </c>
      <c r="H105" s="2">
        <v>229545</v>
      </c>
      <c r="I105" s="2">
        <v>80902</v>
      </c>
      <c r="J105" s="2">
        <v>16858</v>
      </c>
      <c r="K105">
        <v>327305</v>
      </c>
      <c r="L105">
        <v>356</v>
      </c>
      <c r="M105" s="2">
        <v>99</v>
      </c>
      <c r="N105" s="2">
        <v>455</v>
      </c>
      <c r="O105" s="2">
        <v>46560</v>
      </c>
      <c r="P105" s="2">
        <v>0</v>
      </c>
      <c r="Q105" s="2">
        <v>2285</v>
      </c>
      <c r="R105" s="2">
        <v>2547</v>
      </c>
      <c r="S105" s="2">
        <v>51847</v>
      </c>
      <c r="T105" s="2">
        <v>46916</v>
      </c>
      <c r="U105" s="2">
        <v>4931</v>
      </c>
    </row>
    <row r="106" spans="1:21" x14ac:dyDescent="0.25">
      <c r="A106" s="1" t="s">
        <v>60</v>
      </c>
      <c r="B106" t="s">
        <v>667</v>
      </c>
      <c r="C106" s="1" t="s">
        <v>112</v>
      </c>
      <c r="D106" t="s">
        <v>447</v>
      </c>
      <c r="E106" s="2">
        <v>237587</v>
      </c>
      <c r="F106" s="2">
        <v>186057</v>
      </c>
      <c r="G106" s="2">
        <v>39850</v>
      </c>
      <c r="H106" s="2">
        <v>146207</v>
      </c>
      <c r="I106" s="2">
        <v>51530</v>
      </c>
      <c r="J106" s="2">
        <v>12417</v>
      </c>
      <c r="K106">
        <v>210154</v>
      </c>
      <c r="L106">
        <v>226</v>
      </c>
      <c r="M106" s="2">
        <v>63</v>
      </c>
      <c r="N106" s="2">
        <v>289</v>
      </c>
      <c r="O106" s="2">
        <v>30680</v>
      </c>
      <c r="P106" s="2">
        <v>0</v>
      </c>
      <c r="Q106" s="2">
        <v>2220</v>
      </c>
      <c r="R106" s="2">
        <v>2475</v>
      </c>
      <c r="S106" s="2">
        <v>35664</v>
      </c>
      <c r="T106" s="2">
        <v>30906</v>
      </c>
      <c r="U106" s="2">
        <v>4758</v>
      </c>
    </row>
    <row r="107" spans="1:21" x14ac:dyDescent="0.25">
      <c r="A107" s="1" t="s">
        <v>60</v>
      </c>
      <c r="B107" t="s">
        <v>667</v>
      </c>
      <c r="C107" s="1" t="s">
        <v>113</v>
      </c>
      <c r="D107" t="s">
        <v>448</v>
      </c>
      <c r="E107" s="2">
        <v>4652046</v>
      </c>
      <c r="F107" s="2">
        <v>3643073</v>
      </c>
      <c r="G107" s="2">
        <v>780288</v>
      </c>
      <c r="H107" s="2">
        <v>2862785</v>
      </c>
      <c r="I107" s="2">
        <v>1008973</v>
      </c>
      <c r="J107" s="2">
        <v>0</v>
      </c>
      <c r="K107" s="2">
        <v>3871758</v>
      </c>
      <c r="L107" s="2">
        <v>4449</v>
      </c>
      <c r="M107" s="2">
        <v>1232</v>
      </c>
      <c r="N107" s="2">
        <v>5681</v>
      </c>
      <c r="O107" s="2">
        <v>571012</v>
      </c>
      <c r="P107" s="2">
        <v>0</v>
      </c>
      <c r="Q107" s="2">
        <v>83571</v>
      </c>
      <c r="R107" s="2">
        <v>93158</v>
      </c>
      <c r="S107" s="2">
        <v>753422</v>
      </c>
      <c r="T107" s="2">
        <v>575461</v>
      </c>
      <c r="U107" s="2">
        <v>177961</v>
      </c>
    </row>
    <row r="108" spans="1:21" x14ac:dyDescent="0.25">
      <c r="A108" s="1" t="s">
        <v>60</v>
      </c>
      <c r="B108" t="s">
        <v>667</v>
      </c>
      <c r="C108" s="1" t="s">
        <v>114</v>
      </c>
      <c r="D108" t="s">
        <v>449</v>
      </c>
      <c r="E108" s="2">
        <v>858491</v>
      </c>
      <c r="F108" s="2">
        <v>672295</v>
      </c>
      <c r="G108" s="2">
        <v>143995</v>
      </c>
      <c r="H108" s="2">
        <v>528300</v>
      </c>
      <c r="I108" s="2">
        <v>186196</v>
      </c>
      <c r="J108" s="2">
        <v>0</v>
      </c>
      <c r="K108" s="2">
        <v>714496</v>
      </c>
      <c r="L108">
        <v>822</v>
      </c>
      <c r="M108" s="2">
        <v>228</v>
      </c>
      <c r="N108" s="2">
        <v>1050</v>
      </c>
      <c r="O108" s="2">
        <v>105375</v>
      </c>
      <c r="P108" s="2">
        <v>0</v>
      </c>
      <c r="Q108" s="2">
        <v>10773</v>
      </c>
      <c r="R108" s="2">
        <v>12009</v>
      </c>
      <c r="S108" s="2">
        <v>129207</v>
      </c>
      <c r="T108" s="2">
        <v>106197</v>
      </c>
      <c r="U108" s="2">
        <v>23010</v>
      </c>
    </row>
    <row r="109" spans="1:21" x14ac:dyDescent="0.25">
      <c r="A109" s="1" t="s">
        <v>60</v>
      </c>
      <c r="B109" t="s">
        <v>667</v>
      </c>
      <c r="C109" s="1" t="s">
        <v>115</v>
      </c>
      <c r="D109" t="s">
        <v>450</v>
      </c>
      <c r="E109" s="2">
        <v>298002</v>
      </c>
      <c r="F109" s="2">
        <v>233369</v>
      </c>
      <c r="G109" s="2">
        <v>49984</v>
      </c>
      <c r="H109" s="2">
        <v>183385</v>
      </c>
      <c r="I109" s="2">
        <v>64633</v>
      </c>
      <c r="J109" s="2">
        <v>0</v>
      </c>
      <c r="K109">
        <v>248018</v>
      </c>
      <c r="L109">
        <v>284</v>
      </c>
      <c r="M109" s="2">
        <v>79</v>
      </c>
      <c r="N109" s="2">
        <v>363</v>
      </c>
      <c r="O109" s="2">
        <v>36578</v>
      </c>
      <c r="P109" s="2">
        <v>0</v>
      </c>
      <c r="Q109" s="2">
        <v>3917</v>
      </c>
      <c r="R109" s="2">
        <v>4367</v>
      </c>
      <c r="S109" s="2">
        <v>45225</v>
      </c>
      <c r="T109" s="2">
        <v>36862</v>
      </c>
      <c r="U109" s="2">
        <v>8363</v>
      </c>
    </row>
    <row r="110" spans="1:21" x14ac:dyDescent="0.25">
      <c r="A110" s="1" t="s">
        <v>60</v>
      </c>
      <c r="B110" t="s">
        <v>667</v>
      </c>
      <c r="C110" s="1" t="s">
        <v>116</v>
      </c>
      <c r="D110" t="s">
        <v>451</v>
      </c>
      <c r="E110" s="2">
        <v>225188</v>
      </c>
      <c r="F110" s="2">
        <v>176347</v>
      </c>
      <c r="G110" s="2">
        <v>37770</v>
      </c>
      <c r="H110" s="2">
        <v>138577</v>
      </c>
      <c r="I110" s="2">
        <v>48841</v>
      </c>
      <c r="J110">
        <v>0</v>
      </c>
      <c r="K110">
        <v>187418</v>
      </c>
      <c r="L110">
        <v>215</v>
      </c>
      <c r="M110" s="2">
        <v>60</v>
      </c>
      <c r="N110" s="2">
        <v>275</v>
      </c>
      <c r="O110" s="2">
        <v>27641</v>
      </c>
      <c r="P110" s="2">
        <v>0</v>
      </c>
      <c r="Q110" s="2">
        <v>588</v>
      </c>
      <c r="R110" s="2">
        <v>655</v>
      </c>
      <c r="S110" s="2">
        <v>29159</v>
      </c>
      <c r="T110" s="2">
        <v>27856</v>
      </c>
      <c r="U110" s="2">
        <v>1303</v>
      </c>
    </row>
    <row r="111" spans="1:21" x14ac:dyDescent="0.25">
      <c r="A111" s="1" t="s">
        <v>60</v>
      </c>
      <c r="B111" t="s">
        <v>667</v>
      </c>
      <c r="C111" s="1" t="s">
        <v>117</v>
      </c>
      <c r="D111" t="s">
        <v>452</v>
      </c>
      <c r="E111" s="2">
        <v>280021</v>
      </c>
      <c r="F111" s="2">
        <v>219288</v>
      </c>
      <c r="G111" s="2">
        <v>46968</v>
      </c>
      <c r="H111" s="2">
        <v>172320</v>
      </c>
      <c r="I111" s="2">
        <v>60733</v>
      </c>
      <c r="J111" s="2">
        <v>14742</v>
      </c>
      <c r="K111">
        <v>247795</v>
      </c>
      <c r="L111">
        <v>268</v>
      </c>
      <c r="M111" s="2">
        <v>74</v>
      </c>
      <c r="N111" s="2">
        <v>342</v>
      </c>
      <c r="O111" s="2">
        <v>35076</v>
      </c>
      <c r="P111" s="2">
        <v>0</v>
      </c>
      <c r="Q111" s="2">
        <v>522</v>
      </c>
      <c r="R111" s="2">
        <v>582</v>
      </c>
      <c r="S111" s="2">
        <v>36522</v>
      </c>
      <c r="T111" s="2">
        <v>35344</v>
      </c>
      <c r="U111" s="2">
        <v>1178</v>
      </c>
    </row>
    <row r="112" spans="1:21" x14ac:dyDescent="0.25">
      <c r="A112" s="1" t="s">
        <v>118</v>
      </c>
      <c r="B112" t="s">
        <v>668</v>
      </c>
      <c r="C112" s="1" t="s">
        <v>119</v>
      </c>
      <c r="D112" t="s">
        <v>453</v>
      </c>
      <c r="E112" s="2">
        <v>86463</v>
      </c>
      <c r="F112" s="2">
        <v>68166</v>
      </c>
      <c r="G112" s="2">
        <v>14600</v>
      </c>
      <c r="H112" s="2">
        <v>53566</v>
      </c>
      <c r="I112" s="2">
        <v>18297</v>
      </c>
      <c r="J112" s="2">
        <v>6868</v>
      </c>
      <c r="K112">
        <v>78731</v>
      </c>
      <c r="L112">
        <v>116</v>
      </c>
      <c r="M112" s="2">
        <v>31</v>
      </c>
      <c r="N112" s="2">
        <v>147</v>
      </c>
      <c r="O112" s="2">
        <v>7985</v>
      </c>
      <c r="P112" s="2">
        <v>0</v>
      </c>
      <c r="Q112" s="2">
        <v>1879</v>
      </c>
      <c r="R112" s="2">
        <v>2055</v>
      </c>
      <c r="S112" s="2">
        <v>12066</v>
      </c>
      <c r="T112" s="2">
        <v>8101</v>
      </c>
      <c r="U112" s="2">
        <v>3965</v>
      </c>
    </row>
    <row r="113" spans="1:21" x14ac:dyDescent="0.25">
      <c r="A113" s="1" t="s">
        <v>118</v>
      </c>
      <c r="B113" t="s">
        <v>668</v>
      </c>
      <c r="C113" s="1" t="s">
        <v>120</v>
      </c>
      <c r="D113" t="s">
        <v>454</v>
      </c>
      <c r="E113" s="2">
        <v>227685</v>
      </c>
      <c r="F113" s="2">
        <v>179505</v>
      </c>
      <c r="G113" s="2">
        <v>38447</v>
      </c>
      <c r="H113" s="2">
        <v>141058</v>
      </c>
      <c r="I113" s="2">
        <v>48180</v>
      </c>
      <c r="J113" s="2">
        <v>2543</v>
      </c>
      <c r="K113">
        <v>191781</v>
      </c>
      <c r="L113">
        <v>306</v>
      </c>
      <c r="M113" s="2">
        <v>83</v>
      </c>
      <c r="N113" s="2">
        <v>389</v>
      </c>
      <c r="O113" s="2">
        <v>21216</v>
      </c>
      <c r="P113" s="2">
        <v>0</v>
      </c>
      <c r="Q113" s="2">
        <v>11988</v>
      </c>
      <c r="R113" s="2">
        <v>13109</v>
      </c>
      <c r="S113" s="2">
        <v>46702</v>
      </c>
      <c r="T113" s="2">
        <v>21522</v>
      </c>
      <c r="U113" s="2">
        <v>25180</v>
      </c>
    </row>
    <row r="114" spans="1:21" x14ac:dyDescent="0.25">
      <c r="A114" s="1" t="s">
        <v>118</v>
      </c>
      <c r="B114" t="s">
        <v>668</v>
      </c>
      <c r="C114" s="1" t="s">
        <v>121</v>
      </c>
      <c r="D114" t="s">
        <v>455</v>
      </c>
      <c r="E114" s="2">
        <v>63659</v>
      </c>
      <c r="F114" s="2">
        <v>50188</v>
      </c>
      <c r="G114" s="2">
        <v>10750</v>
      </c>
      <c r="H114" s="2">
        <v>39438</v>
      </c>
      <c r="I114" s="2">
        <v>13471</v>
      </c>
      <c r="J114" s="2">
        <v>9128</v>
      </c>
      <c r="K114">
        <v>62037</v>
      </c>
      <c r="L114">
        <v>86</v>
      </c>
      <c r="M114" s="2">
        <v>23</v>
      </c>
      <c r="N114" s="2">
        <v>109</v>
      </c>
      <c r="O114" s="2">
        <v>5879</v>
      </c>
      <c r="P114" s="2">
        <v>0</v>
      </c>
      <c r="Q114" s="2">
        <v>324</v>
      </c>
      <c r="R114" s="2">
        <v>354</v>
      </c>
      <c r="S114" s="2">
        <v>6666</v>
      </c>
      <c r="T114" s="2">
        <v>5965</v>
      </c>
      <c r="U114" s="2">
        <v>701</v>
      </c>
    </row>
    <row r="115" spans="1:21" x14ac:dyDescent="0.25">
      <c r="A115" s="1" t="s">
        <v>118</v>
      </c>
      <c r="B115" t="s">
        <v>668</v>
      </c>
      <c r="C115" s="1" t="s">
        <v>122</v>
      </c>
      <c r="D115" t="s">
        <v>456</v>
      </c>
      <c r="E115" s="2">
        <v>1521378</v>
      </c>
      <c r="F115" s="2">
        <v>1199441</v>
      </c>
      <c r="G115" s="2">
        <v>256901</v>
      </c>
      <c r="H115" s="2">
        <v>942540</v>
      </c>
      <c r="I115" s="2">
        <v>321937</v>
      </c>
      <c r="J115" s="2">
        <v>10523</v>
      </c>
      <c r="K115">
        <v>1275000</v>
      </c>
      <c r="L115" s="2">
        <v>2037</v>
      </c>
      <c r="M115" s="2">
        <v>547</v>
      </c>
      <c r="N115" s="2">
        <v>2584</v>
      </c>
      <c r="O115" s="2">
        <v>141167</v>
      </c>
      <c r="P115" s="2">
        <v>0</v>
      </c>
      <c r="Q115" s="2">
        <v>26309</v>
      </c>
      <c r="R115" s="2">
        <v>28769</v>
      </c>
      <c r="S115" s="2">
        <v>198829</v>
      </c>
      <c r="T115" s="2">
        <v>143204</v>
      </c>
      <c r="U115" s="2">
        <v>55625</v>
      </c>
    </row>
    <row r="116" spans="1:21" x14ac:dyDescent="0.25">
      <c r="A116" s="1" t="s">
        <v>118</v>
      </c>
      <c r="B116" t="s">
        <v>668</v>
      </c>
      <c r="C116" s="1" t="s">
        <v>123</v>
      </c>
      <c r="D116" t="s">
        <v>457</v>
      </c>
      <c r="E116" s="2">
        <v>140309</v>
      </c>
      <c r="F116" s="2">
        <v>110618</v>
      </c>
      <c r="G116" s="2">
        <v>23693</v>
      </c>
      <c r="H116" s="2">
        <v>86925</v>
      </c>
      <c r="I116" s="2">
        <v>29691</v>
      </c>
      <c r="J116" s="2">
        <v>15410</v>
      </c>
      <c r="K116">
        <v>132026</v>
      </c>
      <c r="L116">
        <v>188</v>
      </c>
      <c r="M116" s="2">
        <v>50</v>
      </c>
      <c r="N116" s="2">
        <v>238</v>
      </c>
      <c r="O116" s="2">
        <v>13039</v>
      </c>
      <c r="P116" s="2">
        <v>0</v>
      </c>
      <c r="Q116" s="2">
        <v>259</v>
      </c>
      <c r="R116" s="2">
        <v>283</v>
      </c>
      <c r="S116" s="2">
        <v>13819</v>
      </c>
      <c r="T116" s="2">
        <v>13227</v>
      </c>
      <c r="U116" s="2">
        <v>592</v>
      </c>
    </row>
    <row r="117" spans="1:21" x14ac:dyDescent="0.25">
      <c r="A117" s="1" t="s">
        <v>118</v>
      </c>
      <c r="B117" t="s">
        <v>668</v>
      </c>
      <c r="C117" s="1" t="s">
        <v>124</v>
      </c>
      <c r="D117" t="s">
        <v>458</v>
      </c>
      <c r="E117" s="2">
        <v>322945</v>
      </c>
      <c r="F117" s="2">
        <v>254607</v>
      </c>
      <c r="G117" s="2">
        <v>54532</v>
      </c>
      <c r="H117" s="2">
        <v>200075</v>
      </c>
      <c r="I117" s="2">
        <v>68338</v>
      </c>
      <c r="J117" s="2">
        <v>0</v>
      </c>
      <c r="K117">
        <v>268413</v>
      </c>
      <c r="L117">
        <v>433</v>
      </c>
      <c r="M117" s="2">
        <v>117</v>
      </c>
      <c r="N117" s="2">
        <v>550</v>
      </c>
      <c r="O117" s="2">
        <v>29824</v>
      </c>
      <c r="P117" s="2">
        <v>0</v>
      </c>
      <c r="Q117" s="2">
        <v>1231</v>
      </c>
      <c r="R117" s="2">
        <v>1346</v>
      </c>
      <c r="S117" s="2">
        <v>32951</v>
      </c>
      <c r="T117" s="2">
        <v>30257</v>
      </c>
      <c r="U117" s="2">
        <v>2694</v>
      </c>
    </row>
    <row r="118" spans="1:21" x14ac:dyDescent="0.25">
      <c r="A118" s="1" t="s">
        <v>118</v>
      </c>
      <c r="B118" t="s">
        <v>668</v>
      </c>
      <c r="C118" s="1" t="s">
        <v>125</v>
      </c>
      <c r="D118" t="s">
        <v>459</v>
      </c>
      <c r="E118" s="2">
        <v>576935</v>
      </c>
      <c r="F118" s="2">
        <v>454851</v>
      </c>
      <c r="G118" s="2">
        <v>97422</v>
      </c>
      <c r="H118" s="2">
        <v>357429</v>
      </c>
      <c r="I118" s="2">
        <v>122084</v>
      </c>
      <c r="J118" s="2">
        <v>0</v>
      </c>
      <c r="K118">
        <v>479513</v>
      </c>
      <c r="L118">
        <v>773</v>
      </c>
      <c r="M118" s="2">
        <v>207</v>
      </c>
      <c r="N118" s="2">
        <v>980</v>
      </c>
      <c r="O118" s="2">
        <v>53280</v>
      </c>
      <c r="P118" s="2">
        <v>0</v>
      </c>
      <c r="Q118" s="2">
        <v>10498</v>
      </c>
      <c r="R118" s="2">
        <v>11479</v>
      </c>
      <c r="S118" s="2">
        <v>76237</v>
      </c>
      <c r="T118" s="2">
        <v>54053</v>
      </c>
      <c r="U118" s="2">
        <v>22184</v>
      </c>
    </row>
    <row r="119" spans="1:21" x14ac:dyDescent="0.25">
      <c r="A119" s="1" t="s">
        <v>118</v>
      </c>
      <c r="B119" t="s">
        <v>668</v>
      </c>
      <c r="C119" s="1" t="s">
        <v>126</v>
      </c>
      <c r="D119" t="s">
        <v>460</v>
      </c>
      <c r="E119" s="2">
        <v>1534324</v>
      </c>
      <c r="F119" s="2">
        <v>1209647</v>
      </c>
      <c r="G119" s="2">
        <v>259087</v>
      </c>
      <c r="H119" s="2">
        <v>950560</v>
      </c>
      <c r="I119" s="2">
        <v>324677</v>
      </c>
      <c r="J119">
        <v>0</v>
      </c>
      <c r="K119">
        <v>1275237</v>
      </c>
      <c r="L119" s="2">
        <v>2051</v>
      </c>
      <c r="M119" s="2">
        <v>550</v>
      </c>
      <c r="N119" s="2">
        <v>2601</v>
      </c>
      <c r="O119" s="2">
        <v>141695</v>
      </c>
      <c r="P119" s="2">
        <v>0</v>
      </c>
      <c r="Q119" s="2">
        <v>12182</v>
      </c>
      <c r="R119" s="2">
        <v>13322</v>
      </c>
      <c r="S119" s="2">
        <v>169800</v>
      </c>
      <c r="T119" s="2">
        <v>143746</v>
      </c>
      <c r="U119" s="2">
        <v>26054</v>
      </c>
    </row>
    <row r="120" spans="1:21" x14ac:dyDescent="0.25">
      <c r="A120" s="1" t="s">
        <v>118</v>
      </c>
      <c r="B120" t="s">
        <v>668</v>
      </c>
      <c r="C120" s="1" t="s">
        <v>127</v>
      </c>
      <c r="D120" t="s">
        <v>461</v>
      </c>
      <c r="E120" s="2">
        <v>309058</v>
      </c>
      <c r="F120" s="2">
        <v>243658</v>
      </c>
      <c r="G120" s="2">
        <v>52187</v>
      </c>
      <c r="H120" s="2">
        <v>191471</v>
      </c>
      <c r="I120" s="2">
        <v>65400</v>
      </c>
      <c r="J120" s="2">
        <v>0</v>
      </c>
      <c r="K120">
        <v>256871</v>
      </c>
      <c r="L120">
        <v>414</v>
      </c>
      <c r="M120" s="2">
        <v>111</v>
      </c>
      <c r="N120" s="2">
        <v>525</v>
      </c>
      <c r="O120" s="2">
        <v>28542</v>
      </c>
      <c r="P120" s="2">
        <v>0</v>
      </c>
      <c r="Q120" s="2">
        <v>130</v>
      </c>
      <c r="R120" s="2">
        <v>142</v>
      </c>
      <c r="S120" s="2">
        <v>29339</v>
      </c>
      <c r="T120" s="2">
        <v>28956</v>
      </c>
      <c r="U120" s="2">
        <v>383</v>
      </c>
    </row>
    <row r="121" spans="1:21" x14ac:dyDescent="0.25">
      <c r="A121" s="1" t="s">
        <v>118</v>
      </c>
      <c r="B121" t="s">
        <v>668</v>
      </c>
      <c r="C121" s="1" t="s">
        <v>128</v>
      </c>
      <c r="D121" t="s">
        <v>462</v>
      </c>
      <c r="E121" s="2">
        <v>5656166</v>
      </c>
      <c r="F121" s="2">
        <v>4459271</v>
      </c>
      <c r="G121" s="2">
        <v>955105</v>
      </c>
      <c r="H121" s="2">
        <v>3504166</v>
      </c>
      <c r="I121" s="2">
        <v>1196895</v>
      </c>
      <c r="J121" s="2">
        <v>0</v>
      </c>
      <c r="K121">
        <v>4701061</v>
      </c>
      <c r="L121" s="2">
        <v>7573</v>
      </c>
      <c r="M121" s="2">
        <v>2033</v>
      </c>
      <c r="N121" s="2">
        <v>9606</v>
      </c>
      <c r="O121" s="2">
        <v>522349</v>
      </c>
      <c r="P121" s="2">
        <v>0</v>
      </c>
      <c r="Q121" s="2">
        <v>132257</v>
      </c>
      <c r="R121" s="2">
        <v>144625</v>
      </c>
      <c r="S121" s="2">
        <v>808837</v>
      </c>
      <c r="T121" s="2">
        <v>529922</v>
      </c>
      <c r="U121" s="2">
        <v>278915</v>
      </c>
    </row>
    <row r="122" spans="1:21" x14ac:dyDescent="0.25">
      <c r="A122" s="1" t="s">
        <v>118</v>
      </c>
      <c r="B122" t="s">
        <v>668</v>
      </c>
      <c r="C122" s="1" t="s">
        <v>129</v>
      </c>
      <c r="D122" t="s">
        <v>463</v>
      </c>
      <c r="E122" s="2">
        <v>69431</v>
      </c>
      <c r="F122" s="2">
        <v>54739</v>
      </c>
      <c r="G122" s="2">
        <v>11725</v>
      </c>
      <c r="H122" s="2">
        <v>43014</v>
      </c>
      <c r="I122" s="2">
        <v>14692</v>
      </c>
      <c r="J122" s="2">
        <v>6427</v>
      </c>
      <c r="K122">
        <v>64133</v>
      </c>
      <c r="L122">
        <v>94</v>
      </c>
      <c r="M122" s="2">
        <v>25</v>
      </c>
      <c r="N122" s="2">
        <v>119</v>
      </c>
      <c r="O122" s="2">
        <v>6469</v>
      </c>
      <c r="P122" s="2">
        <v>0</v>
      </c>
      <c r="Q122" s="2">
        <v>0</v>
      </c>
      <c r="R122" s="2">
        <v>0</v>
      </c>
      <c r="S122" s="2">
        <v>6588</v>
      </c>
      <c r="T122" s="2">
        <v>6563</v>
      </c>
      <c r="U122" s="2">
        <v>25</v>
      </c>
    </row>
    <row r="123" spans="1:21" x14ac:dyDescent="0.25">
      <c r="A123" s="1" t="s">
        <v>118</v>
      </c>
      <c r="B123" t="s">
        <v>668</v>
      </c>
      <c r="C123" s="1" t="s">
        <v>130</v>
      </c>
      <c r="D123" t="s">
        <v>464</v>
      </c>
      <c r="E123" s="2">
        <v>184790</v>
      </c>
      <c r="F123" s="2">
        <v>145687</v>
      </c>
      <c r="G123" s="2">
        <v>31204</v>
      </c>
      <c r="H123" s="2">
        <v>114483</v>
      </c>
      <c r="I123" s="2">
        <v>39103</v>
      </c>
      <c r="J123" s="2">
        <v>8250</v>
      </c>
      <c r="K123">
        <v>161836</v>
      </c>
      <c r="L123">
        <v>248</v>
      </c>
      <c r="M123" s="2">
        <v>67</v>
      </c>
      <c r="N123" s="2">
        <v>315</v>
      </c>
      <c r="O123" s="2">
        <v>17310</v>
      </c>
      <c r="P123" s="2">
        <v>0</v>
      </c>
      <c r="Q123" s="2">
        <v>324</v>
      </c>
      <c r="R123" s="2">
        <v>354</v>
      </c>
      <c r="S123" s="2">
        <v>18303</v>
      </c>
      <c r="T123" s="2">
        <v>17558</v>
      </c>
      <c r="U123" s="2">
        <v>745</v>
      </c>
    </row>
    <row r="124" spans="1:21" x14ac:dyDescent="0.25">
      <c r="A124" s="1" t="s">
        <v>118</v>
      </c>
      <c r="B124" t="s">
        <v>668</v>
      </c>
      <c r="C124" s="1" t="s">
        <v>131</v>
      </c>
      <c r="D124" t="s">
        <v>465</v>
      </c>
      <c r="E124" s="2">
        <v>211466</v>
      </c>
      <c r="F124" s="2">
        <v>166718</v>
      </c>
      <c r="G124" s="2">
        <v>35708</v>
      </c>
      <c r="H124" s="2">
        <v>131010</v>
      </c>
      <c r="I124" s="2">
        <v>44748</v>
      </c>
      <c r="J124" s="2">
        <v>10683</v>
      </c>
      <c r="K124">
        <v>186441</v>
      </c>
      <c r="L124">
        <v>284</v>
      </c>
      <c r="M124" s="2">
        <v>77</v>
      </c>
      <c r="N124" s="2">
        <v>361</v>
      </c>
      <c r="O124" s="2">
        <v>20169</v>
      </c>
      <c r="P124" s="2">
        <v>0</v>
      </c>
      <c r="Q124" s="2">
        <v>389</v>
      </c>
      <c r="R124" s="2">
        <v>425</v>
      </c>
      <c r="S124" s="2">
        <v>21344</v>
      </c>
      <c r="T124" s="2">
        <v>20453</v>
      </c>
      <c r="U124" s="2">
        <v>891</v>
      </c>
    </row>
    <row r="125" spans="1:21" x14ac:dyDescent="0.25">
      <c r="A125" s="1" t="s">
        <v>118</v>
      </c>
      <c r="B125" t="s">
        <v>668</v>
      </c>
      <c r="C125" s="1" t="s">
        <v>132</v>
      </c>
      <c r="D125" t="s">
        <v>466</v>
      </c>
      <c r="E125" s="2">
        <v>264597</v>
      </c>
      <c r="F125" s="2">
        <v>208606</v>
      </c>
      <c r="G125" s="2">
        <v>44680</v>
      </c>
      <c r="H125" s="2">
        <v>163926</v>
      </c>
      <c r="I125" s="2">
        <v>55991</v>
      </c>
      <c r="J125" s="2">
        <v>0</v>
      </c>
      <c r="K125">
        <v>219917</v>
      </c>
      <c r="L125">
        <v>353</v>
      </c>
      <c r="M125" s="2">
        <v>95</v>
      </c>
      <c r="N125" s="2">
        <v>448</v>
      </c>
      <c r="O125" s="2">
        <v>24436</v>
      </c>
      <c r="P125" s="2">
        <v>0</v>
      </c>
      <c r="Q125" s="2">
        <v>194</v>
      </c>
      <c r="R125" s="2">
        <v>213</v>
      </c>
      <c r="S125" s="2">
        <v>25291</v>
      </c>
      <c r="T125" s="2">
        <v>24789</v>
      </c>
      <c r="U125" s="2">
        <v>502</v>
      </c>
    </row>
    <row r="126" spans="1:21" x14ac:dyDescent="0.25">
      <c r="A126" s="1" t="s">
        <v>118</v>
      </c>
      <c r="B126" t="s">
        <v>668</v>
      </c>
      <c r="C126" s="1" t="s">
        <v>133</v>
      </c>
      <c r="D126" t="s">
        <v>467</v>
      </c>
      <c r="E126" s="2">
        <v>514320</v>
      </c>
      <c r="F126" s="2">
        <v>405485</v>
      </c>
      <c r="G126" s="2">
        <v>86849</v>
      </c>
      <c r="H126" s="2">
        <v>318636</v>
      </c>
      <c r="I126" s="2">
        <v>108835</v>
      </c>
      <c r="J126" s="2">
        <v>1353</v>
      </c>
      <c r="K126">
        <v>428824</v>
      </c>
      <c r="L126">
        <v>687</v>
      </c>
      <c r="M126" s="2">
        <v>185</v>
      </c>
      <c r="N126" s="2">
        <v>872</v>
      </c>
      <c r="O126" s="2">
        <v>47520</v>
      </c>
      <c r="P126" s="2">
        <v>0</v>
      </c>
      <c r="Q126" s="2">
        <v>9331</v>
      </c>
      <c r="R126" s="2">
        <v>10204</v>
      </c>
      <c r="S126" s="2">
        <v>67927</v>
      </c>
      <c r="T126" s="2">
        <v>48207</v>
      </c>
      <c r="U126" s="2">
        <v>19720</v>
      </c>
    </row>
    <row r="127" spans="1:21" x14ac:dyDescent="0.25">
      <c r="A127" s="1" t="s">
        <v>118</v>
      </c>
      <c r="B127" t="s">
        <v>668</v>
      </c>
      <c r="C127" s="1" t="s">
        <v>134</v>
      </c>
      <c r="D127" t="s">
        <v>468</v>
      </c>
      <c r="E127" s="2">
        <v>1761004</v>
      </c>
      <c r="F127" s="2">
        <v>1388360</v>
      </c>
      <c r="G127" s="2">
        <v>297365</v>
      </c>
      <c r="H127" s="2">
        <v>1090995</v>
      </c>
      <c r="I127" s="2">
        <v>372644</v>
      </c>
      <c r="J127" s="2">
        <v>0</v>
      </c>
      <c r="K127">
        <v>1463639</v>
      </c>
      <c r="L127" s="2">
        <v>2357</v>
      </c>
      <c r="M127" s="2">
        <v>633</v>
      </c>
      <c r="N127" s="2">
        <v>2990</v>
      </c>
      <c r="O127" s="2">
        <v>162629</v>
      </c>
      <c r="P127" s="2">
        <v>0</v>
      </c>
      <c r="Q127" s="2">
        <v>16978</v>
      </c>
      <c r="R127" s="2">
        <v>18565</v>
      </c>
      <c r="S127" s="2">
        <v>201162</v>
      </c>
      <c r="T127" s="2">
        <v>164986</v>
      </c>
      <c r="U127" s="2">
        <v>36176</v>
      </c>
    </row>
    <row r="128" spans="1:21" x14ac:dyDescent="0.25">
      <c r="A128" s="1" t="s">
        <v>118</v>
      </c>
      <c r="B128" t="s">
        <v>668</v>
      </c>
      <c r="C128" s="1" t="s">
        <v>135</v>
      </c>
      <c r="D128" t="s">
        <v>469</v>
      </c>
      <c r="E128" s="2">
        <v>1139304</v>
      </c>
      <c r="F128" s="2">
        <v>898217</v>
      </c>
      <c r="G128" s="2">
        <v>192384</v>
      </c>
      <c r="H128" s="2">
        <v>705833</v>
      </c>
      <c r="I128" s="2">
        <v>241087</v>
      </c>
      <c r="J128" s="2">
        <v>444</v>
      </c>
      <c r="K128">
        <v>947364</v>
      </c>
      <c r="L128" s="2">
        <v>1526</v>
      </c>
      <c r="M128" s="2">
        <v>410</v>
      </c>
      <c r="N128" s="2">
        <v>1936</v>
      </c>
      <c r="O128" s="2">
        <v>105215</v>
      </c>
      <c r="P128" s="2">
        <v>0</v>
      </c>
      <c r="Q128" s="2">
        <v>4471</v>
      </c>
      <c r="R128" s="2">
        <v>4889</v>
      </c>
      <c r="S128" s="2">
        <v>116511</v>
      </c>
      <c r="T128" s="2">
        <v>106741</v>
      </c>
      <c r="U128" s="2">
        <v>9770</v>
      </c>
    </row>
    <row r="129" spans="1:21" x14ac:dyDescent="0.25">
      <c r="A129" s="1" t="s">
        <v>118</v>
      </c>
      <c r="B129" t="s">
        <v>668</v>
      </c>
      <c r="C129" s="1" t="s">
        <v>136</v>
      </c>
      <c r="D129" t="s">
        <v>470</v>
      </c>
      <c r="E129" s="2">
        <v>193731</v>
      </c>
      <c r="F129" s="2">
        <v>152736</v>
      </c>
      <c r="G129" s="2">
        <v>32713</v>
      </c>
      <c r="H129" s="2">
        <v>120023</v>
      </c>
      <c r="I129" s="2">
        <v>40995</v>
      </c>
      <c r="J129" s="2">
        <v>4342</v>
      </c>
      <c r="K129">
        <v>165360</v>
      </c>
      <c r="L129">
        <v>259</v>
      </c>
      <c r="M129" s="2">
        <v>70</v>
      </c>
      <c r="N129" s="2">
        <v>329</v>
      </c>
      <c r="O129" s="2">
        <v>17891</v>
      </c>
      <c r="P129" s="2">
        <v>0</v>
      </c>
      <c r="Q129" s="2">
        <v>389</v>
      </c>
      <c r="R129" s="2">
        <v>425</v>
      </c>
      <c r="S129" s="2">
        <v>19034</v>
      </c>
      <c r="T129" s="2">
        <v>18150</v>
      </c>
      <c r="U129" s="2">
        <v>884</v>
      </c>
    </row>
    <row r="130" spans="1:21" x14ac:dyDescent="0.25">
      <c r="A130" s="1" t="s">
        <v>118</v>
      </c>
      <c r="B130" t="s">
        <v>668</v>
      </c>
      <c r="C130" s="1" t="s">
        <v>137</v>
      </c>
      <c r="D130" t="s">
        <v>471</v>
      </c>
      <c r="E130" s="2">
        <v>2089491</v>
      </c>
      <c r="F130" s="2">
        <v>1647336</v>
      </c>
      <c r="G130" s="2">
        <v>352833</v>
      </c>
      <c r="H130" s="2">
        <v>1294503</v>
      </c>
      <c r="I130" s="2">
        <v>442155</v>
      </c>
      <c r="J130" s="2">
        <v>0</v>
      </c>
      <c r="K130">
        <v>1736658</v>
      </c>
      <c r="L130" s="2">
        <v>2796</v>
      </c>
      <c r="M130" s="2">
        <v>750</v>
      </c>
      <c r="N130" s="2">
        <v>3546</v>
      </c>
      <c r="O130" s="2">
        <v>192965</v>
      </c>
      <c r="P130" s="2">
        <v>0</v>
      </c>
      <c r="Q130" s="2">
        <v>16200</v>
      </c>
      <c r="R130" s="2">
        <v>17715</v>
      </c>
      <c r="S130" s="2">
        <v>230426</v>
      </c>
      <c r="T130" s="2">
        <v>195761</v>
      </c>
      <c r="U130" s="2">
        <v>34665</v>
      </c>
    </row>
    <row r="131" spans="1:21" x14ac:dyDescent="0.25">
      <c r="A131" s="1" t="s">
        <v>118</v>
      </c>
      <c r="B131" t="s">
        <v>668</v>
      </c>
      <c r="C131" s="1" t="s">
        <v>138</v>
      </c>
      <c r="D131" t="s">
        <v>472</v>
      </c>
      <c r="E131" s="2">
        <v>485022</v>
      </c>
      <c r="F131" s="2">
        <v>382387</v>
      </c>
      <c r="G131" s="2">
        <v>81901</v>
      </c>
      <c r="H131" s="2">
        <v>300486</v>
      </c>
      <c r="I131" s="2">
        <v>102635</v>
      </c>
      <c r="J131" s="2">
        <v>0</v>
      </c>
      <c r="K131">
        <v>403121</v>
      </c>
      <c r="L131">
        <v>649</v>
      </c>
      <c r="M131" s="2">
        <v>174</v>
      </c>
      <c r="N131" s="2">
        <v>823</v>
      </c>
      <c r="O131" s="2">
        <v>44792</v>
      </c>
      <c r="P131" s="2">
        <v>0</v>
      </c>
      <c r="Q131" s="2">
        <v>518</v>
      </c>
      <c r="R131" s="2">
        <v>567</v>
      </c>
      <c r="S131" s="2">
        <v>46700</v>
      </c>
      <c r="T131" s="2">
        <v>45441</v>
      </c>
      <c r="U131" s="2">
        <v>1259</v>
      </c>
    </row>
    <row r="132" spans="1:21" x14ac:dyDescent="0.25">
      <c r="A132" s="1" t="s">
        <v>118</v>
      </c>
      <c r="B132" t="s">
        <v>668</v>
      </c>
      <c r="C132" s="1" t="s">
        <v>139</v>
      </c>
      <c r="D132" t="s">
        <v>473</v>
      </c>
      <c r="E132" s="2">
        <v>314015</v>
      </c>
      <c r="F132" s="2">
        <v>247566</v>
      </c>
      <c r="G132" s="2">
        <v>53024</v>
      </c>
      <c r="H132" s="2">
        <v>194542</v>
      </c>
      <c r="I132" s="2">
        <v>66449</v>
      </c>
      <c r="J132" s="2">
        <v>8267</v>
      </c>
      <c r="K132">
        <v>269258</v>
      </c>
      <c r="L132">
        <v>420</v>
      </c>
      <c r="M132" s="2">
        <v>112</v>
      </c>
      <c r="N132" s="2">
        <v>532</v>
      </c>
      <c r="O132" s="2">
        <v>29699</v>
      </c>
      <c r="P132" s="2">
        <v>0</v>
      </c>
      <c r="Q132" s="2">
        <v>0</v>
      </c>
      <c r="R132" s="2">
        <v>0</v>
      </c>
      <c r="S132" s="2">
        <v>30231</v>
      </c>
      <c r="T132" s="2">
        <v>30119</v>
      </c>
      <c r="U132" s="2">
        <v>112</v>
      </c>
    </row>
    <row r="133" spans="1:21" x14ac:dyDescent="0.25">
      <c r="A133" s="1" t="s">
        <v>140</v>
      </c>
      <c r="B133" t="s">
        <v>669</v>
      </c>
      <c r="C133" s="1" t="s">
        <v>141</v>
      </c>
      <c r="D133" t="s">
        <v>474</v>
      </c>
      <c r="E133" s="2">
        <v>203952</v>
      </c>
      <c r="F133" s="2">
        <v>161681</v>
      </c>
      <c r="G133" s="2">
        <v>34629</v>
      </c>
      <c r="H133" s="2">
        <v>127052</v>
      </c>
      <c r="I133" s="2">
        <v>42271</v>
      </c>
      <c r="J133">
        <v>0</v>
      </c>
      <c r="K133">
        <v>169323</v>
      </c>
      <c r="L133">
        <v>179</v>
      </c>
      <c r="M133" s="2">
        <v>47</v>
      </c>
      <c r="N133" s="2">
        <v>226</v>
      </c>
      <c r="O133" s="2">
        <v>19378</v>
      </c>
      <c r="P133" s="2">
        <v>0</v>
      </c>
      <c r="Q133" s="2">
        <v>1365</v>
      </c>
      <c r="R133" s="2">
        <v>1501</v>
      </c>
      <c r="S133" s="2">
        <v>22470</v>
      </c>
      <c r="T133" s="2">
        <v>19557</v>
      </c>
      <c r="U133" s="2">
        <v>2913</v>
      </c>
    </row>
    <row r="134" spans="1:21" x14ac:dyDescent="0.25">
      <c r="A134" s="1" t="s">
        <v>140</v>
      </c>
      <c r="B134" t="s">
        <v>669</v>
      </c>
      <c r="C134" s="1" t="s">
        <v>142</v>
      </c>
      <c r="D134" t="s">
        <v>475</v>
      </c>
      <c r="E134" s="2">
        <v>458314</v>
      </c>
      <c r="F134" s="2">
        <v>363324</v>
      </c>
      <c r="G134" s="2">
        <v>77818</v>
      </c>
      <c r="H134" s="2">
        <v>285506</v>
      </c>
      <c r="I134" s="2">
        <v>94990</v>
      </c>
      <c r="J134" s="2">
        <v>15810</v>
      </c>
      <c r="K134">
        <v>396306</v>
      </c>
      <c r="L134">
        <v>403</v>
      </c>
      <c r="M134" s="2">
        <v>105</v>
      </c>
      <c r="N134" s="2">
        <v>508</v>
      </c>
      <c r="O134" s="2">
        <v>44979</v>
      </c>
      <c r="P134" s="2">
        <v>0</v>
      </c>
      <c r="Q134" s="2">
        <v>4419</v>
      </c>
      <c r="R134" s="2">
        <v>4859</v>
      </c>
      <c r="S134" s="2">
        <v>54765</v>
      </c>
      <c r="T134" s="2">
        <v>45382</v>
      </c>
      <c r="U134" s="2">
        <v>9383</v>
      </c>
    </row>
    <row r="135" spans="1:21" x14ac:dyDescent="0.25">
      <c r="A135" s="1" t="s">
        <v>140</v>
      </c>
      <c r="B135" t="s">
        <v>669</v>
      </c>
      <c r="C135" s="1" t="s">
        <v>143</v>
      </c>
      <c r="D135" t="s">
        <v>476</v>
      </c>
      <c r="E135" s="2">
        <v>182787</v>
      </c>
      <c r="F135" s="2">
        <v>144903</v>
      </c>
      <c r="G135" s="2">
        <v>31036</v>
      </c>
      <c r="H135" s="2">
        <v>113867</v>
      </c>
      <c r="I135" s="2">
        <v>37884</v>
      </c>
      <c r="J135" s="2">
        <v>0</v>
      </c>
      <c r="K135">
        <v>151751</v>
      </c>
      <c r="L135">
        <v>160</v>
      </c>
      <c r="M135" s="2">
        <v>42</v>
      </c>
      <c r="N135" s="2">
        <v>202</v>
      </c>
      <c r="O135" s="2">
        <v>17367</v>
      </c>
      <c r="P135" s="2">
        <v>0</v>
      </c>
      <c r="Q135" s="2">
        <v>455</v>
      </c>
      <c r="R135" s="2">
        <v>500</v>
      </c>
      <c r="S135" s="2">
        <v>18524</v>
      </c>
      <c r="T135" s="2">
        <v>17527</v>
      </c>
      <c r="U135" s="2">
        <v>997</v>
      </c>
    </row>
    <row r="136" spans="1:21" x14ac:dyDescent="0.25">
      <c r="A136" s="1" t="s">
        <v>140</v>
      </c>
      <c r="B136" t="s">
        <v>669</v>
      </c>
      <c r="C136" s="1" t="s">
        <v>144</v>
      </c>
      <c r="D136" t="s">
        <v>477</v>
      </c>
      <c r="E136" s="2">
        <v>561850</v>
      </c>
      <c r="F136" s="2">
        <v>445401</v>
      </c>
      <c r="G136" s="2">
        <v>95398</v>
      </c>
      <c r="H136" s="2">
        <v>350003</v>
      </c>
      <c r="I136" s="2">
        <v>116449</v>
      </c>
      <c r="J136" s="2">
        <v>443</v>
      </c>
      <c r="K136">
        <v>466895</v>
      </c>
      <c r="L136">
        <v>497</v>
      </c>
      <c r="M136" s="2">
        <v>130</v>
      </c>
      <c r="N136" s="2">
        <v>627</v>
      </c>
      <c r="O136" s="2">
        <v>53384</v>
      </c>
      <c r="P136" s="2">
        <v>0</v>
      </c>
      <c r="Q136" s="2">
        <v>9097</v>
      </c>
      <c r="R136" s="2">
        <v>10004</v>
      </c>
      <c r="S136" s="2">
        <v>73112</v>
      </c>
      <c r="T136" s="2">
        <v>53881</v>
      </c>
      <c r="U136" s="2">
        <v>19231</v>
      </c>
    </row>
    <row r="137" spans="1:21" x14ac:dyDescent="0.25">
      <c r="A137" s="1" t="s">
        <v>140</v>
      </c>
      <c r="B137" t="s">
        <v>669</v>
      </c>
      <c r="C137" s="1" t="s">
        <v>145</v>
      </c>
      <c r="D137" t="s">
        <v>478</v>
      </c>
      <c r="E137" s="2">
        <v>6481733</v>
      </c>
      <c r="F137" s="2">
        <v>5138322</v>
      </c>
      <c r="G137" s="2">
        <v>1100546</v>
      </c>
      <c r="H137" s="2">
        <v>4037776</v>
      </c>
      <c r="I137" s="2">
        <v>1343411</v>
      </c>
      <c r="J137" s="2">
        <v>0</v>
      </c>
      <c r="K137" s="2">
        <v>5381187</v>
      </c>
      <c r="L137" s="2">
        <v>5710</v>
      </c>
      <c r="M137" s="2">
        <v>1493</v>
      </c>
      <c r="N137" s="2">
        <v>7203</v>
      </c>
      <c r="O137" s="2">
        <v>615854</v>
      </c>
      <c r="P137" s="2">
        <v>0</v>
      </c>
      <c r="Q137" s="2">
        <v>134704</v>
      </c>
      <c r="R137" s="2">
        <v>148137</v>
      </c>
      <c r="S137" s="2">
        <v>905898</v>
      </c>
      <c r="T137" s="2">
        <v>621564</v>
      </c>
      <c r="U137" s="2">
        <v>284334</v>
      </c>
    </row>
    <row r="138" spans="1:21" x14ac:dyDescent="0.25">
      <c r="A138" s="1" t="s">
        <v>140</v>
      </c>
      <c r="B138" t="s">
        <v>669</v>
      </c>
      <c r="C138" s="1" t="s">
        <v>146</v>
      </c>
      <c r="D138" t="s">
        <v>479</v>
      </c>
      <c r="E138" s="2">
        <v>425434</v>
      </c>
      <c r="F138" s="2">
        <v>337258</v>
      </c>
      <c r="G138" s="2">
        <v>72236</v>
      </c>
      <c r="H138" s="2">
        <v>265022</v>
      </c>
      <c r="I138" s="2">
        <v>88176</v>
      </c>
      <c r="J138" s="2">
        <v>36359</v>
      </c>
      <c r="K138">
        <v>389557</v>
      </c>
      <c r="L138">
        <v>375</v>
      </c>
      <c r="M138" s="2">
        <v>98</v>
      </c>
      <c r="N138" s="2">
        <v>473</v>
      </c>
      <c r="O138" s="2">
        <v>41321</v>
      </c>
      <c r="P138" s="2">
        <v>0</v>
      </c>
      <c r="Q138" s="2">
        <v>585</v>
      </c>
      <c r="R138" s="2">
        <v>643</v>
      </c>
      <c r="S138" s="2">
        <v>43022</v>
      </c>
      <c r="T138" s="2">
        <v>41696</v>
      </c>
      <c r="U138" s="2">
        <v>1326</v>
      </c>
    </row>
    <row r="139" spans="1:21" x14ac:dyDescent="0.25">
      <c r="A139" s="1" t="s">
        <v>140</v>
      </c>
      <c r="B139" t="s">
        <v>669</v>
      </c>
      <c r="C139" s="1" t="s">
        <v>147</v>
      </c>
      <c r="D139" t="s">
        <v>480</v>
      </c>
      <c r="E139" s="2">
        <v>156620</v>
      </c>
      <c r="F139" s="2">
        <v>124159</v>
      </c>
      <c r="G139" s="2">
        <v>26593</v>
      </c>
      <c r="H139" s="2">
        <v>97566</v>
      </c>
      <c r="I139" s="2">
        <v>32461</v>
      </c>
      <c r="J139" s="2">
        <v>8288</v>
      </c>
      <c r="K139">
        <v>138315</v>
      </c>
      <c r="L139">
        <v>138</v>
      </c>
      <c r="M139" s="2">
        <v>36</v>
      </c>
      <c r="N139" s="2">
        <v>174</v>
      </c>
      <c r="O139" s="2">
        <v>14881</v>
      </c>
      <c r="P139" s="2">
        <v>0</v>
      </c>
      <c r="Q139" s="2">
        <v>715</v>
      </c>
      <c r="R139" s="2">
        <v>786</v>
      </c>
      <c r="S139" s="2">
        <v>16556</v>
      </c>
      <c r="T139" s="2">
        <v>15019</v>
      </c>
      <c r="U139" s="2">
        <v>1537</v>
      </c>
    </row>
    <row r="140" spans="1:21" x14ac:dyDescent="0.25">
      <c r="A140" s="1" t="s">
        <v>140</v>
      </c>
      <c r="B140" t="s">
        <v>669</v>
      </c>
      <c r="C140" s="1" t="s">
        <v>148</v>
      </c>
      <c r="D140" t="s">
        <v>481</v>
      </c>
      <c r="E140" s="2">
        <v>1226564</v>
      </c>
      <c r="F140" s="2">
        <v>972345</v>
      </c>
      <c r="G140" s="2">
        <v>208261</v>
      </c>
      <c r="H140" s="2">
        <v>764084</v>
      </c>
      <c r="I140" s="2">
        <v>254219</v>
      </c>
      <c r="J140" s="2">
        <v>0</v>
      </c>
      <c r="K140" s="2">
        <v>1018303</v>
      </c>
      <c r="L140" s="2">
        <v>1079</v>
      </c>
      <c r="M140" s="2">
        <v>282</v>
      </c>
      <c r="N140" s="2">
        <v>1361</v>
      </c>
      <c r="O140" s="2">
        <v>116541</v>
      </c>
      <c r="P140" s="2">
        <v>0</v>
      </c>
      <c r="Q140" s="2">
        <v>4614</v>
      </c>
      <c r="R140" s="2">
        <v>5074</v>
      </c>
      <c r="S140" s="2">
        <v>127590</v>
      </c>
      <c r="T140" s="2">
        <v>117620</v>
      </c>
      <c r="U140" s="2">
        <v>9970</v>
      </c>
    </row>
    <row r="141" spans="1:21" x14ac:dyDescent="0.25">
      <c r="A141" s="1" t="s">
        <v>140</v>
      </c>
      <c r="B141" t="s">
        <v>669</v>
      </c>
      <c r="C141" s="1" t="s">
        <v>149</v>
      </c>
      <c r="D141" t="s">
        <v>482</v>
      </c>
      <c r="E141" s="2">
        <v>1983269</v>
      </c>
      <c r="F141" s="2">
        <v>1572215</v>
      </c>
      <c r="G141" s="2">
        <v>336743</v>
      </c>
      <c r="H141" s="2">
        <v>1235472</v>
      </c>
      <c r="I141" s="2">
        <v>411054</v>
      </c>
      <c r="J141" s="2">
        <v>0</v>
      </c>
      <c r="K141" s="2">
        <v>1646526</v>
      </c>
      <c r="L141" s="2">
        <v>1747</v>
      </c>
      <c r="M141" s="2">
        <v>457</v>
      </c>
      <c r="N141" s="2">
        <v>2204</v>
      </c>
      <c r="O141" s="2">
        <v>188438</v>
      </c>
      <c r="P141" s="2">
        <v>0</v>
      </c>
      <c r="Q141" s="2">
        <v>10917</v>
      </c>
      <c r="R141" s="2">
        <v>12005</v>
      </c>
      <c r="S141" s="2">
        <v>213564</v>
      </c>
      <c r="T141" s="2">
        <v>190185</v>
      </c>
      <c r="U141" s="2">
        <v>23379</v>
      </c>
    </row>
    <row r="142" spans="1:21" x14ac:dyDescent="0.25">
      <c r="A142" s="1" t="s">
        <v>140</v>
      </c>
      <c r="B142" t="s">
        <v>669</v>
      </c>
      <c r="C142" s="1" t="s">
        <v>150</v>
      </c>
      <c r="D142" t="s">
        <v>483</v>
      </c>
      <c r="E142" s="2">
        <v>171639</v>
      </c>
      <c r="F142" s="2">
        <v>136065</v>
      </c>
      <c r="G142" s="2">
        <v>29143</v>
      </c>
      <c r="H142" s="2">
        <v>106922</v>
      </c>
      <c r="I142" s="2">
        <v>35574</v>
      </c>
      <c r="J142" s="2">
        <v>3547</v>
      </c>
      <c r="K142">
        <v>146043</v>
      </c>
      <c r="L142">
        <v>152</v>
      </c>
      <c r="M142" s="2">
        <v>39</v>
      </c>
      <c r="N142" s="2">
        <v>191</v>
      </c>
      <c r="O142" s="2">
        <v>16308</v>
      </c>
      <c r="P142" s="2">
        <v>0</v>
      </c>
      <c r="Q142" s="2">
        <v>455</v>
      </c>
      <c r="R142" s="2">
        <v>500</v>
      </c>
      <c r="S142" s="2">
        <v>17454</v>
      </c>
      <c r="T142" s="2">
        <v>16460</v>
      </c>
      <c r="U142" s="2">
        <v>994</v>
      </c>
    </row>
    <row r="143" spans="1:21" x14ac:dyDescent="0.25">
      <c r="A143" s="1" t="s">
        <v>140</v>
      </c>
      <c r="B143" t="s">
        <v>669</v>
      </c>
      <c r="C143" s="1" t="s">
        <v>152</v>
      </c>
      <c r="D143" t="s">
        <v>153</v>
      </c>
      <c r="E143" s="2">
        <v>117608</v>
      </c>
      <c r="F143" s="2">
        <v>93233</v>
      </c>
      <c r="G143" s="2">
        <v>19969</v>
      </c>
      <c r="H143" s="2">
        <v>73264</v>
      </c>
      <c r="I143" s="2">
        <v>24375</v>
      </c>
      <c r="J143" s="2">
        <v>3088</v>
      </c>
      <c r="K143">
        <v>100727</v>
      </c>
      <c r="L143">
        <v>105</v>
      </c>
      <c r="M143" s="2">
        <v>27</v>
      </c>
      <c r="N143" s="2">
        <v>132</v>
      </c>
      <c r="O143" s="2">
        <v>11359</v>
      </c>
      <c r="P143" s="2">
        <v>0</v>
      </c>
      <c r="Q143" s="2">
        <v>325</v>
      </c>
      <c r="R143" s="2">
        <v>357</v>
      </c>
      <c r="S143" s="2">
        <v>12173</v>
      </c>
      <c r="T143" s="2">
        <v>11464</v>
      </c>
      <c r="U143" s="2">
        <v>709</v>
      </c>
    </row>
    <row r="144" spans="1:21" x14ac:dyDescent="0.25">
      <c r="A144" s="1" t="s">
        <v>140</v>
      </c>
      <c r="B144" t="s">
        <v>669</v>
      </c>
      <c r="C144" s="1" t="s">
        <v>151</v>
      </c>
      <c r="D144" t="s">
        <v>484</v>
      </c>
      <c r="E144" s="2">
        <v>216333</v>
      </c>
      <c r="F144" s="2">
        <v>171495</v>
      </c>
      <c r="G144" s="2">
        <v>36732</v>
      </c>
      <c r="H144" s="2">
        <v>134763</v>
      </c>
      <c r="I144" s="2">
        <v>44838</v>
      </c>
      <c r="J144" s="2">
        <v>6569</v>
      </c>
      <c r="K144">
        <v>186170</v>
      </c>
      <c r="L144">
        <v>190</v>
      </c>
      <c r="M144" s="2">
        <v>50</v>
      </c>
      <c r="N144" s="2">
        <v>240</v>
      </c>
      <c r="O144" s="2">
        <v>21146</v>
      </c>
      <c r="P144" s="2">
        <v>0</v>
      </c>
      <c r="Q144" s="2">
        <v>1235</v>
      </c>
      <c r="R144" s="2">
        <v>1358</v>
      </c>
      <c r="S144" s="2">
        <v>23979</v>
      </c>
      <c r="T144" s="2">
        <v>21336</v>
      </c>
      <c r="U144" s="2">
        <v>2643</v>
      </c>
    </row>
    <row r="145" spans="1:21" x14ac:dyDescent="0.25">
      <c r="A145" s="1" t="s">
        <v>140</v>
      </c>
      <c r="B145" t="s">
        <v>669</v>
      </c>
      <c r="C145" s="1" t="s">
        <v>154</v>
      </c>
      <c r="D145" t="s">
        <v>485</v>
      </c>
      <c r="E145" s="2">
        <v>5641386</v>
      </c>
      <c r="F145" s="2">
        <v>4472147</v>
      </c>
      <c r="G145" s="2">
        <v>957862</v>
      </c>
      <c r="H145" s="2">
        <v>3514285</v>
      </c>
      <c r="I145" s="2">
        <v>1169239</v>
      </c>
      <c r="J145" s="2">
        <v>0</v>
      </c>
      <c r="K145" s="2">
        <v>4683524</v>
      </c>
      <c r="L145" s="2">
        <v>4971</v>
      </c>
      <c r="M145" s="2">
        <v>1299</v>
      </c>
      <c r="N145" s="2">
        <v>6270</v>
      </c>
      <c r="O145" s="2">
        <v>536009</v>
      </c>
      <c r="P145" s="2">
        <v>0</v>
      </c>
      <c r="Q145" s="2">
        <v>89542</v>
      </c>
      <c r="R145" s="2">
        <v>98472</v>
      </c>
      <c r="S145" s="2">
        <v>730293</v>
      </c>
      <c r="T145" s="2">
        <v>540980</v>
      </c>
      <c r="U145" s="2">
        <v>189313</v>
      </c>
    </row>
    <row r="146" spans="1:21" x14ac:dyDescent="0.25">
      <c r="A146" s="1" t="s">
        <v>140</v>
      </c>
      <c r="B146" t="s">
        <v>669</v>
      </c>
      <c r="C146" s="1" t="s">
        <v>155</v>
      </c>
      <c r="D146" t="s">
        <v>486</v>
      </c>
      <c r="E146" s="2">
        <v>188661</v>
      </c>
      <c r="F146" s="2">
        <v>149559</v>
      </c>
      <c r="G146" s="2">
        <v>32033</v>
      </c>
      <c r="H146" s="2">
        <v>117526</v>
      </c>
      <c r="I146" s="2">
        <v>39102</v>
      </c>
      <c r="J146" s="2">
        <v>3338</v>
      </c>
      <c r="K146">
        <v>159966</v>
      </c>
      <c r="L146">
        <v>166</v>
      </c>
      <c r="M146" s="2">
        <v>43</v>
      </c>
      <c r="N146" s="2">
        <v>209</v>
      </c>
      <c r="O146" s="2">
        <v>18214</v>
      </c>
      <c r="P146" s="2">
        <v>0</v>
      </c>
      <c r="Q146" s="2">
        <v>130</v>
      </c>
      <c r="R146" s="2">
        <v>143</v>
      </c>
      <c r="S146" s="2">
        <v>18696</v>
      </c>
      <c r="T146" s="2">
        <v>18380</v>
      </c>
      <c r="U146" s="2">
        <v>316</v>
      </c>
    </row>
    <row r="147" spans="1:21" x14ac:dyDescent="0.25">
      <c r="A147" s="1" t="s">
        <v>140</v>
      </c>
      <c r="B147" t="s">
        <v>669</v>
      </c>
      <c r="C147" s="1" t="s">
        <v>156</v>
      </c>
      <c r="D147" t="s">
        <v>487</v>
      </c>
      <c r="E147" s="2">
        <v>2893962</v>
      </c>
      <c r="F147" s="2">
        <v>2294156</v>
      </c>
      <c r="G147" s="2">
        <v>491371</v>
      </c>
      <c r="H147" s="2">
        <v>1802785</v>
      </c>
      <c r="I147" s="2">
        <v>599806</v>
      </c>
      <c r="J147" s="2">
        <v>0</v>
      </c>
      <c r="K147" s="2">
        <v>2402591</v>
      </c>
      <c r="L147" s="2">
        <v>2550</v>
      </c>
      <c r="M147" s="2">
        <v>667</v>
      </c>
      <c r="N147" s="2">
        <v>3217</v>
      </c>
      <c r="O147" s="2">
        <v>274966</v>
      </c>
      <c r="P147" s="2">
        <v>0</v>
      </c>
      <c r="Q147" s="2">
        <v>43926</v>
      </c>
      <c r="R147" s="2">
        <v>48307</v>
      </c>
      <c r="S147" s="2">
        <v>370416</v>
      </c>
      <c r="T147" s="2">
        <v>277516</v>
      </c>
      <c r="U147" s="2">
        <v>92900</v>
      </c>
    </row>
    <row r="148" spans="1:21" x14ac:dyDescent="0.25">
      <c r="A148" s="1" t="s">
        <v>140</v>
      </c>
      <c r="B148" t="s">
        <v>669</v>
      </c>
      <c r="C148" s="1" t="s">
        <v>157</v>
      </c>
      <c r="D148" t="s">
        <v>488</v>
      </c>
      <c r="E148" s="2">
        <v>262631</v>
      </c>
      <c r="F148" s="2">
        <v>208198</v>
      </c>
      <c r="G148" s="2">
        <v>44593</v>
      </c>
      <c r="H148" s="2">
        <v>163605</v>
      </c>
      <c r="I148" s="2">
        <v>54433</v>
      </c>
      <c r="J148">
        <v>0</v>
      </c>
      <c r="K148">
        <v>218038</v>
      </c>
      <c r="L148">
        <v>232</v>
      </c>
      <c r="M148" s="2">
        <v>60</v>
      </c>
      <c r="N148" s="2">
        <v>292</v>
      </c>
      <c r="O148" s="2">
        <v>24954</v>
      </c>
      <c r="P148" s="2">
        <v>0</v>
      </c>
      <c r="Q148" s="2">
        <v>520</v>
      </c>
      <c r="R148" s="2">
        <v>572</v>
      </c>
      <c r="S148" s="2">
        <v>26338</v>
      </c>
      <c r="T148" s="2">
        <v>25186</v>
      </c>
      <c r="U148" s="2">
        <v>1152</v>
      </c>
    </row>
    <row r="149" spans="1:21" x14ac:dyDescent="0.25">
      <c r="A149" s="1" t="s">
        <v>140</v>
      </c>
      <c r="B149" t="s">
        <v>669</v>
      </c>
      <c r="C149" s="1" t="s">
        <v>158</v>
      </c>
      <c r="D149" t="s">
        <v>489</v>
      </c>
      <c r="E149" s="2">
        <v>112383</v>
      </c>
      <c r="F149" s="2">
        <v>89090</v>
      </c>
      <c r="G149" s="2">
        <v>19081</v>
      </c>
      <c r="H149" s="2">
        <v>70009</v>
      </c>
      <c r="I149" s="2">
        <v>23293</v>
      </c>
      <c r="J149" s="2">
        <v>16215</v>
      </c>
      <c r="K149">
        <v>109517</v>
      </c>
      <c r="L149">
        <v>102</v>
      </c>
      <c r="M149" s="2">
        <v>27</v>
      </c>
      <c r="N149" s="2">
        <v>129</v>
      </c>
      <c r="O149" s="2">
        <v>10678</v>
      </c>
      <c r="P149" s="2">
        <v>0</v>
      </c>
      <c r="Q149" s="2">
        <v>520</v>
      </c>
      <c r="R149" s="2">
        <v>572</v>
      </c>
      <c r="S149" s="2">
        <v>11899</v>
      </c>
      <c r="T149" s="2">
        <v>10780</v>
      </c>
      <c r="U149" s="2">
        <v>1119</v>
      </c>
    </row>
    <row r="150" spans="1:21" x14ac:dyDescent="0.25">
      <c r="A150" s="1" t="s">
        <v>140</v>
      </c>
      <c r="B150" t="s">
        <v>669</v>
      </c>
      <c r="C150" s="1" t="s">
        <v>159</v>
      </c>
      <c r="D150" t="s">
        <v>490</v>
      </c>
      <c r="E150" s="2">
        <v>692706</v>
      </c>
      <c r="F150" s="2">
        <v>549135</v>
      </c>
      <c r="G150" s="2">
        <v>117616</v>
      </c>
      <c r="H150" s="2">
        <v>431519</v>
      </c>
      <c r="I150" s="2">
        <v>143571</v>
      </c>
      <c r="J150" s="2">
        <v>593</v>
      </c>
      <c r="K150">
        <v>575683</v>
      </c>
      <c r="L150">
        <v>610</v>
      </c>
      <c r="M150" s="2">
        <v>159</v>
      </c>
      <c r="N150" s="2">
        <v>769</v>
      </c>
      <c r="O150" s="2">
        <v>65817</v>
      </c>
      <c r="P150" s="2">
        <v>0</v>
      </c>
      <c r="Q150" s="2">
        <v>7018</v>
      </c>
      <c r="R150" s="2">
        <v>7718</v>
      </c>
      <c r="S150" s="2">
        <v>81322</v>
      </c>
      <c r="T150" s="2">
        <v>66427</v>
      </c>
      <c r="U150" s="2">
        <v>14895</v>
      </c>
    </row>
    <row r="151" spans="1:21" x14ac:dyDescent="0.25">
      <c r="A151" s="1" t="s">
        <v>140</v>
      </c>
      <c r="B151" t="s">
        <v>669</v>
      </c>
      <c r="C151" s="1" t="s">
        <v>160</v>
      </c>
      <c r="D151" t="s">
        <v>491</v>
      </c>
      <c r="E151" s="2">
        <v>450543</v>
      </c>
      <c r="F151" s="2">
        <v>357163</v>
      </c>
      <c r="G151" s="2">
        <v>76499</v>
      </c>
      <c r="H151" s="2">
        <v>280664</v>
      </c>
      <c r="I151" s="2">
        <v>93380</v>
      </c>
      <c r="J151" s="2">
        <v>8270</v>
      </c>
      <c r="K151">
        <v>382314</v>
      </c>
      <c r="L151">
        <v>397</v>
      </c>
      <c r="M151" s="2">
        <v>104</v>
      </c>
      <c r="N151" s="2">
        <v>501</v>
      </c>
      <c r="O151" s="2">
        <v>43066</v>
      </c>
      <c r="P151" s="2">
        <v>0</v>
      </c>
      <c r="Q151" s="2">
        <v>10657</v>
      </c>
      <c r="R151" s="2">
        <v>11719</v>
      </c>
      <c r="S151" s="2">
        <v>65943</v>
      </c>
      <c r="T151" s="2">
        <v>43463</v>
      </c>
      <c r="U151" s="2">
        <v>22480</v>
      </c>
    </row>
    <row r="152" spans="1:21" x14ac:dyDescent="0.25">
      <c r="A152" s="1" t="s">
        <v>140</v>
      </c>
      <c r="B152" t="s">
        <v>669</v>
      </c>
      <c r="C152" s="1" t="s">
        <v>161</v>
      </c>
      <c r="D152" t="s">
        <v>492</v>
      </c>
      <c r="E152" s="2">
        <v>198117</v>
      </c>
      <c r="F152" s="2">
        <v>157055</v>
      </c>
      <c r="G152" s="2">
        <v>33639</v>
      </c>
      <c r="H152" s="2">
        <v>123416</v>
      </c>
      <c r="I152" s="2">
        <v>41062</v>
      </c>
      <c r="J152">
        <v>0</v>
      </c>
      <c r="K152">
        <v>164478</v>
      </c>
      <c r="L152">
        <v>174</v>
      </c>
      <c r="M152" s="2">
        <v>45</v>
      </c>
      <c r="N152" s="2">
        <v>219</v>
      </c>
      <c r="O152" s="2">
        <v>18824</v>
      </c>
      <c r="P152" s="2">
        <v>0</v>
      </c>
      <c r="Q152" s="2">
        <v>260</v>
      </c>
      <c r="R152" s="2">
        <v>286</v>
      </c>
      <c r="S152" s="2">
        <v>19589</v>
      </c>
      <c r="T152" s="2">
        <v>18998</v>
      </c>
      <c r="U152" s="2">
        <v>591</v>
      </c>
    </row>
    <row r="153" spans="1:21" x14ac:dyDescent="0.25">
      <c r="A153" s="1" t="s">
        <v>140</v>
      </c>
      <c r="B153" t="s">
        <v>669</v>
      </c>
      <c r="C153" s="1" t="s">
        <v>162</v>
      </c>
      <c r="D153" t="s">
        <v>493</v>
      </c>
      <c r="E153" s="2">
        <v>381225</v>
      </c>
      <c r="F153" s="2">
        <v>302212</v>
      </c>
      <c r="G153" s="2">
        <v>64728</v>
      </c>
      <c r="H153" s="2">
        <v>237484</v>
      </c>
      <c r="I153" s="2">
        <v>79013</v>
      </c>
      <c r="J153">
        <v>0</v>
      </c>
      <c r="K153">
        <v>316497</v>
      </c>
      <c r="L153">
        <v>337</v>
      </c>
      <c r="M153" s="2">
        <v>88</v>
      </c>
      <c r="N153" s="2">
        <v>425</v>
      </c>
      <c r="O153" s="2">
        <v>36222</v>
      </c>
      <c r="P153" s="2">
        <v>0</v>
      </c>
      <c r="Q153" s="2">
        <v>2989</v>
      </c>
      <c r="R153" s="2">
        <v>3287</v>
      </c>
      <c r="S153" s="2">
        <v>42923</v>
      </c>
      <c r="T153" s="2">
        <v>36559</v>
      </c>
      <c r="U153" s="2">
        <v>6364</v>
      </c>
    </row>
    <row r="154" spans="1:21" x14ac:dyDescent="0.25">
      <c r="A154" s="1" t="s">
        <v>140</v>
      </c>
      <c r="B154" t="s">
        <v>669</v>
      </c>
      <c r="C154" s="1" t="s">
        <v>163</v>
      </c>
      <c r="D154" t="s">
        <v>494</v>
      </c>
      <c r="E154" s="2">
        <v>406550</v>
      </c>
      <c r="F154" s="2">
        <v>322288</v>
      </c>
      <c r="G154" s="2">
        <v>69029</v>
      </c>
      <c r="H154" s="2">
        <v>253259</v>
      </c>
      <c r="I154" s="2">
        <v>84262</v>
      </c>
      <c r="J154" s="2">
        <v>0</v>
      </c>
      <c r="K154">
        <v>337521</v>
      </c>
      <c r="L154">
        <v>359</v>
      </c>
      <c r="M154" s="2">
        <v>94</v>
      </c>
      <c r="N154" s="2">
        <v>453</v>
      </c>
      <c r="O154" s="2">
        <v>38628</v>
      </c>
      <c r="P154" s="2">
        <v>0</v>
      </c>
      <c r="Q154" s="2">
        <v>2014</v>
      </c>
      <c r="R154" s="2">
        <v>2215</v>
      </c>
      <c r="S154" s="2">
        <v>43310</v>
      </c>
      <c r="T154" s="2">
        <v>38987</v>
      </c>
      <c r="U154" s="2">
        <v>4323</v>
      </c>
    </row>
    <row r="155" spans="1:21" x14ac:dyDescent="0.25">
      <c r="A155" s="1" t="s">
        <v>140</v>
      </c>
      <c r="B155" t="s">
        <v>669</v>
      </c>
      <c r="C155" s="1" t="s">
        <v>164</v>
      </c>
      <c r="D155" t="s">
        <v>495</v>
      </c>
      <c r="E155" s="2">
        <v>284154</v>
      </c>
      <c r="F155" s="2">
        <v>225260</v>
      </c>
      <c r="G155" s="2">
        <v>48247</v>
      </c>
      <c r="H155" s="2">
        <v>177013</v>
      </c>
      <c r="I155" s="2">
        <v>58894</v>
      </c>
      <c r="J155" s="2">
        <v>0</v>
      </c>
      <c r="K155">
        <v>235907</v>
      </c>
      <c r="L155">
        <v>251</v>
      </c>
      <c r="M155" s="2">
        <v>66</v>
      </c>
      <c r="N155" s="2">
        <v>317</v>
      </c>
      <c r="O155" s="2">
        <v>26999</v>
      </c>
      <c r="P155" s="2">
        <v>0</v>
      </c>
      <c r="Q155" s="2">
        <v>195</v>
      </c>
      <c r="R155" s="2">
        <v>214</v>
      </c>
      <c r="S155" s="2">
        <v>27725</v>
      </c>
      <c r="T155" s="2">
        <v>27250</v>
      </c>
      <c r="U155" s="2">
        <v>475</v>
      </c>
    </row>
    <row r="156" spans="1:21" x14ac:dyDescent="0.25">
      <c r="A156" s="1" t="s">
        <v>140</v>
      </c>
      <c r="B156" t="s">
        <v>669</v>
      </c>
      <c r="C156" s="1" t="s">
        <v>165</v>
      </c>
      <c r="D156" t="s">
        <v>496</v>
      </c>
      <c r="E156" s="2">
        <v>210776</v>
      </c>
      <c r="F156" s="2">
        <v>167090</v>
      </c>
      <c r="G156" s="2">
        <v>35788</v>
      </c>
      <c r="H156" s="2">
        <v>131302</v>
      </c>
      <c r="I156" s="2">
        <v>43686</v>
      </c>
      <c r="J156" s="2">
        <v>4993</v>
      </c>
      <c r="K156">
        <v>179981</v>
      </c>
      <c r="L156">
        <v>185</v>
      </c>
      <c r="M156" s="2">
        <v>48</v>
      </c>
      <c r="N156" s="2">
        <v>233</v>
      </c>
      <c r="O156" s="2">
        <v>20027</v>
      </c>
      <c r="P156" s="2">
        <v>0</v>
      </c>
      <c r="Q156" s="2">
        <v>325</v>
      </c>
      <c r="R156" s="2">
        <v>357</v>
      </c>
      <c r="S156" s="2">
        <v>20942</v>
      </c>
      <c r="T156" s="2">
        <v>20212</v>
      </c>
      <c r="U156" s="2">
        <v>730</v>
      </c>
    </row>
    <row r="157" spans="1:21" x14ac:dyDescent="0.25">
      <c r="A157" s="1" t="s">
        <v>140</v>
      </c>
      <c r="B157" t="s">
        <v>669</v>
      </c>
      <c r="C157" s="1" t="s">
        <v>166</v>
      </c>
      <c r="D157" t="s">
        <v>497</v>
      </c>
      <c r="E157" s="2">
        <v>77563</v>
      </c>
      <c r="F157" s="2">
        <v>61487</v>
      </c>
      <c r="G157" s="2">
        <v>13169</v>
      </c>
      <c r="H157" s="2">
        <v>48318</v>
      </c>
      <c r="I157" s="2">
        <v>16076</v>
      </c>
      <c r="J157" s="2">
        <v>1716</v>
      </c>
      <c r="K157">
        <v>66110</v>
      </c>
      <c r="L157">
        <v>69</v>
      </c>
      <c r="M157" s="2">
        <v>18</v>
      </c>
      <c r="N157" s="2">
        <v>87</v>
      </c>
      <c r="O157" s="2">
        <v>7370</v>
      </c>
      <c r="P157" s="2">
        <v>0</v>
      </c>
      <c r="Q157" s="2">
        <v>325</v>
      </c>
      <c r="R157" s="2">
        <v>357</v>
      </c>
      <c r="S157" s="2">
        <v>8139</v>
      </c>
      <c r="T157" s="2">
        <v>7439</v>
      </c>
      <c r="U157" s="2">
        <v>700</v>
      </c>
    </row>
    <row r="158" spans="1:21" x14ac:dyDescent="0.25">
      <c r="A158" s="1" t="s">
        <v>140</v>
      </c>
      <c r="B158" t="s">
        <v>669</v>
      </c>
      <c r="C158" s="1" t="s">
        <v>167</v>
      </c>
      <c r="D158" t="s">
        <v>498</v>
      </c>
      <c r="E158" s="2">
        <v>534527</v>
      </c>
      <c r="F158" s="2">
        <v>423740</v>
      </c>
      <c r="G158" s="2">
        <v>90758</v>
      </c>
      <c r="H158" s="2">
        <v>332982</v>
      </c>
      <c r="I158" s="2">
        <v>110787</v>
      </c>
      <c r="J158" s="2">
        <v>0</v>
      </c>
      <c r="K158">
        <v>443769</v>
      </c>
      <c r="L158">
        <v>472</v>
      </c>
      <c r="M158" s="2">
        <v>123</v>
      </c>
      <c r="N158" s="2">
        <v>595</v>
      </c>
      <c r="O158" s="2">
        <v>50787</v>
      </c>
      <c r="P158" s="2">
        <v>0</v>
      </c>
      <c r="Q158" s="2">
        <v>1625</v>
      </c>
      <c r="R158" s="2">
        <v>1787</v>
      </c>
      <c r="S158" s="2">
        <v>54794</v>
      </c>
      <c r="T158" s="2">
        <v>51259</v>
      </c>
      <c r="U158" s="2">
        <v>3535</v>
      </c>
    </row>
    <row r="159" spans="1:21" x14ac:dyDescent="0.25">
      <c r="A159" s="1" t="s">
        <v>140</v>
      </c>
      <c r="B159" t="s">
        <v>669</v>
      </c>
      <c r="C159" s="1" t="s">
        <v>168</v>
      </c>
      <c r="D159" t="s">
        <v>499</v>
      </c>
      <c r="E159" s="2">
        <v>152975</v>
      </c>
      <c r="F159" s="2">
        <v>121269</v>
      </c>
      <c r="G159" s="2">
        <v>25974</v>
      </c>
      <c r="H159" s="2">
        <v>95295</v>
      </c>
      <c r="I159" s="2">
        <v>31706</v>
      </c>
      <c r="J159" s="2">
        <v>0</v>
      </c>
      <c r="K159">
        <v>127001</v>
      </c>
      <c r="L159">
        <v>135</v>
      </c>
      <c r="M159" s="2">
        <v>36</v>
      </c>
      <c r="N159" s="2">
        <v>171</v>
      </c>
      <c r="O159" s="2">
        <v>14535</v>
      </c>
      <c r="P159" s="2">
        <v>0</v>
      </c>
      <c r="Q159" s="2">
        <v>780</v>
      </c>
      <c r="R159" s="2">
        <v>858</v>
      </c>
      <c r="S159" s="2">
        <v>16344</v>
      </c>
      <c r="T159" s="2">
        <v>14670</v>
      </c>
      <c r="U159" s="2">
        <v>1674</v>
      </c>
    </row>
    <row r="160" spans="1:21" x14ac:dyDescent="0.25">
      <c r="A160" s="1" t="s">
        <v>140</v>
      </c>
      <c r="B160" t="s">
        <v>669</v>
      </c>
      <c r="C160" s="1" t="s">
        <v>169</v>
      </c>
      <c r="D160" t="s">
        <v>500</v>
      </c>
      <c r="E160" s="2">
        <v>301527</v>
      </c>
      <c r="F160" s="2">
        <v>239033</v>
      </c>
      <c r="G160" s="2">
        <v>51197</v>
      </c>
      <c r="H160" s="2">
        <v>187836</v>
      </c>
      <c r="I160" s="2">
        <v>62494</v>
      </c>
      <c r="J160" s="2">
        <v>18507</v>
      </c>
      <c r="K160">
        <v>268837</v>
      </c>
      <c r="L160">
        <v>265</v>
      </c>
      <c r="M160" s="2">
        <v>69</v>
      </c>
      <c r="N160" s="2">
        <v>334</v>
      </c>
      <c r="O160" s="2">
        <v>29814</v>
      </c>
      <c r="P160" s="2">
        <v>0</v>
      </c>
      <c r="Q160" s="2">
        <v>65</v>
      </c>
      <c r="R160" s="2">
        <v>71</v>
      </c>
      <c r="S160" s="2">
        <v>30284</v>
      </c>
      <c r="T160" s="2">
        <v>30079</v>
      </c>
      <c r="U160" s="2">
        <v>205</v>
      </c>
    </row>
    <row r="161" spans="1:21" x14ac:dyDescent="0.25">
      <c r="A161" s="1" t="s">
        <v>140</v>
      </c>
      <c r="B161" t="s">
        <v>669</v>
      </c>
      <c r="C161" s="1" t="s">
        <v>170</v>
      </c>
      <c r="D161" t="s">
        <v>501</v>
      </c>
      <c r="E161" s="2">
        <v>640806</v>
      </c>
      <c r="F161" s="2">
        <v>507992</v>
      </c>
      <c r="G161" s="2">
        <v>108804</v>
      </c>
      <c r="H161" s="2">
        <v>399188</v>
      </c>
      <c r="I161" s="2">
        <v>132814</v>
      </c>
      <c r="J161">
        <v>0</v>
      </c>
      <c r="K161">
        <v>532002</v>
      </c>
      <c r="L161">
        <v>566</v>
      </c>
      <c r="M161" s="2">
        <v>148</v>
      </c>
      <c r="N161" s="2">
        <v>714</v>
      </c>
      <c r="O161" s="2">
        <v>60885</v>
      </c>
      <c r="P161" s="2">
        <v>0</v>
      </c>
      <c r="Q161" s="2">
        <v>780</v>
      </c>
      <c r="R161" s="2">
        <v>858</v>
      </c>
      <c r="S161" s="2">
        <v>63237</v>
      </c>
      <c r="T161" s="2">
        <v>61451</v>
      </c>
      <c r="U161" s="2">
        <v>1786</v>
      </c>
    </row>
    <row r="162" spans="1:21" x14ac:dyDescent="0.25">
      <c r="A162" s="1" t="s">
        <v>140</v>
      </c>
      <c r="B162" t="s">
        <v>669</v>
      </c>
      <c r="C162" s="1" t="s">
        <v>171</v>
      </c>
      <c r="D162" t="s">
        <v>502</v>
      </c>
      <c r="E162" s="2">
        <v>635336</v>
      </c>
      <c r="F162" s="2">
        <v>503656</v>
      </c>
      <c r="G162" s="2">
        <v>107875</v>
      </c>
      <c r="H162" s="2">
        <v>395781</v>
      </c>
      <c r="I162" s="2">
        <v>131680</v>
      </c>
      <c r="J162" s="2">
        <v>5632</v>
      </c>
      <c r="K162">
        <v>533093</v>
      </c>
      <c r="L162">
        <v>560</v>
      </c>
      <c r="M162" s="2">
        <v>147</v>
      </c>
      <c r="N162" s="2">
        <v>707</v>
      </c>
      <c r="O162" s="2">
        <v>60807</v>
      </c>
      <c r="P162" s="2">
        <v>0</v>
      </c>
      <c r="Q162" s="2">
        <v>7083</v>
      </c>
      <c r="R162" s="2">
        <v>7789</v>
      </c>
      <c r="S162" s="2">
        <v>76386</v>
      </c>
      <c r="T162" s="2">
        <v>61367</v>
      </c>
      <c r="U162" s="2">
        <v>15019</v>
      </c>
    </row>
    <row r="163" spans="1:21" x14ac:dyDescent="0.25">
      <c r="A163" s="1" t="s">
        <v>140</v>
      </c>
      <c r="B163" t="s">
        <v>669</v>
      </c>
      <c r="C163" s="1" t="s">
        <v>172</v>
      </c>
      <c r="D163" t="s">
        <v>503</v>
      </c>
      <c r="E163" s="2">
        <v>313306</v>
      </c>
      <c r="F163" s="2">
        <v>248370</v>
      </c>
      <c r="G163" s="2">
        <v>53197</v>
      </c>
      <c r="H163" s="2">
        <v>195173</v>
      </c>
      <c r="I163" s="2">
        <v>64936</v>
      </c>
      <c r="J163">
        <v>0</v>
      </c>
      <c r="K163">
        <v>260109</v>
      </c>
      <c r="L163">
        <v>276</v>
      </c>
      <c r="M163" s="2">
        <v>72</v>
      </c>
      <c r="N163" s="2">
        <v>348</v>
      </c>
      <c r="O163" s="2">
        <v>29768</v>
      </c>
      <c r="P163" s="2">
        <v>0</v>
      </c>
      <c r="Q163" s="2">
        <v>975</v>
      </c>
      <c r="R163" s="2">
        <v>1072</v>
      </c>
      <c r="S163" s="2">
        <v>32163</v>
      </c>
      <c r="T163" s="2">
        <v>30044</v>
      </c>
      <c r="U163" s="2">
        <v>2119</v>
      </c>
    </row>
    <row r="164" spans="1:21" x14ac:dyDescent="0.25">
      <c r="A164" s="1" t="s">
        <v>140</v>
      </c>
      <c r="B164" t="s">
        <v>669</v>
      </c>
      <c r="C164" s="1" t="s">
        <v>173</v>
      </c>
      <c r="D164" t="s">
        <v>504</v>
      </c>
      <c r="E164" s="2">
        <v>422499</v>
      </c>
      <c r="F164" s="2">
        <v>334932</v>
      </c>
      <c r="G164" s="2">
        <v>71737</v>
      </c>
      <c r="H164" s="2">
        <v>263195</v>
      </c>
      <c r="I164" s="2">
        <v>87567</v>
      </c>
      <c r="J164" s="2">
        <v>6851</v>
      </c>
      <c r="K164">
        <v>357613</v>
      </c>
      <c r="L164">
        <v>373</v>
      </c>
      <c r="M164" s="2">
        <v>97</v>
      </c>
      <c r="N164" s="2">
        <v>470</v>
      </c>
      <c r="O164" s="2">
        <v>40731</v>
      </c>
      <c r="P164" s="2">
        <v>0</v>
      </c>
      <c r="Q164" s="2">
        <v>5393</v>
      </c>
      <c r="R164" s="2">
        <v>5931</v>
      </c>
      <c r="S164" s="2">
        <v>52525</v>
      </c>
      <c r="T164" s="2">
        <v>41104</v>
      </c>
      <c r="U164" s="2">
        <v>11421</v>
      </c>
    </row>
    <row r="165" spans="1:21" x14ac:dyDescent="0.25">
      <c r="A165" s="1" t="s">
        <v>174</v>
      </c>
      <c r="B165" t="s">
        <v>670</v>
      </c>
      <c r="C165" s="1" t="s">
        <v>175</v>
      </c>
      <c r="D165" t="s">
        <v>505</v>
      </c>
      <c r="E165" s="2">
        <v>113866</v>
      </c>
      <c r="F165" s="2">
        <v>92145</v>
      </c>
      <c r="G165" s="2">
        <v>19736</v>
      </c>
      <c r="H165" s="2">
        <v>72409</v>
      </c>
      <c r="I165" s="2">
        <v>21721</v>
      </c>
      <c r="J165" s="2">
        <v>1802</v>
      </c>
      <c r="K165">
        <v>95932</v>
      </c>
      <c r="L165">
        <v>0</v>
      </c>
      <c r="M165" s="2">
        <v>0</v>
      </c>
      <c r="N165" s="2">
        <v>0</v>
      </c>
      <c r="O165" s="2">
        <v>9785</v>
      </c>
      <c r="P165" s="2">
        <v>0</v>
      </c>
      <c r="Q165" s="2">
        <v>0</v>
      </c>
      <c r="R165" s="2">
        <v>0</v>
      </c>
      <c r="S165" s="2">
        <v>9785</v>
      </c>
      <c r="T165" s="2">
        <v>9785</v>
      </c>
      <c r="U165" s="2">
        <v>0</v>
      </c>
    </row>
    <row r="166" spans="1:21" x14ac:dyDescent="0.25">
      <c r="A166" s="1" t="s">
        <v>174</v>
      </c>
      <c r="B166" t="s">
        <v>670</v>
      </c>
      <c r="C166" s="1" t="s">
        <v>176</v>
      </c>
      <c r="D166" t="s">
        <v>506</v>
      </c>
      <c r="E166" s="2">
        <v>828554</v>
      </c>
      <c r="F166" s="2">
        <v>670501</v>
      </c>
      <c r="G166" s="2">
        <v>143611</v>
      </c>
      <c r="H166" s="2">
        <v>526890</v>
      </c>
      <c r="I166" s="2">
        <v>158053</v>
      </c>
      <c r="J166">
        <v>0</v>
      </c>
      <c r="K166">
        <v>684943</v>
      </c>
      <c r="L166">
        <v>0</v>
      </c>
      <c r="M166" s="2">
        <v>0</v>
      </c>
      <c r="N166" s="2">
        <v>0</v>
      </c>
      <c r="O166" s="2">
        <v>71204</v>
      </c>
      <c r="P166" s="2">
        <v>0</v>
      </c>
      <c r="Q166" s="2">
        <v>3308</v>
      </c>
      <c r="R166" s="2">
        <v>3635</v>
      </c>
      <c r="S166" s="2">
        <v>78147</v>
      </c>
      <c r="T166" s="2">
        <v>71204</v>
      </c>
      <c r="U166" s="2">
        <v>6943</v>
      </c>
    </row>
    <row r="167" spans="1:21" x14ac:dyDescent="0.25">
      <c r="A167" s="1" t="s">
        <v>174</v>
      </c>
      <c r="B167" t="s">
        <v>670</v>
      </c>
      <c r="C167" s="1" t="s">
        <v>177</v>
      </c>
      <c r="D167" t="s">
        <v>507</v>
      </c>
      <c r="E167" s="2">
        <v>1767659</v>
      </c>
      <c r="F167" s="2">
        <v>1430464</v>
      </c>
      <c r="G167" s="2">
        <v>306383</v>
      </c>
      <c r="H167" s="2">
        <v>1124081</v>
      </c>
      <c r="I167" s="2">
        <v>337195</v>
      </c>
      <c r="J167" s="2">
        <v>0</v>
      </c>
      <c r="K167">
        <v>1461276</v>
      </c>
      <c r="L167">
        <v>0</v>
      </c>
      <c r="M167" s="2">
        <v>0</v>
      </c>
      <c r="N167" s="2">
        <v>0</v>
      </c>
      <c r="O167" s="2">
        <v>151909</v>
      </c>
      <c r="P167" s="2">
        <v>0</v>
      </c>
      <c r="Q167" s="2">
        <v>9794</v>
      </c>
      <c r="R167" s="2">
        <v>10763</v>
      </c>
      <c r="S167" s="2">
        <v>172466</v>
      </c>
      <c r="T167" s="2">
        <v>151909</v>
      </c>
      <c r="U167" s="2">
        <v>20557</v>
      </c>
    </row>
    <row r="168" spans="1:21" x14ac:dyDescent="0.25">
      <c r="A168" s="1" t="s">
        <v>174</v>
      </c>
      <c r="B168" t="s">
        <v>670</v>
      </c>
      <c r="C168" s="1" t="s">
        <v>178</v>
      </c>
      <c r="D168" t="s">
        <v>508</v>
      </c>
      <c r="E168" s="2">
        <v>4834549</v>
      </c>
      <c r="F168" s="2">
        <v>3912319</v>
      </c>
      <c r="G168" s="2">
        <v>837957</v>
      </c>
      <c r="H168" s="2">
        <v>3074362</v>
      </c>
      <c r="I168" s="2">
        <v>922230</v>
      </c>
      <c r="J168">
        <v>0</v>
      </c>
      <c r="K168">
        <v>3996592</v>
      </c>
      <c r="L168">
        <v>0</v>
      </c>
      <c r="M168" s="2">
        <v>0</v>
      </c>
      <c r="N168" s="2">
        <v>0</v>
      </c>
      <c r="O168" s="2">
        <v>415471</v>
      </c>
      <c r="P168" s="2">
        <v>0</v>
      </c>
      <c r="Q168" s="2">
        <v>77054</v>
      </c>
      <c r="R168" s="2">
        <v>84681</v>
      </c>
      <c r="S168" s="2">
        <v>577206</v>
      </c>
      <c r="T168" s="2">
        <v>415471</v>
      </c>
      <c r="U168" s="2">
        <v>161735</v>
      </c>
    </row>
    <row r="169" spans="1:21" x14ac:dyDescent="0.25">
      <c r="A169" s="1" t="s">
        <v>174</v>
      </c>
      <c r="B169" t="s">
        <v>670</v>
      </c>
      <c r="C169" s="1" t="s">
        <v>179</v>
      </c>
      <c r="D169" t="s">
        <v>509</v>
      </c>
      <c r="E169" s="2">
        <v>189817</v>
      </c>
      <c r="F169" s="2">
        <v>153608</v>
      </c>
      <c r="G169" s="2">
        <v>32900</v>
      </c>
      <c r="H169" s="2">
        <v>120708</v>
      </c>
      <c r="I169" s="2">
        <v>36209</v>
      </c>
      <c r="J169" s="2">
        <v>3269</v>
      </c>
      <c r="K169">
        <v>160186</v>
      </c>
      <c r="L169">
        <v>0</v>
      </c>
      <c r="M169" s="2">
        <v>0</v>
      </c>
      <c r="N169" s="2">
        <v>0</v>
      </c>
      <c r="O169" s="2">
        <v>16529</v>
      </c>
      <c r="P169" s="2">
        <v>0</v>
      </c>
      <c r="Q169" s="2">
        <v>649</v>
      </c>
      <c r="R169" s="2">
        <v>713</v>
      </c>
      <c r="S169" s="2">
        <v>17891</v>
      </c>
      <c r="T169" s="2">
        <v>16529</v>
      </c>
      <c r="U169" s="2">
        <v>1362</v>
      </c>
    </row>
    <row r="170" spans="1:21" x14ac:dyDescent="0.25">
      <c r="A170" s="1" t="s">
        <v>174</v>
      </c>
      <c r="B170" t="s">
        <v>670</v>
      </c>
      <c r="C170" s="1" t="s">
        <v>180</v>
      </c>
      <c r="D170" t="s">
        <v>510</v>
      </c>
      <c r="E170" s="2">
        <v>662294</v>
      </c>
      <c r="F170" s="2">
        <v>535956</v>
      </c>
      <c r="G170" s="2">
        <v>114794</v>
      </c>
      <c r="H170" s="2">
        <v>421162</v>
      </c>
      <c r="I170" s="2">
        <v>126338</v>
      </c>
      <c r="J170">
        <v>0</v>
      </c>
      <c r="K170">
        <v>547500</v>
      </c>
      <c r="L170">
        <v>0</v>
      </c>
      <c r="M170" s="2">
        <v>0</v>
      </c>
      <c r="N170" s="2">
        <v>0</v>
      </c>
      <c r="O170" s="2">
        <v>56916</v>
      </c>
      <c r="P170" s="2">
        <v>0</v>
      </c>
      <c r="Q170" s="2">
        <v>2659</v>
      </c>
      <c r="R170" s="2">
        <v>2922</v>
      </c>
      <c r="S170" s="2">
        <v>62497</v>
      </c>
      <c r="T170" s="2">
        <v>56916</v>
      </c>
      <c r="U170" s="2">
        <v>5581</v>
      </c>
    </row>
    <row r="171" spans="1:21" x14ac:dyDescent="0.25">
      <c r="A171" s="1" t="s">
        <v>174</v>
      </c>
      <c r="B171" t="s">
        <v>670</v>
      </c>
      <c r="C171" s="1" t="s">
        <v>181</v>
      </c>
      <c r="D171" t="s">
        <v>511</v>
      </c>
      <c r="E171" s="2">
        <v>129112</v>
      </c>
      <c r="F171" s="2">
        <v>104483</v>
      </c>
      <c r="G171" s="2">
        <v>22378</v>
      </c>
      <c r="H171" s="2">
        <v>82105</v>
      </c>
      <c r="I171" s="2">
        <v>24629</v>
      </c>
      <c r="J171" s="2">
        <v>360</v>
      </c>
      <c r="K171">
        <v>107094</v>
      </c>
      <c r="L171">
        <v>0</v>
      </c>
      <c r="M171" s="2">
        <v>0</v>
      </c>
      <c r="N171" s="2">
        <v>0</v>
      </c>
      <c r="O171" s="2">
        <v>11096</v>
      </c>
      <c r="P171" s="2">
        <v>0</v>
      </c>
      <c r="Q171" s="2">
        <v>519</v>
      </c>
      <c r="R171" s="2">
        <v>570</v>
      </c>
      <c r="S171" s="2">
        <v>12185</v>
      </c>
      <c r="T171" s="2">
        <v>11096</v>
      </c>
      <c r="U171" s="2">
        <v>1089</v>
      </c>
    </row>
    <row r="172" spans="1:21" x14ac:dyDescent="0.25">
      <c r="A172" s="1" t="s">
        <v>174</v>
      </c>
      <c r="B172" t="s">
        <v>670</v>
      </c>
      <c r="C172" s="1" t="s">
        <v>182</v>
      </c>
      <c r="D172" t="s">
        <v>512</v>
      </c>
      <c r="E172" s="2">
        <v>1013548</v>
      </c>
      <c r="F172" s="2">
        <v>820206</v>
      </c>
      <c r="G172" s="2">
        <v>175675</v>
      </c>
      <c r="H172" s="2">
        <v>644531</v>
      </c>
      <c r="I172" s="2">
        <v>193342</v>
      </c>
      <c r="J172">
        <v>0</v>
      </c>
      <c r="K172">
        <v>837873</v>
      </c>
      <c r="L172">
        <v>0</v>
      </c>
      <c r="M172" s="2">
        <v>0</v>
      </c>
      <c r="N172" s="2">
        <v>0</v>
      </c>
      <c r="O172" s="2">
        <v>87102</v>
      </c>
      <c r="P172" s="2">
        <v>0</v>
      </c>
      <c r="Q172" s="2">
        <v>5189</v>
      </c>
      <c r="R172" s="2">
        <v>5702</v>
      </c>
      <c r="S172" s="2">
        <v>97993</v>
      </c>
      <c r="T172" s="2">
        <v>87102</v>
      </c>
      <c r="U172" s="2">
        <v>10891</v>
      </c>
    </row>
    <row r="173" spans="1:21" x14ac:dyDescent="0.25">
      <c r="A173" s="1" t="s">
        <v>174</v>
      </c>
      <c r="B173" t="s">
        <v>670</v>
      </c>
      <c r="C173" s="1" t="s">
        <v>183</v>
      </c>
      <c r="D173" t="s">
        <v>513</v>
      </c>
      <c r="E173" s="2">
        <v>797419</v>
      </c>
      <c r="F173" s="2">
        <v>645305</v>
      </c>
      <c r="G173" s="2">
        <v>138214</v>
      </c>
      <c r="H173" s="2">
        <v>507091</v>
      </c>
      <c r="I173" s="2">
        <v>152114</v>
      </c>
      <c r="J173" s="2">
        <v>0</v>
      </c>
      <c r="K173">
        <v>659205</v>
      </c>
      <c r="L173">
        <v>0</v>
      </c>
      <c r="M173" s="2">
        <v>0</v>
      </c>
      <c r="N173" s="2">
        <v>0</v>
      </c>
      <c r="O173" s="2">
        <v>68529</v>
      </c>
      <c r="P173" s="2">
        <v>0</v>
      </c>
      <c r="Q173" s="2">
        <v>10832</v>
      </c>
      <c r="R173" s="2">
        <v>11904</v>
      </c>
      <c r="S173" s="2">
        <v>91265</v>
      </c>
      <c r="T173" s="2">
        <v>68529</v>
      </c>
      <c r="U173" s="2">
        <v>22736</v>
      </c>
    </row>
    <row r="174" spans="1:21" x14ac:dyDescent="0.25">
      <c r="A174" s="1" t="s">
        <v>174</v>
      </c>
      <c r="B174" t="s">
        <v>670</v>
      </c>
      <c r="C174" s="1" t="s">
        <v>184</v>
      </c>
      <c r="D174" t="s">
        <v>514</v>
      </c>
      <c r="E174" s="2">
        <v>731802</v>
      </c>
      <c r="F174" s="2">
        <v>592205</v>
      </c>
      <c r="G174" s="2">
        <v>126841</v>
      </c>
      <c r="H174" s="2">
        <v>465364</v>
      </c>
      <c r="I174" s="2">
        <v>139597</v>
      </c>
      <c r="J174" s="2">
        <v>7095</v>
      </c>
      <c r="K174">
        <v>612056</v>
      </c>
      <c r="L174">
        <v>0</v>
      </c>
      <c r="M174" s="2">
        <v>0</v>
      </c>
      <c r="N174" s="2">
        <v>0</v>
      </c>
      <c r="O174" s="2">
        <v>63251</v>
      </c>
      <c r="P174" s="2">
        <v>0</v>
      </c>
      <c r="Q174" s="2">
        <v>4410</v>
      </c>
      <c r="R174" s="2">
        <v>4847</v>
      </c>
      <c r="S174" s="2">
        <v>72508</v>
      </c>
      <c r="T174" s="2">
        <v>63251</v>
      </c>
      <c r="U174" s="2">
        <v>9257</v>
      </c>
    </row>
    <row r="175" spans="1:21" x14ac:dyDescent="0.25">
      <c r="A175" s="1" t="s">
        <v>174</v>
      </c>
      <c r="B175" t="s">
        <v>670</v>
      </c>
      <c r="C175" s="1" t="s">
        <v>185</v>
      </c>
      <c r="D175" t="s">
        <v>515</v>
      </c>
      <c r="E175" s="2">
        <v>621664</v>
      </c>
      <c r="F175" s="2">
        <v>503076</v>
      </c>
      <c r="G175" s="2">
        <v>107751</v>
      </c>
      <c r="H175" s="2">
        <v>395325</v>
      </c>
      <c r="I175" s="2">
        <v>118588</v>
      </c>
      <c r="J175" s="2">
        <v>10834</v>
      </c>
      <c r="K175">
        <v>524747</v>
      </c>
      <c r="L175">
        <v>0</v>
      </c>
      <c r="M175" s="2">
        <v>0</v>
      </c>
      <c r="N175" s="2">
        <v>0</v>
      </c>
      <c r="O175" s="2">
        <v>54143</v>
      </c>
      <c r="P175" s="2">
        <v>0</v>
      </c>
      <c r="Q175" s="2">
        <v>61422</v>
      </c>
      <c r="R175" s="2">
        <v>67502</v>
      </c>
      <c r="S175" s="2">
        <v>183067</v>
      </c>
      <c r="T175" s="2">
        <v>54143</v>
      </c>
      <c r="U175" s="2">
        <v>128924</v>
      </c>
    </row>
    <row r="176" spans="1:21" x14ac:dyDescent="0.25">
      <c r="A176" s="1" t="s">
        <v>174</v>
      </c>
      <c r="B176" t="s">
        <v>670</v>
      </c>
      <c r="C176" s="1" t="s">
        <v>186</v>
      </c>
      <c r="D176" t="s">
        <v>516</v>
      </c>
      <c r="E176" s="2">
        <v>268984</v>
      </c>
      <c r="F176" s="2">
        <v>217673</v>
      </c>
      <c r="G176" s="2">
        <v>46622</v>
      </c>
      <c r="H176" s="2">
        <v>171051</v>
      </c>
      <c r="I176" s="2">
        <v>51311</v>
      </c>
      <c r="J176" s="2">
        <v>2934</v>
      </c>
      <c r="K176">
        <v>225296</v>
      </c>
      <c r="L176">
        <v>0</v>
      </c>
      <c r="M176" s="2">
        <v>0</v>
      </c>
      <c r="N176" s="2">
        <v>0</v>
      </c>
      <c r="O176" s="2">
        <v>23277</v>
      </c>
      <c r="P176" s="2">
        <v>0</v>
      </c>
      <c r="Q176" s="2">
        <v>713</v>
      </c>
      <c r="R176" s="2">
        <v>784</v>
      </c>
      <c r="S176" s="2">
        <v>24774</v>
      </c>
      <c r="T176" s="2">
        <v>23277</v>
      </c>
      <c r="U176" s="2">
        <v>1497</v>
      </c>
    </row>
    <row r="177" spans="1:21" x14ac:dyDescent="0.25">
      <c r="A177" s="1" t="s">
        <v>174</v>
      </c>
      <c r="B177" t="s">
        <v>670</v>
      </c>
      <c r="C177" s="1" t="s">
        <v>187</v>
      </c>
      <c r="D177" t="s">
        <v>517</v>
      </c>
      <c r="E177" s="2">
        <v>162457</v>
      </c>
      <c r="F177" s="2">
        <v>131467</v>
      </c>
      <c r="G177" s="2">
        <v>28158</v>
      </c>
      <c r="H177" s="2">
        <v>103309</v>
      </c>
      <c r="I177" s="2">
        <v>30990</v>
      </c>
      <c r="J177" s="2">
        <v>9406</v>
      </c>
      <c r="K177">
        <v>143705</v>
      </c>
      <c r="L177">
        <v>0</v>
      </c>
      <c r="M177" s="2">
        <v>0</v>
      </c>
      <c r="N177" s="2">
        <v>0</v>
      </c>
      <c r="O177" s="2">
        <v>14631</v>
      </c>
      <c r="P177" s="2">
        <v>0</v>
      </c>
      <c r="Q177" s="2">
        <v>195</v>
      </c>
      <c r="R177" s="2">
        <v>214</v>
      </c>
      <c r="S177" s="2">
        <v>15040</v>
      </c>
      <c r="T177" s="2">
        <v>14631</v>
      </c>
      <c r="U177" s="2">
        <v>409</v>
      </c>
    </row>
    <row r="178" spans="1:21" x14ac:dyDescent="0.25">
      <c r="A178" s="1" t="s">
        <v>174</v>
      </c>
      <c r="B178" t="s">
        <v>670</v>
      </c>
      <c r="C178" s="1" t="s">
        <v>188</v>
      </c>
      <c r="D178" t="s">
        <v>518</v>
      </c>
      <c r="E178" s="2">
        <v>175155</v>
      </c>
      <c r="F178" s="2">
        <v>141743</v>
      </c>
      <c r="G178" s="2">
        <v>30359</v>
      </c>
      <c r="H178" s="2">
        <v>111384</v>
      </c>
      <c r="I178" s="2">
        <v>33412</v>
      </c>
      <c r="J178">
        <v>0</v>
      </c>
      <c r="K178">
        <v>144796</v>
      </c>
      <c r="L178">
        <v>0</v>
      </c>
      <c r="M178" s="2">
        <v>0</v>
      </c>
      <c r="N178" s="2">
        <v>0</v>
      </c>
      <c r="O178" s="2">
        <v>15052</v>
      </c>
      <c r="P178" s="2">
        <v>0</v>
      </c>
      <c r="Q178" s="2">
        <v>0</v>
      </c>
      <c r="R178" s="2">
        <v>0</v>
      </c>
      <c r="S178" s="2">
        <v>15052</v>
      </c>
      <c r="T178" s="2">
        <v>15052</v>
      </c>
      <c r="U178" s="2">
        <v>0</v>
      </c>
    </row>
    <row r="179" spans="1:21" x14ac:dyDescent="0.25">
      <c r="A179" s="1" t="s">
        <v>174</v>
      </c>
      <c r="B179" t="s">
        <v>670</v>
      </c>
      <c r="C179" s="1" t="s">
        <v>189</v>
      </c>
      <c r="D179" t="s">
        <v>519</v>
      </c>
      <c r="E179" s="2">
        <v>174350</v>
      </c>
      <c r="F179" s="2">
        <v>141091</v>
      </c>
      <c r="G179" s="2">
        <v>30220</v>
      </c>
      <c r="H179" s="2">
        <v>110871</v>
      </c>
      <c r="I179" s="2">
        <v>33259</v>
      </c>
      <c r="J179">
        <v>0</v>
      </c>
      <c r="K179">
        <v>144130</v>
      </c>
      <c r="L179">
        <v>0</v>
      </c>
      <c r="M179" s="2">
        <v>0</v>
      </c>
      <c r="N179" s="2">
        <v>0</v>
      </c>
      <c r="O179" s="2">
        <v>14983</v>
      </c>
      <c r="P179" s="2">
        <v>0</v>
      </c>
      <c r="Q179" s="2">
        <v>195</v>
      </c>
      <c r="R179" s="2">
        <v>214</v>
      </c>
      <c r="S179" s="2">
        <v>15392</v>
      </c>
      <c r="T179" s="2">
        <v>14983</v>
      </c>
      <c r="U179" s="2">
        <v>409</v>
      </c>
    </row>
    <row r="180" spans="1:21" x14ac:dyDescent="0.25">
      <c r="A180" s="1" t="s">
        <v>174</v>
      </c>
      <c r="B180" t="s">
        <v>670</v>
      </c>
      <c r="C180" s="1" t="s">
        <v>190</v>
      </c>
      <c r="D180" t="s">
        <v>520</v>
      </c>
      <c r="E180" s="2">
        <v>1311314</v>
      </c>
      <c r="F180" s="2">
        <v>1061170</v>
      </c>
      <c r="G180" s="2">
        <v>227286</v>
      </c>
      <c r="H180" s="2">
        <v>833884</v>
      </c>
      <c r="I180" s="2">
        <v>250144</v>
      </c>
      <c r="J180" s="2">
        <v>0</v>
      </c>
      <c r="K180">
        <v>1084028</v>
      </c>
      <c r="L180">
        <v>0</v>
      </c>
      <c r="M180" s="2">
        <v>0</v>
      </c>
      <c r="N180" s="2">
        <v>0</v>
      </c>
      <c r="O180" s="2">
        <v>112692</v>
      </c>
      <c r="P180" s="2">
        <v>0</v>
      </c>
      <c r="Q180" s="2">
        <v>7978</v>
      </c>
      <c r="R180" s="2">
        <v>8767</v>
      </c>
      <c r="S180" s="2">
        <v>129437</v>
      </c>
      <c r="T180" s="2">
        <v>112692</v>
      </c>
      <c r="U180" s="2">
        <v>16745</v>
      </c>
    </row>
    <row r="181" spans="1:21" x14ac:dyDescent="0.25">
      <c r="A181" s="1" t="s">
        <v>174</v>
      </c>
      <c r="B181" t="s">
        <v>670</v>
      </c>
      <c r="C181" s="1" t="s">
        <v>191</v>
      </c>
      <c r="D181" t="s">
        <v>521</v>
      </c>
      <c r="E181" s="2">
        <v>12393575</v>
      </c>
      <c r="F181" s="2">
        <v>10029398</v>
      </c>
      <c r="G181" s="2">
        <v>2148134</v>
      </c>
      <c r="H181" s="2">
        <v>7881264</v>
      </c>
      <c r="I181" s="2">
        <v>2364177</v>
      </c>
      <c r="J181">
        <v>0</v>
      </c>
      <c r="K181">
        <v>10245441</v>
      </c>
      <c r="L181">
        <v>0</v>
      </c>
      <c r="M181" s="2">
        <v>0</v>
      </c>
      <c r="N181" s="2">
        <v>0</v>
      </c>
      <c r="O181" s="2">
        <v>1065079</v>
      </c>
      <c r="P181" s="2">
        <v>0</v>
      </c>
      <c r="Q181" s="2">
        <v>192504</v>
      </c>
      <c r="R181" s="2">
        <v>211559</v>
      </c>
      <c r="S181" s="2">
        <v>1469142</v>
      </c>
      <c r="T181" s="2">
        <v>1065079</v>
      </c>
      <c r="U181" s="2">
        <v>404063</v>
      </c>
    </row>
    <row r="182" spans="1:21" x14ac:dyDescent="0.25">
      <c r="A182" s="1" t="s">
        <v>174</v>
      </c>
      <c r="B182" t="s">
        <v>670</v>
      </c>
      <c r="C182" s="1" t="s">
        <v>192</v>
      </c>
      <c r="D182" t="s">
        <v>522</v>
      </c>
      <c r="E182" s="2">
        <v>211573</v>
      </c>
      <c r="F182" s="2">
        <v>171214</v>
      </c>
      <c r="G182" s="2">
        <v>36672</v>
      </c>
      <c r="H182" s="2">
        <v>134542</v>
      </c>
      <c r="I182" s="2">
        <v>40359</v>
      </c>
      <c r="J182" s="2">
        <v>0</v>
      </c>
      <c r="K182">
        <v>174901</v>
      </c>
      <c r="L182">
        <v>0</v>
      </c>
      <c r="M182" s="2">
        <v>0</v>
      </c>
      <c r="N182" s="2">
        <v>0</v>
      </c>
      <c r="O182" s="2">
        <v>18182</v>
      </c>
      <c r="P182" s="2">
        <v>0</v>
      </c>
      <c r="Q182" s="2">
        <v>454</v>
      </c>
      <c r="R182" s="2">
        <v>499</v>
      </c>
      <c r="S182" s="2">
        <v>19135</v>
      </c>
      <c r="T182" s="2">
        <v>18182</v>
      </c>
      <c r="U182" s="2">
        <v>953</v>
      </c>
    </row>
    <row r="183" spans="1:21" x14ac:dyDescent="0.25">
      <c r="A183" s="1" t="s">
        <v>174</v>
      </c>
      <c r="B183" t="s">
        <v>670</v>
      </c>
      <c r="C183" s="1" t="s">
        <v>193</v>
      </c>
      <c r="D183" t="s">
        <v>523</v>
      </c>
      <c r="E183" s="2">
        <v>163784</v>
      </c>
      <c r="F183" s="2">
        <v>132541</v>
      </c>
      <c r="G183" s="2">
        <v>28388</v>
      </c>
      <c r="H183" s="2">
        <v>104153</v>
      </c>
      <c r="I183" s="2">
        <v>31243</v>
      </c>
      <c r="J183">
        <v>0</v>
      </c>
      <c r="K183">
        <v>135396</v>
      </c>
      <c r="L183">
        <v>0</v>
      </c>
      <c r="M183" s="2">
        <v>0</v>
      </c>
      <c r="N183" s="2">
        <v>0</v>
      </c>
      <c r="O183" s="2">
        <v>14075</v>
      </c>
      <c r="P183" s="2">
        <v>0</v>
      </c>
      <c r="Q183" s="2">
        <v>0</v>
      </c>
      <c r="R183" s="2">
        <v>0</v>
      </c>
      <c r="S183" s="2">
        <v>14075</v>
      </c>
      <c r="T183" s="2">
        <v>14075</v>
      </c>
      <c r="U183" s="2">
        <v>0</v>
      </c>
    </row>
    <row r="184" spans="1:21" x14ac:dyDescent="0.25">
      <c r="A184" s="1" t="s">
        <v>174</v>
      </c>
      <c r="B184" t="s">
        <v>670</v>
      </c>
      <c r="C184" s="1" t="s">
        <v>194</v>
      </c>
      <c r="D184" t="s">
        <v>524</v>
      </c>
      <c r="E184" s="2">
        <v>582858</v>
      </c>
      <c r="F184" s="2">
        <v>471673</v>
      </c>
      <c r="G184" s="2">
        <v>101024</v>
      </c>
      <c r="H184" s="2">
        <v>370649</v>
      </c>
      <c r="I184" s="2">
        <v>111185</v>
      </c>
      <c r="J184" s="2">
        <v>0</v>
      </c>
      <c r="K184">
        <v>481834</v>
      </c>
      <c r="L184">
        <v>0</v>
      </c>
      <c r="M184" s="2">
        <v>0</v>
      </c>
      <c r="N184" s="2">
        <v>0</v>
      </c>
      <c r="O184" s="2">
        <v>50090</v>
      </c>
      <c r="P184" s="2">
        <v>0</v>
      </c>
      <c r="Q184" s="2">
        <v>2659</v>
      </c>
      <c r="R184" s="2">
        <v>2922</v>
      </c>
      <c r="S184" s="2">
        <v>55671</v>
      </c>
      <c r="T184" s="2">
        <v>50090</v>
      </c>
      <c r="U184" s="2">
        <v>5581</v>
      </c>
    </row>
    <row r="185" spans="1:21" x14ac:dyDescent="0.25">
      <c r="A185" s="1" t="s">
        <v>174</v>
      </c>
      <c r="B185" t="s">
        <v>670</v>
      </c>
      <c r="C185" s="1" t="s">
        <v>195</v>
      </c>
      <c r="D185" t="s">
        <v>525</v>
      </c>
      <c r="E185" s="2">
        <v>118706</v>
      </c>
      <c r="F185" s="2">
        <v>96062</v>
      </c>
      <c r="G185" s="2">
        <v>20575</v>
      </c>
      <c r="H185" s="2">
        <v>75487</v>
      </c>
      <c r="I185" s="2">
        <v>22644</v>
      </c>
      <c r="J185">
        <v>0</v>
      </c>
      <c r="K185">
        <v>98131</v>
      </c>
      <c r="L185">
        <v>0</v>
      </c>
      <c r="M185" s="2">
        <v>0</v>
      </c>
      <c r="N185" s="2">
        <v>0</v>
      </c>
      <c r="O185" s="2">
        <v>10201</v>
      </c>
      <c r="P185" s="2">
        <v>0</v>
      </c>
      <c r="Q185" s="2">
        <v>1167</v>
      </c>
      <c r="R185" s="2">
        <v>1283</v>
      </c>
      <c r="S185" s="2">
        <v>12651</v>
      </c>
      <c r="T185" s="2">
        <v>10201</v>
      </c>
      <c r="U185" s="2">
        <v>2450</v>
      </c>
    </row>
    <row r="186" spans="1:21" x14ac:dyDescent="0.25">
      <c r="A186" s="1" t="s">
        <v>174</v>
      </c>
      <c r="B186" t="s">
        <v>670</v>
      </c>
      <c r="C186" s="1" t="s">
        <v>196</v>
      </c>
      <c r="D186" t="s">
        <v>526</v>
      </c>
      <c r="E186" s="2">
        <v>150581</v>
      </c>
      <c r="F186" s="2">
        <v>121857</v>
      </c>
      <c r="G186" s="2">
        <v>26100</v>
      </c>
      <c r="H186" s="2">
        <v>95757</v>
      </c>
      <c r="I186" s="2">
        <v>28724</v>
      </c>
      <c r="J186" s="2">
        <v>0</v>
      </c>
      <c r="K186">
        <v>124481</v>
      </c>
      <c r="L186">
        <v>0</v>
      </c>
      <c r="M186" s="2">
        <v>0</v>
      </c>
      <c r="N186" s="2">
        <v>0</v>
      </c>
      <c r="O186" s="2">
        <v>12941</v>
      </c>
      <c r="P186" s="2">
        <v>0</v>
      </c>
      <c r="Q186" s="2">
        <v>0</v>
      </c>
      <c r="R186" s="2">
        <v>0</v>
      </c>
      <c r="S186" s="2">
        <v>12941</v>
      </c>
      <c r="T186" s="2">
        <v>12941</v>
      </c>
      <c r="U186" s="2">
        <v>0</v>
      </c>
    </row>
    <row r="187" spans="1:21" x14ac:dyDescent="0.25">
      <c r="A187" s="1" t="s">
        <v>174</v>
      </c>
      <c r="B187" t="s">
        <v>670</v>
      </c>
      <c r="C187" s="1" t="s">
        <v>197</v>
      </c>
      <c r="D187" t="s">
        <v>527</v>
      </c>
      <c r="E187" s="2">
        <v>1333712</v>
      </c>
      <c r="F187" s="2">
        <v>1079295</v>
      </c>
      <c r="G187" s="2">
        <v>231167</v>
      </c>
      <c r="H187" s="2">
        <v>848128</v>
      </c>
      <c r="I187" s="2">
        <v>254417</v>
      </c>
      <c r="J187">
        <v>0</v>
      </c>
      <c r="K187">
        <v>1102545</v>
      </c>
      <c r="L187">
        <v>0</v>
      </c>
      <c r="M187" s="2">
        <v>0</v>
      </c>
      <c r="N187" s="2">
        <v>0</v>
      </c>
      <c r="O187" s="2">
        <v>114616</v>
      </c>
      <c r="P187" s="2">
        <v>0</v>
      </c>
      <c r="Q187" s="2">
        <v>9405</v>
      </c>
      <c r="R187" s="2">
        <v>10336</v>
      </c>
      <c r="S187" s="2">
        <v>134357</v>
      </c>
      <c r="T187" s="2">
        <v>114616</v>
      </c>
      <c r="U187" s="2">
        <v>19741</v>
      </c>
    </row>
    <row r="188" spans="1:21" x14ac:dyDescent="0.25">
      <c r="A188" s="1" t="s">
        <v>174</v>
      </c>
      <c r="B188" t="s">
        <v>670</v>
      </c>
      <c r="C188" s="1" t="s">
        <v>198</v>
      </c>
      <c r="D188" t="s">
        <v>528</v>
      </c>
      <c r="E188" s="2">
        <v>309519</v>
      </c>
      <c r="F188" s="2">
        <v>250476</v>
      </c>
      <c r="G188" s="2">
        <v>53648</v>
      </c>
      <c r="H188" s="2">
        <v>196828</v>
      </c>
      <c r="I188" s="2">
        <v>59043</v>
      </c>
      <c r="J188" s="2">
        <v>0</v>
      </c>
      <c r="K188">
        <v>255871</v>
      </c>
      <c r="L188">
        <v>0</v>
      </c>
      <c r="M188" s="2">
        <v>0</v>
      </c>
      <c r="N188" s="2">
        <v>0</v>
      </c>
      <c r="O188" s="2">
        <v>26599</v>
      </c>
      <c r="P188" s="2">
        <v>0</v>
      </c>
      <c r="Q188" s="2">
        <v>1038</v>
      </c>
      <c r="R188" s="2">
        <v>1140</v>
      </c>
      <c r="S188" s="2">
        <v>28777</v>
      </c>
      <c r="T188" s="2">
        <v>26599</v>
      </c>
      <c r="U188" s="2">
        <v>2178</v>
      </c>
    </row>
    <row r="189" spans="1:21" x14ac:dyDescent="0.25">
      <c r="A189" s="1" t="s">
        <v>174</v>
      </c>
      <c r="B189" t="s">
        <v>670</v>
      </c>
      <c r="C189" s="1" t="s">
        <v>199</v>
      </c>
      <c r="D189" t="s">
        <v>529</v>
      </c>
      <c r="E189" s="2">
        <v>2572056</v>
      </c>
      <c r="F189" s="2">
        <v>2081415</v>
      </c>
      <c r="G189" s="2">
        <v>445806</v>
      </c>
      <c r="H189" s="2">
        <v>1635609</v>
      </c>
      <c r="I189" s="2">
        <v>490641</v>
      </c>
      <c r="J189" s="2">
        <v>0</v>
      </c>
      <c r="K189">
        <v>2126250</v>
      </c>
      <c r="L189">
        <v>0</v>
      </c>
      <c r="M189" s="2">
        <v>0</v>
      </c>
      <c r="N189" s="2">
        <v>0</v>
      </c>
      <c r="O189" s="2">
        <v>221037</v>
      </c>
      <c r="P189" s="2">
        <v>0</v>
      </c>
      <c r="Q189" s="2">
        <v>33014</v>
      </c>
      <c r="R189" s="2">
        <v>36282</v>
      </c>
      <c r="S189" s="2">
        <v>290333</v>
      </c>
      <c r="T189" s="2">
        <v>221037</v>
      </c>
      <c r="U189" s="2">
        <v>69296</v>
      </c>
    </row>
    <row r="190" spans="1:21" x14ac:dyDescent="0.25">
      <c r="A190" s="1" t="s">
        <v>174</v>
      </c>
      <c r="B190" t="s">
        <v>670</v>
      </c>
      <c r="C190" s="1" t="s">
        <v>200</v>
      </c>
      <c r="D190" t="s">
        <v>530</v>
      </c>
      <c r="E190" s="2">
        <v>671117</v>
      </c>
      <c r="F190" s="2">
        <v>543096</v>
      </c>
      <c r="G190" s="2">
        <v>116323</v>
      </c>
      <c r="H190" s="2">
        <v>426773</v>
      </c>
      <c r="I190" s="2">
        <v>128021</v>
      </c>
      <c r="J190">
        <v>0</v>
      </c>
      <c r="K190">
        <v>554794</v>
      </c>
      <c r="L190">
        <v>0</v>
      </c>
      <c r="M190" s="2">
        <v>0</v>
      </c>
      <c r="N190" s="2">
        <v>0</v>
      </c>
      <c r="O190" s="2">
        <v>57674</v>
      </c>
      <c r="P190" s="2">
        <v>0</v>
      </c>
      <c r="Q190" s="2">
        <v>908</v>
      </c>
      <c r="R190" s="2">
        <v>998</v>
      </c>
      <c r="S190" s="2">
        <v>59580</v>
      </c>
      <c r="T190" s="2">
        <v>57674</v>
      </c>
      <c r="U190" s="2">
        <v>1906</v>
      </c>
    </row>
    <row r="191" spans="1:21" x14ac:dyDescent="0.25">
      <c r="A191" s="1" t="s">
        <v>174</v>
      </c>
      <c r="B191" t="s">
        <v>670</v>
      </c>
      <c r="C191" s="1" t="s">
        <v>201</v>
      </c>
      <c r="D191" t="s">
        <v>531</v>
      </c>
      <c r="E191" s="2">
        <v>164800</v>
      </c>
      <c r="F191" s="2">
        <v>133363</v>
      </c>
      <c r="G191" s="2">
        <v>28565</v>
      </c>
      <c r="H191" s="2">
        <v>104798</v>
      </c>
      <c r="I191" s="2">
        <v>31437</v>
      </c>
      <c r="J191" s="2">
        <v>903</v>
      </c>
      <c r="K191">
        <v>137138</v>
      </c>
      <c r="L191">
        <v>0</v>
      </c>
      <c r="M191" s="2">
        <v>0</v>
      </c>
      <c r="N191" s="2">
        <v>0</v>
      </c>
      <c r="O191" s="2">
        <v>14185</v>
      </c>
      <c r="P191" s="2">
        <v>0</v>
      </c>
      <c r="Q191" s="2">
        <v>4086</v>
      </c>
      <c r="R191" s="2">
        <v>4491</v>
      </c>
      <c r="S191" s="2">
        <v>22762</v>
      </c>
      <c r="T191" s="2">
        <v>14185</v>
      </c>
      <c r="U191" s="2">
        <v>8577</v>
      </c>
    </row>
    <row r="192" spans="1:21" x14ac:dyDescent="0.25">
      <c r="A192" s="1" t="s">
        <v>174</v>
      </c>
      <c r="B192" t="s">
        <v>670</v>
      </c>
      <c r="C192" s="1" t="s">
        <v>202</v>
      </c>
      <c r="D192" t="s">
        <v>532</v>
      </c>
      <c r="E192" s="2">
        <v>236276</v>
      </c>
      <c r="F192" s="2">
        <v>191205</v>
      </c>
      <c r="G192" s="2">
        <v>40953</v>
      </c>
      <c r="H192" s="2">
        <v>150252</v>
      </c>
      <c r="I192" s="2">
        <v>45071</v>
      </c>
      <c r="J192" s="2">
        <v>9532</v>
      </c>
      <c r="K192">
        <v>204855</v>
      </c>
      <c r="L192">
        <v>0</v>
      </c>
      <c r="M192" s="2">
        <v>0</v>
      </c>
      <c r="N192" s="2">
        <v>0</v>
      </c>
      <c r="O192" s="2">
        <v>20787</v>
      </c>
      <c r="P192" s="2">
        <v>0</v>
      </c>
      <c r="Q192" s="2">
        <v>65</v>
      </c>
      <c r="R192" s="2">
        <v>71</v>
      </c>
      <c r="S192" s="2">
        <v>20923</v>
      </c>
      <c r="T192" s="2">
        <v>20787</v>
      </c>
      <c r="U192" s="2">
        <v>136</v>
      </c>
    </row>
    <row r="193" spans="1:21" x14ac:dyDescent="0.25">
      <c r="A193" s="1" t="s">
        <v>174</v>
      </c>
      <c r="B193" t="s">
        <v>670</v>
      </c>
      <c r="C193" s="1" t="s">
        <v>203</v>
      </c>
      <c r="D193" t="s">
        <v>533</v>
      </c>
      <c r="E193" s="2">
        <v>179841</v>
      </c>
      <c r="F193" s="2">
        <v>145535</v>
      </c>
      <c r="G193" s="2">
        <v>31171</v>
      </c>
      <c r="H193" s="2">
        <v>114364</v>
      </c>
      <c r="I193" s="2">
        <v>34306</v>
      </c>
      <c r="J193" s="2">
        <v>691</v>
      </c>
      <c r="K193">
        <v>149361</v>
      </c>
      <c r="L193">
        <v>0</v>
      </c>
      <c r="M193" s="2">
        <v>0</v>
      </c>
      <c r="N193" s="2">
        <v>0</v>
      </c>
      <c r="O193" s="2">
        <v>15455</v>
      </c>
      <c r="P193" s="2">
        <v>0</v>
      </c>
      <c r="Q193" s="2">
        <v>1557</v>
      </c>
      <c r="R193" s="2">
        <v>1711</v>
      </c>
      <c r="S193" s="2">
        <v>18723</v>
      </c>
      <c r="T193" s="2">
        <v>15455</v>
      </c>
      <c r="U193" s="2">
        <v>3268</v>
      </c>
    </row>
    <row r="194" spans="1:21" x14ac:dyDescent="0.25">
      <c r="A194" s="1" t="s">
        <v>174</v>
      </c>
      <c r="B194" t="s">
        <v>670</v>
      </c>
      <c r="C194" s="1" t="s">
        <v>204</v>
      </c>
      <c r="D194" t="s">
        <v>534</v>
      </c>
      <c r="E194" s="2">
        <v>109999</v>
      </c>
      <c r="F194" s="2">
        <v>89016</v>
      </c>
      <c r="G194" s="2">
        <v>19066</v>
      </c>
      <c r="H194" s="2">
        <v>69950</v>
      </c>
      <c r="I194" s="2">
        <v>20983</v>
      </c>
      <c r="J194" s="2">
        <v>6906</v>
      </c>
      <c r="K194">
        <v>97839</v>
      </c>
      <c r="L194">
        <v>0</v>
      </c>
      <c r="M194" s="2">
        <v>0</v>
      </c>
      <c r="N194" s="2">
        <v>0</v>
      </c>
      <c r="O194" s="2">
        <v>9453</v>
      </c>
      <c r="P194" s="2">
        <v>0</v>
      </c>
      <c r="Q194" s="2">
        <v>130</v>
      </c>
      <c r="R194" s="2">
        <v>143</v>
      </c>
      <c r="S194" s="2">
        <v>9726</v>
      </c>
      <c r="T194" s="2">
        <v>9453</v>
      </c>
      <c r="U194" s="2">
        <v>273</v>
      </c>
    </row>
    <row r="195" spans="1:21" x14ac:dyDescent="0.25">
      <c r="A195" s="1" t="s">
        <v>174</v>
      </c>
      <c r="B195" t="s">
        <v>670</v>
      </c>
      <c r="C195" s="1" t="s">
        <v>205</v>
      </c>
      <c r="D195" t="s">
        <v>535</v>
      </c>
      <c r="E195" s="2">
        <v>537896</v>
      </c>
      <c r="F195" s="2">
        <v>435288</v>
      </c>
      <c r="G195" s="2">
        <v>93232</v>
      </c>
      <c r="H195" s="2">
        <v>342056</v>
      </c>
      <c r="I195" s="2">
        <v>102608</v>
      </c>
      <c r="J195">
        <v>0</v>
      </c>
      <c r="K195">
        <v>444664</v>
      </c>
      <c r="L195">
        <v>0</v>
      </c>
      <c r="M195" s="2">
        <v>0</v>
      </c>
      <c r="N195" s="2">
        <v>0</v>
      </c>
      <c r="O195" s="2">
        <v>46226</v>
      </c>
      <c r="P195" s="2">
        <v>0</v>
      </c>
      <c r="Q195" s="2">
        <v>584</v>
      </c>
      <c r="R195" s="2">
        <v>642</v>
      </c>
      <c r="S195" s="2">
        <v>47452</v>
      </c>
      <c r="T195" s="2">
        <v>46226</v>
      </c>
      <c r="U195" s="2">
        <v>1226</v>
      </c>
    </row>
    <row r="196" spans="1:21" x14ac:dyDescent="0.25">
      <c r="A196" s="1" t="s">
        <v>174</v>
      </c>
      <c r="B196" t="s">
        <v>670</v>
      </c>
      <c r="C196" s="1" t="s">
        <v>206</v>
      </c>
      <c r="D196" t="s">
        <v>536</v>
      </c>
      <c r="E196" s="2">
        <v>1146200</v>
      </c>
      <c r="F196" s="2">
        <v>927553</v>
      </c>
      <c r="G196" s="2">
        <v>198667</v>
      </c>
      <c r="H196" s="2">
        <v>728886</v>
      </c>
      <c r="I196" s="2">
        <v>218647</v>
      </c>
      <c r="J196" s="2">
        <v>6989</v>
      </c>
      <c r="K196">
        <v>954522</v>
      </c>
      <c r="L196">
        <v>0</v>
      </c>
      <c r="M196" s="2">
        <v>0</v>
      </c>
      <c r="N196" s="2">
        <v>0</v>
      </c>
      <c r="O196" s="2">
        <v>98716</v>
      </c>
      <c r="P196" s="2">
        <v>0</v>
      </c>
      <c r="Q196" s="2">
        <v>7459</v>
      </c>
      <c r="R196" s="2">
        <v>8197</v>
      </c>
      <c r="S196" s="2">
        <v>114372</v>
      </c>
      <c r="T196" s="2">
        <v>98716</v>
      </c>
      <c r="U196" s="2">
        <v>15656</v>
      </c>
    </row>
    <row r="197" spans="1:21" x14ac:dyDescent="0.25">
      <c r="A197" s="1" t="s">
        <v>174</v>
      </c>
      <c r="B197" t="s">
        <v>670</v>
      </c>
      <c r="C197" s="1" t="s">
        <v>207</v>
      </c>
      <c r="D197" t="s">
        <v>537</v>
      </c>
      <c r="E197" s="2">
        <v>808288</v>
      </c>
      <c r="F197" s="2">
        <v>654101</v>
      </c>
      <c r="G197" s="2">
        <v>140098</v>
      </c>
      <c r="H197" s="2">
        <v>514003</v>
      </c>
      <c r="I197" s="2">
        <v>154187</v>
      </c>
      <c r="J197">
        <v>0</v>
      </c>
      <c r="K197">
        <v>668190</v>
      </c>
      <c r="L197">
        <v>0</v>
      </c>
      <c r="M197" s="2">
        <v>0</v>
      </c>
      <c r="N197" s="2">
        <v>0</v>
      </c>
      <c r="O197" s="2">
        <v>69463</v>
      </c>
      <c r="P197" s="2">
        <v>0</v>
      </c>
      <c r="Q197" s="2">
        <v>3762</v>
      </c>
      <c r="R197" s="2">
        <v>4134</v>
      </c>
      <c r="S197" s="2">
        <v>77359</v>
      </c>
      <c r="T197" s="2">
        <v>69463</v>
      </c>
      <c r="U197" s="2">
        <v>7896</v>
      </c>
    </row>
    <row r="198" spans="1:21" x14ac:dyDescent="0.25">
      <c r="A198" s="1" t="s">
        <v>174</v>
      </c>
      <c r="B198" t="s">
        <v>670</v>
      </c>
      <c r="C198" s="1" t="s">
        <v>208</v>
      </c>
      <c r="D198" t="s">
        <v>538</v>
      </c>
      <c r="E198" s="2">
        <v>1308552</v>
      </c>
      <c r="F198" s="2">
        <v>1058935</v>
      </c>
      <c r="G198" s="2">
        <v>226807</v>
      </c>
      <c r="H198" s="2">
        <v>832128</v>
      </c>
      <c r="I198" s="2">
        <v>249617</v>
      </c>
      <c r="J198">
        <v>0</v>
      </c>
      <c r="K198">
        <v>1081745</v>
      </c>
      <c r="L198">
        <v>0</v>
      </c>
      <c r="M198" s="2">
        <v>0</v>
      </c>
      <c r="N198" s="2">
        <v>0</v>
      </c>
      <c r="O198" s="2">
        <v>112454</v>
      </c>
      <c r="P198" s="2">
        <v>0</v>
      </c>
      <c r="Q198" s="2">
        <v>10442</v>
      </c>
      <c r="R198" s="2">
        <v>11476</v>
      </c>
      <c r="S198" s="2">
        <v>134372</v>
      </c>
      <c r="T198" s="2">
        <v>112454</v>
      </c>
      <c r="U198" s="2">
        <v>21918</v>
      </c>
    </row>
    <row r="199" spans="1:21" x14ac:dyDescent="0.25">
      <c r="A199" s="1" t="s">
        <v>174</v>
      </c>
      <c r="B199" t="s">
        <v>670</v>
      </c>
      <c r="C199" s="1" t="s">
        <v>209</v>
      </c>
      <c r="D199" t="s">
        <v>539</v>
      </c>
      <c r="E199" s="2">
        <v>198954</v>
      </c>
      <c r="F199" s="2">
        <v>161002</v>
      </c>
      <c r="G199" s="2">
        <v>34484</v>
      </c>
      <c r="H199" s="2">
        <v>126518</v>
      </c>
      <c r="I199" s="2">
        <v>37952</v>
      </c>
      <c r="J199" s="2">
        <v>11554</v>
      </c>
      <c r="K199">
        <v>176024</v>
      </c>
      <c r="L199">
        <v>0</v>
      </c>
      <c r="M199" s="2">
        <v>0</v>
      </c>
      <c r="N199" s="2">
        <v>0</v>
      </c>
      <c r="O199" s="2">
        <v>18020</v>
      </c>
      <c r="P199" s="2">
        <v>0</v>
      </c>
      <c r="Q199" s="2">
        <v>1232</v>
      </c>
      <c r="R199" s="2">
        <v>1354</v>
      </c>
      <c r="S199" s="2">
        <v>20606</v>
      </c>
      <c r="T199" s="2">
        <v>18020</v>
      </c>
      <c r="U199" s="2">
        <v>2586</v>
      </c>
    </row>
    <row r="200" spans="1:21" x14ac:dyDescent="0.25">
      <c r="A200" s="1" t="s">
        <v>174</v>
      </c>
      <c r="B200" t="s">
        <v>670</v>
      </c>
      <c r="C200" s="1" t="s">
        <v>211</v>
      </c>
      <c r="D200" t="s">
        <v>212</v>
      </c>
      <c r="E200" s="2">
        <v>373348</v>
      </c>
      <c r="F200" s="2">
        <v>302129</v>
      </c>
      <c r="G200" s="2">
        <v>64711</v>
      </c>
      <c r="H200" s="2">
        <v>237418</v>
      </c>
      <c r="I200" s="2">
        <v>71219</v>
      </c>
      <c r="J200" s="2">
        <v>0</v>
      </c>
      <c r="K200">
        <v>308637</v>
      </c>
      <c r="L200">
        <v>0</v>
      </c>
      <c r="M200" s="2">
        <v>0</v>
      </c>
      <c r="N200" s="2">
        <v>0</v>
      </c>
      <c r="O200" s="2">
        <v>32085</v>
      </c>
      <c r="P200" s="2">
        <v>0</v>
      </c>
      <c r="Q200" s="2">
        <v>1427</v>
      </c>
      <c r="R200" s="2">
        <v>1568</v>
      </c>
      <c r="S200" s="2">
        <v>35080</v>
      </c>
      <c r="T200" s="2">
        <v>32085</v>
      </c>
      <c r="U200" s="2">
        <v>2995</v>
      </c>
    </row>
    <row r="201" spans="1:21" x14ac:dyDescent="0.25">
      <c r="A201" s="1" t="s">
        <v>174</v>
      </c>
      <c r="B201" t="s">
        <v>670</v>
      </c>
      <c r="C201" s="1" t="s">
        <v>210</v>
      </c>
      <c r="D201" t="s">
        <v>540</v>
      </c>
      <c r="E201" s="2">
        <v>252916</v>
      </c>
      <c r="F201" s="2">
        <v>204671</v>
      </c>
      <c r="G201" s="2">
        <v>43837</v>
      </c>
      <c r="H201" s="2">
        <v>160834</v>
      </c>
      <c r="I201" s="2">
        <v>48245</v>
      </c>
      <c r="J201" s="2">
        <v>0</v>
      </c>
      <c r="K201">
        <v>209079</v>
      </c>
      <c r="L201">
        <v>0</v>
      </c>
      <c r="M201" s="2">
        <v>0</v>
      </c>
      <c r="N201" s="2">
        <v>0</v>
      </c>
      <c r="O201" s="2">
        <v>21735</v>
      </c>
      <c r="P201" s="2">
        <v>0</v>
      </c>
      <c r="Q201" s="2">
        <v>130</v>
      </c>
      <c r="R201" s="2">
        <v>143</v>
      </c>
      <c r="S201" s="2">
        <v>22008</v>
      </c>
      <c r="T201" s="2">
        <v>21735</v>
      </c>
      <c r="U201" s="2">
        <v>273</v>
      </c>
    </row>
    <row r="202" spans="1:21" x14ac:dyDescent="0.25">
      <c r="A202" s="1" t="s">
        <v>174</v>
      </c>
      <c r="B202" t="s">
        <v>670</v>
      </c>
      <c r="C202" s="1" t="s">
        <v>213</v>
      </c>
      <c r="D202" t="s">
        <v>541</v>
      </c>
      <c r="E202" s="2">
        <v>818537</v>
      </c>
      <c r="F202" s="2">
        <v>662394</v>
      </c>
      <c r="G202" s="2">
        <v>141874</v>
      </c>
      <c r="H202" s="2">
        <v>520520</v>
      </c>
      <c r="I202" s="2">
        <v>156143</v>
      </c>
      <c r="J202">
        <v>0</v>
      </c>
      <c r="K202">
        <v>676663</v>
      </c>
      <c r="L202">
        <v>0</v>
      </c>
      <c r="M202" s="2">
        <v>0</v>
      </c>
      <c r="N202" s="2">
        <v>0</v>
      </c>
      <c r="O202" s="2">
        <v>70343</v>
      </c>
      <c r="P202" s="2">
        <v>0</v>
      </c>
      <c r="Q202" s="2">
        <v>41381</v>
      </c>
      <c r="R202" s="2">
        <v>45477</v>
      </c>
      <c r="S202" s="2">
        <v>157201</v>
      </c>
      <c r="T202" s="2">
        <v>70343</v>
      </c>
      <c r="U202" s="2">
        <v>86858</v>
      </c>
    </row>
    <row r="203" spans="1:21" x14ac:dyDescent="0.25">
      <c r="A203" s="1" t="s">
        <v>174</v>
      </c>
      <c r="B203" t="s">
        <v>670</v>
      </c>
      <c r="C203" s="1" t="s">
        <v>214</v>
      </c>
      <c r="D203" t="s">
        <v>542</v>
      </c>
      <c r="E203" s="2">
        <v>707778</v>
      </c>
      <c r="F203" s="2">
        <v>572763</v>
      </c>
      <c r="G203" s="2">
        <v>122677</v>
      </c>
      <c r="H203" s="2">
        <v>450086</v>
      </c>
      <c r="I203" s="2">
        <v>135015</v>
      </c>
      <c r="J203" s="2">
        <v>25868</v>
      </c>
      <c r="K203">
        <v>610969</v>
      </c>
      <c r="L203">
        <v>0</v>
      </c>
      <c r="M203" s="2">
        <v>0</v>
      </c>
      <c r="N203" s="2">
        <v>0</v>
      </c>
      <c r="O203" s="2">
        <v>62802</v>
      </c>
      <c r="P203" s="2">
        <v>0</v>
      </c>
      <c r="Q203" s="2">
        <v>5967</v>
      </c>
      <c r="R203" s="2">
        <v>6558</v>
      </c>
      <c r="S203" s="2">
        <v>75327</v>
      </c>
      <c r="T203" s="2">
        <v>62802</v>
      </c>
      <c r="U203" s="2">
        <v>12525</v>
      </c>
    </row>
    <row r="204" spans="1:21" x14ac:dyDescent="0.25">
      <c r="A204" s="1" t="s">
        <v>174</v>
      </c>
      <c r="B204" t="s">
        <v>670</v>
      </c>
      <c r="C204" s="1" t="s">
        <v>215</v>
      </c>
      <c r="D204" t="s">
        <v>543</v>
      </c>
      <c r="E204" s="2">
        <v>270338</v>
      </c>
      <c r="F204" s="2">
        <v>218769</v>
      </c>
      <c r="G204" s="2">
        <v>46857</v>
      </c>
      <c r="H204" s="2">
        <v>171912</v>
      </c>
      <c r="I204" s="2">
        <v>51569</v>
      </c>
      <c r="J204">
        <v>0</v>
      </c>
      <c r="K204">
        <v>223481</v>
      </c>
      <c r="L204">
        <v>0</v>
      </c>
      <c r="M204" s="2">
        <v>0</v>
      </c>
      <c r="N204" s="2">
        <v>0</v>
      </c>
      <c r="O204" s="2">
        <v>23232</v>
      </c>
      <c r="P204" s="2">
        <v>0</v>
      </c>
      <c r="Q204" s="2">
        <v>65</v>
      </c>
      <c r="R204" s="2">
        <v>71</v>
      </c>
      <c r="S204" s="2">
        <v>23368</v>
      </c>
      <c r="T204" s="2">
        <v>23232</v>
      </c>
      <c r="U204" s="2">
        <v>136</v>
      </c>
    </row>
    <row r="205" spans="1:21" x14ac:dyDescent="0.25">
      <c r="A205" s="1" t="s">
        <v>174</v>
      </c>
      <c r="B205" t="s">
        <v>670</v>
      </c>
      <c r="C205" s="1" t="s">
        <v>216</v>
      </c>
      <c r="D205" t="s">
        <v>544</v>
      </c>
      <c r="E205" s="2">
        <v>379972</v>
      </c>
      <c r="F205" s="2">
        <v>307489</v>
      </c>
      <c r="G205" s="2">
        <v>65859</v>
      </c>
      <c r="H205" s="2">
        <v>241630</v>
      </c>
      <c r="I205" s="2">
        <v>72483</v>
      </c>
      <c r="J205">
        <v>0</v>
      </c>
      <c r="K205">
        <v>314113</v>
      </c>
      <c r="L205">
        <v>0</v>
      </c>
      <c r="M205" s="2">
        <v>0</v>
      </c>
      <c r="N205" s="2">
        <v>0</v>
      </c>
      <c r="O205" s="2">
        <v>32654</v>
      </c>
      <c r="P205" s="2">
        <v>0</v>
      </c>
      <c r="Q205" s="2">
        <v>519</v>
      </c>
      <c r="R205" s="2">
        <v>570</v>
      </c>
      <c r="S205" s="2">
        <v>33743</v>
      </c>
      <c r="T205" s="2">
        <v>32654</v>
      </c>
      <c r="U205" s="2">
        <v>1089</v>
      </c>
    </row>
    <row r="206" spans="1:21" x14ac:dyDescent="0.25">
      <c r="A206" s="1" t="s">
        <v>174</v>
      </c>
      <c r="B206" t="s">
        <v>670</v>
      </c>
      <c r="C206" s="1" t="s">
        <v>217</v>
      </c>
      <c r="D206" t="s">
        <v>545</v>
      </c>
      <c r="E206" s="2">
        <v>395445</v>
      </c>
      <c r="F206" s="2">
        <v>320011</v>
      </c>
      <c r="G206" s="2">
        <v>68541</v>
      </c>
      <c r="H206" s="2">
        <v>251470</v>
      </c>
      <c r="I206" s="2">
        <v>75434</v>
      </c>
      <c r="J206" s="2">
        <v>0</v>
      </c>
      <c r="K206">
        <v>326904</v>
      </c>
      <c r="L206">
        <v>0</v>
      </c>
      <c r="M206" s="2">
        <v>0</v>
      </c>
      <c r="N206" s="2">
        <v>0</v>
      </c>
      <c r="O206" s="2">
        <v>33984</v>
      </c>
      <c r="P206" s="2">
        <v>0</v>
      </c>
      <c r="Q206" s="2">
        <v>4865</v>
      </c>
      <c r="R206" s="2">
        <v>5346</v>
      </c>
      <c r="S206" s="2">
        <v>44195</v>
      </c>
      <c r="T206" s="2">
        <v>33984</v>
      </c>
      <c r="U206" s="2">
        <v>10211</v>
      </c>
    </row>
    <row r="207" spans="1:21" x14ac:dyDescent="0.25">
      <c r="A207" s="1" t="s">
        <v>174</v>
      </c>
      <c r="B207" t="s">
        <v>670</v>
      </c>
      <c r="C207" s="1" t="s">
        <v>218</v>
      </c>
      <c r="D207" t="s">
        <v>546</v>
      </c>
      <c r="E207" s="2">
        <v>2847906</v>
      </c>
      <c r="F207" s="2">
        <v>2304644</v>
      </c>
      <c r="G207" s="2">
        <v>493618</v>
      </c>
      <c r="H207" s="2">
        <v>1811026</v>
      </c>
      <c r="I207" s="2">
        <v>543262</v>
      </c>
      <c r="J207">
        <v>0</v>
      </c>
      <c r="K207">
        <v>2354288</v>
      </c>
      <c r="L207">
        <v>0</v>
      </c>
      <c r="M207" s="2">
        <v>0</v>
      </c>
      <c r="N207" s="2">
        <v>0</v>
      </c>
      <c r="O207" s="2">
        <v>244743</v>
      </c>
      <c r="P207" s="2">
        <v>0</v>
      </c>
      <c r="Q207" s="2">
        <v>27955</v>
      </c>
      <c r="R207" s="2">
        <v>30722</v>
      </c>
      <c r="S207" s="2">
        <v>303420</v>
      </c>
      <c r="T207" s="2">
        <v>244743</v>
      </c>
      <c r="U207" s="2">
        <v>58677</v>
      </c>
    </row>
    <row r="208" spans="1:21" x14ac:dyDescent="0.25">
      <c r="A208" s="1" t="s">
        <v>174</v>
      </c>
      <c r="B208" t="s">
        <v>670</v>
      </c>
      <c r="C208" s="1" t="s">
        <v>219</v>
      </c>
      <c r="D208" t="s">
        <v>547</v>
      </c>
      <c r="E208" s="2">
        <v>183732</v>
      </c>
      <c r="F208" s="2">
        <v>148684</v>
      </c>
      <c r="G208" s="2">
        <v>31846</v>
      </c>
      <c r="H208" s="2">
        <v>116838</v>
      </c>
      <c r="I208" s="2">
        <v>35048</v>
      </c>
      <c r="J208" s="2">
        <v>6824</v>
      </c>
      <c r="K208">
        <v>158710</v>
      </c>
      <c r="L208">
        <v>0</v>
      </c>
      <c r="M208" s="2">
        <v>0</v>
      </c>
      <c r="N208" s="2">
        <v>0</v>
      </c>
      <c r="O208" s="2">
        <v>15790</v>
      </c>
      <c r="P208" s="2">
        <v>0</v>
      </c>
      <c r="Q208" s="2">
        <v>324</v>
      </c>
      <c r="R208" s="2">
        <v>356</v>
      </c>
      <c r="S208" s="2">
        <v>16470</v>
      </c>
      <c r="T208" s="2">
        <v>15790</v>
      </c>
      <c r="U208" s="2">
        <v>680</v>
      </c>
    </row>
    <row r="209" spans="1:21" x14ac:dyDescent="0.25">
      <c r="A209" s="1" t="s">
        <v>174</v>
      </c>
      <c r="B209" t="s">
        <v>670</v>
      </c>
      <c r="C209" s="1" t="s">
        <v>220</v>
      </c>
      <c r="D209" t="s">
        <v>548</v>
      </c>
      <c r="E209" s="2">
        <v>117939</v>
      </c>
      <c r="F209" s="2">
        <v>95441</v>
      </c>
      <c r="G209" s="2">
        <v>20442</v>
      </c>
      <c r="H209" s="2">
        <v>74999</v>
      </c>
      <c r="I209" s="2">
        <v>22498</v>
      </c>
      <c r="J209" s="2">
        <v>10295</v>
      </c>
      <c r="K209">
        <v>107792</v>
      </c>
      <c r="L209">
        <v>0</v>
      </c>
      <c r="M209" s="2">
        <v>0</v>
      </c>
      <c r="N209" s="2">
        <v>0</v>
      </c>
      <c r="O209" s="2">
        <v>10888</v>
      </c>
      <c r="P209" s="2">
        <v>0</v>
      </c>
      <c r="Q209" s="2">
        <v>973</v>
      </c>
      <c r="R209" s="2">
        <v>1069</v>
      </c>
      <c r="S209" s="2">
        <v>12930</v>
      </c>
      <c r="T209" s="2">
        <v>10888</v>
      </c>
      <c r="U209" s="2">
        <v>2042</v>
      </c>
    </row>
    <row r="210" spans="1:21" x14ac:dyDescent="0.25">
      <c r="A210" s="1" t="s">
        <v>174</v>
      </c>
      <c r="B210" t="s">
        <v>670</v>
      </c>
      <c r="C210" s="1" t="s">
        <v>221</v>
      </c>
      <c r="D210" t="s">
        <v>549</v>
      </c>
      <c r="E210" s="2">
        <v>137198</v>
      </c>
      <c r="F210" s="2">
        <v>111027</v>
      </c>
      <c r="G210" s="2">
        <v>23780</v>
      </c>
      <c r="H210" s="2">
        <v>87247</v>
      </c>
      <c r="I210" s="2">
        <v>26171</v>
      </c>
      <c r="J210" s="2">
        <v>1050</v>
      </c>
      <c r="K210">
        <v>114468</v>
      </c>
      <c r="L210">
        <v>0</v>
      </c>
      <c r="M210" s="2">
        <v>0</v>
      </c>
      <c r="N210" s="2">
        <v>0</v>
      </c>
      <c r="O210" s="2">
        <v>11791</v>
      </c>
      <c r="P210" s="2">
        <v>0</v>
      </c>
      <c r="Q210" s="2">
        <v>584</v>
      </c>
      <c r="R210" s="2">
        <v>642</v>
      </c>
      <c r="S210" s="2">
        <v>13017</v>
      </c>
      <c r="T210" s="2">
        <v>11791</v>
      </c>
      <c r="U210" s="2">
        <v>1226</v>
      </c>
    </row>
    <row r="211" spans="1:21" x14ac:dyDescent="0.25">
      <c r="A211" s="1" t="s">
        <v>174</v>
      </c>
      <c r="B211" t="s">
        <v>670</v>
      </c>
      <c r="C211" s="1" t="s">
        <v>222</v>
      </c>
      <c r="D211" t="s">
        <v>550</v>
      </c>
      <c r="E211" s="2">
        <v>1348026</v>
      </c>
      <c r="F211" s="2">
        <v>1090879</v>
      </c>
      <c r="G211" s="2">
        <v>233649</v>
      </c>
      <c r="H211" s="2">
        <v>857230</v>
      </c>
      <c r="I211" s="2">
        <v>257147</v>
      </c>
      <c r="J211">
        <v>0</v>
      </c>
      <c r="K211">
        <v>1114377</v>
      </c>
      <c r="L211">
        <v>0</v>
      </c>
      <c r="M211" s="2">
        <v>0</v>
      </c>
      <c r="N211" s="2">
        <v>0</v>
      </c>
      <c r="O211" s="2">
        <v>115847</v>
      </c>
      <c r="P211" s="2">
        <v>0</v>
      </c>
      <c r="Q211" s="2">
        <v>31392</v>
      </c>
      <c r="R211" s="2">
        <v>34500</v>
      </c>
      <c r="S211" s="2">
        <v>181739</v>
      </c>
      <c r="T211" s="2">
        <v>115847</v>
      </c>
      <c r="U211" s="2">
        <v>65892</v>
      </c>
    </row>
    <row r="212" spans="1:21" x14ac:dyDescent="0.25">
      <c r="A212" s="1" t="s">
        <v>174</v>
      </c>
      <c r="B212" t="s">
        <v>670</v>
      </c>
      <c r="C212" s="1" t="s">
        <v>223</v>
      </c>
      <c r="D212" t="s">
        <v>551</v>
      </c>
      <c r="E212" s="2">
        <v>348836</v>
      </c>
      <c r="F212" s="2">
        <v>282293</v>
      </c>
      <c r="G212" s="2">
        <v>60463</v>
      </c>
      <c r="H212" s="2">
        <v>221830</v>
      </c>
      <c r="I212" s="2">
        <v>66543</v>
      </c>
      <c r="J212">
        <v>0</v>
      </c>
      <c r="K212">
        <v>288373</v>
      </c>
      <c r="L212">
        <v>0</v>
      </c>
      <c r="M212" s="2">
        <v>0</v>
      </c>
      <c r="N212" s="2">
        <v>0</v>
      </c>
      <c r="O212" s="2">
        <v>29978</v>
      </c>
      <c r="P212" s="2">
        <v>0</v>
      </c>
      <c r="Q212" s="2">
        <v>2724</v>
      </c>
      <c r="R212" s="2">
        <v>2994</v>
      </c>
      <c r="S212" s="2">
        <v>35696</v>
      </c>
      <c r="T212" s="2">
        <v>29978</v>
      </c>
      <c r="U212" s="2">
        <v>5718</v>
      </c>
    </row>
    <row r="213" spans="1:21" x14ac:dyDescent="0.25">
      <c r="A213" s="1" t="s">
        <v>174</v>
      </c>
      <c r="B213" t="s">
        <v>670</v>
      </c>
      <c r="C213" s="1" t="s">
        <v>224</v>
      </c>
      <c r="D213" t="s">
        <v>552</v>
      </c>
      <c r="E213" s="2">
        <v>5342545</v>
      </c>
      <c r="F213" s="2">
        <v>4323410</v>
      </c>
      <c r="G213" s="2">
        <v>926006</v>
      </c>
      <c r="H213" s="2">
        <v>3397404</v>
      </c>
      <c r="I213" s="2">
        <v>1019135</v>
      </c>
      <c r="J213">
        <v>0</v>
      </c>
      <c r="K213">
        <v>4416539</v>
      </c>
      <c r="L213">
        <v>0</v>
      </c>
      <c r="M213" s="2">
        <v>0</v>
      </c>
      <c r="N213" s="2">
        <v>0</v>
      </c>
      <c r="O213" s="2">
        <v>459127</v>
      </c>
      <c r="P213" s="2">
        <v>0</v>
      </c>
      <c r="Q213" s="2">
        <v>90739</v>
      </c>
      <c r="R213" s="2">
        <v>99721</v>
      </c>
      <c r="S213" s="2">
        <v>649587</v>
      </c>
      <c r="T213" s="2">
        <v>459127</v>
      </c>
      <c r="U213" s="2">
        <v>190460</v>
      </c>
    </row>
    <row r="214" spans="1:21" x14ac:dyDescent="0.25">
      <c r="A214" s="1" t="s">
        <v>174</v>
      </c>
      <c r="B214" t="s">
        <v>670</v>
      </c>
      <c r="C214" s="1" t="s">
        <v>225</v>
      </c>
      <c r="D214" t="s">
        <v>553</v>
      </c>
      <c r="E214" s="2">
        <v>374671</v>
      </c>
      <c r="F214" s="2">
        <v>303200</v>
      </c>
      <c r="G214" s="2">
        <v>64940</v>
      </c>
      <c r="H214" s="2">
        <v>238260</v>
      </c>
      <c r="I214" s="2">
        <v>71471</v>
      </c>
      <c r="J214">
        <v>0</v>
      </c>
      <c r="K214">
        <v>309731</v>
      </c>
      <c r="L214">
        <v>0</v>
      </c>
      <c r="M214" s="2">
        <v>0</v>
      </c>
      <c r="N214" s="2">
        <v>0</v>
      </c>
      <c r="O214" s="2">
        <v>32199</v>
      </c>
      <c r="P214" s="2">
        <v>0</v>
      </c>
      <c r="Q214" s="2">
        <v>259</v>
      </c>
      <c r="R214" s="2">
        <v>285</v>
      </c>
      <c r="S214" s="2">
        <v>32743</v>
      </c>
      <c r="T214" s="2">
        <v>32199</v>
      </c>
      <c r="U214" s="2">
        <v>544</v>
      </c>
    </row>
    <row r="215" spans="1:21" x14ac:dyDescent="0.25">
      <c r="A215" s="1" t="s">
        <v>174</v>
      </c>
      <c r="B215" t="s">
        <v>670</v>
      </c>
      <c r="C215" s="1" t="s">
        <v>226</v>
      </c>
      <c r="D215" t="s">
        <v>554</v>
      </c>
      <c r="E215" s="2">
        <v>3301955</v>
      </c>
      <c r="F215" s="2">
        <v>2672080</v>
      </c>
      <c r="G215" s="2">
        <v>572317</v>
      </c>
      <c r="H215" s="2">
        <v>2099763</v>
      </c>
      <c r="I215" s="2">
        <v>629875</v>
      </c>
      <c r="J215" s="2">
        <v>0</v>
      </c>
      <c r="K215">
        <v>2729638</v>
      </c>
      <c r="L215">
        <v>0</v>
      </c>
      <c r="M215" s="2">
        <v>0</v>
      </c>
      <c r="N215" s="2">
        <v>0</v>
      </c>
      <c r="O215" s="2">
        <v>283763</v>
      </c>
      <c r="P215" s="2">
        <v>0</v>
      </c>
      <c r="Q215" s="2">
        <v>84642</v>
      </c>
      <c r="R215" s="2">
        <v>93020</v>
      </c>
      <c r="S215" s="2">
        <v>461425</v>
      </c>
      <c r="T215" s="2">
        <v>283763</v>
      </c>
      <c r="U215" s="2">
        <v>177662</v>
      </c>
    </row>
    <row r="216" spans="1:21" x14ac:dyDescent="0.25">
      <c r="A216" s="1" t="s">
        <v>174</v>
      </c>
      <c r="B216" t="s">
        <v>670</v>
      </c>
      <c r="C216" s="1" t="s">
        <v>227</v>
      </c>
      <c r="D216" t="s">
        <v>555</v>
      </c>
      <c r="E216" s="2">
        <v>640743</v>
      </c>
      <c r="F216" s="2">
        <v>518516</v>
      </c>
      <c r="G216" s="2">
        <v>111058</v>
      </c>
      <c r="H216" s="2">
        <v>407458</v>
      </c>
      <c r="I216" s="2">
        <v>122227</v>
      </c>
      <c r="J216" s="2">
        <v>0</v>
      </c>
      <c r="K216">
        <v>529685</v>
      </c>
      <c r="L216">
        <v>0</v>
      </c>
      <c r="M216" s="2">
        <v>0</v>
      </c>
      <c r="N216" s="2">
        <v>0</v>
      </c>
      <c r="O216" s="2">
        <v>55064</v>
      </c>
      <c r="P216" s="2">
        <v>0</v>
      </c>
      <c r="Q216" s="2">
        <v>1103</v>
      </c>
      <c r="R216" s="2">
        <v>1212</v>
      </c>
      <c r="S216" s="2">
        <v>57379</v>
      </c>
      <c r="T216" s="2">
        <v>55064</v>
      </c>
      <c r="U216" s="2">
        <v>2315</v>
      </c>
    </row>
    <row r="217" spans="1:21" x14ac:dyDescent="0.25">
      <c r="A217" s="1" t="s">
        <v>174</v>
      </c>
      <c r="B217" t="s">
        <v>670</v>
      </c>
      <c r="C217" s="1" t="s">
        <v>228</v>
      </c>
      <c r="D217" t="s">
        <v>556</v>
      </c>
      <c r="E217" s="2">
        <v>416632</v>
      </c>
      <c r="F217" s="2">
        <v>337156</v>
      </c>
      <c r="G217" s="2">
        <v>72214</v>
      </c>
      <c r="H217" s="2">
        <v>264942</v>
      </c>
      <c r="I217" s="2">
        <v>79476</v>
      </c>
      <c r="J217">
        <v>0</v>
      </c>
      <c r="K217">
        <v>344418</v>
      </c>
      <c r="L217">
        <v>0</v>
      </c>
      <c r="M217" s="2">
        <v>0</v>
      </c>
      <c r="N217" s="2">
        <v>0</v>
      </c>
      <c r="O217" s="2">
        <v>35805</v>
      </c>
      <c r="P217" s="2">
        <v>0</v>
      </c>
      <c r="Q217" s="2">
        <v>1816</v>
      </c>
      <c r="R217" s="2">
        <v>1996</v>
      </c>
      <c r="S217" s="2">
        <v>39617</v>
      </c>
      <c r="T217" s="2">
        <v>35805</v>
      </c>
      <c r="U217" s="2">
        <v>3812</v>
      </c>
    </row>
    <row r="218" spans="1:21" x14ac:dyDescent="0.25">
      <c r="A218" s="1" t="s">
        <v>229</v>
      </c>
      <c r="B218" t="s">
        <v>671</v>
      </c>
      <c r="C218" s="1" t="s">
        <v>230</v>
      </c>
      <c r="D218" t="s">
        <v>557</v>
      </c>
      <c r="E218" s="2">
        <v>214092</v>
      </c>
      <c r="F218" s="2">
        <v>166122</v>
      </c>
      <c r="G218" s="2">
        <v>35581</v>
      </c>
      <c r="H218" s="2">
        <v>130541</v>
      </c>
      <c r="I218" s="2">
        <v>47970</v>
      </c>
      <c r="J218" s="2">
        <v>1215</v>
      </c>
      <c r="K218">
        <v>179726</v>
      </c>
      <c r="L218">
        <v>312</v>
      </c>
      <c r="M218" s="2">
        <v>90</v>
      </c>
      <c r="N218" s="2">
        <v>402</v>
      </c>
      <c r="O218" s="2">
        <v>21590</v>
      </c>
      <c r="P218" s="2">
        <v>0</v>
      </c>
      <c r="Q218" s="2">
        <v>849</v>
      </c>
      <c r="R218" s="2">
        <v>950</v>
      </c>
      <c r="S218" s="2">
        <v>23791</v>
      </c>
      <c r="T218" s="2">
        <v>21902</v>
      </c>
      <c r="U218" s="2">
        <v>1889</v>
      </c>
    </row>
    <row r="219" spans="1:21" x14ac:dyDescent="0.25">
      <c r="A219" s="1" t="s">
        <v>229</v>
      </c>
      <c r="B219" t="s">
        <v>671</v>
      </c>
      <c r="C219" s="1" t="s">
        <v>231</v>
      </c>
      <c r="D219" t="s">
        <v>558</v>
      </c>
      <c r="E219" s="2">
        <v>111829</v>
      </c>
      <c r="F219" s="2">
        <v>86772</v>
      </c>
      <c r="G219" s="2">
        <v>18585</v>
      </c>
      <c r="H219" s="2">
        <v>68187</v>
      </c>
      <c r="I219" s="2">
        <v>25057</v>
      </c>
      <c r="J219" s="2">
        <v>4886</v>
      </c>
      <c r="K219">
        <v>98130</v>
      </c>
      <c r="L219">
        <v>163</v>
      </c>
      <c r="M219" s="2">
        <v>47</v>
      </c>
      <c r="N219" s="2">
        <v>210</v>
      </c>
      <c r="O219" s="2">
        <v>11766</v>
      </c>
      <c r="P219" s="2">
        <v>0</v>
      </c>
      <c r="Q219" s="2">
        <v>4373</v>
      </c>
      <c r="R219" s="2">
        <v>4895</v>
      </c>
      <c r="S219" s="2">
        <v>21244</v>
      </c>
      <c r="T219" s="2">
        <v>11929</v>
      </c>
      <c r="U219" s="2">
        <v>9315</v>
      </c>
    </row>
    <row r="220" spans="1:21" x14ac:dyDescent="0.25">
      <c r="A220" s="1" t="s">
        <v>229</v>
      </c>
      <c r="B220" t="s">
        <v>671</v>
      </c>
      <c r="C220" s="1" t="s">
        <v>232</v>
      </c>
      <c r="D220" t="s">
        <v>559</v>
      </c>
      <c r="E220" s="2">
        <v>221462</v>
      </c>
      <c r="F220" s="2">
        <v>171840</v>
      </c>
      <c r="G220" s="2">
        <v>36806</v>
      </c>
      <c r="H220" s="2">
        <v>135034</v>
      </c>
      <c r="I220" s="2">
        <v>49622</v>
      </c>
      <c r="J220" s="2">
        <v>1085</v>
      </c>
      <c r="K220">
        <v>185741</v>
      </c>
      <c r="L220">
        <v>323</v>
      </c>
      <c r="M220" s="2">
        <v>93</v>
      </c>
      <c r="N220" s="2">
        <v>416</v>
      </c>
      <c r="O220" s="2">
        <v>22432</v>
      </c>
      <c r="P220" s="2">
        <v>0</v>
      </c>
      <c r="Q220" s="2">
        <v>26043</v>
      </c>
      <c r="R220" s="2">
        <v>29151</v>
      </c>
      <c r="S220" s="2">
        <v>78042</v>
      </c>
      <c r="T220" s="2">
        <v>22755</v>
      </c>
      <c r="U220" s="2">
        <v>55287</v>
      </c>
    </row>
    <row r="221" spans="1:21" x14ac:dyDescent="0.25">
      <c r="A221" s="1" t="s">
        <v>229</v>
      </c>
      <c r="B221" t="s">
        <v>671</v>
      </c>
      <c r="C221" s="1" t="s">
        <v>233</v>
      </c>
      <c r="D221" t="s">
        <v>560</v>
      </c>
      <c r="E221" s="2">
        <v>284453</v>
      </c>
      <c r="F221" s="2">
        <v>220717</v>
      </c>
      <c r="G221" s="2">
        <v>47274</v>
      </c>
      <c r="H221" s="2">
        <v>173443</v>
      </c>
      <c r="I221" s="2">
        <v>63736</v>
      </c>
      <c r="J221" s="2">
        <v>11618</v>
      </c>
      <c r="K221">
        <v>248797</v>
      </c>
      <c r="L221">
        <v>414</v>
      </c>
      <c r="M221" s="2">
        <v>120</v>
      </c>
      <c r="N221" s="2">
        <v>534</v>
      </c>
      <c r="O221" s="2">
        <v>29848</v>
      </c>
      <c r="P221" s="2">
        <v>0</v>
      </c>
      <c r="Q221" s="2">
        <v>9856</v>
      </c>
      <c r="R221" s="2">
        <v>11032</v>
      </c>
      <c r="S221" s="2">
        <v>51270</v>
      </c>
      <c r="T221" s="2">
        <v>30262</v>
      </c>
      <c r="U221" s="2">
        <v>21008</v>
      </c>
    </row>
    <row r="222" spans="1:21" x14ac:dyDescent="0.25">
      <c r="A222" s="1" t="s">
        <v>229</v>
      </c>
      <c r="B222" t="s">
        <v>671</v>
      </c>
      <c r="C222" s="1" t="s">
        <v>234</v>
      </c>
      <c r="D222" t="s">
        <v>561</v>
      </c>
      <c r="E222" s="2">
        <v>121187</v>
      </c>
      <c r="F222" s="2">
        <v>94033</v>
      </c>
      <c r="G222" s="2">
        <v>20141</v>
      </c>
      <c r="H222" s="2">
        <v>73892</v>
      </c>
      <c r="I222" s="2">
        <v>27154</v>
      </c>
      <c r="J222" s="2">
        <v>0</v>
      </c>
      <c r="K222">
        <v>101046</v>
      </c>
      <c r="L222">
        <v>177</v>
      </c>
      <c r="M222" s="2">
        <v>51</v>
      </c>
      <c r="N222" s="2">
        <v>228</v>
      </c>
      <c r="O222" s="2">
        <v>12221</v>
      </c>
      <c r="P222" s="2">
        <v>0</v>
      </c>
      <c r="Q222" s="2">
        <v>261</v>
      </c>
      <c r="R222" s="2">
        <v>292</v>
      </c>
      <c r="S222" s="2">
        <v>13002</v>
      </c>
      <c r="T222" s="2">
        <v>12398</v>
      </c>
      <c r="U222" s="2">
        <v>604</v>
      </c>
    </row>
    <row r="223" spans="1:21" x14ac:dyDescent="0.25">
      <c r="A223" s="1" t="s">
        <v>229</v>
      </c>
      <c r="B223" t="s">
        <v>671</v>
      </c>
      <c r="C223" s="1" t="s">
        <v>235</v>
      </c>
      <c r="D223" t="s">
        <v>562</v>
      </c>
      <c r="E223" s="2">
        <v>423358</v>
      </c>
      <c r="F223" s="2">
        <v>328498</v>
      </c>
      <c r="G223" s="2">
        <v>70359</v>
      </c>
      <c r="H223" s="2">
        <v>258139</v>
      </c>
      <c r="I223" s="2">
        <v>94860</v>
      </c>
      <c r="J223">
        <v>0</v>
      </c>
      <c r="K223">
        <v>352999</v>
      </c>
      <c r="L223">
        <v>615</v>
      </c>
      <c r="M223" s="2">
        <v>178</v>
      </c>
      <c r="N223" s="2">
        <v>793</v>
      </c>
      <c r="O223" s="2">
        <v>42693</v>
      </c>
      <c r="P223" s="2">
        <v>0</v>
      </c>
      <c r="Q223" s="2">
        <v>392</v>
      </c>
      <c r="R223" s="2">
        <v>438</v>
      </c>
      <c r="S223" s="2">
        <v>44316</v>
      </c>
      <c r="T223" s="2">
        <v>43308</v>
      </c>
      <c r="U223" s="2">
        <v>1008</v>
      </c>
    </row>
    <row r="224" spans="1:21" x14ac:dyDescent="0.25">
      <c r="A224" s="1" t="s">
        <v>229</v>
      </c>
      <c r="B224" t="s">
        <v>671</v>
      </c>
      <c r="C224" s="1" t="s">
        <v>236</v>
      </c>
      <c r="D224" t="s">
        <v>563</v>
      </c>
      <c r="E224" s="2">
        <v>802765</v>
      </c>
      <c r="F224" s="2">
        <v>622893</v>
      </c>
      <c r="G224" s="2">
        <v>133414</v>
      </c>
      <c r="H224" s="2">
        <v>489479</v>
      </c>
      <c r="I224" s="2">
        <v>179872</v>
      </c>
      <c r="J224" s="2">
        <v>0</v>
      </c>
      <c r="K224" s="2">
        <v>669351</v>
      </c>
      <c r="L224" s="2">
        <v>1167</v>
      </c>
      <c r="M224" s="2">
        <v>338</v>
      </c>
      <c r="N224" s="2">
        <v>1505</v>
      </c>
      <c r="O224" s="2">
        <v>80954</v>
      </c>
      <c r="P224" s="2">
        <v>0</v>
      </c>
      <c r="Q224" s="2">
        <v>9203</v>
      </c>
      <c r="R224" s="2">
        <v>10301</v>
      </c>
      <c r="S224" s="2">
        <v>101963</v>
      </c>
      <c r="T224" s="2">
        <v>82121</v>
      </c>
      <c r="U224" s="2">
        <v>19842</v>
      </c>
    </row>
    <row r="225" spans="1:21" x14ac:dyDescent="0.25">
      <c r="A225" s="1" t="s">
        <v>229</v>
      </c>
      <c r="B225" t="s">
        <v>671</v>
      </c>
      <c r="C225" s="1" t="s">
        <v>237</v>
      </c>
      <c r="D225" t="s">
        <v>564</v>
      </c>
      <c r="E225" s="2">
        <v>183057</v>
      </c>
      <c r="F225" s="2">
        <v>142041</v>
      </c>
      <c r="G225" s="2">
        <v>30423</v>
      </c>
      <c r="H225" s="2">
        <v>111618</v>
      </c>
      <c r="I225" s="2">
        <v>41016</v>
      </c>
      <c r="J225">
        <v>0</v>
      </c>
      <c r="K225">
        <v>152634</v>
      </c>
      <c r="L225">
        <v>265</v>
      </c>
      <c r="M225" s="2">
        <v>76</v>
      </c>
      <c r="N225" s="2">
        <v>341</v>
      </c>
      <c r="O225" s="2">
        <v>18460</v>
      </c>
      <c r="P225" s="2">
        <v>0</v>
      </c>
      <c r="Q225" s="2">
        <v>0</v>
      </c>
      <c r="R225" s="2">
        <v>0</v>
      </c>
      <c r="S225" s="2">
        <v>18801</v>
      </c>
      <c r="T225" s="2">
        <v>18725</v>
      </c>
      <c r="U225" s="2">
        <v>76</v>
      </c>
    </row>
    <row r="226" spans="1:21" x14ac:dyDescent="0.25">
      <c r="A226" s="1" t="s">
        <v>229</v>
      </c>
      <c r="B226" t="s">
        <v>671</v>
      </c>
      <c r="C226" s="1" t="s">
        <v>238</v>
      </c>
      <c r="D226" t="s">
        <v>565</v>
      </c>
      <c r="E226" s="2">
        <v>168431</v>
      </c>
      <c r="F226" s="2">
        <v>130692</v>
      </c>
      <c r="G226" s="2">
        <v>27992</v>
      </c>
      <c r="H226" s="2">
        <v>102700</v>
      </c>
      <c r="I226" s="2">
        <v>37739</v>
      </c>
      <c r="J226" s="2">
        <v>9006</v>
      </c>
      <c r="K226">
        <v>149445</v>
      </c>
      <c r="L226">
        <v>246</v>
      </c>
      <c r="M226" s="2">
        <v>71</v>
      </c>
      <c r="N226" s="2">
        <v>317</v>
      </c>
      <c r="O226" s="2">
        <v>17888</v>
      </c>
      <c r="P226" s="2">
        <v>0</v>
      </c>
      <c r="Q226" s="2">
        <v>914</v>
      </c>
      <c r="R226" s="2">
        <v>1023</v>
      </c>
      <c r="S226" s="2">
        <v>20142</v>
      </c>
      <c r="T226" s="2">
        <v>18134</v>
      </c>
      <c r="U226" s="2">
        <v>2008</v>
      </c>
    </row>
    <row r="227" spans="1:21" x14ac:dyDescent="0.25">
      <c r="A227" s="1" t="s">
        <v>229</v>
      </c>
      <c r="B227" t="s">
        <v>671</v>
      </c>
      <c r="C227" s="1" t="s">
        <v>239</v>
      </c>
      <c r="D227" t="s">
        <v>566</v>
      </c>
      <c r="E227" s="2">
        <v>265793</v>
      </c>
      <c r="F227" s="2">
        <v>206238</v>
      </c>
      <c r="G227" s="2">
        <v>44173</v>
      </c>
      <c r="H227" s="2">
        <v>162065</v>
      </c>
      <c r="I227" s="2">
        <v>59555</v>
      </c>
      <c r="J227" s="2">
        <v>0</v>
      </c>
      <c r="K227">
        <v>221620</v>
      </c>
      <c r="L227">
        <v>386</v>
      </c>
      <c r="M227" s="2">
        <v>112</v>
      </c>
      <c r="N227" s="2">
        <v>498</v>
      </c>
      <c r="O227" s="2">
        <v>26803</v>
      </c>
      <c r="P227" s="2">
        <v>0</v>
      </c>
      <c r="Q227" s="2">
        <v>9529</v>
      </c>
      <c r="R227" s="2">
        <v>10667</v>
      </c>
      <c r="S227" s="2">
        <v>47497</v>
      </c>
      <c r="T227" s="2">
        <v>27189</v>
      </c>
      <c r="U227" s="2">
        <v>20308</v>
      </c>
    </row>
    <row r="228" spans="1:21" x14ac:dyDescent="0.25">
      <c r="A228" s="1" t="s">
        <v>229</v>
      </c>
      <c r="B228" t="s">
        <v>671</v>
      </c>
      <c r="C228" s="1" t="s">
        <v>240</v>
      </c>
      <c r="D228" t="s">
        <v>567</v>
      </c>
      <c r="E228" s="2">
        <v>222558</v>
      </c>
      <c r="F228" s="2">
        <v>172690</v>
      </c>
      <c r="G228" s="2">
        <v>36988</v>
      </c>
      <c r="H228" s="2">
        <v>135702</v>
      </c>
      <c r="I228" s="2">
        <v>49868</v>
      </c>
      <c r="J228">
        <v>0</v>
      </c>
      <c r="K228">
        <v>185570</v>
      </c>
      <c r="L228">
        <v>323</v>
      </c>
      <c r="M228" s="2">
        <v>93</v>
      </c>
      <c r="N228" s="2">
        <v>416</v>
      </c>
      <c r="O228" s="2">
        <v>22444</v>
      </c>
      <c r="P228" s="2">
        <v>0</v>
      </c>
      <c r="Q228" s="2">
        <v>1110</v>
      </c>
      <c r="R228" s="2">
        <v>1242</v>
      </c>
      <c r="S228" s="2">
        <v>25212</v>
      </c>
      <c r="T228" s="2">
        <v>22767</v>
      </c>
      <c r="U228" s="2">
        <v>2445</v>
      </c>
    </row>
    <row r="229" spans="1:21" x14ac:dyDescent="0.25">
      <c r="A229" s="1" t="s">
        <v>229</v>
      </c>
      <c r="B229" t="s">
        <v>671</v>
      </c>
      <c r="C229" s="1" t="s">
        <v>241</v>
      </c>
      <c r="D229" t="s">
        <v>568</v>
      </c>
      <c r="E229" s="2">
        <v>193682</v>
      </c>
      <c r="F229" s="2">
        <v>150285</v>
      </c>
      <c r="G229" s="2">
        <v>32188</v>
      </c>
      <c r="H229" s="2">
        <v>118097</v>
      </c>
      <c r="I229" s="2">
        <v>43397</v>
      </c>
      <c r="J229">
        <v>0</v>
      </c>
      <c r="K229">
        <v>161494</v>
      </c>
      <c r="L229">
        <v>282</v>
      </c>
      <c r="M229" s="2">
        <v>81</v>
      </c>
      <c r="N229" s="2">
        <v>363</v>
      </c>
      <c r="O229" s="2">
        <v>19532</v>
      </c>
      <c r="P229" s="2">
        <v>0</v>
      </c>
      <c r="Q229" s="2">
        <v>457</v>
      </c>
      <c r="R229" s="2">
        <v>511</v>
      </c>
      <c r="S229" s="2">
        <v>20863</v>
      </c>
      <c r="T229" s="2">
        <v>19814</v>
      </c>
      <c r="U229" s="2">
        <v>1049</v>
      </c>
    </row>
    <row r="230" spans="1:21" x14ac:dyDescent="0.25">
      <c r="A230" s="1" t="s">
        <v>229</v>
      </c>
      <c r="B230" t="s">
        <v>671</v>
      </c>
      <c r="C230" s="1" t="s">
        <v>242</v>
      </c>
      <c r="D230" t="s">
        <v>569</v>
      </c>
      <c r="E230" s="2">
        <v>237334</v>
      </c>
      <c r="F230" s="2">
        <v>184155</v>
      </c>
      <c r="G230" s="2">
        <v>39443</v>
      </c>
      <c r="H230" s="2">
        <v>144712</v>
      </c>
      <c r="I230" s="2">
        <v>53179</v>
      </c>
      <c r="J230" s="2">
        <v>0</v>
      </c>
      <c r="K230">
        <v>197891</v>
      </c>
      <c r="L230">
        <v>345</v>
      </c>
      <c r="M230" s="2">
        <v>100</v>
      </c>
      <c r="N230" s="2">
        <v>445</v>
      </c>
      <c r="O230" s="2">
        <v>23934</v>
      </c>
      <c r="P230" s="2">
        <v>0</v>
      </c>
      <c r="Q230" s="2">
        <v>1501</v>
      </c>
      <c r="R230" s="2">
        <v>1680</v>
      </c>
      <c r="S230" s="2">
        <v>27560</v>
      </c>
      <c r="T230" s="2">
        <v>24279</v>
      </c>
      <c r="U230" s="2">
        <v>3281</v>
      </c>
    </row>
    <row r="231" spans="1:21" x14ac:dyDescent="0.25">
      <c r="A231" s="1" t="s">
        <v>229</v>
      </c>
      <c r="B231" t="s">
        <v>671</v>
      </c>
      <c r="C231" s="1" t="s">
        <v>243</v>
      </c>
      <c r="D231" t="s">
        <v>570</v>
      </c>
      <c r="E231" s="2">
        <v>883388</v>
      </c>
      <c r="F231" s="2">
        <v>685452</v>
      </c>
      <c r="G231" s="2">
        <v>146813</v>
      </c>
      <c r="H231" s="2">
        <v>538639</v>
      </c>
      <c r="I231" s="2">
        <v>197936</v>
      </c>
      <c r="J231" s="2">
        <v>0</v>
      </c>
      <c r="K231" s="2">
        <v>736575</v>
      </c>
      <c r="L231" s="2">
        <v>1286</v>
      </c>
      <c r="M231" s="2">
        <v>372</v>
      </c>
      <c r="N231" s="2">
        <v>1658</v>
      </c>
      <c r="O231" s="2">
        <v>89084</v>
      </c>
      <c r="P231" s="2">
        <v>0</v>
      </c>
      <c r="Q231" s="2">
        <v>32831</v>
      </c>
      <c r="R231" s="2">
        <v>36749</v>
      </c>
      <c r="S231" s="2">
        <v>160322</v>
      </c>
      <c r="T231" s="2">
        <v>90370</v>
      </c>
      <c r="U231" s="2">
        <v>69952</v>
      </c>
    </row>
    <row r="232" spans="1:21" x14ac:dyDescent="0.25">
      <c r="A232" s="1" t="s">
        <v>229</v>
      </c>
      <c r="B232" t="s">
        <v>671</v>
      </c>
      <c r="C232" s="1" t="s">
        <v>244</v>
      </c>
      <c r="D232" t="s">
        <v>571</v>
      </c>
      <c r="E232" s="2">
        <v>222277</v>
      </c>
      <c r="F232" s="2">
        <v>172472</v>
      </c>
      <c r="G232" s="2">
        <v>36941</v>
      </c>
      <c r="H232" s="2">
        <v>135531</v>
      </c>
      <c r="I232" s="2">
        <v>49805</v>
      </c>
      <c r="J232" s="2">
        <v>13100</v>
      </c>
      <c r="K232">
        <v>198436</v>
      </c>
      <c r="L232">
        <v>323</v>
      </c>
      <c r="M232" s="2">
        <v>93</v>
      </c>
      <c r="N232" s="2">
        <v>416</v>
      </c>
      <c r="O232" s="2">
        <v>22583</v>
      </c>
      <c r="P232" s="2">
        <v>0</v>
      </c>
      <c r="Q232" s="2">
        <v>2415</v>
      </c>
      <c r="R232" s="2">
        <v>2703</v>
      </c>
      <c r="S232" s="2">
        <v>28117</v>
      </c>
      <c r="T232" s="2">
        <v>22906</v>
      </c>
      <c r="U232" s="2">
        <v>5211</v>
      </c>
    </row>
    <row r="233" spans="1:21" x14ac:dyDescent="0.25">
      <c r="A233" s="1" t="s">
        <v>229</v>
      </c>
      <c r="B233" t="s">
        <v>671</v>
      </c>
      <c r="C233" s="1" t="s">
        <v>245</v>
      </c>
      <c r="D233" t="s">
        <v>572</v>
      </c>
      <c r="E233" s="2">
        <v>180735</v>
      </c>
      <c r="F233" s="2">
        <v>140238</v>
      </c>
      <c r="G233" s="2">
        <v>30037</v>
      </c>
      <c r="H233" s="2">
        <v>110201</v>
      </c>
      <c r="I233" s="2">
        <v>40497</v>
      </c>
      <c r="J233" s="2">
        <v>2737</v>
      </c>
      <c r="K233">
        <v>153435</v>
      </c>
      <c r="L233">
        <v>262</v>
      </c>
      <c r="M233" s="2">
        <v>76</v>
      </c>
      <c r="N233" s="2">
        <v>338</v>
      </c>
      <c r="O233" s="2">
        <v>18497</v>
      </c>
      <c r="P233" s="2">
        <v>0</v>
      </c>
      <c r="Q233" s="2">
        <v>849</v>
      </c>
      <c r="R233" s="2">
        <v>950</v>
      </c>
      <c r="S233" s="2">
        <v>20634</v>
      </c>
      <c r="T233" s="2">
        <v>18759</v>
      </c>
      <c r="U233" s="2">
        <v>1875</v>
      </c>
    </row>
    <row r="234" spans="1:21" x14ac:dyDescent="0.25">
      <c r="A234" s="1" t="s">
        <v>229</v>
      </c>
      <c r="B234" t="s">
        <v>671</v>
      </c>
      <c r="C234" s="1" t="s">
        <v>246</v>
      </c>
      <c r="D234" t="s">
        <v>573</v>
      </c>
      <c r="E234" s="2">
        <v>620106</v>
      </c>
      <c r="F234" s="2">
        <v>481162</v>
      </c>
      <c r="G234" s="2">
        <v>103057</v>
      </c>
      <c r="H234" s="2">
        <v>378105</v>
      </c>
      <c r="I234" s="2">
        <v>138944</v>
      </c>
      <c r="J234" s="2">
        <v>0</v>
      </c>
      <c r="K234" s="2">
        <v>517049</v>
      </c>
      <c r="L234">
        <v>903</v>
      </c>
      <c r="M234" s="2">
        <v>260</v>
      </c>
      <c r="N234" s="2">
        <v>1163</v>
      </c>
      <c r="O234" s="2">
        <v>62534</v>
      </c>
      <c r="P234" s="2">
        <v>0</v>
      </c>
      <c r="Q234" s="2">
        <v>36943</v>
      </c>
      <c r="R234" s="2">
        <v>41352</v>
      </c>
      <c r="S234" s="2">
        <v>141992</v>
      </c>
      <c r="T234" s="2">
        <v>63437</v>
      </c>
      <c r="U234" s="2">
        <v>78555</v>
      </c>
    </row>
    <row r="235" spans="1:21" x14ac:dyDescent="0.25">
      <c r="A235" s="1" t="s">
        <v>229</v>
      </c>
      <c r="B235" t="s">
        <v>671</v>
      </c>
      <c r="C235" s="1" t="s">
        <v>43</v>
      </c>
      <c r="D235" t="s">
        <v>574</v>
      </c>
      <c r="E235" s="2">
        <v>371354</v>
      </c>
      <c r="F235" s="2">
        <v>288147</v>
      </c>
      <c r="G235" s="2">
        <v>61716</v>
      </c>
      <c r="H235" s="2">
        <v>226431</v>
      </c>
      <c r="I235" s="2">
        <v>83207</v>
      </c>
      <c r="J235">
        <v>0</v>
      </c>
      <c r="K235">
        <v>309638</v>
      </c>
      <c r="L235">
        <v>541</v>
      </c>
      <c r="M235" s="2">
        <v>156</v>
      </c>
      <c r="N235" s="2">
        <v>697</v>
      </c>
      <c r="O235" s="2">
        <v>37449</v>
      </c>
      <c r="P235" s="2">
        <v>0</v>
      </c>
      <c r="Q235" s="2">
        <v>1501</v>
      </c>
      <c r="R235" s="2">
        <v>1680</v>
      </c>
      <c r="S235" s="2">
        <v>41327</v>
      </c>
      <c r="T235" s="2">
        <v>37990</v>
      </c>
      <c r="U235" s="2">
        <v>3337</v>
      </c>
    </row>
    <row r="236" spans="1:21" x14ac:dyDescent="0.25">
      <c r="A236" s="1" t="s">
        <v>229</v>
      </c>
      <c r="B236" t="s">
        <v>671</v>
      </c>
      <c r="C236" s="1" t="s">
        <v>247</v>
      </c>
      <c r="D236" t="s">
        <v>575</v>
      </c>
      <c r="E236" s="2">
        <v>143788</v>
      </c>
      <c r="F236" s="2">
        <v>111570</v>
      </c>
      <c r="G236" s="2">
        <v>23897</v>
      </c>
      <c r="H236" s="2">
        <v>87673</v>
      </c>
      <c r="I236" s="2">
        <v>32218</v>
      </c>
      <c r="J236" s="2">
        <v>0</v>
      </c>
      <c r="K236">
        <v>119891</v>
      </c>
      <c r="L236">
        <v>210</v>
      </c>
      <c r="M236" s="2">
        <v>60</v>
      </c>
      <c r="N236" s="2">
        <v>270</v>
      </c>
      <c r="O236" s="2">
        <v>14500</v>
      </c>
      <c r="P236" s="2">
        <v>0</v>
      </c>
      <c r="Q236" s="2">
        <v>11814</v>
      </c>
      <c r="R236" s="2">
        <v>13224</v>
      </c>
      <c r="S236" s="2">
        <v>39808</v>
      </c>
      <c r="T236" s="2">
        <v>14710</v>
      </c>
      <c r="U236" s="2">
        <v>25098</v>
      </c>
    </row>
    <row r="237" spans="1:21" x14ac:dyDescent="0.25">
      <c r="A237" s="1" t="s">
        <v>229</v>
      </c>
      <c r="B237" t="s">
        <v>671</v>
      </c>
      <c r="C237" s="1" t="s">
        <v>248</v>
      </c>
      <c r="D237" t="s">
        <v>576</v>
      </c>
      <c r="E237" s="2">
        <v>155562</v>
      </c>
      <c r="F237" s="2">
        <v>120706</v>
      </c>
      <c r="G237" s="2">
        <v>25853</v>
      </c>
      <c r="H237" s="2">
        <v>94853</v>
      </c>
      <c r="I237" s="2">
        <v>34856</v>
      </c>
      <c r="J237" s="2">
        <v>242</v>
      </c>
      <c r="K237">
        <v>129951</v>
      </c>
      <c r="L237">
        <v>226</v>
      </c>
      <c r="M237" s="2">
        <v>66</v>
      </c>
      <c r="N237" s="2">
        <v>292</v>
      </c>
      <c r="O237" s="2">
        <v>15707</v>
      </c>
      <c r="P237" s="2">
        <v>0</v>
      </c>
      <c r="Q237" s="2">
        <v>0</v>
      </c>
      <c r="R237" s="2">
        <v>0</v>
      </c>
      <c r="S237" s="2">
        <v>15999</v>
      </c>
      <c r="T237" s="2">
        <v>15933</v>
      </c>
      <c r="U237" s="2">
        <v>66</v>
      </c>
    </row>
    <row r="238" spans="1:21" x14ac:dyDescent="0.25">
      <c r="A238" s="1" t="s">
        <v>229</v>
      </c>
      <c r="B238" t="s">
        <v>671</v>
      </c>
      <c r="C238" s="1" t="s">
        <v>249</v>
      </c>
      <c r="D238" t="s">
        <v>577</v>
      </c>
      <c r="E238" s="2">
        <v>304920</v>
      </c>
      <c r="F238" s="2">
        <v>236598</v>
      </c>
      <c r="G238" s="2">
        <v>50675</v>
      </c>
      <c r="H238" s="2">
        <v>185923</v>
      </c>
      <c r="I238" s="2">
        <v>68322</v>
      </c>
      <c r="J238" s="2">
        <v>11651</v>
      </c>
      <c r="K238">
        <v>265896</v>
      </c>
      <c r="L238">
        <v>444</v>
      </c>
      <c r="M238" s="2">
        <v>129</v>
      </c>
      <c r="N238" s="2">
        <v>573</v>
      </c>
      <c r="O238" s="2">
        <v>31489</v>
      </c>
      <c r="P238" s="2">
        <v>0</v>
      </c>
      <c r="Q238" s="2">
        <v>28654</v>
      </c>
      <c r="R238" s="2">
        <v>32073</v>
      </c>
      <c r="S238" s="2">
        <v>92789</v>
      </c>
      <c r="T238" s="2">
        <v>31933</v>
      </c>
      <c r="U238" s="2">
        <v>60856</v>
      </c>
    </row>
    <row r="239" spans="1:21" x14ac:dyDescent="0.25">
      <c r="A239" s="1" t="s">
        <v>229</v>
      </c>
      <c r="B239" t="s">
        <v>671</v>
      </c>
      <c r="C239" s="1" t="s">
        <v>250</v>
      </c>
      <c r="D239" t="s">
        <v>578</v>
      </c>
      <c r="E239" s="2">
        <v>94445</v>
      </c>
      <c r="F239" s="2">
        <v>73284</v>
      </c>
      <c r="G239" s="2">
        <v>15696</v>
      </c>
      <c r="H239" s="2">
        <v>57588</v>
      </c>
      <c r="I239" s="2">
        <v>21161</v>
      </c>
      <c r="J239" s="2">
        <v>10514</v>
      </c>
      <c r="K239">
        <v>89263</v>
      </c>
      <c r="L239">
        <v>138</v>
      </c>
      <c r="M239" s="2">
        <v>40</v>
      </c>
      <c r="N239" s="2">
        <v>178</v>
      </c>
      <c r="O239" s="2">
        <v>9560</v>
      </c>
      <c r="P239" s="2">
        <v>0</v>
      </c>
      <c r="Q239" s="2">
        <v>65</v>
      </c>
      <c r="R239" s="2">
        <v>73</v>
      </c>
      <c r="S239" s="2">
        <v>9876</v>
      </c>
      <c r="T239" s="2">
        <v>9698</v>
      </c>
      <c r="U239" s="2">
        <v>178</v>
      </c>
    </row>
    <row r="240" spans="1:21" x14ac:dyDescent="0.25">
      <c r="A240" s="1" t="s">
        <v>229</v>
      </c>
      <c r="B240" t="s">
        <v>671</v>
      </c>
      <c r="C240" s="1" t="s">
        <v>251</v>
      </c>
      <c r="D240" t="s">
        <v>579</v>
      </c>
      <c r="E240" s="2">
        <v>574103</v>
      </c>
      <c r="F240" s="2">
        <v>445467</v>
      </c>
      <c r="G240" s="2">
        <v>95412</v>
      </c>
      <c r="H240" s="2">
        <v>350055</v>
      </c>
      <c r="I240" s="2">
        <v>128636</v>
      </c>
      <c r="J240" s="2">
        <v>0</v>
      </c>
      <c r="K240" s="2">
        <v>478691</v>
      </c>
      <c r="L240">
        <v>836</v>
      </c>
      <c r="M240" s="2">
        <v>242</v>
      </c>
      <c r="N240" s="2">
        <v>1078</v>
      </c>
      <c r="O240" s="2">
        <v>57895</v>
      </c>
      <c r="P240" s="2">
        <v>0</v>
      </c>
      <c r="Q240" s="2">
        <v>3329</v>
      </c>
      <c r="R240" s="2">
        <v>3726</v>
      </c>
      <c r="S240" s="2">
        <v>66028</v>
      </c>
      <c r="T240" s="2">
        <v>58731</v>
      </c>
      <c r="U240" s="2">
        <v>7297</v>
      </c>
    </row>
    <row r="241" spans="1:21" x14ac:dyDescent="0.25">
      <c r="A241" s="1" t="s">
        <v>229</v>
      </c>
      <c r="B241" t="s">
        <v>671</v>
      </c>
      <c r="C241" s="1" t="s">
        <v>252</v>
      </c>
      <c r="D241" t="s">
        <v>580</v>
      </c>
      <c r="E241" s="2">
        <v>461820</v>
      </c>
      <c r="F241" s="2">
        <v>358342</v>
      </c>
      <c r="G241" s="2">
        <v>76751</v>
      </c>
      <c r="H241" s="2">
        <v>281591</v>
      </c>
      <c r="I241" s="2">
        <v>103478</v>
      </c>
      <c r="J241">
        <v>0</v>
      </c>
      <c r="K241">
        <v>385069</v>
      </c>
      <c r="L241">
        <v>671</v>
      </c>
      <c r="M241" s="2">
        <v>193</v>
      </c>
      <c r="N241" s="2">
        <v>864</v>
      </c>
      <c r="O241" s="2">
        <v>46571</v>
      </c>
      <c r="P241" s="2">
        <v>0</v>
      </c>
      <c r="Q241" s="2">
        <v>11292</v>
      </c>
      <c r="R241" s="2">
        <v>12639</v>
      </c>
      <c r="S241" s="2">
        <v>71366</v>
      </c>
      <c r="T241" s="2">
        <v>47242</v>
      </c>
      <c r="U241" s="2">
        <v>24124</v>
      </c>
    </row>
    <row r="242" spans="1:21" x14ac:dyDescent="0.25">
      <c r="A242" s="1" t="s">
        <v>229</v>
      </c>
      <c r="B242" t="s">
        <v>671</v>
      </c>
      <c r="C242" s="1" t="s">
        <v>253</v>
      </c>
      <c r="D242" t="s">
        <v>581</v>
      </c>
      <c r="E242" s="2">
        <v>267824</v>
      </c>
      <c r="F242" s="2">
        <v>207814</v>
      </c>
      <c r="G242" s="2">
        <v>44511</v>
      </c>
      <c r="H242" s="2">
        <v>163303</v>
      </c>
      <c r="I242" s="2">
        <v>60010</v>
      </c>
      <c r="J242" s="2">
        <v>0</v>
      </c>
      <c r="K242">
        <v>223313</v>
      </c>
      <c r="L242">
        <v>389</v>
      </c>
      <c r="M242" s="2">
        <v>113</v>
      </c>
      <c r="N242" s="2">
        <v>502</v>
      </c>
      <c r="O242" s="2">
        <v>27008</v>
      </c>
      <c r="P242" s="2">
        <v>0</v>
      </c>
      <c r="Q242" s="2">
        <v>1371</v>
      </c>
      <c r="R242" s="2">
        <v>1534</v>
      </c>
      <c r="S242" s="2">
        <v>30415</v>
      </c>
      <c r="T242" s="2">
        <v>27397</v>
      </c>
      <c r="U242" s="2">
        <v>3018</v>
      </c>
    </row>
    <row r="243" spans="1:21" x14ac:dyDescent="0.25">
      <c r="A243" s="1" t="s">
        <v>229</v>
      </c>
      <c r="B243" t="s">
        <v>671</v>
      </c>
      <c r="C243" s="1" t="s">
        <v>254</v>
      </c>
      <c r="D243" t="s">
        <v>582</v>
      </c>
      <c r="E243" s="2">
        <v>623183</v>
      </c>
      <c r="F243" s="2">
        <v>483549</v>
      </c>
      <c r="G243" s="2">
        <v>103568</v>
      </c>
      <c r="H243" s="2">
        <v>379981</v>
      </c>
      <c r="I243" s="2">
        <v>139634</v>
      </c>
      <c r="J243" s="2">
        <v>0</v>
      </c>
      <c r="K243" s="2">
        <v>519615</v>
      </c>
      <c r="L243">
        <v>905</v>
      </c>
      <c r="M243" s="2">
        <v>262</v>
      </c>
      <c r="N243" s="2">
        <v>1167</v>
      </c>
      <c r="O243" s="2">
        <v>62844</v>
      </c>
      <c r="P243" s="2">
        <v>0</v>
      </c>
      <c r="Q243" s="2">
        <v>48235</v>
      </c>
      <c r="R243" s="2">
        <v>53991</v>
      </c>
      <c r="S243" s="2">
        <v>166237</v>
      </c>
      <c r="T243" s="2">
        <v>63749</v>
      </c>
      <c r="U243" s="2">
        <v>102488</v>
      </c>
    </row>
    <row r="244" spans="1:21" x14ac:dyDescent="0.25">
      <c r="A244" s="1" t="s">
        <v>229</v>
      </c>
      <c r="B244" t="s">
        <v>671</v>
      </c>
      <c r="C244" s="1" t="s">
        <v>255</v>
      </c>
      <c r="D244" t="s">
        <v>583</v>
      </c>
      <c r="E244" s="2">
        <v>6014026</v>
      </c>
      <c r="F244" s="2">
        <v>4666492</v>
      </c>
      <c r="G244" s="2">
        <v>999488</v>
      </c>
      <c r="H244" s="2">
        <v>3667004</v>
      </c>
      <c r="I244" s="2">
        <v>1347534</v>
      </c>
      <c r="J244" s="2">
        <v>0</v>
      </c>
      <c r="K244" s="2">
        <v>5014538</v>
      </c>
      <c r="L244" s="2">
        <v>8744</v>
      </c>
      <c r="M244" s="2">
        <v>2525</v>
      </c>
      <c r="N244" s="2">
        <v>11269</v>
      </c>
      <c r="O244" s="2">
        <v>606475</v>
      </c>
      <c r="P244" s="2">
        <v>0</v>
      </c>
      <c r="Q244" s="2">
        <v>109588</v>
      </c>
      <c r="R244" s="2">
        <v>122668</v>
      </c>
      <c r="S244" s="2">
        <v>850000</v>
      </c>
      <c r="T244" s="2">
        <v>615219</v>
      </c>
      <c r="U244" s="2">
        <v>234781</v>
      </c>
    </row>
    <row r="245" spans="1:21" x14ac:dyDescent="0.25">
      <c r="A245" s="1" t="s">
        <v>229</v>
      </c>
      <c r="B245" t="s">
        <v>671</v>
      </c>
      <c r="C245" s="1" t="s">
        <v>256</v>
      </c>
      <c r="D245" t="s">
        <v>584</v>
      </c>
      <c r="E245" s="2">
        <v>244174</v>
      </c>
      <c r="F245" s="2">
        <v>189463</v>
      </c>
      <c r="G245" s="2">
        <v>40580</v>
      </c>
      <c r="H245" s="2">
        <v>148883</v>
      </c>
      <c r="I245" s="2">
        <v>54711</v>
      </c>
      <c r="J245" s="2">
        <v>0</v>
      </c>
      <c r="K245">
        <v>203594</v>
      </c>
      <c r="L245">
        <v>356</v>
      </c>
      <c r="M245" s="2">
        <v>103</v>
      </c>
      <c r="N245" s="2">
        <v>459</v>
      </c>
      <c r="O245" s="2">
        <v>24623</v>
      </c>
      <c r="P245" s="2">
        <v>0</v>
      </c>
      <c r="Q245" s="2">
        <v>5548</v>
      </c>
      <c r="R245" s="2">
        <v>6210</v>
      </c>
      <c r="S245" s="2">
        <v>36840</v>
      </c>
      <c r="T245" s="2">
        <v>24979</v>
      </c>
      <c r="U245" s="2">
        <v>11861</v>
      </c>
    </row>
    <row r="246" spans="1:21" x14ac:dyDescent="0.25">
      <c r="A246" s="1" t="s">
        <v>229</v>
      </c>
      <c r="B246" t="s">
        <v>671</v>
      </c>
      <c r="C246" s="1" t="s">
        <v>257</v>
      </c>
      <c r="D246" t="s">
        <v>585</v>
      </c>
      <c r="E246" s="2">
        <v>367733</v>
      </c>
      <c r="F246" s="2">
        <v>285337</v>
      </c>
      <c r="G246" s="2">
        <v>61114</v>
      </c>
      <c r="H246" s="2">
        <v>224223</v>
      </c>
      <c r="I246" s="2">
        <v>82396</v>
      </c>
      <c r="J246">
        <v>0</v>
      </c>
      <c r="K246">
        <v>306619</v>
      </c>
      <c r="L246">
        <v>535</v>
      </c>
      <c r="M246" s="2">
        <v>155</v>
      </c>
      <c r="N246" s="2">
        <v>690</v>
      </c>
      <c r="O246" s="2">
        <v>37083</v>
      </c>
      <c r="P246" s="2">
        <v>0</v>
      </c>
      <c r="Q246" s="2">
        <v>10770</v>
      </c>
      <c r="R246" s="2">
        <v>12055</v>
      </c>
      <c r="S246" s="2">
        <v>60598</v>
      </c>
      <c r="T246" s="2">
        <v>37618</v>
      </c>
      <c r="U246" s="2">
        <v>22980</v>
      </c>
    </row>
    <row r="247" spans="1:21" x14ac:dyDescent="0.25">
      <c r="A247" s="1" t="s">
        <v>229</v>
      </c>
      <c r="B247" t="s">
        <v>671</v>
      </c>
      <c r="C247" s="1" t="s">
        <v>258</v>
      </c>
      <c r="D247" t="s">
        <v>586</v>
      </c>
      <c r="E247" s="2">
        <v>234314</v>
      </c>
      <c r="F247" s="2">
        <v>181812</v>
      </c>
      <c r="G247" s="2">
        <v>38941</v>
      </c>
      <c r="H247" s="2">
        <v>142871</v>
      </c>
      <c r="I247" s="2">
        <v>52502</v>
      </c>
      <c r="J247" s="2">
        <v>7908</v>
      </c>
      <c r="K247">
        <v>203281</v>
      </c>
      <c r="L247">
        <v>339</v>
      </c>
      <c r="M247" s="2">
        <v>99</v>
      </c>
      <c r="N247" s="2">
        <v>438</v>
      </c>
      <c r="O247" s="2">
        <v>23841</v>
      </c>
      <c r="P247" s="2">
        <v>0</v>
      </c>
      <c r="Q247" s="2">
        <v>131</v>
      </c>
      <c r="R247" s="2">
        <v>146</v>
      </c>
      <c r="S247" s="2">
        <v>24556</v>
      </c>
      <c r="T247" s="2">
        <v>24180</v>
      </c>
      <c r="U247" s="2">
        <v>376</v>
      </c>
    </row>
    <row r="248" spans="1:21" x14ac:dyDescent="0.25">
      <c r="A248" s="1" t="s">
        <v>229</v>
      </c>
      <c r="B248" t="s">
        <v>671</v>
      </c>
      <c r="C248" s="1" t="s">
        <v>259</v>
      </c>
      <c r="D248" t="s">
        <v>587</v>
      </c>
      <c r="E248" s="2">
        <v>299350</v>
      </c>
      <c r="F248" s="2">
        <v>232276</v>
      </c>
      <c r="G248" s="2">
        <v>49750</v>
      </c>
      <c r="H248" s="2">
        <v>182526</v>
      </c>
      <c r="I248" s="2">
        <v>67074</v>
      </c>
      <c r="J248" s="2">
        <v>16083</v>
      </c>
      <c r="K248">
        <v>265683</v>
      </c>
      <c r="L248">
        <v>436</v>
      </c>
      <c r="M248" s="2">
        <v>126</v>
      </c>
      <c r="N248" s="2">
        <v>562</v>
      </c>
      <c r="O248" s="2">
        <v>30187</v>
      </c>
      <c r="P248" s="2">
        <v>0</v>
      </c>
      <c r="Q248" s="2">
        <v>6201</v>
      </c>
      <c r="R248" s="2">
        <v>6941</v>
      </c>
      <c r="S248" s="2">
        <v>43891</v>
      </c>
      <c r="T248" s="2">
        <v>30623</v>
      </c>
      <c r="U248" s="2">
        <v>13268</v>
      </c>
    </row>
    <row r="249" spans="1:21" x14ac:dyDescent="0.25">
      <c r="A249" s="1" t="s">
        <v>229</v>
      </c>
      <c r="B249" t="s">
        <v>671</v>
      </c>
      <c r="C249" s="1" t="s">
        <v>260</v>
      </c>
      <c r="D249" t="s">
        <v>588</v>
      </c>
      <c r="E249" s="2">
        <v>206246</v>
      </c>
      <c r="F249" s="2">
        <v>160033</v>
      </c>
      <c r="G249" s="2">
        <v>34277</v>
      </c>
      <c r="H249" s="2">
        <v>125756</v>
      </c>
      <c r="I249" s="2">
        <v>46213</v>
      </c>
      <c r="J249" s="2">
        <v>10047</v>
      </c>
      <c r="K249">
        <v>182016</v>
      </c>
      <c r="L249">
        <v>301</v>
      </c>
      <c r="M249" s="2">
        <v>87</v>
      </c>
      <c r="N249" s="2">
        <v>388</v>
      </c>
      <c r="O249" s="2">
        <v>21805</v>
      </c>
      <c r="P249" s="2">
        <v>0</v>
      </c>
      <c r="Q249" s="2">
        <v>718</v>
      </c>
      <c r="R249" s="2">
        <v>804</v>
      </c>
      <c r="S249" s="2">
        <v>23715</v>
      </c>
      <c r="T249" s="2">
        <v>22106</v>
      </c>
      <c r="U249" s="2">
        <v>1609</v>
      </c>
    </row>
    <row r="250" spans="1:21" x14ac:dyDescent="0.25">
      <c r="A250" s="1" t="s">
        <v>229</v>
      </c>
      <c r="B250" t="s">
        <v>671</v>
      </c>
      <c r="C250" s="1" t="s">
        <v>261</v>
      </c>
      <c r="D250" t="s">
        <v>589</v>
      </c>
      <c r="E250" s="2">
        <v>68508</v>
      </c>
      <c r="F250" s="2">
        <v>53158</v>
      </c>
      <c r="G250" s="2">
        <v>11385</v>
      </c>
      <c r="H250" s="2">
        <v>41773</v>
      </c>
      <c r="I250" s="2">
        <v>15350</v>
      </c>
      <c r="J250" s="2">
        <v>6877</v>
      </c>
      <c r="K250">
        <v>64000</v>
      </c>
      <c r="L250">
        <v>99</v>
      </c>
      <c r="M250" s="2">
        <v>29</v>
      </c>
      <c r="N250" s="2">
        <v>128</v>
      </c>
      <c r="O250" s="2">
        <v>7600</v>
      </c>
      <c r="P250" s="2">
        <v>0</v>
      </c>
      <c r="Q250" s="2">
        <v>0</v>
      </c>
      <c r="R250" s="2">
        <v>0</v>
      </c>
      <c r="S250" s="2">
        <v>7728</v>
      </c>
      <c r="T250" s="2">
        <v>7699</v>
      </c>
      <c r="U250" s="2">
        <v>29</v>
      </c>
    </row>
    <row r="251" spans="1:21" x14ac:dyDescent="0.25">
      <c r="A251" s="1" t="s">
        <v>229</v>
      </c>
      <c r="B251" t="s">
        <v>671</v>
      </c>
      <c r="C251" s="1" t="s">
        <v>262</v>
      </c>
      <c r="D251" t="s">
        <v>590</v>
      </c>
      <c r="E251" s="2">
        <v>215085</v>
      </c>
      <c r="F251" s="2">
        <v>166892</v>
      </c>
      <c r="G251" s="2">
        <v>35746</v>
      </c>
      <c r="H251" s="2">
        <v>131146</v>
      </c>
      <c r="I251" s="2">
        <v>48193</v>
      </c>
      <c r="J251" s="2">
        <v>0</v>
      </c>
      <c r="K251">
        <v>179339</v>
      </c>
      <c r="L251">
        <v>312</v>
      </c>
      <c r="M251" s="2">
        <v>90</v>
      </c>
      <c r="N251" s="2">
        <v>402</v>
      </c>
      <c r="O251" s="2">
        <v>21690</v>
      </c>
      <c r="P251" s="2">
        <v>0</v>
      </c>
      <c r="Q251" s="2">
        <v>326</v>
      </c>
      <c r="R251" s="2">
        <v>365</v>
      </c>
      <c r="S251" s="2">
        <v>22783</v>
      </c>
      <c r="T251" s="2">
        <v>22002</v>
      </c>
      <c r="U251" s="2">
        <v>781</v>
      </c>
    </row>
    <row r="252" spans="1:21" x14ac:dyDescent="0.25">
      <c r="A252" s="1" t="s">
        <v>263</v>
      </c>
      <c r="B252" t="s">
        <v>672</v>
      </c>
      <c r="C252" s="1" t="s">
        <v>264</v>
      </c>
      <c r="D252" t="s">
        <v>591</v>
      </c>
      <c r="E252" s="2">
        <v>311331</v>
      </c>
      <c r="F252" s="2">
        <v>246126</v>
      </c>
      <c r="G252" s="2">
        <v>52716</v>
      </c>
      <c r="H252" s="2">
        <v>193410</v>
      </c>
      <c r="I252" s="2">
        <v>65205</v>
      </c>
      <c r="J252">
        <v>0</v>
      </c>
      <c r="K252">
        <v>258615</v>
      </c>
      <c r="L252">
        <v>502</v>
      </c>
      <c r="M252" s="2">
        <v>133</v>
      </c>
      <c r="N252" s="2">
        <v>635</v>
      </c>
      <c r="O252" s="2">
        <v>31970</v>
      </c>
      <c r="P252" s="2">
        <v>0</v>
      </c>
      <c r="Q252" s="2">
        <v>195</v>
      </c>
      <c r="R252" s="2">
        <v>216</v>
      </c>
      <c r="S252" s="2">
        <v>33016</v>
      </c>
      <c r="T252" s="2">
        <v>32472</v>
      </c>
      <c r="U252" s="2">
        <v>544</v>
      </c>
    </row>
    <row r="253" spans="1:21" x14ac:dyDescent="0.25">
      <c r="A253" s="1" t="s">
        <v>263</v>
      </c>
      <c r="B253" t="s">
        <v>672</v>
      </c>
      <c r="C253" s="1" t="s">
        <v>265</v>
      </c>
      <c r="D253" t="s">
        <v>592</v>
      </c>
      <c r="E253" s="2">
        <v>597557</v>
      </c>
      <c r="F253" s="2">
        <v>472404</v>
      </c>
      <c r="G253" s="2">
        <v>101182</v>
      </c>
      <c r="H253" s="2">
        <v>371222</v>
      </c>
      <c r="I253" s="2">
        <v>125153</v>
      </c>
      <c r="J253" s="2">
        <v>0</v>
      </c>
      <c r="K253" s="2">
        <v>496375</v>
      </c>
      <c r="L253">
        <v>963</v>
      </c>
      <c r="M253" s="2">
        <v>255</v>
      </c>
      <c r="N253" s="2">
        <v>1218</v>
      </c>
      <c r="O253" s="2">
        <v>61361</v>
      </c>
      <c r="P253" s="2">
        <v>0</v>
      </c>
      <c r="Q253" s="2">
        <v>0</v>
      </c>
      <c r="R253" s="2">
        <v>0</v>
      </c>
      <c r="S253" s="2">
        <v>62579</v>
      </c>
      <c r="T253" s="2">
        <v>62324</v>
      </c>
      <c r="U253" s="2">
        <v>255</v>
      </c>
    </row>
    <row r="254" spans="1:21" x14ac:dyDescent="0.25">
      <c r="A254" s="1" t="s">
        <v>263</v>
      </c>
      <c r="B254" t="s">
        <v>672</v>
      </c>
      <c r="C254" s="1" t="s">
        <v>266</v>
      </c>
      <c r="D254" t="s">
        <v>593</v>
      </c>
      <c r="E254" s="2">
        <v>197392</v>
      </c>
      <c r="F254" s="2">
        <v>156050</v>
      </c>
      <c r="G254" s="2">
        <v>33423</v>
      </c>
      <c r="H254" s="2">
        <v>122627</v>
      </c>
      <c r="I254" s="2">
        <v>41342</v>
      </c>
      <c r="J254" s="2">
        <v>0</v>
      </c>
      <c r="K254">
        <v>163969</v>
      </c>
      <c r="L254">
        <v>317</v>
      </c>
      <c r="M254" s="2">
        <v>84</v>
      </c>
      <c r="N254" s="2">
        <v>401</v>
      </c>
      <c r="O254" s="2">
        <v>20270</v>
      </c>
      <c r="P254" s="2">
        <v>0</v>
      </c>
      <c r="Q254" s="2">
        <v>260</v>
      </c>
      <c r="R254" s="2">
        <v>287</v>
      </c>
      <c r="S254" s="2">
        <v>21218</v>
      </c>
      <c r="T254" s="2">
        <v>20587</v>
      </c>
      <c r="U254" s="2">
        <v>631</v>
      </c>
    </row>
    <row r="255" spans="1:21" x14ac:dyDescent="0.25">
      <c r="A255" s="1" t="s">
        <v>263</v>
      </c>
      <c r="B255" t="s">
        <v>672</v>
      </c>
      <c r="C255" s="1" t="s">
        <v>267</v>
      </c>
      <c r="D255" t="s">
        <v>594</v>
      </c>
      <c r="E255" s="2">
        <v>152810</v>
      </c>
      <c r="F255" s="2">
        <v>120805</v>
      </c>
      <c r="G255" s="2">
        <v>25874</v>
      </c>
      <c r="H255" s="2">
        <v>94931</v>
      </c>
      <c r="I255" s="2">
        <v>32005</v>
      </c>
      <c r="J255" s="2">
        <v>0</v>
      </c>
      <c r="K255">
        <v>126936</v>
      </c>
      <c r="L255">
        <v>246</v>
      </c>
      <c r="M255" s="2">
        <v>65</v>
      </c>
      <c r="N255" s="2">
        <v>311</v>
      </c>
      <c r="O255" s="2">
        <v>15692</v>
      </c>
      <c r="P255" s="2">
        <v>0</v>
      </c>
      <c r="Q255" s="2">
        <v>195</v>
      </c>
      <c r="R255" s="2">
        <v>216</v>
      </c>
      <c r="S255" s="2">
        <v>16414</v>
      </c>
      <c r="T255" s="2">
        <v>15938</v>
      </c>
      <c r="U255" s="2">
        <v>476</v>
      </c>
    </row>
    <row r="256" spans="1:21" x14ac:dyDescent="0.25">
      <c r="A256" s="1" t="s">
        <v>263</v>
      </c>
      <c r="B256" t="s">
        <v>672</v>
      </c>
      <c r="C256" s="1" t="s">
        <v>268</v>
      </c>
      <c r="D256" t="s">
        <v>269</v>
      </c>
      <c r="E256" s="2">
        <v>168007</v>
      </c>
      <c r="F256" s="2">
        <v>132819</v>
      </c>
      <c r="G256" s="2">
        <v>28448</v>
      </c>
      <c r="H256" s="2">
        <v>104371</v>
      </c>
      <c r="I256" s="2">
        <v>35188</v>
      </c>
      <c r="J256" s="2">
        <v>5064</v>
      </c>
      <c r="K256">
        <v>144623</v>
      </c>
      <c r="L256">
        <v>270</v>
      </c>
      <c r="M256" s="2">
        <v>72</v>
      </c>
      <c r="N256" s="2">
        <v>342</v>
      </c>
      <c r="O256" s="2">
        <v>17769</v>
      </c>
      <c r="P256" s="2">
        <v>0</v>
      </c>
      <c r="Q256" s="2">
        <v>130</v>
      </c>
      <c r="R256" s="2">
        <v>144</v>
      </c>
      <c r="S256" s="2">
        <v>18385</v>
      </c>
      <c r="T256" s="2">
        <v>18039</v>
      </c>
      <c r="U256" s="2">
        <v>346</v>
      </c>
    </row>
    <row r="257" spans="1:21" x14ac:dyDescent="0.25">
      <c r="A257" s="1" t="s">
        <v>263</v>
      </c>
      <c r="B257" t="s">
        <v>672</v>
      </c>
      <c r="C257" s="1" t="s">
        <v>270</v>
      </c>
      <c r="D257" t="s">
        <v>595</v>
      </c>
      <c r="E257" s="2">
        <v>248507</v>
      </c>
      <c r="F257" s="2">
        <v>196460</v>
      </c>
      <c r="G257" s="2">
        <v>42078</v>
      </c>
      <c r="H257" s="2">
        <v>154382</v>
      </c>
      <c r="I257" s="2">
        <v>52047</v>
      </c>
      <c r="J257" s="2">
        <v>9066</v>
      </c>
      <c r="K257">
        <v>215495</v>
      </c>
      <c r="L257">
        <v>403</v>
      </c>
      <c r="M257" s="2">
        <v>107</v>
      </c>
      <c r="N257" s="2">
        <v>510</v>
      </c>
      <c r="O257" s="2">
        <v>26451</v>
      </c>
      <c r="P257" s="2">
        <v>0</v>
      </c>
      <c r="Q257" s="2">
        <v>65</v>
      </c>
      <c r="R257" s="2">
        <v>72</v>
      </c>
      <c r="S257" s="2">
        <v>27098</v>
      </c>
      <c r="T257" s="2">
        <v>26854</v>
      </c>
      <c r="U257" s="2">
        <v>244</v>
      </c>
    </row>
    <row r="258" spans="1:21" x14ac:dyDescent="0.25">
      <c r="A258" s="1" t="s">
        <v>263</v>
      </c>
      <c r="B258" t="s">
        <v>672</v>
      </c>
      <c r="C258" s="1" t="s">
        <v>271</v>
      </c>
      <c r="D258" t="s">
        <v>596</v>
      </c>
      <c r="E258" s="2">
        <v>375636</v>
      </c>
      <c r="F258" s="2">
        <v>296962</v>
      </c>
      <c r="G258" s="2">
        <v>63605</v>
      </c>
      <c r="H258" s="2">
        <v>233357</v>
      </c>
      <c r="I258" s="2">
        <v>78674</v>
      </c>
      <c r="J258" s="2">
        <v>0</v>
      </c>
      <c r="K258">
        <v>312031</v>
      </c>
      <c r="L258">
        <v>607</v>
      </c>
      <c r="M258" s="2">
        <v>161</v>
      </c>
      <c r="N258" s="2">
        <v>768</v>
      </c>
      <c r="O258" s="2">
        <v>38573</v>
      </c>
      <c r="P258" s="2">
        <v>0</v>
      </c>
      <c r="Q258" s="2">
        <v>3769</v>
      </c>
      <c r="R258" s="2">
        <v>4168</v>
      </c>
      <c r="S258" s="2">
        <v>47278</v>
      </c>
      <c r="T258" s="2">
        <v>39180</v>
      </c>
      <c r="U258" s="2">
        <v>8098</v>
      </c>
    </row>
    <row r="259" spans="1:21" x14ac:dyDescent="0.25">
      <c r="A259" s="1" t="s">
        <v>263</v>
      </c>
      <c r="B259" t="s">
        <v>672</v>
      </c>
      <c r="C259" s="1" t="s">
        <v>272</v>
      </c>
      <c r="D259" t="s">
        <v>597</v>
      </c>
      <c r="E259" s="2">
        <v>583247</v>
      </c>
      <c r="F259" s="2">
        <v>461091</v>
      </c>
      <c r="G259" s="2">
        <v>98758</v>
      </c>
      <c r="H259" s="2">
        <v>362333</v>
      </c>
      <c r="I259" s="2">
        <v>122156</v>
      </c>
      <c r="J259" s="2">
        <v>0</v>
      </c>
      <c r="K259" s="2">
        <v>484489</v>
      </c>
      <c r="L259">
        <v>941</v>
      </c>
      <c r="M259" s="2">
        <v>249</v>
      </c>
      <c r="N259" s="2">
        <v>1190</v>
      </c>
      <c r="O259" s="2">
        <v>59892</v>
      </c>
      <c r="P259" s="2">
        <v>0</v>
      </c>
      <c r="Q259" s="2">
        <v>390</v>
      </c>
      <c r="R259" s="2">
        <v>431</v>
      </c>
      <c r="S259" s="2">
        <v>61903</v>
      </c>
      <c r="T259" s="2">
        <v>60833</v>
      </c>
      <c r="U259" s="2">
        <v>1070</v>
      </c>
    </row>
    <row r="260" spans="1:21" x14ac:dyDescent="0.25">
      <c r="A260" s="1" t="s">
        <v>263</v>
      </c>
      <c r="B260" t="s">
        <v>672</v>
      </c>
      <c r="C260" s="1" t="s">
        <v>273</v>
      </c>
      <c r="D260" t="s">
        <v>598</v>
      </c>
      <c r="E260" s="2">
        <v>158940</v>
      </c>
      <c r="F260" s="2">
        <v>125652</v>
      </c>
      <c r="G260" s="2">
        <v>26913</v>
      </c>
      <c r="H260" s="2">
        <v>98739</v>
      </c>
      <c r="I260" s="2">
        <v>33288</v>
      </c>
      <c r="J260" s="2">
        <v>0</v>
      </c>
      <c r="K260">
        <v>132027</v>
      </c>
      <c r="L260">
        <v>257</v>
      </c>
      <c r="M260" s="2">
        <v>68</v>
      </c>
      <c r="N260" s="2">
        <v>325</v>
      </c>
      <c r="O260" s="2">
        <v>16321</v>
      </c>
      <c r="P260" s="2">
        <v>0</v>
      </c>
      <c r="Q260" s="2">
        <v>325</v>
      </c>
      <c r="R260" s="2">
        <v>359</v>
      </c>
      <c r="S260" s="2">
        <v>17330</v>
      </c>
      <c r="T260" s="2">
        <v>16578</v>
      </c>
      <c r="U260" s="2">
        <v>752</v>
      </c>
    </row>
    <row r="261" spans="1:21" x14ac:dyDescent="0.25">
      <c r="A261" s="1" t="s">
        <v>263</v>
      </c>
      <c r="B261" t="s">
        <v>672</v>
      </c>
      <c r="C261" s="1" t="s">
        <v>274</v>
      </c>
      <c r="D261" t="s">
        <v>599</v>
      </c>
      <c r="E261" s="2">
        <v>3701325</v>
      </c>
      <c r="F261" s="2">
        <v>2926116</v>
      </c>
      <c r="G261" s="2">
        <v>626727</v>
      </c>
      <c r="H261" s="2">
        <v>2299389</v>
      </c>
      <c r="I261" s="2">
        <v>775209</v>
      </c>
      <c r="J261" s="2">
        <v>14980</v>
      </c>
      <c r="K261" s="2">
        <v>3089578</v>
      </c>
      <c r="L261" s="2">
        <v>5975</v>
      </c>
      <c r="M261" s="2">
        <v>1583</v>
      </c>
      <c r="N261" s="2">
        <v>7558</v>
      </c>
      <c r="O261" s="2">
        <v>381641</v>
      </c>
      <c r="P261" s="2">
        <v>0</v>
      </c>
      <c r="Q261" s="2">
        <v>32365</v>
      </c>
      <c r="R261" s="2">
        <v>35786</v>
      </c>
      <c r="S261" s="2">
        <v>457350</v>
      </c>
      <c r="T261" s="2">
        <v>387616</v>
      </c>
      <c r="U261" s="2">
        <v>69734</v>
      </c>
    </row>
    <row r="262" spans="1:21" x14ac:dyDescent="0.25">
      <c r="A262" s="1" t="s">
        <v>263</v>
      </c>
      <c r="B262" t="s">
        <v>672</v>
      </c>
      <c r="C262" s="1" t="s">
        <v>275</v>
      </c>
      <c r="D262" t="s">
        <v>600</v>
      </c>
      <c r="E262" s="2">
        <v>526742</v>
      </c>
      <c r="F262" s="2">
        <v>416421</v>
      </c>
      <c r="G262" s="2">
        <v>89190</v>
      </c>
      <c r="H262" s="2">
        <v>327231</v>
      </c>
      <c r="I262" s="2">
        <v>110321</v>
      </c>
      <c r="J262" s="2">
        <v>7198</v>
      </c>
      <c r="K262" s="2">
        <v>444750</v>
      </c>
      <c r="L262">
        <v>850</v>
      </c>
      <c r="M262" s="2">
        <v>225</v>
      </c>
      <c r="N262" s="2">
        <v>1075</v>
      </c>
      <c r="O262" s="2">
        <v>54832</v>
      </c>
      <c r="P262" s="2">
        <v>0</v>
      </c>
      <c r="Q262" s="2">
        <v>7279</v>
      </c>
      <c r="R262" s="2">
        <v>8048</v>
      </c>
      <c r="S262" s="2">
        <v>71234</v>
      </c>
      <c r="T262" s="2">
        <v>55682</v>
      </c>
      <c r="U262" s="2">
        <v>15552</v>
      </c>
    </row>
    <row r="263" spans="1:21" x14ac:dyDescent="0.25">
      <c r="A263" s="1" t="s">
        <v>263</v>
      </c>
      <c r="B263" t="s">
        <v>672</v>
      </c>
      <c r="C263" s="1" t="s">
        <v>276</v>
      </c>
      <c r="D263" t="s">
        <v>601</v>
      </c>
      <c r="E263" s="2">
        <v>35914</v>
      </c>
      <c r="F263" s="2">
        <v>28392</v>
      </c>
      <c r="G263" s="2">
        <v>6081</v>
      </c>
      <c r="H263" s="2">
        <v>22311</v>
      </c>
      <c r="I263" s="2">
        <v>7522</v>
      </c>
      <c r="J263" s="2">
        <v>6106</v>
      </c>
      <c r="K263">
        <v>35939</v>
      </c>
      <c r="L263">
        <v>58</v>
      </c>
      <c r="M263" s="2">
        <v>15</v>
      </c>
      <c r="N263" s="2">
        <v>73</v>
      </c>
      <c r="O263" s="2">
        <v>3688</v>
      </c>
      <c r="P263" s="2">
        <v>0</v>
      </c>
      <c r="Q263" s="2">
        <v>0</v>
      </c>
      <c r="R263" s="2">
        <v>0</v>
      </c>
      <c r="S263" s="2">
        <v>3761</v>
      </c>
      <c r="T263" s="2">
        <v>3746</v>
      </c>
      <c r="U263" s="2">
        <v>15</v>
      </c>
    </row>
    <row r="264" spans="1:21" x14ac:dyDescent="0.25">
      <c r="A264" s="1" t="s">
        <v>263</v>
      </c>
      <c r="B264" t="s">
        <v>672</v>
      </c>
      <c r="C264" s="1" t="s">
        <v>277</v>
      </c>
      <c r="D264" t="s">
        <v>602</v>
      </c>
      <c r="E264" s="2">
        <v>221698</v>
      </c>
      <c r="F264" s="2">
        <v>175266</v>
      </c>
      <c r="G264" s="2">
        <v>37539</v>
      </c>
      <c r="H264" s="2">
        <v>137727</v>
      </c>
      <c r="I264" s="2">
        <v>46432</v>
      </c>
      <c r="J264">
        <v>0</v>
      </c>
      <c r="K264">
        <v>184159</v>
      </c>
      <c r="L264">
        <v>359</v>
      </c>
      <c r="M264" s="2">
        <v>95</v>
      </c>
      <c r="N264" s="2">
        <v>454</v>
      </c>
      <c r="O264" s="2">
        <v>22765</v>
      </c>
      <c r="P264" s="2">
        <v>0</v>
      </c>
      <c r="Q264" s="2">
        <v>325</v>
      </c>
      <c r="R264" s="2">
        <v>359</v>
      </c>
      <c r="S264" s="2">
        <v>23903</v>
      </c>
      <c r="T264" s="2">
        <v>23124</v>
      </c>
      <c r="U264" s="2">
        <v>779</v>
      </c>
    </row>
    <row r="265" spans="1:21" x14ac:dyDescent="0.25">
      <c r="A265" s="1" t="s">
        <v>263</v>
      </c>
      <c r="B265" t="s">
        <v>672</v>
      </c>
      <c r="C265" s="1" t="s">
        <v>278</v>
      </c>
      <c r="D265" t="s">
        <v>603</v>
      </c>
      <c r="E265" s="2">
        <v>175897</v>
      </c>
      <c r="F265" s="2">
        <v>139057</v>
      </c>
      <c r="G265" s="2">
        <v>29784</v>
      </c>
      <c r="H265" s="2">
        <v>109273</v>
      </c>
      <c r="I265" s="2">
        <v>36840</v>
      </c>
      <c r="J265" s="2">
        <v>5242</v>
      </c>
      <c r="K265">
        <v>151355</v>
      </c>
      <c r="L265">
        <v>284</v>
      </c>
      <c r="M265" s="2">
        <v>76</v>
      </c>
      <c r="N265" s="2">
        <v>360</v>
      </c>
      <c r="O265" s="2">
        <v>18062</v>
      </c>
      <c r="P265" s="2">
        <v>0</v>
      </c>
      <c r="Q265" s="2">
        <v>650</v>
      </c>
      <c r="R265" s="2">
        <v>719</v>
      </c>
      <c r="S265" s="2">
        <v>19791</v>
      </c>
      <c r="T265" s="2">
        <v>18346</v>
      </c>
      <c r="U265" s="2">
        <v>1445</v>
      </c>
    </row>
    <row r="266" spans="1:21" x14ac:dyDescent="0.25">
      <c r="A266" s="1" t="s">
        <v>263</v>
      </c>
      <c r="B266" t="s">
        <v>672</v>
      </c>
      <c r="C266" s="1" t="s">
        <v>279</v>
      </c>
      <c r="D266" t="s">
        <v>604</v>
      </c>
      <c r="E266" s="2">
        <v>64381</v>
      </c>
      <c r="F266" s="2">
        <v>50897</v>
      </c>
      <c r="G266" s="2">
        <v>10902</v>
      </c>
      <c r="H266" s="2">
        <v>39995</v>
      </c>
      <c r="I266" s="2">
        <v>13484</v>
      </c>
      <c r="J266" s="2">
        <v>8764</v>
      </c>
      <c r="K266">
        <v>62243</v>
      </c>
      <c r="L266">
        <v>105</v>
      </c>
      <c r="M266" s="2">
        <v>28</v>
      </c>
      <c r="N266" s="2">
        <v>133</v>
      </c>
      <c r="O266" s="2">
        <v>6790</v>
      </c>
      <c r="P266" s="2">
        <v>0</v>
      </c>
      <c r="Q266" s="2">
        <v>325</v>
      </c>
      <c r="R266" s="2">
        <v>359</v>
      </c>
      <c r="S266" s="2">
        <v>7607</v>
      </c>
      <c r="T266" s="2">
        <v>6895</v>
      </c>
      <c r="U266" s="2">
        <v>712</v>
      </c>
    </row>
    <row r="267" spans="1:21" x14ac:dyDescent="0.25">
      <c r="A267" s="1" t="s">
        <v>263</v>
      </c>
      <c r="B267" t="s">
        <v>672</v>
      </c>
      <c r="C267" s="1" t="s">
        <v>280</v>
      </c>
      <c r="D267" t="s">
        <v>605</v>
      </c>
      <c r="E267" s="2">
        <v>177070</v>
      </c>
      <c r="F267" s="2">
        <v>139984</v>
      </c>
      <c r="G267" s="2">
        <v>29982</v>
      </c>
      <c r="H267" s="2">
        <v>110002</v>
      </c>
      <c r="I267" s="2">
        <v>37086</v>
      </c>
      <c r="J267" s="2">
        <v>0</v>
      </c>
      <c r="K267">
        <v>147088</v>
      </c>
      <c r="L267">
        <v>287</v>
      </c>
      <c r="M267" s="2">
        <v>76</v>
      </c>
      <c r="N267" s="2">
        <v>363</v>
      </c>
      <c r="O267" s="2">
        <v>18183</v>
      </c>
      <c r="P267" s="2">
        <v>0</v>
      </c>
      <c r="Q267" s="2">
        <v>325</v>
      </c>
      <c r="R267" s="2">
        <v>359</v>
      </c>
      <c r="S267" s="2">
        <v>19230</v>
      </c>
      <c r="T267" s="2">
        <v>18470</v>
      </c>
      <c r="U267" s="2">
        <v>760</v>
      </c>
    </row>
    <row r="268" spans="1:21" x14ac:dyDescent="0.25">
      <c r="A268" s="1" t="s">
        <v>263</v>
      </c>
      <c r="B268" t="s">
        <v>672</v>
      </c>
      <c r="C268" s="1" t="s">
        <v>281</v>
      </c>
      <c r="D268" t="s">
        <v>606</v>
      </c>
      <c r="E268" s="2">
        <v>730390</v>
      </c>
      <c r="F268" s="2">
        <v>577417</v>
      </c>
      <c r="G268" s="2">
        <v>123673</v>
      </c>
      <c r="H268" s="2">
        <v>453744</v>
      </c>
      <c r="I268" s="2">
        <v>152973</v>
      </c>
      <c r="J268" s="2">
        <v>4838</v>
      </c>
      <c r="K268" s="2">
        <v>611555</v>
      </c>
      <c r="L268" s="2">
        <v>1179</v>
      </c>
      <c r="M268" s="2">
        <v>312</v>
      </c>
      <c r="N268" s="2">
        <v>1491</v>
      </c>
      <c r="O268" s="2">
        <v>75503</v>
      </c>
      <c r="P268" s="2">
        <v>0</v>
      </c>
      <c r="Q268" s="2">
        <v>1950</v>
      </c>
      <c r="R268" s="2">
        <v>2156</v>
      </c>
      <c r="S268" s="2">
        <v>81100</v>
      </c>
      <c r="T268" s="2">
        <v>76682</v>
      </c>
      <c r="U268" s="2">
        <v>4418</v>
      </c>
    </row>
    <row r="269" spans="1:21" x14ac:dyDescent="0.25">
      <c r="A269" s="1" t="s">
        <v>263</v>
      </c>
      <c r="B269" t="s">
        <v>672</v>
      </c>
      <c r="C269" s="1" t="s">
        <v>282</v>
      </c>
      <c r="D269" t="s">
        <v>607</v>
      </c>
      <c r="E269" s="2">
        <v>184468</v>
      </c>
      <c r="F269" s="2">
        <v>145833</v>
      </c>
      <c r="G269" s="2">
        <v>31235</v>
      </c>
      <c r="H269" s="2">
        <v>114598</v>
      </c>
      <c r="I269" s="2">
        <v>38635</v>
      </c>
      <c r="J269" s="2">
        <v>6165</v>
      </c>
      <c r="K269">
        <v>159398</v>
      </c>
      <c r="L269">
        <v>298</v>
      </c>
      <c r="M269" s="2">
        <v>79</v>
      </c>
      <c r="N269" s="2">
        <v>377</v>
      </c>
      <c r="O269" s="2">
        <v>19577</v>
      </c>
      <c r="P269" s="2">
        <v>0</v>
      </c>
      <c r="Q269" s="2">
        <v>0</v>
      </c>
      <c r="R269" s="2">
        <v>0</v>
      </c>
      <c r="S269" s="2">
        <v>19954</v>
      </c>
      <c r="T269" s="2">
        <v>19875</v>
      </c>
      <c r="U269" s="2">
        <v>79</v>
      </c>
    </row>
    <row r="270" spans="1:21" x14ac:dyDescent="0.25">
      <c r="A270" s="1" t="s">
        <v>263</v>
      </c>
      <c r="B270" t="s">
        <v>672</v>
      </c>
      <c r="C270" s="1" t="s">
        <v>283</v>
      </c>
      <c r="D270" t="s">
        <v>608</v>
      </c>
      <c r="E270" s="2">
        <v>81785</v>
      </c>
      <c r="F270" s="2">
        <v>64656</v>
      </c>
      <c r="G270" s="2">
        <v>13848</v>
      </c>
      <c r="H270" s="2">
        <v>50808</v>
      </c>
      <c r="I270" s="2">
        <v>17129</v>
      </c>
      <c r="J270" s="2">
        <v>3961</v>
      </c>
      <c r="K270">
        <v>71898</v>
      </c>
      <c r="L270">
        <v>132</v>
      </c>
      <c r="M270" s="2">
        <v>36</v>
      </c>
      <c r="N270" s="2">
        <v>168</v>
      </c>
      <c r="O270" s="2">
        <v>8440</v>
      </c>
      <c r="P270" s="2">
        <v>0</v>
      </c>
      <c r="Q270" s="2">
        <v>0</v>
      </c>
      <c r="R270" s="2">
        <v>0</v>
      </c>
      <c r="S270" s="2">
        <v>8608</v>
      </c>
      <c r="T270" s="2">
        <v>8572</v>
      </c>
      <c r="U270" s="2">
        <v>36</v>
      </c>
    </row>
    <row r="271" spans="1:21" x14ac:dyDescent="0.25">
      <c r="A271" s="1" t="s">
        <v>263</v>
      </c>
      <c r="B271" t="s">
        <v>672</v>
      </c>
      <c r="C271" s="1" t="s">
        <v>284</v>
      </c>
      <c r="D271" t="s">
        <v>609</v>
      </c>
      <c r="E271" s="2">
        <v>531301</v>
      </c>
      <c r="F271" s="2">
        <v>420025</v>
      </c>
      <c r="G271" s="2">
        <v>89963</v>
      </c>
      <c r="H271" s="2">
        <v>330062</v>
      </c>
      <c r="I271" s="2">
        <v>111276</v>
      </c>
      <c r="J271" s="2">
        <v>0</v>
      </c>
      <c r="K271" s="2">
        <v>441338</v>
      </c>
      <c r="L271">
        <v>858</v>
      </c>
      <c r="M271" s="2">
        <v>228</v>
      </c>
      <c r="N271" s="2">
        <v>1086</v>
      </c>
      <c r="O271" s="2">
        <v>54558</v>
      </c>
      <c r="P271" s="2">
        <v>0</v>
      </c>
      <c r="Q271" s="2">
        <v>4874</v>
      </c>
      <c r="R271" s="2">
        <v>5390</v>
      </c>
      <c r="S271" s="2">
        <v>65908</v>
      </c>
      <c r="T271" s="2">
        <v>55416</v>
      </c>
      <c r="U271" s="2">
        <v>10492</v>
      </c>
    </row>
    <row r="272" spans="1:21" x14ac:dyDescent="0.25">
      <c r="A272" s="1" t="s">
        <v>263</v>
      </c>
      <c r="B272" t="s">
        <v>672</v>
      </c>
      <c r="C272" s="1" t="s">
        <v>285</v>
      </c>
      <c r="D272" t="s">
        <v>610</v>
      </c>
      <c r="E272" s="2">
        <v>273755</v>
      </c>
      <c r="F272" s="2">
        <v>216420</v>
      </c>
      <c r="G272" s="2">
        <v>46354</v>
      </c>
      <c r="H272" s="2">
        <v>170066</v>
      </c>
      <c r="I272" s="2">
        <v>57335</v>
      </c>
      <c r="J272">
        <v>0</v>
      </c>
      <c r="K272">
        <v>227401</v>
      </c>
      <c r="L272">
        <v>442</v>
      </c>
      <c r="M272" s="2">
        <v>117</v>
      </c>
      <c r="N272" s="2">
        <v>559</v>
      </c>
      <c r="O272" s="2">
        <v>28111</v>
      </c>
      <c r="P272" s="2">
        <v>0</v>
      </c>
      <c r="Q272" s="2">
        <v>1300</v>
      </c>
      <c r="R272" s="2">
        <v>1437</v>
      </c>
      <c r="S272" s="2">
        <v>31407</v>
      </c>
      <c r="T272" s="2">
        <v>28553</v>
      </c>
      <c r="U272" s="2">
        <v>2854</v>
      </c>
    </row>
    <row r="273" spans="1:21" x14ac:dyDescent="0.25">
      <c r="A273" s="1" t="s">
        <v>263</v>
      </c>
      <c r="B273" t="s">
        <v>672</v>
      </c>
      <c r="C273" s="1" t="s">
        <v>286</v>
      </c>
      <c r="D273" t="s">
        <v>611</v>
      </c>
      <c r="E273" s="2">
        <v>117926</v>
      </c>
      <c r="F273" s="2">
        <v>93227</v>
      </c>
      <c r="G273" s="2">
        <v>19968</v>
      </c>
      <c r="H273" s="2">
        <v>73259</v>
      </c>
      <c r="I273" s="2">
        <v>24699</v>
      </c>
      <c r="J273" s="2">
        <v>13292</v>
      </c>
      <c r="K273">
        <v>111250</v>
      </c>
      <c r="L273">
        <v>190</v>
      </c>
      <c r="M273" s="2">
        <v>51</v>
      </c>
      <c r="N273" s="2">
        <v>241</v>
      </c>
      <c r="O273" s="2">
        <v>12109</v>
      </c>
      <c r="P273" s="2">
        <v>0</v>
      </c>
      <c r="Q273" s="2">
        <v>0</v>
      </c>
      <c r="R273" s="2">
        <v>0</v>
      </c>
      <c r="S273" s="2">
        <v>12350</v>
      </c>
      <c r="T273" s="2">
        <v>12299</v>
      </c>
      <c r="U273" s="2">
        <v>51</v>
      </c>
    </row>
    <row r="274" spans="1:21" x14ac:dyDescent="0.25">
      <c r="A274" s="1" t="s">
        <v>263</v>
      </c>
      <c r="B274" t="s">
        <v>672</v>
      </c>
      <c r="C274" s="1" t="s">
        <v>287</v>
      </c>
      <c r="D274" t="s">
        <v>612</v>
      </c>
      <c r="E274" s="2">
        <v>173886</v>
      </c>
      <c r="F274" s="2">
        <v>137467</v>
      </c>
      <c r="G274" s="2">
        <v>29444</v>
      </c>
      <c r="H274" s="2">
        <v>108023</v>
      </c>
      <c r="I274" s="2">
        <v>36419</v>
      </c>
      <c r="J274" s="2">
        <v>718</v>
      </c>
      <c r="K274">
        <v>145160</v>
      </c>
      <c r="L274">
        <v>282</v>
      </c>
      <c r="M274" s="2">
        <v>74</v>
      </c>
      <c r="N274" s="2">
        <v>356</v>
      </c>
      <c r="O274" s="2">
        <v>17931</v>
      </c>
      <c r="P274" s="2">
        <v>0</v>
      </c>
      <c r="Q274" s="2">
        <v>0</v>
      </c>
      <c r="R274" s="2">
        <v>0</v>
      </c>
      <c r="S274" s="2">
        <v>18287</v>
      </c>
      <c r="T274" s="2">
        <v>18213</v>
      </c>
      <c r="U274" s="2">
        <v>74</v>
      </c>
    </row>
    <row r="275" spans="1:21" x14ac:dyDescent="0.25">
      <c r="A275" s="1" t="s">
        <v>263</v>
      </c>
      <c r="B275" t="s">
        <v>672</v>
      </c>
      <c r="C275" s="1" t="s">
        <v>288</v>
      </c>
      <c r="D275" t="s">
        <v>613</v>
      </c>
      <c r="E275" s="2">
        <v>1057676</v>
      </c>
      <c r="F275" s="2">
        <v>836156</v>
      </c>
      <c r="G275" s="2">
        <v>179091</v>
      </c>
      <c r="H275" s="2">
        <v>657065</v>
      </c>
      <c r="I275" s="2">
        <v>221520</v>
      </c>
      <c r="J275" s="2">
        <v>106</v>
      </c>
      <c r="K275" s="2">
        <v>878691</v>
      </c>
      <c r="L275" s="2">
        <v>1708</v>
      </c>
      <c r="M275" s="2">
        <v>453</v>
      </c>
      <c r="N275" s="2">
        <v>2161</v>
      </c>
      <c r="O275" s="2">
        <v>108628</v>
      </c>
      <c r="P275" s="2">
        <v>0</v>
      </c>
      <c r="Q275" s="2">
        <v>16312</v>
      </c>
      <c r="R275" s="2">
        <v>18037</v>
      </c>
      <c r="S275" s="2">
        <v>145138</v>
      </c>
      <c r="T275" s="2">
        <v>110336</v>
      </c>
      <c r="U275" s="2">
        <v>34802</v>
      </c>
    </row>
    <row r="276" spans="1:21" x14ac:dyDescent="0.25">
      <c r="A276" s="1" t="s">
        <v>263</v>
      </c>
      <c r="B276" t="s">
        <v>672</v>
      </c>
      <c r="C276" s="1" t="s">
        <v>289</v>
      </c>
      <c r="D276" t="s">
        <v>614</v>
      </c>
      <c r="E276" s="2">
        <v>224261</v>
      </c>
      <c r="F276" s="2">
        <v>177291</v>
      </c>
      <c r="G276" s="2">
        <v>37973</v>
      </c>
      <c r="H276" s="2">
        <v>139318</v>
      </c>
      <c r="I276" s="2">
        <v>46970</v>
      </c>
      <c r="J276" s="2">
        <v>0</v>
      </c>
      <c r="K276">
        <v>186288</v>
      </c>
      <c r="L276">
        <v>362</v>
      </c>
      <c r="M276" s="2">
        <v>95</v>
      </c>
      <c r="N276" s="2">
        <v>457</v>
      </c>
      <c r="O276" s="2">
        <v>23029</v>
      </c>
      <c r="P276" s="2">
        <v>0</v>
      </c>
      <c r="Q276" s="2">
        <v>130</v>
      </c>
      <c r="R276" s="2">
        <v>144</v>
      </c>
      <c r="S276" s="2">
        <v>23760</v>
      </c>
      <c r="T276" s="2">
        <v>23391</v>
      </c>
      <c r="U276" s="2">
        <v>369</v>
      </c>
    </row>
    <row r="277" spans="1:21" x14ac:dyDescent="0.25">
      <c r="A277" s="1" t="s">
        <v>263</v>
      </c>
      <c r="B277" t="s">
        <v>672</v>
      </c>
      <c r="C277" s="1" t="s">
        <v>290</v>
      </c>
      <c r="D277" t="s">
        <v>615</v>
      </c>
      <c r="E277" s="2">
        <v>298567</v>
      </c>
      <c r="F277" s="2">
        <v>236035</v>
      </c>
      <c r="G277" s="2">
        <v>50555</v>
      </c>
      <c r="H277" s="2">
        <v>185480</v>
      </c>
      <c r="I277" s="2">
        <v>62532</v>
      </c>
      <c r="J277" s="2">
        <v>0</v>
      </c>
      <c r="K277">
        <v>248012</v>
      </c>
      <c r="L277">
        <v>483</v>
      </c>
      <c r="M277" s="2">
        <v>128</v>
      </c>
      <c r="N277" s="2">
        <v>611</v>
      </c>
      <c r="O277" s="2">
        <v>30659</v>
      </c>
      <c r="P277" s="2">
        <v>0</v>
      </c>
      <c r="Q277" s="2">
        <v>520</v>
      </c>
      <c r="R277" s="2">
        <v>575</v>
      </c>
      <c r="S277" s="2">
        <v>32365</v>
      </c>
      <c r="T277" s="2">
        <v>31142</v>
      </c>
      <c r="U277" s="2">
        <v>1223</v>
      </c>
    </row>
    <row r="278" spans="1:21" x14ac:dyDescent="0.25">
      <c r="A278" s="1" t="s">
        <v>263</v>
      </c>
      <c r="B278" t="s">
        <v>672</v>
      </c>
      <c r="C278" s="1" t="s">
        <v>291</v>
      </c>
      <c r="D278" t="s">
        <v>616</v>
      </c>
      <c r="E278" s="2">
        <v>86369</v>
      </c>
      <c r="F278" s="2">
        <v>68280</v>
      </c>
      <c r="G278" s="2">
        <v>14625</v>
      </c>
      <c r="H278" s="2">
        <v>53655</v>
      </c>
      <c r="I278" s="2">
        <v>18089</v>
      </c>
      <c r="J278" s="2">
        <v>6499</v>
      </c>
      <c r="K278">
        <v>78243</v>
      </c>
      <c r="L278">
        <v>138</v>
      </c>
      <c r="M278" s="2">
        <v>37</v>
      </c>
      <c r="N278" s="2">
        <v>175</v>
      </c>
      <c r="O278" s="2">
        <v>9275</v>
      </c>
      <c r="P278" s="2">
        <v>0</v>
      </c>
      <c r="Q278" s="2">
        <v>0</v>
      </c>
      <c r="R278" s="2">
        <v>0</v>
      </c>
      <c r="S278" s="2">
        <v>9450</v>
      </c>
      <c r="T278" s="2">
        <v>9413</v>
      </c>
      <c r="U278" s="2">
        <v>37</v>
      </c>
    </row>
    <row r="279" spans="1:21" x14ac:dyDescent="0.25">
      <c r="A279" s="1" t="s">
        <v>263</v>
      </c>
      <c r="B279" t="s">
        <v>672</v>
      </c>
      <c r="C279" s="1" t="s">
        <v>292</v>
      </c>
      <c r="D279" t="s">
        <v>617</v>
      </c>
      <c r="E279" s="2">
        <v>238945</v>
      </c>
      <c r="F279" s="2">
        <v>188900</v>
      </c>
      <c r="G279" s="2">
        <v>40460</v>
      </c>
      <c r="H279" s="2">
        <v>148440</v>
      </c>
      <c r="I279" s="2">
        <v>50045</v>
      </c>
      <c r="J279" s="2">
        <v>0</v>
      </c>
      <c r="K279">
        <v>198485</v>
      </c>
      <c r="L279">
        <v>386</v>
      </c>
      <c r="M279" s="2">
        <v>103</v>
      </c>
      <c r="N279" s="2">
        <v>489</v>
      </c>
      <c r="O279" s="2">
        <v>24536</v>
      </c>
      <c r="P279" s="2">
        <v>0</v>
      </c>
      <c r="Q279" s="2">
        <v>0</v>
      </c>
      <c r="R279" s="2">
        <v>0</v>
      </c>
      <c r="S279" s="2">
        <v>25025</v>
      </c>
      <c r="T279" s="2">
        <v>24922</v>
      </c>
      <c r="U279" s="2">
        <v>103</v>
      </c>
    </row>
    <row r="280" spans="1:21" x14ac:dyDescent="0.25">
      <c r="A280" s="1" t="s">
        <v>263</v>
      </c>
      <c r="B280" t="s">
        <v>672</v>
      </c>
      <c r="C280" s="1" t="s">
        <v>293</v>
      </c>
      <c r="D280" t="s">
        <v>618</v>
      </c>
      <c r="E280" s="2">
        <v>88498</v>
      </c>
      <c r="F280" s="2">
        <v>69963</v>
      </c>
      <c r="G280" s="2">
        <v>14985</v>
      </c>
      <c r="H280" s="2">
        <v>54978</v>
      </c>
      <c r="I280" s="2">
        <v>18535</v>
      </c>
      <c r="J280" s="2">
        <v>0</v>
      </c>
      <c r="K280">
        <v>73513</v>
      </c>
      <c r="L280">
        <v>144</v>
      </c>
      <c r="M280" s="2">
        <v>38</v>
      </c>
      <c r="N280" s="2">
        <v>182</v>
      </c>
      <c r="O280" s="2">
        <v>9088</v>
      </c>
      <c r="P280" s="2">
        <v>0</v>
      </c>
      <c r="Q280" s="2">
        <v>65</v>
      </c>
      <c r="R280" s="2">
        <v>72</v>
      </c>
      <c r="S280" s="2">
        <v>9407</v>
      </c>
      <c r="T280" s="2">
        <v>9232</v>
      </c>
      <c r="U280" s="2">
        <v>175</v>
      </c>
    </row>
    <row r="281" spans="1:21" x14ac:dyDescent="0.25">
      <c r="A281" s="1" t="s">
        <v>263</v>
      </c>
      <c r="B281" t="s">
        <v>672</v>
      </c>
      <c r="C281" s="1" t="s">
        <v>294</v>
      </c>
      <c r="D281" t="s">
        <v>619</v>
      </c>
      <c r="E281" s="2">
        <v>255329</v>
      </c>
      <c r="F281" s="2">
        <v>201853</v>
      </c>
      <c r="G281" s="2">
        <v>43234</v>
      </c>
      <c r="H281" s="2">
        <v>158619</v>
      </c>
      <c r="I281" s="2">
        <v>53476</v>
      </c>
      <c r="J281" s="2">
        <v>3589</v>
      </c>
      <c r="K281">
        <v>215684</v>
      </c>
      <c r="L281">
        <v>411</v>
      </c>
      <c r="M281" s="2">
        <v>109</v>
      </c>
      <c r="N281" s="2">
        <v>520</v>
      </c>
      <c r="O281" s="2">
        <v>26589</v>
      </c>
      <c r="P281" s="2">
        <v>0</v>
      </c>
      <c r="Q281" s="2">
        <v>715</v>
      </c>
      <c r="R281" s="2">
        <v>790</v>
      </c>
      <c r="S281" s="2">
        <v>28614</v>
      </c>
      <c r="T281" s="2">
        <v>27000</v>
      </c>
      <c r="U281" s="2">
        <v>1614</v>
      </c>
    </row>
    <row r="282" spans="1:21" x14ac:dyDescent="0.25">
      <c r="A282" s="1" t="s">
        <v>263</v>
      </c>
      <c r="B282" t="s">
        <v>672</v>
      </c>
      <c r="C282" s="1" t="s">
        <v>295</v>
      </c>
      <c r="D282" t="s">
        <v>620</v>
      </c>
      <c r="E282" s="2">
        <v>58181</v>
      </c>
      <c r="F282" s="2">
        <v>45995</v>
      </c>
      <c r="G282" s="2">
        <v>9851</v>
      </c>
      <c r="H282" s="2">
        <v>36144</v>
      </c>
      <c r="I282" s="2">
        <v>12186</v>
      </c>
      <c r="J282" s="2">
        <v>14585</v>
      </c>
      <c r="K282">
        <v>62915</v>
      </c>
      <c r="L282">
        <v>97</v>
      </c>
      <c r="M282" s="2">
        <v>25</v>
      </c>
      <c r="N282" s="2">
        <v>122</v>
      </c>
      <c r="O282" s="2">
        <v>6714</v>
      </c>
      <c r="P282" s="2">
        <v>0</v>
      </c>
      <c r="Q282" s="2">
        <v>455</v>
      </c>
      <c r="R282" s="2">
        <v>503</v>
      </c>
      <c r="S282" s="2">
        <v>7794</v>
      </c>
      <c r="T282" s="2">
        <v>6811</v>
      </c>
      <c r="U282" s="2">
        <v>983</v>
      </c>
    </row>
    <row r="283" spans="1:21" x14ac:dyDescent="0.25">
      <c r="A283" s="1" t="s">
        <v>263</v>
      </c>
      <c r="B283" t="s">
        <v>672</v>
      </c>
      <c r="C283" s="1" t="s">
        <v>296</v>
      </c>
      <c r="D283" t="s">
        <v>621</v>
      </c>
      <c r="E283" s="2">
        <v>380275</v>
      </c>
      <c r="F283" s="2">
        <v>300630</v>
      </c>
      <c r="G283" s="2">
        <v>64390</v>
      </c>
      <c r="H283" s="2">
        <v>236240</v>
      </c>
      <c r="I283" s="2">
        <v>79645</v>
      </c>
      <c r="J283" s="2">
        <v>26248</v>
      </c>
      <c r="K283">
        <v>342133</v>
      </c>
      <c r="L283">
        <v>615</v>
      </c>
      <c r="M283" s="2">
        <v>164</v>
      </c>
      <c r="N283" s="2">
        <v>779</v>
      </c>
      <c r="O283" s="2">
        <v>41747</v>
      </c>
      <c r="P283" s="2">
        <v>0</v>
      </c>
      <c r="Q283" s="2">
        <v>0</v>
      </c>
      <c r="R283" s="2">
        <v>0</v>
      </c>
      <c r="S283" s="2">
        <v>42526</v>
      </c>
      <c r="T283" s="2">
        <v>42362</v>
      </c>
      <c r="U283" s="2">
        <v>164</v>
      </c>
    </row>
    <row r="284" spans="1:21" x14ac:dyDescent="0.25">
      <c r="A284" s="1" t="s">
        <v>263</v>
      </c>
      <c r="B284" t="s">
        <v>672</v>
      </c>
      <c r="C284" s="1" t="s">
        <v>297</v>
      </c>
      <c r="D284" t="s">
        <v>622</v>
      </c>
      <c r="E284" s="2">
        <v>294779</v>
      </c>
      <c r="F284" s="2">
        <v>233041</v>
      </c>
      <c r="G284" s="2">
        <v>49914</v>
      </c>
      <c r="H284" s="2">
        <v>183127</v>
      </c>
      <c r="I284" s="2">
        <v>61738</v>
      </c>
      <c r="J284">
        <v>0</v>
      </c>
      <c r="K284">
        <v>244865</v>
      </c>
      <c r="L284">
        <v>475</v>
      </c>
      <c r="M284" s="2">
        <v>125</v>
      </c>
      <c r="N284" s="2">
        <v>600</v>
      </c>
      <c r="O284" s="2">
        <v>30270</v>
      </c>
      <c r="P284" s="2">
        <v>0</v>
      </c>
      <c r="Q284" s="2">
        <v>65</v>
      </c>
      <c r="R284" s="2">
        <v>72</v>
      </c>
      <c r="S284" s="2">
        <v>31007</v>
      </c>
      <c r="T284" s="2">
        <v>30745</v>
      </c>
      <c r="U284" s="2">
        <v>262</v>
      </c>
    </row>
    <row r="285" spans="1:21" x14ac:dyDescent="0.25">
      <c r="A285" s="1" t="s">
        <v>263</v>
      </c>
      <c r="B285" t="s">
        <v>672</v>
      </c>
      <c r="C285" s="1" t="s">
        <v>298</v>
      </c>
      <c r="D285" t="s">
        <v>623</v>
      </c>
      <c r="E285" s="2">
        <v>424069</v>
      </c>
      <c r="F285" s="2">
        <v>335252</v>
      </c>
      <c r="G285" s="2">
        <v>71806</v>
      </c>
      <c r="H285" s="2">
        <v>263446</v>
      </c>
      <c r="I285" s="2">
        <v>88817</v>
      </c>
      <c r="J285">
        <v>0</v>
      </c>
      <c r="K285">
        <v>352263</v>
      </c>
      <c r="L285">
        <v>684</v>
      </c>
      <c r="M285" s="2">
        <v>182</v>
      </c>
      <c r="N285" s="2">
        <v>866</v>
      </c>
      <c r="O285" s="2">
        <v>43546</v>
      </c>
      <c r="P285" s="2">
        <v>0</v>
      </c>
      <c r="Q285" s="2">
        <v>650</v>
      </c>
      <c r="R285" s="2">
        <v>719</v>
      </c>
      <c r="S285" s="2">
        <v>45781</v>
      </c>
      <c r="T285" s="2">
        <v>44230</v>
      </c>
      <c r="U285" s="2">
        <v>1551</v>
      </c>
    </row>
    <row r="286" spans="1:21" x14ac:dyDescent="0.25">
      <c r="A286" s="1" t="s">
        <v>263</v>
      </c>
      <c r="B286" t="s">
        <v>672</v>
      </c>
      <c r="C286" s="1" t="s">
        <v>299</v>
      </c>
      <c r="D286" t="s">
        <v>624</v>
      </c>
      <c r="E286" s="2">
        <v>142535</v>
      </c>
      <c r="F286" s="2">
        <v>112683</v>
      </c>
      <c r="G286" s="2">
        <v>24135</v>
      </c>
      <c r="H286" s="2">
        <v>88548</v>
      </c>
      <c r="I286" s="2">
        <v>29852</v>
      </c>
      <c r="J286" s="2">
        <v>7572</v>
      </c>
      <c r="K286">
        <v>125972</v>
      </c>
      <c r="L286">
        <v>229</v>
      </c>
      <c r="M286" s="2">
        <v>61</v>
      </c>
      <c r="N286" s="2">
        <v>290</v>
      </c>
      <c r="O286" s="2">
        <v>15415</v>
      </c>
      <c r="P286" s="2">
        <v>0</v>
      </c>
      <c r="Q286" s="2">
        <v>130</v>
      </c>
      <c r="R286" s="2">
        <v>144</v>
      </c>
      <c r="S286" s="2">
        <v>15979</v>
      </c>
      <c r="T286" s="2">
        <v>15644</v>
      </c>
      <c r="U286" s="2">
        <v>335</v>
      </c>
    </row>
    <row r="287" spans="1:21" x14ac:dyDescent="0.25">
      <c r="A287" s="1" t="s">
        <v>263</v>
      </c>
      <c r="B287" t="s">
        <v>672</v>
      </c>
      <c r="C287" s="1" t="s">
        <v>300</v>
      </c>
      <c r="D287" t="s">
        <v>625</v>
      </c>
      <c r="E287" s="2">
        <v>74122</v>
      </c>
      <c r="F287" s="2">
        <v>58598</v>
      </c>
      <c r="G287" s="2">
        <v>12550</v>
      </c>
      <c r="H287" s="2">
        <v>46048</v>
      </c>
      <c r="I287" s="2">
        <v>15524</v>
      </c>
      <c r="J287" s="2">
        <v>5654</v>
      </c>
      <c r="K287">
        <v>67226</v>
      </c>
      <c r="L287">
        <v>119</v>
      </c>
      <c r="M287" s="2">
        <v>31</v>
      </c>
      <c r="N287" s="2">
        <v>150</v>
      </c>
      <c r="O287" s="2">
        <v>8051</v>
      </c>
      <c r="P287" s="2">
        <v>0</v>
      </c>
      <c r="Q287" s="2">
        <v>0</v>
      </c>
      <c r="R287" s="2">
        <v>0</v>
      </c>
      <c r="S287" s="2">
        <v>8201</v>
      </c>
      <c r="T287" s="2">
        <v>8170</v>
      </c>
      <c r="U287" s="2">
        <v>31</v>
      </c>
    </row>
    <row r="288" spans="1:21" x14ac:dyDescent="0.25">
      <c r="A288" s="1" t="s">
        <v>263</v>
      </c>
      <c r="B288" t="s">
        <v>672</v>
      </c>
      <c r="C288" s="1" t="s">
        <v>301</v>
      </c>
      <c r="D288" t="s">
        <v>626</v>
      </c>
      <c r="E288" s="2">
        <v>78576</v>
      </c>
      <c r="F288" s="2">
        <v>62119</v>
      </c>
      <c r="G288" s="2">
        <v>13305</v>
      </c>
      <c r="H288" s="2">
        <v>48814</v>
      </c>
      <c r="I288" s="2">
        <v>16457</v>
      </c>
      <c r="J288" s="2">
        <v>0</v>
      </c>
      <c r="K288">
        <v>65271</v>
      </c>
      <c r="L288">
        <v>127</v>
      </c>
      <c r="M288" s="2">
        <v>34</v>
      </c>
      <c r="N288" s="2">
        <v>161</v>
      </c>
      <c r="O288" s="2">
        <v>8069</v>
      </c>
      <c r="P288" s="2">
        <v>0</v>
      </c>
      <c r="Q288" s="2">
        <v>0</v>
      </c>
      <c r="R288" s="2">
        <v>0</v>
      </c>
      <c r="S288" s="2">
        <v>8230</v>
      </c>
      <c r="T288" s="2">
        <v>8196</v>
      </c>
      <c r="U288" s="2">
        <v>34</v>
      </c>
    </row>
    <row r="289" spans="1:21" x14ac:dyDescent="0.25">
      <c r="A289" s="1" t="s">
        <v>263</v>
      </c>
      <c r="B289" t="s">
        <v>672</v>
      </c>
      <c r="C289" s="1" t="s">
        <v>302</v>
      </c>
      <c r="D289" t="s">
        <v>627</v>
      </c>
      <c r="E289" s="2">
        <v>214932</v>
      </c>
      <c r="F289" s="2">
        <v>169917</v>
      </c>
      <c r="G289" s="2">
        <v>36393</v>
      </c>
      <c r="H289" s="2">
        <v>133524</v>
      </c>
      <c r="I289" s="2">
        <v>45015</v>
      </c>
      <c r="J289" s="2">
        <v>0</v>
      </c>
      <c r="K289">
        <v>178539</v>
      </c>
      <c r="L289">
        <v>348</v>
      </c>
      <c r="M289" s="2">
        <v>92</v>
      </c>
      <c r="N289" s="2">
        <v>440</v>
      </c>
      <c r="O289" s="2">
        <v>22071</v>
      </c>
      <c r="P289" s="2">
        <v>0</v>
      </c>
      <c r="Q289" s="2">
        <v>2665</v>
      </c>
      <c r="R289" s="2">
        <v>2946</v>
      </c>
      <c r="S289" s="2">
        <v>28122</v>
      </c>
      <c r="T289" s="2">
        <v>22419</v>
      </c>
      <c r="U289" s="2">
        <v>5703</v>
      </c>
    </row>
    <row r="290" spans="1:21" x14ac:dyDescent="0.25">
      <c r="A290" s="1" t="s">
        <v>263</v>
      </c>
      <c r="B290" t="s">
        <v>672</v>
      </c>
      <c r="C290" s="1" t="s">
        <v>303</v>
      </c>
      <c r="D290" t="s">
        <v>628</v>
      </c>
      <c r="E290" s="2">
        <v>257801</v>
      </c>
      <c r="F290" s="2">
        <v>203807</v>
      </c>
      <c r="G290" s="2">
        <v>43653</v>
      </c>
      <c r="H290" s="2">
        <v>160154</v>
      </c>
      <c r="I290" s="2">
        <v>53994</v>
      </c>
      <c r="J290">
        <v>0</v>
      </c>
      <c r="K290">
        <v>214148</v>
      </c>
      <c r="L290">
        <v>417</v>
      </c>
      <c r="M290" s="2">
        <v>110</v>
      </c>
      <c r="N290" s="2">
        <v>527</v>
      </c>
      <c r="O290" s="2">
        <v>26473</v>
      </c>
      <c r="P290" s="2">
        <v>0</v>
      </c>
      <c r="Q290" s="2">
        <v>390</v>
      </c>
      <c r="R290" s="2">
        <v>431</v>
      </c>
      <c r="S290" s="2">
        <v>27821</v>
      </c>
      <c r="T290" s="2">
        <v>26890</v>
      </c>
      <c r="U290" s="2">
        <v>931</v>
      </c>
    </row>
    <row r="291" spans="1:21" x14ac:dyDescent="0.25">
      <c r="A291" s="1" t="s">
        <v>263</v>
      </c>
      <c r="B291" t="s">
        <v>672</v>
      </c>
      <c r="C291" s="1" t="s">
        <v>304</v>
      </c>
      <c r="D291" t="s">
        <v>629</v>
      </c>
      <c r="E291" s="2">
        <v>281450</v>
      </c>
      <c r="F291" s="2">
        <v>222503</v>
      </c>
      <c r="G291" s="2">
        <v>47657</v>
      </c>
      <c r="H291" s="2">
        <v>174846</v>
      </c>
      <c r="I291" s="2">
        <v>58947</v>
      </c>
      <c r="J291" s="2">
        <v>0</v>
      </c>
      <c r="K291">
        <v>233793</v>
      </c>
      <c r="L291">
        <v>455</v>
      </c>
      <c r="M291" s="2">
        <v>121</v>
      </c>
      <c r="N291" s="2">
        <v>576</v>
      </c>
      <c r="O291" s="2">
        <v>28901</v>
      </c>
      <c r="P291" s="2">
        <v>0</v>
      </c>
      <c r="Q291" s="2">
        <v>2600</v>
      </c>
      <c r="R291" s="2">
        <v>2874</v>
      </c>
      <c r="S291" s="2">
        <v>34951</v>
      </c>
      <c r="T291" s="2">
        <v>29356</v>
      </c>
      <c r="U291" s="2">
        <v>5595</v>
      </c>
    </row>
    <row r="292" spans="1:21" x14ac:dyDescent="0.25">
      <c r="A292" s="1" t="s">
        <v>263</v>
      </c>
      <c r="B292" t="s">
        <v>672</v>
      </c>
      <c r="C292" s="1" t="s">
        <v>305</v>
      </c>
      <c r="D292" t="s">
        <v>630</v>
      </c>
      <c r="E292" s="2">
        <v>108182</v>
      </c>
      <c r="F292" s="2">
        <v>85524</v>
      </c>
      <c r="G292" s="2">
        <v>18318</v>
      </c>
      <c r="H292" s="2">
        <v>67206</v>
      </c>
      <c r="I292" s="2">
        <v>22658</v>
      </c>
      <c r="J292" s="2">
        <v>8921</v>
      </c>
      <c r="K292">
        <v>98785</v>
      </c>
      <c r="L292">
        <v>174</v>
      </c>
      <c r="M292" s="2">
        <v>46</v>
      </c>
      <c r="N292" s="2">
        <v>220</v>
      </c>
      <c r="O292" s="2">
        <v>11391</v>
      </c>
      <c r="P292" s="2">
        <v>0</v>
      </c>
      <c r="Q292" s="2">
        <v>0</v>
      </c>
      <c r="R292" s="2">
        <v>0</v>
      </c>
      <c r="S292" s="2">
        <v>11611</v>
      </c>
      <c r="T292" s="2">
        <v>11565</v>
      </c>
      <c r="U292" s="2">
        <v>46</v>
      </c>
    </row>
    <row r="293" spans="1:21" x14ac:dyDescent="0.25">
      <c r="A293" s="1" t="s">
        <v>263</v>
      </c>
      <c r="B293" t="s">
        <v>672</v>
      </c>
      <c r="C293" s="1" t="s">
        <v>306</v>
      </c>
      <c r="D293" t="s">
        <v>631</v>
      </c>
      <c r="E293" s="2">
        <v>134292</v>
      </c>
      <c r="F293" s="2">
        <v>106166</v>
      </c>
      <c r="G293" s="2">
        <v>22739</v>
      </c>
      <c r="H293" s="2">
        <v>83427</v>
      </c>
      <c r="I293" s="2">
        <v>28126</v>
      </c>
      <c r="J293" s="2">
        <v>13668</v>
      </c>
      <c r="K293">
        <v>125221</v>
      </c>
      <c r="L293">
        <v>215</v>
      </c>
      <c r="M293" s="2">
        <v>57</v>
      </c>
      <c r="N293" s="2">
        <v>272</v>
      </c>
      <c r="O293" s="2">
        <v>14005</v>
      </c>
      <c r="P293" s="2">
        <v>0</v>
      </c>
      <c r="Q293" s="2">
        <v>0</v>
      </c>
      <c r="R293" s="2">
        <v>0</v>
      </c>
      <c r="S293" s="2">
        <v>14277</v>
      </c>
      <c r="T293" s="2">
        <v>14220</v>
      </c>
      <c r="U293" s="2">
        <v>57</v>
      </c>
    </row>
    <row r="294" spans="1:21" x14ac:dyDescent="0.25">
      <c r="A294" s="1" t="s">
        <v>263</v>
      </c>
      <c r="B294" t="s">
        <v>672</v>
      </c>
      <c r="C294" s="1" t="s">
        <v>307</v>
      </c>
      <c r="D294" t="s">
        <v>632</v>
      </c>
      <c r="E294" s="2">
        <v>199878</v>
      </c>
      <c r="F294" s="2">
        <v>158016</v>
      </c>
      <c r="G294" s="2">
        <v>33844</v>
      </c>
      <c r="H294" s="2">
        <v>124172</v>
      </c>
      <c r="I294" s="2">
        <v>41862</v>
      </c>
      <c r="J294">
        <v>0</v>
      </c>
      <c r="K294">
        <v>166034</v>
      </c>
      <c r="L294">
        <v>323</v>
      </c>
      <c r="M294" s="2">
        <v>85</v>
      </c>
      <c r="N294" s="2">
        <v>408</v>
      </c>
      <c r="O294" s="2">
        <v>20525</v>
      </c>
      <c r="P294" s="2">
        <v>0</v>
      </c>
      <c r="Q294" s="2">
        <v>260</v>
      </c>
      <c r="R294" s="2">
        <v>287</v>
      </c>
      <c r="S294" s="2">
        <v>21480</v>
      </c>
      <c r="T294" s="2">
        <v>20848</v>
      </c>
      <c r="U294" s="2">
        <v>632</v>
      </c>
    </row>
    <row r="295" spans="1:21" x14ac:dyDescent="0.25">
      <c r="A295" s="1" t="s">
        <v>308</v>
      </c>
      <c r="B295" t="s">
        <v>673</v>
      </c>
      <c r="C295" s="1" t="s">
        <v>309</v>
      </c>
      <c r="D295" t="s">
        <v>633</v>
      </c>
      <c r="E295" s="2">
        <v>419878</v>
      </c>
      <c r="F295" s="2">
        <v>334468</v>
      </c>
      <c r="G295" s="2">
        <v>71638</v>
      </c>
      <c r="H295" s="2">
        <v>262830</v>
      </c>
      <c r="I295" s="2">
        <v>85410</v>
      </c>
      <c r="J295">
        <v>0</v>
      </c>
      <c r="K295">
        <v>348240</v>
      </c>
      <c r="L295">
        <v>765</v>
      </c>
      <c r="M295" s="2">
        <v>195</v>
      </c>
      <c r="N295" s="2">
        <v>960</v>
      </c>
      <c r="O295" s="2">
        <v>42245</v>
      </c>
      <c r="P295" s="2">
        <v>0</v>
      </c>
      <c r="Q295" s="2">
        <v>455</v>
      </c>
      <c r="R295" s="2">
        <v>500</v>
      </c>
      <c r="S295" s="2">
        <v>44160</v>
      </c>
      <c r="T295" s="2">
        <v>43010</v>
      </c>
      <c r="U295" s="2">
        <v>1150</v>
      </c>
    </row>
    <row r="296" spans="1:21" x14ac:dyDescent="0.25">
      <c r="A296" s="1" t="s">
        <v>308</v>
      </c>
      <c r="B296" t="s">
        <v>673</v>
      </c>
      <c r="C296" s="1" t="s">
        <v>310</v>
      </c>
      <c r="D296" t="s">
        <v>634</v>
      </c>
      <c r="E296" s="2">
        <v>1531760</v>
      </c>
      <c r="F296" s="2">
        <v>1220174</v>
      </c>
      <c r="G296" s="2">
        <v>261342</v>
      </c>
      <c r="H296" s="2">
        <v>958832</v>
      </c>
      <c r="I296" s="2">
        <v>311586</v>
      </c>
      <c r="J296" s="2">
        <v>6605</v>
      </c>
      <c r="K296" s="2">
        <v>1277023</v>
      </c>
      <c r="L296" s="2">
        <v>2788</v>
      </c>
      <c r="M296" s="2">
        <v>711</v>
      </c>
      <c r="N296" s="2">
        <v>3499</v>
      </c>
      <c r="O296" s="2">
        <v>154724</v>
      </c>
      <c r="P296" s="2">
        <v>0</v>
      </c>
      <c r="Q296" s="2">
        <v>20852</v>
      </c>
      <c r="R296" s="2">
        <v>22929</v>
      </c>
      <c r="S296" s="2">
        <v>202004</v>
      </c>
      <c r="T296" s="2">
        <v>157512</v>
      </c>
      <c r="U296" s="2">
        <v>44492</v>
      </c>
    </row>
    <row r="297" spans="1:21" x14ac:dyDescent="0.25">
      <c r="A297" s="1" t="s">
        <v>308</v>
      </c>
      <c r="B297" t="s">
        <v>673</v>
      </c>
      <c r="C297" s="1" t="s">
        <v>311</v>
      </c>
      <c r="D297" t="s">
        <v>635</v>
      </c>
      <c r="E297" s="2">
        <v>221442</v>
      </c>
      <c r="F297" s="2">
        <v>176397</v>
      </c>
      <c r="G297" s="2">
        <v>37782</v>
      </c>
      <c r="H297" s="2">
        <v>138615</v>
      </c>
      <c r="I297" s="2">
        <v>45045</v>
      </c>
      <c r="J297" s="2">
        <v>0</v>
      </c>
      <c r="K297">
        <v>183660</v>
      </c>
      <c r="L297">
        <v>403</v>
      </c>
      <c r="M297" s="2">
        <v>103</v>
      </c>
      <c r="N297" s="2">
        <v>506</v>
      </c>
      <c r="O297" s="2">
        <v>22280</v>
      </c>
      <c r="P297" s="2">
        <v>0</v>
      </c>
      <c r="Q297" s="2">
        <v>195</v>
      </c>
      <c r="R297" s="2">
        <v>214</v>
      </c>
      <c r="S297" s="2">
        <v>23195</v>
      </c>
      <c r="T297" s="2">
        <v>22683</v>
      </c>
      <c r="U297" s="2">
        <v>512</v>
      </c>
    </row>
    <row r="298" spans="1:21" x14ac:dyDescent="0.25">
      <c r="A298" s="1" t="s">
        <v>308</v>
      </c>
      <c r="B298" t="s">
        <v>673</v>
      </c>
      <c r="C298" s="1" t="s">
        <v>312</v>
      </c>
      <c r="D298" t="s">
        <v>636</v>
      </c>
      <c r="E298" s="2">
        <v>498865</v>
      </c>
      <c r="F298" s="2">
        <v>397388</v>
      </c>
      <c r="G298" s="2">
        <v>85114</v>
      </c>
      <c r="H298" s="2">
        <v>312274</v>
      </c>
      <c r="I298" s="2">
        <v>101477</v>
      </c>
      <c r="J298" s="2">
        <v>15058</v>
      </c>
      <c r="K298" s="2">
        <v>428809</v>
      </c>
      <c r="L298">
        <v>908</v>
      </c>
      <c r="M298" s="2">
        <v>232</v>
      </c>
      <c r="N298" s="2">
        <v>1140</v>
      </c>
      <c r="O298" s="2">
        <v>51689</v>
      </c>
      <c r="P298" s="2">
        <v>0</v>
      </c>
      <c r="Q298" s="2">
        <v>0</v>
      </c>
      <c r="R298" s="2">
        <v>0</v>
      </c>
      <c r="S298" s="2">
        <v>52829</v>
      </c>
      <c r="T298" s="2">
        <v>52597</v>
      </c>
      <c r="U298" s="2">
        <v>232</v>
      </c>
    </row>
    <row r="299" spans="1:21" x14ac:dyDescent="0.25">
      <c r="A299" s="1" t="s">
        <v>308</v>
      </c>
      <c r="B299" t="s">
        <v>673</v>
      </c>
      <c r="C299" s="1" t="s">
        <v>313</v>
      </c>
      <c r="D299" t="s">
        <v>637</v>
      </c>
      <c r="E299" s="2">
        <v>327985</v>
      </c>
      <c r="F299" s="2">
        <v>261267</v>
      </c>
      <c r="G299" s="2">
        <v>55960</v>
      </c>
      <c r="H299" s="2">
        <v>205307</v>
      </c>
      <c r="I299" s="2">
        <v>66718</v>
      </c>
      <c r="J299">
        <v>0</v>
      </c>
      <c r="K299">
        <v>272025</v>
      </c>
      <c r="L299">
        <v>596</v>
      </c>
      <c r="M299" s="2">
        <v>152</v>
      </c>
      <c r="N299" s="2">
        <v>748</v>
      </c>
      <c r="O299" s="2">
        <v>32999</v>
      </c>
      <c r="P299" s="2">
        <v>0</v>
      </c>
      <c r="Q299" s="2">
        <v>1429</v>
      </c>
      <c r="R299" s="2">
        <v>1571</v>
      </c>
      <c r="S299" s="2">
        <v>36747</v>
      </c>
      <c r="T299" s="2">
        <v>33595</v>
      </c>
      <c r="U299" s="2">
        <v>3152</v>
      </c>
    </row>
    <row r="300" spans="1:21" x14ac:dyDescent="0.25">
      <c r="A300" s="1" t="s">
        <v>308</v>
      </c>
      <c r="B300" t="s">
        <v>673</v>
      </c>
      <c r="C300" s="1" t="s">
        <v>314</v>
      </c>
      <c r="D300" t="s">
        <v>638</v>
      </c>
      <c r="E300" s="2">
        <v>511862</v>
      </c>
      <c r="F300" s="2">
        <v>407740</v>
      </c>
      <c r="G300" s="2">
        <v>87331</v>
      </c>
      <c r="H300" s="2">
        <v>320409</v>
      </c>
      <c r="I300" s="2">
        <v>104122</v>
      </c>
      <c r="J300" s="2">
        <v>0</v>
      </c>
      <c r="K300" s="2">
        <v>424531</v>
      </c>
      <c r="L300">
        <v>930</v>
      </c>
      <c r="M300" s="2">
        <v>238</v>
      </c>
      <c r="N300" s="2">
        <v>1168</v>
      </c>
      <c r="O300" s="2">
        <v>51499</v>
      </c>
      <c r="P300" s="2">
        <v>0</v>
      </c>
      <c r="Q300" s="2">
        <v>520</v>
      </c>
      <c r="R300" s="2">
        <v>571</v>
      </c>
      <c r="S300" s="2">
        <v>53758</v>
      </c>
      <c r="T300" s="2">
        <v>52429</v>
      </c>
      <c r="U300" s="2">
        <v>1329</v>
      </c>
    </row>
    <row r="301" spans="1:21" x14ac:dyDescent="0.25">
      <c r="A301" s="1" t="s">
        <v>308</v>
      </c>
      <c r="B301" t="s">
        <v>673</v>
      </c>
      <c r="C301" s="1" t="s">
        <v>315</v>
      </c>
      <c r="D301" t="s">
        <v>639</v>
      </c>
      <c r="E301" s="2">
        <v>159540</v>
      </c>
      <c r="F301" s="2">
        <v>127087</v>
      </c>
      <c r="G301" s="2">
        <v>27220</v>
      </c>
      <c r="H301" s="2">
        <v>99867</v>
      </c>
      <c r="I301" s="2">
        <v>32453</v>
      </c>
      <c r="J301" s="2">
        <v>13570</v>
      </c>
      <c r="K301">
        <v>145890</v>
      </c>
      <c r="L301">
        <v>290</v>
      </c>
      <c r="M301" s="2">
        <v>74</v>
      </c>
      <c r="N301" s="2">
        <v>364</v>
      </c>
      <c r="O301" s="2">
        <v>16535</v>
      </c>
      <c r="P301" s="2">
        <v>0</v>
      </c>
      <c r="Q301" s="2">
        <v>715</v>
      </c>
      <c r="R301" s="2">
        <v>786</v>
      </c>
      <c r="S301" s="2">
        <v>18400</v>
      </c>
      <c r="T301" s="2">
        <v>16825</v>
      </c>
      <c r="U301" s="2">
        <v>1575</v>
      </c>
    </row>
    <row r="302" spans="1:21" x14ac:dyDescent="0.25">
      <c r="A302" s="1" t="s">
        <v>308</v>
      </c>
      <c r="B302" t="s">
        <v>673</v>
      </c>
      <c r="C302" s="1" t="s">
        <v>316</v>
      </c>
      <c r="D302" t="s">
        <v>640</v>
      </c>
      <c r="E302" s="2">
        <v>427352</v>
      </c>
      <c r="F302" s="2">
        <v>340421</v>
      </c>
      <c r="G302" s="2">
        <v>72913</v>
      </c>
      <c r="H302" s="2">
        <v>267508</v>
      </c>
      <c r="I302" s="2">
        <v>86931</v>
      </c>
      <c r="J302" s="2">
        <v>0</v>
      </c>
      <c r="K302">
        <v>354439</v>
      </c>
      <c r="L302">
        <v>778</v>
      </c>
      <c r="M302" s="2">
        <v>199</v>
      </c>
      <c r="N302" s="2">
        <v>977</v>
      </c>
      <c r="O302" s="2">
        <v>42997</v>
      </c>
      <c r="P302" s="2">
        <v>0</v>
      </c>
      <c r="Q302" s="2">
        <v>325</v>
      </c>
      <c r="R302" s="2">
        <v>357</v>
      </c>
      <c r="S302" s="2">
        <v>44656</v>
      </c>
      <c r="T302" s="2">
        <v>43775</v>
      </c>
      <c r="U302" s="2">
        <v>881</v>
      </c>
    </row>
    <row r="303" spans="1:21" x14ac:dyDescent="0.25">
      <c r="A303" s="1" t="s">
        <v>308</v>
      </c>
      <c r="B303" t="s">
        <v>673</v>
      </c>
      <c r="C303" s="1" t="s">
        <v>317</v>
      </c>
      <c r="D303" t="s">
        <v>641</v>
      </c>
      <c r="E303" s="2">
        <v>300859</v>
      </c>
      <c r="F303" s="2">
        <v>239659</v>
      </c>
      <c r="G303" s="2">
        <v>51332</v>
      </c>
      <c r="H303" s="2">
        <v>188327</v>
      </c>
      <c r="I303" s="2">
        <v>61200</v>
      </c>
      <c r="J303" s="2">
        <v>6723</v>
      </c>
      <c r="K303">
        <v>256250</v>
      </c>
      <c r="L303">
        <v>549</v>
      </c>
      <c r="M303" s="2">
        <v>140</v>
      </c>
      <c r="N303" s="2">
        <v>689</v>
      </c>
      <c r="O303" s="2">
        <v>30270</v>
      </c>
      <c r="P303" s="2">
        <v>0</v>
      </c>
      <c r="Q303" s="2">
        <v>1169</v>
      </c>
      <c r="R303" s="2">
        <v>1286</v>
      </c>
      <c r="S303" s="2">
        <v>33414</v>
      </c>
      <c r="T303" s="2">
        <v>30819</v>
      </c>
      <c r="U303" s="2">
        <v>2595</v>
      </c>
    </row>
    <row r="304" spans="1:21" x14ac:dyDescent="0.25">
      <c r="A304" s="1" t="s">
        <v>308</v>
      </c>
      <c r="B304" t="s">
        <v>673</v>
      </c>
      <c r="C304" s="1" t="s">
        <v>318</v>
      </c>
      <c r="D304" t="s">
        <v>642</v>
      </c>
      <c r="E304" s="2">
        <v>591739</v>
      </c>
      <c r="F304" s="2">
        <v>471369</v>
      </c>
      <c r="G304" s="2">
        <v>100959</v>
      </c>
      <c r="H304" s="2">
        <v>370410</v>
      </c>
      <c r="I304" s="2">
        <v>120370</v>
      </c>
      <c r="J304" s="2">
        <v>14616</v>
      </c>
      <c r="K304" s="2">
        <v>505396</v>
      </c>
      <c r="L304" s="2">
        <v>1076</v>
      </c>
      <c r="M304" s="2">
        <v>275</v>
      </c>
      <c r="N304" s="2">
        <v>1351</v>
      </c>
      <c r="O304" s="2">
        <v>60397</v>
      </c>
      <c r="P304" s="2">
        <v>0</v>
      </c>
      <c r="Q304" s="2">
        <v>11563</v>
      </c>
      <c r="R304" s="2">
        <v>12715</v>
      </c>
      <c r="S304" s="2">
        <v>86026</v>
      </c>
      <c r="T304" s="2">
        <v>61473</v>
      </c>
      <c r="U304" s="2">
        <v>24553</v>
      </c>
    </row>
    <row r="305" spans="1:21" x14ac:dyDescent="0.25">
      <c r="A305" s="1" t="s">
        <v>308</v>
      </c>
      <c r="B305" t="s">
        <v>673</v>
      </c>
      <c r="C305" s="1" t="s">
        <v>319</v>
      </c>
      <c r="D305" t="s">
        <v>643</v>
      </c>
      <c r="E305" s="2">
        <v>839060</v>
      </c>
      <c r="F305" s="2">
        <v>668381</v>
      </c>
      <c r="G305" s="2">
        <v>143156</v>
      </c>
      <c r="H305" s="2">
        <v>525225</v>
      </c>
      <c r="I305" s="2">
        <v>170679</v>
      </c>
      <c r="J305" s="2">
        <v>0</v>
      </c>
      <c r="K305" s="2">
        <v>695904</v>
      </c>
      <c r="L305" s="2">
        <v>1526</v>
      </c>
      <c r="M305" s="2">
        <v>390</v>
      </c>
      <c r="N305" s="2">
        <v>1916</v>
      </c>
      <c r="O305" s="2">
        <v>84419</v>
      </c>
      <c r="P305" s="2">
        <v>0</v>
      </c>
      <c r="Q305" s="2">
        <v>19358</v>
      </c>
      <c r="R305" s="2">
        <v>21286</v>
      </c>
      <c r="S305" s="2">
        <v>126979</v>
      </c>
      <c r="T305" s="2">
        <v>85945</v>
      </c>
      <c r="U305" s="2">
        <v>41034</v>
      </c>
    </row>
    <row r="306" spans="1:21" x14ac:dyDescent="0.25">
      <c r="A306" s="1" t="s">
        <v>308</v>
      </c>
      <c r="B306" t="s">
        <v>673</v>
      </c>
      <c r="C306" s="1" t="s">
        <v>320</v>
      </c>
      <c r="D306" t="s">
        <v>644</v>
      </c>
      <c r="E306" s="2">
        <v>745635</v>
      </c>
      <c r="F306" s="2">
        <v>593960</v>
      </c>
      <c r="G306" s="2">
        <v>127217</v>
      </c>
      <c r="H306" s="2">
        <v>466743</v>
      </c>
      <c r="I306" s="2">
        <v>151675</v>
      </c>
      <c r="J306" s="2">
        <v>0</v>
      </c>
      <c r="K306" s="2">
        <v>618418</v>
      </c>
      <c r="L306" s="2">
        <v>1358</v>
      </c>
      <c r="M306" s="2">
        <v>347</v>
      </c>
      <c r="N306" s="2">
        <v>1705</v>
      </c>
      <c r="O306" s="2">
        <v>75020</v>
      </c>
      <c r="P306" s="2">
        <v>0</v>
      </c>
      <c r="Q306" s="2">
        <v>6756</v>
      </c>
      <c r="R306" s="2">
        <v>7429</v>
      </c>
      <c r="S306" s="2">
        <v>90910</v>
      </c>
      <c r="T306" s="2">
        <v>76378</v>
      </c>
      <c r="U306" s="2">
        <v>14532</v>
      </c>
    </row>
    <row r="307" spans="1:21" x14ac:dyDescent="0.25">
      <c r="A307" s="1" t="s">
        <v>308</v>
      </c>
      <c r="B307" t="s">
        <v>673</v>
      </c>
      <c r="C307" s="1" t="s">
        <v>321</v>
      </c>
      <c r="D307" t="s">
        <v>645</v>
      </c>
      <c r="E307" s="2">
        <v>127207</v>
      </c>
      <c r="F307" s="2">
        <v>101331</v>
      </c>
      <c r="G307" s="2">
        <v>21703</v>
      </c>
      <c r="H307" s="2">
        <v>79628</v>
      </c>
      <c r="I307" s="2">
        <v>25876</v>
      </c>
      <c r="J307" s="2">
        <v>6377</v>
      </c>
      <c r="K307">
        <v>111881</v>
      </c>
      <c r="L307">
        <v>232</v>
      </c>
      <c r="M307" s="2">
        <v>59</v>
      </c>
      <c r="N307" s="2">
        <v>291</v>
      </c>
      <c r="O307" s="2">
        <v>13435</v>
      </c>
      <c r="P307" s="2">
        <v>0</v>
      </c>
      <c r="Q307" s="2">
        <v>260</v>
      </c>
      <c r="R307" s="2">
        <v>286</v>
      </c>
      <c r="S307" s="2">
        <v>14272</v>
      </c>
      <c r="T307" s="2">
        <v>13667</v>
      </c>
      <c r="U307" s="2">
        <v>605</v>
      </c>
    </row>
    <row r="308" spans="1:21" x14ac:dyDescent="0.25">
      <c r="A308" s="1" t="s">
        <v>308</v>
      </c>
      <c r="B308" t="s">
        <v>673</v>
      </c>
      <c r="C308" s="1" t="s">
        <v>322</v>
      </c>
      <c r="D308" t="s">
        <v>646</v>
      </c>
      <c r="E308" s="2">
        <v>332642</v>
      </c>
      <c r="F308" s="2">
        <v>264977</v>
      </c>
      <c r="G308" s="2">
        <v>56754</v>
      </c>
      <c r="H308" s="2">
        <v>208223</v>
      </c>
      <c r="I308" s="2">
        <v>67665</v>
      </c>
      <c r="J308" s="2">
        <v>0</v>
      </c>
      <c r="K308">
        <v>275888</v>
      </c>
      <c r="L308">
        <v>604</v>
      </c>
      <c r="M308" s="2">
        <v>155</v>
      </c>
      <c r="N308" s="2">
        <v>759</v>
      </c>
      <c r="O308" s="2">
        <v>33468</v>
      </c>
      <c r="P308" s="2">
        <v>0</v>
      </c>
      <c r="Q308" s="2">
        <v>455</v>
      </c>
      <c r="R308" s="2">
        <v>500</v>
      </c>
      <c r="S308" s="2">
        <v>35182</v>
      </c>
      <c r="T308" s="2">
        <v>34072</v>
      </c>
      <c r="U308" s="2">
        <v>1110</v>
      </c>
    </row>
    <row r="309" spans="1:21" x14ac:dyDescent="0.25">
      <c r="A309" s="1" t="s">
        <v>308</v>
      </c>
      <c r="B309" t="s">
        <v>673</v>
      </c>
      <c r="C309" s="1" t="s">
        <v>323</v>
      </c>
      <c r="D309" t="s">
        <v>647</v>
      </c>
      <c r="E309" s="2">
        <v>121642</v>
      </c>
      <c r="F309" s="2">
        <v>96898</v>
      </c>
      <c r="G309" s="2">
        <v>20754</v>
      </c>
      <c r="H309" s="2">
        <v>76144</v>
      </c>
      <c r="I309" s="2">
        <v>24744</v>
      </c>
      <c r="J309" s="2">
        <v>6922</v>
      </c>
      <c r="K309">
        <v>107810</v>
      </c>
      <c r="L309">
        <v>221</v>
      </c>
      <c r="M309" s="2">
        <v>56</v>
      </c>
      <c r="N309" s="2">
        <v>277</v>
      </c>
      <c r="O309" s="2">
        <v>12362</v>
      </c>
      <c r="P309" s="2">
        <v>0</v>
      </c>
      <c r="Q309" s="2">
        <v>0</v>
      </c>
      <c r="R309" s="2">
        <v>0</v>
      </c>
      <c r="S309" s="2">
        <v>12639</v>
      </c>
      <c r="T309" s="2">
        <v>12583</v>
      </c>
      <c r="U309" s="2">
        <v>56</v>
      </c>
    </row>
    <row r="310" spans="1:21" x14ac:dyDescent="0.25">
      <c r="A310" s="1" t="s">
        <v>308</v>
      </c>
      <c r="B310" t="s">
        <v>673</v>
      </c>
      <c r="C310" s="1" t="s">
        <v>324</v>
      </c>
      <c r="D310" t="s">
        <v>648</v>
      </c>
      <c r="E310" s="2">
        <v>76153</v>
      </c>
      <c r="F310" s="2">
        <v>60662</v>
      </c>
      <c r="G310" s="2">
        <v>12992</v>
      </c>
      <c r="H310" s="2">
        <v>47670</v>
      </c>
      <c r="I310" s="2">
        <v>15491</v>
      </c>
      <c r="J310" s="2">
        <v>49</v>
      </c>
      <c r="K310">
        <v>63210</v>
      </c>
      <c r="L310">
        <v>138</v>
      </c>
      <c r="M310" s="2">
        <v>35</v>
      </c>
      <c r="N310" s="2">
        <v>173</v>
      </c>
      <c r="O310" s="2">
        <v>7664</v>
      </c>
      <c r="P310" s="2">
        <v>0</v>
      </c>
      <c r="Q310" s="2">
        <v>0</v>
      </c>
      <c r="R310" s="2">
        <v>0</v>
      </c>
      <c r="S310" s="2">
        <v>7837</v>
      </c>
      <c r="T310" s="2">
        <v>7802</v>
      </c>
      <c r="U310" s="2">
        <v>35</v>
      </c>
    </row>
    <row r="311" spans="1:21" x14ac:dyDescent="0.25">
      <c r="A311" s="1" t="s">
        <v>308</v>
      </c>
      <c r="B311" t="s">
        <v>673</v>
      </c>
      <c r="C311" s="1" t="s">
        <v>325</v>
      </c>
      <c r="D311" t="s">
        <v>649</v>
      </c>
      <c r="E311" s="2">
        <v>77653</v>
      </c>
      <c r="F311" s="2">
        <v>61857</v>
      </c>
      <c r="G311" s="2">
        <v>13248</v>
      </c>
      <c r="H311" s="2">
        <v>48609</v>
      </c>
      <c r="I311" s="2">
        <v>15796</v>
      </c>
      <c r="J311" s="2">
        <v>0</v>
      </c>
      <c r="K311">
        <v>64405</v>
      </c>
      <c r="L311">
        <v>141</v>
      </c>
      <c r="M311" s="2">
        <v>36</v>
      </c>
      <c r="N311" s="2">
        <v>177</v>
      </c>
      <c r="O311" s="2">
        <v>7813</v>
      </c>
      <c r="P311" s="2">
        <v>0</v>
      </c>
      <c r="Q311" s="2">
        <v>0</v>
      </c>
      <c r="R311" s="2">
        <v>0</v>
      </c>
      <c r="S311" s="2">
        <v>7990</v>
      </c>
      <c r="T311" s="2">
        <v>7954</v>
      </c>
      <c r="U311" s="2">
        <v>36</v>
      </c>
    </row>
    <row r="312" spans="1:21" x14ac:dyDescent="0.25">
      <c r="A312" s="1" t="s">
        <v>308</v>
      </c>
      <c r="B312" t="s">
        <v>673</v>
      </c>
      <c r="C312" s="1" t="s">
        <v>326</v>
      </c>
      <c r="D312" t="s">
        <v>650</v>
      </c>
      <c r="E312" s="2">
        <v>691325</v>
      </c>
      <c r="F312" s="2">
        <v>550697</v>
      </c>
      <c r="G312" s="2">
        <v>117950</v>
      </c>
      <c r="H312" s="2">
        <v>432747</v>
      </c>
      <c r="I312" s="2">
        <v>140628</v>
      </c>
      <c r="J312" s="2">
        <v>0</v>
      </c>
      <c r="K312" s="2">
        <v>573375</v>
      </c>
      <c r="L312" s="2">
        <v>1259</v>
      </c>
      <c r="M312" s="2">
        <v>321</v>
      </c>
      <c r="N312" s="2">
        <v>1580</v>
      </c>
      <c r="O312" s="2">
        <v>69555</v>
      </c>
      <c r="P312" s="2">
        <v>0</v>
      </c>
      <c r="Q312" s="2">
        <v>455</v>
      </c>
      <c r="R312" s="2">
        <v>500</v>
      </c>
      <c r="S312" s="2">
        <v>72090</v>
      </c>
      <c r="T312" s="2">
        <v>70814</v>
      </c>
      <c r="U312" s="2">
        <v>1276</v>
      </c>
    </row>
    <row r="313" spans="1:21" x14ac:dyDescent="0.25">
      <c r="A313" s="1" t="s">
        <v>308</v>
      </c>
      <c r="B313" t="s">
        <v>673</v>
      </c>
      <c r="C313" s="1" t="s">
        <v>327</v>
      </c>
      <c r="D313" t="s">
        <v>651</v>
      </c>
      <c r="E313" s="2">
        <v>212316</v>
      </c>
      <c r="F313" s="2">
        <v>169127</v>
      </c>
      <c r="G313" s="2">
        <v>36224</v>
      </c>
      <c r="H313" s="2">
        <v>132903</v>
      </c>
      <c r="I313" s="2">
        <v>43189</v>
      </c>
      <c r="J313">
        <v>0</v>
      </c>
      <c r="K313">
        <v>176092</v>
      </c>
      <c r="L313">
        <v>386</v>
      </c>
      <c r="M313" s="2">
        <v>99</v>
      </c>
      <c r="N313" s="2">
        <v>485</v>
      </c>
      <c r="O313" s="2">
        <v>21362</v>
      </c>
      <c r="P313" s="2">
        <v>0</v>
      </c>
      <c r="Q313" s="2">
        <v>715</v>
      </c>
      <c r="R313" s="2">
        <v>786</v>
      </c>
      <c r="S313" s="2">
        <v>23348</v>
      </c>
      <c r="T313" s="2">
        <v>21748</v>
      </c>
      <c r="U313" s="2">
        <v>1600</v>
      </c>
    </row>
    <row r="314" spans="1:21" x14ac:dyDescent="0.25">
      <c r="A314" s="1" t="s">
        <v>308</v>
      </c>
      <c r="B314" t="s">
        <v>673</v>
      </c>
      <c r="C314" s="1" t="s">
        <v>328</v>
      </c>
      <c r="D314" t="s">
        <v>652</v>
      </c>
      <c r="E314" s="2">
        <v>181874</v>
      </c>
      <c r="F314" s="2">
        <v>144878</v>
      </c>
      <c r="G314" s="2">
        <v>31031</v>
      </c>
      <c r="H314" s="2">
        <v>113847</v>
      </c>
      <c r="I314" s="2">
        <v>36996</v>
      </c>
      <c r="J314" s="2">
        <v>4780</v>
      </c>
      <c r="K314">
        <v>155623</v>
      </c>
      <c r="L314">
        <v>331</v>
      </c>
      <c r="M314" s="2">
        <v>85</v>
      </c>
      <c r="N314" s="2">
        <v>416</v>
      </c>
      <c r="O314" s="2">
        <v>18299</v>
      </c>
      <c r="P314" s="2">
        <v>0</v>
      </c>
      <c r="Q314" s="2">
        <v>2079</v>
      </c>
      <c r="R314" s="2">
        <v>2286</v>
      </c>
      <c r="S314" s="2">
        <v>23080</v>
      </c>
      <c r="T314" s="2">
        <v>18630</v>
      </c>
      <c r="U314" s="2">
        <v>4450</v>
      </c>
    </row>
    <row r="315" spans="1:21" x14ac:dyDescent="0.25">
      <c r="A315" s="1" t="s">
        <v>308</v>
      </c>
      <c r="B315" t="s">
        <v>673</v>
      </c>
      <c r="C315" s="1" t="s">
        <v>329</v>
      </c>
      <c r="D315" t="s">
        <v>653</v>
      </c>
      <c r="E315" s="2">
        <v>848654</v>
      </c>
      <c r="F315" s="2">
        <v>676023</v>
      </c>
      <c r="G315" s="2">
        <v>144794</v>
      </c>
      <c r="H315" s="2">
        <v>531229</v>
      </c>
      <c r="I315" s="2">
        <v>172631</v>
      </c>
      <c r="J315" s="2">
        <v>0</v>
      </c>
      <c r="K315" s="2">
        <v>703860</v>
      </c>
      <c r="L315" s="2">
        <v>1543</v>
      </c>
      <c r="M315" s="2">
        <v>394</v>
      </c>
      <c r="N315" s="2">
        <v>1937</v>
      </c>
      <c r="O315" s="2">
        <v>85385</v>
      </c>
      <c r="P315" s="2">
        <v>0</v>
      </c>
      <c r="Q315" s="2">
        <v>12537</v>
      </c>
      <c r="R315" s="2">
        <v>13786</v>
      </c>
      <c r="S315" s="2">
        <v>113645</v>
      </c>
      <c r="T315" s="2">
        <v>86928</v>
      </c>
      <c r="U315" s="2">
        <v>26717</v>
      </c>
    </row>
    <row r="316" spans="1:21" x14ac:dyDescent="0.25">
      <c r="A316" s="1" t="s">
        <v>308</v>
      </c>
      <c r="B316" t="s">
        <v>673</v>
      </c>
      <c r="C316" s="1" t="s">
        <v>330</v>
      </c>
      <c r="D316" t="s">
        <v>654</v>
      </c>
      <c r="E316" s="2">
        <v>2027632</v>
      </c>
      <c r="F316" s="2">
        <v>1615177</v>
      </c>
      <c r="G316" s="2">
        <v>345945</v>
      </c>
      <c r="H316" s="2">
        <v>1269232</v>
      </c>
      <c r="I316" s="2">
        <v>412455</v>
      </c>
      <c r="J316" s="2">
        <v>0</v>
      </c>
      <c r="K316" s="2">
        <v>1681687</v>
      </c>
      <c r="L316" s="2">
        <v>3690</v>
      </c>
      <c r="M316" s="2">
        <v>942</v>
      </c>
      <c r="N316" s="2">
        <v>4632</v>
      </c>
      <c r="O316" s="2">
        <v>204004</v>
      </c>
      <c r="P316" s="2">
        <v>0</v>
      </c>
      <c r="Q316" s="2">
        <v>11043</v>
      </c>
      <c r="R316" s="2">
        <v>12143</v>
      </c>
      <c r="S316" s="2">
        <v>231822</v>
      </c>
      <c r="T316" s="2">
        <v>207694</v>
      </c>
      <c r="U316" s="2">
        <v>24128</v>
      </c>
    </row>
    <row r="317" spans="1:21" x14ac:dyDescent="0.25">
      <c r="A317" s="1" t="s">
        <v>308</v>
      </c>
      <c r="B317" t="s">
        <v>673</v>
      </c>
      <c r="C317" s="1" t="s">
        <v>331</v>
      </c>
      <c r="D317" t="s">
        <v>655</v>
      </c>
      <c r="E317" s="2">
        <v>204375</v>
      </c>
      <c r="F317" s="2">
        <v>162801</v>
      </c>
      <c r="G317" s="2">
        <v>34870</v>
      </c>
      <c r="H317" s="2">
        <v>127931</v>
      </c>
      <c r="I317" s="2">
        <v>41574</v>
      </c>
      <c r="J317" s="2">
        <v>5355</v>
      </c>
      <c r="K317">
        <v>174860</v>
      </c>
      <c r="L317">
        <v>373</v>
      </c>
      <c r="M317" s="2">
        <v>95</v>
      </c>
      <c r="N317" s="2">
        <v>468</v>
      </c>
      <c r="O317" s="2">
        <v>20563</v>
      </c>
      <c r="P317" s="2">
        <v>0</v>
      </c>
      <c r="Q317" s="2">
        <v>1169</v>
      </c>
      <c r="R317" s="2">
        <v>1286</v>
      </c>
      <c r="S317" s="2">
        <v>23486</v>
      </c>
      <c r="T317" s="2">
        <v>20936</v>
      </c>
      <c r="U317" s="2">
        <v>2550</v>
      </c>
    </row>
    <row r="318" spans="1:21" x14ac:dyDescent="0.25">
      <c r="A318" s="1" t="s">
        <v>308</v>
      </c>
      <c r="B318" t="s">
        <v>673</v>
      </c>
      <c r="C318" s="1" t="s">
        <v>332</v>
      </c>
      <c r="D318" t="s">
        <v>656</v>
      </c>
      <c r="E318" s="2">
        <v>83716</v>
      </c>
      <c r="F318" s="2">
        <v>66687</v>
      </c>
      <c r="G318" s="2">
        <v>14283</v>
      </c>
      <c r="H318" s="2">
        <v>52404</v>
      </c>
      <c r="I318" s="2">
        <v>17029</v>
      </c>
      <c r="J318" s="2">
        <v>9183</v>
      </c>
      <c r="K318">
        <v>78616</v>
      </c>
      <c r="L318">
        <v>152</v>
      </c>
      <c r="M318" s="2">
        <v>39</v>
      </c>
      <c r="N318" s="2">
        <v>191</v>
      </c>
      <c r="O318" s="2">
        <v>8669</v>
      </c>
      <c r="P318" s="2">
        <v>0</v>
      </c>
      <c r="Q318" s="2">
        <v>0</v>
      </c>
      <c r="R318" s="2">
        <v>0</v>
      </c>
      <c r="S318" s="2">
        <v>8860</v>
      </c>
      <c r="T318" s="2">
        <v>8821</v>
      </c>
      <c r="U318" s="2">
        <v>39</v>
      </c>
    </row>
    <row r="319" spans="1:21" x14ac:dyDescent="0.25">
      <c r="A319" s="1" t="s">
        <v>308</v>
      </c>
      <c r="B319" t="s">
        <v>673</v>
      </c>
      <c r="C319" s="1" t="s">
        <v>333</v>
      </c>
      <c r="D319" t="s">
        <v>657</v>
      </c>
      <c r="E319" s="2">
        <v>213338</v>
      </c>
      <c r="F319" s="2">
        <v>169941</v>
      </c>
      <c r="G319" s="2">
        <v>36399</v>
      </c>
      <c r="H319" s="2">
        <v>133542</v>
      </c>
      <c r="I319" s="2">
        <v>43397</v>
      </c>
      <c r="J319" s="2">
        <v>0</v>
      </c>
      <c r="K319">
        <v>176939</v>
      </c>
      <c r="L319">
        <v>389</v>
      </c>
      <c r="M319" s="2">
        <v>100</v>
      </c>
      <c r="N319" s="2">
        <v>489</v>
      </c>
      <c r="O319" s="2">
        <v>21464</v>
      </c>
      <c r="P319" s="2">
        <v>0</v>
      </c>
      <c r="Q319" s="2">
        <v>260</v>
      </c>
      <c r="R319" s="2">
        <v>286</v>
      </c>
      <c r="S319" s="2">
        <v>22499</v>
      </c>
      <c r="T319" s="2">
        <v>21853</v>
      </c>
      <c r="U319" s="2">
        <v>646</v>
      </c>
    </row>
    <row r="320" spans="1:21" x14ac:dyDescent="0.25">
      <c r="A320" s="1" t="s">
        <v>308</v>
      </c>
      <c r="B320" t="s">
        <v>673</v>
      </c>
      <c r="C320" s="1" t="s">
        <v>334</v>
      </c>
      <c r="D320" t="s">
        <v>658</v>
      </c>
      <c r="E320" s="2">
        <v>92167</v>
      </c>
      <c r="F320" s="2">
        <v>73419</v>
      </c>
      <c r="G320" s="2">
        <v>15725</v>
      </c>
      <c r="H320" s="2">
        <v>57694</v>
      </c>
      <c r="I320" s="2">
        <v>18748</v>
      </c>
      <c r="J320" s="2">
        <v>6360</v>
      </c>
      <c r="K320">
        <v>82802</v>
      </c>
      <c r="L320">
        <v>168</v>
      </c>
      <c r="M320" s="2">
        <v>43</v>
      </c>
      <c r="N320" s="2">
        <v>211</v>
      </c>
      <c r="O320" s="2">
        <v>9882</v>
      </c>
      <c r="P320" s="2">
        <v>0</v>
      </c>
      <c r="Q320" s="2">
        <v>390</v>
      </c>
      <c r="R320" s="2">
        <v>429</v>
      </c>
      <c r="S320" s="2">
        <v>10912</v>
      </c>
      <c r="T320" s="2">
        <v>10050</v>
      </c>
      <c r="U320" s="2">
        <v>862</v>
      </c>
    </row>
    <row r="321" spans="1:21" x14ac:dyDescent="0.25">
      <c r="A321" s="1" t="s">
        <v>308</v>
      </c>
      <c r="B321" t="s">
        <v>673</v>
      </c>
      <c r="C321" s="1" t="s">
        <v>335</v>
      </c>
      <c r="D321" t="s">
        <v>674</v>
      </c>
      <c r="E321" s="2">
        <v>376697</v>
      </c>
      <c r="F321" s="2">
        <v>300070</v>
      </c>
      <c r="G321" s="2">
        <v>64271</v>
      </c>
      <c r="H321" s="2">
        <v>235799</v>
      </c>
      <c r="I321" s="2">
        <v>76627</v>
      </c>
      <c r="J321" s="2">
        <v>0</v>
      </c>
      <c r="K321">
        <v>312426</v>
      </c>
      <c r="L321">
        <v>684</v>
      </c>
      <c r="M321" s="2">
        <v>175</v>
      </c>
      <c r="N321" s="2">
        <v>859</v>
      </c>
      <c r="O321" s="2">
        <v>37900</v>
      </c>
      <c r="P321" s="2">
        <v>0</v>
      </c>
      <c r="Q321" s="2">
        <v>520</v>
      </c>
      <c r="R321" s="2">
        <v>571</v>
      </c>
      <c r="S321" s="2">
        <v>39850</v>
      </c>
      <c r="T321" s="2">
        <v>38584</v>
      </c>
      <c r="U321" s="2">
        <v>1266</v>
      </c>
    </row>
    <row r="322" spans="1:21" x14ac:dyDescent="0.25">
      <c r="A322" s="1" t="s">
        <v>308</v>
      </c>
      <c r="B322" t="s">
        <v>673</v>
      </c>
      <c r="C322" s="1" t="s">
        <v>336</v>
      </c>
      <c r="D322" t="s">
        <v>659</v>
      </c>
      <c r="E322" s="2">
        <v>192830</v>
      </c>
      <c r="F322" s="2">
        <v>153605</v>
      </c>
      <c r="G322" s="2">
        <v>32899</v>
      </c>
      <c r="H322" s="2">
        <v>120706</v>
      </c>
      <c r="I322" s="2">
        <v>39225</v>
      </c>
      <c r="J322" s="2">
        <v>0</v>
      </c>
      <c r="K322">
        <v>159931</v>
      </c>
      <c r="L322">
        <v>351</v>
      </c>
      <c r="M322" s="2">
        <v>89</v>
      </c>
      <c r="N322" s="2">
        <v>440</v>
      </c>
      <c r="O322" s="2">
        <v>19401</v>
      </c>
      <c r="P322" s="2">
        <v>0</v>
      </c>
      <c r="Q322" s="2">
        <v>130</v>
      </c>
      <c r="R322" s="2">
        <v>143</v>
      </c>
      <c r="S322" s="2">
        <v>20114</v>
      </c>
      <c r="T322" s="2">
        <v>19752</v>
      </c>
      <c r="U322" s="2">
        <v>362</v>
      </c>
    </row>
    <row r="323" spans="1:21" x14ac:dyDescent="0.25">
      <c r="A323" s="1" t="s">
        <v>308</v>
      </c>
      <c r="B323" t="s">
        <v>673</v>
      </c>
      <c r="C323" s="1" t="s">
        <v>337</v>
      </c>
      <c r="D323" t="s">
        <v>660</v>
      </c>
      <c r="E323" s="2">
        <v>208290</v>
      </c>
      <c r="F323" s="2">
        <v>165920</v>
      </c>
      <c r="G323" s="2">
        <v>35538</v>
      </c>
      <c r="H323" s="2">
        <v>130382</v>
      </c>
      <c r="I323" s="2">
        <v>42370</v>
      </c>
      <c r="J323" s="2">
        <v>20716</v>
      </c>
      <c r="K323">
        <v>193468</v>
      </c>
      <c r="L323">
        <v>378</v>
      </c>
      <c r="M323" s="2">
        <v>97</v>
      </c>
      <c r="N323" s="2">
        <v>475</v>
      </c>
      <c r="O323" s="2">
        <v>20956</v>
      </c>
      <c r="P323" s="2">
        <v>0</v>
      </c>
      <c r="Q323" s="2">
        <v>65</v>
      </c>
      <c r="R323" s="2">
        <v>71</v>
      </c>
      <c r="S323" s="2">
        <v>21567</v>
      </c>
      <c r="T323" s="2">
        <v>21334</v>
      </c>
      <c r="U323" s="2">
        <v>233</v>
      </c>
    </row>
    <row r="324" spans="1:21" x14ac:dyDescent="0.25">
      <c r="A324" s="1" t="s">
        <v>308</v>
      </c>
      <c r="B324" t="s">
        <v>673</v>
      </c>
      <c r="C324" s="1" t="s">
        <v>338</v>
      </c>
      <c r="D324" t="s">
        <v>661</v>
      </c>
      <c r="E324" s="2">
        <v>219000</v>
      </c>
      <c r="F324" s="2">
        <v>174451</v>
      </c>
      <c r="G324" s="2">
        <v>37365</v>
      </c>
      <c r="H324" s="2">
        <v>137086</v>
      </c>
      <c r="I324" s="2">
        <v>44549</v>
      </c>
      <c r="J324" s="2">
        <v>6776</v>
      </c>
      <c r="K324">
        <v>188411</v>
      </c>
      <c r="L324">
        <v>397</v>
      </c>
      <c r="M324" s="2">
        <v>102</v>
      </c>
      <c r="N324" s="2">
        <v>499</v>
      </c>
      <c r="O324" s="2">
        <v>22708</v>
      </c>
      <c r="P324" s="2">
        <v>0</v>
      </c>
      <c r="Q324" s="2">
        <v>0</v>
      </c>
      <c r="R324" s="2">
        <v>0</v>
      </c>
      <c r="S324" s="2">
        <v>23207</v>
      </c>
      <c r="T324" s="2">
        <v>23105</v>
      </c>
      <c r="U324" s="2">
        <v>102</v>
      </c>
    </row>
    <row r="325" spans="1:21" x14ac:dyDescent="0.25">
      <c r="A325" s="1" t="s">
        <v>308</v>
      </c>
      <c r="B325" t="s">
        <v>673</v>
      </c>
      <c r="C325" s="1" t="s">
        <v>339</v>
      </c>
      <c r="D325" t="s">
        <v>662</v>
      </c>
      <c r="E325" s="2">
        <v>153193</v>
      </c>
      <c r="F325" s="2">
        <v>122031</v>
      </c>
      <c r="G325" s="2">
        <v>26137</v>
      </c>
      <c r="H325" s="2">
        <v>95894</v>
      </c>
      <c r="I325" s="2">
        <v>31162</v>
      </c>
      <c r="J325" s="2">
        <v>5683</v>
      </c>
      <c r="K325">
        <v>132739</v>
      </c>
      <c r="L325">
        <v>279</v>
      </c>
      <c r="M325" s="2">
        <v>71</v>
      </c>
      <c r="N325" s="2">
        <v>350</v>
      </c>
      <c r="O325" s="2">
        <v>15413</v>
      </c>
      <c r="P325" s="2">
        <v>0</v>
      </c>
      <c r="Q325" s="2">
        <v>2079</v>
      </c>
      <c r="R325" s="2">
        <v>2286</v>
      </c>
      <c r="S325" s="2">
        <v>20128</v>
      </c>
      <c r="T325" s="2">
        <v>15692</v>
      </c>
      <c r="U325" s="2">
        <v>4436</v>
      </c>
    </row>
    <row r="326" spans="1:21" x14ac:dyDescent="0.25">
      <c r="A326" s="1" t="s">
        <v>308</v>
      </c>
      <c r="B326" t="s">
        <v>673</v>
      </c>
      <c r="C326" s="1" t="s">
        <v>340</v>
      </c>
      <c r="D326" t="s">
        <v>663</v>
      </c>
      <c r="E326" s="2">
        <v>118829</v>
      </c>
      <c r="F326" s="2">
        <v>94657</v>
      </c>
      <c r="G326" s="2">
        <v>20274</v>
      </c>
      <c r="H326" s="2">
        <v>74383</v>
      </c>
      <c r="I326" s="2">
        <v>24172</v>
      </c>
      <c r="J326" s="2">
        <v>2392</v>
      </c>
      <c r="K326">
        <v>100947</v>
      </c>
      <c r="L326">
        <v>215</v>
      </c>
      <c r="M326" s="2">
        <v>55</v>
      </c>
      <c r="N326" s="2">
        <v>270</v>
      </c>
      <c r="O326" s="2">
        <v>12192</v>
      </c>
      <c r="P326" s="2">
        <v>0</v>
      </c>
      <c r="Q326" s="2">
        <v>0</v>
      </c>
      <c r="R326" s="2">
        <v>0</v>
      </c>
      <c r="S326" s="2">
        <v>12462</v>
      </c>
      <c r="T326" s="2">
        <v>12407</v>
      </c>
      <c r="U326" s="2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13</vt:i4>
      </vt:variant>
    </vt:vector>
  </HeadingPairs>
  <TitlesOfParts>
    <vt:vector size="25" baseType="lpstr">
      <vt:lpstr>Description of Tabs</vt:lpstr>
      <vt:lpstr>AEA Payment Summary</vt:lpstr>
      <vt:lpstr>DetailByDistrict</vt:lpstr>
      <vt:lpstr>DetailByAEA</vt:lpstr>
      <vt:lpstr>Special Education Breakdown</vt:lpstr>
      <vt:lpstr>Special Education By AEA</vt:lpstr>
      <vt:lpstr>ActiveSchools</vt:lpstr>
      <vt:lpstr>Media&amp;EdByAEA,Dist,Nonpublic</vt:lpstr>
      <vt:lpstr>Media&amp;EdByAEA,Nonpublic</vt:lpstr>
      <vt:lpstr>Media&amp;EdByNonpublic</vt:lpstr>
      <vt:lpstr>Methodology for Nonpublic Distr</vt:lpstr>
      <vt:lpstr>Breakdown</vt:lpstr>
      <vt:lpstr>'AEA Payment Summary'!Print_Area</vt:lpstr>
      <vt:lpstr>DetailByAEA!Print_Area</vt:lpstr>
      <vt:lpstr>DetailByDistrict!Print_Area</vt:lpstr>
      <vt:lpstr>'Media&amp;EdByAEA,Dist,Nonpublic'!Print_Area</vt:lpstr>
      <vt:lpstr>'Media&amp;EdByAEA,Nonpublic'!Print_Area</vt:lpstr>
      <vt:lpstr>'Media&amp;EdByNonpublic'!Print_Area</vt:lpstr>
      <vt:lpstr>'Special Education Breakdown'!Print_Area</vt:lpstr>
      <vt:lpstr>'Special Education By AEA'!Print_Area</vt:lpstr>
      <vt:lpstr>DetailByDistrict!Print_Titles</vt:lpstr>
      <vt:lpstr>'Media&amp;EdByAEA,Dist,Nonpublic'!Print_Titles</vt:lpstr>
      <vt:lpstr>'Media&amp;EdByAEA,Nonpublic'!Print_Titles</vt:lpstr>
      <vt:lpstr>'Media&amp;EdByNonpublic'!Print_Titles</vt:lpstr>
      <vt:lpstr>'Special Education Breakdown'!Print_Titles</vt:lpstr>
    </vt:vector>
  </TitlesOfParts>
  <Company>State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Management</dc:creator>
  <cp:lastModifiedBy>Parker, John</cp:lastModifiedBy>
  <cp:lastPrinted>2025-07-02T20:08:22Z</cp:lastPrinted>
  <dcterms:created xsi:type="dcterms:W3CDTF">2017-04-24T18:31:54Z</dcterms:created>
  <dcterms:modified xsi:type="dcterms:W3CDTF">2025-07-14T18:11:51Z</dcterms:modified>
</cp:coreProperties>
</file>