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\DE - SupplementaryWeightingAtRiskFormula\"/>
    </mc:Choice>
  </mc:AlternateContent>
  <xr:revisionPtr revIDLastSave="0" documentId="13_ncr:1_{4A117E36-AC96-4292-9046-60410327A84E}" xr6:coauthVersionLast="36" xr6:coauthVersionMax="36" xr10:uidLastSave="{00000000-0000-0000-0000-000000000000}"/>
  <bookViews>
    <workbookView xWindow="23775" yWindow="180" windowWidth="11100" windowHeight="6345" xr2:uid="{00000000-000D-0000-FFFF-FFFF00000000}"/>
  </bookViews>
  <sheets>
    <sheet name="Summary" sheetId="4" r:id="rId1"/>
    <sheet name="Calculation" sheetId="1" state="hidden" r:id="rId2"/>
    <sheet name="StartupfileInput" sheetId="10" state="hidden" r:id="rId3"/>
    <sheet name="ActiveDistricts" sheetId="15" state="hidden" r:id="rId4"/>
    <sheet name="Constants" sheetId="13" state="hidden" r:id="rId5"/>
    <sheet name="lunch1920_g1to6" sheetId="14" state="hidden" r:id="rId6"/>
  </sheets>
  <externalReferences>
    <externalReference r:id="rId7"/>
  </externalReferences>
  <definedNames>
    <definedName name="C_I_Prorate">'[1]C I Est'!$I$5:$I$105</definedName>
    <definedName name="DistrictName">[1]SNAME!$D$3:$D$329</definedName>
    <definedName name="frl1819_g1to6cep">#REF!</definedName>
    <definedName name="lunch1920_g1to6">lunch1920_g1to6!$B$2:$H$935</definedName>
    <definedName name="_xlnm.Print_Titles" localSheetId="1">Calculation!$1:$3</definedName>
    <definedName name="_xlnm.Print_Titles" localSheetId="0">Summary!$1:$2</definedName>
  </definedNames>
  <calcPr calcId="191029"/>
</workbook>
</file>

<file path=xl/calcChain.xml><?xml version="1.0" encoding="utf-8"?>
<calcChain xmlns="http://schemas.openxmlformats.org/spreadsheetml/2006/main">
  <c r="E332" i="1" l="1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2" i="15"/>
  <c r="G936" i="14" l="1"/>
  <c r="H936" i="14" s="1"/>
  <c r="F936" i="14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4" i="1"/>
  <c r="E316" i="1" l="1"/>
  <c r="C316" i="1"/>
  <c r="B316" i="1"/>
  <c r="E292" i="1"/>
  <c r="B292" i="1"/>
  <c r="C292" i="1"/>
  <c r="E268" i="1"/>
  <c r="C268" i="1"/>
  <c r="B268" i="1"/>
  <c r="E244" i="1"/>
  <c r="C244" i="1"/>
  <c r="B244" i="1"/>
  <c r="E220" i="1"/>
  <c r="B220" i="1"/>
  <c r="C220" i="1"/>
  <c r="E196" i="1"/>
  <c r="C196" i="1"/>
  <c r="B196" i="1"/>
  <c r="E172" i="1"/>
  <c r="C172" i="1"/>
  <c r="B172" i="1"/>
  <c r="E148" i="1"/>
  <c r="C148" i="1"/>
  <c r="B148" i="1"/>
  <c r="E124" i="1"/>
  <c r="C124" i="1"/>
  <c r="B124" i="1"/>
  <c r="E94" i="1"/>
  <c r="C94" i="1"/>
  <c r="B94" i="1"/>
  <c r="E70" i="1"/>
  <c r="C70" i="1"/>
  <c r="B70" i="1"/>
  <c r="E52" i="1"/>
  <c r="C52" i="1"/>
  <c r="B52" i="1"/>
  <c r="E34" i="1"/>
  <c r="C34" i="1"/>
  <c r="B34" i="1"/>
  <c r="E28" i="1"/>
  <c r="C28" i="1"/>
  <c r="B28" i="1"/>
  <c r="E327" i="1"/>
  <c r="B327" i="1"/>
  <c r="C327" i="1"/>
  <c r="E303" i="1"/>
  <c r="C303" i="1"/>
  <c r="B303" i="1"/>
  <c r="E273" i="1"/>
  <c r="C273" i="1"/>
  <c r="B273" i="1"/>
  <c r="E249" i="1"/>
  <c r="B249" i="1"/>
  <c r="C249" i="1"/>
  <c r="E231" i="1"/>
  <c r="C231" i="1"/>
  <c r="B231" i="1"/>
  <c r="E213" i="1"/>
  <c r="B213" i="1"/>
  <c r="C213" i="1"/>
  <c r="E201" i="1"/>
  <c r="C201" i="1"/>
  <c r="B201" i="1"/>
  <c r="E189" i="1"/>
  <c r="C189" i="1"/>
  <c r="B189" i="1"/>
  <c r="E177" i="1"/>
  <c r="C177" i="1"/>
  <c r="B177" i="1"/>
  <c r="E165" i="1"/>
  <c r="C165" i="1"/>
  <c r="B165" i="1"/>
  <c r="E153" i="1"/>
  <c r="C153" i="1"/>
  <c r="B153" i="1"/>
  <c r="E141" i="1"/>
  <c r="C141" i="1"/>
  <c r="B141" i="1"/>
  <c r="E129" i="1"/>
  <c r="C129" i="1"/>
  <c r="B129" i="1"/>
  <c r="E117" i="1"/>
  <c r="C117" i="1"/>
  <c r="B117" i="1"/>
  <c r="E105" i="1"/>
  <c r="C105" i="1"/>
  <c r="B105" i="1"/>
  <c r="E93" i="1"/>
  <c r="C93" i="1"/>
  <c r="B93" i="1"/>
  <c r="E81" i="1"/>
  <c r="C81" i="1"/>
  <c r="B81" i="1"/>
  <c r="E69" i="1"/>
  <c r="C69" i="1"/>
  <c r="B69" i="1"/>
  <c r="E57" i="1"/>
  <c r="C57" i="1"/>
  <c r="B57" i="1"/>
  <c r="E51" i="1"/>
  <c r="C51" i="1"/>
  <c r="B51" i="1"/>
  <c r="E39" i="1"/>
  <c r="C39" i="1"/>
  <c r="B39" i="1"/>
  <c r="E27" i="1"/>
  <c r="C27" i="1"/>
  <c r="B27" i="1"/>
  <c r="E9" i="1"/>
  <c r="C9" i="1"/>
  <c r="B9" i="1"/>
  <c r="C326" i="1"/>
  <c r="E326" i="1"/>
  <c r="B326" i="1"/>
  <c r="C320" i="1"/>
  <c r="B320" i="1"/>
  <c r="E320" i="1"/>
  <c r="E314" i="1"/>
  <c r="C314" i="1"/>
  <c r="B314" i="1"/>
  <c r="C308" i="1"/>
  <c r="E308" i="1"/>
  <c r="B308" i="1"/>
  <c r="C302" i="1"/>
  <c r="B302" i="1"/>
  <c r="E302" i="1"/>
  <c r="C296" i="1"/>
  <c r="E296" i="1"/>
  <c r="B296" i="1"/>
  <c r="C290" i="1"/>
  <c r="B290" i="1"/>
  <c r="E290" i="1"/>
  <c r="C284" i="1"/>
  <c r="B284" i="1"/>
  <c r="E284" i="1"/>
  <c r="E278" i="1"/>
  <c r="C278" i="1"/>
  <c r="B278" i="1"/>
  <c r="C272" i="1"/>
  <c r="E272" i="1"/>
  <c r="B272" i="1"/>
  <c r="C266" i="1"/>
  <c r="E266" i="1"/>
  <c r="B266" i="1"/>
  <c r="C260" i="1"/>
  <c r="E260" i="1"/>
  <c r="B260" i="1"/>
  <c r="C254" i="1"/>
  <c r="E254" i="1"/>
  <c r="B254" i="1"/>
  <c r="C248" i="1"/>
  <c r="E248" i="1"/>
  <c r="B248" i="1"/>
  <c r="E242" i="1"/>
  <c r="C242" i="1"/>
  <c r="B242" i="1"/>
  <c r="C236" i="1"/>
  <c r="B236" i="1"/>
  <c r="E236" i="1"/>
  <c r="C230" i="1"/>
  <c r="E230" i="1"/>
  <c r="B230" i="1"/>
  <c r="C224" i="1"/>
  <c r="E224" i="1"/>
  <c r="B224" i="1"/>
  <c r="C218" i="1"/>
  <c r="E218" i="1"/>
  <c r="B218" i="1"/>
  <c r="C212" i="1"/>
  <c r="E212" i="1"/>
  <c r="B212" i="1"/>
  <c r="E206" i="1"/>
  <c r="C206" i="1"/>
  <c r="B206" i="1"/>
  <c r="C200" i="1"/>
  <c r="B200" i="1"/>
  <c r="E200" i="1"/>
  <c r="C194" i="1"/>
  <c r="E194" i="1"/>
  <c r="B194" i="1"/>
  <c r="C188" i="1"/>
  <c r="E188" i="1"/>
  <c r="B188" i="1"/>
  <c r="C182" i="1"/>
  <c r="B182" i="1"/>
  <c r="E182" i="1"/>
  <c r="C176" i="1"/>
  <c r="E176" i="1"/>
  <c r="B176" i="1"/>
  <c r="C170" i="1"/>
  <c r="E170" i="1"/>
  <c r="B170" i="1"/>
  <c r="C164" i="1"/>
  <c r="E164" i="1"/>
  <c r="B164" i="1"/>
  <c r="C158" i="1"/>
  <c r="E158" i="1"/>
  <c r="B158" i="1"/>
  <c r="C152" i="1"/>
  <c r="B152" i="1"/>
  <c r="E152" i="1"/>
  <c r="C146" i="1"/>
  <c r="E146" i="1"/>
  <c r="B146" i="1"/>
  <c r="C140" i="1"/>
  <c r="B140" i="1"/>
  <c r="E140" i="1"/>
  <c r="C134" i="1"/>
  <c r="E134" i="1"/>
  <c r="B134" i="1"/>
  <c r="C128" i="1"/>
  <c r="B128" i="1"/>
  <c r="E128" i="1"/>
  <c r="C122" i="1"/>
  <c r="E122" i="1"/>
  <c r="B122" i="1"/>
  <c r="C116" i="1"/>
  <c r="E116" i="1"/>
  <c r="B116" i="1"/>
  <c r="C110" i="1"/>
  <c r="B110" i="1"/>
  <c r="E110" i="1"/>
  <c r="C104" i="1"/>
  <c r="B104" i="1"/>
  <c r="E104" i="1"/>
  <c r="C98" i="1"/>
  <c r="E98" i="1"/>
  <c r="B98" i="1"/>
  <c r="C92" i="1"/>
  <c r="E92" i="1"/>
  <c r="B92" i="1"/>
  <c r="C86" i="1"/>
  <c r="E86" i="1"/>
  <c r="B86" i="1"/>
  <c r="C80" i="1"/>
  <c r="E80" i="1"/>
  <c r="B80" i="1"/>
  <c r="C74" i="1"/>
  <c r="E74" i="1"/>
  <c r="B74" i="1"/>
  <c r="C68" i="1"/>
  <c r="B68" i="1"/>
  <c r="E68" i="1"/>
  <c r="C62" i="1"/>
  <c r="E62" i="1"/>
  <c r="B62" i="1"/>
  <c r="C56" i="1"/>
  <c r="E56" i="1"/>
  <c r="B56" i="1"/>
  <c r="C50" i="1"/>
  <c r="E50" i="1"/>
  <c r="B50" i="1"/>
  <c r="C44" i="1"/>
  <c r="E44" i="1"/>
  <c r="B44" i="1"/>
  <c r="C38" i="1"/>
  <c r="E38" i="1"/>
  <c r="B38" i="1"/>
  <c r="C32" i="1"/>
  <c r="E32" i="1"/>
  <c r="B32" i="1"/>
  <c r="C26" i="1"/>
  <c r="E26" i="1"/>
  <c r="B26" i="1"/>
  <c r="C20" i="1"/>
  <c r="B20" i="1"/>
  <c r="E20" i="1"/>
  <c r="C14" i="1"/>
  <c r="E14" i="1"/>
  <c r="B14" i="1"/>
  <c r="C8" i="1"/>
  <c r="E8" i="1"/>
  <c r="B8" i="1"/>
  <c r="E328" i="1"/>
  <c r="B328" i="1"/>
  <c r="C328" i="1"/>
  <c r="E304" i="1"/>
  <c r="C304" i="1"/>
  <c r="B304" i="1"/>
  <c r="E274" i="1"/>
  <c r="C274" i="1"/>
  <c r="B274" i="1"/>
  <c r="E250" i="1"/>
  <c r="C250" i="1"/>
  <c r="B250" i="1"/>
  <c r="E226" i="1"/>
  <c r="B226" i="1"/>
  <c r="C226" i="1"/>
  <c r="E202" i="1"/>
  <c r="C202" i="1"/>
  <c r="B202" i="1"/>
  <c r="E178" i="1"/>
  <c r="C178" i="1"/>
  <c r="B178" i="1"/>
  <c r="E154" i="1"/>
  <c r="C154" i="1"/>
  <c r="B154" i="1"/>
  <c r="E130" i="1"/>
  <c r="C130" i="1"/>
  <c r="B130" i="1"/>
  <c r="E106" i="1"/>
  <c r="C106" i="1"/>
  <c r="B106" i="1"/>
  <c r="E82" i="1"/>
  <c r="C82" i="1"/>
  <c r="B82" i="1"/>
  <c r="E58" i="1"/>
  <c r="C58" i="1"/>
  <c r="B58" i="1"/>
  <c r="E40" i="1"/>
  <c r="C40" i="1"/>
  <c r="B40" i="1"/>
  <c r="E16" i="1"/>
  <c r="C16" i="1"/>
  <c r="B16" i="1"/>
  <c r="E315" i="1"/>
  <c r="B315" i="1"/>
  <c r="C315" i="1"/>
  <c r="E285" i="1"/>
  <c r="B285" i="1"/>
  <c r="C285" i="1"/>
  <c r="E261" i="1"/>
  <c r="B261" i="1"/>
  <c r="C261" i="1"/>
  <c r="E243" i="1"/>
  <c r="C243" i="1"/>
  <c r="B243" i="1"/>
  <c r="E219" i="1"/>
  <c r="B219" i="1"/>
  <c r="C219" i="1"/>
  <c r="E207" i="1"/>
  <c r="C207" i="1"/>
  <c r="B207" i="1"/>
  <c r="E195" i="1"/>
  <c r="C195" i="1"/>
  <c r="B195" i="1"/>
  <c r="E183" i="1"/>
  <c r="C183" i="1"/>
  <c r="B183" i="1"/>
  <c r="E171" i="1"/>
  <c r="C171" i="1"/>
  <c r="B171" i="1"/>
  <c r="E159" i="1"/>
  <c r="C159" i="1"/>
  <c r="B159" i="1"/>
  <c r="E147" i="1"/>
  <c r="C147" i="1"/>
  <c r="B147" i="1"/>
  <c r="E135" i="1"/>
  <c r="C135" i="1"/>
  <c r="B135" i="1"/>
  <c r="E123" i="1"/>
  <c r="C123" i="1"/>
  <c r="B123" i="1"/>
  <c r="E111" i="1"/>
  <c r="C111" i="1"/>
  <c r="B111" i="1"/>
  <c r="E99" i="1"/>
  <c r="C99" i="1"/>
  <c r="B99" i="1"/>
  <c r="E87" i="1"/>
  <c r="C87" i="1"/>
  <c r="B87" i="1"/>
  <c r="E75" i="1"/>
  <c r="C75" i="1"/>
  <c r="B75" i="1"/>
  <c r="E63" i="1"/>
  <c r="C63" i="1"/>
  <c r="B63" i="1"/>
  <c r="E45" i="1"/>
  <c r="C45" i="1"/>
  <c r="B45" i="1"/>
  <c r="E33" i="1"/>
  <c r="C33" i="1"/>
  <c r="B33" i="1"/>
  <c r="E21" i="1"/>
  <c r="C21" i="1"/>
  <c r="B21" i="1"/>
  <c r="E15" i="1"/>
  <c r="C15" i="1"/>
  <c r="B15" i="1"/>
  <c r="E4" i="1"/>
  <c r="B4" i="1"/>
  <c r="C4" i="1"/>
  <c r="E325" i="1"/>
  <c r="C325" i="1"/>
  <c r="B325" i="1"/>
  <c r="E319" i="1"/>
  <c r="B319" i="1"/>
  <c r="C319" i="1"/>
  <c r="E313" i="1"/>
  <c r="C313" i="1"/>
  <c r="B313" i="1"/>
  <c r="E307" i="1"/>
  <c r="C307" i="1"/>
  <c r="B307" i="1"/>
  <c r="E301" i="1"/>
  <c r="B301" i="1"/>
  <c r="C301" i="1"/>
  <c r="E295" i="1"/>
  <c r="C295" i="1"/>
  <c r="B295" i="1"/>
  <c r="E289" i="1"/>
  <c r="C289" i="1"/>
  <c r="B289" i="1"/>
  <c r="E283" i="1"/>
  <c r="B283" i="1"/>
  <c r="C283" i="1"/>
  <c r="E277" i="1"/>
  <c r="C277" i="1"/>
  <c r="B277" i="1"/>
  <c r="E271" i="1"/>
  <c r="C271" i="1"/>
  <c r="B271" i="1"/>
  <c r="E265" i="1"/>
  <c r="C265" i="1"/>
  <c r="B265" i="1"/>
  <c r="E259" i="1"/>
  <c r="C259" i="1"/>
  <c r="B259" i="1"/>
  <c r="E253" i="1"/>
  <c r="C253" i="1"/>
  <c r="B253" i="1"/>
  <c r="E247" i="1"/>
  <c r="B247" i="1"/>
  <c r="C247" i="1"/>
  <c r="E241" i="1"/>
  <c r="B241" i="1"/>
  <c r="C241" i="1"/>
  <c r="E235" i="1"/>
  <c r="C235" i="1"/>
  <c r="B235" i="1"/>
  <c r="E229" i="1"/>
  <c r="C229" i="1"/>
  <c r="B229" i="1"/>
  <c r="E223" i="1"/>
  <c r="C223" i="1"/>
  <c r="B223" i="1"/>
  <c r="E217" i="1"/>
  <c r="C217" i="1"/>
  <c r="B217" i="1"/>
  <c r="E211" i="1"/>
  <c r="B211" i="1"/>
  <c r="C211" i="1"/>
  <c r="E205" i="1"/>
  <c r="B205" i="1"/>
  <c r="C205" i="1"/>
  <c r="E199" i="1"/>
  <c r="C199" i="1"/>
  <c r="B199" i="1"/>
  <c r="E193" i="1"/>
  <c r="C193" i="1"/>
  <c r="B193" i="1"/>
  <c r="E187" i="1"/>
  <c r="C187" i="1"/>
  <c r="B187" i="1"/>
  <c r="C181" i="1"/>
  <c r="E181" i="1"/>
  <c r="B181" i="1"/>
  <c r="C175" i="1"/>
  <c r="E175" i="1"/>
  <c r="B175" i="1"/>
  <c r="C169" i="1"/>
  <c r="E169" i="1"/>
  <c r="B169" i="1"/>
  <c r="C163" i="1"/>
  <c r="E163" i="1"/>
  <c r="B163" i="1"/>
  <c r="C157" i="1"/>
  <c r="E157" i="1"/>
  <c r="B157" i="1"/>
  <c r="C151" i="1"/>
  <c r="E151" i="1"/>
  <c r="B151" i="1"/>
  <c r="C145" i="1"/>
  <c r="E145" i="1"/>
  <c r="B145" i="1"/>
  <c r="C139" i="1"/>
  <c r="E139" i="1"/>
  <c r="B139" i="1"/>
  <c r="C133" i="1"/>
  <c r="E133" i="1"/>
  <c r="B133" i="1"/>
  <c r="C127" i="1"/>
  <c r="E127" i="1"/>
  <c r="B127" i="1"/>
  <c r="C121" i="1"/>
  <c r="E121" i="1"/>
  <c r="B121" i="1"/>
  <c r="C115" i="1"/>
  <c r="E115" i="1"/>
  <c r="B115" i="1"/>
  <c r="C109" i="1"/>
  <c r="E109" i="1"/>
  <c r="B109" i="1"/>
  <c r="C103" i="1"/>
  <c r="E103" i="1"/>
  <c r="B103" i="1"/>
  <c r="C97" i="1"/>
  <c r="E97" i="1"/>
  <c r="B97" i="1"/>
  <c r="C91" i="1"/>
  <c r="E91" i="1"/>
  <c r="B91" i="1"/>
  <c r="C85" i="1"/>
  <c r="E85" i="1"/>
  <c r="B85" i="1"/>
  <c r="C79" i="1"/>
  <c r="E79" i="1"/>
  <c r="B79" i="1"/>
  <c r="C73" i="1"/>
  <c r="E73" i="1"/>
  <c r="B73" i="1"/>
  <c r="C67" i="1"/>
  <c r="E67" i="1"/>
  <c r="B67" i="1"/>
  <c r="C61" i="1"/>
  <c r="E61" i="1"/>
  <c r="B61" i="1"/>
  <c r="C55" i="1"/>
  <c r="E55" i="1"/>
  <c r="B55" i="1"/>
  <c r="C49" i="1"/>
  <c r="E49" i="1"/>
  <c r="B49" i="1"/>
  <c r="C43" i="1"/>
  <c r="E43" i="1"/>
  <c r="B43" i="1"/>
  <c r="C37" i="1"/>
  <c r="E37" i="1"/>
  <c r="B37" i="1"/>
  <c r="C31" i="1"/>
  <c r="E31" i="1"/>
  <c r="B31" i="1"/>
  <c r="C25" i="1"/>
  <c r="E25" i="1"/>
  <c r="B25" i="1"/>
  <c r="C19" i="1"/>
  <c r="E19" i="1"/>
  <c r="B19" i="1"/>
  <c r="C13" i="1"/>
  <c r="E13" i="1"/>
  <c r="B13" i="1"/>
  <c r="C7" i="1"/>
  <c r="E7" i="1"/>
  <c r="B7" i="1"/>
  <c r="E322" i="1"/>
  <c r="B322" i="1"/>
  <c r="C322" i="1"/>
  <c r="E298" i="1"/>
  <c r="B298" i="1"/>
  <c r="C298" i="1"/>
  <c r="E280" i="1"/>
  <c r="C280" i="1"/>
  <c r="B280" i="1"/>
  <c r="E256" i="1"/>
  <c r="B256" i="1"/>
  <c r="C256" i="1"/>
  <c r="E232" i="1"/>
  <c r="C232" i="1"/>
  <c r="B232" i="1"/>
  <c r="E208" i="1"/>
  <c r="C208" i="1"/>
  <c r="B208" i="1"/>
  <c r="E184" i="1"/>
  <c r="C184" i="1"/>
  <c r="B184" i="1"/>
  <c r="E166" i="1"/>
  <c r="C166" i="1"/>
  <c r="B166" i="1"/>
  <c r="E142" i="1"/>
  <c r="C142" i="1"/>
  <c r="B142" i="1"/>
  <c r="E118" i="1"/>
  <c r="C118" i="1"/>
  <c r="B118" i="1"/>
  <c r="E100" i="1"/>
  <c r="C100" i="1"/>
  <c r="B100" i="1"/>
  <c r="E76" i="1"/>
  <c r="C76" i="1"/>
  <c r="B76" i="1"/>
  <c r="E46" i="1"/>
  <c r="C46" i="1"/>
  <c r="B46" i="1"/>
  <c r="E10" i="1"/>
  <c r="C10" i="1"/>
  <c r="B10" i="1"/>
  <c r="E309" i="1"/>
  <c r="B309" i="1"/>
  <c r="C309" i="1"/>
  <c r="E291" i="1"/>
  <c r="B291" i="1"/>
  <c r="C291" i="1"/>
  <c r="E267" i="1"/>
  <c r="C267" i="1"/>
  <c r="B267" i="1"/>
  <c r="E237" i="1"/>
  <c r="C237" i="1"/>
  <c r="B237" i="1"/>
  <c r="E324" i="1"/>
  <c r="C324" i="1"/>
  <c r="B324" i="1"/>
  <c r="E306" i="1"/>
  <c r="C306" i="1"/>
  <c r="B306" i="1"/>
  <c r="E288" i="1"/>
  <c r="C288" i="1"/>
  <c r="B288" i="1"/>
  <c r="E276" i="1"/>
  <c r="B276" i="1"/>
  <c r="C276" i="1"/>
  <c r="E264" i="1"/>
  <c r="C264" i="1"/>
  <c r="B264" i="1"/>
  <c r="E252" i="1"/>
  <c r="C252" i="1"/>
  <c r="B252" i="1"/>
  <c r="E240" i="1"/>
  <c r="B240" i="1"/>
  <c r="C240" i="1"/>
  <c r="E228" i="1"/>
  <c r="C228" i="1"/>
  <c r="B228" i="1"/>
  <c r="E210" i="1"/>
  <c r="C210" i="1"/>
  <c r="B210" i="1"/>
  <c r="E198" i="1"/>
  <c r="C198" i="1"/>
  <c r="B198" i="1"/>
  <c r="E186" i="1"/>
  <c r="C186" i="1"/>
  <c r="B186" i="1"/>
  <c r="C168" i="1"/>
  <c r="E168" i="1"/>
  <c r="B168" i="1"/>
  <c r="C156" i="1"/>
  <c r="E156" i="1"/>
  <c r="B156" i="1"/>
  <c r="C144" i="1"/>
  <c r="E144" i="1"/>
  <c r="B144" i="1"/>
  <c r="C132" i="1"/>
  <c r="E132" i="1"/>
  <c r="B132" i="1"/>
  <c r="C126" i="1"/>
  <c r="E126" i="1"/>
  <c r="B126" i="1"/>
  <c r="C120" i="1"/>
  <c r="E120" i="1"/>
  <c r="B120" i="1"/>
  <c r="C114" i="1"/>
  <c r="E114" i="1"/>
  <c r="B114" i="1"/>
  <c r="C108" i="1"/>
  <c r="E108" i="1"/>
  <c r="B108" i="1"/>
  <c r="C102" i="1"/>
  <c r="E102" i="1"/>
  <c r="B102" i="1"/>
  <c r="C96" i="1"/>
  <c r="E96" i="1"/>
  <c r="B96" i="1"/>
  <c r="C84" i="1"/>
  <c r="E84" i="1"/>
  <c r="B84" i="1"/>
  <c r="C78" i="1"/>
  <c r="E78" i="1"/>
  <c r="B78" i="1"/>
  <c r="C72" i="1"/>
  <c r="E72" i="1"/>
  <c r="B72" i="1"/>
  <c r="C66" i="1"/>
  <c r="E66" i="1"/>
  <c r="B66" i="1"/>
  <c r="C60" i="1"/>
  <c r="E60" i="1"/>
  <c r="B60" i="1"/>
  <c r="C54" i="1"/>
  <c r="E54" i="1"/>
  <c r="B54" i="1"/>
  <c r="C48" i="1"/>
  <c r="E48" i="1"/>
  <c r="B48" i="1"/>
  <c r="C42" i="1"/>
  <c r="E42" i="1"/>
  <c r="B42" i="1"/>
  <c r="C36" i="1"/>
  <c r="E36" i="1"/>
  <c r="B36" i="1"/>
  <c r="C30" i="1"/>
  <c r="E30" i="1"/>
  <c r="B30" i="1"/>
  <c r="C24" i="1"/>
  <c r="E24" i="1"/>
  <c r="B24" i="1"/>
  <c r="C18" i="1"/>
  <c r="E18" i="1"/>
  <c r="B18" i="1"/>
  <c r="C12" i="1"/>
  <c r="E12" i="1"/>
  <c r="B12" i="1"/>
  <c r="C6" i="1"/>
  <c r="E6" i="1"/>
  <c r="B6" i="1"/>
  <c r="E310" i="1"/>
  <c r="C310" i="1"/>
  <c r="B310" i="1"/>
  <c r="E286" i="1"/>
  <c r="B286" i="1"/>
  <c r="C286" i="1"/>
  <c r="E262" i="1"/>
  <c r="B262" i="1"/>
  <c r="C262" i="1"/>
  <c r="E238" i="1"/>
  <c r="C238" i="1"/>
  <c r="B238" i="1"/>
  <c r="E214" i="1"/>
  <c r="C214" i="1"/>
  <c r="B214" i="1"/>
  <c r="E190" i="1"/>
  <c r="B190" i="1"/>
  <c r="C190" i="1"/>
  <c r="E160" i="1"/>
  <c r="C160" i="1"/>
  <c r="B160" i="1"/>
  <c r="E136" i="1"/>
  <c r="C136" i="1"/>
  <c r="B136" i="1"/>
  <c r="E112" i="1"/>
  <c r="C112" i="1"/>
  <c r="B112" i="1"/>
  <c r="E88" i="1"/>
  <c r="C88" i="1"/>
  <c r="B88" i="1"/>
  <c r="E64" i="1"/>
  <c r="C64" i="1"/>
  <c r="B64" i="1"/>
  <c r="E22" i="1"/>
  <c r="C22" i="1"/>
  <c r="B22" i="1"/>
  <c r="E321" i="1"/>
  <c r="B321" i="1"/>
  <c r="C321" i="1"/>
  <c r="E297" i="1"/>
  <c r="B297" i="1"/>
  <c r="C297" i="1"/>
  <c r="E279" i="1"/>
  <c r="C279" i="1"/>
  <c r="B279" i="1"/>
  <c r="E255" i="1"/>
  <c r="B255" i="1"/>
  <c r="C255" i="1"/>
  <c r="E225" i="1"/>
  <c r="C225" i="1"/>
  <c r="B225" i="1"/>
  <c r="E330" i="1"/>
  <c r="C330" i="1"/>
  <c r="B330" i="1"/>
  <c r="E318" i="1"/>
  <c r="C318" i="1"/>
  <c r="B318" i="1"/>
  <c r="E312" i="1"/>
  <c r="B312" i="1"/>
  <c r="C312" i="1"/>
  <c r="E300" i="1"/>
  <c r="B300" i="1"/>
  <c r="C300" i="1"/>
  <c r="E294" i="1"/>
  <c r="C294" i="1"/>
  <c r="B294" i="1"/>
  <c r="E282" i="1"/>
  <c r="C282" i="1"/>
  <c r="B282" i="1"/>
  <c r="E270" i="1"/>
  <c r="C270" i="1"/>
  <c r="B270" i="1"/>
  <c r="E258" i="1"/>
  <c r="C258" i="1"/>
  <c r="B258" i="1"/>
  <c r="E246" i="1"/>
  <c r="C246" i="1"/>
  <c r="B246" i="1"/>
  <c r="E234" i="1"/>
  <c r="C234" i="1"/>
  <c r="B234" i="1"/>
  <c r="E222" i="1"/>
  <c r="C222" i="1"/>
  <c r="B222" i="1"/>
  <c r="E216" i="1"/>
  <c r="C216" i="1"/>
  <c r="B216" i="1"/>
  <c r="E204" i="1"/>
  <c r="B204" i="1"/>
  <c r="C204" i="1"/>
  <c r="E192" i="1"/>
  <c r="C192" i="1"/>
  <c r="B192" i="1"/>
  <c r="C180" i="1"/>
  <c r="E180" i="1"/>
  <c r="B180" i="1"/>
  <c r="C174" i="1"/>
  <c r="E174" i="1"/>
  <c r="B174" i="1"/>
  <c r="C162" i="1"/>
  <c r="E162" i="1"/>
  <c r="B162" i="1"/>
  <c r="C150" i="1"/>
  <c r="E150" i="1"/>
  <c r="B150" i="1"/>
  <c r="C138" i="1"/>
  <c r="E138" i="1"/>
  <c r="B138" i="1"/>
  <c r="C90" i="1"/>
  <c r="E90" i="1"/>
  <c r="B90" i="1"/>
  <c r="E329" i="1"/>
  <c r="C329" i="1"/>
  <c r="B329" i="1"/>
  <c r="E323" i="1"/>
  <c r="C323" i="1"/>
  <c r="B323" i="1"/>
  <c r="E317" i="1"/>
  <c r="C317" i="1"/>
  <c r="B317" i="1"/>
  <c r="E311" i="1"/>
  <c r="C311" i="1"/>
  <c r="B311" i="1"/>
  <c r="E305" i="1"/>
  <c r="B305" i="1"/>
  <c r="C305" i="1"/>
  <c r="E299" i="1"/>
  <c r="C299" i="1"/>
  <c r="B299" i="1"/>
  <c r="E293" i="1"/>
  <c r="C293" i="1"/>
  <c r="B293" i="1"/>
  <c r="E287" i="1"/>
  <c r="C287" i="1"/>
  <c r="B287" i="1"/>
  <c r="E281" i="1"/>
  <c r="B281" i="1"/>
  <c r="C281" i="1"/>
  <c r="E275" i="1"/>
  <c r="B275" i="1"/>
  <c r="C275" i="1"/>
  <c r="E269" i="1"/>
  <c r="B269" i="1"/>
  <c r="C269" i="1"/>
  <c r="E263" i="1"/>
  <c r="B263" i="1"/>
  <c r="C263" i="1"/>
  <c r="E257" i="1"/>
  <c r="B257" i="1"/>
  <c r="C257" i="1"/>
  <c r="E251" i="1"/>
  <c r="B251" i="1"/>
  <c r="C251" i="1"/>
  <c r="E245" i="1"/>
  <c r="B245" i="1"/>
  <c r="C245" i="1"/>
  <c r="E239" i="1"/>
  <c r="B239" i="1"/>
  <c r="C239" i="1"/>
  <c r="E233" i="1"/>
  <c r="B233" i="1"/>
  <c r="C233" i="1"/>
  <c r="E227" i="1"/>
  <c r="B227" i="1"/>
  <c r="C227" i="1"/>
  <c r="E221" i="1"/>
  <c r="B221" i="1"/>
  <c r="C221" i="1"/>
  <c r="E215" i="1"/>
  <c r="B215" i="1"/>
  <c r="C215" i="1"/>
  <c r="E209" i="1"/>
  <c r="B209" i="1"/>
  <c r="C209" i="1"/>
  <c r="E203" i="1"/>
  <c r="B203" i="1"/>
  <c r="C203" i="1"/>
  <c r="E197" i="1"/>
  <c r="B197" i="1"/>
  <c r="C197" i="1"/>
  <c r="E191" i="1"/>
  <c r="B191" i="1"/>
  <c r="C191" i="1"/>
  <c r="E185" i="1"/>
  <c r="B185" i="1"/>
  <c r="C185" i="1"/>
  <c r="E179" i="1"/>
  <c r="B179" i="1"/>
  <c r="C179" i="1"/>
  <c r="E173" i="1"/>
  <c r="B173" i="1"/>
  <c r="C173" i="1"/>
  <c r="E167" i="1"/>
  <c r="C167" i="1"/>
  <c r="B167" i="1"/>
  <c r="E161" i="1"/>
  <c r="B161" i="1"/>
  <c r="C161" i="1"/>
  <c r="E155" i="1"/>
  <c r="B155" i="1"/>
  <c r="C155" i="1"/>
  <c r="E149" i="1"/>
  <c r="B149" i="1"/>
  <c r="C149" i="1"/>
  <c r="E143" i="1"/>
  <c r="B143" i="1"/>
  <c r="C143" i="1"/>
  <c r="E137" i="1"/>
  <c r="B137" i="1"/>
  <c r="C137" i="1"/>
  <c r="E131" i="1"/>
  <c r="C131" i="1"/>
  <c r="B131" i="1"/>
  <c r="E125" i="1"/>
  <c r="B125" i="1"/>
  <c r="C125" i="1"/>
  <c r="E119" i="1"/>
  <c r="B119" i="1"/>
  <c r="C119" i="1"/>
  <c r="E113" i="1"/>
  <c r="B113" i="1"/>
  <c r="C113" i="1"/>
  <c r="E107" i="1"/>
  <c r="B107" i="1"/>
  <c r="C107" i="1"/>
  <c r="E101" i="1"/>
  <c r="B101" i="1"/>
  <c r="C101" i="1"/>
  <c r="E95" i="1"/>
  <c r="C95" i="1"/>
  <c r="B95" i="1"/>
  <c r="E89" i="1"/>
  <c r="B89" i="1"/>
  <c r="C89" i="1"/>
  <c r="E83" i="1"/>
  <c r="B83" i="1"/>
  <c r="C83" i="1"/>
  <c r="E77" i="1"/>
  <c r="B77" i="1"/>
  <c r="C77" i="1"/>
  <c r="E71" i="1"/>
  <c r="B71" i="1"/>
  <c r="C71" i="1"/>
  <c r="E65" i="1"/>
  <c r="B65" i="1"/>
  <c r="C65" i="1"/>
  <c r="E59" i="1"/>
  <c r="C59" i="1"/>
  <c r="B59" i="1"/>
  <c r="E53" i="1"/>
  <c r="B53" i="1"/>
  <c r="C53" i="1"/>
  <c r="E47" i="1"/>
  <c r="B47" i="1"/>
  <c r="C47" i="1"/>
  <c r="E41" i="1"/>
  <c r="B41" i="1"/>
  <c r="C41" i="1"/>
  <c r="E35" i="1"/>
  <c r="B35" i="1"/>
  <c r="C35" i="1"/>
  <c r="E29" i="1"/>
  <c r="B29" i="1"/>
  <c r="C29" i="1"/>
  <c r="E23" i="1"/>
  <c r="C23" i="1"/>
  <c r="B23" i="1"/>
  <c r="E17" i="1"/>
  <c r="B17" i="1"/>
  <c r="C17" i="1"/>
  <c r="E11" i="1"/>
  <c r="B11" i="1"/>
  <c r="C11" i="1"/>
  <c r="E5" i="1"/>
  <c r="B5" i="1"/>
  <c r="C5" i="1"/>
  <c r="G2" i="4"/>
  <c r="A3" i="4"/>
  <c r="A1" i="4"/>
  <c r="R1" i="1"/>
  <c r="S1" i="1"/>
  <c r="S2" i="1" s="1"/>
  <c r="T1" i="1"/>
  <c r="Q1" i="1"/>
  <c r="Q2" i="1" s="1"/>
  <c r="P50" i="13"/>
  <c r="P51" i="13"/>
  <c r="M50" i="13"/>
  <c r="M51" i="13"/>
  <c r="J50" i="13"/>
  <c r="J51" i="13"/>
  <c r="G50" i="13"/>
  <c r="G51" i="13"/>
  <c r="P49" i="13"/>
  <c r="M49" i="13"/>
  <c r="J49" i="13"/>
  <c r="G49" i="13"/>
  <c r="AM51" i="13"/>
  <c r="AM50" i="13"/>
  <c r="AM49" i="13"/>
  <c r="AM48" i="13"/>
  <c r="AQ47" i="13"/>
  <c r="AM47" i="13"/>
  <c r="P47" i="13"/>
  <c r="M47" i="13"/>
  <c r="J47" i="13"/>
  <c r="G47" i="13"/>
  <c r="AM46" i="13"/>
  <c r="AI46" i="13"/>
  <c r="AI47" i="13" s="1"/>
  <c r="AI48" i="13" s="1"/>
  <c r="AI49" i="13" s="1"/>
  <c r="AI50" i="13" s="1"/>
  <c r="AI51" i="13" s="1"/>
  <c r="P46" i="13"/>
  <c r="M46" i="13"/>
  <c r="J46" i="13"/>
  <c r="G46" i="13"/>
  <c r="AM45" i="13"/>
  <c r="P45" i="13"/>
  <c r="Q45" i="13" s="1"/>
  <c r="R45" i="13" s="1"/>
  <c r="Q46" i="13" s="1"/>
  <c r="R46" i="13" s="1"/>
  <c r="Q47" i="13" s="1"/>
  <c r="R47" i="13" s="1"/>
  <c r="Q48" i="13" s="1"/>
  <c r="R48" i="13" s="1"/>
  <c r="Q49" i="13" s="1"/>
  <c r="R49" i="13" s="1"/>
  <c r="M45" i="13"/>
  <c r="J45" i="13"/>
  <c r="G45" i="13"/>
  <c r="AM44" i="13"/>
  <c r="M44" i="13"/>
  <c r="J44" i="13"/>
  <c r="G44" i="13"/>
  <c r="AM43" i="13"/>
  <c r="M43" i="13"/>
  <c r="J43" i="13"/>
  <c r="G43" i="13"/>
  <c r="AM42" i="13"/>
  <c r="M42" i="13"/>
  <c r="J42" i="13"/>
  <c r="G42" i="13"/>
  <c r="AM41" i="13"/>
  <c r="M41" i="13"/>
  <c r="J41" i="13"/>
  <c r="G41" i="13"/>
  <c r="AM40" i="13"/>
  <c r="AA40" i="13"/>
  <c r="AB40" i="13" s="1"/>
  <c r="AA41" i="13" s="1"/>
  <c r="AB41" i="13" s="1"/>
  <c r="AA42" i="13" s="1"/>
  <c r="AB42" i="13" s="1"/>
  <c r="AA43" i="13" s="1"/>
  <c r="AB43" i="13" s="1"/>
  <c r="AA44" i="13" s="1"/>
  <c r="AB44" i="13" s="1"/>
  <c r="AA45" i="13" s="1"/>
  <c r="AB45" i="13" s="1"/>
  <c r="AA46" i="13" s="1"/>
  <c r="AB46" i="13" s="1"/>
  <c r="AA47" i="13" s="1"/>
  <c r="AB47" i="13" s="1"/>
  <c r="AA48" i="13" s="1"/>
  <c r="AB48" i="13" s="1"/>
  <c r="AA49" i="13" s="1"/>
  <c r="AB49" i="13" s="1"/>
  <c r="AA50" i="13" s="1"/>
  <c r="AB50" i="13" s="1"/>
  <c r="AA51" i="13" s="1"/>
  <c r="AB51" i="13" s="1"/>
  <c r="Z40" i="13"/>
  <c r="Y41" i="13" s="1"/>
  <c r="Z41" i="13" s="1"/>
  <c r="Y42" i="13" s="1"/>
  <c r="Z42" i="13" s="1"/>
  <c r="Y43" i="13" s="1"/>
  <c r="Z43" i="13" s="1"/>
  <c r="Y44" i="13" s="1"/>
  <c r="Z44" i="13" s="1"/>
  <c r="Y45" i="13" s="1"/>
  <c r="Z45" i="13" s="1"/>
  <c r="Y46" i="13" s="1"/>
  <c r="Z46" i="13" s="1"/>
  <c r="Y47" i="13" s="1"/>
  <c r="Z47" i="13" s="1"/>
  <c r="Y48" i="13" s="1"/>
  <c r="Z48" i="13" s="1"/>
  <c r="Y49" i="13" s="1"/>
  <c r="Z49" i="13" s="1"/>
  <c r="Y50" i="13" s="1"/>
  <c r="Z50" i="13" s="1"/>
  <c r="Y51" i="13" s="1"/>
  <c r="Z51" i="13" s="1"/>
  <c r="Y40" i="13"/>
  <c r="M40" i="13"/>
  <c r="N40" i="13" s="1"/>
  <c r="O40" i="13" s="1"/>
  <c r="N41" i="13" s="1"/>
  <c r="O41" i="13" s="1"/>
  <c r="N42" i="13" s="1"/>
  <c r="O42" i="13" s="1"/>
  <c r="L40" i="13"/>
  <c r="K41" i="13" s="1"/>
  <c r="L41" i="13" s="1"/>
  <c r="K42" i="13" s="1"/>
  <c r="L42" i="13" s="1"/>
  <c r="K43" i="13" s="1"/>
  <c r="L43" i="13" s="1"/>
  <c r="K44" i="13" s="1"/>
  <c r="L44" i="13" s="1"/>
  <c r="K45" i="13" s="1"/>
  <c r="L45" i="13" s="1"/>
  <c r="K46" i="13" s="1"/>
  <c r="L46" i="13" s="1"/>
  <c r="K47" i="13" s="1"/>
  <c r="L47" i="13" s="1"/>
  <c r="K48" i="13" s="1"/>
  <c r="L48" i="13" s="1"/>
  <c r="K49" i="13" s="1"/>
  <c r="L49" i="13" s="1"/>
  <c r="K50" i="13" s="1"/>
  <c r="L50" i="13" s="1"/>
  <c r="K40" i="13"/>
  <c r="J40" i="13"/>
  <c r="H40" i="13"/>
  <c r="I40" i="13" s="1"/>
  <c r="G40" i="13"/>
  <c r="AM39" i="13"/>
  <c r="AM38" i="13"/>
  <c r="AM37" i="13"/>
  <c r="AM36" i="13"/>
  <c r="AM35" i="13"/>
  <c r="AM34" i="13"/>
  <c r="AM33" i="13"/>
  <c r="AM32" i="13"/>
  <c r="AM31" i="13"/>
  <c r="AM30" i="13"/>
  <c r="AR29" i="13"/>
  <c r="AR30" i="13" s="1"/>
  <c r="AR31" i="13" s="1"/>
  <c r="AR32" i="13" s="1"/>
  <c r="AR33" i="13" s="1"/>
  <c r="AR34" i="13" s="1"/>
  <c r="AR35" i="13" s="1"/>
  <c r="AR36" i="13" s="1"/>
  <c r="AR37" i="13" s="1"/>
  <c r="AR38" i="13" s="1"/>
  <c r="AR39" i="13" s="1"/>
  <c r="AR40" i="13" s="1"/>
  <c r="AR41" i="13" s="1"/>
  <c r="AR42" i="13" s="1"/>
  <c r="AR43" i="13" s="1"/>
  <c r="AR44" i="13" s="1"/>
  <c r="AR45" i="13" s="1"/>
  <c r="AR46" i="13" s="1"/>
  <c r="AR47" i="13" s="1"/>
  <c r="AR48" i="13" s="1"/>
  <c r="AR49" i="13" s="1"/>
  <c r="AR50" i="13" s="1"/>
  <c r="AR51" i="13" s="1"/>
  <c r="AM29" i="13"/>
  <c r="AM28" i="13"/>
  <c r="AM27" i="13"/>
  <c r="AM26" i="13"/>
  <c r="AM25" i="13"/>
  <c r="AM24" i="13"/>
  <c r="AM23" i="13"/>
  <c r="AM22" i="13"/>
  <c r="X22" i="13"/>
  <c r="W23" i="13" s="1"/>
  <c r="X23" i="13" s="1"/>
  <c r="W24" i="13" s="1"/>
  <c r="X24" i="13" s="1"/>
  <c r="W25" i="13" s="1"/>
  <c r="X25" i="13" s="1"/>
  <c r="W26" i="13" s="1"/>
  <c r="X26" i="13" s="1"/>
  <c r="W27" i="13" s="1"/>
  <c r="X27" i="13" s="1"/>
  <c r="W28" i="13" s="1"/>
  <c r="X28" i="13" s="1"/>
  <c r="W29" i="13" s="1"/>
  <c r="X29" i="13" s="1"/>
  <c r="W30" i="13" s="1"/>
  <c r="X30" i="13" s="1"/>
  <c r="W31" i="13" s="1"/>
  <c r="X31" i="13" s="1"/>
  <c r="W32" i="13" s="1"/>
  <c r="X32" i="13" s="1"/>
  <c r="W33" i="13" s="1"/>
  <c r="X33" i="13" s="1"/>
  <c r="W34" i="13" s="1"/>
  <c r="X34" i="13" s="1"/>
  <c r="W35" i="13" s="1"/>
  <c r="X35" i="13" s="1"/>
  <c r="W36" i="13" s="1"/>
  <c r="X36" i="13" s="1"/>
  <c r="W37" i="13" s="1"/>
  <c r="X37" i="13" s="1"/>
  <c r="W38" i="13" s="1"/>
  <c r="X38" i="13" s="1"/>
  <c r="W39" i="13" s="1"/>
  <c r="X39" i="13" s="1"/>
  <c r="W40" i="13" s="1"/>
  <c r="X40" i="13" s="1"/>
  <c r="W41" i="13" s="1"/>
  <c r="X41" i="13" s="1"/>
  <c r="W42" i="13" s="1"/>
  <c r="X42" i="13" s="1"/>
  <c r="W43" i="13" s="1"/>
  <c r="X43" i="13" s="1"/>
  <c r="W44" i="13" s="1"/>
  <c r="X44" i="13" s="1"/>
  <c r="W45" i="13" s="1"/>
  <c r="X45" i="13" s="1"/>
  <c r="W46" i="13" s="1"/>
  <c r="X46" i="13" s="1"/>
  <c r="W47" i="13" s="1"/>
  <c r="X47" i="13" s="1"/>
  <c r="W48" i="13" s="1"/>
  <c r="X48" i="13" s="1"/>
  <c r="W49" i="13" s="1"/>
  <c r="X49" i="13" s="1"/>
  <c r="W50" i="13" s="1"/>
  <c r="X50" i="13" s="1"/>
  <c r="W51" i="13" s="1"/>
  <c r="X51" i="13" s="1"/>
  <c r="W22" i="13"/>
  <c r="U22" i="13"/>
  <c r="V22" i="13" s="1"/>
  <c r="U23" i="13" s="1"/>
  <c r="V23" i="13" s="1"/>
  <c r="U24" i="13" s="1"/>
  <c r="V24" i="13" s="1"/>
  <c r="U25" i="13" s="1"/>
  <c r="V25" i="13" s="1"/>
  <c r="U26" i="13" s="1"/>
  <c r="V26" i="13" s="1"/>
  <c r="U27" i="13" s="1"/>
  <c r="V27" i="13" s="1"/>
  <c r="U28" i="13" s="1"/>
  <c r="V28" i="13" s="1"/>
  <c r="U29" i="13" s="1"/>
  <c r="V29" i="13" s="1"/>
  <c r="U30" i="13" s="1"/>
  <c r="V30" i="13" s="1"/>
  <c r="U31" i="13" s="1"/>
  <c r="V31" i="13" s="1"/>
  <c r="U32" i="13" s="1"/>
  <c r="V32" i="13" s="1"/>
  <c r="U33" i="13" s="1"/>
  <c r="V33" i="13" s="1"/>
  <c r="U34" i="13" s="1"/>
  <c r="V34" i="13" s="1"/>
  <c r="U35" i="13" s="1"/>
  <c r="V35" i="13" s="1"/>
  <c r="U36" i="13" s="1"/>
  <c r="V36" i="13" s="1"/>
  <c r="U37" i="13" s="1"/>
  <c r="V37" i="13" s="1"/>
  <c r="U38" i="13" s="1"/>
  <c r="V38" i="13" s="1"/>
  <c r="U39" i="13" s="1"/>
  <c r="V39" i="13" s="1"/>
  <c r="U40" i="13" s="1"/>
  <c r="V40" i="13" s="1"/>
  <c r="U41" i="13" s="1"/>
  <c r="V41" i="13" s="1"/>
  <c r="U42" i="13" s="1"/>
  <c r="V42" i="13" s="1"/>
  <c r="U43" i="13" s="1"/>
  <c r="V43" i="13" s="1"/>
  <c r="U44" i="13" s="1"/>
  <c r="V44" i="13" s="1"/>
  <c r="U45" i="13" s="1"/>
  <c r="V45" i="13" s="1"/>
  <c r="U46" i="13" s="1"/>
  <c r="V46" i="13" s="1"/>
  <c r="U47" i="13" s="1"/>
  <c r="V47" i="13" s="1"/>
  <c r="U48" i="13" s="1"/>
  <c r="V48" i="13" s="1"/>
  <c r="U49" i="13" s="1"/>
  <c r="V49" i="13" s="1"/>
  <c r="U50" i="13" s="1"/>
  <c r="V50" i="13" s="1"/>
  <c r="U51" i="13" s="1"/>
  <c r="V51" i="13" s="1"/>
  <c r="T22" i="13"/>
  <c r="S22" i="13"/>
  <c r="AO21" i="13"/>
  <c r="AM21" i="13"/>
  <c r="AH21" i="13"/>
  <c r="AM20" i="13"/>
  <c r="AM19" i="13"/>
  <c r="AM18" i="13"/>
  <c r="AM17" i="13"/>
  <c r="AM16" i="13"/>
  <c r="AM15" i="13"/>
  <c r="AM14" i="13"/>
  <c r="AM13" i="13"/>
  <c r="AM12" i="13"/>
  <c r="S12" i="13"/>
  <c r="T12" i="13" s="1"/>
  <c r="AO12" i="13" s="1"/>
  <c r="AO11" i="13"/>
  <c r="AM11" i="13"/>
  <c r="AH11" i="13"/>
  <c r="AO10" i="13"/>
  <c r="AM10" i="13"/>
  <c r="AH10" i="13"/>
  <c r="AO9" i="13"/>
  <c r="AM9" i="13"/>
  <c r="AH9" i="13"/>
  <c r="AO8" i="13"/>
  <c r="AM8" i="13"/>
  <c r="AH8" i="13"/>
  <c r="AO7" i="13"/>
  <c r="AM7" i="13"/>
  <c r="AH7" i="13"/>
  <c r="AO6" i="13"/>
  <c r="AM6" i="13"/>
  <c r="AH6" i="13"/>
  <c r="AO5" i="13"/>
  <c r="AM5" i="13"/>
  <c r="AH5" i="13"/>
  <c r="AM4" i="13"/>
  <c r="AF4" i="13"/>
  <c r="AT3" i="13"/>
  <c r="AM3" i="13"/>
  <c r="AF3" i="13"/>
  <c r="C3" i="13"/>
  <c r="E3" i="13" s="1"/>
  <c r="AM2" i="13"/>
  <c r="AF2" i="13"/>
  <c r="AD2" i="13"/>
  <c r="AS3" i="13" s="1"/>
  <c r="H41" i="13" l="1"/>
  <c r="I41" i="13" s="1"/>
  <c r="H42" i="13" s="1"/>
  <c r="I42" i="13" s="1"/>
  <c r="H43" i="13" s="1"/>
  <c r="I43" i="13" s="1"/>
  <c r="H44" i="13" s="1"/>
  <c r="I44" i="13" s="1"/>
  <c r="H45" i="13" s="1"/>
  <c r="I45" i="13" s="1"/>
  <c r="H46" i="13" s="1"/>
  <c r="I46" i="13" s="1"/>
  <c r="H47" i="13" s="1"/>
  <c r="I47" i="13" s="1"/>
  <c r="H48" i="13" s="1"/>
  <c r="I48" i="13" s="1"/>
  <c r="H49" i="13" s="1"/>
  <c r="I49" i="13" s="1"/>
  <c r="H50" i="13" s="1"/>
  <c r="I50" i="13" s="1"/>
  <c r="H51" i="13" s="1"/>
  <c r="I51" i="13" s="1"/>
  <c r="N43" i="13"/>
  <c r="O43" i="13" s="1"/>
  <c r="N44" i="13" s="1"/>
  <c r="O44" i="13" s="1"/>
  <c r="N45" i="13" s="1"/>
  <c r="O45" i="13" s="1"/>
  <c r="N46" i="13" s="1"/>
  <c r="O46" i="13" s="1"/>
  <c r="N47" i="13" s="1"/>
  <c r="O47" i="13" s="1"/>
  <c r="N48" i="13" s="1"/>
  <c r="O48" i="13" s="1"/>
  <c r="N49" i="13" s="1"/>
  <c r="O49" i="13" s="1"/>
  <c r="Q50" i="13"/>
  <c r="R50" i="13" s="1"/>
  <c r="Q51" i="13" s="1"/>
  <c r="R51" i="13" s="1"/>
  <c r="N50" i="13"/>
  <c r="O50" i="13" s="1"/>
  <c r="N51" i="13" s="1"/>
  <c r="O51" i="13" s="1"/>
  <c r="K51" i="13"/>
  <c r="L51" i="13" s="1"/>
  <c r="AT4" i="13"/>
  <c r="C4" i="13"/>
  <c r="E4" i="13" s="1"/>
  <c r="AD3" i="13"/>
  <c r="AS4" i="13" s="1"/>
  <c r="AH12" i="13"/>
  <c r="S13" i="13"/>
  <c r="T13" i="13" s="1"/>
  <c r="S23" i="13"/>
  <c r="T23" i="13" s="1"/>
  <c r="AH22" i="13"/>
  <c r="AO22" i="13"/>
  <c r="AD4" i="13" l="1"/>
  <c r="AS5" i="13" s="1"/>
  <c r="AT5" i="13"/>
  <c r="C5" i="13"/>
  <c r="E5" i="13" s="1"/>
  <c r="S24" i="13"/>
  <c r="T24" i="13" s="1"/>
  <c r="AH23" i="13"/>
  <c r="AO23" i="13"/>
  <c r="AO13" i="13"/>
  <c r="S14" i="13"/>
  <c r="T14" i="13" s="1"/>
  <c r="AH13" i="13"/>
  <c r="AT6" i="13" l="1"/>
  <c r="AD5" i="13"/>
  <c r="AS6" i="13" s="1"/>
  <c r="C6" i="13"/>
  <c r="E6" i="13" s="1"/>
  <c r="F5" i="13"/>
  <c r="AF5" i="13" s="1"/>
  <c r="AO14" i="13"/>
  <c r="S15" i="13"/>
  <c r="T15" i="13" s="1"/>
  <c r="AH14" i="13"/>
  <c r="S25" i="13"/>
  <c r="T25" i="13" s="1"/>
  <c r="AH24" i="13"/>
  <c r="AO24" i="13"/>
  <c r="C7" i="13" l="1"/>
  <c r="AT7" i="13"/>
  <c r="E7" i="13"/>
  <c r="AD6" i="13"/>
  <c r="AS7" i="13" s="1"/>
  <c r="F6" i="13"/>
  <c r="AF6" i="13" s="1"/>
  <c r="S26" i="13"/>
  <c r="T26" i="13" s="1"/>
  <c r="AH25" i="13"/>
  <c r="AO25" i="13"/>
  <c r="AO15" i="13"/>
  <c r="S16" i="13"/>
  <c r="T16" i="13" s="1"/>
  <c r="AH15" i="13"/>
  <c r="AT8" i="13" l="1"/>
  <c r="AD7" i="13"/>
  <c r="AS8" i="13" s="1"/>
  <c r="C8" i="13"/>
  <c r="E8" i="13" s="1"/>
  <c r="F7" i="13"/>
  <c r="AF7" i="13" s="1"/>
  <c r="AO16" i="13"/>
  <c r="S17" i="13"/>
  <c r="T17" i="13" s="1"/>
  <c r="AH16" i="13"/>
  <c r="S27" i="13"/>
  <c r="T27" i="13" s="1"/>
  <c r="AH26" i="13"/>
  <c r="AO26" i="13"/>
  <c r="S18" i="13" l="1"/>
  <c r="T18" i="13" s="1"/>
  <c r="AO17" i="13"/>
  <c r="AH17" i="13"/>
  <c r="C9" i="13"/>
  <c r="E9" i="13" s="1"/>
  <c r="F8" i="13"/>
  <c r="AF8" i="13" s="1"/>
  <c r="AT9" i="13"/>
  <c r="AD8" i="13"/>
  <c r="AS9" i="13" s="1"/>
  <c r="S28" i="13"/>
  <c r="T28" i="13" s="1"/>
  <c r="AH27" i="13"/>
  <c r="AO27" i="13"/>
  <c r="AT10" i="13" l="1"/>
  <c r="AD9" i="13"/>
  <c r="AS10" i="13" s="1"/>
  <c r="F9" i="13"/>
  <c r="AF9" i="13" s="1"/>
  <c r="C10" i="13"/>
  <c r="E10" i="13" s="1"/>
  <c r="AO28" i="13"/>
  <c r="S29" i="13"/>
  <c r="T29" i="13" s="1"/>
  <c r="AH28" i="13"/>
  <c r="S19" i="13"/>
  <c r="T19" i="13" s="1"/>
  <c r="AO18" i="13"/>
  <c r="AH18" i="13"/>
  <c r="AO29" i="13" l="1"/>
  <c r="AH29" i="13"/>
  <c r="S30" i="13"/>
  <c r="T30" i="13" s="1"/>
  <c r="C11" i="13"/>
  <c r="E11" i="13" s="1"/>
  <c r="F10" i="13"/>
  <c r="AF10" i="13" s="1"/>
  <c r="AT11" i="13"/>
  <c r="AD10" i="13"/>
  <c r="AS11" i="13" s="1"/>
  <c r="AH19" i="13"/>
  <c r="S20" i="13"/>
  <c r="T20" i="13" s="1"/>
  <c r="AO19" i="13"/>
  <c r="AD11" i="13" l="1"/>
  <c r="AS12" i="13" s="1"/>
  <c r="C12" i="13"/>
  <c r="E12" i="13" s="1"/>
  <c r="F11" i="13"/>
  <c r="AF11" i="13" s="1"/>
  <c r="AT12" i="13"/>
  <c r="AO30" i="13"/>
  <c r="S31" i="13"/>
  <c r="T31" i="13" s="1"/>
  <c r="AH30" i="13"/>
  <c r="AH20" i="13"/>
  <c r="S21" i="13"/>
  <c r="AO20" i="13"/>
  <c r="AD12" i="13" l="1"/>
  <c r="AS13" i="13" s="1"/>
  <c r="C13" i="13"/>
  <c r="E13" i="13" s="1"/>
  <c r="AT13" i="13"/>
  <c r="F12" i="13"/>
  <c r="AF12" i="13" s="1"/>
  <c r="AH31" i="13"/>
  <c r="AO31" i="13"/>
  <c r="S32" i="13"/>
  <c r="T32" i="13" s="1"/>
  <c r="F13" i="13" l="1"/>
  <c r="AF13" i="13" s="1"/>
  <c r="AD13" i="13"/>
  <c r="AS14" i="13" s="1"/>
  <c r="C14" i="13"/>
  <c r="E14" i="13" s="1"/>
  <c r="AT14" i="13"/>
  <c r="AO32" i="13"/>
  <c r="AH32" i="13"/>
  <c r="S33" i="13"/>
  <c r="T33" i="13" s="1"/>
  <c r="F14" i="13" l="1"/>
  <c r="AF14" i="13" s="1"/>
  <c r="AD14" i="13"/>
  <c r="AS15" i="13" s="1"/>
  <c r="C15" i="13"/>
  <c r="E15" i="13" s="1"/>
  <c r="AT15" i="13"/>
  <c r="S34" i="13"/>
  <c r="T34" i="13" s="1"/>
  <c r="AO33" i="13"/>
  <c r="AH33" i="13"/>
  <c r="AH34" i="13" l="1"/>
  <c r="AO34" i="13"/>
  <c r="S35" i="13"/>
  <c r="T35" i="13" s="1"/>
  <c r="F15" i="13"/>
  <c r="AF15" i="13" s="1"/>
  <c r="AD15" i="13"/>
  <c r="AS16" i="13" s="1"/>
  <c r="C16" i="13"/>
  <c r="E16" i="13" s="1"/>
  <c r="AT16" i="13"/>
  <c r="AT17" i="13" l="1"/>
  <c r="F16" i="13"/>
  <c r="AF16" i="13" s="1"/>
  <c r="AD16" i="13"/>
  <c r="AS17" i="13" s="1"/>
  <c r="C17" i="13"/>
  <c r="E17" i="13" s="1"/>
  <c r="AH35" i="13"/>
  <c r="AO35" i="13"/>
  <c r="S36" i="13"/>
  <c r="T36" i="13" s="1"/>
  <c r="AO36" i="13" l="1"/>
  <c r="AH36" i="13"/>
  <c r="S37" i="13"/>
  <c r="T37" i="13" s="1"/>
  <c r="F17" i="13"/>
  <c r="AF17" i="13" s="1"/>
  <c r="AD17" i="13"/>
  <c r="AS18" i="13" s="1"/>
  <c r="AT18" i="13"/>
  <c r="C18" i="13"/>
  <c r="E18" i="13" s="1"/>
  <c r="F18" i="13" l="1"/>
  <c r="AF18" i="13" s="1"/>
  <c r="AT19" i="13"/>
  <c r="C19" i="13"/>
  <c r="E19" i="13" s="1"/>
  <c r="AD18" i="13"/>
  <c r="AS19" i="13" s="1"/>
  <c r="S38" i="13"/>
  <c r="T38" i="13" s="1"/>
  <c r="AO37" i="13"/>
  <c r="AH37" i="13"/>
  <c r="F19" i="13" l="1"/>
  <c r="AF19" i="13" s="1"/>
  <c r="AT20" i="13"/>
  <c r="C20" i="13"/>
  <c r="E20" i="13" s="1"/>
  <c r="AD19" i="13"/>
  <c r="AS20" i="13" s="1"/>
  <c r="AH38" i="13"/>
  <c r="AO38" i="13"/>
  <c r="S39" i="13"/>
  <c r="T39" i="13" s="1"/>
  <c r="AT21" i="13" l="1"/>
  <c r="F20" i="13"/>
  <c r="AF20" i="13" s="1"/>
  <c r="C21" i="13"/>
  <c r="E21" i="13" s="1"/>
  <c r="AD20" i="13"/>
  <c r="AS21" i="13" s="1"/>
  <c r="S40" i="13"/>
  <c r="T40" i="13" s="1"/>
  <c r="AH39" i="13"/>
  <c r="AO39" i="13"/>
  <c r="AT22" i="13" l="1"/>
  <c r="F21" i="13"/>
  <c r="AF21" i="13" s="1"/>
  <c r="AD21" i="13"/>
  <c r="AS22" i="13" s="1"/>
  <c r="C22" i="13"/>
  <c r="E22" i="13" s="1"/>
  <c r="S41" i="13"/>
  <c r="T41" i="13" s="1"/>
  <c r="AO40" i="13"/>
  <c r="AH40" i="13"/>
  <c r="AT23" i="13" l="1"/>
  <c r="C23" i="13"/>
  <c r="E23" i="13" s="1"/>
  <c r="F22" i="13"/>
  <c r="AF22" i="13" s="1"/>
  <c r="AD22" i="13"/>
  <c r="AS23" i="13" s="1"/>
  <c r="AH41" i="13"/>
  <c r="S42" i="13"/>
  <c r="T42" i="13" s="1"/>
  <c r="AO41" i="13"/>
  <c r="AT24" i="13" l="1"/>
  <c r="C24" i="13"/>
  <c r="E24" i="13" s="1"/>
  <c r="AD23" i="13"/>
  <c r="AS24" i="13" s="1"/>
  <c r="F23" i="13"/>
  <c r="AF23" i="13" s="1"/>
  <c r="S43" i="13"/>
  <c r="T43" i="13" s="1"/>
  <c r="AO42" i="13"/>
  <c r="AH42" i="13"/>
  <c r="AT25" i="13" l="1"/>
  <c r="C25" i="13"/>
  <c r="E25" i="13" s="1"/>
  <c r="AD24" i="13"/>
  <c r="AS25" i="13" s="1"/>
  <c r="F24" i="13"/>
  <c r="AF24" i="13" s="1"/>
  <c r="AH43" i="13"/>
  <c r="AO43" i="13"/>
  <c r="S44" i="13"/>
  <c r="T44" i="13" s="1"/>
  <c r="AT26" i="13" l="1"/>
  <c r="C26" i="13"/>
  <c r="E26" i="13" s="1"/>
  <c r="AD25" i="13"/>
  <c r="AS26" i="13" s="1"/>
  <c r="F25" i="13"/>
  <c r="AF25" i="13" s="1"/>
  <c r="AH44" i="13"/>
  <c r="S45" i="13"/>
  <c r="T45" i="13" s="1"/>
  <c r="AO44" i="13"/>
  <c r="S46" i="13" l="1"/>
  <c r="T46" i="13" s="1"/>
  <c r="AO45" i="13"/>
  <c r="AH45" i="13"/>
  <c r="F26" i="13"/>
  <c r="AF26" i="13" s="1"/>
  <c r="AT27" i="13"/>
  <c r="C27" i="13"/>
  <c r="E27" i="13" s="1"/>
  <c r="AD26" i="13"/>
  <c r="AS27" i="13" s="1"/>
  <c r="F27" i="13" l="1"/>
  <c r="AF27" i="13" s="1"/>
  <c r="AT28" i="13"/>
  <c r="C28" i="13"/>
  <c r="E28" i="13" s="1"/>
  <c r="AD27" i="13"/>
  <c r="AS28" i="13" s="1"/>
  <c r="AH46" i="13"/>
  <c r="AO46" i="13"/>
  <c r="S47" i="13"/>
  <c r="T47" i="13" s="1"/>
  <c r="F28" i="13" l="1"/>
  <c r="AF28" i="13" s="1"/>
  <c r="AD28" i="13"/>
  <c r="AS29" i="13" s="1"/>
  <c r="C29" i="13"/>
  <c r="E29" i="13" s="1"/>
  <c r="AT29" i="13"/>
  <c r="S48" i="13"/>
  <c r="T48" i="13" s="1"/>
  <c r="AH47" i="13"/>
  <c r="AO47" i="13"/>
  <c r="F29" i="13" l="1"/>
  <c r="AF29" i="13" s="1"/>
  <c r="AT30" i="13"/>
  <c r="C30" i="13"/>
  <c r="E30" i="13" s="1"/>
  <c r="AD29" i="13"/>
  <c r="AS30" i="13" s="1"/>
  <c r="AO48" i="13"/>
  <c r="S49" i="13"/>
  <c r="T49" i="13" s="1"/>
  <c r="AH48" i="13"/>
  <c r="C31" i="13" l="1"/>
  <c r="AD30" i="13"/>
  <c r="AS31" i="13" s="1"/>
  <c r="AT31" i="13"/>
  <c r="E31" i="13"/>
  <c r="F30" i="13"/>
  <c r="AF30" i="13" s="1"/>
  <c r="S50" i="13"/>
  <c r="T50" i="13" s="1"/>
  <c r="AH49" i="13"/>
  <c r="AO49" i="13"/>
  <c r="AT32" i="13" l="1"/>
  <c r="C32" i="13"/>
  <c r="E32" i="13" s="1"/>
  <c r="AD31" i="13"/>
  <c r="AS32" i="13" s="1"/>
  <c r="F31" i="13"/>
  <c r="AF31" i="13" s="1"/>
  <c r="AO50" i="13"/>
  <c r="AH50" i="13"/>
  <c r="S51" i="13"/>
  <c r="T51" i="13" s="1"/>
  <c r="AH51" i="13" l="1"/>
  <c r="AO51" i="13"/>
  <c r="AT33" i="13"/>
  <c r="C33" i="13"/>
  <c r="AD32" i="13"/>
  <c r="AS33" i="13" s="1"/>
  <c r="E33" i="13"/>
  <c r="F32" i="13"/>
  <c r="AF32" i="13" s="1"/>
  <c r="AD33" i="13" l="1"/>
  <c r="AS34" i="13" s="1"/>
  <c r="F33" i="13"/>
  <c r="AF33" i="13" s="1"/>
  <c r="AT34" i="13"/>
  <c r="C34" i="13"/>
  <c r="E34" i="13" s="1"/>
  <c r="F34" i="13" l="1"/>
  <c r="AF34" i="13" s="1"/>
  <c r="AT35" i="13"/>
  <c r="C35" i="13"/>
  <c r="E35" i="13" s="1"/>
  <c r="AD34" i="13"/>
  <c r="AS35" i="13" s="1"/>
  <c r="F35" i="13" l="1"/>
  <c r="AF35" i="13" s="1"/>
  <c r="AT36" i="13"/>
  <c r="C36" i="13"/>
  <c r="E36" i="13" s="1"/>
  <c r="AD35" i="13"/>
  <c r="AS36" i="13" s="1"/>
  <c r="AT37" i="13" l="1"/>
  <c r="C37" i="13"/>
  <c r="AD36" i="13"/>
  <c r="AS37" i="13" s="1"/>
  <c r="E37" i="13"/>
  <c r="F36" i="13"/>
  <c r="AF36" i="13" s="1"/>
  <c r="AD37" i="13" l="1"/>
  <c r="AS38" i="13" s="1"/>
  <c r="F37" i="13"/>
  <c r="AF37" i="13" s="1"/>
  <c r="AT38" i="13"/>
  <c r="C38" i="13"/>
  <c r="E38" i="13" s="1"/>
  <c r="F38" i="13" l="1"/>
  <c r="AF38" i="13" s="1"/>
  <c r="C39" i="13"/>
  <c r="E39" i="13" s="1"/>
  <c r="AD38" i="13"/>
  <c r="AS39" i="13" s="1"/>
  <c r="AT39" i="13"/>
  <c r="F39" i="13" l="1"/>
  <c r="AF39" i="13" s="1"/>
  <c r="AT40" i="13"/>
  <c r="C40" i="13"/>
  <c r="E40" i="13" s="1"/>
  <c r="AD39" i="13"/>
  <c r="AS40" i="13" s="1"/>
  <c r="C41" i="13" l="1"/>
  <c r="AD40" i="13"/>
  <c r="AS41" i="13" s="1"/>
  <c r="F40" i="13"/>
  <c r="AF40" i="13" s="1"/>
  <c r="AT41" i="13"/>
  <c r="E41" i="13"/>
  <c r="AT42" i="13" l="1"/>
  <c r="F41" i="13"/>
  <c r="AF41" i="13" s="1"/>
  <c r="C42" i="13"/>
  <c r="E42" i="13" s="1"/>
  <c r="AD41" i="13"/>
  <c r="AS42" i="13" s="1"/>
  <c r="C43" i="13" l="1"/>
  <c r="E43" i="13" s="1"/>
  <c r="AD42" i="13"/>
  <c r="F42" i="13"/>
  <c r="AF42" i="13" s="1"/>
  <c r="AT43" i="13"/>
  <c r="AT44" i="13" l="1"/>
  <c r="C44" i="13"/>
  <c r="E44" i="13" s="1"/>
  <c r="F43" i="13"/>
  <c r="AF43" i="13" s="1"/>
  <c r="AD43" i="13"/>
  <c r="AS44" i="13" s="1"/>
  <c r="AP43" i="13"/>
  <c r="AS43" i="13"/>
  <c r="AT45" i="13" l="1"/>
  <c r="C45" i="13"/>
  <c r="E45" i="13" s="1"/>
  <c r="F44" i="13"/>
  <c r="AF44" i="13" s="1"/>
  <c r="AD44" i="13"/>
  <c r="AS45" i="13" s="1"/>
  <c r="AP44" i="13" l="1"/>
  <c r="C46" i="13"/>
  <c r="E46" i="13" s="1"/>
  <c r="F45" i="13"/>
  <c r="AF45" i="13" s="1"/>
  <c r="AD45" i="13"/>
  <c r="AS46" i="13" s="1"/>
  <c r="AT46" i="13"/>
  <c r="C47" i="13" l="1"/>
  <c r="E47" i="13" s="1"/>
  <c r="F46" i="13"/>
  <c r="AF46" i="13" s="1"/>
  <c r="AD46" i="13"/>
  <c r="AS47" i="13" s="1"/>
  <c r="AT47" i="13"/>
  <c r="AP45" i="13"/>
  <c r="AP46" i="13" l="1"/>
  <c r="AD47" i="13"/>
  <c r="AS48" i="13" s="1"/>
  <c r="C48" i="13"/>
  <c r="E48" i="13" s="1"/>
  <c r="F47" i="13"/>
  <c r="AF47" i="13" s="1"/>
  <c r="AT48" i="13"/>
  <c r="AD48" i="13" l="1"/>
  <c r="AS49" i="13" s="1"/>
  <c r="AT49" i="13"/>
  <c r="C49" i="13"/>
  <c r="F48" i="13"/>
  <c r="AF48" i="13" s="1"/>
  <c r="AP47" i="13"/>
  <c r="E49" i="13" l="1"/>
  <c r="AT50" i="13"/>
  <c r="AD49" i="13"/>
  <c r="AP49" i="13" s="1"/>
  <c r="F49" i="13"/>
  <c r="AF49" i="13" s="1"/>
  <c r="AP48" i="13"/>
  <c r="C50" i="13" l="1"/>
  <c r="AS50" i="13"/>
  <c r="E50" i="13" l="1"/>
  <c r="R2" i="1"/>
  <c r="AT51" i="13"/>
  <c r="AD50" i="13"/>
  <c r="AS51" i="13" s="1"/>
  <c r="AL50" i="13" l="1"/>
  <c r="AP50" i="13" s="1"/>
  <c r="C51" i="13"/>
  <c r="E51" i="13" s="1"/>
  <c r="P2" i="1"/>
  <c r="T2" i="1"/>
  <c r="F50" i="13"/>
  <c r="AF50" i="13" s="1"/>
  <c r="AD51" i="13" l="1"/>
  <c r="AL51" i="13" s="1"/>
  <c r="AP51" i="13" s="1"/>
  <c r="F51" i="13"/>
  <c r="AF51" i="13" s="1"/>
  <c r="C3" i="1"/>
  <c r="I319" i="1" l="1"/>
  <c r="J319" i="1" s="1"/>
  <c r="D319" i="1"/>
  <c r="I205" i="1"/>
  <c r="J205" i="1" s="1"/>
  <c r="D205" i="1"/>
  <c r="I313" i="1"/>
  <c r="J313" i="1" s="1"/>
  <c r="D313" i="1"/>
  <c r="I295" i="1"/>
  <c r="J295" i="1" s="1"/>
  <c r="D295" i="1"/>
  <c r="I277" i="1"/>
  <c r="J277" i="1" s="1"/>
  <c r="D277" i="1"/>
  <c r="I259" i="1"/>
  <c r="J259" i="1" s="1"/>
  <c r="D259" i="1"/>
  <c r="I241" i="1"/>
  <c r="J241" i="1" s="1"/>
  <c r="D241" i="1"/>
  <c r="I223" i="1"/>
  <c r="J223" i="1" s="1"/>
  <c r="D223" i="1"/>
  <c r="I199" i="1"/>
  <c r="J199" i="1" s="1"/>
  <c r="D199" i="1"/>
  <c r="I181" i="1"/>
  <c r="J181" i="1" s="1"/>
  <c r="D181" i="1"/>
  <c r="I163" i="1"/>
  <c r="J163" i="1" s="1"/>
  <c r="D163" i="1"/>
  <c r="I145" i="1"/>
  <c r="J145" i="1" s="1"/>
  <c r="D145" i="1"/>
  <c r="I127" i="1"/>
  <c r="J127" i="1" s="1"/>
  <c r="D127" i="1"/>
  <c r="I109" i="1"/>
  <c r="J109" i="1" s="1"/>
  <c r="D109" i="1"/>
  <c r="I91" i="1"/>
  <c r="J91" i="1" s="1"/>
  <c r="D91" i="1"/>
  <c r="I73" i="1"/>
  <c r="J73" i="1" s="1"/>
  <c r="D73" i="1"/>
  <c r="I55" i="1"/>
  <c r="J55" i="1" s="1"/>
  <c r="D55" i="1"/>
  <c r="I37" i="1"/>
  <c r="J37" i="1" s="1"/>
  <c r="D37" i="1"/>
  <c r="I19" i="1"/>
  <c r="J19" i="1" s="1"/>
  <c r="D19" i="1"/>
  <c r="I325" i="1"/>
  <c r="J325" i="1" s="1"/>
  <c r="D325" i="1"/>
  <c r="I301" i="1"/>
  <c r="J301" i="1" s="1"/>
  <c r="D301" i="1"/>
  <c r="I283" i="1"/>
  <c r="J283" i="1" s="1"/>
  <c r="D283" i="1"/>
  <c r="I265" i="1"/>
  <c r="J265" i="1" s="1"/>
  <c r="D265" i="1"/>
  <c r="I247" i="1"/>
  <c r="J247" i="1" s="1"/>
  <c r="D247" i="1"/>
  <c r="I229" i="1"/>
  <c r="J229" i="1" s="1"/>
  <c r="D229" i="1"/>
  <c r="I211" i="1"/>
  <c r="J211" i="1" s="1"/>
  <c r="D211" i="1"/>
  <c r="I187" i="1"/>
  <c r="J187" i="1" s="1"/>
  <c r="D187" i="1"/>
  <c r="I169" i="1"/>
  <c r="J169" i="1" s="1"/>
  <c r="D169" i="1"/>
  <c r="I151" i="1"/>
  <c r="J151" i="1" s="1"/>
  <c r="D151" i="1"/>
  <c r="I133" i="1"/>
  <c r="J133" i="1" s="1"/>
  <c r="D133" i="1"/>
  <c r="I115" i="1"/>
  <c r="J115" i="1" s="1"/>
  <c r="D115" i="1"/>
  <c r="I97" i="1"/>
  <c r="J97" i="1" s="1"/>
  <c r="D97" i="1"/>
  <c r="I79" i="1"/>
  <c r="J79" i="1" s="1"/>
  <c r="D79" i="1"/>
  <c r="I61" i="1"/>
  <c r="J61" i="1" s="1"/>
  <c r="D61" i="1"/>
  <c r="I43" i="1"/>
  <c r="J43" i="1" s="1"/>
  <c r="D43" i="1"/>
  <c r="I25" i="1"/>
  <c r="J25" i="1" s="1"/>
  <c r="D25" i="1"/>
  <c r="I13" i="1"/>
  <c r="J13" i="1" s="1"/>
  <c r="D13" i="1"/>
  <c r="I4" i="1"/>
  <c r="J4" i="1" s="1"/>
  <c r="D4" i="1"/>
  <c r="I307" i="1"/>
  <c r="J307" i="1" s="1"/>
  <c r="D307" i="1"/>
  <c r="I289" i="1"/>
  <c r="J289" i="1" s="1"/>
  <c r="D289" i="1"/>
  <c r="I271" i="1"/>
  <c r="J271" i="1" s="1"/>
  <c r="D271" i="1"/>
  <c r="I253" i="1"/>
  <c r="J253" i="1" s="1"/>
  <c r="D253" i="1"/>
  <c r="I235" i="1"/>
  <c r="J235" i="1" s="1"/>
  <c r="D235" i="1"/>
  <c r="I217" i="1"/>
  <c r="J217" i="1" s="1"/>
  <c r="D217" i="1"/>
  <c r="I193" i="1"/>
  <c r="J193" i="1" s="1"/>
  <c r="D193" i="1"/>
  <c r="D175" i="1"/>
  <c r="I175" i="1"/>
  <c r="J175" i="1" s="1"/>
  <c r="D157" i="1"/>
  <c r="I157" i="1"/>
  <c r="J157" i="1" s="1"/>
  <c r="D139" i="1"/>
  <c r="I139" i="1"/>
  <c r="J139" i="1" s="1"/>
  <c r="I121" i="1"/>
  <c r="J121" i="1" s="1"/>
  <c r="D121" i="1"/>
  <c r="D103" i="1"/>
  <c r="I103" i="1"/>
  <c r="J103" i="1" s="1"/>
  <c r="I85" i="1"/>
  <c r="J85" i="1" s="1"/>
  <c r="D85" i="1"/>
  <c r="D67" i="1"/>
  <c r="I67" i="1"/>
  <c r="J67" i="1" s="1"/>
  <c r="D49" i="1"/>
  <c r="I49" i="1"/>
  <c r="J49" i="1" s="1"/>
  <c r="D31" i="1"/>
  <c r="I31" i="1"/>
  <c r="J31" i="1" s="1"/>
  <c r="I7" i="1"/>
  <c r="J7" i="1" s="1"/>
  <c r="D7" i="1"/>
  <c r="I327" i="1"/>
  <c r="J327" i="1" s="1"/>
  <c r="D327" i="1"/>
  <c r="I321" i="1"/>
  <c r="J321" i="1" s="1"/>
  <c r="D321" i="1"/>
  <c r="I315" i="1"/>
  <c r="J315" i="1" s="1"/>
  <c r="D315" i="1"/>
  <c r="I309" i="1"/>
  <c r="J309" i="1" s="1"/>
  <c r="D309" i="1"/>
  <c r="I303" i="1"/>
  <c r="J303" i="1" s="1"/>
  <c r="D303" i="1"/>
  <c r="I297" i="1"/>
  <c r="J297" i="1" s="1"/>
  <c r="D297" i="1"/>
  <c r="I291" i="1"/>
  <c r="J291" i="1" s="1"/>
  <c r="D291" i="1"/>
  <c r="I285" i="1"/>
  <c r="J285" i="1" s="1"/>
  <c r="D285" i="1"/>
  <c r="I279" i="1"/>
  <c r="J279" i="1" s="1"/>
  <c r="D279" i="1"/>
  <c r="I273" i="1"/>
  <c r="J273" i="1" s="1"/>
  <c r="D273" i="1"/>
  <c r="I267" i="1"/>
  <c r="J267" i="1" s="1"/>
  <c r="D267" i="1"/>
  <c r="I261" i="1"/>
  <c r="J261" i="1" s="1"/>
  <c r="D261" i="1"/>
  <c r="I255" i="1"/>
  <c r="J255" i="1" s="1"/>
  <c r="D255" i="1"/>
  <c r="I249" i="1"/>
  <c r="J249" i="1" s="1"/>
  <c r="D249" i="1"/>
  <c r="I243" i="1"/>
  <c r="J243" i="1" s="1"/>
  <c r="D243" i="1"/>
  <c r="I237" i="1"/>
  <c r="J237" i="1" s="1"/>
  <c r="D237" i="1"/>
  <c r="I231" i="1"/>
  <c r="J231" i="1" s="1"/>
  <c r="D231" i="1"/>
  <c r="I225" i="1"/>
  <c r="J225" i="1" s="1"/>
  <c r="D225" i="1"/>
  <c r="I219" i="1"/>
  <c r="J219" i="1" s="1"/>
  <c r="D219" i="1"/>
  <c r="I213" i="1"/>
  <c r="J213" i="1" s="1"/>
  <c r="D213" i="1"/>
  <c r="I207" i="1"/>
  <c r="J207" i="1" s="1"/>
  <c r="D207" i="1"/>
  <c r="I201" i="1"/>
  <c r="J201" i="1" s="1"/>
  <c r="D201" i="1"/>
  <c r="I195" i="1"/>
  <c r="J195" i="1" s="1"/>
  <c r="D195" i="1"/>
  <c r="I189" i="1"/>
  <c r="J189" i="1" s="1"/>
  <c r="D189" i="1"/>
  <c r="I183" i="1"/>
  <c r="J183" i="1" s="1"/>
  <c r="D183" i="1"/>
  <c r="I177" i="1"/>
  <c r="J177" i="1" s="1"/>
  <c r="D177" i="1"/>
  <c r="I171" i="1"/>
  <c r="J171" i="1" s="1"/>
  <c r="D171" i="1"/>
  <c r="I165" i="1"/>
  <c r="J165" i="1" s="1"/>
  <c r="D165" i="1"/>
  <c r="I159" i="1"/>
  <c r="J159" i="1" s="1"/>
  <c r="D159" i="1"/>
  <c r="I153" i="1"/>
  <c r="J153" i="1" s="1"/>
  <c r="D153" i="1"/>
  <c r="I147" i="1"/>
  <c r="J147" i="1" s="1"/>
  <c r="D147" i="1"/>
  <c r="I141" i="1"/>
  <c r="J141" i="1" s="1"/>
  <c r="D141" i="1"/>
  <c r="I135" i="1"/>
  <c r="J135" i="1" s="1"/>
  <c r="D135" i="1"/>
  <c r="I129" i="1"/>
  <c r="J129" i="1" s="1"/>
  <c r="D129" i="1"/>
  <c r="I123" i="1"/>
  <c r="J123" i="1" s="1"/>
  <c r="D123" i="1"/>
  <c r="I117" i="1"/>
  <c r="J117" i="1" s="1"/>
  <c r="D117" i="1"/>
  <c r="I111" i="1"/>
  <c r="J111" i="1" s="1"/>
  <c r="D111" i="1"/>
  <c r="I105" i="1"/>
  <c r="J105" i="1" s="1"/>
  <c r="D105" i="1"/>
  <c r="I99" i="1"/>
  <c r="J99" i="1" s="1"/>
  <c r="D99" i="1"/>
  <c r="I93" i="1"/>
  <c r="J93" i="1" s="1"/>
  <c r="D93" i="1"/>
  <c r="I87" i="1"/>
  <c r="J87" i="1" s="1"/>
  <c r="D87" i="1"/>
  <c r="I81" i="1"/>
  <c r="J81" i="1" s="1"/>
  <c r="D81" i="1"/>
  <c r="I75" i="1"/>
  <c r="J75" i="1" s="1"/>
  <c r="D75" i="1"/>
  <c r="I69" i="1"/>
  <c r="J69" i="1" s="1"/>
  <c r="D69" i="1"/>
  <c r="I63" i="1"/>
  <c r="J63" i="1" s="1"/>
  <c r="D63" i="1"/>
  <c r="I57" i="1"/>
  <c r="J57" i="1" s="1"/>
  <c r="D57" i="1"/>
  <c r="I51" i="1"/>
  <c r="J51" i="1" s="1"/>
  <c r="D51" i="1"/>
  <c r="I45" i="1"/>
  <c r="J45" i="1" s="1"/>
  <c r="D45" i="1"/>
  <c r="I39" i="1"/>
  <c r="J39" i="1" s="1"/>
  <c r="D39" i="1"/>
  <c r="I33" i="1"/>
  <c r="J33" i="1" s="1"/>
  <c r="D33" i="1"/>
  <c r="I27" i="1"/>
  <c r="J27" i="1" s="1"/>
  <c r="D27" i="1"/>
  <c r="I21" i="1"/>
  <c r="J21" i="1" s="1"/>
  <c r="D21" i="1"/>
  <c r="I15" i="1"/>
  <c r="J15" i="1" s="1"/>
  <c r="D15" i="1"/>
  <c r="I9" i="1"/>
  <c r="J9" i="1" s="1"/>
  <c r="D9" i="1"/>
  <c r="I326" i="1"/>
  <c r="J326" i="1" s="1"/>
  <c r="D326" i="1"/>
  <c r="I320" i="1"/>
  <c r="J320" i="1" s="1"/>
  <c r="D320" i="1"/>
  <c r="I314" i="1"/>
  <c r="J314" i="1" s="1"/>
  <c r="D314" i="1"/>
  <c r="I308" i="1"/>
  <c r="J308" i="1" s="1"/>
  <c r="D308" i="1"/>
  <c r="I302" i="1"/>
  <c r="J302" i="1" s="1"/>
  <c r="D302" i="1"/>
  <c r="I296" i="1"/>
  <c r="J296" i="1" s="1"/>
  <c r="D296" i="1"/>
  <c r="I290" i="1"/>
  <c r="J290" i="1" s="1"/>
  <c r="D290" i="1"/>
  <c r="I284" i="1"/>
  <c r="J284" i="1" s="1"/>
  <c r="D284" i="1"/>
  <c r="I278" i="1"/>
  <c r="J278" i="1" s="1"/>
  <c r="D278" i="1"/>
  <c r="I272" i="1"/>
  <c r="J272" i="1" s="1"/>
  <c r="D272" i="1"/>
  <c r="I266" i="1"/>
  <c r="J266" i="1" s="1"/>
  <c r="D266" i="1"/>
  <c r="I260" i="1"/>
  <c r="J260" i="1" s="1"/>
  <c r="D260" i="1"/>
  <c r="I254" i="1"/>
  <c r="J254" i="1" s="1"/>
  <c r="D254" i="1"/>
  <c r="I248" i="1"/>
  <c r="J248" i="1" s="1"/>
  <c r="D248" i="1"/>
  <c r="I242" i="1"/>
  <c r="J242" i="1" s="1"/>
  <c r="D242" i="1"/>
  <c r="I236" i="1"/>
  <c r="J236" i="1" s="1"/>
  <c r="D236" i="1"/>
  <c r="I230" i="1"/>
  <c r="J230" i="1" s="1"/>
  <c r="D230" i="1"/>
  <c r="I224" i="1"/>
  <c r="J224" i="1" s="1"/>
  <c r="D224" i="1"/>
  <c r="I218" i="1"/>
  <c r="J218" i="1" s="1"/>
  <c r="D218" i="1"/>
  <c r="I212" i="1"/>
  <c r="J212" i="1" s="1"/>
  <c r="D212" i="1"/>
  <c r="I206" i="1"/>
  <c r="J206" i="1" s="1"/>
  <c r="D206" i="1"/>
  <c r="I200" i="1"/>
  <c r="J200" i="1" s="1"/>
  <c r="D200" i="1"/>
  <c r="I194" i="1"/>
  <c r="J194" i="1" s="1"/>
  <c r="D194" i="1"/>
  <c r="I188" i="1"/>
  <c r="J188" i="1" s="1"/>
  <c r="D188" i="1"/>
  <c r="I182" i="1"/>
  <c r="J182" i="1" s="1"/>
  <c r="D182" i="1"/>
  <c r="I176" i="1"/>
  <c r="J176" i="1" s="1"/>
  <c r="D176" i="1"/>
  <c r="I170" i="1"/>
  <c r="J170" i="1" s="1"/>
  <c r="D170" i="1"/>
  <c r="I164" i="1"/>
  <c r="J164" i="1" s="1"/>
  <c r="D164" i="1"/>
  <c r="I158" i="1"/>
  <c r="J158" i="1" s="1"/>
  <c r="D158" i="1"/>
  <c r="I152" i="1"/>
  <c r="J152" i="1" s="1"/>
  <c r="D152" i="1"/>
  <c r="I146" i="1"/>
  <c r="J146" i="1" s="1"/>
  <c r="D146" i="1"/>
  <c r="I140" i="1"/>
  <c r="J140" i="1" s="1"/>
  <c r="D140" i="1"/>
  <c r="I134" i="1"/>
  <c r="J134" i="1" s="1"/>
  <c r="D134" i="1"/>
  <c r="I128" i="1"/>
  <c r="J128" i="1" s="1"/>
  <c r="D128" i="1"/>
  <c r="I122" i="1"/>
  <c r="J122" i="1" s="1"/>
  <c r="D122" i="1"/>
  <c r="I116" i="1"/>
  <c r="J116" i="1" s="1"/>
  <c r="D116" i="1"/>
  <c r="I110" i="1"/>
  <c r="J110" i="1" s="1"/>
  <c r="D110" i="1"/>
  <c r="I104" i="1"/>
  <c r="J104" i="1" s="1"/>
  <c r="D104" i="1"/>
  <c r="I98" i="1"/>
  <c r="J98" i="1" s="1"/>
  <c r="D98" i="1"/>
  <c r="I92" i="1"/>
  <c r="J92" i="1" s="1"/>
  <c r="D92" i="1"/>
  <c r="I330" i="1"/>
  <c r="J330" i="1" s="1"/>
  <c r="D330" i="1"/>
  <c r="G330" i="1" s="1"/>
  <c r="I324" i="1"/>
  <c r="J324" i="1" s="1"/>
  <c r="D324" i="1"/>
  <c r="I318" i="1"/>
  <c r="J318" i="1" s="1"/>
  <c r="D318" i="1"/>
  <c r="D312" i="1"/>
  <c r="I312" i="1"/>
  <c r="J312" i="1" s="1"/>
  <c r="I306" i="1"/>
  <c r="J306" i="1" s="1"/>
  <c r="D306" i="1"/>
  <c r="D300" i="1"/>
  <c r="I300" i="1"/>
  <c r="J300" i="1" s="1"/>
  <c r="I294" i="1"/>
  <c r="J294" i="1" s="1"/>
  <c r="D294" i="1"/>
  <c r="D288" i="1"/>
  <c r="I288" i="1"/>
  <c r="J288" i="1" s="1"/>
  <c r="I282" i="1"/>
  <c r="J282" i="1" s="1"/>
  <c r="D282" i="1"/>
  <c r="D276" i="1"/>
  <c r="I276" i="1"/>
  <c r="J276" i="1" s="1"/>
  <c r="I270" i="1"/>
  <c r="J270" i="1" s="1"/>
  <c r="D270" i="1"/>
  <c r="D264" i="1"/>
  <c r="I264" i="1"/>
  <c r="J264" i="1" s="1"/>
  <c r="I258" i="1"/>
  <c r="J258" i="1" s="1"/>
  <c r="D258" i="1"/>
  <c r="D252" i="1"/>
  <c r="I252" i="1"/>
  <c r="J252" i="1" s="1"/>
  <c r="I246" i="1"/>
  <c r="J246" i="1" s="1"/>
  <c r="D246" i="1"/>
  <c r="I240" i="1"/>
  <c r="J240" i="1" s="1"/>
  <c r="D240" i="1"/>
  <c r="I234" i="1"/>
  <c r="J234" i="1" s="1"/>
  <c r="D234" i="1"/>
  <c r="D228" i="1"/>
  <c r="I228" i="1"/>
  <c r="J228" i="1" s="1"/>
  <c r="I222" i="1"/>
  <c r="J222" i="1" s="1"/>
  <c r="D222" i="1"/>
  <c r="D216" i="1"/>
  <c r="I216" i="1"/>
  <c r="J216" i="1" s="1"/>
  <c r="I210" i="1"/>
  <c r="J210" i="1" s="1"/>
  <c r="D210" i="1"/>
  <c r="I204" i="1"/>
  <c r="J204" i="1" s="1"/>
  <c r="D204" i="1"/>
  <c r="D198" i="1"/>
  <c r="I198" i="1"/>
  <c r="J198" i="1" s="1"/>
  <c r="I192" i="1"/>
  <c r="J192" i="1" s="1"/>
  <c r="D192" i="1"/>
  <c r="I186" i="1"/>
  <c r="J186" i="1" s="1"/>
  <c r="D186" i="1"/>
  <c r="I180" i="1"/>
  <c r="J180" i="1" s="1"/>
  <c r="D180" i="1"/>
  <c r="I174" i="1"/>
  <c r="J174" i="1" s="1"/>
  <c r="D174" i="1"/>
  <c r="I168" i="1"/>
  <c r="J168" i="1" s="1"/>
  <c r="D168" i="1"/>
  <c r="I162" i="1"/>
  <c r="J162" i="1" s="1"/>
  <c r="D162" i="1"/>
  <c r="I156" i="1"/>
  <c r="J156" i="1" s="1"/>
  <c r="D156" i="1"/>
  <c r="I150" i="1"/>
  <c r="J150" i="1" s="1"/>
  <c r="D150" i="1"/>
  <c r="I144" i="1"/>
  <c r="J144" i="1" s="1"/>
  <c r="D144" i="1"/>
  <c r="I138" i="1"/>
  <c r="J138" i="1" s="1"/>
  <c r="D138" i="1"/>
  <c r="I132" i="1"/>
  <c r="J132" i="1" s="1"/>
  <c r="D132" i="1"/>
  <c r="I126" i="1"/>
  <c r="J126" i="1" s="1"/>
  <c r="D126" i="1"/>
  <c r="I120" i="1"/>
  <c r="J120" i="1" s="1"/>
  <c r="D120" i="1"/>
  <c r="I114" i="1"/>
  <c r="J114" i="1" s="1"/>
  <c r="D114" i="1"/>
  <c r="D108" i="1"/>
  <c r="I108" i="1"/>
  <c r="J108" i="1" s="1"/>
  <c r="I102" i="1"/>
  <c r="J102" i="1" s="1"/>
  <c r="D102" i="1"/>
  <c r="I96" i="1"/>
  <c r="J96" i="1" s="1"/>
  <c r="D96" i="1"/>
  <c r="I90" i="1"/>
  <c r="J90" i="1" s="1"/>
  <c r="D90" i="1"/>
  <c r="I84" i="1"/>
  <c r="J84" i="1" s="1"/>
  <c r="D84" i="1"/>
  <c r="I78" i="1"/>
  <c r="J78" i="1" s="1"/>
  <c r="D78" i="1"/>
  <c r="I72" i="1"/>
  <c r="J72" i="1" s="1"/>
  <c r="D72" i="1"/>
  <c r="I66" i="1"/>
  <c r="J66" i="1" s="1"/>
  <c r="D66" i="1"/>
  <c r="I60" i="1"/>
  <c r="J60" i="1" s="1"/>
  <c r="D60" i="1"/>
  <c r="I54" i="1"/>
  <c r="J54" i="1" s="1"/>
  <c r="D54" i="1"/>
  <c r="I48" i="1"/>
  <c r="J48" i="1" s="1"/>
  <c r="D48" i="1"/>
  <c r="I42" i="1"/>
  <c r="J42" i="1" s="1"/>
  <c r="D42" i="1"/>
  <c r="I36" i="1"/>
  <c r="J36" i="1" s="1"/>
  <c r="D36" i="1"/>
  <c r="I30" i="1"/>
  <c r="J30" i="1" s="1"/>
  <c r="D30" i="1"/>
  <c r="I24" i="1"/>
  <c r="J24" i="1" s="1"/>
  <c r="D24" i="1"/>
  <c r="I18" i="1"/>
  <c r="J18" i="1" s="1"/>
  <c r="D18" i="1"/>
  <c r="I12" i="1"/>
  <c r="J12" i="1" s="1"/>
  <c r="D12" i="1"/>
  <c r="I6" i="1"/>
  <c r="J6" i="1" s="1"/>
  <c r="G3" i="4" s="1"/>
  <c r="D6" i="1"/>
  <c r="I329" i="1"/>
  <c r="J329" i="1" s="1"/>
  <c r="D329" i="1"/>
  <c r="I323" i="1"/>
  <c r="J323" i="1" s="1"/>
  <c r="D323" i="1"/>
  <c r="I317" i="1"/>
  <c r="J317" i="1" s="1"/>
  <c r="D317" i="1"/>
  <c r="I311" i="1"/>
  <c r="J311" i="1" s="1"/>
  <c r="D311" i="1"/>
  <c r="I305" i="1"/>
  <c r="J305" i="1" s="1"/>
  <c r="D305" i="1"/>
  <c r="I299" i="1"/>
  <c r="J299" i="1" s="1"/>
  <c r="D299" i="1"/>
  <c r="I293" i="1"/>
  <c r="J293" i="1" s="1"/>
  <c r="D293" i="1"/>
  <c r="I287" i="1"/>
  <c r="J287" i="1" s="1"/>
  <c r="D287" i="1"/>
  <c r="I281" i="1"/>
  <c r="J281" i="1" s="1"/>
  <c r="D281" i="1"/>
  <c r="I275" i="1"/>
  <c r="J275" i="1" s="1"/>
  <c r="D275" i="1"/>
  <c r="I269" i="1"/>
  <c r="J269" i="1" s="1"/>
  <c r="D269" i="1"/>
  <c r="I263" i="1"/>
  <c r="J263" i="1" s="1"/>
  <c r="D263" i="1"/>
  <c r="I257" i="1"/>
  <c r="J257" i="1" s="1"/>
  <c r="D257" i="1"/>
  <c r="I251" i="1"/>
  <c r="J251" i="1" s="1"/>
  <c r="D251" i="1"/>
  <c r="I245" i="1"/>
  <c r="J245" i="1" s="1"/>
  <c r="D245" i="1"/>
  <c r="I239" i="1"/>
  <c r="J239" i="1" s="1"/>
  <c r="D239" i="1"/>
  <c r="I233" i="1"/>
  <c r="J233" i="1" s="1"/>
  <c r="D233" i="1"/>
  <c r="I227" i="1"/>
  <c r="J227" i="1" s="1"/>
  <c r="D227" i="1"/>
  <c r="I221" i="1"/>
  <c r="J221" i="1" s="1"/>
  <c r="D221" i="1"/>
  <c r="I215" i="1"/>
  <c r="J215" i="1" s="1"/>
  <c r="D215" i="1"/>
  <c r="I209" i="1"/>
  <c r="J209" i="1" s="1"/>
  <c r="D209" i="1"/>
  <c r="I203" i="1"/>
  <c r="J203" i="1" s="1"/>
  <c r="D203" i="1"/>
  <c r="I197" i="1"/>
  <c r="J197" i="1" s="1"/>
  <c r="D197" i="1"/>
  <c r="I191" i="1"/>
  <c r="J191" i="1" s="1"/>
  <c r="D191" i="1"/>
  <c r="I185" i="1"/>
  <c r="J185" i="1" s="1"/>
  <c r="D185" i="1"/>
  <c r="I179" i="1"/>
  <c r="J179" i="1" s="1"/>
  <c r="D179" i="1"/>
  <c r="I173" i="1"/>
  <c r="J173" i="1" s="1"/>
  <c r="D173" i="1"/>
  <c r="I167" i="1"/>
  <c r="J167" i="1" s="1"/>
  <c r="D167" i="1"/>
  <c r="I161" i="1"/>
  <c r="J161" i="1" s="1"/>
  <c r="D161" i="1"/>
  <c r="I155" i="1"/>
  <c r="J155" i="1" s="1"/>
  <c r="D155" i="1"/>
  <c r="I149" i="1"/>
  <c r="J149" i="1" s="1"/>
  <c r="D149" i="1"/>
  <c r="I143" i="1"/>
  <c r="J143" i="1" s="1"/>
  <c r="D143" i="1"/>
  <c r="I137" i="1"/>
  <c r="J137" i="1" s="1"/>
  <c r="D137" i="1"/>
  <c r="I131" i="1"/>
  <c r="J131" i="1" s="1"/>
  <c r="D131" i="1"/>
  <c r="I125" i="1"/>
  <c r="J125" i="1" s="1"/>
  <c r="D125" i="1"/>
  <c r="I119" i="1"/>
  <c r="J119" i="1" s="1"/>
  <c r="D119" i="1"/>
  <c r="I113" i="1"/>
  <c r="J113" i="1" s="1"/>
  <c r="D113" i="1"/>
  <c r="I107" i="1"/>
  <c r="J107" i="1" s="1"/>
  <c r="D107" i="1"/>
  <c r="I101" i="1"/>
  <c r="J101" i="1" s="1"/>
  <c r="D101" i="1"/>
  <c r="I95" i="1"/>
  <c r="J95" i="1" s="1"/>
  <c r="D95" i="1"/>
  <c r="I89" i="1"/>
  <c r="J89" i="1" s="1"/>
  <c r="D89" i="1"/>
  <c r="I83" i="1"/>
  <c r="J83" i="1" s="1"/>
  <c r="D83" i="1"/>
  <c r="I77" i="1"/>
  <c r="J77" i="1" s="1"/>
  <c r="D77" i="1"/>
  <c r="I71" i="1"/>
  <c r="J71" i="1" s="1"/>
  <c r="D71" i="1"/>
  <c r="I65" i="1"/>
  <c r="J65" i="1" s="1"/>
  <c r="D65" i="1"/>
  <c r="I59" i="1"/>
  <c r="J59" i="1" s="1"/>
  <c r="D59" i="1"/>
  <c r="I53" i="1"/>
  <c r="J53" i="1" s="1"/>
  <c r="D53" i="1"/>
  <c r="I47" i="1"/>
  <c r="J47" i="1" s="1"/>
  <c r="D47" i="1"/>
  <c r="I41" i="1"/>
  <c r="J41" i="1" s="1"/>
  <c r="D41" i="1"/>
  <c r="I35" i="1"/>
  <c r="J35" i="1" s="1"/>
  <c r="D35" i="1"/>
  <c r="I29" i="1"/>
  <c r="J29" i="1" s="1"/>
  <c r="D29" i="1"/>
  <c r="I23" i="1"/>
  <c r="J23" i="1" s="1"/>
  <c r="D23" i="1"/>
  <c r="I17" i="1"/>
  <c r="J17" i="1" s="1"/>
  <c r="D17" i="1"/>
  <c r="I11" i="1"/>
  <c r="J11" i="1" s="1"/>
  <c r="D11" i="1"/>
  <c r="I5" i="1"/>
  <c r="J5" i="1" s="1"/>
  <c r="D5" i="1"/>
  <c r="I328" i="1"/>
  <c r="J328" i="1" s="1"/>
  <c r="D328" i="1"/>
  <c r="D322" i="1"/>
  <c r="I322" i="1"/>
  <c r="J322" i="1" s="1"/>
  <c r="I316" i="1"/>
  <c r="J316" i="1" s="1"/>
  <c r="D316" i="1"/>
  <c r="I310" i="1"/>
  <c r="J310" i="1" s="1"/>
  <c r="D310" i="1"/>
  <c r="I304" i="1"/>
  <c r="J304" i="1" s="1"/>
  <c r="D304" i="1"/>
  <c r="I298" i="1"/>
  <c r="J298" i="1" s="1"/>
  <c r="D298" i="1"/>
  <c r="I292" i="1"/>
  <c r="J292" i="1" s="1"/>
  <c r="D292" i="1"/>
  <c r="D286" i="1"/>
  <c r="I286" i="1"/>
  <c r="J286" i="1" s="1"/>
  <c r="I280" i="1"/>
  <c r="J280" i="1" s="1"/>
  <c r="D280" i="1"/>
  <c r="I274" i="1"/>
  <c r="J274" i="1" s="1"/>
  <c r="D274" i="1"/>
  <c r="I268" i="1"/>
  <c r="J268" i="1" s="1"/>
  <c r="D268" i="1"/>
  <c r="I262" i="1"/>
  <c r="J262" i="1" s="1"/>
  <c r="D262" i="1"/>
  <c r="I256" i="1"/>
  <c r="J256" i="1" s="1"/>
  <c r="D256" i="1"/>
  <c r="D250" i="1"/>
  <c r="I250" i="1"/>
  <c r="J250" i="1" s="1"/>
  <c r="I244" i="1"/>
  <c r="J244" i="1" s="1"/>
  <c r="D244" i="1"/>
  <c r="I238" i="1"/>
  <c r="J238" i="1" s="1"/>
  <c r="D238" i="1"/>
  <c r="I232" i="1"/>
  <c r="J232" i="1" s="1"/>
  <c r="D232" i="1"/>
  <c r="I226" i="1"/>
  <c r="J226" i="1" s="1"/>
  <c r="D226" i="1"/>
  <c r="I220" i="1"/>
  <c r="J220" i="1" s="1"/>
  <c r="D220" i="1"/>
  <c r="I214" i="1"/>
  <c r="J214" i="1" s="1"/>
  <c r="D214" i="1"/>
  <c r="I208" i="1"/>
  <c r="J208" i="1" s="1"/>
  <c r="D208" i="1"/>
  <c r="I202" i="1"/>
  <c r="J202" i="1" s="1"/>
  <c r="D202" i="1"/>
  <c r="I196" i="1"/>
  <c r="J196" i="1" s="1"/>
  <c r="D196" i="1"/>
  <c r="I190" i="1"/>
  <c r="J190" i="1" s="1"/>
  <c r="D190" i="1"/>
  <c r="I184" i="1"/>
  <c r="J184" i="1" s="1"/>
  <c r="D184" i="1"/>
  <c r="I178" i="1"/>
  <c r="J178" i="1" s="1"/>
  <c r="D178" i="1"/>
  <c r="I172" i="1"/>
  <c r="J172" i="1" s="1"/>
  <c r="D172" i="1"/>
  <c r="I166" i="1"/>
  <c r="J166" i="1" s="1"/>
  <c r="D166" i="1"/>
  <c r="I160" i="1"/>
  <c r="J160" i="1" s="1"/>
  <c r="D160" i="1"/>
  <c r="I154" i="1"/>
  <c r="J154" i="1" s="1"/>
  <c r="D154" i="1"/>
  <c r="I148" i="1"/>
  <c r="J148" i="1" s="1"/>
  <c r="D148" i="1"/>
  <c r="I142" i="1"/>
  <c r="J142" i="1" s="1"/>
  <c r="D142" i="1"/>
  <c r="I136" i="1"/>
  <c r="J136" i="1" s="1"/>
  <c r="D136" i="1"/>
  <c r="I130" i="1"/>
  <c r="J130" i="1" s="1"/>
  <c r="D130" i="1"/>
  <c r="I124" i="1"/>
  <c r="J124" i="1" s="1"/>
  <c r="D124" i="1"/>
  <c r="I118" i="1"/>
  <c r="J118" i="1" s="1"/>
  <c r="D118" i="1"/>
  <c r="I112" i="1"/>
  <c r="J112" i="1" s="1"/>
  <c r="D112" i="1"/>
  <c r="I106" i="1"/>
  <c r="J106" i="1" s="1"/>
  <c r="D106" i="1"/>
  <c r="I100" i="1"/>
  <c r="J100" i="1" s="1"/>
  <c r="D100" i="1"/>
  <c r="I94" i="1"/>
  <c r="J94" i="1" s="1"/>
  <c r="D94" i="1"/>
  <c r="I88" i="1"/>
  <c r="J88" i="1" s="1"/>
  <c r="D88" i="1"/>
  <c r="I82" i="1"/>
  <c r="J82" i="1" s="1"/>
  <c r="D82" i="1"/>
  <c r="I76" i="1"/>
  <c r="J76" i="1" s="1"/>
  <c r="D76" i="1"/>
  <c r="I70" i="1"/>
  <c r="J70" i="1" s="1"/>
  <c r="D70" i="1"/>
  <c r="I64" i="1"/>
  <c r="J64" i="1" s="1"/>
  <c r="D64" i="1"/>
  <c r="I58" i="1"/>
  <c r="J58" i="1" s="1"/>
  <c r="D58" i="1"/>
  <c r="I52" i="1"/>
  <c r="J52" i="1" s="1"/>
  <c r="D52" i="1"/>
  <c r="I46" i="1"/>
  <c r="J46" i="1" s="1"/>
  <c r="D46" i="1"/>
  <c r="I40" i="1"/>
  <c r="J40" i="1" s="1"/>
  <c r="D40" i="1"/>
  <c r="I34" i="1"/>
  <c r="J34" i="1" s="1"/>
  <c r="D34" i="1"/>
  <c r="I28" i="1"/>
  <c r="J28" i="1" s="1"/>
  <c r="D28" i="1"/>
  <c r="I22" i="1"/>
  <c r="J22" i="1" s="1"/>
  <c r="D22" i="1"/>
  <c r="I16" i="1"/>
  <c r="J16" i="1" s="1"/>
  <c r="D16" i="1"/>
  <c r="I10" i="1"/>
  <c r="J10" i="1" s="1"/>
  <c r="D10" i="1"/>
  <c r="I86" i="1"/>
  <c r="J86" i="1" s="1"/>
  <c r="D86" i="1"/>
  <c r="I80" i="1"/>
  <c r="J80" i="1" s="1"/>
  <c r="D80" i="1"/>
  <c r="I74" i="1"/>
  <c r="J74" i="1" s="1"/>
  <c r="D74" i="1"/>
  <c r="I68" i="1"/>
  <c r="J68" i="1" s="1"/>
  <c r="D68" i="1"/>
  <c r="I62" i="1"/>
  <c r="J62" i="1" s="1"/>
  <c r="D62" i="1"/>
  <c r="I56" i="1"/>
  <c r="J56" i="1" s="1"/>
  <c r="D56" i="1"/>
  <c r="I50" i="1"/>
  <c r="J50" i="1" s="1"/>
  <c r="D50" i="1"/>
  <c r="I44" i="1"/>
  <c r="J44" i="1" s="1"/>
  <c r="D44" i="1"/>
  <c r="I38" i="1"/>
  <c r="J38" i="1" s="1"/>
  <c r="D38" i="1"/>
  <c r="I32" i="1"/>
  <c r="J32" i="1" s="1"/>
  <c r="D32" i="1"/>
  <c r="I26" i="1"/>
  <c r="J26" i="1" s="1"/>
  <c r="D26" i="1"/>
  <c r="I20" i="1"/>
  <c r="J20" i="1" s="1"/>
  <c r="D20" i="1"/>
  <c r="I14" i="1"/>
  <c r="J14" i="1" s="1"/>
  <c r="D14" i="1"/>
  <c r="I8" i="1"/>
  <c r="J8" i="1" s="1"/>
  <c r="D8" i="1"/>
  <c r="B3" i="4"/>
  <c r="D332" i="1" l="1"/>
  <c r="F332" i="1" s="1"/>
  <c r="D331" i="1"/>
  <c r="G322" i="1"/>
  <c r="F329" i="1" l="1"/>
  <c r="A35" i="4"/>
  <c r="A36" i="4"/>
  <c r="A37" i="4"/>
  <c r="A38" i="4"/>
  <c r="G38" i="4" s="1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G52" i="4" s="1"/>
  <c r="A53" i="4"/>
  <c r="A54" i="4"/>
  <c r="A55" i="4"/>
  <c r="A56" i="4"/>
  <c r="A57" i="4"/>
  <c r="A58" i="4"/>
  <c r="A59" i="4"/>
  <c r="A60" i="4"/>
  <c r="A61" i="4"/>
  <c r="A62" i="4"/>
  <c r="A63" i="4"/>
  <c r="G63" i="4" s="1"/>
  <c r="A64" i="4"/>
  <c r="G64" i="4" s="1"/>
  <c r="A65" i="4"/>
  <c r="A66" i="4"/>
  <c r="A67" i="4"/>
  <c r="A68" i="4"/>
  <c r="G68" i="4" s="1"/>
  <c r="A69" i="4"/>
  <c r="A70" i="4"/>
  <c r="A71" i="4"/>
  <c r="A72" i="4"/>
  <c r="A73" i="4"/>
  <c r="A74" i="4"/>
  <c r="A75" i="4"/>
  <c r="A76" i="4"/>
  <c r="A77" i="4"/>
  <c r="A78" i="4"/>
  <c r="A79" i="4"/>
  <c r="A80" i="4"/>
  <c r="G80" i="4" s="1"/>
  <c r="A81" i="4"/>
  <c r="A82" i="4"/>
  <c r="A83" i="4"/>
  <c r="A84" i="4"/>
  <c r="G84" i="4" s="1"/>
  <c r="A85" i="4"/>
  <c r="A86" i="4"/>
  <c r="G86" i="4" s="1"/>
  <c r="A87" i="4"/>
  <c r="A88" i="4"/>
  <c r="G88" i="4" s="1"/>
  <c r="A89" i="4"/>
  <c r="A90" i="4"/>
  <c r="A91" i="4"/>
  <c r="G91" i="4" s="1"/>
  <c r="A92" i="4"/>
  <c r="A93" i="4"/>
  <c r="A94" i="4"/>
  <c r="A95" i="4"/>
  <c r="A96" i="4"/>
  <c r="A97" i="4"/>
  <c r="A98" i="4"/>
  <c r="A99" i="4"/>
  <c r="G99" i="4" s="1"/>
  <c r="A100" i="4"/>
  <c r="G100" i="4" s="1"/>
  <c r="A101" i="4"/>
  <c r="A102" i="4"/>
  <c r="G102" i="4" s="1"/>
  <c r="A103" i="4"/>
  <c r="A104" i="4"/>
  <c r="G104" i="4" s="1"/>
  <c r="A105" i="4"/>
  <c r="A106" i="4"/>
  <c r="G106" i="4" s="1"/>
  <c r="A107" i="4"/>
  <c r="A108" i="4"/>
  <c r="A109" i="4"/>
  <c r="A110" i="4"/>
  <c r="A111" i="4"/>
  <c r="G111" i="4" s="1"/>
  <c r="A112" i="4"/>
  <c r="G112" i="4" s="1"/>
  <c r="A113" i="4"/>
  <c r="A114" i="4"/>
  <c r="A115" i="4"/>
  <c r="A116" i="4"/>
  <c r="G116" i="4" s="1"/>
  <c r="A117" i="4"/>
  <c r="G117" i="4" s="1"/>
  <c r="A118" i="4"/>
  <c r="A119" i="4"/>
  <c r="A120" i="4"/>
  <c r="A121" i="4"/>
  <c r="G121" i="4" s="1"/>
  <c r="A122" i="4"/>
  <c r="A123" i="4"/>
  <c r="G123" i="4" s="1"/>
  <c r="A124" i="4"/>
  <c r="A125" i="4"/>
  <c r="A126" i="4"/>
  <c r="G126" i="4" s="1"/>
  <c r="A127" i="4"/>
  <c r="A128" i="4"/>
  <c r="G128" i="4" s="1"/>
  <c r="A129" i="4"/>
  <c r="A130" i="4"/>
  <c r="A131" i="4"/>
  <c r="A132" i="4"/>
  <c r="A133" i="4"/>
  <c r="A134" i="4"/>
  <c r="A135" i="4"/>
  <c r="G135" i="4" s="1"/>
  <c r="A136" i="4"/>
  <c r="A137" i="4"/>
  <c r="A138" i="4"/>
  <c r="A139" i="4"/>
  <c r="A140" i="4"/>
  <c r="A141" i="4"/>
  <c r="A142" i="4"/>
  <c r="G142" i="4" s="1"/>
  <c r="A143" i="4"/>
  <c r="A144" i="4"/>
  <c r="A145" i="4"/>
  <c r="A146" i="4"/>
  <c r="A147" i="4"/>
  <c r="G147" i="4" s="1"/>
  <c r="A148" i="4"/>
  <c r="A149" i="4"/>
  <c r="A150" i="4"/>
  <c r="A151" i="4"/>
  <c r="A152" i="4"/>
  <c r="G152" i="4" s="1"/>
  <c r="A153" i="4"/>
  <c r="A154" i="4"/>
  <c r="G154" i="4" s="1"/>
  <c r="A155" i="4"/>
  <c r="A156" i="4"/>
  <c r="A157" i="4"/>
  <c r="A158" i="4"/>
  <c r="G158" i="4" s="1"/>
  <c r="A159" i="4"/>
  <c r="G159" i="4" s="1"/>
  <c r="A160" i="4"/>
  <c r="G160" i="4" s="1"/>
  <c r="A161" i="4"/>
  <c r="A162" i="4"/>
  <c r="A163" i="4"/>
  <c r="A164" i="4"/>
  <c r="G164" i="4" s="1"/>
  <c r="A165" i="4"/>
  <c r="A166" i="4"/>
  <c r="G166" i="4" s="1"/>
  <c r="A167" i="4"/>
  <c r="A168" i="4"/>
  <c r="G168" i="4" s="1"/>
  <c r="A169" i="4"/>
  <c r="A170" i="4"/>
  <c r="G170" i="4" s="1"/>
  <c r="A171" i="4"/>
  <c r="G171" i="4" s="1"/>
  <c r="A172" i="4"/>
  <c r="G172" i="4" s="1"/>
  <c r="A173" i="4"/>
  <c r="A174" i="4"/>
  <c r="A175" i="4"/>
  <c r="A176" i="4"/>
  <c r="A177" i="4"/>
  <c r="G177" i="4" s="1"/>
  <c r="A178" i="4"/>
  <c r="A179" i="4"/>
  <c r="A180" i="4"/>
  <c r="G180" i="4" s="1"/>
  <c r="A181" i="4"/>
  <c r="A182" i="4"/>
  <c r="A183" i="4"/>
  <c r="G183" i="4" s="1"/>
  <c r="A184" i="4"/>
  <c r="A185" i="4"/>
  <c r="A186" i="4"/>
  <c r="A187" i="4"/>
  <c r="A188" i="4"/>
  <c r="A189" i="4"/>
  <c r="A190" i="4"/>
  <c r="G190" i="4" s="1"/>
  <c r="A191" i="4"/>
  <c r="A192" i="4"/>
  <c r="A193" i="4"/>
  <c r="A194" i="4"/>
  <c r="A195" i="4"/>
  <c r="G195" i="4" s="1"/>
  <c r="A196" i="4"/>
  <c r="G196" i="4" s="1"/>
  <c r="A197" i="4"/>
  <c r="A198" i="4"/>
  <c r="A199" i="4"/>
  <c r="A200" i="4"/>
  <c r="G200" i="4" s="1"/>
  <c r="A201" i="4"/>
  <c r="A202" i="4"/>
  <c r="G202" i="4" s="1"/>
  <c r="A203" i="4"/>
  <c r="A204" i="4"/>
  <c r="A205" i="4"/>
  <c r="A206" i="4"/>
  <c r="A207" i="4"/>
  <c r="G207" i="4" s="1"/>
  <c r="A208" i="4"/>
  <c r="G208" i="4" s="1"/>
  <c r="A209" i="4"/>
  <c r="A210" i="4"/>
  <c r="A211" i="4"/>
  <c r="A212" i="4"/>
  <c r="G212" i="4" s="1"/>
  <c r="A213" i="4"/>
  <c r="G213" i="4" s="1"/>
  <c r="A214" i="4"/>
  <c r="G214" i="4" s="1"/>
  <c r="A215" i="4"/>
  <c r="A216" i="4"/>
  <c r="A217" i="4"/>
  <c r="A218" i="4"/>
  <c r="G218" i="4" s="1"/>
  <c r="A219" i="4"/>
  <c r="G219" i="4" s="1"/>
  <c r="A220" i="4"/>
  <c r="G220" i="4" s="1"/>
  <c r="A221" i="4"/>
  <c r="A222" i="4"/>
  <c r="A223" i="4"/>
  <c r="A224" i="4"/>
  <c r="A225" i="4"/>
  <c r="G225" i="4" s="1"/>
  <c r="A226" i="4"/>
  <c r="G226" i="4" s="1"/>
  <c r="A227" i="4"/>
  <c r="A228" i="4"/>
  <c r="A229" i="4"/>
  <c r="A230" i="4"/>
  <c r="G230" i="4" s="1"/>
  <c r="A231" i="4"/>
  <c r="G231" i="4" s="1"/>
  <c r="A232" i="4"/>
  <c r="G232" i="4" s="1"/>
  <c r="A233" i="4"/>
  <c r="A234" i="4"/>
  <c r="A235" i="4"/>
  <c r="A236" i="4"/>
  <c r="A237" i="4"/>
  <c r="G237" i="4" s="1"/>
  <c r="A238" i="4"/>
  <c r="G238" i="4" s="1"/>
  <c r="A239" i="4"/>
  <c r="A240" i="4"/>
  <c r="A241" i="4"/>
  <c r="A242" i="4"/>
  <c r="A243" i="4"/>
  <c r="G243" i="4" s="1"/>
  <c r="A244" i="4"/>
  <c r="G244" i="4" s="1"/>
  <c r="A245" i="4"/>
  <c r="A246" i="4"/>
  <c r="A247" i="4"/>
  <c r="A248" i="4"/>
  <c r="G248" i="4" s="1"/>
  <c r="A249" i="4"/>
  <c r="G249" i="4" s="1"/>
  <c r="A250" i="4"/>
  <c r="G250" i="4" s="1"/>
  <c r="A251" i="4"/>
  <c r="A252" i="4"/>
  <c r="A253" i="4"/>
  <c r="A254" i="4"/>
  <c r="A255" i="4"/>
  <c r="G255" i="4" s="1"/>
  <c r="A256" i="4"/>
  <c r="G256" i="4" s="1"/>
  <c r="A257" i="4"/>
  <c r="A258" i="4"/>
  <c r="A259" i="4"/>
  <c r="A260" i="4"/>
  <c r="A261" i="4"/>
  <c r="G261" i="4" s="1"/>
  <c r="A262" i="4"/>
  <c r="G262" i="4" s="1"/>
  <c r="A263" i="4"/>
  <c r="A264" i="4"/>
  <c r="A265" i="4"/>
  <c r="A266" i="4"/>
  <c r="G266" i="4" s="1"/>
  <c r="A267" i="4"/>
  <c r="G267" i="4" s="1"/>
  <c r="A268" i="4"/>
  <c r="G268" i="4" s="1"/>
  <c r="A269" i="4"/>
  <c r="A270" i="4"/>
  <c r="A271" i="4"/>
  <c r="A272" i="4"/>
  <c r="A273" i="4"/>
  <c r="G273" i="4" s="1"/>
  <c r="A274" i="4"/>
  <c r="G274" i="4" s="1"/>
  <c r="A275" i="4"/>
  <c r="A276" i="4"/>
  <c r="A277" i="4"/>
  <c r="A278" i="4"/>
  <c r="A279" i="4"/>
  <c r="G279" i="4" s="1"/>
  <c r="A280" i="4"/>
  <c r="G280" i="4" s="1"/>
  <c r="A281" i="4"/>
  <c r="A282" i="4"/>
  <c r="A283" i="4"/>
  <c r="A284" i="4"/>
  <c r="G284" i="4" s="1"/>
  <c r="A285" i="4"/>
  <c r="G285" i="4" s="1"/>
  <c r="A286" i="4"/>
  <c r="G286" i="4" s="1"/>
  <c r="A287" i="4"/>
  <c r="A288" i="4"/>
  <c r="A289" i="4"/>
  <c r="A290" i="4"/>
  <c r="A291" i="4"/>
  <c r="G291" i="4" s="1"/>
  <c r="A292" i="4"/>
  <c r="G292" i="4" s="1"/>
  <c r="A293" i="4"/>
  <c r="A294" i="4"/>
  <c r="A295" i="4"/>
  <c r="A296" i="4"/>
  <c r="A297" i="4"/>
  <c r="G297" i="4" s="1"/>
  <c r="A298" i="4"/>
  <c r="G298" i="4" s="1"/>
  <c r="A299" i="4"/>
  <c r="A300" i="4"/>
  <c r="A301" i="4"/>
  <c r="A302" i="4"/>
  <c r="G302" i="4" s="1"/>
  <c r="A303" i="4"/>
  <c r="G303" i="4" s="1"/>
  <c r="A304" i="4"/>
  <c r="G304" i="4" s="1"/>
  <c r="A305" i="4"/>
  <c r="A306" i="4"/>
  <c r="A307" i="4"/>
  <c r="A308" i="4"/>
  <c r="A309" i="4"/>
  <c r="G309" i="4" s="1"/>
  <c r="A310" i="4"/>
  <c r="G310" i="4" s="1"/>
  <c r="A311" i="4"/>
  <c r="A312" i="4"/>
  <c r="A313" i="4"/>
  <c r="A314" i="4"/>
  <c r="A315" i="4"/>
  <c r="G315" i="4" s="1"/>
  <c r="A316" i="4"/>
  <c r="G316" i="4" s="1"/>
  <c r="A317" i="4"/>
  <c r="A318" i="4"/>
  <c r="A319" i="4"/>
  <c r="A320" i="4"/>
  <c r="A321" i="4"/>
  <c r="G321" i="4" s="1"/>
  <c r="A322" i="4"/>
  <c r="G322" i="4" s="1"/>
  <c r="A323" i="4"/>
  <c r="A324" i="4"/>
  <c r="A325" i="4"/>
  <c r="A326" i="4"/>
  <c r="A327" i="4"/>
  <c r="G327" i="4" s="1"/>
  <c r="A328" i="4"/>
  <c r="G328" i="4" s="1"/>
  <c r="A329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G30" i="4" s="1"/>
  <c r="A31" i="4"/>
  <c r="A32" i="4"/>
  <c r="A33" i="4"/>
  <c r="A34" i="4"/>
  <c r="J1" i="1"/>
  <c r="I1" i="1"/>
  <c r="G22" i="4"/>
  <c r="G48" i="4"/>
  <c r="G56" i="4"/>
  <c r="G60" i="4"/>
  <c r="G71" i="4"/>
  <c r="G72" i="4"/>
  <c r="G76" i="4"/>
  <c r="G79" i="4"/>
  <c r="G83" i="4"/>
  <c r="G90" i="4"/>
  <c r="G94" i="4"/>
  <c r="G95" i="4"/>
  <c r="G96" i="4"/>
  <c r="G107" i="4"/>
  <c r="G110" i="4"/>
  <c r="G119" i="4"/>
  <c r="G115" i="4"/>
  <c r="G127" i="4"/>
  <c r="G132" i="4"/>
  <c r="G133" i="4"/>
  <c r="G137" i="4"/>
  <c r="G138" i="4"/>
  <c r="G139" i="4"/>
  <c r="G143" i="4"/>
  <c r="G144" i="4"/>
  <c r="G148" i="4"/>
  <c r="G150" i="4"/>
  <c r="G155" i="4"/>
  <c r="G163" i="4"/>
  <c r="G175" i="4"/>
  <c r="G176" i="4"/>
  <c r="G181" i="4"/>
  <c r="G186" i="4"/>
  <c r="G187" i="4"/>
  <c r="G191" i="4"/>
  <c r="G192" i="4"/>
  <c r="G198" i="4"/>
  <c r="G203" i="4"/>
  <c r="G204" i="4"/>
  <c r="G206" i="4"/>
  <c r="G209" i="4"/>
  <c r="G210" i="4"/>
  <c r="G211" i="4"/>
  <c r="G215" i="4"/>
  <c r="G216" i="4"/>
  <c r="G217" i="4"/>
  <c r="G221" i="4"/>
  <c r="G222" i="4"/>
  <c r="G223" i="4"/>
  <c r="G224" i="4"/>
  <c r="G227" i="4"/>
  <c r="G229" i="4"/>
  <c r="G228" i="4"/>
  <c r="G233" i="4"/>
  <c r="G234" i="4"/>
  <c r="G235" i="4"/>
  <c r="G236" i="4"/>
  <c r="G239" i="4"/>
  <c r="G240" i="4"/>
  <c r="G241" i="4"/>
  <c r="G242" i="4"/>
  <c r="G245" i="4"/>
  <c r="G246" i="4"/>
  <c r="G247" i="4"/>
  <c r="G251" i="4"/>
  <c r="G252" i="4"/>
  <c r="G253" i="4"/>
  <c r="G254" i="4"/>
  <c r="G257" i="4"/>
  <c r="G258" i="4"/>
  <c r="G259" i="4"/>
  <c r="G260" i="4"/>
  <c r="G263" i="4"/>
  <c r="G264" i="4"/>
  <c r="G265" i="4"/>
  <c r="G269" i="4"/>
  <c r="G270" i="4"/>
  <c r="G271" i="4"/>
  <c r="G272" i="4"/>
  <c r="G275" i="4"/>
  <c r="G276" i="4"/>
  <c r="G277" i="4"/>
  <c r="G278" i="4"/>
  <c r="G281" i="4"/>
  <c r="G282" i="4"/>
  <c r="G283" i="4"/>
  <c r="G287" i="4"/>
  <c r="G288" i="4"/>
  <c r="G289" i="4"/>
  <c r="G290" i="4"/>
  <c r="G293" i="4"/>
  <c r="G294" i="4"/>
  <c r="G295" i="4"/>
  <c r="G296" i="4"/>
  <c r="G299" i="4"/>
  <c r="G300" i="4"/>
  <c r="G301" i="4"/>
  <c r="G305" i="4"/>
  <c r="G306" i="4"/>
  <c r="G307" i="4"/>
  <c r="G308" i="4"/>
  <c r="G311" i="4"/>
  <c r="G312" i="4"/>
  <c r="G313" i="4"/>
  <c r="G314" i="4"/>
  <c r="G317" i="4"/>
  <c r="G318" i="4"/>
  <c r="G319" i="4"/>
  <c r="G320" i="4"/>
  <c r="G323" i="4"/>
  <c r="G324" i="4"/>
  <c r="G325" i="4"/>
  <c r="G326" i="4"/>
  <c r="G329" i="4"/>
  <c r="B32" i="4" l="1"/>
  <c r="B28" i="4"/>
  <c r="B24" i="4"/>
  <c r="B20" i="4"/>
  <c r="B16" i="4"/>
  <c r="B12" i="4"/>
  <c r="B8" i="4"/>
  <c r="B4" i="4"/>
  <c r="B326" i="4"/>
  <c r="B322" i="4"/>
  <c r="B318" i="4"/>
  <c r="B314" i="4"/>
  <c r="B310" i="4"/>
  <c r="B306" i="4"/>
  <c r="B302" i="4"/>
  <c r="B298" i="4"/>
  <c r="B294" i="4"/>
  <c r="B290" i="4"/>
  <c r="B286" i="4"/>
  <c r="B282" i="4"/>
  <c r="B278" i="4"/>
  <c r="B274" i="4"/>
  <c r="B270" i="4"/>
  <c r="B266" i="4"/>
  <c r="B262" i="4"/>
  <c r="B258" i="4"/>
  <c r="B254" i="4"/>
  <c r="B250" i="4"/>
  <c r="B246" i="4"/>
  <c r="B242" i="4"/>
  <c r="B238" i="4"/>
  <c r="B234" i="4"/>
  <c r="B230" i="4"/>
  <c r="B226" i="4"/>
  <c r="B222" i="4"/>
  <c r="B218" i="4"/>
  <c r="B214" i="4"/>
  <c r="B210" i="4"/>
  <c r="B206" i="4"/>
  <c r="B202" i="4"/>
  <c r="B198" i="4"/>
  <c r="B194" i="4"/>
  <c r="B190" i="4"/>
  <c r="B186" i="4"/>
  <c r="B182" i="4"/>
  <c r="B178" i="4"/>
  <c r="B174" i="4"/>
  <c r="B170" i="4"/>
  <c r="B166" i="4"/>
  <c r="B162" i="4"/>
  <c r="B158" i="4"/>
  <c r="B154" i="4"/>
  <c r="B150" i="4"/>
  <c r="B146" i="4"/>
  <c r="B142" i="4"/>
  <c r="B138" i="4"/>
  <c r="B134" i="4"/>
  <c r="B130" i="4"/>
  <c r="B126" i="4"/>
  <c r="B122" i="4"/>
  <c r="B118" i="4"/>
  <c r="B114" i="4"/>
  <c r="B110" i="4"/>
  <c r="B106" i="4"/>
  <c r="B102" i="4"/>
  <c r="B98" i="4"/>
  <c r="B94" i="4"/>
  <c r="B90" i="4"/>
  <c r="B86" i="4"/>
  <c r="B82" i="4"/>
  <c r="B78" i="4"/>
  <c r="B74" i="4"/>
  <c r="B70" i="4"/>
  <c r="B66" i="4"/>
  <c r="B62" i="4"/>
  <c r="B58" i="4"/>
  <c r="B54" i="4"/>
  <c r="B50" i="4"/>
  <c r="B46" i="4"/>
  <c r="B42" i="4"/>
  <c r="B38" i="4"/>
  <c r="B31" i="4"/>
  <c r="B27" i="4"/>
  <c r="B23" i="4"/>
  <c r="B19" i="4"/>
  <c r="B15" i="4"/>
  <c r="B11" i="4"/>
  <c r="B7" i="4"/>
  <c r="D329" i="4"/>
  <c r="B329" i="4"/>
  <c r="B325" i="4"/>
  <c r="D321" i="4"/>
  <c r="B321" i="4"/>
  <c r="B317" i="4"/>
  <c r="B313" i="4"/>
  <c r="B309" i="4"/>
  <c r="B305" i="4"/>
  <c r="B301" i="4"/>
  <c r="B297" i="4"/>
  <c r="B293" i="4"/>
  <c r="B289" i="4"/>
  <c r="B285" i="4"/>
  <c r="B281" i="4"/>
  <c r="B277" i="4"/>
  <c r="B273" i="4"/>
  <c r="B269" i="4"/>
  <c r="B265" i="4"/>
  <c r="B261" i="4"/>
  <c r="B257" i="4"/>
  <c r="B253" i="4"/>
  <c r="B249" i="4"/>
  <c r="B245" i="4"/>
  <c r="B241" i="4"/>
  <c r="B237" i="4"/>
  <c r="B233" i="4"/>
  <c r="B229" i="4"/>
  <c r="B225" i="4"/>
  <c r="B221" i="4"/>
  <c r="B217" i="4"/>
  <c r="B213" i="4"/>
  <c r="B209" i="4"/>
  <c r="B205" i="4"/>
  <c r="B201" i="4"/>
  <c r="B197" i="4"/>
  <c r="B193" i="4"/>
  <c r="B189" i="4"/>
  <c r="B185" i="4"/>
  <c r="B181" i="4"/>
  <c r="B177" i="4"/>
  <c r="B173" i="4"/>
  <c r="B169" i="4"/>
  <c r="B165" i="4"/>
  <c r="B161" i="4"/>
  <c r="B157" i="4"/>
  <c r="B153" i="4"/>
  <c r="B149" i="4"/>
  <c r="B145" i="4"/>
  <c r="B141" i="4"/>
  <c r="B137" i="4"/>
  <c r="B133" i="4"/>
  <c r="B129" i="4"/>
  <c r="B125" i="4"/>
  <c r="B121" i="4"/>
  <c r="B117" i="4"/>
  <c r="B113" i="4"/>
  <c r="B109" i="4"/>
  <c r="B105" i="4"/>
  <c r="B101" i="4"/>
  <c r="B97" i="4"/>
  <c r="B93" i="4"/>
  <c r="B89" i="4"/>
  <c r="B85" i="4"/>
  <c r="B81" i="4"/>
  <c r="B77" i="4"/>
  <c r="B73" i="4"/>
  <c r="B69" i="4"/>
  <c r="B65" i="4"/>
  <c r="B61" i="4"/>
  <c r="B57" i="4"/>
  <c r="B53" i="4"/>
  <c r="B49" i="4"/>
  <c r="B45" i="4"/>
  <c r="B41" i="4"/>
  <c r="B37" i="4"/>
  <c r="B34" i="4"/>
  <c r="B30" i="4"/>
  <c r="B26" i="4"/>
  <c r="B22" i="4"/>
  <c r="B18" i="4"/>
  <c r="B14" i="4"/>
  <c r="B10" i="4"/>
  <c r="B6" i="4"/>
  <c r="C328" i="4"/>
  <c r="B328" i="4"/>
  <c r="B324" i="4"/>
  <c r="B320" i="4"/>
  <c r="B316" i="4"/>
  <c r="B312" i="4"/>
  <c r="B308" i="4"/>
  <c r="B304" i="4"/>
  <c r="B300" i="4"/>
  <c r="B296" i="4"/>
  <c r="B292" i="4"/>
  <c r="B288" i="4"/>
  <c r="B284" i="4"/>
  <c r="B280" i="4"/>
  <c r="B276" i="4"/>
  <c r="B272" i="4"/>
  <c r="B268" i="4"/>
  <c r="B264" i="4"/>
  <c r="B260" i="4"/>
  <c r="B256" i="4"/>
  <c r="B252" i="4"/>
  <c r="B248" i="4"/>
  <c r="B244" i="4"/>
  <c r="B240" i="4"/>
  <c r="B236" i="4"/>
  <c r="B232" i="4"/>
  <c r="B228" i="4"/>
  <c r="B224" i="4"/>
  <c r="B220" i="4"/>
  <c r="B216" i="4"/>
  <c r="B212" i="4"/>
  <c r="B208" i="4"/>
  <c r="B204" i="4"/>
  <c r="B200" i="4"/>
  <c r="B196" i="4"/>
  <c r="B192" i="4"/>
  <c r="B188" i="4"/>
  <c r="B184" i="4"/>
  <c r="B180" i="4"/>
  <c r="B176" i="4"/>
  <c r="B172" i="4"/>
  <c r="B168" i="4"/>
  <c r="B164" i="4"/>
  <c r="B160" i="4"/>
  <c r="B156" i="4"/>
  <c r="B152" i="4"/>
  <c r="B148" i="4"/>
  <c r="B144" i="4"/>
  <c r="B140" i="4"/>
  <c r="B136" i="4"/>
  <c r="B132" i="4"/>
  <c r="B128" i="4"/>
  <c r="B124" i="4"/>
  <c r="B120" i="4"/>
  <c r="B116" i="4"/>
  <c r="B112" i="4"/>
  <c r="B108" i="4"/>
  <c r="B104" i="4"/>
  <c r="B100" i="4"/>
  <c r="B96" i="4"/>
  <c r="B92" i="4"/>
  <c r="B88" i="4"/>
  <c r="B84" i="4"/>
  <c r="B80" i="4"/>
  <c r="B76" i="4"/>
  <c r="B72" i="4"/>
  <c r="B68" i="4"/>
  <c r="B64" i="4"/>
  <c r="B60" i="4"/>
  <c r="B56" i="4"/>
  <c r="B52" i="4"/>
  <c r="B48" i="4"/>
  <c r="B44" i="4"/>
  <c r="B40" i="4"/>
  <c r="B36" i="4"/>
  <c r="B33" i="4"/>
  <c r="B29" i="4"/>
  <c r="B25" i="4"/>
  <c r="B21" i="4"/>
  <c r="B17" i="4"/>
  <c r="B13" i="4"/>
  <c r="B9" i="4"/>
  <c r="B5" i="4"/>
  <c r="B327" i="4"/>
  <c r="B323" i="4"/>
  <c r="B319" i="4"/>
  <c r="B315" i="4"/>
  <c r="B311" i="4"/>
  <c r="B307" i="4"/>
  <c r="B303" i="4"/>
  <c r="B299" i="4"/>
  <c r="B295" i="4"/>
  <c r="B291" i="4"/>
  <c r="B287" i="4"/>
  <c r="B283" i="4"/>
  <c r="B279" i="4"/>
  <c r="B275" i="4"/>
  <c r="B271" i="4"/>
  <c r="B267" i="4"/>
  <c r="B263" i="4"/>
  <c r="B259" i="4"/>
  <c r="B255" i="4"/>
  <c r="B251" i="4"/>
  <c r="B247" i="4"/>
  <c r="B243" i="4"/>
  <c r="B239" i="4"/>
  <c r="B235" i="4"/>
  <c r="B231" i="4"/>
  <c r="B227" i="4"/>
  <c r="B223" i="4"/>
  <c r="B219" i="4"/>
  <c r="B215" i="4"/>
  <c r="B211" i="4"/>
  <c r="B207" i="4"/>
  <c r="B203" i="4"/>
  <c r="B199" i="4"/>
  <c r="B195" i="4"/>
  <c r="B191" i="4"/>
  <c r="B187" i="4"/>
  <c r="B183" i="4"/>
  <c r="B179" i="4"/>
  <c r="B175" i="4"/>
  <c r="B171" i="4"/>
  <c r="B167" i="4"/>
  <c r="B163" i="4"/>
  <c r="B159" i="4"/>
  <c r="B155" i="4"/>
  <c r="B151" i="4"/>
  <c r="B147" i="4"/>
  <c r="B143" i="4"/>
  <c r="B139" i="4"/>
  <c r="B135" i="4"/>
  <c r="B131" i="4"/>
  <c r="B127" i="4"/>
  <c r="B123" i="4"/>
  <c r="B119" i="4"/>
  <c r="B115" i="4"/>
  <c r="B111" i="4"/>
  <c r="B107" i="4"/>
  <c r="B103" i="4"/>
  <c r="B99" i="4"/>
  <c r="B95" i="4"/>
  <c r="B91" i="4"/>
  <c r="B87" i="4"/>
  <c r="B83" i="4"/>
  <c r="B79" i="4"/>
  <c r="B75" i="4"/>
  <c r="B71" i="4"/>
  <c r="B67" i="4"/>
  <c r="B63" i="4"/>
  <c r="B59" i="4"/>
  <c r="B55" i="4"/>
  <c r="B51" i="4"/>
  <c r="B47" i="4"/>
  <c r="B43" i="4"/>
  <c r="B39" i="4"/>
  <c r="B35" i="4"/>
  <c r="G5" i="4"/>
  <c r="G199" i="4"/>
  <c r="G194" i="4"/>
  <c r="G188" i="4"/>
  <c r="G184" i="4"/>
  <c r="G179" i="4"/>
  <c r="G173" i="4"/>
  <c r="G167" i="4"/>
  <c r="G162" i="4"/>
  <c r="G156" i="4"/>
  <c r="G151" i="4"/>
  <c r="G146" i="4"/>
  <c r="G140" i="4"/>
  <c r="G136" i="4"/>
  <c r="G131" i="4"/>
  <c r="G124" i="4"/>
  <c r="G120" i="4"/>
  <c r="G114" i="4"/>
  <c r="G108" i="4"/>
  <c r="G103" i="4"/>
  <c r="G98" i="4"/>
  <c r="G92" i="4"/>
  <c r="G87" i="4"/>
  <c r="G82" i="4"/>
  <c r="G75" i="4"/>
  <c r="G67" i="4"/>
  <c r="G59" i="4"/>
  <c r="G44" i="4"/>
  <c r="G14" i="4"/>
  <c r="G205" i="4"/>
  <c r="G201" i="4"/>
  <c r="G197" i="4"/>
  <c r="G193" i="4"/>
  <c r="G189" i="4"/>
  <c r="G185" i="4"/>
  <c r="G182" i="4"/>
  <c r="G178" i="4"/>
  <c r="G174" i="4"/>
  <c r="G169" i="4"/>
  <c r="G165" i="4"/>
  <c r="G161" i="4"/>
  <c r="G157" i="4"/>
  <c r="G153" i="4"/>
  <c r="G149" i="4"/>
  <c r="G145" i="4"/>
  <c r="G141" i="4"/>
  <c r="G130" i="4"/>
  <c r="G134" i="4"/>
  <c r="G129" i="4"/>
  <c r="G125" i="4"/>
  <c r="G122" i="4"/>
  <c r="G118" i="4"/>
  <c r="G113" i="4"/>
  <c r="G109" i="4"/>
  <c r="G105" i="4"/>
  <c r="G101" i="4"/>
  <c r="G97" i="4"/>
  <c r="G93" i="4"/>
  <c r="G89" i="4"/>
  <c r="G85" i="4"/>
  <c r="G81" i="4"/>
  <c r="G77" i="4"/>
  <c r="G73" i="4"/>
  <c r="G69" i="4"/>
  <c r="G65" i="4"/>
  <c r="G61" i="4"/>
  <c r="G57" i="4"/>
  <c r="G53" i="4"/>
  <c r="G49" i="4"/>
  <c r="G45" i="4"/>
  <c r="G40" i="4"/>
  <c r="G33" i="4"/>
  <c r="G23" i="4"/>
  <c r="G17" i="4"/>
  <c r="G7" i="4"/>
  <c r="G55" i="4"/>
  <c r="G51" i="4"/>
  <c r="G47" i="4"/>
  <c r="G43" i="4"/>
  <c r="G37" i="4"/>
  <c r="G29" i="4"/>
  <c r="G21" i="4"/>
  <c r="G13" i="4"/>
  <c r="G78" i="4"/>
  <c r="G74" i="4"/>
  <c r="G70" i="4"/>
  <c r="G66" i="4"/>
  <c r="G62" i="4"/>
  <c r="G58" i="4"/>
  <c r="G54" i="4"/>
  <c r="G50" i="4"/>
  <c r="G46" i="4"/>
  <c r="G42" i="4"/>
  <c r="G34" i="4"/>
  <c r="G26" i="4"/>
  <c r="G18" i="4"/>
  <c r="G9" i="4"/>
  <c r="G39" i="4"/>
  <c r="G35" i="4"/>
  <c r="G31" i="4"/>
  <c r="G27" i="4"/>
  <c r="G24" i="4"/>
  <c r="G19" i="4"/>
  <c r="G15" i="4"/>
  <c r="G10" i="4"/>
  <c r="G41" i="4"/>
  <c r="G36" i="4"/>
  <c r="G32" i="4"/>
  <c r="G28" i="4"/>
  <c r="G25" i="4"/>
  <c r="G20" i="4"/>
  <c r="G16" i="4"/>
  <c r="G11" i="4"/>
  <c r="G4" i="4"/>
  <c r="G12" i="4"/>
  <c r="G8" i="4"/>
  <c r="G6" i="4"/>
  <c r="G32" i="1"/>
  <c r="D31" i="4" s="1"/>
  <c r="G33" i="1"/>
  <c r="D32" i="4" s="1"/>
  <c r="G34" i="1"/>
  <c r="D33" i="4" s="1"/>
  <c r="G35" i="1"/>
  <c r="D34" i="4" s="1"/>
  <c r="G36" i="1"/>
  <c r="D35" i="4" s="1"/>
  <c r="G37" i="1"/>
  <c r="D36" i="4" s="1"/>
  <c r="G38" i="1"/>
  <c r="D37" i="4" s="1"/>
  <c r="G39" i="1"/>
  <c r="D38" i="4" s="1"/>
  <c r="G40" i="1"/>
  <c r="D39" i="4" s="1"/>
  <c r="G41" i="1"/>
  <c r="G42" i="1"/>
  <c r="G43" i="1"/>
  <c r="D42" i="4" s="1"/>
  <c r="G44" i="1"/>
  <c r="D43" i="4" s="1"/>
  <c r="G45" i="1"/>
  <c r="D44" i="4" s="1"/>
  <c r="G46" i="1"/>
  <c r="D45" i="4" s="1"/>
  <c r="G47" i="1"/>
  <c r="D46" i="4" s="1"/>
  <c r="G48" i="1"/>
  <c r="D47" i="4" s="1"/>
  <c r="G49" i="1"/>
  <c r="D48" i="4" s="1"/>
  <c r="G50" i="1"/>
  <c r="D49" i="4" s="1"/>
  <c r="G51" i="1"/>
  <c r="D50" i="4" s="1"/>
  <c r="G52" i="1"/>
  <c r="D51" i="4" s="1"/>
  <c r="G53" i="1"/>
  <c r="D52" i="4" s="1"/>
  <c r="G54" i="1"/>
  <c r="D53" i="4" s="1"/>
  <c r="G55" i="1"/>
  <c r="D54" i="4" s="1"/>
  <c r="G56" i="1"/>
  <c r="D55" i="4" s="1"/>
  <c r="G57" i="1"/>
  <c r="D56" i="4" s="1"/>
  <c r="G58" i="1"/>
  <c r="D57" i="4" s="1"/>
  <c r="G59" i="1"/>
  <c r="D58" i="4" s="1"/>
  <c r="G60" i="1"/>
  <c r="D59" i="4" s="1"/>
  <c r="G61" i="1"/>
  <c r="D60" i="4" s="1"/>
  <c r="G62" i="1"/>
  <c r="D61" i="4" s="1"/>
  <c r="G63" i="1"/>
  <c r="D62" i="4" s="1"/>
  <c r="G64" i="1"/>
  <c r="D63" i="4" s="1"/>
  <c r="G65" i="1"/>
  <c r="D64" i="4" s="1"/>
  <c r="G66" i="1"/>
  <c r="D65" i="4" s="1"/>
  <c r="G67" i="1"/>
  <c r="D66" i="4" s="1"/>
  <c r="G68" i="1"/>
  <c r="D67" i="4" s="1"/>
  <c r="G69" i="1"/>
  <c r="D68" i="4" s="1"/>
  <c r="G70" i="1"/>
  <c r="D69" i="4" s="1"/>
  <c r="G71" i="1"/>
  <c r="D70" i="4" s="1"/>
  <c r="G72" i="1"/>
  <c r="D71" i="4" s="1"/>
  <c r="G73" i="1"/>
  <c r="D72" i="4" s="1"/>
  <c r="G74" i="1"/>
  <c r="D73" i="4" s="1"/>
  <c r="G75" i="1"/>
  <c r="D74" i="4" s="1"/>
  <c r="G76" i="1"/>
  <c r="D75" i="4" s="1"/>
  <c r="G77" i="1"/>
  <c r="D76" i="4" s="1"/>
  <c r="G78" i="1"/>
  <c r="D77" i="4" s="1"/>
  <c r="G79" i="1"/>
  <c r="D78" i="4" s="1"/>
  <c r="G80" i="1"/>
  <c r="D79" i="4" s="1"/>
  <c r="G81" i="1"/>
  <c r="D80" i="4" s="1"/>
  <c r="G82" i="1"/>
  <c r="D81" i="4" s="1"/>
  <c r="G83" i="1"/>
  <c r="D82" i="4" s="1"/>
  <c r="G84" i="1"/>
  <c r="D83" i="4" s="1"/>
  <c r="G85" i="1"/>
  <c r="D84" i="4" s="1"/>
  <c r="G86" i="1"/>
  <c r="D85" i="4" s="1"/>
  <c r="G87" i="1"/>
  <c r="D86" i="4" s="1"/>
  <c r="G88" i="1"/>
  <c r="D87" i="4" s="1"/>
  <c r="G89" i="1"/>
  <c r="D88" i="4" s="1"/>
  <c r="G90" i="1"/>
  <c r="D89" i="4" s="1"/>
  <c r="G91" i="1"/>
  <c r="D90" i="4" s="1"/>
  <c r="G92" i="1"/>
  <c r="D91" i="4" s="1"/>
  <c r="G93" i="1"/>
  <c r="D92" i="4" s="1"/>
  <c r="G94" i="1"/>
  <c r="D93" i="4" s="1"/>
  <c r="G95" i="1"/>
  <c r="D94" i="4" s="1"/>
  <c r="G96" i="1"/>
  <c r="D95" i="4" s="1"/>
  <c r="G97" i="1"/>
  <c r="D96" i="4" s="1"/>
  <c r="G98" i="1"/>
  <c r="D97" i="4" s="1"/>
  <c r="G99" i="1"/>
  <c r="D98" i="4" s="1"/>
  <c r="G100" i="1"/>
  <c r="D99" i="4" s="1"/>
  <c r="G101" i="1"/>
  <c r="D100" i="4" s="1"/>
  <c r="G102" i="1"/>
  <c r="D101" i="4" s="1"/>
  <c r="G103" i="1"/>
  <c r="D102" i="4" s="1"/>
  <c r="G104" i="1"/>
  <c r="D103" i="4" s="1"/>
  <c r="G105" i="1"/>
  <c r="D104" i="4" s="1"/>
  <c r="G106" i="1"/>
  <c r="D105" i="4" s="1"/>
  <c r="G107" i="1"/>
  <c r="D106" i="4" s="1"/>
  <c r="G108" i="1"/>
  <c r="D107" i="4" s="1"/>
  <c r="G109" i="1"/>
  <c r="D108" i="4" s="1"/>
  <c r="G110" i="1"/>
  <c r="D109" i="4" s="1"/>
  <c r="G111" i="1"/>
  <c r="D110" i="4" s="1"/>
  <c r="G112" i="1"/>
  <c r="D111" i="4" s="1"/>
  <c r="G113" i="1"/>
  <c r="D112" i="4" s="1"/>
  <c r="G114" i="1"/>
  <c r="D113" i="4" s="1"/>
  <c r="G115" i="1"/>
  <c r="D114" i="4" s="1"/>
  <c r="G116" i="1"/>
  <c r="D116" i="4" s="1"/>
  <c r="G117" i="1"/>
  <c r="G118" i="1"/>
  <c r="G119" i="1"/>
  <c r="G120" i="1"/>
  <c r="D120" i="4" s="1"/>
  <c r="G121" i="1"/>
  <c r="G122" i="1"/>
  <c r="D122" i="4" s="1"/>
  <c r="G123" i="1"/>
  <c r="G124" i="1"/>
  <c r="D115" i="4" s="1"/>
  <c r="G125" i="1"/>
  <c r="D124" i="4" s="1"/>
  <c r="G126" i="1"/>
  <c r="D125" i="4" s="1"/>
  <c r="G127" i="1"/>
  <c r="D126" i="4" s="1"/>
  <c r="G128" i="1"/>
  <c r="D127" i="4" s="1"/>
  <c r="G129" i="1"/>
  <c r="D128" i="4" s="1"/>
  <c r="G130" i="1"/>
  <c r="D129" i="4" s="1"/>
  <c r="G131" i="1"/>
  <c r="G132" i="1"/>
  <c r="D132" i="4" s="1"/>
  <c r="G133" i="1"/>
  <c r="G134" i="1"/>
  <c r="D134" i="4" s="1"/>
  <c r="G135" i="1"/>
  <c r="G136" i="1"/>
  <c r="G137" i="1"/>
  <c r="G138" i="1"/>
  <c r="G139" i="1"/>
  <c r="D138" i="4" s="1"/>
  <c r="G140" i="1"/>
  <c r="D139" i="4" s="1"/>
  <c r="G141" i="1"/>
  <c r="D140" i="4" s="1"/>
  <c r="G142" i="1"/>
  <c r="D141" i="4" s="1"/>
  <c r="G143" i="1"/>
  <c r="D142" i="4" s="1"/>
  <c r="G144" i="1"/>
  <c r="D143" i="4" s="1"/>
  <c r="G145" i="1"/>
  <c r="D144" i="4" s="1"/>
  <c r="G146" i="1"/>
  <c r="D145" i="4" s="1"/>
  <c r="G147" i="1"/>
  <c r="D146" i="4" s="1"/>
  <c r="G148" i="1"/>
  <c r="D147" i="4" s="1"/>
  <c r="G149" i="1"/>
  <c r="D148" i="4" s="1"/>
  <c r="G150" i="1"/>
  <c r="D149" i="4" s="1"/>
  <c r="G151" i="1"/>
  <c r="D150" i="4" s="1"/>
  <c r="G152" i="1"/>
  <c r="D151" i="4" s="1"/>
  <c r="G153" i="1"/>
  <c r="D152" i="4" s="1"/>
  <c r="G154" i="1"/>
  <c r="D153" i="4" s="1"/>
  <c r="G155" i="1"/>
  <c r="D154" i="4" s="1"/>
  <c r="G156" i="1"/>
  <c r="D155" i="4" s="1"/>
  <c r="G157" i="1"/>
  <c r="D156" i="4" s="1"/>
  <c r="G158" i="1"/>
  <c r="D157" i="4" s="1"/>
  <c r="G159" i="1"/>
  <c r="D158" i="4" s="1"/>
  <c r="G160" i="1"/>
  <c r="D159" i="4" s="1"/>
  <c r="G161" i="1"/>
  <c r="D160" i="4" s="1"/>
  <c r="G162" i="1"/>
  <c r="D161" i="4" s="1"/>
  <c r="G163" i="1"/>
  <c r="D162" i="4" s="1"/>
  <c r="G164" i="1"/>
  <c r="D163" i="4" s="1"/>
  <c r="G165" i="1"/>
  <c r="D164" i="4" s="1"/>
  <c r="G166" i="1"/>
  <c r="D165" i="4" s="1"/>
  <c r="G167" i="1"/>
  <c r="D166" i="4" s="1"/>
  <c r="G168" i="1"/>
  <c r="D167" i="4" s="1"/>
  <c r="G169" i="1"/>
  <c r="D168" i="4" s="1"/>
  <c r="G170" i="1"/>
  <c r="D169" i="4" s="1"/>
  <c r="G171" i="1"/>
  <c r="G172" i="1"/>
  <c r="G173" i="1"/>
  <c r="G174" i="1"/>
  <c r="G175" i="1"/>
  <c r="G176" i="1"/>
  <c r="D176" i="4" s="1"/>
  <c r="G177" i="1"/>
  <c r="G178" i="1"/>
  <c r="G179" i="1"/>
  <c r="G180" i="1"/>
  <c r="G181" i="1"/>
  <c r="G182" i="1"/>
  <c r="D182" i="4" s="1"/>
  <c r="G183" i="1"/>
  <c r="D170" i="4" s="1"/>
  <c r="G184" i="1"/>
  <c r="G185" i="1"/>
  <c r="G186" i="1"/>
  <c r="D185" i="4" s="1"/>
  <c r="G187" i="1"/>
  <c r="D186" i="4" s="1"/>
  <c r="G188" i="1"/>
  <c r="D187" i="4" s="1"/>
  <c r="G189" i="1"/>
  <c r="D188" i="4" s="1"/>
  <c r="G190" i="1"/>
  <c r="D189" i="4" s="1"/>
  <c r="G191" i="1"/>
  <c r="D190" i="4" s="1"/>
  <c r="G192" i="1"/>
  <c r="D191" i="4" s="1"/>
  <c r="G193" i="1"/>
  <c r="D192" i="4" s="1"/>
  <c r="G194" i="1"/>
  <c r="D193" i="4" s="1"/>
  <c r="G195" i="1"/>
  <c r="D194" i="4" s="1"/>
  <c r="G196" i="1"/>
  <c r="D195" i="4" s="1"/>
  <c r="G197" i="1"/>
  <c r="D196" i="4" s="1"/>
  <c r="G198" i="1"/>
  <c r="D197" i="4" s="1"/>
  <c r="G199" i="1"/>
  <c r="D198" i="4" s="1"/>
  <c r="G200" i="1"/>
  <c r="D199" i="4" s="1"/>
  <c r="G201" i="1"/>
  <c r="D200" i="4" s="1"/>
  <c r="G202" i="1"/>
  <c r="D201" i="4" s="1"/>
  <c r="G203" i="1"/>
  <c r="D202" i="4" s="1"/>
  <c r="G204" i="1"/>
  <c r="D203" i="4" s="1"/>
  <c r="G205" i="1"/>
  <c r="D204" i="4" s="1"/>
  <c r="G206" i="1"/>
  <c r="D205" i="4" s="1"/>
  <c r="G207" i="1"/>
  <c r="D206" i="4" s="1"/>
  <c r="G208" i="1"/>
  <c r="D207" i="4" s="1"/>
  <c r="G209" i="1"/>
  <c r="D208" i="4" s="1"/>
  <c r="G210" i="1"/>
  <c r="D209" i="4" s="1"/>
  <c r="G211" i="1"/>
  <c r="D210" i="4" s="1"/>
  <c r="G212" i="1"/>
  <c r="D211" i="4" s="1"/>
  <c r="G213" i="1"/>
  <c r="D212" i="4" s="1"/>
  <c r="G214" i="1"/>
  <c r="D213" i="4" s="1"/>
  <c r="G215" i="1"/>
  <c r="D214" i="4" s="1"/>
  <c r="G216" i="1"/>
  <c r="D215" i="4" s="1"/>
  <c r="G217" i="1"/>
  <c r="D216" i="4" s="1"/>
  <c r="G218" i="1"/>
  <c r="D217" i="4" s="1"/>
  <c r="G219" i="1"/>
  <c r="D218" i="4" s="1"/>
  <c r="G220" i="1"/>
  <c r="D219" i="4" s="1"/>
  <c r="G221" i="1"/>
  <c r="D220" i="4" s="1"/>
  <c r="G222" i="1"/>
  <c r="D221" i="4" s="1"/>
  <c r="G223" i="1"/>
  <c r="D222" i="4" s="1"/>
  <c r="G224" i="1"/>
  <c r="D223" i="4" s="1"/>
  <c r="G225" i="1"/>
  <c r="D224" i="4" s="1"/>
  <c r="G226" i="1"/>
  <c r="D225" i="4" s="1"/>
  <c r="G227" i="1"/>
  <c r="D226" i="4" s="1"/>
  <c r="G228" i="1"/>
  <c r="D227" i="4" s="1"/>
  <c r="G229" i="1"/>
  <c r="G230" i="1"/>
  <c r="D230" i="4" s="1"/>
  <c r="G231" i="1"/>
  <c r="G232" i="1"/>
  <c r="D231" i="4" s="1"/>
  <c r="G233" i="1"/>
  <c r="D232" i="4" s="1"/>
  <c r="G234" i="1"/>
  <c r="D233" i="4" s="1"/>
  <c r="G235" i="1"/>
  <c r="D234" i="4" s="1"/>
  <c r="G236" i="1"/>
  <c r="D235" i="4" s="1"/>
  <c r="G237" i="1"/>
  <c r="D236" i="4" s="1"/>
  <c r="G238" i="1"/>
  <c r="D237" i="4" s="1"/>
  <c r="G239" i="1"/>
  <c r="D238" i="4" s="1"/>
  <c r="G240" i="1"/>
  <c r="D239" i="4" s="1"/>
  <c r="G241" i="1"/>
  <c r="D240" i="4" s="1"/>
  <c r="G242" i="1"/>
  <c r="D241" i="4" s="1"/>
  <c r="G243" i="1"/>
  <c r="D242" i="4" s="1"/>
  <c r="G244" i="1"/>
  <c r="D243" i="4" s="1"/>
  <c r="G245" i="1"/>
  <c r="D244" i="4" s="1"/>
  <c r="G246" i="1"/>
  <c r="D245" i="4" s="1"/>
  <c r="G247" i="1"/>
  <c r="D246" i="4" s="1"/>
  <c r="G248" i="1"/>
  <c r="D247" i="4" s="1"/>
  <c r="G249" i="1"/>
  <c r="D248" i="4" s="1"/>
  <c r="G250" i="1"/>
  <c r="D249" i="4" s="1"/>
  <c r="G251" i="1"/>
  <c r="D250" i="4" s="1"/>
  <c r="G252" i="1"/>
  <c r="D251" i="4" s="1"/>
  <c r="G253" i="1"/>
  <c r="D252" i="4" s="1"/>
  <c r="G254" i="1"/>
  <c r="D253" i="4" s="1"/>
  <c r="G255" i="1"/>
  <c r="D254" i="4" s="1"/>
  <c r="G256" i="1"/>
  <c r="D255" i="4" s="1"/>
  <c r="G257" i="1"/>
  <c r="D256" i="4" s="1"/>
  <c r="G258" i="1"/>
  <c r="D257" i="4" s="1"/>
  <c r="G259" i="1"/>
  <c r="D258" i="4" s="1"/>
  <c r="G260" i="1"/>
  <c r="D259" i="4" s="1"/>
  <c r="G261" i="1"/>
  <c r="D260" i="4" s="1"/>
  <c r="G262" i="1"/>
  <c r="D261" i="4" s="1"/>
  <c r="G263" i="1"/>
  <c r="D262" i="4" s="1"/>
  <c r="G264" i="1"/>
  <c r="D263" i="4" s="1"/>
  <c r="G265" i="1"/>
  <c r="D264" i="4" s="1"/>
  <c r="G266" i="1"/>
  <c r="D265" i="4" s="1"/>
  <c r="G267" i="1"/>
  <c r="D266" i="4" s="1"/>
  <c r="G268" i="1"/>
  <c r="D267" i="4" s="1"/>
  <c r="G269" i="1"/>
  <c r="D268" i="4" s="1"/>
  <c r="G270" i="1"/>
  <c r="D269" i="4" s="1"/>
  <c r="G271" i="1"/>
  <c r="D270" i="4" s="1"/>
  <c r="G272" i="1"/>
  <c r="D271" i="4" s="1"/>
  <c r="G273" i="1"/>
  <c r="D272" i="4" s="1"/>
  <c r="G274" i="1"/>
  <c r="D273" i="4" s="1"/>
  <c r="G275" i="1"/>
  <c r="D274" i="4" s="1"/>
  <c r="G276" i="1"/>
  <c r="D275" i="4" s="1"/>
  <c r="G277" i="1"/>
  <c r="D276" i="4" s="1"/>
  <c r="G278" i="1"/>
  <c r="D277" i="4" s="1"/>
  <c r="G279" i="1"/>
  <c r="D278" i="4" s="1"/>
  <c r="G280" i="1"/>
  <c r="D279" i="4" s="1"/>
  <c r="G281" i="1"/>
  <c r="D280" i="4" s="1"/>
  <c r="G282" i="1"/>
  <c r="D281" i="4" s="1"/>
  <c r="G283" i="1"/>
  <c r="D282" i="4" s="1"/>
  <c r="G284" i="1"/>
  <c r="D283" i="4" s="1"/>
  <c r="G285" i="1"/>
  <c r="D284" i="4" s="1"/>
  <c r="G286" i="1"/>
  <c r="D285" i="4" s="1"/>
  <c r="G287" i="1"/>
  <c r="D286" i="4" s="1"/>
  <c r="G288" i="1"/>
  <c r="D287" i="4" s="1"/>
  <c r="G289" i="1"/>
  <c r="D288" i="4" s="1"/>
  <c r="G290" i="1"/>
  <c r="D289" i="4" s="1"/>
  <c r="G291" i="1"/>
  <c r="D290" i="4" s="1"/>
  <c r="G292" i="1"/>
  <c r="D291" i="4" s="1"/>
  <c r="G293" i="1"/>
  <c r="D292" i="4" s="1"/>
  <c r="G294" i="1"/>
  <c r="D293" i="4" s="1"/>
  <c r="G295" i="1"/>
  <c r="D294" i="4" s="1"/>
  <c r="G296" i="1"/>
  <c r="D295" i="4" s="1"/>
  <c r="G297" i="1"/>
  <c r="D296" i="4" s="1"/>
  <c r="G298" i="1"/>
  <c r="D297" i="4" s="1"/>
  <c r="G299" i="1"/>
  <c r="D298" i="4" s="1"/>
  <c r="G300" i="1"/>
  <c r="D299" i="4" s="1"/>
  <c r="G301" i="1"/>
  <c r="D300" i="4" s="1"/>
  <c r="G302" i="1"/>
  <c r="D301" i="4" s="1"/>
  <c r="G303" i="1"/>
  <c r="D302" i="4" s="1"/>
  <c r="G304" i="1"/>
  <c r="D303" i="4" s="1"/>
  <c r="G305" i="1"/>
  <c r="D304" i="4" s="1"/>
  <c r="G306" i="1"/>
  <c r="D305" i="4" s="1"/>
  <c r="G307" i="1"/>
  <c r="D306" i="4" s="1"/>
  <c r="G308" i="1"/>
  <c r="D307" i="4" s="1"/>
  <c r="G309" i="1"/>
  <c r="D308" i="4" s="1"/>
  <c r="G310" i="1"/>
  <c r="D309" i="4" s="1"/>
  <c r="G311" i="1"/>
  <c r="D310" i="4" s="1"/>
  <c r="G312" i="1"/>
  <c r="D311" i="4" s="1"/>
  <c r="G313" i="1"/>
  <c r="D312" i="4" s="1"/>
  <c r="G314" i="1"/>
  <c r="D313" i="4" s="1"/>
  <c r="G315" i="1"/>
  <c r="D314" i="4" s="1"/>
  <c r="G316" i="1"/>
  <c r="D315" i="4" s="1"/>
  <c r="G317" i="1"/>
  <c r="D316" i="4" s="1"/>
  <c r="G318" i="1"/>
  <c r="D317" i="4" s="1"/>
  <c r="G319" i="1"/>
  <c r="D318" i="4" s="1"/>
  <c r="G320" i="1"/>
  <c r="D319" i="4" s="1"/>
  <c r="G321" i="1"/>
  <c r="D320" i="4" s="1"/>
  <c r="G323" i="1"/>
  <c r="D322" i="4" s="1"/>
  <c r="G324" i="1"/>
  <c r="D323" i="4" s="1"/>
  <c r="G325" i="1"/>
  <c r="D324" i="4" s="1"/>
  <c r="G326" i="1"/>
  <c r="D325" i="4" s="1"/>
  <c r="G327" i="1"/>
  <c r="D326" i="4" s="1"/>
  <c r="G328" i="1"/>
  <c r="D327" i="4" s="1"/>
  <c r="G329" i="1"/>
  <c r="D328" i="4" s="1"/>
  <c r="G5" i="1"/>
  <c r="G6" i="1"/>
  <c r="G7" i="1"/>
  <c r="G8" i="1"/>
  <c r="D7" i="4" s="1"/>
  <c r="G9" i="1"/>
  <c r="D8" i="4" s="1"/>
  <c r="G10" i="1"/>
  <c r="D9" i="4" s="1"/>
  <c r="G11" i="1"/>
  <c r="D10" i="4" s="1"/>
  <c r="G12" i="1"/>
  <c r="D11" i="4" s="1"/>
  <c r="G13" i="1"/>
  <c r="D12" i="4" s="1"/>
  <c r="G14" i="1"/>
  <c r="D13" i="4" s="1"/>
  <c r="G15" i="1"/>
  <c r="D14" i="4" s="1"/>
  <c r="G16" i="1"/>
  <c r="D15" i="4" s="1"/>
  <c r="G17" i="1"/>
  <c r="D16" i="4" s="1"/>
  <c r="G18" i="1"/>
  <c r="D17" i="4" s="1"/>
  <c r="G19" i="1"/>
  <c r="D18" i="4" s="1"/>
  <c r="G20" i="1"/>
  <c r="D19" i="4" s="1"/>
  <c r="G21" i="1"/>
  <c r="D20" i="4" s="1"/>
  <c r="G22" i="1"/>
  <c r="D21" i="4" s="1"/>
  <c r="G23" i="1"/>
  <c r="D22" i="4" s="1"/>
  <c r="G24" i="1"/>
  <c r="G25" i="1"/>
  <c r="G26" i="1"/>
  <c r="G27" i="1"/>
  <c r="D26" i="4" s="1"/>
  <c r="G28" i="1"/>
  <c r="D27" i="4" s="1"/>
  <c r="G29" i="1"/>
  <c r="D28" i="4" s="1"/>
  <c r="G30" i="1"/>
  <c r="D29" i="4" s="1"/>
  <c r="G31" i="1"/>
  <c r="D30" i="4" s="1"/>
  <c r="G4" i="1"/>
  <c r="F25" i="1"/>
  <c r="D183" i="4" l="1"/>
  <c r="D229" i="4"/>
  <c r="D181" i="4"/>
  <c r="D175" i="4"/>
  <c r="D133" i="4"/>
  <c r="D121" i="4"/>
  <c r="D25" i="4"/>
  <c r="D180" i="4"/>
  <c r="D174" i="4"/>
  <c r="D6" i="4"/>
  <c r="D179" i="4"/>
  <c r="D173" i="4"/>
  <c r="D137" i="4"/>
  <c r="D131" i="4"/>
  <c r="D119" i="4"/>
  <c r="D41" i="4"/>
  <c r="D228" i="4"/>
  <c r="D177" i="4"/>
  <c r="D171" i="4"/>
  <c r="D135" i="4"/>
  <c r="D123" i="4"/>
  <c r="D117" i="4"/>
  <c r="D5" i="4"/>
  <c r="D23" i="4"/>
  <c r="D24" i="4"/>
  <c r="D130" i="4"/>
  <c r="D40" i="4"/>
  <c r="D184" i="4"/>
  <c r="D178" i="4"/>
  <c r="D172" i="4"/>
  <c r="D136" i="4"/>
  <c r="D118" i="4"/>
  <c r="D4" i="4"/>
  <c r="D3" i="4"/>
  <c r="G332" i="1"/>
  <c r="F4" i="1"/>
  <c r="F7" i="1" l="1"/>
  <c r="F11" i="1"/>
  <c r="C10" i="4" s="1"/>
  <c r="F15" i="1"/>
  <c r="C14" i="4" s="1"/>
  <c r="F19" i="1"/>
  <c r="C18" i="4" s="1"/>
  <c r="F23" i="1"/>
  <c r="C22" i="4" s="1"/>
  <c r="F27" i="1"/>
  <c r="C26" i="4" s="1"/>
  <c r="F31" i="1"/>
  <c r="C30" i="4" s="1"/>
  <c r="F35" i="1"/>
  <c r="C34" i="4" s="1"/>
  <c r="F39" i="1"/>
  <c r="C38" i="4" s="1"/>
  <c r="F43" i="1"/>
  <c r="C42" i="4" s="1"/>
  <c r="F47" i="1"/>
  <c r="C46" i="4" s="1"/>
  <c r="F51" i="1"/>
  <c r="C50" i="4" s="1"/>
  <c r="F55" i="1"/>
  <c r="C54" i="4" s="1"/>
  <c r="F59" i="1"/>
  <c r="C58" i="4" s="1"/>
  <c r="F63" i="1"/>
  <c r="C62" i="4" s="1"/>
  <c r="F67" i="1"/>
  <c r="C66" i="4" s="1"/>
  <c r="F71" i="1"/>
  <c r="C70" i="4" s="1"/>
  <c r="F75" i="1"/>
  <c r="C74" i="4" s="1"/>
  <c r="F79" i="1"/>
  <c r="C78" i="4" s="1"/>
  <c r="F83" i="1"/>
  <c r="C82" i="4" s="1"/>
  <c r="F87" i="1"/>
  <c r="C86" i="4" s="1"/>
  <c r="F91" i="1"/>
  <c r="C90" i="4" s="1"/>
  <c r="F95" i="1"/>
  <c r="C94" i="4" s="1"/>
  <c r="F99" i="1"/>
  <c r="C98" i="4" s="1"/>
  <c r="F103" i="1"/>
  <c r="C102" i="4" s="1"/>
  <c r="F107" i="1"/>
  <c r="C106" i="4" s="1"/>
  <c r="F111" i="1"/>
  <c r="C110" i="4" s="1"/>
  <c r="F115" i="1"/>
  <c r="C114" i="4" s="1"/>
  <c r="F119" i="1"/>
  <c r="F123" i="1"/>
  <c r="F127" i="1"/>
  <c r="C126" i="4" s="1"/>
  <c r="F131" i="1"/>
  <c r="F135" i="1"/>
  <c r="F139" i="1"/>
  <c r="C138" i="4" s="1"/>
  <c r="F143" i="1"/>
  <c r="C142" i="4" s="1"/>
  <c r="F147" i="1"/>
  <c r="C146" i="4" s="1"/>
  <c r="F151" i="1"/>
  <c r="C150" i="4" s="1"/>
  <c r="F155" i="1"/>
  <c r="C154" i="4" s="1"/>
  <c r="F159" i="1"/>
  <c r="C158" i="4" s="1"/>
  <c r="F163" i="1"/>
  <c r="C162" i="4" s="1"/>
  <c r="F167" i="1"/>
  <c r="C166" i="4" s="1"/>
  <c r="F171" i="1"/>
  <c r="F175" i="1"/>
  <c r="F179" i="1"/>
  <c r="F183" i="1"/>
  <c r="F187" i="1"/>
  <c r="C186" i="4" s="1"/>
  <c r="F191" i="1"/>
  <c r="C190" i="4" s="1"/>
  <c r="F195" i="1"/>
  <c r="C194" i="4" s="1"/>
  <c r="F199" i="1"/>
  <c r="C198" i="4" s="1"/>
  <c r="F203" i="1"/>
  <c r="C202" i="4" s="1"/>
  <c r="F207" i="1"/>
  <c r="C206" i="4" s="1"/>
  <c r="F211" i="1"/>
  <c r="C210" i="4" s="1"/>
  <c r="F215" i="1"/>
  <c r="C214" i="4" s="1"/>
  <c r="F219" i="1"/>
  <c r="C218" i="4" s="1"/>
  <c r="F223" i="1"/>
  <c r="C222" i="4" s="1"/>
  <c r="F227" i="1"/>
  <c r="C226" i="4" s="1"/>
  <c r="F231" i="1"/>
  <c r="F235" i="1"/>
  <c r="C234" i="4" s="1"/>
  <c r="F239" i="1"/>
  <c r="C238" i="4" s="1"/>
  <c r="F243" i="1"/>
  <c r="C242" i="4" s="1"/>
  <c r="F247" i="1"/>
  <c r="C246" i="4" s="1"/>
  <c r="F251" i="1"/>
  <c r="C250" i="4" s="1"/>
  <c r="F255" i="1"/>
  <c r="C254" i="4" s="1"/>
  <c r="F259" i="1"/>
  <c r="C258" i="4" s="1"/>
  <c r="F263" i="1"/>
  <c r="C262" i="4" s="1"/>
  <c r="F267" i="1"/>
  <c r="C266" i="4" s="1"/>
  <c r="F271" i="1"/>
  <c r="C270" i="4" s="1"/>
  <c r="F275" i="1"/>
  <c r="C274" i="4" s="1"/>
  <c r="F279" i="1"/>
  <c r="C278" i="4" s="1"/>
  <c r="F283" i="1"/>
  <c r="C282" i="4" s="1"/>
  <c r="F287" i="1"/>
  <c r="C286" i="4" s="1"/>
  <c r="F291" i="1"/>
  <c r="C290" i="4" s="1"/>
  <c r="F295" i="1"/>
  <c r="C294" i="4" s="1"/>
  <c r="F299" i="1"/>
  <c r="C298" i="4" s="1"/>
  <c r="F303" i="1"/>
  <c r="C302" i="4" s="1"/>
  <c r="F307" i="1"/>
  <c r="C306" i="4" s="1"/>
  <c r="F311" i="1"/>
  <c r="C310" i="4" s="1"/>
  <c r="F315" i="1"/>
  <c r="C314" i="4" s="1"/>
  <c r="F319" i="1"/>
  <c r="C318" i="4" s="1"/>
  <c r="F323" i="1"/>
  <c r="C322" i="4" s="1"/>
  <c r="F327" i="1"/>
  <c r="C326" i="4" s="1"/>
  <c r="F9" i="1"/>
  <c r="C8" i="4" s="1"/>
  <c r="F8" i="1"/>
  <c r="C7" i="4" s="1"/>
  <c r="F12" i="1"/>
  <c r="C11" i="4" s="1"/>
  <c r="F16" i="1"/>
  <c r="C15" i="4" s="1"/>
  <c r="F20" i="1"/>
  <c r="C19" i="4" s="1"/>
  <c r="F24" i="1"/>
  <c r="C24" i="4" s="1"/>
  <c r="F28" i="1"/>
  <c r="C27" i="4" s="1"/>
  <c r="F32" i="1"/>
  <c r="C31" i="4" s="1"/>
  <c r="F36" i="1"/>
  <c r="C35" i="4" s="1"/>
  <c r="F40" i="1"/>
  <c r="C39" i="4" s="1"/>
  <c r="F44" i="1"/>
  <c r="C43" i="4" s="1"/>
  <c r="F48" i="1"/>
  <c r="C47" i="4" s="1"/>
  <c r="F52" i="1"/>
  <c r="C51" i="4" s="1"/>
  <c r="F56" i="1"/>
  <c r="C55" i="4" s="1"/>
  <c r="F60" i="1"/>
  <c r="C59" i="4" s="1"/>
  <c r="F64" i="1"/>
  <c r="C63" i="4" s="1"/>
  <c r="F68" i="1"/>
  <c r="C67" i="4" s="1"/>
  <c r="F72" i="1"/>
  <c r="C71" i="4" s="1"/>
  <c r="F76" i="1"/>
  <c r="C75" i="4" s="1"/>
  <c r="F80" i="1"/>
  <c r="C79" i="4" s="1"/>
  <c r="F84" i="1"/>
  <c r="C83" i="4" s="1"/>
  <c r="F88" i="1"/>
  <c r="C87" i="4" s="1"/>
  <c r="F92" i="1"/>
  <c r="C91" i="4" s="1"/>
  <c r="F96" i="1"/>
  <c r="C95" i="4" s="1"/>
  <c r="F100" i="1"/>
  <c r="C99" i="4" s="1"/>
  <c r="F104" i="1"/>
  <c r="C103" i="4" s="1"/>
  <c r="F108" i="1"/>
  <c r="C107" i="4" s="1"/>
  <c r="F112" i="1"/>
  <c r="C111" i="4" s="1"/>
  <c r="F116" i="1"/>
  <c r="F120" i="1"/>
  <c r="F124" i="1"/>
  <c r="F128" i="1"/>
  <c r="C127" i="4" s="1"/>
  <c r="F132" i="1"/>
  <c r="F136" i="1"/>
  <c r="F140" i="1"/>
  <c r="C139" i="4" s="1"/>
  <c r="F144" i="1"/>
  <c r="C143" i="4" s="1"/>
  <c r="F148" i="1"/>
  <c r="C147" i="4" s="1"/>
  <c r="F152" i="1"/>
  <c r="C151" i="4" s="1"/>
  <c r="F156" i="1"/>
  <c r="C155" i="4" s="1"/>
  <c r="F160" i="1"/>
  <c r="C159" i="4" s="1"/>
  <c r="F164" i="1"/>
  <c r="C163" i="4" s="1"/>
  <c r="F168" i="1"/>
  <c r="C167" i="4" s="1"/>
  <c r="F172" i="1"/>
  <c r="F176" i="1"/>
  <c r="F180" i="1"/>
  <c r="F184" i="1"/>
  <c r="F188" i="1"/>
  <c r="C187" i="4" s="1"/>
  <c r="F192" i="1"/>
  <c r="C191" i="4" s="1"/>
  <c r="F196" i="1"/>
  <c r="C195" i="4" s="1"/>
  <c r="F200" i="1"/>
  <c r="C199" i="4" s="1"/>
  <c r="F204" i="1"/>
  <c r="C203" i="4" s="1"/>
  <c r="F208" i="1"/>
  <c r="C207" i="4" s="1"/>
  <c r="F212" i="1"/>
  <c r="C211" i="4" s="1"/>
  <c r="F216" i="1"/>
  <c r="C215" i="4" s="1"/>
  <c r="F220" i="1"/>
  <c r="C219" i="4" s="1"/>
  <c r="F224" i="1"/>
  <c r="C223" i="4" s="1"/>
  <c r="F228" i="1"/>
  <c r="C227" i="4" s="1"/>
  <c r="F232" i="1"/>
  <c r="C231" i="4" s="1"/>
  <c r="F236" i="1"/>
  <c r="C235" i="4" s="1"/>
  <c r="F240" i="1"/>
  <c r="C239" i="4" s="1"/>
  <c r="F244" i="1"/>
  <c r="C243" i="4" s="1"/>
  <c r="F248" i="1"/>
  <c r="C247" i="4" s="1"/>
  <c r="F252" i="1"/>
  <c r="C251" i="4" s="1"/>
  <c r="F256" i="1"/>
  <c r="C255" i="4" s="1"/>
  <c r="F260" i="1"/>
  <c r="C259" i="4" s="1"/>
  <c r="F264" i="1"/>
  <c r="C263" i="4" s="1"/>
  <c r="F268" i="1"/>
  <c r="C267" i="4" s="1"/>
  <c r="F272" i="1"/>
  <c r="C271" i="4" s="1"/>
  <c r="F276" i="1"/>
  <c r="C275" i="4" s="1"/>
  <c r="F280" i="1"/>
  <c r="C279" i="4" s="1"/>
  <c r="F284" i="1"/>
  <c r="C283" i="4" s="1"/>
  <c r="F288" i="1"/>
  <c r="C287" i="4" s="1"/>
  <c r="F292" i="1"/>
  <c r="C291" i="4" s="1"/>
  <c r="F296" i="1"/>
  <c r="C295" i="4" s="1"/>
  <c r="F304" i="1"/>
  <c r="C303" i="4" s="1"/>
  <c r="F308" i="1"/>
  <c r="C307" i="4" s="1"/>
  <c r="F312" i="1"/>
  <c r="C311" i="4" s="1"/>
  <c r="F316" i="1"/>
  <c r="C315" i="4" s="1"/>
  <c r="F320" i="1"/>
  <c r="C319" i="4" s="1"/>
  <c r="F324" i="1"/>
  <c r="C323" i="4" s="1"/>
  <c r="F328" i="1"/>
  <c r="C327" i="4" s="1"/>
  <c r="F5" i="1"/>
  <c r="C6" i="4" s="1"/>
  <c r="F13" i="1"/>
  <c r="C12" i="4" s="1"/>
  <c r="F14" i="1"/>
  <c r="C13" i="4" s="1"/>
  <c r="F22" i="1"/>
  <c r="C21" i="4" s="1"/>
  <c r="F30" i="1"/>
  <c r="C29" i="4" s="1"/>
  <c r="F38" i="1"/>
  <c r="C37" i="4" s="1"/>
  <c r="F46" i="1"/>
  <c r="C45" i="4" s="1"/>
  <c r="F54" i="1"/>
  <c r="C53" i="4" s="1"/>
  <c r="F62" i="1"/>
  <c r="C61" i="4" s="1"/>
  <c r="F70" i="1"/>
  <c r="C69" i="4" s="1"/>
  <c r="F78" i="1"/>
  <c r="C77" i="4" s="1"/>
  <c r="F86" i="1"/>
  <c r="C85" i="4" s="1"/>
  <c r="F94" i="1"/>
  <c r="C93" i="4" s="1"/>
  <c r="F102" i="1"/>
  <c r="C101" i="4" s="1"/>
  <c r="F110" i="1"/>
  <c r="C109" i="4" s="1"/>
  <c r="F118" i="1"/>
  <c r="F126" i="1"/>
  <c r="C125" i="4" s="1"/>
  <c r="F134" i="1"/>
  <c r="C134" i="4" s="1"/>
  <c r="F142" i="1"/>
  <c r="C141" i="4" s="1"/>
  <c r="F150" i="1"/>
  <c r="C149" i="4" s="1"/>
  <c r="F158" i="1"/>
  <c r="C157" i="4" s="1"/>
  <c r="F166" i="1"/>
  <c r="C165" i="4" s="1"/>
  <c r="F174" i="1"/>
  <c r="C174" i="4" s="1"/>
  <c r="F182" i="1"/>
  <c r="C182" i="4" s="1"/>
  <c r="F190" i="1"/>
  <c r="C189" i="4" s="1"/>
  <c r="F198" i="1"/>
  <c r="C197" i="4" s="1"/>
  <c r="F206" i="1"/>
  <c r="C205" i="4" s="1"/>
  <c r="F214" i="1"/>
  <c r="C213" i="4" s="1"/>
  <c r="F222" i="1"/>
  <c r="C221" i="4" s="1"/>
  <c r="F230" i="1"/>
  <c r="C230" i="4" s="1"/>
  <c r="F238" i="1"/>
  <c r="C237" i="4" s="1"/>
  <c r="F246" i="1"/>
  <c r="C245" i="4" s="1"/>
  <c r="F254" i="1"/>
  <c r="C253" i="4" s="1"/>
  <c r="F262" i="1"/>
  <c r="C261" i="4" s="1"/>
  <c r="F270" i="1"/>
  <c r="C269" i="4" s="1"/>
  <c r="F278" i="1"/>
  <c r="C277" i="4" s="1"/>
  <c r="F286" i="1"/>
  <c r="C285" i="4" s="1"/>
  <c r="F294" i="1"/>
  <c r="C293" i="4" s="1"/>
  <c r="F302" i="1"/>
  <c r="C301" i="4" s="1"/>
  <c r="F310" i="1"/>
  <c r="C309" i="4" s="1"/>
  <c r="F318" i="1"/>
  <c r="C317" i="4" s="1"/>
  <c r="F326" i="1"/>
  <c r="C325" i="4" s="1"/>
  <c r="F290" i="1"/>
  <c r="C289" i="4" s="1"/>
  <c r="F306" i="1"/>
  <c r="C305" i="4" s="1"/>
  <c r="F322" i="1"/>
  <c r="C321" i="4" s="1"/>
  <c r="F10" i="1"/>
  <c r="C9" i="4" s="1"/>
  <c r="F37" i="1"/>
  <c r="C36" i="4" s="1"/>
  <c r="F53" i="1"/>
  <c r="C52" i="4" s="1"/>
  <c r="F69" i="1"/>
  <c r="C68" i="4" s="1"/>
  <c r="F85" i="1"/>
  <c r="C84" i="4" s="1"/>
  <c r="F101" i="1"/>
  <c r="C100" i="4" s="1"/>
  <c r="F117" i="1"/>
  <c r="C117" i="4" s="1"/>
  <c r="F133" i="1"/>
  <c r="F149" i="1"/>
  <c r="C148" i="4" s="1"/>
  <c r="F165" i="1"/>
  <c r="C164" i="4" s="1"/>
  <c r="F181" i="1"/>
  <c r="F197" i="1"/>
  <c r="C196" i="4" s="1"/>
  <c r="F213" i="1"/>
  <c r="C212" i="4" s="1"/>
  <c r="F229" i="1"/>
  <c r="F245" i="1"/>
  <c r="C244" i="4" s="1"/>
  <c r="F261" i="1"/>
  <c r="C260" i="4" s="1"/>
  <c r="F277" i="1"/>
  <c r="C276" i="4" s="1"/>
  <c r="F293" i="1"/>
  <c r="C292" i="4" s="1"/>
  <c r="F309" i="1"/>
  <c r="C308" i="4" s="1"/>
  <c r="F325" i="1"/>
  <c r="C324" i="4" s="1"/>
  <c r="F17" i="1"/>
  <c r="C16" i="4" s="1"/>
  <c r="F33" i="1"/>
  <c r="C32" i="4" s="1"/>
  <c r="F41" i="1"/>
  <c r="F49" i="1"/>
  <c r="C48" i="4" s="1"/>
  <c r="F57" i="1"/>
  <c r="C56" i="4" s="1"/>
  <c r="F65" i="1"/>
  <c r="C64" i="4" s="1"/>
  <c r="F73" i="1"/>
  <c r="C72" i="4" s="1"/>
  <c r="F81" i="1"/>
  <c r="C80" i="4" s="1"/>
  <c r="F89" i="1"/>
  <c r="C88" i="4" s="1"/>
  <c r="F97" i="1"/>
  <c r="C96" i="4" s="1"/>
  <c r="F105" i="1"/>
  <c r="C104" i="4" s="1"/>
  <c r="F113" i="1"/>
  <c r="C112" i="4" s="1"/>
  <c r="F121" i="1"/>
  <c r="F129" i="1"/>
  <c r="C128" i="4" s="1"/>
  <c r="F137" i="1"/>
  <c r="F145" i="1"/>
  <c r="C144" i="4" s="1"/>
  <c r="F153" i="1"/>
  <c r="C152" i="4" s="1"/>
  <c r="F161" i="1"/>
  <c r="C160" i="4" s="1"/>
  <c r="F169" i="1"/>
  <c r="C168" i="4" s="1"/>
  <c r="F177" i="1"/>
  <c r="F185" i="1"/>
  <c r="C183" i="4" s="1"/>
  <c r="F193" i="1"/>
  <c r="C192" i="4" s="1"/>
  <c r="F201" i="1"/>
  <c r="C200" i="4" s="1"/>
  <c r="F209" i="1"/>
  <c r="C208" i="4" s="1"/>
  <c r="F217" i="1"/>
  <c r="C216" i="4" s="1"/>
  <c r="F225" i="1"/>
  <c r="C224" i="4" s="1"/>
  <c r="F233" i="1"/>
  <c r="C232" i="4" s="1"/>
  <c r="F241" i="1"/>
  <c r="C240" i="4" s="1"/>
  <c r="F249" i="1"/>
  <c r="C248" i="4" s="1"/>
  <c r="F257" i="1"/>
  <c r="C256" i="4" s="1"/>
  <c r="F265" i="1"/>
  <c r="C264" i="4" s="1"/>
  <c r="F273" i="1"/>
  <c r="C272" i="4" s="1"/>
  <c r="F281" i="1"/>
  <c r="C280" i="4" s="1"/>
  <c r="F289" i="1"/>
  <c r="C288" i="4" s="1"/>
  <c r="F297" i="1"/>
  <c r="C296" i="4" s="1"/>
  <c r="F305" i="1"/>
  <c r="C304" i="4" s="1"/>
  <c r="F313" i="1"/>
  <c r="C312" i="4" s="1"/>
  <c r="F321" i="1"/>
  <c r="C320" i="4" s="1"/>
  <c r="F6" i="1"/>
  <c r="C3" i="4" s="1"/>
  <c r="E3" i="4" s="1"/>
  <c r="H3" i="4" s="1"/>
  <c r="F18" i="1"/>
  <c r="C17" i="4" s="1"/>
  <c r="F26" i="1"/>
  <c r="F34" i="1"/>
  <c r="C33" i="4" s="1"/>
  <c r="F42" i="1"/>
  <c r="F50" i="1"/>
  <c r="C49" i="4" s="1"/>
  <c r="F58" i="1"/>
  <c r="C57" i="4" s="1"/>
  <c r="F66" i="1"/>
  <c r="C65" i="4" s="1"/>
  <c r="F74" i="1"/>
  <c r="C73" i="4" s="1"/>
  <c r="F82" i="1"/>
  <c r="C81" i="4" s="1"/>
  <c r="F90" i="1"/>
  <c r="C89" i="4" s="1"/>
  <c r="F98" i="1"/>
  <c r="C97" i="4" s="1"/>
  <c r="F106" i="1"/>
  <c r="C105" i="4" s="1"/>
  <c r="F114" i="1"/>
  <c r="C113" i="4" s="1"/>
  <c r="F122" i="1"/>
  <c r="F130" i="1"/>
  <c r="C129" i="4" s="1"/>
  <c r="F138" i="1"/>
  <c r="C130" i="4" s="1"/>
  <c r="F146" i="1"/>
  <c r="C145" i="4" s="1"/>
  <c r="F154" i="1"/>
  <c r="C153" i="4" s="1"/>
  <c r="F162" i="1"/>
  <c r="C161" i="4" s="1"/>
  <c r="F170" i="1"/>
  <c r="C169" i="4" s="1"/>
  <c r="F178" i="1"/>
  <c r="F186" i="1"/>
  <c r="C185" i="4" s="1"/>
  <c r="F194" i="1"/>
  <c r="C193" i="4" s="1"/>
  <c r="F202" i="1"/>
  <c r="C201" i="4" s="1"/>
  <c r="F210" i="1"/>
  <c r="C209" i="4" s="1"/>
  <c r="F218" i="1"/>
  <c r="C217" i="4" s="1"/>
  <c r="F226" i="1"/>
  <c r="C225" i="4" s="1"/>
  <c r="F234" i="1"/>
  <c r="C233" i="4" s="1"/>
  <c r="F242" i="1"/>
  <c r="C241" i="4" s="1"/>
  <c r="F250" i="1"/>
  <c r="C249" i="4" s="1"/>
  <c r="F258" i="1"/>
  <c r="C257" i="4" s="1"/>
  <c r="F266" i="1"/>
  <c r="C265" i="4" s="1"/>
  <c r="F274" i="1"/>
  <c r="C273" i="4" s="1"/>
  <c r="F282" i="1"/>
  <c r="C281" i="4" s="1"/>
  <c r="F298" i="1"/>
  <c r="C297" i="4" s="1"/>
  <c r="F314" i="1"/>
  <c r="C313" i="4" s="1"/>
  <c r="F330" i="1"/>
  <c r="C329" i="4" s="1"/>
  <c r="F21" i="1"/>
  <c r="C20" i="4" s="1"/>
  <c r="F29" i="1"/>
  <c r="C28" i="4" s="1"/>
  <c r="F45" i="1"/>
  <c r="C44" i="4" s="1"/>
  <c r="F61" i="1"/>
  <c r="C60" i="4" s="1"/>
  <c r="F77" i="1"/>
  <c r="C76" i="4" s="1"/>
  <c r="F93" i="1"/>
  <c r="C92" i="4" s="1"/>
  <c r="F109" i="1"/>
  <c r="C108" i="4" s="1"/>
  <c r="F125" i="1"/>
  <c r="C124" i="4" s="1"/>
  <c r="F141" i="1"/>
  <c r="C140" i="4" s="1"/>
  <c r="F157" i="1"/>
  <c r="C156" i="4" s="1"/>
  <c r="F173" i="1"/>
  <c r="F189" i="1"/>
  <c r="C188" i="4" s="1"/>
  <c r="F205" i="1"/>
  <c r="C204" i="4" s="1"/>
  <c r="F221" i="1"/>
  <c r="C220" i="4" s="1"/>
  <c r="F237" i="1"/>
  <c r="C236" i="4" s="1"/>
  <c r="F253" i="1"/>
  <c r="C252" i="4" s="1"/>
  <c r="F269" i="1"/>
  <c r="C268" i="4" s="1"/>
  <c r="F285" i="1"/>
  <c r="C284" i="4" s="1"/>
  <c r="F301" i="1"/>
  <c r="C300" i="4" s="1"/>
  <c r="F317" i="1"/>
  <c r="C316" i="4" s="1"/>
  <c r="C178" i="4" l="1"/>
  <c r="C115" i="4"/>
  <c r="C40" i="4"/>
  <c r="C229" i="4"/>
  <c r="C133" i="4"/>
  <c r="C122" i="4"/>
  <c r="C170" i="4"/>
  <c r="C181" i="4"/>
  <c r="C118" i="4"/>
  <c r="C172" i="4"/>
  <c r="C173" i="4"/>
  <c r="C176" i="4"/>
  <c r="C119" i="4"/>
  <c r="C120" i="4"/>
  <c r="C228" i="4"/>
  <c r="C135" i="4"/>
  <c r="C23" i="4"/>
  <c r="C25" i="4"/>
  <c r="C137" i="4"/>
  <c r="C41" i="4"/>
  <c r="C116" i="4"/>
  <c r="C179" i="4"/>
  <c r="C131" i="4"/>
  <c r="C177" i="4"/>
  <c r="C184" i="4"/>
  <c r="C136" i="4"/>
  <c r="C175" i="4"/>
  <c r="C4" i="4"/>
  <c r="C121" i="4"/>
  <c r="C180" i="4"/>
  <c r="C132" i="4"/>
  <c r="C171" i="4"/>
  <c r="C123" i="4"/>
  <c r="C5" i="4"/>
  <c r="F300" i="1"/>
  <c r="C299" i="4" s="1"/>
  <c r="H4" i="1"/>
  <c r="K15" i="1"/>
  <c r="K37" i="1"/>
  <c r="K51" i="1"/>
  <c r="K57" i="1"/>
  <c r="K79" i="1"/>
  <c r="K101" i="1"/>
  <c r="K130" i="1"/>
  <c r="K144" i="1"/>
  <c r="K146" i="1"/>
  <c r="K147" i="1"/>
  <c r="K162" i="1"/>
  <c r="K165" i="1"/>
  <c r="K178" i="1"/>
  <c r="K184" i="1"/>
  <c r="K189" i="1"/>
  <c r="K194" i="1"/>
  <c r="K199" i="1"/>
  <c r="K210" i="1"/>
  <c r="K226" i="1"/>
  <c r="K242" i="1"/>
  <c r="K258" i="1"/>
  <c r="H302" i="1"/>
  <c r="K108" i="1"/>
  <c r="F331" i="1" l="1"/>
  <c r="K302" i="1"/>
  <c r="K116" i="1"/>
  <c r="K45" i="1"/>
  <c r="K13" i="1"/>
  <c r="K97" i="1"/>
  <c r="K33" i="1"/>
  <c r="K233" i="1"/>
  <c r="K212" i="1"/>
  <c r="K191" i="1"/>
  <c r="K127" i="1"/>
  <c r="K105" i="1"/>
  <c r="K237" i="1"/>
  <c r="K221" i="1"/>
  <c r="M4" i="1"/>
  <c r="K4" i="1"/>
  <c r="K55" i="1"/>
  <c r="E284" i="4"/>
  <c r="E252" i="4"/>
  <c r="H252" i="4" s="1"/>
  <c r="K192" i="1"/>
  <c r="E323" i="4"/>
  <c r="H323" i="4" s="1"/>
  <c r="E317" i="4"/>
  <c r="E254" i="4"/>
  <c r="E306" i="4"/>
  <c r="K248" i="1"/>
  <c r="K220" i="1"/>
  <c r="K124" i="1"/>
  <c r="K103" i="1"/>
  <c r="K99" i="1"/>
  <c r="K83" i="1"/>
  <c r="K81" i="1"/>
  <c r="K75" i="1"/>
  <c r="K53" i="1"/>
  <c r="K19" i="1"/>
  <c r="K11" i="1"/>
  <c r="K50" i="1"/>
  <c r="K216" i="1"/>
  <c r="K206" i="1"/>
  <c r="E329" i="4"/>
  <c r="E319" i="4"/>
  <c r="H319" i="4" s="1"/>
  <c r="E305" i="4"/>
  <c r="E296" i="4"/>
  <c r="E292" i="4"/>
  <c r="E276" i="4"/>
  <c r="H276" i="4" s="1"/>
  <c r="E270" i="4"/>
  <c r="E260" i="4"/>
  <c r="E256" i="4"/>
  <c r="H256" i="4" s="1"/>
  <c r="K239" i="1"/>
  <c r="K235" i="1"/>
  <c r="K217" i="1"/>
  <c r="K213" i="1"/>
  <c r="K201" i="1"/>
  <c r="K197" i="1"/>
  <c r="K195" i="1"/>
  <c r="K193" i="1"/>
  <c r="K177" i="1"/>
  <c r="K175" i="1"/>
  <c r="K171" i="1"/>
  <c r="K157" i="1"/>
  <c r="K155" i="1"/>
  <c r="K153" i="1"/>
  <c r="K151" i="1"/>
  <c r="K149" i="1"/>
  <c r="K133" i="1"/>
  <c r="K129" i="1"/>
  <c r="K70" i="1"/>
  <c r="K104" i="1"/>
  <c r="K68" i="1"/>
  <c r="K64" i="1"/>
  <c r="K44" i="1"/>
  <c r="K6" i="1"/>
  <c r="K52" i="1"/>
  <c r="K132" i="1"/>
  <c r="K268" i="1"/>
  <c r="K260" i="1"/>
  <c r="K204" i="1"/>
  <c r="K200" i="1"/>
  <c r="K196" i="1"/>
  <c r="K172" i="1"/>
  <c r="K152" i="1"/>
  <c r="K128" i="1"/>
  <c r="K111" i="1"/>
  <c r="K109" i="1"/>
  <c r="K107" i="1"/>
  <c r="K95" i="1"/>
  <c r="K89" i="1"/>
  <c r="K87" i="1"/>
  <c r="K85" i="1"/>
  <c r="K67" i="1"/>
  <c r="K65" i="1"/>
  <c r="K61" i="1"/>
  <c r="K47" i="1"/>
  <c r="K43" i="1"/>
  <c r="K29" i="1"/>
  <c r="K25" i="1"/>
  <c r="K23" i="1"/>
  <c r="K21" i="1"/>
  <c r="K205" i="1"/>
  <c r="K183" i="1"/>
  <c r="K114" i="1"/>
  <c r="K96" i="1"/>
  <c r="K86" i="1"/>
  <c r="K22" i="1"/>
  <c r="K18" i="1"/>
  <c r="E304" i="4"/>
  <c r="H304" i="4" s="1"/>
  <c r="K224" i="1"/>
  <c r="K271" i="1"/>
  <c r="K236" i="1"/>
  <c r="K160" i="1"/>
  <c r="K100" i="1"/>
  <c r="K10" i="1"/>
  <c r="K277" i="1"/>
  <c r="K14" i="1"/>
  <c r="K30" i="1"/>
  <c r="K78" i="1"/>
  <c r="K190" i="1"/>
  <c r="K238" i="1"/>
  <c r="K286" i="1"/>
  <c r="K249" i="1"/>
  <c r="K245" i="1"/>
  <c r="K243" i="1"/>
  <c r="K215" i="1"/>
  <c r="K211" i="1"/>
  <c r="K207" i="1"/>
  <c r="K203" i="1"/>
  <c r="K185" i="1"/>
  <c r="K181" i="1"/>
  <c r="K179" i="1"/>
  <c r="K173" i="1"/>
  <c r="K161" i="1"/>
  <c r="K143" i="1"/>
  <c r="K139" i="1"/>
  <c r="K131" i="1"/>
  <c r="K121" i="1"/>
  <c r="K119" i="1"/>
  <c r="K117" i="1"/>
  <c r="K76" i="1"/>
  <c r="K88" i="1"/>
  <c r="K32" i="1"/>
  <c r="K110" i="1"/>
  <c r="K98" i="1"/>
  <c r="K94" i="1"/>
  <c r="K82" i="1"/>
  <c r="K66" i="1"/>
  <c r="K62" i="1"/>
  <c r="K56" i="1"/>
  <c r="K46" i="1"/>
  <c r="K40" i="1"/>
  <c r="K36" i="1"/>
  <c r="K34" i="1"/>
  <c r="K12" i="1"/>
  <c r="K296" i="1"/>
  <c r="K292" i="1"/>
  <c r="K288" i="1"/>
  <c r="K254" i="1"/>
  <c r="K228" i="1"/>
  <c r="K222" i="1"/>
  <c r="K174" i="1"/>
  <c r="K164" i="1"/>
  <c r="K158" i="1"/>
  <c r="K142" i="1"/>
  <c r="K140" i="1"/>
  <c r="K136" i="1"/>
  <c r="K126" i="1"/>
  <c r="K223" i="1"/>
  <c r="K253" i="1"/>
  <c r="K306" i="1"/>
  <c r="K297" i="1"/>
  <c r="K5" i="1"/>
  <c r="K176" i="1"/>
  <c r="H332" i="1"/>
  <c r="K74" i="1"/>
  <c r="K72" i="1"/>
  <c r="K318" i="1"/>
  <c r="K322" i="1"/>
  <c r="K324" i="1"/>
  <c r="K320" i="1"/>
  <c r="K310" i="1"/>
  <c r="K202" i="1"/>
  <c r="K186" i="1"/>
  <c r="K285" i="1"/>
  <c r="K273" i="1"/>
  <c r="K115" i="1"/>
  <c r="K294" i="1"/>
  <c r="K278" i="1"/>
  <c r="K264" i="1"/>
  <c r="K244" i="1"/>
  <c r="K232" i="1"/>
  <c r="K230" i="1"/>
  <c r="K214" i="1"/>
  <c r="K198" i="1"/>
  <c r="K182" i="1"/>
  <c r="K168" i="1"/>
  <c r="K156" i="1"/>
  <c r="K113" i="1"/>
  <c r="K91" i="1"/>
  <c r="K31" i="1"/>
  <c r="E327" i="4"/>
  <c r="K328" i="1"/>
  <c r="E325" i="4"/>
  <c r="K326" i="1"/>
  <c r="E311" i="4"/>
  <c r="K312" i="1"/>
  <c r="K304" i="1"/>
  <c r="K321" i="1"/>
  <c r="K313" i="1"/>
  <c r="K311" i="1"/>
  <c r="K309" i="1"/>
  <c r="H300" i="1"/>
  <c r="M300" i="1" s="1"/>
  <c r="K299" i="1"/>
  <c r="E298" i="4"/>
  <c r="K289" i="1"/>
  <c r="K279" i="1"/>
  <c r="E278" i="4"/>
  <c r="K269" i="1"/>
  <c r="E268" i="4"/>
  <c r="H268" i="4" s="1"/>
  <c r="H251" i="1"/>
  <c r="M251" i="1" s="1"/>
  <c r="E250" i="4"/>
  <c r="H249" i="1"/>
  <c r="M249" i="1" s="1"/>
  <c r="H247" i="1"/>
  <c r="M247" i="1" s="1"/>
  <c r="E246" i="4"/>
  <c r="H245" i="1"/>
  <c r="M245" i="1" s="1"/>
  <c r="H243" i="1"/>
  <c r="M243" i="1" s="1"/>
  <c r="E242" i="4"/>
  <c r="H241" i="1"/>
  <c r="M241" i="1" s="1"/>
  <c r="E240" i="4"/>
  <c r="H239" i="1"/>
  <c r="M239" i="1" s="1"/>
  <c r="H237" i="1"/>
  <c r="M237" i="1" s="1"/>
  <c r="H235" i="1"/>
  <c r="M235" i="1" s="1"/>
  <c r="E234" i="4"/>
  <c r="H234" i="4" s="1"/>
  <c r="H233" i="1"/>
  <c r="M233" i="1" s="1"/>
  <c r="L233" i="1" s="1"/>
  <c r="E232" i="4"/>
  <c r="H231" i="1"/>
  <c r="M231" i="1" s="1"/>
  <c r="E230" i="4"/>
  <c r="H229" i="1"/>
  <c r="M229" i="1" s="1"/>
  <c r="H227" i="1"/>
  <c r="M227" i="1" s="1"/>
  <c r="H225" i="1"/>
  <c r="M225" i="1" s="1"/>
  <c r="E224" i="4"/>
  <c r="H223" i="1"/>
  <c r="M223" i="1" s="1"/>
  <c r="E222" i="4"/>
  <c r="H222" i="4" s="1"/>
  <c r="H221" i="1"/>
  <c r="M221" i="1" s="1"/>
  <c r="L221" i="1" s="1"/>
  <c r="E220" i="4"/>
  <c r="H219" i="1"/>
  <c r="M219" i="1" s="1"/>
  <c r="E218" i="4"/>
  <c r="H217" i="1"/>
  <c r="M217" i="1" s="1"/>
  <c r="H215" i="1"/>
  <c r="M215" i="1" s="1"/>
  <c r="H213" i="1"/>
  <c r="M213" i="1" s="1"/>
  <c r="E212" i="4"/>
  <c r="H212" i="4" s="1"/>
  <c r="H211" i="1"/>
  <c r="M211" i="1" s="1"/>
  <c r="E210" i="4"/>
  <c r="H209" i="1"/>
  <c r="M209" i="1" s="1"/>
  <c r="E208" i="4"/>
  <c r="H207" i="1"/>
  <c r="M207" i="1" s="1"/>
  <c r="E206" i="4"/>
  <c r="H205" i="1"/>
  <c r="M205" i="1" s="1"/>
  <c r="E204" i="4"/>
  <c r="H203" i="1"/>
  <c r="M203" i="1" s="1"/>
  <c r="H201" i="1"/>
  <c r="M201" i="1" s="1"/>
  <c r="E200" i="4"/>
  <c r="H199" i="1"/>
  <c r="M199" i="1" s="1"/>
  <c r="L199" i="1" s="1"/>
  <c r="E198" i="4"/>
  <c r="H197" i="1"/>
  <c r="M197" i="1" s="1"/>
  <c r="H195" i="1"/>
  <c r="M195" i="1" s="1"/>
  <c r="E194" i="4"/>
  <c r="H193" i="1"/>
  <c r="M193" i="1" s="1"/>
  <c r="H191" i="1"/>
  <c r="M191" i="1" s="1"/>
  <c r="H189" i="1"/>
  <c r="M189" i="1" s="1"/>
  <c r="L189" i="1" s="1"/>
  <c r="E188" i="4"/>
  <c r="H187" i="1"/>
  <c r="M187" i="1" s="1"/>
  <c r="E186" i="4"/>
  <c r="H185" i="1"/>
  <c r="M185" i="1" s="1"/>
  <c r="E184" i="4"/>
  <c r="H183" i="1"/>
  <c r="M183" i="1" s="1"/>
  <c r="E182" i="4"/>
  <c r="H181" i="1"/>
  <c r="M181" i="1" s="1"/>
  <c r="E180" i="4"/>
  <c r="H179" i="1"/>
  <c r="M179" i="1" s="1"/>
  <c r="E178" i="4"/>
  <c r="H178" i="4" s="1"/>
  <c r="H177" i="1"/>
  <c r="M177" i="1" s="1"/>
  <c r="E176" i="4"/>
  <c r="H175" i="1"/>
  <c r="M175" i="1" s="1"/>
  <c r="H173" i="1"/>
  <c r="M173" i="1" s="1"/>
  <c r="H171" i="1"/>
  <c r="M171" i="1" s="1"/>
  <c r="H169" i="1"/>
  <c r="M169" i="1" s="1"/>
  <c r="H167" i="1"/>
  <c r="M167" i="1" s="1"/>
  <c r="E166" i="4"/>
  <c r="H165" i="1"/>
  <c r="M165" i="1" s="1"/>
  <c r="L165" i="1" s="1"/>
  <c r="H163" i="1"/>
  <c r="M163" i="1" s="1"/>
  <c r="H161" i="1"/>
  <c r="M161" i="1" s="1"/>
  <c r="H159" i="1"/>
  <c r="M159" i="1" s="1"/>
  <c r="E158" i="4"/>
  <c r="H157" i="1"/>
  <c r="M157" i="1" s="1"/>
  <c r="H155" i="1"/>
  <c r="M155" i="1" s="1"/>
  <c r="E154" i="4"/>
  <c r="H153" i="1"/>
  <c r="M153" i="1" s="1"/>
  <c r="H151" i="1"/>
  <c r="M151" i="1" s="1"/>
  <c r="E150" i="4"/>
  <c r="H150" i="4" s="1"/>
  <c r="H149" i="1"/>
  <c r="M149" i="1" s="1"/>
  <c r="E148" i="4"/>
  <c r="H147" i="1"/>
  <c r="M147" i="1" s="1"/>
  <c r="L147" i="1" s="1"/>
  <c r="H145" i="1"/>
  <c r="M145" i="1" s="1"/>
  <c r="H143" i="1"/>
  <c r="M143" i="1" s="1"/>
  <c r="E142" i="4"/>
  <c r="H141" i="1"/>
  <c r="M141" i="1" s="1"/>
  <c r="E140" i="4"/>
  <c r="H139" i="1"/>
  <c r="M139" i="1" s="1"/>
  <c r="E138" i="4"/>
  <c r="H137" i="1"/>
  <c r="M137" i="1" s="1"/>
  <c r="E136" i="4"/>
  <c r="H135" i="1"/>
  <c r="M135" i="1" s="1"/>
  <c r="E134" i="4"/>
  <c r="H134" i="4" s="1"/>
  <c r="H133" i="1"/>
  <c r="M133" i="1" s="1"/>
  <c r="H131" i="1"/>
  <c r="M131" i="1" s="1"/>
  <c r="E130" i="4"/>
  <c r="H129" i="1"/>
  <c r="M129" i="1" s="1"/>
  <c r="H127" i="1"/>
  <c r="M127" i="1" s="1"/>
  <c r="E126" i="4"/>
  <c r="H125" i="1"/>
  <c r="M125" i="1" s="1"/>
  <c r="H123" i="1"/>
  <c r="M123" i="1" s="1"/>
  <c r="E122" i="4"/>
  <c r="H121" i="1"/>
  <c r="M121" i="1" s="1"/>
  <c r="H119" i="1"/>
  <c r="M119" i="1" s="1"/>
  <c r="E118" i="4"/>
  <c r="H117" i="1"/>
  <c r="M117" i="1" s="1"/>
  <c r="H115" i="1"/>
  <c r="M115" i="1" s="1"/>
  <c r="E114" i="4"/>
  <c r="H113" i="1"/>
  <c r="M113" i="1" s="1"/>
  <c r="H111" i="1"/>
  <c r="M111" i="1" s="1"/>
  <c r="H109" i="1"/>
  <c r="M109" i="1" s="1"/>
  <c r="H107" i="1"/>
  <c r="M107" i="1" s="1"/>
  <c r="E106" i="4"/>
  <c r="H105" i="1"/>
  <c r="M105" i="1" s="1"/>
  <c r="H103" i="1"/>
  <c r="M103" i="1" s="1"/>
  <c r="E102" i="4"/>
  <c r="H102" i="4" s="1"/>
  <c r="H101" i="1"/>
  <c r="M101" i="1" s="1"/>
  <c r="L101" i="1" s="1"/>
  <c r="H99" i="1"/>
  <c r="M99" i="1" s="1"/>
  <c r="H97" i="1"/>
  <c r="M97" i="1" s="1"/>
  <c r="E96" i="4"/>
  <c r="H95" i="1"/>
  <c r="M95" i="1" s="1"/>
  <c r="H93" i="1"/>
  <c r="M93" i="1" s="1"/>
  <c r="H91" i="1"/>
  <c r="M91" i="1" s="1"/>
  <c r="H89" i="1"/>
  <c r="M89" i="1" s="1"/>
  <c r="H87" i="1"/>
  <c r="M87" i="1" s="1"/>
  <c r="H85" i="1"/>
  <c r="M85" i="1" s="1"/>
  <c r="H83" i="1"/>
  <c r="M83" i="1" s="1"/>
  <c r="H81" i="1"/>
  <c r="M81" i="1" s="1"/>
  <c r="H79" i="1"/>
  <c r="M79" i="1" s="1"/>
  <c r="L79" i="1" s="1"/>
  <c r="H77" i="1"/>
  <c r="M77" i="1" s="1"/>
  <c r="H75" i="1"/>
  <c r="M75" i="1" s="1"/>
  <c r="H73" i="1"/>
  <c r="M73" i="1" s="1"/>
  <c r="H71" i="1"/>
  <c r="M71" i="1" s="1"/>
  <c r="H69" i="1"/>
  <c r="M69" i="1" s="1"/>
  <c r="H67" i="1"/>
  <c r="M67" i="1" s="1"/>
  <c r="E66" i="4"/>
  <c r="H65" i="1"/>
  <c r="M65" i="1" s="1"/>
  <c r="H63" i="1"/>
  <c r="M63" i="1" s="1"/>
  <c r="H61" i="1"/>
  <c r="M61" i="1" s="1"/>
  <c r="H59" i="1"/>
  <c r="M59" i="1" s="1"/>
  <c r="H57" i="1"/>
  <c r="M57" i="1" s="1"/>
  <c r="L57" i="1" s="1"/>
  <c r="H55" i="1"/>
  <c r="M55" i="1" s="1"/>
  <c r="H53" i="1"/>
  <c r="M53" i="1" s="1"/>
  <c r="H51" i="1"/>
  <c r="M51" i="1" s="1"/>
  <c r="L51" i="1" s="1"/>
  <c r="H49" i="1"/>
  <c r="M49" i="1" s="1"/>
  <c r="H47" i="1"/>
  <c r="M47" i="1" s="1"/>
  <c r="E46" i="4"/>
  <c r="H46" i="4" s="1"/>
  <c r="H45" i="1"/>
  <c r="M45" i="1" s="1"/>
  <c r="H43" i="1"/>
  <c r="M43" i="1" s="1"/>
  <c r="E42" i="4"/>
  <c r="H42" i="4" s="1"/>
  <c r="H41" i="1"/>
  <c r="M41" i="1" s="1"/>
  <c r="H39" i="1"/>
  <c r="M39" i="1" s="1"/>
  <c r="H37" i="1"/>
  <c r="M37" i="1" s="1"/>
  <c r="L37" i="1" s="1"/>
  <c r="H35" i="1"/>
  <c r="M35" i="1" s="1"/>
  <c r="H33" i="1"/>
  <c r="M33" i="1" s="1"/>
  <c r="H31" i="1"/>
  <c r="M31" i="1" s="1"/>
  <c r="H29" i="1"/>
  <c r="M29" i="1" s="1"/>
  <c r="H27" i="1"/>
  <c r="M27" i="1" s="1"/>
  <c r="H25" i="1"/>
  <c r="M25" i="1" s="1"/>
  <c r="E24" i="4"/>
  <c r="H24" i="4" s="1"/>
  <c r="H23" i="1"/>
  <c r="M23" i="1" s="1"/>
  <c r="E22" i="4"/>
  <c r="H21" i="1"/>
  <c r="M21" i="1" s="1"/>
  <c r="H19" i="1"/>
  <c r="M19" i="1" s="1"/>
  <c r="H17" i="1"/>
  <c r="M17" i="1" s="1"/>
  <c r="H15" i="1"/>
  <c r="M15" i="1" s="1"/>
  <c r="L15" i="1" s="1"/>
  <c r="H13" i="1"/>
  <c r="M13" i="1" s="1"/>
  <c r="H11" i="1"/>
  <c r="M11" i="1" s="1"/>
  <c r="H9" i="1"/>
  <c r="M9" i="1" s="1"/>
  <c r="H7" i="1"/>
  <c r="M7" i="1" s="1"/>
  <c r="H5" i="1"/>
  <c r="M5" i="1" s="1"/>
  <c r="K26" i="1"/>
  <c r="K42" i="1"/>
  <c r="K58" i="1"/>
  <c r="K90" i="1"/>
  <c r="K106" i="1"/>
  <c r="K122" i="1"/>
  <c r="K138" i="1"/>
  <c r="K154" i="1"/>
  <c r="K170" i="1"/>
  <c r="K218" i="1"/>
  <c r="K234" i="1"/>
  <c r="K250" i="1"/>
  <c r="K266" i="1"/>
  <c r="K314" i="1"/>
  <c r="K330" i="1"/>
  <c r="K167" i="1"/>
  <c r="K145" i="1"/>
  <c r="K39" i="1"/>
  <c r="K316" i="1"/>
  <c r="K229" i="1"/>
  <c r="K80" i="1"/>
  <c r="K16" i="1"/>
  <c r="K276" i="1"/>
  <c r="K148" i="1"/>
  <c r="K63" i="1"/>
  <c r="K41" i="1"/>
  <c r="K20" i="1"/>
  <c r="H298" i="1"/>
  <c r="M298" i="1" s="1"/>
  <c r="H296" i="1"/>
  <c r="M296" i="1" s="1"/>
  <c r="H294" i="1"/>
  <c r="M294" i="1" s="1"/>
  <c r="H292" i="1"/>
  <c r="M292" i="1" s="1"/>
  <c r="H290" i="1"/>
  <c r="M290" i="1" s="1"/>
  <c r="H288" i="1"/>
  <c r="M288" i="1" s="1"/>
  <c r="H286" i="1"/>
  <c r="M286" i="1" s="1"/>
  <c r="H284" i="1"/>
  <c r="M284" i="1" s="1"/>
  <c r="H282" i="1"/>
  <c r="M282" i="1" s="1"/>
  <c r="H280" i="1"/>
  <c r="M280" i="1" s="1"/>
  <c r="H278" i="1"/>
  <c r="M278" i="1" s="1"/>
  <c r="H276" i="1"/>
  <c r="M276" i="1" s="1"/>
  <c r="H274" i="1"/>
  <c r="M274" i="1" s="1"/>
  <c r="H272" i="1"/>
  <c r="M272" i="1" s="1"/>
  <c r="H270" i="1"/>
  <c r="M270" i="1" s="1"/>
  <c r="H268" i="1"/>
  <c r="M268" i="1" s="1"/>
  <c r="H266" i="1"/>
  <c r="M266" i="1" s="1"/>
  <c r="H264" i="1"/>
  <c r="M264" i="1" s="1"/>
  <c r="H262" i="1"/>
  <c r="M262" i="1" s="1"/>
  <c r="H260" i="1"/>
  <c r="M260" i="1" s="1"/>
  <c r="H258" i="1"/>
  <c r="M258" i="1" s="1"/>
  <c r="L258" i="1" s="1"/>
  <c r="H256" i="1"/>
  <c r="M256" i="1" s="1"/>
  <c r="H254" i="1"/>
  <c r="M254" i="1" s="1"/>
  <c r="H252" i="1"/>
  <c r="M252" i="1" s="1"/>
  <c r="H250" i="1"/>
  <c r="M250" i="1" s="1"/>
  <c r="H248" i="1"/>
  <c r="M248" i="1" s="1"/>
  <c r="H246" i="1"/>
  <c r="M246" i="1" s="1"/>
  <c r="H244" i="1"/>
  <c r="M244" i="1" s="1"/>
  <c r="H242" i="1"/>
  <c r="M242" i="1" s="1"/>
  <c r="L242" i="1" s="1"/>
  <c r="H240" i="1"/>
  <c r="M240" i="1" s="1"/>
  <c r="H238" i="1"/>
  <c r="M238" i="1" s="1"/>
  <c r="H236" i="1"/>
  <c r="M236" i="1" s="1"/>
  <c r="H234" i="1"/>
  <c r="M234" i="1" s="1"/>
  <c r="H232" i="1"/>
  <c r="M232" i="1" s="1"/>
  <c r="H230" i="1"/>
  <c r="M230" i="1" s="1"/>
  <c r="H228" i="1"/>
  <c r="M228" i="1" s="1"/>
  <c r="H226" i="1"/>
  <c r="M226" i="1" s="1"/>
  <c r="L226" i="1" s="1"/>
  <c r="H224" i="1"/>
  <c r="M224" i="1" s="1"/>
  <c r="H222" i="1"/>
  <c r="M222" i="1" s="1"/>
  <c r="H220" i="1"/>
  <c r="M220" i="1" s="1"/>
  <c r="H218" i="1"/>
  <c r="M218" i="1" s="1"/>
  <c r="H216" i="1"/>
  <c r="M216" i="1" s="1"/>
  <c r="H214" i="1"/>
  <c r="M214" i="1" s="1"/>
  <c r="H212" i="1"/>
  <c r="M212" i="1" s="1"/>
  <c r="H210" i="1"/>
  <c r="M210" i="1" s="1"/>
  <c r="L210" i="1" s="1"/>
  <c r="H208" i="1"/>
  <c r="M208" i="1" s="1"/>
  <c r="H206" i="1"/>
  <c r="M206" i="1" s="1"/>
  <c r="H204" i="1"/>
  <c r="M204" i="1" s="1"/>
  <c r="H202" i="1"/>
  <c r="M202" i="1" s="1"/>
  <c r="H200" i="1"/>
  <c r="M200" i="1" s="1"/>
  <c r="H198" i="1"/>
  <c r="M198" i="1" s="1"/>
  <c r="H196" i="1"/>
  <c r="M196" i="1" s="1"/>
  <c r="H194" i="1"/>
  <c r="M194" i="1" s="1"/>
  <c r="L194" i="1" s="1"/>
  <c r="H192" i="1"/>
  <c r="M192" i="1" s="1"/>
  <c r="H190" i="1"/>
  <c r="M190" i="1" s="1"/>
  <c r="H188" i="1"/>
  <c r="M188" i="1" s="1"/>
  <c r="H186" i="1"/>
  <c r="M186" i="1" s="1"/>
  <c r="H184" i="1"/>
  <c r="M184" i="1" s="1"/>
  <c r="L184" i="1" s="1"/>
  <c r="H182" i="1"/>
  <c r="M182" i="1" s="1"/>
  <c r="H180" i="1"/>
  <c r="M180" i="1" s="1"/>
  <c r="H178" i="1"/>
  <c r="M178" i="1" s="1"/>
  <c r="L178" i="1" s="1"/>
  <c r="H176" i="1"/>
  <c r="M176" i="1" s="1"/>
  <c r="H174" i="1"/>
  <c r="M174" i="1" s="1"/>
  <c r="H172" i="1"/>
  <c r="M172" i="1" s="1"/>
  <c r="H170" i="1"/>
  <c r="M170" i="1" s="1"/>
  <c r="H168" i="1"/>
  <c r="M168" i="1" s="1"/>
  <c r="H166" i="1"/>
  <c r="M166" i="1" s="1"/>
  <c r="H164" i="1"/>
  <c r="M164" i="1" s="1"/>
  <c r="H162" i="1"/>
  <c r="M162" i="1" s="1"/>
  <c r="L162" i="1" s="1"/>
  <c r="H160" i="1"/>
  <c r="M160" i="1" s="1"/>
  <c r="H158" i="1"/>
  <c r="M158" i="1" s="1"/>
  <c r="H156" i="1"/>
  <c r="M156" i="1" s="1"/>
  <c r="H154" i="1"/>
  <c r="M154" i="1" s="1"/>
  <c r="H152" i="1"/>
  <c r="M152" i="1" s="1"/>
  <c r="H150" i="1"/>
  <c r="M150" i="1" s="1"/>
  <c r="H148" i="1"/>
  <c r="M148" i="1" s="1"/>
  <c r="H146" i="1"/>
  <c r="M146" i="1" s="1"/>
  <c r="L146" i="1" s="1"/>
  <c r="H144" i="1"/>
  <c r="M144" i="1" s="1"/>
  <c r="L144" i="1" s="1"/>
  <c r="H142" i="1"/>
  <c r="M142" i="1" s="1"/>
  <c r="H140" i="1"/>
  <c r="M140" i="1" s="1"/>
  <c r="H138" i="1"/>
  <c r="M138" i="1" s="1"/>
  <c r="H136" i="1"/>
  <c r="M136" i="1" s="1"/>
  <c r="H134" i="1"/>
  <c r="M134" i="1" s="1"/>
  <c r="H132" i="1"/>
  <c r="M132" i="1" s="1"/>
  <c r="H130" i="1"/>
  <c r="M130" i="1" s="1"/>
  <c r="L130" i="1" s="1"/>
  <c r="H128" i="1"/>
  <c r="M128" i="1" s="1"/>
  <c r="H126" i="1"/>
  <c r="M126" i="1" s="1"/>
  <c r="H124" i="1"/>
  <c r="M124" i="1" s="1"/>
  <c r="H122" i="1"/>
  <c r="M122" i="1" s="1"/>
  <c r="H120" i="1"/>
  <c r="M120" i="1" s="1"/>
  <c r="H118" i="1"/>
  <c r="M118" i="1" s="1"/>
  <c r="H116" i="1"/>
  <c r="M116" i="1" s="1"/>
  <c r="L116" i="1" s="1"/>
  <c r="H114" i="1"/>
  <c r="M114" i="1" s="1"/>
  <c r="H112" i="1"/>
  <c r="M112" i="1" s="1"/>
  <c r="H110" i="1"/>
  <c r="M110" i="1" s="1"/>
  <c r="H108" i="1"/>
  <c r="M108" i="1" s="1"/>
  <c r="L108" i="1" s="1"/>
  <c r="H106" i="1"/>
  <c r="M106" i="1" s="1"/>
  <c r="H104" i="1"/>
  <c r="M104" i="1" s="1"/>
  <c r="E103" i="4"/>
  <c r="H103" i="4" s="1"/>
  <c r="H102" i="1"/>
  <c r="M102" i="1" s="1"/>
  <c r="E101" i="4"/>
  <c r="H100" i="1"/>
  <c r="M100" i="1" s="1"/>
  <c r="H98" i="1"/>
  <c r="M98" i="1" s="1"/>
  <c r="H96" i="1"/>
  <c r="M96" i="1" s="1"/>
  <c r="E95" i="4"/>
  <c r="H94" i="1"/>
  <c r="M94" i="1" s="1"/>
  <c r="E93" i="4"/>
  <c r="H92" i="1"/>
  <c r="M92" i="1" s="1"/>
  <c r="E91" i="4"/>
  <c r="H90" i="1"/>
  <c r="M90" i="1" s="1"/>
  <c r="E89" i="4"/>
  <c r="H88" i="1"/>
  <c r="M88" i="1" s="1"/>
  <c r="E87" i="4"/>
  <c r="H86" i="1"/>
  <c r="M86" i="1" s="1"/>
  <c r="E85" i="4"/>
  <c r="H84" i="1"/>
  <c r="M84" i="1" s="1"/>
  <c r="E83" i="4"/>
  <c r="H82" i="1"/>
  <c r="M82" i="1" s="1"/>
  <c r="E81" i="4"/>
  <c r="H80" i="1"/>
  <c r="M80" i="1" s="1"/>
  <c r="E79" i="4"/>
  <c r="H78" i="1"/>
  <c r="M78" i="1" s="1"/>
  <c r="E77" i="4"/>
  <c r="H76" i="1"/>
  <c r="M76" i="1" s="1"/>
  <c r="E75" i="4"/>
  <c r="H74" i="1"/>
  <c r="M74" i="1" s="1"/>
  <c r="E73" i="4"/>
  <c r="H72" i="1"/>
  <c r="M72" i="1" s="1"/>
  <c r="E71" i="4"/>
  <c r="H70" i="1"/>
  <c r="M70" i="1" s="1"/>
  <c r="H68" i="1"/>
  <c r="M68" i="1" s="1"/>
  <c r="H66" i="1"/>
  <c r="M66" i="1" s="1"/>
  <c r="H64" i="1"/>
  <c r="M64" i="1" s="1"/>
  <c r="H62" i="1"/>
  <c r="M62" i="1" s="1"/>
  <c r="H60" i="1"/>
  <c r="M60" i="1" s="1"/>
  <c r="H58" i="1"/>
  <c r="M58" i="1" s="1"/>
  <c r="E57" i="4"/>
  <c r="H56" i="1"/>
  <c r="M56" i="1" s="1"/>
  <c r="E55" i="4"/>
  <c r="H54" i="1"/>
  <c r="M54" i="1" s="1"/>
  <c r="H52" i="1"/>
  <c r="M52" i="1" s="1"/>
  <c r="H50" i="1"/>
  <c r="M50" i="1" s="1"/>
  <c r="E49" i="4"/>
  <c r="H48" i="1"/>
  <c r="M48" i="1" s="1"/>
  <c r="E47" i="4"/>
  <c r="H46" i="1"/>
  <c r="M46" i="1" s="1"/>
  <c r="H44" i="1"/>
  <c r="M44" i="1" s="1"/>
  <c r="H42" i="1"/>
  <c r="M42" i="1" s="1"/>
  <c r="H40" i="1"/>
  <c r="M40" i="1" s="1"/>
  <c r="H38" i="1"/>
  <c r="M38" i="1" s="1"/>
  <c r="H36" i="1"/>
  <c r="M36" i="1" s="1"/>
  <c r="E35" i="4"/>
  <c r="H34" i="1"/>
  <c r="M34" i="1" s="1"/>
  <c r="E33" i="4"/>
  <c r="H32" i="1"/>
  <c r="M32" i="1" s="1"/>
  <c r="E31" i="4"/>
  <c r="H30" i="1"/>
  <c r="M30" i="1" s="1"/>
  <c r="E29" i="4"/>
  <c r="H28" i="1"/>
  <c r="M28" i="1" s="1"/>
  <c r="E27" i="4"/>
  <c r="H27" i="4" s="1"/>
  <c r="H26" i="1"/>
  <c r="M26" i="1" s="1"/>
  <c r="H24" i="1"/>
  <c r="M24" i="1" s="1"/>
  <c r="H22" i="1"/>
  <c r="M22" i="1" s="1"/>
  <c r="H20" i="1"/>
  <c r="M20" i="1" s="1"/>
  <c r="E19" i="4"/>
  <c r="H18" i="1"/>
  <c r="M18" i="1" s="1"/>
  <c r="E17" i="4"/>
  <c r="H16" i="1"/>
  <c r="M16" i="1" s="1"/>
  <c r="E15" i="4"/>
  <c r="H14" i="1"/>
  <c r="M14" i="1" s="1"/>
  <c r="H12" i="1"/>
  <c r="M12" i="1" s="1"/>
  <c r="H10" i="1"/>
  <c r="M10" i="1" s="1"/>
  <c r="H8" i="1"/>
  <c r="M8" i="1" s="1"/>
  <c r="H6" i="1"/>
  <c r="M6" i="1" s="1"/>
  <c r="K241" i="1"/>
  <c r="K141" i="1"/>
  <c r="K272" i="1"/>
  <c r="K93" i="1"/>
  <c r="K60" i="1"/>
  <c r="K187" i="1"/>
  <c r="K84" i="1"/>
  <c r="K188" i="1"/>
  <c r="K208" i="1"/>
  <c r="K59" i="1"/>
  <c r="K17" i="1"/>
  <c r="K123" i="1"/>
  <c r="K169" i="1"/>
  <c r="K282" i="1"/>
  <c r="K298" i="1"/>
  <c r="K251" i="1"/>
  <c r="K247" i="1"/>
  <c r="K270" i="1"/>
  <c r="K274" i="1"/>
  <c r="K290" i="1"/>
  <c r="K225" i="1"/>
  <c r="K284" i="1"/>
  <c r="K256" i="1"/>
  <c r="K125" i="1"/>
  <c r="K120" i="1"/>
  <c r="K77" i="1"/>
  <c r="K35" i="1"/>
  <c r="K8" i="1"/>
  <c r="K219" i="1"/>
  <c r="K69" i="1"/>
  <c r="K27" i="1"/>
  <c r="K24" i="1"/>
  <c r="K159" i="1"/>
  <c r="K137" i="1"/>
  <c r="H330" i="1"/>
  <c r="M330" i="1" s="1"/>
  <c r="H328" i="1"/>
  <c r="M328" i="1" s="1"/>
  <c r="H326" i="1"/>
  <c r="M326" i="1" s="1"/>
  <c r="H324" i="1"/>
  <c r="M324" i="1" s="1"/>
  <c r="H322" i="1"/>
  <c r="M322" i="1" s="1"/>
  <c r="H320" i="1"/>
  <c r="M320" i="1" s="1"/>
  <c r="H318" i="1"/>
  <c r="M318" i="1" s="1"/>
  <c r="H316" i="1"/>
  <c r="M316" i="1" s="1"/>
  <c r="H314" i="1"/>
  <c r="M314" i="1" s="1"/>
  <c r="H312" i="1"/>
  <c r="M312" i="1" s="1"/>
  <c r="H310" i="1"/>
  <c r="M310" i="1" s="1"/>
  <c r="H308" i="1"/>
  <c r="M308" i="1" s="1"/>
  <c r="H306" i="1"/>
  <c r="M306" i="1" s="1"/>
  <c r="H304" i="1"/>
  <c r="M304" i="1" s="1"/>
  <c r="G331" i="1"/>
  <c r="K38" i="1"/>
  <c r="K54" i="1"/>
  <c r="K102" i="1"/>
  <c r="K118" i="1"/>
  <c r="K134" i="1"/>
  <c r="K150" i="1"/>
  <c r="K166" i="1"/>
  <c r="K246" i="1"/>
  <c r="K262" i="1"/>
  <c r="K227" i="1"/>
  <c r="K71" i="1"/>
  <c r="K252" i="1"/>
  <c r="K7" i="1"/>
  <c r="K48" i="1"/>
  <c r="K135" i="1"/>
  <c r="K231" i="1"/>
  <c r="K308" i="1"/>
  <c r="K49" i="1"/>
  <c r="K163" i="1"/>
  <c r="K180" i="1"/>
  <c r="K209" i="1"/>
  <c r="K112" i="1"/>
  <c r="K73" i="1"/>
  <c r="K240" i="1"/>
  <c r="K329" i="1"/>
  <c r="K28" i="1"/>
  <c r="K325" i="1"/>
  <c r="K300" i="1"/>
  <c r="K283" i="1"/>
  <c r="K280" i="1"/>
  <c r="K92" i="1"/>
  <c r="K9" i="1"/>
  <c r="M302" i="1"/>
  <c r="L302" i="1" s="1"/>
  <c r="E321" i="4"/>
  <c r="E313" i="4"/>
  <c r="E309" i="4"/>
  <c r="E315" i="4"/>
  <c r="E307" i="4"/>
  <c r="H329" i="1"/>
  <c r="M329" i="1" s="1"/>
  <c r="H327" i="1"/>
  <c r="M327" i="1" s="1"/>
  <c r="K327" i="1"/>
  <c r="H325" i="1"/>
  <c r="M325" i="1" s="1"/>
  <c r="H323" i="1"/>
  <c r="M323" i="1" s="1"/>
  <c r="K323" i="1"/>
  <c r="H321" i="1"/>
  <c r="M321" i="1" s="1"/>
  <c r="H319" i="1"/>
  <c r="M319" i="1" s="1"/>
  <c r="H317" i="1"/>
  <c r="M317" i="1" s="1"/>
  <c r="K317" i="1"/>
  <c r="H315" i="1"/>
  <c r="M315" i="1" s="1"/>
  <c r="K315" i="1"/>
  <c r="H313" i="1"/>
  <c r="M313" i="1" s="1"/>
  <c r="H311" i="1"/>
  <c r="M311" i="1" s="1"/>
  <c r="H309" i="1"/>
  <c r="M309" i="1" s="1"/>
  <c r="H307" i="1"/>
  <c r="M307" i="1" s="1"/>
  <c r="K307" i="1"/>
  <c r="H305" i="1"/>
  <c r="M305" i="1" s="1"/>
  <c r="K305" i="1"/>
  <c r="H303" i="1"/>
  <c r="M303" i="1" s="1"/>
  <c r="K303" i="1"/>
  <c r="H301" i="1"/>
  <c r="M301" i="1" s="1"/>
  <c r="K301" i="1"/>
  <c r="H299" i="1"/>
  <c r="M299" i="1" s="1"/>
  <c r="H297" i="1"/>
  <c r="M297" i="1" s="1"/>
  <c r="H295" i="1"/>
  <c r="M295" i="1" s="1"/>
  <c r="K295" i="1"/>
  <c r="H293" i="1"/>
  <c r="M293" i="1" s="1"/>
  <c r="K293" i="1"/>
  <c r="H291" i="1"/>
  <c r="M291" i="1" s="1"/>
  <c r="K291" i="1"/>
  <c r="H289" i="1"/>
  <c r="M289" i="1" s="1"/>
  <c r="H287" i="1"/>
  <c r="M287" i="1" s="1"/>
  <c r="K287" i="1"/>
  <c r="H285" i="1"/>
  <c r="M285" i="1" s="1"/>
  <c r="H283" i="1"/>
  <c r="M283" i="1" s="1"/>
  <c r="E282" i="4"/>
  <c r="H281" i="1"/>
  <c r="M281" i="1" s="1"/>
  <c r="K281" i="1"/>
  <c r="H279" i="1"/>
  <c r="M279" i="1" s="1"/>
  <c r="H277" i="1"/>
  <c r="M277" i="1" s="1"/>
  <c r="H275" i="1"/>
  <c r="M275" i="1" s="1"/>
  <c r="K275" i="1"/>
  <c r="H273" i="1"/>
  <c r="M273" i="1" s="1"/>
  <c r="E272" i="4"/>
  <c r="H271" i="1"/>
  <c r="M271" i="1" s="1"/>
  <c r="H269" i="1"/>
  <c r="M269" i="1" s="1"/>
  <c r="H267" i="1"/>
  <c r="M267" i="1" s="1"/>
  <c r="E266" i="4"/>
  <c r="K267" i="1"/>
  <c r="H265" i="1"/>
  <c r="M265" i="1" s="1"/>
  <c r="E264" i="4"/>
  <c r="H264" i="4" s="1"/>
  <c r="K265" i="1"/>
  <c r="H263" i="1"/>
  <c r="M263" i="1" s="1"/>
  <c r="K263" i="1"/>
  <c r="E262" i="4"/>
  <c r="H261" i="1"/>
  <c r="M261" i="1" s="1"/>
  <c r="K261" i="1"/>
  <c r="H259" i="1"/>
  <c r="M259" i="1" s="1"/>
  <c r="K259" i="1"/>
  <c r="H257" i="1"/>
  <c r="M257" i="1" s="1"/>
  <c r="K257" i="1"/>
  <c r="H255" i="1"/>
  <c r="M255" i="1" s="1"/>
  <c r="K255" i="1"/>
  <c r="H253" i="1"/>
  <c r="M253" i="1" s="1"/>
  <c r="K319" i="1"/>
  <c r="L45" i="1" l="1"/>
  <c r="L127" i="1"/>
  <c r="L13" i="1"/>
  <c r="L97" i="1"/>
  <c r="L105" i="1"/>
  <c r="L212" i="1"/>
  <c r="L55" i="1"/>
  <c r="L237" i="1"/>
  <c r="L33" i="1"/>
  <c r="L115" i="1"/>
  <c r="L191" i="1"/>
  <c r="L11" i="1"/>
  <c r="H331" i="1"/>
  <c r="L19" i="1"/>
  <c r="L83" i="1"/>
  <c r="H176" i="4"/>
  <c r="E318" i="4"/>
  <c r="H318" i="4" s="1"/>
  <c r="E60" i="4"/>
  <c r="H60" i="4" s="1"/>
  <c r="E68" i="4"/>
  <c r="H68" i="4" s="1"/>
  <c r="E108" i="4"/>
  <c r="H108" i="4" s="1"/>
  <c r="E116" i="4"/>
  <c r="H116" i="4" s="1"/>
  <c r="E144" i="4"/>
  <c r="E152" i="4"/>
  <c r="H152" i="4" s="1"/>
  <c r="E288" i="4"/>
  <c r="H288" i="4" s="1"/>
  <c r="E51" i="4"/>
  <c r="H51" i="4" s="1"/>
  <c r="L21" i="1"/>
  <c r="L53" i="1"/>
  <c r="L85" i="1"/>
  <c r="L121" i="1"/>
  <c r="L129" i="1"/>
  <c r="L153" i="1"/>
  <c r="L161" i="1"/>
  <c r="L173" i="1"/>
  <c r="L185" i="1"/>
  <c r="L197" i="1"/>
  <c r="L217" i="1"/>
  <c r="E164" i="4"/>
  <c r="H164" i="4" s="1"/>
  <c r="E244" i="4"/>
  <c r="H244" i="4" s="1"/>
  <c r="L156" i="1"/>
  <c r="L192" i="1"/>
  <c r="L220" i="1"/>
  <c r="L264" i="1"/>
  <c r="H22" i="4"/>
  <c r="E38" i="4"/>
  <c r="H38" i="4" s="1"/>
  <c r="E162" i="4"/>
  <c r="H162" i="4" s="1"/>
  <c r="E174" i="4"/>
  <c r="H174" i="4" s="1"/>
  <c r="E202" i="4"/>
  <c r="H202" i="4" s="1"/>
  <c r="E214" i="4"/>
  <c r="H214" i="4" s="1"/>
  <c r="H218" i="4"/>
  <c r="H230" i="4"/>
  <c r="L4" i="1"/>
  <c r="E25" i="4"/>
  <c r="H25" i="4" s="1"/>
  <c r="E37" i="4"/>
  <c r="H37" i="4" s="1"/>
  <c r="E97" i="4"/>
  <c r="H97" i="4" s="1"/>
  <c r="E113" i="4"/>
  <c r="H113" i="4" s="1"/>
  <c r="E117" i="4"/>
  <c r="H117" i="4" s="1"/>
  <c r="E125" i="4"/>
  <c r="H125" i="4" s="1"/>
  <c r="E137" i="4"/>
  <c r="H137" i="4" s="1"/>
  <c r="E145" i="4"/>
  <c r="H145" i="4" s="1"/>
  <c r="E149" i="4"/>
  <c r="H149" i="4" s="1"/>
  <c r="E161" i="4"/>
  <c r="H161" i="4" s="1"/>
  <c r="E169" i="4"/>
  <c r="H169" i="4" s="1"/>
  <c r="E173" i="4"/>
  <c r="H173" i="4" s="1"/>
  <c r="E241" i="4"/>
  <c r="H241" i="4" s="1"/>
  <c r="E249" i="4"/>
  <c r="H249" i="4" s="1"/>
  <c r="E261" i="4"/>
  <c r="H261" i="4" s="1"/>
  <c r="H47" i="4"/>
  <c r="E310" i="4"/>
  <c r="H310" i="4" s="1"/>
  <c r="E303" i="4"/>
  <c r="H303" i="4" s="1"/>
  <c r="E280" i="4"/>
  <c r="H280" i="4" s="1"/>
  <c r="L50" i="1"/>
  <c r="E124" i="4"/>
  <c r="H124" i="4" s="1"/>
  <c r="E192" i="4"/>
  <c r="H192" i="4" s="1"/>
  <c r="E228" i="4"/>
  <c r="H228" i="4" s="1"/>
  <c r="E236" i="4"/>
  <c r="H236" i="4" s="1"/>
  <c r="H87" i="4"/>
  <c r="E99" i="4"/>
  <c r="H99" i="4" s="1"/>
  <c r="E53" i="4"/>
  <c r="H53" i="4" s="1"/>
  <c r="E61" i="4"/>
  <c r="H61" i="4" s="1"/>
  <c r="E274" i="4"/>
  <c r="H274" i="4" s="1"/>
  <c r="E120" i="4"/>
  <c r="H120" i="4" s="1"/>
  <c r="E160" i="4"/>
  <c r="H160" i="4" s="1"/>
  <c r="E172" i="4"/>
  <c r="H172" i="4" s="1"/>
  <c r="E294" i="4"/>
  <c r="H294" i="4" s="1"/>
  <c r="L20" i="1"/>
  <c r="L248" i="1"/>
  <c r="L276" i="1"/>
  <c r="E6" i="4"/>
  <c r="H6" i="4" s="1"/>
  <c r="E14" i="4"/>
  <c r="H14" i="4" s="1"/>
  <c r="E26" i="4"/>
  <c r="H26" i="4" s="1"/>
  <c r="E62" i="4"/>
  <c r="H62" i="4" s="1"/>
  <c r="E70" i="4"/>
  <c r="H70" i="4" s="1"/>
  <c r="E98" i="4"/>
  <c r="H98" i="4" s="1"/>
  <c r="H106" i="4"/>
  <c r="E110" i="4"/>
  <c r="H110" i="4" s="1"/>
  <c r="H118" i="4"/>
  <c r="H138" i="4"/>
  <c r="E146" i="4"/>
  <c r="H146" i="4" s="1"/>
  <c r="E190" i="4"/>
  <c r="H190" i="4" s="1"/>
  <c r="H194" i="4"/>
  <c r="E226" i="4"/>
  <c r="H226" i="4" s="1"/>
  <c r="H250" i="4"/>
  <c r="E290" i="4"/>
  <c r="H290" i="4" s="1"/>
  <c r="E9" i="4"/>
  <c r="H9" i="4" s="1"/>
  <c r="E41" i="4"/>
  <c r="H41" i="4" s="1"/>
  <c r="E65" i="4"/>
  <c r="H65" i="4" s="1"/>
  <c r="E129" i="4"/>
  <c r="H129" i="4" s="1"/>
  <c r="E153" i="4"/>
  <c r="H153" i="4" s="1"/>
  <c r="E185" i="4"/>
  <c r="H185" i="4" s="1"/>
  <c r="E197" i="4"/>
  <c r="H197" i="4" s="1"/>
  <c r="E205" i="4"/>
  <c r="H205" i="4" s="1"/>
  <c r="E213" i="4"/>
  <c r="H213" i="4" s="1"/>
  <c r="E221" i="4"/>
  <c r="H221" i="4" s="1"/>
  <c r="E225" i="4"/>
  <c r="H225" i="4" s="1"/>
  <c r="E233" i="4"/>
  <c r="H233" i="4" s="1"/>
  <c r="E269" i="4"/>
  <c r="H269" i="4" s="1"/>
  <c r="E277" i="4"/>
  <c r="H277" i="4" s="1"/>
  <c r="E285" i="4"/>
  <c r="H285" i="4" s="1"/>
  <c r="E289" i="4"/>
  <c r="H289" i="4" s="1"/>
  <c r="L99" i="1"/>
  <c r="L14" i="1"/>
  <c r="L46" i="1"/>
  <c r="L82" i="1"/>
  <c r="L86" i="1"/>
  <c r="L238" i="1"/>
  <c r="L254" i="1"/>
  <c r="E40" i="4"/>
  <c r="H40" i="4" s="1"/>
  <c r="E128" i="4"/>
  <c r="H128" i="4" s="1"/>
  <c r="E156" i="4"/>
  <c r="H156" i="4" s="1"/>
  <c r="E168" i="4"/>
  <c r="H168" i="4" s="1"/>
  <c r="E196" i="4"/>
  <c r="H196" i="4" s="1"/>
  <c r="E216" i="4"/>
  <c r="H216" i="4" s="1"/>
  <c r="H224" i="4"/>
  <c r="E248" i="4"/>
  <c r="H248" i="4" s="1"/>
  <c r="E316" i="4"/>
  <c r="H316" i="4" s="1"/>
  <c r="E258" i="4"/>
  <c r="H258" i="4" s="1"/>
  <c r="E59" i="4"/>
  <c r="H59" i="4" s="1"/>
  <c r="E67" i="4"/>
  <c r="H67" i="4" s="1"/>
  <c r="H95" i="4"/>
  <c r="E111" i="4"/>
  <c r="H111" i="4" s="1"/>
  <c r="E147" i="4"/>
  <c r="H147" i="4" s="1"/>
  <c r="E159" i="4"/>
  <c r="H159" i="4" s="1"/>
  <c r="E239" i="4"/>
  <c r="H239" i="4" s="1"/>
  <c r="E28" i="4"/>
  <c r="H28" i="4" s="1"/>
  <c r="E32" i="4"/>
  <c r="H32" i="4" s="1"/>
  <c r="E48" i="4"/>
  <c r="H48" i="4" s="1"/>
  <c r="E56" i="4"/>
  <c r="H56" i="4" s="1"/>
  <c r="E76" i="4"/>
  <c r="H76" i="4" s="1"/>
  <c r="E84" i="4"/>
  <c r="H84" i="4" s="1"/>
  <c r="E92" i="4"/>
  <c r="H92" i="4" s="1"/>
  <c r="E104" i="4"/>
  <c r="H104" i="4" s="1"/>
  <c r="E132" i="4"/>
  <c r="H132" i="4" s="1"/>
  <c r="H136" i="4"/>
  <c r="H140" i="4"/>
  <c r="H180" i="4"/>
  <c r="H208" i="4"/>
  <c r="E23" i="4"/>
  <c r="H23" i="4" s="1"/>
  <c r="H31" i="4"/>
  <c r="H35" i="4"/>
  <c r="H55" i="4"/>
  <c r="H91" i="4"/>
  <c r="E171" i="4"/>
  <c r="H171" i="4" s="1"/>
  <c r="L36" i="1"/>
  <c r="L76" i="1"/>
  <c r="L104" i="1"/>
  <c r="L124" i="1"/>
  <c r="L172" i="1"/>
  <c r="L216" i="1"/>
  <c r="L260" i="1"/>
  <c r="L292" i="1"/>
  <c r="L81" i="1"/>
  <c r="L149" i="1"/>
  <c r="L157" i="1"/>
  <c r="L193" i="1"/>
  <c r="L213" i="1"/>
  <c r="L42" i="1"/>
  <c r="L122" i="1"/>
  <c r="L182" i="1"/>
  <c r="L218" i="1"/>
  <c r="L294" i="1"/>
  <c r="L75" i="1"/>
  <c r="L87" i="1"/>
  <c r="L103" i="1"/>
  <c r="L139" i="1"/>
  <c r="L155" i="1"/>
  <c r="L179" i="1"/>
  <c r="L207" i="1"/>
  <c r="L239" i="1"/>
  <c r="E43" i="4"/>
  <c r="H43" i="4" s="1"/>
  <c r="E131" i="4"/>
  <c r="H131" i="4" s="1"/>
  <c r="E155" i="4"/>
  <c r="H155" i="4" s="1"/>
  <c r="E207" i="4"/>
  <c r="H207" i="4" s="1"/>
  <c r="E227" i="4"/>
  <c r="H227" i="4" s="1"/>
  <c r="E235" i="4"/>
  <c r="H235" i="4" s="1"/>
  <c r="E271" i="4"/>
  <c r="H271" i="4" s="1"/>
  <c r="E279" i="4"/>
  <c r="H279" i="4" s="1"/>
  <c r="E64" i="4"/>
  <c r="H64" i="4" s="1"/>
  <c r="E112" i="4"/>
  <c r="H112" i="4" s="1"/>
  <c r="E11" i="4"/>
  <c r="H11" i="4" s="1"/>
  <c r="E187" i="4"/>
  <c r="H187" i="4" s="1"/>
  <c r="E199" i="4"/>
  <c r="H199" i="4" s="1"/>
  <c r="E215" i="4"/>
  <c r="H215" i="4" s="1"/>
  <c r="E291" i="4"/>
  <c r="H291" i="4" s="1"/>
  <c r="L113" i="1"/>
  <c r="E301" i="4"/>
  <c r="H301" i="4" s="1"/>
  <c r="L23" i="1"/>
  <c r="E328" i="4"/>
  <c r="H328" i="4" s="1"/>
  <c r="H260" i="4"/>
  <c r="H307" i="4"/>
  <c r="L206" i="1"/>
  <c r="H210" i="4"/>
  <c r="E39" i="4"/>
  <c r="H39" i="4" s="1"/>
  <c r="E63" i="4"/>
  <c r="H63" i="4" s="1"/>
  <c r="H71" i="4"/>
  <c r="H75" i="4"/>
  <c r="E107" i="4"/>
  <c r="H107" i="4" s="1"/>
  <c r="E119" i="4"/>
  <c r="H119" i="4" s="1"/>
  <c r="E127" i="4"/>
  <c r="H127" i="4" s="1"/>
  <c r="E139" i="4"/>
  <c r="H139" i="4" s="1"/>
  <c r="E151" i="4"/>
  <c r="H151" i="4" s="1"/>
  <c r="E163" i="4"/>
  <c r="H163" i="4" s="1"/>
  <c r="E175" i="4"/>
  <c r="H175" i="4" s="1"/>
  <c r="E179" i="4"/>
  <c r="H179" i="4" s="1"/>
  <c r="E183" i="4"/>
  <c r="H183" i="4" s="1"/>
  <c r="E211" i="4"/>
  <c r="H211" i="4" s="1"/>
  <c r="E219" i="4"/>
  <c r="H219" i="4" s="1"/>
  <c r="E231" i="4"/>
  <c r="H231" i="4" s="1"/>
  <c r="E243" i="4"/>
  <c r="H243" i="4" s="1"/>
  <c r="E251" i="4"/>
  <c r="H251" i="4" s="1"/>
  <c r="E259" i="4"/>
  <c r="H259" i="4" s="1"/>
  <c r="E263" i="4"/>
  <c r="H263" i="4" s="1"/>
  <c r="E275" i="4"/>
  <c r="H275" i="4" s="1"/>
  <c r="E287" i="4"/>
  <c r="H287" i="4" s="1"/>
  <c r="E295" i="4"/>
  <c r="H295" i="4" s="1"/>
  <c r="L47" i="1"/>
  <c r="L107" i="1"/>
  <c r="L151" i="1"/>
  <c r="L171" i="1"/>
  <c r="L175" i="1"/>
  <c r="L195" i="1"/>
  <c r="L235" i="1"/>
  <c r="H327" i="4"/>
  <c r="E300" i="4"/>
  <c r="H300" i="4" s="1"/>
  <c r="L70" i="1"/>
  <c r="H66" i="4"/>
  <c r="H315" i="4"/>
  <c r="H272" i="4"/>
  <c r="L44" i="1"/>
  <c r="L64" i="1"/>
  <c r="L128" i="1"/>
  <c r="L132" i="1"/>
  <c r="L196" i="1"/>
  <c r="L200" i="1"/>
  <c r="L224" i="1"/>
  <c r="L268" i="1"/>
  <c r="E4" i="4"/>
  <c r="H4" i="4" s="1"/>
  <c r="E12" i="4"/>
  <c r="H12" i="4" s="1"/>
  <c r="E20" i="4"/>
  <c r="H20" i="4" s="1"/>
  <c r="E36" i="4"/>
  <c r="H36" i="4" s="1"/>
  <c r="E52" i="4"/>
  <c r="H52" i="4" s="1"/>
  <c r="E72" i="4"/>
  <c r="H72" i="4" s="1"/>
  <c r="E80" i="4"/>
  <c r="H80" i="4" s="1"/>
  <c r="E88" i="4"/>
  <c r="H88" i="4" s="1"/>
  <c r="H96" i="4"/>
  <c r="H148" i="4"/>
  <c r="H184" i="4"/>
  <c r="H204" i="4"/>
  <c r="H220" i="4"/>
  <c r="H240" i="4"/>
  <c r="E314" i="4"/>
  <c r="H314" i="4" s="1"/>
  <c r="E326" i="4"/>
  <c r="H326" i="4" s="1"/>
  <c r="L5" i="1"/>
  <c r="L6" i="1"/>
  <c r="H284" i="4"/>
  <c r="E69" i="4"/>
  <c r="H69" i="4" s="1"/>
  <c r="E181" i="4"/>
  <c r="H181" i="4" s="1"/>
  <c r="E193" i="4"/>
  <c r="H193" i="4" s="1"/>
  <c r="E217" i="4"/>
  <c r="H217" i="4" s="1"/>
  <c r="E229" i="4"/>
  <c r="H229" i="4" s="1"/>
  <c r="E257" i="4"/>
  <c r="H257" i="4" s="1"/>
  <c r="E273" i="4"/>
  <c r="H273" i="4" s="1"/>
  <c r="E281" i="4"/>
  <c r="H281" i="4" s="1"/>
  <c r="E293" i="4"/>
  <c r="H293" i="4" s="1"/>
  <c r="L52" i="1"/>
  <c r="L68" i="1"/>
  <c r="L152" i="1"/>
  <c r="L204" i="1"/>
  <c r="E135" i="4"/>
  <c r="H135" i="4" s="1"/>
  <c r="E302" i="4"/>
  <c r="H302" i="4" s="1"/>
  <c r="E322" i="4"/>
  <c r="H322" i="4" s="1"/>
  <c r="E21" i="4"/>
  <c r="H21" i="4" s="1"/>
  <c r="E45" i="4"/>
  <c r="H45" i="4" s="1"/>
  <c r="E109" i="4"/>
  <c r="H109" i="4" s="1"/>
  <c r="E157" i="4"/>
  <c r="H157" i="4" s="1"/>
  <c r="E165" i="4"/>
  <c r="H165" i="4" s="1"/>
  <c r="E177" i="4"/>
  <c r="H177" i="4" s="1"/>
  <c r="E245" i="4"/>
  <c r="H245" i="4" s="1"/>
  <c r="L25" i="1"/>
  <c r="L61" i="1"/>
  <c r="L109" i="1"/>
  <c r="L133" i="1"/>
  <c r="L177" i="1"/>
  <c r="L201" i="1"/>
  <c r="L205" i="1"/>
  <c r="E286" i="4"/>
  <c r="H286" i="4" s="1"/>
  <c r="E30" i="4"/>
  <c r="H30" i="4" s="1"/>
  <c r="E5" i="4"/>
  <c r="H5" i="4" s="1"/>
  <c r="E13" i="4"/>
  <c r="H13" i="4" s="1"/>
  <c r="E209" i="4"/>
  <c r="H209" i="4" s="1"/>
  <c r="L29" i="1"/>
  <c r="L89" i="1"/>
  <c r="L271" i="1"/>
  <c r="L22" i="1"/>
  <c r="E10" i="4"/>
  <c r="H10" i="4" s="1"/>
  <c r="E34" i="4"/>
  <c r="H34" i="4" s="1"/>
  <c r="E50" i="4"/>
  <c r="H50" i="4" s="1"/>
  <c r="E58" i="4"/>
  <c r="H58" i="4" s="1"/>
  <c r="H186" i="4"/>
  <c r="H206" i="4"/>
  <c r="E238" i="4"/>
  <c r="H238" i="4" s="1"/>
  <c r="E105" i="4"/>
  <c r="H105" i="4" s="1"/>
  <c r="E201" i="4"/>
  <c r="H201" i="4" s="1"/>
  <c r="L65" i="1"/>
  <c r="H292" i="4"/>
  <c r="H311" i="4"/>
  <c r="L18" i="1"/>
  <c r="L114" i="1"/>
  <c r="E18" i="4"/>
  <c r="H18" i="4" s="1"/>
  <c r="E78" i="4"/>
  <c r="H78" i="4" s="1"/>
  <c r="E86" i="4"/>
  <c r="H86" i="4" s="1"/>
  <c r="E94" i="4"/>
  <c r="H94" i="4" s="1"/>
  <c r="H126" i="4"/>
  <c r="H158" i="4"/>
  <c r="H296" i="4"/>
  <c r="E7" i="4"/>
  <c r="H7" i="4" s="1"/>
  <c r="H15" i="4"/>
  <c r="H79" i="4"/>
  <c r="H83" i="4"/>
  <c r="E115" i="4"/>
  <c r="H115" i="4" s="1"/>
  <c r="E123" i="4"/>
  <c r="H123" i="4" s="1"/>
  <c r="E143" i="4"/>
  <c r="H143" i="4" s="1"/>
  <c r="E167" i="4"/>
  <c r="H167" i="4" s="1"/>
  <c r="E191" i="4"/>
  <c r="H191" i="4" s="1"/>
  <c r="E195" i="4"/>
  <c r="H195" i="4" s="1"/>
  <c r="E203" i="4"/>
  <c r="H203" i="4" s="1"/>
  <c r="E223" i="4"/>
  <c r="H223" i="4" s="1"/>
  <c r="E247" i="4"/>
  <c r="H247" i="4" s="1"/>
  <c r="E255" i="4"/>
  <c r="H255" i="4" s="1"/>
  <c r="E267" i="4"/>
  <c r="H267" i="4" s="1"/>
  <c r="E283" i="4"/>
  <c r="H283" i="4" s="1"/>
  <c r="L43" i="1"/>
  <c r="L67" i="1"/>
  <c r="L95" i="1"/>
  <c r="L111" i="1"/>
  <c r="L131" i="1"/>
  <c r="L183" i="1"/>
  <c r="E308" i="4"/>
  <c r="H308" i="4" s="1"/>
  <c r="E312" i="4"/>
  <c r="H312" i="4" s="1"/>
  <c r="E324" i="4"/>
  <c r="H324" i="4" s="1"/>
  <c r="L56" i="1"/>
  <c r="L88" i="1"/>
  <c r="L96" i="1"/>
  <c r="L140" i="1"/>
  <c r="L236" i="1"/>
  <c r="L288" i="1"/>
  <c r="E8" i="4"/>
  <c r="H8" i="4" s="1"/>
  <c r="E16" i="4"/>
  <c r="H16" i="4" s="1"/>
  <c r="E44" i="4"/>
  <c r="H44" i="4" s="1"/>
  <c r="E100" i="4"/>
  <c r="H100" i="4" s="1"/>
  <c r="H188" i="4"/>
  <c r="H200" i="4"/>
  <c r="H232" i="4"/>
  <c r="L277" i="1"/>
  <c r="L35" i="1"/>
  <c r="E121" i="4"/>
  <c r="H121" i="4" s="1"/>
  <c r="E133" i="4"/>
  <c r="H133" i="4" s="1"/>
  <c r="E141" i="4"/>
  <c r="H141" i="4" s="1"/>
  <c r="E189" i="4"/>
  <c r="H189" i="4" s="1"/>
  <c r="E237" i="4"/>
  <c r="H237" i="4" s="1"/>
  <c r="E253" i="4"/>
  <c r="H253" i="4" s="1"/>
  <c r="E265" i="4"/>
  <c r="H265" i="4" s="1"/>
  <c r="E297" i="4"/>
  <c r="H297" i="4" s="1"/>
  <c r="L117" i="1"/>
  <c r="L245" i="1"/>
  <c r="D330" i="4"/>
  <c r="E320" i="4"/>
  <c r="H320" i="4" s="1"/>
  <c r="L253" i="1"/>
  <c r="H142" i="4"/>
  <c r="L324" i="1"/>
  <c r="L34" i="1"/>
  <c r="L94" i="1"/>
  <c r="L174" i="1"/>
  <c r="L186" i="1"/>
  <c r="L190" i="1"/>
  <c r="E54" i="4"/>
  <c r="H54" i="4" s="1"/>
  <c r="E74" i="4"/>
  <c r="H74" i="4" s="1"/>
  <c r="E82" i="4"/>
  <c r="H82" i="4" s="1"/>
  <c r="E90" i="4"/>
  <c r="H90" i="4" s="1"/>
  <c r="H114" i="4"/>
  <c r="H122" i="4"/>
  <c r="E170" i="4"/>
  <c r="H170" i="4" s="1"/>
  <c r="L203" i="1"/>
  <c r="L243" i="1"/>
  <c r="L312" i="1"/>
  <c r="L320" i="1"/>
  <c r="L328" i="1"/>
  <c r="L12" i="1"/>
  <c r="L32" i="1"/>
  <c r="L100" i="1"/>
  <c r="L136" i="1"/>
  <c r="L160" i="1"/>
  <c r="L164" i="1"/>
  <c r="L119" i="1"/>
  <c r="L10" i="1"/>
  <c r="L215" i="1"/>
  <c r="H17" i="4"/>
  <c r="L310" i="1"/>
  <c r="L318" i="1"/>
  <c r="L181" i="1"/>
  <c r="L249" i="1"/>
  <c r="L30" i="1"/>
  <c r="L62" i="1"/>
  <c r="L78" i="1"/>
  <c r="L98" i="1"/>
  <c r="L142" i="1"/>
  <c r="L202" i="1"/>
  <c r="L214" i="1"/>
  <c r="L222" i="1"/>
  <c r="L286" i="1"/>
  <c r="L326" i="1"/>
  <c r="L273" i="1"/>
  <c r="L297" i="1"/>
  <c r="L322" i="1"/>
  <c r="L31" i="1"/>
  <c r="L143" i="1"/>
  <c r="L211" i="1"/>
  <c r="L223" i="1"/>
  <c r="L66" i="1"/>
  <c r="L110" i="1"/>
  <c r="L126" i="1"/>
  <c r="L158" i="1"/>
  <c r="L40" i="1"/>
  <c r="L228" i="1"/>
  <c r="L296" i="1"/>
  <c r="L39" i="1"/>
  <c r="L285" i="1"/>
  <c r="L306" i="1"/>
  <c r="L282" i="1"/>
  <c r="L230" i="1"/>
  <c r="L314" i="1"/>
  <c r="L145" i="1"/>
  <c r="L63" i="1"/>
  <c r="L91" i="1"/>
  <c r="L159" i="1"/>
  <c r="L167" i="1"/>
  <c r="L219" i="1"/>
  <c r="L278" i="1"/>
  <c r="E299" i="4"/>
  <c r="H299" i="4" s="1"/>
  <c r="H313" i="4"/>
  <c r="L187" i="1"/>
  <c r="L16" i="1"/>
  <c r="L72" i="1"/>
  <c r="L168" i="1"/>
  <c r="L176" i="1"/>
  <c r="L26" i="1"/>
  <c r="L27" i="1"/>
  <c r="L148" i="1"/>
  <c r="L244" i="1"/>
  <c r="L227" i="1"/>
  <c r="L229" i="1"/>
  <c r="L299" i="1"/>
  <c r="L279" i="1"/>
  <c r="L7" i="1"/>
  <c r="L123" i="1"/>
  <c r="L59" i="1"/>
  <c r="L38" i="1"/>
  <c r="L54" i="1"/>
  <c r="L74" i="1"/>
  <c r="L106" i="1"/>
  <c r="L134" i="1"/>
  <c r="L150" i="1"/>
  <c r="L170" i="1"/>
  <c r="L198" i="1"/>
  <c r="L262" i="1"/>
  <c r="L266" i="1"/>
  <c r="L290" i="1"/>
  <c r="L80" i="1"/>
  <c r="L313" i="1"/>
  <c r="L309" i="1"/>
  <c r="L272" i="1"/>
  <c r="L8" i="1"/>
  <c r="L28" i="1"/>
  <c r="L60" i="1"/>
  <c r="L188" i="1"/>
  <c r="L208" i="1"/>
  <c r="L232" i="1"/>
  <c r="H144" i="4"/>
  <c r="H29" i="4"/>
  <c r="H33" i="4"/>
  <c r="H81" i="4"/>
  <c r="L9" i="1"/>
  <c r="L137" i="1"/>
  <c r="L141" i="1"/>
  <c r="L241" i="1"/>
  <c r="L300" i="1"/>
  <c r="L304" i="1"/>
  <c r="L84" i="1"/>
  <c r="L17" i="1"/>
  <c r="L41" i="1"/>
  <c r="L138" i="1"/>
  <c r="L125" i="1"/>
  <c r="L180" i="1"/>
  <c r="H93" i="4"/>
  <c r="L330" i="1"/>
  <c r="L234" i="1"/>
  <c r="L289" i="1"/>
  <c r="H329" i="4"/>
  <c r="H85" i="4"/>
  <c r="L274" i="1"/>
  <c r="L154" i="1"/>
  <c r="L92" i="1"/>
  <c r="L49" i="1"/>
  <c r="L77" i="1"/>
  <c r="L269" i="1"/>
  <c r="L311" i="1"/>
  <c r="L321" i="1"/>
  <c r="L246" i="1"/>
  <c r="L118" i="1"/>
  <c r="H77" i="4"/>
  <c r="L250" i="1"/>
  <c r="L90" i="1"/>
  <c r="L58" i="1"/>
  <c r="L209" i="1"/>
  <c r="L316" i="1"/>
  <c r="L163" i="1"/>
  <c r="L69" i="1"/>
  <c r="L93" i="1"/>
  <c r="L270" i="1"/>
  <c r="H73" i="4"/>
  <c r="L112" i="1"/>
  <c r="L48" i="1"/>
  <c r="L135" i="1"/>
  <c r="L73" i="1"/>
  <c r="H89" i="4"/>
  <c r="L24" i="1"/>
  <c r="H19" i="4"/>
  <c r="H49" i="4"/>
  <c r="H57" i="4"/>
  <c r="H305" i="4"/>
  <c r="L166" i="1"/>
  <c r="L102" i="1"/>
  <c r="L298" i="1"/>
  <c r="L252" i="1"/>
  <c r="L169" i="1"/>
  <c r="L71" i="1"/>
  <c r="H101" i="4"/>
  <c r="L225" i="1"/>
  <c r="L257" i="1"/>
  <c r="L265" i="1"/>
  <c r="L323" i="1"/>
  <c r="L261" i="1"/>
  <c r="L293" i="1"/>
  <c r="L305" i="1"/>
  <c r="L259" i="1"/>
  <c r="L267" i="1"/>
  <c r="L281" i="1"/>
  <c r="L303" i="1"/>
  <c r="L240" i="1"/>
  <c r="L120" i="1"/>
  <c r="L247" i="1"/>
  <c r="L275" i="1"/>
  <c r="L291" i="1"/>
  <c r="L325" i="1"/>
  <c r="L308" i="1"/>
  <c r="L301" i="1"/>
  <c r="L255" i="1"/>
  <c r="L295" i="1"/>
  <c r="L307" i="1"/>
  <c r="L317" i="1"/>
  <c r="L327" i="1"/>
  <c r="H317" i="4"/>
  <c r="L280" i="1"/>
  <c r="L231" i="1"/>
  <c r="L251" i="1"/>
  <c r="L319" i="1"/>
  <c r="L263" i="1"/>
  <c r="L287" i="1"/>
  <c r="L315" i="1"/>
  <c r="L283" i="1"/>
  <c r="L329" i="1"/>
  <c r="L256" i="1"/>
  <c r="L284" i="1"/>
  <c r="H325" i="4"/>
  <c r="K332" i="1"/>
  <c r="M332" i="1"/>
  <c r="H309" i="4"/>
  <c r="H321" i="4"/>
  <c r="H246" i="4"/>
  <c r="H182" i="4"/>
  <c r="H130" i="4"/>
  <c r="H154" i="4"/>
  <c r="H242" i="4"/>
  <c r="H166" i="4"/>
  <c r="H198" i="4"/>
  <c r="H266" i="4"/>
  <c r="H270" i="4"/>
  <c r="H262" i="4"/>
  <c r="H278" i="4"/>
  <c r="H254" i="4"/>
  <c r="H282" i="4"/>
  <c r="H298" i="4"/>
  <c r="H306" i="4"/>
  <c r="C330" i="4"/>
  <c r="M334" i="1" l="1"/>
  <c r="M335" i="1"/>
  <c r="L332" i="1"/>
  <c r="H330" i="4"/>
  <c r="E3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Parker, John </author>
  </authors>
  <commentList>
    <comment ref="J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Change this calc back to SCPP + SPG if the legislature does not do the extra funding again.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Parker, John [LEGIS]</author>
    <author>Parker, John [IDOM]</author>
  </authors>
  <commentList>
    <comment ref="B21" authorId="0" shapeId="0" xr:uid="{00000000-0006-0000-0500-000001000000}">
      <text>
        <r>
          <rPr>
            <sz val="9"/>
            <color indexed="81"/>
            <rFont val="Tahoma"/>
            <family val="2"/>
          </rPr>
          <t>DoM has it at 0.04211
This has been changed.  When performing the calculation the CPP was less so had to adjust so it made sense</t>
        </r>
      </text>
    </comment>
    <comment ref="AL4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Change to 750 if PTRP continues</t>
        </r>
      </text>
    </comment>
  </commentList>
</comments>
</file>

<file path=xl/sharedStrings.xml><?xml version="1.0" encoding="utf-8"?>
<sst xmlns="http://schemas.openxmlformats.org/spreadsheetml/2006/main" count="7396" uniqueCount="1802">
  <si>
    <t>BCLUW</t>
  </si>
  <si>
    <t>CAL</t>
  </si>
  <si>
    <t>GMG</t>
  </si>
  <si>
    <t>PCM</t>
  </si>
  <si>
    <t>Enrollment</t>
  </si>
  <si>
    <t>Meals</t>
  </si>
  <si>
    <t>Free &amp; Red.</t>
  </si>
  <si>
    <t>Suppl Wght</t>
  </si>
  <si>
    <t>DCPP</t>
  </si>
  <si>
    <t xml:space="preserve">Dollars </t>
  </si>
  <si>
    <t>Generated</t>
  </si>
  <si>
    <t>Dollars</t>
  </si>
  <si>
    <t>Total</t>
  </si>
  <si>
    <t>NOTES:</t>
  </si>
  <si>
    <t>3) Supplementary Weighting Subtotal - Free &amp; reduced meals weighting plus enrollment weighting.</t>
  </si>
  <si>
    <t>state aid portion 87.5%</t>
  </si>
  <si>
    <t>property tax portion 12.5%</t>
  </si>
  <si>
    <t>AGWSR</t>
  </si>
  <si>
    <t>Percent 1-6</t>
  </si>
  <si>
    <t>Line 3.10</t>
  </si>
  <si>
    <t>5) Dollars Generated total - total supplementary weighting multiplied by district cost per pupil.</t>
  </si>
  <si>
    <t xml:space="preserve">4) District Cost Per Pupil </t>
  </si>
  <si>
    <t>CAM</t>
  </si>
  <si>
    <t>HLV</t>
  </si>
  <si>
    <t>At-Risk Weighting</t>
  </si>
  <si>
    <t xml:space="preserve">Total </t>
  </si>
  <si>
    <t>AHSTW</t>
  </si>
  <si>
    <t>Woodward-Granger</t>
  </si>
  <si>
    <t>Woodbury Central</t>
  </si>
  <si>
    <t>Woodbine</t>
  </si>
  <si>
    <t>Winterset</t>
  </si>
  <si>
    <t>Winfield-Mt Union</t>
  </si>
  <si>
    <t>Wilton</t>
  </si>
  <si>
    <t>Williamsburg</t>
  </si>
  <si>
    <t>Whiting</t>
  </si>
  <si>
    <t>Westwood</t>
  </si>
  <si>
    <t>West Sioux</t>
  </si>
  <si>
    <t>West Monona</t>
  </si>
  <si>
    <t>West Marshall</t>
  </si>
  <si>
    <t>West Lyon</t>
  </si>
  <si>
    <t>West Liberty</t>
  </si>
  <si>
    <t>West Harrison</t>
  </si>
  <si>
    <t>Western Dubuque</t>
  </si>
  <si>
    <t>West Des Moines</t>
  </si>
  <si>
    <t>West Delaware County</t>
  </si>
  <si>
    <t>West Central</t>
  </si>
  <si>
    <t>West Burlington Ind</t>
  </si>
  <si>
    <t>West Branch</t>
  </si>
  <si>
    <t>West Bend-Mallard</t>
  </si>
  <si>
    <t>Webster City</t>
  </si>
  <si>
    <t>Wayne</t>
  </si>
  <si>
    <t>Waverly-Shell Rock</t>
  </si>
  <si>
    <t>Waukee</t>
  </si>
  <si>
    <t>Waterloo</t>
  </si>
  <si>
    <t>Washington</t>
  </si>
  <si>
    <t>Wapsie Valley</t>
  </si>
  <si>
    <t>Wapello</t>
  </si>
  <si>
    <t>East Sac County</t>
  </si>
  <si>
    <t>Waco</t>
  </si>
  <si>
    <t>Vinton-Shellsburg</t>
  </si>
  <si>
    <t>Villisca</t>
  </si>
  <si>
    <t>Van Meter</t>
  </si>
  <si>
    <t>Urbandale</t>
  </si>
  <si>
    <t>United</t>
  </si>
  <si>
    <t>Union</t>
  </si>
  <si>
    <t>Underwood</t>
  </si>
  <si>
    <t>Twin Rivers</t>
  </si>
  <si>
    <t>Twin Cedars</t>
  </si>
  <si>
    <t>Turkey Valley</t>
  </si>
  <si>
    <t>Tripoli</t>
  </si>
  <si>
    <t>Tri-County</t>
  </si>
  <si>
    <t>Tri-Center</t>
  </si>
  <si>
    <t>Treynor</t>
  </si>
  <si>
    <t>Tipton</t>
  </si>
  <si>
    <t>Sumner-Fredericksburg</t>
  </si>
  <si>
    <t>West Central Valley</t>
  </si>
  <si>
    <t>Stratford</t>
  </si>
  <si>
    <t>Storm Lake</t>
  </si>
  <si>
    <t>Starmont</t>
  </si>
  <si>
    <t>Stanton</t>
  </si>
  <si>
    <t>Springville</t>
  </si>
  <si>
    <t>Spirit Lake</t>
  </si>
  <si>
    <t>Spencer</t>
  </si>
  <si>
    <t>Southeast Polk</t>
  </si>
  <si>
    <t>South Winneshiek</t>
  </si>
  <si>
    <t>South O'Brien</t>
  </si>
  <si>
    <t>South Tama County</t>
  </si>
  <si>
    <t>South Page</t>
  </si>
  <si>
    <t>Southeast Webster Grand</t>
  </si>
  <si>
    <t>South Hamilton</t>
  </si>
  <si>
    <t>Southeast Warren</t>
  </si>
  <si>
    <t>Solon</t>
  </si>
  <si>
    <t>South Central Calhoun</t>
  </si>
  <si>
    <t>Sioux City</t>
  </si>
  <si>
    <t>Sioux Central</t>
  </si>
  <si>
    <t>Sioux Center</t>
  </si>
  <si>
    <t>Sigourney</t>
  </si>
  <si>
    <t>Sidney</t>
  </si>
  <si>
    <t>Sibley-Ocheyedan</t>
  </si>
  <si>
    <t>Shenandoah</t>
  </si>
  <si>
    <t>Sheldon</t>
  </si>
  <si>
    <t>Seymour</t>
  </si>
  <si>
    <t>Sergeant Bluff-Luton</t>
  </si>
  <si>
    <t>Schleswig</t>
  </si>
  <si>
    <t>Schaller-Crestland</t>
  </si>
  <si>
    <t>Saydel</t>
  </si>
  <si>
    <t>St Ansgar</t>
  </si>
  <si>
    <t>Ruthven-Ayrshire</t>
  </si>
  <si>
    <t>Rudd-Rockford-Marble Rk</t>
  </si>
  <si>
    <t>Roland-Story</t>
  </si>
  <si>
    <t>Rock Valley</t>
  </si>
  <si>
    <t>Riverside</t>
  </si>
  <si>
    <t>Riceville</t>
  </si>
  <si>
    <t>Remsen-Union</t>
  </si>
  <si>
    <t>Red Oak</t>
  </si>
  <si>
    <t>Prairie Valley</t>
  </si>
  <si>
    <t>Postville</t>
  </si>
  <si>
    <t>Pocahontas Area</t>
  </si>
  <si>
    <t>Pleasantville</t>
  </si>
  <si>
    <t>Pleasant Valley</t>
  </si>
  <si>
    <t>Perry</t>
  </si>
  <si>
    <t>Pella</t>
  </si>
  <si>
    <t>Pekin</t>
  </si>
  <si>
    <t>Paton-Churdan</t>
  </si>
  <si>
    <t>Panorama</t>
  </si>
  <si>
    <t>Ottumwa</t>
  </si>
  <si>
    <t>Oskaloosa</t>
  </si>
  <si>
    <t>Osage</t>
  </si>
  <si>
    <t>Orient-Macksburg</t>
  </si>
  <si>
    <t>Olin Consolidated</t>
  </si>
  <si>
    <t>Okoboji</t>
  </si>
  <si>
    <t>Ogden</t>
  </si>
  <si>
    <t>Oelwein</t>
  </si>
  <si>
    <t>Norwalk</t>
  </si>
  <si>
    <t>Northwood-Kensett</t>
  </si>
  <si>
    <t>North Tama County</t>
  </si>
  <si>
    <t>North Scott</t>
  </si>
  <si>
    <t>North Polk</t>
  </si>
  <si>
    <t>North Kossuth</t>
  </si>
  <si>
    <t>North Linn</t>
  </si>
  <si>
    <t>North Mahaska</t>
  </si>
  <si>
    <t>Northeast</t>
  </si>
  <si>
    <t>Central Springs</t>
  </si>
  <si>
    <t>Newton</t>
  </si>
  <si>
    <t>New London</t>
  </si>
  <si>
    <t>New Hampton</t>
  </si>
  <si>
    <t>Newell-Fonda</t>
  </si>
  <si>
    <t>Nevada</t>
  </si>
  <si>
    <t>Nashua-Plainfield</t>
  </si>
  <si>
    <t>Muscatine</t>
  </si>
  <si>
    <t>Murray</t>
  </si>
  <si>
    <t>Mount Vernon</t>
  </si>
  <si>
    <t>Mount Pleasant</t>
  </si>
  <si>
    <t>Mount Ayr</t>
  </si>
  <si>
    <t>Moulton-Udell</t>
  </si>
  <si>
    <t>Morning Sun</t>
  </si>
  <si>
    <t>Mormon Trail</t>
  </si>
  <si>
    <t>Moravia</t>
  </si>
  <si>
    <t>Monticello</t>
  </si>
  <si>
    <t>Montezuma</t>
  </si>
  <si>
    <t>MFL MarMac</t>
  </si>
  <si>
    <t>Missouri Valley</t>
  </si>
  <si>
    <t>Mid-Prairie</t>
  </si>
  <si>
    <t>Midland</t>
  </si>
  <si>
    <t>Melcher-Dallas</t>
  </si>
  <si>
    <t>Mediapolis</t>
  </si>
  <si>
    <t>MOC-Floyd Valley</t>
  </si>
  <si>
    <t>Mason City</t>
  </si>
  <si>
    <t>Martensdale-St Marys</t>
  </si>
  <si>
    <t>Marshalltown</t>
  </si>
  <si>
    <t>Marion Independent</t>
  </si>
  <si>
    <t>Marcus-Meriden-Cleghorn</t>
  </si>
  <si>
    <t>Maquoketa Valley</t>
  </si>
  <si>
    <t>Maquoketa</t>
  </si>
  <si>
    <t>Maple Valley-Anthon Oto</t>
  </si>
  <si>
    <t>Manson Northwest Webster</t>
  </si>
  <si>
    <t>East Mills</t>
  </si>
  <si>
    <t>Madrid</t>
  </si>
  <si>
    <t>Lynnville-Sully</t>
  </si>
  <si>
    <t>LuVerne</t>
  </si>
  <si>
    <t>Louisa-Muscatine</t>
  </si>
  <si>
    <t>Lone Tree</t>
  </si>
  <si>
    <t>Logan-Magnolia</t>
  </si>
  <si>
    <t>Lisbon</t>
  </si>
  <si>
    <t>Linn-Mar</t>
  </si>
  <si>
    <t>North Cedar</t>
  </si>
  <si>
    <t>Lewis Central</t>
  </si>
  <si>
    <t>Lenox</t>
  </si>
  <si>
    <t>Le Mars</t>
  </si>
  <si>
    <t>Lawton-Bronson</t>
  </si>
  <si>
    <t>Laurens-Marathon</t>
  </si>
  <si>
    <t>Lamoni</t>
  </si>
  <si>
    <t>Lake Mills</t>
  </si>
  <si>
    <t>Knoxville</t>
  </si>
  <si>
    <t>Kingsley-Pierson</t>
  </si>
  <si>
    <t>Keota</t>
  </si>
  <si>
    <t>Keokuk</t>
  </si>
  <si>
    <t>Johnston</t>
  </si>
  <si>
    <t>Jesup</t>
  </si>
  <si>
    <t>Greene County</t>
  </si>
  <si>
    <t>Janesville Consolidated</t>
  </si>
  <si>
    <t>IKM-Manning</t>
  </si>
  <si>
    <t>Iowa Valley</t>
  </si>
  <si>
    <t>Iowa Falls</t>
  </si>
  <si>
    <t>Iowa City</t>
  </si>
  <si>
    <t>Interstate 35</t>
  </si>
  <si>
    <t>Indianola</t>
  </si>
  <si>
    <t>Independence</t>
  </si>
  <si>
    <t>Humboldt</t>
  </si>
  <si>
    <t>Hudson</t>
  </si>
  <si>
    <t>Hubbard-Radcliffe</t>
  </si>
  <si>
    <t>Howard-Winneshiek</t>
  </si>
  <si>
    <t>Hinton</t>
  </si>
  <si>
    <t>Highland</t>
  </si>
  <si>
    <t>Hartley-Melvin-Sanborn</t>
  </si>
  <si>
    <t>Harris-Lake Park</t>
  </si>
  <si>
    <t>Harlan</t>
  </si>
  <si>
    <t>Hampton-Dumont</t>
  </si>
  <si>
    <t>Hamburg</t>
  </si>
  <si>
    <t>H-L-V</t>
  </si>
  <si>
    <t>Clayton Ridge</t>
  </si>
  <si>
    <t>Guthrie Center</t>
  </si>
  <si>
    <t>Grundy Center</t>
  </si>
  <si>
    <t>Griswold</t>
  </si>
  <si>
    <t>Grinnell-Newburg</t>
  </si>
  <si>
    <t>Nodaway Valley</t>
  </si>
  <si>
    <t>Graettinger-Terril</t>
  </si>
  <si>
    <t>Glidden-Ralston</t>
  </si>
  <si>
    <t>Glenwood</t>
  </si>
  <si>
    <t>Gladbrook-Reinbeck</t>
  </si>
  <si>
    <t>Gilmore City-Bradgate</t>
  </si>
  <si>
    <t>Gilbert</t>
  </si>
  <si>
    <t>George-Little Rock</t>
  </si>
  <si>
    <t>Garner-Hayfield-Ventura</t>
  </si>
  <si>
    <t>Galva-Holstein</t>
  </si>
  <si>
    <t>Fremont-Mills</t>
  </si>
  <si>
    <t>Fort Madison</t>
  </si>
  <si>
    <t>Fort Dodge</t>
  </si>
  <si>
    <t>Forest City</t>
  </si>
  <si>
    <t>Fairfield</t>
  </si>
  <si>
    <t>Estherville Lincoln</t>
  </si>
  <si>
    <t>Essex</t>
  </si>
  <si>
    <t>English Valleys</t>
  </si>
  <si>
    <t>Emmetsburg</t>
  </si>
  <si>
    <t>Eldora-New Providence</t>
  </si>
  <si>
    <t>Edgewood-Colesburg</t>
  </si>
  <si>
    <t>River Valley</t>
  </si>
  <si>
    <t>Eastern Allamakee</t>
  </si>
  <si>
    <t>East Union</t>
  </si>
  <si>
    <t>East Marshall</t>
  </si>
  <si>
    <t>Easton Valley</t>
  </si>
  <si>
    <t>East Buchanan</t>
  </si>
  <si>
    <t>Earlham</t>
  </si>
  <si>
    <t>Eagle Grove</t>
  </si>
  <si>
    <t>Durant</t>
  </si>
  <si>
    <t>Boyer Valley</t>
  </si>
  <si>
    <t>Dunkerton</t>
  </si>
  <si>
    <t>Dubuque</t>
  </si>
  <si>
    <t>Dike-New Hartford</t>
  </si>
  <si>
    <t>Diagonal</t>
  </si>
  <si>
    <t>Des Moines Independent</t>
  </si>
  <si>
    <t>Denver</t>
  </si>
  <si>
    <t>Denison</t>
  </si>
  <si>
    <t>Delwood</t>
  </si>
  <si>
    <t>Decorah Community</t>
  </si>
  <si>
    <t>Davis County</t>
  </si>
  <si>
    <t>Davenport</t>
  </si>
  <si>
    <t>Danville</t>
  </si>
  <si>
    <t>Dallas Center-Grimes</t>
  </si>
  <si>
    <t>Creston</t>
  </si>
  <si>
    <t>Council Bluffs</t>
  </si>
  <si>
    <t>Corning</t>
  </si>
  <si>
    <t>Coon Rapids-Bayard</t>
  </si>
  <si>
    <t>Columbus</t>
  </si>
  <si>
    <t>Colo-NESCO</t>
  </si>
  <si>
    <t>Collins-Maxwell</t>
  </si>
  <si>
    <t>College</t>
  </si>
  <si>
    <t>Colfax-Mingo</t>
  </si>
  <si>
    <t>Clinton</t>
  </si>
  <si>
    <t>Clear Lake</t>
  </si>
  <si>
    <t>Clear Creek Amana</t>
  </si>
  <si>
    <t>Clay Central-Everly</t>
  </si>
  <si>
    <t>Clarksville</t>
  </si>
  <si>
    <t>Clarke</t>
  </si>
  <si>
    <t>Clarion-Goldfield-Dows</t>
  </si>
  <si>
    <t>Clarinda</t>
  </si>
  <si>
    <t>Cherokee</t>
  </si>
  <si>
    <t>Charter Oak-Ute</t>
  </si>
  <si>
    <t>Charles City</t>
  </si>
  <si>
    <t>Chariton</t>
  </si>
  <si>
    <t>Central Lyon</t>
  </si>
  <si>
    <t>Central Decatur</t>
  </si>
  <si>
    <t>Central City</t>
  </si>
  <si>
    <t>Central DeWitt</t>
  </si>
  <si>
    <t>Central</t>
  </si>
  <si>
    <t>Central Lee</t>
  </si>
  <si>
    <t>Centerville</t>
  </si>
  <si>
    <t>Center Point-Urbana</t>
  </si>
  <si>
    <t>Cedar Rapids</t>
  </si>
  <si>
    <t>Cedar Falls</t>
  </si>
  <si>
    <t>Carroll</t>
  </si>
  <si>
    <t>Carlisle</t>
  </si>
  <si>
    <t>Cardinal</t>
  </si>
  <si>
    <t>Camanche</t>
  </si>
  <si>
    <t>Calamus-Wheatland</t>
  </si>
  <si>
    <t>Burlington</t>
  </si>
  <si>
    <t>North Iowa</t>
  </si>
  <si>
    <t>Brooklyn-Guernsey-Malcom</t>
  </si>
  <si>
    <t>West Hancock</t>
  </si>
  <si>
    <t>Boyden-Hull</t>
  </si>
  <si>
    <t>Boone</t>
  </si>
  <si>
    <t>Bondurant-Farrar</t>
  </si>
  <si>
    <t>Bettendorf</t>
  </si>
  <si>
    <t>Benton</t>
  </si>
  <si>
    <t>Bennett</t>
  </si>
  <si>
    <t>Belmond-Klemme</t>
  </si>
  <si>
    <t>Bellevue</t>
  </si>
  <si>
    <t>Belle Plaine</t>
  </si>
  <si>
    <t>Bedford</t>
  </si>
  <si>
    <t>Baxter</t>
  </si>
  <si>
    <t>Ballard</t>
  </si>
  <si>
    <t>Audubon</t>
  </si>
  <si>
    <t>Atlantic</t>
  </si>
  <si>
    <t>Ar-We-Va</t>
  </si>
  <si>
    <t>North Union</t>
  </si>
  <si>
    <t>Aplington-Parkersburg</t>
  </si>
  <si>
    <t>Ankeny</t>
  </si>
  <si>
    <t>Andrew</t>
  </si>
  <si>
    <t>Anamosa</t>
  </si>
  <si>
    <t>Ames</t>
  </si>
  <si>
    <t>North Butler</t>
  </si>
  <si>
    <t>Allamakee</t>
  </si>
  <si>
    <t>Algona</t>
  </si>
  <si>
    <t>Alden</t>
  </si>
  <si>
    <t>Alburnett</t>
  </si>
  <si>
    <t>Albia</t>
  </si>
  <si>
    <t>Albert City-Truesdale</t>
  </si>
  <si>
    <t>Akron Westfield</t>
  </si>
  <si>
    <t>Adel DeSoto Minburn</t>
  </si>
  <si>
    <t>Adair-Casey</t>
  </si>
  <si>
    <t>Dist</t>
  </si>
  <si>
    <t>DistrictNumber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</si>
  <si>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</si>
  <si>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</si>
  <si>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</si>
  <si>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</si>
  <si>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</si>
  <si>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</si>
  <si>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</si>
  <si>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</si>
  <si>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</si>
  <si>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</si>
  <si>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</si>
  <si>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0171</t>
  </si>
  <si>
    <t>0225</t>
  </si>
  <si>
    <t>0234</t>
  </si>
  <si>
    <t>0243</t>
  </si>
  <si>
    <t>0261</t>
  </si>
  <si>
    <t>0279</t>
  </si>
  <si>
    <t>0333</t>
  </si>
  <si>
    <t>0355</t>
  </si>
  <si>
    <t>0387</t>
  </si>
  <si>
    <t>0414</t>
  </si>
  <si>
    <t>0441</t>
  </si>
  <si>
    <t>0472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</si>
  <si>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</si>
  <si>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</si>
  <si>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</si>
  <si>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</si>
  <si>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</si>
  <si>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</si>
  <si>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</si>
  <si>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</si>
  <si>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</si>
  <si>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</si>
  <si>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</si>
  <si>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</si>
  <si>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</si>
  <si>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</si>
  <si>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</si>
  <si>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</si>
  <si>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</si>
  <si>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</si>
  <si>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</si>
  <si>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</si>
  <si>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</si>
  <si>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</si>
  <si>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</si>
  <si>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</si>
  <si>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</si>
  <si>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</si>
  <si>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</si>
  <si>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</si>
  <si>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</si>
  <si>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</si>
  <si>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</si>
  <si>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</si>
  <si>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</si>
  <si>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</si>
  <si>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</si>
  <si>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</si>
  <si>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</si>
  <si>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</si>
  <si>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</si>
  <si>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</si>
  <si>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</si>
  <si>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</si>
  <si>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</si>
  <si>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</si>
  <si>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</si>
  <si>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</si>
  <si>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</si>
  <si>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</si>
  <si>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</si>
  <si>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</si>
  <si>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</si>
  <si>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</si>
  <si>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</si>
  <si>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</si>
  <si>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</si>
  <si>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</si>
  <si>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</si>
  <si>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</si>
  <si>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</si>
  <si>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</si>
  <si>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</si>
  <si>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</si>
  <si>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</si>
  <si>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</si>
  <si>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</si>
  <si>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</si>
  <si>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1863</t>
  </si>
  <si>
    <t>1908</t>
  </si>
  <si>
    <t>1917</t>
  </si>
  <si>
    <t>1926</t>
  </si>
  <si>
    <t>1935</t>
  </si>
  <si>
    <t>1944</t>
  </si>
  <si>
    <t>1953</t>
  </si>
  <si>
    <t>1963</t>
  </si>
  <si>
    <t>1965</t>
  </si>
  <si>
    <t>1970</t>
  </si>
  <si>
    <t>1972</t>
  </si>
  <si>
    <t>1975</t>
  </si>
  <si>
    <t>1989</t>
  </si>
  <si>
    <t>2007</t>
  </si>
  <si>
    <t>2088</t>
  </si>
  <si>
    <t>2097</t>
  </si>
  <si>
    <t>2113</t>
  </si>
  <si>
    <t>2124</t>
  </si>
  <si>
    <t>2151</t>
  </si>
  <si>
    <t>2169</t>
  </si>
  <si>
    <t>2295</t>
  </si>
  <si>
    <t>2313</t>
  </si>
  <si>
    <t>2322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</si>
  <si>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</si>
  <si>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</si>
  <si>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</si>
  <si>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</si>
  <si>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</si>
  <si>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</si>
  <si>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</si>
  <si>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</si>
  <si>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</si>
  <si>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</si>
  <si>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</si>
  <si>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</si>
  <si>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</si>
  <si>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</si>
  <si>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</si>
  <si>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</si>
  <si>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</si>
  <si>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</si>
  <si>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</si>
  <si>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</si>
  <si>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</si>
  <si>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2834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</si>
  <si>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</si>
  <si>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</si>
  <si>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</si>
  <si>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</si>
  <si>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</si>
  <si>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</si>
  <si>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</si>
  <si>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</si>
  <si>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</si>
  <si>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</si>
  <si>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</si>
  <si>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</si>
  <si>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</si>
  <si>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</si>
  <si>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</si>
  <si>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</si>
  <si>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</si>
  <si>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</si>
  <si>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</si>
  <si>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</si>
  <si>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</si>
  <si>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</si>
  <si>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</si>
  <si>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</si>
  <si>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</si>
  <si>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</si>
  <si>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</si>
  <si>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3582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</si>
  <si>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</si>
  <si>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</si>
  <si>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</si>
  <si>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</si>
  <si>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</si>
  <si>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</si>
  <si>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</si>
  <si>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</si>
  <si>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</si>
  <si>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</si>
  <si>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</si>
  <si>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</si>
  <si>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</si>
  <si>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</si>
  <si>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</si>
  <si>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</si>
  <si>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</si>
  <si>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</si>
  <si>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</si>
  <si>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</si>
  <si>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</si>
  <si>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</si>
  <si>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</si>
  <si>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</si>
  <si>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</si>
  <si>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</si>
  <si>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</si>
  <si>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</si>
  <si>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</si>
  <si>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</si>
  <si>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</si>
  <si>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</si>
  <si>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</si>
  <si>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</si>
  <si>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</si>
  <si>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</si>
  <si>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</si>
  <si>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</si>
  <si>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</si>
  <si>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</si>
  <si>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</si>
  <si>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</si>
  <si>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</si>
  <si>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</si>
  <si>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</si>
  <si>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</si>
  <si>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</si>
  <si>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</si>
  <si>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</si>
  <si>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</si>
  <si>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</si>
  <si>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</si>
  <si>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</si>
  <si>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</si>
  <si>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</si>
  <si>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</si>
  <si>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4787</t>
  </si>
  <si>
    <t>4788</t>
  </si>
  <si>
    <t>4797</t>
  </si>
  <si>
    <t>4824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</si>
  <si>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</si>
  <si>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</si>
  <si>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</si>
  <si>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</si>
  <si>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</si>
  <si>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</si>
  <si>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</si>
  <si>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</si>
  <si>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</si>
  <si>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</si>
  <si>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</si>
  <si>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5157</t>
  </si>
  <si>
    <t>5163</t>
  </si>
  <si>
    <t>5166</t>
  </si>
  <si>
    <t>5184</t>
  </si>
  <si>
    <t>5250</t>
  </si>
  <si>
    <t>5256</t>
  </si>
  <si>
    <t>5283</t>
  </si>
  <si>
    <t>5310</t>
  </si>
  <si>
    <t>5319</t>
  </si>
  <si>
    <t>5323</t>
  </si>
  <si>
    <t>5463</t>
  </si>
  <si>
    <t>5486</t>
  </si>
  <si>
    <t>5508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</si>
  <si>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</si>
  <si>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</si>
  <si>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</si>
  <si>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</si>
  <si>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</si>
  <si>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</si>
  <si>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</si>
  <si>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</si>
  <si>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</si>
  <si>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</si>
  <si>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</si>
  <si>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5949</t>
  </si>
  <si>
    <t>5976</t>
  </si>
  <si>
    <t>5994</t>
  </si>
  <si>
    <t>6003</t>
  </si>
  <si>
    <t>6012</t>
  </si>
  <si>
    <t>6030</t>
  </si>
  <si>
    <t>6039</t>
  </si>
  <si>
    <t>6048</t>
  </si>
  <si>
    <t>6091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</si>
  <si>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</si>
  <si>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</si>
  <si>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</si>
  <si>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</si>
  <si>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</si>
  <si>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</si>
  <si>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</si>
  <si>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</si>
  <si>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</si>
  <si>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</si>
  <si>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</si>
  <si>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</si>
  <si>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</si>
  <si>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</si>
  <si>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</si>
  <si>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</si>
  <si>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</si>
  <si>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</si>
  <si>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</si>
  <si>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</si>
  <si>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</si>
  <si>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</si>
  <si>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</si>
  <si>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</si>
  <si>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</si>
  <si>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</si>
  <si>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6561</t>
  </si>
  <si>
    <t>6579</t>
  </si>
  <si>
    <t>6592</t>
  </si>
  <si>
    <t>6615</t>
  </si>
  <si>
    <t>6651</t>
  </si>
  <si>
    <t>6660</t>
  </si>
  <si>
    <t>6700</t>
  </si>
  <si>
    <t>6741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</si>
  <si>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</si>
  <si>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</si>
  <si>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</si>
  <si>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</si>
  <si>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</si>
  <si>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</si>
  <si>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</si>
  <si>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</si>
  <si>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</si>
  <si>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</si>
  <si>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</si>
  <si>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</si>
  <si>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</si>
  <si>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</si>
  <si>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</si>
  <si>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</si>
  <si>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</si>
  <si>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</si>
  <si>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</si>
  <si>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</si>
  <si>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</si>
  <si>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</si>
  <si>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</si>
  <si>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</si>
  <si>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</si>
  <si>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</si>
  <si>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</si>
  <si>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</si>
  <si>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</si>
  <si>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</si>
  <si>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1) Supplementary Weighting Free/Reduced Meals - Percent free &amp; reduced meals in grades 1-6 multiplied by budget enrollment multiplied by 0.00642 weighting.</t>
  </si>
  <si>
    <t>2) Supplementary Weighting Enrollment - Budget enrollment multiplied by 0.00204 weighting.</t>
  </si>
  <si>
    <t>6536</t>
  </si>
  <si>
    <t>1968</t>
  </si>
  <si>
    <t>5510</t>
  </si>
  <si>
    <t>6099</t>
  </si>
  <si>
    <t>5160</t>
  </si>
  <si>
    <t>5325</t>
  </si>
  <si>
    <t>6035</t>
  </si>
  <si>
    <t>North Fayette Valley</t>
  </si>
  <si>
    <t>Odebolt Arthur Battle Creek Ida Grove</t>
  </si>
  <si>
    <t>Alta-Aurelia</t>
  </si>
  <si>
    <t>Name</t>
  </si>
  <si>
    <t>line 1.1 x249</t>
  </si>
  <si>
    <t>Adel-Desoto-Minburn</t>
  </si>
  <si>
    <t>Akron-Westfield</t>
  </si>
  <si>
    <t>Central Clayton</t>
  </si>
  <si>
    <t>Central De Witt</t>
  </si>
  <si>
    <t>Clear Creek-Amana</t>
  </si>
  <si>
    <t>College Community</t>
  </si>
  <si>
    <t>Colo-Nesco</t>
  </si>
  <si>
    <t>Decorah</t>
  </si>
  <si>
    <t>Des Moines</t>
  </si>
  <si>
    <t>Eddyville-Blakesburg-Fremont</t>
  </si>
  <si>
    <t>Estherville-Lincoln Central</t>
  </si>
  <si>
    <t>Exira-Elk Horn-Kimballton</t>
  </si>
  <si>
    <t>Janesville</t>
  </si>
  <si>
    <t>Lu Verne</t>
  </si>
  <si>
    <t>MFL Mar Mac</t>
  </si>
  <si>
    <t>Manson-Northwest Webster</t>
  </si>
  <si>
    <t>Marcus-Meriden Cleghorn</t>
  </si>
  <si>
    <t>Marion</t>
  </si>
  <si>
    <t>Moc-Floyd Valley</t>
  </si>
  <si>
    <t>North Tama</t>
  </si>
  <si>
    <t>Olin</t>
  </si>
  <si>
    <t>Rudd-Rockford-Marble Rock</t>
  </si>
  <si>
    <t>South Tama</t>
  </si>
  <si>
    <t>Southeast Webster-Grand</t>
  </si>
  <si>
    <t>West Burlington</t>
  </si>
  <si>
    <t>West Delaware Co</t>
  </si>
  <si>
    <t>West Fork</t>
  </si>
  <si>
    <t>Western Dubuque Co</t>
  </si>
  <si>
    <t>line 1.3 x272</t>
  </si>
  <si>
    <t>From StartupFile</t>
  </si>
  <si>
    <t>SCPP</t>
  </si>
  <si>
    <t>Fiscal Year</t>
  </si>
  <si>
    <t>FiscalYear</t>
  </si>
  <si>
    <t>AEA</t>
  </si>
  <si>
    <t>DistSub1</t>
  </si>
  <si>
    <t>DistSub2</t>
  </si>
  <si>
    <t>Label</t>
  </si>
  <si>
    <t>11</t>
  </si>
  <si>
    <t/>
  </si>
  <si>
    <t>07</t>
  </si>
  <si>
    <t>13</t>
  </si>
  <si>
    <t>12</t>
  </si>
  <si>
    <t>05</t>
  </si>
  <si>
    <t>15</t>
  </si>
  <si>
    <t>10</t>
  </si>
  <si>
    <t>6417</t>
  </si>
  <si>
    <t>01</t>
  </si>
  <si>
    <t>0423</t>
  </si>
  <si>
    <t>09</t>
  </si>
  <si>
    <t>1854</t>
  </si>
  <si>
    <t>0216</t>
  </si>
  <si>
    <t>5328</t>
  </si>
  <si>
    <t>4751</t>
  </si>
  <si>
    <t>0270</t>
  </si>
  <si>
    <t>2664</t>
  </si>
  <si>
    <t>6591</t>
  </si>
  <si>
    <t>0504</t>
  </si>
  <si>
    <t>Van Buren County</t>
  </si>
  <si>
    <t>SPG</t>
  </si>
  <si>
    <t>CPP</t>
  </si>
  <si>
    <t>Additional_Dollar</t>
  </si>
  <si>
    <t>SCPP_SPED</t>
  </si>
  <si>
    <t>TS_SPG</t>
  </si>
  <si>
    <t>TS_CPP</t>
  </si>
  <si>
    <t>TS_SCPP</t>
  </si>
  <si>
    <t>PD_SPG</t>
  </si>
  <si>
    <t>PD_CPP</t>
  </si>
  <si>
    <t>PD_SCPP</t>
  </si>
  <si>
    <t>EI_SPG</t>
  </si>
  <si>
    <t>EI_CPP</t>
  </si>
  <si>
    <t>EI_SCPP</t>
  </si>
  <si>
    <t>TL_SPG</t>
  </si>
  <si>
    <t>TL_CPP</t>
  </si>
  <si>
    <t>TL_SCPP</t>
  </si>
  <si>
    <t>AEA_SPED_CPP</t>
  </si>
  <si>
    <t>AEA_SPED_SCPP</t>
  </si>
  <si>
    <t>AEAMED_CPP</t>
  </si>
  <si>
    <t>AEAMED_SCPP</t>
  </si>
  <si>
    <t>AEAED_CPP</t>
  </si>
  <si>
    <t>AEAED_SCPP</t>
  </si>
  <si>
    <t>TS_AEA_CPP</t>
  </si>
  <si>
    <t>TS_AEA_SCPP</t>
  </si>
  <si>
    <t>PD_AEA_CPP</t>
  </si>
  <si>
    <t>PD_AEA_SCPP</t>
  </si>
  <si>
    <t>RPFL</t>
  </si>
  <si>
    <t>RPFL_CPP</t>
  </si>
  <si>
    <t>RPSPEDFL</t>
  </si>
  <si>
    <t>RPSPED_CPP</t>
  </si>
  <si>
    <t>AEA_SPED_FL</t>
  </si>
  <si>
    <t>AEASPED_CPP</t>
  </si>
  <si>
    <t>Budg_Adj</t>
  </si>
  <si>
    <t>ULR</t>
  </si>
  <si>
    <t>MIN_AID</t>
  </si>
  <si>
    <t>PT_SCPP</t>
  </si>
  <si>
    <t>PT_PCT</t>
  </si>
  <si>
    <t>SMAAPTLR</t>
  </si>
  <si>
    <t>AEA_SPED_FL_CPP</t>
  </si>
  <si>
    <t>PTRP_PP</t>
  </si>
  <si>
    <t>StateTaxableValuation_PP</t>
  </si>
  <si>
    <t>TAG_PP</t>
  </si>
  <si>
    <t>PY_RPFL</t>
  </si>
  <si>
    <t>PY_SCPP</t>
  </si>
  <si>
    <t>L833</t>
  </si>
  <si>
    <t>ISL_StateAidPortion</t>
  </si>
  <si>
    <t>ISL_ProrataRed</t>
  </si>
  <si>
    <t>Dollars Generated</t>
  </si>
  <si>
    <t>Subtotal Line 3.10</t>
  </si>
  <si>
    <t>Free/Red.
Lunch</t>
  </si>
  <si>
    <t>Final</t>
  </si>
  <si>
    <t>Oct. 15</t>
  </si>
  <si>
    <t>2019-20 - FRL Grades 1 to 6 - December 20, 2019</t>
  </si>
  <si>
    <t>District #</t>
  </si>
  <si>
    <t>District Name</t>
  </si>
  <si>
    <t>School</t>
  </si>
  <si>
    <t>School Name</t>
  </si>
  <si>
    <t># Eligible for Free or Reduced Lunch</t>
  </si>
  <si>
    <t>FRL %</t>
  </si>
  <si>
    <t>0172</t>
  </si>
  <si>
    <t>AGWSR Middle School</t>
  </si>
  <si>
    <t>0409</t>
  </si>
  <si>
    <t>AGWSR Elementary School</t>
  </si>
  <si>
    <t>0436</t>
  </si>
  <si>
    <t>AGWSR Elementary at Wellsburg</t>
  </si>
  <si>
    <t>Adair-Casey Elementary School</t>
  </si>
  <si>
    <t>Adel Elementary School</t>
  </si>
  <si>
    <t>0412</t>
  </si>
  <si>
    <t>ADM Middle School</t>
  </si>
  <si>
    <t>0418</t>
  </si>
  <si>
    <t>DeSoto Intermediate School</t>
  </si>
  <si>
    <t>Akron Westfield Elementary School</t>
  </si>
  <si>
    <t>Akron Westfield Middle School</t>
  </si>
  <si>
    <t>Albert City-Truesdale Elementary School</t>
  </si>
  <si>
    <t>Grant Center</t>
  </si>
  <si>
    <t>0427</t>
  </si>
  <si>
    <t>Lincoln Center</t>
  </si>
  <si>
    <t>0209</t>
  </si>
  <si>
    <t>Alburnett Middle School</t>
  </si>
  <si>
    <t>Alburnett Elementary School</t>
  </si>
  <si>
    <t>Alden Elementary School</t>
  </si>
  <si>
    <t>Algona Middle School</t>
  </si>
  <si>
    <t>Bryant Elementary School</t>
  </si>
  <si>
    <t>Lucia Wallace Elementary School</t>
  </si>
  <si>
    <t>0218</t>
  </si>
  <si>
    <t>Waukon Middle School</t>
  </si>
  <si>
    <t>East Campus Elementary School</t>
  </si>
  <si>
    <t>West Campus Elementary School</t>
  </si>
  <si>
    <t>North Butler Elementary</t>
  </si>
  <si>
    <t>Alta-Aurelia Middle Sch</t>
  </si>
  <si>
    <t>Alta Elementary School</t>
  </si>
  <si>
    <t>Aurelia Elementary School</t>
  </si>
  <si>
    <t>Ames Middle School</t>
  </si>
  <si>
    <t>Edwards Elementary School</t>
  </si>
  <si>
    <t>0440</t>
  </si>
  <si>
    <t>Fellows Elementary School</t>
  </si>
  <si>
    <t>0454</t>
  </si>
  <si>
    <t>Meeker Elementary School</t>
  </si>
  <si>
    <t>0456</t>
  </si>
  <si>
    <t>Mitchell Elementary School</t>
  </si>
  <si>
    <t>0481</t>
  </si>
  <si>
    <t>Sawyer Elementary School</t>
  </si>
  <si>
    <t>Anamosa Middle School</t>
  </si>
  <si>
    <t>Strawberry Hill</t>
  </si>
  <si>
    <t>Andrew Middle School</t>
  </si>
  <si>
    <t>Andrew Elementary School</t>
  </si>
  <si>
    <t>Parkview Middle School</t>
  </si>
  <si>
    <t>Prairie Ridge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</si>
  <si>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</si>
  <si>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</si>
  <si>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</si>
  <si>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</si>
  <si>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</si>
  <si>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</si>
  <si>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Terrace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</si>
  <si>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</si>
  <si>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</si>
  <si>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</si>
  <si>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</si>
  <si>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</si>
  <si>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</si>
  <si>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</si>
  <si>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Aplington / Parkersburg Middle School</t>
  </si>
  <si>
    <t>Aplington Elementary School</t>
  </si>
  <si>
    <t>Parkersburg Elementary School</t>
  </si>
  <si>
    <t>North Union Elementary</t>
  </si>
  <si>
    <t>Westside Junior-Senior High School</t>
  </si>
  <si>
    <t>Ar-We-Va Elementary Community School</t>
  </si>
  <si>
    <t>Atlantic Middle School</t>
  </si>
  <si>
    <t>Schuler Elementary School</t>
  </si>
  <si>
    <t>Washington Elementary School</t>
  </si>
  <si>
    <t>0109</t>
  </si>
  <si>
    <t>Audubon Middle-High School</t>
  </si>
  <si>
    <t>Audubon Elementary School</t>
  </si>
  <si>
    <t>AHSTW Intermediate School</t>
  </si>
  <si>
    <t>AHSTW Primary School</t>
  </si>
  <si>
    <t>Ballard Middle School</t>
  </si>
  <si>
    <t>0415</t>
  </si>
  <si>
    <t>Ballard East Elementary</t>
  </si>
  <si>
    <t>0425</t>
  </si>
  <si>
    <t>Ballard West Elementary</t>
  </si>
  <si>
    <t>Baxter High School</t>
  </si>
  <si>
    <t>Baxter Elementary School</t>
  </si>
  <si>
    <t>BCLUW Middle School</t>
  </si>
  <si>
    <t>0407</t>
  </si>
  <si>
    <t>BCLUW Elementary School</t>
  </si>
  <si>
    <t>Bedford High School</t>
  </si>
  <si>
    <t>Bedford Elementary School</t>
  </si>
  <si>
    <t>Longfellow Elementary School</t>
  </si>
  <si>
    <t>Bellevue High School</t>
  </si>
  <si>
    <t>Bellevue Elementary School</t>
  </si>
  <si>
    <t>Richard O. Jacobson Elementary School</t>
  </si>
  <si>
    <t>Bennett Elementary School</t>
  </si>
  <si>
    <t>Atkins Elementary School</t>
  </si>
  <si>
    <t>Keystone Elementary School</t>
  </si>
  <si>
    <t>Norway Elementary School</t>
  </si>
  <si>
    <t>Bettendorf Middle School</t>
  </si>
  <si>
    <t>Grant Wood Elementary School</t>
  </si>
  <si>
    <t>Herbert Hoover Elementary School</t>
  </si>
  <si>
    <t>Paul Norton Elementary School</t>
  </si>
  <si>
    <t>Mark Twain Elementary School</t>
  </si>
  <si>
    <t>Neil Armstrong Elementary School</t>
  </si>
  <si>
    <t>Eddyville-Blakesburg-</t>
  </si>
  <si>
    <t>Eddyville Elementary</t>
  </si>
  <si>
    <t>Blakesburg Elementary</t>
  </si>
  <si>
    <t>Fremont Elementary</t>
  </si>
  <si>
    <t>Bondurant - Farrar Middle School</t>
  </si>
  <si>
    <t>Anderson Elementary School</t>
  </si>
  <si>
    <t>Morris Elementary</t>
  </si>
  <si>
    <t>Boone Middle School</t>
  </si>
  <si>
    <t>Franklin Elementary School</t>
  </si>
  <si>
    <t>Lincoln Elementary School</t>
  </si>
  <si>
    <t>Page Elementary School</t>
  </si>
  <si>
    <t>Boyden-Hull Elementary School</t>
  </si>
  <si>
    <t>West Hancock Middle School</t>
  </si>
  <si>
    <t>West Hancock Elementary School</t>
  </si>
  <si>
    <t>Brooklyn-Guernsey-Malcom Elementary School</t>
  </si>
  <si>
    <t>North Iowa Middle School</t>
  </si>
  <si>
    <t>North Iowa Elem Buffalo Center</t>
  </si>
  <si>
    <t>Aldo Leopold Intermediate School</t>
  </si>
  <si>
    <t>Black Hawk Elementary School</t>
  </si>
  <si>
    <t>James Wilson Grimes School</t>
  </si>
  <si>
    <t>North Hill Elementary School</t>
  </si>
  <si>
    <t>0490</t>
  </si>
  <si>
    <t>Sunnyside Elementary School</t>
  </si>
  <si>
    <t>CAM Middle School</t>
  </si>
  <si>
    <t>0236</t>
  </si>
  <si>
    <t>Iowa Connections Academy Middle School</t>
  </si>
  <si>
    <t>CAM South Elementary School</t>
  </si>
  <si>
    <t>CAM North Elementary</t>
  </si>
  <si>
    <t>Iowa Connections Academy Elementary</t>
  </si>
  <si>
    <t>CAL Elementary School</t>
  </si>
  <si>
    <t>Calamus-Wheatland Elem Attendance Center</t>
  </si>
  <si>
    <t>Camanche Middle School</t>
  </si>
  <si>
    <t>Camanche Elementary</t>
  </si>
  <si>
    <t>0301</t>
  </si>
  <si>
    <t>Cardinal Junior High</t>
  </si>
  <si>
    <t>Cardinal Elementary</t>
  </si>
  <si>
    <t>Carlisle Middle School</t>
  </si>
  <si>
    <t>Carlisle Elementary School</t>
  </si>
  <si>
    <t>Hartford Upper Elementary</t>
  </si>
  <si>
    <t>Fairview Elementary School</t>
  </si>
  <si>
    <t>Carroll Middle School</t>
  </si>
  <si>
    <t>Adams Elementary School</t>
  </si>
  <si>
    <t>Cedar Heights Elementary School</t>
  </si>
  <si>
    <t>Helen A Hansen Elementary School</t>
  </si>
  <si>
    <t>Bess Streeter Aldrich Elementary</t>
  </si>
  <si>
    <t>North Cedar Elementary School</t>
  </si>
  <si>
    <t>0463</t>
  </si>
  <si>
    <t>Orchard Hill Elementary School</t>
  </si>
  <si>
    <t>Southdale Elementary School</t>
  </si>
  <si>
    <t>Franklin Middle School</t>
  </si>
  <si>
    <t>0214</t>
  </si>
  <si>
    <t>Harding Middle School</t>
  </si>
  <si>
    <t>McKinley STEAM Academy</t>
  </si>
  <si>
    <t>0227</t>
  </si>
  <si>
    <t>Roosevelt Creative Corridor Business Academy</t>
  </si>
  <si>
    <t>0232</t>
  </si>
  <si>
    <t>Taft Middle School</t>
  </si>
  <si>
    <t>Wilson Middle School</t>
  </si>
  <si>
    <t>Arthur Elementary School</t>
  </si>
  <si>
    <t>0431</t>
  </si>
  <si>
    <t>Cleveland Elementary School</t>
  </si>
  <si>
    <t>0433</t>
  </si>
  <si>
    <t>Coolidge Elementary School</t>
  </si>
  <si>
    <t>Erskine Elementary School</t>
  </si>
  <si>
    <t>Garfield Elementary School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</si>
  <si>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</si>
  <si>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</si>
  <si>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</si>
  <si>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</si>
  <si>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</si>
  <si>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</si>
  <si>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STEAM Academy School</t>
  </si>
  <si>
    <t>0526</t>
  </si>
  <si>
    <t>Kenwood Leadership Academy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</si>
  <si>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</si>
  <si>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</si>
  <si>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</si>
  <si>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</si>
  <si>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</si>
  <si>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</si>
  <si>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</si>
  <si>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Cedar River Academy at Taylor</t>
  </si>
  <si>
    <t>0589</t>
  </si>
  <si>
    <t>Truman Elementary School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</si>
  <si>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</si>
  <si>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</si>
  <si>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</si>
  <si>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</si>
  <si>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</si>
  <si>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</si>
  <si>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</si>
  <si>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Jackson Elementary School</t>
  </si>
  <si>
    <t>0636</t>
  </si>
  <si>
    <t>Viola Gibson Elementary School</t>
  </si>
  <si>
    <t>Center Point-Urbana Middle School</t>
  </si>
  <si>
    <t>Center Point-Urbana Primary School</t>
  </si>
  <si>
    <t>Center Point-Urbana Intermediate School</t>
  </si>
  <si>
    <t>Howar Middle School</t>
  </si>
  <si>
    <t>Central Ward Elementary School</t>
  </si>
  <si>
    <t>Lakeview Elementary</t>
  </si>
  <si>
    <t>Central Lee Middle School</t>
  </si>
  <si>
    <t>Central Lee Elementary School</t>
  </si>
  <si>
    <t>Central Elementary</t>
  </si>
  <si>
    <t>Central DeWitt Intermediate School</t>
  </si>
  <si>
    <t>Ekstrand Elementary School</t>
  </si>
  <si>
    <t>Central City High School</t>
  </si>
  <si>
    <t>Central City Elementary School</t>
  </si>
  <si>
    <t>North Elementary School</t>
  </si>
  <si>
    <t>South Elementary School</t>
  </si>
  <si>
    <t>Central Lyon Middle School</t>
  </si>
  <si>
    <t>Central Lyon Elementary School</t>
  </si>
  <si>
    <t>Chariton Middle School</t>
  </si>
  <si>
    <t>Columbus Elementary School</t>
  </si>
  <si>
    <t>0439</t>
  </si>
  <si>
    <t>Van Allen Elementary School</t>
  </si>
  <si>
    <t>Charles City MS</t>
  </si>
  <si>
    <t>0455</t>
  </si>
  <si>
    <t>Charter Oak-Ute Junior High School</t>
  </si>
  <si>
    <t>Charter Oak-Ute Elementary School</t>
  </si>
  <si>
    <t>Cherokee Middle School</t>
  </si>
  <si>
    <t>Roosevelt Elementary School</t>
  </si>
  <si>
    <t>Clarinda Middle School</t>
  </si>
  <si>
    <t>Clarion-Goldfield-Dows Middle School</t>
  </si>
  <si>
    <t>Clarion-Goldfield-Dows Elementary School</t>
  </si>
  <si>
    <t>Clarke Community Elementary School</t>
  </si>
  <si>
    <t>Clarksville Elementary School</t>
  </si>
  <si>
    <t>Clay Central-Everly Elementary</t>
  </si>
  <si>
    <t>Clear Creek Amana Middle School</t>
  </si>
  <si>
    <t>Amana Elementary School</t>
  </si>
  <si>
    <t>Clear Creek Elementary School</t>
  </si>
  <si>
    <t>Oak Hill Elementary</t>
  </si>
  <si>
    <t>North Bend Elementary</t>
  </si>
  <si>
    <t>Tiffin Elementary</t>
  </si>
  <si>
    <t>Clear Lake Middle School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</si>
  <si>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</si>
  <si>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</si>
  <si>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</si>
  <si>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</si>
  <si>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</si>
  <si>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</si>
  <si>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</si>
  <si>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Colfax-Mingo Elementary School</t>
  </si>
  <si>
    <t>Prairie Creek</t>
  </si>
  <si>
    <t>Prairie Crest Elementary School</t>
  </si>
  <si>
    <t>Prairie Heights Elementary School</t>
  </si>
  <si>
    <t>Prairie View Elementary School</t>
  </si>
  <si>
    <t>Prairie Ridge Elementary</t>
  </si>
  <si>
    <t>0442</t>
  </si>
  <si>
    <t>Prairie Hill Elementary School</t>
  </si>
  <si>
    <t>0951</t>
  </si>
  <si>
    <t>Prairie Edge</t>
  </si>
  <si>
    <t>Collins-Maxwell Middle/High School</t>
  </si>
  <si>
    <t>Collins-Maxwell Elementary School</t>
  </si>
  <si>
    <t>Colo-NESCO  Middle/High School</t>
  </si>
  <si>
    <t>Colo-Nesco Elementary School</t>
  </si>
  <si>
    <t>Roundy Elementary School</t>
  </si>
  <si>
    <t>Coon Rapids-Bayard 5-12 Attendance Center</t>
  </si>
  <si>
    <t>CR-B Elementary School</t>
  </si>
  <si>
    <t>Corning Elementary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</si>
  <si>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</si>
  <si>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</si>
  <si>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</si>
  <si>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</si>
  <si>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</si>
  <si>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</si>
  <si>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</si>
  <si>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</si>
  <si>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</si>
  <si>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</si>
  <si>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</si>
  <si>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0499</t>
  </si>
  <si>
    <t>0553</t>
  </si>
  <si>
    <t>Rue Elementary School</t>
  </si>
  <si>
    <t>Creston Middle School</t>
  </si>
  <si>
    <t>Creston Elementary School</t>
  </si>
  <si>
    <t>Dallas Center-Grimes Middle School</t>
  </si>
  <si>
    <t>North Ridge Elementary</t>
  </si>
  <si>
    <t>South Prairie Elementary</t>
  </si>
  <si>
    <t>Dallas Center Elementary</t>
  </si>
  <si>
    <t>0437</t>
  </si>
  <si>
    <t>Heritage Elementary</t>
  </si>
  <si>
    <t>Danville Elementary School</t>
  </si>
  <si>
    <t>0205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</si>
  <si>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</si>
  <si>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</si>
  <si>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</si>
  <si>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</si>
  <si>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</si>
  <si>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</si>
  <si>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Blue Grass Elementary School</t>
  </si>
  <si>
    <t>Buchanan Elementary School</t>
  </si>
  <si>
    <t>Buffalo Elementary School</t>
  </si>
  <si>
    <t>0417</t>
  </si>
  <si>
    <t>Eisenhower Elementary School</t>
  </si>
  <si>
    <t>Fillmore Elementary School</t>
  </si>
  <si>
    <t>Hayes Elementary School</t>
  </si>
  <si>
    <t>0475</t>
  </si>
  <si>
    <t>0508</t>
  </si>
  <si>
    <t>McKinley Elementary School</t>
  </si>
  <si>
    <t>0535</t>
  </si>
  <si>
    <t>Monroe Elementary School</t>
  </si>
  <si>
    <t>0573</t>
  </si>
  <si>
    <t>Walcott Elementary School</t>
  </si>
  <si>
    <t>Wilson Elementary School</t>
  </si>
  <si>
    <t>0421</t>
  </si>
  <si>
    <t>Davis County Elementary</t>
  </si>
  <si>
    <t>0428</t>
  </si>
  <si>
    <t>Davis County Middle School</t>
  </si>
  <si>
    <t>Decorah Middle School</t>
  </si>
  <si>
    <t>Carrie Lee Elementary</t>
  </si>
  <si>
    <t>John Cline Elementary School</t>
  </si>
  <si>
    <t>Delwood Elementary School</t>
  </si>
  <si>
    <t>Denison Middle School</t>
  </si>
  <si>
    <t>Broadway Elementary School</t>
  </si>
  <si>
    <t>Denison Elementary School</t>
  </si>
  <si>
    <t>Denver Middle School</t>
  </si>
  <si>
    <t>0309</t>
  </si>
  <si>
    <t>K-5 Elementary School Lincoln Street Building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</si>
  <si>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</si>
  <si>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</si>
  <si>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</si>
  <si>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</si>
  <si>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</si>
  <si>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</si>
  <si>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</si>
  <si>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</si>
  <si>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</si>
  <si>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</si>
  <si>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</si>
  <si>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</si>
  <si>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</si>
  <si>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</si>
  <si>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</si>
  <si>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</si>
  <si>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</si>
  <si>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</si>
  <si>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</si>
  <si>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Fine Arts Academy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</si>
  <si>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</si>
  <si>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</si>
  <si>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</si>
  <si>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</si>
  <si>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</si>
  <si>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</si>
  <si>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</si>
  <si>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</si>
  <si>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</si>
  <si>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</si>
  <si>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</si>
  <si>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</si>
  <si>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0620</t>
  </si>
  <si>
    <t>King Elementary School</t>
  </si>
  <si>
    <t>0647</t>
  </si>
  <si>
    <t>Lovejoy Elementary School</t>
  </si>
  <si>
    <t>0661</t>
  </si>
  <si>
    <t>0697</t>
  </si>
  <si>
    <t>0715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</si>
  <si>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</si>
  <si>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</si>
  <si>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</si>
  <si>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</si>
  <si>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</si>
  <si>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</si>
  <si>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</si>
  <si>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</si>
  <si>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</si>
  <si>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</si>
  <si>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</si>
  <si>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</si>
  <si>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</si>
  <si>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</si>
  <si>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</si>
  <si>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</si>
  <si>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</si>
  <si>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</si>
  <si>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Samuelson Elementary School</t>
  </si>
  <si>
    <t>0855</t>
  </si>
  <si>
    <t>South Union Elementary School</t>
  </si>
  <si>
    <t>0859</t>
  </si>
  <si>
    <t>Stowe Elementary School</t>
  </si>
  <si>
    <t>0863</t>
  </si>
  <si>
    <t>Studebaker Elementary School</t>
  </si>
  <si>
    <t>0886</t>
  </si>
  <si>
    <t>Morris Elementary School</t>
  </si>
  <si>
    <t>0904</t>
  </si>
  <si>
    <t>Willard Elementary School</t>
  </si>
  <si>
    <t>0913</t>
  </si>
  <si>
    <t>Windsor Elementary</t>
  </si>
  <si>
    <t>0931</t>
  </si>
  <si>
    <t>0935</t>
  </si>
  <si>
    <t>Downtown School</t>
  </si>
  <si>
    <t>Orchard Place School</t>
  </si>
  <si>
    <t>0984</t>
  </si>
  <si>
    <t>Walnut Street School</t>
  </si>
  <si>
    <t>0987</t>
  </si>
  <si>
    <t>Ruby Van Meter</t>
  </si>
  <si>
    <t>Diagonal Junior-Senior High School</t>
  </si>
  <si>
    <t>Diagonal Elementary School</t>
  </si>
  <si>
    <t>Dike-New Hartford Junior High School</t>
  </si>
  <si>
    <t>Dike Elementary School</t>
  </si>
  <si>
    <t>New Hartford Elementary School</t>
  </si>
  <si>
    <t>Thomas Jefferson Middle School</t>
  </si>
  <si>
    <t>George Washington Middle School</t>
  </si>
  <si>
    <t>Eleanor Roosevelt Middle School</t>
  </si>
  <si>
    <t>Carver Elementary School</t>
  </si>
  <si>
    <t>Fulton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</si>
  <si>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</si>
  <si>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</si>
  <si>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</si>
  <si>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</si>
  <si>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</si>
  <si>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</si>
  <si>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</si>
  <si>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</si>
  <si>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</si>
  <si>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Dunkerton High School</t>
  </si>
  <si>
    <t>Dunkerton Elementary</t>
  </si>
  <si>
    <t>Boyer Valley Middle/High School</t>
  </si>
  <si>
    <t>Boyer Valley Elementary School</t>
  </si>
  <si>
    <t>Durant Elementary School</t>
  </si>
  <si>
    <t>Durant Middle School</t>
  </si>
  <si>
    <t>Robert Blue School</t>
  </si>
  <si>
    <t>Eagle Grove Elementary</t>
  </si>
  <si>
    <t>Earlham Middle School</t>
  </si>
  <si>
    <t>Earlham Elementary School</t>
  </si>
  <si>
    <t>East Buchanan Middle School</t>
  </si>
  <si>
    <t>East Buchanan Elementary School</t>
  </si>
  <si>
    <t>Easton Valley Elementary School</t>
  </si>
  <si>
    <t>East Marshall Middle School</t>
  </si>
  <si>
    <t>East Marshall Elementary School</t>
  </si>
  <si>
    <t>East Union Middle-High School</t>
  </si>
  <si>
    <t>East Union Elementary</t>
  </si>
  <si>
    <t>New Albin Elementary School</t>
  </si>
  <si>
    <t>River Valley Junior- Senior High School</t>
  </si>
  <si>
    <t>River Valley Elementary</t>
  </si>
  <si>
    <t>Edgewood-Colesburg Elementary School</t>
  </si>
  <si>
    <t>Eldora-New Providence Elementary School</t>
  </si>
  <si>
    <t>Emmetsburg Middle School</t>
  </si>
  <si>
    <t>West Elementary School</t>
  </si>
  <si>
    <t>English Valleys Jr-Sr High School</t>
  </si>
  <si>
    <t>English Valleys Elementary School</t>
  </si>
  <si>
    <t>Essex Junior-Senior High School</t>
  </si>
  <si>
    <t>Essex Elementary School</t>
  </si>
  <si>
    <t>Estherville Lincoln Central Middle School</t>
  </si>
  <si>
    <t>Demoney Elementary</t>
  </si>
  <si>
    <t>Exira-Elk Horn-</t>
  </si>
  <si>
    <t>ExiraElk Horn-Kimballton High School</t>
  </si>
  <si>
    <t>Exira-Elk Horn-Kimballton Elementary</t>
  </si>
  <si>
    <t>Fairfield Middle School</t>
  </si>
  <si>
    <t>0486</t>
  </si>
  <si>
    <t>Washington Elementary</t>
  </si>
  <si>
    <t>0487</t>
  </si>
  <si>
    <t>Pence Elementary</t>
  </si>
  <si>
    <t>Forest City Middle School</t>
  </si>
  <si>
    <t>Forest City Elementary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</si>
  <si>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</si>
  <si>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</si>
  <si>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</si>
  <si>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</si>
  <si>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</si>
  <si>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</si>
  <si>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Fort Madison Middle School</t>
  </si>
  <si>
    <t>Richardson Elementary School</t>
  </si>
  <si>
    <t>Fremont-Mills Elementary School</t>
  </si>
  <si>
    <t>Galva-Holstein Elementary School</t>
  </si>
  <si>
    <t>Galva-Holstein Upper Elementary</t>
  </si>
  <si>
    <t>Garner-Hayfield-Ventura Middle School</t>
  </si>
  <si>
    <t>Garner-Hayfield-Ventura Elementary School</t>
  </si>
  <si>
    <t>George-Little Rock Middle School</t>
  </si>
  <si>
    <t>George Elementary School</t>
  </si>
  <si>
    <t>Little Rock Elementary School</t>
  </si>
  <si>
    <t>Gilbert Middle School</t>
  </si>
  <si>
    <t>Gilbert Elementary School</t>
  </si>
  <si>
    <t>Gilbert Intermediate School</t>
  </si>
  <si>
    <t>Gilmore City Elementary School</t>
  </si>
  <si>
    <t>Gladbrook-Reinbeck Elementary School</t>
  </si>
  <si>
    <t>Glenwood Middle School</t>
  </si>
  <si>
    <t>0406</t>
  </si>
  <si>
    <t>Northeast Elementary School</t>
  </si>
  <si>
    <t>Glidden-Ralston Elementary School</t>
  </si>
  <si>
    <t>Graettinger-Terril Middle School</t>
  </si>
  <si>
    <t>Graettinger-Terril Elementary School</t>
  </si>
  <si>
    <t>Nodaway Valley Middle School</t>
  </si>
  <si>
    <t>Nodaway Valley Elementary School</t>
  </si>
  <si>
    <t>GMG Elementary School</t>
  </si>
  <si>
    <t>Grinnell Community Middle School</t>
  </si>
  <si>
    <t>Bailey Park Elementary School</t>
  </si>
  <si>
    <t>Davis Elementary School</t>
  </si>
  <si>
    <t>Griswold Middle/High School</t>
  </si>
  <si>
    <t>Griswold Elementary</t>
  </si>
  <si>
    <t>Grundy Center Middle School</t>
  </si>
  <si>
    <t>Grundy Center Elementary School</t>
  </si>
  <si>
    <t>Guthrie Center Elementary School</t>
  </si>
  <si>
    <t>Clayton Ridge Middle School</t>
  </si>
  <si>
    <t>Clayton Ridge Elementary School</t>
  </si>
  <si>
    <t>0509</t>
  </si>
  <si>
    <t>Iowa Virtual Academy</t>
  </si>
  <si>
    <t>H-L-V Elementary School</t>
  </si>
  <si>
    <t>Marnie Simons Elementary School</t>
  </si>
  <si>
    <t>Hampton-Dumont Middle School</t>
  </si>
  <si>
    <t>South Side Elementary School</t>
  </si>
  <si>
    <t>Harlan Community Middle School</t>
  </si>
  <si>
    <t>Harlan Primary</t>
  </si>
  <si>
    <t>Harlan  Intermediate School</t>
  </si>
  <si>
    <t>Harris-Lake Park High School</t>
  </si>
  <si>
    <t>Harris-Lake Park Elementary School</t>
  </si>
  <si>
    <t>Hartley-Melvin-Sanborn Middle School</t>
  </si>
  <si>
    <t>Hartley-Melvin-Sanborn Elementary School</t>
  </si>
  <si>
    <t>Highland Middle School</t>
  </si>
  <si>
    <t>Highland Elementary School</t>
  </si>
  <si>
    <t>Hinton Intermediate School</t>
  </si>
  <si>
    <t>Hinton Elementary School</t>
  </si>
  <si>
    <t>Crestwood Elementary School</t>
  </si>
  <si>
    <t>South Hardin Middle School</t>
  </si>
  <si>
    <t>Hubbard-Radcliffe Elementary School</t>
  </si>
  <si>
    <t>Hudson Elementary School</t>
  </si>
  <si>
    <t>Humboldt Middle School</t>
  </si>
  <si>
    <t>Taft Elementary School</t>
  </si>
  <si>
    <t>Emerson Elementary School</t>
  </si>
  <si>
    <t>Wilder Elementary School</t>
  </si>
  <si>
    <t>Indianola Middle School</t>
  </si>
  <si>
    <t>Interstate 35 Middle School</t>
  </si>
  <si>
    <t>Interstate 35 Elementary School</t>
  </si>
  <si>
    <t>0401</t>
  </si>
  <si>
    <t>Buford Garner Elementary</t>
  </si>
  <si>
    <t>0403</t>
  </si>
  <si>
    <t>Central Elementary School</t>
  </si>
  <si>
    <t>Kirkwood Elementary School</t>
  </si>
  <si>
    <t>0411</t>
  </si>
  <si>
    <t>Hills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</si>
  <si>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</si>
  <si>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</si>
  <si>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</si>
  <si>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</si>
  <si>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</si>
  <si>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</si>
  <si>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</si>
  <si>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</si>
  <si>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</si>
  <si>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</si>
  <si>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</si>
  <si>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Christine Grant Elementary</t>
  </si>
  <si>
    <t>0488</t>
  </si>
  <si>
    <t>Weber Elementary</t>
  </si>
  <si>
    <t>0493</t>
  </si>
  <si>
    <t>Wickham Elementary</t>
  </si>
  <si>
    <t>0497</t>
  </si>
  <si>
    <t>James Van Allen Elementary School</t>
  </si>
  <si>
    <t>Riverbend Middle School</t>
  </si>
  <si>
    <t>Rock Run Elementary</t>
  </si>
  <si>
    <t>Pineview Elementary</t>
  </si>
  <si>
    <t>Iowa Valley Elementary School</t>
  </si>
  <si>
    <t>IKM-Manning Middle School</t>
  </si>
  <si>
    <t>Irwin Elementary School</t>
  </si>
  <si>
    <t>Janesville Junior-Senior High School</t>
  </si>
  <si>
    <t>Janesville Elementary School</t>
  </si>
  <si>
    <t>Greene County Middle School</t>
  </si>
  <si>
    <t>Greene County Elementary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</si>
  <si>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</si>
  <si>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</si>
  <si>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</si>
  <si>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</si>
  <si>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</si>
  <si>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</si>
  <si>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</si>
  <si>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Summit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</si>
  <si>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</si>
  <si>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</si>
  <si>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</si>
  <si>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</si>
  <si>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</si>
  <si>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Keokuk Middle School</t>
  </si>
  <si>
    <t>Hawthorne Elementary School</t>
  </si>
  <si>
    <t>George Washington Elementary School</t>
  </si>
  <si>
    <t>Keota Elementary School</t>
  </si>
  <si>
    <t>Pierson Middle School</t>
  </si>
  <si>
    <t>Kingsley Elementary School</t>
  </si>
  <si>
    <t>Pierson Elementary School</t>
  </si>
  <si>
    <t>Knoxville Middle School</t>
  </si>
  <si>
    <t>Northstar Elementary School</t>
  </si>
  <si>
    <t>West Elementary</t>
  </si>
  <si>
    <t>Lake Mills Middle School</t>
  </si>
  <si>
    <t>Lake Mills Elementary School</t>
  </si>
  <si>
    <t>Lamoni Middle School</t>
  </si>
  <si>
    <t>Lamoni Elementary School</t>
  </si>
  <si>
    <t>Laurens-Marathon Middle School</t>
  </si>
  <si>
    <t>Laurens-Marathon Elementary School</t>
  </si>
  <si>
    <t>Bronson Elementary School</t>
  </si>
  <si>
    <t>Le Mars Middle School</t>
  </si>
  <si>
    <t>Clark Elementary School</t>
  </si>
  <si>
    <t>0449</t>
  </si>
  <si>
    <t>Kluckhohn Elementary School</t>
  </si>
  <si>
    <t>Lenox Elementary School</t>
  </si>
  <si>
    <t>Lewis Central Middle School</t>
  </si>
  <si>
    <t>E A Kreft Primary School</t>
  </si>
  <si>
    <t>Titan Hill Intermediate School</t>
  </si>
  <si>
    <t>North Cedar Lowden Elementary Center</t>
  </si>
  <si>
    <t>North Cedar Mechanicsville Elem Ctr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</si>
  <si>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</si>
  <si>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</si>
  <si>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</si>
  <si>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</si>
  <si>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</si>
  <si>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</si>
  <si>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</si>
  <si>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</si>
  <si>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</si>
  <si>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Lisbon Elementary School</t>
  </si>
  <si>
    <t>Logan-Magnolia Elementary School</t>
  </si>
  <si>
    <t>Lone Tree Junior-Senior High School</t>
  </si>
  <si>
    <t>Lone Tree Elementary School</t>
  </si>
  <si>
    <t>Louisa-Muscatine Elementary</t>
  </si>
  <si>
    <t>LuVerne Elementary School</t>
  </si>
  <si>
    <t>Lynnville-Sully Elementary School</t>
  </si>
  <si>
    <t>Lynnville-Sully Middle School</t>
  </si>
  <si>
    <t>Madrid Elementary School</t>
  </si>
  <si>
    <t>East Mills Elementary School</t>
  </si>
  <si>
    <t>Manson Northwest Webster Elementary</t>
  </si>
  <si>
    <t>MVAO Middle School</t>
  </si>
  <si>
    <t>Anthon Elementary</t>
  </si>
  <si>
    <t>Mapleton Elementary School</t>
  </si>
  <si>
    <t>Maquoketa Middle School</t>
  </si>
  <si>
    <t>Cardinal Elementary School</t>
  </si>
  <si>
    <t>Briggs Elementary School</t>
  </si>
  <si>
    <t>Maquoketa Valley Middle School</t>
  </si>
  <si>
    <t>Delhi Elementary School</t>
  </si>
  <si>
    <t>Johnston Elementary School</t>
  </si>
  <si>
    <t>MMCRU Marcus Elementary</t>
  </si>
  <si>
    <t>Vernon Middle School</t>
  </si>
  <si>
    <t>0410</t>
  </si>
  <si>
    <t>Longfellow Elementary</t>
  </si>
  <si>
    <t>Starry Elementary School</t>
  </si>
  <si>
    <t>0450</t>
  </si>
  <si>
    <t>Francis Marion Intermediate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</si>
  <si>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</si>
  <si>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</si>
  <si>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</si>
  <si>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</si>
  <si>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</si>
  <si>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</si>
  <si>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</si>
  <si>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</si>
  <si>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</si>
  <si>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Martensdale Elementary School</t>
  </si>
  <si>
    <t>Harding Elementary School</t>
  </si>
  <si>
    <t>Lincoln Intermediate</t>
  </si>
  <si>
    <t>MOC-Floyd Valley Middle School</t>
  </si>
  <si>
    <t>Orange City Elementary School</t>
  </si>
  <si>
    <t>Hospers Elementary School</t>
  </si>
  <si>
    <t>Middle School</t>
  </si>
  <si>
    <t>Mediapolis Elementary School</t>
  </si>
  <si>
    <t>Melcher-Dallas Elem</t>
  </si>
  <si>
    <t>0118</t>
  </si>
  <si>
    <t>Midland Middle/High School</t>
  </si>
  <si>
    <t>Midland Elementary</t>
  </si>
  <si>
    <t>Mid-Prairie Middle School</t>
  </si>
  <si>
    <t>Mid-Prairie East Elem. School</t>
  </si>
  <si>
    <t>Mid-Prairie West Elem. School</t>
  </si>
  <si>
    <t>Missouri Valley Middle School</t>
  </si>
  <si>
    <t>Missouri Valley Elementary</t>
  </si>
  <si>
    <t>MFL MarMac Middle School</t>
  </si>
  <si>
    <t>MFL MarMac Elementary School</t>
  </si>
  <si>
    <t>McGregor Intermediate School</t>
  </si>
  <si>
    <t>Montezuma Junior High School</t>
  </si>
  <si>
    <t>Montezuma Elementary School</t>
  </si>
  <si>
    <t>Monticello Middle School</t>
  </si>
  <si>
    <t>Carpenter Elementary School</t>
  </si>
  <si>
    <t>Shannon Elementary School</t>
  </si>
  <si>
    <t>Moravia Elementary School</t>
  </si>
  <si>
    <t>Mormon Trail Elementary School</t>
  </si>
  <si>
    <t>Morning Sun Elementary School</t>
  </si>
  <si>
    <t>Mount Ayr Elementary</t>
  </si>
  <si>
    <t>Mount Pleasant Middle School</t>
  </si>
  <si>
    <t>Harlan Elementary School</t>
  </si>
  <si>
    <t>Salem Elementary School</t>
  </si>
  <si>
    <t>Mount Vernon Middle School</t>
  </si>
  <si>
    <t>Murray Jr/Sr High</t>
  </si>
  <si>
    <t>Murray Elementary School</t>
  </si>
  <si>
    <t>0461</t>
  </si>
  <si>
    <t>Mulberry Elementary School</t>
  </si>
  <si>
    <t>Nashua-Plainfield Junior-SeniorHigh School</t>
  </si>
  <si>
    <t>Nashua-Plainfield Elementary School</t>
  </si>
  <si>
    <t>Nevada Middle School</t>
  </si>
  <si>
    <t>Newell-Fonda Middle Sch.</t>
  </si>
  <si>
    <t>Newell-Fonda Elementary</t>
  </si>
  <si>
    <t>New Hampton Middle School</t>
  </si>
  <si>
    <t>New Hampton Elementary School</t>
  </si>
  <si>
    <t>New London Jr-Sr High School</t>
  </si>
  <si>
    <t>Berg Middle School</t>
  </si>
  <si>
    <t>0408</t>
  </si>
  <si>
    <t>Aurora Heights Elementary School</t>
  </si>
  <si>
    <t>Emerson Hough Elementary School</t>
  </si>
  <si>
    <t>Thomas Jefferson Elementary School</t>
  </si>
  <si>
    <t>0467</t>
  </si>
  <si>
    <t>Woodrow Wilson Elementary School</t>
  </si>
  <si>
    <t>Central Springs Middle School</t>
  </si>
  <si>
    <t>Central Springs Elem. Manly Campus</t>
  </si>
  <si>
    <t>Central Springs Elem. School - Nora Springs</t>
  </si>
  <si>
    <t>Northeast Middle-High School</t>
  </si>
  <si>
    <t>North Fayette Valley Middle School</t>
  </si>
  <si>
    <t>Fayette Elementary</t>
  </si>
  <si>
    <t>West Union  Elementary School</t>
  </si>
  <si>
    <t>Valley Elementary School</t>
  </si>
  <si>
    <t>North Mahaska Elementary School</t>
  </si>
  <si>
    <t>North-Linn Middle School</t>
  </si>
  <si>
    <t>North Linn Elementary</t>
  </si>
  <si>
    <t>North Union Middle School</t>
  </si>
  <si>
    <t>North Kossuth Elementary School</t>
  </si>
  <si>
    <t>North Polk Middle School</t>
  </si>
  <si>
    <t>North Polk Central Elementary School</t>
  </si>
  <si>
    <t>North Polk West Elementary School</t>
  </si>
  <si>
    <t>Edward White Elementary School</t>
  </si>
  <si>
    <t>Virgil Grissom Elementary School</t>
  </si>
  <si>
    <t>Alan Shepard Elementary School</t>
  </si>
  <si>
    <t>John Glenn Elementary School</t>
  </si>
  <si>
    <t>North Tama Elementary</t>
  </si>
  <si>
    <t>Northwood-Kensett Elementary</t>
  </si>
  <si>
    <t>Norwalk Middle School</t>
  </si>
  <si>
    <t>Lakewood Elementary School</t>
  </si>
  <si>
    <t>Oviatt Elementary School</t>
  </si>
  <si>
    <t>Odebolt Arthur Battle Creek Ida Grove Middle School</t>
  </si>
  <si>
    <t>Odebolt Arthur Battle Creek Ida Grove Elementary School - Odebolt</t>
  </si>
  <si>
    <t>Odebolt Arthur Battle Creek Ida Grove Elementary School - Ida Grove</t>
  </si>
  <si>
    <t>Oelwein Middle School</t>
  </si>
  <si>
    <t>Wings Park Elementary School</t>
  </si>
  <si>
    <t>Ogden Elementary School</t>
  </si>
  <si>
    <t>Ogden Middle School</t>
  </si>
  <si>
    <t>Okoboji Middle School</t>
  </si>
  <si>
    <t>Okoboji Elementary School</t>
  </si>
  <si>
    <t>Olin Elementary School</t>
  </si>
  <si>
    <t>Orient Elementary School</t>
  </si>
  <si>
    <t>Osage Middle School</t>
  </si>
  <si>
    <t>Oskaloosa Middle School</t>
  </si>
  <si>
    <t>Oskaloosa Elementary School</t>
  </si>
  <si>
    <t>Evans Middle School</t>
  </si>
  <si>
    <t>Liberty Elementary School</t>
  </si>
  <si>
    <t>James Elementary School</t>
  </si>
  <si>
    <t>Douma Elementary School</t>
  </si>
  <si>
    <t>Panorama Middle School</t>
  </si>
  <si>
    <t>0424</t>
  </si>
  <si>
    <t>Panorama Elementary</t>
  </si>
  <si>
    <t>Paton-Churdan Elementary</t>
  </si>
  <si>
    <t>PCM Middle School</t>
  </si>
  <si>
    <t>Prairie City Elementary School</t>
  </si>
  <si>
    <t>Pekin Elementary School</t>
  </si>
  <si>
    <t>Jefferson Intermediate</t>
  </si>
  <si>
    <t>Perry Middle School</t>
  </si>
  <si>
    <t>Perry Elementary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</si>
  <si>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</si>
  <si>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</si>
  <si>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</si>
  <si>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</si>
  <si>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</si>
  <si>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Pleasantville Elementary</t>
  </si>
  <si>
    <t>Pocahontas Area Elementary School</t>
  </si>
  <si>
    <t>Cora B Darling Elementary</t>
  </si>
  <si>
    <t>Prairie Valley Elementary School</t>
  </si>
  <si>
    <t>Inman Elementary School</t>
  </si>
  <si>
    <t>Remsen-Union Middle School</t>
  </si>
  <si>
    <t>Remsen-Union Elementary School</t>
  </si>
  <si>
    <t>Riceville High School</t>
  </si>
  <si>
    <t>Riceville Elementary School</t>
  </si>
  <si>
    <t>Riverside Community High School</t>
  </si>
  <si>
    <t>Riverside Elementary</t>
  </si>
  <si>
    <t>Riverside Community Intermediate School</t>
  </si>
  <si>
    <t>Rock Valley Middle School</t>
  </si>
  <si>
    <t>Rock Valley Elementary School</t>
  </si>
  <si>
    <t>Roland-Story Middle School</t>
  </si>
  <si>
    <t>Roland-Story Elementary School</t>
  </si>
  <si>
    <t>RRMR Elementary School</t>
  </si>
  <si>
    <t>Ruthven-Ayrshire Elementary School</t>
  </si>
  <si>
    <t>St Ansgar Middle School</t>
  </si>
  <si>
    <t>St Ansgar Elementary School</t>
  </si>
  <si>
    <t>Woodside Middle School</t>
  </si>
  <si>
    <t>Cornell Elementary School</t>
  </si>
  <si>
    <t>Schaller-Crestland Elementary</t>
  </si>
  <si>
    <t>Schaller-Crestland Ridge View Middle School</t>
  </si>
  <si>
    <t>Schleswig Middle School</t>
  </si>
  <si>
    <t>Schleswig Elementary School</t>
  </si>
  <si>
    <t>Sergeant Bluff-Luton Primary School</t>
  </si>
  <si>
    <t>Sergeant Bluff-Luton Middle School</t>
  </si>
  <si>
    <t>Sergeant Bluff-Luton Elementary School</t>
  </si>
  <si>
    <t>Seymour Elementary School</t>
  </si>
  <si>
    <t>West Fork Middle School</t>
  </si>
  <si>
    <t>West Fork Elementary at Rockwell</t>
  </si>
  <si>
    <t>West Fork  Elementary Sheffield</t>
  </si>
  <si>
    <t>Sheldon Middle School</t>
  </si>
  <si>
    <t>Shenandoah Middle School</t>
  </si>
  <si>
    <t>Shenandoah Elementary School</t>
  </si>
  <si>
    <t>Sibley-Ocheyedan Middle School</t>
  </si>
  <si>
    <t>Sibley Ocheyedan Elementary School</t>
  </si>
  <si>
    <t>Sidney Elementary School</t>
  </si>
  <si>
    <t>Sigourney Elementary</t>
  </si>
  <si>
    <t>Sioux Center Middle School</t>
  </si>
  <si>
    <t>Kinsey Elementary School</t>
  </si>
  <si>
    <t>Sioux Central Elementary School</t>
  </si>
  <si>
    <t>East Middle School</t>
  </si>
  <si>
    <t>0220</t>
  </si>
  <si>
    <t>North Middle School</t>
  </si>
  <si>
    <t>West Middle School</t>
  </si>
  <si>
    <t>Perry Creek Elementary School</t>
  </si>
  <si>
    <t>Hunt Elementary School</t>
  </si>
  <si>
    <t>0539</t>
  </si>
  <si>
    <t>Leeds Elementary School</t>
  </si>
  <si>
    <t>0542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</si>
  <si>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</si>
  <si>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</si>
  <si>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</si>
  <si>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</si>
  <si>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</si>
  <si>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</si>
  <si>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</si>
  <si>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</si>
  <si>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</si>
  <si>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</si>
  <si>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South Central Calhoun Middle School</t>
  </si>
  <si>
    <t>South Central Calhoun Elementary Building</t>
  </si>
  <si>
    <t>Solon Middle School</t>
  </si>
  <si>
    <t>Solon Intermediate</t>
  </si>
  <si>
    <t>Southeast Warren Intermediate</t>
  </si>
  <si>
    <t>Southeast Warren Primary</t>
  </si>
  <si>
    <t>South Hamilton Elem</t>
  </si>
  <si>
    <t>Southeast Webster-Grand Southeast Valley Middle</t>
  </si>
  <si>
    <t>Dayton Center</t>
  </si>
  <si>
    <t>South Page Elementary School</t>
  </si>
  <si>
    <t>South Tama County Middle School</t>
  </si>
  <si>
    <t>South Tama County Elementary School</t>
  </si>
  <si>
    <t>South O'Brien Elem Sch Primghar Center</t>
  </si>
  <si>
    <t>South Winneshiek Middle School</t>
  </si>
  <si>
    <t>South Winneshiek Elementary School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</si>
  <si>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</si>
  <si>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</si>
  <si>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</si>
  <si>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</si>
  <si>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</si>
  <si>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</si>
  <si>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</si>
  <si>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Spring Creek - 6th Grade</t>
  </si>
  <si>
    <t>Willowbrook Elementary</t>
  </si>
  <si>
    <t>Clay Elementary</t>
  </si>
  <si>
    <t>Spencer Middle School</t>
  </si>
  <si>
    <t>Fairview Park Elementary</t>
  </si>
  <si>
    <t>Johnson Elementary</t>
  </si>
  <si>
    <t>Spirit Lake Middle School</t>
  </si>
  <si>
    <t>Spirit Lake Elementary School</t>
  </si>
  <si>
    <t>Springville Elementary School</t>
  </si>
  <si>
    <t>Stanton High School</t>
  </si>
  <si>
    <t>Stanton Elementary School</t>
  </si>
  <si>
    <t>Starmont Middle School</t>
  </si>
  <si>
    <t>Starmont Elementary School</t>
  </si>
  <si>
    <t>Storm Lake Middle School</t>
  </si>
  <si>
    <t>Storm Lake Elementary</t>
  </si>
  <si>
    <t>Stratford Elementary</t>
  </si>
  <si>
    <t>West Central Valley Middle School</t>
  </si>
  <si>
    <t>Stuart Elementary School</t>
  </si>
  <si>
    <t>Dexter Elementary School</t>
  </si>
  <si>
    <t>Sumner-Fredericksburg Middle School</t>
  </si>
  <si>
    <t>Fredericksburg Elem School</t>
  </si>
  <si>
    <t>Tipton Middle School</t>
  </si>
  <si>
    <t>Tipton Elementary School</t>
  </si>
  <si>
    <t>Treynor Middle School</t>
  </si>
  <si>
    <t>Treynor Elementary School</t>
  </si>
  <si>
    <t>Tri-Center Middle School</t>
  </si>
  <si>
    <t>Tri-Center Elementary School</t>
  </si>
  <si>
    <t>Tri-County Elementary School</t>
  </si>
  <si>
    <t>Tripoli Middle/Sr High School</t>
  </si>
  <si>
    <t>Tripoli Elementary School</t>
  </si>
  <si>
    <t>Turkey Valley Elementary School</t>
  </si>
  <si>
    <t>Twin Cedars Elementary School</t>
  </si>
  <si>
    <t>Twin Rivers Elementary School</t>
  </si>
  <si>
    <t>Underwood Middle School</t>
  </si>
  <si>
    <t>Underwood Elementary School</t>
  </si>
  <si>
    <t>Union Middle School</t>
  </si>
  <si>
    <t>La Porte City Elementary School</t>
  </si>
  <si>
    <t>Dysart-Geneseo Elementary School</t>
  </si>
  <si>
    <t>United South</t>
  </si>
  <si>
    <t>United North</t>
  </si>
  <si>
    <t>Urbandale Middle School</t>
  </si>
  <si>
    <t>Jensen Elementary School</t>
  </si>
  <si>
    <t>Karen Acres Elementary School</t>
  </si>
  <si>
    <t>Rolling Green Elementary School</t>
  </si>
  <si>
    <t>Valerius Elementary School</t>
  </si>
  <si>
    <t>Webster Elementary School</t>
  </si>
  <si>
    <t>Van Buren County Community School District Douds Center</t>
  </si>
  <si>
    <t>Van Buren County Community School District Harmony Center</t>
  </si>
  <si>
    <t>Van Meter Middle School</t>
  </si>
  <si>
    <t>Van Meter Elementary School</t>
  </si>
  <si>
    <t>Southwest Valley Middle School</t>
  </si>
  <si>
    <t>Sylvia Enarson Elementary School</t>
  </si>
  <si>
    <t>Vinton-Shellsburg Middle School</t>
  </si>
  <si>
    <t>Tilford Elementary School</t>
  </si>
  <si>
    <t>Shellsburg Elementary School</t>
  </si>
  <si>
    <t>Waco Elementary School</t>
  </si>
  <si>
    <t>East Sac County Middle School</t>
  </si>
  <si>
    <t>East Sac County Elementary Wall Lake</t>
  </si>
  <si>
    <t>East Sac County Elementary Sac Building</t>
  </si>
  <si>
    <t>Wapello Junior High School</t>
  </si>
  <si>
    <t>Wapello Elementary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</si>
  <si>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</si>
  <si>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</si>
  <si>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</si>
  <si>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</si>
  <si>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</si>
  <si>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</si>
  <si>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Washington Middle School</t>
  </si>
  <si>
    <t>Lincoln Upper Elementary School</t>
  </si>
  <si>
    <t>Stewart Elementary School</t>
  </si>
  <si>
    <t>0127</t>
  </si>
  <si>
    <t>Expo Alternative Learning Center</t>
  </si>
  <si>
    <t>0200</t>
  </si>
  <si>
    <t>Bunger Middle School</t>
  </si>
  <si>
    <t>0213</t>
  </si>
  <si>
    <t>Central Middle School</t>
  </si>
  <si>
    <t>0215</t>
  </si>
  <si>
    <t>Hoover Middle School</t>
  </si>
  <si>
    <t>George Washington Carver Academy</t>
  </si>
  <si>
    <t>Poyner Elementary</t>
  </si>
  <si>
    <t>Fred Becker Elementary School</t>
  </si>
  <si>
    <t>Cunningham School</t>
  </si>
  <si>
    <t>Kittrell Elementary School</t>
  </si>
  <si>
    <t>0550</t>
  </si>
  <si>
    <t>Lou Henry Elementary School</t>
  </si>
  <si>
    <t>Lowell Elementary School</t>
  </si>
  <si>
    <t>0554</t>
  </si>
  <si>
    <t>0565</t>
  </si>
  <si>
    <t>Orange Elementary School</t>
  </si>
  <si>
    <t>South Middle School</t>
  </si>
  <si>
    <t>Waukee Elementary School</t>
  </si>
  <si>
    <t>Waukee Middle School</t>
  </si>
  <si>
    <t>Eason Elementary School</t>
  </si>
  <si>
    <t>Brookview Elementary School</t>
  </si>
  <si>
    <t>Walnut Hills Elementary School</t>
  </si>
  <si>
    <t>Woodland Hills Elementary School</t>
  </si>
  <si>
    <t>Maple Grove Elementary School</t>
  </si>
  <si>
    <t>Shuler Elementary School</t>
  </si>
  <si>
    <t>Grant Ragan Elementary School</t>
  </si>
  <si>
    <t>Radiant Elementary School</t>
  </si>
  <si>
    <t>Waverly-Shell Rock Middle School</t>
  </si>
  <si>
    <t>Margaretta Carey Elementary School</t>
  </si>
  <si>
    <t>Shell Rock Elementary School</t>
  </si>
  <si>
    <t>West Cedar Elementary School</t>
  </si>
  <si>
    <t>Wayne Elementary School</t>
  </si>
  <si>
    <t>Webster City Middle School</t>
  </si>
  <si>
    <t>Northeast Hamilton Elementary School</t>
  </si>
  <si>
    <t>Sunset Heights Elementary School</t>
  </si>
  <si>
    <t>West Bend-Mallard Middle School</t>
  </si>
  <si>
    <t>West Bend-Mallard Elementary School</t>
  </si>
  <si>
    <t>West Branch Middle School</t>
  </si>
  <si>
    <t>West Burlington Junior High School</t>
  </si>
  <si>
    <t>West Burlington Elem School</t>
  </si>
  <si>
    <t>West Central PK - 8 School</t>
  </si>
  <si>
    <t>West Delaware Middle School</t>
  </si>
  <si>
    <t>Lambert Elementary School</t>
  </si>
  <si>
    <t>Clive Learning Academy</t>
  </si>
  <si>
    <t>Crestview School of Inquiry</t>
  </si>
  <si>
    <t>Crossroads Park Elementary School</t>
  </si>
  <si>
    <t>Fairmeadows Elementary School</t>
  </si>
  <si>
    <t>Hillside Elementary School</t>
  </si>
  <si>
    <t>Jordan Creek Elementary School</t>
  </si>
  <si>
    <t>Western Hills Elementary School</t>
  </si>
  <si>
    <t>0476</t>
  </si>
  <si>
    <t>Westridge Elementary</t>
  </si>
  <si>
    <t>Drexler Middle- Intermediate School</t>
  </si>
  <si>
    <t>Cascade Elementary School</t>
  </si>
  <si>
    <t>Dyersville Elementary School</t>
  </si>
  <si>
    <t>Epworth Elementary School</t>
  </si>
  <si>
    <t>Farley Elementary School</t>
  </si>
  <si>
    <t>Peosta Elementary School</t>
  </si>
  <si>
    <t>West Harrison High School West Harrison Middle Sch</t>
  </si>
  <si>
    <t>West Harrison Elementary</t>
  </si>
  <si>
    <t>West Liberty Middle School</t>
  </si>
  <si>
    <t>West Liberty Elementary School</t>
  </si>
  <si>
    <t>West Lyon Elementary School</t>
  </si>
  <si>
    <t>West Marshall Middle School</t>
  </si>
  <si>
    <t>West Marshall Elementary School</t>
  </si>
  <si>
    <t>West Monona Middle Sch</t>
  </si>
  <si>
    <t>West Monona Elementary</t>
  </si>
  <si>
    <t>West Sioux Middle School</t>
  </si>
  <si>
    <t>Hawarden Elementary School</t>
  </si>
  <si>
    <t>Ireton Elementary School</t>
  </si>
  <si>
    <t>Whiting Elementary School</t>
  </si>
  <si>
    <t>Mary Welsh Elementary</t>
  </si>
  <si>
    <t>Wilton Elementary School</t>
  </si>
  <si>
    <t>Winfield-Mt Union Jr-Sr High School</t>
  </si>
  <si>
    <t>Winfield Elementary School</t>
  </si>
  <si>
    <t>Winterset Middle School</t>
  </si>
  <si>
    <t>Winterset Elementary School</t>
  </si>
  <si>
    <t>Woodbine High School</t>
  </si>
  <si>
    <t>Woodbine Elementary School</t>
  </si>
  <si>
    <t>Woodbury Central Middle School</t>
  </si>
  <si>
    <t>Moville Elementary School</t>
  </si>
  <si>
    <t>Woodward Academy</t>
  </si>
  <si>
    <t>Woodward-Granger Middle School</t>
  </si>
  <si>
    <t>Woodward-Granger Elementary School</t>
  </si>
  <si>
    <t>Woodward-Granger Early Learning Center</t>
  </si>
  <si>
    <t>FY 2021 - 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</si>
</sst>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0.00000"/>
    <numFmt numFmtId="166" formatCode="0.000"/>
    <numFmt numFmtId="167" formatCode="#,##0.0"/>
    <numFmt numFmtId="168" formatCode="#,##0.000"/>
    <numFmt numFmtId="169" formatCode="0.0"/>
    <numFmt numFmtId="170" formatCode="0.0000"/>
    <numFmt numFmtId="171" formatCode="_(* #,##0_);_(* \(#,##0\);_(* &quot;-&quot;??_);_(@_)"/>
    <numFmt numFmtId="172" formatCode="0.0%"/>
    <numFmt numFmtId="173" formatCode="#,##0;[Red]\(#,##0\)"/>
  </numFmts>
  <fonts count="7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</font>
    <font>
      <sz val="10"/>
      <name val="MS Sans Serif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Tahoma"/>
      <family val="2"/>
    </font>
    <font>
      <sz val="8"/>
      <color theme="1"/>
      <name val="Courier New"/>
      <family val="2"/>
    </font>
    <font>
      <sz val="12"/>
      <color theme="1"/>
      <name val="Calibri"/>
      <family val="2"/>
    </font>
    <font>
      <sz val="8"/>
      <color theme="0"/>
      <name val="Courier New"/>
      <family val="2"/>
    </font>
    <font>
      <sz val="12"/>
      <color theme="0"/>
      <name val="Calibri"/>
      <family val="2"/>
    </font>
    <font>
      <sz val="8"/>
      <color rgb="FF9C0006"/>
      <name val="Courier New"/>
      <family val="2"/>
    </font>
    <font>
      <sz val="12"/>
      <color rgb="FF9C0006"/>
      <name val="Calibri"/>
      <family val="2"/>
    </font>
    <font>
      <b/>
      <sz val="8"/>
      <color rgb="FFFA7D00"/>
      <name val="Courier New"/>
      <family val="2"/>
    </font>
    <font>
      <b/>
      <sz val="12"/>
      <color rgb="FFFA7D00"/>
      <name val="Calibri"/>
      <family val="2"/>
    </font>
    <font>
      <b/>
      <sz val="8"/>
      <color theme="0"/>
      <name val="Courier New"/>
      <family val="2"/>
    </font>
    <font>
      <b/>
      <sz val="12"/>
      <color theme="0"/>
      <name val="Calibri"/>
      <family val="2"/>
    </font>
    <font>
      <i/>
      <sz val="8"/>
      <color rgb="FF7F7F7F"/>
      <name val="Courier New"/>
      <family val="2"/>
    </font>
    <font>
      <i/>
      <sz val="12"/>
      <color rgb="FF7F7F7F"/>
      <name val="Calibri"/>
      <family val="2"/>
    </font>
    <font>
      <sz val="8"/>
      <color rgb="FF006100"/>
      <name val="Courier New"/>
      <family val="2"/>
    </font>
    <font>
      <sz val="12"/>
      <color rgb="FF006100"/>
      <name val="Calibri"/>
      <family val="2"/>
    </font>
    <font>
      <b/>
      <sz val="15"/>
      <color theme="3"/>
      <name val="Courier New"/>
      <family val="2"/>
    </font>
    <font>
      <b/>
      <sz val="15"/>
      <color theme="3"/>
      <name val="Calibri"/>
      <family val="2"/>
    </font>
    <font>
      <b/>
      <sz val="13"/>
      <color theme="3"/>
      <name val="Courier New"/>
      <family val="2"/>
    </font>
    <font>
      <b/>
      <sz val="13"/>
      <color theme="3"/>
      <name val="Calibri"/>
      <family val="2"/>
    </font>
    <font>
      <b/>
      <sz val="11"/>
      <color theme="3"/>
      <name val="Courier New"/>
      <family val="2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color rgb="FF3F3F76"/>
      <name val="Courier New"/>
      <family val="2"/>
    </font>
    <font>
      <sz val="12"/>
      <color rgb="FF3F3F76"/>
      <name val="Calibri"/>
      <family val="2"/>
    </font>
    <font>
      <sz val="8"/>
      <color rgb="FFFA7D00"/>
      <name val="Courier New"/>
      <family val="2"/>
    </font>
    <font>
      <sz val="12"/>
      <color rgb="FFFA7D00"/>
      <name val="Calibri"/>
      <family val="2"/>
    </font>
    <font>
      <sz val="8"/>
      <color rgb="FF9C6500"/>
      <name val="Courier New"/>
      <family val="2"/>
    </font>
    <font>
      <sz val="12"/>
      <color rgb="FF9C6500"/>
      <name val="Calibri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b/>
      <sz val="8"/>
      <color rgb="FF3F3F3F"/>
      <name val="Courier New"/>
      <family val="2"/>
    </font>
    <font>
      <b/>
      <sz val="12"/>
      <color rgb="FF3F3F3F"/>
      <name val="Calibri"/>
      <family val="2"/>
    </font>
    <font>
      <b/>
      <sz val="8"/>
      <color theme="1"/>
      <name val="Courier New"/>
      <family val="2"/>
    </font>
    <font>
      <b/>
      <sz val="12"/>
      <color theme="1"/>
      <name val="Calibri"/>
      <family val="2"/>
    </font>
    <font>
      <sz val="8"/>
      <color rgb="FFFF0000"/>
      <name val="Courier New"/>
      <family val="2"/>
    </font>
    <font>
      <sz val="12"/>
      <color rgb="FFFF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5">
    <xf numFmtId="0" fontId="0" fillId="0" borderId="0"/>
    <xf numFmtId="9" fontId="10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8" fillId="0" borderId="0"/>
    <xf numFmtId="0" fontId="27" fillId="0" borderId="0"/>
    <xf numFmtId="0" fontId="8" fillId="0" borderId="0"/>
    <xf numFmtId="43" fontId="7" fillId="0" borderId="0" applyFont="0" applyFill="0" applyBorder="0" applyAlignment="0" applyProtection="0"/>
    <xf numFmtId="0" fontId="28" fillId="0" borderId="0"/>
    <xf numFmtId="0" fontId="7" fillId="0" borderId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33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32" fillId="16" borderId="0" applyNumberFormat="0" applyBorder="0" applyAlignment="0" applyProtection="0"/>
    <xf numFmtId="0" fontId="33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32" fillId="20" borderId="0" applyNumberFormat="0" applyBorder="0" applyAlignment="0" applyProtection="0"/>
    <xf numFmtId="0" fontId="33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32" fillId="24" borderId="0" applyNumberFormat="0" applyBorder="0" applyAlignment="0" applyProtection="0"/>
    <xf numFmtId="0" fontId="33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2" fillId="28" borderId="0" applyNumberFormat="0" applyBorder="0" applyAlignment="0" applyProtection="0"/>
    <xf numFmtId="0" fontId="33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32" fillId="32" borderId="0" applyNumberFormat="0" applyBorder="0" applyAlignment="0" applyProtection="0"/>
    <xf numFmtId="0" fontId="33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33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32" fillId="17" borderId="0" applyNumberFormat="0" applyBorder="0" applyAlignment="0" applyProtection="0"/>
    <xf numFmtId="0" fontId="33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32" fillId="21" borderId="0" applyNumberFormat="0" applyBorder="0" applyAlignment="0" applyProtection="0"/>
    <xf numFmtId="0" fontId="33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32" fillId="25" borderId="0" applyNumberFormat="0" applyBorder="0" applyAlignment="0" applyProtection="0"/>
    <xf numFmtId="0" fontId="33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32" fillId="29" borderId="0" applyNumberFormat="0" applyBorder="0" applyAlignment="0" applyProtection="0"/>
    <xf numFmtId="0" fontId="33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32" fillId="33" borderId="0" applyNumberFormat="0" applyBorder="0" applyAlignment="0" applyProtection="0"/>
    <xf numFmtId="0" fontId="33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6" fillId="14" borderId="0" applyNumberFormat="0" applyBorder="0" applyAlignment="0" applyProtection="0"/>
    <xf numFmtId="0" fontId="34" fillId="14" borderId="0" applyNumberFormat="0" applyBorder="0" applyAlignment="0" applyProtection="0"/>
    <xf numFmtId="0" fontId="35" fillId="14" borderId="0" applyNumberFormat="0" applyBorder="0" applyAlignment="0" applyProtection="0"/>
    <xf numFmtId="0" fontId="26" fillId="18" borderId="0" applyNumberFormat="0" applyBorder="0" applyAlignment="0" applyProtection="0"/>
    <xf numFmtId="0" fontId="34" fillId="18" borderId="0" applyNumberFormat="0" applyBorder="0" applyAlignment="0" applyProtection="0"/>
    <xf numFmtId="0" fontId="35" fillId="18" borderId="0" applyNumberFormat="0" applyBorder="0" applyAlignment="0" applyProtection="0"/>
    <xf numFmtId="0" fontId="26" fillId="22" borderId="0" applyNumberFormat="0" applyBorder="0" applyAlignment="0" applyProtection="0"/>
    <xf numFmtId="0" fontId="34" fillId="22" borderId="0" applyNumberFormat="0" applyBorder="0" applyAlignment="0" applyProtection="0"/>
    <xf numFmtId="0" fontId="35" fillId="22" borderId="0" applyNumberFormat="0" applyBorder="0" applyAlignment="0" applyProtection="0"/>
    <xf numFmtId="0" fontId="26" fillId="26" borderId="0" applyNumberFormat="0" applyBorder="0" applyAlignment="0" applyProtection="0"/>
    <xf numFmtId="0" fontId="34" fillId="26" borderId="0" applyNumberFormat="0" applyBorder="0" applyAlignment="0" applyProtection="0"/>
    <xf numFmtId="0" fontId="35" fillId="26" borderId="0" applyNumberFormat="0" applyBorder="0" applyAlignment="0" applyProtection="0"/>
    <xf numFmtId="0" fontId="26" fillId="30" borderId="0" applyNumberFormat="0" applyBorder="0" applyAlignment="0" applyProtection="0"/>
    <xf numFmtId="0" fontId="34" fillId="30" borderId="0" applyNumberFormat="0" applyBorder="0" applyAlignment="0" applyProtection="0"/>
    <xf numFmtId="0" fontId="35" fillId="30" borderId="0" applyNumberFormat="0" applyBorder="0" applyAlignment="0" applyProtection="0"/>
    <xf numFmtId="0" fontId="26" fillId="34" borderId="0" applyNumberFormat="0" applyBorder="0" applyAlignment="0" applyProtection="0"/>
    <xf numFmtId="0" fontId="34" fillId="34" borderId="0" applyNumberFormat="0" applyBorder="0" applyAlignment="0" applyProtection="0"/>
    <xf numFmtId="0" fontId="35" fillId="34" borderId="0" applyNumberFormat="0" applyBorder="0" applyAlignment="0" applyProtection="0"/>
    <xf numFmtId="0" fontId="26" fillId="11" borderId="0" applyNumberFormat="0" applyBorder="0" applyAlignment="0" applyProtection="0"/>
    <xf numFmtId="0" fontId="34" fillId="11" borderId="0" applyNumberFormat="0" applyBorder="0" applyAlignment="0" applyProtection="0"/>
    <xf numFmtId="0" fontId="35" fillId="11" borderId="0" applyNumberFormat="0" applyBorder="0" applyAlignment="0" applyProtection="0"/>
    <xf numFmtId="0" fontId="26" fillId="15" borderId="0" applyNumberFormat="0" applyBorder="0" applyAlignment="0" applyProtection="0"/>
    <xf numFmtId="0" fontId="34" fillId="15" borderId="0" applyNumberFormat="0" applyBorder="0" applyAlignment="0" applyProtection="0"/>
    <xf numFmtId="0" fontId="35" fillId="15" borderId="0" applyNumberFormat="0" applyBorder="0" applyAlignment="0" applyProtection="0"/>
    <xf numFmtId="0" fontId="26" fillId="19" borderId="0" applyNumberFormat="0" applyBorder="0" applyAlignment="0" applyProtection="0"/>
    <xf numFmtId="0" fontId="34" fillId="19" borderId="0" applyNumberFormat="0" applyBorder="0" applyAlignment="0" applyProtection="0"/>
    <xf numFmtId="0" fontId="35" fillId="19" borderId="0" applyNumberFormat="0" applyBorder="0" applyAlignment="0" applyProtection="0"/>
    <xf numFmtId="0" fontId="26" fillId="23" borderId="0" applyNumberFormat="0" applyBorder="0" applyAlignment="0" applyProtection="0"/>
    <xf numFmtId="0" fontId="34" fillId="23" borderId="0" applyNumberFormat="0" applyBorder="0" applyAlignment="0" applyProtection="0"/>
    <xf numFmtId="0" fontId="35" fillId="23" borderId="0" applyNumberFormat="0" applyBorder="0" applyAlignment="0" applyProtection="0"/>
    <xf numFmtId="0" fontId="26" fillId="27" borderId="0" applyNumberFormat="0" applyBorder="0" applyAlignment="0" applyProtection="0"/>
    <xf numFmtId="0" fontId="34" fillId="27" borderId="0" applyNumberFormat="0" applyBorder="0" applyAlignment="0" applyProtection="0"/>
    <xf numFmtId="0" fontId="35" fillId="27" borderId="0" applyNumberFormat="0" applyBorder="0" applyAlignment="0" applyProtection="0"/>
    <xf numFmtId="0" fontId="26" fillId="31" borderId="0" applyNumberFormat="0" applyBorder="0" applyAlignment="0" applyProtection="0"/>
    <xf numFmtId="0" fontId="34" fillId="31" borderId="0" applyNumberFormat="0" applyBorder="0" applyAlignment="0" applyProtection="0"/>
    <xf numFmtId="0" fontId="35" fillId="31" borderId="0" applyNumberFormat="0" applyBorder="0" applyAlignment="0" applyProtection="0"/>
    <xf numFmtId="0" fontId="17" fillId="5" borderId="0" applyNumberFormat="0" applyBorder="0" applyAlignment="0" applyProtection="0"/>
    <xf numFmtId="0" fontId="36" fillId="5" borderId="0" applyNumberFormat="0" applyBorder="0" applyAlignment="0" applyProtection="0"/>
    <xf numFmtId="0" fontId="37" fillId="5" borderId="0" applyNumberFormat="0" applyBorder="0" applyAlignment="0" applyProtection="0"/>
    <xf numFmtId="0" fontId="21" fillId="8" borderId="5" applyNumberFormat="0" applyAlignment="0" applyProtection="0"/>
    <xf numFmtId="0" fontId="38" fillId="8" borderId="5" applyNumberFormat="0" applyAlignment="0" applyProtection="0"/>
    <xf numFmtId="0" fontId="39" fillId="8" borderId="5" applyNumberFormat="0" applyAlignment="0" applyProtection="0"/>
    <xf numFmtId="0" fontId="23" fillId="9" borderId="8" applyNumberFormat="0" applyAlignment="0" applyProtection="0"/>
    <xf numFmtId="0" fontId="40" fillId="9" borderId="8" applyNumberFormat="0" applyAlignment="0" applyProtection="0"/>
    <xf numFmtId="0" fontId="41" fillId="9" borderId="8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44" fillId="4" borderId="0" applyNumberFormat="0" applyBorder="0" applyAlignment="0" applyProtection="0"/>
    <xf numFmtId="0" fontId="45" fillId="4" borderId="0" applyNumberFormat="0" applyBorder="0" applyAlignment="0" applyProtection="0"/>
    <xf numFmtId="0" fontId="13" fillId="0" borderId="2" applyNumberFormat="0" applyFill="0" applyAlignment="0" applyProtection="0"/>
    <xf numFmtId="0" fontId="46" fillId="0" borderId="2" applyNumberFormat="0" applyFill="0" applyAlignment="0" applyProtection="0"/>
    <xf numFmtId="0" fontId="47" fillId="0" borderId="2" applyNumberFormat="0" applyFill="0" applyAlignment="0" applyProtection="0"/>
    <xf numFmtId="0" fontId="14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15" fillId="0" borderId="4" applyNumberFormat="0" applyFill="0" applyAlignment="0" applyProtection="0"/>
    <xf numFmtId="0" fontId="50" fillId="0" borderId="4" applyNumberFormat="0" applyFill="0" applyAlignment="0" applyProtection="0"/>
    <xf numFmtId="0" fontId="51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9" fillId="7" borderId="5" applyNumberFormat="0" applyAlignment="0" applyProtection="0"/>
    <xf numFmtId="0" fontId="54" fillId="7" borderId="5" applyNumberFormat="0" applyAlignment="0" applyProtection="0"/>
    <xf numFmtId="0" fontId="55" fillId="7" borderId="5" applyNumberFormat="0" applyAlignment="0" applyProtection="0"/>
    <xf numFmtId="0" fontId="22" fillId="0" borderId="7" applyNumberFormat="0" applyFill="0" applyAlignment="0" applyProtection="0"/>
    <xf numFmtId="0" fontId="56" fillId="0" borderId="7" applyNumberFormat="0" applyFill="0" applyAlignment="0" applyProtection="0"/>
    <xf numFmtId="0" fontId="57" fillId="0" borderId="7" applyNumberFormat="0" applyFill="0" applyAlignment="0" applyProtection="0"/>
    <xf numFmtId="0" fontId="18" fillId="6" borderId="0" applyNumberFormat="0" applyBorder="0" applyAlignment="0" applyProtection="0"/>
    <xf numFmtId="0" fontId="58" fillId="6" borderId="0" applyNumberFormat="0" applyBorder="0" applyAlignment="0" applyProtection="0"/>
    <xf numFmtId="0" fontId="59" fillId="6" borderId="0" applyNumberFormat="0" applyBorder="0" applyAlignment="0" applyProtection="0"/>
    <xf numFmtId="0" fontId="60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61" fillId="0" borderId="0">
      <alignment vertical="top"/>
    </xf>
    <xf numFmtId="0" fontId="2" fillId="0" borderId="0"/>
    <xf numFmtId="0" fontId="8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9" fillId="0" borderId="0"/>
    <xf numFmtId="0" fontId="2" fillId="0" borderId="0" applyNumberFormat="0" applyFill="0" applyBorder="0" applyAlignment="0" applyProtection="0"/>
    <xf numFmtId="0" fontId="2" fillId="0" borderId="0"/>
    <xf numFmtId="0" fontId="60" fillId="0" borderId="0"/>
    <xf numFmtId="0" fontId="6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61" fillId="0" borderId="0">
      <alignment vertical="top"/>
    </xf>
    <xf numFmtId="0" fontId="61" fillId="0" borderId="0">
      <alignment vertical="top"/>
    </xf>
    <xf numFmtId="0" fontId="61" fillId="0" borderId="0">
      <alignment vertical="top"/>
    </xf>
    <xf numFmtId="0" fontId="61" fillId="0" borderId="0">
      <alignment vertical="top"/>
    </xf>
    <xf numFmtId="0" fontId="8" fillId="0" borderId="0"/>
    <xf numFmtId="0" fontId="61" fillId="0" borderId="0">
      <alignment vertical="top"/>
    </xf>
    <xf numFmtId="0" fontId="60" fillId="0" borderId="0"/>
    <xf numFmtId="0" fontId="8" fillId="0" borderId="0"/>
    <xf numFmtId="0" fontId="3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60" fillId="0" borderId="0"/>
    <xf numFmtId="0" fontId="8" fillId="0" borderId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32" fillId="10" borderId="9" applyNumberFormat="0" applyFont="0" applyAlignment="0" applyProtection="0"/>
    <xf numFmtId="0" fontId="33" fillId="10" borderId="9" applyNumberFormat="0" applyFont="0" applyAlignment="0" applyProtection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20" fillId="8" borderId="6" applyNumberFormat="0" applyAlignment="0" applyProtection="0"/>
    <xf numFmtId="0" fontId="62" fillId="8" borderId="6" applyNumberFormat="0" applyAlignment="0" applyProtection="0"/>
    <xf numFmtId="0" fontId="63" fillId="8" borderId="6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10" applyNumberFormat="0" applyFill="0" applyAlignment="0" applyProtection="0"/>
    <xf numFmtId="0" fontId="64" fillId="0" borderId="10" applyNumberFormat="0" applyFill="0" applyAlignment="0" applyProtection="0"/>
    <xf numFmtId="0" fontId="65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164" fontId="7" fillId="0" borderId="0" xfId="0" applyNumberFormat="1" applyFont="1"/>
    <xf numFmtId="49" fontId="7" fillId="0" borderId="0" xfId="0" applyNumberFormat="1" applyFont="1"/>
    <xf numFmtId="167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applyFont="1"/>
    <xf numFmtId="166" fontId="7" fillId="0" borderId="0" xfId="0" applyNumberFormat="1" applyFont="1"/>
    <xf numFmtId="3" fontId="7" fillId="0" borderId="0" xfId="0" applyNumberFormat="1" applyFont="1"/>
    <xf numFmtId="167" fontId="7" fillId="0" borderId="0" xfId="0" applyNumberFormat="1" applyFont="1"/>
    <xf numFmtId="1" fontId="7" fillId="0" borderId="0" xfId="0" applyNumberFormat="1" applyFont="1"/>
    <xf numFmtId="10" fontId="7" fillId="0" borderId="0" xfId="0" applyNumberFormat="1" applyFont="1" applyAlignment="1">
      <alignment horizontal="right"/>
    </xf>
    <xf numFmtId="167" fontId="0" fillId="0" borderId="0" xfId="0" quotePrefix="1" applyNumberFormat="1"/>
    <xf numFmtId="167" fontId="0" fillId="0" borderId="0" xfId="0" applyNumberFormat="1"/>
    <xf numFmtId="10" fontId="0" fillId="0" borderId="0" xfId="0" applyNumberFormat="1"/>
    <xf numFmtId="167" fontId="7" fillId="0" borderId="0" xfId="0" quotePrefix="1" applyNumberFormat="1" applyFont="1" applyAlignment="1">
      <alignment horizontal="center"/>
    </xf>
    <xf numFmtId="0" fontId="7" fillId="0" borderId="0" xfId="0" applyFont="1" applyFill="1"/>
    <xf numFmtId="166" fontId="7" fillId="0" borderId="0" xfId="0" applyNumberFormat="1" applyFont="1" applyFill="1"/>
    <xf numFmtId="3" fontId="7" fillId="0" borderId="0" xfId="0" applyNumberFormat="1" applyFont="1" applyFill="1"/>
    <xf numFmtId="10" fontId="0" fillId="0" borderId="0" xfId="1" applyNumberFormat="1" applyFont="1"/>
    <xf numFmtId="1" fontId="7" fillId="0" borderId="0" xfId="0" applyNumberFormat="1" applyFont="1" applyFill="1" applyAlignment="1">
      <alignment horizontal="center"/>
    </xf>
    <xf numFmtId="166" fontId="6" fillId="0" borderId="0" xfId="0" applyNumberFormat="1" applyFont="1" applyBorder="1" applyProtection="1">
      <protection hidden="1"/>
    </xf>
    <xf numFmtId="2" fontId="6" fillId="0" borderId="0" xfId="0" applyNumberFormat="1" applyFont="1" applyBorder="1" applyProtection="1">
      <protection hidden="1"/>
    </xf>
    <xf numFmtId="10" fontId="7" fillId="2" borderId="0" xfId="0" applyNumberFormat="1" applyFont="1" applyFill="1" applyAlignment="1">
      <alignment horizontal="center"/>
    </xf>
    <xf numFmtId="0" fontId="8" fillId="0" borderId="0" xfId="0" applyFont="1"/>
    <xf numFmtId="0" fontId="7" fillId="0" borderId="0" xfId="0" applyNumberFormat="1" applyFont="1"/>
    <xf numFmtId="0" fontId="8" fillId="0" borderId="0" xfId="5" applyFont="1"/>
    <xf numFmtId="0" fontId="8" fillId="35" borderId="0" xfId="5" applyFont="1" applyFill="1"/>
    <xf numFmtId="2" fontId="8" fillId="35" borderId="0" xfId="5" applyNumberFormat="1" applyFont="1" applyFill="1"/>
    <xf numFmtId="2" fontId="8" fillId="0" borderId="0" xfId="5" applyNumberFormat="1" applyFont="1"/>
    <xf numFmtId="0" fontId="8" fillId="0" borderId="0" xfId="5"/>
    <xf numFmtId="0" fontId="8" fillId="35" borderId="0" xfId="5" applyFill="1"/>
    <xf numFmtId="0" fontId="27" fillId="35" borderId="0" xfId="6" applyFill="1"/>
    <xf numFmtId="0" fontId="27" fillId="0" borderId="0" xfId="6"/>
    <xf numFmtId="165" fontId="8" fillId="0" borderId="0" xfId="5" applyNumberFormat="1"/>
    <xf numFmtId="2" fontId="8" fillId="0" borderId="0" xfId="5" applyNumberFormat="1"/>
    <xf numFmtId="166" fontId="8" fillId="0" borderId="0" xfId="5" applyNumberFormat="1"/>
    <xf numFmtId="1" fontId="8" fillId="0" borderId="0" xfId="5" applyNumberFormat="1"/>
    <xf numFmtId="1" fontId="8" fillId="0" borderId="0" xfId="5" applyNumberFormat="1" applyFill="1"/>
    <xf numFmtId="2" fontId="8" fillId="0" borderId="0" xfId="5" applyNumberFormat="1" applyFill="1"/>
    <xf numFmtId="165" fontId="8" fillId="3" borderId="0" xfId="5" applyNumberFormat="1" applyFill="1"/>
    <xf numFmtId="2" fontId="8" fillId="0" borderId="0" xfId="5" applyNumberFormat="1" applyBorder="1"/>
    <xf numFmtId="0" fontId="8" fillId="0" borderId="0" xfId="5" applyBorder="1"/>
    <xf numFmtId="2" fontId="8" fillId="0" borderId="0" xfId="5" applyNumberFormat="1" applyFill="1" applyBorder="1"/>
    <xf numFmtId="1" fontId="8" fillId="35" borderId="0" xfId="5" applyNumberFormat="1" applyFill="1"/>
    <xf numFmtId="3" fontId="8" fillId="0" borderId="0" xfId="5" applyNumberFormat="1"/>
    <xf numFmtId="0" fontId="8" fillId="0" borderId="0" xfId="5" applyFont="1" applyFill="1" applyBorder="1"/>
    <xf numFmtId="165" fontId="8" fillId="0" borderId="0" xfId="5" applyNumberFormat="1" applyFill="1" applyBorder="1"/>
    <xf numFmtId="0" fontId="8" fillId="0" borderId="0" xfId="5" applyFill="1" applyBorder="1"/>
    <xf numFmtId="166" fontId="8" fillId="0" borderId="0" xfId="5" applyNumberFormat="1" applyFill="1" applyBorder="1"/>
    <xf numFmtId="1" fontId="8" fillId="0" borderId="0" xfId="5" applyNumberFormat="1" applyFill="1" applyBorder="1"/>
    <xf numFmtId="3" fontId="8" fillId="0" borderId="0" xfId="5" applyNumberFormat="1" applyFill="1" applyBorder="1"/>
    <xf numFmtId="0" fontId="27" fillId="0" borderId="0" xfId="6" applyFill="1" applyBorder="1"/>
    <xf numFmtId="170" fontId="27" fillId="0" borderId="0" xfId="6" applyNumberFormat="1" applyFill="1" applyBorder="1"/>
    <xf numFmtId="0" fontId="8" fillId="0" borderId="11" xfId="5" applyFont="1" applyFill="1" applyBorder="1"/>
    <xf numFmtId="165" fontId="8" fillId="0" borderId="11" xfId="5" applyNumberFormat="1" applyFill="1" applyBorder="1"/>
    <xf numFmtId="0" fontId="8" fillId="0" borderId="11" xfId="5" applyFill="1" applyBorder="1"/>
    <xf numFmtId="2" fontId="8" fillId="0" borderId="11" xfId="5" applyNumberFormat="1" applyFill="1" applyBorder="1"/>
    <xf numFmtId="166" fontId="8" fillId="0" borderId="11" xfId="5" applyNumberFormat="1" applyFill="1" applyBorder="1"/>
    <xf numFmtId="1" fontId="8" fillId="0" borderId="11" xfId="5" applyNumberFormat="1" applyFill="1" applyBorder="1"/>
    <xf numFmtId="3" fontId="8" fillId="0" borderId="11" xfId="5" applyNumberFormat="1" applyFill="1" applyBorder="1"/>
    <xf numFmtId="0" fontId="27" fillId="0" borderId="11" xfId="6" applyFill="1" applyBorder="1"/>
    <xf numFmtId="170" fontId="27" fillId="0" borderId="11" xfId="6" applyNumberFormat="1" applyFill="1" applyBorder="1"/>
    <xf numFmtId="0" fontId="8" fillId="0" borderId="12" xfId="5" applyFont="1" applyBorder="1"/>
    <xf numFmtId="165" fontId="8" fillId="36" borderId="12" xfId="5" applyNumberFormat="1" applyFill="1" applyBorder="1"/>
    <xf numFmtId="0" fontId="8" fillId="0" borderId="12" xfId="5" applyBorder="1"/>
    <xf numFmtId="2" fontId="8" fillId="0" borderId="12" xfId="5" applyNumberFormat="1" applyBorder="1"/>
    <xf numFmtId="166" fontId="8" fillId="0" borderId="12" xfId="5" applyNumberFormat="1" applyBorder="1"/>
    <xf numFmtId="1" fontId="8" fillId="0" borderId="12" xfId="5" applyNumberFormat="1" applyBorder="1"/>
    <xf numFmtId="1" fontId="8" fillId="0" borderId="12" xfId="5" applyNumberFormat="1" applyFill="1" applyBorder="1"/>
    <xf numFmtId="165" fontId="8" fillId="37" borderId="12" xfId="5" applyNumberFormat="1" applyFill="1" applyBorder="1"/>
    <xf numFmtId="3" fontId="8" fillId="37" borderId="12" xfId="5" applyNumberFormat="1" applyFill="1" applyBorder="1"/>
    <xf numFmtId="0" fontId="27" fillId="0" borderId="12" xfId="6" applyBorder="1"/>
    <xf numFmtId="0" fontId="27" fillId="37" borderId="12" xfId="6" applyFill="1" applyBorder="1"/>
    <xf numFmtId="0" fontId="8" fillId="0" borderId="0" xfId="5" applyFont="1" applyBorder="1"/>
    <xf numFmtId="165" fontId="8" fillId="36" borderId="0" xfId="5" applyNumberFormat="1" applyFill="1" applyBorder="1"/>
    <xf numFmtId="166" fontId="8" fillId="0" borderId="0" xfId="5" applyNumberFormat="1" applyBorder="1"/>
    <xf numFmtId="1" fontId="8" fillId="0" borderId="0" xfId="5" applyNumberFormat="1" applyBorder="1"/>
    <xf numFmtId="0" fontId="27" fillId="0" borderId="0" xfId="6" applyBorder="1"/>
    <xf numFmtId="2" fontId="27" fillId="0" borderId="0" xfId="6" applyNumberFormat="1"/>
    <xf numFmtId="0" fontId="27" fillId="0" borderId="0" xfId="6" applyFill="1"/>
    <xf numFmtId="2" fontId="8" fillId="0" borderId="0" xfId="7" applyNumberFormat="1" applyFill="1" applyBorder="1"/>
    <xf numFmtId="2" fontId="27" fillId="0" borderId="0" xfId="6" applyNumberFormat="1" applyFill="1" applyBorder="1"/>
    <xf numFmtId="2" fontId="27" fillId="0" borderId="0" xfId="6" applyNumberFormat="1" applyFill="1"/>
    <xf numFmtId="2" fontId="8" fillId="0" borderId="0" xfId="7" applyNumberFormat="1"/>
    <xf numFmtId="169" fontId="8" fillId="0" borderId="0" xfId="7" applyNumberFormat="1" applyFill="1" applyBorder="1"/>
    <xf numFmtId="166" fontId="27" fillId="0" borderId="0" xfId="6" applyNumberFormat="1" applyFill="1" applyBorder="1"/>
    <xf numFmtId="1" fontId="27" fillId="0" borderId="0" xfId="6" applyNumberFormat="1"/>
    <xf numFmtId="171" fontId="0" fillId="0" borderId="0" xfId="8" applyNumberFormat="1" applyFont="1"/>
    <xf numFmtId="2" fontId="8" fillId="0" borderId="0" xfId="7" applyNumberFormat="1" applyFill="1"/>
    <xf numFmtId="171" fontId="27" fillId="0" borderId="0" xfId="6" applyNumberFormat="1"/>
    <xf numFmtId="0" fontId="7" fillId="0" borderId="0" xfId="6" applyFont="1"/>
    <xf numFmtId="172" fontId="28" fillId="0" borderId="0" xfId="9" applyNumberFormat="1"/>
    <xf numFmtId="9" fontId="27" fillId="0" borderId="0" xfId="6" applyNumberFormat="1"/>
    <xf numFmtId="49" fontId="29" fillId="0" borderId="13" xfId="10" applyNumberFormat="1" applyFont="1" applyFill="1" applyBorder="1" applyProtection="1"/>
    <xf numFmtId="49" fontId="29" fillId="0" borderId="13" xfId="6" applyNumberFormat="1" applyFont="1" applyFill="1" applyBorder="1"/>
    <xf numFmtId="49" fontId="29" fillId="0" borderId="0" xfId="6" applyNumberFormat="1" applyFont="1" applyFill="1" applyBorder="1"/>
    <xf numFmtId="173" fontId="30" fillId="0" borderId="13" xfId="6" applyNumberFormat="1" applyFont="1" applyBorder="1" applyProtection="1">
      <protection hidden="1"/>
    </xf>
    <xf numFmtId="0" fontId="29" fillId="0" borderId="13" xfId="6" applyNumberFormat="1" applyFont="1" applyFill="1" applyBorder="1" applyProtection="1"/>
    <xf numFmtId="0" fontId="29" fillId="0" borderId="0" xfId="6" applyNumberFormat="1" applyFont="1" applyFill="1" applyBorder="1" applyProtection="1"/>
    <xf numFmtId="0" fontId="8" fillId="0" borderId="0" xfId="7" applyFill="1" applyBorder="1"/>
    <xf numFmtId="49" fontId="29" fillId="0" borderId="13" xfId="6" applyNumberFormat="1" applyFont="1" applyFill="1" applyBorder="1" applyProtection="1"/>
    <xf numFmtId="49" fontId="29" fillId="0" borderId="0" xfId="6" applyNumberFormat="1" applyFont="1" applyFill="1" applyBorder="1" applyProtection="1"/>
    <xf numFmtId="0" fontId="7" fillId="3" borderId="0" xfId="0" applyNumberFormat="1" applyFont="1" applyFill="1"/>
    <xf numFmtId="10" fontId="7" fillId="0" borderId="0" xfId="1" applyNumberFormat="1" applyFont="1"/>
    <xf numFmtId="3" fontId="7" fillId="0" borderId="0" xfId="1" applyNumberFormat="1" applyFont="1"/>
    <xf numFmtId="1" fontId="0" fillId="0" borderId="0" xfId="0" applyNumberFormat="1" applyFill="1"/>
    <xf numFmtId="3" fontId="6" fillId="0" borderId="0" xfId="0" applyNumberFormat="1" applyFont="1" applyBorder="1" applyAlignment="1" applyProtection="1">
      <alignment horizontal="center"/>
      <protection hidden="1"/>
    </xf>
    <xf numFmtId="3" fontId="9" fillId="0" borderId="0" xfId="0" applyNumberFormat="1" applyFont="1" applyBorder="1" applyAlignment="1" applyProtection="1">
      <alignment horizontal="center"/>
      <protection hidden="1"/>
    </xf>
    <xf numFmtId="49" fontId="6" fillId="0" borderId="0" xfId="0" applyNumberFormat="1" applyFont="1" applyBorder="1" applyProtection="1">
      <protection hidden="1"/>
    </xf>
    <xf numFmtId="164" fontId="6" fillId="0" borderId="0" xfId="0" applyNumberFormat="1" applyFont="1" applyBorder="1" applyProtection="1">
      <protection hidden="1"/>
    </xf>
    <xf numFmtId="0" fontId="6" fillId="0" borderId="0" xfId="0" applyFont="1" applyBorder="1" applyProtection="1">
      <protection hidden="1"/>
    </xf>
    <xf numFmtId="3" fontId="6" fillId="0" borderId="0" xfId="0" applyNumberFormat="1" applyFont="1" applyBorder="1" applyProtection="1">
      <protection hidden="1"/>
    </xf>
    <xf numFmtId="166" fontId="6" fillId="0" borderId="13" xfId="0" applyNumberFormat="1" applyFont="1" applyBorder="1" applyAlignment="1" applyProtection="1">
      <alignment horizontal="center" wrapText="1"/>
      <protection hidden="1"/>
    </xf>
    <xf numFmtId="3" fontId="6" fillId="0" borderId="13" xfId="0" quotePrefix="1" applyNumberFormat="1" applyFont="1" applyBorder="1" applyAlignment="1" applyProtection="1">
      <alignment horizontal="center" wrapText="1"/>
      <protection hidden="1"/>
    </xf>
    <xf numFmtId="3" fontId="6" fillId="0" borderId="13" xfId="0" applyNumberFormat="1" applyFont="1" applyBorder="1" applyAlignment="1" applyProtection="1">
      <alignment horizontal="center" wrapText="1"/>
      <protection hidden="1"/>
    </xf>
    <xf numFmtId="166" fontId="68" fillId="0" borderId="0" xfId="0" applyNumberFormat="1" applyFont="1" applyBorder="1" applyAlignment="1" applyProtection="1">
      <alignment horizontal="center"/>
      <protection hidden="1"/>
    </xf>
    <xf numFmtId="166" fontId="6" fillId="38" borderId="13" xfId="0" applyNumberFormat="1" applyFont="1" applyFill="1" applyBorder="1" applyAlignment="1" applyProtection="1">
      <alignment horizontal="center" wrapText="1"/>
      <protection hidden="1"/>
    </xf>
    <xf numFmtId="164" fontId="6" fillId="0" borderId="13" xfId="0" applyNumberFormat="1" applyFont="1" applyBorder="1" applyProtection="1">
      <protection hidden="1"/>
    </xf>
    <xf numFmtId="0" fontId="6" fillId="0" borderId="13" xfId="0" applyFont="1" applyBorder="1" applyProtection="1">
      <protection hidden="1"/>
    </xf>
    <xf numFmtId="166" fontId="6" fillId="0" borderId="13" xfId="0" applyNumberFormat="1" applyFont="1" applyBorder="1" applyProtection="1">
      <protection hidden="1"/>
    </xf>
    <xf numFmtId="166" fontId="6" fillId="38" borderId="13" xfId="0" applyNumberFormat="1" applyFont="1" applyFill="1" applyBorder="1" applyProtection="1">
      <protection hidden="1"/>
    </xf>
    <xf numFmtId="3" fontId="6" fillId="0" borderId="13" xfId="0" applyNumberFormat="1" applyFont="1" applyBorder="1" applyProtection="1">
      <protection hidden="1"/>
    </xf>
    <xf numFmtId="168" fontId="68" fillId="38" borderId="0" xfId="0" applyNumberFormat="1" applyFont="1" applyFill="1" applyBorder="1" applyProtection="1">
      <protection hidden="1"/>
    </xf>
    <xf numFmtId="3" fontId="68" fillId="0" borderId="0" xfId="0" applyNumberFormat="1" applyFont="1" applyBorder="1" applyProtection="1">
      <protection hidden="1"/>
    </xf>
    <xf numFmtId="168" fontId="68" fillId="0" borderId="1" xfId="0" applyNumberFormat="1" applyFont="1" applyBorder="1" applyProtection="1">
      <protection hidden="1"/>
    </xf>
    <xf numFmtId="3" fontId="68" fillId="0" borderId="1" xfId="0" applyNumberFormat="1" applyFont="1" applyBorder="1" applyProtection="1">
      <protection hidden="1"/>
    </xf>
    <xf numFmtId="4" fontId="0" fillId="0" borderId="0" xfId="0" applyNumberFormat="1"/>
    <xf numFmtId="49" fontId="0" fillId="0" borderId="0" xfId="0" applyNumberFormat="1"/>
    <xf numFmtId="0" fontId="11" fillId="0" borderId="0" xfId="263" applyFont="1"/>
    <xf numFmtId="0" fontId="1" fillId="0" borderId="0" xfId="263"/>
    <xf numFmtId="172" fontId="1" fillId="0" borderId="0" xfId="263" applyNumberFormat="1"/>
    <xf numFmtId="172" fontId="0" fillId="0" borderId="0" xfId="264" applyNumberFormat="1" applyFont="1"/>
    <xf numFmtId="0" fontId="0" fillId="0" borderId="0" xfId="0" applyFill="1"/>
    <xf numFmtId="3" fontId="0" fillId="0" borderId="0" xfId="0" applyNumberFormat="1"/>
    <xf numFmtId="164" fontId="6" fillId="0" borderId="0" xfId="0" applyNumberFormat="1" applyFont="1" applyBorder="1" applyAlignment="1" applyProtection="1">
      <alignment wrapText="1"/>
      <protection hidden="1"/>
    </xf>
    <xf numFmtId="0" fontId="0" fillId="0" borderId="0" xfId="0" applyBorder="1" applyAlignment="1" applyProtection="1">
      <alignment wrapText="1"/>
      <protection hidden="1"/>
    </xf>
    <xf numFmtId="49" fontId="9" fillId="0" borderId="14" xfId="0" applyNumberFormat="1" applyFont="1" applyBorder="1" applyAlignment="1" applyProtection="1">
      <alignment horizontal="center" vertical="center"/>
      <protection hidden="1"/>
    </xf>
    <xf numFmtId="49" fontId="9" fillId="0" borderId="15" xfId="0" applyNumberFormat="1" applyFont="1" applyBorder="1" applyAlignment="1" applyProtection="1">
      <alignment horizontal="center" vertical="center"/>
      <protection hidden="1"/>
    </xf>
    <xf numFmtId="166" fontId="68" fillId="0" borderId="0" xfId="0" applyNumberFormat="1" applyFont="1" applyBorder="1" applyAlignment="1" applyProtection="1">
      <alignment horizontal="center"/>
      <protection hidden="1"/>
    </xf>
    <xf numFmtId="0" fontId="69" fillId="0" borderId="0" xfId="0" applyNumberFormat="1" applyFont="1" applyBorder="1" applyAlignment="1" applyProtection="1">
      <alignment horizontal="center" wrapText="1"/>
      <protection hidden="1"/>
    </xf>
  </cellXfs>
  <cellStyles count="265">
    <cellStyle name="20% - Accent1 2" xfId="11" xr:uid="{00000000-0005-0000-0000-000000000000}"/>
    <cellStyle name="20% - Accent1 2 2" xfId="12" xr:uid="{00000000-0005-0000-0000-000001000000}"/>
    <cellStyle name="20% - Accent1 2 3" xfId="13" xr:uid="{00000000-0005-0000-0000-000002000000}"/>
    <cellStyle name="20% - Accent1 2 4" xfId="14" xr:uid="{00000000-0005-0000-0000-000003000000}"/>
    <cellStyle name="20% - Accent1 3" xfId="15" xr:uid="{00000000-0005-0000-0000-000004000000}"/>
    <cellStyle name="20% - Accent1 4" xfId="16" xr:uid="{00000000-0005-0000-0000-000005000000}"/>
    <cellStyle name="20% - Accent1 4 2" xfId="17" xr:uid="{00000000-0005-0000-0000-000006000000}"/>
    <cellStyle name="20% - Accent1 5" xfId="18" xr:uid="{00000000-0005-0000-0000-000007000000}"/>
    <cellStyle name="20% - Accent2 2" xfId="19" xr:uid="{00000000-0005-0000-0000-000008000000}"/>
    <cellStyle name="20% - Accent2 2 2" xfId="20" xr:uid="{00000000-0005-0000-0000-000009000000}"/>
    <cellStyle name="20% - Accent2 2 3" xfId="21" xr:uid="{00000000-0005-0000-0000-00000A000000}"/>
    <cellStyle name="20% - Accent2 2 4" xfId="22" xr:uid="{00000000-0005-0000-0000-00000B000000}"/>
    <cellStyle name="20% - Accent2 3" xfId="23" xr:uid="{00000000-0005-0000-0000-00000C000000}"/>
    <cellStyle name="20% - Accent2 4" xfId="24" xr:uid="{00000000-0005-0000-0000-00000D000000}"/>
    <cellStyle name="20% - Accent2 4 2" xfId="25" xr:uid="{00000000-0005-0000-0000-00000E000000}"/>
    <cellStyle name="20% - Accent2 5" xfId="26" xr:uid="{00000000-0005-0000-0000-00000F000000}"/>
    <cellStyle name="20% - Accent3 2" xfId="27" xr:uid="{00000000-0005-0000-0000-000010000000}"/>
    <cellStyle name="20% - Accent3 2 2" xfId="28" xr:uid="{00000000-0005-0000-0000-000011000000}"/>
    <cellStyle name="20% - Accent3 2 3" xfId="29" xr:uid="{00000000-0005-0000-0000-000012000000}"/>
    <cellStyle name="20% - Accent3 2 4" xfId="30" xr:uid="{00000000-0005-0000-0000-000013000000}"/>
    <cellStyle name="20% - Accent3 3" xfId="31" xr:uid="{00000000-0005-0000-0000-000014000000}"/>
    <cellStyle name="20% - Accent3 4" xfId="32" xr:uid="{00000000-0005-0000-0000-000015000000}"/>
    <cellStyle name="20% - Accent3 4 2" xfId="33" xr:uid="{00000000-0005-0000-0000-000016000000}"/>
    <cellStyle name="20% - Accent3 5" xfId="34" xr:uid="{00000000-0005-0000-0000-000017000000}"/>
    <cellStyle name="20% - Accent4 2" xfId="35" xr:uid="{00000000-0005-0000-0000-000018000000}"/>
    <cellStyle name="20% - Accent4 2 2" xfId="36" xr:uid="{00000000-0005-0000-0000-000019000000}"/>
    <cellStyle name="20% - Accent4 2 3" xfId="37" xr:uid="{00000000-0005-0000-0000-00001A000000}"/>
    <cellStyle name="20% - Accent4 2 4" xfId="38" xr:uid="{00000000-0005-0000-0000-00001B000000}"/>
    <cellStyle name="20% - Accent4 3" xfId="39" xr:uid="{00000000-0005-0000-0000-00001C000000}"/>
    <cellStyle name="20% - Accent4 4" xfId="40" xr:uid="{00000000-0005-0000-0000-00001D000000}"/>
    <cellStyle name="20% - Accent4 4 2" xfId="41" xr:uid="{00000000-0005-0000-0000-00001E000000}"/>
    <cellStyle name="20% - Accent4 5" xfId="42" xr:uid="{00000000-0005-0000-0000-00001F000000}"/>
    <cellStyle name="20% - Accent5 2" xfId="43" xr:uid="{00000000-0005-0000-0000-000020000000}"/>
    <cellStyle name="20% - Accent5 2 2" xfId="44" xr:uid="{00000000-0005-0000-0000-000021000000}"/>
    <cellStyle name="20% - Accent5 2 3" xfId="45" xr:uid="{00000000-0005-0000-0000-000022000000}"/>
    <cellStyle name="20% - Accent5 2 4" xfId="46" xr:uid="{00000000-0005-0000-0000-000023000000}"/>
    <cellStyle name="20% - Accent5 3" xfId="47" xr:uid="{00000000-0005-0000-0000-000024000000}"/>
    <cellStyle name="20% - Accent5 4" xfId="48" xr:uid="{00000000-0005-0000-0000-000025000000}"/>
    <cellStyle name="20% - Accent5 4 2" xfId="49" xr:uid="{00000000-0005-0000-0000-000026000000}"/>
    <cellStyle name="20% - Accent5 5" xfId="50" xr:uid="{00000000-0005-0000-0000-000027000000}"/>
    <cellStyle name="20% - Accent6 2" xfId="51" xr:uid="{00000000-0005-0000-0000-000028000000}"/>
    <cellStyle name="20% - Accent6 2 2" xfId="52" xr:uid="{00000000-0005-0000-0000-000029000000}"/>
    <cellStyle name="20% - Accent6 2 3" xfId="53" xr:uid="{00000000-0005-0000-0000-00002A000000}"/>
    <cellStyle name="20% - Accent6 2 4" xfId="54" xr:uid="{00000000-0005-0000-0000-00002B000000}"/>
    <cellStyle name="20% - Accent6 3" xfId="55" xr:uid="{00000000-0005-0000-0000-00002C000000}"/>
    <cellStyle name="20% - Accent6 4" xfId="56" xr:uid="{00000000-0005-0000-0000-00002D000000}"/>
    <cellStyle name="20% - Accent6 4 2" xfId="57" xr:uid="{00000000-0005-0000-0000-00002E000000}"/>
    <cellStyle name="20% - Accent6 5" xfId="58" xr:uid="{00000000-0005-0000-0000-00002F000000}"/>
    <cellStyle name="40% - Accent1 2" xfId="59" xr:uid="{00000000-0005-0000-0000-000030000000}"/>
    <cellStyle name="40% - Accent1 2 2" xfId="60" xr:uid="{00000000-0005-0000-0000-000031000000}"/>
    <cellStyle name="40% - Accent1 2 3" xfId="61" xr:uid="{00000000-0005-0000-0000-000032000000}"/>
    <cellStyle name="40% - Accent1 2 4" xfId="62" xr:uid="{00000000-0005-0000-0000-000033000000}"/>
    <cellStyle name="40% - Accent1 3" xfId="63" xr:uid="{00000000-0005-0000-0000-000034000000}"/>
    <cellStyle name="40% - Accent1 4" xfId="64" xr:uid="{00000000-0005-0000-0000-000035000000}"/>
    <cellStyle name="40% - Accent1 4 2" xfId="65" xr:uid="{00000000-0005-0000-0000-000036000000}"/>
    <cellStyle name="40% - Accent1 5" xfId="66" xr:uid="{00000000-0005-0000-0000-000037000000}"/>
    <cellStyle name="40% - Accent2 2" xfId="67" xr:uid="{00000000-0005-0000-0000-000038000000}"/>
    <cellStyle name="40% - Accent2 2 2" xfId="68" xr:uid="{00000000-0005-0000-0000-000039000000}"/>
    <cellStyle name="40% - Accent2 2 3" xfId="69" xr:uid="{00000000-0005-0000-0000-00003A000000}"/>
    <cellStyle name="40% - Accent2 2 4" xfId="70" xr:uid="{00000000-0005-0000-0000-00003B000000}"/>
    <cellStyle name="40% - Accent2 3" xfId="71" xr:uid="{00000000-0005-0000-0000-00003C000000}"/>
    <cellStyle name="40% - Accent2 4" xfId="72" xr:uid="{00000000-0005-0000-0000-00003D000000}"/>
    <cellStyle name="40% - Accent2 4 2" xfId="73" xr:uid="{00000000-0005-0000-0000-00003E000000}"/>
    <cellStyle name="40% - Accent2 5" xfId="74" xr:uid="{00000000-0005-0000-0000-00003F000000}"/>
    <cellStyle name="40% - Accent3 2" xfId="75" xr:uid="{00000000-0005-0000-0000-000040000000}"/>
    <cellStyle name="40% - Accent3 2 2" xfId="76" xr:uid="{00000000-0005-0000-0000-000041000000}"/>
    <cellStyle name="40% - Accent3 2 3" xfId="77" xr:uid="{00000000-0005-0000-0000-000042000000}"/>
    <cellStyle name="40% - Accent3 2 4" xfId="78" xr:uid="{00000000-0005-0000-0000-000043000000}"/>
    <cellStyle name="40% - Accent3 3" xfId="79" xr:uid="{00000000-0005-0000-0000-000044000000}"/>
    <cellStyle name="40% - Accent3 4" xfId="80" xr:uid="{00000000-0005-0000-0000-000045000000}"/>
    <cellStyle name="40% - Accent3 4 2" xfId="81" xr:uid="{00000000-0005-0000-0000-000046000000}"/>
    <cellStyle name="40% - Accent3 5" xfId="82" xr:uid="{00000000-0005-0000-0000-000047000000}"/>
    <cellStyle name="40% - Accent4 2" xfId="83" xr:uid="{00000000-0005-0000-0000-000048000000}"/>
    <cellStyle name="40% - Accent4 2 2" xfId="84" xr:uid="{00000000-0005-0000-0000-000049000000}"/>
    <cellStyle name="40% - Accent4 2 3" xfId="85" xr:uid="{00000000-0005-0000-0000-00004A000000}"/>
    <cellStyle name="40% - Accent4 2 4" xfId="86" xr:uid="{00000000-0005-0000-0000-00004B000000}"/>
    <cellStyle name="40% - Accent4 3" xfId="87" xr:uid="{00000000-0005-0000-0000-00004C000000}"/>
    <cellStyle name="40% - Accent4 4" xfId="88" xr:uid="{00000000-0005-0000-0000-00004D000000}"/>
    <cellStyle name="40% - Accent4 4 2" xfId="89" xr:uid="{00000000-0005-0000-0000-00004E000000}"/>
    <cellStyle name="40% - Accent4 5" xfId="90" xr:uid="{00000000-0005-0000-0000-00004F000000}"/>
    <cellStyle name="40% - Accent5 2" xfId="91" xr:uid="{00000000-0005-0000-0000-000050000000}"/>
    <cellStyle name="40% - Accent5 2 2" xfId="92" xr:uid="{00000000-0005-0000-0000-000051000000}"/>
    <cellStyle name="40% - Accent5 2 3" xfId="93" xr:uid="{00000000-0005-0000-0000-000052000000}"/>
    <cellStyle name="40% - Accent5 2 4" xfId="94" xr:uid="{00000000-0005-0000-0000-000053000000}"/>
    <cellStyle name="40% - Accent5 3" xfId="95" xr:uid="{00000000-0005-0000-0000-000054000000}"/>
    <cellStyle name="40% - Accent5 4" xfId="96" xr:uid="{00000000-0005-0000-0000-000055000000}"/>
    <cellStyle name="40% - Accent5 4 2" xfId="97" xr:uid="{00000000-0005-0000-0000-000056000000}"/>
    <cellStyle name="40% - Accent5 5" xfId="98" xr:uid="{00000000-0005-0000-0000-000057000000}"/>
    <cellStyle name="40% - Accent6 2" xfId="99" xr:uid="{00000000-0005-0000-0000-000058000000}"/>
    <cellStyle name="40% - Accent6 2 2" xfId="100" xr:uid="{00000000-0005-0000-0000-000059000000}"/>
    <cellStyle name="40% - Accent6 2 3" xfId="101" xr:uid="{00000000-0005-0000-0000-00005A000000}"/>
    <cellStyle name="40% - Accent6 2 4" xfId="102" xr:uid="{00000000-0005-0000-0000-00005B000000}"/>
    <cellStyle name="40% - Accent6 3" xfId="103" xr:uid="{00000000-0005-0000-0000-00005C000000}"/>
    <cellStyle name="40% - Accent6 4" xfId="104" xr:uid="{00000000-0005-0000-0000-00005D000000}"/>
    <cellStyle name="40% - Accent6 4 2" xfId="105" xr:uid="{00000000-0005-0000-0000-00005E000000}"/>
    <cellStyle name="40% - Accent6 5" xfId="106" xr:uid="{00000000-0005-0000-0000-00005F000000}"/>
    <cellStyle name="60% - Accent1 2" xfId="107" xr:uid="{00000000-0005-0000-0000-000060000000}"/>
    <cellStyle name="60% - Accent1 2 2" xfId="108" xr:uid="{00000000-0005-0000-0000-000061000000}"/>
    <cellStyle name="60% - Accent1 3" xfId="109" xr:uid="{00000000-0005-0000-0000-000062000000}"/>
    <cellStyle name="60% - Accent2 2" xfId="110" xr:uid="{00000000-0005-0000-0000-000063000000}"/>
    <cellStyle name="60% - Accent2 2 2" xfId="111" xr:uid="{00000000-0005-0000-0000-000064000000}"/>
    <cellStyle name="60% - Accent2 3" xfId="112" xr:uid="{00000000-0005-0000-0000-000065000000}"/>
    <cellStyle name="60% - Accent3 2" xfId="113" xr:uid="{00000000-0005-0000-0000-000066000000}"/>
    <cellStyle name="60% - Accent3 2 2" xfId="114" xr:uid="{00000000-0005-0000-0000-000067000000}"/>
    <cellStyle name="60% - Accent3 3" xfId="115" xr:uid="{00000000-0005-0000-0000-000068000000}"/>
    <cellStyle name="60% - Accent4 2" xfId="116" xr:uid="{00000000-0005-0000-0000-000069000000}"/>
    <cellStyle name="60% - Accent4 2 2" xfId="117" xr:uid="{00000000-0005-0000-0000-00006A000000}"/>
    <cellStyle name="60% - Accent4 3" xfId="118" xr:uid="{00000000-0005-0000-0000-00006B000000}"/>
    <cellStyle name="60% - Accent5 2" xfId="119" xr:uid="{00000000-0005-0000-0000-00006C000000}"/>
    <cellStyle name="60% - Accent5 2 2" xfId="120" xr:uid="{00000000-0005-0000-0000-00006D000000}"/>
    <cellStyle name="60% - Accent5 3" xfId="121" xr:uid="{00000000-0005-0000-0000-00006E000000}"/>
    <cellStyle name="60% - Accent6 2" xfId="122" xr:uid="{00000000-0005-0000-0000-00006F000000}"/>
    <cellStyle name="60% - Accent6 2 2" xfId="123" xr:uid="{00000000-0005-0000-0000-000070000000}"/>
    <cellStyle name="60% - Accent6 3" xfId="124" xr:uid="{00000000-0005-0000-0000-000071000000}"/>
    <cellStyle name="Accent1 2" xfId="125" xr:uid="{00000000-0005-0000-0000-000072000000}"/>
    <cellStyle name="Accent1 2 2" xfId="126" xr:uid="{00000000-0005-0000-0000-000073000000}"/>
    <cellStyle name="Accent1 3" xfId="127" xr:uid="{00000000-0005-0000-0000-000074000000}"/>
    <cellStyle name="Accent2 2" xfId="128" xr:uid="{00000000-0005-0000-0000-000075000000}"/>
    <cellStyle name="Accent2 2 2" xfId="129" xr:uid="{00000000-0005-0000-0000-000076000000}"/>
    <cellStyle name="Accent2 3" xfId="130" xr:uid="{00000000-0005-0000-0000-000077000000}"/>
    <cellStyle name="Accent3 2" xfId="131" xr:uid="{00000000-0005-0000-0000-000078000000}"/>
    <cellStyle name="Accent3 2 2" xfId="132" xr:uid="{00000000-0005-0000-0000-000079000000}"/>
    <cellStyle name="Accent3 3" xfId="133" xr:uid="{00000000-0005-0000-0000-00007A000000}"/>
    <cellStyle name="Accent4 2" xfId="134" xr:uid="{00000000-0005-0000-0000-00007B000000}"/>
    <cellStyle name="Accent4 2 2" xfId="135" xr:uid="{00000000-0005-0000-0000-00007C000000}"/>
    <cellStyle name="Accent4 3" xfId="136" xr:uid="{00000000-0005-0000-0000-00007D000000}"/>
    <cellStyle name="Accent5 2" xfId="137" xr:uid="{00000000-0005-0000-0000-00007E000000}"/>
    <cellStyle name="Accent5 2 2" xfId="138" xr:uid="{00000000-0005-0000-0000-00007F000000}"/>
    <cellStyle name="Accent5 3" xfId="139" xr:uid="{00000000-0005-0000-0000-000080000000}"/>
    <cellStyle name="Accent6 2" xfId="140" xr:uid="{00000000-0005-0000-0000-000081000000}"/>
    <cellStyle name="Accent6 2 2" xfId="141" xr:uid="{00000000-0005-0000-0000-000082000000}"/>
    <cellStyle name="Accent6 3" xfId="142" xr:uid="{00000000-0005-0000-0000-000083000000}"/>
    <cellStyle name="Bad 2" xfId="143" xr:uid="{00000000-0005-0000-0000-000084000000}"/>
    <cellStyle name="Bad 2 2" xfId="144" xr:uid="{00000000-0005-0000-0000-000085000000}"/>
    <cellStyle name="Bad 3" xfId="145" xr:uid="{00000000-0005-0000-0000-000086000000}"/>
    <cellStyle name="Calculation 2" xfId="146" xr:uid="{00000000-0005-0000-0000-000087000000}"/>
    <cellStyle name="Calculation 2 2" xfId="147" xr:uid="{00000000-0005-0000-0000-000088000000}"/>
    <cellStyle name="Calculation 3" xfId="148" xr:uid="{00000000-0005-0000-0000-000089000000}"/>
    <cellStyle name="Check Cell 2" xfId="149" xr:uid="{00000000-0005-0000-0000-00008A000000}"/>
    <cellStyle name="Check Cell 2 2" xfId="150" xr:uid="{00000000-0005-0000-0000-00008B000000}"/>
    <cellStyle name="Check Cell 3" xfId="151" xr:uid="{00000000-0005-0000-0000-00008C000000}"/>
    <cellStyle name="Comma 2" xfId="8" xr:uid="{00000000-0005-0000-0000-00008D000000}"/>
    <cellStyle name="Comma 2 2" xfId="152" xr:uid="{00000000-0005-0000-0000-00008E000000}"/>
    <cellStyle name="Comma 2 2 2" xfId="153" xr:uid="{00000000-0005-0000-0000-00008F000000}"/>
    <cellStyle name="Comma 2 2 3" xfId="154" xr:uid="{00000000-0005-0000-0000-000090000000}"/>
    <cellStyle name="Comma 2 3" xfId="155" xr:uid="{00000000-0005-0000-0000-000091000000}"/>
    <cellStyle name="Comma 3" xfId="156" xr:uid="{00000000-0005-0000-0000-000092000000}"/>
    <cellStyle name="Currency 2" xfId="157" xr:uid="{00000000-0005-0000-0000-000093000000}"/>
    <cellStyle name="Currency 3" xfId="158" xr:uid="{00000000-0005-0000-0000-000094000000}"/>
    <cellStyle name="Explanatory Text 2" xfId="159" xr:uid="{00000000-0005-0000-0000-000095000000}"/>
    <cellStyle name="Explanatory Text 2 2" xfId="160" xr:uid="{00000000-0005-0000-0000-000096000000}"/>
    <cellStyle name="Explanatory Text 3" xfId="161" xr:uid="{00000000-0005-0000-0000-000097000000}"/>
    <cellStyle name="Good 2" xfId="162" xr:uid="{00000000-0005-0000-0000-000098000000}"/>
    <cellStyle name="Good 2 2" xfId="163" xr:uid="{00000000-0005-0000-0000-000099000000}"/>
    <cellStyle name="Good 3" xfId="164" xr:uid="{00000000-0005-0000-0000-00009A000000}"/>
    <cellStyle name="Heading 1 2" xfId="165" xr:uid="{00000000-0005-0000-0000-00009B000000}"/>
    <cellStyle name="Heading 1 2 2" xfId="166" xr:uid="{00000000-0005-0000-0000-00009C000000}"/>
    <cellStyle name="Heading 1 3" xfId="167" xr:uid="{00000000-0005-0000-0000-00009D000000}"/>
    <cellStyle name="Heading 2 2" xfId="168" xr:uid="{00000000-0005-0000-0000-00009E000000}"/>
    <cellStyle name="Heading 2 2 2" xfId="169" xr:uid="{00000000-0005-0000-0000-00009F000000}"/>
    <cellStyle name="Heading 2 3" xfId="170" xr:uid="{00000000-0005-0000-0000-0000A0000000}"/>
    <cellStyle name="Heading 3 2" xfId="171" xr:uid="{00000000-0005-0000-0000-0000A1000000}"/>
    <cellStyle name="Heading 3 2 2" xfId="172" xr:uid="{00000000-0005-0000-0000-0000A2000000}"/>
    <cellStyle name="Heading 3 3" xfId="173" xr:uid="{00000000-0005-0000-0000-0000A3000000}"/>
    <cellStyle name="Heading 4 2" xfId="174" xr:uid="{00000000-0005-0000-0000-0000A4000000}"/>
    <cellStyle name="Heading 4 2 2" xfId="175" xr:uid="{00000000-0005-0000-0000-0000A5000000}"/>
    <cellStyle name="Heading 4 3" xfId="176" xr:uid="{00000000-0005-0000-0000-0000A6000000}"/>
    <cellStyle name="Hyperlink 2" xfId="177" xr:uid="{00000000-0005-0000-0000-0000A7000000}"/>
    <cellStyle name="Hyperlink 3" xfId="178" xr:uid="{00000000-0005-0000-0000-0000A8000000}"/>
    <cellStyle name="Input 2" xfId="179" xr:uid="{00000000-0005-0000-0000-0000A9000000}"/>
    <cellStyle name="Input 2 2" xfId="180" xr:uid="{00000000-0005-0000-0000-0000AA000000}"/>
    <cellStyle name="Input 3" xfId="181" xr:uid="{00000000-0005-0000-0000-0000AB000000}"/>
    <cellStyle name="Linked Cell 2" xfId="182" xr:uid="{00000000-0005-0000-0000-0000AC000000}"/>
    <cellStyle name="Linked Cell 2 2" xfId="183" xr:uid="{00000000-0005-0000-0000-0000AD000000}"/>
    <cellStyle name="Linked Cell 3" xfId="184" xr:uid="{00000000-0005-0000-0000-0000AE000000}"/>
    <cellStyle name="Neutral 2" xfId="185" xr:uid="{00000000-0005-0000-0000-0000AF000000}"/>
    <cellStyle name="Neutral 2 2" xfId="186" xr:uid="{00000000-0005-0000-0000-0000B0000000}"/>
    <cellStyle name="Neutral 3" xfId="187" xr:uid="{00000000-0005-0000-0000-0000B1000000}"/>
    <cellStyle name="Normal" xfId="0" builtinId="0"/>
    <cellStyle name="Normal 10" xfId="188" xr:uid="{00000000-0005-0000-0000-0000B3000000}"/>
    <cellStyle name="Normal 11" xfId="189" xr:uid="{00000000-0005-0000-0000-0000B4000000}"/>
    <cellStyle name="Normal 11 2" xfId="190" xr:uid="{00000000-0005-0000-0000-0000B5000000}"/>
    <cellStyle name="Normal 11 3" xfId="191" xr:uid="{00000000-0005-0000-0000-0000B6000000}"/>
    <cellStyle name="Normal 11 4" xfId="192" xr:uid="{00000000-0005-0000-0000-0000B7000000}"/>
    <cellStyle name="Normal 12" xfId="193" xr:uid="{00000000-0005-0000-0000-0000B8000000}"/>
    <cellStyle name="Normal 12 2" xfId="194" xr:uid="{00000000-0005-0000-0000-0000B9000000}"/>
    <cellStyle name="Normal 13" xfId="195" xr:uid="{00000000-0005-0000-0000-0000BA000000}"/>
    <cellStyle name="Normal 13 2" xfId="196" xr:uid="{00000000-0005-0000-0000-0000BB000000}"/>
    <cellStyle name="Normal 14" xfId="7" xr:uid="{00000000-0005-0000-0000-0000BC000000}"/>
    <cellStyle name="Normal 14 2" xfId="197" xr:uid="{00000000-0005-0000-0000-0000BD000000}"/>
    <cellStyle name="Normal 15" xfId="198" xr:uid="{00000000-0005-0000-0000-0000BE000000}"/>
    <cellStyle name="Normal 16" xfId="263" xr:uid="{5BFBF527-A55F-4EAE-A08A-AB9FABA43293}"/>
    <cellStyle name="Normal 2" xfId="2" xr:uid="{00000000-0005-0000-0000-0000BF000000}"/>
    <cellStyle name="Normal 2 2" xfId="10" xr:uid="{00000000-0005-0000-0000-0000C0000000}"/>
    <cellStyle name="Normal 2 2 2" xfId="199" xr:uid="{00000000-0005-0000-0000-0000C1000000}"/>
    <cellStyle name="Normal 2 3" xfId="200" xr:uid="{00000000-0005-0000-0000-0000C2000000}"/>
    <cellStyle name="Normal 2 3 2" xfId="201" xr:uid="{00000000-0005-0000-0000-0000C3000000}"/>
    <cellStyle name="Normal 2 3 3" xfId="202" xr:uid="{00000000-0005-0000-0000-0000C4000000}"/>
    <cellStyle name="Normal 2 3 4" xfId="203" xr:uid="{00000000-0005-0000-0000-0000C5000000}"/>
    <cellStyle name="Normal 2 4" xfId="204" xr:uid="{00000000-0005-0000-0000-0000C6000000}"/>
    <cellStyle name="Normal 2 5" xfId="205" xr:uid="{00000000-0005-0000-0000-0000C7000000}"/>
    <cellStyle name="Normal 2 6" xfId="206" xr:uid="{00000000-0005-0000-0000-0000C8000000}"/>
    <cellStyle name="Normal 3" xfId="3" xr:uid="{00000000-0005-0000-0000-0000C9000000}"/>
    <cellStyle name="Normal 3 2" xfId="207" xr:uid="{00000000-0005-0000-0000-0000CA000000}"/>
    <cellStyle name="Normal 3 2 2" xfId="208" xr:uid="{00000000-0005-0000-0000-0000CB000000}"/>
    <cellStyle name="Normal 3 3" xfId="209" xr:uid="{00000000-0005-0000-0000-0000CC000000}"/>
    <cellStyle name="Normal 3 3 2" xfId="210" xr:uid="{00000000-0005-0000-0000-0000CD000000}"/>
    <cellStyle name="Normal 3 3 3" xfId="211" xr:uid="{00000000-0005-0000-0000-0000CE000000}"/>
    <cellStyle name="Normal 3 4" xfId="212" xr:uid="{00000000-0005-0000-0000-0000CF000000}"/>
    <cellStyle name="Normal 3 4 2" xfId="213" xr:uid="{00000000-0005-0000-0000-0000D0000000}"/>
    <cellStyle name="Normal 3 4 3" xfId="214" xr:uid="{00000000-0005-0000-0000-0000D1000000}"/>
    <cellStyle name="Normal 3 5" xfId="215" xr:uid="{00000000-0005-0000-0000-0000D2000000}"/>
    <cellStyle name="Normal 3 6" xfId="216" xr:uid="{00000000-0005-0000-0000-0000D3000000}"/>
    <cellStyle name="Normal 3 7" xfId="217" xr:uid="{00000000-0005-0000-0000-0000D4000000}"/>
    <cellStyle name="Normal 4" xfId="4" xr:uid="{00000000-0005-0000-0000-0000D5000000}"/>
    <cellStyle name="Normal 4 2" xfId="218" xr:uid="{00000000-0005-0000-0000-0000D6000000}"/>
    <cellStyle name="Normal 4 3" xfId="219" xr:uid="{00000000-0005-0000-0000-0000D7000000}"/>
    <cellStyle name="Normal 5" xfId="6" xr:uid="{00000000-0005-0000-0000-0000D8000000}"/>
    <cellStyle name="Normal 5 2" xfId="220" xr:uid="{00000000-0005-0000-0000-0000D9000000}"/>
    <cellStyle name="Normal 5 2 2" xfId="221" xr:uid="{00000000-0005-0000-0000-0000DA000000}"/>
    <cellStyle name="Normal 5 2 3" xfId="222" xr:uid="{00000000-0005-0000-0000-0000DB000000}"/>
    <cellStyle name="Normal 5 2 4" xfId="223" xr:uid="{00000000-0005-0000-0000-0000DC000000}"/>
    <cellStyle name="Normal 5 2 5" xfId="224" xr:uid="{00000000-0005-0000-0000-0000DD000000}"/>
    <cellStyle name="Normal 5 3" xfId="225" xr:uid="{00000000-0005-0000-0000-0000DE000000}"/>
    <cellStyle name="Normal 5 4" xfId="226" xr:uid="{00000000-0005-0000-0000-0000DF000000}"/>
    <cellStyle name="Normal 5 5" xfId="227" xr:uid="{00000000-0005-0000-0000-0000E0000000}"/>
    <cellStyle name="Normal 6" xfId="228" xr:uid="{00000000-0005-0000-0000-0000E1000000}"/>
    <cellStyle name="Normal 7" xfId="229" xr:uid="{00000000-0005-0000-0000-0000E2000000}"/>
    <cellStyle name="Normal 7 2" xfId="230" xr:uid="{00000000-0005-0000-0000-0000E3000000}"/>
    <cellStyle name="Normal 7 2 2" xfId="231" xr:uid="{00000000-0005-0000-0000-0000E4000000}"/>
    <cellStyle name="Normal 7 3" xfId="232" xr:uid="{00000000-0005-0000-0000-0000E5000000}"/>
    <cellStyle name="Normal 7 4" xfId="233" xr:uid="{00000000-0005-0000-0000-0000E6000000}"/>
    <cellStyle name="Normal 8" xfId="234" xr:uid="{00000000-0005-0000-0000-0000E7000000}"/>
    <cellStyle name="Normal 8 2" xfId="235" xr:uid="{00000000-0005-0000-0000-0000E8000000}"/>
    <cellStyle name="Normal 8 3" xfId="236" xr:uid="{00000000-0005-0000-0000-0000E9000000}"/>
    <cellStyle name="Normal 8 4" xfId="237" xr:uid="{00000000-0005-0000-0000-0000EA000000}"/>
    <cellStyle name="Normal 9" xfId="5" xr:uid="{00000000-0005-0000-0000-0000EB000000}"/>
    <cellStyle name="Normal 9 2" xfId="238" xr:uid="{00000000-0005-0000-0000-0000EC000000}"/>
    <cellStyle name="Note 2" xfId="239" xr:uid="{00000000-0005-0000-0000-0000ED000000}"/>
    <cellStyle name="Note 2 2" xfId="240" xr:uid="{00000000-0005-0000-0000-0000EE000000}"/>
    <cellStyle name="Note 2 3" xfId="241" xr:uid="{00000000-0005-0000-0000-0000EF000000}"/>
    <cellStyle name="Note 2 4" xfId="242" xr:uid="{00000000-0005-0000-0000-0000F0000000}"/>
    <cellStyle name="Note 3" xfId="243" xr:uid="{00000000-0005-0000-0000-0000F1000000}"/>
    <cellStyle name="Note 4" xfId="244" xr:uid="{00000000-0005-0000-0000-0000F2000000}"/>
    <cellStyle name="Note 4 2" xfId="245" xr:uid="{00000000-0005-0000-0000-0000F3000000}"/>
    <cellStyle name="Note 4 3" xfId="246" xr:uid="{00000000-0005-0000-0000-0000F4000000}"/>
    <cellStyle name="Note 5" xfId="247" xr:uid="{00000000-0005-0000-0000-0000F5000000}"/>
    <cellStyle name="Output 2" xfId="248" xr:uid="{00000000-0005-0000-0000-0000F6000000}"/>
    <cellStyle name="Output 2 2" xfId="249" xr:uid="{00000000-0005-0000-0000-0000F7000000}"/>
    <cellStyle name="Output 3" xfId="250" xr:uid="{00000000-0005-0000-0000-0000F8000000}"/>
    <cellStyle name="Percent" xfId="1" builtinId="5"/>
    <cellStyle name="Percent 2" xfId="9" xr:uid="{00000000-0005-0000-0000-0000FA000000}"/>
    <cellStyle name="Percent 2 2" xfId="251" xr:uid="{00000000-0005-0000-0000-0000FB000000}"/>
    <cellStyle name="Percent 3" xfId="252" xr:uid="{00000000-0005-0000-0000-0000FC000000}"/>
    <cellStyle name="Percent 4" xfId="253" xr:uid="{00000000-0005-0000-0000-0000FD000000}"/>
    <cellStyle name="Percent 5" xfId="254" xr:uid="{00000000-0005-0000-0000-0000FE000000}"/>
    <cellStyle name="Percent 5 2" xfId="255" xr:uid="{00000000-0005-0000-0000-0000FF000000}"/>
    <cellStyle name="Percent 6" xfId="256" xr:uid="{00000000-0005-0000-0000-000000010000}"/>
    <cellStyle name="Percent 7" xfId="264" xr:uid="{D1844A69-02E7-4386-AC8A-249055D9A079}"/>
    <cellStyle name="Total 2" xfId="257" xr:uid="{00000000-0005-0000-0000-000001010000}"/>
    <cellStyle name="Total 2 2" xfId="258" xr:uid="{00000000-0005-0000-0000-000002010000}"/>
    <cellStyle name="Total 3" xfId="259" xr:uid="{00000000-0005-0000-0000-000003010000}"/>
    <cellStyle name="Warning Text 2" xfId="260" xr:uid="{00000000-0005-0000-0000-000004010000}"/>
    <cellStyle name="Warning Text 2 2" xfId="261" xr:uid="{00000000-0005-0000-0000-000005010000}"/>
    <cellStyle name="Warning Text 3" xfId="262" xr:uid="{00000000-0005-0000-0000-00000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BUDGETFORMS/CurrentYear/SchoolBudgetStart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Valuation"/>
      <sheetName val="SplitDistricts"/>
      <sheetName val="OriginalAidAndLevyFields"/>
      <sheetName val="ValuationNew"/>
      <sheetName val="DoM"/>
      <sheetName val="InputsResults"/>
      <sheetName val="Constants"/>
      <sheetName val="GROWTH"/>
      <sheetName val="GROWTH_Summary"/>
      <sheetName val="SNAME"/>
      <sheetName val="AAPTLA"/>
      <sheetName val="3.7"/>
      <sheetName val="SasOutput"/>
      <sheetName val="Proposed"/>
      <sheetName val="Adopted"/>
      <sheetName val="TaxCert"/>
      <sheetName val="AidLevy"/>
      <sheetName val="SubmittedBudgetFields"/>
      <sheetName val="FY20WK1"/>
      <sheetName val="FY20WK2"/>
      <sheetName val="FY19Wk1"/>
      <sheetName val="FY19Wk2"/>
      <sheetName val="PriorYearDataSAS"/>
      <sheetName val="PropertyTaxLevies"/>
      <sheetName val="IncomeSurtaxStateAid-PriorYear"/>
      <sheetName val="IncomeSurtaxPayments"/>
      <sheetName val="Form703"/>
      <sheetName val="Form703_DataPull"/>
      <sheetName val="Publication"/>
      <sheetName val="C I Est"/>
      <sheetName val="UAB Wksht"/>
      <sheetName val="FY18Wk1"/>
      <sheetName val="FY18Wk2"/>
      <sheetName val="Form703A"/>
      <sheetName val="Amend Publ"/>
      <sheetName val="Amend Adopt"/>
      <sheetName val="AidLevyInputs"/>
      <sheetName val="AEA_CPP"/>
      <sheetName val="SNAMEC"/>
      <sheetName val="Categorical"/>
      <sheetName val="schldata"/>
      <sheetName val="MainframeDescription"/>
      <sheetName val="BudgetCrosswal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B6">
            <v>2020</v>
          </cell>
        </row>
      </sheetData>
      <sheetData sheetId="6">
        <row r="13">
          <cell r="E13">
            <v>2.06</v>
          </cell>
        </row>
      </sheetData>
      <sheetData sheetId="7" refreshError="1"/>
      <sheetData sheetId="8" refreshError="1"/>
      <sheetData sheetId="9" refreshError="1"/>
      <sheetData sheetId="10">
        <row r="3">
          <cell r="D3" t="str">
            <v>AGWSR</v>
          </cell>
        </row>
        <row r="4">
          <cell r="D4" t="str">
            <v>AHSTW</v>
          </cell>
        </row>
        <row r="5">
          <cell r="D5" t="str">
            <v>Adair-Casey</v>
          </cell>
        </row>
        <row r="6">
          <cell r="D6" t="str">
            <v>Adel-Desoto-Minburn</v>
          </cell>
        </row>
        <row r="7">
          <cell r="D7" t="str">
            <v>Akron-Westfield</v>
          </cell>
        </row>
        <row r="8">
          <cell r="D8" t="str">
            <v>Albert City-Truesdale</v>
          </cell>
        </row>
        <row r="9">
          <cell r="D9" t="str">
            <v>Albia</v>
          </cell>
        </row>
        <row r="10">
          <cell r="D10" t="str">
            <v>Alburnett</v>
          </cell>
        </row>
        <row r="11">
          <cell r="D11" t="str">
            <v>Alden</v>
          </cell>
        </row>
        <row r="12">
          <cell r="D12" t="str">
            <v>Algona</v>
          </cell>
        </row>
        <row r="13">
          <cell r="D13" t="str">
            <v>Allamakee</v>
          </cell>
        </row>
        <row r="14">
          <cell r="D14" t="str">
            <v>Alta-Aurelia</v>
          </cell>
        </row>
        <row r="15">
          <cell r="D15" t="str">
            <v>Ames</v>
          </cell>
        </row>
        <row r="16">
          <cell r="D16" t="str">
            <v>Anamosa</v>
          </cell>
        </row>
        <row r="17">
          <cell r="D17" t="str">
            <v>Andrew</v>
          </cell>
        </row>
        <row r="18">
          <cell r="D18" t="str">
            <v>Ankeny</v>
          </cell>
        </row>
        <row r="19">
          <cell r="D19" t="str">
            <v>Aplington-Parkersburg</v>
          </cell>
        </row>
        <row r="20">
          <cell r="D20" t="str">
            <v>Ar-We-Va</v>
          </cell>
        </row>
        <row r="21">
          <cell r="D21" t="str">
            <v>Atlantic</v>
          </cell>
        </row>
        <row r="22">
          <cell r="D22" t="str">
            <v>Audubon</v>
          </cell>
        </row>
        <row r="23">
          <cell r="D23" t="str">
            <v>BCLUW</v>
          </cell>
        </row>
        <row r="24">
          <cell r="D24" t="str">
            <v>Ballard</v>
          </cell>
        </row>
        <row r="25">
          <cell r="D25" t="str">
            <v>Baxter</v>
          </cell>
        </row>
        <row r="26">
          <cell r="D26" t="str">
            <v>Bedford</v>
          </cell>
        </row>
        <row r="27">
          <cell r="D27" t="str">
            <v>Belle Plaine</v>
          </cell>
        </row>
        <row r="28">
          <cell r="D28" t="str">
            <v>Bellevue</v>
          </cell>
        </row>
        <row r="29">
          <cell r="D29" t="str">
            <v>Belmond-Klemme</v>
          </cell>
        </row>
        <row r="30">
          <cell r="D30" t="str">
            <v>Bennett</v>
          </cell>
        </row>
        <row r="31">
          <cell r="D31" t="str">
            <v>Benton</v>
          </cell>
        </row>
        <row r="32">
          <cell r="D32" t="str">
            <v>Bettendorf</v>
          </cell>
        </row>
        <row r="33">
          <cell r="D33" t="str">
            <v>Bondurant-Farrar</v>
          </cell>
        </row>
        <row r="34">
          <cell r="D34" t="str">
            <v>Boone</v>
          </cell>
        </row>
        <row r="35">
          <cell r="D35" t="str">
            <v>Boyden-Hull</v>
          </cell>
        </row>
        <row r="36">
          <cell r="D36" t="str">
            <v>Boyer Valley</v>
          </cell>
        </row>
        <row r="37">
          <cell r="D37" t="str">
            <v>Brooklyn-Guernsey-Malcom</v>
          </cell>
        </row>
        <row r="38">
          <cell r="D38" t="str">
            <v>Burlington</v>
          </cell>
        </row>
        <row r="39">
          <cell r="D39" t="str">
            <v>CAL</v>
          </cell>
        </row>
        <row r="40">
          <cell r="D40" t="str">
            <v>CAM</v>
          </cell>
        </row>
        <row r="41">
          <cell r="D41" t="str">
            <v>Calamus-Wheatland</v>
          </cell>
        </row>
        <row r="42">
          <cell r="D42" t="str">
            <v>Camanche</v>
          </cell>
        </row>
        <row r="43">
          <cell r="D43" t="str">
            <v>Cardinal</v>
          </cell>
        </row>
        <row r="44">
          <cell r="D44" t="str">
            <v>Carlisle</v>
          </cell>
        </row>
        <row r="45">
          <cell r="D45" t="str">
            <v>Carroll</v>
          </cell>
        </row>
        <row r="46">
          <cell r="D46" t="str">
            <v>Cedar Falls</v>
          </cell>
        </row>
        <row r="47">
          <cell r="D47" t="str">
            <v>Cedar Rapids</v>
          </cell>
        </row>
        <row r="48">
          <cell r="D48" t="str">
            <v>Center Point-Urbana</v>
          </cell>
        </row>
        <row r="49">
          <cell r="D49" t="str">
            <v>Centerville</v>
          </cell>
        </row>
        <row r="50">
          <cell r="D50" t="str">
            <v>Central City</v>
          </cell>
        </row>
        <row r="51">
          <cell r="D51" t="str">
            <v>Central Clayton</v>
          </cell>
        </row>
        <row r="52">
          <cell r="D52" t="str">
            <v>Central De Witt</v>
          </cell>
        </row>
        <row r="53">
          <cell r="D53" t="str">
            <v>Central Decatur</v>
          </cell>
        </row>
        <row r="54">
          <cell r="D54" t="str">
            <v>Central Lee</v>
          </cell>
        </row>
        <row r="55">
          <cell r="D55" t="str">
            <v>Central Lyon</v>
          </cell>
        </row>
        <row r="56">
          <cell r="D56" t="str">
            <v>Central Springs</v>
          </cell>
        </row>
        <row r="57">
          <cell r="D57" t="str">
            <v>Chariton</v>
          </cell>
        </row>
        <row r="58">
          <cell r="D58" t="str">
            <v>Charles City</v>
          </cell>
        </row>
        <row r="59">
          <cell r="D59" t="str">
            <v>Charter Oak-Ute</v>
          </cell>
        </row>
        <row r="60">
          <cell r="D60" t="str">
            <v>Cherokee</v>
          </cell>
        </row>
        <row r="61">
          <cell r="D61" t="str">
            <v>Clarinda</v>
          </cell>
        </row>
        <row r="62">
          <cell r="D62" t="str">
            <v>Clarion-Goldfield-Dows</v>
          </cell>
        </row>
        <row r="63">
          <cell r="D63" t="str">
            <v>Clarke</v>
          </cell>
        </row>
        <row r="64">
          <cell r="D64" t="str">
            <v>Clarksville</v>
          </cell>
        </row>
        <row r="65">
          <cell r="D65" t="str">
            <v>Clay Central-Everly</v>
          </cell>
        </row>
        <row r="66">
          <cell r="D66" t="str">
            <v>Clayton Ridge</v>
          </cell>
        </row>
        <row r="67">
          <cell r="D67" t="str">
            <v>Clear Creek-Amana</v>
          </cell>
        </row>
        <row r="68">
          <cell r="D68" t="str">
            <v>Clear Lake</v>
          </cell>
        </row>
        <row r="69">
          <cell r="D69" t="str">
            <v>Clinton</v>
          </cell>
        </row>
        <row r="70">
          <cell r="D70" t="str">
            <v>Colfax-Mingo</v>
          </cell>
        </row>
        <row r="71">
          <cell r="D71" t="str">
            <v>College Community</v>
          </cell>
        </row>
        <row r="72">
          <cell r="D72" t="str">
            <v>Collins-Maxwell</v>
          </cell>
        </row>
        <row r="73">
          <cell r="D73" t="str">
            <v>Colo-Nesco</v>
          </cell>
        </row>
        <row r="74">
          <cell r="D74" t="str">
            <v>Columbus</v>
          </cell>
        </row>
        <row r="75">
          <cell r="D75" t="str">
            <v>Coon Rapids-Bayard</v>
          </cell>
        </row>
        <row r="76">
          <cell r="D76" t="str">
            <v>Corning</v>
          </cell>
        </row>
        <row r="77">
          <cell r="D77" t="str">
            <v>Council Bluffs</v>
          </cell>
        </row>
        <row r="78">
          <cell r="D78" t="str">
            <v>Creston</v>
          </cell>
        </row>
        <row r="79">
          <cell r="D79" t="str">
            <v>Dallas Center-Grimes</v>
          </cell>
        </row>
        <row r="80">
          <cell r="D80" t="str">
            <v>Danville</v>
          </cell>
        </row>
        <row r="81">
          <cell r="D81" t="str">
            <v>Davenport</v>
          </cell>
        </row>
        <row r="82">
          <cell r="D82" t="str">
            <v>Davis County</v>
          </cell>
        </row>
        <row r="83">
          <cell r="D83" t="str">
            <v>Decorah</v>
          </cell>
        </row>
        <row r="84">
          <cell r="D84" t="str">
            <v>Delwood</v>
          </cell>
        </row>
        <row r="85">
          <cell r="D85" t="str">
            <v>Denison</v>
          </cell>
        </row>
        <row r="86">
          <cell r="D86" t="str">
            <v>Denver</v>
          </cell>
        </row>
        <row r="87">
          <cell r="D87" t="str">
            <v>Des Moines</v>
          </cell>
        </row>
        <row r="88">
          <cell r="D88" t="str">
            <v>Diagonal</v>
          </cell>
        </row>
        <row r="89">
          <cell r="D89" t="str">
            <v>Dike-New Hartford</v>
          </cell>
        </row>
        <row r="90">
          <cell r="D90" t="str">
            <v>Dubuque</v>
          </cell>
        </row>
        <row r="91">
          <cell r="D91" t="str">
            <v>Dunkerton</v>
          </cell>
        </row>
        <row r="92">
          <cell r="D92" t="str">
            <v>Durant</v>
          </cell>
        </row>
        <row r="93">
          <cell r="D93" t="str">
            <v>Eagle Grove</v>
          </cell>
        </row>
        <row r="94">
          <cell r="D94" t="str">
            <v>Earlham</v>
          </cell>
        </row>
        <row r="95">
          <cell r="D95" t="str">
            <v>East Buchanan</v>
          </cell>
        </row>
        <row r="96">
          <cell r="D96" t="str">
            <v>East Marshall</v>
          </cell>
        </row>
        <row r="97">
          <cell r="D97" t="str">
            <v>East Mills</v>
          </cell>
        </row>
        <row r="98">
          <cell r="D98" t="str">
            <v>East Sac County</v>
          </cell>
        </row>
        <row r="99">
          <cell r="D99" t="str">
            <v>East Union</v>
          </cell>
        </row>
        <row r="100">
          <cell r="D100" t="str">
            <v>Eastern Allamakee</v>
          </cell>
        </row>
        <row r="101">
          <cell r="D101" t="str">
            <v>Easton Valley</v>
          </cell>
        </row>
        <row r="102">
          <cell r="D102" t="str">
            <v>Eddyville-Blakesburg-Fremont</v>
          </cell>
        </row>
        <row r="103">
          <cell r="D103" t="str">
            <v>Edgewood-Colesburg</v>
          </cell>
        </row>
        <row r="104">
          <cell r="D104" t="str">
            <v>Eldora-New Providence</v>
          </cell>
        </row>
        <row r="105">
          <cell r="D105" t="str">
            <v>Emmetsburg</v>
          </cell>
        </row>
        <row r="106">
          <cell r="D106" t="str">
            <v>English Valleys</v>
          </cell>
        </row>
        <row r="107">
          <cell r="D107" t="str">
            <v>Essex</v>
          </cell>
        </row>
        <row r="108">
          <cell r="D108" t="str">
            <v>Estherville-Lincoln Central</v>
          </cell>
        </row>
        <row r="109">
          <cell r="D109" t="str">
            <v>Exira-Elk Horn-Kimballton</v>
          </cell>
        </row>
        <row r="110">
          <cell r="D110" t="str">
            <v>Fairfield</v>
          </cell>
        </row>
        <row r="111">
          <cell r="D111" t="str">
            <v>Forest City</v>
          </cell>
        </row>
        <row r="112">
          <cell r="D112" t="str">
            <v>Fort Dodge</v>
          </cell>
        </row>
        <row r="113">
          <cell r="D113" t="str">
            <v>Fort Madison</v>
          </cell>
        </row>
        <row r="114">
          <cell r="D114" t="str">
            <v>Fremont-Mills</v>
          </cell>
        </row>
        <row r="115">
          <cell r="D115" t="str">
            <v>GMG</v>
          </cell>
        </row>
        <row r="116">
          <cell r="D116" t="str">
            <v>Galva-Holstein</v>
          </cell>
        </row>
        <row r="117">
          <cell r="D117" t="str">
            <v>Garner-Hayfield-Ventura</v>
          </cell>
        </row>
        <row r="118">
          <cell r="D118" t="str">
            <v>George-Little Rock</v>
          </cell>
        </row>
        <row r="119">
          <cell r="D119" t="str">
            <v>Gilbert</v>
          </cell>
        </row>
        <row r="120">
          <cell r="D120" t="str">
            <v>Gilmore City-Bradgate</v>
          </cell>
        </row>
        <row r="121">
          <cell r="D121" t="str">
            <v>Gladbrook-Reinbeck</v>
          </cell>
        </row>
        <row r="122">
          <cell r="D122" t="str">
            <v>Glenwood</v>
          </cell>
        </row>
        <row r="123">
          <cell r="D123" t="str">
            <v>Glidden-Ralston</v>
          </cell>
        </row>
        <row r="124">
          <cell r="D124" t="str">
            <v>Graettinger-Terril</v>
          </cell>
        </row>
        <row r="125">
          <cell r="D125" t="str">
            <v>Greene County</v>
          </cell>
        </row>
        <row r="126">
          <cell r="D126" t="str">
            <v>Grinnell-Newburg</v>
          </cell>
        </row>
        <row r="127">
          <cell r="D127" t="str">
            <v>Griswold</v>
          </cell>
        </row>
        <row r="128">
          <cell r="D128" t="str">
            <v>Grundy Center</v>
          </cell>
        </row>
        <row r="129">
          <cell r="D129" t="str">
            <v>Guthrie Center</v>
          </cell>
        </row>
        <row r="130">
          <cell r="D130" t="str">
            <v>HLV</v>
          </cell>
        </row>
        <row r="131">
          <cell r="D131" t="str">
            <v>Hamburg</v>
          </cell>
        </row>
        <row r="132">
          <cell r="D132" t="str">
            <v>Hampton-Dumont</v>
          </cell>
        </row>
        <row r="133">
          <cell r="D133" t="str">
            <v>Harlan</v>
          </cell>
        </row>
        <row r="134">
          <cell r="D134" t="str">
            <v>Harris-Lake Park</v>
          </cell>
        </row>
        <row r="135">
          <cell r="D135" t="str">
            <v>Hartley-Melvin-Sanborn</v>
          </cell>
        </row>
        <row r="136">
          <cell r="D136" t="str">
            <v>Highland</v>
          </cell>
        </row>
        <row r="137">
          <cell r="D137" t="str">
            <v>Hinton</v>
          </cell>
        </row>
        <row r="138">
          <cell r="D138" t="str">
            <v>Howard-Winneshiek</v>
          </cell>
        </row>
        <row r="139">
          <cell r="D139" t="str">
            <v>Hubbard-Radcliffe</v>
          </cell>
        </row>
        <row r="140">
          <cell r="D140" t="str">
            <v>Hudson</v>
          </cell>
        </row>
        <row r="141">
          <cell r="D141" t="str">
            <v>Humboldt</v>
          </cell>
        </row>
        <row r="142">
          <cell r="D142" t="str">
            <v>IKM-Manning</v>
          </cell>
        </row>
        <row r="143">
          <cell r="D143" t="str">
            <v>Independence</v>
          </cell>
        </row>
        <row r="144">
          <cell r="D144" t="str">
            <v>Indianola</v>
          </cell>
        </row>
        <row r="145">
          <cell r="D145" t="str">
            <v>Interstate 35</v>
          </cell>
        </row>
        <row r="146">
          <cell r="D146" t="str">
            <v>Iowa City</v>
          </cell>
        </row>
        <row r="147">
          <cell r="D147" t="str">
            <v>Iowa Falls</v>
          </cell>
        </row>
        <row r="148">
          <cell r="D148" t="str">
            <v>Iowa Valley</v>
          </cell>
        </row>
        <row r="149">
          <cell r="D149" t="str">
            <v>Janesville</v>
          </cell>
        </row>
        <row r="150">
          <cell r="D150" t="str">
            <v>Jesup</v>
          </cell>
        </row>
        <row r="151">
          <cell r="D151" t="str">
            <v>Johnston</v>
          </cell>
        </row>
        <row r="152">
          <cell r="D152" t="str">
            <v>Keokuk</v>
          </cell>
        </row>
        <row r="153">
          <cell r="D153" t="str">
            <v>Keota</v>
          </cell>
        </row>
        <row r="154">
          <cell r="D154" t="str">
            <v>Kingsley-Pierson</v>
          </cell>
        </row>
        <row r="155">
          <cell r="D155" t="str">
            <v>Knoxville</v>
          </cell>
        </row>
        <row r="156">
          <cell r="D156" t="str">
            <v>Lake Mills</v>
          </cell>
        </row>
        <row r="157">
          <cell r="D157" t="str">
            <v>Lamoni</v>
          </cell>
        </row>
        <row r="158">
          <cell r="D158" t="str">
            <v>Laurens-Marathon</v>
          </cell>
        </row>
        <row r="159">
          <cell r="D159" t="str">
            <v>Lawton-Bronson</v>
          </cell>
        </row>
        <row r="160">
          <cell r="D160" t="str">
            <v>Le Mars</v>
          </cell>
        </row>
        <row r="161">
          <cell r="D161" t="str">
            <v>Lenox</v>
          </cell>
        </row>
        <row r="162">
          <cell r="D162" t="str">
            <v>Lewis Central</v>
          </cell>
        </row>
        <row r="163">
          <cell r="D163" t="str">
            <v>Linn-Mar</v>
          </cell>
        </row>
        <row r="164">
          <cell r="D164" t="str">
            <v>Lisbon</v>
          </cell>
        </row>
        <row r="165">
          <cell r="D165" t="str">
            <v>Logan-Magnolia</v>
          </cell>
        </row>
        <row r="166">
          <cell r="D166" t="str">
            <v>Lone Tree</v>
          </cell>
        </row>
        <row r="167">
          <cell r="D167" t="str">
            <v>Louisa-Muscatine</v>
          </cell>
        </row>
        <row r="168">
          <cell r="D168" t="str">
            <v>Lu Verne</v>
          </cell>
        </row>
        <row r="169">
          <cell r="D169" t="str">
            <v>Lynnville-Sully</v>
          </cell>
        </row>
        <row r="170">
          <cell r="D170" t="str">
            <v>MFL Mar Mac</v>
          </cell>
        </row>
        <row r="171">
          <cell r="D171" t="str">
            <v>Madrid</v>
          </cell>
        </row>
        <row r="172">
          <cell r="D172" t="str">
            <v>Manson-Northwest Webster</v>
          </cell>
        </row>
        <row r="173">
          <cell r="D173" t="str">
            <v>Maple Valley-Anthon Oto</v>
          </cell>
        </row>
        <row r="174">
          <cell r="D174" t="str">
            <v>Maquoketa</v>
          </cell>
        </row>
        <row r="175">
          <cell r="D175" t="str">
            <v>Maquoketa Valley</v>
          </cell>
        </row>
        <row r="176">
          <cell r="D176" t="str">
            <v>Marcus-Meriden Cleghorn</v>
          </cell>
        </row>
        <row r="177">
          <cell r="D177" t="str">
            <v>Marion</v>
          </cell>
        </row>
        <row r="178">
          <cell r="D178" t="str">
            <v>Marshalltown</v>
          </cell>
        </row>
        <row r="179">
          <cell r="D179" t="str">
            <v>Martensdale-St Marys</v>
          </cell>
        </row>
        <row r="180">
          <cell r="D180" t="str">
            <v>Mason City</v>
          </cell>
        </row>
        <row r="181">
          <cell r="D181" t="str">
            <v>Mediapolis</v>
          </cell>
        </row>
        <row r="182">
          <cell r="D182" t="str">
            <v>Melcher-Dallas</v>
          </cell>
        </row>
        <row r="183">
          <cell r="D183" t="str">
            <v>Mid-Prairie</v>
          </cell>
        </row>
        <row r="184">
          <cell r="D184" t="str">
            <v>Midland</v>
          </cell>
        </row>
        <row r="185">
          <cell r="D185" t="str">
            <v>Missouri Valley</v>
          </cell>
        </row>
        <row r="186">
          <cell r="D186" t="str">
            <v>Moc-Floyd Valley</v>
          </cell>
        </row>
        <row r="187">
          <cell r="D187" t="str">
            <v>Montezuma</v>
          </cell>
        </row>
        <row r="188">
          <cell r="D188" t="str">
            <v>Monticello</v>
          </cell>
        </row>
        <row r="189">
          <cell r="D189" t="str">
            <v>Moravia</v>
          </cell>
        </row>
        <row r="190">
          <cell r="D190" t="str">
            <v>Mormon Trail</v>
          </cell>
        </row>
        <row r="191">
          <cell r="D191" t="str">
            <v>Morning Sun</v>
          </cell>
        </row>
        <row r="192">
          <cell r="D192" t="str">
            <v>Moulton-Udell</v>
          </cell>
        </row>
        <row r="193">
          <cell r="D193" t="str">
            <v>Mount Ayr</v>
          </cell>
        </row>
        <row r="194">
          <cell r="D194" t="str">
            <v>Mount Pleasant</v>
          </cell>
        </row>
        <row r="195">
          <cell r="D195" t="str">
            <v>Mount Vernon</v>
          </cell>
        </row>
        <row r="196">
          <cell r="D196" t="str">
            <v>Murray</v>
          </cell>
        </row>
        <row r="197">
          <cell r="D197" t="str">
            <v>Muscatine</v>
          </cell>
        </row>
        <row r="198">
          <cell r="D198" t="str">
            <v>Nashua-Plainfield</v>
          </cell>
        </row>
        <row r="199">
          <cell r="D199" t="str">
            <v>Nevada</v>
          </cell>
        </row>
        <row r="200">
          <cell r="D200" t="str">
            <v>New Hampton</v>
          </cell>
        </row>
        <row r="201">
          <cell r="D201" t="str">
            <v>New London</v>
          </cell>
        </row>
        <row r="202">
          <cell r="D202" t="str">
            <v>Newell-Fonda</v>
          </cell>
        </row>
        <row r="203">
          <cell r="D203" t="str">
            <v>Newton</v>
          </cell>
        </row>
        <row r="204">
          <cell r="D204" t="str">
            <v>Nodaway Valley</v>
          </cell>
        </row>
        <row r="205">
          <cell r="D205" t="str">
            <v>North Butler</v>
          </cell>
        </row>
        <row r="206">
          <cell r="D206" t="str">
            <v>North Cedar</v>
          </cell>
        </row>
        <row r="207">
          <cell r="D207" t="str">
            <v>North Fayette Valley</v>
          </cell>
        </row>
        <row r="208">
          <cell r="D208" t="str">
            <v>North Iowa</v>
          </cell>
        </row>
        <row r="209">
          <cell r="D209" t="str">
            <v>North Kossuth</v>
          </cell>
        </row>
        <row r="210">
          <cell r="D210" t="str">
            <v>North Linn</v>
          </cell>
        </row>
        <row r="211">
          <cell r="D211" t="str">
            <v>North Mahaska</v>
          </cell>
        </row>
        <row r="212">
          <cell r="D212" t="str">
            <v>North Polk</v>
          </cell>
        </row>
        <row r="213">
          <cell r="D213" t="str">
            <v>North Scott</v>
          </cell>
        </row>
        <row r="214">
          <cell r="D214" t="str">
            <v>North Tama</v>
          </cell>
        </row>
        <row r="215">
          <cell r="D215" t="str">
            <v>North Union</v>
          </cell>
        </row>
        <row r="216">
          <cell r="D216" t="str">
            <v>Northeast</v>
          </cell>
        </row>
        <row r="217">
          <cell r="D217" t="str">
            <v>Northwood-Kensett</v>
          </cell>
        </row>
        <row r="218">
          <cell r="D218" t="str">
            <v>Norwalk</v>
          </cell>
        </row>
        <row r="219">
          <cell r="D219" t="str">
            <v>Odebolt Arthur Battle Creek Ida Grove</v>
          </cell>
        </row>
        <row r="220">
          <cell r="D220" t="str">
            <v>Oelwein</v>
          </cell>
        </row>
        <row r="221">
          <cell r="D221" t="str">
            <v>Ogden</v>
          </cell>
        </row>
        <row r="222">
          <cell r="D222" t="str">
            <v>Okoboji</v>
          </cell>
        </row>
        <row r="223">
          <cell r="D223" t="str">
            <v>Olin</v>
          </cell>
        </row>
        <row r="224">
          <cell r="D224" t="str">
            <v>Orient-Macksburg</v>
          </cell>
        </row>
        <row r="225">
          <cell r="D225" t="str">
            <v>Osage</v>
          </cell>
        </row>
        <row r="226">
          <cell r="D226" t="str">
            <v>Oskaloosa</v>
          </cell>
        </row>
        <row r="227">
          <cell r="D227" t="str">
            <v>Ottumwa</v>
          </cell>
        </row>
        <row r="228">
          <cell r="D228" t="str">
            <v>PCM</v>
          </cell>
        </row>
        <row r="229">
          <cell r="D229" t="str">
            <v>Panorama</v>
          </cell>
        </row>
        <row r="230">
          <cell r="D230" t="str">
            <v>Paton-Churdan</v>
          </cell>
        </row>
        <row r="231">
          <cell r="D231" t="str">
            <v>Pekin</v>
          </cell>
        </row>
        <row r="232">
          <cell r="D232" t="str">
            <v>Pella</v>
          </cell>
        </row>
        <row r="233">
          <cell r="D233" t="str">
            <v>Perry</v>
          </cell>
        </row>
        <row r="234">
          <cell r="D234" t="str">
            <v>Pleasant Valley</v>
          </cell>
        </row>
        <row r="235">
          <cell r="D235" t="str">
            <v>Pleasantville</v>
          </cell>
        </row>
        <row r="236">
          <cell r="D236" t="str">
            <v>Pocahontas Area</v>
          </cell>
        </row>
        <row r="237">
          <cell r="D237" t="str">
            <v>Postville</v>
          </cell>
        </row>
        <row r="238">
          <cell r="D238" t="str">
            <v>Prairie Valley</v>
          </cell>
        </row>
        <row r="239">
          <cell r="D239" t="str">
            <v>Red Oak</v>
          </cell>
        </row>
        <row r="240">
          <cell r="D240" t="str">
            <v>Remsen-Union</v>
          </cell>
        </row>
        <row r="241">
          <cell r="D241" t="str">
            <v>Riceville</v>
          </cell>
        </row>
        <row r="242">
          <cell r="D242" t="str">
            <v>River Valley</v>
          </cell>
        </row>
        <row r="243">
          <cell r="D243" t="str">
            <v>Riverside</v>
          </cell>
        </row>
        <row r="244">
          <cell r="D244" t="str">
            <v>Rock Valley</v>
          </cell>
        </row>
        <row r="245">
          <cell r="D245" t="str">
            <v>Roland-Story</v>
          </cell>
        </row>
        <row r="246">
          <cell r="D246" t="str">
            <v>Rudd-Rockford-Marble Rock</v>
          </cell>
        </row>
        <row r="247">
          <cell r="D247" t="str">
            <v>Ruthven-Ayrshire</v>
          </cell>
        </row>
        <row r="248">
          <cell r="D248" t="str">
            <v>Saydel</v>
          </cell>
        </row>
        <row r="249">
          <cell r="D249" t="str">
            <v>Schaller-Crestland</v>
          </cell>
        </row>
        <row r="250">
          <cell r="D250" t="str">
            <v>Schleswig</v>
          </cell>
        </row>
        <row r="251">
          <cell r="D251" t="str">
            <v>Sergeant Bluff-Luton</v>
          </cell>
        </row>
        <row r="252">
          <cell r="D252" t="str">
            <v>Seymour</v>
          </cell>
        </row>
        <row r="253">
          <cell r="D253" t="str">
            <v>Sheldon</v>
          </cell>
        </row>
        <row r="254">
          <cell r="D254" t="str">
            <v>Shenandoah</v>
          </cell>
        </row>
        <row r="255">
          <cell r="D255" t="str">
            <v>Sibley-Ocheyedan</v>
          </cell>
        </row>
        <row r="256">
          <cell r="D256" t="str">
            <v>Sidney</v>
          </cell>
        </row>
        <row r="257">
          <cell r="D257" t="str">
            <v>Sigourney</v>
          </cell>
        </row>
        <row r="258">
          <cell r="D258" t="str">
            <v>Sioux Center</v>
          </cell>
        </row>
        <row r="259">
          <cell r="D259" t="str">
            <v>Sioux Central</v>
          </cell>
        </row>
        <row r="260">
          <cell r="D260" t="str">
            <v>Sioux City</v>
          </cell>
        </row>
        <row r="261">
          <cell r="D261" t="str">
            <v>Solon</v>
          </cell>
        </row>
        <row r="262">
          <cell r="D262" t="str">
            <v>South Central Calhoun</v>
          </cell>
        </row>
        <row r="263">
          <cell r="D263" t="str">
            <v>South Hamilton</v>
          </cell>
        </row>
        <row r="264">
          <cell r="D264" t="str">
            <v>South O'Brien</v>
          </cell>
        </row>
        <row r="265">
          <cell r="D265" t="str">
            <v>South Page</v>
          </cell>
        </row>
        <row r="266">
          <cell r="D266" t="str">
            <v>South Tama</v>
          </cell>
        </row>
        <row r="267">
          <cell r="D267" t="str">
            <v>South Winneshiek</v>
          </cell>
        </row>
        <row r="268">
          <cell r="D268" t="str">
            <v>Southeast Polk</v>
          </cell>
        </row>
        <row r="269">
          <cell r="D269" t="str">
            <v>Southeast Warren</v>
          </cell>
        </row>
        <row r="270">
          <cell r="D270" t="str">
            <v>Southeast Webster-Grand</v>
          </cell>
        </row>
        <row r="271">
          <cell r="D271" t="str">
            <v>Spencer</v>
          </cell>
        </row>
        <row r="272">
          <cell r="D272" t="str">
            <v>Spirit Lake</v>
          </cell>
        </row>
        <row r="273">
          <cell r="D273" t="str">
            <v>Springville</v>
          </cell>
        </row>
        <row r="274">
          <cell r="D274" t="str">
            <v>St Ansgar</v>
          </cell>
        </row>
        <row r="275">
          <cell r="D275" t="str">
            <v>Stanton</v>
          </cell>
        </row>
        <row r="276">
          <cell r="D276" t="str">
            <v>Starmont</v>
          </cell>
        </row>
        <row r="277">
          <cell r="D277" t="str">
            <v>Storm Lake</v>
          </cell>
        </row>
        <row r="278">
          <cell r="D278" t="str">
            <v>Stratford</v>
          </cell>
        </row>
        <row r="279">
          <cell r="D279" t="str">
            <v>Sumner-Fredericksburg</v>
          </cell>
        </row>
        <row r="280">
          <cell r="D280" t="str">
            <v>Tipton</v>
          </cell>
        </row>
        <row r="281">
          <cell r="D281" t="str">
            <v>Treynor</v>
          </cell>
        </row>
        <row r="282">
          <cell r="D282" t="str">
            <v>Tri-Center</v>
          </cell>
        </row>
        <row r="283">
          <cell r="D283" t="str">
            <v>Tri-County</v>
          </cell>
        </row>
        <row r="284">
          <cell r="D284" t="str">
            <v>Tripoli</v>
          </cell>
        </row>
        <row r="285">
          <cell r="D285" t="str">
            <v>Turkey Valley</v>
          </cell>
        </row>
        <row r="286">
          <cell r="D286" t="str">
            <v>Twin Cedars</v>
          </cell>
        </row>
        <row r="287">
          <cell r="D287" t="str">
            <v>Twin Rivers</v>
          </cell>
        </row>
        <row r="288">
          <cell r="D288" t="str">
            <v>Underwood</v>
          </cell>
        </row>
        <row r="289">
          <cell r="D289" t="str">
            <v>Union</v>
          </cell>
        </row>
        <row r="290">
          <cell r="D290" t="str">
            <v>United</v>
          </cell>
        </row>
        <row r="291">
          <cell r="D291" t="str">
            <v>Urbandale</v>
          </cell>
        </row>
        <row r="292">
          <cell r="D292" t="str">
            <v>Van Buren County</v>
          </cell>
        </row>
        <row r="293">
          <cell r="D293" t="str">
            <v>Van Meter</v>
          </cell>
        </row>
        <row r="294">
          <cell r="D294" t="str">
            <v>Villisca</v>
          </cell>
        </row>
        <row r="295">
          <cell r="D295" t="str">
            <v>Vinton-Shellsburg</v>
          </cell>
        </row>
        <row r="296">
          <cell r="D296" t="str">
            <v>Waco</v>
          </cell>
        </row>
        <row r="297">
          <cell r="D297" t="str">
            <v>Wapello</v>
          </cell>
        </row>
        <row r="298">
          <cell r="D298" t="str">
            <v>Wapsie Valley</v>
          </cell>
        </row>
        <row r="299">
          <cell r="D299" t="str">
            <v>Washington</v>
          </cell>
        </row>
        <row r="300">
          <cell r="D300" t="str">
            <v>Waterloo</v>
          </cell>
        </row>
        <row r="301">
          <cell r="D301" t="str">
            <v>Waukee</v>
          </cell>
        </row>
        <row r="302">
          <cell r="D302" t="str">
            <v>Waverly-Shell Rock</v>
          </cell>
        </row>
        <row r="303">
          <cell r="D303" t="str">
            <v>Wayne</v>
          </cell>
        </row>
        <row r="304">
          <cell r="D304" t="str">
            <v>Webster City</v>
          </cell>
        </row>
        <row r="305">
          <cell r="D305" t="str">
            <v>West Bend-Mallard</v>
          </cell>
        </row>
        <row r="306">
          <cell r="D306" t="str">
            <v>West Branch</v>
          </cell>
        </row>
        <row r="307">
          <cell r="D307" t="str">
            <v>West Burlington</v>
          </cell>
        </row>
        <row r="308">
          <cell r="D308" t="str">
            <v>West Central</v>
          </cell>
        </row>
        <row r="309">
          <cell r="D309" t="str">
            <v>West Central Valley</v>
          </cell>
        </row>
        <row r="310">
          <cell r="D310" t="str">
            <v>West Delaware Co</v>
          </cell>
        </row>
        <row r="311">
          <cell r="D311" t="str">
            <v>West Des Moines</v>
          </cell>
        </row>
        <row r="312">
          <cell r="D312" t="str">
            <v>West Fork</v>
          </cell>
        </row>
        <row r="313">
          <cell r="D313" t="str">
            <v>West Hancock</v>
          </cell>
        </row>
        <row r="314">
          <cell r="D314" t="str">
            <v>West Harrison</v>
          </cell>
        </row>
        <row r="315">
          <cell r="D315" t="str">
            <v>West Liberty</v>
          </cell>
        </row>
        <row r="316">
          <cell r="D316" t="str">
            <v>West Lyon</v>
          </cell>
        </row>
        <row r="317">
          <cell r="D317" t="str">
            <v>West Marshall</v>
          </cell>
        </row>
        <row r="318">
          <cell r="D318" t="str">
            <v>West Monona</v>
          </cell>
        </row>
        <row r="319">
          <cell r="D319" t="str">
            <v>West Sioux</v>
          </cell>
        </row>
        <row r="320">
          <cell r="D320" t="str">
            <v>Western Dubuque Co</v>
          </cell>
        </row>
        <row r="321">
          <cell r="D321" t="str">
            <v>Westwood</v>
          </cell>
        </row>
        <row r="322">
          <cell r="D322" t="str">
            <v>Whiting</v>
          </cell>
        </row>
        <row r="323">
          <cell r="D323" t="str">
            <v>Williamsburg</v>
          </cell>
        </row>
        <row r="324">
          <cell r="D324" t="str">
            <v>Wilton</v>
          </cell>
        </row>
        <row r="325">
          <cell r="D325" t="str">
            <v>Winfield-Mt Union</v>
          </cell>
        </row>
        <row r="326">
          <cell r="D326" t="str">
            <v>Winterset</v>
          </cell>
        </row>
        <row r="327">
          <cell r="D327" t="str">
            <v>Woodbine</v>
          </cell>
        </row>
        <row r="328">
          <cell r="D328" t="str">
            <v>Woodbury Central</v>
          </cell>
        </row>
        <row r="329">
          <cell r="D329" t="str">
            <v>Woodward-Granger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I5">
            <v>1</v>
          </cell>
        </row>
        <row r="6">
          <cell r="I6">
            <v>0.99</v>
          </cell>
        </row>
        <row r="7">
          <cell r="I7">
            <v>0.98</v>
          </cell>
        </row>
        <row r="8">
          <cell r="I8">
            <v>0.97</v>
          </cell>
        </row>
        <row r="9">
          <cell r="I9">
            <v>0.96</v>
          </cell>
        </row>
        <row r="10">
          <cell r="I10">
            <v>0.95</v>
          </cell>
        </row>
        <row r="11">
          <cell r="I11">
            <v>0.94</v>
          </cell>
        </row>
        <row r="12">
          <cell r="I12">
            <v>0.93</v>
          </cell>
        </row>
        <row r="13">
          <cell r="I13">
            <v>0.92</v>
          </cell>
        </row>
        <row r="14">
          <cell r="I14">
            <v>0.91</v>
          </cell>
        </row>
        <row r="15">
          <cell r="I15">
            <v>0.9</v>
          </cell>
        </row>
        <row r="16">
          <cell r="I16">
            <v>0.89</v>
          </cell>
        </row>
        <row r="17">
          <cell r="I17">
            <v>0.88</v>
          </cell>
        </row>
        <row r="18">
          <cell r="I18">
            <v>0.87</v>
          </cell>
        </row>
        <row r="19">
          <cell r="I19">
            <v>0.86</v>
          </cell>
        </row>
        <row r="20">
          <cell r="I20">
            <v>0.85</v>
          </cell>
        </row>
        <row r="21">
          <cell r="I21">
            <v>0.84</v>
          </cell>
        </row>
        <row r="22">
          <cell r="I22">
            <v>0.83</v>
          </cell>
        </row>
        <row r="23">
          <cell r="I23">
            <v>0.82</v>
          </cell>
        </row>
        <row r="24">
          <cell r="I24">
            <v>0.81</v>
          </cell>
        </row>
        <row r="25">
          <cell r="I25">
            <v>0.8</v>
          </cell>
        </row>
        <row r="26">
          <cell r="I26">
            <v>0.79</v>
          </cell>
        </row>
        <row r="27">
          <cell r="I27">
            <v>0.78</v>
          </cell>
        </row>
        <row r="28">
          <cell r="I28">
            <v>0.77</v>
          </cell>
        </row>
        <row r="29">
          <cell r="I29">
            <v>0.76</v>
          </cell>
        </row>
        <row r="30">
          <cell r="I30">
            <v>0.75</v>
          </cell>
        </row>
        <row r="31">
          <cell r="I31">
            <v>0.74</v>
          </cell>
        </row>
        <row r="32">
          <cell r="I32">
            <v>0.73</v>
          </cell>
        </row>
        <row r="33">
          <cell r="I33">
            <v>0.72</v>
          </cell>
        </row>
        <row r="34">
          <cell r="I34">
            <v>0.71</v>
          </cell>
        </row>
        <row r="35">
          <cell r="I35">
            <v>0.7</v>
          </cell>
        </row>
        <row r="36">
          <cell r="I36">
            <v>0.69</v>
          </cell>
        </row>
        <row r="37">
          <cell r="I37">
            <v>0.68</v>
          </cell>
        </row>
        <row r="38">
          <cell r="I38">
            <v>0.67</v>
          </cell>
        </row>
        <row r="39">
          <cell r="I39">
            <v>0.66</v>
          </cell>
        </row>
        <row r="40">
          <cell r="I40">
            <v>0.65</v>
          </cell>
        </row>
        <row r="41">
          <cell r="I41">
            <v>0.64</v>
          </cell>
        </row>
        <row r="42">
          <cell r="I42">
            <v>0.63</v>
          </cell>
        </row>
        <row r="43">
          <cell r="I43">
            <v>0.62</v>
          </cell>
        </row>
        <row r="44">
          <cell r="I44">
            <v>0.61</v>
          </cell>
        </row>
        <row r="45">
          <cell r="I45">
            <v>0.6</v>
          </cell>
        </row>
        <row r="46">
          <cell r="I46">
            <v>0.59</v>
          </cell>
        </row>
        <row r="47">
          <cell r="I47">
            <v>0.57999999999999996</v>
          </cell>
        </row>
        <row r="48">
          <cell r="I48">
            <v>0.56999999999999995</v>
          </cell>
        </row>
        <row r="49">
          <cell r="I49">
            <v>0.56000000000000005</v>
          </cell>
        </row>
        <row r="50">
          <cell r="I50">
            <v>0.55000000000000004</v>
          </cell>
        </row>
        <row r="51">
          <cell r="I51">
            <v>0.54</v>
          </cell>
        </row>
        <row r="52">
          <cell r="I52">
            <v>0.53</v>
          </cell>
        </row>
        <row r="53">
          <cell r="I53">
            <v>0.52</v>
          </cell>
        </row>
        <row r="54">
          <cell r="I54">
            <v>0.51</v>
          </cell>
        </row>
        <row r="55">
          <cell r="I55">
            <v>0.5</v>
          </cell>
        </row>
        <row r="56">
          <cell r="I56">
            <v>0.49</v>
          </cell>
        </row>
        <row r="57">
          <cell r="I57">
            <v>0.48</v>
          </cell>
        </row>
        <row r="58">
          <cell r="I58">
            <v>0.47</v>
          </cell>
        </row>
        <row r="59">
          <cell r="I59">
            <v>0.46</v>
          </cell>
        </row>
        <row r="60">
          <cell r="I60">
            <v>0.45</v>
          </cell>
        </row>
        <row r="61">
          <cell r="I61">
            <v>0.44</v>
          </cell>
        </row>
        <row r="62">
          <cell r="I62">
            <v>0.43</v>
          </cell>
        </row>
        <row r="63">
          <cell r="I63">
            <v>0.42</v>
          </cell>
        </row>
        <row r="64">
          <cell r="I64">
            <v>0.41</v>
          </cell>
        </row>
        <row r="65">
          <cell r="I65">
            <v>0.4</v>
          </cell>
        </row>
        <row r="66">
          <cell r="I66">
            <v>0.39</v>
          </cell>
        </row>
        <row r="67">
          <cell r="I67">
            <v>0.38</v>
          </cell>
        </row>
        <row r="68">
          <cell r="I68">
            <v>0.37</v>
          </cell>
        </row>
        <row r="69">
          <cell r="I69">
            <v>0.36</v>
          </cell>
        </row>
        <row r="70">
          <cell r="I70">
            <v>0.35</v>
          </cell>
        </row>
        <row r="71">
          <cell r="I71">
            <v>0.34</v>
          </cell>
        </row>
        <row r="72">
          <cell r="I72">
            <v>0.33</v>
          </cell>
        </row>
        <row r="73">
          <cell r="I73">
            <v>0.32</v>
          </cell>
        </row>
        <row r="74">
          <cell r="I74">
            <v>0.31</v>
          </cell>
        </row>
        <row r="75">
          <cell r="I75">
            <v>0.3</v>
          </cell>
        </row>
        <row r="76">
          <cell r="I76">
            <v>0.28999999999999998</v>
          </cell>
        </row>
        <row r="77">
          <cell r="I77">
            <v>0.28000000000000003</v>
          </cell>
        </row>
        <row r="78">
          <cell r="I78">
            <v>0.27</v>
          </cell>
        </row>
        <row r="79">
          <cell r="I79">
            <v>0.26</v>
          </cell>
        </row>
        <row r="80">
          <cell r="I80">
            <v>0.25</v>
          </cell>
        </row>
        <row r="81">
          <cell r="I81">
            <v>0.24</v>
          </cell>
        </row>
        <row r="82">
          <cell r="I82">
            <v>0.23</v>
          </cell>
        </row>
        <row r="83">
          <cell r="I83">
            <v>0.22</v>
          </cell>
        </row>
        <row r="84">
          <cell r="I84">
            <v>0.21</v>
          </cell>
        </row>
        <row r="85">
          <cell r="I85">
            <v>0.2</v>
          </cell>
        </row>
        <row r="86">
          <cell r="I86">
            <v>0.189999999999999</v>
          </cell>
        </row>
        <row r="87">
          <cell r="I87">
            <v>0.17999999999999899</v>
          </cell>
        </row>
        <row r="88">
          <cell r="I88">
            <v>0.16999999999999901</v>
          </cell>
        </row>
        <row r="89">
          <cell r="I89">
            <v>0.159999999999999</v>
          </cell>
        </row>
        <row r="90">
          <cell r="I90">
            <v>0.149999999999999</v>
          </cell>
        </row>
        <row r="91">
          <cell r="I91">
            <v>0.13999999999999899</v>
          </cell>
        </row>
        <row r="92">
          <cell r="I92">
            <v>0.12999999999999901</v>
          </cell>
        </row>
        <row r="93">
          <cell r="I93">
            <v>0.119999999999999</v>
          </cell>
        </row>
        <row r="94">
          <cell r="I94">
            <v>0.109999999999999</v>
          </cell>
        </row>
        <row r="95">
          <cell r="I95">
            <v>9.9999999999999006E-2</v>
          </cell>
        </row>
        <row r="96">
          <cell r="I96">
            <v>8.9999999999998997E-2</v>
          </cell>
        </row>
        <row r="97">
          <cell r="I97">
            <v>7.9999999999999002E-2</v>
          </cell>
        </row>
        <row r="98">
          <cell r="I98">
            <v>6.9999999999999105E-2</v>
          </cell>
        </row>
        <row r="99">
          <cell r="I99">
            <v>5.9999999999999103E-2</v>
          </cell>
        </row>
        <row r="100">
          <cell r="I100">
            <v>4.9999999999998997E-2</v>
          </cell>
        </row>
        <row r="101">
          <cell r="I101">
            <v>3.9999999999999002E-2</v>
          </cell>
        </row>
        <row r="102">
          <cell r="I102">
            <v>2.9999999999999E-2</v>
          </cell>
        </row>
        <row r="103">
          <cell r="I103">
            <v>1.9999999999999001E-2</v>
          </cell>
        </row>
        <row r="104">
          <cell r="I104">
            <v>9.9999999999990097E-3</v>
          </cell>
        </row>
        <row r="105">
          <cell r="I105">
            <v>-9.9920072216264108E-16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workbookViewId="0">
      <pane xSplit="2" ySplit="2" topLeftCell="C295" activePane="bottomRight" state="frozen"/>
      <selection pane="topRight" activeCell="C1" sqref="C1"/>
      <selection pane="bottomLeft" activeCell="A4" sqref="A4"/>
      <selection pane="bottomRight" activeCell="E321" sqref="E321"/>
    </sheetView>
  </sheetViews>
  <sheetFormatPr defaultRowHeight="12" x14ac:dyDescent="0.2"/>
  <cols>
    <col min="1" max="1" width="5.85546875" style="111" customWidth="1"/>
    <col min="2" max="2" width="32.42578125" style="112" customWidth="1"/>
    <col min="3" max="4" width="9.42578125" style="22" customWidth="1"/>
    <col min="5" max="5" width="9.28515625" style="22" customWidth="1"/>
    <col min="6" max="6" width="1.42578125" style="22" customWidth="1"/>
    <col min="7" max="7" width="11" style="113" customWidth="1"/>
    <col min="8" max="8" width="12.5703125" style="113" customWidth="1"/>
    <col min="9" max="16384" width="9.140625" style="112"/>
  </cols>
  <sheetData>
    <row r="1" spans="1:8" s="110" customFormat="1" ht="29.25" customHeight="1" x14ac:dyDescent="0.2">
      <c r="A1" s="141" t="str">
        <f>CONCATENATE("FY ",Calculation!$P$1," At-Risk Supplementary Weighting Formula")</f>
        <v>FY 2021 At-Risk Supplementary Weighting Formula</v>
      </c>
      <c r="B1" s="141"/>
      <c r="C1" s="140" t="s">
        <v>24</v>
      </c>
      <c r="D1" s="140"/>
      <c r="E1" s="140"/>
      <c r="F1" s="117"/>
      <c r="G1" s="108"/>
      <c r="H1" s="109"/>
    </row>
    <row r="2" spans="1:8" s="110" customFormat="1" ht="42" customHeight="1" x14ac:dyDescent="0.2">
      <c r="A2" s="138" t="s">
        <v>794</v>
      </c>
      <c r="B2" s="139"/>
      <c r="C2" s="114" t="s">
        <v>793</v>
      </c>
      <c r="D2" s="114" t="s">
        <v>4</v>
      </c>
      <c r="E2" s="114" t="s">
        <v>792</v>
      </c>
      <c r="F2" s="118"/>
      <c r="G2" s="115" t="str">
        <f>CONCATENATE("FY ",Calculation!$P$1,
" District Cost
Per Pupil")</f>
        <v>FY 2021 District Cost
Per Pupil</v>
      </c>
      <c r="H2" s="116" t="s">
        <v>791</v>
      </c>
    </row>
    <row r="3" spans="1:8" x14ac:dyDescent="0.2">
      <c r="A3" s="119" t="str">
        <f>StartupfileInput!A2</f>
        <v>0009</v>
      </c>
      <c r="B3" s="120" t="str">
        <f>INDEX(Calculation!$A$4:$M$330,MATCH(Summary!$A3,Calculation!$A$4:$A$330,0),3)</f>
        <v>AGWSR</v>
      </c>
      <c r="C3" s="120">
        <f>INDEX(Calculation!$A$4:$M$330,MATCH(Summary!$A3,Calculation!$A$4:$A$330,0),6)</f>
        <v>1.88</v>
      </c>
      <c r="D3" s="120">
        <f>INDEX(Calculation!$A$4:$M$330,MATCH(Summary!$A3,Calculation!$A$4:$A$330,0),7)</f>
        <v>1.3160000000000001</v>
      </c>
      <c r="E3" s="121">
        <f>SUM(C3:D3)</f>
        <v>3.1959999999999997</v>
      </c>
      <c r="F3" s="122"/>
      <c r="G3" s="123">
        <f>INDEX(Calculation!$A$4:$M$330,MATCH(Summary!$A3,Calculation!$A$4:$A$330,0),10)</f>
        <v>7138</v>
      </c>
      <c r="H3" s="123">
        <f>ROUND(E3*G3,0)</f>
        <v>22813</v>
      </c>
    </row>
    <row r="4" spans="1:8" x14ac:dyDescent="0.2">
      <c r="A4" s="119" t="str">
        <f>StartupfileInput!A3</f>
        <v>0441</v>
      </c>
      <c r="B4" s="120" t="str">
        <f>INDEX(Calculation!$A$4:$M$330,MATCH(Summary!$A4,Calculation!$A$4:$A$330,0),3)</f>
        <v>AHSTW</v>
      </c>
      <c r="C4" s="120">
        <f>INDEX(Calculation!$A$4:$M$330,MATCH(Summary!$A4,Calculation!$A$4:$A$330,0),6)</f>
        <v>2.101</v>
      </c>
      <c r="D4" s="120">
        <f>INDEX(Calculation!$A$4:$M$330,MATCH(Summary!$A4,Calculation!$A$4:$A$330,0),7)</f>
        <v>1.593</v>
      </c>
      <c r="E4" s="121">
        <f t="shared" ref="E4:E67" si="0">SUM(C4:D4)</f>
        <v>3.694</v>
      </c>
      <c r="F4" s="122"/>
      <c r="G4" s="123">
        <f>INDEX(Calculation!$A$4:$M$330,MATCH(Summary!$A4,Calculation!$A$4:$A$330,0),10)</f>
        <v>7073</v>
      </c>
      <c r="H4" s="123">
        <f t="shared" ref="H4:H67" si="1">ROUND(E4*G4,0)</f>
        <v>26128</v>
      </c>
    </row>
    <row r="5" spans="1:8" x14ac:dyDescent="0.2">
      <c r="A5" s="119" t="str">
        <f>StartupfileInput!A4</f>
        <v>0018</v>
      </c>
      <c r="B5" s="120" t="str">
        <f>INDEX(Calculation!$A$4:$M$330,MATCH(Summary!$A5,Calculation!$A$4:$A$330,0),3)</f>
        <v>Adair-Casey</v>
      </c>
      <c r="C5" s="120">
        <f>INDEX(Calculation!$A$4:$M$330,MATCH(Summary!$A5,Calculation!$A$4:$A$330,0),6)</f>
        <v>0.85099999999999998</v>
      </c>
      <c r="D5" s="120">
        <f>INDEX(Calculation!$A$4:$M$330,MATCH(Summary!$A5,Calculation!$A$4:$A$330,0),7)</f>
        <v>0.60699999999999998</v>
      </c>
      <c r="E5" s="121">
        <f t="shared" si="0"/>
        <v>1.458</v>
      </c>
      <c r="F5" s="122"/>
      <c r="G5" s="123">
        <f>INDEX(Calculation!$A$4:$M$330,MATCH(Summary!$A5,Calculation!$A$4:$A$330,0),10)</f>
        <v>7048</v>
      </c>
      <c r="H5" s="123">
        <f t="shared" si="1"/>
        <v>10276</v>
      </c>
    </row>
    <row r="6" spans="1:8" x14ac:dyDescent="0.2">
      <c r="A6" s="119" t="str">
        <f>StartupfileInput!A5</f>
        <v>0027</v>
      </c>
      <c r="B6" s="120" t="str">
        <f>INDEX(Calculation!$A$4:$M$330,MATCH(Summary!$A6,Calculation!$A$4:$A$330,0),3)</f>
        <v>Adel-Desoto-Minburn</v>
      </c>
      <c r="C6" s="120">
        <f>INDEX(Calculation!$A$4:$M$330,MATCH(Summary!$A6,Calculation!$A$4:$A$330,0),6)</f>
        <v>2.44</v>
      </c>
      <c r="D6" s="120">
        <f>INDEX(Calculation!$A$4:$M$330,MATCH(Summary!$A6,Calculation!$A$4:$A$330,0),7)</f>
        <v>3.9420000000000002</v>
      </c>
      <c r="E6" s="121">
        <f t="shared" si="0"/>
        <v>6.3819999999999997</v>
      </c>
      <c r="F6" s="122"/>
      <c r="G6" s="123">
        <f>INDEX(Calculation!$A$4:$M$330,MATCH(Summary!$A6,Calculation!$A$4:$A$330,0),10)</f>
        <v>7048</v>
      </c>
      <c r="H6" s="123">
        <f t="shared" si="1"/>
        <v>44980</v>
      </c>
    </row>
    <row r="7" spans="1:8" x14ac:dyDescent="0.2">
      <c r="A7" s="119" t="str">
        <f>StartupfileInput!A6</f>
        <v>0063</v>
      </c>
      <c r="B7" s="120" t="str">
        <f>INDEX(Calculation!$A$4:$M$330,MATCH(Summary!$A7,Calculation!$A$4:$A$330,0),3)</f>
        <v>Akron-Westfield</v>
      </c>
      <c r="C7" s="120">
        <f>INDEX(Calculation!$A$4:$M$330,MATCH(Summary!$A7,Calculation!$A$4:$A$330,0),6)</f>
        <v>1.3260000000000001</v>
      </c>
      <c r="D7" s="120">
        <f>INDEX(Calculation!$A$4:$M$330,MATCH(Summary!$A7,Calculation!$A$4:$A$330,0),7)</f>
        <v>1.1779999999999999</v>
      </c>
      <c r="E7" s="121">
        <f t="shared" si="0"/>
        <v>2.504</v>
      </c>
      <c r="F7" s="122"/>
      <c r="G7" s="123">
        <f>INDEX(Calculation!$A$4:$M$330,MATCH(Summary!$A7,Calculation!$A$4:$A$330,0),10)</f>
        <v>7079</v>
      </c>
      <c r="H7" s="123">
        <f t="shared" si="1"/>
        <v>17726</v>
      </c>
    </row>
    <row r="8" spans="1:8" x14ac:dyDescent="0.2">
      <c r="A8" s="119" t="str">
        <f>StartupfileInput!A7</f>
        <v>0072</v>
      </c>
      <c r="B8" s="120" t="str">
        <f>INDEX(Calculation!$A$4:$M$330,MATCH(Summary!$A8,Calculation!$A$4:$A$330,0),3)</f>
        <v>Albert City-Truesdale</v>
      </c>
      <c r="C8" s="120">
        <f>INDEX(Calculation!$A$4:$M$330,MATCH(Summary!$A8,Calculation!$A$4:$A$330,0),6)</f>
        <v>0.624</v>
      </c>
      <c r="D8" s="120">
        <f>INDEX(Calculation!$A$4:$M$330,MATCH(Summary!$A8,Calculation!$A$4:$A$330,0),7)</f>
        <v>0.442</v>
      </c>
      <c r="E8" s="121">
        <f t="shared" si="0"/>
        <v>1.0660000000000001</v>
      </c>
      <c r="F8" s="122"/>
      <c r="G8" s="123">
        <f>INDEX(Calculation!$A$4:$M$330,MATCH(Summary!$A8,Calculation!$A$4:$A$330,0),10)</f>
        <v>7109</v>
      </c>
      <c r="H8" s="123">
        <f t="shared" si="1"/>
        <v>7578</v>
      </c>
    </row>
    <row r="9" spans="1:8" x14ac:dyDescent="0.2">
      <c r="A9" s="119" t="str">
        <f>StartupfileInput!A8</f>
        <v>0081</v>
      </c>
      <c r="B9" s="120" t="str">
        <f>INDEX(Calculation!$A$4:$M$330,MATCH(Summary!$A9,Calculation!$A$4:$A$330,0),3)</f>
        <v>Albia</v>
      </c>
      <c r="C9" s="120">
        <f>INDEX(Calculation!$A$4:$M$330,MATCH(Summary!$A9,Calculation!$A$4:$A$330,0),6)</f>
        <v>2.95</v>
      </c>
      <c r="D9" s="120">
        <f>INDEX(Calculation!$A$4:$M$330,MATCH(Summary!$A9,Calculation!$A$4:$A$330,0),7)</f>
        <v>2.3479999999999999</v>
      </c>
      <c r="E9" s="121">
        <f t="shared" si="0"/>
        <v>5.298</v>
      </c>
      <c r="F9" s="122"/>
      <c r="G9" s="123">
        <f>INDEX(Calculation!$A$4:$M$330,MATCH(Summary!$A9,Calculation!$A$4:$A$330,0),10)</f>
        <v>7048</v>
      </c>
      <c r="H9" s="123">
        <f t="shared" si="1"/>
        <v>37340</v>
      </c>
    </row>
    <row r="10" spans="1:8" x14ac:dyDescent="0.2">
      <c r="A10" s="119" t="str">
        <f>StartupfileInput!A9</f>
        <v>0099</v>
      </c>
      <c r="B10" s="120" t="str">
        <f>INDEX(Calculation!$A$4:$M$330,MATCH(Summary!$A10,Calculation!$A$4:$A$330,0),3)</f>
        <v>Alburnett</v>
      </c>
      <c r="C10" s="120">
        <f>INDEX(Calculation!$A$4:$M$330,MATCH(Summary!$A10,Calculation!$A$4:$A$330,0),6)</f>
        <v>0.67300000000000004</v>
      </c>
      <c r="D10" s="120">
        <f>INDEX(Calculation!$A$4:$M$330,MATCH(Summary!$A10,Calculation!$A$4:$A$330,0),7)</f>
        <v>1.044</v>
      </c>
      <c r="E10" s="121">
        <f t="shared" si="0"/>
        <v>1.7170000000000001</v>
      </c>
      <c r="F10" s="122"/>
      <c r="G10" s="123">
        <f>INDEX(Calculation!$A$4:$M$330,MATCH(Summary!$A10,Calculation!$A$4:$A$330,0),10)</f>
        <v>7048</v>
      </c>
      <c r="H10" s="123">
        <f t="shared" si="1"/>
        <v>12101</v>
      </c>
    </row>
    <row r="11" spans="1:8" x14ac:dyDescent="0.2">
      <c r="A11" s="119" t="str">
        <f>StartupfileInput!A10</f>
        <v>0108</v>
      </c>
      <c r="B11" s="120" t="str">
        <f>INDEX(Calculation!$A$4:$M$330,MATCH(Summary!$A11,Calculation!$A$4:$A$330,0),3)</f>
        <v>Alden</v>
      </c>
      <c r="C11" s="120">
        <f>INDEX(Calculation!$A$4:$M$330,MATCH(Summary!$A11,Calculation!$A$4:$A$330,0),6)</f>
        <v>0.628</v>
      </c>
      <c r="D11" s="120">
        <f>INDEX(Calculation!$A$4:$M$330,MATCH(Summary!$A11,Calculation!$A$4:$A$330,0),7)</f>
        <v>0.53900000000000003</v>
      </c>
      <c r="E11" s="121">
        <f t="shared" si="0"/>
        <v>1.167</v>
      </c>
      <c r="F11" s="122"/>
      <c r="G11" s="123">
        <f>INDEX(Calculation!$A$4:$M$330,MATCH(Summary!$A11,Calculation!$A$4:$A$330,0),10)</f>
        <v>7048</v>
      </c>
      <c r="H11" s="123">
        <f t="shared" si="1"/>
        <v>8225</v>
      </c>
    </row>
    <row r="12" spans="1:8" x14ac:dyDescent="0.2">
      <c r="A12" s="119" t="str">
        <f>StartupfileInput!A11</f>
        <v>0126</v>
      </c>
      <c r="B12" s="120" t="str">
        <f>INDEX(Calculation!$A$4:$M$330,MATCH(Summary!$A12,Calculation!$A$4:$A$330,0),3)</f>
        <v>Algona</v>
      </c>
      <c r="C12" s="120">
        <f>INDEX(Calculation!$A$4:$M$330,MATCH(Summary!$A12,Calculation!$A$4:$A$330,0),6)</f>
        <v>3.3889999999999998</v>
      </c>
      <c r="D12" s="120">
        <f>INDEX(Calculation!$A$4:$M$330,MATCH(Summary!$A12,Calculation!$A$4:$A$330,0),7)</f>
        <v>2.6429999999999998</v>
      </c>
      <c r="E12" s="121">
        <f>SUM(C12:D12)</f>
        <v>6.032</v>
      </c>
      <c r="F12" s="122"/>
      <c r="G12" s="123">
        <f>INDEX(Calculation!$A$4:$M$330,MATCH(Summary!$A12,Calculation!$A$4:$A$330,0),10)</f>
        <v>7061</v>
      </c>
      <c r="H12" s="123">
        <f>ROUND(E12*G12,0)</f>
        <v>42592</v>
      </c>
    </row>
    <row r="13" spans="1:8" x14ac:dyDescent="0.2">
      <c r="A13" s="119" t="str">
        <f>StartupfileInput!A12</f>
        <v>0135</v>
      </c>
      <c r="B13" s="120" t="str">
        <f>INDEX(Calculation!$A$4:$M$330,MATCH(Summary!$A13,Calculation!$A$4:$A$330,0),3)</f>
        <v>Allamakee</v>
      </c>
      <c r="C13" s="120">
        <f>INDEX(Calculation!$A$4:$M$330,MATCH(Summary!$A13,Calculation!$A$4:$A$330,0),6)</f>
        <v>3.1760000000000002</v>
      </c>
      <c r="D13" s="120">
        <f>INDEX(Calculation!$A$4:$M$330,MATCH(Summary!$A13,Calculation!$A$4:$A$330,0),7)</f>
        <v>2.234</v>
      </c>
      <c r="E13" s="121">
        <f t="shared" si="0"/>
        <v>5.41</v>
      </c>
      <c r="F13" s="122"/>
      <c r="G13" s="123">
        <f>INDEX(Calculation!$A$4:$M$330,MATCH(Summary!$A13,Calculation!$A$4:$A$330,0),10)</f>
        <v>7110</v>
      </c>
      <c r="H13" s="123">
        <f t="shared" si="1"/>
        <v>38465</v>
      </c>
    </row>
    <row r="14" spans="1:8" x14ac:dyDescent="0.2">
      <c r="A14" s="119" t="str">
        <f>StartupfileInput!A13</f>
        <v>0171</v>
      </c>
      <c r="B14" s="120" t="str">
        <f>INDEX(Calculation!$A$4:$M$330,MATCH(Summary!$A14,Calculation!$A$4:$A$330,0),3)</f>
        <v>Alta-Aurelia</v>
      </c>
      <c r="C14" s="120">
        <f>INDEX(Calculation!$A$4:$M$330,MATCH(Summary!$A14,Calculation!$A$4:$A$330,0),6)</f>
        <v>2.4820000000000002</v>
      </c>
      <c r="D14" s="120">
        <f>INDEX(Calculation!$A$4:$M$330,MATCH(Summary!$A14,Calculation!$A$4:$A$330,0),7)</f>
        <v>1.639</v>
      </c>
      <c r="E14" s="121">
        <f t="shared" si="0"/>
        <v>4.1210000000000004</v>
      </c>
      <c r="F14" s="122"/>
      <c r="G14" s="123">
        <f>INDEX(Calculation!$A$4:$M$330,MATCH(Summary!$A14,Calculation!$A$4:$A$330,0),10)</f>
        <v>7049</v>
      </c>
      <c r="H14" s="123">
        <f t="shared" si="1"/>
        <v>29049</v>
      </c>
    </row>
    <row r="15" spans="1:8" x14ac:dyDescent="0.2">
      <c r="A15" s="119" t="str">
        <f>StartupfileInput!A14</f>
        <v>0225</v>
      </c>
      <c r="B15" s="120" t="str">
        <f>INDEX(Calculation!$A$4:$M$330,MATCH(Summary!$A15,Calculation!$A$4:$A$330,0),3)</f>
        <v>Ames</v>
      </c>
      <c r="C15" s="120">
        <f>INDEX(Calculation!$A$4:$M$330,MATCH(Summary!$A15,Calculation!$A$4:$A$330,0),6)</f>
        <v>9.1159999999999997</v>
      </c>
      <c r="D15" s="120">
        <f>INDEX(Calculation!$A$4:$M$330,MATCH(Summary!$A15,Calculation!$A$4:$A$330,0),7)</f>
        <v>9.1340000000000003</v>
      </c>
      <c r="E15" s="121">
        <f t="shared" si="0"/>
        <v>18.25</v>
      </c>
      <c r="F15" s="122"/>
      <c r="G15" s="123">
        <f>INDEX(Calculation!$A$4:$M$330,MATCH(Summary!$A15,Calculation!$A$4:$A$330,0),10)</f>
        <v>7118</v>
      </c>
      <c r="H15" s="123">
        <f t="shared" si="1"/>
        <v>129904</v>
      </c>
    </row>
    <row r="16" spans="1:8" x14ac:dyDescent="0.2">
      <c r="A16" s="119" t="str">
        <f>StartupfileInput!A15</f>
        <v>0234</v>
      </c>
      <c r="B16" s="120" t="str">
        <f>INDEX(Calculation!$A$4:$M$330,MATCH(Summary!$A16,Calculation!$A$4:$A$330,0),3)</f>
        <v>Anamosa</v>
      </c>
      <c r="C16" s="120">
        <f>INDEX(Calculation!$A$4:$M$330,MATCH(Summary!$A16,Calculation!$A$4:$A$330,0),6)</f>
        <v>3.7549999999999999</v>
      </c>
      <c r="D16" s="120">
        <f>INDEX(Calculation!$A$4:$M$330,MATCH(Summary!$A16,Calculation!$A$4:$A$330,0),7)</f>
        <v>2.6480000000000001</v>
      </c>
      <c r="E16" s="121">
        <f t="shared" si="0"/>
        <v>6.4030000000000005</v>
      </c>
      <c r="F16" s="122"/>
      <c r="G16" s="123">
        <f>INDEX(Calculation!$A$4:$M$330,MATCH(Summary!$A16,Calculation!$A$4:$A$330,0),10)</f>
        <v>7048</v>
      </c>
      <c r="H16" s="123">
        <f t="shared" si="1"/>
        <v>45128</v>
      </c>
    </row>
    <row r="17" spans="1:8" x14ac:dyDescent="0.2">
      <c r="A17" s="119" t="str">
        <f>StartupfileInput!A16</f>
        <v>0243</v>
      </c>
      <c r="B17" s="120" t="str">
        <f>INDEX(Calculation!$A$4:$M$330,MATCH(Summary!$A17,Calculation!$A$4:$A$330,0),3)</f>
        <v>Andrew</v>
      </c>
      <c r="C17" s="120">
        <f>INDEX(Calculation!$A$4:$M$330,MATCH(Summary!$A17,Calculation!$A$4:$A$330,0),6)</f>
        <v>0.60499999999999998</v>
      </c>
      <c r="D17" s="120">
        <f>INDEX(Calculation!$A$4:$M$330,MATCH(Summary!$A17,Calculation!$A$4:$A$330,0),7)</f>
        <v>0.47799999999999998</v>
      </c>
      <c r="E17" s="121">
        <f t="shared" si="0"/>
        <v>1.083</v>
      </c>
      <c r="F17" s="122"/>
      <c r="G17" s="123">
        <f>INDEX(Calculation!$A$4:$M$330,MATCH(Summary!$A17,Calculation!$A$4:$A$330,0),10)</f>
        <v>7093</v>
      </c>
      <c r="H17" s="123">
        <f t="shared" si="1"/>
        <v>7682</v>
      </c>
    </row>
    <row r="18" spans="1:8" x14ac:dyDescent="0.2">
      <c r="A18" s="119" t="str">
        <f>StartupfileInput!A17</f>
        <v>0261</v>
      </c>
      <c r="B18" s="120" t="str">
        <f>INDEX(Calculation!$A$4:$M$330,MATCH(Summary!$A18,Calculation!$A$4:$A$330,0),3)</f>
        <v>Ankeny</v>
      </c>
      <c r="C18" s="120">
        <f>INDEX(Calculation!$A$4:$M$330,MATCH(Summary!$A18,Calculation!$A$4:$A$330,0),6)</f>
        <v>13.224</v>
      </c>
      <c r="D18" s="120">
        <f>INDEX(Calculation!$A$4:$M$330,MATCH(Summary!$A18,Calculation!$A$4:$A$330,0),7)</f>
        <v>25.001999999999999</v>
      </c>
      <c r="E18" s="121">
        <f t="shared" si="0"/>
        <v>38.225999999999999</v>
      </c>
      <c r="F18" s="122"/>
      <c r="G18" s="123">
        <f>INDEX(Calculation!$A$4:$M$330,MATCH(Summary!$A18,Calculation!$A$4:$A$330,0),10)</f>
        <v>7048</v>
      </c>
      <c r="H18" s="123">
        <f t="shared" si="1"/>
        <v>269417</v>
      </c>
    </row>
    <row r="19" spans="1:8" x14ac:dyDescent="0.2">
      <c r="A19" s="119" t="str">
        <f>StartupfileInput!A18</f>
        <v>0279</v>
      </c>
      <c r="B19" s="120" t="str">
        <f>INDEX(Calculation!$A$4:$M$330,MATCH(Summary!$A19,Calculation!$A$4:$A$330,0),3)</f>
        <v>Aplington-Parkersburg</v>
      </c>
      <c r="C19" s="120">
        <f>INDEX(Calculation!$A$4:$M$330,MATCH(Summary!$A19,Calculation!$A$4:$A$330,0),6)</f>
        <v>1.6180000000000001</v>
      </c>
      <c r="D19" s="120">
        <f>INDEX(Calculation!$A$4:$M$330,MATCH(Summary!$A19,Calculation!$A$4:$A$330,0),7)</f>
        <v>1.6080000000000001</v>
      </c>
      <c r="E19" s="121">
        <f t="shared" si="0"/>
        <v>3.226</v>
      </c>
      <c r="F19" s="122"/>
      <c r="G19" s="123">
        <f>INDEX(Calculation!$A$4:$M$330,MATCH(Summary!$A19,Calculation!$A$4:$A$330,0),10)</f>
        <v>7048</v>
      </c>
      <c r="H19" s="123">
        <f t="shared" si="1"/>
        <v>22737</v>
      </c>
    </row>
    <row r="20" spans="1:8" x14ac:dyDescent="0.2">
      <c r="A20" s="119" t="str">
        <f>StartupfileInput!A19</f>
        <v>0355</v>
      </c>
      <c r="B20" s="120" t="str">
        <f>INDEX(Calculation!$A$4:$M$330,MATCH(Summary!$A20,Calculation!$A$4:$A$330,0),3)</f>
        <v>Ar-We-Va</v>
      </c>
      <c r="C20" s="120">
        <f>INDEX(Calculation!$A$4:$M$330,MATCH(Summary!$A20,Calculation!$A$4:$A$330,0),6)</f>
        <v>1.018</v>
      </c>
      <c r="D20" s="120">
        <f>INDEX(Calculation!$A$4:$M$330,MATCH(Summary!$A20,Calculation!$A$4:$A$330,0),7)</f>
        <v>0.55900000000000005</v>
      </c>
      <c r="E20" s="121">
        <f t="shared" si="0"/>
        <v>1.577</v>
      </c>
      <c r="F20" s="122"/>
      <c r="G20" s="123">
        <f>INDEX(Calculation!$A$4:$M$330,MATCH(Summary!$A20,Calculation!$A$4:$A$330,0),10)</f>
        <v>7048</v>
      </c>
      <c r="H20" s="123">
        <f t="shared" si="1"/>
        <v>11115</v>
      </c>
    </row>
    <row r="21" spans="1:8" x14ac:dyDescent="0.2">
      <c r="A21" s="119" t="str">
        <f>StartupfileInput!A20</f>
        <v>0387</v>
      </c>
      <c r="B21" s="120" t="str">
        <f>INDEX(Calculation!$A$4:$M$330,MATCH(Summary!$A21,Calculation!$A$4:$A$330,0),3)</f>
        <v>Atlantic</v>
      </c>
      <c r="C21" s="120">
        <f>INDEX(Calculation!$A$4:$M$330,MATCH(Summary!$A21,Calculation!$A$4:$A$330,0),6)</f>
        <v>4.7969999999999997</v>
      </c>
      <c r="D21" s="120">
        <f>INDEX(Calculation!$A$4:$M$330,MATCH(Summary!$A21,Calculation!$A$4:$A$330,0),7)</f>
        <v>2.722</v>
      </c>
      <c r="E21" s="121">
        <f t="shared" si="0"/>
        <v>7.5190000000000001</v>
      </c>
      <c r="F21" s="122"/>
      <c r="G21" s="123">
        <f>INDEX(Calculation!$A$4:$M$330,MATCH(Summary!$A21,Calculation!$A$4:$A$330,0),10)</f>
        <v>7048</v>
      </c>
      <c r="H21" s="123">
        <f t="shared" si="1"/>
        <v>52994</v>
      </c>
    </row>
    <row r="22" spans="1:8" x14ac:dyDescent="0.2">
      <c r="A22" s="119" t="str">
        <f>StartupfileInput!A21</f>
        <v>0414</v>
      </c>
      <c r="B22" s="120" t="str">
        <f>INDEX(Calculation!$A$4:$M$330,MATCH(Summary!$A22,Calculation!$A$4:$A$330,0),3)</f>
        <v>Audubon</v>
      </c>
      <c r="C22" s="120">
        <f>INDEX(Calculation!$A$4:$M$330,MATCH(Summary!$A22,Calculation!$A$4:$A$330,0),6)</f>
        <v>1.516</v>
      </c>
      <c r="D22" s="120">
        <f>INDEX(Calculation!$A$4:$M$330,MATCH(Summary!$A22,Calculation!$A$4:$A$330,0),7)</f>
        <v>1.0489999999999999</v>
      </c>
      <c r="E22" s="121">
        <f t="shared" si="0"/>
        <v>2.5649999999999999</v>
      </c>
      <c r="F22" s="122"/>
      <c r="G22" s="123">
        <f>INDEX(Calculation!$A$4:$M$330,MATCH(Summary!$A22,Calculation!$A$4:$A$330,0),10)</f>
        <v>7107</v>
      </c>
      <c r="H22" s="123">
        <f t="shared" si="1"/>
        <v>18229</v>
      </c>
    </row>
    <row r="23" spans="1:8" x14ac:dyDescent="0.2">
      <c r="A23" s="119" t="str">
        <f>StartupfileInput!A22</f>
        <v>0540</v>
      </c>
      <c r="B23" s="120" t="str">
        <f>INDEX(Calculation!$A$4:$M$330,MATCH(Summary!$A23,Calculation!$A$4:$A$330,0),3)</f>
        <v>BCLUW</v>
      </c>
      <c r="C23" s="120">
        <f>INDEX(Calculation!$A$4:$M$330,MATCH(Summary!$A23,Calculation!$A$4:$A$330,0),6)</f>
        <v>1.246</v>
      </c>
      <c r="D23" s="120">
        <f>INDEX(Calculation!$A$4:$M$330,MATCH(Summary!$A23,Calculation!$A$4:$A$330,0),7)</f>
        <v>1.028</v>
      </c>
      <c r="E23" s="121">
        <f t="shared" si="0"/>
        <v>2.274</v>
      </c>
      <c r="F23" s="122"/>
      <c r="G23" s="123">
        <f>INDEX(Calculation!$A$4:$M$330,MATCH(Summary!$A23,Calculation!$A$4:$A$330,0),10)</f>
        <v>7109</v>
      </c>
      <c r="H23" s="123">
        <f t="shared" si="1"/>
        <v>16166</v>
      </c>
    </row>
    <row r="24" spans="1:8" x14ac:dyDescent="0.2">
      <c r="A24" s="119" t="str">
        <f>StartupfileInput!A23</f>
        <v>0472</v>
      </c>
      <c r="B24" s="120" t="str">
        <f>INDEX(Calculation!$A$4:$M$330,MATCH(Summary!$A24,Calculation!$A$4:$A$330,0),3)</f>
        <v>Ballard</v>
      </c>
      <c r="C24" s="120">
        <f>INDEX(Calculation!$A$4:$M$330,MATCH(Summary!$A24,Calculation!$A$4:$A$330,0),6)</f>
        <v>1.845</v>
      </c>
      <c r="D24" s="120">
        <f>INDEX(Calculation!$A$4:$M$330,MATCH(Summary!$A24,Calculation!$A$4:$A$330,0),7)</f>
        <v>3.3439999999999999</v>
      </c>
      <c r="E24" s="121">
        <f t="shared" si="0"/>
        <v>5.1890000000000001</v>
      </c>
      <c r="F24" s="122"/>
      <c r="G24" s="123">
        <f>INDEX(Calculation!$A$4:$M$330,MATCH(Summary!$A24,Calculation!$A$4:$A$330,0),10)</f>
        <v>7048</v>
      </c>
      <c r="H24" s="123">
        <f t="shared" si="1"/>
        <v>36572</v>
      </c>
    </row>
    <row r="25" spans="1:8" x14ac:dyDescent="0.2">
      <c r="A25" s="119" t="str">
        <f>StartupfileInput!A24</f>
        <v>0513</v>
      </c>
      <c r="B25" s="120" t="str">
        <f>INDEX(Calculation!$A$4:$M$330,MATCH(Summary!$A25,Calculation!$A$4:$A$330,0),3)</f>
        <v>Baxter</v>
      </c>
      <c r="C25" s="120">
        <f>INDEX(Calculation!$A$4:$M$330,MATCH(Summary!$A25,Calculation!$A$4:$A$330,0),6)</f>
        <v>0.57299999999999995</v>
      </c>
      <c r="D25" s="120">
        <f>INDEX(Calculation!$A$4:$M$330,MATCH(Summary!$A25,Calculation!$A$4:$A$330,0),7)</f>
        <v>0.65900000000000003</v>
      </c>
      <c r="E25" s="121">
        <f t="shared" si="0"/>
        <v>1.232</v>
      </c>
      <c r="F25" s="122"/>
      <c r="G25" s="123">
        <f>INDEX(Calculation!$A$4:$M$330,MATCH(Summary!$A25,Calculation!$A$4:$A$330,0),10)</f>
        <v>7048</v>
      </c>
      <c r="H25" s="123">
        <f t="shared" si="1"/>
        <v>8683</v>
      </c>
    </row>
    <row r="26" spans="1:8" x14ac:dyDescent="0.2">
      <c r="A26" s="119" t="str">
        <f>StartupfileInput!A25</f>
        <v>0549</v>
      </c>
      <c r="B26" s="120" t="str">
        <f>INDEX(Calculation!$A$4:$M$330,MATCH(Summary!$A26,Calculation!$A$4:$A$330,0),3)</f>
        <v>Bedford</v>
      </c>
      <c r="C26" s="120">
        <f>INDEX(Calculation!$A$4:$M$330,MATCH(Summary!$A26,Calculation!$A$4:$A$330,0),6)</f>
        <v>1.4810000000000001</v>
      </c>
      <c r="D26" s="120">
        <f>INDEX(Calculation!$A$4:$M$330,MATCH(Summary!$A26,Calculation!$A$4:$A$330,0),7)</f>
        <v>1.018</v>
      </c>
      <c r="E26" s="121">
        <f t="shared" si="0"/>
        <v>2.4990000000000001</v>
      </c>
      <c r="F26" s="122"/>
      <c r="G26" s="123">
        <f>INDEX(Calculation!$A$4:$M$330,MATCH(Summary!$A26,Calculation!$A$4:$A$330,0),10)</f>
        <v>7048</v>
      </c>
      <c r="H26" s="123">
        <f t="shared" si="1"/>
        <v>17613</v>
      </c>
    </row>
    <row r="27" spans="1:8" x14ac:dyDescent="0.2">
      <c r="A27" s="119" t="str">
        <f>StartupfileInput!A26</f>
        <v>0576</v>
      </c>
      <c r="B27" s="120" t="str">
        <f>INDEX(Calculation!$A$4:$M$330,MATCH(Summary!$A27,Calculation!$A$4:$A$330,0),3)</f>
        <v>Belle Plaine</v>
      </c>
      <c r="C27" s="120">
        <f>INDEX(Calculation!$A$4:$M$330,MATCH(Summary!$A27,Calculation!$A$4:$A$330,0),6)</f>
        <v>1.4670000000000001</v>
      </c>
      <c r="D27" s="120">
        <f>INDEX(Calculation!$A$4:$M$330,MATCH(Summary!$A27,Calculation!$A$4:$A$330,0),7)</f>
        <v>0.98799999999999999</v>
      </c>
      <c r="E27" s="121">
        <f t="shared" si="0"/>
        <v>2.4550000000000001</v>
      </c>
      <c r="F27" s="122"/>
      <c r="G27" s="123">
        <f>INDEX(Calculation!$A$4:$M$330,MATCH(Summary!$A27,Calculation!$A$4:$A$330,0),10)</f>
        <v>7048</v>
      </c>
      <c r="H27" s="123">
        <f t="shared" si="1"/>
        <v>17303</v>
      </c>
    </row>
    <row r="28" spans="1:8" x14ac:dyDescent="0.2">
      <c r="A28" s="119" t="str">
        <f>StartupfileInput!A27</f>
        <v>0585</v>
      </c>
      <c r="B28" s="120" t="str">
        <f>INDEX(Calculation!$A$4:$M$330,MATCH(Summary!$A28,Calculation!$A$4:$A$330,0),3)</f>
        <v>Bellevue</v>
      </c>
      <c r="C28" s="120">
        <f>INDEX(Calculation!$A$4:$M$330,MATCH(Summary!$A28,Calculation!$A$4:$A$330,0),6)</f>
        <v>0.97699999999999998</v>
      </c>
      <c r="D28" s="120">
        <f>INDEX(Calculation!$A$4:$M$330,MATCH(Summary!$A28,Calculation!$A$4:$A$330,0),7)</f>
        <v>1.224</v>
      </c>
      <c r="E28" s="121">
        <f t="shared" si="0"/>
        <v>2.2010000000000001</v>
      </c>
      <c r="F28" s="122"/>
      <c r="G28" s="123">
        <f>INDEX(Calculation!$A$4:$M$330,MATCH(Summary!$A28,Calculation!$A$4:$A$330,0),10)</f>
        <v>7085</v>
      </c>
      <c r="H28" s="123">
        <f t="shared" si="1"/>
        <v>15594</v>
      </c>
    </row>
    <row r="29" spans="1:8" x14ac:dyDescent="0.2">
      <c r="A29" s="119" t="str">
        <f>StartupfileInput!A28</f>
        <v>0594</v>
      </c>
      <c r="B29" s="120" t="str">
        <f>INDEX(Calculation!$A$4:$M$330,MATCH(Summary!$A29,Calculation!$A$4:$A$330,0),3)</f>
        <v>Belmond-Klemme</v>
      </c>
      <c r="C29" s="120">
        <f>INDEX(Calculation!$A$4:$M$330,MATCH(Summary!$A29,Calculation!$A$4:$A$330,0),6)</f>
        <v>2.452</v>
      </c>
      <c r="D29" s="120">
        <f>INDEX(Calculation!$A$4:$M$330,MATCH(Summary!$A29,Calculation!$A$4:$A$330,0),7)</f>
        <v>1.581</v>
      </c>
      <c r="E29" s="121">
        <f t="shared" si="0"/>
        <v>4.0329999999999995</v>
      </c>
      <c r="F29" s="122"/>
      <c r="G29" s="123">
        <f>INDEX(Calculation!$A$4:$M$330,MATCH(Summary!$A29,Calculation!$A$4:$A$330,0),10)</f>
        <v>7048</v>
      </c>
      <c r="H29" s="123">
        <f t="shared" si="1"/>
        <v>28425</v>
      </c>
    </row>
    <row r="30" spans="1:8" x14ac:dyDescent="0.2">
      <c r="A30" s="119" t="str">
        <f>StartupfileInput!A29</f>
        <v>0603</v>
      </c>
      <c r="B30" s="120" t="str">
        <f>INDEX(Calculation!$A$4:$M$330,MATCH(Summary!$A30,Calculation!$A$4:$A$330,0),3)</f>
        <v>Bennett</v>
      </c>
      <c r="C30" s="120">
        <f>INDEX(Calculation!$A$4:$M$330,MATCH(Summary!$A30,Calculation!$A$4:$A$330,0),6)</f>
        <v>0.56200000000000006</v>
      </c>
      <c r="D30" s="120">
        <f>INDEX(Calculation!$A$4:$M$330,MATCH(Summary!$A30,Calculation!$A$4:$A$330,0),7)</f>
        <v>0.39700000000000002</v>
      </c>
      <c r="E30" s="121">
        <f t="shared" si="0"/>
        <v>0.95900000000000007</v>
      </c>
      <c r="F30" s="122"/>
      <c r="G30" s="123">
        <f>INDEX(Calculation!$A$4:$M$330,MATCH(Summary!$A30,Calculation!$A$4:$A$330,0),10)</f>
        <v>7159</v>
      </c>
      <c r="H30" s="123">
        <f t="shared" si="1"/>
        <v>6865</v>
      </c>
    </row>
    <row r="31" spans="1:8" x14ac:dyDescent="0.2">
      <c r="A31" s="119" t="str">
        <f>StartupfileInput!A30</f>
        <v>0609</v>
      </c>
      <c r="B31" s="120" t="str">
        <f>INDEX(Calculation!$A$4:$M$330,MATCH(Summary!$A31,Calculation!$A$4:$A$330,0),3)</f>
        <v>Benton</v>
      </c>
      <c r="C31" s="120">
        <f>INDEX(Calculation!$A$4:$M$330,MATCH(Summary!$A31,Calculation!$A$4:$A$330,0),6)</f>
        <v>2.4319999999999999</v>
      </c>
      <c r="D31" s="120">
        <f>INDEX(Calculation!$A$4:$M$330,MATCH(Summary!$A31,Calculation!$A$4:$A$330,0),7)</f>
        <v>3.105</v>
      </c>
      <c r="E31" s="121">
        <f t="shared" si="0"/>
        <v>5.5369999999999999</v>
      </c>
      <c r="F31" s="122"/>
      <c r="G31" s="123">
        <f>INDEX(Calculation!$A$4:$M$330,MATCH(Summary!$A31,Calculation!$A$4:$A$330,0),10)</f>
        <v>7093</v>
      </c>
      <c r="H31" s="123">
        <f t="shared" si="1"/>
        <v>39274</v>
      </c>
    </row>
    <row r="32" spans="1:8" x14ac:dyDescent="0.2">
      <c r="A32" s="119" t="str">
        <f>StartupfileInput!A31</f>
        <v>0621</v>
      </c>
      <c r="B32" s="120" t="str">
        <f>INDEX(Calculation!$A$4:$M$330,MATCH(Summary!$A32,Calculation!$A$4:$A$330,0),3)</f>
        <v>Bettendorf</v>
      </c>
      <c r="C32" s="120">
        <f>INDEX(Calculation!$A$4:$M$330,MATCH(Summary!$A32,Calculation!$A$4:$A$330,0),6)</f>
        <v>9.91</v>
      </c>
      <c r="D32" s="120">
        <f>INDEX(Calculation!$A$4:$M$330,MATCH(Summary!$A32,Calculation!$A$4:$A$330,0),7)</f>
        <v>8.5090000000000003</v>
      </c>
      <c r="E32" s="121">
        <f t="shared" si="0"/>
        <v>18.419</v>
      </c>
      <c r="F32" s="122"/>
      <c r="G32" s="123">
        <f>INDEX(Calculation!$A$4:$M$330,MATCH(Summary!$A32,Calculation!$A$4:$A$330,0),10)</f>
        <v>7102</v>
      </c>
      <c r="H32" s="123">
        <f t="shared" si="1"/>
        <v>130812</v>
      </c>
    </row>
    <row r="33" spans="1:8" x14ac:dyDescent="0.2">
      <c r="A33" s="119" t="str">
        <f>StartupfileInput!A32</f>
        <v>0720</v>
      </c>
      <c r="B33" s="120" t="str">
        <f>INDEX(Calculation!$A$4:$M$330,MATCH(Summary!$A33,Calculation!$A$4:$A$330,0),3)</f>
        <v>Bondurant-Farrar</v>
      </c>
      <c r="C33" s="120">
        <f>INDEX(Calculation!$A$4:$M$330,MATCH(Summary!$A33,Calculation!$A$4:$A$330,0),6)</f>
        <v>3.02</v>
      </c>
      <c r="D33" s="120">
        <f>INDEX(Calculation!$A$4:$M$330,MATCH(Summary!$A33,Calculation!$A$4:$A$330,0),7)</f>
        <v>4.6280000000000001</v>
      </c>
      <c r="E33" s="121">
        <f t="shared" si="0"/>
        <v>7.6479999999999997</v>
      </c>
      <c r="F33" s="122"/>
      <c r="G33" s="123">
        <f>INDEX(Calculation!$A$4:$M$330,MATCH(Summary!$A33,Calculation!$A$4:$A$330,0),10)</f>
        <v>7048</v>
      </c>
      <c r="H33" s="123">
        <f t="shared" si="1"/>
        <v>53903</v>
      </c>
    </row>
    <row r="34" spans="1:8" x14ac:dyDescent="0.2">
      <c r="A34" s="119" t="str">
        <f>StartupfileInput!A33</f>
        <v>0729</v>
      </c>
      <c r="B34" s="120" t="str">
        <f>INDEX(Calculation!$A$4:$M$330,MATCH(Summary!$A34,Calculation!$A$4:$A$330,0),3)</f>
        <v>Boone</v>
      </c>
      <c r="C34" s="120">
        <f>INDEX(Calculation!$A$4:$M$330,MATCH(Summary!$A34,Calculation!$A$4:$A$330,0),6)</f>
        <v>6.4950000000000001</v>
      </c>
      <c r="D34" s="120">
        <f>INDEX(Calculation!$A$4:$M$330,MATCH(Summary!$A34,Calculation!$A$4:$A$330,0),7)</f>
        <v>4.2729999999999997</v>
      </c>
      <c r="E34" s="121">
        <f t="shared" si="0"/>
        <v>10.768000000000001</v>
      </c>
      <c r="F34" s="122"/>
      <c r="G34" s="123">
        <f>INDEX(Calculation!$A$4:$M$330,MATCH(Summary!$A34,Calculation!$A$4:$A$330,0),10)</f>
        <v>7048</v>
      </c>
      <c r="H34" s="123">
        <f t="shared" si="1"/>
        <v>75893</v>
      </c>
    </row>
    <row r="35" spans="1:8" x14ac:dyDescent="0.2">
      <c r="A35" s="119" t="str">
        <f>StartupfileInput!A34</f>
        <v>0747</v>
      </c>
      <c r="B35" s="120" t="str">
        <f>INDEX(Calculation!$A$4:$M$330,MATCH(Summary!$A35,Calculation!$A$4:$A$330,0),3)</f>
        <v>Boyden-Hull</v>
      </c>
      <c r="C35" s="120">
        <f>INDEX(Calculation!$A$4:$M$330,MATCH(Summary!$A35,Calculation!$A$4:$A$330,0),6)</f>
        <v>1.752</v>
      </c>
      <c r="D35" s="120">
        <f>INDEX(Calculation!$A$4:$M$330,MATCH(Summary!$A35,Calculation!$A$4:$A$330,0),7)</f>
        <v>1.2010000000000001</v>
      </c>
      <c r="E35" s="121">
        <f t="shared" si="0"/>
        <v>2.9530000000000003</v>
      </c>
      <c r="F35" s="122"/>
      <c r="G35" s="123">
        <f>INDEX(Calculation!$A$4:$M$330,MATCH(Summary!$A35,Calculation!$A$4:$A$330,0),10)</f>
        <v>7048</v>
      </c>
      <c r="H35" s="123">
        <f t="shared" si="1"/>
        <v>20813</v>
      </c>
    </row>
    <row r="36" spans="1:8" x14ac:dyDescent="0.2">
      <c r="A36" s="119" t="str">
        <f>StartupfileInput!A35</f>
        <v>1917</v>
      </c>
      <c r="B36" s="120" t="str">
        <f>INDEX(Calculation!$A$4:$M$330,MATCH(Summary!$A36,Calculation!$A$4:$A$330,0),3)</f>
        <v>Boyer Valley</v>
      </c>
      <c r="C36" s="120">
        <f>INDEX(Calculation!$A$4:$M$330,MATCH(Summary!$A36,Calculation!$A$4:$A$330,0),6)</f>
        <v>1.1319999999999999</v>
      </c>
      <c r="D36" s="120">
        <f>INDEX(Calculation!$A$4:$M$330,MATCH(Summary!$A36,Calculation!$A$4:$A$330,0),7)</f>
        <v>0.81899999999999995</v>
      </c>
      <c r="E36" s="121">
        <f t="shared" si="0"/>
        <v>1.9509999999999998</v>
      </c>
      <c r="F36" s="122"/>
      <c r="G36" s="123">
        <f>INDEX(Calculation!$A$4:$M$330,MATCH(Summary!$A36,Calculation!$A$4:$A$330,0),10)</f>
        <v>7048</v>
      </c>
      <c r="H36" s="123">
        <f t="shared" si="1"/>
        <v>13751</v>
      </c>
    </row>
    <row r="37" spans="1:8" x14ac:dyDescent="0.2">
      <c r="A37" s="119" t="str">
        <f>StartupfileInput!A36</f>
        <v>0846</v>
      </c>
      <c r="B37" s="120" t="str">
        <f>INDEX(Calculation!$A$4:$M$330,MATCH(Summary!$A37,Calculation!$A$4:$A$330,0),3)</f>
        <v>Brooklyn-Guernsey-Malcom</v>
      </c>
      <c r="C37" s="120">
        <f>INDEX(Calculation!$A$4:$M$330,MATCH(Summary!$A37,Calculation!$A$4:$A$330,0),6)</f>
        <v>1.4319999999999999</v>
      </c>
      <c r="D37" s="120">
        <f>INDEX(Calculation!$A$4:$M$330,MATCH(Summary!$A37,Calculation!$A$4:$A$330,0),7)</f>
        <v>1.103</v>
      </c>
      <c r="E37" s="121">
        <f t="shared" si="0"/>
        <v>2.5350000000000001</v>
      </c>
      <c r="F37" s="122"/>
      <c r="G37" s="123">
        <f>INDEX(Calculation!$A$4:$M$330,MATCH(Summary!$A37,Calculation!$A$4:$A$330,0),10)</f>
        <v>7048</v>
      </c>
      <c r="H37" s="123">
        <f t="shared" si="1"/>
        <v>17867</v>
      </c>
    </row>
    <row r="38" spans="1:8" x14ac:dyDescent="0.2">
      <c r="A38" s="119" t="str">
        <f>StartupfileInput!A37</f>
        <v>0882</v>
      </c>
      <c r="B38" s="120" t="str">
        <f>INDEX(Calculation!$A$4:$M$330,MATCH(Summary!$A38,Calculation!$A$4:$A$330,0),3)</f>
        <v>Burlington</v>
      </c>
      <c r="C38" s="120">
        <f>INDEX(Calculation!$A$4:$M$330,MATCH(Summary!$A38,Calculation!$A$4:$A$330,0),6)</f>
        <v>19.283000000000001</v>
      </c>
      <c r="D38" s="120">
        <f>INDEX(Calculation!$A$4:$M$330,MATCH(Summary!$A38,Calculation!$A$4:$A$330,0),7)</f>
        <v>8.3350000000000009</v>
      </c>
      <c r="E38" s="121">
        <f t="shared" si="0"/>
        <v>27.618000000000002</v>
      </c>
      <c r="F38" s="122"/>
      <c r="G38" s="123">
        <f>INDEX(Calculation!$A$4:$M$330,MATCH(Summary!$A38,Calculation!$A$4:$A$330,0),10)</f>
        <v>7048</v>
      </c>
      <c r="H38" s="123">
        <f t="shared" si="1"/>
        <v>194652</v>
      </c>
    </row>
    <row r="39" spans="1:8" x14ac:dyDescent="0.2">
      <c r="A39" s="119" t="str">
        <f>StartupfileInput!A38</f>
        <v>0916</v>
      </c>
      <c r="B39" s="120" t="str">
        <f>INDEX(Calculation!$A$4:$M$330,MATCH(Summary!$A39,Calculation!$A$4:$A$330,0),3)</f>
        <v>CAL</v>
      </c>
      <c r="C39" s="120">
        <f>INDEX(Calculation!$A$4:$M$330,MATCH(Summary!$A39,Calculation!$A$4:$A$330,0),6)</f>
        <v>0.90800000000000003</v>
      </c>
      <c r="D39" s="120">
        <f>INDEX(Calculation!$A$4:$M$330,MATCH(Summary!$A39,Calculation!$A$4:$A$330,0),7)</f>
        <v>0.505</v>
      </c>
      <c r="E39" s="121">
        <f t="shared" si="0"/>
        <v>1.413</v>
      </c>
      <c r="F39" s="122"/>
      <c r="G39" s="123">
        <f>INDEX(Calculation!$A$4:$M$330,MATCH(Summary!$A39,Calculation!$A$4:$A$330,0),10)</f>
        <v>7198</v>
      </c>
      <c r="H39" s="123">
        <f t="shared" si="1"/>
        <v>10171</v>
      </c>
    </row>
    <row r="40" spans="1:8" x14ac:dyDescent="0.2">
      <c r="A40" s="119" t="str">
        <f>StartupfileInput!A39</f>
        <v>0914</v>
      </c>
      <c r="B40" s="120" t="str">
        <f>INDEX(Calculation!$A$4:$M$330,MATCH(Summary!$A40,Calculation!$A$4:$A$330,0),3)</f>
        <v>CAM</v>
      </c>
      <c r="C40" s="120">
        <f>INDEX(Calculation!$A$4:$M$330,MATCH(Summary!$A40,Calculation!$A$4:$A$330,0),6)</f>
        <v>1.3620000000000001</v>
      </c>
      <c r="D40" s="120">
        <f>INDEX(Calculation!$A$4:$M$330,MATCH(Summary!$A40,Calculation!$A$4:$A$330,0),7)</f>
        <v>1.032</v>
      </c>
      <c r="E40" s="121">
        <f t="shared" si="0"/>
        <v>2.3940000000000001</v>
      </c>
      <c r="F40" s="122"/>
      <c r="G40" s="123">
        <f>INDEX(Calculation!$A$4:$M$330,MATCH(Summary!$A40,Calculation!$A$4:$A$330,0),10)</f>
        <v>7078</v>
      </c>
      <c r="H40" s="123">
        <f t="shared" si="1"/>
        <v>16945</v>
      </c>
    </row>
    <row r="41" spans="1:8" x14ac:dyDescent="0.2">
      <c r="A41" s="119" t="str">
        <f>StartupfileInput!A40</f>
        <v>0918</v>
      </c>
      <c r="B41" s="120" t="str">
        <f>INDEX(Calculation!$A$4:$M$330,MATCH(Summary!$A41,Calculation!$A$4:$A$330,0),3)</f>
        <v>Calamus-Wheatland</v>
      </c>
      <c r="C41" s="120">
        <f>INDEX(Calculation!$A$4:$M$330,MATCH(Summary!$A41,Calculation!$A$4:$A$330,0),6)</f>
        <v>0.92</v>
      </c>
      <c r="D41" s="120">
        <f>INDEX(Calculation!$A$4:$M$330,MATCH(Summary!$A41,Calculation!$A$4:$A$330,0),7)</f>
        <v>0.83399999999999996</v>
      </c>
      <c r="E41" s="121">
        <f t="shared" si="0"/>
        <v>1.754</v>
      </c>
      <c r="F41" s="122"/>
      <c r="G41" s="123">
        <f>INDEX(Calculation!$A$4:$M$330,MATCH(Summary!$A41,Calculation!$A$4:$A$330,0),10)</f>
        <v>7087</v>
      </c>
      <c r="H41" s="123">
        <f t="shared" si="1"/>
        <v>12431</v>
      </c>
    </row>
    <row r="42" spans="1:8" x14ac:dyDescent="0.2">
      <c r="A42" s="119" t="str">
        <f>StartupfileInput!A41</f>
        <v>0936</v>
      </c>
      <c r="B42" s="120" t="str">
        <f>INDEX(Calculation!$A$4:$M$330,MATCH(Summary!$A42,Calculation!$A$4:$A$330,0),3)</f>
        <v>Camanche</v>
      </c>
      <c r="C42" s="120">
        <f>INDEX(Calculation!$A$4:$M$330,MATCH(Summary!$A42,Calculation!$A$4:$A$330,0),6)</f>
        <v>2.2989999999999999</v>
      </c>
      <c r="D42" s="120">
        <f>INDEX(Calculation!$A$4:$M$330,MATCH(Summary!$A42,Calculation!$A$4:$A$330,0),7)</f>
        <v>1.6970000000000001</v>
      </c>
      <c r="E42" s="121">
        <f t="shared" si="0"/>
        <v>3.996</v>
      </c>
      <c r="F42" s="122"/>
      <c r="G42" s="123">
        <f>INDEX(Calculation!$A$4:$M$330,MATCH(Summary!$A42,Calculation!$A$4:$A$330,0),10)</f>
        <v>7048</v>
      </c>
      <c r="H42" s="123">
        <f t="shared" si="1"/>
        <v>28164</v>
      </c>
    </row>
    <row r="43" spans="1:8" x14ac:dyDescent="0.2">
      <c r="A43" s="119" t="str">
        <f>StartupfileInput!A42</f>
        <v>0977</v>
      </c>
      <c r="B43" s="120" t="str">
        <f>INDEX(Calculation!$A$4:$M$330,MATCH(Summary!$A43,Calculation!$A$4:$A$330,0),3)</f>
        <v>Cardinal</v>
      </c>
      <c r="C43" s="120">
        <f>INDEX(Calculation!$A$4:$M$330,MATCH(Summary!$A43,Calculation!$A$4:$A$330,0),6)</f>
        <v>2.2639999999999998</v>
      </c>
      <c r="D43" s="120">
        <f>INDEX(Calculation!$A$4:$M$330,MATCH(Summary!$A43,Calculation!$A$4:$A$330,0),7)</f>
        <v>1.2010000000000001</v>
      </c>
      <c r="E43" s="121">
        <f t="shared" si="0"/>
        <v>3.4649999999999999</v>
      </c>
      <c r="F43" s="122"/>
      <c r="G43" s="123">
        <f>INDEX(Calculation!$A$4:$M$330,MATCH(Summary!$A43,Calculation!$A$4:$A$330,0),10)</f>
        <v>7048</v>
      </c>
      <c r="H43" s="123">
        <f t="shared" si="1"/>
        <v>24421</v>
      </c>
    </row>
    <row r="44" spans="1:8" x14ac:dyDescent="0.2">
      <c r="A44" s="119" t="str">
        <f>StartupfileInput!A43</f>
        <v>0981</v>
      </c>
      <c r="B44" s="120" t="str">
        <f>INDEX(Calculation!$A$4:$M$330,MATCH(Summary!$A44,Calculation!$A$4:$A$330,0),3)</f>
        <v>Carlisle</v>
      </c>
      <c r="C44" s="120">
        <f>INDEX(Calculation!$A$4:$M$330,MATCH(Summary!$A44,Calculation!$A$4:$A$330,0),6)</f>
        <v>4.18</v>
      </c>
      <c r="D44" s="120">
        <f>INDEX(Calculation!$A$4:$M$330,MATCH(Summary!$A44,Calculation!$A$4:$A$330,0),7)</f>
        <v>3.9510000000000001</v>
      </c>
      <c r="E44" s="121">
        <f t="shared" si="0"/>
        <v>8.1310000000000002</v>
      </c>
      <c r="F44" s="122"/>
      <c r="G44" s="123">
        <f>INDEX(Calculation!$A$4:$M$330,MATCH(Summary!$A44,Calculation!$A$4:$A$330,0),10)</f>
        <v>7048</v>
      </c>
      <c r="H44" s="123">
        <f t="shared" si="1"/>
        <v>57307</v>
      </c>
    </row>
    <row r="45" spans="1:8" x14ac:dyDescent="0.2">
      <c r="A45" s="119" t="str">
        <f>StartupfileInput!A44</f>
        <v>0999</v>
      </c>
      <c r="B45" s="120" t="str">
        <f>INDEX(Calculation!$A$4:$M$330,MATCH(Summary!$A45,Calculation!$A$4:$A$330,0),3)</f>
        <v>Carroll</v>
      </c>
      <c r="C45" s="120">
        <f>INDEX(Calculation!$A$4:$M$330,MATCH(Summary!$A45,Calculation!$A$4:$A$330,0),6)</f>
        <v>4.4880000000000004</v>
      </c>
      <c r="D45" s="120">
        <f>INDEX(Calculation!$A$4:$M$330,MATCH(Summary!$A45,Calculation!$A$4:$A$330,0),7)</f>
        <v>3.47</v>
      </c>
      <c r="E45" s="121">
        <f t="shared" si="0"/>
        <v>7.9580000000000002</v>
      </c>
      <c r="F45" s="122"/>
      <c r="G45" s="123">
        <f>INDEX(Calculation!$A$4:$M$330,MATCH(Summary!$A45,Calculation!$A$4:$A$330,0),10)</f>
        <v>7048</v>
      </c>
      <c r="H45" s="123">
        <f t="shared" si="1"/>
        <v>56088</v>
      </c>
    </row>
    <row r="46" spans="1:8" x14ac:dyDescent="0.2">
      <c r="A46" s="119" t="str">
        <f>StartupfileInput!A45</f>
        <v>1044</v>
      </c>
      <c r="B46" s="120" t="str">
        <f>INDEX(Calculation!$A$4:$M$330,MATCH(Summary!$A46,Calculation!$A$4:$A$330,0),3)</f>
        <v>Cedar Falls</v>
      </c>
      <c r="C46" s="120">
        <f>INDEX(Calculation!$A$4:$M$330,MATCH(Summary!$A46,Calculation!$A$4:$A$330,0),6)</f>
        <v>8.3770000000000007</v>
      </c>
      <c r="D46" s="120">
        <f>INDEX(Calculation!$A$4:$M$330,MATCH(Summary!$A46,Calculation!$A$4:$A$330,0),7)</f>
        <v>10.958</v>
      </c>
      <c r="E46" s="121">
        <f t="shared" si="0"/>
        <v>19.335000000000001</v>
      </c>
      <c r="F46" s="122"/>
      <c r="G46" s="123">
        <f>INDEX(Calculation!$A$4:$M$330,MATCH(Summary!$A46,Calculation!$A$4:$A$330,0),10)</f>
        <v>7048</v>
      </c>
      <c r="H46" s="123">
        <f t="shared" si="1"/>
        <v>136273</v>
      </c>
    </row>
    <row r="47" spans="1:8" x14ac:dyDescent="0.2">
      <c r="A47" s="119" t="str">
        <f>StartupfileInput!A46</f>
        <v>1053</v>
      </c>
      <c r="B47" s="120" t="str">
        <f>INDEX(Calculation!$A$4:$M$330,MATCH(Summary!$A47,Calculation!$A$4:$A$330,0),3)</f>
        <v>Cedar Rapids</v>
      </c>
      <c r="C47" s="120">
        <f>INDEX(Calculation!$A$4:$M$330,MATCH(Summary!$A47,Calculation!$A$4:$A$330,0),6)</f>
        <v>65.257000000000005</v>
      </c>
      <c r="D47" s="120">
        <f>INDEX(Calculation!$A$4:$M$330,MATCH(Summary!$A47,Calculation!$A$4:$A$330,0),7)</f>
        <v>34.377000000000002</v>
      </c>
      <c r="E47" s="121">
        <f t="shared" si="0"/>
        <v>99.634000000000015</v>
      </c>
      <c r="F47" s="122"/>
      <c r="G47" s="123">
        <f>INDEX(Calculation!$A$4:$M$330,MATCH(Summary!$A47,Calculation!$A$4:$A$330,0),10)</f>
        <v>7048</v>
      </c>
      <c r="H47" s="123">
        <f t="shared" si="1"/>
        <v>702220</v>
      </c>
    </row>
    <row r="48" spans="1:8" x14ac:dyDescent="0.2">
      <c r="A48" s="119" t="str">
        <f>StartupfileInput!A47</f>
        <v>1062</v>
      </c>
      <c r="B48" s="120" t="str">
        <f>INDEX(Calculation!$A$4:$M$330,MATCH(Summary!$A48,Calculation!$A$4:$A$330,0),3)</f>
        <v>Center Point-Urbana</v>
      </c>
      <c r="C48" s="120">
        <f>INDEX(Calculation!$A$4:$M$330,MATCH(Summary!$A48,Calculation!$A$4:$A$330,0),6)</f>
        <v>1.5029999999999999</v>
      </c>
      <c r="D48" s="120">
        <f>INDEX(Calculation!$A$4:$M$330,MATCH(Summary!$A48,Calculation!$A$4:$A$330,0),7)</f>
        <v>2.7469999999999999</v>
      </c>
      <c r="E48" s="121">
        <f t="shared" si="0"/>
        <v>4.25</v>
      </c>
      <c r="F48" s="122"/>
      <c r="G48" s="123">
        <f>INDEX(Calculation!$A$4:$M$330,MATCH(Summary!$A48,Calculation!$A$4:$A$330,0),10)</f>
        <v>7048</v>
      </c>
      <c r="H48" s="123">
        <f t="shared" si="1"/>
        <v>29954</v>
      </c>
    </row>
    <row r="49" spans="1:8" x14ac:dyDescent="0.2">
      <c r="A49" s="119" t="str">
        <f>StartupfileInput!A48</f>
        <v>1071</v>
      </c>
      <c r="B49" s="120" t="str">
        <f>INDEX(Calculation!$A$4:$M$330,MATCH(Summary!$A49,Calculation!$A$4:$A$330,0),3)</f>
        <v>Centerville</v>
      </c>
      <c r="C49" s="120">
        <f>INDEX(Calculation!$A$4:$M$330,MATCH(Summary!$A49,Calculation!$A$4:$A$330,0),6)</f>
        <v>5.2290000000000001</v>
      </c>
      <c r="D49" s="120">
        <f>INDEX(Calculation!$A$4:$M$330,MATCH(Summary!$A49,Calculation!$A$4:$A$330,0),7)</f>
        <v>2.7719999999999998</v>
      </c>
      <c r="E49" s="121">
        <f t="shared" si="0"/>
        <v>8.0009999999999994</v>
      </c>
      <c r="F49" s="122"/>
      <c r="G49" s="123">
        <f>INDEX(Calculation!$A$4:$M$330,MATCH(Summary!$A49,Calculation!$A$4:$A$330,0),10)</f>
        <v>7087</v>
      </c>
      <c r="H49" s="123">
        <f t="shared" si="1"/>
        <v>56703</v>
      </c>
    </row>
    <row r="50" spans="1:8" x14ac:dyDescent="0.2">
      <c r="A50" s="119" t="str">
        <f>StartupfileInput!A49</f>
        <v>1089</v>
      </c>
      <c r="B50" s="120" t="str">
        <f>INDEX(Calculation!$A$4:$M$330,MATCH(Summary!$A50,Calculation!$A$4:$A$330,0),3)</f>
        <v>Central City</v>
      </c>
      <c r="C50" s="120">
        <f>INDEX(Calculation!$A$4:$M$330,MATCH(Summary!$A50,Calculation!$A$4:$A$330,0),6)</f>
        <v>0.96699999999999997</v>
      </c>
      <c r="D50" s="120">
        <f>INDEX(Calculation!$A$4:$M$330,MATCH(Summary!$A50,Calculation!$A$4:$A$330,0),7)</f>
        <v>0.94199999999999995</v>
      </c>
      <c r="E50" s="121">
        <f t="shared" si="0"/>
        <v>1.9089999999999998</v>
      </c>
      <c r="F50" s="122"/>
      <c r="G50" s="123">
        <f>INDEX(Calculation!$A$4:$M$330,MATCH(Summary!$A50,Calculation!$A$4:$A$330,0),10)</f>
        <v>7089</v>
      </c>
      <c r="H50" s="123">
        <f t="shared" si="1"/>
        <v>13533</v>
      </c>
    </row>
    <row r="51" spans="1:8" x14ac:dyDescent="0.2">
      <c r="A51" s="119" t="str">
        <f>StartupfileInput!A50</f>
        <v>1080</v>
      </c>
      <c r="B51" s="120" t="str">
        <f>INDEX(Calculation!$A$4:$M$330,MATCH(Summary!$A51,Calculation!$A$4:$A$330,0),3)</f>
        <v>Central Clayton</v>
      </c>
      <c r="C51" s="120">
        <f>INDEX(Calculation!$A$4:$M$330,MATCH(Summary!$A51,Calculation!$A$4:$A$330,0),6)</f>
        <v>0.91200000000000003</v>
      </c>
      <c r="D51" s="120">
        <f>INDEX(Calculation!$A$4:$M$330,MATCH(Summary!$A51,Calculation!$A$4:$A$330,0),7)</f>
        <v>0.84899999999999998</v>
      </c>
      <c r="E51" s="121">
        <f t="shared" si="0"/>
        <v>1.7610000000000001</v>
      </c>
      <c r="F51" s="122"/>
      <c r="G51" s="123">
        <f>INDEX(Calculation!$A$4:$M$330,MATCH(Summary!$A51,Calculation!$A$4:$A$330,0),10)</f>
        <v>7048</v>
      </c>
      <c r="H51" s="123">
        <f t="shared" si="1"/>
        <v>12412</v>
      </c>
    </row>
    <row r="52" spans="1:8" x14ac:dyDescent="0.2">
      <c r="A52" s="119" t="str">
        <f>StartupfileInput!A51</f>
        <v>1082</v>
      </c>
      <c r="B52" s="120" t="str">
        <f>INDEX(Calculation!$A$4:$M$330,MATCH(Summary!$A52,Calculation!$A$4:$A$330,0),3)</f>
        <v>Central De Witt</v>
      </c>
      <c r="C52" s="120">
        <f>INDEX(Calculation!$A$4:$M$330,MATCH(Summary!$A52,Calculation!$A$4:$A$330,0),6)</f>
        <v>2.9849999999999999</v>
      </c>
      <c r="D52" s="120">
        <f>INDEX(Calculation!$A$4:$M$330,MATCH(Summary!$A52,Calculation!$A$4:$A$330,0),7)</f>
        <v>3.0139999999999998</v>
      </c>
      <c r="E52" s="121">
        <f t="shared" si="0"/>
        <v>5.9989999999999997</v>
      </c>
      <c r="F52" s="122"/>
      <c r="G52" s="123">
        <f>INDEX(Calculation!$A$4:$M$330,MATCH(Summary!$A52,Calculation!$A$4:$A$330,0),10)</f>
        <v>7048</v>
      </c>
      <c r="H52" s="123">
        <f t="shared" si="1"/>
        <v>42281</v>
      </c>
    </row>
    <row r="53" spans="1:8" x14ac:dyDescent="0.2">
      <c r="A53" s="119" t="str">
        <f>StartupfileInput!A52</f>
        <v>1093</v>
      </c>
      <c r="B53" s="120" t="str">
        <f>INDEX(Calculation!$A$4:$M$330,MATCH(Summary!$A53,Calculation!$A$4:$A$330,0),3)</f>
        <v>Central Decatur</v>
      </c>
      <c r="C53" s="120">
        <f>INDEX(Calculation!$A$4:$M$330,MATCH(Summary!$A53,Calculation!$A$4:$A$330,0),6)</f>
        <v>2.4550000000000001</v>
      </c>
      <c r="D53" s="120">
        <f>INDEX(Calculation!$A$4:$M$330,MATCH(Summary!$A53,Calculation!$A$4:$A$330,0),7)</f>
        <v>1.278</v>
      </c>
      <c r="E53" s="121">
        <f t="shared" si="0"/>
        <v>3.7330000000000001</v>
      </c>
      <c r="F53" s="122"/>
      <c r="G53" s="123">
        <f>INDEX(Calculation!$A$4:$M$330,MATCH(Summary!$A53,Calculation!$A$4:$A$330,0),10)</f>
        <v>7048</v>
      </c>
      <c r="H53" s="123">
        <f t="shared" si="1"/>
        <v>26310</v>
      </c>
    </row>
    <row r="54" spans="1:8" x14ac:dyDescent="0.2">
      <c r="A54" s="119" t="str">
        <f>StartupfileInput!A53</f>
        <v>1079</v>
      </c>
      <c r="B54" s="120" t="str">
        <f>INDEX(Calculation!$A$4:$M$330,MATCH(Summary!$A54,Calculation!$A$4:$A$330,0),3)</f>
        <v>Central Lee</v>
      </c>
      <c r="C54" s="120">
        <f>INDEX(Calculation!$A$4:$M$330,MATCH(Summary!$A54,Calculation!$A$4:$A$330,0),6)</f>
        <v>2.258</v>
      </c>
      <c r="D54" s="120">
        <f>INDEX(Calculation!$A$4:$M$330,MATCH(Summary!$A54,Calculation!$A$4:$A$330,0),7)</f>
        <v>1.55</v>
      </c>
      <c r="E54" s="121">
        <f t="shared" si="0"/>
        <v>3.8079999999999998</v>
      </c>
      <c r="F54" s="122"/>
      <c r="G54" s="123">
        <f>INDEX(Calculation!$A$4:$M$330,MATCH(Summary!$A54,Calculation!$A$4:$A$330,0),10)</f>
        <v>7048</v>
      </c>
      <c r="H54" s="123">
        <f t="shared" si="1"/>
        <v>26839</v>
      </c>
    </row>
    <row r="55" spans="1:8" x14ac:dyDescent="0.2">
      <c r="A55" s="119" t="str">
        <f>StartupfileInput!A54</f>
        <v>1095</v>
      </c>
      <c r="B55" s="120" t="str">
        <f>INDEX(Calculation!$A$4:$M$330,MATCH(Summary!$A55,Calculation!$A$4:$A$330,0),3)</f>
        <v>Central Lyon</v>
      </c>
      <c r="C55" s="120">
        <f>INDEX(Calculation!$A$4:$M$330,MATCH(Summary!$A55,Calculation!$A$4:$A$330,0),6)</f>
        <v>1.7190000000000001</v>
      </c>
      <c r="D55" s="120">
        <f>INDEX(Calculation!$A$4:$M$330,MATCH(Summary!$A55,Calculation!$A$4:$A$330,0),7)</f>
        <v>1.544</v>
      </c>
      <c r="E55" s="121">
        <f t="shared" si="0"/>
        <v>3.2629999999999999</v>
      </c>
      <c r="F55" s="122"/>
      <c r="G55" s="123">
        <f>INDEX(Calculation!$A$4:$M$330,MATCH(Summary!$A55,Calculation!$A$4:$A$330,0),10)</f>
        <v>7048</v>
      </c>
      <c r="H55" s="123">
        <f t="shared" si="1"/>
        <v>22998</v>
      </c>
    </row>
    <row r="56" spans="1:8" x14ac:dyDescent="0.2">
      <c r="A56" s="119" t="str">
        <f>StartupfileInput!A55</f>
        <v>4772</v>
      </c>
      <c r="B56" s="120" t="str">
        <f>INDEX(Calculation!$A$4:$M$330,MATCH(Summary!$A56,Calculation!$A$4:$A$330,0),3)</f>
        <v>Central Springs</v>
      </c>
      <c r="C56" s="120">
        <f>INDEX(Calculation!$A$4:$M$330,MATCH(Summary!$A56,Calculation!$A$4:$A$330,0),6)</f>
        <v>2.2349999999999999</v>
      </c>
      <c r="D56" s="120">
        <f>INDEX(Calculation!$A$4:$M$330,MATCH(Summary!$A56,Calculation!$A$4:$A$330,0),7)</f>
        <v>1.6140000000000001</v>
      </c>
      <c r="E56" s="121">
        <f t="shared" si="0"/>
        <v>3.8490000000000002</v>
      </c>
      <c r="F56" s="122"/>
      <c r="G56" s="123">
        <f>INDEX(Calculation!$A$4:$M$330,MATCH(Summary!$A56,Calculation!$A$4:$A$330,0),10)</f>
        <v>7054</v>
      </c>
      <c r="H56" s="123">
        <f t="shared" si="1"/>
        <v>27151</v>
      </c>
    </row>
    <row r="57" spans="1:8" x14ac:dyDescent="0.2">
      <c r="A57" s="119" t="str">
        <f>StartupfileInput!A56</f>
        <v>1107</v>
      </c>
      <c r="B57" s="120" t="str">
        <f>INDEX(Calculation!$A$4:$M$330,MATCH(Summary!$A57,Calculation!$A$4:$A$330,0),3)</f>
        <v>Chariton</v>
      </c>
      <c r="C57" s="120">
        <f>INDEX(Calculation!$A$4:$M$330,MATCH(Summary!$A57,Calculation!$A$4:$A$330,0),6)</f>
        <v>4.6070000000000002</v>
      </c>
      <c r="D57" s="120">
        <f>INDEX(Calculation!$A$4:$M$330,MATCH(Summary!$A57,Calculation!$A$4:$A$330,0),7)</f>
        <v>2.5619999999999998</v>
      </c>
      <c r="E57" s="121">
        <f t="shared" si="0"/>
        <v>7.1690000000000005</v>
      </c>
      <c r="F57" s="122"/>
      <c r="G57" s="123">
        <f>INDEX(Calculation!$A$4:$M$330,MATCH(Summary!$A57,Calculation!$A$4:$A$330,0),10)</f>
        <v>7048</v>
      </c>
      <c r="H57" s="123">
        <f t="shared" si="1"/>
        <v>50527</v>
      </c>
    </row>
    <row r="58" spans="1:8" x14ac:dyDescent="0.2">
      <c r="A58" s="119" t="str">
        <f>StartupfileInput!A57</f>
        <v>1116</v>
      </c>
      <c r="B58" s="120" t="str">
        <f>INDEX(Calculation!$A$4:$M$330,MATCH(Summary!$A58,Calculation!$A$4:$A$330,0),3)</f>
        <v>Charles City</v>
      </c>
      <c r="C58" s="120">
        <f>INDEX(Calculation!$A$4:$M$330,MATCH(Summary!$A58,Calculation!$A$4:$A$330,0),6)</f>
        <v>6.056</v>
      </c>
      <c r="D58" s="120">
        <f>INDEX(Calculation!$A$4:$M$330,MATCH(Summary!$A58,Calculation!$A$4:$A$330,0),7)</f>
        <v>3.16</v>
      </c>
      <c r="E58" s="121">
        <f t="shared" si="0"/>
        <v>9.2160000000000011</v>
      </c>
      <c r="F58" s="122"/>
      <c r="G58" s="123">
        <f>INDEX(Calculation!$A$4:$M$330,MATCH(Summary!$A58,Calculation!$A$4:$A$330,0),10)</f>
        <v>7088</v>
      </c>
      <c r="H58" s="123">
        <f t="shared" si="1"/>
        <v>65323</v>
      </c>
    </row>
    <row r="59" spans="1:8" x14ac:dyDescent="0.2">
      <c r="A59" s="119" t="str">
        <f>StartupfileInput!A58</f>
        <v>1134</v>
      </c>
      <c r="B59" s="120" t="str">
        <f>INDEX(Calculation!$A$4:$M$330,MATCH(Summary!$A59,Calculation!$A$4:$A$330,0),3)</f>
        <v>Charter Oak-Ute</v>
      </c>
      <c r="C59" s="120">
        <f>INDEX(Calculation!$A$4:$M$330,MATCH(Summary!$A59,Calculation!$A$4:$A$330,0),6)</f>
        <v>1.1080000000000001</v>
      </c>
      <c r="D59" s="120">
        <f>INDEX(Calculation!$A$4:$M$330,MATCH(Summary!$A59,Calculation!$A$4:$A$330,0),7)</f>
        <v>0.54200000000000004</v>
      </c>
      <c r="E59" s="121">
        <f t="shared" si="0"/>
        <v>1.6500000000000001</v>
      </c>
      <c r="F59" s="122"/>
      <c r="G59" s="123">
        <f>INDEX(Calculation!$A$4:$M$330,MATCH(Summary!$A59,Calculation!$A$4:$A$330,0),10)</f>
        <v>7048</v>
      </c>
      <c r="H59" s="123">
        <f t="shared" si="1"/>
        <v>11629</v>
      </c>
    </row>
    <row r="60" spans="1:8" x14ac:dyDescent="0.2">
      <c r="A60" s="119" t="str">
        <f>StartupfileInput!A59</f>
        <v>1152</v>
      </c>
      <c r="B60" s="120" t="str">
        <f>INDEX(Calculation!$A$4:$M$330,MATCH(Summary!$A60,Calculation!$A$4:$A$330,0),3)</f>
        <v>Cherokee</v>
      </c>
      <c r="C60" s="120">
        <f>INDEX(Calculation!$A$4:$M$330,MATCH(Summary!$A60,Calculation!$A$4:$A$330,0),6)</f>
        <v>2.6859999999999999</v>
      </c>
      <c r="D60" s="120">
        <f>INDEX(Calculation!$A$4:$M$330,MATCH(Summary!$A60,Calculation!$A$4:$A$330,0),7)</f>
        <v>2.0950000000000002</v>
      </c>
      <c r="E60" s="121">
        <f t="shared" si="0"/>
        <v>4.7810000000000006</v>
      </c>
      <c r="F60" s="122"/>
      <c r="G60" s="123">
        <f>INDEX(Calculation!$A$4:$M$330,MATCH(Summary!$A60,Calculation!$A$4:$A$330,0),10)</f>
        <v>7079</v>
      </c>
      <c r="H60" s="123">
        <f t="shared" si="1"/>
        <v>33845</v>
      </c>
    </row>
    <row r="61" spans="1:8" x14ac:dyDescent="0.2">
      <c r="A61" s="119" t="str">
        <f>StartupfileInput!A60</f>
        <v>1197</v>
      </c>
      <c r="B61" s="120" t="str">
        <f>INDEX(Calculation!$A$4:$M$330,MATCH(Summary!$A61,Calculation!$A$4:$A$330,0),3)</f>
        <v>Clarinda</v>
      </c>
      <c r="C61" s="120">
        <f>INDEX(Calculation!$A$4:$M$330,MATCH(Summary!$A61,Calculation!$A$4:$A$330,0),6)</f>
        <v>2.9220000000000002</v>
      </c>
      <c r="D61" s="120">
        <f>INDEX(Calculation!$A$4:$M$330,MATCH(Summary!$A61,Calculation!$A$4:$A$330,0),7)</f>
        <v>2.0230000000000001</v>
      </c>
      <c r="E61" s="121">
        <f t="shared" si="0"/>
        <v>4.9450000000000003</v>
      </c>
      <c r="F61" s="122"/>
      <c r="G61" s="123">
        <f>INDEX(Calculation!$A$4:$M$330,MATCH(Summary!$A61,Calculation!$A$4:$A$330,0),10)</f>
        <v>7048</v>
      </c>
      <c r="H61" s="123">
        <f t="shared" si="1"/>
        <v>34852</v>
      </c>
    </row>
    <row r="62" spans="1:8" x14ac:dyDescent="0.2">
      <c r="A62" s="119" t="str">
        <f>StartupfileInput!A61</f>
        <v>1206</v>
      </c>
      <c r="B62" s="120" t="str">
        <f>INDEX(Calculation!$A$4:$M$330,MATCH(Summary!$A62,Calculation!$A$4:$A$330,0),3)</f>
        <v>Clarion-Goldfield-Dows</v>
      </c>
      <c r="C62" s="120">
        <f>INDEX(Calculation!$A$4:$M$330,MATCH(Summary!$A62,Calculation!$A$4:$A$330,0),6)</f>
        <v>3.7810000000000001</v>
      </c>
      <c r="D62" s="120">
        <f>INDEX(Calculation!$A$4:$M$330,MATCH(Summary!$A62,Calculation!$A$4:$A$330,0),7)</f>
        <v>1.986</v>
      </c>
      <c r="E62" s="121">
        <f t="shared" si="0"/>
        <v>5.7670000000000003</v>
      </c>
      <c r="F62" s="122"/>
      <c r="G62" s="123">
        <f>INDEX(Calculation!$A$4:$M$330,MATCH(Summary!$A62,Calculation!$A$4:$A$330,0),10)</f>
        <v>7063</v>
      </c>
      <c r="H62" s="123">
        <f t="shared" si="1"/>
        <v>40732</v>
      </c>
    </row>
    <row r="63" spans="1:8" x14ac:dyDescent="0.2">
      <c r="A63" s="119" t="str">
        <f>StartupfileInput!A62</f>
        <v>1211</v>
      </c>
      <c r="B63" s="120" t="str">
        <f>INDEX(Calculation!$A$4:$M$330,MATCH(Summary!$A63,Calculation!$A$4:$A$330,0),3)</f>
        <v>Clarke</v>
      </c>
      <c r="C63" s="120">
        <f>INDEX(Calculation!$A$4:$M$330,MATCH(Summary!$A63,Calculation!$A$4:$A$330,0),6)</f>
        <v>5.9359999999999999</v>
      </c>
      <c r="D63" s="120">
        <f>INDEX(Calculation!$A$4:$M$330,MATCH(Summary!$A63,Calculation!$A$4:$A$330,0),7)</f>
        <v>2.9380000000000002</v>
      </c>
      <c r="E63" s="121">
        <f t="shared" si="0"/>
        <v>8.8740000000000006</v>
      </c>
      <c r="F63" s="122"/>
      <c r="G63" s="123">
        <f>INDEX(Calculation!$A$4:$M$330,MATCH(Summary!$A63,Calculation!$A$4:$A$330,0),10)</f>
        <v>7048</v>
      </c>
      <c r="H63" s="123">
        <f t="shared" si="1"/>
        <v>62544</v>
      </c>
    </row>
    <row r="64" spans="1:8" x14ac:dyDescent="0.2">
      <c r="A64" s="119" t="str">
        <f>StartupfileInput!A63</f>
        <v>1215</v>
      </c>
      <c r="B64" s="120" t="str">
        <f>INDEX(Calculation!$A$4:$M$330,MATCH(Summary!$A64,Calculation!$A$4:$A$330,0),3)</f>
        <v>Clarksville</v>
      </c>
      <c r="C64" s="120">
        <f>INDEX(Calculation!$A$4:$M$330,MATCH(Summary!$A64,Calculation!$A$4:$A$330,0),6)</f>
        <v>0.56000000000000005</v>
      </c>
      <c r="D64" s="120">
        <f>INDEX(Calculation!$A$4:$M$330,MATCH(Summary!$A64,Calculation!$A$4:$A$330,0),7)</f>
        <v>0.60199999999999998</v>
      </c>
      <c r="E64" s="121">
        <f t="shared" si="0"/>
        <v>1.1619999999999999</v>
      </c>
      <c r="F64" s="122"/>
      <c r="G64" s="123">
        <f>INDEX(Calculation!$A$4:$M$330,MATCH(Summary!$A64,Calculation!$A$4:$A$330,0),10)</f>
        <v>7048</v>
      </c>
      <c r="H64" s="123">
        <f t="shared" si="1"/>
        <v>8190</v>
      </c>
    </row>
    <row r="65" spans="1:8" x14ac:dyDescent="0.2">
      <c r="A65" s="119" t="str">
        <f>StartupfileInput!A64</f>
        <v>1218</v>
      </c>
      <c r="B65" s="120" t="str">
        <f>INDEX(Calculation!$A$4:$M$330,MATCH(Summary!$A65,Calculation!$A$4:$A$330,0),3)</f>
        <v>Clay Central-Everly</v>
      </c>
      <c r="C65" s="120">
        <f>INDEX(Calculation!$A$4:$M$330,MATCH(Summary!$A65,Calculation!$A$4:$A$330,0),6)</f>
        <v>1.1659999999999999</v>
      </c>
      <c r="D65" s="120">
        <f>INDEX(Calculation!$A$4:$M$330,MATCH(Summary!$A65,Calculation!$A$4:$A$330,0),7)</f>
        <v>0.58799999999999997</v>
      </c>
      <c r="E65" s="121">
        <f t="shared" si="0"/>
        <v>1.754</v>
      </c>
      <c r="F65" s="122"/>
      <c r="G65" s="123">
        <f>INDEX(Calculation!$A$4:$M$330,MATCH(Summary!$A65,Calculation!$A$4:$A$330,0),10)</f>
        <v>7156</v>
      </c>
      <c r="H65" s="123">
        <f t="shared" si="1"/>
        <v>12552</v>
      </c>
    </row>
    <row r="66" spans="1:8" x14ac:dyDescent="0.2">
      <c r="A66" s="119" t="str">
        <f>StartupfileInput!A65</f>
        <v>2763</v>
      </c>
      <c r="B66" s="120" t="str">
        <f>INDEX(Calculation!$A$4:$M$330,MATCH(Summary!$A66,Calculation!$A$4:$A$330,0),3)</f>
        <v>Clayton Ridge</v>
      </c>
      <c r="C66" s="120">
        <f>INDEX(Calculation!$A$4:$M$330,MATCH(Summary!$A66,Calculation!$A$4:$A$330,0),6)</f>
        <v>1.619</v>
      </c>
      <c r="D66" s="120">
        <f>INDEX(Calculation!$A$4:$M$330,MATCH(Summary!$A66,Calculation!$A$4:$A$330,0),7)</f>
        <v>1.212</v>
      </c>
      <c r="E66" s="121">
        <f t="shared" si="0"/>
        <v>2.831</v>
      </c>
      <c r="F66" s="122"/>
      <c r="G66" s="123">
        <f>INDEX(Calculation!$A$4:$M$330,MATCH(Summary!$A66,Calculation!$A$4:$A$330,0),10)</f>
        <v>7120</v>
      </c>
      <c r="H66" s="123">
        <f t="shared" si="1"/>
        <v>20157</v>
      </c>
    </row>
    <row r="67" spans="1:8" x14ac:dyDescent="0.2">
      <c r="A67" s="119" t="str">
        <f>StartupfileInput!A66</f>
        <v>1221</v>
      </c>
      <c r="B67" s="120" t="str">
        <f>INDEX(Calculation!$A$4:$M$330,MATCH(Summary!$A67,Calculation!$A$4:$A$330,0),3)</f>
        <v>Clear Creek-Amana</v>
      </c>
      <c r="C67" s="120">
        <f>INDEX(Calculation!$A$4:$M$330,MATCH(Summary!$A67,Calculation!$A$4:$A$330,0),6)</f>
        <v>4.3840000000000003</v>
      </c>
      <c r="D67" s="120">
        <f>INDEX(Calculation!$A$4:$M$330,MATCH(Summary!$A67,Calculation!$A$4:$A$330,0),7)</f>
        <v>5.077</v>
      </c>
      <c r="E67" s="121">
        <f t="shared" si="0"/>
        <v>9.4610000000000003</v>
      </c>
      <c r="F67" s="122"/>
      <c r="G67" s="123">
        <f>INDEX(Calculation!$A$4:$M$330,MATCH(Summary!$A67,Calculation!$A$4:$A$330,0),10)</f>
        <v>7064</v>
      </c>
      <c r="H67" s="123">
        <f t="shared" si="1"/>
        <v>66833</v>
      </c>
    </row>
    <row r="68" spans="1:8" x14ac:dyDescent="0.2">
      <c r="A68" s="119" t="str">
        <f>StartupfileInput!A67</f>
        <v>1233</v>
      </c>
      <c r="B68" s="120" t="str">
        <f>INDEX(Calculation!$A$4:$M$330,MATCH(Summary!$A68,Calculation!$A$4:$A$330,0),3)</f>
        <v>Clear Lake</v>
      </c>
      <c r="C68" s="120">
        <f>INDEX(Calculation!$A$4:$M$330,MATCH(Summary!$A68,Calculation!$A$4:$A$330,0),6)</f>
        <v>2.7759999999999998</v>
      </c>
      <c r="D68" s="120">
        <f>INDEX(Calculation!$A$4:$M$330,MATCH(Summary!$A68,Calculation!$A$4:$A$330,0),7)</f>
        <v>2.54</v>
      </c>
      <c r="E68" s="121">
        <f t="shared" ref="E68:E131" si="2">SUM(C68:D68)</f>
        <v>5.3159999999999998</v>
      </c>
      <c r="F68" s="122"/>
      <c r="G68" s="123">
        <f>INDEX(Calculation!$A$4:$M$330,MATCH(Summary!$A68,Calculation!$A$4:$A$330,0),10)</f>
        <v>7048</v>
      </c>
      <c r="H68" s="123">
        <f t="shared" ref="H68:H129" si="3">ROUND(E68*G68,0)</f>
        <v>37467</v>
      </c>
    </row>
    <row r="69" spans="1:8" x14ac:dyDescent="0.2">
      <c r="A69" s="119" t="str">
        <f>StartupfileInput!A68</f>
        <v>1278</v>
      </c>
      <c r="B69" s="120" t="str">
        <f>INDEX(Calculation!$A$4:$M$330,MATCH(Summary!$A69,Calculation!$A$4:$A$330,0),3)</f>
        <v>Clinton</v>
      </c>
      <c r="C69" s="120">
        <f>INDEX(Calculation!$A$4:$M$330,MATCH(Summary!$A69,Calculation!$A$4:$A$330,0),6)</f>
        <v>13.603999999999999</v>
      </c>
      <c r="D69" s="120">
        <f>INDEX(Calculation!$A$4:$M$330,MATCH(Summary!$A69,Calculation!$A$4:$A$330,0),7)</f>
        <v>7.3929999999999998</v>
      </c>
      <c r="E69" s="121">
        <f t="shared" si="2"/>
        <v>20.997</v>
      </c>
      <c r="F69" s="122"/>
      <c r="G69" s="123">
        <f>INDEX(Calculation!$A$4:$M$330,MATCH(Summary!$A69,Calculation!$A$4:$A$330,0),10)</f>
        <v>7074</v>
      </c>
      <c r="H69" s="123">
        <f t="shared" si="3"/>
        <v>148533</v>
      </c>
    </row>
    <row r="70" spans="1:8" x14ac:dyDescent="0.2">
      <c r="A70" s="119" t="str">
        <f>StartupfileInput!A69</f>
        <v>1332</v>
      </c>
      <c r="B70" s="120" t="str">
        <f>INDEX(Calculation!$A$4:$M$330,MATCH(Summary!$A70,Calculation!$A$4:$A$330,0),3)</f>
        <v>Colfax-Mingo</v>
      </c>
      <c r="C70" s="120">
        <f>INDEX(Calculation!$A$4:$M$330,MATCH(Summary!$A70,Calculation!$A$4:$A$330,0),6)</f>
        <v>2.306</v>
      </c>
      <c r="D70" s="120">
        <f>INDEX(Calculation!$A$4:$M$330,MATCH(Summary!$A70,Calculation!$A$4:$A$330,0),7)</f>
        <v>1.5580000000000001</v>
      </c>
      <c r="E70" s="121">
        <f t="shared" si="2"/>
        <v>3.8639999999999999</v>
      </c>
      <c r="F70" s="122"/>
      <c r="G70" s="123">
        <f>INDEX(Calculation!$A$4:$M$330,MATCH(Summary!$A70,Calculation!$A$4:$A$330,0),10)</f>
        <v>7048</v>
      </c>
      <c r="H70" s="123">
        <f t="shared" si="3"/>
        <v>27233</v>
      </c>
    </row>
    <row r="71" spans="1:8" x14ac:dyDescent="0.2">
      <c r="A71" s="119" t="str">
        <f>StartupfileInput!A70</f>
        <v>1337</v>
      </c>
      <c r="B71" s="120" t="str">
        <f>INDEX(Calculation!$A$4:$M$330,MATCH(Summary!$A71,Calculation!$A$4:$A$330,0),3)</f>
        <v>College Community</v>
      </c>
      <c r="C71" s="120">
        <f>INDEX(Calculation!$A$4:$M$330,MATCH(Summary!$A71,Calculation!$A$4:$A$330,0),6)</f>
        <v>11.443</v>
      </c>
      <c r="D71" s="120">
        <f>INDEX(Calculation!$A$4:$M$330,MATCH(Summary!$A71,Calculation!$A$4:$A$330,0),7)</f>
        <v>10.596</v>
      </c>
      <c r="E71" s="121">
        <f t="shared" si="2"/>
        <v>22.039000000000001</v>
      </c>
      <c r="F71" s="122"/>
      <c r="G71" s="123">
        <f>INDEX(Calculation!$A$4:$M$330,MATCH(Summary!$A71,Calculation!$A$4:$A$330,0),10)</f>
        <v>7048</v>
      </c>
      <c r="H71" s="123">
        <f t="shared" si="3"/>
        <v>155331</v>
      </c>
    </row>
    <row r="72" spans="1:8" x14ac:dyDescent="0.2">
      <c r="A72" s="119" t="str">
        <f>StartupfileInput!A71</f>
        <v>1350</v>
      </c>
      <c r="B72" s="120" t="str">
        <f>INDEX(Calculation!$A$4:$M$330,MATCH(Summary!$A72,Calculation!$A$4:$A$330,0),3)</f>
        <v>Collins-Maxwell</v>
      </c>
      <c r="C72" s="120">
        <f>INDEX(Calculation!$A$4:$M$330,MATCH(Summary!$A72,Calculation!$A$4:$A$330,0),6)</f>
        <v>1.097</v>
      </c>
      <c r="D72" s="120">
        <f>INDEX(Calculation!$A$4:$M$330,MATCH(Summary!$A72,Calculation!$A$4:$A$330,0),7)</f>
        <v>0.91100000000000003</v>
      </c>
      <c r="E72" s="121">
        <f t="shared" si="2"/>
        <v>2.008</v>
      </c>
      <c r="F72" s="122"/>
      <c r="G72" s="123">
        <f>INDEX(Calculation!$A$4:$M$330,MATCH(Summary!$A72,Calculation!$A$4:$A$330,0),10)</f>
        <v>7048</v>
      </c>
      <c r="H72" s="123">
        <f t="shared" si="3"/>
        <v>14152</v>
      </c>
    </row>
    <row r="73" spans="1:8" x14ac:dyDescent="0.2">
      <c r="A73" s="119" t="str">
        <f>StartupfileInput!A72</f>
        <v>1359</v>
      </c>
      <c r="B73" s="120" t="str">
        <f>INDEX(Calculation!$A$4:$M$330,MATCH(Summary!$A73,Calculation!$A$4:$A$330,0),3)</f>
        <v>Colo-Nesco</v>
      </c>
      <c r="C73" s="120">
        <f>INDEX(Calculation!$A$4:$M$330,MATCH(Summary!$A73,Calculation!$A$4:$A$330,0),6)</f>
        <v>1.403</v>
      </c>
      <c r="D73" s="120">
        <f>INDEX(Calculation!$A$4:$M$330,MATCH(Summary!$A73,Calculation!$A$4:$A$330,0),7)</f>
        <v>1.044</v>
      </c>
      <c r="E73" s="121">
        <f t="shared" si="2"/>
        <v>2.4470000000000001</v>
      </c>
      <c r="F73" s="122"/>
      <c r="G73" s="123">
        <f>INDEX(Calculation!$A$4:$M$330,MATCH(Summary!$A73,Calculation!$A$4:$A$330,0),10)</f>
        <v>7051</v>
      </c>
      <c r="H73" s="123">
        <f t="shared" si="3"/>
        <v>17254</v>
      </c>
    </row>
    <row r="74" spans="1:8" x14ac:dyDescent="0.2">
      <c r="A74" s="119" t="str">
        <f>StartupfileInput!A73</f>
        <v>1368</v>
      </c>
      <c r="B74" s="120" t="str">
        <f>INDEX(Calculation!$A$4:$M$330,MATCH(Summary!$A74,Calculation!$A$4:$A$330,0),3)</f>
        <v>Columbus</v>
      </c>
      <c r="C74" s="120">
        <f>INDEX(Calculation!$A$4:$M$330,MATCH(Summary!$A74,Calculation!$A$4:$A$330,0),6)</f>
        <v>3.5019999999999998</v>
      </c>
      <c r="D74" s="120">
        <f>INDEX(Calculation!$A$4:$M$330,MATCH(Summary!$A74,Calculation!$A$4:$A$330,0),7)</f>
        <v>1.556</v>
      </c>
      <c r="E74" s="121">
        <f t="shared" si="2"/>
        <v>5.0579999999999998</v>
      </c>
      <c r="F74" s="122"/>
      <c r="G74" s="123">
        <f>INDEX(Calculation!$A$4:$M$330,MATCH(Summary!$A74,Calculation!$A$4:$A$330,0),10)</f>
        <v>7048</v>
      </c>
      <c r="H74" s="123">
        <f t="shared" si="3"/>
        <v>35649</v>
      </c>
    </row>
    <row r="75" spans="1:8" x14ac:dyDescent="0.2">
      <c r="A75" s="119" t="str">
        <f>StartupfileInput!A74</f>
        <v>1413</v>
      </c>
      <c r="B75" s="120" t="str">
        <f>INDEX(Calculation!$A$4:$M$330,MATCH(Summary!$A75,Calculation!$A$4:$A$330,0),3)</f>
        <v>Coon Rapids-Bayard</v>
      </c>
      <c r="C75" s="120">
        <f>INDEX(Calculation!$A$4:$M$330,MATCH(Summary!$A75,Calculation!$A$4:$A$330,0),6)</f>
        <v>1.367</v>
      </c>
      <c r="D75" s="120">
        <f>INDEX(Calculation!$A$4:$M$330,MATCH(Summary!$A75,Calculation!$A$4:$A$330,0),7)</f>
        <v>0.873</v>
      </c>
      <c r="E75" s="121">
        <f t="shared" si="2"/>
        <v>2.2400000000000002</v>
      </c>
      <c r="F75" s="122"/>
      <c r="G75" s="123">
        <f>INDEX(Calculation!$A$4:$M$330,MATCH(Summary!$A75,Calculation!$A$4:$A$330,0),10)</f>
        <v>7175</v>
      </c>
      <c r="H75" s="123">
        <f t="shared" si="3"/>
        <v>16072</v>
      </c>
    </row>
    <row r="76" spans="1:8" x14ac:dyDescent="0.2">
      <c r="A76" s="119" t="str">
        <f>StartupfileInput!A75</f>
        <v>1431</v>
      </c>
      <c r="B76" s="120" t="str">
        <f>INDEX(Calculation!$A$4:$M$330,MATCH(Summary!$A76,Calculation!$A$4:$A$330,0),3)</f>
        <v>Corning</v>
      </c>
      <c r="C76" s="120">
        <f>INDEX(Calculation!$A$4:$M$330,MATCH(Summary!$A76,Calculation!$A$4:$A$330,0),6)</f>
        <v>1.3460000000000001</v>
      </c>
      <c r="D76" s="120">
        <f>INDEX(Calculation!$A$4:$M$330,MATCH(Summary!$A76,Calculation!$A$4:$A$330,0),7)</f>
        <v>0.82699999999999996</v>
      </c>
      <c r="E76" s="121">
        <f t="shared" si="2"/>
        <v>2.173</v>
      </c>
      <c r="F76" s="122"/>
      <c r="G76" s="123">
        <f>INDEX(Calculation!$A$4:$M$330,MATCH(Summary!$A76,Calculation!$A$4:$A$330,0),10)</f>
        <v>7075</v>
      </c>
      <c r="H76" s="123">
        <f t="shared" si="3"/>
        <v>15374</v>
      </c>
    </row>
    <row r="77" spans="1:8" x14ac:dyDescent="0.2">
      <c r="A77" s="119" t="str">
        <f>StartupfileInput!A76</f>
        <v>1476</v>
      </c>
      <c r="B77" s="120" t="str">
        <f>INDEX(Calculation!$A$4:$M$330,MATCH(Summary!$A77,Calculation!$A$4:$A$330,0),3)</f>
        <v>Council Bluffs</v>
      </c>
      <c r="C77" s="120">
        <f>INDEX(Calculation!$A$4:$M$330,MATCH(Summary!$A77,Calculation!$A$4:$A$330,0),6)</f>
        <v>39.615000000000002</v>
      </c>
      <c r="D77" s="120">
        <f>INDEX(Calculation!$A$4:$M$330,MATCH(Summary!$A77,Calculation!$A$4:$A$330,0),7)</f>
        <v>18.609000000000002</v>
      </c>
      <c r="E77" s="121">
        <f t="shared" si="2"/>
        <v>58.224000000000004</v>
      </c>
      <c r="F77" s="122"/>
      <c r="G77" s="123">
        <f>INDEX(Calculation!$A$4:$M$330,MATCH(Summary!$A77,Calculation!$A$4:$A$330,0),10)</f>
        <v>7097</v>
      </c>
      <c r="H77" s="123">
        <f t="shared" si="3"/>
        <v>413216</v>
      </c>
    </row>
    <row r="78" spans="1:8" x14ac:dyDescent="0.2">
      <c r="A78" s="119" t="str">
        <f>StartupfileInput!A77</f>
        <v>1503</v>
      </c>
      <c r="B78" s="120" t="str">
        <f>INDEX(Calculation!$A$4:$M$330,MATCH(Summary!$A78,Calculation!$A$4:$A$330,0),3)</f>
        <v>Creston</v>
      </c>
      <c r="C78" s="120">
        <f>INDEX(Calculation!$A$4:$M$330,MATCH(Summary!$A78,Calculation!$A$4:$A$330,0),6)</f>
        <v>6.3289999999999997</v>
      </c>
      <c r="D78" s="120">
        <f>INDEX(Calculation!$A$4:$M$330,MATCH(Summary!$A78,Calculation!$A$4:$A$330,0),7)</f>
        <v>3</v>
      </c>
      <c r="E78" s="121">
        <f t="shared" si="2"/>
        <v>9.3290000000000006</v>
      </c>
      <c r="F78" s="122"/>
      <c r="G78" s="123">
        <f>INDEX(Calculation!$A$4:$M$330,MATCH(Summary!$A78,Calculation!$A$4:$A$330,0),10)</f>
        <v>7048</v>
      </c>
      <c r="H78" s="123">
        <f t="shared" si="3"/>
        <v>65751</v>
      </c>
    </row>
    <row r="79" spans="1:8" x14ac:dyDescent="0.2">
      <c r="A79" s="119" t="str">
        <f>StartupfileInput!A78</f>
        <v>1576</v>
      </c>
      <c r="B79" s="120" t="str">
        <f>INDEX(Calculation!$A$4:$M$330,MATCH(Summary!$A79,Calculation!$A$4:$A$330,0),3)</f>
        <v>Dallas Center-Grimes</v>
      </c>
      <c r="C79" s="120">
        <f>INDEX(Calculation!$A$4:$M$330,MATCH(Summary!$A79,Calculation!$A$4:$A$330,0),6)</f>
        <v>3.1749999999999998</v>
      </c>
      <c r="D79" s="120">
        <f>INDEX(Calculation!$A$4:$M$330,MATCH(Summary!$A79,Calculation!$A$4:$A$330,0),7)</f>
        <v>6.3789999999999996</v>
      </c>
      <c r="E79" s="121">
        <f t="shared" si="2"/>
        <v>9.5539999999999985</v>
      </c>
      <c r="F79" s="122"/>
      <c r="G79" s="123">
        <f>INDEX(Calculation!$A$4:$M$330,MATCH(Summary!$A79,Calculation!$A$4:$A$330,0),10)</f>
        <v>7048</v>
      </c>
      <c r="H79" s="123">
        <f t="shared" si="3"/>
        <v>67337</v>
      </c>
    </row>
    <row r="80" spans="1:8" x14ac:dyDescent="0.2">
      <c r="A80" s="119" t="str">
        <f>StartupfileInput!A79</f>
        <v>1602</v>
      </c>
      <c r="B80" s="120" t="str">
        <f>INDEX(Calculation!$A$4:$M$330,MATCH(Summary!$A80,Calculation!$A$4:$A$330,0),3)</f>
        <v>Danville</v>
      </c>
      <c r="C80" s="120">
        <f>INDEX(Calculation!$A$4:$M$330,MATCH(Summary!$A80,Calculation!$A$4:$A$330,0),6)</f>
        <v>1.0429999999999999</v>
      </c>
      <c r="D80" s="120">
        <f>INDEX(Calculation!$A$4:$M$330,MATCH(Summary!$A80,Calculation!$A$4:$A$330,0),7)</f>
        <v>1.036</v>
      </c>
      <c r="E80" s="121">
        <f t="shared" si="2"/>
        <v>2.0789999999999997</v>
      </c>
      <c r="F80" s="122"/>
      <c r="G80" s="123">
        <f>INDEX(Calculation!$A$4:$M$330,MATCH(Summary!$A80,Calculation!$A$4:$A$330,0),10)</f>
        <v>7048</v>
      </c>
      <c r="H80" s="123">
        <f t="shared" si="3"/>
        <v>14653</v>
      </c>
    </row>
    <row r="81" spans="1:8" x14ac:dyDescent="0.2">
      <c r="A81" s="119" t="str">
        <f>StartupfileInput!A80</f>
        <v>1611</v>
      </c>
      <c r="B81" s="120" t="str">
        <f>INDEX(Calculation!$A$4:$M$330,MATCH(Summary!$A81,Calculation!$A$4:$A$330,0),3)</f>
        <v>Davenport</v>
      </c>
      <c r="C81" s="120">
        <f>INDEX(Calculation!$A$4:$M$330,MATCH(Summary!$A81,Calculation!$A$4:$A$330,0),6)</f>
        <v>55.863999999999997</v>
      </c>
      <c r="D81" s="120">
        <f>INDEX(Calculation!$A$4:$M$330,MATCH(Summary!$A81,Calculation!$A$4:$A$330,0),7)</f>
        <v>30.457999999999998</v>
      </c>
      <c r="E81" s="121">
        <f t="shared" si="2"/>
        <v>86.322000000000003</v>
      </c>
      <c r="F81" s="122"/>
      <c r="G81" s="123">
        <f>INDEX(Calculation!$A$4:$M$330,MATCH(Summary!$A81,Calculation!$A$4:$A$330,0),10)</f>
        <v>7048</v>
      </c>
      <c r="H81" s="123">
        <f t="shared" si="3"/>
        <v>608397</v>
      </c>
    </row>
    <row r="82" spans="1:8" x14ac:dyDescent="0.2">
      <c r="A82" s="119" t="str">
        <f>StartupfileInput!A81</f>
        <v>1619</v>
      </c>
      <c r="B82" s="120" t="str">
        <f>INDEX(Calculation!$A$4:$M$330,MATCH(Summary!$A82,Calculation!$A$4:$A$330,0),3)</f>
        <v>Davis County</v>
      </c>
      <c r="C82" s="120">
        <f>INDEX(Calculation!$A$4:$M$330,MATCH(Summary!$A82,Calculation!$A$4:$A$330,0),6)</f>
        <v>4.17</v>
      </c>
      <c r="D82" s="120">
        <f>INDEX(Calculation!$A$4:$M$330,MATCH(Summary!$A82,Calculation!$A$4:$A$330,0),7)</f>
        <v>2.3809999999999998</v>
      </c>
      <c r="E82" s="121">
        <f t="shared" si="2"/>
        <v>6.5510000000000002</v>
      </c>
      <c r="F82" s="122"/>
      <c r="G82" s="123">
        <f>INDEX(Calculation!$A$4:$M$330,MATCH(Summary!$A82,Calculation!$A$4:$A$330,0),10)</f>
        <v>7048</v>
      </c>
      <c r="H82" s="123">
        <f t="shared" si="3"/>
        <v>46171</v>
      </c>
    </row>
    <row r="83" spans="1:8" x14ac:dyDescent="0.2">
      <c r="A83" s="119" t="str">
        <f>StartupfileInput!A82</f>
        <v>1638</v>
      </c>
      <c r="B83" s="120" t="str">
        <f>INDEX(Calculation!$A$4:$M$330,MATCH(Summary!$A83,Calculation!$A$4:$A$330,0),3)</f>
        <v>Decorah</v>
      </c>
      <c r="C83" s="120">
        <f>INDEX(Calculation!$A$4:$M$330,MATCH(Summary!$A83,Calculation!$A$4:$A$330,0),6)</f>
        <v>2.6779999999999999</v>
      </c>
      <c r="D83" s="120">
        <f>INDEX(Calculation!$A$4:$M$330,MATCH(Summary!$A83,Calculation!$A$4:$A$330,0),7)</f>
        <v>3.2789999999999999</v>
      </c>
      <c r="E83" s="121">
        <f t="shared" si="2"/>
        <v>5.9569999999999999</v>
      </c>
      <c r="F83" s="122"/>
      <c r="G83" s="123">
        <f>INDEX(Calculation!$A$4:$M$330,MATCH(Summary!$A83,Calculation!$A$4:$A$330,0),10)</f>
        <v>7058</v>
      </c>
      <c r="H83" s="123">
        <f t="shared" si="3"/>
        <v>42045</v>
      </c>
    </row>
    <row r="84" spans="1:8" x14ac:dyDescent="0.2">
      <c r="A84" s="119" t="str">
        <f>StartupfileInput!A83</f>
        <v>1675</v>
      </c>
      <c r="B84" s="120" t="str">
        <f>INDEX(Calculation!$A$4:$M$330,MATCH(Summary!$A84,Calculation!$A$4:$A$330,0),3)</f>
        <v>Delwood</v>
      </c>
      <c r="C84" s="120">
        <f>INDEX(Calculation!$A$4:$M$330,MATCH(Summary!$A84,Calculation!$A$4:$A$330,0),6)</f>
        <v>0.51500000000000001</v>
      </c>
      <c r="D84" s="120">
        <f>INDEX(Calculation!$A$4:$M$330,MATCH(Summary!$A84,Calculation!$A$4:$A$330,0),7)</f>
        <v>0.39500000000000002</v>
      </c>
      <c r="E84" s="121">
        <f t="shared" si="2"/>
        <v>0.91</v>
      </c>
      <c r="F84" s="122"/>
      <c r="G84" s="123">
        <f>INDEX(Calculation!$A$4:$M$330,MATCH(Summary!$A84,Calculation!$A$4:$A$330,0),10)</f>
        <v>7203</v>
      </c>
      <c r="H84" s="123">
        <f t="shared" si="3"/>
        <v>6555</v>
      </c>
    </row>
    <row r="85" spans="1:8" x14ac:dyDescent="0.2">
      <c r="A85" s="119" t="str">
        <f>StartupfileInput!A84</f>
        <v>1701</v>
      </c>
      <c r="B85" s="120" t="str">
        <f>INDEX(Calculation!$A$4:$M$330,MATCH(Summary!$A85,Calculation!$A$4:$A$330,0),3)</f>
        <v>Denison</v>
      </c>
      <c r="C85" s="120">
        <f>INDEX(Calculation!$A$4:$M$330,MATCH(Summary!$A85,Calculation!$A$4:$A$330,0),6)</f>
        <v>10.491</v>
      </c>
      <c r="D85" s="120">
        <f>INDEX(Calculation!$A$4:$M$330,MATCH(Summary!$A85,Calculation!$A$4:$A$330,0),7)</f>
        <v>4.4249999999999998</v>
      </c>
      <c r="E85" s="121">
        <f t="shared" si="2"/>
        <v>14.916</v>
      </c>
      <c r="F85" s="122"/>
      <c r="G85" s="123">
        <f>INDEX(Calculation!$A$4:$M$330,MATCH(Summary!$A85,Calculation!$A$4:$A$330,0),10)</f>
        <v>7048</v>
      </c>
      <c r="H85" s="123">
        <f t="shared" si="3"/>
        <v>105128</v>
      </c>
    </row>
    <row r="86" spans="1:8" x14ac:dyDescent="0.2">
      <c r="A86" s="119" t="str">
        <f>StartupfileInput!A85</f>
        <v>1719</v>
      </c>
      <c r="B86" s="120" t="str">
        <f>INDEX(Calculation!$A$4:$M$330,MATCH(Summary!$A86,Calculation!$A$4:$A$330,0),3)</f>
        <v>Denver</v>
      </c>
      <c r="C86" s="120">
        <f>INDEX(Calculation!$A$4:$M$330,MATCH(Summary!$A86,Calculation!$A$4:$A$330,0),6)</f>
        <v>0.72099999999999997</v>
      </c>
      <c r="D86" s="120">
        <f>INDEX(Calculation!$A$4:$M$330,MATCH(Summary!$A86,Calculation!$A$4:$A$330,0),7)</f>
        <v>1.6759999999999999</v>
      </c>
      <c r="E86" s="121">
        <f t="shared" si="2"/>
        <v>2.3969999999999998</v>
      </c>
      <c r="F86" s="122"/>
      <c r="G86" s="123">
        <f>INDEX(Calculation!$A$4:$M$330,MATCH(Summary!$A86,Calculation!$A$4:$A$330,0),10)</f>
        <v>7048</v>
      </c>
      <c r="H86" s="123">
        <f t="shared" si="3"/>
        <v>16894</v>
      </c>
    </row>
    <row r="87" spans="1:8" x14ac:dyDescent="0.2">
      <c r="A87" s="119" t="str">
        <f>StartupfileInput!A86</f>
        <v>1737</v>
      </c>
      <c r="B87" s="120" t="str">
        <f>INDEX(Calculation!$A$4:$M$330,MATCH(Summary!$A87,Calculation!$A$4:$A$330,0),3)</f>
        <v>Des Moines</v>
      </c>
      <c r="C87" s="120">
        <f>INDEX(Calculation!$A$4:$M$330,MATCH(Summary!$A87,Calculation!$A$4:$A$330,0),6)</f>
        <v>166.90299999999999</v>
      </c>
      <c r="D87" s="120">
        <f>INDEX(Calculation!$A$4:$M$330,MATCH(Summary!$A87,Calculation!$A$4:$A$330,0),7)</f>
        <v>66.518000000000001</v>
      </c>
      <c r="E87" s="121">
        <f t="shared" si="2"/>
        <v>233.42099999999999</v>
      </c>
      <c r="F87" s="122"/>
      <c r="G87" s="123">
        <f>INDEX(Calculation!$A$4:$M$330,MATCH(Summary!$A87,Calculation!$A$4:$A$330,0),10)</f>
        <v>7096</v>
      </c>
      <c r="H87" s="123">
        <f t="shared" si="3"/>
        <v>1656355</v>
      </c>
    </row>
    <row r="88" spans="1:8" x14ac:dyDescent="0.2">
      <c r="A88" s="119" t="str">
        <f>StartupfileInput!A87</f>
        <v>1782</v>
      </c>
      <c r="B88" s="120" t="str">
        <f>INDEX(Calculation!$A$4:$M$330,MATCH(Summary!$A88,Calculation!$A$4:$A$330,0),3)</f>
        <v>Diagonal</v>
      </c>
      <c r="C88" s="120">
        <f>INDEX(Calculation!$A$4:$M$330,MATCH(Summary!$A88,Calculation!$A$4:$A$330,0),6)</f>
        <v>0.45200000000000001</v>
      </c>
      <c r="D88" s="120">
        <f>INDEX(Calculation!$A$4:$M$330,MATCH(Summary!$A88,Calculation!$A$4:$A$330,0),7)</f>
        <v>0.20799999999999999</v>
      </c>
      <c r="E88" s="121">
        <f t="shared" si="2"/>
        <v>0.66</v>
      </c>
      <c r="F88" s="122"/>
      <c r="G88" s="123">
        <f>INDEX(Calculation!$A$4:$M$330,MATCH(Summary!$A88,Calculation!$A$4:$A$330,0),10)</f>
        <v>7048</v>
      </c>
      <c r="H88" s="123">
        <f t="shared" si="3"/>
        <v>4652</v>
      </c>
    </row>
    <row r="89" spans="1:8" x14ac:dyDescent="0.2">
      <c r="A89" s="119" t="str">
        <f>StartupfileInput!A88</f>
        <v>1791</v>
      </c>
      <c r="B89" s="120" t="str">
        <f>INDEX(Calculation!$A$4:$M$330,MATCH(Summary!$A89,Calculation!$A$4:$A$330,0),3)</f>
        <v>Dike-New Hartford</v>
      </c>
      <c r="C89" s="120">
        <f>INDEX(Calculation!$A$4:$M$330,MATCH(Summary!$A89,Calculation!$A$4:$A$330,0),6)</f>
        <v>1.2270000000000001</v>
      </c>
      <c r="D89" s="120">
        <f>INDEX(Calculation!$A$4:$M$330,MATCH(Summary!$A89,Calculation!$A$4:$A$330,0),7)</f>
        <v>1.7789999999999999</v>
      </c>
      <c r="E89" s="121">
        <f t="shared" si="2"/>
        <v>3.0060000000000002</v>
      </c>
      <c r="F89" s="122"/>
      <c r="G89" s="123">
        <f>INDEX(Calculation!$A$4:$M$330,MATCH(Summary!$A89,Calculation!$A$4:$A$330,0),10)</f>
        <v>7048</v>
      </c>
      <c r="H89" s="123">
        <f t="shared" si="3"/>
        <v>21186</v>
      </c>
    </row>
    <row r="90" spans="1:8" x14ac:dyDescent="0.2">
      <c r="A90" s="119" t="str">
        <f>StartupfileInput!A89</f>
        <v>1863</v>
      </c>
      <c r="B90" s="120" t="str">
        <f>INDEX(Calculation!$A$4:$M$330,MATCH(Summary!$A90,Calculation!$A$4:$A$330,0),3)</f>
        <v>Dubuque</v>
      </c>
      <c r="C90" s="120">
        <f>INDEX(Calculation!$A$4:$M$330,MATCH(Summary!$A90,Calculation!$A$4:$A$330,0),6)</f>
        <v>29.052</v>
      </c>
      <c r="D90" s="120">
        <f>INDEX(Calculation!$A$4:$M$330,MATCH(Summary!$A90,Calculation!$A$4:$A$330,0),7)</f>
        <v>21.398</v>
      </c>
      <c r="E90" s="121">
        <f t="shared" si="2"/>
        <v>50.45</v>
      </c>
      <c r="F90" s="122"/>
      <c r="G90" s="123">
        <f>INDEX(Calculation!$A$4:$M$330,MATCH(Summary!$A90,Calculation!$A$4:$A$330,0),10)</f>
        <v>7048</v>
      </c>
      <c r="H90" s="123">
        <f t="shared" si="3"/>
        <v>355572</v>
      </c>
    </row>
    <row r="91" spans="1:8" x14ac:dyDescent="0.2">
      <c r="A91" s="119" t="str">
        <f>StartupfileInput!A90</f>
        <v>1908</v>
      </c>
      <c r="B91" s="120" t="str">
        <f>INDEX(Calculation!$A$4:$M$330,MATCH(Summary!$A91,Calculation!$A$4:$A$330,0),3)</f>
        <v>Dunkerton</v>
      </c>
      <c r="C91" s="120">
        <f>INDEX(Calculation!$A$4:$M$330,MATCH(Summary!$A91,Calculation!$A$4:$A$330,0),6)</f>
        <v>0.9</v>
      </c>
      <c r="D91" s="120">
        <f>INDEX(Calculation!$A$4:$M$330,MATCH(Summary!$A91,Calculation!$A$4:$A$330,0),7)</f>
        <v>0.78700000000000003</v>
      </c>
      <c r="E91" s="121">
        <f t="shared" si="2"/>
        <v>1.6870000000000001</v>
      </c>
      <c r="F91" s="122"/>
      <c r="G91" s="123">
        <f>INDEX(Calculation!$A$4:$M$330,MATCH(Summary!$A91,Calculation!$A$4:$A$330,0),10)</f>
        <v>7048</v>
      </c>
      <c r="H91" s="123">
        <f t="shared" si="3"/>
        <v>11890</v>
      </c>
    </row>
    <row r="92" spans="1:8" x14ac:dyDescent="0.2">
      <c r="A92" s="119" t="str">
        <f>StartupfileInput!A91</f>
        <v>1926</v>
      </c>
      <c r="B92" s="120" t="str">
        <f>INDEX(Calculation!$A$4:$M$330,MATCH(Summary!$A92,Calculation!$A$4:$A$330,0),3)</f>
        <v>Durant</v>
      </c>
      <c r="C92" s="120">
        <f>INDEX(Calculation!$A$4:$M$330,MATCH(Summary!$A92,Calculation!$A$4:$A$330,0),6)</f>
        <v>1.0880000000000001</v>
      </c>
      <c r="D92" s="120">
        <f>INDEX(Calculation!$A$4:$M$330,MATCH(Summary!$A92,Calculation!$A$4:$A$330,0),7)</f>
        <v>1.137</v>
      </c>
      <c r="E92" s="121">
        <f t="shared" si="2"/>
        <v>2.2250000000000001</v>
      </c>
      <c r="F92" s="122"/>
      <c r="G92" s="123">
        <f>INDEX(Calculation!$A$4:$M$330,MATCH(Summary!$A92,Calculation!$A$4:$A$330,0),10)</f>
        <v>7074</v>
      </c>
      <c r="H92" s="123">
        <f t="shared" si="3"/>
        <v>15740</v>
      </c>
    </row>
    <row r="93" spans="1:8" x14ac:dyDescent="0.2">
      <c r="A93" s="119" t="str">
        <f>StartupfileInput!A92</f>
        <v>1944</v>
      </c>
      <c r="B93" s="120" t="str">
        <f>INDEX(Calculation!$A$4:$M$330,MATCH(Summary!$A93,Calculation!$A$4:$A$330,0),3)</f>
        <v>Eagle Grove</v>
      </c>
      <c r="C93" s="120">
        <f>INDEX(Calculation!$A$4:$M$330,MATCH(Summary!$A93,Calculation!$A$4:$A$330,0),6)</f>
        <v>4.5720000000000001</v>
      </c>
      <c r="D93" s="120">
        <f>INDEX(Calculation!$A$4:$M$330,MATCH(Summary!$A93,Calculation!$A$4:$A$330,0),7)</f>
        <v>1.9570000000000001</v>
      </c>
      <c r="E93" s="121">
        <f t="shared" si="2"/>
        <v>6.5289999999999999</v>
      </c>
      <c r="F93" s="122"/>
      <c r="G93" s="123">
        <f>INDEX(Calculation!$A$4:$M$330,MATCH(Summary!$A93,Calculation!$A$4:$A$330,0),10)</f>
        <v>7146</v>
      </c>
      <c r="H93" s="123">
        <f t="shared" si="3"/>
        <v>46656</v>
      </c>
    </row>
    <row r="94" spans="1:8" x14ac:dyDescent="0.2">
      <c r="A94" s="119" t="str">
        <f>StartupfileInput!A93</f>
        <v>1953</v>
      </c>
      <c r="B94" s="120" t="str">
        <f>INDEX(Calculation!$A$4:$M$330,MATCH(Summary!$A94,Calculation!$A$4:$A$330,0),3)</f>
        <v>Earlham</v>
      </c>
      <c r="C94" s="120">
        <f>INDEX(Calculation!$A$4:$M$330,MATCH(Summary!$A94,Calculation!$A$4:$A$330,0),6)</f>
        <v>1.1339999999999999</v>
      </c>
      <c r="D94" s="120">
        <f>INDEX(Calculation!$A$4:$M$330,MATCH(Summary!$A94,Calculation!$A$4:$A$330,0),7)</f>
        <v>1.171</v>
      </c>
      <c r="E94" s="121">
        <f t="shared" si="2"/>
        <v>2.3049999999999997</v>
      </c>
      <c r="F94" s="122"/>
      <c r="G94" s="123">
        <f>INDEX(Calculation!$A$4:$M$330,MATCH(Summary!$A94,Calculation!$A$4:$A$330,0),10)</f>
        <v>7048</v>
      </c>
      <c r="H94" s="123">
        <f t="shared" si="3"/>
        <v>16246</v>
      </c>
    </row>
    <row r="95" spans="1:8" x14ac:dyDescent="0.2">
      <c r="A95" s="119" t="str">
        <f>StartupfileInput!A94</f>
        <v>1963</v>
      </c>
      <c r="B95" s="120" t="str">
        <f>INDEX(Calculation!$A$4:$M$330,MATCH(Summary!$A95,Calculation!$A$4:$A$330,0),3)</f>
        <v>East Buchanan</v>
      </c>
      <c r="C95" s="120">
        <f>INDEX(Calculation!$A$4:$M$330,MATCH(Summary!$A95,Calculation!$A$4:$A$330,0),6)</f>
        <v>1.24</v>
      </c>
      <c r="D95" s="120">
        <f>INDEX(Calculation!$A$4:$M$330,MATCH(Summary!$A95,Calculation!$A$4:$A$330,0),7)</f>
        <v>1.127</v>
      </c>
      <c r="E95" s="121">
        <f t="shared" si="2"/>
        <v>2.367</v>
      </c>
      <c r="F95" s="122"/>
      <c r="G95" s="123">
        <f>INDEX(Calculation!$A$4:$M$330,MATCH(Summary!$A95,Calculation!$A$4:$A$330,0),10)</f>
        <v>7048</v>
      </c>
      <c r="H95" s="123">
        <f t="shared" si="3"/>
        <v>16683</v>
      </c>
    </row>
    <row r="96" spans="1:8" x14ac:dyDescent="0.2">
      <c r="A96" s="119" t="str">
        <f>StartupfileInput!A95</f>
        <v>3582</v>
      </c>
      <c r="B96" s="120" t="str">
        <f>INDEX(Calculation!$A$4:$M$330,MATCH(Summary!$A96,Calculation!$A$4:$A$330,0),3)</f>
        <v>East Marshall</v>
      </c>
      <c r="C96" s="120">
        <f>INDEX(Calculation!$A$4:$M$330,MATCH(Summary!$A96,Calculation!$A$4:$A$330,0),6)</f>
        <v>1.78</v>
      </c>
      <c r="D96" s="120">
        <f>INDEX(Calculation!$A$4:$M$330,MATCH(Summary!$A96,Calculation!$A$4:$A$330,0),7)</f>
        <v>1.232</v>
      </c>
      <c r="E96" s="121">
        <f t="shared" si="2"/>
        <v>3.012</v>
      </c>
      <c r="F96" s="122"/>
      <c r="G96" s="123">
        <f>INDEX(Calculation!$A$4:$M$330,MATCH(Summary!$A96,Calculation!$A$4:$A$330,0),10)</f>
        <v>7112</v>
      </c>
      <c r="H96" s="123">
        <f t="shared" si="3"/>
        <v>21421</v>
      </c>
    </row>
    <row r="97" spans="1:8" x14ac:dyDescent="0.2">
      <c r="A97" s="119" t="str">
        <f>StartupfileInput!A96</f>
        <v>3978</v>
      </c>
      <c r="B97" s="120" t="str">
        <f>INDEX(Calculation!$A$4:$M$330,MATCH(Summary!$A97,Calculation!$A$4:$A$330,0),3)</f>
        <v>East Mills</v>
      </c>
      <c r="C97" s="120">
        <f>INDEX(Calculation!$A$4:$M$330,MATCH(Summary!$A97,Calculation!$A$4:$A$330,0),6)</f>
        <v>1.776</v>
      </c>
      <c r="D97" s="120">
        <f>INDEX(Calculation!$A$4:$M$330,MATCH(Summary!$A97,Calculation!$A$4:$A$330,0),7)</f>
        <v>1.1040000000000001</v>
      </c>
      <c r="E97" s="121">
        <f t="shared" si="2"/>
        <v>2.88</v>
      </c>
      <c r="F97" s="122"/>
      <c r="G97" s="123">
        <f>INDEX(Calculation!$A$4:$M$330,MATCH(Summary!$A97,Calculation!$A$4:$A$330,0),10)</f>
        <v>7092</v>
      </c>
      <c r="H97" s="123">
        <f t="shared" si="3"/>
        <v>20425</v>
      </c>
    </row>
    <row r="98" spans="1:8" x14ac:dyDescent="0.2">
      <c r="A98" s="119" t="str">
        <f>StartupfileInput!A97</f>
        <v>6741</v>
      </c>
      <c r="B98" s="120" t="str">
        <f>INDEX(Calculation!$A$4:$M$330,MATCH(Summary!$A98,Calculation!$A$4:$A$330,0),3)</f>
        <v>East Sac County</v>
      </c>
      <c r="C98" s="120">
        <f>INDEX(Calculation!$A$4:$M$330,MATCH(Summary!$A98,Calculation!$A$4:$A$330,0),6)</f>
        <v>2.7160000000000002</v>
      </c>
      <c r="D98" s="120">
        <f>INDEX(Calculation!$A$4:$M$330,MATCH(Summary!$A98,Calculation!$A$4:$A$330,0),7)</f>
        <v>1.6240000000000001</v>
      </c>
      <c r="E98" s="121">
        <f t="shared" si="2"/>
        <v>4.34</v>
      </c>
      <c r="F98" s="122"/>
      <c r="G98" s="123">
        <f>INDEX(Calculation!$A$4:$M$330,MATCH(Summary!$A98,Calculation!$A$4:$A$330,0),10)</f>
        <v>7048</v>
      </c>
      <c r="H98" s="123">
        <f t="shared" si="3"/>
        <v>30588</v>
      </c>
    </row>
    <row r="99" spans="1:8" x14ac:dyDescent="0.2">
      <c r="A99" s="119" t="str">
        <f>StartupfileInput!A98</f>
        <v>1970</v>
      </c>
      <c r="B99" s="120" t="str">
        <f>INDEX(Calculation!$A$4:$M$330,MATCH(Summary!$A99,Calculation!$A$4:$A$330,0),3)</f>
        <v>East Union</v>
      </c>
      <c r="C99" s="120">
        <f>INDEX(Calculation!$A$4:$M$330,MATCH(Summary!$A99,Calculation!$A$4:$A$330,0),6)</f>
        <v>2.2559999999999998</v>
      </c>
      <c r="D99" s="120">
        <f>INDEX(Calculation!$A$4:$M$330,MATCH(Summary!$A99,Calculation!$A$4:$A$330,0),7)</f>
        <v>1.026</v>
      </c>
      <c r="E99" s="121">
        <f t="shared" si="2"/>
        <v>3.282</v>
      </c>
      <c r="F99" s="122"/>
      <c r="G99" s="123">
        <f>INDEX(Calculation!$A$4:$M$330,MATCH(Summary!$A99,Calculation!$A$4:$A$330,0),10)</f>
        <v>7052</v>
      </c>
      <c r="H99" s="123">
        <f t="shared" si="3"/>
        <v>23145</v>
      </c>
    </row>
    <row r="100" spans="1:8" x14ac:dyDescent="0.2">
      <c r="A100" s="119" t="str">
        <f>StartupfileInput!A99</f>
        <v>1972</v>
      </c>
      <c r="B100" s="120" t="str">
        <f>INDEX(Calculation!$A$4:$M$330,MATCH(Summary!$A100,Calculation!$A$4:$A$330,0),3)</f>
        <v>Eastern Allamakee</v>
      </c>
      <c r="C100" s="120">
        <f>INDEX(Calculation!$A$4:$M$330,MATCH(Summary!$A100,Calculation!$A$4:$A$330,0),6)</f>
        <v>0.84599999999999997</v>
      </c>
      <c r="D100" s="120">
        <f>INDEX(Calculation!$A$4:$M$330,MATCH(Summary!$A100,Calculation!$A$4:$A$330,0),7)</f>
        <v>0.65900000000000003</v>
      </c>
      <c r="E100" s="121">
        <f t="shared" si="2"/>
        <v>1.5049999999999999</v>
      </c>
      <c r="F100" s="122"/>
      <c r="G100" s="123">
        <f>INDEX(Calculation!$A$4:$M$330,MATCH(Summary!$A100,Calculation!$A$4:$A$330,0),10)</f>
        <v>7048</v>
      </c>
      <c r="H100" s="123">
        <f t="shared" si="3"/>
        <v>10607</v>
      </c>
    </row>
    <row r="101" spans="1:8" x14ac:dyDescent="0.2">
      <c r="A101" s="119" t="str">
        <f>StartupfileInput!A100</f>
        <v>1965</v>
      </c>
      <c r="B101" s="120" t="str">
        <f>INDEX(Calculation!$A$4:$M$330,MATCH(Summary!$A101,Calculation!$A$4:$A$330,0),3)</f>
        <v>Easton Valley</v>
      </c>
      <c r="C101" s="120">
        <f>INDEX(Calculation!$A$4:$M$330,MATCH(Summary!$A101,Calculation!$A$4:$A$330,0),6)</f>
        <v>1.7669999999999999</v>
      </c>
      <c r="D101" s="120">
        <f>INDEX(Calculation!$A$4:$M$330,MATCH(Summary!$A101,Calculation!$A$4:$A$330,0),7)</f>
        <v>1.179</v>
      </c>
      <c r="E101" s="121">
        <f t="shared" si="2"/>
        <v>2.9459999999999997</v>
      </c>
      <c r="F101" s="122"/>
      <c r="G101" s="123">
        <f>INDEX(Calculation!$A$4:$M$330,MATCH(Summary!$A101,Calculation!$A$4:$A$330,0),10)</f>
        <v>7048</v>
      </c>
      <c r="H101" s="123">
        <f t="shared" si="3"/>
        <v>20763</v>
      </c>
    </row>
    <row r="102" spans="1:8" x14ac:dyDescent="0.2">
      <c r="A102" s="119" t="str">
        <f>StartupfileInput!A101</f>
        <v>0657</v>
      </c>
      <c r="B102" s="120" t="str">
        <f>INDEX(Calculation!$A$4:$M$330,MATCH(Summary!$A102,Calculation!$A$4:$A$330,0),3)</f>
        <v>Eddyville-Blakesburg-Fremont</v>
      </c>
      <c r="C102" s="120">
        <f>INDEX(Calculation!$A$4:$M$330,MATCH(Summary!$A102,Calculation!$A$4:$A$330,0),6)</f>
        <v>2.2599999999999998</v>
      </c>
      <c r="D102" s="120">
        <f>INDEX(Calculation!$A$4:$M$330,MATCH(Summary!$A102,Calculation!$A$4:$A$330,0),7)</f>
        <v>1.774</v>
      </c>
      <c r="E102" s="121">
        <f t="shared" si="2"/>
        <v>4.0339999999999998</v>
      </c>
      <c r="F102" s="122"/>
      <c r="G102" s="123">
        <f>INDEX(Calculation!$A$4:$M$330,MATCH(Summary!$A102,Calculation!$A$4:$A$330,0),10)</f>
        <v>7048</v>
      </c>
      <c r="H102" s="123">
        <f t="shared" si="3"/>
        <v>28432</v>
      </c>
    </row>
    <row r="103" spans="1:8" x14ac:dyDescent="0.2">
      <c r="A103" s="119" t="str">
        <f>StartupfileInput!A102</f>
        <v>1989</v>
      </c>
      <c r="B103" s="120" t="str">
        <f>INDEX(Calculation!$A$4:$M$330,MATCH(Summary!$A103,Calculation!$A$4:$A$330,0),3)</f>
        <v>Edgewood-Colesburg</v>
      </c>
      <c r="C103" s="120">
        <f>INDEX(Calculation!$A$4:$M$330,MATCH(Summary!$A103,Calculation!$A$4:$A$330,0),6)</f>
        <v>0.97399999999999998</v>
      </c>
      <c r="D103" s="120">
        <f>INDEX(Calculation!$A$4:$M$330,MATCH(Summary!$A103,Calculation!$A$4:$A$330,0),7)</f>
        <v>0.84699999999999998</v>
      </c>
      <c r="E103" s="121">
        <f t="shared" si="2"/>
        <v>1.821</v>
      </c>
      <c r="F103" s="122"/>
      <c r="G103" s="123">
        <f>INDEX(Calculation!$A$4:$M$330,MATCH(Summary!$A103,Calculation!$A$4:$A$330,0),10)</f>
        <v>7048</v>
      </c>
      <c r="H103" s="123">
        <f t="shared" si="3"/>
        <v>12834</v>
      </c>
    </row>
    <row r="104" spans="1:8" x14ac:dyDescent="0.2">
      <c r="A104" s="119" t="str">
        <f>StartupfileInput!A103</f>
        <v>2007</v>
      </c>
      <c r="B104" s="120" t="str">
        <f>INDEX(Calculation!$A$4:$M$330,MATCH(Summary!$A104,Calculation!$A$4:$A$330,0),3)</f>
        <v>Eldora-New Providence</v>
      </c>
      <c r="C104" s="120">
        <f>INDEX(Calculation!$A$4:$M$330,MATCH(Summary!$A104,Calculation!$A$4:$A$330,0),6)</f>
        <v>2.1669999999999998</v>
      </c>
      <c r="D104" s="120">
        <f>INDEX(Calculation!$A$4:$M$330,MATCH(Summary!$A104,Calculation!$A$4:$A$330,0),7)</f>
        <v>1.2330000000000001</v>
      </c>
      <c r="E104" s="121">
        <f t="shared" si="2"/>
        <v>3.4</v>
      </c>
      <c r="F104" s="122"/>
      <c r="G104" s="123">
        <f>INDEX(Calculation!$A$4:$M$330,MATCH(Summary!$A104,Calculation!$A$4:$A$330,0),10)</f>
        <v>7048</v>
      </c>
      <c r="H104" s="123">
        <f t="shared" si="3"/>
        <v>23963</v>
      </c>
    </row>
    <row r="105" spans="1:8" x14ac:dyDescent="0.2">
      <c r="A105" s="119" t="str">
        <f>StartupfileInput!A104</f>
        <v>2088</v>
      </c>
      <c r="B105" s="120" t="str">
        <f>INDEX(Calculation!$A$4:$M$330,MATCH(Summary!$A105,Calculation!$A$4:$A$330,0),3)</f>
        <v>Emmetsburg</v>
      </c>
      <c r="C105" s="120">
        <f>INDEX(Calculation!$A$4:$M$330,MATCH(Summary!$A105,Calculation!$A$4:$A$330,0),6)</f>
        <v>2.1789999999999998</v>
      </c>
      <c r="D105" s="120">
        <f>INDEX(Calculation!$A$4:$M$330,MATCH(Summary!$A105,Calculation!$A$4:$A$330,0),7)</f>
        <v>1.39</v>
      </c>
      <c r="E105" s="121">
        <f t="shared" si="2"/>
        <v>3.569</v>
      </c>
      <c r="F105" s="122"/>
      <c r="G105" s="123">
        <f>INDEX(Calculation!$A$4:$M$330,MATCH(Summary!$A105,Calculation!$A$4:$A$330,0),10)</f>
        <v>7151</v>
      </c>
      <c r="H105" s="123">
        <f t="shared" si="3"/>
        <v>25522</v>
      </c>
    </row>
    <row r="106" spans="1:8" x14ac:dyDescent="0.2">
      <c r="A106" s="119" t="str">
        <f>StartupfileInput!A105</f>
        <v>2097</v>
      </c>
      <c r="B106" s="120" t="str">
        <f>INDEX(Calculation!$A$4:$M$330,MATCH(Summary!$A106,Calculation!$A$4:$A$330,0),3)</f>
        <v>English Valleys</v>
      </c>
      <c r="C106" s="120">
        <f>INDEX(Calculation!$A$4:$M$330,MATCH(Summary!$A106,Calculation!$A$4:$A$330,0),6)</f>
        <v>1.2809999999999999</v>
      </c>
      <c r="D106" s="120">
        <f>INDEX(Calculation!$A$4:$M$330,MATCH(Summary!$A106,Calculation!$A$4:$A$330,0),7)</f>
        <v>0.96799999999999997</v>
      </c>
      <c r="E106" s="121">
        <f t="shared" si="2"/>
        <v>2.2489999999999997</v>
      </c>
      <c r="F106" s="122"/>
      <c r="G106" s="123">
        <f>INDEX(Calculation!$A$4:$M$330,MATCH(Summary!$A106,Calculation!$A$4:$A$330,0),10)</f>
        <v>7101</v>
      </c>
      <c r="H106" s="123">
        <f t="shared" si="3"/>
        <v>15970</v>
      </c>
    </row>
    <row r="107" spans="1:8" x14ac:dyDescent="0.2">
      <c r="A107" s="119" t="str">
        <f>StartupfileInput!A106</f>
        <v>2113</v>
      </c>
      <c r="B107" s="120" t="str">
        <f>INDEX(Calculation!$A$4:$M$330,MATCH(Summary!$A107,Calculation!$A$4:$A$330,0),3)</f>
        <v>Essex</v>
      </c>
      <c r="C107" s="120">
        <f>INDEX(Calculation!$A$4:$M$330,MATCH(Summary!$A107,Calculation!$A$4:$A$330,0),6)</f>
        <v>0.85099999999999998</v>
      </c>
      <c r="D107" s="120">
        <f>INDEX(Calculation!$A$4:$M$330,MATCH(Summary!$A107,Calculation!$A$4:$A$330,0),7)</f>
        <v>0.38200000000000001</v>
      </c>
      <c r="E107" s="121">
        <f t="shared" si="2"/>
        <v>1.2330000000000001</v>
      </c>
      <c r="F107" s="122"/>
      <c r="G107" s="123">
        <f>INDEX(Calculation!$A$4:$M$330,MATCH(Summary!$A107,Calculation!$A$4:$A$330,0),10)</f>
        <v>7048</v>
      </c>
      <c r="H107" s="123">
        <f t="shared" si="3"/>
        <v>8690</v>
      </c>
    </row>
    <row r="108" spans="1:8" x14ac:dyDescent="0.2">
      <c r="A108" s="119" t="str">
        <f>StartupfileInput!A107</f>
        <v>2124</v>
      </c>
      <c r="B108" s="120" t="str">
        <f>INDEX(Calculation!$A$4:$M$330,MATCH(Summary!$A108,Calculation!$A$4:$A$330,0),3)</f>
        <v>Estherville-Lincoln Central</v>
      </c>
      <c r="C108" s="120">
        <f>INDEX(Calculation!$A$4:$M$330,MATCH(Summary!$A108,Calculation!$A$4:$A$330,0),6)</f>
        <v>4.4909999999999997</v>
      </c>
      <c r="D108" s="120">
        <f>INDEX(Calculation!$A$4:$M$330,MATCH(Summary!$A108,Calculation!$A$4:$A$330,0),7)</f>
        <v>2.6019999999999999</v>
      </c>
      <c r="E108" s="121">
        <f t="shared" si="2"/>
        <v>7.093</v>
      </c>
      <c r="F108" s="122"/>
      <c r="G108" s="123">
        <f>INDEX(Calculation!$A$4:$M$330,MATCH(Summary!$A108,Calculation!$A$4:$A$330,0),10)</f>
        <v>7048</v>
      </c>
      <c r="H108" s="123">
        <f t="shared" si="3"/>
        <v>49991</v>
      </c>
    </row>
    <row r="109" spans="1:8" x14ac:dyDescent="0.2">
      <c r="A109" s="119" t="str">
        <f>StartupfileInput!A108</f>
        <v>2151</v>
      </c>
      <c r="B109" s="120" t="str">
        <f>INDEX(Calculation!$A$4:$M$330,MATCH(Summary!$A109,Calculation!$A$4:$A$330,0),3)</f>
        <v>Exira-Elk Horn-Kimballton</v>
      </c>
      <c r="C109" s="120">
        <f>INDEX(Calculation!$A$4:$M$330,MATCH(Summary!$A109,Calculation!$A$4:$A$330,0),6)</f>
        <v>1.288</v>
      </c>
      <c r="D109" s="120">
        <f>INDEX(Calculation!$A$4:$M$330,MATCH(Summary!$A109,Calculation!$A$4:$A$330,0),7)</f>
        <v>0.85</v>
      </c>
      <c r="E109" s="121">
        <f t="shared" si="2"/>
        <v>2.1379999999999999</v>
      </c>
      <c r="F109" s="122"/>
      <c r="G109" s="123">
        <f>INDEX(Calculation!$A$4:$M$330,MATCH(Summary!$A109,Calculation!$A$4:$A$330,0),10)</f>
        <v>7112</v>
      </c>
      <c r="H109" s="123">
        <f t="shared" si="3"/>
        <v>15205</v>
      </c>
    </row>
    <row r="110" spans="1:8" x14ac:dyDescent="0.2">
      <c r="A110" s="119" t="str">
        <f>StartupfileInput!A109</f>
        <v>2169</v>
      </c>
      <c r="B110" s="120" t="str">
        <f>INDEX(Calculation!$A$4:$M$330,MATCH(Summary!$A110,Calculation!$A$4:$A$330,0),3)</f>
        <v>Fairfield</v>
      </c>
      <c r="C110" s="120">
        <f>INDEX(Calculation!$A$4:$M$330,MATCH(Summary!$A110,Calculation!$A$4:$A$330,0),6)</f>
        <v>5.2889999999999997</v>
      </c>
      <c r="D110" s="120">
        <f>INDEX(Calculation!$A$4:$M$330,MATCH(Summary!$A110,Calculation!$A$4:$A$330,0),7)</f>
        <v>3.2789999999999999</v>
      </c>
      <c r="E110" s="121">
        <f t="shared" si="2"/>
        <v>8.5679999999999996</v>
      </c>
      <c r="F110" s="122"/>
      <c r="G110" s="123">
        <f>INDEX(Calculation!$A$4:$M$330,MATCH(Summary!$A110,Calculation!$A$4:$A$330,0),10)</f>
        <v>7048</v>
      </c>
      <c r="H110" s="123">
        <f t="shared" si="3"/>
        <v>60387</v>
      </c>
    </row>
    <row r="111" spans="1:8" x14ac:dyDescent="0.2">
      <c r="A111" s="119" t="str">
        <f>StartupfileInput!A110</f>
        <v>2295</v>
      </c>
      <c r="B111" s="120" t="str">
        <f>INDEX(Calculation!$A$4:$M$330,MATCH(Summary!$A111,Calculation!$A$4:$A$330,0),3)</f>
        <v>Forest City</v>
      </c>
      <c r="C111" s="120">
        <f>INDEX(Calculation!$A$4:$M$330,MATCH(Summary!$A111,Calculation!$A$4:$A$330,0),6)</f>
        <v>2.78</v>
      </c>
      <c r="D111" s="120">
        <f>INDEX(Calculation!$A$4:$M$330,MATCH(Summary!$A111,Calculation!$A$4:$A$330,0),7)</f>
        <v>2.177</v>
      </c>
      <c r="E111" s="121">
        <f t="shared" si="2"/>
        <v>4.9569999999999999</v>
      </c>
      <c r="F111" s="122"/>
      <c r="G111" s="123">
        <f>INDEX(Calculation!$A$4:$M$330,MATCH(Summary!$A111,Calculation!$A$4:$A$330,0),10)</f>
        <v>7048</v>
      </c>
      <c r="H111" s="123">
        <f t="shared" si="3"/>
        <v>34937</v>
      </c>
    </row>
    <row r="112" spans="1:8" x14ac:dyDescent="0.2">
      <c r="A112" s="119" t="str">
        <f>StartupfileInput!A111</f>
        <v>2313</v>
      </c>
      <c r="B112" s="120" t="str">
        <f>INDEX(Calculation!$A$4:$M$330,MATCH(Summary!$A112,Calculation!$A$4:$A$330,0),3)</f>
        <v>Fort Dodge</v>
      </c>
      <c r="C112" s="120">
        <f>INDEX(Calculation!$A$4:$M$330,MATCH(Summary!$A112,Calculation!$A$4:$A$330,0),6)</f>
        <v>14.878</v>
      </c>
      <c r="D112" s="120">
        <f>INDEX(Calculation!$A$4:$M$330,MATCH(Summary!$A112,Calculation!$A$4:$A$330,0),7)</f>
        <v>7.484</v>
      </c>
      <c r="E112" s="121">
        <f t="shared" si="2"/>
        <v>22.362000000000002</v>
      </c>
      <c r="F112" s="122"/>
      <c r="G112" s="123">
        <f>INDEX(Calculation!$A$4:$M$330,MATCH(Summary!$A112,Calculation!$A$4:$A$330,0),10)</f>
        <v>7055</v>
      </c>
      <c r="H112" s="123">
        <f t="shared" si="3"/>
        <v>157764</v>
      </c>
    </row>
    <row r="113" spans="1:8" x14ac:dyDescent="0.2">
      <c r="A113" s="119" t="str">
        <f>StartupfileInput!A112</f>
        <v>2322</v>
      </c>
      <c r="B113" s="120" t="str">
        <f>INDEX(Calculation!$A$4:$M$330,MATCH(Summary!$A113,Calculation!$A$4:$A$330,0),3)</f>
        <v>Fort Madison</v>
      </c>
      <c r="C113" s="120">
        <f>INDEX(Calculation!$A$4:$M$330,MATCH(Summary!$A113,Calculation!$A$4:$A$330,0),6)</f>
        <v>7.6189999999999998</v>
      </c>
      <c r="D113" s="120">
        <f>INDEX(Calculation!$A$4:$M$330,MATCH(Summary!$A113,Calculation!$A$4:$A$330,0),7)</f>
        <v>4.2690000000000001</v>
      </c>
      <c r="E113" s="121">
        <f t="shared" si="2"/>
        <v>11.888</v>
      </c>
      <c r="F113" s="122"/>
      <c r="G113" s="123">
        <f>INDEX(Calculation!$A$4:$M$330,MATCH(Summary!$A113,Calculation!$A$4:$A$330,0),10)</f>
        <v>7048</v>
      </c>
      <c r="H113" s="123">
        <f t="shared" si="3"/>
        <v>83787</v>
      </c>
    </row>
    <row r="114" spans="1:8" x14ac:dyDescent="0.2">
      <c r="A114" s="119" t="str">
        <f>StartupfileInput!A113</f>
        <v>2369</v>
      </c>
      <c r="B114" s="120" t="str">
        <f>INDEX(Calculation!$A$4:$M$330,MATCH(Summary!$A114,Calculation!$A$4:$A$330,0),3)</f>
        <v>Fremont-Mills</v>
      </c>
      <c r="C114" s="120">
        <f>INDEX(Calculation!$A$4:$M$330,MATCH(Summary!$A114,Calculation!$A$4:$A$330,0),6)</f>
        <v>1.0920000000000001</v>
      </c>
      <c r="D114" s="120">
        <f>INDEX(Calculation!$A$4:$M$330,MATCH(Summary!$A114,Calculation!$A$4:$A$330,0),7)</f>
        <v>0.94699999999999995</v>
      </c>
      <c r="E114" s="121">
        <f t="shared" si="2"/>
        <v>2.0390000000000001</v>
      </c>
      <c r="F114" s="122"/>
      <c r="G114" s="123">
        <f>INDEX(Calculation!$A$4:$M$330,MATCH(Summary!$A114,Calculation!$A$4:$A$330,0),10)</f>
        <v>7048</v>
      </c>
      <c r="H114" s="123">
        <f t="shared" si="3"/>
        <v>14371</v>
      </c>
    </row>
    <row r="115" spans="1:8" x14ac:dyDescent="0.2">
      <c r="A115" s="119" t="str">
        <f>StartupfileInput!A114</f>
        <v>2682</v>
      </c>
      <c r="B115" s="120" t="str">
        <f>INDEX(Calculation!$A$4:$M$330,MATCH(Summary!$A115,Calculation!$A$4:$A$330,0),3)</f>
        <v>GMG</v>
      </c>
      <c r="C115" s="120">
        <f>INDEX(Calculation!$A$4:$M$330,MATCH(Summary!$A115,Calculation!$A$4:$A$330,0),6)</f>
        <v>0.89400000000000002</v>
      </c>
      <c r="D115" s="120">
        <f>INDEX(Calculation!$A$4:$M$330,MATCH(Summary!$A115,Calculation!$A$4:$A$330,0),7)</f>
        <v>0.52900000000000003</v>
      </c>
      <c r="E115" s="121">
        <f t="shared" si="2"/>
        <v>1.423</v>
      </c>
      <c r="F115" s="122"/>
      <c r="G115" s="123">
        <f>INDEX(Calculation!$A$4:$M$330,MATCH(Summary!$A115,Calculation!$A$4:$A$330,0),10)</f>
        <v>7048</v>
      </c>
      <c r="H115" s="123">
        <f t="shared" si="3"/>
        <v>10029</v>
      </c>
    </row>
    <row r="116" spans="1:8" x14ac:dyDescent="0.2">
      <c r="A116" s="119" t="str">
        <f>StartupfileInput!A115</f>
        <v>2376</v>
      </c>
      <c r="B116" s="120" t="str">
        <f>INDEX(Calculation!$A$4:$M$330,MATCH(Summary!$A116,Calculation!$A$4:$A$330,0),3)</f>
        <v>Galva-Holstein</v>
      </c>
      <c r="C116" s="120">
        <f>INDEX(Calculation!$A$4:$M$330,MATCH(Summary!$A116,Calculation!$A$4:$A$330,0),6)</f>
        <v>1.0649999999999999</v>
      </c>
      <c r="D116" s="120">
        <f>INDEX(Calculation!$A$4:$M$330,MATCH(Summary!$A116,Calculation!$A$4:$A$330,0),7)</f>
        <v>0.92600000000000005</v>
      </c>
      <c r="E116" s="121">
        <f t="shared" si="2"/>
        <v>1.9910000000000001</v>
      </c>
      <c r="F116" s="122"/>
      <c r="G116" s="123">
        <f>INDEX(Calculation!$A$4:$M$330,MATCH(Summary!$A116,Calculation!$A$4:$A$330,0),10)</f>
        <v>7059</v>
      </c>
      <c r="H116" s="123">
        <f t="shared" si="3"/>
        <v>14054</v>
      </c>
    </row>
    <row r="117" spans="1:8" x14ac:dyDescent="0.2">
      <c r="A117" s="119" t="str">
        <f>StartupfileInput!A116</f>
        <v>2403</v>
      </c>
      <c r="B117" s="120" t="str">
        <f>INDEX(Calculation!$A$4:$M$330,MATCH(Summary!$A117,Calculation!$A$4:$A$330,0),3)</f>
        <v>Garner-Hayfield-Ventura</v>
      </c>
      <c r="C117" s="120">
        <f>INDEX(Calculation!$A$4:$M$330,MATCH(Summary!$A117,Calculation!$A$4:$A$330,0),6)</f>
        <v>1.78</v>
      </c>
      <c r="D117" s="120">
        <f>INDEX(Calculation!$A$4:$M$330,MATCH(Summary!$A117,Calculation!$A$4:$A$330,0),7)</f>
        <v>1.7270000000000001</v>
      </c>
      <c r="E117" s="121">
        <f t="shared" si="2"/>
        <v>3.5070000000000001</v>
      </c>
      <c r="F117" s="122"/>
      <c r="G117" s="123">
        <f>INDEX(Calculation!$A$4:$M$330,MATCH(Summary!$A117,Calculation!$A$4:$A$330,0),10)</f>
        <v>7055</v>
      </c>
      <c r="H117" s="123">
        <f t="shared" si="3"/>
        <v>24742</v>
      </c>
    </row>
    <row r="118" spans="1:8" x14ac:dyDescent="0.2">
      <c r="A118" s="119" t="str">
        <f>StartupfileInput!A117</f>
        <v>2457</v>
      </c>
      <c r="B118" s="120" t="str">
        <f>INDEX(Calculation!$A$4:$M$330,MATCH(Summary!$A118,Calculation!$A$4:$A$330,0),3)</f>
        <v>George-Little Rock</v>
      </c>
      <c r="C118" s="120">
        <f>INDEX(Calculation!$A$4:$M$330,MATCH(Summary!$A118,Calculation!$A$4:$A$330,0),6)</f>
        <v>1.0569999999999999</v>
      </c>
      <c r="D118" s="120">
        <f>INDEX(Calculation!$A$4:$M$330,MATCH(Summary!$A118,Calculation!$A$4:$A$330,0),7)</f>
        <v>0.85299999999999998</v>
      </c>
      <c r="E118" s="121">
        <f t="shared" si="2"/>
        <v>1.91</v>
      </c>
      <c r="F118" s="122"/>
      <c r="G118" s="123">
        <f>INDEX(Calculation!$A$4:$M$330,MATCH(Summary!$A118,Calculation!$A$4:$A$330,0),10)</f>
        <v>7048</v>
      </c>
      <c r="H118" s="123">
        <f t="shared" si="3"/>
        <v>13462</v>
      </c>
    </row>
    <row r="119" spans="1:8" x14ac:dyDescent="0.2">
      <c r="A119" s="119" t="str">
        <f>StartupfileInput!A118</f>
        <v>2466</v>
      </c>
      <c r="B119" s="120" t="str">
        <f>INDEX(Calculation!$A$4:$M$330,MATCH(Summary!$A119,Calculation!$A$4:$A$330,0),3)</f>
        <v>Gilbert</v>
      </c>
      <c r="C119" s="120">
        <f>INDEX(Calculation!$A$4:$M$330,MATCH(Summary!$A119,Calculation!$A$4:$A$330,0),6)</f>
        <v>0.96899999999999997</v>
      </c>
      <c r="D119" s="120">
        <f>INDEX(Calculation!$A$4:$M$330,MATCH(Summary!$A119,Calculation!$A$4:$A$330,0),7)</f>
        <v>3.1589999999999998</v>
      </c>
      <c r="E119" s="121">
        <f t="shared" si="2"/>
        <v>4.1280000000000001</v>
      </c>
      <c r="F119" s="122"/>
      <c r="G119" s="123">
        <f>INDEX(Calculation!$A$4:$M$330,MATCH(Summary!$A119,Calculation!$A$4:$A$330,0),10)</f>
        <v>7048</v>
      </c>
      <c r="H119" s="123">
        <f t="shared" si="3"/>
        <v>29094</v>
      </c>
    </row>
    <row r="120" spans="1:8" x14ac:dyDescent="0.2">
      <c r="A120" s="119" t="str">
        <f>StartupfileInput!A119</f>
        <v>2493</v>
      </c>
      <c r="B120" s="120" t="str">
        <f>INDEX(Calculation!$A$4:$M$330,MATCH(Summary!$A120,Calculation!$A$4:$A$330,0),3)</f>
        <v>Gilmore City-Bradgate</v>
      </c>
      <c r="C120" s="120">
        <f>INDEX(Calculation!$A$4:$M$330,MATCH(Summary!$A120,Calculation!$A$4:$A$330,0),6)</f>
        <v>0.71199999999999997</v>
      </c>
      <c r="D120" s="120">
        <f>INDEX(Calculation!$A$4:$M$330,MATCH(Summary!$A120,Calculation!$A$4:$A$330,0),7)</f>
        <v>0.33300000000000002</v>
      </c>
      <c r="E120" s="121">
        <f t="shared" si="2"/>
        <v>1.0449999999999999</v>
      </c>
      <c r="F120" s="122"/>
      <c r="G120" s="123">
        <f>INDEX(Calculation!$A$4:$M$330,MATCH(Summary!$A120,Calculation!$A$4:$A$330,0),10)</f>
        <v>7195</v>
      </c>
      <c r="H120" s="123">
        <f t="shared" si="3"/>
        <v>7519</v>
      </c>
    </row>
    <row r="121" spans="1:8" x14ac:dyDescent="0.2">
      <c r="A121" s="119" t="str">
        <f>StartupfileInput!A120</f>
        <v>2502</v>
      </c>
      <c r="B121" s="120" t="str">
        <f>INDEX(Calculation!$A$4:$M$330,MATCH(Summary!$A121,Calculation!$A$4:$A$330,0),3)</f>
        <v>Gladbrook-Reinbeck</v>
      </c>
      <c r="C121" s="120">
        <f>INDEX(Calculation!$A$4:$M$330,MATCH(Summary!$A121,Calculation!$A$4:$A$330,0),6)</f>
        <v>1.591</v>
      </c>
      <c r="D121" s="120">
        <f>INDEX(Calculation!$A$4:$M$330,MATCH(Summary!$A121,Calculation!$A$4:$A$330,0),7)</f>
        <v>1.2350000000000001</v>
      </c>
      <c r="E121" s="121">
        <f t="shared" si="2"/>
        <v>2.8260000000000001</v>
      </c>
      <c r="F121" s="122"/>
      <c r="G121" s="123">
        <f>INDEX(Calculation!$A$4:$M$330,MATCH(Summary!$A121,Calculation!$A$4:$A$330,0),10)</f>
        <v>7128</v>
      </c>
      <c r="H121" s="123">
        <f t="shared" si="3"/>
        <v>20144</v>
      </c>
    </row>
    <row r="122" spans="1:8" x14ac:dyDescent="0.2">
      <c r="A122" s="119" t="str">
        <f>StartupfileInput!A121</f>
        <v>2511</v>
      </c>
      <c r="B122" s="120" t="str">
        <f>INDEX(Calculation!$A$4:$M$330,MATCH(Summary!$A122,Calculation!$A$4:$A$330,0),3)</f>
        <v>Glenwood</v>
      </c>
      <c r="C122" s="120">
        <f>INDEX(Calculation!$A$4:$M$330,MATCH(Summary!$A122,Calculation!$A$4:$A$330,0),6)</f>
        <v>4.8330000000000002</v>
      </c>
      <c r="D122" s="120">
        <f>INDEX(Calculation!$A$4:$M$330,MATCH(Summary!$A122,Calculation!$A$4:$A$330,0),7)</f>
        <v>3.94</v>
      </c>
      <c r="E122" s="121">
        <f t="shared" si="2"/>
        <v>8.7729999999999997</v>
      </c>
      <c r="F122" s="122"/>
      <c r="G122" s="123">
        <f>INDEX(Calculation!$A$4:$M$330,MATCH(Summary!$A122,Calculation!$A$4:$A$330,0),10)</f>
        <v>7048</v>
      </c>
      <c r="H122" s="123">
        <f t="shared" si="3"/>
        <v>61832</v>
      </c>
    </row>
    <row r="123" spans="1:8" x14ac:dyDescent="0.2">
      <c r="A123" s="119" t="str">
        <f>StartupfileInput!A122</f>
        <v>2520</v>
      </c>
      <c r="B123" s="120" t="str">
        <f>INDEX(Calculation!$A$4:$M$330,MATCH(Summary!$A123,Calculation!$A$4:$A$330,0),3)</f>
        <v>Glidden-Ralston</v>
      </c>
      <c r="C123" s="120">
        <f>INDEX(Calculation!$A$4:$M$330,MATCH(Summary!$A123,Calculation!$A$4:$A$330,0),6)</f>
        <v>0.59299999999999997</v>
      </c>
      <c r="D123" s="120">
        <f>INDEX(Calculation!$A$4:$M$330,MATCH(Summary!$A123,Calculation!$A$4:$A$330,0),7)</f>
        <v>0.58799999999999997</v>
      </c>
      <c r="E123" s="121">
        <f t="shared" si="2"/>
        <v>1.181</v>
      </c>
      <c r="F123" s="122"/>
      <c r="G123" s="123">
        <f>INDEX(Calculation!$A$4:$M$330,MATCH(Summary!$A123,Calculation!$A$4:$A$330,0),10)</f>
        <v>7048</v>
      </c>
      <c r="H123" s="123">
        <f t="shared" si="3"/>
        <v>8324</v>
      </c>
    </row>
    <row r="124" spans="1:8" x14ac:dyDescent="0.2">
      <c r="A124" s="119" t="str">
        <f>StartupfileInput!A123</f>
        <v>2556</v>
      </c>
      <c r="B124" s="120" t="str">
        <f>INDEX(Calculation!$A$4:$M$330,MATCH(Summary!$A124,Calculation!$A$4:$A$330,0),3)</f>
        <v>Graettinger-Terril</v>
      </c>
      <c r="C124" s="120">
        <f>INDEX(Calculation!$A$4:$M$330,MATCH(Summary!$A124,Calculation!$A$4:$A$330,0),6)</f>
        <v>1.29</v>
      </c>
      <c r="D124" s="120">
        <f>INDEX(Calculation!$A$4:$M$330,MATCH(Summary!$A124,Calculation!$A$4:$A$330,0),7)</f>
        <v>0.76100000000000001</v>
      </c>
      <c r="E124" s="121">
        <f t="shared" si="2"/>
        <v>2.0510000000000002</v>
      </c>
      <c r="F124" s="122"/>
      <c r="G124" s="123">
        <f>INDEX(Calculation!$A$4:$M$330,MATCH(Summary!$A124,Calculation!$A$4:$A$330,0),10)</f>
        <v>7048</v>
      </c>
      <c r="H124" s="123">
        <f t="shared" si="3"/>
        <v>14455</v>
      </c>
    </row>
    <row r="125" spans="1:8" x14ac:dyDescent="0.2">
      <c r="A125" s="119" t="str">
        <f>StartupfileInput!A124</f>
        <v>3195</v>
      </c>
      <c r="B125" s="120" t="str">
        <f>INDEX(Calculation!$A$4:$M$330,MATCH(Summary!$A125,Calculation!$A$4:$A$330,0),3)</f>
        <v>Greene County</v>
      </c>
      <c r="C125" s="120">
        <f>INDEX(Calculation!$A$4:$M$330,MATCH(Summary!$A125,Calculation!$A$4:$A$330,0),6)</f>
        <v>3.9470000000000001</v>
      </c>
      <c r="D125" s="120">
        <f>INDEX(Calculation!$A$4:$M$330,MATCH(Summary!$A125,Calculation!$A$4:$A$330,0),7)</f>
        <v>2.4470000000000001</v>
      </c>
      <c r="E125" s="121">
        <f t="shared" si="2"/>
        <v>6.3940000000000001</v>
      </c>
      <c r="F125" s="122"/>
      <c r="G125" s="123">
        <f>INDEX(Calculation!$A$4:$M$330,MATCH(Summary!$A125,Calculation!$A$4:$A$330,0),10)</f>
        <v>7102</v>
      </c>
      <c r="H125" s="123">
        <f t="shared" si="3"/>
        <v>45410</v>
      </c>
    </row>
    <row r="126" spans="1:8" x14ac:dyDescent="0.2">
      <c r="A126" s="119" t="str">
        <f>StartupfileInput!A125</f>
        <v>2709</v>
      </c>
      <c r="B126" s="120" t="str">
        <f>INDEX(Calculation!$A$4:$M$330,MATCH(Summary!$A126,Calculation!$A$4:$A$330,0),3)</f>
        <v>Grinnell-Newburg</v>
      </c>
      <c r="C126" s="120">
        <f>INDEX(Calculation!$A$4:$M$330,MATCH(Summary!$A126,Calculation!$A$4:$A$330,0),6)</f>
        <v>4.03</v>
      </c>
      <c r="D126" s="120">
        <f>INDEX(Calculation!$A$4:$M$330,MATCH(Summary!$A126,Calculation!$A$4:$A$330,0),7)</f>
        <v>3.3029999999999999</v>
      </c>
      <c r="E126" s="121">
        <f t="shared" si="2"/>
        <v>7.3330000000000002</v>
      </c>
      <c r="F126" s="122"/>
      <c r="G126" s="123">
        <f>INDEX(Calculation!$A$4:$M$330,MATCH(Summary!$A126,Calculation!$A$4:$A$330,0),10)</f>
        <v>7051</v>
      </c>
      <c r="H126" s="123">
        <f t="shared" si="3"/>
        <v>51705</v>
      </c>
    </row>
    <row r="127" spans="1:8" x14ac:dyDescent="0.2">
      <c r="A127" s="119" t="str">
        <f>StartupfileInput!A126</f>
        <v>2718</v>
      </c>
      <c r="B127" s="120" t="str">
        <f>INDEX(Calculation!$A$4:$M$330,MATCH(Summary!$A127,Calculation!$A$4:$A$330,0),3)</f>
        <v>Griswold</v>
      </c>
      <c r="C127" s="120">
        <f>INDEX(Calculation!$A$4:$M$330,MATCH(Summary!$A127,Calculation!$A$4:$A$330,0),6)</f>
        <v>1.2470000000000001</v>
      </c>
      <c r="D127" s="120">
        <f>INDEX(Calculation!$A$4:$M$330,MATCH(Summary!$A127,Calculation!$A$4:$A$330,0),7)</f>
        <v>0.93300000000000005</v>
      </c>
      <c r="E127" s="121">
        <f t="shared" si="2"/>
        <v>2.1800000000000002</v>
      </c>
      <c r="F127" s="122"/>
      <c r="G127" s="123">
        <f>INDEX(Calculation!$A$4:$M$330,MATCH(Summary!$A127,Calculation!$A$4:$A$330,0),10)</f>
        <v>7093</v>
      </c>
      <c r="H127" s="123">
        <f t="shared" si="3"/>
        <v>15463</v>
      </c>
    </row>
    <row r="128" spans="1:8" x14ac:dyDescent="0.2">
      <c r="A128" s="119" t="str">
        <f>StartupfileInput!A127</f>
        <v>2727</v>
      </c>
      <c r="B128" s="120" t="str">
        <f>INDEX(Calculation!$A$4:$M$330,MATCH(Summary!$A128,Calculation!$A$4:$A$330,0),3)</f>
        <v>Grundy Center</v>
      </c>
      <c r="C128" s="120">
        <f>INDEX(Calculation!$A$4:$M$330,MATCH(Summary!$A128,Calculation!$A$4:$A$330,0),6)</f>
        <v>1.0269999999999999</v>
      </c>
      <c r="D128" s="120">
        <f>INDEX(Calculation!$A$4:$M$330,MATCH(Summary!$A128,Calculation!$A$4:$A$330,0),7)</f>
        <v>1.3180000000000001</v>
      </c>
      <c r="E128" s="121">
        <f t="shared" si="2"/>
        <v>2.3449999999999998</v>
      </c>
      <c r="F128" s="122"/>
      <c r="G128" s="123">
        <f>INDEX(Calculation!$A$4:$M$330,MATCH(Summary!$A128,Calculation!$A$4:$A$330,0),10)</f>
        <v>7048</v>
      </c>
      <c r="H128" s="123">
        <f t="shared" si="3"/>
        <v>16528</v>
      </c>
    </row>
    <row r="129" spans="1:8" x14ac:dyDescent="0.2">
      <c r="A129" s="119" t="str">
        <f>StartupfileInput!A128</f>
        <v>2754</v>
      </c>
      <c r="B129" s="120" t="str">
        <f>INDEX(Calculation!$A$4:$M$330,MATCH(Summary!$A129,Calculation!$A$4:$A$330,0),3)</f>
        <v>Guthrie Center</v>
      </c>
      <c r="C129" s="120">
        <f>INDEX(Calculation!$A$4:$M$330,MATCH(Summary!$A129,Calculation!$A$4:$A$330,0),6)</f>
        <v>1.087</v>
      </c>
      <c r="D129" s="120">
        <f>INDEX(Calculation!$A$4:$M$330,MATCH(Summary!$A129,Calculation!$A$4:$A$330,0),7)</f>
        <v>0.89100000000000001</v>
      </c>
      <c r="E129" s="121">
        <f t="shared" si="2"/>
        <v>1.978</v>
      </c>
      <c r="F129" s="122"/>
      <c r="G129" s="123">
        <f>INDEX(Calculation!$A$4:$M$330,MATCH(Summary!$A129,Calculation!$A$4:$A$330,0),10)</f>
        <v>7052</v>
      </c>
      <c r="H129" s="123">
        <f t="shared" si="3"/>
        <v>13949</v>
      </c>
    </row>
    <row r="130" spans="1:8" x14ac:dyDescent="0.2">
      <c r="A130" s="119" t="str">
        <f>StartupfileInput!A129</f>
        <v>2766</v>
      </c>
      <c r="B130" s="120" t="str">
        <f>INDEX(Calculation!$A$4:$M$330,MATCH(Summary!$A130,Calculation!$A$4:$A$330,0),3)</f>
        <v>HLV</v>
      </c>
      <c r="C130" s="120">
        <f>INDEX(Calculation!$A$4:$M$330,MATCH(Summary!$A130,Calculation!$A$4:$A$330,0),6)</f>
        <v>0.81799999999999995</v>
      </c>
      <c r="D130" s="120">
        <f>INDEX(Calculation!$A$4:$M$330,MATCH(Summary!$A130,Calculation!$A$4:$A$330,0),7)</f>
        <v>0.70099999999999996</v>
      </c>
      <c r="E130" s="121">
        <f t="shared" si="2"/>
        <v>1.5189999999999999</v>
      </c>
      <c r="F130" s="122"/>
      <c r="G130" s="123">
        <f>INDEX(Calculation!$A$4:$M$330,MATCH(Summary!$A130,Calculation!$A$4:$A$330,0),10)</f>
        <v>7128</v>
      </c>
      <c r="H130" s="123">
        <f t="shared" ref="H130:H193" si="4">ROUND(E130*G130,0)</f>
        <v>10827</v>
      </c>
    </row>
    <row r="131" spans="1:8" x14ac:dyDescent="0.2">
      <c r="A131" s="119" t="str">
        <f>StartupfileInput!A130</f>
        <v>2772</v>
      </c>
      <c r="B131" s="120" t="str">
        <f>INDEX(Calculation!$A$4:$M$330,MATCH(Summary!$A131,Calculation!$A$4:$A$330,0),3)</f>
        <v>Hamburg</v>
      </c>
      <c r="C131" s="120">
        <f>INDEX(Calculation!$A$4:$M$330,MATCH(Summary!$A131,Calculation!$A$4:$A$330,0),6)</f>
        <v>0.98499999999999999</v>
      </c>
      <c r="D131" s="120">
        <f>INDEX(Calculation!$A$4:$M$330,MATCH(Summary!$A131,Calculation!$A$4:$A$330,0),7)</f>
        <v>0.40600000000000003</v>
      </c>
      <c r="E131" s="121">
        <f t="shared" si="2"/>
        <v>1.391</v>
      </c>
      <c r="F131" s="122"/>
      <c r="G131" s="123">
        <f>INDEX(Calculation!$A$4:$M$330,MATCH(Summary!$A131,Calculation!$A$4:$A$330,0),10)</f>
        <v>7169</v>
      </c>
      <c r="H131" s="123">
        <f>ROUND(E131*G131,0)</f>
        <v>9972</v>
      </c>
    </row>
    <row r="132" spans="1:8" x14ac:dyDescent="0.2">
      <c r="A132" s="119" t="str">
        <f>StartupfileInput!A131</f>
        <v>2781</v>
      </c>
      <c r="B132" s="120" t="str">
        <f>INDEX(Calculation!$A$4:$M$330,MATCH(Summary!$A132,Calculation!$A$4:$A$330,0),3)</f>
        <v>Hampton-Dumont</v>
      </c>
      <c r="C132" s="120">
        <f>INDEX(Calculation!$A$4:$M$330,MATCH(Summary!$A132,Calculation!$A$4:$A$330,0),6)</f>
        <v>5.0250000000000004</v>
      </c>
      <c r="D132" s="120">
        <f>INDEX(Calculation!$A$4:$M$330,MATCH(Summary!$A132,Calculation!$A$4:$A$330,0),7)</f>
        <v>2.3860000000000001</v>
      </c>
      <c r="E132" s="121">
        <f t="shared" ref="E132:E195" si="5">SUM(C132:D132)</f>
        <v>7.4110000000000005</v>
      </c>
      <c r="F132" s="122"/>
      <c r="G132" s="123">
        <f>INDEX(Calculation!$A$4:$M$330,MATCH(Summary!$A132,Calculation!$A$4:$A$330,0),10)</f>
        <v>7048</v>
      </c>
      <c r="H132" s="123">
        <f t="shared" si="4"/>
        <v>52233</v>
      </c>
    </row>
    <row r="133" spans="1:8" x14ac:dyDescent="0.2">
      <c r="A133" s="119" t="str">
        <f>StartupfileInput!A132</f>
        <v>2826</v>
      </c>
      <c r="B133" s="120" t="str">
        <f>INDEX(Calculation!$A$4:$M$330,MATCH(Summary!$A133,Calculation!$A$4:$A$330,0),3)</f>
        <v>Harlan</v>
      </c>
      <c r="C133" s="120">
        <f>INDEX(Calculation!$A$4:$M$330,MATCH(Summary!$A133,Calculation!$A$4:$A$330,0),6)</f>
        <v>3.88</v>
      </c>
      <c r="D133" s="120">
        <f>INDEX(Calculation!$A$4:$M$330,MATCH(Summary!$A133,Calculation!$A$4:$A$330,0),7)</f>
        <v>2.8239999999999998</v>
      </c>
      <c r="E133" s="121">
        <f t="shared" si="5"/>
        <v>6.7039999999999997</v>
      </c>
      <c r="F133" s="122"/>
      <c r="G133" s="123">
        <f>INDEX(Calculation!$A$4:$M$330,MATCH(Summary!$A133,Calculation!$A$4:$A$330,0),10)</f>
        <v>7068</v>
      </c>
      <c r="H133" s="123">
        <f t="shared" si="4"/>
        <v>47384</v>
      </c>
    </row>
    <row r="134" spans="1:8" x14ac:dyDescent="0.2">
      <c r="A134" s="119" t="str">
        <f>StartupfileInput!A133</f>
        <v>2846</v>
      </c>
      <c r="B134" s="120" t="str">
        <f>INDEX(Calculation!$A$4:$M$330,MATCH(Summary!$A134,Calculation!$A$4:$A$330,0),3)</f>
        <v>Harris-Lake Park</v>
      </c>
      <c r="C134" s="120">
        <f>INDEX(Calculation!$A$4:$M$330,MATCH(Summary!$A134,Calculation!$A$4:$A$330,0),6)</f>
        <v>0.59199999999999997</v>
      </c>
      <c r="D134" s="120">
        <f>INDEX(Calculation!$A$4:$M$330,MATCH(Summary!$A134,Calculation!$A$4:$A$330,0),7)</f>
        <v>0.59599999999999997</v>
      </c>
      <c r="E134" s="121">
        <f t="shared" si="5"/>
        <v>1.1879999999999999</v>
      </c>
      <c r="F134" s="122"/>
      <c r="G134" s="123">
        <f>INDEX(Calculation!$A$4:$M$330,MATCH(Summary!$A134,Calculation!$A$4:$A$330,0),10)</f>
        <v>7099</v>
      </c>
      <c r="H134" s="123">
        <f t="shared" si="4"/>
        <v>8434</v>
      </c>
    </row>
    <row r="135" spans="1:8" x14ac:dyDescent="0.2">
      <c r="A135" s="119" t="str">
        <f>StartupfileInput!A134</f>
        <v>2862</v>
      </c>
      <c r="B135" s="120" t="str">
        <f>INDEX(Calculation!$A$4:$M$330,MATCH(Summary!$A135,Calculation!$A$4:$A$330,0),3)</f>
        <v>Hartley-Melvin-Sanborn</v>
      </c>
      <c r="C135" s="120">
        <f>INDEX(Calculation!$A$4:$M$330,MATCH(Summary!$A135,Calculation!$A$4:$A$330,0),6)</f>
        <v>2.149</v>
      </c>
      <c r="D135" s="120">
        <f>INDEX(Calculation!$A$4:$M$330,MATCH(Summary!$A135,Calculation!$A$4:$A$330,0),7)</f>
        <v>1.26</v>
      </c>
      <c r="E135" s="121">
        <f t="shared" si="5"/>
        <v>3.4089999999999998</v>
      </c>
      <c r="F135" s="122"/>
      <c r="G135" s="123">
        <f>INDEX(Calculation!$A$4:$M$330,MATCH(Summary!$A135,Calculation!$A$4:$A$330,0),10)</f>
        <v>7075</v>
      </c>
      <c r="H135" s="123">
        <f t="shared" si="4"/>
        <v>24119</v>
      </c>
    </row>
    <row r="136" spans="1:8" x14ac:dyDescent="0.2">
      <c r="A136" s="119" t="str">
        <f>StartupfileInput!A135</f>
        <v>2977</v>
      </c>
      <c r="B136" s="120" t="str">
        <f>INDEX(Calculation!$A$4:$M$330,MATCH(Summary!$A136,Calculation!$A$4:$A$330,0),3)</f>
        <v>Highland</v>
      </c>
      <c r="C136" s="120">
        <f>INDEX(Calculation!$A$4:$M$330,MATCH(Summary!$A136,Calculation!$A$4:$A$330,0),6)</f>
        <v>0.78100000000000003</v>
      </c>
      <c r="D136" s="120">
        <f>INDEX(Calculation!$A$4:$M$330,MATCH(Summary!$A136,Calculation!$A$4:$A$330,0),7)</f>
        <v>1.2669999999999999</v>
      </c>
      <c r="E136" s="121">
        <f t="shared" si="5"/>
        <v>2.048</v>
      </c>
      <c r="F136" s="122"/>
      <c r="G136" s="123">
        <f>INDEX(Calculation!$A$4:$M$330,MATCH(Summary!$A136,Calculation!$A$4:$A$330,0),10)</f>
        <v>7048</v>
      </c>
      <c r="H136" s="123">
        <f t="shared" si="4"/>
        <v>14434</v>
      </c>
    </row>
    <row r="137" spans="1:8" x14ac:dyDescent="0.2">
      <c r="A137" s="119" t="str">
        <f>StartupfileInput!A136</f>
        <v>2988</v>
      </c>
      <c r="B137" s="120" t="str">
        <f>INDEX(Calculation!$A$4:$M$330,MATCH(Summary!$A137,Calculation!$A$4:$A$330,0),3)</f>
        <v>Hinton</v>
      </c>
      <c r="C137" s="120">
        <f>INDEX(Calculation!$A$4:$M$330,MATCH(Summary!$A137,Calculation!$A$4:$A$330,0),6)</f>
        <v>0.70399999999999996</v>
      </c>
      <c r="D137" s="120">
        <f>INDEX(Calculation!$A$4:$M$330,MATCH(Summary!$A137,Calculation!$A$4:$A$330,0),7)</f>
        <v>1.079</v>
      </c>
      <c r="E137" s="121">
        <f t="shared" si="5"/>
        <v>1.7829999999999999</v>
      </c>
      <c r="F137" s="122"/>
      <c r="G137" s="123">
        <f>INDEX(Calculation!$A$4:$M$330,MATCH(Summary!$A137,Calculation!$A$4:$A$330,0),10)</f>
        <v>7048</v>
      </c>
      <c r="H137" s="123">
        <f t="shared" si="4"/>
        <v>12567</v>
      </c>
    </row>
    <row r="138" spans="1:8" x14ac:dyDescent="0.2">
      <c r="A138" s="119" t="str">
        <f>StartupfileInput!A137</f>
        <v>3029</v>
      </c>
      <c r="B138" s="120" t="str">
        <f>INDEX(Calculation!$A$4:$M$330,MATCH(Summary!$A138,Calculation!$A$4:$A$330,0),3)</f>
        <v>Howard-Winneshiek</v>
      </c>
      <c r="C138" s="120">
        <f>INDEX(Calculation!$A$4:$M$330,MATCH(Summary!$A138,Calculation!$A$4:$A$330,0),6)</f>
        <v>4.1070000000000002</v>
      </c>
      <c r="D138" s="120">
        <f>INDEX(Calculation!$A$4:$M$330,MATCH(Summary!$A138,Calculation!$A$4:$A$330,0),7)</f>
        <v>2.3109999999999999</v>
      </c>
      <c r="E138" s="121">
        <f t="shared" si="5"/>
        <v>6.4180000000000001</v>
      </c>
      <c r="F138" s="122"/>
      <c r="G138" s="123">
        <f>INDEX(Calculation!$A$4:$M$330,MATCH(Summary!$A138,Calculation!$A$4:$A$330,0),10)</f>
        <v>7151</v>
      </c>
      <c r="H138" s="123">
        <f t="shared" si="4"/>
        <v>45895</v>
      </c>
    </row>
    <row r="139" spans="1:8" x14ac:dyDescent="0.2">
      <c r="A139" s="119" t="str">
        <f>StartupfileInput!A138</f>
        <v>3033</v>
      </c>
      <c r="B139" s="120" t="str">
        <f>INDEX(Calculation!$A$4:$M$330,MATCH(Summary!$A139,Calculation!$A$4:$A$330,0),3)</f>
        <v>Hubbard-Radcliffe</v>
      </c>
      <c r="C139" s="120">
        <f>INDEX(Calculation!$A$4:$M$330,MATCH(Summary!$A139,Calculation!$A$4:$A$330,0),6)</f>
        <v>1.0720000000000001</v>
      </c>
      <c r="D139" s="120">
        <f>INDEX(Calculation!$A$4:$M$330,MATCH(Summary!$A139,Calculation!$A$4:$A$330,0),7)</f>
        <v>0.85599999999999998</v>
      </c>
      <c r="E139" s="121">
        <f t="shared" si="5"/>
        <v>1.9279999999999999</v>
      </c>
      <c r="F139" s="122"/>
      <c r="G139" s="123">
        <f>INDEX(Calculation!$A$4:$M$330,MATCH(Summary!$A139,Calculation!$A$4:$A$330,0),10)</f>
        <v>7140</v>
      </c>
      <c r="H139" s="123">
        <f t="shared" si="4"/>
        <v>13766</v>
      </c>
    </row>
    <row r="140" spans="1:8" x14ac:dyDescent="0.2">
      <c r="A140" s="119" t="str">
        <f>StartupfileInput!A139</f>
        <v>3042</v>
      </c>
      <c r="B140" s="120" t="str">
        <f>INDEX(Calculation!$A$4:$M$330,MATCH(Summary!$A140,Calculation!$A$4:$A$330,0),3)</f>
        <v>Hudson</v>
      </c>
      <c r="C140" s="120">
        <f>INDEX(Calculation!$A$4:$M$330,MATCH(Summary!$A140,Calculation!$A$4:$A$330,0),6)</f>
        <v>1.331</v>
      </c>
      <c r="D140" s="120">
        <f>INDEX(Calculation!$A$4:$M$330,MATCH(Summary!$A140,Calculation!$A$4:$A$330,0),7)</f>
        <v>1.4350000000000001</v>
      </c>
      <c r="E140" s="121">
        <f t="shared" si="5"/>
        <v>2.766</v>
      </c>
      <c r="F140" s="122"/>
      <c r="G140" s="123">
        <f>INDEX(Calculation!$A$4:$M$330,MATCH(Summary!$A140,Calculation!$A$4:$A$330,0),10)</f>
        <v>7203</v>
      </c>
      <c r="H140" s="123">
        <f t="shared" si="4"/>
        <v>19923</v>
      </c>
    </row>
    <row r="141" spans="1:8" x14ac:dyDescent="0.2">
      <c r="A141" s="119" t="str">
        <f>StartupfileInput!A140</f>
        <v>3060</v>
      </c>
      <c r="B141" s="120" t="str">
        <f>INDEX(Calculation!$A$4:$M$330,MATCH(Summary!$A141,Calculation!$A$4:$A$330,0),3)</f>
        <v>Humboldt</v>
      </c>
      <c r="C141" s="120">
        <f>INDEX(Calculation!$A$4:$M$330,MATCH(Summary!$A141,Calculation!$A$4:$A$330,0),6)</f>
        <v>3.1080000000000001</v>
      </c>
      <c r="D141" s="120">
        <f>INDEX(Calculation!$A$4:$M$330,MATCH(Summary!$A141,Calculation!$A$4:$A$330,0),7)</f>
        <v>2.5489999999999999</v>
      </c>
      <c r="E141" s="121">
        <f t="shared" si="5"/>
        <v>5.657</v>
      </c>
      <c r="F141" s="122"/>
      <c r="G141" s="123">
        <f>INDEX(Calculation!$A$4:$M$330,MATCH(Summary!$A141,Calculation!$A$4:$A$330,0),10)</f>
        <v>7048</v>
      </c>
      <c r="H141" s="123">
        <f t="shared" si="4"/>
        <v>39871</v>
      </c>
    </row>
    <row r="142" spans="1:8" x14ac:dyDescent="0.2">
      <c r="A142" s="119" t="str">
        <f>StartupfileInput!A141</f>
        <v>3168</v>
      </c>
      <c r="B142" s="120" t="str">
        <f>INDEX(Calculation!$A$4:$M$330,MATCH(Summary!$A142,Calculation!$A$4:$A$330,0),3)</f>
        <v>IKM-Manning</v>
      </c>
      <c r="C142" s="120">
        <f>INDEX(Calculation!$A$4:$M$330,MATCH(Summary!$A142,Calculation!$A$4:$A$330,0),6)</f>
        <v>1.6539999999999999</v>
      </c>
      <c r="D142" s="120">
        <f>INDEX(Calculation!$A$4:$M$330,MATCH(Summary!$A142,Calculation!$A$4:$A$330,0),7)</f>
        <v>1.397</v>
      </c>
      <c r="E142" s="121">
        <f t="shared" si="5"/>
        <v>3.0510000000000002</v>
      </c>
      <c r="F142" s="122"/>
      <c r="G142" s="123">
        <f>INDEX(Calculation!$A$4:$M$330,MATCH(Summary!$A142,Calculation!$A$4:$A$330,0),10)</f>
        <v>7129</v>
      </c>
      <c r="H142" s="123">
        <f t="shared" si="4"/>
        <v>21751</v>
      </c>
    </row>
    <row r="143" spans="1:8" x14ac:dyDescent="0.2">
      <c r="A143" s="119" t="str">
        <f>StartupfileInput!A142</f>
        <v>3105</v>
      </c>
      <c r="B143" s="120" t="str">
        <f>INDEX(Calculation!$A$4:$M$330,MATCH(Summary!$A143,Calculation!$A$4:$A$330,0),3)</f>
        <v>Independence</v>
      </c>
      <c r="C143" s="120">
        <f>INDEX(Calculation!$A$4:$M$330,MATCH(Summary!$A143,Calculation!$A$4:$A$330,0),6)</f>
        <v>4.0090000000000003</v>
      </c>
      <c r="D143" s="120">
        <f>INDEX(Calculation!$A$4:$M$330,MATCH(Summary!$A143,Calculation!$A$4:$A$330,0),7)</f>
        <v>2.91</v>
      </c>
      <c r="E143" s="121">
        <f t="shared" si="5"/>
        <v>6.9190000000000005</v>
      </c>
      <c r="F143" s="122"/>
      <c r="G143" s="123">
        <f>INDEX(Calculation!$A$4:$M$330,MATCH(Summary!$A143,Calculation!$A$4:$A$330,0),10)</f>
        <v>7048</v>
      </c>
      <c r="H143" s="123">
        <f t="shared" si="4"/>
        <v>48765</v>
      </c>
    </row>
    <row r="144" spans="1:8" x14ac:dyDescent="0.2">
      <c r="A144" s="119" t="str">
        <f>StartupfileInput!A143</f>
        <v>3114</v>
      </c>
      <c r="B144" s="120" t="str">
        <f>INDEX(Calculation!$A$4:$M$330,MATCH(Summary!$A144,Calculation!$A$4:$A$330,0),3)</f>
        <v>Indianola</v>
      </c>
      <c r="C144" s="120">
        <f>INDEX(Calculation!$A$4:$M$330,MATCH(Summary!$A144,Calculation!$A$4:$A$330,0),6)</f>
        <v>7.1050000000000004</v>
      </c>
      <c r="D144" s="120">
        <f>INDEX(Calculation!$A$4:$M$330,MATCH(Summary!$A144,Calculation!$A$4:$A$330,0),7)</f>
        <v>7.0590000000000002</v>
      </c>
      <c r="E144" s="121">
        <f t="shared" si="5"/>
        <v>14.164000000000001</v>
      </c>
      <c r="F144" s="122"/>
      <c r="G144" s="123">
        <f>INDEX(Calculation!$A$4:$M$330,MATCH(Summary!$A144,Calculation!$A$4:$A$330,0),10)</f>
        <v>7048</v>
      </c>
      <c r="H144" s="123">
        <f t="shared" si="4"/>
        <v>99828</v>
      </c>
    </row>
    <row r="145" spans="1:8" x14ac:dyDescent="0.2">
      <c r="A145" s="119" t="str">
        <f>StartupfileInput!A144</f>
        <v>3119</v>
      </c>
      <c r="B145" s="120" t="str">
        <f>INDEX(Calculation!$A$4:$M$330,MATCH(Summary!$A145,Calculation!$A$4:$A$330,0),3)</f>
        <v>Interstate 35</v>
      </c>
      <c r="C145" s="120">
        <f>INDEX(Calculation!$A$4:$M$330,MATCH(Summary!$A145,Calculation!$A$4:$A$330,0),6)</f>
        <v>1.7370000000000001</v>
      </c>
      <c r="D145" s="120">
        <f>INDEX(Calculation!$A$4:$M$330,MATCH(Summary!$A145,Calculation!$A$4:$A$330,0),7)</f>
        <v>1.73</v>
      </c>
      <c r="E145" s="121">
        <f t="shared" si="5"/>
        <v>3.4670000000000001</v>
      </c>
      <c r="F145" s="122"/>
      <c r="G145" s="123">
        <f>INDEX(Calculation!$A$4:$M$330,MATCH(Summary!$A145,Calculation!$A$4:$A$330,0),10)</f>
        <v>7048</v>
      </c>
      <c r="H145" s="123">
        <f t="shared" si="4"/>
        <v>24435</v>
      </c>
    </row>
    <row r="146" spans="1:8" x14ac:dyDescent="0.2">
      <c r="A146" s="119" t="str">
        <f>StartupfileInput!A145</f>
        <v>3141</v>
      </c>
      <c r="B146" s="120" t="str">
        <f>INDEX(Calculation!$A$4:$M$330,MATCH(Summary!$A146,Calculation!$A$4:$A$330,0),3)</f>
        <v>Iowa City</v>
      </c>
      <c r="C146" s="120">
        <f>INDEX(Calculation!$A$4:$M$330,MATCH(Summary!$A146,Calculation!$A$4:$A$330,0),6)</f>
        <v>36.604999999999997</v>
      </c>
      <c r="D146" s="120">
        <f>INDEX(Calculation!$A$4:$M$330,MATCH(Summary!$A146,Calculation!$A$4:$A$330,0),7)</f>
        <v>29.725999999999999</v>
      </c>
      <c r="E146" s="121">
        <f t="shared" si="5"/>
        <v>66.330999999999989</v>
      </c>
      <c r="F146" s="122"/>
      <c r="G146" s="123">
        <f>INDEX(Calculation!$A$4:$M$330,MATCH(Summary!$A146,Calculation!$A$4:$A$330,0),10)</f>
        <v>7048</v>
      </c>
      <c r="H146" s="123">
        <f t="shared" si="4"/>
        <v>467501</v>
      </c>
    </row>
    <row r="147" spans="1:8" x14ac:dyDescent="0.2">
      <c r="A147" s="119" t="str">
        <f>StartupfileInput!A146</f>
        <v>3150</v>
      </c>
      <c r="B147" s="120" t="str">
        <f>INDEX(Calculation!$A$4:$M$330,MATCH(Summary!$A147,Calculation!$A$4:$A$330,0),3)</f>
        <v>Iowa Falls</v>
      </c>
      <c r="C147" s="120">
        <f>INDEX(Calculation!$A$4:$M$330,MATCH(Summary!$A147,Calculation!$A$4:$A$330,0),6)</f>
        <v>3.0379999999999998</v>
      </c>
      <c r="D147" s="120">
        <f>INDEX(Calculation!$A$4:$M$330,MATCH(Summary!$A147,Calculation!$A$4:$A$330,0),7)</f>
        <v>2.1219999999999999</v>
      </c>
      <c r="E147" s="121">
        <f t="shared" si="5"/>
        <v>5.16</v>
      </c>
      <c r="F147" s="122"/>
      <c r="G147" s="123">
        <f>INDEX(Calculation!$A$4:$M$330,MATCH(Summary!$A147,Calculation!$A$4:$A$330,0),10)</f>
        <v>7048</v>
      </c>
      <c r="H147" s="123">
        <f t="shared" si="4"/>
        <v>36368</v>
      </c>
    </row>
    <row r="148" spans="1:8" x14ac:dyDescent="0.2">
      <c r="A148" s="119" t="str">
        <f>StartupfileInput!A147</f>
        <v>3154</v>
      </c>
      <c r="B148" s="120" t="str">
        <f>INDEX(Calculation!$A$4:$M$330,MATCH(Summary!$A148,Calculation!$A$4:$A$330,0),3)</f>
        <v>Iowa Valley</v>
      </c>
      <c r="C148" s="120">
        <f>INDEX(Calculation!$A$4:$M$330,MATCH(Summary!$A148,Calculation!$A$4:$A$330,0),6)</f>
        <v>1.335</v>
      </c>
      <c r="D148" s="120">
        <f>INDEX(Calculation!$A$4:$M$330,MATCH(Summary!$A148,Calculation!$A$4:$A$330,0),7)</f>
        <v>1.0860000000000001</v>
      </c>
      <c r="E148" s="121">
        <f t="shared" si="5"/>
        <v>2.4210000000000003</v>
      </c>
      <c r="F148" s="122"/>
      <c r="G148" s="123">
        <f>INDEX(Calculation!$A$4:$M$330,MATCH(Summary!$A148,Calculation!$A$4:$A$330,0),10)</f>
        <v>7048</v>
      </c>
      <c r="H148" s="123">
        <f t="shared" si="4"/>
        <v>17063</v>
      </c>
    </row>
    <row r="149" spans="1:8" x14ac:dyDescent="0.2">
      <c r="A149" s="119" t="str">
        <f>StartupfileInput!A148</f>
        <v>3186</v>
      </c>
      <c r="B149" s="120" t="str">
        <f>INDEX(Calculation!$A$4:$M$330,MATCH(Summary!$A149,Calculation!$A$4:$A$330,0),3)</f>
        <v>Janesville</v>
      </c>
      <c r="C149" s="120">
        <f>INDEX(Calculation!$A$4:$M$330,MATCH(Summary!$A149,Calculation!$A$4:$A$330,0),6)</f>
        <v>0.48599999999999999</v>
      </c>
      <c r="D149" s="120">
        <f>INDEX(Calculation!$A$4:$M$330,MATCH(Summary!$A149,Calculation!$A$4:$A$330,0),7)</f>
        <v>0.89</v>
      </c>
      <c r="E149" s="121">
        <f t="shared" si="5"/>
        <v>1.3759999999999999</v>
      </c>
      <c r="F149" s="122"/>
      <c r="G149" s="123">
        <f>INDEX(Calculation!$A$4:$M$330,MATCH(Summary!$A149,Calculation!$A$4:$A$330,0),10)</f>
        <v>7103</v>
      </c>
      <c r="H149" s="123">
        <f t="shared" si="4"/>
        <v>9774</v>
      </c>
    </row>
    <row r="150" spans="1:8" x14ac:dyDescent="0.2">
      <c r="A150" s="119" t="str">
        <f>StartupfileInput!A149</f>
        <v>3204</v>
      </c>
      <c r="B150" s="120" t="str">
        <f>INDEX(Calculation!$A$4:$M$330,MATCH(Summary!$A150,Calculation!$A$4:$A$330,0),3)</f>
        <v>Jesup</v>
      </c>
      <c r="C150" s="120">
        <f>INDEX(Calculation!$A$4:$M$330,MATCH(Summary!$A150,Calculation!$A$4:$A$330,0),6)</f>
        <v>1.1599999999999999</v>
      </c>
      <c r="D150" s="120">
        <f>INDEX(Calculation!$A$4:$M$330,MATCH(Summary!$A150,Calculation!$A$4:$A$330,0),7)</f>
        <v>1.8029999999999999</v>
      </c>
      <c r="E150" s="121">
        <f t="shared" si="5"/>
        <v>2.9630000000000001</v>
      </c>
      <c r="F150" s="122"/>
      <c r="G150" s="123">
        <f>INDEX(Calculation!$A$4:$M$330,MATCH(Summary!$A150,Calculation!$A$4:$A$330,0),10)</f>
        <v>7048</v>
      </c>
      <c r="H150" s="123">
        <f t="shared" si="4"/>
        <v>20883</v>
      </c>
    </row>
    <row r="151" spans="1:8" x14ac:dyDescent="0.2">
      <c r="A151" s="119" t="str">
        <f>StartupfileInput!A150</f>
        <v>3231</v>
      </c>
      <c r="B151" s="120" t="str">
        <f>INDEX(Calculation!$A$4:$M$330,MATCH(Summary!$A151,Calculation!$A$4:$A$330,0),3)</f>
        <v>Johnston</v>
      </c>
      <c r="C151" s="120">
        <f>INDEX(Calculation!$A$4:$M$330,MATCH(Summary!$A151,Calculation!$A$4:$A$330,0),6)</f>
        <v>10.512</v>
      </c>
      <c r="D151" s="120">
        <f>INDEX(Calculation!$A$4:$M$330,MATCH(Summary!$A151,Calculation!$A$4:$A$330,0),7)</f>
        <v>14.496</v>
      </c>
      <c r="E151" s="121">
        <f t="shared" si="5"/>
        <v>25.008000000000003</v>
      </c>
      <c r="F151" s="122"/>
      <c r="G151" s="123">
        <f>INDEX(Calculation!$A$4:$M$330,MATCH(Summary!$A151,Calculation!$A$4:$A$330,0),10)</f>
        <v>7048</v>
      </c>
      <c r="H151" s="123">
        <f t="shared" si="4"/>
        <v>176256</v>
      </c>
    </row>
    <row r="152" spans="1:8" x14ac:dyDescent="0.2">
      <c r="A152" s="119" t="str">
        <f>StartupfileInput!A151</f>
        <v>3312</v>
      </c>
      <c r="B152" s="120" t="str">
        <f>INDEX(Calculation!$A$4:$M$330,MATCH(Summary!$A152,Calculation!$A$4:$A$330,0),3)</f>
        <v>Keokuk</v>
      </c>
      <c r="C152" s="120">
        <f>INDEX(Calculation!$A$4:$M$330,MATCH(Summary!$A152,Calculation!$A$4:$A$330,0),6)</f>
        <v>8.4610000000000003</v>
      </c>
      <c r="D152" s="120">
        <f>INDEX(Calculation!$A$4:$M$330,MATCH(Summary!$A152,Calculation!$A$4:$A$330,0),7)</f>
        <v>3.9140000000000001</v>
      </c>
      <c r="E152" s="121">
        <f t="shared" si="5"/>
        <v>12.375</v>
      </c>
      <c r="F152" s="122"/>
      <c r="G152" s="123">
        <f>INDEX(Calculation!$A$4:$M$330,MATCH(Summary!$A152,Calculation!$A$4:$A$330,0),10)</f>
        <v>7048</v>
      </c>
      <c r="H152" s="123">
        <f t="shared" si="4"/>
        <v>87219</v>
      </c>
    </row>
    <row r="153" spans="1:8" x14ac:dyDescent="0.2">
      <c r="A153" s="119" t="str">
        <f>StartupfileInput!A152</f>
        <v>3330</v>
      </c>
      <c r="B153" s="120" t="str">
        <f>INDEX(Calculation!$A$4:$M$330,MATCH(Summary!$A153,Calculation!$A$4:$A$330,0),3)</f>
        <v>Keota</v>
      </c>
      <c r="C153" s="120">
        <f>INDEX(Calculation!$A$4:$M$330,MATCH(Summary!$A153,Calculation!$A$4:$A$330,0),6)</f>
        <v>0.94</v>
      </c>
      <c r="D153" s="120">
        <f>INDEX(Calculation!$A$4:$M$330,MATCH(Summary!$A153,Calculation!$A$4:$A$330,0),7)</f>
        <v>0.72799999999999998</v>
      </c>
      <c r="E153" s="121">
        <f t="shared" si="5"/>
        <v>1.6679999999999999</v>
      </c>
      <c r="F153" s="122"/>
      <c r="G153" s="123">
        <f>INDEX(Calculation!$A$4:$M$330,MATCH(Summary!$A153,Calculation!$A$4:$A$330,0),10)</f>
        <v>7072</v>
      </c>
      <c r="H153" s="123">
        <f t="shared" si="4"/>
        <v>11796</v>
      </c>
    </row>
    <row r="154" spans="1:8" x14ac:dyDescent="0.2">
      <c r="A154" s="119" t="str">
        <f>StartupfileInput!A153</f>
        <v>3348</v>
      </c>
      <c r="B154" s="120" t="str">
        <f>INDEX(Calculation!$A$4:$M$330,MATCH(Summary!$A154,Calculation!$A$4:$A$330,0),3)</f>
        <v>Kingsley-Pierson</v>
      </c>
      <c r="C154" s="120">
        <f>INDEX(Calculation!$A$4:$M$330,MATCH(Summary!$A154,Calculation!$A$4:$A$330,0),6)</f>
        <v>1.3740000000000001</v>
      </c>
      <c r="D154" s="120">
        <f>INDEX(Calculation!$A$4:$M$330,MATCH(Summary!$A154,Calculation!$A$4:$A$330,0),7)</f>
        <v>0.93600000000000005</v>
      </c>
      <c r="E154" s="121">
        <f t="shared" si="5"/>
        <v>2.31</v>
      </c>
      <c r="F154" s="122"/>
      <c r="G154" s="123">
        <f>INDEX(Calculation!$A$4:$M$330,MATCH(Summary!$A154,Calculation!$A$4:$A$330,0),10)</f>
        <v>7131</v>
      </c>
      <c r="H154" s="123">
        <f t="shared" si="4"/>
        <v>16473</v>
      </c>
    </row>
    <row r="155" spans="1:8" x14ac:dyDescent="0.2">
      <c r="A155" s="119" t="str">
        <f>StartupfileInput!A154</f>
        <v>3375</v>
      </c>
      <c r="B155" s="120" t="str">
        <f>INDEX(Calculation!$A$4:$M$330,MATCH(Summary!$A155,Calculation!$A$4:$A$330,0),3)</f>
        <v>Knoxville</v>
      </c>
      <c r="C155" s="120">
        <f>INDEX(Calculation!$A$4:$M$330,MATCH(Summary!$A155,Calculation!$A$4:$A$330,0),6)</f>
        <v>5.5940000000000003</v>
      </c>
      <c r="D155" s="120">
        <f>INDEX(Calculation!$A$4:$M$330,MATCH(Summary!$A155,Calculation!$A$4:$A$330,0),7)</f>
        <v>3.6150000000000002</v>
      </c>
      <c r="E155" s="121">
        <f t="shared" si="5"/>
        <v>9.2089999999999996</v>
      </c>
      <c r="F155" s="122"/>
      <c r="G155" s="123">
        <f>INDEX(Calculation!$A$4:$M$330,MATCH(Summary!$A155,Calculation!$A$4:$A$330,0),10)</f>
        <v>7048</v>
      </c>
      <c r="H155" s="123">
        <f t="shared" si="4"/>
        <v>64905</v>
      </c>
    </row>
    <row r="156" spans="1:8" x14ac:dyDescent="0.2">
      <c r="A156" s="119" t="str">
        <f>StartupfileInput!A155</f>
        <v>3420</v>
      </c>
      <c r="B156" s="120" t="str">
        <f>INDEX(Calculation!$A$4:$M$330,MATCH(Summary!$A156,Calculation!$A$4:$A$330,0),3)</f>
        <v>Lake Mills</v>
      </c>
      <c r="C156" s="120">
        <f>INDEX(Calculation!$A$4:$M$330,MATCH(Summary!$A156,Calculation!$A$4:$A$330,0),6)</f>
        <v>1.391</v>
      </c>
      <c r="D156" s="120">
        <f>INDEX(Calculation!$A$4:$M$330,MATCH(Summary!$A156,Calculation!$A$4:$A$330,0),7)</f>
        <v>1.17</v>
      </c>
      <c r="E156" s="121">
        <f t="shared" si="5"/>
        <v>2.5609999999999999</v>
      </c>
      <c r="F156" s="122"/>
      <c r="G156" s="123">
        <f>INDEX(Calculation!$A$4:$M$330,MATCH(Summary!$A156,Calculation!$A$4:$A$330,0),10)</f>
        <v>7048</v>
      </c>
      <c r="H156" s="123">
        <f t="shared" si="4"/>
        <v>18050</v>
      </c>
    </row>
    <row r="157" spans="1:8" x14ac:dyDescent="0.2">
      <c r="A157" s="119" t="str">
        <f>StartupfileInput!A156</f>
        <v>3465</v>
      </c>
      <c r="B157" s="120" t="str">
        <f>INDEX(Calculation!$A$4:$M$330,MATCH(Summary!$A157,Calculation!$A$4:$A$330,0),3)</f>
        <v>Lamoni</v>
      </c>
      <c r="C157" s="120">
        <f>INDEX(Calculation!$A$4:$M$330,MATCH(Summary!$A157,Calculation!$A$4:$A$330,0),6)</f>
        <v>1.337</v>
      </c>
      <c r="D157" s="120">
        <f>INDEX(Calculation!$A$4:$M$330,MATCH(Summary!$A157,Calculation!$A$4:$A$330,0),7)</f>
        <v>0.61699999999999999</v>
      </c>
      <c r="E157" s="121">
        <f t="shared" si="5"/>
        <v>1.954</v>
      </c>
      <c r="F157" s="122"/>
      <c r="G157" s="123">
        <f>INDEX(Calculation!$A$4:$M$330,MATCH(Summary!$A157,Calculation!$A$4:$A$330,0),10)</f>
        <v>7048</v>
      </c>
      <c r="H157" s="123">
        <f t="shared" si="4"/>
        <v>13772</v>
      </c>
    </row>
    <row r="158" spans="1:8" x14ac:dyDescent="0.2">
      <c r="A158" s="119" t="str">
        <f>StartupfileInput!A157</f>
        <v>3537</v>
      </c>
      <c r="B158" s="120" t="str">
        <f>INDEX(Calculation!$A$4:$M$330,MATCH(Summary!$A158,Calculation!$A$4:$A$330,0),3)</f>
        <v>Laurens-Marathon</v>
      </c>
      <c r="C158" s="120">
        <f>INDEX(Calculation!$A$4:$M$330,MATCH(Summary!$A158,Calculation!$A$4:$A$330,0),6)</f>
        <v>0.876</v>
      </c>
      <c r="D158" s="120">
        <f>INDEX(Calculation!$A$4:$M$330,MATCH(Summary!$A158,Calculation!$A$4:$A$330,0),7)</f>
        <v>0.56299999999999994</v>
      </c>
      <c r="E158" s="121">
        <f t="shared" si="5"/>
        <v>1.4390000000000001</v>
      </c>
      <c r="F158" s="122"/>
      <c r="G158" s="123">
        <f>INDEX(Calculation!$A$4:$M$330,MATCH(Summary!$A158,Calculation!$A$4:$A$330,0),10)</f>
        <v>7048</v>
      </c>
      <c r="H158" s="123">
        <f t="shared" si="4"/>
        <v>10142</v>
      </c>
    </row>
    <row r="159" spans="1:8" x14ac:dyDescent="0.2">
      <c r="A159" s="119" t="str">
        <f>StartupfileInput!A158</f>
        <v>3555</v>
      </c>
      <c r="B159" s="120" t="str">
        <f>INDEX(Calculation!$A$4:$M$330,MATCH(Summary!$A159,Calculation!$A$4:$A$330,0),3)</f>
        <v>Lawton-Bronson</v>
      </c>
      <c r="C159" s="120">
        <f>INDEX(Calculation!$A$4:$M$330,MATCH(Summary!$A159,Calculation!$A$4:$A$330,0),6)</f>
        <v>1.127</v>
      </c>
      <c r="D159" s="120">
        <f>INDEX(Calculation!$A$4:$M$330,MATCH(Summary!$A159,Calculation!$A$4:$A$330,0),7)</f>
        <v>1.2450000000000001</v>
      </c>
      <c r="E159" s="121">
        <f t="shared" si="5"/>
        <v>2.3719999999999999</v>
      </c>
      <c r="F159" s="122"/>
      <c r="G159" s="123">
        <f>INDEX(Calculation!$A$4:$M$330,MATCH(Summary!$A159,Calculation!$A$4:$A$330,0),10)</f>
        <v>7048</v>
      </c>
      <c r="H159" s="123">
        <f t="shared" si="4"/>
        <v>16718</v>
      </c>
    </row>
    <row r="160" spans="1:8" x14ac:dyDescent="0.2">
      <c r="A160" s="119" t="str">
        <f>StartupfileInput!A159</f>
        <v>3600</v>
      </c>
      <c r="B160" s="120" t="str">
        <f>INDEX(Calculation!$A$4:$M$330,MATCH(Summary!$A160,Calculation!$A$4:$A$330,0),3)</f>
        <v>Le Mars</v>
      </c>
      <c r="C160" s="120">
        <f>INDEX(Calculation!$A$4:$M$330,MATCH(Summary!$A160,Calculation!$A$4:$A$330,0),6)</f>
        <v>5.5629999999999997</v>
      </c>
      <c r="D160" s="120">
        <f>INDEX(Calculation!$A$4:$M$330,MATCH(Summary!$A160,Calculation!$A$4:$A$330,0),7)</f>
        <v>4.5049999999999999</v>
      </c>
      <c r="E160" s="121">
        <f t="shared" si="5"/>
        <v>10.068</v>
      </c>
      <c r="F160" s="122"/>
      <c r="G160" s="123">
        <f>INDEX(Calculation!$A$4:$M$330,MATCH(Summary!$A160,Calculation!$A$4:$A$330,0),10)</f>
        <v>7048</v>
      </c>
      <c r="H160" s="123">
        <f t="shared" si="4"/>
        <v>70959</v>
      </c>
    </row>
    <row r="161" spans="1:8" x14ac:dyDescent="0.2">
      <c r="A161" s="119" t="str">
        <f>StartupfileInput!A160</f>
        <v>3609</v>
      </c>
      <c r="B161" s="120" t="str">
        <f>INDEX(Calculation!$A$4:$M$330,MATCH(Summary!$A161,Calculation!$A$4:$A$330,0),3)</f>
        <v>Lenox</v>
      </c>
      <c r="C161" s="120">
        <f>INDEX(Calculation!$A$4:$M$330,MATCH(Summary!$A161,Calculation!$A$4:$A$330,0),6)</f>
        <v>1.45</v>
      </c>
      <c r="D161" s="120">
        <f>INDEX(Calculation!$A$4:$M$330,MATCH(Summary!$A161,Calculation!$A$4:$A$330,0),7)</f>
        <v>0.9</v>
      </c>
      <c r="E161" s="121">
        <f t="shared" si="5"/>
        <v>2.35</v>
      </c>
      <c r="F161" s="122"/>
      <c r="G161" s="123">
        <f>INDEX(Calculation!$A$4:$M$330,MATCH(Summary!$A161,Calculation!$A$4:$A$330,0),10)</f>
        <v>7048</v>
      </c>
      <c r="H161" s="123">
        <f t="shared" si="4"/>
        <v>16563</v>
      </c>
    </row>
    <row r="162" spans="1:8" x14ac:dyDescent="0.2">
      <c r="A162" s="119" t="str">
        <f>StartupfileInput!A161</f>
        <v>3645</v>
      </c>
      <c r="B162" s="120" t="str">
        <f>INDEX(Calculation!$A$4:$M$330,MATCH(Summary!$A162,Calculation!$A$4:$A$330,0),3)</f>
        <v>Lewis Central</v>
      </c>
      <c r="C162" s="120">
        <f>INDEX(Calculation!$A$4:$M$330,MATCH(Summary!$A162,Calculation!$A$4:$A$330,0),6)</f>
        <v>6.8330000000000002</v>
      </c>
      <c r="D162" s="120">
        <f>INDEX(Calculation!$A$4:$M$330,MATCH(Summary!$A162,Calculation!$A$4:$A$330,0),7)</f>
        <v>5.3540000000000001</v>
      </c>
      <c r="E162" s="121">
        <f t="shared" si="5"/>
        <v>12.187000000000001</v>
      </c>
      <c r="F162" s="122"/>
      <c r="G162" s="123">
        <f>INDEX(Calculation!$A$4:$M$330,MATCH(Summary!$A162,Calculation!$A$4:$A$330,0),10)</f>
        <v>7048</v>
      </c>
      <c r="H162" s="123">
        <f t="shared" si="4"/>
        <v>85894</v>
      </c>
    </row>
    <row r="163" spans="1:8" x14ac:dyDescent="0.2">
      <c r="A163" s="119" t="str">
        <f>StartupfileInput!A162</f>
        <v>3715</v>
      </c>
      <c r="B163" s="120" t="str">
        <f>INDEX(Calculation!$A$4:$M$330,MATCH(Summary!$A163,Calculation!$A$4:$A$330,0),3)</f>
        <v>Linn-Mar</v>
      </c>
      <c r="C163" s="120">
        <f>INDEX(Calculation!$A$4:$M$330,MATCH(Summary!$A163,Calculation!$A$4:$A$330,0),6)</f>
        <v>11.173999999999999</v>
      </c>
      <c r="D163" s="120">
        <f>INDEX(Calculation!$A$4:$M$330,MATCH(Summary!$A163,Calculation!$A$4:$A$330,0),7)</f>
        <v>15.657999999999999</v>
      </c>
      <c r="E163" s="121">
        <f t="shared" si="5"/>
        <v>26.832000000000001</v>
      </c>
      <c r="F163" s="122"/>
      <c r="G163" s="123">
        <f>INDEX(Calculation!$A$4:$M$330,MATCH(Summary!$A163,Calculation!$A$4:$A$330,0),10)</f>
        <v>7048</v>
      </c>
      <c r="H163" s="123">
        <f t="shared" si="4"/>
        <v>189112</v>
      </c>
    </row>
    <row r="164" spans="1:8" x14ac:dyDescent="0.2">
      <c r="A164" s="119" t="str">
        <f>StartupfileInput!A163</f>
        <v>3744</v>
      </c>
      <c r="B164" s="120" t="str">
        <f>INDEX(Calculation!$A$4:$M$330,MATCH(Summary!$A164,Calculation!$A$4:$A$330,0),3)</f>
        <v>Lisbon</v>
      </c>
      <c r="C164" s="120">
        <f>INDEX(Calculation!$A$4:$M$330,MATCH(Summary!$A164,Calculation!$A$4:$A$330,0),6)</f>
        <v>0.36499999999999999</v>
      </c>
      <c r="D164" s="120">
        <f>INDEX(Calculation!$A$4:$M$330,MATCH(Summary!$A164,Calculation!$A$4:$A$330,0),7)</f>
        <v>1.302</v>
      </c>
      <c r="E164" s="121">
        <f t="shared" si="5"/>
        <v>1.667</v>
      </c>
      <c r="F164" s="122"/>
      <c r="G164" s="123">
        <f>INDEX(Calculation!$A$4:$M$330,MATCH(Summary!$A164,Calculation!$A$4:$A$330,0),10)</f>
        <v>7048</v>
      </c>
      <c r="H164" s="123">
        <f t="shared" si="4"/>
        <v>11749</v>
      </c>
    </row>
    <row r="165" spans="1:8" x14ac:dyDescent="0.2">
      <c r="A165" s="119" t="str">
        <f>StartupfileInput!A164</f>
        <v>3798</v>
      </c>
      <c r="B165" s="120" t="str">
        <f>INDEX(Calculation!$A$4:$M$330,MATCH(Summary!$A165,Calculation!$A$4:$A$330,0),3)</f>
        <v>Logan-Magnolia</v>
      </c>
      <c r="C165" s="120">
        <f>INDEX(Calculation!$A$4:$M$330,MATCH(Summary!$A165,Calculation!$A$4:$A$330,0),6)</f>
        <v>1.1339999999999999</v>
      </c>
      <c r="D165" s="120">
        <f>INDEX(Calculation!$A$4:$M$330,MATCH(Summary!$A165,Calculation!$A$4:$A$330,0),7)</f>
        <v>1.167</v>
      </c>
      <c r="E165" s="121">
        <f t="shared" si="5"/>
        <v>2.3010000000000002</v>
      </c>
      <c r="F165" s="122"/>
      <c r="G165" s="123">
        <f>INDEX(Calculation!$A$4:$M$330,MATCH(Summary!$A165,Calculation!$A$4:$A$330,0),10)</f>
        <v>7048</v>
      </c>
      <c r="H165" s="123">
        <f t="shared" si="4"/>
        <v>16217</v>
      </c>
    </row>
    <row r="166" spans="1:8" x14ac:dyDescent="0.2">
      <c r="A166" s="119" t="str">
        <f>StartupfileInput!A165</f>
        <v>3816</v>
      </c>
      <c r="B166" s="120" t="str">
        <f>INDEX(Calculation!$A$4:$M$330,MATCH(Summary!$A166,Calculation!$A$4:$A$330,0),3)</f>
        <v>Lone Tree</v>
      </c>
      <c r="C166" s="120">
        <f>INDEX(Calculation!$A$4:$M$330,MATCH(Summary!$A166,Calculation!$A$4:$A$330,0),6)</f>
        <v>0.76</v>
      </c>
      <c r="D166" s="120">
        <f>INDEX(Calculation!$A$4:$M$330,MATCH(Summary!$A166,Calculation!$A$4:$A$330,0),7)</f>
        <v>0.752</v>
      </c>
      <c r="E166" s="121">
        <f t="shared" si="5"/>
        <v>1.512</v>
      </c>
      <c r="F166" s="122"/>
      <c r="G166" s="123">
        <f>INDEX(Calculation!$A$4:$M$330,MATCH(Summary!$A166,Calculation!$A$4:$A$330,0),10)</f>
        <v>7048</v>
      </c>
      <c r="H166" s="123">
        <f t="shared" si="4"/>
        <v>10657</v>
      </c>
    </row>
    <row r="167" spans="1:8" x14ac:dyDescent="0.2">
      <c r="A167" s="119" t="str">
        <f>StartupfileInput!A166</f>
        <v>3841</v>
      </c>
      <c r="B167" s="120" t="str">
        <f>INDEX(Calculation!$A$4:$M$330,MATCH(Summary!$A167,Calculation!$A$4:$A$330,0),3)</f>
        <v>Louisa-Muscatine</v>
      </c>
      <c r="C167" s="120">
        <f>INDEX(Calculation!$A$4:$M$330,MATCH(Summary!$A167,Calculation!$A$4:$A$330,0),6)</f>
        <v>1.542</v>
      </c>
      <c r="D167" s="120">
        <f>INDEX(Calculation!$A$4:$M$330,MATCH(Summary!$A167,Calculation!$A$4:$A$330,0),7)</f>
        <v>1.452</v>
      </c>
      <c r="E167" s="121">
        <f t="shared" si="5"/>
        <v>2.9939999999999998</v>
      </c>
      <c r="F167" s="122"/>
      <c r="G167" s="123">
        <f>INDEX(Calculation!$A$4:$M$330,MATCH(Summary!$A167,Calculation!$A$4:$A$330,0),10)</f>
        <v>7048</v>
      </c>
      <c r="H167" s="123">
        <f t="shared" si="4"/>
        <v>21102</v>
      </c>
    </row>
    <row r="168" spans="1:8" x14ac:dyDescent="0.2">
      <c r="A168" s="119" t="str">
        <f>StartupfileInput!A167</f>
        <v>3897</v>
      </c>
      <c r="B168" s="120" t="str">
        <f>INDEX(Calculation!$A$4:$M$330,MATCH(Summary!$A168,Calculation!$A$4:$A$330,0),3)</f>
        <v>Lu Verne</v>
      </c>
      <c r="C168" s="120">
        <f>INDEX(Calculation!$A$4:$M$330,MATCH(Summary!$A168,Calculation!$A$4:$A$330,0),6)</f>
        <v>0.73</v>
      </c>
      <c r="D168" s="120">
        <f>INDEX(Calculation!$A$4:$M$330,MATCH(Summary!$A168,Calculation!$A$4:$A$330,0),7)</f>
        <v>0.29799999999999999</v>
      </c>
      <c r="E168" s="121">
        <f t="shared" si="5"/>
        <v>1.028</v>
      </c>
      <c r="F168" s="122"/>
      <c r="G168" s="123">
        <f>INDEX(Calculation!$A$4:$M$330,MATCH(Summary!$A168,Calculation!$A$4:$A$330,0),10)</f>
        <v>7203</v>
      </c>
      <c r="H168" s="123">
        <f t="shared" si="4"/>
        <v>7405</v>
      </c>
    </row>
    <row r="169" spans="1:8" x14ac:dyDescent="0.2">
      <c r="A169" s="119" t="str">
        <f>StartupfileInput!A168</f>
        <v>3906</v>
      </c>
      <c r="B169" s="120" t="str">
        <f>INDEX(Calculation!$A$4:$M$330,MATCH(Summary!$A169,Calculation!$A$4:$A$330,0),3)</f>
        <v>Lynnville-Sully</v>
      </c>
      <c r="C169" s="120">
        <f>INDEX(Calculation!$A$4:$M$330,MATCH(Summary!$A169,Calculation!$A$4:$A$330,0),6)</f>
        <v>0.873</v>
      </c>
      <c r="D169" s="120">
        <f>INDEX(Calculation!$A$4:$M$330,MATCH(Summary!$A169,Calculation!$A$4:$A$330,0),7)</f>
        <v>0.92300000000000004</v>
      </c>
      <c r="E169" s="121">
        <f t="shared" si="5"/>
        <v>1.796</v>
      </c>
      <c r="F169" s="122"/>
      <c r="G169" s="123">
        <f>INDEX(Calculation!$A$4:$M$330,MATCH(Summary!$A169,Calculation!$A$4:$A$330,0),10)</f>
        <v>7048</v>
      </c>
      <c r="H169" s="123">
        <f t="shared" si="4"/>
        <v>12658</v>
      </c>
    </row>
    <row r="170" spans="1:8" x14ac:dyDescent="0.2">
      <c r="A170" s="119" t="str">
        <f>StartupfileInput!A169</f>
        <v>4419</v>
      </c>
      <c r="B170" s="120" t="str">
        <f>INDEX(Calculation!$A$4:$M$330,MATCH(Summary!$A170,Calculation!$A$4:$A$330,0),3)</f>
        <v>MFL Mar Mac</v>
      </c>
      <c r="C170" s="120">
        <f>INDEX(Calculation!$A$4:$M$330,MATCH(Summary!$A170,Calculation!$A$4:$A$330,0),6)</f>
        <v>1.8819999999999999</v>
      </c>
      <c r="D170" s="120">
        <f>INDEX(Calculation!$A$4:$M$330,MATCH(Summary!$A170,Calculation!$A$4:$A$330,0),7)</f>
        <v>1.5660000000000001</v>
      </c>
      <c r="E170" s="121">
        <f t="shared" si="5"/>
        <v>3.448</v>
      </c>
      <c r="F170" s="122"/>
      <c r="G170" s="123">
        <f>INDEX(Calculation!$A$4:$M$330,MATCH(Summary!$A170,Calculation!$A$4:$A$330,0),10)</f>
        <v>7065</v>
      </c>
      <c r="H170" s="123">
        <f t="shared" si="4"/>
        <v>24360</v>
      </c>
    </row>
    <row r="171" spans="1:8" x14ac:dyDescent="0.2">
      <c r="A171" s="119" t="str">
        <f>StartupfileInput!A170</f>
        <v>3942</v>
      </c>
      <c r="B171" s="120" t="str">
        <f>INDEX(Calculation!$A$4:$M$330,MATCH(Summary!$A171,Calculation!$A$4:$A$330,0),3)</f>
        <v>Madrid</v>
      </c>
      <c r="C171" s="120">
        <f>INDEX(Calculation!$A$4:$M$330,MATCH(Summary!$A171,Calculation!$A$4:$A$330,0),6)</f>
        <v>1.0820000000000001</v>
      </c>
      <c r="D171" s="120">
        <f>INDEX(Calculation!$A$4:$M$330,MATCH(Summary!$A171,Calculation!$A$4:$A$330,0),7)</f>
        <v>1.393</v>
      </c>
      <c r="E171" s="121">
        <f t="shared" si="5"/>
        <v>2.4750000000000001</v>
      </c>
      <c r="F171" s="122"/>
      <c r="G171" s="123">
        <f>INDEX(Calculation!$A$4:$M$330,MATCH(Summary!$A171,Calculation!$A$4:$A$330,0),10)</f>
        <v>7048</v>
      </c>
      <c r="H171" s="123">
        <f t="shared" si="4"/>
        <v>17444</v>
      </c>
    </row>
    <row r="172" spans="1:8" x14ac:dyDescent="0.2">
      <c r="A172" s="119" t="str">
        <f>StartupfileInput!A171</f>
        <v>4023</v>
      </c>
      <c r="B172" s="120" t="str">
        <f>INDEX(Calculation!$A$4:$M$330,MATCH(Summary!$A172,Calculation!$A$4:$A$330,0),3)</f>
        <v>Manson-Northwest Webster</v>
      </c>
      <c r="C172" s="120">
        <f>INDEX(Calculation!$A$4:$M$330,MATCH(Summary!$A172,Calculation!$A$4:$A$330,0),6)</f>
        <v>1.327</v>
      </c>
      <c r="D172" s="120">
        <f>INDEX(Calculation!$A$4:$M$330,MATCH(Summary!$A172,Calculation!$A$4:$A$330,0),7)</f>
        <v>1.31</v>
      </c>
      <c r="E172" s="121">
        <f t="shared" si="5"/>
        <v>2.637</v>
      </c>
      <c r="F172" s="122"/>
      <c r="G172" s="123">
        <f>INDEX(Calculation!$A$4:$M$330,MATCH(Summary!$A172,Calculation!$A$4:$A$330,0),10)</f>
        <v>7088</v>
      </c>
      <c r="H172" s="123">
        <f t="shared" si="4"/>
        <v>18691</v>
      </c>
    </row>
    <row r="173" spans="1:8" x14ac:dyDescent="0.2">
      <c r="A173" s="119" t="str">
        <f>StartupfileInput!A172</f>
        <v>4033</v>
      </c>
      <c r="B173" s="120" t="str">
        <f>INDEX(Calculation!$A$4:$M$330,MATCH(Summary!$A173,Calculation!$A$4:$A$330,0),3)</f>
        <v>Maple Valley-Anthon Oto</v>
      </c>
      <c r="C173" s="120">
        <f>INDEX(Calculation!$A$4:$M$330,MATCH(Summary!$A173,Calculation!$A$4:$A$330,0),6)</f>
        <v>2.2759999999999998</v>
      </c>
      <c r="D173" s="120">
        <f>INDEX(Calculation!$A$4:$M$330,MATCH(Summary!$A173,Calculation!$A$4:$A$330,0),7)</f>
        <v>1.226</v>
      </c>
      <c r="E173" s="121">
        <f t="shared" si="5"/>
        <v>3.5019999999999998</v>
      </c>
      <c r="F173" s="122"/>
      <c r="G173" s="123">
        <f>INDEX(Calculation!$A$4:$M$330,MATCH(Summary!$A173,Calculation!$A$4:$A$330,0),10)</f>
        <v>7135</v>
      </c>
      <c r="H173" s="123">
        <f t="shared" si="4"/>
        <v>24987</v>
      </c>
    </row>
    <row r="174" spans="1:8" x14ac:dyDescent="0.2">
      <c r="A174" s="119" t="str">
        <f>StartupfileInput!A173</f>
        <v>4041</v>
      </c>
      <c r="B174" s="120" t="str">
        <f>INDEX(Calculation!$A$4:$M$330,MATCH(Summary!$A174,Calculation!$A$4:$A$330,0),3)</f>
        <v>Maquoketa</v>
      </c>
      <c r="C174" s="120">
        <f>INDEX(Calculation!$A$4:$M$330,MATCH(Summary!$A174,Calculation!$A$4:$A$330,0),6)</f>
        <v>5.0209999999999999</v>
      </c>
      <c r="D174" s="120">
        <f>INDEX(Calculation!$A$4:$M$330,MATCH(Summary!$A174,Calculation!$A$4:$A$330,0),7)</f>
        <v>2.5720000000000001</v>
      </c>
      <c r="E174" s="121">
        <f t="shared" si="5"/>
        <v>7.593</v>
      </c>
      <c r="F174" s="122"/>
      <c r="G174" s="123">
        <f>INDEX(Calculation!$A$4:$M$330,MATCH(Summary!$A174,Calculation!$A$4:$A$330,0),10)</f>
        <v>7048</v>
      </c>
      <c r="H174" s="123">
        <f t="shared" si="4"/>
        <v>53515</v>
      </c>
    </row>
    <row r="175" spans="1:8" x14ac:dyDescent="0.2">
      <c r="A175" s="119" t="str">
        <f>StartupfileInput!A174</f>
        <v>4043</v>
      </c>
      <c r="B175" s="120" t="str">
        <f>INDEX(Calculation!$A$4:$M$330,MATCH(Summary!$A175,Calculation!$A$4:$A$330,0),3)</f>
        <v>Maquoketa Valley</v>
      </c>
      <c r="C175" s="120">
        <f>INDEX(Calculation!$A$4:$M$330,MATCH(Summary!$A175,Calculation!$A$4:$A$330,0),6)</f>
        <v>1.3260000000000001</v>
      </c>
      <c r="D175" s="120">
        <f>INDEX(Calculation!$A$4:$M$330,MATCH(Summary!$A175,Calculation!$A$4:$A$330,0),7)</f>
        <v>1.393</v>
      </c>
      <c r="E175" s="121">
        <f t="shared" si="5"/>
        <v>2.7190000000000003</v>
      </c>
      <c r="F175" s="122"/>
      <c r="G175" s="123">
        <f>INDEX(Calculation!$A$4:$M$330,MATCH(Summary!$A175,Calculation!$A$4:$A$330,0),10)</f>
        <v>7060</v>
      </c>
      <c r="H175" s="123">
        <f t="shared" si="4"/>
        <v>19196</v>
      </c>
    </row>
    <row r="176" spans="1:8" x14ac:dyDescent="0.2">
      <c r="A176" s="119" t="str">
        <f>StartupfileInput!A175</f>
        <v>4068</v>
      </c>
      <c r="B176" s="120" t="str">
        <f>INDEX(Calculation!$A$4:$M$330,MATCH(Summary!$A176,Calculation!$A$4:$A$330,0),3)</f>
        <v>Marcus-Meriden Cleghorn</v>
      </c>
      <c r="C176" s="120">
        <f>INDEX(Calculation!$A$4:$M$330,MATCH(Summary!$A176,Calculation!$A$4:$A$330,0),6)</f>
        <v>0.91600000000000004</v>
      </c>
      <c r="D176" s="120">
        <f>INDEX(Calculation!$A$4:$M$330,MATCH(Summary!$A176,Calculation!$A$4:$A$330,0),7)</f>
        <v>0.90600000000000003</v>
      </c>
      <c r="E176" s="121">
        <f t="shared" si="5"/>
        <v>1.8220000000000001</v>
      </c>
      <c r="F176" s="122"/>
      <c r="G176" s="123">
        <f>INDEX(Calculation!$A$4:$M$330,MATCH(Summary!$A176,Calculation!$A$4:$A$330,0),10)</f>
        <v>7063</v>
      </c>
      <c r="H176" s="123">
        <f t="shared" si="4"/>
        <v>12869</v>
      </c>
    </row>
    <row r="177" spans="1:8" x14ac:dyDescent="0.2">
      <c r="A177" s="119" t="str">
        <f>StartupfileInput!A176</f>
        <v>4086</v>
      </c>
      <c r="B177" s="120" t="str">
        <f>INDEX(Calculation!$A$4:$M$330,MATCH(Summary!$A177,Calculation!$A$4:$A$330,0),3)</f>
        <v>Marion</v>
      </c>
      <c r="C177" s="120">
        <f>INDEX(Calculation!$A$4:$M$330,MATCH(Summary!$A177,Calculation!$A$4:$A$330,0),6)</f>
        <v>4.5179999999999998</v>
      </c>
      <c r="D177" s="120">
        <f>INDEX(Calculation!$A$4:$M$330,MATCH(Summary!$A177,Calculation!$A$4:$A$330,0),7)</f>
        <v>3.8980000000000001</v>
      </c>
      <c r="E177" s="121">
        <f t="shared" si="5"/>
        <v>8.4160000000000004</v>
      </c>
      <c r="F177" s="122"/>
      <c r="G177" s="123">
        <f>INDEX(Calculation!$A$4:$M$330,MATCH(Summary!$A177,Calculation!$A$4:$A$330,0),10)</f>
        <v>7130</v>
      </c>
      <c r="H177" s="123">
        <f t="shared" si="4"/>
        <v>60006</v>
      </c>
    </row>
    <row r="178" spans="1:8" x14ac:dyDescent="0.2">
      <c r="A178" s="119" t="str">
        <f>StartupfileInput!A177</f>
        <v>4104</v>
      </c>
      <c r="B178" s="120" t="str">
        <f>INDEX(Calculation!$A$4:$M$330,MATCH(Summary!$A178,Calculation!$A$4:$A$330,0),3)</f>
        <v>Marshalltown</v>
      </c>
      <c r="C178" s="120">
        <f>INDEX(Calculation!$A$4:$M$330,MATCH(Summary!$A178,Calculation!$A$4:$A$330,0),6)</f>
        <v>20.190000000000001</v>
      </c>
      <c r="D178" s="120">
        <f>INDEX(Calculation!$A$4:$M$330,MATCH(Summary!$A178,Calculation!$A$4:$A$330,0),7)</f>
        <v>11.057</v>
      </c>
      <c r="E178" s="121">
        <f t="shared" si="5"/>
        <v>31.247</v>
      </c>
      <c r="F178" s="122"/>
      <c r="G178" s="123">
        <f>INDEX(Calculation!$A$4:$M$330,MATCH(Summary!$A178,Calculation!$A$4:$A$330,0),10)</f>
        <v>7069</v>
      </c>
      <c r="H178" s="123">
        <f t="shared" si="4"/>
        <v>220885</v>
      </c>
    </row>
    <row r="179" spans="1:8" x14ac:dyDescent="0.2">
      <c r="A179" s="119" t="str">
        <f>StartupfileInput!A178</f>
        <v>4122</v>
      </c>
      <c r="B179" s="120" t="str">
        <f>INDEX(Calculation!$A$4:$M$330,MATCH(Summary!$A179,Calculation!$A$4:$A$330,0),3)</f>
        <v>Martensdale-St Marys</v>
      </c>
      <c r="C179" s="120">
        <f>INDEX(Calculation!$A$4:$M$330,MATCH(Summary!$A179,Calculation!$A$4:$A$330,0),6)</f>
        <v>0.96099999999999997</v>
      </c>
      <c r="D179" s="120">
        <f>INDEX(Calculation!$A$4:$M$330,MATCH(Summary!$A179,Calculation!$A$4:$A$330,0),7)</f>
        <v>1.0529999999999999</v>
      </c>
      <c r="E179" s="121">
        <f t="shared" si="5"/>
        <v>2.0139999999999998</v>
      </c>
      <c r="F179" s="122"/>
      <c r="G179" s="123">
        <f>INDEX(Calculation!$A$4:$M$330,MATCH(Summary!$A179,Calculation!$A$4:$A$330,0),10)</f>
        <v>7048</v>
      </c>
      <c r="H179" s="123">
        <f t="shared" si="4"/>
        <v>14195</v>
      </c>
    </row>
    <row r="180" spans="1:8" x14ac:dyDescent="0.2">
      <c r="A180" s="119" t="str">
        <f>StartupfileInput!A179</f>
        <v>4131</v>
      </c>
      <c r="B180" s="120" t="str">
        <f>INDEX(Calculation!$A$4:$M$330,MATCH(Summary!$A180,Calculation!$A$4:$A$330,0),3)</f>
        <v>Mason City</v>
      </c>
      <c r="C180" s="120">
        <f>INDEX(Calculation!$A$4:$M$330,MATCH(Summary!$A180,Calculation!$A$4:$A$330,0),6)</f>
        <v>13.206</v>
      </c>
      <c r="D180" s="120">
        <f>INDEX(Calculation!$A$4:$M$330,MATCH(Summary!$A180,Calculation!$A$4:$A$330,0),7)</f>
        <v>7.3940000000000001</v>
      </c>
      <c r="E180" s="121">
        <f t="shared" si="5"/>
        <v>20.6</v>
      </c>
      <c r="F180" s="122"/>
      <c r="G180" s="123">
        <f>INDEX(Calculation!$A$4:$M$330,MATCH(Summary!$A180,Calculation!$A$4:$A$330,0),10)</f>
        <v>7100</v>
      </c>
      <c r="H180" s="123">
        <f t="shared" si="4"/>
        <v>146260</v>
      </c>
    </row>
    <row r="181" spans="1:8" x14ac:dyDescent="0.2">
      <c r="A181" s="119" t="str">
        <f>StartupfileInput!A180</f>
        <v>4203</v>
      </c>
      <c r="B181" s="120" t="str">
        <f>INDEX(Calculation!$A$4:$M$330,MATCH(Summary!$A181,Calculation!$A$4:$A$330,0),3)</f>
        <v>Mediapolis</v>
      </c>
      <c r="C181" s="120">
        <f>INDEX(Calculation!$A$4:$M$330,MATCH(Summary!$A181,Calculation!$A$4:$A$330,0),6)</f>
        <v>1.363</v>
      </c>
      <c r="D181" s="120">
        <f>INDEX(Calculation!$A$4:$M$330,MATCH(Summary!$A181,Calculation!$A$4:$A$330,0),7)</f>
        <v>1.6559999999999999</v>
      </c>
      <c r="E181" s="121">
        <f t="shared" si="5"/>
        <v>3.0190000000000001</v>
      </c>
      <c r="F181" s="122"/>
      <c r="G181" s="123">
        <f>INDEX(Calculation!$A$4:$M$330,MATCH(Summary!$A181,Calculation!$A$4:$A$330,0),10)</f>
        <v>7048</v>
      </c>
      <c r="H181" s="123">
        <f t="shared" si="4"/>
        <v>21278</v>
      </c>
    </row>
    <row r="182" spans="1:8" x14ac:dyDescent="0.2">
      <c r="A182" s="119" t="str">
        <f>StartupfileInput!A181</f>
        <v>4212</v>
      </c>
      <c r="B182" s="120" t="str">
        <f>INDEX(Calculation!$A$4:$M$330,MATCH(Summary!$A182,Calculation!$A$4:$A$330,0),3)</f>
        <v>Melcher-Dallas</v>
      </c>
      <c r="C182" s="120">
        <f>INDEX(Calculation!$A$4:$M$330,MATCH(Summary!$A182,Calculation!$A$4:$A$330,0),6)</f>
        <v>0.92900000000000005</v>
      </c>
      <c r="D182" s="120">
        <f>INDEX(Calculation!$A$4:$M$330,MATCH(Summary!$A182,Calculation!$A$4:$A$330,0),7)</f>
        <v>0.67900000000000005</v>
      </c>
      <c r="E182" s="121">
        <f t="shared" si="5"/>
        <v>1.6080000000000001</v>
      </c>
      <c r="F182" s="122"/>
      <c r="G182" s="123">
        <f>INDEX(Calculation!$A$4:$M$330,MATCH(Summary!$A182,Calculation!$A$4:$A$330,0),10)</f>
        <v>7048</v>
      </c>
      <c r="H182" s="123">
        <f t="shared" si="4"/>
        <v>11333</v>
      </c>
    </row>
    <row r="183" spans="1:8" x14ac:dyDescent="0.2">
      <c r="A183" s="119" t="str">
        <f>StartupfileInput!A182</f>
        <v>4271</v>
      </c>
      <c r="B183" s="120" t="str">
        <f>INDEX(Calculation!$A$4:$M$330,MATCH(Summary!$A183,Calculation!$A$4:$A$330,0),3)</f>
        <v>Mid-Prairie</v>
      </c>
      <c r="C183" s="120">
        <f>INDEX(Calculation!$A$4:$M$330,MATCH(Summary!$A183,Calculation!$A$4:$A$330,0),6)</f>
        <v>2.3769999999999998</v>
      </c>
      <c r="D183" s="120">
        <f>INDEX(Calculation!$A$4:$M$330,MATCH(Summary!$A183,Calculation!$A$4:$A$330,0),7)</f>
        <v>2.6040000000000001</v>
      </c>
      <c r="E183" s="121">
        <f t="shared" si="5"/>
        <v>4.9809999999999999</v>
      </c>
      <c r="F183" s="122"/>
      <c r="G183" s="123">
        <f>INDEX(Calculation!$A$4:$M$330,MATCH(Summary!$A183,Calculation!$A$4:$A$330,0),10)</f>
        <v>7052</v>
      </c>
      <c r="H183" s="123">
        <f t="shared" si="4"/>
        <v>35126</v>
      </c>
    </row>
    <row r="184" spans="1:8" x14ac:dyDescent="0.2">
      <c r="A184" s="119" t="str">
        <f>StartupfileInput!A183</f>
        <v>4269</v>
      </c>
      <c r="B184" s="120" t="str">
        <f>INDEX(Calculation!$A$4:$M$330,MATCH(Summary!$A184,Calculation!$A$4:$A$330,0),3)</f>
        <v>Midland</v>
      </c>
      <c r="C184" s="120">
        <f>INDEX(Calculation!$A$4:$M$330,MATCH(Summary!$A184,Calculation!$A$4:$A$330,0),6)</f>
        <v>1.554</v>
      </c>
      <c r="D184" s="120">
        <f>INDEX(Calculation!$A$4:$M$330,MATCH(Summary!$A184,Calculation!$A$4:$A$330,0),7)</f>
        <v>1.0609999999999999</v>
      </c>
      <c r="E184" s="121">
        <f t="shared" si="5"/>
        <v>2.6150000000000002</v>
      </c>
      <c r="F184" s="122"/>
      <c r="G184" s="123">
        <f>INDEX(Calculation!$A$4:$M$330,MATCH(Summary!$A184,Calculation!$A$4:$A$330,0),10)</f>
        <v>7117</v>
      </c>
      <c r="H184" s="123">
        <f t="shared" si="4"/>
        <v>18611</v>
      </c>
    </row>
    <row r="185" spans="1:8" x14ac:dyDescent="0.2">
      <c r="A185" s="119" t="str">
        <f>StartupfileInput!A184</f>
        <v>4356</v>
      </c>
      <c r="B185" s="120" t="str">
        <f>INDEX(Calculation!$A$4:$M$330,MATCH(Summary!$A185,Calculation!$A$4:$A$330,0),3)</f>
        <v>Missouri Valley</v>
      </c>
      <c r="C185" s="120">
        <f>INDEX(Calculation!$A$4:$M$330,MATCH(Summary!$A185,Calculation!$A$4:$A$330,0),6)</f>
        <v>2.1179999999999999</v>
      </c>
      <c r="D185" s="120">
        <f>INDEX(Calculation!$A$4:$M$330,MATCH(Summary!$A185,Calculation!$A$4:$A$330,0),7)</f>
        <v>1.639</v>
      </c>
      <c r="E185" s="121">
        <f t="shared" si="5"/>
        <v>3.7569999999999997</v>
      </c>
      <c r="F185" s="122"/>
      <c r="G185" s="123">
        <f>INDEX(Calculation!$A$4:$M$330,MATCH(Summary!$A185,Calculation!$A$4:$A$330,0),10)</f>
        <v>7048</v>
      </c>
      <c r="H185" s="123">
        <f t="shared" si="4"/>
        <v>26479</v>
      </c>
    </row>
    <row r="186" spans="1:8" x14ac:dyDescent="0.2">
      <c r="A186" s="119" t="str">
        <f>StartupfileInput!A185</f>
        <v>4149</v>
      </c>
      <c r="B186" s="120" t="str">
        <f>INDEX(Calculation!$A$4:$M$330,MATCH(Summary!$A186,Calculation!$A$4:$A$330,0),3)</f>
        <v>Moc-Floyd Valley</v>
      </c>
      <c r="C186" s="120">
        <f>INDEX(Calculation!$A$4:$M$330,MATCH(Summary!$A186,Calculation!$A$4:$A$330,0),6)</f>
        <v>3.044</v>
      </c>
      <c r="D186" s="120">
        <f>INDEX(Calculation!$A$4:$M$330,MATCH(Summary!$A186,Calculation!$A$4:$A$330,0),7)</f>
        <v>3.032</v>
      </c>
      <c r="E186" s="121">
        <f t="shared" si="5"/>
        <v>6.0760000000000005</v>
      </c>
      <c r="F186" s="122"/>
      <c r="G186" s="123">
        <f>INDEX(Calculation!$A$4:$M$330,MATCH(Summary!$A186,Calculation!$A$4:$A$330,0),10)</f>
        <v>7068</v>
      </c>
      <c r="H186" s="123">
        <f t="shared" si="4"/>
        <v>42945</v>
      </c>
    </row>
    <row r="187" spans="1:8" x14ac:dyDescent="0.2">
      <c r="A187" s="119" t="str">
        <f>StartupfileInput!A186</f>
        <v>4437</v>
      </c>
      <c r="B187" s="120" t="str">
        <f>INDEX(Calculation!$A$4:$M$330,MATCH(Summary!$A187,Calculation!$A$4:$A$330,0),3)</f>
        <v>Montezuma</v>
      </c>
      <c r="C187" s="120">
        <f>INDEX(Calculation!$A$4:$M$330,MATCH(Summary!$A187,Calculation!$A$4:$A$330,0),6)</f>
        <v>1.167</v>
      </c>
      <c r="D187" s="120">
        <f>INDEX(Calculation!$A$4:$M$330,MATCH(Summary!$A187,Calculation!$A$4:$A$330,0),7)</f>
        <v>0.99</v>
      </c>
      <c r="E187" s="121">
        <f t="shared" si="5"/>
        <v>2.157</v>
      </c>
      <c r="F187" s="122"/>
      <c r="G187" s="123">
        <f>INDEX(Calculation!$A$4:$M$330,MATCH(Summary!$A187,Calculation!$A$4:$A$330,0),10)</f>
        <v>7048</v>
      </c>
      <c r="H187" s="123">
        <f t="shared" si="4"/>
        <v>15203</v>
      </c>
    </row>
    <row r="188" spans="1:8" x14ac:dyDescent="0.2">
      <c r="A188" s="119" t="str">
        <f>StartupfileInput!A187</f>
        <v>4446</v>
      </c>
      <c r="B188" s="120" t="str">
        <f>INDEX(Calculation!$A$4:$M$330,MATCH(Summary!$A188,Calculation!$A$4:$A$330,0),3)</f>
        <v>Monticello</v>
      </c>
      <c r="C188" s="120">
        <f>INDEX(Calculation!$A$4:$M$330,MATCH(Summary!$A188,Calculation!$A$4:$A$330,0),6)</f>
        <v>2.2450000000000001</v>
      </c>
      <c r="D188" s="120">
        <f>INDEX(Calculation!$A$4:$M$330,MATCH(Summary!$A188,Calculation!$A$4:$A$330,0),7)</f>
        <v>1.946</v>
      </c>
      <c r="E188" s="121">
        <f t="shared" si="5"/>
        <v>4.1909999999999998</v>
      </c>
      <c r="F188" s="122"/>
      <c r="G188" s="123">
        <f>INDEX(Calculation!$A$4:$M$330,MATCH(Summary!$A188,Calculation!$A$4:$A$330,0),10)</f>
        <v>7048</v>
      </c>
      <c r="H188" s="123">
        <f t="shared" si="4"/>
        <v>29538</v>
      </c>
    </row>
    <row r="189" spans="1:8" x14ac:dyDescent="0.2">
      <c r="A189" s="119" t="str">
        <f>StartupfileInput!A188</f>
        <v>4491</v>
      </c>
      <c r="B189" s="120" t="str">
        <f>INDEX(Calculation!$A$4:$M$330,MATCH(Summary!$A189,Calculation!$A$4:$A$330,0),3)</f>
        <v>Moravia</v>
      </c>
      <c r="C189" s="120">
        <f>INDEX(Calculation!$A$4:$M$330,MATCH(Summary!$A189,Calculation!$A$4:$A$330,0),6)</f>
        <v>1.0960000000000001</v>
      </c>
      <c r="D189" s="120">
        <f>INDEX(Calculation!$A$4:$M$330,MATCH(Summary!$A189,Calculation!$A$4:$A$330,0),7)</f>
        <v>0.69599999999999995</v>
      </c>
      <c r="E189" s="121">
        <f t="shared" si="5"/>
        <v>1.792</v>
      </c>
      <c r="F189" s="122"/>
      <c r="G189" s="123">
        <f>INDEX(Calculation!$A$4:$M$330,MATCH(Summary!$A189,Calculation!$A$4:$A$330,0),10)</f>
        <v>7048</v>
      </c>
      <c r="H189" s="123">
        <f t="shared" si="4"/>
        <v>12630</v>
      </c>
    </row>
    <row r="190" spans="1:8" x14ac:dyDescent="0.2">
      <c r="A190" s="119" t="str">
        <f>StartupfileInput!A189</f>
        <v>4505</v>
      </c>
      <c r="B190" s="120" t="str">
        <f>INDEX(Calculation!$A$4:$M$330,MATCH(Summary!$A190,Calculation!$A$4:$A$330,0),3)</f>
        <v>Mormon Trail</v>
      </c>
      <c r="C190" s="120">
        <f>INDEX(Calculation!$A$4:$M$330,MATCH(Summary!$A190,Calculation!$A$4:$A$330,0),6)</f>
        <v>0.85</v>
      </c>
      <c r="D190" s="120">
        <f>INDEX(Calculation!$A$4:$M$330,MATCH(Summary!$A190,Calculation!$A$4:$A$330,0),7)</f>
        <v>0.46899999999999997</v>
      </c>
      <c r="E190" s="121">
        <f t="shared" si="5"/>
        <v>1.319</v>
      </c>
      <c r="F190" s="122"/>
      <c r="G190" s="123">
        <f>INDEX(Calculation!$A$4:$M$330,MATCH(Summary!$A190,Calculation!$A$4:$A$330,0),10)</f>
        <v>7102</v>
      </c>
      <c r="H190" s="123">
        <f t="shared" si="4"/>
        <v>9368</v>
      </c>
    </row>
    <row r="191" spans="1:8" x14ac:dyDescent="0.2">
      <c r="A191" s="119" t="str">
        <f>StartupfileInput!A190</f>
        <v>4509</v>
      </c>
      <c r="B191" s="120" t="str">
        <f>INDEX(Calculation!$A$4:$M$330,MATCH(Summary!$A191,Calculation!$A$4:$A$330,0),3)</f>
        <v>Morning Sun</v>
      </c>
      <c r="C191" s="120">
        <f>INDEX(Calculation!$A$4:$M$330,MATCH(Summary!$A191,Calculation!$A$4:$A$330,0),6)</f>
        <v>0.57699999999999996</v>
      </c>
      <c r="D191" s="120">
        <f>INDEX(Calculation!$A$4:$M$330,MATCH(Summary!$A191,Calculation!$A$4:$A$330,0),7)</f>
        <v>0.42599999999999999</v>
      </c>
      <c r="E191" s="121">
        <f t="shared" si="5"/>
        <v>1.0029999999999999</v>
      </c>
      <c r="F191" s="122"/>
      <c r="G191" s="123">
        <f>INDEX(Calculation!$A$4:$M$330,MATCH(Summary!$A191,Calculation!$A$4:$A$330,0),10)</f>
        <v>7048</v>
      </c>
      <c r="H191" s="123">
        <f t="shared" si="4"/>
        <v>7069</v>
      </c>
    </row>
    <row r="192" spans="1:8" x14ac:dyDescent="0.2">
      <c r="A192" s="119" t="str">
        <f>StartupfileInput!A191</f>
        <v>4518</v>
      </c>
      <c r="B192" s="120" t="str">
        <f>INDEX(Calculation!$A$4:$M$330,MATCH(Summary!$A192,Calculation!$A$4:$A$330,0),3)</f>
        <v>Moulton-Udell</v>
      </c>
      <c r="C192" s="120">
        <f>INDEX(Calculation!$A$4:$M$330,MATCH(Summary!$A192,Calculation!$A$4:$A$330,0),6)</f>
        <v>0.90800000000000003</v>
      </c>
      <c r="D192" s="120">
        <f>INDEX(Calculation!$A$4:$M$330,MATCH(Summary!$A192,Calculation!$A$4:$A$330,0),7)</f>
        <v>0.42499999999999999</v>
      </c>
      <c r="E192" s="121">
        <f t="shared" si="5"/>
        <v>1.333</v>
      </c>
      <c r="F192" s="122"/>
      <c r="G192" s="123">
        <f>INDEX(Calculation!$A$4:$M$330,MATCH(Summary!$A192,Calculation!$A$4:$A$330,0),10)</f>
        <v>7048</v>
      </c>
      <c r="H192" s="123">
        <f t="shared" si="4"/>
        <v>9395</v>
      </c>
    </row>
    <row r="193" spans="1:8" x14ac:dyDescent="0.2">
      <c r="A193" s="119" t="str">
        <f>StartupfileInput!A192</f>
        <v>4527</v>
      </c>
      <c r="B193" s="120" t="str">
        <f>INDEX(Calculation!$A$4:$M$330,MATCH(Summary!$A193,Calculation!$A$4:$A$330,0),3)</f>
        <v>Mount Ayr</v>
      </c>
      <c r="C193" s="120">
        <f>INDEX(Calculation!$A$4:$M$330,MATCH(Summary!$A193,Calculation!$A$4:$A$330,0),6)</f>
        <v>1.819</v>
      </c>
      <c r="D193" s="120">
        <f>INDEX(Calculation!$A$4:$M$330,MATCH(Summary!$A193,Calculation!$A$4:$A$330,0),7)</f>
        <v>1.238</v>
      </c>
      <c r="E193" s="121">
        <f t="shared" si="5"/>
        <v>3.0569999999999999</v>
      </c>
      <c r="F193" s="122"/>
      <c r="G193" s="123">
        <f>INDEX(Calculation!$A$4:$M$330,MATCH(Summary!$A193,Calculation!$A$4:$A$330,0),10)</f>
        <v>7048</v>
      </c>
      <c r="H193" s="123">
        <f t="shared" si="4"/>
        <v>21546</v>
      </c>
    </row>
    <row r="194" spans="1:8" x14ac:dyDescent="0.2">
      <c r="A194" s="119" t="str">
        <f>StartupfileInput!A193</f>
        <v>4536</v>
      </c>
      <c r="B194" s="120" t="str">
        <f>INDEX(Calculation!$A$4:$M$330,MATCH(Summary!$A194,Calculation!$A$4:$A$330,0),3)</f>
        <v>Mount Pleasant</v>
      </c>
      <c r="C194" s="120">
        <f>INDEX(Calculation!$A$4:$M$330,MATCH(Summary!$A194,Calculation!$A$4:$A$330,0),6)</f>
        <v>6.8579999999999997</v>
      </c>
      <c r="D194" s="120">
        <f>INDEX(Calculation!$A$4:$M$330,MATCH(Summary!$A194,Calculation!$A$4:$A$330,0),7)</f>
        <v>3.8820000000000001</v>
      </c>
      <c r="E194" s="121">
        <f t="shared" si="5"/>
        <v>10.74</v>
      </c>
      <c r="F194" s="122"/>
      <c r="G194" s="123">
        <f>INDEX(Calculation!$A$4:$M$330,MATCH(Summary!$A194,Calculation!$A$4:$A$330,0),10)</f>
        <v>7048</v>
      </c>
      <c r="H194" s="123">
        <f t="shared" ref="H194:H256" si="6">ROUND(E194*G194,0)</f>
        <v>75696</v>
      </c>
    </row>
    <row r="195" spans="1:8" x14ac:dyDescent="0.2">
      <c r="A195" s="119" t="str">
        <f>StartupfileInput!A194</f>
        <v>4554</v>
      </c>
      <c r="B195" s="120" t="str">
        <f>INDEX(Calculation!$A$4:$M$330,MATCH(Summary!$A195,Calculation!$A$4:$A$330,0),3)</f>
        <v>Mount Vernon</v>
      </c>
      <c r="C195" s="120">
        <f>INDEX(Calculation!$A$4:$M$330,MATCH(Summary!$A195,Calculation!$A$4:$A$330,0),6)</f>
        <v>1.0940000000000001</v>
      </c>
      <c r="D195" s="120">
        <f>INDEX(Calculation!$A$4:$M$330,MATCH(Summary!$A195,Calculation!$A$4:$A$330,0),7)</f>
        <v>2.2610000000000001</v>
      </c>
      <c r="E195" s="121">
        <f t="shared" si="5"/>
        <v>3.3550000000000004</v>
      </c>
      <c r="F195" s="122"/>
      <c r="G195" s="123">
        <f>INDEX(Calculation!$A$4:$M$330,MATCH(Summary!$A195,Calculation!$A$4:$A$330,0),10)</f>
        <v>7048</v>
      </c>
      <c r="H195" s="123">
        <f t="shared" si="6"/>
        <v>23646</v>
      </c>
    </row>
    <row r="196" spans="1:8" x14ac:dyDescent="0.2">
      <c r="A196" s="119" t="str">
        <f>StartupfileInput!A195</f>
        <v>4572</v>
      </c>
      <c r="B196" s="120" t="str">
        <f>INDEX(Calculation!$A$4:$M$330,MATCH(Summary!$A196,Calculation!$A$4:$A$330,0),3)</f>
        <v>Murray</v>
      </c>
      <c r="C196" s="120">
        <f>INDEX(Calculation!$A$4:$M$330,MATCH(Summary!$A196,Calculation!$A$4:$A$330,0),6)</f>
        <v>0.63200000000000001</v>
      </c>
      <c r="D196" s="120">
        <f>INDEX(Calculation!$A$4:$M$330,MATCH(Summary!$A196,Calculation!$A$4:$A$330,0),7)</f>
        <v>0.47</v>
      </c>
      <c r="E196" s="121">
        <f t="shared" ref="E196:E259" si="7">SUM(C196:D196)</f>
        <v>1.1019999999999999</v>
      </c>
      <c r="F196" s="122"/>
      <c r="G196" s="123">
        <f>INDEX(Calculation!$A$4:$M$330,MATCH(Summary!$A196,Calculation!$A$4:$A$330,0),10)</f>
        <v>7048</v>
      </c>
      <c r="H196" s="123">
        <f t="shared" si="6"/>
        <v>7767</v>
      </c>
    </row>
    <row r="197" spans="1:8" x14ac:dyDescent="0.2">
      <c r="A197" s="119" t="str">
        <f>StartupfileInput!A196</f>
        <v>4581</v>
      </c>
      <c r="B197" s="120" t="str">
        <f>INDEX(Calculation!$A$4:$M$330,MATCH(Summary!$A197,Calculation!$A$4:$A$330,0),3)</f>
        <v>Muscatine</v>
      </c>
      <c r="C197" s="120">
        <f>INDEX(Calculation!$A$4:$M$330,MATCH(Summary!$A197,Calculation!$A$4:$A$330,0),6)</f>
        <v>15.59</v>
      </c>
      <c r="D197" s="120">
        <f>INDEX(Calculation!$A$4:$M$330,MATCH(Summary!$A197,Calculation!$A$4:$A$330,0),7)</f>
        <v>9.8160000000000007</v>
      </c>
      <c r="E197" s="121">
        <f t="shared" si="7"/>
        <v>25.405999999999999</v>
      </c>
      <c r="F197" s="122"/>
      <c r="G197" s="123">
        <f>INDEX(Calculation!$A$4:$M$330,MATCH(Summary!$A197,Calculation!$A$4:$A$330,0),10)</f>
        <v>7048</v>
      </c>
      <c r="H197" s="123">
        <f t="shared" si="6"/>
        <v>179061</v>
      </c>
    </row>
    <row r="198" spans="1:8" x14ac:dyDescent="0.2">
      <c r="A198" s="119" t="str">
        <f>StartupfileInput!A197</f>
        <v>4599</v>
      </c>
      <c r="B198" s="120" t="str">
        <f>INDEX(Calculation!$A$4:$M$330,MATCH(Summary!$A198,Calculation!$A$4:$A$330,0),3)</f>
        <v>Nashua-Plainfield</v>
      </c>
      <c r="C198" s="120">
        <f>INDEX(Calculation!$A$4:$M$330,MATCH(Summary!$A198,Calculation!$A$4:$A$330,0),6)</f>
        <v>1.458</v>
      </c>
      <c r="D198" s="120">
        <f>INDEX(Calculation!$A$4:$M$330,MATCH(Summary!$A198,Calculation!$A$4:$A$330,0),7)</f>
        <v>1.194</v>
      </c>
      <c r="E198" s="121">
        <f t="shared" si="7"/>
        <v>2.6520000000000001</v>
      </c>
      <c r="F198" s="122"/>
      <c r="G198" s="123">
        <f>INDEX(Calculation!$A$4:$M$330,MATCH(Summary!$A198,Calculation!$A$4:$A$330,0),10)</f>
        <v>7140</v>
      </c>
      <c r="H198" s="123">
        <f t="shared" si="6"/>
        <v>18935</v>
      </c>
    </row>
    <row r="199" spans="1:8" x14ac:dyDescent="0.2">
      <c r="A199" s="119" t="str">
        <f>StartupfileInput!A198</f>
        <v>4617</v>
      </c>
      <c r="B199" s="120" t="str">
        <f>INDEX(Calculation!$A$4:$M$330,MATCH(Summary!$A199,Calculation!$A$4:$A$330,0),3)</f>
        <v>Nevada</v>
      </c>
      <c r="C199" s="120">
        <f>INDEX(Calculation!$A$4:$M$330,MATCH(Summary!$A199,Calculation!$A$4:$A$330,0),6)</f>
        <v>3.371</v>
      </c>
      <c r="D199" s="120">
        <f>INDEX(Calculation!$A$4:$M$330,MATCH(Summary!$A199,Calculation!$A$4:$A$330,0),7)</f>
        <v>3.0369999999999999</v>
      </c>
      <c r="E199" s="121">
        <f t="shared" si="7"/>
        <v>6.4079999999999995</v>
      </c>
      <c r="F199" s="122"/>
      <c r="G199" s="123">
        <f>INDEX(Calculation!$A$4:$M$330,MATCH(Summary!$A199,Calculation!$A$4:$A$330,0),10)</f>
        <v>7048</v>
      </c>
      <c r="H199" s="123">
        <f t="shared" si="6"/>
        <v>45164</v>
      </c>
    </row>
    <row r="200" spans="1:8" x14ac:dyDescent="0.2">
      <c r="A200" s="119" t="str">
        <f>StartupfileInput!A199</f>
        <v>4662</v>
      </c>
      <c r="B200" s="120" t="str">
        <f>INDEX(Calculation!$A$4:$M$330,MATCH(Summary!$A200,Calculation!$A$4:$A$330,0),3)</f>
        <v>New Hampton</v>
      </c>
      <c r="C200" s="120">
        <f>INDEX(Calculation!$A$4:$M$330,MATCH(Summary!$A200,Calculation!$A$4:$A$330,0),6)</f>
        <v>2.2360000000000002</v>
      </c>
      <c r="D200" s="120">
        <f>INDEX(Calculation!$A$4:$M$330,MATCH(Summary!$A200,Calculation!$A$4:$A$330,0),7)</f>
        <v>1.867</v>
      </c>
      <c r="E200" s="121">
        <f t="shared" si="7"/>
        <v>4.1029999999999998</v>
      </c>
      <c r="F200" s="122"/>
      <c r="G200" s="123">
        <f>INDEX(Calculation!$A$4:$M$330,MATCH(Summary!$A200,Calculation!$A$4:$A$330,0),10)</f>
        <v>7048</v>
      </c>
      <c r="H200" s="123">
        <f t="shared" si="6"/>
        <v>28918</v>
      </c>
    </row>
    <row r="201" spans="1:8" x14ac:dyDescent="0.2">
      <c r="A201" s="119" t="str">
        <f>StartupfileInput!A200</f>
        <v>4689</v>
      </c>
      <c r="B201" s="120" t="str">
        <f>INDEX(Calculation!$A$4:$M$330,MATCH(Summary!$A201,Calculation!$A$4:$A$330,0),3)</f>
        <v>New London</v>
      </c>
      <c r="C201" s="120">
        <f>INDEX(Calculation!$A$4:$M$330,MATCH(Summary!$A201,Calculation!$A$4:$A$330,0),6)</f>
        <v>1.421</v>
      </c>
      <c r="D201" s="120">
        <f>INDEX(Calculation!$A$4:$M$330,MATCH(Summary!$A201,Calculation!$A$4:$A$330,0),7)</f>
        <v>1.008</v>
      </c>
      <c r="E201" s="121">
        <f t="shared" si="7"/>
        <v>2.4290000000000003</v>
      </c>
      <c r="F201" s="122"/>
      <c r="G201" s="123">
        <f>INDEX(Calculation!$A$4:$M$330,MATCH(Summary!$A201,Calculation!$A$4:$A$330,0),10)</f>
        <v>7048</v>
      </c>
      <c r="H201" s="123">
        <f t="shared" si="6"/>
        <v>17120</v>
      </c>
    </row>
    <row r="202" spans="1:8" x14ac:dyDescent="0.2">
      <c r="A202" s="119" t="str">
        <f>StartupfileInput!A201</f>
        <v>4644</v>
      </c>
      <c r="B202" s="120" t="str">
        <f>INDEX(Calculation!$A$4:$M$330,MATCH(Summary!$A202,Calculation!$A$4:$A$330,0),3)</f>
        <v>Newell-Fonda</v>
      </c>
      <c r="C202" s="120">
        <f>INDEX(Calculation!$A$4:$M$330,MATCH(Summary!$A202,Calculation!$A$4:$A$330,0),6)</f>
        <v>1.36</v>
      </c>
      <c r="D202" s="120">
        <f>INDEX(Calculation!$A$4:$M$330,MATCH(Summary!$A202,Calculation!$A$4:$A$330,0),7)</f>
        <v>0.92</v>
      </c>
      <c r="E202" s="121">
        <f t="shared" si="7"/>
        <v>2.2800000000000002</v>
      </c>
      <c r="F202" s="122"/>
      <c r="G202" s="123">
        <f>INDEX(Calculation!$A$4:$M$330,MATCH(Summary!$A202,Calculation!$A$4:$A$330,0),10)</f>
        <v>7117</v>
      </c>
      <c r="H202" s="123">
        <f t="shared" si="6"/>
        <v>16227</v>
      </c>
    </row>
    <row r="203" spans="1:8" x14ac:dyDescent="0.2">
      <c r="A203" s="119" t="str">
        <f>StartupfileInput!A202</f>
        <v>4725</v>
      </c>
      <c r="B203" s="120" t="str">
        <f>INDEX(Calculation!$A$4:$M$330,MATCH(Summary!$A203,Calculation!$A$4:$A$330,0),3)</f>
        <v>Newton</v>
      </c>
      <c r="C203" s="120">
        <f>INDEX(Calculation!$A$4:$M$330,MATCH(Summary!$A203,Calculation!$A$4:$A$330,0),6)</f>
        <v>10.843</v>
      </c>
      <c r="D203" s="120">
        <f>INDEX(Calculation!$A$4:$M$330,MATCH(Summary!$A203,Calculation!$A$4:$A$330,0),7)</f>
        <v>6.1130000000000004</v>
      </c>
      <c r="E203" s="121">
        <f t="shared" si="7"/>
        <v>16.956</v>
      </c>
      <c r="F203" s="122"/>
      <c r="G203" s="123">
        <f>INDEX(Calculation!$A$4:$M$330,MATCH(Summary!$A203,Calculation!$A$4:$A$330,0),10)</f>
        <v>7048</v>
      </c>
      <c r="H203" s="123">
        <f t="shared" si="6"/>
        <v>119506</v>
      </c>
    </row>
    <row r="204" spans="1:8" x14ac:dyDescent="0.2">
      <c r="A204" s="119" t="str">
        <f>StartupfileInput!A203</f>
        <v>2673</v>
      </c>
      <c r="B204" s="120" t="str">
        <f>INDEX(Calculation!$A$4:$M$330,MATCH(Summary!$A204,Calculation!$A$4:$A$330,0),3)</f>
        <v>Nodaway Valley</v>
      </c>
      <c r="C204" s="120">
        <f>INDEX(Calculation!$A$4:$M$330,MATCH(Summary!$A204,Calculation!$A$4:$A$330,0),6)</f>
        <v>1.897</v>
      </c>
      <c r="D204" s="120">
        <f>INDEX(Calculation!$A$4:$M$330,MATCH(Summary!$A204,Calculation!$A$4:$A$330,0),7)</f>
        <v>1.3089999999999999</v>
      </c>
      <c r="E204" s="121">
        <f t="shared" si="7"/>
        <v>3.206</v>
      </c>
      <c r="F204" s="122"/>
      <c r="G204" s="123">
        <f>INDEX(Calculation!$A$4:$M$330,MATCH(Summary!$A204,Calculation!$A$4:$A$330,0),10)</f>
        <v>7065</v>
      </c>
      <c r="H204" s="123">
        <f t="shared" si="6"/>
        <v>22650</v>
      </c>
    </row>
    <row r="205" spans="1:8" x14ac:dyDescent="0.2">
      <c r="A205" s="119" t="str">
        <f>StartupfileInput!A204</f>
        <v>0153</v>
      </c>
      <c r="B205" s="120" t="str">
        <f>INDEX(Calculation!$A$4:$M$330,MATCH(Summary!$A205,Calculation!$A$4:$A$330,0),3)</f>
        <v>North Butler</v>
      </c>
      <c r="C205" s="120">
        <f>INDEX(Calculation!$A$4:$M$330,MATCH(Summary!$A205,Calculation!$A$4:$A$330,0),6)</f>
        <v>1.2190000000000001</v>
      </c>
      <c r="D205" s="120">
        <f>INDEX(Calculation!$A$4:$M$330,MATCH(Summary!$A205,Calculation!$A$4:$A$330,0),7)</f>
        <v>1.1439999999999999</v>
      </c>
      <c r="E205" s="121">
        <f t="shared" si="7"/>
        <v>2.363</v>
      </c>
      <c r="F205" s="122"/>
      <c r="G205" s="123">
        <f>INDEX(Calculation!$A$4:$M$330,MATCH(Summary!$A205,Calculation!$A$4:$A$330,0),10)</f>
        <v>7115</v>
      </c>
      <c r="H205" s="123">
        <f t="shared" si="6"/>
        <v>16813</v>
      </c>
    </row>
    <row r="206" spans="1:8" x14ac:dyDescent="0.2">
      <c r="A206" s="119" t="str">
        <f>StartupfileInput!A205</f>
        <v>3691</v>
      </c>
      <c r="B206" s="120" t="str">
        <f>INDEX(Calculation!$A$4:$M$330,MATCH(Summary!$A206,Calculation!$A$4:$A$330,0),3)</f>
        <v>North Cedar</v>
      </c>
      <c r="C206" s="120">
        <f>INDEX(Calculation!$A$4:$M$330,MATCH(Summary!$A206,Calculation!$A$4:$A$330,0),6)</f>
        <v>2.2429999999999999</v>
      </c>
      <c r="D206" s="120">
        <f>INDEX(Calculation!$A$4:$M$330,MATCH(Summary!$A206,Calculation!$A$4:$A$330,0),7)</f>
        <v>1.526</v>
      </c>
      <c r="E206" s="121">
        <f t="shared" si="7"/>
        <v>3.7690000000000001</v>
      </c>
      <c r="F206" s="122"/>
      <c r="G206" s="123">
        <f>INDEX(Calculation!$A$4:$M$330,MATCH(Summary!$A206,Calculation!$A$4:$A$330,0),10)</f>
        <v>7069</v>
      </c>
      <c r="H206" s="123">
        <f t="shared" si="6"/>
        <v>26643</v>
      </c>
    </row>
    <row r="207" spans="1:8" x14ac:dyDescent="0.2">
      <c r="A207" s="119" t="str">
        <f>StartupfileInput!A206</f>
        <v>4774</v>
      </c>
      <c r="B207" s="120" t="str">
        <f>INDEX(Calculation!$A$4:$M$330,MATCH(Summary!$A207,Calculation!$A$4:$A$330,0),3)</f>
        <v>North Fayette Valley</v>
      </c>
      <c r="C207" s="120">
        <f>INDEX(Calculation!$A$4:$M$330,MATCH(Summary!$A207,Calculation!$A$4:$A$330,0),6)</f>
        <v>2.8730000000000002</v>
      </c>
      <c r="D207" s="120">
        <f>INDEX(Calculation!$A$4:$M$330,MATCH(Summary!$A207,Calculation!$A$4:$A$330,0),7)</f>
        <v>2.2919999999999998</v>
      </c>
      <c r="E207" s="121">
        <f t="shared" si="7"/>
        <v>5.165</v>
      </c>
      <c r="F207" s="122"/>
      <c r="G207" s="123">
        <f>INDEX(Calculation!$A$4:$M$330,MATCH(Summary!$A207,Calculation!$A$4:$A$330,0),10)</f>
        <v>7117</v>
      </c>
      <c r="H207" s="123">
        <f t="shared" si="6"/>
        <v>36759</v>
      </c>
    </row>
    <row r="208" spans="1:8" x14ac:dyDescent="0.2">
      <c r="A208" s="119" t="str">
        <f>StartupfileInput!A207</f>
        <v>0873</v>
      </c>
      <c r="B208" s="120" t="str">
        <f>INDEX(Calculation!$A$4:$M$330,MATCH(Summary!$A208,Calculation!$A$4:$A$330,0),3)</f>
        <v>North Iowa</v>
      </c>
      <c r="C208" s="120">
        <f>INDEX(Calculation!$A$4:$M$330,MATCH(Summary!$A208,Calculation!$A$4:$A$330,0),6)</f>
        <v>1.4430000000000001</v>
      </c>
      <c r="D208" s="120">
        <f>INDEX(Calculation!$A$4:$M$330,MATCH(Summary!$A208,Calculation!$A$4:$A$330,0),7)</f>
        <v>0.90800000000000003</v>
      </c>
      <c r="E208" s="121">
        <f t="shared" si="7"/>
        <v>2.351</v>
      </c>
      <c r="F208" s="122"/>
      <c r="G208" s="123">
        <f>INDEX(Calculation!$A$4:$M$330,MATCH(Summary!$A208,Calculation!$A$4:$A$330,0),10)</f>
        <v>7137</v>
      </c>
      <c r="H208" s="123">
        <f t="shared" si="6"/>
        <v>16779</v>
      </c>
    </row>
    <row r="209" spans="1:8" x14ac:dyDescent="0.2">
      <c r="A209" s="119" t="str">
        <f>StartupfileInput!A208</f>
        <v>4778</v>
      </c>
      <c r="B209" s="120" t="str">
        <f>INDEX(Calculation!$A$4:$M$330,MATCH(Summary!$A209,Calculation!$A$4:$A$330,0),3)</f>
        <v>North Kossuth</v>
      </c>
      <c r="C209" s="120">
        <f>INDEX(Calculation!$A$4:$M$330,MATCH(Summary!$A209,Calculation!$A$4:$A$330,0),6)</f>
        <v>1.1100000000000001</v>
      </c>
      <c r="D209" s="120">
        <f>INDEX(Calculation!$A$4:$M$330,MATCH(Summary!$A209,Calculation!$A$4:$A$330,0),7)</f>
        <v>0.55500000000000005</v>
      </c>
      <c r="E209" s="121">
        <f t="shared" si="7"/>
        <v>1.665</v>
      </c>
      <c r="F209" s="122"/>
      <c r="G209" s="123">
        <f>INDEX(Calculation!$A$4:$M$330,MATCH(Summary!$A209,Calculation!$A$4:$A$330,0),10)</f>
        <v>7065</v>
      </c>
      <c r="H209" s="123">
        <f t="shared" si="6"/>
        <v>11763</v>
      </c>
    </row>
    <row r="210" spans="1:8" x14ac:dyDescent="0.2">
      <c r="A210" s="119" t="str">
        <f>StartupfileInput!A209</f>
        <v>4777</v>
      </c>
      <c r="B210" s="120" t="str">
        <f>INDEX(Calculation!$A$4:$M$330,MATCH(Summary!$A210,Calculation!$A$4:$A$330,0),3)</f>
        <v>North Linn</v>
      </c>
      <c r="C210" s="120">
        <f>INDEX(Calculation!$A$4:$M$330,MATCH(Summary!$A210,Calculation!$A$4:$A$330,0),6)</f>
        <v>1.1499999999999999</v>
      </c>
      <c r="D210" s="120">
        <f>INDEX(Calculation!$A$4:$M$330,MATCH(Summary!$A210,Calculation!$A$4:$A$330,0),7)</f>
        <v>1.2250000000000001</v>
      </c>
      <c r="E210" s="121">
        <f t="shared" si="7"/>
        <v>2.375</v>
      </c>
      <c r="F210" s="122"/>
      <c r="G210" s="123">
        <f>INDEX(Calculation!$A$4:$M$330,MATCH(Summary!$A210,Calculation!$A$4:$A$330,0),10)</f>
        <v>7077</v>
      </c>
      <c r="H210" s="123">
        <f t="shared" si="6"/>
        <v>16808</v>
      </c>
    </row>
    <row r="211" spans="1:8" x14ac:dyDescent="0.2">
      <c r="A211" s="119" t="str">
        <f>StartupfileInput!A210</f>
        <v>4776</v>
      </c>
      <c r="B211" s="120" t="str">
        <f>INDEX(Calculation!$A$4:$M$330,MATCH(Summary!$A211,Calculation!$A$4:$A$330,0),3)</f>
        <v>North Mahaska</v>
      </c>
      <c r="C211" s="120">
        <f>INDEX(Calculation!$A$4:$M$330,MATCH(Summary!$A211,Calculation!$A$4:$A$330,0),6)</f>
        <v>1.167</v>
      </c>
      <c r="D211" s="120">
        <f>INDEX(Calculation!$A$4:$M$330,MATCH(Summary!$A211,Calculation!$A$4:$A$330,0),7)</f>
        <v>0.997</v>
      </c>
      <c r="E211" s="121">
        <f t="shared" si="7"/>
        <v>2.1640000000000001</v>
      </c>
      <c r="F211" s="122"/>
      <c r="G211" s="123">
        <f>INDEX(Calculation!$A$4:$M$330,MATCH(Summary!$A211,Calculation!$A$4:$A$330,0),10)</f>
        <v>7195</v>
      </c>
      <c r="H211" s="123">
        <f t="shared" si="6"/>
        <v>15570</v>
      </c>
    </row>
    <row r="212" spans="1:8" x14ac:dyDescent="0.2">
      <c r="A212" s="119" t="str">
        <f>StartupfileInput!A211</f>
        <v>4779</v>
      </c>
      <c r="B212" s="120" t="str">
        <f>INDEX(Calculation!$A$4:$M$330,MATCH(Summary!$A212,Calculation!$A$4:$A$330,0),3)</f>
        <v>North Polk</v>
      </c>
      <c r="C212" s="120">
        <f>INDEX(Calculation!$A$4:$M$330,MATCH(Summary!$A212,Calculation!$A$4:$A$330,0),6)</f>
        <v>1.1080000000000001</v>
      </c>
      <c r="D212" s="120">
        <f>INDEX(Calculation!$A$4:$M$330,MATCH(Summary!$A212,Calculation!$A$4:$A$330,0),7)</f>
        <v>3.7290000000000001</v>
      </c>
      <c r="E212" s="121">
        <f t="shared" si="7"/>
        <v>4.8369999999999997</v>
      </c>
      <c r="F212" s="122"/>
      <c r="G212" s="123">
        <f>INDEX(Calculation!$A$4:$M$330,MATCH(Summary!$A212,Calculation!$A$4:$A$330,0),10)</f>
        <v>7048</v>
      </c>
      <c r="H212" s="123">
        <f t="shared" si="6"/>
        <v>34091</v>
      </c>
    </row>
    <row r="213" spans="1:8" x14ac:dyDescent="0.2">
      <c r="A213" s="119" t="str">
        <f>StartupfileInput!A212</f>
        <v>4784</v>
      </c>
      <c r="B213" s="120" t="str">
        <f>INDEX(Calculation!$A$4:$M$330,MATCH(Summary!$A213,Calculation!$A$4:$A$330,0),3)</f>
        <v>North Scott</v>
      </c>
      <c r="C213" s="120">
        <f>INDEX(Calculation!$A$4:$M$330,MATCH(Summary!$A213,Calculation!$A$4:$A$330,0),6)</f>
        <v>4.6870000000000003</v>
      </c>
      <c r="D213" s="120">
        <f>INDEX(Calculation!$A$4:$M$330,MATCH(Summary!$A213,Calculation!$A$4:$A$330,0),7)</f>
        <v>6.18</v>
      </c>
      <c r="E213" s="121">
        <f t="shared" si="7"/>
        <v>10.867000000000001</v>
      </c>
      <c r="F213" s="122"/>
      <c r="G213" s="123">
        <f>INDEX(Calculation!$A$4:$M$330,MATCH(Summary!$A213,Calculation!$A$4:$A$330,0),10)</f>
        <v>7048</v>
      </c>
      <c r="H213" s="123">
        <f t="shared" si="6"/>
        <v>76591</v>
      </c>
    </row>
    <row r="214" spans="1:8" x14ac:dyDescent="0.2">
      <c r="A214" s="119" t="str">
        <f>StartupfileInput!A213</f>
        <v>4785</v>
      </c>
      <c r="B214" s="120" t="str">
        <f>INDEX(Calculation!$A$4:$M$330,MATCH(Summary!$A214,Calculation!$A$4:$A$330,0),3)</f>
        <v>North Tama</v>
      </c>
      <c r="C214" s="120">
        <f>INDEX(Calculation!$A$4:$M$330,MATCH(Summary!$A214,Calculation!$A$4:$A$330,0),6)</f>
        <v>1.107</v>
      </c>
      <c r="D214" s="120">
        <f>INDEX(Calculation!$A$4:$M$330,MATCH(Summary!$A214,Calculation!$A$4:$A$330,0),7)</f>
        <v>0.91</v>
      </c>
      <c r="E214" s="121">
        <f t="shared" si="7"/>
        <v>2.0169999999999999</v>
      </c>
      <c r="F214" s="122"/>
      <c r="G214" s="123">
        <f>INDEX(Calculation!$A$4:$M$330,MATCH(Summary!$A214,Calculation!$A$4:$A$330,0),10)</f>
        <v>7048</v>
      </c>
      <c r="H214" s="123">
        <f t="shared" si="6"/>
        <v>14216</v>
      </c>
    </row>
    <row r="215" spans="1:8" x14ac:dyDescent="0.2">
      <c r="A215" s="119" t="str">
        <f>StartupfileInput!A214</f>
        <v>0333</v>
      </c>
      <c r="B215" s="120" t="str">
        <f>INDEX(Calculation!$A$4:$M$330,MATCH(Summary!$A215,Calculation!$A$4:$A$330,0),3)</f>
        <v>North Union</v>
      </c>
      <c r="C215" s="120">
        <f>INDEX(Calculation!$A$4:$M$330,MATCH(Summary!$A215,Calculation!$A$4:$A$330,0),6)</f>
        <v>1.367</v>
      </c>
      <c r="D215" s="120">
        <f>INDEX(Calculation!$A$4:$M$330,MATCH(Summary!$A215,Calculation!$A$4:$A$330,0),7)</f>
        <v>0.82299999999999995</v>
      </c>
      <c r="E215" s="121">
        <f t="shared" si="7"/>
        <v>2.19</v>
      </c>
      <c r="F215" s="122"/>
      <c r="G215" s="123">
        <f>INDEX(Calculation!$A$4:$M$330,MATCH(Summary!$A215,Calculation!$A$4:$A$330,0),10)</f>
        <v>7098</v>
      </c>
      <c r="H215" s="123">
        <f t="shared" si="6"/>
        <v>15545</v>
      </c>
    </row>
    <row r="216" spans="1:8" x14ac:dyDescent="0.2">
      <c r="A216" s="119" t="str">
        <f>StartupfileInput!A215</f>
        <v>4773</v>
      </c>
      <c r="B216" s="120" t="str">
        <f>INDEX(Calculation!$A$4:$M$330,MATCH(Summary!$A216,Calculation!$A$4:$A$330,0),3)</f>
        <v>Northeast</v>
      </c>
      <c r="C216" s="120">
        <f>INDEX(Calculation!$A$4:$M$330,MATCH(Summary!$A216,Calculation!$A$4:$A$330,0),6)</f>
        <v>1.17</v>
      </c>
      <c r="D216" s="120">
        <f>INDEX(Calculation!$A$4:$M$330,MATCH(Summary!$A216,Calculation!$A$4:$A$330,0),7)</f>
        <v>1.087</v>
      </c>
      <c r="E216" s="121">
        <f t="shared" si="7"/>
        <v>2.2569999999999997</v>
      </c>
      <c r="F216" s="122"/>
      <c r="G216" s="123">
        <f>INDEX(Calculation!$A$4:$M$330,MATCH(Summary!$A216,Calculation!$A$4:$A$330,0),10)</f>
        <v>7148</v>
      </c>
      <c r="H216" s="123">
        <f t="shared" si="6"/>
        <v>16133</v>
      </c>
    </row>
    <row r="217" spans="1:8" x14ac:dyDescent="0.2">
      <c r="A217" s="119" t="str">
        <f>StartupfileInput!A216</f>
        <v>4788</v>
      </c>
      <c r="B217" s="120" t="str">
        <f>INDEX(Calculation!$A$4:$M$330,MATCH(Summary!$A217,Calculation!$A$4:$A$330,0),3)</f>
        <v>Northwood-Kensett</v>
      </c>
      <c r="C217" s="120">
        <f>INDEX(Calculation!$A$4:$M$330,MATCH(Summary!$A217,Calculation!$A$4:$A$330,0),6)</f>
        <v>1.4</v>
      </c>
      <c r="D217" s="120">
        <f>INDEX(Calculation!$A$4:$M$330,MATCH(Summary!$A217,Calculation!$A$4:$A$330,0),7)</f>
        <v>1.038</v>
      </c>
      <c r="E217" s="121">
        <f t="shared" si="7"/>
        <v>2.4379999999999997</v>
      </c>
      <c r="F217" s="122"/>
      <c r="G217" s="123">
        <f>INDEX(Calculation!$A$4:$M$330,MATCH(Summary!$A217,Calculation!$A$4:$A$330,0),10)</f>
        <v>7154</v>
      </c>
      <c r="H217" s="123">
        <f t="shared" si="6"/>
        <v>17441</v>
      </c>
    </row>
    <row r="218" spans="1:8" x14ac:dyDescent="0.2">
      <c r="A218" s="119" t="str">
        <f>StartupfileInput!A217</f>
        <v>4797</v>
      </c>
      <c r="B218" s="120" t="str">
        <f>INDEX(Calculation!$A$4:$M$330,MATCH(Summary!$A218,Calculation!$A$4:$A$330,0),3)</f>
        <v>Norwalk</v>
      </c>
      <c r="C218" s="120">
        <f>INDEX(Calculation!$A$4:$M$330,MATCH(Summary!$A218,Calculation!$A$4:$A$330,0),6)</f>
        <v>4.3369999999999997</v>
      </c>
      <c r="D218" s="120">
        <f>INDEX(Calculation!$A$4:$M$330,MATCH(Summary!$A218,Calculation!$A$4:$A$330,0),7)</f>
        <v>6.3979999999999997</v>
      </c>
      <c r="E218" s="121">
        <f t="shared" si="7"/>
        <v>10.734999999999999</v>
      </c>
      <c r="F218" s="122"/>
      <c r="G218" s="123">
        <f>INDEX(Calculation!$A$4:$M$330,MATCH(Summary!$A218,Calculation!$A$4:$A$330,0),10)</f>
        <v>7048</v>
      </c>
      <c r="H218" s="123">
        <f t="shared" si="6"/>
        <v>75660</v>
      </c>
    </row>
    <row r="219" spans="1:8" x14ac:dyDescent="0.2">
      <c r="A219" s="119" t="str">
        <f>StartupfileInput!A218</f>
        <v>4860</v>
      </c>
      <c r="B219" s="120" t="str">
        <f>INDEX(Calculation!$A$4:$M$330,MATCH(Summary!$A219,Calculation!$A$4:$A$330,0),3)</f>
        <v>Odebolt Arthur Battle Creek Ida Grove</v>
      </c>
      <c r="C219" s="120">
        <f>INDEX(Calculation!$A$4:$M$330,MATCH(Summary!$A219,Calculation!$A$4:$A$330,0),6)</f>
        <v>3.2570000000000001</v>
      </c>
      <c r="D219" s="120">
        <f>INDEX(Calculation!$A$4:$M$330,MATCH(Summary!$A219,Calculation!$A$4:$A$330,0),7)</f>
        <v>2.0289999999999999</v>
      </c>
      <c r="E219" s="121">
        <f t="shared" si="7"/>
        <v>5.2859999999999996</v>
      </c>
      <c r="F219" s="122"/>
      <c r="G219" s="123">
        <f>INDEX(Calculation!$A$4:$M$330,MATCH(Summary!$A219,Calculation!$A$4:$A$330,0),10)</f>
        <v>7048</v>
      </c>
      <c r="H219" s="123">
        <f t="shared" si="6"/>
        <v>37256</v>
      </c>
    </row>
    <row r="220" spans="1:8" x14ac:dyDescent="0.2">
      <c r="A220" s="119" t="str">
        <f>StartupfileInput!A219</f>
        <v>4869</v>
      </c>
      <c r="B220" s="120" t="str">
        <f>INDEX(Calculation!$A$4:$M$330,MATCH(Summary!$A220,Calculation!$A$4:$A$330,0),3)</f>
        <v>Oelwein</v>
      </c>
      <c r="C220" s="120">
        <f>INDEX(Calculation!$A$4:$M$330,MATCH(Summary!$A220,Calculation!$A$4:$A$330,0),6)</f>
        <v>5.7119999999999997</v>
      </c>
      <c r="D220" s="120">
        <f>INDEX(Calculation!$A$4:$M$330,MATCH(Summary!$A220,Calculation!$A$4:$A$330,0),7)</f>
        <v>2.66</v>
      </c>
      <c r="E220" s="121">
        <f t="shared" si="7"/>
        <v>8.3719999999999999</v>
      </c>
      <c r="F220" s="122"/>
      <c r="G220" s="123">
        <f>INDEX(Calculation!$A$4:$M$330,MATCH(Summary!$A220,Calculation!$A$4:$A$330,0),10)</f>
        <v>7069</v>
      </c>
      <c r="H220" s="123">
        <f t="shared" si="6"/>
        <v>59182</v>
      </c>
    </row>
    <row r="221" spans="1:8" x14ac:dyDescent="0.2">
      <c r="A221" s="119" t="str">
        <f>StartupfileInput!A220</f>
        <v>4878</v>
      </c>
      <c r="B221" s="120" t="str">
        <f>INDEX(Calculation!$A$4:$M$330,MATCH(Summary!$A221,Calculation!$A$4:$A$330,0),3)</f>
        <v>Ogden</v>
      </c>
      <c r="C221" s="120">
        <f>INDEX(Calculation!$A$4:$M$330,MATCH(Summary!$A221,Calculation!$A$4:$A$330,0),6)</f>
        <v>1.1539999999999999</v>
      </c>
      <c r="D221" s="120">
        <f>INDEX(Calculation!$A$4:$M$330,MATCH(Summary!$A221,Calculation!$A$4:$A$330,0),7)</f>
        <v>1.278</v>
      </c>
      <c r="E221" s="121">
        <f t="shared" si="7"/>
        <v>2.4319999999999999</v>
      </c>
      <c r="F221" s="122"/>
      <c r="G221" s="123">
        <f>INDEX(Calculation!$A$4:$M$330,MATCH(Summary!$A221,Calculation!$A$4:$A$330,0),10)</f>
        <v>7048</v>
      </c>
      <c r="H221" s="123">
        <f t="shared" si="6"/>
        <v>17141</v>
      </c>
    </row>
    <row r="222" spans="1:8" x14ac:dyDescent="0.2">
      <c r="A222" s="119" t="str">
        <f>StartupfileInput!A221</f>
        <v>4890</v>
      </c>
      <c r="B222" s="120" t="str">
        <f>INDEX(Calculation!$A$4:$M$330,MATCH(Summary!$A222,Calculation!$A$4:$A$330,0),3)</f>
        <v>Okoboji</v>
      </c>
      <c r="C222" s="120">
        <f>INDEX(Calculation!$A$4:$M$330,MATCH(Summary!$A222,Calculation!$A$4:$A$330,0),6)</f>
        <v>2.7</v>
      </c>
      <c r="D222" s="120">
        <f>INDEX(Calculation!$A$4:$M$330,MATCH(Summary!$A222,Calculation!$A$4:$A$330,0),7)</f>
        <v>2.0710000000000002</v>
      </c>
      <c r="E222" s="121">
        <f t="shared" si="7"/>
        <v>4.7710000000000008</v>
      </c>
      <c r="F222" s="122"/>
      <c r="G222" s="123">
        <f>INDEX(Calculation!$A$4:$M$330,MATCH(Summary!$A222,Calculation!$A$4:$A$330,0),10)</f>
        <v>7048</v>
      </c>
      <c r="H222" s="123">
        <f t="shared" si="6"/>
        <v>33626</v>
      </c>
    </row>
    <row r="223" spans="1:8" x14ac:dyDescent="0.2">
      <c r="A223" s="119" t="str">
        <f>StartupfileInput!A222</f>
        <v>4905</v>
      </c>
      <c r="B223" s="120" t="str">
        <f>INDEX(Calculation!$A$4:$M$330,MATCH(Summary!$A223,Calculation!$A$4:$A$330,0),3)</f>
        <v>Olin</v>
      </c>
      <c r="C223" s="120">
        <f>INDEX(Calculation!$A$4:$M$330,MATCH(Summary!$A223,Calculation!$A$4:$A$330,0),6)</f>
        <v>1.0389999999999999</v>
      </c>
      <c r="D223" s="120">
        <f>INDEX(Calculation!$A$4:$M$330,MATCH(Summary!$A223,Calculation!$A$4:$A$330,0),7)</f>
        <v>0.45900000000000002</v>
      </c>
      <c r="E223" s="121">
        <f t="shared" si="7"/>
        <v>1.498</v>
      </c>
      <c r="F223" s="122"/>
      <c r="G223" s="123">
        <f>INDEX(Calculation!$A$4:$M$330,MATCH(Summary!$A223,Calculation!$A$4:$A$330,0),10)</f>
        <v>7048</v>
      </c>
      <c r="H223" s="123">
        <f t="shared" si="6"/>
        <v>10558</v>
      </c>
    </row>
    <row r="224" spans="1:8" x14ac:dyDescent="0.2">
      <c r="A224" s="119" t="str">
        <f>StartupfileInput!A223</f>
        <v>4978</v>
      </c>
      <c r="B224" s="120" t="str">
        <f>INDEX(Calculation!$A$4:$M$330,MATCH(Summary!$A224,Calculation!$A$4:$A$330,0),3)</f>
        <v>Orient-Macksburg</v>
      </c>
      <c r="C224" s="120">
        <f>INDEX(Calculation!$A$4:$M$330,MATCH(Summary!$A224,Calculation!$A$4:$A$330,0),6)</f>
        <v>0.85899999999999999</v>
      </c>
      <c r="D224" s="120">
        <f>INDEX(Calculation!$A$4:$M$330,MATCH(Summary!$A224,Calculation!$A$4:$A$330,0),7)</f>
        <v>0.35099999999999998</v>
      </c>
      <c r="E224" s="121">
        <f t="shared" si="7"/>
        <v>1.21</v>
      </c>
      <c r="F224" s="122"/>
      <c r="G224" s="123">
        <f>INDEX(Calculation!$A$4:$M$330,MATCH(Summary!$A224,Calculation!$A$4:$A$330,0),10)</f>
        <v>7048</v>
      </c>
      <c r="H224" s="123">
        <f t="shared" si="6"/>
        <v>8528</v>
      </c>
    </row>
    <row r="225" spans="1:8" x14ac:dyDescent="0.2">
      <c r="A225" s="119" t="str">
        <f>StartupfileInput!A224</f>
        <v>4995</v>
      </c>
      <c r="B225" s="120" t="str">
        <f>INDEX(Calculation!$A$4:$M$330,MATCH(Summary!$A225,Calculation!$A$4:$A$330,0),3)</f>
        <v>Osage</v>
      </c>
      <c r="C225" s="120">
        <f>INDEX(Calculation!$A$4:$M$330,MATCH(Summary!$A225,Calculation!$A$4:$A$330,0),6)</f>
        <v>2.0409999999999999</v>
      </c>
      <c r="D225" s="120">
        <f>INDEX(Calculation!$A$4:$M$330,MATCH(Summary!$A225,Calculation!$A$4:$A$330,0),7)</f>
        <v>1.841</v>
      </c>
      <c r="E225" s="121">
        <f t="shared" si="7"/>
        <v>3.8819999999999997</v>
      </c>
      <c r="F225" s="122"/>
      <c r="G225" s="123">
        <f>INDEX(Calculation!$A$4:$M$330,MATCH(Summary!$A225,Calculation!$A$4:$A$330,0),10)</f>
        <v>7085</v>
      </c>
      <c r="H225" s="123">
        <f t="shared" si="6"/>
        <v>27504</v>
      </c>
    </row>
    <row r="226" spans="1:8" x14ac:dyDescent="0.2">
      <c r="A226" s="119" t="str">
        <f>StartupfileInput!A225</f>
        <v>5013</v>
      </c>
      <c r="B226" s="120" t="str">
        <f>INDEX(Calculation!$A$4:$M$330,MATCH(Summary!$A226,Calculation!$A$4:$A$330,0),3)</f>
        <v>Oskaloosa</v>
      </c>
      <c r="C226" s="120">
        <f>INDEX(Calculation!$A$4:$M$330,MATCH(Summary!$A226,Calculation!$A$4:$A$330,0),6)</f>
        <v>7.1710000000000003</v>
      </c>
      <c r="D226" s="120">
        <f>INDEX(Calculation!$A$4:$M$330,MATCH(Summary!$A226,Calculation!$A$4:$A$330,0),7)</f>
        <v>4.6360000000000001</v>
      </c>
      <c r="E226" s="121">
        <f t="shared" si="7"/>
        <v>11.807</v>
      </c>
      <c r="F226" s="122"/>
      <c r="G226" s="123">
        <f>INDEX(Calculation!$A$4:$M$330,MATCH(Summary!$A226,Calculation!$A$4:$A$330,0),10)</f>
        <v>7048</v>
      </c>
      <c r="H226" s="123">
        <f t="shared" si="6"/>
        <v>83216</v>
      </c>
    </row>
    <row r="227" spans="1:8" x14ac:dyDescent="0.2">
      <c r="A227" s="119" t="str">
        <f>StartupfileInput!A226</f>
        <v>5049</v>
      </c>
      <c r="B227" s="120" t="str">
        <f>INDEX(Calculation!$A$4:$M$330,MATCH(Summary!$A227,Calculation!$A$4:$A$330,0),3)</f>
        <v>Ottumwa</v>
      </c>
      <c r="C227" s="120">
        <f>INDEX(Calculation!$A$4:$M$330,MATCH(Summary!$A227,Calculation!$A$4:$A$330,0),6)</f>
        <v>15.618</v>
      </c>
      <c r="D227" s="120">
        <f>INDEX(Calculation!$A$4:$M$330,MATCH(Summary!$A227,Calculation!$A$4:$A$330,0),7)</f>
        <v>9.7159999999999993</v>
      </c>
      <c r="E227" s="121">
        <f t="shared" si="7"/>
        <v>25.334</v>
      </c>
      <c r="F227" s="122"/>
      <c r="G227" s="123">
        <f>INDEX(Calculation!$A$4:$M$330,MATCH(Summary!$A227,Calculation!$A$4:$A$330,0),10)</f>
        <v>7048</v>
      </c>
      <c r="H227" s="123">
        <f t="shared" si="6"/>
        <v>178554</v>
      </c>
    </row>
    <row r="228" spans="1:8" x14ac:dyDescent="0.2">
      <c r="A228" s="119" t="str">
        <f>StartupfileInput!A227</f>
        <v>5319</v>
      </c>
      <c r="B228" s="120" t="str">
        <f>INDEX(Calculation!$A$4:$M$330,MATCH(Summary!$A228,Calculation!$A$4:$A$330,0),3)</f>
        <v>PCM</v>
      </c>
      <c r="C228" s="120">
        <f>INDEX(Calculation!$A$4:$M$330,MATCH(Summary!$A228,Calculation!$A$4:$A$330,0),6)</f>
        <v>1.784</v>
      </c>
      <c r="D228" s="120">
        <f>INDEX(Calculation!$A$4:$M$330,MATCH(Summary!$A228,Calculation!$A$4:$A$330,0),7)</f>
        <v>2.169</v>
      </c>
      <c r="E228" s="121">
        <f t="shared" si="7"/>
        <v>3.9530000000000003</v>
      </c>
      <c r="F228" s="122"/>
      <c r="G228" s="123">
        <f>INDEX(Calculation!$A$4:$M$330,MATCH(Summary!$A228,Calculation!$A$4:$A$330,0),10)</f>
        <v>7048</v>
      </c>
      <c r="H228" s="123">
        <f t="shared" si="6"/>
        <v>27861</v>
      </c>
    </row>
    <row r="229" spans="1:8" x14ac:dyDescent="0.2">
      <c r="A229" s="119" t="str">
        <f>StartupfileInput!A228</f>
        <v>5121</v>
      </c>
      <c r="B229" s="120" t="str">
        <f>INDEX(Calculation!$A$4:$M$330,MATCH(Summary!$A229,Calculation!$A$4:$A$330,0),3)</f>
        <v>Panorama</v>
      </c>
      <c r="C229" s="120">
        <f>INDEX(Calculation!$A$4:$M$330,MATCH(Summary!$A229,Calculation!$A$4:$A$330,0),6)</f>
        <v>1.7949999999999999</v>
      </c>
      <c r="D229" s="120">
        <f>INDEX(Calculation!$A$4:$M$330,MATCH(Summary!$A229,Calculation!$A$4:$A$330,0),7)</f>
        <v>1.4179999999999999</v>
      </c>
      <c r="E229" s="121">
        <f t="shared" si="7"/>
        <v>3.2130000000000001</v>
      </c>
      <c r="F229" s="122"/>
      <c r="G229" s="123">
        <f>INDEX(Calculation!$A$4:$M$330,MATCH(Summary!$A229,Calculation!$A$4:$A$330,0),10)</f>
        <v>7048</v>
      </c>
      <c r="H229" s="123">
        <f t="shared" si="6"/>
        <v>22645</v>
      </c>
    </row>
    <row r="230" spans="1:8" x14ac:dyDescent="0.2">
      <c r="A230" s="119" t="str">
        <f>StartupfileInput!A229</f>
        <v>5139</v>
      </c>
      <c r="B230" s="120" t="str">
        <f>INDEX(Calculation!$A$4:$M$330,MATCH(Summary!$A230,Calculation!$A$4:$A$330,0),3)</f>
        <v>Paton-Churdan</v>
      </c>
      <c r="C230" s="120">
        <f>INDEX(Calculation!$A$4:$M$330,MATCH(Summary!$A230,Calculation!$A$4:$A$330,0),6)</f>
        <v>0.72399999999999998</v>
      </c>
      <c r="D230" s="120">
        <f>INDEX(Calculation!$A$4:$M$330,MATCH(Summary!$A230,Calculation!$A$4:$A$330,0),7)</f>
        <v>0.41899999999999998</v>
      </c>
      <c r="E230" s="121">
        <f t="shared" si="7"/>
        <v>1.143</v>
      </c>
      <c r="F230" s="122"/>
      <c r="G230" s="123">
        <f>INDEX(Calculation!$A$4:$M$330,MATCH(Summary!$A230,Calculation!$A$4:$A$330,0),10)</f>
        <v>7195</v>
      </c>
      <c r="H230" s="123">
        <f t="shared" si="6"/>
        <v>8224</v>
      </c>
    </row>
    <row r="231" spans="1:8" x14ac:dyDescent="0.2">
      <c r="A231" s="119" t="str">
        <f>StartupfileInput!A230</f>
        <v>5163</v>
      </c>
      <c r="B231" s="120" t="str">
        <f>INDEX(Calculation!$A$4:$M$330,MATCH(Summary!$A231,Calculation!$A$4:$A$330,0),3)</f>
        <v>Pekin</v>
      </c>
      <c r="C231" s="120">
        <f>INDEX(Calculation!$A$4:$M$330,MATCH(Summary!$A231,Calculation!$A$4:$A$330,0),6)</f>
        <v>1.7749999999999999</v>
      </c>
      <c r="D231" s="120">
        <f>INDEX(Calculation!$A$4:$M$330,MATCH(Summary!$A231,Calculation!$A$4:$A$330,0),7)</f>
        <v>1.2450000000000001</v>
      </c>
      <c r="E231" s="121">
        <f t="shared" si="7"/>
        <v>3.02</v>
      </c>
      <c r="F231" s="122"/>
      <c r="G231" s="123">
        <f>INDEX(Calculation!$A$4:$M$330,MATCH(Summary!$A231,Calculation!$A$4:$A$330,0),10)</f>
        <v>7048</v>
      </c>
      <c r="H231" s="123">
        <f t="shared" si="6"/>
        <v>21285</v>
      </c>
    </row>
    <row r="232" spans="1:8" x14ac:dyDescent="0.2">
      <c r="A232" s="119" t="str">
        <f>StartupfileInput!A231</f>
        <v>5166</v>
      </c>
      <c r="B232" s="120" t="str">
        <f>INDEX(Calculation!$A$4:$M$330,MATCH(Summary!$A232,Calculation!$A$4:$A$330,0),3)</f>
        <v>Pella</v>
      </c>
      <c r="C232" s="120">
        <f>INDEX(Calculation!$A$4:$M$330,MATCH(Summary!$A232,Calculation!$A$4:$A$330,0),6)</f>
        <v>2.5529999999999999</v>
      </c>
      <c r="D232" s="120">
        <f>INDEX(Calculation!$A$4:$M$330,MATCH(Summary!$A232,Calculation!$A$4:$A$330,0),7)</f>
        <v>4.4610000000000003</v>
      </c>
      <c r="E232" s="121">
        <f t="shared" si="7"/>
        <v>7.0140000000000002</v>
      </c>
      <c r="F232" s="122"/>
      <c r="G232" s="123">
        <f>INDEX(Calculation!$A$4:$M$330,MATCH(Summary!$A232,Calculation!$A$4:$A$330,0),10)</f>
        <v>7048</v>
      </c>
      <c r="H232" s="123">
        <f t="shared" si="6"/>
        <v>49435</v>
      </c>
    </row>
    <row r="233" spans="1:8" x14ac:dyDescent="0.2">
      <c r="A233" s="119" t="str">
        <f>StartupfileInput!A232</f>
        <v>5184</v>
      </c>
      <c r="B233" s="120" t="str">
        <f>INDEX(Calculation!$A$4:$M$330,MATCH(Summary!$A233,Calculation!$A$4:$A$330,0),3)</f>
        <v>Perry</v>
      </c>
      <c r="C233" s="120">
        <f>INDEX(Calculation!$A$4:$M$330,MATCH(Summary!$A233,Calculation!$A$4:$A$330,0),6)</f>
        <v>8.657</v>
      </c>
      <c r="D233" s="120">
        <f>INDEX(Calculation!$A$4:$M$330,MATCH(Summary!$A233,Calculation!$A$4:$A$330,0),7)</f>
        <v>3.6960000000000002</v>
      </c>
      <c r="E233" s="121">
        <f t="shared" si="7"/>
        <v>12.353</v>
      </c>
      <c r="F233" s="122"/>
      <c r="G233" s="123">
        <f>INDEX(Calculation!$A$4:$M$330,MATCH(Summary!$A233,Calculation!$A$4:$A$330,0),10)</f>
        <v>7048</v>
      </c>
      <c r="H233" s="123">
        <f t="shared" si="6"/>
        <v>87064</v>
      </c>
    </row>
    <row r="234" spans="1:8" x14ac:dyDescent="0.2">
      <c r="A234" s="119" t="str">
        <f>StartupfileInput!A233</f>
        <v>5250</v>
      </c>
      <c r="B234" s="120" t="str">
        <f>INDEX(Calculation!$A$4:$M$330,MATCH(Summary!$A234,Calculation!$A$4:$A$330,0),3)</f>
        <v>Pleasant Valley</v>
      </c>
      <c r="C234" s="120">
        <f>INDEX(Calculation!$A$4:$M$330,MATCH(Summary!$A234,Calculation!$A$4:$A$330,0),6)</f>
        <v>3.4249999999999998</v>
      </c>
      <c r="D234" s="120">
        <f>INDEX(Calculation!$A$4:$M$330,MATCH(Summary!$A234,Calculation!$A$4:$A$330,0),7)</f>
        <v>10.462</v>
      </c>
      <c r="E234" s="121">
        <f t="shared" si="7"/>
        <v>13.887</v>
      </c>
      <c r="F234" s="122"/>
      <c r="G234" s="123">
        <f>INDEX(Calculation!$A$4:$M$330,MATCH(Summary!$A234,Calculation!$A$4:$A$330,0),10)</f>
        <v>7161</v>
      </c>
      <c r="H234" s="123">
        <f t="shared" si="6"/>
        <v>99445</v>
      </c>
    </row>
    <row r="235" spans="1:8" x14ac:dyDescent="0.2">
      <c r="A235" s="119" t="str">
        <f>StartupfileInput!A234</f>
        <v>5256</v>
      </c>
      <c r="B235" s="120" t="str">
        <f>INDEX(Calculation!$A$4:$M$330,MATCH(Summary!$A235,Calculation!$A$4:$A$330,0),3)</f>
        <v>Pleasantville</v>
      </c>
      <c r="C235" s="120">
        <f>INDEX(Calculation!$A$4:$M$330,MATCH(Summary!$A235,Calculation!$A$4:$A$330,0),6)</f>
        <v>1.6240000000000001</v>
      </c>
      <c r="D235" s="120">
        <f>INDEX(Calculation!$A$4:$M$330,MATCH(Summary!$A235,Calculation!$A$4:$A$330,0),7)</f>
        <v>1.365</v>
      </c>
      <c r="E235" s="121">
        <f t="shared" si="7"/>
        <v>2.9889999999999999</v>
      </c>
      <c r="F235" s="122"/>
      <c r="G235" s="123">
        <f>INDEX(Calculation!$A$4:$M$330,MATCH(Summary!$A235,Calculation!$A$4:$A$330,0),10)</f>
        <v>7048</v>
      </c>
      <c r="H235" s="123">
        <f t="shared" si="6"/>
        <v>21066</v>
      </c>
    </row>
    <row r="236" spans="1:8" x14ac:dyDescent="0.2">
      <c r="A236" s="119" t="str">
        <f>StartupfileInput!A235</f>
        <v>5283</v>
      </c>
      <c r="B236" s="120" t="str">
        <f>INDEX(Calculation!$A$4:$M$330,MATCH(Summary!$A236,Calculation!$A$4:$A$330,0),3)</f>
        <v>Pocahontas Area</v>
      </c>
      <c r="C236" s="120">
        <f>INDEX(Calculation!$A$4:$M$330,MATCH(Summary!$A236,Calculation!$A$4:$A$330,0),6)</f>
        <v>2.4180000000000001</v>
      </c>
      <c r="D236" s="120">
        <f>INDEX(Calculation!$A$4:$M$330,MATCH(Summary!$A236,Calculation!$A$4:$A$330,0),7)</f>
        <v>1.3560000000000001</v>
      </c>
      <c r="E236" s="121">
        <f t="shared" si="7"/>
        <v>3.774</v>
      </c>
      <c r="F236" s="122"/>
      <c r="G236" s="123">
        <f>INDEX(Calculation!$A$4:$M$330,MATCH(Summary!$A236,Calculation!$A$4:$A$330,0),10)</f>
        <v>7163</v>
      </c>
      <c r="H236" s="123">
        <f t="shared" si="6"/>
        <v>27033</v>
      </c>
    </row>
    <row r="237" spans="1:8" x14ac:dyDescent="0.2">
      <c r="A237" s="119" t="str">
        <f>StartupfileInput!A236</f>
        <v>5310</v>
      </c>
      <c r="B237" s="120" t="str">
        <f>INDEX(Calculation!$A$4:$M$330,MATCH(Summary!$A237,Calculation!$A$4:$A$330,0),3)</f>
        <v>Postville</v>
      </c>
      <c r="C237" s="120">
        <f>INDEX(Calculation!$A$4:$M$330,MATCH(Summary!$A237,Calculation!$A$4:$A$330,0),6)</f>
        <v>4.8659999999999997</v>
      </c>
      <c r="D237" s="120">
        <f>INDEX(Calculation!$A$4:$M$330,MATCH(Summary!$A237,Calculation!$A$4:$A$330,0),7)</f>
        <v>1.546</v>
      </c>
      <c r="E237" s="121">
        <f t="shared" si="7"/>
        <v>6.4119999999999999</v>
      </c>
      <c r="F237" s="122"/>
      <c r="G237" s="123">
        <f>INDEX(Calculation!$A$4:$M$330,MATCH(Summary!$A237,Calculation!$A$4:$A$330,0),10)</f>
        <v>7048</v>
      </c>
      <c r="H237" s="123">
        <f t="shared" si="6"/>
        <v>45192</v>
      </c>
    </row>
    <row r="238" spans="1:8" x14ac:dyDescent="0.2">
      <c r="A238" s="119" t="str">
        <f>StartupfileInput!A237</f>
        <v>5323</v>
      </c>
      <c r="B238" s="120" t="str">
        <f>INDEX(Calculation!$A$4:$M$330,MATCH(Summary!$A238,Calculation!$A$4:$A$330,0),3)</f>
        <v>Prairie Valley</v>
      </c>
      <c r="C238" s="120">
        <f>INDEX(Calculation!$A$4:$M$330,MATCH(Summary!$A238,Calculation!$A$4:$A$330,0),6)</f>
        <v>1.5209999999999999</v>
      </c>
      <c r="D238" s="120">
        <f>INDEX(Calculation!$A$4:$M$330,MATCH(Summary!$A238,Calculation!$A$4:$A$330,0),7)</f>
        <v>1.1599999999999999</v>
      </c>
      <c r="E238" s="121">
        <f t="shared" si="7"/>
        <v>2.681</v>
      </c>
      <c r="F238" s="122"/>
      <c r="G238" s="123">
        <f>INDEX(Calculation!$A$4:$M$330,MATCH(Summary!$A238,Calculation!$A$4:$A$330,0),10)</f>
        <v>7148</v>
      </c>
      <c r="H238" s="123">
        <f t="shared" si="6"/>
        <v>19164</v>
      </c>
    </row>
    <row r="239" spans="1:8" x14ac:dyDescent="0.2">
      <c r="A239" s="119" t="str">
        <f>StartupfileInput!A238</f>
        <v>5463</v>
      </c>
      <c r="B239" s="120" t="str">
        <f>INDEX(Calculation!$A$4:$M$330,MATCH(Summary!$A239,Calculation!$A$4:$A$330,0),3)</f>
        <v>Red Oak</v>
      </c>
      <c r="C239" s="120">
        <f>INDEX(Calculation!$A$4:$M$330,MATCH(Summary!$A239,Calculation!$A$4:$A$330,0),6)</f>
        <v>4.1219999999999999</v>
      </c>
      <c r="D239" s="120">
        <f>INDEX(Calculation!$A$4:$M$330,MATCH(Summary!$A239,Calculation!$A$4:$A$330,0),7)</f>
        <v>2.12</v>
      </c>
      <c r="E239" s="121">
        <f t="shared" si="7"/>
        <v>6.242</v>
      </c>
      <c r="F239" s="122"/>
      <c r="G239" s="123">
        <f>INDEX(Calculation!$A$4:$M$330,MATCH(Summary!$A239,Calculation!$A$4:$A$330,0),10)</f>
        <v>7048</v>
      </c>
      <c r="H239" s="123">
        <f t="shared" si="6"/>
        <v>43994</v>
      </c>
    </row>
    <row r="240" spans="1:8" x14ac:dyDescent="0.2">
      <c r="A240" s="119" t="str">
        <f>StartupfileInput!A239</f>
        <v>5486</v>
      </c>
      <c r="B240" s="120" t="str">
        <f>INDEX(Calculation!$A$4:$M$330,MATCH(Summary!$A240,Calculation!$A$4:$A$330,0),3)</f>
        <v>Remsen-Union</v>
      </c>
      <c r="C240" s="120">
        <f>INDEX(Calculation!$A$4:$M$330,MATCH(Summary!$A240,Calculation!$A$4:$A$330,0),6)</f>
        <v>0.63</v>
      </c>
      <c r="D240" s="120">
        <f>INDEX(Calculation!$A$4:$M$330,MATCH(Summary!$A240,Calculation!$A$4:$A$330,0),7)</f>
        <v>0.65200000000000002</v>
      </c>
      <c r="E240" s="121">
        <f t="shared" si="7"/>
        <v>1.282</v>
      </c>
      <c r="F240" s="122"/>
      <c r="G240" s="123">
        <f>INDEX(Calculation!$A$4:$M$330,MATCH(Summary!$A240,Calculation!$A$4:$A$330,0),10)</f>
        <v>7049</v>
      </c>
      <c r="H240" s="123">
        <f t="shared" si="6"/>
        <v>9037</v>
      </c>
    </row>
    <row r="241" spans="1:8" x14ac:dyDescent="0.2">
      <c r="A241" s="119" t="str">
        <f>StartupfileInput!A240</f>
        <v>5508</v>
      </c>
      <c r="B241" s="120" t="str">
        <f>INDEX(Calculation!$A$4:$M$330,MATCH(Summary!$A241,Calculation!$A$4:$A$330,0),3)</f>
        <v>Riceville</v>
      </c>
      <c r="C241" s="120">
        <f>INDEX(Calculation!$A$4:$M$330,MATCH(Summary!$A241,Calculation!$A$4:$A$330,0),6)</f>
        <v>0.90800000000000003</v>
      </c>
      <c r="D241" s="120">
        <f>INDEX(Calculation!$A$4:$M$330,MATCH(Summary!$A241,Calculation!$A$4:$A$330,0),7)</f>
        <v>0.66700000000000004</v>
      </c>
      <c r="E241" s="121">
        <f t="shared" si="7"/>
        <v>1.5750000000000002</v>
      </c>
      <c r="F241" s="122"/>
      <c r="G241" s="123">
        <f>INDEX(Calculation!$A$4:$M$330,MATCH(Summary!$A241,Calculation!$A$4:$A$330,0),10)</f>
        <v>7048</v>
      </c>
      <c r="H241" s="123">
        <f t="shared" si="6"/>
        <v>11101</v>
      </c>
    </row>
    <row r="242" spans="1:8" x14ac:dyDescent="0.2">
      <c r="A242" s="119" t="str">
        <f>StartupfileInput!A241</f>
        <v>1975</v>
      </c>
      <c r="B242" s="120" t="str">
        <f>INDEX(Calculation!$A$4:$M$330,MATCH(Summary!$A242,Calculation!$A$4:$A$330,0),3)</f>
        <v>River Valley</v>
      </c>
      <c r="C242" s="120">
        <f>INDEX(Calculation!$A$4:$M$330,MATCH(Summary!$A242,Calculation!$A$4:$A$330,0),6)</f>
        <v>1.2929999999999999</v>
      </c>
      <c r="D242" s="120">
        <f>INDEX(Calculation!$A$4:$M$330,MATCH(Summary!$A242,Calculation!$A$4:$A$330,0),7)</f>
        <v>0.79200000000000004</v>
      </c>
      <c r="E242" s="121">
        <f t="shared" si="7"/>
        <v>2.085</v>
      </c>
      <c r="F242" s="122"/>
      <c r="G242" s="123">
        <f>INDEX(Calculation!$A$4:$M$330,MATCH(Summary!$A242,Calculation!$A$4:$A$330,0),10)</f>
        <v>7048</v>
      </c>
      <c r="H242" s="123">
        <f t="shared" si="6"/>
        <v>14695</v>
      </c>
    </row>
    <row r="243" spans="1:8" x14ac:dyDescent="0.2">
      <c r="A243" s="119" t="str">
        <f>StartupfileInput!A242</f>
        <v>4824</v>
      </c>
      <c r="B243" s="120" t="str">
        <f>INDEX(Calculation!$A$4:$M$330,MATCH(Summary!$A243,Calculation!$A$4:$A$330,0),3)</f>
        <v>Riverside</v>
      </c>
      <c r="C243" s="120">
        <f>INDEX(Calculation!$A$4:$M$330,MATCH(Summary!$A243,Calculation!$A$4:$A$330,0),6)</f>
        <v>1.8959999999999999</v>
      </c>
      <c r="D243" s="120">
        <f>INDEX(Calculation!$A$4:$M$330,MATCH(Summary!$A243,Calculation!$A$4:$A$330,0),7)</f>
        <v>1.4379999999999999</v>
      </c>
      <c r="E243" s="121">
        <f t="shared" si="7"/>
        <v>3.3339999999999996</v>
      </c>
      <c r="F243" s="122"/>
      <c r="G243" s="123">
        <f>INDEX(Calculation!$A$4:$M$330,MATCH(Summary!$A243,Calculation!$A$4:$A$330,0),10)</f>
        <v>7048</v>
      </c>
      <c r="H243" s="123">
        <f t="shared" si="6"/>
        <v>23498</v>
      </c>
    </row>
    <row r="244" spans="1:8" x14ac:dyDescent="0.2">
      <c r="A244" s="119" t="str">
        <f>StartupfileInput!A243</f>
        <v>5607</v>
      </c>
      <c r="B244" s="120" t="str">
        <f>INDEX(Calculation!$A$4:$M$330,MATCH(Summary!$A244,Calculation!$A$4:$A$330,0),3)</f>
        <v>Rock Valley</v>
      </c>
      <c r="C244" s="120">
        <f>INDEX(Calculation!$A$4:$M$330,MATCH(Summary!$A244,Calculation!$A$4:$A$330,0),6)</f>
        <v>2.488</v>
      </c>
      <c r="D244" s="120">
        <f>INDEX(Calculation!$A$4:$M$330,MATCH(Summary!$A244,Calculation!$A$4:$A$330,0),7)</f>
        <v>1.7290000000000001</v>
      </c>
      <c r="E244" s="121">
        <f t="shared" si="7"/>
        <v>4.2170000000000005</v>
      </c>
      <c r="F244" s="122"/>
      <c r="G244" s="123">
        <f>INDEX(Calculation!$A$4:$M$330,MATCH(Summary!$A244,Calculation!$A$4:$A$330,0),10)</f>
        <v>7069</v>
      </c>
      <c r="H244" s="123">
        <f t="shared" si="6"/>
        <v>29810</v>
      </c>
    </row>
    <row r="245" spans="1:8" x14ac:dyDescent="0.2">
      <c r="A245" s="119" t="str">
        <f>StartupfileInput!A244</f>
        <v>5643</v>
      </c>
      <c r="B245" s="120" t="str">
        <f>INDEX(Calculation!$A$4:$M$330,MATCH(Summary!$A245,Calculation!$A$4:$A$330,0),3)</f>
        <v>Roland-Story</v>
      </c>
      <c r="C245" s="120">
        <f>INDEX(Calculation!$A$4:$M$330,MATCH(Summary!$A245,Calculation!$A$4:$A$330,0),6)</f>
        <v>1.62</v>
      </c>
      <c r="D245" s="120">
        <f>INDEX(Calculation!$A$4:$M$330,MATCH(Summary!$A245,Calculation!$A$4:$A$330,0),7)</f>
        <v>2.0499999999999998</v>
      </c>
      <c r="E245" s="121">
        <f t="shared" si="7"/>
        <v>3.67</v>
      </c>
      <c r="F245" s="122"/>
      <c r="G245" s="123">
        <f>INDEX(Calculation!$A$4:$M$330,MATCH(Summary!$A245,Calculation!$A$4:$A$330,0),10)</f>
        <v>7048</v>
      </c>
      <c r="H245" s="123">
        <f t="shared" si="6"/>
        <v>25866</v>
      </c>
    </row>
    <row r="246" spans="1:8" x14ac:dyDescent="0.2">
      <c r="A246" s="119" t="str">
        <f>StartupfileInput!A245</f>
        <v>5697</v>
      </c>
      <c r="B246" s="120" t="str">
        <f>INDEX(Calculation!$A$4:$M$330,MATCH(Summary!$A246,Calculation!$A$4:$A$330,0),3)</f>
        <v>Rudd-Rockford-Marble Rock</v>
      </c>
      <c r="C246" s="120">
        <f>INDEX(Calculation!$A$4:$M$330,MATCH(Summary!$A246,Calculation!$A$4:$A$330,0),6)</f>
        <v>1.47</v>
      </c>
      <c r="D246" s="120">
        <f>INDEX(Calculation!$A$4:$M$330,MATCH(Summary!$A246,Calculation!$A$4:$A$330,0),7)</f>
        <v>0.82399999999999995</v>
      </c>
      <c r="E246" s="121">
        <f t="shared" si="7"/>
        <v>2.294</v>
      </c>
      <c r="F246" s="122"/>
      <c r="G246" s="123">
        <f>INDEX(Calculation!$A$4:$M$330,MATCH(Summary!$A246,Calculation!$A$4:$A$330,0),10)</f>
        <v>7048</v>
      </c>
      <c r="H246" s="123">
        <f t="shared" si="6"/>
        <v>16168</v>
      </c>
    </row>
    <row r="247" spans="1:8" x14ac:dyDescent="0.2">
      <c r="A247" s="119" t="str">
        <f>StartupfileInput!A246</f>
        <v>5724</v>
      </c>
      <c r="B247" s="120" t="str">
        <f>INDEX(Calculation!$A$4:$M$330,MATCH(Summary!$A247,Calculation!$A$4:$A$330,0),3)</f>
        <v>Ruthven-Ayrshire</v>
      </c>
      <c r="C247" s="120">
        <f>INDEX(Calculation!$A$4:$M$330,MATCH(Summary!$A247,Calculation!$A$4:$A$330,0),6)</f>
        <v>0.98099999999999998</v>
      </c>
      <c r="D247" s="120">
        <f>INDEX(Calculation!$A$4:$M$330,MATCH(Summary!$A247,Calculation!$A$4:$A$330,0),7)</f>
        <v>0.45900000000000002</v>
      </c>
      <c r="E247" s="121">
        <f t="shared" si="7"/>
        <v>1.44</v>
      </c>
      <c r="F247" s="122"/>
      <c r="G247" s="123">
        <f>INDEX(Calculation!$A$4:$M$330,MATCH(Summary!$A247,Calculation!$A$4:$A$330,0),10)</f>
        <v>7048</v>
      </c>
      <c r="H247" s="123">
        <f t="shared" si="6"/>
        <v>10149</v>
      </c>
    </row>
    <row r="248" spans="1:8" x14ac:dyDescent="0.2">
      <c r="A248" s="119" t="str">
        <f>StartupfileInput!A247</f>
        <v>5805</v>
      </c>
      <c r="B248" s="120" t="str">
        <f>INDEX(Calculation!$A$4:$M$330,MATCH(Summary!$A248,Calculation!$A$4:$A$330,0),3)</f>
        <v>Saydel</v>
      </c>
      <c r="C248" s="120">
        <f>INDEX(Calculation!$A$4:$M$330,MATCH(Summary!$A248,Calculation!$A$4:$A$330,0),6)</f>
        <v>4.5590000000000002</v>
      </c>
      <c r="D248" s="120">
        <f>INDEX(Calculation!$A$4:$M$330,MATCH(Summary!$A248,Calculation!$A$4:$A$330,0),7)</f>
        <v>2.327</v>
      </c>
      <c r="E248" s="121">
        <f t="shared" si="7"/>
        <v>6.8860000000000001</v>
      </c>
      <c r="F248" s="122"/>
      <c r="G248" s="123">
        <f>INDEX(Calculation!$A$4:$M$330,MATCH(Summary!$A248,Calculation!$A$4:$A$330,0),10)</f>
        <v>7096</v>
      </c>
      <c r="H248" s="123">
        <f t="shared" si="6"/>
        <v>48863</v>
      </c>
    </row>
    <row r="249" spans="1:8" x14ac:dyDescent="0.2">
      <c r="A249" s="119" t="str">
        <f>StartupfileInput!A248</f>
        <v>5823</v>
      </c>
      <c r="B249" s="120" t="str">
        <f>INDEX(Calculation!$A$4:$M$330,MATCH(Summary!$A249,Calculation!$A$4:$A$330,0),3)</f>
        <v>Schaller-Crestland</v>
      </c>
      <c r="C249" s="120">
        <f>INDEX(Calculation!$A$4:$M$330,MATCH(Summary!$A249,Calculation!$A$4:$A$330,0),6)</f>
        <v>1.371</v>
      </c>
      <c r="D249" s="120">
        <f>INDEX(Calculation!$A$4:$M$330,MATCH(Summary!$A249,Calculation!$A$4:$A$330,0),7)</f>
        <v>0.745</v>
      </c>
      <c r="E249" s="121">
        <f t="shared" si="7"/>
        <v>2.1160000000000001</v>
      </c>
      <c r="F249" s="122"/>
      <c r="G249" s="123">
        <f>INDEX(Calculation!$A$4:$M$330,MATCH(Summary!$A249,Calculation!$A$4:$A$330,0),10)</f>
        <v>7095</v>
      </c>
      <c r="H249" s="123">
        <f t="shared" si="6"/>
        <v>15013</v>
      </c>
    </row>
    <row r="250" spans="1:8" x14ac:dyDescent="0.2">
      <c r="A250" s="119" t="str">
        <f>StartupfileInput!A249</f>
        <v>5832</v>
      </c>
      <c r="B250" s="120" t="str">
        <f>INDEX(Calculation!$A$4:$M$330,MATCH(Summary!$A250,Calculation!$A$4:$A$330,0),3)</f>
        <v>Schleswig</v>
      </c>
      <c r="C250" s="120">
        <f>INDEX(Calculation!$A$4:$M$330,MATCH(Summary!$A250,Calculation!$A$4:$A$330,0),6)</f>
        <v>0.59199999999999997</v>
      </c>
      <c r="D250" s="120">
        <f>INDEX(Calculation!$A$4:$M$330,MATCH(Summary!$A250,Calculation!$A$4:$A$330,0),7)</f>
        <v>0.50800000000000001</v>
      </c>
      <c r="E250" s="121">
        <f t="shared" si="7"/>
        <v>1.1000000000000001</v>
      </c>
      <c r="F250" s="122"/>
      <c r="G250" s="123">
        <f>INDEX(Calculation!$A$4:$M$330,MATCH(Summary!$A250,Calculation!$A$4:$A$330,0),10)</f>
        <v>7048</v>
      </c>
      <c r="H250" s="123">
        <f t="shared" si="6"/>
        <v>7753</v>
      </c>
    </row>
    <row r="251" spans="1:8" x14ac:dyDescent="0.2">
      <c r="A251" s="119" t="str">
        <f>StartupfileInput!A250</f>
        <v>5877</v>
      </c>
      <c r="B251" s="120" t="str">
        <f>INDEX(Calculation!$A$4:$M$330,MATCH(Summary!$A251,Calculation!$A$4:$A$330,0),3)</f>
        <v>Sergeant Bluff-Luton</v>
      </c>
      <c r="C251" s="120">
        <f>INDEX(Calculation!$A$4:$M$330,MATCH(Summary!$A251,Calculation!$A$4:$A$330,0),6)</f>
        <v>3.1760000000000002</v>
      </c>
      <c r="D251" s="120">
        <f>INDEX(Calculation!$A$4:$M$330,MATCH(Summary!$A251,Calculation!$A$4:$A$330,0),7)</f>
        <v>2.9020000000000001</v>
      </c>
      <c r="E251" s="121">
        <f t="shared" si="7"/>
        <v>6.0780000000000003</v>
      </c>
      <c r="F251" s="122"/>
      <c r="G251" s="123">
        <f>INDEX(Calculation!$A$4:$M$330,MATCH(Summary!$A251,Calculation!$A$4:$A$330,0),10)</f>
        <v>7048</v>
      </c>
      <c r="H251" s="123">
        <f t="shared" si="6"/>
        <v>42838</v>
      </c>
    </row>
    <row r="252" spans="1:8" x14ac:dyDescent="0.2">
      <c r="A252" s="119" t="str">
        <f>StartupfileInput!A251</f>
        <v>5895</v>
      </c>
      <c r="B252" s="120" t="str">
        <f>INDEX(Calculation!$A$4:$M$330,MATCH(Summary!$A252,Calculation!$A$4:$A$330,0),3)</f>
        <v>Seymour</v>
      </c>
      <c r="C252" s="120">
        <f>INDEX(Calculation!$A$4:$M$330,MATCH(Summary!$A252,Calculation!$A$4:$A$330,0),6)</f>
        <v>1.0349999999999999</v>
      </c>
      <c r="D252" s="120">
        <f>INDEX(Calculation!$A$4:$M$330,MATCH(Summary!$A252,Calculation!$A$4:$A$330,0),7)</f>
        <v>0.54400000000000004</v>
      </c>
      <c r="E252" s="121">
        <f t="shared" si="7"/>
        <v>1.579</v>
      </c>
      <c r="F252" s="122"/>
      <c r="G252" s="123">
        <f>INDEX(Calculation!$A$4:$M$330,MATCH(Summary!$A252,Calculation!$A$4:$A$330,0),10)</f>
        <v>7048</v>
      </c>
      <c r="H252" s="123">
        <f t="shared" si="6"/>
        <v>11129</v>
      </c>
    </row>
    <row r="253" spans="1:8" x14ac:dyDescent="0.2">
      <c r="A253" s="119" t="str">
        <f>StartupfileInput!A252</f>
        <v>5949</v>
      </c>
      <c r="B253" s="120" t="str">
        <f>INDEX(Calculation!$A$4:$M$330,MATCH(Summary!$A253,Calculation!$A$4:$A$330,0),3)</f>
        <v>Sheldon</v>
      </c>
      <c r="C253" s="120">
        <f>INDEX(Calculation!$A$4:$M$330,MATCH(Summary!$A253,Calculation!$A$4:$A$330,0),6)</f>
        <v>3.0790000000000002</v>
      </c>
      <c r="D253" s="120">
        <f>INDEX(Calculation!$A$4:$M$330,MATCH(Summary!$A253,Calculation!$A$4:$A$330,0),7)</f>
        <v>2.1869999999999998</v>
      </c>
      <c r="E253" s="121">
        <f t="shared" si="7"/>
        <v>5.266</v>
      </c>
      <c r="F253" s="122"/>
      <c r="G253" s="123">
        <f>INDEX(Calculation!$A$4:$M$330,MATCH(Summary!$A253,Calculation!$A$4:$A$330,0),10)</f>
        <v>7048</v>
      </c>
      <c r="H253" s="123">
        <f t="shared" si="6"/>
        <v>37115</v>
      </c>
    </row>
    <row r="254" spans="1:8" x14ac:dyDescent="0.2">
      <c r="A254" s="119" t="str">
        <f>StartupfileInput!A253</f>
        <v>5976</v>
      </c>
      <c r="B254" s="120" t="str">
        <f>INDEX(Calculation!$A$4:$M$330,MATCH(Summary!$A254,Calculation!$A$4:$A$330,0),3)</f>
        <v>Shenandoah</v>
      </c>
      <c r="C254" s="120">
        <f>INDEX(Calculation!$A$4:$M$330,MATCH(Summary!$A254,Calculation!$A$4:$A$330,0),6)</f>
        <v>3.8580000000000001</v>
      </c>
      <c r="D254" s="120">
        <f>INDEX(Calculation!$A$4:$M$330,MATCH(Summary!$A254,Calculation!$A$4:$A$330,0),7)</f>
        <v>2.1589999999999998</v>
      </c>
      <c r="E254" s="121">
        <f t="shared" si="7"/>
        <v>6.0169999999999995</v>
      </c>
      <c r="F254" s="122"/>
      <c r="G254" s="123">
        <f>INDEX(Calculation!$A$4:$M$330,MATCH(Summary!$A254,Calculation!$A$4:$A$330,0),10)</f>
        <v>7048</v>
      </c>
      <c r="H254" s="123">
        <f t="shared" si="6"/>
        <v>42408</v>
      </c>
    </row>
    <row r="255" spans="1:8" x14ac:dyDescent="0.2">
      <c r="A255" s="119" t="str">
        <f>StartupfileInput!A254</f>
        <v>5994</v>
      </c>
      <c r="B255" s="120" t="str">
        <f>INDEX(Calculation!$A$4:$M$330,MATCH(Summary!$A255,Calculation!$A$4:$A$330,0),3)</f>
        <v>Sibley-Ocheyedan</v>
      </c>
      <c r="C255" s="120">
        <f>INDEX(Calculation!$A$4:$M$330,MATCH(Summary!$A255,Calculation!$A$4:$A$330,0),6)</f>
        <v>2.3290000000000002</v>
      </c>
      <c r="D255" s="120">
        <f>INDEX(Calculation!$A$4:$M$330,MATCH(Summary!$A255,Calculation!$A$4:$A$330,0),7)</f>
        <v>1.5</v>
      </c>
      <c r="E255" s="121">
        <f t="shared" si="7"/>
        <v>3.8290000000000002</v>
      </c>
      <c r="F255" s="122"/>
      <c r="G255" s="123">
        <f>INDEX(Calculation!$A$4:$M$330,MATCH(Summary!$A255,Calculation!$A$4:$A$330,0),10)</f>
        <v>7058</v>
      </c>
      <c r="H255" s="123">
        <f t="shared" si="6"/>
        <v>27025</v>
      </c>
    </row>
    <row r="256" spans="1:8" x14ac:dyDescent="0.2">
      <c r="A256" s="119" t="str">
        <f>StartupfileInput!A255</f>
        <v>6003</v>
      </c>
      <c r="B256" s="120" t="str">
        <f>INDEX(Calculation!$A$4:$M$330,MATCH(Summary!$A256,Calculation!$A$4:$A$330,0),3)</f>
        <v>Sidney</v>
      </c>
      <c r="C256" s="120">
        <f>INDEX(Calculation!$A$4:$M$330,MATCH(Summary!$A256,Calculation!$A$4:$A$330,0),6)</f>
        <v>1.2889999999999999</v>
      </c>
      <c r="D256" s="120">
        <f>INDEX(Calculation!$A$4:$M$330,MATCH(Summary!$A256,Calculation!$A$4:$A$330,0),7)</f>
        <v>0.76100000000000001</v>
      </c>
      <c r="E256" s="121">
        <f t="shared" si="7"/>
        <v>2.0499999999999998</v>
      </c>
      <c r="F256" s="122"/>
      <c r="G256" s="123">
        <f>INDEX(Calculation!$A$4:$M$330,MATCH(Summary!$A256,Calculation!$A$4:$A$330,0),10)</f>
        <v>7048</v>
      </c>
      <c r="H256" s="123">
        <f t="shared" si="6"/>
        <v>14448</v>
      </c>
    </row>
    <row r="257" spans="1:8" x14ac:dyDescent="0.2">
      <c r="A257" s="119" t="str">
        <f>StartupfileInput!A256</f>
        <v>6012</v>
      </c>
      <c r="B257" s="120" t="str">
        <f>INDEX(Calculation!$A$4:$M$330,MATCH(Summary!$A257,Calculation!$A$4:$A$330,0),3)</f>
        <v>Sigourney</v>
      </c>
      <c r="C257" s="120">
        <f>INDEX(Calculation!$A$4:$M$330,MATCH(Summary!$A257,Calculation!$A$4:$A$330,0),6)</f>
        <v>1.2929999999999999</v>
      </c>
      <c r="D257" s="120">
        <f>INDEX(Calculation!$A$4:$M$330,MATCH(Summary!$A257,Calculation!$A$4:$A$330,0),7)</f>
        <v>1.1259999999999999</v>
      </c>
      <c r="E257" s="121">
        <f t="shared" si="7"/>
        <v>2.4189999999999996</v>
      </c>
      <c r="F257" s="122"/>
      <c r="G257" s="123">
        <f>INDEX(Calculation!$A$4:$M$330,MATCH(Summary!$A257,Calculation!$A$4:$A$330,0),10)</f>
        <v>7048</v>
      </c>
      <c r="H257" s="123">
        <f t="shared" ref="H257:H318" si="8">ROUND(E257*G257,0)</f>
        <v>17049</v>
      </c>
    </row>
    <row r="258" spans="1:8" x14ac:dyDescent="0.2">
      <c r="A258" s="119" t="str">
        <f>StartupfileInput!A257</f>
        <v>6030</v>
      </c>
      <c r="B258" s="120" t="str">
        <f>INDEX(Calculation!$A$4:$M$330,MATCH(Summary!$A258,Calculation!$A$4:$A$330,0),3)</f>
        <v>Sioux Center</v>
      </c>
      <c r="C258" s="120">
        <f>INDEX(Calculation!$A$4:$M$330,MATCH(Summary!$A258,Calculation!$A$4:$A$330,0),6)</f>
        <v>3.847</v>
      </c>
      <c r="D258" s="120">
        <f>INDEX(Calculation!$A$4:$M$330,MATCH(Summary!$A258,Calculation!$A$4:$A$330,0),7)</f>
        <v>2.8980000000000001</v>
      </c>
      <c r="E258" s="121">
        <f t="shared" si="7"/>
        <v>6.7450000000000001</v>
      </c>
      <c r="F258" s="122"/>
      <c r="G258" s="123">
        <f>INDEX(Calculation!$A$4:$M$330,MATCH(Summary!$A258,Calculation!$A$4:$A$330,0),10)</f>
        <v>7048</v>
      </c>
      <c r="H258" s="123">
        <f t="shared" si="8"/>
        <v>47539</v>
      </c>
    </row>
    <row r="259" spans="1:8" x14ac:dyDescent="0.2">
      <c r="A259" s="119" t="str">
        <f>StartupfileInput!A258</f>
        <v>6048</v>
      </c>
      <c r="B259" s="120" t="str">
        <f>INDEX(Calculation!$A$4:$M$330,MATCH(Summary!$A259,Calculation!$A$4:$A$330,0),3)</f>
        <v>Sioux Central</v>
      </c>
      <c r="C259" s="120">
        <f>INDEX(Calculation!$A$4:$M$330,MATCH(Summary!$A259,Calculation!$A$4:$A$330,0),6)</f>
        <v>1.2390000000000001</v>
      </c>
      <c r="D259" s="120">
        <f>INDEX(Calculation!$A$4:$M$330,MATCH(Summary!$A259,Calculation!$A$4:$A$330,0),7)</f>
        <v>0.98199999999999998</v>
      </c>
      <c r="E259" s="121">
        <f t="shared" si="7"/>
        <v>2.2210000000000001</v>
      </c>
      <c r="F259" s="122"/>
      <c r="G259" s="123">
        <f>INDEX(Calculation!$A$4:$M$330,MATCH(Summary!$A259,Calculation!$A$4:$A$330,0),10)</f>
        <v>7048</v>
      </c>
      <c r="H259" s="123">
        <f t="shared" si="8"/>
        <v>15654</v>
      </c>
    </row>
    <row r="260" spans="1:8" x14ac:dyDescent="0.2">
      <c r="A260" s="119" t="str">
        <f>StartupfileInput!A259</f>
        <v>6039</v>
      </c>
      <c r="B260" s="120" t="str">
        <f>INDEX(Calculation!$A$4:$M$330,MATCH(Summary!$A260,Calculation!$A$4:$A$330,0),3)</f>
        <v>Sioux City</v>
      </c>
      <c r="C260" s="120">
        <f>INDEX(Calculation!$A$4:$M$330,MATCH(Summary!$A260,Calculation!$A$4:$A$330,0),6)</f>
        <v>52.35</v>
      </c>
      <c r="D260" s="120">
        <f>INDEX(Calculation!$A$4:$M$330,MATCH(Summary!$A260,Calculation!$A$4:$A$330,0),7)</f>
        <v>30.634</v>
      </c>
      <c r="E260" s="121">
        <f t="shared" ref="E260:E323" si="9">SUM(C260:D260)</f>
        <v>82.984000000000009</v>
      </c>
      <c r="F260" s="122"/>
      <c r="G260" s="123">
        <f>INDEX(Calculation!$A$4:$M$330,MATCH(Summary!$A260,Calculation!$A$4:$A$330,0),10)</f>
        <v>7048</v>
      </c>
      <c r="H260" s="123">
        <f t="shared" si="8"/>
        <v>584871</v>
      </c>
    </row>
    <row r="261" spans="1:8" x14ac:dyDescent="0.2">
      <c r="A261" s="119" t="str">
        <f>StartupfileInput!A260</f>
        <v>6093</v>
      </c>
      <c r="B261" s="120" t="str">
        <f>INDEX(Calculation!$A$4:$M$330,MATCH(Summary!$A261,Calculation!$A$4:$A$330,0),3)</f>
        <v>Solon</v>
      </c>
      <c r="C261" s="120">
        <f>INDEX(Calculation!$A$4:$M$330,MATCH(Summary!$A261,Calculation!$A$4:$A$330,0),6)</f>
        <v>0.94399999999999995</v>
      </c>
      <c r="D261" s="120">
        <f>INDEX(Calculation!$A$4:$M$330,MATCH(Summary!$A261,Calculation!$A$4:$A$330,0),7)</f>
        <v>2.8479999999999999</v>
      </c>
      <c r="E261" s="121">
        <f t="shared" si="9"/>
        <v>3.7919999999999998</v>
      </c>
      <c r="F261" s="122"/>
      <c r="G261" s="123">
        <f>INDEX(Calculation!$A$4:$M$330,MATCH(Summary!$A261,Calculation!$A$4:$A$330,0),10)</f>
        <v>7048</v>
      </c>
      <c r="H261" s="123">
        <f t="shared" si="8"/>
        <v>26726</v>
      </c>
    </row>
    <row r="262" spans="1:8" x14ac:dyDescent="0.2">
      <c r="A262" s="119" t="str">
        <f>StartupfileInput!A261</f>
        <v>6091</v>
      </c>
      <c r="B262" s="120" t="str">
        <f>INDEX(Calculation!$A$4:$M$330,MATCH(Summary!$A262,Calculation!$A$4:$A$330,0),3)</f>
        <v>South Central Calhoun</v>
      </c>
      <c r="C262" s="120">
        <f>INDEX(Calculation!$A$4:$M$330,MATCH(Summary!$A262,Calculation!$A$4:$A$330,0),6)</f>
        <v>2.8330000000000002</v>
      </c>
      <c r="D262" s="120">
        <f>INDEX(Calculation!$A$4:$M$330,MATCH(Summary!$A262,Calculation!$A$4:$A$330,0),7)</f>
        <v>1.91</v>
      </c>
      <c r="E262" s="121">
        <f t="shared" si="9"/>
        <v>4.7430000000000003</v>
      </c>
      <c r="F262" s="122"/>
      <c r="G262" s="123">
        <f>INDEX(Calculation!$A$4:$M$330,MATCH(Summary!$A262,Calculation!$A$4:$A$330,0),10)</f>
        <v>7061</v>
      </c>
      <c r="H262" s="123">
        <f t="shared" si="8"/>
        <v>33490</v>
      </c>
    </row>
    <row r="263" spans="1:8" x14ac:dyDescent="0.2">
      <c r="A263" s="119" t="str">
        <f>StartupfileInput!A262</f>
        <v>6095</v>
      </c>
      <c r="B263" s="120" t="str">
        <f>INDEX(Calculation!$A$4:$M$330,MATCH(Summary!$A263,Calculation!$A$4:$A$330,0),3)</f>
        <v>South Hamilton</v>
      </c>
      <c r="C263" s="120">
        <f>INDEX(Calculation!$A$4:$M$330,MATCH(Summary!$A263,Calculation!$A$4:$A$330,0),6)</f>
        <v>1.532</v>
      </c>
      <c r="D263" s="120">
        <f>INDEX(Calculation!$A$4:$M$330,MATCH(Summary!$A263,Calculation!$A$4:$A$330,0),7)</f>
        <v>1.304</v>
      </c>
      <c r="E263" s="121">
        <f t="shared" si="9"/>
        <v>2.8360000000000003</v>
      </c>
      <c r="F263" s="122"/>
      <c r="G263" s="123">
        <f>INDEX(Calculation!$A$4:$M$330,MATCH(Summary!$A263,Calculation!$A$4:$A$330,0),10)</f>
        <v>7090</v>
      </c>
      <c r="H263" s="123">
        <f t="shared" si="8"/>
        <v>20107</v>
      </c>
    </row>
    <row r="264" spans="1:8" x14ac:dyDescent="0.2">
      <c r="A264" s="119" t="str">
        <f>StartupfileInput!A263</f>
        <v>5157</v>
      </c>
      <c r="B264" s="120" t="str">
        <f>INDEX(Calculation!$A$4:$M$330,MATCH(Summary!$A264,Calculation!$A$4:$A$330,0),3)</f>
        <v>South O'Brien</v>
      </c>
      <c r="C264" s="120">
        <f>INDEX(Calculation!$A$4:$M$330,MATCH(Summary!$A264,Calculation!$A$4:$A$330,0),6)</f>
        <v>1.4930000000000001</v>
      </c>
      <c r="D264" s="120">
        <f>INDEX(Calculation!$A$4:$M$330,MATCH(Summary!$A264,Calculation!$A$4:$A$330,0),7)</f>
        <v>1.236</v>
      </c>
      <c r="E264" s="121">
        <f t="shared" si="9"/>
        <v>2.7290000000000001</v>
      </c>
      <c r="F264" s="122"/>
      <c r="G264" s="123">
        <f>INDEX(Calculation!$A$4:$M$330,MATCH(Summary!$A264,Calculation!$A$4:$A$330,0),10)</f>
        <v>7081</v>
      </c>
      <c r="H264" s="123">
        <f t="shared" si="8"/>
        <v>19324</v>
      </c>
    </row>
    <row r="265" spans="1:8" x14ac:dyDescent="0.2">
      <c r="A265" s="119" t="str">
        <f>StartupfileInput!A264</f>
        <v>6097</v>
      </c>
      <c r="B265" s="120" t="str">
        <f>INDEX(Calculation!$A$4:$M$330,MATCH(Summary!$A265,Calculation!$A$4:$A$330,0),3)</f>
        <v>South Page</v>
      </c>
      <c r="C265" s="120">
        <f>INDEX(Calculation!$A$4:$M$330,MATCH(Summary!$A265,Calculation!$A$4:$A$330,0),6)</f>
        <v>0.76300000000000001</v>
      </c>
      <c r="D265" s="120">
        <f>INDEX(Calculation!$A$4:$M$330,MATCH(Summary!$A265,Calculation!$A$4:$A$330,0),7)</f>
        <v>0.42199999999999999</v>
      </c>
      <c r="E265" s="121">
        <f t="shared" si="9"/>
        <v>1.1850000000000001</v>
      </c>
      <c r="F265" s="122"/>
      <c r="G265" s="123">
        <f>INDEX(Calculation!$A$4:$M$330,MATCH(Summary!$A265,Calculation!$A$4:$A$330,0),10)</f>
        <v>7048</v>
      </c>
      <c r="H265" s="123">
        <f t="shared" si="8"/>
        <v>8352</v>
      </c>
    </row>
    <row r="266" spans="1:8" x14ac:dyDescent="0.2">
      <c r="A266" s="119" t="str">
        <f>StartupfileInput!A265</f>
        <v>6098</v>
      </c>
      <c r="B266" s="120" t="str">
        <f>INDEX(Calculation!$A$4:$M$330,MATCH(Summary!$A266,Calculation!$A$4:$A$330,0),3)</f>
        <v>South Tama</v>
      </c>
      <c r="C266" s="120">
        <f>INDEX(Calculation!$A$4:$M$330,MATCH(Summary!$A266,Calculation!$A$4:$A$330,0),6)</f>
        <v>6.4320000000000004</v>
      </c>
      <c r="D266" s="120">
        <f>INDEX(Calculation!$A$4:$M$330,MATCH(Summary!$A266,Calculation!$A$4:$A$330,0),7)</f>
        <v>3.1179999999999999</v>
      </c>
      <c r="E266" s="121">
        <f t="shared" si="9"/>
        <v>9.5500000000000007</v>
      </c>
      <c r="F266" s="122"/>
      <c r="G266" s="123">
        <f>INDEX(Calculation!$A$4:$M$330,MATCH(Summary!$A266,Calculation!$A$4:$A$330,0),10)</f>
        <v>7048</v>
      </c>
      <c r="H266" s="123">
        <f t="shared" si="8"/>
        <v>67308</v>
      </c>
    </row>
    <row r="267" spans="1:8" x14ac:dyDescent="0.2">
      <c r="A267" s="119" t="str">
        <f>StartupfileInput!A266</f>
        <v>6100</v>
      </c>
      <c r="B267" s="120" t="str">
        <f>INDEX(Calculation!$A$4:$M$330,MATCH(Summary!$A267,Calculation!$A$4:$A$330,0),3)</f>
        <v>South Winneshiek</v>
      </c>
      <c r="C267" s="120">
        <f>INDEX(Calculation!$A$4:$M$330,MATCH(Summary!$A267,Calculation!$A$4:$A$330,0),6)</f>
        <v>1.3919999999999999</v>
      </c>
      <c r="D267" s="120">
        <f>INDEX(Calculation!$A$4:$M$330,MATCH(Summary!$A267,Calculation!$A$4:$A$330,0),7)</f>
        <v>1.0680000000000001</v>
      </c>
      <c r="E267" s="121">
        <f t="shared" si="9"/>
        <v>2.46</v>
      </c>
      <c r="F267" s="122"/>
      <c r="G267" s="123">
        <f>INDEX(Calculation!$A$4:$M$330,MATCH(Summary!$A267,Calculation!$A$4:$A$330,0),10)</f>
        <v>7048</v>
      </c>
      <c r="H267" s="123">
        <f t="shared" si="8"/>
        <v>17338</v>
      </c>
    </row>
    <row r="268" spans="1:8" x14ac:dyDescent="0.2">
      <c r="A268" s="119" t="str">
        <f>StartupfileInput!A267</f>
        <v>6101</v>
      </c>
      <c r="B268" s="120" t="str">
        <f>INDEX(Calculation!$A$4:$M$330,MATCH(Summary!$A268,Calculation!$A$4:$A$330,0),3)</f>
        <v>Southeast Polk</v>
      </c>
      <c r="C268" s="120">
        <f>INDEX(Calculation!$A$4:$M$330,MATCH(Summary!$A268,Calculation!$A$4:$A$330,0),6)</f>
        <v>15.464</v>
      </c>
      <c r="D268" s="120">
        <f>INDEX(Calculation!$A$4:$M$330,MATCH(Summary!$A268,Calculation!$A$4:$A$330,0),7)</f>
        <v>14.263999999999999</v>
      </c>
      <c r="E268" s="121">
        <f t="shared" si="9"/>
        <v>29.728000000000002</v>
      </c>
      <c r="F268" s="122"/>
      <c r="G268" s="123">
        <f>INDEX(Calculation!$A$4:$M$330,MATCH(Summary!$A268,Calculation!$A$4:$A$330,0),10)</f>
        <v>7048</v>
      </c>
      <c r="H268" s="123">
        <f t="shared" si="8"/>
        <v>209523</v>
      </c>
    </row>
    <row r="269" spans="1:8" x14ac:dyDescent="0.2">
      <c r="A269" s="119" t="str">
        <f>StartupfileInput!A268</f>
        <v>6094</v>
      </c>
      <c r="B269" s="120" t="str">
        <f>INDEX(Calculation!$A$4:$M$330,MATCH(Summary!$A269,Calculation!$A$4:$A$330,0),3)</f>
        <v>Southeast Warren</v>
      </c>
      <c r="C269" s="120">
        <f>INDEX(Calculation!$A$4:$M$330,MATCH(Summary!$A269,Calculation!$A$4:$A$330,0),6)</f>
        <v>1.2769999999999999</v>
      </c>
      <c r="D269" s="120">
        <f>INDEX(Calculation!$A$4:$M$330,MATCH(Summary!$A269,Calculation!$A$4:$A$330,0),7)</f>
        <v>1.089</v>
      </c>
      <c r="E269" s="121">
        <f t="shared" si="9"/>
        <v>2.3659999999999997</v>
      </c>
      <c r="F269" s="122"/>
      <c r="G269" s="123">
        <f>INDEX(Calculation!$A$4:$M$330,MATCH(Summary!$A269,Calculation!$A$4:$A$330,0),10)</f>
        <v>7048</v>
      </c>
      <c r="H269" s="123">
        <f t="shared" si="8"/>
        <v>16676</v>
      </c>
    </row>
    <row r="270" spans="1:8" x14ac:dyDescent="0.2">
      <c r="A270" s="119" t="str">
        <f>StartupfileInput!A269</f>
        <v>6096</v>
      </c>
      <c r="B270" s="120" t="str">
        <f>INDEX(Calculation!$A$4:$M$330,MATCH(Summary!$A270,Calculation!$A$4:$A$330,0),3)</f>
        <v>Southeast Webster-Grand</v>
      </c>
      <c r="C270" s="120">
        <f>INDEX(Calculation!$A$4:$M$330,MATCH(Summary!$A270,Calculation!$A$4:$A$330,0),6)</f>
        <v>1.4790000000000001</v>
      </c>
      <c r="D270" s="120">
        <f>INDEX(Calculation!$A$4:$M$330,MATCH(Summary!$A270,Calculation!$A$4:$A$330,0),7)</f>
        <v>1.0940000000000001</v>
      </c>
      <c r="E270" s="121">
        <f t="shared" si="9"/>
        <v>2.5730000000000004</v>
      </c>
      <c r="F270" s="122"/>
      <c r="G270" s="123">
        <f>INDEX(Calculation!$A$4:$M$330,MATCH(Summary!$A270,Calculation!$A$4:$A$330,0),10)</f>
        <v>7157</v>
      </c>
      <c r="H270" s="123">
        <f t="shared" si="8"/>
        <v>18415</v>
      </c>
    </row>
    <row r="271" spans="1:8" x14ac:dyDescent="0.2">
      <c r="A271" s="119" t="str">
        <f>StartupfileInput!A270</f>
        <v>6102</v>
      </c>
      <c r="B271" s="120" t="str">
        <f>INDEX(Calculation!$A$4:$M$330,MATCH(Summary!$A271,Calculation!$A$4:$A$330,0),3)</f>
        <v>Spencer</v>
      </c>
      <c r="C271" s="120">
        <f>INDEX(Calculation!$A$4:$M$330,MATCH(Summary!$A271,Calculation!$A$4:$A$330,0),6)</f>
        <v>5.9429999999999996</v>
      </c>
      <c r="D271" s="120">
        <f>INDEX(Calculation!$A$4:$M$330,MATCH(Summary!$A271,Calculation!$A$4:$A$330,0),7)</f>
        <v>3.9929999999999999</v>
      </c>
      <c r="E271" s="121">
        <f t="shared" si="9"/>
        <v>9.9359999999999999</v>
      </c>
      <c r="F271" s="122"/>
      <c r="G271" s="123">
        <f>INDEX(Calculation!$A$4:$M$330,MATCH(Summary!$A271,Calculation!$A$4:$A$330,0),10)</f>
        <v>7048</v>
      </c>
      <c r="H271" s="123">
        <f t="shared" si="8"/>
        <v>70029</v>
      </c>
    </row>
    <row r="272" spans="1:8" x14ac:dyDescent="0.2">
      <c r="A272" s="119" t="str">
        <f>StartupfileInput!A271</f>
        <v>6120</v>
      </c>
      <c r="B272" s="120" t="str">
        <f>INDEX(Calculation!$A$4:$M$330,MATCH(Summary!$A272,Calculation!$A$4:$A$330,0),3)</f>
        <v>Spirit Lake</v>
      </c>
      <c r="C272" s="120">
        <f>INDEX(Calculation!$A$4:$M$330,MATCH(Summary!$A272,Calculation!$A$4:$A$330,0),6)</f>
        <v>2.5289999999999999</v>
      </c>
      <c r="D272" s="120">
        <f>INDEX(Calculation!$A$4:$M$330,MATCH(Summary!$A272,Calculation!$A$4:$A$330,0),7)</f>
        <v>2.3140000000000001</v>
      </c>
      <c r="E272" s="121">
        <f t="shared" si="9"/>
        <v>4.843</v>
      </c>
      <c r="F272" s="122"/>
      <c r="G272" s="123">
        <f>INDEX(Calculation!$A$4:$M$330,MATCH(Summary!$A272,Calculation!$A$4:$A$330,0),10)</f>
        <v>7048</v>
      </c>
      <c r="H272" s="123">
        <f t="shared" si="8"/>
        <v>34133</v>
      </c>
    </row>
    <row r="273" spans="1:8" x14ac:dyDescent="0.2">
      <c r="A273" s="119" t="str">
        <f>StartupfileInput!A272</f>
        <v>6138</v>
      </c>
      <c r="B273" s="120" t="str">
        <f>INDEX(Calculation!$A$4:$M$330,MATCH(Summary!$A273,Calculation!$A$4:$A$330,0),3)</f>
        <v>Springville</v>
      </c>
      <c r="C273" s="120">
        <f>INDEX(Calculation!$A$4:$M$330,MATCH(Summary!$A273,Calculation!$A$4:$A$330,0),6)</f>
        <v>0.82799999999999996</v>
      </c>
      <c r="D273" s="120">
        <f>INDEX(Calculation!$A$4:$M$330,MATCH(Summary!$A273,Calculation!$A$4:$A$330,0),7)</f>
        <v>0.78400000000000003</v>
      </c>
      <c r="E273" s="121">
        <f t="shared" si="9"/>
        <v>1.6120000000000001</v>
      </c>
      <c r="F273" s="122"/>
      <c r="G273" s="123">
        <f>INDEX(Calculation!$A$4:$M$330,MATCH(Summary!$A273,Calculation!$A$4:$A$330,0),10)</f>
        <v>7070</v>
      </c>
      <c r="H273" s="123">
        <f t="shared" si="8"/>
        <v>11397</v>
      </c>
    </row>
    <row r="274" spans="1:8" x14ac:dyDescent="0.2">
      <c r="A274" s="119" t="str">
        <f>StartupfileInput!A273</f>
        <v>5751</v>
      </c>
      <c r="B274" s="120" t="str">
        <f>INDEX(Calculation!$A$4:$M$330,MATCH(Summary!$A274,Calculation!$A$4:$A$330,0),3)</f>
        <v>St Ansgar</v>
      </c>
      <c r="C274" s="120">
        <f>INDEX(Calculation!$A$4:$M$330,MATCH(Summary!$A274,Calculation!$A$4:$A$330,0),6)</f>
        <v>1.0529999999999999</v>
      </c>
      <c r="D274" s="120">
        <f>INDEX(Calculation!$A$4:$M$330,MATCH(Summary!$A274,Calculation!$A$4:$A$330,0),7)</f>
        <v>1.173</v>
      </c>
      <c r="E274" s="121">
        <f t="shared" si="9"/>
        <v>2.226</v>
      </c>
      <c r="F274" s="122"/>
      <c r="G274" s="123">
        <f>INDEX(Calculation!$A$4:$M$330,MATCH(Summary!$A274,Calculation!$A$4:$A$330,0),10)</f>
        <v>7054</v>
      </c>
      <c r="H274" s="123">
        <f t="shared" si="8"/>
        <v>15702</v>
      </c>
    </row>
    <row r="275" spans="1:8" x14ac:dyDescent="0.2">
      <c r="A275" s="119" t="str">
        <f>StartupfileInput!A274</f>
        <v>6165</v>
      </c>
      <c r="B275" s="120" t="str">
        <f>INDEX(Calculation!$A$4:$M$330,MATCH(Summary!$A275,Calculation!$A$4:$A$330,0),3)</f>
        <v>Stanton</v>
      </c>
      <c r="C275" s="120">
        <f>INDEX(Calculation!$A$4:$M$330,MATCH(Summary!$A275,Calculation!$A$4:$A$330,0),6)</f>
        <v>0.48699999999999999</v>
      </c>
      <c r="D275" s="120">
        <f>INDEX(Calculation!$A$4:$M$330,MATCH(Summary!$A275,Calculation!$A$4:$A$330,0),7)</f>
        <v>0.34699999999999998</v>
      </c>
      <c r="E275" s="121">
        <f t="shared" si="9"/>
        <v>0.83399999999999996</v>
      </c>
      <c r="F275" s="122"/>
      <c r="G275" s="123">
        <f>INDEX(Calculation!$A$4:$M$330,MATCH(Summary!$A275,Calculation!$A$4:$A$330,0),10)</f>
        <v>7048</v>
      </c>
      <c r="H275" s="123">
        <f t="shared" si="8"/>
        <v>5878</v>
      </c>
    </row>
    <row r="276" spans="1:8" x14ac:dyDescent="0.2">
      <c r="A276" s="119" t="str">
        <f>StartupfileInput!A275</f>
        <v>6175</v>
      </c>
      <c r="B276" s="120" t="str">
        <f>INDEX(Calculation!$A$4:$M$330,MATCH(Summary!$A276,Calculation!$A$4:$A$330,0),3)</f>
        <v>Starmont</v>
      </c>
      <c r="C276" s="120">
        <f>INDEX(Calculation!$A$4:$M$330,MATCH(Summary!$A276,Calculation!$A$4:$A$330,0),6)</f>
        <v>2.0569999999999999</v>
      </c>
      <c r="D276" s="120">
        <f>INDEX(Calculation!$A$4:$M$330,MATCH(Summary!$A276,Calculation!$A$4:$A$330,0),7)</f>
        <v>1.2430000000000001</v>
      </c>
      <c r="E276" s="121">
        <f t="shared" si="9"/>
        <v>3.3</v>
      </c>
      <c r="F276" s="122"/>
      <c r="G276" s="123">
        <f>INDEX(Calculation!$A$4:$M$330,MATCH(Summary!$A276,Calculation!$A$4:$A$330,0),10)</f>
        <v>7048</v>
      </c>
      <c r="H276" s="123">
        <f t="shared" si="8"/>
        <v>23258</v>
      </c>
    </row>
    <row r="277" spans="1:8" x14ac:dyDescent="0.2">
      <c r="A277" s="119" t="str">
        <f>StartupfileInput!A276</f>
        <v>6219</v>
      </c>
      <c r="B277" s="120" t="str">
        <f>INDEX(Calculation!$A$4:$M$330,MATCH(Summary!$A277,Calculation!$A$4:$A$330,0),3)</f>
        <v>Storm Lake</v>
      </c>
      <c r="C277" s="120">
        <f>INDEX(Calculation!$A$4:$M$330,MATCH(Summary!$A277,Calculation!$A$4:$A$330,0),6)</f>
        <v>12.755000000000001</v>
      </c>
      <c r="D277" s="120">
        <f>INDEX(Calculation!$A$4:$M$330,MATCH(Summary!$A277,Calculation!$A$4:$A$330,0),7)</f>
        <v>5.1619999999999999</v>
      </c>
      <c r="E277" s="121">
        <f t="shared" si="9"/>
        <v>17.917000000000002</v>
      </c>
      <c r="F277" s="122"/>
      <c r="G277" s="123">
        <f>INDEX(Calculation!$A$4:$M$330,MATCH(Summary!$A277,Calculation!$A$4:$A$330,0),10)</f>
        <v>7048</v>
      </c>
      <c r="H277" s="123">
        <f t="shared" si="8"/>
        <v>126279</v>
      </c>
    </row>
    <row r="278" spans="1:8" x14ac:dyDescent="0.2">
      <c r="A278" s="119" t="str">
        <f>StartupfileInput!A277</f>
        <v>6246</v>
      </c>
      <c r="B278" s="120" t="str">
        <f>INDEX(Calculation!$A$4:$M$330,MATCH(Summary!$A278,Calculation!$A$4:$A$330,0),3)</f>
        <v>Stratford</v>
      </c>
      <c r="C278" s="120">
        <f>INDEX(Calculation!$A$4:$M$330,MATCH(Summary!$A278,Calculation!$A$4:$A$330,0),6)</f>
        <v>0.45200000000000001</v>
      </c>
      <c r="D278" s="120">
        <f>INDEX(Calculation!$A$4:$M$330,MATCH(Summary!$A278,Calculation!$A$4:$A$330,0),7)</f>
        <v>0.28100000000000003</v>
      </c>
      <c r="E278" s="121">
        <f t="shared" si="9"/>
        <v>0.7330000000000001</v>
      </c>
      <c r="F278" s="122"/>
      <c r="G278" s="123">
        <f>INDEX(Calculation!$A$4:$M$330,MATCH(Summary!$A278,Calculation!$A$4:$A$330,0),10)</f>
        <v>7203</v>
      </c>
      <c r="H278" s="123">
        <f t="shared" si="8"/>
        <v>5280</v>
      </c>
    </row>
    <row r="279" spans="1:8" x14ac:dyDescent="0.2">
      <c r="A279" s="119" t="str">
        <f>StartupfileInput!A278</f>
        <v>6273</v>
      </c>
      <c r="B279" s="120" t="str">
        <f>INDEX(Calculation!$A$4:$M$330,MATCH(Summary!$A279,Calculation!$A$4:$A$330,0),3)</f>
        <v>Sumner-Fredericksburg</v>
      </c>
      <c r="C279" s="120">
        <f>INDEX(Calculation!$A$4:$M$330,MATCH(Summary!$A279,Calculation!$A$4:$A$330,0),6)</f>
        <v>1.8360000000000001</v>
      </c>
      <c r="D279" s="120">
        <f>INDEX(Calculation!$A$4:$M$330,MATCH(Summary!$A279,Calculation!$A$4:$A$330,0),7)</f>
        <v>1.6259999999999999</v>
      </c>
      <c r="E279" s="121">
        <f t="shared" si="9"/>
        <v>3.4619999999999997</v>
      </c>
      <c r="F279" s="122"/>
      <c r="G279" s="123">
        <f>INDEX(Calculation!$A$4:$M$330,MATCH(Summary!$A279,Calculation!$A$4:$A$330,0),10)</f>
        <v>7048</v>
      </c>
      <c r="H279" s="123">
        <f t="shared" si="8"/>
        <v>24400</v>
      </c>
    </row>
    <row r="280" spans="1:8" x14ac:dyDescent="0.2">
      <c r="A280" s="119" t="str">
        <f>StartupfileInput!A279</f>
        <v>6408</v>
      </c>
      <c r="B280" s="120" t="str">
        <f>INDEX(Calculation!$A$4:$M$330,MATCH(Summary!$A280,Calculation!$A$4:$A$330,0),3)</f>
        <v>Tipton</v>
      </c>
      <c r="C280" s="120">
        <f>INDEX(Calculation!$A$4:$M$330,MATCH(Summary!$A280,Calculation!$A$4:$A$330,0),6)</f>
        <v>1.474</v>
      </c>
      <c r="D280" s="120">
        <f>INDEX(Calculation!$A$4:$M$330,MATCH(Summary!$A280,Calculation!$A$4:$A$330,0),7)</f>
        <v>1.78</v>
      </c>
      <c r="E280" s="121">
        <f t="shared" si="9"/>
        <v>3.254</v>
      </c>
      <c r="F280" s="122"/>
      <c r="G280" s="123">
        <f>INDEX(Calculation!$A$4:$M$330,MATCH(Summary!$A280,Calculation!$A$4:$A$330,0),10)</f>
        <v>7079</v>
      </c>
      <c r="H280" s="123">
        <f t="shared" si="8"/>
        <v>23035</v>
      </c>
    </row>
    <row r="281" spans="1:8" x14ac:dyDescent="0.2">
      <c r="A281" s="119" t="str">
        <f>StartupfileInput!A280</f>
        <v>6453</v>
      </c>
      <c r="B281" s="120" t="str">
        <f>INDEX(Calculation!$A$4:$M$330,MATCH(Summary!$A281,Calculation!$A$4:$A$330,0),3)</f>
        <v>Treynor</v>
      </c>
      <c r="C281" s="120">
        <f>INDEX(Calculation!$A$4:$M$330,MATCH(Summary!$A281,Calculation!$A$4:$A$330,0),6)</f>
        <v>0.48499999999999999</v>
      </c>
      <c r="D281" s="120">
        <f>INDEX(Calculation!$A$4:$M$330,MATCH(Summary!$A281,Calculation!$A$4:$A$330,0),7)</f>
        <v>1.272</v>
      </c>
      <c r="E281" s="121">
        <f t="shared" si="9"/>
        <v>1.7570000000000001</v>
      </c>
      <c r="F281" s="122"/>
      <c r="G281" s="123">
        <f>INDEX(Calculation!$A$4:$M$330,MATCH(Summary!$A281,Calculation!$A$4:$A$330,0),10)</f>
        <v>7048</v>
      </c>
      <c r="H281" s="123">
        <f t="shared" si="8"/>
        <v>12383</v>
      </c>
    </row>
    <row r="282" spans="1:8" x14ac:dyDescent="0.2">
      <c r="A282" s="119" t="str">
        <f>StartupfileInput!A281</f>
        <v>6460</v>
      </c>
      <c r="B282" s="120" t="str">
        <f>INDEX(Calculation!$A$4:$M$330,MATCH(Summary!$A282,Calculation!$A$4:$A$330,0),3)</f>
        <v>Tri-Center</v>
      </c>
      <c r="C282" s="120">
        <f>INDEX(Calculation!$A$4:$M$330,MATCH(Summary!$A282,Calculation!$A$4:$A$330,0),6)</f>
        <v>1.2470000000000001</v>
      </c>
      <c r="D282" s="120">
        <f>INDEX(Calculation!$A$4:$M$330,MATCH(Summary!$A282,Calculation!$A$4:$A$330,0),7)</f>
        <v>1.34</v>
      </c>
      <c r="E282" s="121">
        <f t="shared" si="9"/>
        <v>2.5870000000000002</v>
      </c>
      <c r="F282" s="122"/>
      <c r="G282" s="123">
        <f>INDEX(Calculation!$A$4:$M$330,MATCH(Summary!$A282,Calculation!$A$4:$A$330,0),10)</f>
        <v>7060</v>
      </c>
      <c r="H282" s="123">
        <f t="shared" si="8"/>
        <v>18264</v>
      </c>
    </row>
    <row r="283" spans="1:8" x14ac:dyDescent="0.2">
      <c r="A283" s="119" t="str">
        <f>StartupfileInput!A282</f>
        <v>6462</v>
      </c>
      <c r="B283" s="120" t="str">
        <f>INDEX(Calculation!$A$4:$M$330,MATCH(Summary!$A283,Calculation!$A$4:$A$330,0),3)</f>
        <v>Tri-County</v>
      </c>
      <c r="C283" s="120">
        <f>INDEX(Calculation!$A$4:$M$330,MATCH(Summary!$A283,Calculation!$A$4:$A$330,0),6)</f>
        <v>1.147</v>
      </c>
      <c r="D283" s="120">
        <f>INDEX(Calculation!$A$4:$M$330,MATCH(Summary!$A283,Calculation!$A$4:$A$330,0),7)</f>
        <v>0.57299999999999995</v>
      </c>
      <c r="E283" s="121">
        <f t="shared" si="9"/>
        <v>1.72</v>
      </c>
      <c r="F283" s="122"/>
      <c r="G283" s="123">
        <f>INDEX(Calculation!$A$4:$M$330,MATCH(Summary!$A283,Calculation!$A$4:$A$330,0),10)</f>
        <v>7048</v>
      </c>
      <c r="H283" s="123">
        <f t="shared" si="8"/>
        <v>12123</v>
      </c>
    </row>
    <row r="284" spans="1:8" x14ac:dyDescent="0.2">
      <c r="A284" s="119" t="str">
        <f>StartupfileInput!A283</f>
        <v>6471</v>
      </c>
      <c r="B284" s="120" t="str">
        <f>INDEX(Calculation!$A$4:$M$330,MATCH(Summary!$A284,Calculation!$A$4:$A$330,0),3)</f>
        <v>Tripoli</v>
      </c>
      <c r="C284" s="120">
        <f>INDEX(Calculation!$A$4:$M$330,MATCH(Summary!$A284,Calculation!$A$4:$A$330,0),6)</f>
        <v>1.2150000000000001</v>
      </c>
      <c r="D284" s="120">
        <f>INDEX(Calculation!$A$4:$M$330,MATCH(Summary!$A284,Calculation!$A$4:$A$330,0),7)</f>
        <v>0.83599999999999997</v>
      </c>
      <c r="E284" s="121">
        <f t="shared" si="9"/>
        <v>2.0510000000000002</v>
      </c>
      <c r="F284" s="122"/>
      <c r="G284" s="123">
        <f>INDEX(Calculation!$A$4:$M$330,MATCH(Summary!$A284,Calculation!$A$4:$A$330,0),10)</f>
        <v>7067</v>
      </c>
      <c r="H284" s="123">
        <f t="shared" si="8"/>
        <v>14494</v>
      </c>
    </row>
    <row r="285" spans="1:8" x14ac:dyDescent="0.2">
      <c r="A285" s="119" t="str">
        <f>StartupfileInput!A284</f>
        <v>6509</v>
      </c>
      <c r="B285" s="120" t="str">
        <f>INDEX(Calculation!$A$4:$M$330,MATCH(Summary!$A285,Calculation!$A$4:$A$330,0),3)</f>
        <v>Turkey Valley</v>
      </c>
      <c r="C285" s="120">
        <f>INDEX(Calculation!$A$4:$M$330,MATCH(Summary!$A285,Calculation!$A$4:$A$330,0),6)</f>
        <v>0.86899999999999999</v>
      </c>
      <c r="D285" s="120">
        <f>INDEX(Calculation!$A$4:$M$330,MATCH(Summary!$A285,Calculation!$A$4:$A$330,0),7)</f>
        <v>0.72799999999999998</v>
      </c>
      <c r="E285" s="121">
        <f t="shared" si="9"/>
        <v>1.597</v>
      </c>
      <c r="F285" s="122"/>
      <c r="G285" s="123">
        <f>INDEX(Calculation!$A$4:$M$330,MATCH(Summary!$A285,Calculation!$A$4:$A$330,0),10)</f>
        <v>7195</v>
      </c>
      <c r="H285" s="123">
        <f t="shared" si="8"/>
        <v>11490</v>
      </c>
    </row>
    <row r="286" spans="1:8" x14ac:dyDescent="0.2">
      <c r="A286" s="119" t="str">
        <f>StartupfileInput!A285</f>
        <v>6512</v>
      </c>
      <c r="B286" s="120" t="str">
        <f>INDEX(Calculation!$A$4:$M$330,MATCH(Summary!$A286,Calculation!$A$4:$A$330,0),3)</f>
        <v>Twin Cedars</v>
      </c>
      <c r="C286" s="120">
        <f>INDEX(Calculation!$A$4:$M$330,MATCH(Summary!$A286,Calculation!$A$4:$A$330,0),6)</f>
        <v>1.1739999999999999</v>
      </c>
      <c r="D286" s="120">
        <f>INDEX(Calculation!$A$4:$M$330,MATCH(Summary!$A286,Calculation!$A$4:$A$330,0),7)</f>
        <v>0.66</v>
      </c>
      <c r="E286" s="121">
        <f t="shared" si="9"/>
        <v>1.8340000000000001</v>
      </c>
      <c r="F286" s="122"/>
      <c r="G286" s="123">
        <f>INDEX(Calculation!$A$4:$M$330,MATCH(Summary!$A286,Calculation!$A$4:$A$330,0),10)</f>
        <v>7078</v>
      </c>
      <c r="H286" s="123">
        <f t="shared" si="8"/>
        <v>12981</v>
      </c>
    </row>
    <row r="287" spans="1:8" x14ac:dyDescent="0.2">
      <c r="A287" s="119" t="str">
        <f>StartupfileInput!A286</f>
        <v>6516</v>
      </c>
      <c r="B287" s="120" t="str">
        <f>INDEX(Calculation!$A$4:$M$330,MATCH(Summary!$A287,Calculation!$A$4:$A$330,0),3)</f>
        <v>Twin Rivers</v>
      </c>
      <c r="C287" s="120">
        <f>INDEX(Calculation!$A$4:$M$330,MATCH(Summary!$A287,Calculation!$A$4:$A$330,0),6)</f>
        <v>0.52500000000000002</v>
      </c>
      <c r="D287" s="120">
        <f>INDEX(Calculation!$A$4:$M$330,MATCH(Summary!$A287,Calculation!$A$4:$A$330,0),7)</f>
        <v>0.30599999999999999</v>
      </c>
      <c r="E287" s="121">
        <f t="shared" si="9"/>
        <v>0.83099999999999996</v>
      </c>
      <c r="F287" s="122"/>
      <c r="G287" s="123">
        <f>INDEX(Calculation!$A$4:$M$330,MATCH(Summary!$A287,Calculation!$A$4:$A$330,0),10)</f>
        <v>7203</v>
      </c>
      <c r="H287" s="123">
        <f t="shared" si="8"/>
        <v>5986</v>
      </c>
    </row>
    <row r="288" spans="1:8" x14ac:dyDescent="0.2">
      <c r="A288" s="119" t="str">
        <f>StartupfileInput!A287</f>
        <v>6534</v>
      </c>
      <c r="B288" s="120" t="str">
        <f>INDEX(Calculation!$A$4:$M$330,MATCH(Summary!$A288,Calculation!$A$4:$A$330,0),3)</f>
        <v>Underwood</v>
      </c>
      <c r="C288" s="120">
        <f>INDEX(Calculation!$A$4:$M$330,MATCH(Summary!$A288,Calculation!$A$4:$A$330,0),6)</f>
        <v>0.84399999999999997</v>
      </c>
      <c r="D288" s="120">
        <f>INDEX(Calculation!$A$4:$M$330,MATCH(Summary!$A288,Calculation!$A$4:$A$330,0),7)</f>
        <v>1.4079999999999999</v>
      </c>
      <c r="E288" s="121">
        <f t="shared" si="9"/>
        <v>2.2519999999999998</v>
      </c>
      <c r="F288" s="122"/>
      <c r="G288" s="123">
        <f>INDEX(Calculation!$A$4:$M$330,MATCH(Summary!$A288,Calculation!$A$4:$A$330,0),10)</f>
        <v>7048</v>
      </c>
      <c r="H288" s="123">
        <f t="shared" si="8"/>
        <v>15872</v>
      </c>
    </row>
    <row r="289" spans="1:8" x14ac:dyDescent="0.2">
      <c r="A289" s="119" t="str">
        <f>StartupfileInput!A288</f>
        <v>1935</v>
      </c>
      <c r="B289" s="120" t="str">
        <f>INDEX(Calculation!$A$4:$M$330,MATCH(Summary!$A289,Calculation!$A$4:$A$330,0),3)</f>
        <v>Union</v>
      </c>
      <c r="C289" s="120">
        <f>INDEX(Calculation!$A$4:$M$330,MATCH(Summary!$A289,Calculation!$A$4:$A$330,0),6)</f>
        <v>1.9259999999999999</v>
      </c>
      <c r="D289" s="120">
        <f>INDEX(Calculation!$A$4:$M$330,MATCH(Summary!$A289,Calculation!$A$4:$A$330,0),7)</f>
        <v>2.113</v>
      </c>
      <c r="E289" s="121">
        <f t="shared" si="9"/>
        <v>4.0389999999999997</v>
      </c>
      <c r="F289" s="122"/>
      <c r="G289" s="123">
        <f>INDEX(Calculation!$A$4:$M$330,MATCH(Summary!$A289,Calculation!$A$4:$A$330,0),10)</f>
        <v>7110</v>
      </c>
      <c r="H289" s="123">
        <f t="shared" si="8"/>
        <v>28717</v>
      </c>
    </row>
    <row r="290" spans="1:8" x14ac:dyDescent="0.2">
      <c r="A290" s="119" t="str">
        <f>StartupfileInput!A289</f>
        <v>6561</v>
      </c>
      <c r="B290" s="120" t="str">
        <f>INDEX(Calculation!$A$4:$M$330,MATCH(Summary!$A290,Calculation!$A$4:$A$330,0),3)</f>
        <v>United</v>
      </c>
      <c r="C290" s="120">
        <f>INDEX(Calculation!$A$4:$M$330,MATCH(Summary!$A290,Calculation!$A$4:$A$330,0),6)</f>
        <v>0.66500000000000004</v>
      </c>
      <c r="D290" s="120">
        <f>INDEX(Calculation!$A$4:$M$330,MATCH(Summary!$A290,Calculation!$A$4:$A$330,0),7)</f>
        <v>0.82299999999999995</v>
      </c>
      <c r="E290" s="121">
        <f t="shared" si="9"/>
        <v>1.488</v>
      </c>
      <c r="F290" s="122"/>
      <c r="G290" s="123">
        <f>INDEX(Calculation!$A$4:$M$330,MATCH(Summary!$A290,Calculation!$A$4:$A$330,0),10)</f>
        <v>7048</v>
      </c>
      <c r="H290" s="123">
        <f t="shared" si="8"/>
        <v>10487</v>
      </c>
    </row>
    <row r="291" spans="1:8" x14ac:dyDescent="0.2">
      <c r="A291" s="119" t="str">
        <f>StartupfileInput!A290</f>
        <v>6579</v>
      </c>
      <c r="B291" s="120" t="str">
        <f>INDEX(Calculation!$A$4:$M$330,MATCH(Summary!$A291,Calculation!$A$4:$A$330,0),3)</f>
        <v>Urbandale</v>
      </c>
      <c r="C291" s="120">
        <f>INDEX(Calculation!$A$4:$M$330,MATCH(Summary!$A291,Calculation!$A$4:$A$330,0),6)</f>
        <v>8.3450000000000006</v>
      </c>
      <c r="D291" s="120">
        <f>INDEX(Calculation!$A$4:$M$330,MATCH(Summary!$A291,Calculation!$A$4:$A$330,0),7)</f>
        <v>7.0140000000000002</v>
      </c>
      <c r="E291" s="121">
        <f t="shared" si="9"/>
        <v>15.359000000000002</v>
      </c>
      <c r="F291" s="122"/>
      <c r="G291" s="123">
        <f>INDEX(Calculation!$A$4:$M$330,MATCH(Summary!$A291,Calculation!$A$4:$A$330,0),10)</f>
        <v>7048</v>
      </c>
      <c r="H291" s="123">
        <f t="shared" si="8"/>
        <v>108250</v>
      </c>
    </row>
    <row r="292" spans="1:8" x14ac:dyDescent="0.2">
      <c r="A292" s="119" t="str">
        <f>StartupfileInput!A291</f>
        <v>6592</v>
      </c>
      <c r="B292" s="120" t="str">
        <f>INDEX(Calculation!$A$4:$M$330,MATCH(Summary!$A292,Calculation!$A$4:$A$330,0),3)</f>
        <v>Van Buren County</v>
      </c>
      <c r="C292" s="120">
        <f>INDEX(Calculation!$A$4:$M$330,MATCH(Summary!$A292,Calculation!$A$4:$A$330,0),6)</f>
        <v>3.3</v>
      </c>
      <c r="D292" s="120">
        <f>INDEX(Calculation!$A$4:$M$330,MATCH(Summary!$A292,Calculation!$A$4:$A$330,0),7)</f>
        <v>1.9379999999999999</v>
      </c>
      <c r="E292" s="121">
        <f t="shared" si="9"/>
        <v>5.2379999999999995</v>
      </c>
      <c r="F292" s="122"/>
      <c r="G292" s="123">
        <f>INDEX(Calculation!$A$4:$M$330,MATCH(Summary!$A292,Calculation!$A$4:$A$330,0),10)</f>
        <v>7048</v>
      </c>
      <c r="H292" s="123">
        <f t="shared" si="8"/>
        <v>36917</v>
      </c>
    </row>
    <row r="293" spans="1:8" x14ac:dyDescent="0.2">
      <c r="A293" s="119" t="str">
        <f>StartupfileInput!A292</f>
        <v>6615</v>
      </c>
      <c r="B293" s="120" t="str">
        <f>INDEX(Calculation!$A$4:$M$330,MATCH(Summary!$A293,Calculation!$A$4:$A$330,0),3)</f>
        <v>Van Meter</v>
      </c>
      <c r="C293" s="120">
        <f>INDEX(Calculation!$A$4:$M$330,MATCH(Summary!$A293,Calculation!$A$4:$A$330,0),6)</f>
        <v>0.54700000000000004</v>
      </c>
      <c r="D293" s="120">
        <f>INDEX(Calculation!$A$4:$M$330,MATCH(Summary!$A293,Calculation!$A$4:$A$330,0),7)</f>
        <v>1.5389999999999999</v>
      </c>
      <c r="E293" s="121">
        <f t="shared" si="9"/>
        <v>2.0859999999999999</v>
      </c>
      <c r="F293" s="122"/>
      <c r="G293" s="123">
        <f>INDEX(Calculation!$A$4:$M$330,MATCH(Summary!$A293,Calculation!$A$4:$A$330,0),10)</f>
        <v>7048</v>
      </c>
      <c r="H293" s="123">
        <f t="shared" si="8"/>
        <v>14702</v>
      </c>
    </row>
    <row r="294" spans="1:8" x14ac:dyDescent="0.2">
      <c r="A294" s="119" t="str">
        <f>StartupfileInput!A293</f>
        <v>6651</v>
      </c>
      <c r="B294" s="120" t="str">
        <f>INDEX(Calculation!$A$4:$M$330,MATCH(Summary!$A294,Calculation!$A$4:$A$330,0),3)</f>
        <v>Villisca</v>
      </c>
      <c r="C294" s="120">
        <f>INDEX(Calculation!$A$4:$M$330,MATCH(Summary!$A294,Calculation!$A$4:$A$330,0),6)</f>
        <v>1.0720000000000001</v>
      </c>
      <c r="D294" s="120">
        <f>INDEX(Calculation!$A$4:$M$330,MATCH(Summary!$A294,Calculation!$A$4:$A$330,0),7)</f>
        <v>0.59199999999999997</v>
      </c>
      <c r="E294" s="121">
        <f t="shared" si="9"/>
        <v>1.6640000000000001</v>
      </c>
      <c r="F294" s="122"/>
      <c r="G294" s="123">
        <f>INDEX(Calculation!$A$4:$M$330,MATCH(Summary!$A294,Calculation!$A$4:$A$330,0),10)</f>
        <v>7048</v>
      </c>
      <c r="H294" s="123">
        <f t="shared" si="8"/>
        <v>11728</v>
      </c>
    </row>
    <row r="295" spans="1:8" x14ac:dyDescent="0.2">
      <c r="A295" s="119" t="str">
        <f>StartupfileInput!A294</f>
        <v>6660</v>
      </c>
      <c r="B295" s="120" t="str">
        <f>INDEX(Calculation!$A$4:$M$330,MATCH(Summary!$A295,Calculation!$A$4:$A$330,0),3)</f>
        <v>Vinton-Shellsburg</v>
      </c>
      <c r="C295" s="120">
        <f>INDEX(Calculation!$A$4:$M$330,MATCH(Summary!$A295,Calculation!$A$4:$A$330,0),6)</f>
        <v>4.5149999999999997</v>
      </c>
      <c r="D295" s="120">
        <f>INDEX(Calculation!$A$4:$M$330,MATCH(Summary!$A295,Calculation!$A$4:$A$330,0),7)</f>
        <v>3.105</v>
      </c>
      <c r="E295" s="121">
        <f t="shared" si="9"/>
        <v>7.6199999999999992</v>
      </c>
      <c r="F295" s="122"/>
      <c r="G295" s="123">
        <f>INDEX(Calculation!$A$4:$M$330,MATCH(Summary!$A295,Calculation!$A$4:$A$330,0),10)</f>
        <v>7048</v>
      </c>
      <c r="H295" s="123">
        <f t="shared" si="8"/>
        <v>53706</v>
      </c>
    </row>
    <row r="296" spans="1:8" x14ac:dyDescent="0.2">
      <c r="A296" s="119" t="str">
        <f>StartupfileInput!A295</f>
        <v>6700</v>
      </c>
      <c r="B296" s="120" t="str">
        <f>INDEX(Calculation!$A$4:$M$330,MATCH(Summary!$A296,Calculation!$A$4:$A$330,0),3)</f>
        <v>Waco</v>
      </c>
      <c r="C296" s="120">
        <f>INDEX(Calculation!$A$4:$M$330,MATCH(Summary!$A296,Calculation!$A$4:$A$330,0),6)</f>
        <v>1.4930000000000001</v>
      </c>
      <c r="D296" s="120">
        <f>INDEX(Calculation!$A$4:$M$330,MATCH(Summary!$A296,Calculation!$A$4:$A$330,0),7)</f>
        <v>0.999</v>
      </c>
      <c r="E296" s="121">
        <f t="shared" si="9"/>
        <v>2.492</v>
      </c>
      <c r="F296" s="122"/>
      <c r="G296" s="123">
        <f>INDEX(Calculation!$A$4:$M$330,MATCH(Summary!$A296,Calculation!$A$4:$A$330,0),10)</f>
        <v>7152</v>
      </c>
      <c r="H296" s="123">
        <f t="shared" si="8"/>
        <v>17823</v>
      </c>
    </row>
    <row r="297" spans="1:8" x14ac:dyDescent="0.2">
      <c r="A297" s="119" t="str">
        <f>StartupfileInput!A296</f>
        <v>6759</v>
      </c>
      <c r="B297" s="120" t="str">
        <f>INDEX(Calculation!$A$4:$M$330,MATCH(Summary!$A297,Calculation!$A$4:$A$330,0),3)</f>
        <v>Wapello</v>
      </c>
      <c r="C297" s="120">
        <f>INDEX(Calculation!$A$4:$M$330,MATCH(Summary!$A297,Calculation!$A$4:$A$330,0),6)</f>
        <v>2.2839999999999998</v>
      </c>
      <c r="D297" s="120">
        <f>INDEX(Calculation!$A$4:$M$330,MATCH(Summary!$A297,Calculation!$A$4:$A$330,0),7)</f>
        <v>1.169</v>
      </c>
      <c r="E297" s="121">
        <f t="shared" si="9"/>
        <v>3.4529999999999998</v>
      </c>
      <c r="F297" s="122"/>
      <c r="G297" s="123">
        <f>INDEX(Calculation!$A$4:$M$330,MATCH(Summary!$A297,Calculation!$A$4:$A$330,0),10)</f>
        <v>7051</v>
      </c>
      <c r="H297" s="123">
        <f t="shared" si="8"/>
        <v>24347</v>
      </c>
    </row>
    <row r="298" spans="1:8" x14ac:dyDescent="0.2">
      <c r="A298" s="119" t="str">
        <f>StartupfileInput!A297</f>
        <v>6762</v>
      </c>
      <c r="B298" s="120" t="str">
        <f>INDEX(Calculation!$A$4:$M$330,MATCH(Summary!$A298,Calculation!$A$4:$A$330,0),3)</f>
        <v>Wapsie Valley</v>
      </c>
      <c r="C298" s="120">
        <f>INDEX(Calculation!$A$4:$M$330,MATCH(Summary!$A298,Calculation!$A$4:$A$330,0),6)</f>
        <v>0.75</v>
      </c>
      <c r="D298" s="120">
        <f>INDEX(Calculation!$A$4:$M$330,MATCH(Summary!$A298,Calculation!$A$4:$A$330,0),7)</f>
        <v>1.3879999999999999</v>
      </c>
      <c r="E298" s="121">
        <f t="shared" si="9"/>
        <v>2.1379999999999999</v>
      </c>
      <c r="F298" s="122"/>
      <c r="G298" s="123">
        <f>INDEX(Calculation!$A$4:$M$330,MATCH(Summary!$A298,Calculation!$A$4:$A$330,0),10)</f>
        <v>7074</v>
      </c>
      <c r="H298" s="123">
        <f t="shared" si="8"/>
        <v>15124</v>
      </c>
    </row>
    <row r="299" spans="1:8" x14ac:dyDescent="0.2">
      <c r="A299" s="119" t="str">
        <f>StartupfileInput!A298</f>
        <v>6768</v>
      </c>
      <c r="B299" s="120" t="str">
        <f>INDEX(Calculation!$A$4:$M$330,MATCH(Summary!$A299,Calculation!$A$4:$A$330,0),3)</f>
        <v>Washington</v>
      </c>
      <c r="C299" s="120">
        <f>INDEX(Calculation!$A$4:$M$330,MATCH(Summary!$A299,Calculation!$A$4:$A$330,0),6)</f>
        <v>5.8380000000000001</v>
      </c>
      <c r="D299" s="120">
        <f>INDEX(Calculation!$A$4:$M$330,MATCH(Summary!$A299,Calculation!$A$4:$A$330,0),7)</f>
        <v>3.476</v>
      </c>
      <c r="E299" s="121">
        <f t="shared" si="9"/>
        <v>9.3140000000000001</v>
      </c>
      <c r="F299" s="122"/>
      <c r="G299" s="123">
        <f>INDEX(Calculation!$A$4:$M$330,MATCH(Summary!$A299,Calculation!$A$4:$A$330,0),10)</f>
        <v>7048</v>
      </c>
      <c r="H299" s="123">
        <f t="shared" si="8"/>
        <v>65645</v>
      </c>
    </row>
    <row r="300" spans="1:8" x14ac:dyDescent="0.2">
      <c r="A300" s="119" t="str">
        <f>StartupfileInput!A299</f>
        <v>6795</v>
      </c>
      <c r="B300" s="120" t="str">
        <f>INDEX(Calculation!$A$4:$M$330,MATCH(Summary!$A300,Calculation!$A$4:$A$330,0),3)</f>
        <v>Waterloo</v>
      </c>
      <c r="C300" s="120">
        <f>INDEX(Calculation!$A$4:$M$330,MATCH(Summary!$A300,Calculation!$A$4:$A$330,0),6)</f>
        <v>51.302999999999997</v>
      </c>
      <c r="D300" s="120">
        <f>INDEX(Calculation!$A$4:$M$330,MATCH(Summary!$A300,Calculation!$A$4:$A$330,0),7)</f>
        <v>22.166</v>
      </c>
      <c r="E300" s="121">
        <f t="shared" si="9"/>
        <v>73.468999999999994</v>
      </c>
      <c r="F300" s="122"/>
      <c r="G300" s="123">
        <f>INDEX(Calculation!$A$4:$M$330,MATCH(Summary!$A300,Calculation!$A$4:$A$330,0),10)</f>
        <v>7048</v>
      </c>
      <c r="H300" s="123">
        <f t="shared" si="8"/>
        <v>517810</v>
      </c>
    </row>
    <row r="301" spans="1:8" x14ac:dyDescent="0.2">
      <c r="A301" s="119" t="str">
        <f>StartupfileInput!A300</f>
        <v>6822</v>
      </c>
      <c r="B301" s="120" t="str">
        <f>INDEX(Calculation!$A$4:$M$330,MATCH(Summary!$A301,Calculation!$A$4:$A$330,0),3)</f>
        <v>Waukee</v>
      </c>
      <c r="C301" s="120">
        <f>INDEX(Calculation!$A$4:$M$330,MATCH(Summary!$A301,Calculation!$A$4:$A$330,0),6)</f>
        <v>11.811999999999999</v>
      </c>
      <c r="D301" s="120">
        <f>INDEX(Calculation!$A$4:$M$330,MATCH(Summary!$A301,Calculation!$A$4:$A$330,0),7)</f>
        <v>23.870999999999999</v>
      </c>
      <c r="E301" s="121">
        <f t="shared" si="9"/>
        <v>35.683</v>
      </c>
      <c r="F301" s="122"/>
      <c r="G301" s="123">
        <f>INDEX(Calculation!$A$4:$M$330,MATCH(Summary!$A301,Calculation!$A$4:$A$330,0),10)</f>
        <v>7048</v>
      </c>
      <c r="H301" s="123">
        <f t="shared" si="8"/>
        <v>251494</v>
      </c>
    </row>
    <row r="302" spans="1:8" x14ac:dyDescent="0.2">
      <c r="A302" s="119" t="str">
        <f>StartupfileInput!A301</f>
        <v>6840</v>
      </c>
      <c r="B302" s="120" t="str">
        <f>INDEX(Calculation!$A$4:$M$330,MATCH(Summary!$A302,Calculation!$A$4:$A$330,0),3)</f>
        <v>Waverly-Shell Rock</v>
      </c>
      <c r="C302" s="120">
        <f>INDEX(Calculation!$A$4:$M$330,MATCH(Summary!$A302,Calculation!$A$4:$A$330,0),6)</f>
        <v>3.3730000000000002</v>
      </c>
      <c r="D302" s="120">
        <f>INDEX(Calculation!$A$4:$M$330,MATCH(Summary!$A302,Calculation!$A$4:$A$330,0),7)</f>
        <v>4.3369999999999997</v>
      </c>
      <c r="E302" s="121">
        <f t="shared" si="9"/>
        <v>7.71</v>
      </c>
      <c r="F302" s="122"/>
      <c r="G302" s="123">
        <f>INDEX(Calculation!$A$4:$M$330,MATCH(Summary!$A302,Calculation!$A$4:$A$330,0),10)</f>
        <v>7048</v>
      </c>
      <c r="H302" s="123">
        <f t="shared" si="8"/>
        <v>54340</v>
      </c>
    </row>
    <row r="303" spans="1:8" x14ac:dyDescent="0.2">
      <c r="A303" s="119" t="str">
        <f>StartupfileInput!A302</f>
        <v>6854</v>
      </c>
      <c r="B303" s="120" t="str">
        <f>INDEX(Calculation!$A$4:$M$330,MATCH(Summary!$A303,Calculation!$A$4:$A$330,0),3)</f>
        <v>Wayne</v>
      </c>
      <c r="C303" s="120">
        <f>INDEX(Calculation!$A$4:$M$330,MATCH(Summary!$A303,Calculation!$A$4:$A$330,0),6)</f>
        <v>2.0859999999999999</v>
      </c>
      <c r="D303" s="120">
        <f>INDEX(Calculation!$A$4:$M$330,MATCH(Summary!$A303,Calculation!$A$4:$A$330,0),7)</f>
        <v>1.202</v>
      </c>
      <c r="E303" s="121">
        <f t="shared" si="9"/>
        <v>3.2879999999999998</v>
      </c>
      <c r="F303" s="122"/>
      <c r="G303" s="123">
        <f>INDEX(Calculation!$A$4:$M$330,MATCH(Summary!$A303,Calculation!$A$4:$A$330,0),10)</f>
        <v>7051</v>
      </c>
      <c r="H303" s="123">
        <f t="shared" si="8"/>
        <v>23184</v>
      </c>
    </row>
    <row r="304" spans="1:8" x14ac:dyDescent="0.2">
      <c r="A304" s="119" t="str">
        <f>StartupfileInput!A303</f>
        <v>6867</v>
      </c>
      <c r="B304" s="120" t="str">
        <f>INDEX(Calculation!$A$4:$M$330,MATCH(Summary!$A304,Calculation!$A$4:$A$330,0),3)</f>
        <v>Webster City</v>
      </c>
      <c r="C304" s="120">
        <f>INDEX(Calculation!$A$4:$M$330,MATCH(Summary!$A304,Calculation!$A$4:$A$330,0),6)</f>
        <v>6.3159999999999998</v>
      </c>
      <c r="D304" s="120">
        <f>INDEX(Calculation!$A$4:$M$330,MATCH(Summary!$A304,Calculation!$A$4:$A$330,0),7)</f>
        <v>3.6179999999999999</v>
      </c>
      <c r="E304" s="121">
        <f t="shared" si="9"/>
        <v>9.9339999999999993</v>
      </c>
      <c r="F304" s="122"/>
      <c r="G304" s="123">
        <f>INDEX(Calculation!$A$4:$M$330,MATCH(Summary!$A304,Calculation!$A$4:$A$330,0),10)</f>
        <v>7052</v>
      </c>
      <c r="H304" s="123">
        <f t="shared" si="8"/>
        <v>70055</v>
      </c>
    </row>
    <row r="305" spans="1:8" x14ac:dyDescent="0.2">
      <c r="A305" s="119" t="str">
        <f>StartupfileInput!A304</f>
        <v>6921</v>
      </c>
      <c r="B305" s="120" t="str">
        <f>INDEX(Calculation!$A$4:$M$330,MATCH(Summary!$A305,Calculation!$A$4:$A$330,0),3)</f>
        <v>West Bend-Mallard</v>
      </c>
      <c r="C305" s="120">
        <f>INDEX(Calculation!$A$4:$M$330,MATCH(Summary!$A305,Calculation!$A$4:$A$330,0),6)</f>
        <v>0.83499999999999996</v>
      </c>
      <c r="D305" s="120">
        <f>INDEX(Calculation!$A$4:$M$330,MATCH(Summary!$A305,Calculation!$A$4:$A$330,0),7)</f>
        <v>0.59099999999999997</v>
      </c>
      <c r="E305" s="121">
        <f t="shared" si="9"/>
        <v>1.4259999999999999</v>
      </c>
      <c r="F305" s="122"/>
      <c r="G305" s="123">
        <f>INDEX(Calculation!$A$4:$M$330,MATCH(Summary!$A305,Calculation!$A$4:$A$330,0),10)</f>
        <v>7080</v>
      </c>
      <c r="H305" s="123">
        <f t="shared" si="8"/>
        <v>10096</v>
      </c>
    </row>
    <row r="306" spans="1:8" x14ac:dyDescent="0.2">
      <c r="A306" s="119" t="str">
        <f>StartupfileInput!A305</f>
        <v>6930</v>
      </c>
      <c r="B306" s="120" t="str">
        <f>INDEX(Calculation!$A$4:$M$330,MATCH(Summary!$A306,Calculation!$A$4:$A$330,0),3)</f>
        <v>West Branch</v>
      </c>
      <c r="C306" s="120">
        <f>INDEX(Calculation!$A$4:$M$330,MATCH(Summary!$A306,Calculation!$A$4:$A$330,0),6)</f>
        <v>1.351</v>
      </c>
      <c r="D306" s="120">
        <f>INDEX(Calculation!$A$4:$M$330,MATCH(Summary!$A306,Calculation!$A$4:$A$330,0),7)</f>
        <v>1.538</v>
      </c>
      <c r="E306" s="121">
        <f t="shared" si="9"/>
        <v>2.8890000000000002</v>
      </c>
      <c r="F306" s="122"/>
      <c r="G306" s="123">
        <f>INDEX(Calculation!$A$4:$M$330,MATCH(Summary!$A306,Calculation!$A$4:$A$330,0),10)</f>
        <v>7060</v>
      </c>
      <c r="H306" s="123">
        <f t="shared" si="8"/>
        <v>20396</v>
      </c>
    </row>
    <row r="307" spans="1:8" x14ac:dyDescent="0.2">
      <c r="A307" s="119" t="str">
        <f>StartupfileInput!A306</f>
        <v>6937</v>
      </c>
      <c r="B307" s="120" t="str">
        <f>INDEX(Calculation!$A$4:$M$330,MATCH(Summary!$A307,Calculation!$A$4:$A$330,0),3)</f>
        <v>West Burlington</v>
      </c>
      <c r="C307" s="120">
        <f>INDEX(Calculation!$A$4:$M$330,MATCH(Summary!$A307,Calculation!$A$4:$A$330,0),6)</f>
        <v>1.391</v>
      </c>
      <c r="D307" s="120">
        <f>INDEX(Calculation!$A$4:$M$330,MATCH(Summary!$A307,Calculation!$A$4:$A$330,0),7)</f>
        <v>0.93500000000000005</v>
      </c>
      <c r="E307" s="121">
        <f t="shared" si="9"/>
        <v>2.3260000000000001</v>
      </c>
      <c r="F307" s="122"/>
      <c r="G307" s="123">
        <f>INDEX(Calculation!$A$4:$M$330,MATCH(Summary!$A307,Calculation!$A$4:$A$330,0),10)</f>
        <v>7048</v>
      </c>
      <c r="H307" s="123">
        <f>ROUND(E307*G307,0)</f>
        <v>16394</v>
      </c>
    </row>
    <row r="308" spans="1:8" x14ac:dyDescent="0.2">
      <c r="A308" s="119" t="str">
        <f>StartupfileInput!A307</f>
        <v>6943</v>
      </c>
      <c r="B308" s="120" t="str">
        <f>INDEX(Calculation!$A$4:$M$330,MATCH(Summary!$A308,Calculation!$A$4:$A$330,0),3)</f>
        <v>West Central</v>
      </c>
      <c r="C308" s="120">
        <f>INDEX(Calculation!$A$4:$M$330,MATCH(Summary!$A308,Calculation!$A$4:$A$330,0),6)</f>
        <v>0.91700000000000004</v>
      </c>
      <c r="D308" s="120">
        <f>INDEX(Calculation!$A$4:$M$330,MATCH(Summary!$A308,Calculation!$A$4:$A$330,0),7)</f>
        <v>0.53400000000000003</v>
      </c>
      <c r="E308" s="121">
        <f t="shared" si="9"/>
        <v>1.4510000000000001</v>
      </c>
      <c r="F308" s="122"/>
      <c r="G308" s="123">
        <f>INDEX(Calculation!$A$4:$M$330,MATCH(Summary!$A308,Calculation!$A$4:$A$330,0),10)</f>
        <v>7048</v>
      </c>
      <c r="H308" s="123">
        <f t="shared" si="8"/>
        <v>10227</v>
      </c>
    </row>
    <row r="309" spans="1:8" x14ac:dyDescent="0.2">
      <c r="A309" s="119" t="str">
        <f>StartupfileInput!A308</f>
        <v>6264</v>
      </c>
      <c r="B309" s="120" t="str">
        <f>INDEX(Calculation!$A$4:$M$330,MATCH(Summary!$A309,Calculation!$A$4:$A$330,0),3)</f>
        <v>West Central Valley</v>
      </c>
      <c r="C309" s="120">
        <f>INDEX(Calculation!$A$4:$M$330,MATCH(Summary!$A309,Calculation!$A$4:$A$330,0),6)</f>
        <v>2.5670000000000002</v>
      </c>
      <c r="D309" s="120">
        <f>INDEX(Calculation!$A$4:$M$330,MATCH(Summary!$A309,Calculation!$A$4:$A$330,0),7)</f>
        <v>1.9450000000000001</v>
      </c>
      <c r="E309" s="121">
        <f t="shared" si="9"/>
        <v>4.5120000000000005</v>
      </c>
      <c r="F309" s="122"/>
      <c r="G309" s="123">
        <f>INDEX(Calculation!$A$4:$M$330,MATCH(Summary!$A309,Calculation!$A$4:$A$330,0),10)</f>
        <v>7094</v>
      </c>
      <c r="H309" s="123">
        <f t="shared" si="8"/>
        <v>32008</v>
      </c>
    </row>
    <row r="310" spans="1:8" x14ac:dyDescent="0.2">
      <c r="A310" s="119" t="str">
        <f>StartupfileInput!A309</f>
        <v>6950</v>
      </c>
      <c r="B310" s="120" t="str">
        <f>INDEX(Calculation!$A$4:$M$330,MATCH(Summary!$A310,Calculation!$A$4:$A$330,0),3)</f>
        <v>West Delaware Co</v>
      </c>
      <c r="C310" s="120">
        <f>INDEX(Calculation!$A$4:$M$330,MATCH(Summary!$A310,Calculation!$A$4:$A$330,0),6)</f>
        <v>4.2050000000000001</v>
      </c>
      <c r="D310" s="120">
        <f>INDEX(Calculation!$A$4:$M$330,MATCH(Summary!$A310,Calculation!$A$4:$A$330,0),7)</f>
        <v>2.895</v>
      </c>
      <c r="E310" s="121">
        <f t="shared" si="9"/>
        <v>7.1</v>
      </c>
      <c r="F310" s="122"/>
      <c r="G310" s="123">
        <f>INDEX(Calculation!$A$4:$M$330,MATCH(Summary!$A310,Calculation!$A$4:$A$330,0),10)</f>
        <v>7048</v>
      </c>
      <c r="H310" s="123">
        <f t="shared" si="8"/>
        <v>50041</v>
      </c>
    </row>
    <row r="311" spans="1:8" x14ac:dyDescent="0.2">
      <c r="A311" s="119" t="str">
        <f>StartupfileInput!A310</f>
        <v>6957</v>
      </c>
      <c r="B311" s="120" t="str">
        <f>INDEX(Calculation!$A$4:$M$330,MATCH(Summary!$A311,Calculation!$A$4:$A$330,0),3)</f>
        <v>West Des Moines</v>
      </c>
      <c r="C311" s="120">
        <f>INDEX(Calculation!$A$4:$M$330,MATCH(Summary!$A311,Calculation!$A$4:$A$330,0),6)</f>
        <v>23.064</v>
      </c>
      <c r="D311" s="120">
        <f>INDEX(Calculation!$A$4:$M$330,MATCH(Summary!$A311,Calculation!$A$4:$A$330,0),7)</f>
        <v>18.338000000000001</v>
      </c>
      <c r="E311" s="121">
        <f t="shared" si="9"/>
        <v>41.402000000000001</v>
      </c>
      <c r="F311" s="122"/>
      <c r="G311" s="123">
        <f>INDEX(Calculation!$A$4:$M$330,MATCH(Summary!$A311,Calculation!$A$4:$A$330,0),10)</f>
        <v>7048</v>
      </c>
      <c r="H311" s="123">
        <f>ROUND(E311*G311,0)</f>
        <v>291801</v>
      </c>
    </row>
    <row r="312" spans="1:8" x14ac:dyDescent="0.2">
      <c r="A312" s="119" t="str">
        <f>StartupfileInput!A311</f>
        <v>5922</v>
      </c>
      <c r="B312" s="120" t="str">
        <f>INDEX(Calculation!$A$4:$M$330,MATCH(Summary!$A312,Calculation!$A$4:$A$330,0),3)</f>
        <v>West Fork</v>
      </c>
      <c r="C312" s="120">
        <f>INDEX(Calculation!$A$4:$M$330,MATCH(Summary!$A312,Calculation!$A$4:$A$330,0),6)</f>
        <v>1.698</v>
      </c>
      <c r="D312" s="120">
        <f>INDEX(Calculation!$A$4:$M$330,MATCH(Summary!$A312,Calculation!$A$4:$A$330,0),7)</f>
        <v>1.4630000000000001</v>
      </c>
      <c r="E312" s="121">
        <f t="shared" si="9"/>
        <v>3.161</v>
      </c>
      <c r="F312" s="122"/>
      <c r="G312" s="123">
        <f>INDEX(Calculation!$A$4:$M$330,MATCH(Summary!$A312,Calculation!$A$4:$A$330,0),10)</f>
        <v>7084</v>
      </c>
      <c r="H312" s="123">
        <f t="shared" si="8"/>
        <v>22393</v>
      </c>
    </row>
    <row r="313" spans="1:8" x14ac:dyDescent="0.2">
      <c r="A313" s="119" t="str">
        <f>StartupfileInput!A312</f>
        <v>0819</v>
      </c>
      <c r="B313" s="120" t="str">
        <f>INDEX(Calculation!$A$4:$M$330,MATCH(Summary!$A313,Calculation!$A$4:$A$330,0),3)</f>
        <v>West Hancock</v>
      </c>
      <c r="C313" s="120">
        <f>INDEX(Calculation!$A$4:$M$330,MATCH(Summary!$A313,Calculation!$A$4:$A$330,0),6)</f>
        <v>1.488</v>
      </c>
      <c r="D313" s="120">
        <f>INDEX(Calculation!$A$4:$M$330,MATCH(Summary!$A313,Calculation!$A$4:$A$330,0),7)</f>
        <v>1.145</v>
      </c>
      <c r="E313" s="121">
        <f t="shared" si="9"/>
        <v>2.633</v>
      </c>
      <c r="F313" s="122"/>
      <c r="G313" s="123">
        <f>INDEX(Calculation!$A$4:$M$330,MATCH(Summary!$A313,Calculation!$A$4:$A$330,0),10)</f>
        <v>7048</v>
      </c>
      <c r="H313" s="123">
        <f t="shared" si="8"/>
        <v>18557</v>
      </c>
    </row>
    <row r="314" spans="1:8" x14ac:dyDescent="0.2">
      <c r="A314" s="119" t="str">
        <f>StartupfileInput!A313</f>
        <v>6969</v>
      </c>
      <c r="B314" s="120" t="str">
        <f>INDEX(Calculation!$A$4:$M$330,MATCH(Summary!$A314,Calculation!$A$4:$A$330,0),3)</f>
        <v>West Harrison</v>
      </c>
      <c r="C314" s="120">
        <f>INDEX(Calculation!$A$4:$M$330,MATCH(Summary!$A314,Calculation!$A$4:$A$330,0),6)</f>
        <v>1.123</v>
      </c>
      <c r="D314" s="120">
        <f>INDEX(Calculation!$A$4:$M$330,MATCH(Summary!$A314,Calculation!$A$4:$A$330,0),7)</f>
        <v>0.65800000000000003</v>
      </c>
      <c r="E314" s="121">
        <f t="shared" si="9"/>
        <v>1.7810000000000001</v>
      </c>
      <c r="F314" s="122"/>
      <c r="G314" s="123">
        <f>INDEX(Calculation!$A$4:$M$330,MATCH(Summary!$A314,Calculation!$A$4:$A$330,0),10)</f>
        <v>7198</v>
      </c>
      <c r="H314" s="123">
        <f t="shared" si="8"/>
        <v>12820</v>
      </c>
    </row>
    <row r="315" spans="1:8" x14ac:dyDescent="0.2">
      <c r="A315" s="119" t="str">
        <f>StartupfileInput!A314</f>
        <v>6975</v>
      </c>
      <c r="B315" s="120" t="str">
        <f>INDEX(Calculation!$A$4:$M$330,MATCH(Summary!$A315,Calculation!$A$4:$A$330,0),3)</f>
        <v>West Liberty</v>
      </c>
      <c r="C315" s="120">
        <f>INDEX(Calculation!$A$4:$M$330,MATCH(Summary!$A315,Calculation!$A$4:$A$330,0),6)</f>
        <v>5.1970000000000001</v>
      </c>
      <c r="D315" s="120">
        <f>INDEX(Calculation!$A$4:$M$330,MATCH(Summary!$A315,Calculation!$A$4:$A$330,0),7)</f>
        <v>2.6549999999999998</v>
      </c>
      <c r="E315" s="121">
        <f t="shared" si="9"/>
        <v>7.8520000000000003</v>
      </c>
      <c r="F315" s="122"/>
      <c r="G315" s="123">
        <f>INDEX(Calculation!$A$4:$M$330,MATCH(Summary!$A315,Calculation!$A$4:$A$330,0),10)</f>
        <v>7048</v>
      </c>
      <c r="H315" s="123">
        <f t="shared" si="8"/>
        <v>55341</v>
      </c>
    </row>
    <row r="316" spans="1:8" x14ac:dyDescent="0.2">
      <c r="A316" s="119" t="str">
        <f>StartupfileInput!A315</f>
        <v>6983</v>
      </c>
      <c r="B316" s="120" t="str">
        <f>INDEX(Calculation!$A$4:$M$330,MATCH(Summary!$A316,Calculation!$A$4:$A$330,0),3)</f>
        <v>West Lyon</v>
      </c>
      <c r="C316" s="120">
        <f>INDEX(Calculation!$A$4:$M$330,MATCH(Summary!$A316,Calculation!$A$4:$A$330,0),6)</f>
        <v>1.6319999999999999</v>
      </c>
      <c r="D316" s="120">
        <f>INDEX(Calculation!$A$4:$M$330,MATCH(Summary!$A316,Calculation!$A$4:$A$330,0),7)</f>
        <v>1.9430000000000001</v>
      </c>
      <c r="E316" s="121">
        <f t="shared" si="9"/>
        <v>3.5750000000000002</v>
      </c>
      <c r="F316" s="122"/>
      <c r="G316" s="123">
        <f>INDEX(Calculation!$A$4:$M$330,MATCH(Summary!$A316,Calculation!$A$4:$A$330,0),10)</f>
        <v>7048</v>
      </c>
      <c r="H316" s="123">
        <f t="shared" si="8"/>
        <v>25197</v>
      </c>
    </row>
    <row r="317" spans="1:8" x14ac:dyDescent="0.2">
      <c r="A317" s="119" t="str">
        <f>StartupfileInput!A316</f>
        <v>6985</v>
      </c>
      <c r="B317" s="120" t="str">
        <f>INDEX(Calculation!$A$4:$M$330,MATCH(Summary!$A317,Calculation!$A$4:$A$330,0),3)</f>
        <v>West Marshall</v>
      </c>
      <c r="C317" s="120">
        <f>INDEX(Calculation!$A$4:$M$330,MATCH(Summary!$A317,Calculation!$A$4:$A$330,0),6)</f>
        <v>1.786</v>
      </c>
      <c r="D317" s="120">
        <f>INDEX(Calculation!$A$4:$M$330,MATCH(Summary!$A317,Calculation!$A$4:$A$330,0),7)</f>
        <v>1.677</v>
      </c>
      <c r="E317" s="121">
        <f t="shared" si="9"/>
        <v>3.4630000000000001</v>
      </c>
      <c r="F317" s="122"/>
      <c r="G317" s="123">
        <f>INDEX(Calculation!$A$4:$M$330,MATCH(Summary!$A317,Calculation!$A$4:$A$330,0),10)</f>
        <v>7048</v>
      </c>
      <c r="H317" s="123">
        <f t="shared" si="8"/>
        <v>24407</v>
      </c>
    </row>
    <row r="318" spans="1:8" x14ac:dyDescent="0.2">
      <c r="A318" s="119" t="str">
        <f>StartupfileInput!A317</f>
        <v>6987</v>
      </c>
      <c r="B318" s="120" t="str">
        <f>INDEX(Calculation!$A$4:$M$330,MATCH(Summary!$A318,Calculation!$A$4:$A$330,0),3)</f>
        <v>West Monona</v>
      </c>
      <c r="C318" s="120">
        <f>INDEX(Calculation!$A$4:$M$330,MATCH(Summary!$A318,Calculation!$A$4:$A$330,0),6)</f>
        <v>2.0430000000000001</v>
      </c>
      <c r="D318" s="120">
        <f>INDEX(Calculation!$A$4:$M$330,MATCH(Summary!$A318,Calculation!$A$4:$A$330,0),7)</f>
        <v>1.2929999999999999</v>
      </c>
      <c r="E318" s="121">
        <f t="shared" si="9"/>
        <v>3.3360000000000003</v>
      </c>
      <c r="F318" s="122"/>
      <c r="G318" s="123">
        <f>INDEX(Calculation!$A$4:$M$330,MATCH(Summary!$A318,Calculation!$A$4:$A$330,0),10)</f>
        <v>7048</v>
      </c>
      <c r="H318" s="123">
        <f t="shared" si="8"/>
        <v>23512</v>
      </c>
    </row>
    <row r="319" spans="1:8" x14ac:dyDescent="0.2">
      <c r="A319" s="119" t="str">
        <f>StartupfileInput!A318</f>
        <v>6990</v>
      </c>
      <c r="B319" s="120" t="str">
        <f>INDEX(Calculation!$A$4:$M$330,MATCH(Summary!$A319,Calculation!$A$4:$A$330,0),3)</f>
        <v>West Sioux</v>
      </c>
      <c r="C319" s="120">
        <f>INDEX(Calculation!$A$4:$M$330,MATCH(Summary!$A319,Calculation!$A$4:$A$330,0),6)</f>
        <v>3.4609999999999999</v>
      </c>
      <c r="D319" s="120">
        <f>INDEX(Calculation!$A$4:$M$330,MATCH(Summary!$A319,Calculation!$A$4:$A$330,0),7)</f>
        <v>1.7909999999999999</v>
      </c>
      <c r="E319" s="121">
        <f t="shared" si="9"/>
        <v>5.2519999999999998</v>
      </c>
      <c r="F319" s="122"/>
      <c r="G319" s="123">
        <f>INDEX(Calculation!$A$4:$M$330,MATCH(Summary!$A319,Calculation!$A$4:$A$330,0),10)</f>
        <v>7051</v>
      </c>
      <c r="H319" s="123">
        <f t="shared" ref="H319:H329" si="10">ROUND(E319*G319,0)</f>
        <v>37032</v>
      </c>
    </row>
    <row r="320" spans="1:8" x14ac:dyDescent="0.2">
      <c r="A320" s="119" t="str">
        <f>StartupfileInput!A319</f>
        <v>6961</v>
      </c>
      <c r="B320" s="120" t="str">
        <f>INDEX(Calculation!$A$4:$M$330,MATCH(Summary!$A320,Calculation!$A$4:$A$330,0),3)</f>
        <v>Western Dubuque Co</v>
      </c>
      <c r="C320" s="120">
        <f>INDEX(Calculation!$A$4:$M$330,MATCH(Summary!$A320,Calculation!$A$4:$A$330,0),6)</f>
        <v>5.5270000000000001</v>
      </c>
      <c r="D320" s="120">
        <f>INDEX(Calculation!$A$4:$M$330,MATCH(Summary!$A320,Calculation!$A$4:$A$330,0),7)</f>
        <v>6.3840000000000003</v>
      </c>
      <c r="E320" s="121">
        <f t="shared" si="9"/>
        <v>11.911000000000001</v>
      </c>
      <c r="F320" s="122"/>
      <c r="G320" s="123">
        <f>INDEX(Calculation!$A$4:$M$330,MATCH(Summary!$A320,Calculation!$A$4:$A$330,0),10)</f>
        <v>7083</v>
      </c>
      <c r="H320" s="123">
        <f t="shared" si="10"/>
        <v>84366</v>
      </c>
    </row>
    <row r="321" spans="1:8" x14ac:dyDescent="0.2">
      <c r="A321" s="119" t="str">
        <f>StartupfileInput!A320</f>
        <v>6992</v>
      </c>
      <c r="B321" s="120" t="str">
        <f>INDEX(Calculation!$A$4:$M$330,MATCH(Summary!$A321,Calculation!$A$4:$A$330,0),3)</f>
        <v>Westwood</v>
      </c>
      <c r="C321" s="120">
        <f>INDEX(Calculation!$A$4:$M$330,MATCH(Summary!$A321,Calculation!$A$4:$A$330,0),6)</f>
        <v>1.2989999999999999</v>
      </c>
      <c r="D321" s="120">
        <f>INDEX(Calculation!$A$4:$M$330,MATCH(Summary!$A321,Calculation!$A$4:$A$330,0),7)</f>
        <v>1.1259999999999999</v>
      </c>
      <c r="E321" s="121">
        <f t="shared" si="9"/>
        <v>2.4249999999999998</v>
      </c>
      <c r="F321" s="122"/>
      <c r="G321" s="123">
        <f>INDEX(Calculation!$A$4:$M$330,MATCH(Summary!$A321,Calculation!$A$4:$A$330,0),10)</f>
        <v>7057</v>
      </c>
      <c r="H321" s="123">
        <f t="shared" si="10"/>
        <v>17113</v>
      </c>
    </row>
    <row r="322" spans="1:8" x14ac:dyDescent="0.2">
      <c r="A322" s="119" t="str">
        <f>StartupfileInput!A321</f>
        <v>7002</v>
      </c>
      <c r="B322" s="120" t="str">
        <f>INDEX(Calculation!$A$4:$M$330,MATCH(Summary!$A322,Calculation!$A$4:$A$330,0),3)</f>
        <v>Whiting</v>
      </c>
      <c r="C322" s="120">
        <f>INDEX(Calculation!$A$4:$M$330,MATCH(Summary!$A322,Calculation!$A$4:$A$330,0),6)</f>
        <v>0.77300000000000002</v>
      </c>
      <c r="D322" s="120">
        <f>INDEX(Calculation!$A$4:$M$330,MATCH(Summary!$A322,Calculation!$A$4:$A$330,0),7)</f>
        <v>0.38600000000000001</v>
      </c>
      <c r="E322" s="121">
        <f t="shared" si="9"/>
        <v>1.159</v>
      </c>
      <c r="F322" s="122"/>
      <c r="G322" s="123">
        <f>INDEX(Calculation!$A$4:$M$330,MATCH(Summary!$A322,Calculation!$A$4:$A$330,0),10)</f>
        <v>7048</v>
      </c>
      <c r="H322" s="123">
        <f t="shared" si="10"/>
        <v>8169</v>
      </c>
    </row>
    <row r="323" spans="1:8" x14ac:dyDescent="0.2">
      <c r="A323" s="119" t="str">
        <f>StartupfileInput!A322</f>
        <v>7029</v>
      </c>
      <c r="B323" s="120" t="str">
        <f>INDEX(Calculation!$A$4:$M$330,MATCH(Summary!$A323,Calculation!$A$4:$A$330,0),3)</f>
        <v>Williamsburg</v>
      </c>
      <c r="C323" s="120">
        <f>INDEX(Calculation!$A$4:$M$330,MATCH(Summary!$A323,Calculation!$A$4:$A$330,0),6)</f>
        <v>1.8580000000000001</v>
      </c>
      <c r="D323" s="120">
        <f>INDEX(Calculation!$A$4:$M$330,MATCH(Summary!$A323,Calculation!$A$4:$A$330,0),7)</f>
        <v>2.3220000000000001</v>
      </c>
      <c r="E323" s="121">
        <f t="shared" si="9"/>
        <v>4.18</v>
      </c>
      <c r="F323" s="122"/>
      <c r="G323" s="123">
        <f>INDEX(Calculation!$A$4:$M$330,MATCH(Summary!$A323,Calculation!$A$4:$A$330,0),10)</f>
        <v>7048</v>
      </c>
      <c r="H323" s="123">
        <f t="shared" si="10"/>
        <v>29461</v>
      </c>
    </row>
    <row r="324" spans="1:8" x14ac:dyDescent="0.2">
      <c r="A324" s="119" t="str">
        <f>StartupfileInput!A323</f>
        <v>7038</v>
      </c>
      <c r="B324" s="120" t="str">
        <f>INDEX(Calculation!$A$4:$M$330,MATCH(Summary!$A324,Calculation!$A$4:$A$330,0),3)</f>
        <v>Wilton</v>
      </c>
      <c r="C324" s="120">
        <f>INDEX(Calculation!$A$4:$M$330,MATCH(Summary!$A324,Calculation!$A$4:$A$330,0),6)</f>
        <v>1.806</v>
      </c>
      <c r="D324" s="120">
        <f>INDEX(Calculation!$A$4:$M$330,MATCH(Summary!$A324,Calculation!$A$4:$A$330,0),7)</f>
        <v>1.734</v>
      </c>
      <c r="E324" s="121">
        <f t="shared" ref="E324:E329" si="11">SUM(C324:D324)</f>
        <v>3.54</v>
      </c>
      <c r="F324" s="122"/>
      <c r="G324" s="123">
        <f>INDEX(Calculation!$A$4:$M$330,MATCH(Summary!$A324,Calculation!$A$4:$A$330,0),10)</f>
        <v>7048</v>
      </c>
      <c r="H324" s="123">
        <f t="shared" si="10"/>
        <v>24950</v>
      </c>
    </row>
    <row r="325" spans="1:8" x14ac:dyDescent="0.2">
      <c r="A325" s="119" t="str">
        <f>StartupfileInput!A324</f>
        <v>7047</v>
      </c>
      <c r="B325" s="120" t="str">
        <f>INDEX(Calculation!$A$4:$M$330,MATCH(Summary!$A325,Calculation!$A$4:$A$330,0),3)</f>
        <v>Winfield-Mt Union</v>
      </c>
      <c r="C325" s="120">
        <f>INDEX(Calculation!$A$4:$M$330,MATCH(Summary!$A325,Calculation!$A$4:$A$330,0),6)</f>
        <v>1.202</v>
      </c>
      <c r="D325" s="120">
        <f>INDEX(Calculation!$A$4:$M$330,MATCH(Summary!$A325,Calculation!$A$4:$A$330,0),7)</f>
        <v>0.629</v>
      </c>
      <c r="E325" s="121">
        <f t="shared" si="11"/>
        <v>1.831</v>
      </c>
      <c r="F325" s="122"/>
      <c r="G325" s="123">
        <f>INDEX(Calculation!$A$4:$M$330,MATCH(Summary!$A325,Calculation!$A$4:$A$330,0),10)</f>
        <v>7058</v>
      </c>
      <c r="H325" s="123">
        <f t="shared" si="10"/>
        <v>12923</v>
      </c>
    </row>
    <row r="326" spans="1:8" x14ac:dyDescent="0.2">
      <c r="A326" s="119" t="str">
        <f>StartupfileInput!A325</f>
        <v>7056</v>
      </c>
      <c r="B326" s="120" t="str">
        <f>INDEX(Calculation!$A$4:$M$330,MATCH(Summary!$A326,Calculation!$A$4:$A$330,0),3)</f>
        <v>Winterset</v>
      </c>
      <c r="C326" s="120">
        <f>INDEX(Calculation!$A$4:$M$330,MATCH(Summary!$A326,Calculation!$A$4:$A$330,0),6)</f>
        <v>3.4860000000000002</v>
      </c>
      <c r="D326" s="120">
        <f>INDEX(Calculation!$A$4:$M$330,MATCH(Summary!$A326,Calculation!$A$4:$A$330,0),7)</f>
        <v>3.5249999999999999</v>
      </c>
      <c r="E326" s="121">
        <f t="shared" si="11"/>
        <v>7.0110000000000001</v>
      </c>
      <c r="F326" s="122"/>
      <c r="G326" s="123">
        <f>INDEX(Calculation!$A$4:$M$330,MATCH(Summary!$A326,Calculation!$A$4:$A$330,0),10)</f>
        <v>7048</v>
      </c>
      <c r="H326" s="123">
        <f t="shared" si="10"/>
        <v>49414</v>
      </c>
    </row>
    <row r="327" spans="1:8" x14ac:dyDescent="0.2">
      <c r="A327" s="119" t="str">
        <f>StartupfileInput!A326</f>
        <v>7092</v>
      </c>
      <c r="B327" s="120" t="str">
        <f>INDEX(Calculation!$A$4:$M$330,MATCH(Summary!$A327,Calculation!$A$4:$A$330,0),3)</f>
        <v>Woodbine</v>
      </c>
      <c r="C327" s="120">
        <f>INDEX(Calculation!$A$4:$M$330,MATCH(Summary!$A327,Calculation!$A$4:$A$330,0),6)</f>
        <v>1.1970000000000001</v>
      </c>
      <c r="D327" s="120">
        <f>INDEX(Calculation!$A$4:$M$330,MATCH(Summary!$A327,Calculation!$A$4:$A$330,0),7)</f>
        <v>0.92600000000000005</v>
      </c>
      <c r="E327" s="121">
        <f t="shared" si="11"/>
        <v>2.1230000000000002</v>
      </c>
      <c r="F327" s="122"/>
      <c r="G327" s="123">
        <f>INDEX(Calculation!$A$4:$M$330,MATCH(Summary!$A327,Calculation!$A$4:$A$330,0),10)</f>
        <v>7048</v>
      </c>
      <c r="H327" s="123">
        <f t="shared" si="10"/>
        <v>14963</v>
      </c>
    </row>
    <row r="328" spans="1:8" x14ac:dyDescent="0.2">
      <c r="A328" s="119" t="str">
        <f>StartupfileInput!A327</f>
        <v>7098</v>
      </c>
      <c r="B328" s="120" t="str">
        <f>INDEX(Calculation!$A$4:$M$330,MATCH(Summary!$A328,Calculation!$A$4:$A$330,0),3)</f>
        <v>Woodbury Central</v>
      </c>
      <c r="C328" s="120">
        <f>INDEX(Calculation!$A$4:$M$330,MATCH(Summary!$A328,Calculation!$A$4:$A$330,0),6)</f>
        <v>1.143</v>
      </c>
      <c r="D328" s="120">
        <f>INDEX(Calculation!$A$4:$M$330,MATCH(Summary!$A328,Calculation!$A$4:$A$330,0),7)</f>
        <v>1.1359999999999999</v>
      </c>
      <c r="E328" s="121">
        <f t="shared" si="11"/>
        <v>2.2789999999999999</v>
      </c>
      <c r="F328" s="122"/>
      <c r="G328" s="123">
        <f>INDEX(Calculation!$A$4:$M$330,MATCH(Summary!$A328,Calculation!$A$4:$A$330,0),10)</f>
        <v>7048</v>
      </c>
      <c r="H328" s="123">
        <f t="shared" si="10"/>
        <v>16062</v>
      </c>
    </row>
    <row r="329" spans="1:8" x14ac:dyDescent="0.2">
      <c r="A329" s="119" t="str">
        <f>StartupfileInput!A328</f>
        <v>7110</v>
      </c>
      <c r="B329" s="120" t="str">
        <f>INDEX(Calculation!$A$4:$M$330,MATCH(Summary!$A329,Calculation!$A$4:$A$330,0),3)</f>
        <v>Woodward-Granger</v>
      </c>
      <c r="C329" s="120">
        <f>INDEX(Calculation!$A$4:$M$330,MATCH(Summary!$A329,Calculation!$A$4:$A$330,0),6)</f>
        <v>1.3220000000000001</v>
      </c>
      <c r="D329" s="120">
        <f>INDEX(Calculation!$A$4:$M$330,MATCH(Summary!$A329,Calculation!$A$4:$A$330,0),7)</f>
        <v>1.9990000000000001</v>
      </c>
      <c r="E329" s="121">
        <f t="shared" si="11"/>
        <v>3.3210000000000002</v>
      </c>
      <c r="F329" s="122"/>
      <c r="G329" s="123">
        <f>INDEX(Calculation!$A$4:$M$330,MATCH(Summary!$A329,Calculation!$A$4:$A$330,0),10)</f>
        <v>7120</v>
      </c>
      <c r="H329" s="123">
        <f t="shared" si="10"/>
        <v>23646</v>
      </c>
    </row>
    <row r="330" spans="1:8" ht="12.75" thickBot="1" x14ac:dyDescent="0.25">
      <c r="A330" s="112"/>
      <c r="C330" s="126">
        <f>SUM(C3:C329)</f>
        <v>1418.0489999999995</v>
      </c>
      <c r="D330" s="126">
        <f>SUM(D3:D329)</f>
        <v>999.78900000000021</v>
      </c>
      <c r="E330" s="126">
        <f>SUM(E3:E329)</f>
        <v>2417.8380000000002</v>
      </c>
      <c r="F330" s="124"/>
      <c r="G330" s="125"/>
      <c r="H330" s="127">
        <f>SUM(H3:H329)</f>
        <v>17079488</v>
      </c>
    </row>
    <row r="331" spans="1:8" ht="12.75" thickTop="1" x14ac:dyDescent="0.2">
      <c r="H331" s="23"/>
    </row>
    <row r="332" spans="1:8" x14ac:dyDescent="0.2">
      <c r="A332" s="111" t="s">
        <v>13</v>
      </c>
    </row>
    <row r="333" spans="1:8" x14ac:dyDescent="0.2">
      <c r="A333" s="136" t="s">
        <v>672</v>
      </c>
      <c r="B333" s="137"/>
      <c r="C333" s="137"/>
      <c r="D333" s="137"/>
      <c r="E333" s="137"/>
      <c r="F333" s="137"/>
      <c r="G333" s="137"/>
      <c r="H333" s="137"/>
    </row>
    <row r="334" spans="1:8" x14ac:dyDescent="0.2">
      <c r="A334" s="137"/>
      <c r="B334" s="137"/>
      <c r="C334" s="137"/>
      <c r="D334" s="137"/>
      <c r="E334" s="137"/>
      <c r="F334" s="137"/>
      <c r="G334" s="137"/>
      <c r="H334" s="137"/>
    </row>
    <row r="335" spans="1:8" x14ac:dyDescent="0.2">
      <c r="A335" s="111" t="s">
        <v>673</v>
      </c>
    </row>
    <row r="336" spans="1:8" x14ac:dyDescent="0.2">
      <c r="A336" s="111" t="s">
        <v>14</v>
      </c>
    </row>
    <row r="337" spans="1:1" x14ac:dyDescent="0.2">
      <c r="A337" s="111" t="s">
        <v>21</v>
      </c>
    </row>
    <row r="338" spans="1:1" x14ac:dyDescent="0.2">
      <c r="A338" s="111" t="s">
        <v>20</v>
      </c>
    </row>
  </sheetData>
  <sheetProtection sheet="1" objects="1" scenarios="1"/>
  <mergeCells count="4">
    <mergeCell ref="A333:H334"/>
    <mergeCell ref="A2:B2"/>
    <mergeCell ref="C1:E1"/>
    <mergeCell ref="A1:B1"/>
  </mergeCells>
  <phoneticPr fontId="0" type="noConversion"/>
  <pageMargins left="0.75" right="0.25" top="0.5" bottom="1" header="0.5" footer="0.5"/>
  <pageSetup orientation="portrait" r:id="rId1"/>
  <headerFooter alignWithMargins="0">
    <oddFooter xml:space="preserve">&amp;L&amp;8Prepared by Iowa Department of Management: March 13, 2019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5"/>
  <sheetViews>
    <sheetView workbookViewId="0">
      <pane xSplit="2" ySplit="3" topLeftCell="C297" activePane="bottomRight" state="frozen"/>
      <selection activeCell="I4" sqref="I4"/>
      <selection pane="topRight" activeCell="I4" sqref="I4"/>
      <selection pane="bottomLeft" activeCell="I4" sqref="I4"/>
      <selection pane="bottomRight" activeCell="E4" sqref="E4:E330"/>
    </sheetView>
  </sheetViews>
  <sheetFormatPr defaultRowHeight="11.25" x14ac:dyDescent="0.2"/>
  <cols>
    <col min="1" max="1" width="15.140625" style="7" bestFit="1" customWidth="1"/>
    <col min="2" max="2" width="9.140625" style="1"/>
    <col min="3" max="3" width="43.42578125" style="7" bestFit="1" customWidth="1"/>
    <col min="4" max="4" width="11.28515625" style="10" bestFit="1" customWidth="1"/>
    <col min="5" max="5" width="11" style="12" customWidth="1"/>
    <col min="6" max="8" width="11" style="8" customWidth="1"/>
    <col min="9" max="10" width="11" style="11" customWidth="1"/>
    <col min="11" max="13" width="11" style="9" customWidth="1"/>
    <col min="14" max="14" width="9.140625" style="7"/>
    <col min="15" max="15" width="12" style="7" bestFit="1" customWidth="1"/>
    <col min="16" max="16" width="9.140625" style="7"/>
    <col min="17" max="17" width="7" style="7" customWidth="1"/>
    <col min="18" max="18" width="7.5703125" style="7" customWidth="1"/>
    <col min="19" max="19" width="18.85546875" style="7" customWidth="1"/>
    <col min="20" max="20" width="10.42578125" style="7" customWidth="1"/>
    <col min="21" max="16384" width="9.140625" style="7"/>
  </cols>
  <sheetData>
    <row r="1" spans="1:20" s="2" customFormat="1" x14ac:dyDescent="0.2">
      <c r="B1" s="1"/>
      <c r="D1" s="3" t="s">
        <v>795</v>
      </c>
      <c r="E1" s="3" t="s">
        <v>18</v>
      </c>
      <c r="F1" s="4" t="s">
        <v>7</v>
      </c>
      <c r="G1" s="4" t="s">
        <v>7</v>
      </c>
      <c r="H1" s="4" t="s">
        <v>7</v>
      </c>
      <c r="I1" s="21" t="str">
        <f>CONCATENATE("FY ",P1-1)</f>
        <v>FY 2020</v>
      </c>
      <c r="J1" s="21" t="str">
        <f>CONCATENATE("FY ",P1)</f>
        <v>FY 2021</v>
      </c>
      <c r="K1" s="5" t="s">
        <v>9</v>
      </c>
      <c r="L1" s="5" t="s">
        <v>11</v>
      </c>
      <c r="M1" s="5" t="s">
        <v>11</v>
      </c>
      <c r="O1" s="2" t="s">
        <v>717</v>
      </c>
      <c r="P1" s="104">
        <v>2021</v>
      </c>
      <c r="Q1" s="26" t="str">
        <f>Constants!B1</f>
        <v>SPG</v>
      </c>
      <c r="R1" s="26" t="str">
        <f>Constants!C1</f>
        <v>CPP</v>
      </c>
      <c r="S1" s="26" t="str">
        <f>Constants!D1</f>
        <v>Additional_Dollar</v>
      </c>
      <c r="T1" s="26" t="str">
        <f>Constants!E1</f>
        <v>SCPP</v>
      </c>
    </row>
    <row r="2" spans="1:20" s="2" customFormat="1" x14ac:dyDescent="0.2">
      <c r="B2" s="1"/>
      <c r="D2" s="3" t="s">
        <v>4</v>
      </c>
      <c r="E2" s="3" t="s">
        <v>6</v>
      </c>
      <c r="F2" s="4" t="s">
        <v>6</v>
      </c>
      <c r="G2" s="4" t="s">
        <v>4</v>
      </c>
      <c r="H2" s="4" t="s">
        <v>25</v>
      </c>
      <c r="I2" s="21" t="s">
        <v>8</v>
      </c>
      <c r="J2" s="21" t="s">
        <v>8</v>
      </c>
      <c r="K2" s="5" t="s">
        <v>10</v>
      </c>
      <c r="L2" s="5" t="s">
        <v>10</v>
      </c>
      <c r="M2" s="5" t="s">
        <v>10</v>
      </c>
      <c r="O2" s="2" t="s">
        <v>716</v>
      </c>
      <c r="P2" s="106">
        <f>INDEX(Constants!$A$2:$AW$100,MATCH(Calculation!$P$1,Constants!$A$2:$A$100,0),MATCH(Calculation!O$2,Constants!$A$1:$AW$1,0))</f>
        <v>7048</v>
      </c>
      <c r="Q2" s="105">
        <f>INDEX(Constants!$A$2:$AW$100,MATCH(Calculation!$P$1,Constants!$A$2:$A$100,0),MATCH(Calculation!Q$1,Constants!$A$1:$AW$1,0))</f>
        <v>2.3E-2</v>
      </c>
      <c r="R2" s="106">
        <f>INDEX(Constants!$A$2:$AW$100,MATCH(Calculation!$P$1,Constants!$A$2:$A$100,0),MATCH(Calculation!R$1,Constants!$A$1:$AW$1,0))</f>
        <v>158</v>
      </c>
      <c r="S2" s="106">
        <f>INDEX(Constants!$A$2:$AW$100,MATCH(Calculation!$P$1,Constants!$A$2:$A$100,0),MATCH(Calculation!S$1,Constants!$A$1:$AW$1,0))</f>
        <v>10</v>
      </c>
      <c r="T2" s="106">
        <f>INDEX(Constants!$A$2:$AW$100,MATCH(Calculation!$P$1,Constants!$A$2:$A$100,0),MATCH(Calculation!T$1,Constants!$A$1:$AW$1,0))</f>
        <v>7048</v>
      </c>
    </row>
    <row r="3" spans="1:20" s="2" customFormat="1" x14ac:dyDescent="0.2">
      <c r="A3" s="2" t="s">
        <v>340</v>
      </c>
      <c r="B3" s="1" t="s">
        <v>341</v>
      </c>
      <c r="C3" s="26" t="e">
        <f>#REF!</f>
        <v>#REF!</v>
      </c>
      <c r="D3" s="16"/>
      <c r="E3" s="3" t="s">
        <v>5</v>
      </c>
      <c r="F3" s="6">
        <v>6.4200000000000004E-3</v>
      </c>
      <c r="G3" s="6">
        <v>2.0400000000000001E-3</v>
      </c>
      <c r="H3" s="6" t="s">
        <v>19</v>
      </c>
      <c r="I3" s="21"/>
      <c r="J3" s="24"/>
      <c r="K3" s="5" t="s">
        <v>6</v>
      </c>
      <c r="L3" s="5" t="s">
        <v>4</v>
      </c>
      <c r="M3" s="5" t="s">
        <v>12</v>
      </c>
    </row>
    <row r="4" spans="1:20" ht="12.75" x14ac:dyDescent="0.2">
      <c r="A4" s="2" t="str">
        <f>StartupfileInput!A2</f>
        <v>0009</v>
      </c>
      <c r="B4" s="1" t="str">
        <f>INDEX(ActiveDistricts!$A$2:$J$328,MATCH(Calculation!$A4,ActiveDistricts!$C$2:$C$328,0),6)</f>
        <v>0009</v>
      </c>
      <c r="C4" s="1" t="str">
        <f>INDEX(ActiveDistricts!$A$2:$J$328,MATCH(Calculation!$A4,ActiveDistricts!$C$2:$C$328,0),7)</f>
        <v>AGWSR</v>
      </c>
      <c r="D4" s="14">
        <f>INDEX(StartupfileInput!$A$2:$D$328,MATCH(Calculation!$A4,StartupfileInput!$A$2:$A$328,0),3)</f>
        <v>645.20000000000005</v>
      </c>
      <c r="E4" s="20">
        <f>INDEX(ActiveDistricts!$A$2:$J$328,MATCH(Calculation!$A4,ActiveDistricts!$C$2:$C$328,0),10)</f>
        <v>0.45387453874538747</v>
      </c>
      <c r="F4" s="8">
        <f>ROUND(D4*E4*$F$3,3)</f>
        <v>1.88</v>
      </c>
      <c r="G4" s="8">
        <f>ROUND(D4*$G$3,3)</f>
        <v>1.3160000000000001</v>
      </c>
      <c r="H4" s="8">
        <f>SUM(F4:G4)</f>
        <v>3.1959999999999997</v>
      </c>
      <c r="I4">
        <f>INDEX(StartupfileInput!$A$2:$D$328,MATCH(Calculation!$A4,StartupfileInput!$A$2:$A$328,0),4)</f>
        <v>6980</v>
      </c>
      <c r="J4" s="107">
        <f>MAX(I4+$R$2,$T$2)</f>
        <v>7138</v>
      </c>
      <c r="K4" s="9">
        <f>ROUND(F4*J4,0)</f>
        <v>13419</v>
      </c>
      <c r="L4" s="9">
        <f>M4-K4</f>
        <v>9394</v>
      </c>
      <c r="M4" s="9">
        <f>ROUND(H4*J4,0)</f>
        <v>22813</v>
      </c>
    </row>
    <row r="5" spans="1:20" ht="12.75" x14ac:dyDescent="0.2">
      <c r="A5" s="2" t="str">
        <f>StartupfileInput!A3</f>
        <v>0441</v>
      </c>
      <c r="B5" s="1" t="str">
        <f>INDEX(ActiveDistricts!$A$2:$J$328,MATCH(Calculation!$A5,ActiveDistricts!$C$2:$C$328,0),6)</f>
        <v>0441</v>
      </c>
      <c r="C5" s="1" t="str">
        <f>INDEX(ActiveDistricts!$A$2:$J$328,MATCH(Calculation!$A5,ActiveDistricts!$C$2:$C$328,0),7)</f>
        <v>AHSTW</v>
      </c>
      <c r="D5" s="14">
        <f>INDEX(StartupfileInput!$A$2:$D$328,MATCH(Calculation!$A5,StartupfileInput!$A$2:$A$328,0),3)</f>
        <v>780.7</v>
      </c>
      <c r="E5" s="20">
        <f>INDEX(ActiveDistricts!$A$2:$J$328,MATCH(Calculation!$A5,ActiveDistricts!$C$2:$C$328,0),10)</f>
        <v>0.41924398625429554</v>
      </c>
      <c r="F5" s="8">
        <f t="shared" ref="F5:F68" si="0">ROUND(D5*E5*$F$3,3)</f>
        <v>2.101</v>
      </c>
      <c r="G5" s="8">
        <f t="shared" ref="G5:G68" si="1">ROUND(D5*$G$3,3)</f>
        <v>1.593</v>
      </c>
      <c r="H5" s="8">
        <f t="shared" ref="H5:H67" si="2">SUM(F5:G5)</f>
        <v>3.694</v>
      </c>
      <c r="I5">
        <f>INDEX(StartupfileInput!$A$2:$D$328,MATCH(Calculation!$A5,StartupfileInput!$A$2:$A$328,0),4)</f>
        <v>6915</v>
      </c>
      <c r="J5" s="107">
        <f t="shared" ref="J5:J68" si="3">MAX(I5+$R$2,$T$2)</f>
        <v>7073</v>
      </c>
      <c r="K5" s="9">
        <f t="shared" ref="K5:K67" si="4">ROUND(F5*J5,0)</f>
        <v>14860</v>
      </c>
      <c r="L5" s="9">
        <f t="shared" ref="L5:L68" si="5">M5-K5</f>
        <v>11268</v>
      </c>
      <c r="M5" s="9">
        <f t="shared" ref="M5:M68" si="6">ROUND(H5*J5,0)</f>
        <v>26128</v>
      </c>
    </row>
    <row r="6" spans="1:20" ht="12.75" x14ac:dyDescent="0.2">
      <c r="A6" s="2" t="str">
        <f>StartupfileInput!A4</f>
        <v>0018</v>
      </c>
      <c r="B6" s="1" t="str">
        <f>INDEX(ActiveDistricts!$A$2:$J$328,MATCH(Calculation!$A6,ActiveDistricts!$C$2:$C$328,0),6)</f>
        <v>0018</v>
      </c>
      <c r="C6" s="1" t="str">
        <f>INDEX(ActiveDistricts!$A$2:$J$328,MATCH(Calculation!$A6,ActiveDistricts!$C$2:$C$328,0),7)</f>
        <v>Adair-Casey</v>
      </c>
      <c r="D6" s="14">
        <f>INDEX(StartupfileInput!$A$2:$D$328,MATCH(Calculation!$A6,StartupfileInput!$A$2:$A$328,0),3)</f>
        <v>297.39999999999998</v>
      </c>
      <c r="E6" s="20">
        <f>INDEX(ActiveDistricts!$A$2:$J$328,MATCH(Calculation!$A6,ActiveDistricts!$C$2:$C$328,0),10)</f>
        <v>0.44545454545454544</v>
      </c>
      <c r="F6" s="8">
        <f t="shared" si="0"/>
        <v>0.85099999999999998</v>
      </c>
      <c r="G6" s="8">
        <f t="shared" si="1"/>
        <v>0.60699999999999998</v>
      </c>
      <c r="H6" s="8">
        <f t="shared" si="2"/>
        <v>1.458</v>
      </c>
      <c r="I6">
        <f>INDEX(StartupfileInput!$A$2:$D$328,MATCH(Calculation!$A6,StartupfileInput!$A$2:$A$328,0),4)</f>
        <v>6880</v>
      </c>
      <c r="J6" s="107">
        <f t="shared" si="3"/>
        <v>7048</v>
      </c>
      <c r="K6" s="9">
        <f t="shared" si="4"/>
        <v>5998</v>
      </c>
      <c r="L6" s="9">
        <f t="shared" si="5"/>
        <v>4278</v>
      </c>
      <c r="M6" s="9">
        <f t="shared" si="6"/>
        <v>10276</v>
      </c>
    </row>
    <row r="7" spans="1:20" ht="12.75" x14ac:dyDescent="0.2">
      <c r="A7" s="2" t="str">
        <f>StartupfileInput!A5</f>
        <v>0027</v>
      </c>
      <c r="B7" s="1" t="str">
        <f>INDEX(ActiveDistricts!$A$2:$J$328,MATCH(Calculation!$A7,ActiveDistricts!$C$2:$C$328,0),6)</f>
        <v>0027</v>
      </c>
      <c r="C7" s="1" t="str">
        <f>INDEX(ActiveDistricts!$A$2:$J$328,MATCH(Calculation!$A7,ActiveDistricts!$C$2:$C$328,0),7)</f>
        <v>Adel-Desoto-Minburn</v>
      </c>
      <c r="D7" s="14">
        <f>INDEX(StartupfileInput!$A$2:$D$328,MATCH(Calculation!$A7,StartupfileInput!$A$2:$A$328,0),3)</f>
        <v>1932.2</v>
      </c>
      <c r="E7" s="20">
        <f>INDEX(ActiveDistricts!$A$2:$J$328,MATCH(Calculation!$A7,ActiveDistricts!$C$2:$C$328,0),10)</f>
        <v>0.19667013527575442</v>
      </c>
      <c r="F7" s="8">
        <f t="shared" si="0"/>
        <v>2.44</v>
      </c>
      <c r="G7" s="8">
        <f t="shared" si="1"/>
        <v>3.9420000000000002</v>
      </c>
      <c r="H7" s="8">
        <f t="shared" si="2"/>
        <v>6.3819999999999997</v>
      </c>
      <c r="I7">
        <f>INDEX(StartupfileInput!$A$2:$D$328,MATCH(Calculation!$A7,StartupfileInput!$A$2:$A$328,0),4)</f>
        <v>6890</v>
      </c>
      <c r="J7" s="107">
        <f t="shared" si="3"/>
        <v>7048</v>
      </c>
      <c r="K7" s="9">
        <f t="shared" si="4"/>
        <v>17197</v>
      </c>
      <c r="L7" s="9">
        <f t="shared" si="5"/>
        <v>27783</v>
      </c>
      <c r="M7" s="9">
        <f t="shared" si="6"/>
        <v>44980</v>
      </c>
    </row>
    <row r="8" spans="1:20" ht="12.75" x14ac:dyDescent="0.2">
      <c r="A8" s="2" t="str">
        <f>StartupfileInput!A6</f>
        <v>0063</v>
      </c>
      <c r="B8" s="1" t="str">
        <f>INDEX(ActiveDistricts!$A$2:$J$328,MATCH(Calculation!$A8,ActiveDistricts!$C$2:$C$328,0),6)</f>
        <v>0063</v>
      </c>
      <c r="C8" s="1" t="str">
        <f>INDEX(ActiveDistricts!$A$2:$J$328,MATCH(Calculation!$A8,ActiveDistricts!$C$2:$C$328,0),7)</f>
        <v>Akron-Westfield</v>
      </c>
      <c r="D8" s="14">
        <f>INDEX(StartupfileInput!$A$2:$D$328,MATCH(Calculation!$A8,StartupfileInput!$A$2:$A$328,0),3)</f>
        <v>577.4</v>
      </c>
      <c r="E8" s="20">
        <f>INDEX(ActiveDistricts!$A$2:$J$328,MATCH(Calculation!$A8,ActiveDistricts!$C$2:$C$328,0),10)</f>
        <v>0.3576923076923077</v>
      </c>
      <c r="F8" s="8">
        <f t="shared" si="0"/>
        <v>1.3260000000000001</v>
      </c>
      <c r="G8" s="8">
        <f t="shared" si="1"/>
        <v>1.1779999999999999</v>
      </c>
      <c r="H8" s="8">
        <f t="shared" si="2"/>
        <v>2.504</v>
      </c>
      <c r="I8">
        <f>INDEX(StartupfileInput!$A$2:$D$328,MATCH(Calculation!$A8,StartupfileInput!$A$2:$A$328,0),4)</f>
        <v>6921</v>
      </c>
      <c r="J8" s="107">
        <f t="shared" si="3"/>
        <v>7079</v>
      </c>
      <c r="K8" s="9">
        <f t="shared" si="4"/>
        <v>9387</v>
      </c>
      <c r="L8" s="9">
        <f t="shared" si="5"/>
        <v>8339</v>
      </c>
      <c r="M8" s="9">
        <f t="shared" si="6"/>
        <v>17726</v>
      </c>
    </row>
    <row r="9" spans="1:20" ht="12.75" x14ac:dyDescent="0.2">
      <c r="A9" s="2" t="str">
        <f>StartupfileInput!A7</f>
        <v>0072</v>
      </c>
      <c r="B9" s="1" t="str">
        <f>INDEX(ActiveDistricts!$A$2:$J$328,MATCH(Calculation!$A9,ActiveDistricts!$C$2:$C$328,0),6)</f>
        <v>0072</v>
      </c>
      <c r="C9" s="1" t="str">
        <f>INDEX(ActiveDistricts!$A$2:$J$328,MATCH(Calculation!$A9,ActiveDistricts!$C$2:$C$328,0),7)</f>
        <v>Albert City-Truesdale</v>
      </c>
      <c r="D9" s="14">
        <f>INDEX(StartupfileInput!$A$2:$D$328,MATCH(Calculation!$A9,StartupfileInput!$A$2:$A$328,0),3)</f>
        <v>216.9</v>
      </c>
      <c r="E9" s="20">
        <f>INDEX(ActiveDistricts!$A$2:$J$328,MATCH(Calculation!$A9,ActiveDistricts!$C$2:$C$328,0),10)</f>
        <v>0.44827586206896552</v>
      </c>
      <c r="F9" s="8">
        <f t="shared" si="0"/>
        <v>0.624</v>
      </c>
      <c r="G9" s="8">
        <f t="shared" si="1"/>
        <v>0.442</v>
      </c>
      <c r="H9" s="8">
        <f t="shared" si="2"/>
        <v>1.0660000000000001</v>
      </c>
      <c r="I9">
        <f>INDEX(StartupfileInput!$A$2:$D$328,MATCH(Calculation!$A9,StartupfileInput!$A$2:$A$328,0),4)</f>
        <v>6951</v>
      </c>
      <c r="J9" s="107">
        <f t="shared" si="3"/>
        <v>7109</v>
      </c>
      <c r="K9" s="9">
        <f t="shared" si="4"/>
        <v>4436</v>
      </c>
      <c r="L9" s="9">
        <f t="shared" si="5"/>
        <v>3142</v>
      </c>
      <c r="M9" s="9">
        <f t="shared" si="6"/>
        <v>7578</v>
      </c>
    </row>
    <row r="10" spans="1:20" ht="12.75" x14ac:dyDescent="0.2">
      <c r="A10" s="2" t="str">
        <f>StartupfileInput!A8</f>
        <v>0081</v>
      </c>
      <c r="B10" s="1" t="str">
        <f>INDEX(ActiveDistricts!$A$2:$J$328,MATCH(Calculation!$A10,ActiveDistricts!$C$2:$C$328,0),6)</f>
        <v>0081</v>
      </c>
      <c r="C10" s="1" t="str">
        <f>INDEX(ActiveDistricts!$A$2:$J$328,MATCH(Calculation!$A10,ActiveDistricts!$C$2:$C$328,0),7)</f>
        <v>Albia</v>
      </c>
      <c r="D10" s="14">
        <f>INDEX(StartupfileInput!$A$2:$D$328,MATCH(Calculation!$A10,StartupfileInput!$A$2:$A$328,0),3)</f>
        <v>1151.0999999999999</v>
      </c>
      <c r="E10" s="20">
        <f>INDEX(ActiveDistricts!$A$2:$J$328,MATCH(Calculation!$A10,ActiveDistricts!$C$2:$C$328,0),10)</f>
        <v>0.39918533604887985</v>
      </c>
      <c r="F10" s="8">
        <f t="shared" si="0"/>
        <v>2.95</v>
      </c>
      <c r="G10" s="8">
        <f t="shared" si="1"/>
        <v>2.3479999999999999</v>
      </c>
      <c r="H10" s="8">
        <f t="shared" si="2"/>
        <v>5.298</v>
      </c>
      <c r="I10">
        <f>INDEX(StartupfileInput!$A$2:$D$328,MATCH(Calculation!$A10,StartupfileInput!$A$2:$A$328,0),4)</f>
        <v>6880</v>
      </c>
      <c r="J10" s="107">
        <f t="shared" si="3"/>
        <v>7048</v>
      </c>
      <c r="K10" s="9">
        <f t="shared" si="4"/>
        <v>20792</v>
      </c>
      <c r="L10" s="9">
        <f t="shared" si="5"/>
        <v>16548</v>
      </c>
      <c r="M10" s="9">
        <f t="shared" si="6"/>
        <v>37340</v>
      </c>
    </row>
    <row r="11" spans="1:20" ht="12.75" x14ac:dyDescent="0.2">
      <c r="A11" s="2" t="str">
        <f>StartupfileInput!A9</f>
        <v>0099</v>
      </c>
      <c r="B11" s="1" t="str">
        <f>INDEX(ActiveDistricts!$A$2:$J$328,MATCH(Calculation!$A11,ActiveDistricts!$C$2:$C$328,0),6)</f>
        <v>0099</v>
      </c>
      <c r="C11" s="1" t="str">
        <f>INDEX(ActiveDistricts!$A$2:$J$328,MATCH(Calculation!$A11,ActiveDistricts!$C$2:$C$328,0),7)</f>
        <v>Alburnett</v>
      </c>
      <c r="D11" s="14">
        <f>INDEX(StartupfileInput!$A$2:$D$328,MATCH(Calculation!$A11,StartupfileInput!$A$2:$A$328,0),3)</f>
        <v>511.8</v>
      </c>
      <c r="E11" s="20">
        <f>INDEX(ActiveDistricts!$A$2:$J$328,MATCH(Calculation!$A11,ActiveDistricts!$C$2:$C$328,0),10)</f>
        <v>0.20494699646643111</v>
      </c>
      <c r="F11" s="8">
        <f t="shared" si="0"/>
        <v>0.67300000000000004</v>
      </c>
      <c r="G11" s="8">
        <f t="shared" si="1"/>
        <v>1.044</v>
      </c>
      <c r="H11" s="8">
        <f t="shared" si="2"/>
        <v>1.7170000000000001</v>
      </c>
      <c r="I11">
        <f>INDEX(StartupfileInput!$A$2:$D$328,MATCH(Calculation!$A11,StartupfileInput!$A$2:$A$328,0),4)</f>
        <v>6880</v>
      </c>
      <c r="J11" s="107">
        <f t="shared" si="3"/>
        <v>7048</v>
      </c>
      <c r="K11" s="9">
        <f t="shared" si="4"/>
        <v>4743</v>
      </c>
      <c r="L11" s="9">
        <f t="shared" si="5"/>
        <v>7358</v>
      </c>
      <c r="M11" s="9">
        <f t="shared" si="6"/>
        <v>12101</v>
      </c>
    </row>
    <row r="12" spans="1:20" ht="12.75" x14ac:dyDescent="0.2">
      <c r="A12" s="2" t="str">
        <f>StartupfileInput!A10</f>
        <v>0108</v>
      </c>
      <c r="B12" s="1" t="str">
        <f>INDEX(ActiveDistricts!$A$2:$J$328,MATCH(Calculation!$A12,ActiveDistricts!$C$2:$C$328,0),6)</f>
        <v>0108</v>
      </c>
      <c r="C12" s="1" t="str">
        <f>INDEX(ActiveDistricts!$A$2:$J$328,MATCH(Calculation!$A12,ActiveDistricts!$C$2:$C$328,0),7)</f>
        <v>Alden</v>
      </c>
      <c r="D12" s="14">
        <f>INDEX(StartupfileInput!$A$2:$D$328,MATCH(Calculation!$A12,StartupfileInput!$A$2:$A$328,0),3)</f>
        <v>264.39999999999998</v>
      </c>
      <c r="E12" s="20">
        <f>INDEX(ActiveDistricts!$A$2:$J$328,MATCH(Calculation!$A12,ActiveDistricts!$C$2:$C$328,0),10)</f>
        <v>0.36974789915966388</v>
      </c>
      <c r="F12" s="8">
        <f t="shared" si="0"/>
        <v>0.628</v>
      </c>
      <c r="G12" s="8">
        <f t="shared" si="1"/>
        <v>0.53900000000000003</v>
      </c>
      <c r="H12" s="8">
        <f t="shared" si="2"/>
        <v>1.167</v>
      </c>
      <c r="I12">
        <f>INDEX(StartupfileInput!$A$2:$D$328,MATCH(Calculation!$A12,StartupfileInput!$A$2:$A$328,0),4)</f>
        <v>6880</v>
      </c>
      <c r="J12" s="107">
        <f t="shared" si="3"/>
        <v>7048</v>
      </c>
      <c r="K12" s="9">
        <f t="shared" si="4"/>
        <v>4426</v>
      </c>
      <c r="L12" s="9">
        <f t="shared" si="5"/>
        <v>3799</v>
      </c>
      <c r="M12" s="9">
        <f t="shared" si="6"/>
        <v>8225</v>
      </c>
    </row>
    <row r="13" spans="1:20" ht="12.75" x14ac:dyDescent="0.2">
      <c r="A13" s="2" t="str">
        <f>StartupfileInput!A11</f>
        <v>0126</v>
      </c>
      <c r="B13" s="1" t="str">
        <f>INDEX(ActiveDistricts!$A$2:$J$328,MATCH(Calculation!$A13,ActiveDistricts!$C$2:$C$328,0),6)</f>
        <v>0126</v>
      </c>
      <c r="C13" s="1" t="str">
        <f>INDEX(ActiveDistricts!$A$2:$J$328,MATCH(Calculation!$A13,ActiveDistricts!$C$2:$C$328,0),7)</f>
        <v>Algona</v>
      </c>
      <c r="D13" s="14">
        <f>INDEX(StartupfileInput!$A$2:$D$328,MATCH(Calculation!$A13,StartupfileInput!$A$2:$A$328,0),3)</f>
        <v>1295.5999999999999</v>
      </c>
      <c r="E13" s="20">
        <f>INDEX(ActiveDistricts!$A$2:$J$328,MATCH(Calculation!$A13,ActiveDistricts!$C$2:$C$328,0),10)</f>
        <v>0.40740740740740738</v>
      </c>
      <c r="F13" s="8">
        <f t="shared" si="0"/>
        <v>3.3889999999999998</v>
      </c>
      <c r="G13" s="8">
        <f t="shared" si="1"/>
        <v>2.6429999999999998</v>
      </c>
      <c r="H13" s="8">
        <f t="shared" si="2"/>
        <v>6.032</v>
      </c>
      <c r="I13">
        <f>INDEX(StartupfileInput!$A$2:$D$328,MATCH(Calculation!$A13,StartupfileInput!$A$2:$A$328,0),4)</f>
        <v>6903</v>
      </c>
      <c r="J13" s="107">
        <f t="shared" si="3"/>
        <v>7061</v>
      </c>
      <c r="K13" s="9">
        <f t="shared" si="4"/>
        <v>23930</v>
      </c>
      <c r="L13" s="9">
        <f t="shared" si="5"/>
        <v>18662</v>
      </c>
      <c r="M13" s="9">
        <f t="shared" si="6"/>
        <v>42592</v>
      </c>
    </row>
    <row r="14" spans="1:20" ht="12.75" x14ac:dyDescent="0.2">
      <c r="A14" s="2" t="str">
        <f>StartupfileInput!A12</f>
        <v>0135</v>
      </c>
      <c r="B14" s="1" t="str">
        <f>INDEX(ActiveDistricts!$A$2:$J$328,MATCH(Calculation!$A14,ActiveDistricts!$C$2:$C$328,0),6)</f>
        <v>0135</v>
      </c>
      <c r="C14" s="1" t="str">
        <f>INDEX(ActiveDistricts!$A$2:$J$328,MATCH(Calculation!$A14,ActiveDistricts!$C$2:$C$328,0),7)</f>
        <v>Allamakee</v>
      </c>
      <c r="D14" s="14">
        <f>INDEX(StartupfileInput!$A$2:$D$328,MATCH(Calculation!$A14,StartupfileInput!$A$2:$A$328,0),3)</f>
        <v>1095</v>
      </c>
      <c r="E14" s="20">
        <f>INDEX(ActiveDistricts!$A$2:$J$328,MATCH(Calculation!$A14,ActiveDistricts!$C$2:$C$328,0),10)</f>
        <v>0.45183486238532111</v>
      </c>
      <c r="F14" s="8">
        <f t="shared" si="0"/>
        <v>3.1760000000000002</v>
      </c>
      <c r="G14" s="8">
        <f t="shared" si="1"/>
        <v>2.234</v>
      </c>
      <c r="H14" s="8">
        <f t="shared" si="2"/>
        <v>5.41</v>
      </c>
      <c r="I14">
        <f>INDEX(StartupfileInput!$A$2:$D$328,MATCH(Calculation!$A14,StartupfileInput!$A$2:$A$328,0),4)</f>
        <v>6952</v>
      </c>
      <c r="J14" s="107">
        <f t="shared" si="3"/>
        <v>7110</v>
      </c>
      <c r="K14" s="9">
        <f t="shared" si="4"/>
        <v>22581</v>
      </c>
      <c r="L14" s="9">
        <f t="shared" si="5"/>
        <v>15884</v>
      </c>
      <c r="M14" s="9">
        <f t="shared" si="6"/>
        <v>38465</v>
      </c>
    </row>
    <row r="15" spans="1:20" ht="12.75" x14ac:dyDescent="0.2">
      <c r="A15" s="2" t="str">
        <f>StartupfileInput!A13</f>
        <v>0171</v>
      </c>
      <c r="B15" s="1" t="str">
        <f>INDEX(ActiveDistricts!$A$2:$J$328,MATCH(Calculation!$A15,ActiveDistricts!$C$2:$C$328,0),6)</f>
        <v>0171</v>
      </c>
      <c r="C15" s="1" t="str">
        <f>INDEX(ActiveDistricts!$A$2:$J$328,MATCH(Calculation!$A15,ActiveDistricts!$C$2:$C$328,0),7)</f>
        <v>Alta-Aurelia</v>
      </c>
      <c r="D15" s="14">
        <f>INDEX(StartupfileInput!$A$2:$D$328,MATCH(Calculation!$A15,StartupfileInput!$A$2:$A$328,0),3)</f>
        <v>803.2</v>
      </c>
      <c r="E15" s="20">
        <f>INDEX(ActiveDistricts!$A$2:$J$328,MATCH(Calculation!$A15,ActiveDistricts!$C$2:$C$328,0),10)</f>
        <v>0.48126801152737753</v>
      </c>
      <c r="F15" s="8">
        <f t="shared" si="0"/>
        <v>2.4820000000000002</v>
      </c>
      <c r="G15" s="8">
        <f t="shared" si="1"/>
        <v>1.639</v>
      </c>
      <c r="H15" s="8">
        <f t="shared" si="2"/>
        <v>4.1210000000000004</v>
      </c>
      <c r="I15">
        <f>INDEX(StartupfileInput!$A$2:$D$328,MATCH(Calculation!$A15,StartupfileInput!$A$2:$A$328,0),4)</f>
        <v>6891</v>
      </c>
      <c r="J15" s="107">
        <f t="shared" si="3"/>
        <v>7049</v>
      </c>
      <c r="K15" s="9">
        <f t="shared" si="4"/>
        <v>17496</v>
      </c>
      <c r="L15" s="9">
        <f t="shared" si="5"/>
        <v>11553</v>
      </c>
      <c r="M15" s="9">
        <f t="shared" si="6"/>
        <v>29049</v>
      </c>
    </row>
    <row r="16" spans="1:20" ht="12.75" x14ac:dyDescent="0.2">
      <c r="A16" s="2" t="str">
        <f>StartupfileInput!A14</f>
        <v>0225</v>
      </c>
      <c r="B16" s="1" t="str">
        <f>INDEX(ActiveDistricts!$A$2:$J$328,MATCH(Calculation!$A16,ActiveDistricts!$C$2:$C$328,0),6)</f>
        <v>0225</v>
      </c>
      <c r="C16" s="1" t="str">
        <f>INDEX(ActiveDistricts!$A$2:$J$328,MATCH(Calculation!$A16,ActiveDistricts!$C$2:$C$328,0),7)</f>
        <v>Ames</v>
      </c>
      <c r="D16" s="14">
        <f>INDEX(StartupfileInput!$A$2:$D$328,MATCH(Calculation!$A16,StartupfileInput!$A$2:$A$328,0),3)</f>
        <v>4477.3999999999996</v>
      </c>
      <c r="E16" s="20">
        <f>INDEX(ActiveDistricts!$A$2:$J$328,MATCH(Calculation!$A16,ActiveDistricts!$C$2:$C$328,0),10)</f>
        <v>0.31712962962962965</v>
      </c>
      <c r="F16" s="8">
        <f t="shared" si="0"/>
        <v>9.1159999999999997</v>
      </c>
      <c r="G16" s="8">
        <f t="shared" si="1"/>
        <v>9.1340000000000003</v>
      </c>
      <c r="H16" s="8">
        <f t="shared" si="2"/>
        <v>18.25</v>
      </c>
      <c r="I16">
        <f>INDEX(StartupfileInput!$A$2:$D$328,MATCH(Calculation!$A16,StartupfileInput!$A$2:$A$328,0),4)</f>
        <v>6960</v>
      </c>
      <c r="J16" s="107">
        <f t="shared" si="3"/>
        <v>7118</v>
      </c>
      <c r="K16" s="9">
        <f t="shared" si="4"/>
        <v>64888</v>
      </c>
      <c r="L16" s="9">
        <f t="shared" si="5"/>
        <v>65016</v>
      </c>
      <c r="M16" s="9">
        <f t="shared" si="6"/>
        <v>129904</v>
      </c>
    </row>
    <row r="17" spans="1:13" ht="12.75" x14ac:dyDescent="0.2">
      <c r="A17" s="2" t="str">
        <f>StartupfileInput!A15</f>
        <v>0234</v>
      </c>
      <c r="B17" s="1" t="str">
        <f>INDEX(ActiveDistricts!$A$2:$J$328,MATCH(Calculation!$A17,ActiveDistricts!$C$2:$C$328,0),6)</f>
        <v>0234</v>
      </c>
      <c r="C17" s="1" t="str">
        <f>INDEX(ActiveDistricts!$A$2:$J$328,MATCH(Calculation!$A17,ActiveDistricts!$C$2:$C$328,0),7)</f>
        <v>Anamosa</v>
      </c>
      <c r="D17" s="14">
        <f>INDEX(StartupfileInput!$A$2:$D$328,MATCH(Calculation!$A17,StartupfileInput!$A$2:$A$328,0),3)</f>
        <v>1298.2</v>
      </c>
      <c r="E17" s="20">
        <f>INDEX(ActiveDistricts!$A$2:$J$328,MATCH(Calculation!$A17,ActiveDistricts!$C$2:$C$328,0),10)</f>
        <v>0.45050505050505052</v>
      </c>
      <c r="F17" s="8">
        <f t="shared" si="0"/>
        <v>3.7549999999999999</v>
      </c>
      <c r="G17" s="8">
        <f t="shared" si="1"/>
        <v>2.6480000000000001</v>
      </c>
      <c r="H17" s="8">
        <f t="shared" si="2"/>
        <v>6.4030000000000005</v>
      </c>
      <c r="I17">
        <f>INDEX(StartupfileInput!$A$2:$D$328,MATCH(Calculation!$A17,StartupfileInput!$A$2:$A$328,0),4)</f>
        <v>6887</v>
      </c>
      <c r="J17" s="107">
        <f t="shared" si="3"/>
        <v>7048</v>
      </c>
      <c r="K17" s="9">
        <f t="shared" si="4"/>
        <v>26465</v>
      </c>
      <c r="L17" s="9">
        <f t="shared" si="5"/>
        <v>18663</v>
      </c>
      <c r="M17" s="9">
        <f t="shared" si="6"/>
        <v>45128</v>
      </c>
    </row>
    <row r="18" spans="1:13" ht="12.75" x14ac:dyDescent="0.2">
      <c r="A18" s="2" t="str">
        <f>StartupfileInput!A16</f>
        <v>0243</v>
      </c>
      <c r="B18" s="1" t="str">
        <f>INDEX(ActiveDistricts!$A$2:$J$328,MATCH(Calculation!$A18,ActiveDistricts!$C$2:$C$328,0),6)</f>
        <v>0243</v>
      </c>
      <c r="C18" s="1" t="str">
        <f>INDEX(ActiveDistricts!$A$2:$J$328,MATCH(Calculation!$A18,ActiveDistricts!$C$2:$C$328,0),7)</f>
        <v>Andrew</v>
      </c>
      <c r="D18" s="14">
        <f>INDEX(StartupfileInput!$A$2:$D$328,MATCH(Calculation!$A18,StartupfileInput!$A$2:$A$328,0),3)</f>
        <v>234.3</v>
      </c>
      <c r="E18" s="20">
        <f>INDEX(ActiveDistricts!$A$2:$J$328,MATCH(Calculation!$A18,ActiveDistricts!$C$2:$C$328,0),10)</f>
        <v>0.40206185567010311</v>
      </c>
      <c r="F18" s="8">
        <f t="shared" si="0"/>
        <v>0.60499999999999998</v>
      </c>
      <c r="G18" s="8">
        <f t="shared" si="1"/>
        <v>0.47799999999999998</v>
      </c>
      <c r="H18" s="8">
        <f t="shared" si="2"/>
        <v>1.083</v>
      </c>
      <c r="I18">
        <f>INDEX(StartupfileInput!$A$2:$D$328,MATCH(Calculation!$A18,StartupfileInput!$A$2:$A$328,0),4)</f>
        <v>6935</v>
      </c>
      <c r="J18" s="107">
        <f t="shared" si="3"/>
        <v>7093</v>
      </c>
      <c r="K18" s="9">
        <f t="shared" si="4"/>
        <v>4291</v>
      </c>
      <c r="L18" s="9">
        <f t="shared" si="5"/>
        <v>3391</v>
      </c>
      <c r="M18" s="9">
        <f t="shared" si="6"/>
        <v>7682</v>
      </c>
    </row>
    <row r="19" spans="1:13" ht="12.75" x14ac:dyDescent="0.2">
      <c r="A19" s="2" t="str">
        <f>StartupfileInput!A17</f>
        <v>0261</v>
      </c>
      <c r="B19" s="1" t="str">
        <f>INDEX(ActiveDistricts!$A$2:$J$328,MATCH(Calculation!$A19,ActiveDistricts!$C$2:$C$328,0),6)</f>
        <v>0261</v>
      </c>
      <c r="C19" s="1" t="str">
        <f>INDEX(ActiveDistricts!$A$2:$J$328,MATCH(Calculation!$A19,ActiveDistricts!$C$2:$C$328,0),7)</f>
        <v>Ankeny</v>
      </c>
      <c r="D19" s="14">
        <f>INDEX(StartupfileInput!$A$2:$D$328,MATCH(Calculation!$A19,StartupfileInput!$A$2:$A$328,0),3)</f>
        <v>12255.8</v>
      </c>
      <c r="E19" s="20">
        <f>INDEX(ActiveDistricts!$A$2:$J$328,MATCH(Calculation!$A19,ActiveDistricts!$C$2:$C$328,0),10)</f>
        <v>0.16807165437302424</v>
      </c>
      <c r="F19" s="8">
        <f t="shared" si="0"/>
        <v>13.224</v>
      </c>
      <c r="G19" s="8">
        <f t="shared" si="1"/>
        <v>25.001999999999999</v>
      </c>
      <c r="H19" s="8">
        <f t="shared" si="2"/>
        <v>38.225999999999999</v>
      </c>
      <c r="I19">
        <f>INDEX(StartupfileInput!$A$2:$D$328,MATCH(Calculation!$A19,StartupfileInput!$A$2:$A$328,0),4)</f>
        <v>6880</v>
      </c>
      <c r="J19" s="107">
        <f t="shared" si="3"/>
        <v>7048</v>
      </c>
      <c r="K19" s="9">
        <f t="shared" si="4"/>
        <v>93203</v>
      </c>
      <c r="L19" s="9">
        <f t="shared" si="5"/>
        <v>176214</v>
      </c>
      <c r="M19" s="9">
        <f t="shared" si="6"/>
        <v>269417</v>
      </c>
    </row>
    <row r="20" spans="1:13" ht="12.75" x14ac:dyDescent="0.2">
      <c r="A20" s="2" t="str">
        <f>StartupfileInput!A18</f>
        <v>0279</v>
      </c>
      <c r="B20" s="1" t="str">
        <f>INDEX(ActiveDistricts!$A$2:$J$328,MATCH(Calculation!$A20,ActiveDistricts!$C$2:$C$328,0),6)</f>
        <v>0279</v>
      </c>
      <c r="C20" s="1" t="str">
        <f>INDEX(ActiveDistricts!$A$2:$J$328,MATCH(Calculation!$A20,ActiveDistricts!$C$2:$C$328,0),7)</f>
        <v>Aplington-Parkersburg</v>
      </c>
      <c r="D20" s="14">
        <f>INDEX(StartupfileInput!$A$2:$D$328,MATCH(Calculation!$A20,StartupfileInput!$A$2:$A$328,0),3)</f>
        <v>788</v>
      </c>
      <c r="E20" s="20">
        <f>INDEX(ActiveDistricts!$A$2:$J$328,MATCH(Calculation!$A20,ActiveDistricts!$C$2:$C$328,0),10)</f>
        <v>0.31988472622478387</v>
      </c>
      <c r="F20" s="8">
        <f t="shared" si="0"/>
        <v>1.6180000000000001</v>
      </c>
      <c r="G20" s="8">
        <f t="shared" si="1"/>
        <v>1.6080000000000001</v>
      </c>
      <c r="H20" s="8">
        <f t="shared" si="2"/>
        <v>3.226</v>
      </c>
      <c r="I20">
        <f>INDEX(StartupfileInput!$A$2:$D$328,MATCH(Calculation!$A20,StartupfileInput!$A$2:$A$328,0),4)</f>
        <v>6880</v>
      </c>
      <c r="J20" s="107">
        <f t="shared" si="3"/>
        <v>7048</v>
      </c>
      <c r="K20" s="9">
        <f t="shared" si="4"/>
        <v>11404</v>
      </c>
      <c r="L20" s="9">
        <f t="shared" si="5"/>
        <v>11333</v>
      </c>
      <c r="M20" s="9">
        <f t="shared" si="6"/>
        <v>22737</v>
      </c>
    </row>
    <row r="21" spans="1:13" ht="12.75" x14ac:dyDescent="0.2">
      <c r="A21" s="2" t="str">
        <f>StartupfileInput!A19</f>
        <v>0355</v>
      </c>
      <c r="B21" s="1" t="str">
        <f>INDEX(ActiveDistricts!$A$2:$J$328,MATCH(Calculation!$A21,ActiveDistricts!$C$2:$C$328,0),6)</f>
        <v>0355</v>
      </c>
      <c r="C21" s="1" t="str">
        <f>INDEX(ActiveDistricts!$A$2:$J$328,MATCH(Calculation!$A21,ActiveDistricts!$C$2:$C$328,0),7)</f>
        <v>Ar-We-Va</v>
      </c>
      <c r="D21" s="14">
        <f>INDEX(StartupfileInput!$A$2:$D$328,MATCH(Calculation!$A21,StartupfileInput!$A$2:$A$328,0),3)</f>
        <v>274</v>
      </c>
      <c r="E21" s="20">
        <f>INDEX(ActiveDistricts!$A$2:$J$328,MATCH(Calculation!$A21,ActiveDistricts!$C$2:$C$328,0),10)</f>
        <v>0.57894736842105265</v>
      </c>
      <c r="F21" s="8">
        <f t="shared" si="0"/>
        <v>1.018</v>
      </c>
      <c r="G21" s="8">
        <f t="shared" si="1"/>
        <v>0.55900000000000005</v>
      </c>
      <c r="H21" s="8">
        <f t="shared" si="2"/>
        <v>1.577</v>
      </c>
      <c r="I21">
        <f>INDEX(StartupfileInput!$A$2:$D$328,MATCH(Calculation!$A21,StartupfileInput!$A$2:$A$328,0),4)</f>
        <v>6880</v>
      </c>
      <c r="J21" s="107">
        <f t="shared" si="3"/>
        <v>7048</v>
      </c>
      <c r="K21" s="9">
        <f t="shared" si="4"/>
        <v>7175</v>
      </c>
      <c r="L21" s="9">
        <f t="shared" si="5"/>
        <v>3940</v>
      </c>
      <c r="M21" s="9">
        <f t="shared" si="6"/>
        <v>11115</v>
      </c>
    </row>
    <row r="22" spans="1:13" ht="12.75" x14ac:dyDescent="0.2">
      <c r="A22" s="2" t="str">
        <f>StartupfileInput!A20</f>
        <v>0387</v>
      </c>
      <c r="B22" s="1" t="str">
        <f>INDEX(ActiveDistricts!$A$2:$J$328,MATCH(Calculation!$A22,ActiveDistricts!$C$2:$C$328,0),6)</f>
        <v>0387</v>
      </c>
      <c r="C22" s="1" t="str">
        <f>INDEX(ActiveDistricts!$A$2:$J$328,MATCH(Calculation!$A22,ActiveDistricts!$C$2:$C$328,0),7)</f>
        <v>Atlantic</v>
      </c>
      <c r="D22" s="14">
        <f>INDEX(StartupfileInput!$A$2:$D$328,MATCH(Calculation!$A22,StartupfileInput!$A$2:$A$328,0),3)</f>
        <v>1334.3</v>
      </c>
      <c r="E22" s="20">
        <f>INDEX(ActiveDistricts!$A$2:$J$328,MATCH(Calculation!$A22,ActiveDistricts!$C$2:$C$328,0),10)</f>
        <v>0.56000000000000005</v>
      </c>
      <c r="F22" s="8">
        <f t="shared" si="0"/>
        <v>4.7969999999999997</v>
      </c>
      <c r="G22" s="8">
        <f t="shared" si="1"/>
        <v>2.722</v>
      </c>
      <c r="H22" s="8">
        <f t="shared" si="2"/>
        <v>7.5190000000000001</v>
      </c>
      <c r="I22">
        <f>INDEX(StartupfileInput!$A$2:$D$328,MATCH(Calculation!$A22,StartupfileInput!$A$2:$A$328,0),4)</f>
        <v>6880</v>
      </c>
      <c r="J22" s="107">
        <f t="shared" si="3"/>
        <v>7048</v>
      </c>
      <c r="K22" s="9">
        <f t="shared" si="4"/>
        <v>33809</v>
      </c>
      <c r="L22" s="9">
        <f t="shared" si="5"/>
        <v>19185</v>
      </c>
      <c r="M22" s="9">
        <f t="shared" si="6"/>
        <v>52994</v>
      </c>
    </row>
    <row r="23" spans="1:13" ht="12.75" x14ac:dyDescent="0.2">
      <c r="A23" s="2" t="str">
        <f>StartupfileInput!A21</f>
        <v>0414</v>
      </c>
      <c r="B23" s="1" t="str">
        <f>INDEX(ActiveDistricts!$A$2:$J$328,MATCH(Calculation!$A23,ActiveDistricts!$C$2:$C$328,0),6)</f>
        <v>0414</v>
      </c>
      <c r="C23" s="1" t="str">
        <f>INDEX(ActiveDistricts!$A$2:$J$328,MATCH(Calculation!$A23,ActiveDistricts!$C$2:$C$328,0),7)</f>
        <v>Audubon</v>
      </c>
      <c r="D23" s="14">
        <f>INDEX(StartupfileInput!$A$2:$D$328,MATCH(Calculation!$A23,StartupfileInput!$A$2:$A$328,0),3)</f>
        <v>514.1</v>
      </c>
      <c r="E23" s="20">
        <f>INDEX(ActiveDistricts!$A$2:$J$328,MATCH(Calculation!$A23,ActiveDistricts!$C$2:$C$328,0),10)</f>
        <v>0.45934959349593496</v>
      </c>
      <c r="F23" s="8">
        <f t="shared" si="0"/>
        <v>1.516</v>
      </c>
      <c r="G23" s="8">
        <f t="shared" si="1"/>
        <v>1.0489999999999999</v>
      </c>
      <c r="H23" s="8">
        <f t="shared" si="2"/>
        <v>2.5649999999999999</v>
      </c>
      <c r="I23">
        <f>INDEX(StartupfileInput!$A$2:$D$328,MATCH(Calculation!$A23,StartupfileInput!$A$2:$A$328,0),4)</f>
        <v>6949</v>
      </c>
      <c r="J23" s="107">
        <f t="shared" si="3"/>
        <v>7107</v>
      </c>
      <c r="K23" s="9">
        <f t="shared" si="4"/>
        <v>10774</v>
      </c>
      <c r="L23" s="9">
        <f t="shared" si="5"/>
        <v>7455</v>
      </c>
      <c r="M23" s="9">
        <f t="shared" si="6"/>
        <v>18229</v>
      </c>
    </row>
    <row r="24" spans="1:13" ht="12.75" x14ac:dyDescent="0.2">
      <c r="A24" s="2" t="str">
        <f>StartupfileInput!A22</f>
        <v>0540</v>
      </c>
      <c r="B24" s="1" t="str">
        <f>INDEX(ActiveDistricts!$A$2:$J$328,MATCH(Calculation!$A24,ActiveDistricts!$C$2:$C$328,0),6)</f>
        <v>0540</v>
      </c>
      <c r="C24" s="1" t="str">
        <f>INDEX(ActiveDistricts!$A$2:$J$328,MATCH(Calculation!$A24,ActiveDistricts!$C$2:$C$328,0),7)</f>
        <v>BCLUW</v>
      </c>
      <c r="D24" s="14">
        <f>INDEX(StartupfileInput!$A$2:$D$328,MATCH(Calculation!$A24,StartupfileInput!$A$2:$A$328,0),3)</f>
        <v>504.1</v>
      </c>
      <c r="E24" s="20">
        <f>INDEX(ActiveDistricts!$A$2:$J$328,MATCH(Calculation!$A24,ActiveDistricts!$C$2:$C$328,0),10)</f>
        <v>0.38495575221238937</v>
      </c>
      <c r="F24" s="8">
        <f t="shared" si="0"/>
        <v>1.246</v>
      </c>
      <c r="G24" s="8">
        <f t="shared" si="1"/>
        <v>1.028</v>
      </c>
      <c r="H24" s="8">
        <f t="shared" si="2"/>
        <v>2.274</v>
      </c>
      <c r="I24">
        <f>INDEX(StartupfileInput!$A$2:$D$328,MATCH(Calculation!$A24,StartupfileInput!$A$2:$A$328,0),4)</f>
        <v>6951</v>
      </c>
      <c r="J24" s="107">
        <f t="shared" si="3"/>
        <v>7109</v>
      </c>
      <c r="K24" s="9">
        <f t="shared" si="4"/>
        <v>8858</v>
      </c>
      <c r="L24" s="9">
        <f t="shared" si="5"/>
        <v>7308</v>
      </c>
      <c r="M24" s="9">
        <f t="shared" si="6"/>
        <v>16166</v>
      </c>
    </row>
    <row r="25" spans="1:13" ht="12.75" x14ac:dyDescent="0.2">
      <c r="A25" s="2" t="str">
        <f>StartupfileInput!A23</f>
        <v>0472</v>
      </c>
      <c r="B25" s="1" t="str">
        <f>INDEX(ActiveDistricts!$A$2:$J$328,MATCH(Calculation!$A25,ActiveDistricts!$C$2:$C$328,0),6)</f>
        <v>0472</v>
      </c>
      <c r="C25" s="1" t="str">
        <f>INDEX(ActiveDistricts!$A$2:$J$328,MATCH(Calculation!$A25,ActiveDistricts!$C$2:$C$328,0),7)</f>
        <v>Ballard</v>
      </c>
      <c r="D25" s="14">
        <f>INDEX(StartupfileInput!$A$2:$D$328,MATCH(Calculation!$A25,StartupfileInput!$A$2:$A$328,0),3)</f>
        <v>1639.3</v>
      </c>
      <c r="E25" s="20">
        <f>INDEX(ActiveDistricts!$A$2:$J$328,MATCH(Calculation!$A25,ActiveDistricts!$C$2:$C$328,0),10)</f>
        <v>0.17528373266078184</v>
      </c>
      <c r="F25" s="8">
        <f t="shared" si="0"/>
        <v>1.845</v>
      </c>
      <c r="G25" s="8">
        <f t="shared" si="1"/>
        <v>3.3439999999999999</v>
      </c>
      <c r="H25" s="8">
        <f t="shared" si="2"/>
        <v>5.1890000000000001</v>
      </c>
      <c r="I25">
        <f>INDEX(StartupfileInput!$A$2:$D$328,MATCH(Calculation!$A25,StartupfileInput!$A$2:$A$328,0),4)</f>
        <v>6880</v>
      </c>
      <c r="J25" s="107">
        <f t="shared" si="3"/>
        <v>7048</v>
      </c>
      <c r="K25" s="9">
        <f t="shared" si="4"/>
        <v>13004</v>
      </c>
      <c r="L25" s="9">
        <f t="shared" si="5"/>
        <v>23568</v>
      </c>
      <c r="M25" s="9">
        <f t="shared" si="6"/>
        <v>36572</v>
      </c>
    </row>
    <row r="26" spans="1:13" ht="12.75" x14ac:dyDescent="0.2">
      <c r="A26" s="2" t="str">
        <f>StartupfileInput!A24</f>
        <v>0513</v>
      </c>
      <c r="B26" s="1" t="str">
        <f>INDEX(ActiveDistricts!$A$2:$J$328,MATCH(Calculation!$A26,ActiveDistricts!$C$2:$C$328,0),6)</f>
        <v>0513</v>
      </c>
      <c r="C26" s="1" t="str">
        <f>INDEX(ActiveDistricts!$A$2:$J$328,MATCH(Calculation!$A26,ActiveDistricts!$C$2:$C$328,0),7)</f>
        <v>Baxter</v>
      </c>
      <c r="D26" s="14">
        <f>INDEX(StartupfileInput!$A$2:$D$328,MATCH(Calculation!$A26,StartupfileInput!$A$2:$A$328,0),3)</f>
        <v>323.10000000000002</v>
      </c>
      <c r="E26" s="20">
        <f>INDEX(ActiveDistricts!$A$2:$J$328,MATCH(Calculation!$A26,ActiveDistricts!$C$2:$C$328,0),10)</f>
        <v>0.27604166666666669</v>
      </c>
      <c r="F26" s="8">
        <f t="shared" si="0"/>
        <v>0.57299999999999995</v>
      </c>
      <c r="G26" s="8">
        <f t="shared" si="1"/>
        <v>0.65900000000000003</v>
      </c>
      <c r="H26" s="8">
        <f t="shared" si="2"/>
        <v>1.232</v>
      </c>
      <c r="I26">
        <f>INDEX(StartupfileInput!$A$2:$D$328,MATCH(Calculation!$A26,StartupfileInput!$A$2:$A$328,0),4)</f>
        <v>6880</v>
      </c>
      <c r="J26" s="107">
        <f t="shared" si="3"/>
        <v>7048</v>
      </c>
      <c r="K26" s="9">
        <f t="shared" si="4"/>
        <v>4039</v>
      </c>
      <c r="L26" s="9">
        <f t="shared" si="5"/>
        <v>4644</v>
      </c>
      <c r="M26" s="9">
        <f t="shared" si="6"/>
        <v>8683</v>
      </c>
    </row>
    <row r="27" spans="1:13" ht="12.75" x14ac:dyDescent="0.2">
      <c r="A27" s="2" t="str">
        <f>StartupfileInput!A25</f>
        <v>0549</v>
      </c>
      <c r="B27" s="1" t="str">
        <f>INDEX(ActiveDistricts!$A$2:$J$328,MATCH(Calculation!$A27,ActiveDistricts!$C$2:$C$328,0),6)</f>
        <v>0549</v>
      </c>
      <c r="C27" s="1" t="str">
        <f>INDEX(ActiveDistricts!$A$2:$J$328,MATCH(Calculation!$A27,ActiveDistricts!$C$2:$C$328,0),7)</f>
        <v>Bedford</v>
      </c>
      <c r="D27" s="14">
        <f>INDEX(StartupfileInput!$A$2:$D$328,MATCH(Calculation!$A27,StartupfileInput!$A$2:$A$328,0),3)</f>
        <v>499</v>
      </c>
      <c r="E27" s="20">
        <f>INDEX(ActiveDistricts!$A$2:$J$328,MATCH(Calculation!$A27,ActiveDistricts!$C$2:$C$328,0),10)</f>
        <v>0.4622222222222222</v>
      </c>
      <c r="F27" s="8">
        <f t="shared" si="0"/>
        <v>1.4810000000000001</v>
      </c>
      <c r="G27" s="8">
        <f t="shared" si="1"/>
        <v>1.018</v>
      </c>
      <c r="H27" s="8">
        <f t="shared" si="2"/>
        <v>2.4990000000000001</v>
      </c>
      <c r="I27">
        <f>INDEX(StartupfileInput!$A$2:$D$328,MATCH(Calculation!$A27,StartupfileInput!$A$2:$A$328,0),4)</f>
        <v>6880</v>
      </c>
      <c r="J27" s="107">
        <f t="shared" si="3"/>
        <v>7048</v>
      </c>
      <c r="K27" s="9">
        <f t="shared" si="4"/>
        <v>10438</v>
      </c>
      <c r="L27" s="9">
        <f t="shared" si="5"/>
        <v>7175</v>
      </c>
      <c r="M27" s="9">
        <f t="shared" si="6"/>
        <v>17613</v>
      </c>
    </row>
    <row r="28" spans="1:13" ht="12.75" x14ac:dyDescent="0.2">
      <c r="A28" s="2" t="str">
        <f>StartupfileInput!A26</f>
        <v>0576</v>
      </c>
      <c r="B28" s="1" t="str">
        <f>INDEX(ActiveDistricts!$A$2:$J$328,MATCH(Calculation!$A28,ActiveDistricts!$C$2:$C$328,0),6)</f>
        <v>0576</v>
      </c>
      <c r="C28" s="1" t="str">
        <f>INDEX(ActiveDistricts!$A$2:$J$328,MATCH(Calculation!$A28,ActiveDistricts!$C$2:$C$328,0),7)</f>
        <v>Belle Plaine</v>
      </c>
      <c r="D28" s="14">
        <f>INDEX(StartupfileInput!$A$2:$D$328,MATCH(Calculation!$A28,StartupfileInput!$A$2:$A$328,0),3)</f>
        <v>484.3</v>
      </c>
      <c r="E28" s="20">
        <f>INDEX(ActiveDistricts!$A$2:$J$328,MATCH(Calculation!$A28,ActiveDistricts!$C$2:$C$328,0),10)</f>
        <v>0.47169811320754718</v>
      </c>
      <c r="F28" s="8">
        <f t="shared" si="0"/>
        <v>1.4670000000000001</v>
      </c>
      <c r="G28" s="8">
        <f t="shared" si="1"/>
        <v>0.98799999999999999</v>
      </c>
      <c r="H28" s="8">
        <f t="shared" si="2"/>
        <v>2.4550000000000001</v>
      </c>
      <c r="I28">
        <f>INDEX(StartupfileInput!$A$2:$D$328,MATCH(Calculation!$A28,StartupfileInput!$A$2:$A$328,0),4)</f>
        <v>6880</v>
      </c>
      <c r="J28" s="107">
        <f t="shared" si="3"/>
        <v>7048</v>
      </c>
      <c r="K28" s="9">
        <f t="shared" si="4"/>
        <v>10339</v>
      </c>
      <c r="L28" s="9">
        <f t="shared" si="5"/>
        <v>6964</v>
      </c>
      <c r="M28" s="9">
        <f t="shared" si="6"/>
        <v>17303</v>
      </c>
    </row>
    <row r="29" spans="1:13" ht="12.75" x14ac:dyDescent="0.2">
      <c r="A29" s="2" t="str">
        <f>StartupfileInput!A27</f>
        <v>0585</v>
      </c>
      <c r="B29" s="1" t="str">
        <f>INDEX(ActiveDistricts!$A$2:$J$328,MATCH(Calculation!$A29,ActiveDistricts!$C$2:$C$328,0),6)</f>
        <v>0585</v>
      </c>
      <c r="C29" s="1" t="str">
        <f>INDEX(ActiveDistricts!$A$2:$J$328,MATCH(Calculation!$A29,ActiveDistricts!$C$2:$C$328,0),7)</f>
        <v>Bellevue</v>
      </c>
      <c r="D29" s="14">
        <f>INDEX(StartupfileInput!$A$2:$D$328,MATCH(Calculation!$A29,StartupfileInput!$A$2:$A$328,0),3)</f>
        <v>600.1</v>
      </c>
      <c r="E29" s="20">
        <f>INDEX(ActiveDistricts!$A$2:$J$328,MATCH(Calculation!$A29,ActiveDistricts!$C$2:$C$328,0),10)</f>
        <v>0.25362318840579712</v>
      </c>
      <c r="F29" s="8">
        <f t="shared" si="0"/>
        <v>0.97699999999999998</v>
      </c>
      <c r="G29" s="8">
        <f t="shared" si="1"/>
        <v>1.224</v>
      </c>
      <c r="H29" s="8">
        <f t="shared" si="2"/>
        <v>2.2010000000000001</v>
      </c>
      <c r="I29">
        <f>INDEX(StartupfileInput!$A$2:$D$328,MATCH(Calculation!$A29,StartupfileInput!$A$2:$A$328,0),4)</f>
        <v>6927</v>
      </c>
      <c r="J29" s="107">
        <f t="shared" si="3"/>
        <v>7085</v>
      </c>
      <c r="K29" s="9">
        <f t="shared" si="4"/>
        <v>6922</v>
      </c>
      <c r="L29" s="9">
        <f t="shared" si="5"/>
        <v>8672</v>
      </c>
      <c r="M29" s="9">
        <f t="shared" si="6"/>
        <v>15594</v>
      </c>
    </row>
    <row r="30" spans="1:13" ht="12.75" x14ac:dyDescent="0.2">
      <c r="A30" s="2" t="str">
        <f>StartupfileInput!A28</f>
        <v>0594</v>
      </c>
      <c r="B30" s="1" t="str">
        <f>INDEX(ActiveDistricts!$A$2:$J$328,MATCH(Calculation!$A30,ActiveDistricts!$C$2:$C$328,0),6)</f>
        <v>0594</v>
      </c>
      <c r="C30" s="1" t="str">
        <f>INDEX(ActiveDistricts!$A$2:$J$328,MATCH(Calculation!$A30,ActiveDistricts!$C$2:$C$328,0),7)</f>
        <v>Belmond-Klemme</v>
      </c>
      <c r="D30" s="14">
        <f>INDEX(StartupfileInput!$A$2:$D$328,MATCH(Calculation!$A30,StartupfileInput!$A$2:$A$328,0),3)</f>
        <v>774.9</v>
      </c>
      <c r="E30" s="20">
        <f>INDEX(ActiveDistricts!$A$2:$J$328,MATCH(Calculation!$A30,ActiveDistricts!$C$2:$C$328,0),10)</f>
        <v>0.49295774647887325</v>
      </c>
      <c r="F30" s="8">
        <f t="shared" si="0"/>
        <v>2.452</v>
      </c>
      <c r="G30" s="8">
        <f t="shared" si="1"/>
        <v>1.581</v>
      </c>
      <c r="H30" s="8">
        <f t="shared" si="2"/>
        <v>4.0329999999999995</v>
      </c>
      <c r="I30">
        <f>INDEX(StartupfileInput!$A$2:$D$328,MATCH(Calculation!$A30,StartupfileInput!$A$2:$A$328,0),4)</f>
        <v>6880</v>
      </c>
      <c r="J30" s="107">
        <f t="shared" si="3"/>
        <v>7048</v>
      </c>
      <c r="K30" s="9">
        <f t="shared" si="4"/>
        <v>17282</v>
      </c>
      <c r="L30" s="9">
        <f t="shared" si="5"/>
        <v>11143</v>
      </c>
      <c r="M30" s="9">
        <f t="shared" si="6"/>
        <v>28425</v>
      </c>
    </row>
    <row r="31" spans="1:13" ht="12.75" x14ac:dyDescent="0.2">
      <c r="A31" s="2" t="str">
        <f>StartupfileInput!A29</f>
        <v>0603</v>
      </c>
      <c r="B31" s="1" t="str">
        <f>INDEX(ActiveDistricts!$A$2:$J$328,MATCH(Calculation!$A31,ActiveDistricts!$C$2:$C$328,0),6)</f>
        <v>0603</v>
      </c>
      <c r="C31" s="1" t="str">
        <f>INDEX(ActiveDistricts!$A$2:$J$328,MATCH(Calculation!$A31,ActiveDistricts!$C$2:$C$328,0),7)</f>
        <v>Bennett</v>
      </c>
      <c r="D31" s="14">
        <f>INDEX(StartupfileInput!$A$2:$D$328,MATCH(Calculation!$A31,StartupfileInput!$A$2:$A$328,0),3)</f>
        <v>194.4</v>
      </c>
      <c r="E31" s="20">
        <f>INDEX(ActiveDistricts!$A$2:$J$328,MATCH(Calculation!$A31,ActiveDistricts!$C$2:$C$328,0),10)</f>
        <v>0.45</v>
      </c>
      <c r="F31" s="8">
        <f t="shared" si="0"/>
        <v>0.56200000000000006</v>
      </c>
      <c r="G31" s="8">
        <f t="shared" si="1"/>
        <v>0.39700000000000002</v>
      </c>
      <c r="H31" s="8">
        <f t="shared" si="2"/>
        <v>0.95900000000000007</v>
      </c>
      <c r="I31">
        <f>INDEX(StartupfileInput!$A$2:$D$328,MATCH(Calculation!$A31,StartupfileInput!$A$2:$A$328,0),4)</f>
        <v>7001</v>
      </c>
      <c r="J31" s="107">
        <f t="shared" si="3"/>
        <v>7159</v>
      </c>
      <c r="K31" s="9">
        <f t="shared" si="4"/>
        <v>4023</v>
      </c>
      <c r="L31" s="9">
        <f t="shared" si="5"/>
        <v>2842</v>
      </c>
      <c r="M31" s="9">
        <f t="shared" si="6"/>
        <v>6865</v>
      </c>
    </row>
    <row r="32" spans="1:13" ht="12.75" x14ac:dyDescent="0.2">
      <c r="A32" s="2" t="str">
        <f>StartupfileInput!A30</f>
        <v>0609</v>
      </c>
      <c r="B32" s="1" t="str">
        <f>INDEX(ActiveDistricts!$A$2:$J$328,MATCH(Calculation!$A32,ActiveDistricts!$C$2:$C$328,0),6)</f>
        <v>0609</v>
      </c>
      <c r="C32" s="1" t="str">
        <f>INDEX(ActiveDistricts!$A$2:$J$328,MATCH(Calculation!$A32,ActiveDistricts!$C$2:$C$328,0),7)</f>
        <v>Benton</v>
      </c>
      <c r="D32" s="14">
        <f>INDEX(StartupfileInput!$A$2:$D$328,MATCH(Calculation!$A32,StartupfileInput!$A$2:$A$328,0),3)</f>
        <v>1522.3</v>
      </c>
      <c r="E32" s="20">
        <f>INDEX(ActiveDistricts!$A$2:$J$328,MATCH(Calculation!$A32,ActiveDistricts!$C$2:$C$328,0),10)</f>
        <v>0.24881889763779527</v>
      </c>
      <c r="F32" s="8">
        <f t="shared" si="0"/>
        <v>2.4319999999999999</v>
      </c>
      <c r="G32" s="8">
        <f t="shared" si="1"/>
        <v>3.105</v>
      </c>
      <c r="H32" s="8">
        <f t="shared" si="2"/>
        <v>5.5369999999999999</v>
      </c>
      <c r="I32">
        <f>INDEX(StartupfileInput!$A$2:$D$328,MATCH(Calculation!$A32,StartupfileInput!$A$2:$A$328,0),4)</f>
        <v>6935</v>
      </c>
      <c r="J32" s="107">
        <f t="shared" si="3"/>
        <v>7093</v>
      </c>
      <c r="K32" s="9">
        <f t="shared" si="4"/>
        <v>17250</v>
      </c>
      <c r="L32" s="9">
        <f t="shared" si="5"/>
        <v>22024</v>
      </c>
      <c r="M32" s="9">
        <f t="shared" si="6"/>
        <v>39274</v>
      </c>
    </row>
    <row r="33" spans="1:13" ht="12.75" x14ac:dyDescent="0.2">
      <c r="A33" s="2" t="str">
        <f>StartupfileInput!A31</f>
        <v>0621</v>
      </c>
      <c r="B33" s="1" t="str">
        <f>INDEX(ActiveDistricts!$A$2:$J$328,MATCH(Calculation!$A33,ActiveDistricts!$C$2:$C$328,0),6)</f>
        <v>0621</v>
      </c>
      <c r="C33" s="1" t="str">
        <f>INDEX(ActiveDistricts!$A$2:$J$328,MATCH(Calculation!$A33,ActiveDistricts!$C$2:$C$328,0),7)</f>
        <v>Bettendorf</v>
      </c>
      <c r="D33" s="14">
        <f>INDEX(StartupfileInput!$A$2:$D$328,MATCH(Calculation!$A33,StartupfileInput!$A$2:$A$328,0),3)</f>
        <v>4171</v>
      </c>
      <c r="E33" s="20">
        <f>INDEX(ActiveDistricts!$A$2:$J$328,MATCH(Calculation!$A33,ActiveDistricts!$C$2:$C$328,0),10)</f>
        <v>0.37009063444108764</v>
      </c>
      <c r="F33" s="8">
        <f t="shared" si="0"/>
        <v>9.91</v>
      </c>
      <c r="G33" s="8">
        <f t="shared" si="1"/>
        <v>8.5090000000000003</v>
      </c>
      <c r="H33" s="8">
        <f t="shared" si="2"/>
        <v>18.419</v>
      </c>
      <c r="I33">
        <f>INDEX(StartupfileInput!$A$2:$D$328,MATCH(Calculation!$A33,StartupfileInput!$A$2:$A$328,0),4)</f>
        <v>6944</v>
      </c>
      <c r="J33" s="107">
        <f t="shared" si="3"/>
        <v>7102</v>
      </c>
      <c r="K33" s="9">
        <f t="shared" si="4"/>
        <v>70381</v>
      </c>
      <c r="L33" s="9">
        <f t="shared" si="5"/>
        <v>60431</v>
      </c>
      <c r="M33" s="9">
        <f t="shared" si="6"/>
        <v>130812</v>
      </c>
    </row>
    <row r="34" spans="1:13" ht="12.75" x14ac:dyDescent="0.2">
      <c r="A34" s="2" t="str">
        <f>StartupfileInput!A32</f>
        <v>0720</v>
      </c>
      <c r="B34" s="1" t="str">
        <f>INDEX(ActiveDistricts!$A$2:$J$328,MATCH(Calculation!$A34,ActiveDistricts!$C$2:$C$328,0),6)</f>
        <v>0720</v>
      </c>
      <c r="C34" s="1" t="str">
        <f>INDEX(ActiveDistricts!$A$2:$J$328,MATCH(Calculation!$A34,ActiveDistricts!$C$2:$C$328,0),7)</f>
        <v>Bondurant-Farrar</v>
      </c>
      <c r="D34" s="14">
        <f>INDEX(StartupfileInput!$A$2:$D$328,MATCH(Calculation!$A34,StartupfileInput!$A$2:$A$328,0),3)</f>
        <v>2268.6999999999998</v>
      </c>
      <c r="E34" s="20">
        <f>INDEX(ActiveDistricts!$A$2:$J$328,MATCH(Calculation!$A34,ActiveDistricts!$C$2:$C$328,0),10)</f>
        <v>0.20734908136482941</v>
      </c>
      <c r="F34" s="8">
        <f t="shared" si="0"/>
        <v>3.02</v>
      </c>
      <c r="G34" s="8">
        <f t="shared" si="1"/>
        <v>4.6280000000000001</v>
      </c>
      <c r="H34" s="8">
        <f t="shared" si="2"/>
        <v>7.6479999999999997</v>
      </c>
      <c r="I34">
        <f>INDEX(StartupfileInput!$A$2:$D$328,MATCH(Calculation!$A34,StartupfileInput!$A$2:$A$328,0),4)</f>
        <v>6880</v>
      </c>
      <c r="J34" s="107">
        <f t="shared" si="3"/>
        <v>7048</v>
      </c>
      <c r="K34" s="9">
        <f t="shared" si="4"/>
        <v>21285</v>
      </c>
      <c r="L34" s="9">
        <f t="shared" si="5"/>
        <v>32618</v>
      </c>
      <c r="M34" s="9">
        <f t="shared" si="6"/>
        <v>53903</v>
      </c>
    </row>
    <row r="35" spans="1:13" ht="12.75" x14ac:dyDescent="0.2">
      <c r="A35" s="2" t="str">
        <f>StartupfileInput!A33</f>
        <v>0729</v>
      </c>
      <c r="B35" s="1" t="str">
        <f>INDEX(ActiveDistricts!$A$2:$J$328,MATCH(Calculation!$A35,ActiveDistricts!$C$2:$C$328,0),6)</f>
        <v>0729</v>
      </c>
      <c r="C35" s="1" t="str">
        <f>INDEX(ActiveDistricts!$A$2:$J$328,MATCH(Calculation!$A35,ActiveDistricts!$C$2:$C$328,0),7)</f>
        <v>Boone</v>
      </c>
      <c r="D35" s="14">
        <f>INDEX(StartupfileInput!$A$2:$D$328,MATCH(Calculation!$A35,StartupfileInput!$A$2:$A$328,0),3)</f>
        <v>2094.8000000000002</v>
      </c>
      <c r="E35" s="20">
        <f>INDEX(ActiveDistricts!$A$2:$J$328,MATCH(Calculation!$A35,ActiveDistricts!$C$2:$C$328,0),10)</f>
        <v>0.48293299620733249</v>
      </c>
      <c r="F35" s="8">
        <f t="shared" si="0"/>
        <v>6.4950000000000001</v>
      </c>
      <c r="G35" s="8">
        <f t="shared" si="1"/>
        <v>4.2729999999999997</v>
      </c>
      <c r="H35" s="8">
        <f t="shared" si="2"/>
        <v>10.768000000000001</v>
      </c>
      <c r="I35">
        <f>INDEX(StartupfileInput!$A$2:$D$328,MATCH(Calculation!$A35,StartupfileInput!$A$2:$A$328,0),4)</f>
        <v>6880</v>
      </c>
      <c r="J35" s="107">
        <f t="shared" si="3"/>
        <v>7048</v>
      </c>
      <c r="K35" s="9">
        <f t="shared" si="4"/>
        <v>45777</v>
      </c>
      <c r="L35" s="9">
        <f t="shared" si="5"/>
        <v>30116</v>
      </c>
      <c r="M35" s="9">
        <f t="shared" si="6"/>
        <v>75893</v>
      </c>
    </row>
    <row r="36" spans="1:13" ht="12.75" x14ac:dyDescent="0.2">
      <c r="A36" s="2" t="str">
        <f>StartupfileInput!A34</f>
        <v>0747</v>
      </c>
      <c r="B36" s="1" t="str">
        <f>INDEX(ActiveDistricts!$A$2:$J$328,MATCH(Calculation!$A36,ActiveDistricts!$C$2:$C$328,0),6)</f>
        <v>0747</v>
      </c>
      <c r="C36" s="1" t="str">
        <f>INDEX(ActiveDistricts!$A$2:$J$328,MATCH(Calculation!$A36,ActiveDistricts!$C$2:$C$328,0),7)</f>
        <v>Boyden-Hull</v>
      </c>
      <c r="D36" s="14">
        <f>INDEX(StartupfileInput!$A$2:$D$328,MATCH(Calculation!$A36,StartupfileInput!$A$2:$A$328,0),3)</f>
        <v>588.6</v>
      </c>
      <c r="E36" s="20">
        <f>INDEX(ActiveDistricts!$A$2:$J$328,MATCH(Calculation!$A36,ActiveDistricts!$C$2:$C$328,0),10)</f>
        <v>0.46363636363636362</v>
      </c>
      <c r="F36" s="8">
        <f t="shared" si="0"/>
        <v>1.752</v>
      </c>
      <c r="G36" s="8">
        <f t="shared" si="1"/>
        <v>1.2010000000000001</v>
      </c>
      <c r="H36" s="8">
        <f t="shared" si="2"/>
        <v>2.9530000000000003</v>
      </c>
      <c r="I36">
        <f>INDEX(StartupfileInput!$A$2:$D$328,MATCH(Calculation!$A36,StartupfileInput!$A$2:$A$328,0),4)</f>
        <v>6880</v>
      </c>
      <c r="J36" s="107">
        <f t="shared" si="3"/>
        <v>7048</v>
      </c>
      <c r="K36" s="9">
        <f t="shared" si="4"/>
        <v>12348</v>
      </c>
      <c r="L36" s="9">
        <f t="shared" si="5"/>
        <v>8465</v>
      </c>
      <c r="M36" s="9">
        <f t="shared" si="6"/>
        <v>20813</v>
      </c>
    </row>
    <row r="37" spans="1:13" ht="12.75" x14ac:dyDescent="0.2">
      <c r="A37" s="2" t="str">
        <f>StartupfileInput!A35</f>
        <v>1917</v>
      </c>
      <c r="B37" s="1" t="str">
        <f>INDEX(ActiveDistricts!$A$2:$J$328,MATCH(Calculation!$A37,ActiveDistricts!$C$2:$C$328,0),6)</f>
        <v>1917</v>
      </c>
      <c r="C37" s="1" t="str">
        <f>INDEX(ActiveDistricts!$A$2:$J$328,MATCH(Calculation!$A37,ActiveDistricts!$C$2:$C$328,0),7)</f>
        <v>Boyer Valley</v>
      </c>
      <c r="D37" s="14">
        <f>INDEX(StartupfileInput!$A$2:$D$328,MATCH(Calculation!$A37,StartupfileInput!$A$2:$A$328,0),3)</f>
        <v>401.3</v>
      </c>
      <c r="E37" s="20">
        <f>INDEX(ActiveDistricts!$A$2:$J$328,MATCH(Calculation!$A37,ActiveDistricts!$C$2:$C$328,0),10)</f>
        <v>0.43956043956043955</v>
      </c>
      <c r="F37" s="8">
        <f t="shared" si="0"/>
        <v>1.1319999999999999</v>
      </c>
      <c r="G37" s="8">
        <f t="shared" si="1"/>
        <v>0.81899999999999995</v>
      </c>
      <c r="H37" s="8">
        <f t="shared" si="2"/>
        <v>1.9509999999999998</v>
      </c>
      <c r="I37">
        <f>INDEX(StartupfileInput!$A$2:$D$328,MATCH(Calculation!$A37,StartupfileInput!$A$2:$A$328,0),4)</f>
        <v>6880</v>
      </c>
      <c r="J37" s="107">
        <f t="shared" si="3"/>
        <v>7048</v>
      </c>
      <c r="K37" s="9">
        <f t="shared" si="4"/>
        <v>7978</v>
      </c>
      <c r="L37" s="9">
        <f t="shared" si="5"/>
        <v>5773</v>
      </c>
      <c r="M37" s="9">
        <f t="shared" si="6"/>
        <v>13751</v>
      </c>
    </row>
    <row r="38" spans="1:13" ht="12.75" x14ac:dyDescent="0.2">
      <c r="A38" s="2" t="str">
        <f>StartupfileInput!A36</f>
        <v>0846</v>
      </c>
      <c r="B38" s="1" t="str">
        <f>INDEX(ActiveDistricts!$A$2:$J$328,MATCH(Calculation!$A38,ActiveDistricts!$C$2:$C$328,0),6)</f>
        <v>0846</v>
      </c>
      <c r="C38" s="1" t="str">
        <f>INDEX(ActiveDistricts!$A$2:$J$328,MATCH(Calculation!$A38,ActiveDistricts!$C$2:$C$328,0),7)</f>
        <v>Brooklyn-Guernsey-Malcom</v>
      </c>
      <c r="D38" s="14">
        <f>INDEX(StartupfileInput!$A$2:$D$328,MATCH(Calculation!$A38,StartupfileInput!$A$2:$A$328,0),3)</f>
        <v>540.79999999999995</v>
      </c>
      <c r="E38" s="20">
        <f>INDEX(ActiveDistricts!$A$2:$J$328,MATCH(Calculation!$A38,ActiveDistricts!$C$2:$C$328,0),10)</f>
        <v>0.41245136186770426</v>
      </c>
      <c r="F38" s="8">
        <f t="shared" si="0"/>
        <v>1.4319999999999999</v>
      </c>
      <c r="G38" s="8">
        <f t="shared" si="1"/>
        <v>1.103</v>
      </c>
      <c r="H38" s="8">
        <f t="shared" si="2"/>
        <v>2.5350000000000001</v>
      </c>
      <c r="I38">
        <f>INDEX(StartupfileInput!$A$2:$D$328,MATCH(Calculation!$A38,StartupfileInput!$A$2:$A$328,0),4)</f>
        <v>6885</v>
      </c>
      <c r="J38" s="107">
        <f t="shared" si="3"/>
        <v>7048</v>
      </c>
      <c r="K38" s="9">
        <f t="shared" si="4"/>
        <v>10093</v>
      </c>
      <c r="L38" s="9">
        <f t="shared" si="5"/>
        <v>7774</v>
      </c>
      <c r="M38" s="9">
        <f t="shared" si="6"/>
        <v>17867</v>
      </c>
    </row>
    <row r="39" spans="1:13" ht="12.75" x14ac:dyDescent="0.2">
      <c r="A39" s="2" t="str">
        <f>StartupfileInput!A37</f>
        <v>0882</v>
      </c>
      <c r="B39" s="1" t="str">
        <f>INDEX(ActiveDistricts!$A$2:$J$328,MATCH(Calculation!$A39,ActiveDistricts!$C$2:$C$328,0),6)</f>
        <v>0882</v>
      </c>
      <c r="C39" s="1" t="str">
        <f>INDEX(ActiveDistricts!$A$2:$J$328,MATCH(Calculation!$A39,ActiveDistricts!$C$2:$C$328,0),7)</f>
        <v>Burlington</v>
      </c>
      <c r="D39" s="14">
        <f>INDEX(StartupfileInput!$A$2:$D$328,MATCH(Calculation!$A39,StartupfileInput!$A$2:$A$328,0),3)</f>
        <v>4085.6</v>
      </c>
      <c r="E39" s="20">
        <f>INDEX(ActiveDistricts!$A$2:$J$328,MATCH(Calculation!$A39,ActiveDistricts!$C$2:$C$328,0),10)</f>
        <v>0.73518041237113407</v>
      </c>
      <c r="F39" s="8">
        <f t="shared" si="0"/>
        <v>19.283000000000001</v>
      </c>
      <c r="G39" s="8">
        <f t="shared" si="1"/>
        <v>8.3350000000000009</v>
      </c>
      <c r="H39" s="8">
        <f t="shared" si="2"/>
        <v>27.618000000000002</v>
      </c>
      <c r="I39">
        <f>INDEX(StartupfileInput!$A$2:$D$328,MATCH(Calculation!$A39,StartupfileInput!$A$2:$A$328,0),4)</f>
        <v>6880</v>
      </c>
      <c r="J39" s="107">
        <f t="shared" si="3"/>
        <v>7048</v>
      </c>
      <c r="K39" s="9">
        <f t="shared" si="4"/>
        <v>135907</v>
      </c>
      <c r="L39" s="9">
        <f t="shared" si="5"/>
        <v>58745</v>
      </c>
      <c r="M39" s="9">
        <f t="shared" si="6"/>
        <v>194652</v>
      </c>
    </row>
    <row r="40" spans="1:13" ht="12.75" x14ac:dyDescent="0.2">
      <c r="A40" s="2" t="str">
        <f>StartupfileInput!A38</f>
        <v>0916</v>
      </c>
      <c r="B40" s="1" t="str">
        <f>INDEX(ActiveDistricts!$A$2:$J$328,MATCH(Calculation!$A40,ActiveDistricts!$C$2:$C$328,0),6)</f>
        <v>0916</v>
      </c>
      <c r="C40" s="1" t="str">
        <f>INDEX(ActiveDistricts!$A$2:$J$328,MATCH(Calculation!$A40,ActiveDistricts!$C$2:$C$328,0),7)</f>
        <v>CAL</v>
      </c>
      <c r="D40" s="14">
        <f>INDEX(StartupfileInput!$A$2:$D$328,MATCH(Calculation!$A40,StartupfileInput!$A$2:$A$328,0),3)</f>
        <v>247.5</v>
      </c>
      <c r="E40" s="20">
        <f>INDEX(ActiveDistricts!$A$2:$J$328,MATCH(Calculation!$A40,ActiveDistricts!$C$2:$C$328,0),10)</f>
        <v>0.5714285714285714</v>
      </c>
      <c r="F40" s="8">
        <f t="shared" si="0"/>
        <v>0.90800000000000003</v>
      </c>
      <c r="G40" s="8">
        <f t="shared" si="1"/>
        <v>0.505</v>
      </c>
      <c r="H40" s="8">
        <f t="shared" si="2"/>
        <v>1.413</v>
      </c>
      <c r="I40">
        <f>INDEX(StartupfileInput!$A$2:$D$328,MATCH(Calculation!$A40,StartupfileInput!$A$2:$A$328,0),4)</f>
        <v>7040</v>
      </c>
      <c r="J40" s="107">
        <f t="shared" si="3"/>
        <v>7198</v>
      </c>
      <c r="K40" s="9">
        <f t="shared" si="4"/>
        <v>6536</v>
      </c>
      <c r="L40" s="9">
        <f t="shared" si="5"/>
        <v>3635</v>
      </c>
      <c r="M40" s="9">
        <f t="shared" si="6"/>
        <v>10171</v>
      </c>
    </row>
    <row r="41" spans="1:13" ht="12.75" x14ac:dyDescent="0.2">
      <c r="A41" s="2" t="str">
        <f>StartupfileInput!A39</f>
        <v>0914</v>
      </c>
      <c r="B41" s="1" t="str">
        <f>INDEX(ActiveDistricts!$A$2:$J$328,MATCH(Calculation!$A41,ActiveDistricts!$C$2:$C$328,0),6)</f>
        <v>0914</v>
      </c>
      <c r="C41" s="1" t="str">
        <f>INDEX(ActiveDistricts!$A$2:$J$328,MATCH(Calculation!$A41,ActiveDistricts!$C$2:$C$328,0),7)</f>
        <v>CAM</v>
      </c>
      <c r="D41" s="14">
        <f>INDEX(StartupfileInput!$A$2:$D$328,MATCH(Calculation!$A41,StartupfileInput!$A$2:$A$328,0),3)</f>
        <v>505.9</v>
      </c>
      <c r="E41" s="20">
        <f>INDEX(ActiveDistricts!$A$2:$J$328,MATCH(Calculation!$A41,ActiveDistricts!$C$2:$C$328,0),10)</f>
        <v>0.41935483870967744</v>
      </c>
      <c r="F41" s="8">
        <f t="shared" si="0"/>
        <v>1.3620000000000001</v>
      </c>
      <c r="G41" s="8">
        <f t="shared" si="1"/>
        <v>1.032</v>
      </c>
      <c r="H41" s="8">
        <f t="shared" si="2"/>
        <v>2.3940000000000001</v>
      </c>
      <c r="I41">
        <f>INDEX(StartupfileInput!$A$2:$D$328,MATCH(Calculation!$A41,StartupfileInput!$A$2:$A$328,0),4)</f>
        <v>6920</v>
      </c>
      <c r="J41" s="107">
        <f t="shared" si="3"/>
        <v>7078</v>
      </c>
      <c r="K41" s="9">
        <f t="shared" si="4"/>
        <v>9640</v>
      </c>
      <c r="L41" s="9">
        <f t="shared" si="5"/>
        <v>7305</v>
      </c>
      <c r="M41" s="9">
        <f t="shared" si="6"/>
        <v>16945</v>
      </c>
    </row>
    <row r="42" spans="1:13" ht="12.75" x14ac:dyDescent="0.2">
      <c r="A42" s="2" t="str">
        <f>StartupfileInput!A40</f>
        <v>0918</v>
      </c>
      <c r="B42" s="1" t="str">
        <f>INDEX(ActiveDistricts!$A$2:$J$328,MATCH(Calculation!$A42,ActiveDistricts!$C$2:$C$328,0),6)</f>
        <v>0918</v>
      </c>
      <c r="C42" s="1" t="str">
        <f>INDEX(ActiveDistricts!$A$2:$J$328,MATCH(Calculation!$A42,ActiveDistricts!$C$2:$C$328,0),7)</f>
        <v>Calamus-Wheatland</v>
      </c>
      <c r="D42" s="14">
        <f>INDEX(StartupfileInput!$A$2:$D$328,MATCH(Calculation!$A42,StartupfileInput!$A$2:$A$328,0),3)</f>
        <v>409</v>
      </c>
      <c r="E42" s="20">
        <f>INDEX(ActiveDistricts!$A$2:$J$328,MATCH(Calculation!$A42,ActiveDistricts!$C$2:$C$328,0),10)</f>
        <v>0.35025380710659898</v>
      </c>
      <c r="F42" s="8">
        <f t="shared" si="0"/>
        <v>0.92</v>
      </c>
      <c r="G42" s="8">
        <f t="shared" si="1"/>
        <v>0.83399999999999996</v>
      </c>
      <c r="H42" s="8">
        <f t="shared" si="2"/>
        <v>1.754</v>
      </c>
      <c r="I42">
        <f>INDEX(StartupfileInput!$A$2:$D$328,MATCH(Calculation!$A42,StartupfileInput!$A$2:$A$328,0),4)</f>
        <v>6929</v>
      </c>
      <c r="J42" s="107">
        <f t="shared" si="3"/>
        <v>7087</v>
      </c>
      <c r="K42" s="9">
        <f t="shared" si="4"/>
        <v>6520</v>
      </c>
      <c r="L42" s="9">
        <f t="shared" si="5"/>
        <v>5911</v>
      </c>
      <c r="M42" s="9">
        <f t="shared" si="6"/>
        <v>12431</v>
      </c>
    </row>
    <row r="43" spans="1:13" ht="12.75" x14ac:dyDescent="0.2">
      <c r="A43" s="2" t="str">
        <f>StartupfileInput!A41</f>
        <v>0936</v>
      </c>
      <c r="B43" s="1" t="str">
        <f>INDEX(ActiveDistricts!$A$2:$J$328,MATCH(Calculation!$A43,ActiveDistricts!$C$2:$C$328,0),6)</f>
        <v>0936</v>
      </c>
      <c r="C43" s="1" t="str">
        <f>INDEX(ActiveDistricts!$A$2:$J$328,MATCH(Calculation!$A43,ActiveDistricts!$C$2:$C$328,0),7)</f>
        <v>Camanche</v>
      </c>
      <c r="D43" s="14">
        <f>INDEX(StartupfileInput!$A$2:$D$328,MATCH(Calculation!$A43,StartupfileInput!$A$2:$A$328,0),3)</f>
        <v>832</v>
      </c>
      <c r="E43" s="20">
        <f>INDEX(ActiveDistricts!$A$2:$J$328,MATCH(Calculation!$A43,ActiveDistricts!$C$2:$C$328,0),10)</f>
        <v>0.43031784841075793</v>
      </c>
      <c r="F43" s="8">
        <f t="shared" si="0"/>
        <v>2.2989999999999999</v>
      </c>
      <c r="G43" s="8">
        <f t="shared" si="1"/>
        <v>1.6970000000000001</v>
      </c>
      <c r="H43" s="8">
        <f t="shared" si="2"/>
        <v>3.996</v>
      </c>
      <c r="I43">
        <f>INDEX(StartupfileInput!$A$2:$D$328,MATCH(Calculation!$A43,StartupfileInput!$A$2:$A$328,0),4)</f>
        <v>6880</v>
      </c>
      <c r="J43" s="107">
        <f t="shared" si="3"/>
        <v>7048</v>
      </c>
      <c r="K43" s="9">
        <f t="shared" si="4"/>
        <v>16203</v>
      </c>
      <c r="L43" s="9">
        <f t="shared" si="5"/>
        <v>11961</v>
      </c>
      <c r="M43" s="9">
        <f t="shared" si="6"/>
        <v>28164</v>
      </c>
    </row>
    <row r="44" spans="1:13" ht="12.75" x14ac:dyDescent="0.2">
      <c r="A44" s="2" t="str">
        <f>StartupfileInput!A42</f>
        <v>0977</v>
      </c>
      <c r="B44" s="1" t="str">
        <f>INDEX(ActiveDistricts!$A$2:$J$328,MATCH(Calculation!$A44,ActiveDistricts!$C$2:$C$328,0),6)</f>
        <v>0977</v>
      </c>
      <c r="C44" s="1" t="str">
        <f>INDEX(ActiveDistricts!$A$2:$J$328,MATCH(Calculation!$A44,ActiveDistricts!$C$2:$C$328,0),7)</f>
        <v>Cardinal</v>
      </c>
      <c r="D44" s="14">
        <f>INDEX(StartupfileInput!$A$2:$D$328,MATCH(Calculation!$A44,StartupfileInput!$A$2:$A$328,0),3)</f>
        <v>588.70000000000005</v>
      </c>
      <c r="E44" s="20">
        <f>INDEX(ActiveDistricts!$A$2:$J$328,MATCH(Calculation!$A44,ActiveDistricts!$C$2:$C$328,0),10)</f>
        <v>0.59908883826879267</v>
      </c>
      <c r="F44" s="8">
        <f t="shared" si="0"/>
        <v>2.2639999999999998</v>
      </c>
      <c r="G44" s="8">
        <f t="shared" si="1"/>
        <v>1.2010000000000001</v>
      </c>
      <c r="H44" s="8">
        <f t="shared" si="2"/>
        <v>3.4649999999999999</v>
      </c>
      <c r="I44">
        <f>INDEX(StartupfileInput!$A$2:$D$328,MATCH(Calculation!$A44,StartupfileInput!$A$2:$A$328,0),4)</f>
        <v>6880</v>
      </c>
      <c r="J44" s="107">
        <f t="shared" si="3"/>
        <v>7048</v>
      </c>
      <c r="K44" s="9">
        <f t="shared" si="4"/>
        <v>15957</v>
      </c>
      <c r="L44" s="9">
        <f t="shared" si="5"/>
        <v>8464</v>
      </c>
      <c r="M44" s="9">
        <f t="shared" si="6"/>
        <v>24421</v>
      </c>
    </row>
    <row r="45" spans="1:13" ht="12.75" x14ac:dyDescent="0.2">
      <c r="A45" s="2" t="str">
        <f>StartupfileInput!A43</f>
        <v>0981</v>
      </c>
      <c r="B45" s="1" t="str">
        <f>INDEX(ActiveDistricts!$A$2:$J$328,MATCH(Calculation!$A45,ActiveDistricts!$C$2:$C$328,0),6)</f>
        <v>0981</v>
      </c>
      <c r="C45" s="1" t="str">
        <f>INDEX(ActiveDistricts!$A$2:$J$328,MATCH(Calculation!$A45,ActiveDistricts!$C$2:$C$328,0),7)</f>
        <v>Carlisle</v>
      </c>
      <c r="D45" s="14">
        <f>INDEX(StartupfileInput!$A$2:$D$328,MATCH(Calculation!$A45,StartupfileInput!$A$2:$A$328,0),3)</f>
        <v>1936.9</v>
      </c>
      <c r="E45" s="20">
        <f>INDEX(ActiveDistricts!$A$2:$J$328,MATCH(Calculation!$A45,ActiveDistricts!$C$2:$C$328,0),10)</f>
        <v>0.33611691022964507</v>
      </c>
      <c r="F45" s="8">
        <f t="shared" si="0"/>
        <v>4.18</v>
      </c>
      <c r="G45" s="8">
        <f t="shared" si="1"/>
        <v>3.9510000000000001</v>
      </c>
      <c r="H45" s="8">
        <f t="shared" si="2"/>
        <v>8.1310000000000002</v>
      </c>
      <c r="I45">
        <f>INDEX(StartupfileInput!$A$2:$D$328,MATCH(Calculation!$A45,StartupfileInput!$A$2:$A$328,0),4)</f>
        <v>6880</v>
      </c>
      <c r="J45" s="107">
        <f t="shared" si="3"/>
        <v>7048</v>
      </c>
      <c r="K45" s="9">
        <f t="shared" si="4"/>
        <v>29461</v>
      </c>
      <c r="L45" s="9">
        <f t="shared" si="5"/>
        <v>27846</v>
      </c>
      <c r="M45" s="9">
        <f t="shared" si="6"/>
        <v>57307</v>
      </c>
    </row>
    <row r="46" spans="1:13" ht="12.75" x14ac:dyDescent="0.2">
      <c r="A46" s="2" t="str">
        <f>StartupfileInput!A44</f>
        <v>0999</v>
      </c>
      <c r="B46" s="1" t="str">
        <f>INDEX(ActiveDistricts!$A$2:$J$328,MATCH(Calculation!$A46,ActiveDistricts!$C$2:$C$328,0),6)</f>
        <v>0999</v>
      </c>
      <c r="C46" s="1" t="str">
        <f>INDEX(ActiveDistricts!$A$2:$J$328,MATCH(Calculation!$A46,ActiveDistricts!$C$2:$C$328,0),7)</f>
        <v>Carroll</v>
      </c>
      <c r="D46" s="14">
        <f>INDEX(StartupfileInput!$A$2:$D$328,MATCH(Calculation!$A46,StartupfileInput!$A$2:$A$328,0),3)</f>
        <v>1701</v>
      </c>
      <c r="E46" s="20">
        <f>INDEX(ActiveDistricts!$A$2:$J$328,MATCH(Calculation!$A46,ActiveDistricts!$C$2:$C$328,0),10)</f>
        <v>0.41097724230254351</v>
      </c>
      <c r="F46" s="8">
        <f t="shared" si="0"/>
        <v>4.4880000000000004</v>
      </c>
      <c r="G46" s="8">
        <f t="shared" si="1"/>
        <v>3.47</v>
      </c>
      <c r="H46" s="8">
        <f t="shared" si="2"/>
        <v>7.9580000000000002</v>
      </c>
      <c r="I46">
        <f>INDEX(StartupfileInput!$A$2:$D$328,MATCH(Calculation!$A46,StartupfileInput!$A$2:$A$328,0),4)</f>
        <v>6880</v>
      </c>
      <c r="J46" s="107">
        <f t="shared" si="3"/>
        <v>7048</v>
      </c>
      <c r="K46" s="9">
        <f t="shared" si="4"/>
        <v>31631</v>
      </c>
      <c r="L46" s="9">
        <f t="shared" si="5"/>
        <v>24457</v>
      </c>
      <c r="M46" s="9">
        <f t="shared" si="6"/>
        <v>56088</v>
      </c>
    </row>
    <row r="47" spans="1:13" ht="12.75" x14ac:dyDescent="0.2">
      <c r="A47" s="2" t="str">
        <f>StartupfileInput!A45</f>
        <v>1044</v>
      </c>
      <c r="B47" s="1" t="str">
        <f>INDEX(ActiveDistricts!$A$2:$J$328,MATCH(Calculation!$A47,ActiveDistricts!$C$2:$C$328,0),6)</f>
        <v>1044</v>
      </c>
      <c r="C47" s="1" t="str">
        <f>INDEX(ActiveDistricts!$A$2:$J$328,MATCH(Calculation!$A47,ActiveDistricts!$C$2:$C$328,0),7)</f>
        <v>Cedar Falls</v>
      </c>
      <c r="D47" s="14">
        <f>INDEX(StartupfileInput!$A$2:$D$328,MATCH(Calculation!$A47,StartupfileInput!$A$2:$A$328,0),3)</f>
        <v>5371.4</v>
      </c>
      <c r="E47" s="20">
        <f>INDEX(ActiveDistricts!$A$2:$J$328,MATCH(Calculation!$A47,ActiveDistricts!$C$2:$C$328,0),10)</f>
        <v>0.24291812184710904</v>
      </c>
      <c r="F47" s="8">
        <f t="shared" si="0"/>
        <v>8.3770000000000007</v>
      </c>
      <c r="G47" s="8">
        <f t="shared" si="1"/>
        <v>10.958</v>
      </c>
      <c r="H47" s="8">
        <f t="shared" si="2"/>
        <v>19.335000000000001</v>
      </c>
      <c r="I47">
        <f>INDEX(StartupfileInput!$A$2:$D$328,MATCH(Calculation!$A47,StartupfileInput!$A$2:$A$328,0),4)</f>
        <v>6880</v>
      </c>
      <c r="J47" s="107">
        <f t="shared" si="3"/>
        <v>7048</v>
      </c>
      <c r="K47" s="9">
        <f t="shared" si="4"/>
        <v>59041</v>
      </c>
      <c r="L47" s="9">
        <f t="shared" si="5"/>
        <v>77232</v>
      </c>
      <c r="M47" s="9">
        <f t="shared" si="6"/>
        <v>136273</v>
      </c>
    </row>
    <row r="48" spans="1:13" ht="12.75" x14ac:dyDescent="0.2">
      <c r="A48" s="2" t="str">
        <f>StartupfileInput!A46</f>
        <v>1053</v>
      </c>
      <c r="B48" s="1" t="str">
        <f>INDEX(ActiveDistricts!$A$2:$J$328,MATCH(Calculation!$A48,ActiveDistricts!$C$2:$C$328,0),6)</f>
        <v>1053</v>
      </c>
      <c r="C48" s="1" t="str">
        <f>INDEX(ActiveDistricts!$A$2:$J$328,MATCH(Calculation!$A48,ActiveDistricts!$C$2:$C$328,0),7)</f>
        <v>Cedar Rapids</v>
      </c>
      <c r="D48" s="14">
        <f>INDEX(StartupfileInput!$A$2:$D$328,MATCH(Calculation!$A48,StartupfileInput!$A$2:$A$328,0),3)</f>
        <v>16851.5</v>
      </c>
      <c r="E48" s="20">
        <f>INDEX(ActiveDistricts!$A$2:$J$328,MATCH(Calculation!$A48,ActiveDistricts!$C$2:$C$328,0),10)</f>
        <v>0.60319270239452683</v>
      </c>
      <c r="F48" s="8">
        <f t="shared" si="0"/>
        <v>65.257000000000005</v>
      </c>
      <c r="G48" s="8">
        <f t="shared" si="1"/>
        <v>34.377000000000002</v>
      </c>
      <c r="H48" s="8">
        <f t="shared" si="2"/>
        <v>99.634000000000015</v>
      </c>
      <c r="I48">
        <f>INDEX(StartupfileInput!$A$2:$D$328,MATCH(Calculation!$A48,StartupfileInput!$A$2:$A$328,0),4)</f>
        <v>6880</v>
      </c>
      <c r="J48" s="107">
        <f t="shared" si="3"/>
        <v>7048</v>
      </c>
      <c r="K48" s="9">
        <f t="shared" si="4"/>
        <v>459931</v>
      </c>
      <c r="L48" s="9">
        <f t="shared" si="5"/>
        <v>242289</v>
      </c>
      <c r="M48" s="9">
        <f t="shared" si="6"/>
        <v>702220</v>
      </c>
    </row>
    <row r="49" spans="1:13" ht="12.75" x14ac:dyDescent="0.2">
      <c r="A49" s="2" t="str">
        <f>StartupfileInput!A47</f>
        <v>1062</v>
      </c>
      <c r="B49" s="1" t="str">
        <f>INDEX(ActiveDistricts!$A$2:$J$328,MATCH(Calculation!$A49,ActiveDistricts!$C$2:$C$328,0),6)</f>
        <v>1062</v>
      </c>
      <c r="C49" s="1" t="str">
        <f>INDEX(ActiveDistricts!$A$2:$J$328,MATCH(Calculation!$A49,ActiveDistricts!$C$2:$C$328,0),7)</f>
        <v>Center Point-Urbana</v>
      </c>
      <c r="D49" s="14">
        <f>INDEX(StartupfileInput!$A$2:$D$328,MATCH(Calculation!$A49,StartupfileInput!$A$2:$A$328,0),3)</f>
        <v>1346.6</v>
      </c>
      <c r="E49" s="20">
        <f>INDEX(ActiveDistricts!$A$2:$J$328,MATCH(Calculation!$A49,ActiveDistricts!$C$2:$C$328,0),10)</f>
        <v>0.17384615384615384</v>
      </c>
      <c r="F49" s="8">
        <f t="shared" si="0"/>
        <v>1.5029999999999999</v>
      </c>
      <c r="G49" s="8">
        <f t="shared" si="1"/>
        <v>2.7469999999999999</v>
      </c>
      <c r="H49" s="8">
        <f t="shared" si="2"/>
        <v>4.25</v>
      </c>
      <c r="I49">
        <f>INDEX(StartupfileInput!$A$2:$D$328,MATCH(Calculation!$A49,StartupfileInput!$A$2:$A$328,0),4)</f>
        <v>6880</v>
      </c>
      <c r="J49" s="107">
        <f t="shared" si="3"/>
        <v>7048</v>
      </c>
      <c r="K49" s="9">
        <f t="shared" si="4"/>
        <v>10593</v>
      </c>
      <c r="L49" s="9">
        <f t="shared" si="5"/>
        <v>19361</v>
      </c>
      <c r="M49" s="9">
        <f t="shared" si="6"/>
        <v>29954</v>
      </c>
    </row>
    <row r="50" spans="1:13" ht="12.75" x14ac:dyDescent="0.2">
      <c r="A50" s="2" t="str">
        <f>StartupfileInput!A48</f>
        <v>1071</v>
      </c>
      <c r="B50" s="1" t="str">
        <f>INDEX(ActiveDistricts!$A$2:$J$328,MATCH(Calculation!$A50,ActiveDistricts!$C$2:$C$328,0),6)</f>
        <v>1071</v>
      </c>
      <c r="C50" s="1" t="str">
        <f>INDEX(ActiveDistricts!$A$2:$J$328,MATCH(Calculation!$A50,ActiveDistricts!$C$2:$C$328,0),7)</f>
        <v>Centerville</v>
      </c>
      <c r="D50" s="14">
        <f>INDEX(StartupfileInput!$A$2:$D$328,MATCH(Calculation!$A50,StartupfileInput!$A$2:$A$328,0),3)</f>
        <v>1359</v>
      </c>
      <c r="E50" s="20">
        <f>INDEX(ActiveDistricts!$A$2:$J$328,MATCH(Calculation!$A50,ActiveDistricts!$C$2:$C$328,0),10)</f>
        <v>0.59936908517350163</v>
      </c>
      <c r="F50" s="8">
        <f t="shared" si="0"/>
        <v>5.2290000000000001</v>
      </c>
      <c r="G50" s="8">
        <f t="shared" si="1"/>
        <v>2.7719999999999998</v>
      </c>
      <c r="H50" s="8">
        <f t="shared" si="2"/>
        <v>8.0009999999999994</v>
      </c>
      <c r="I50">
        <f>INDEX(StartupfileInput!$A$2:$D$328,MATCH(Calculation!$A50,StartupfileInput!$A$2:$A$328,0),4)</f>
        <v>6929</v>
      </c>
      <c r="J50" s="107">
        <f t="shared" si="3"/>
        <v>7087</v>
      </c>
      <c r="K50" s="9">
        <f t="shared" si="4"/>
        <v>37058</v>
      </c>
      <c r="L50" s="9">
        <f t="shared" si="5"/>
        <v>19645</v>
      </c>
      <c r="M50" s="9">
        <f t="shared" si="6"/>
        <v>56703</v>
      </c>
    </row>
    <row r="51" spans="1:13" ht="12.75" x14ac:dyDescent="0.2">
      <c r="A51" s="2" t="str">
        <f>StartupfileInput!A49</f>
        <v>1089</v>
      </c>
      <c r="B51" s="1" t="str">
        <f>INDEX(ActiveDistricts!$A$2:$J$328,MATCH(Calculation!$A51,ActiveDistricts!$C$2:$C$328,0),6)</f>
        <v>1089</v>
      </c>
      <c r="C51" s="1" t="str">
        <f>INDEX(ActiveDistricts!$A$2:$J$328,MATCH(Calculation!$A51,ActiveDistricts!$C$2:$C$328,0),7)</f>
        <v>Central City</v>
      </c>
      <c r="D51" s="14">
        <f>INDEX(StartupfileInput!$A$2:$D$328,MATCH(Calculation!$A51,StartupfileInput!$A$2:$A$328,0),3)</f>
        <v>461.9</v>
      </c>
      <c r="E51" s="20">
        <f>INDEX(ActiveDistricts!$A$2:$J$328,MATCH(Calculation!$A51,ActiveDistricts!$C$2:$C$328,0),10)</f>
        <v>0.32608695652173914</v>
      </c>
      <c r="F51" s="8">
        <f t="shared" si="0"/>
        <v>0.96699999999999997</v>
      </c>
      <c r="G51" s="8">
        <f t="shared" si="1"/>
        <v>0.94199999999999995</v>
      </c>
      <c r="H51" s="8">
        <f t="shared" si="2"/>
        <v>1.9089999999999998</v>
      </c>
      <c r="I51">
        <f>INDEX(StartupfileInput!$A$2:$D$328,MATCH(Calculation!$A51,StartupfileInput!$A$2:$A$328,0),4)</f>
        <v>6931</v>
      </c>
      <c r="J51" s="107">
        <f t="shared" si="3"/>
        <v>7089</v>
      </c>
      <c r="K51" s="9">
        <f t="shared" si="4"/>
        <v>6855</v>
      </c>
      <c r="L51" s="9">
        <f t="shared" si="5"/>
        <v>6678</v>
      </c>
      <c r="M51" s="9">
        <f t="shared" si="6"/>
        <v>13533</v>
      </c>
    </row>
    <row r="52" spans="1:13" ht="12.75" x14ac:dyDescent="0.2">
      <c r="A52" s="2" t="str">
        <f>StartupfileInput!A50</f>
        <v>1080</v>
      </c>
      <c r="B52" s="1" t="str">
        <f>INDEX(ActiveDistricts!$A$2:$J$328,MATCH(Calculation!$A52,ActiveDistricts!$C$2:$C$328,0),6)</f>
        <v>1080</v>
      </c>
      <c r="C52" s="1" t="str">
        <f>INDEX(ActiveDistricts!$A$2:$J$328,MATCH(Calculation!$A52,ActiveDistricts!$C$2:$C$328,0),7)</f>
        <v>Central Clayton</v>
      </c>
      <c r="D52" s="14">
        <f>INDEX(StartupfileInput!$A$2:$D$328,MATCH(Calculation!$A52,StartupfileInput!$A$2:$A$328,0),3)</f>
        <v>416.1</v>
      </c>
      <c r="E52" s="20">
        <f>INDEX(ActiveDistricts!$A$2:$J$328,MATCH(Calculation!$A52,ActiveDistricts!$C$2:$C$328,0),10)</f>
        <v>0.34146341463414637</v>
      </c>
      <c r="F52" s="8">
        <f t="shared" si="0"/>
        <v>0.91200000000000003</v>
      </c>
      <c r="G52" s="8">
        <f t="shared" si="1"/>
        <v>0.84899999999999998</v>
      </c>
      <c r="H52" s="8">
        <f t="shared" si="2"/>
        <v>1.7610000000000001</v>
      </c>
      <c r="I52">
        <f>INDEX(StartupfileInput!$A$2:$D$328,MATCH(Calculation!$A52,StartupfileInput!$A$2:$A$328,0),4)</f>
        <v>6880</v>
      </c>
      <c r="J52" s="107">
        <f t="shared" si="3"/>
        <v>7048</v>
      </c>
      <c r="K52" s="9">
        <f t="shared" si="4"/>
        <v>6428</v>
      </c>
      <c r="L52" s="9">
        <f t="shared" si="5"/>
        <v>5984</v>
      </c>
      <c r="M52" s="9">
        <f t="shared" si="6"/>
        <v>12412</v>
      </c>
    </row>
    <row r="53" spans="1:13" ht="12.75" x14ac:dyDescent="0.2">
      <c r="A53" s="2" t="str">
        <f>StartupfileInput!A51</f>
        <v>1082</v>
      </c>
      <c r="B53" s="1" t="str">
        <f>INDEX(ActiveDistricts!$A$2:$J$328,MATCH(Calculation!$A53,ActiveDistricts!$C$2:$C$328,0),6)</f>
        <v>1082</v>
      </c>
      <c r="C53" s="1" t="str">
        <f>INDEX(ActiveDistricts!$A$2:$J$328,MATCH(Calculation!$A53,ActiveDistricts!$C$2:$C$328,0),7)</f>
        <v>Central De Witt</v>
      </c>
      <c r="D53" s="14">
        <f>INDEX(StartupfileInput!$A$2:$D$328,MATCH(Calculation!$A53,StartupfileInput!$A$2:$A$328,0),3)</f>
        <v>1477.5</v>
      </c>
      <c r="E53" s="20">
        <f>INDEX(ActiveDistricts!$A$2:$J$328,MATCH(Calculation!$A53,ActiveDistricts!$C$2:$C$328,0),10)</f>
        <v>0.31472868217054262</v>
      </c>
      <c r="F53" s="8">
        <f t="shared" si="0"/>
        <v>2.9849999999999999</v>
      </c>
      <c r="G53" s="8">
        <f t="shared" si="1"/>
        <v>3.0139999999999998</v>
      </c>
      <c r="H53" s="8">
        <f t="shared" si="2"/>
        <v>5.9989999999999997</v>
      </c>
      <c r="I53">
        <f>INDEX(StartupfileInput!$A$2:$D$328,MATCH(Calculation!$A53,StartupfileInput!$A$2:$A$328,0),4)</f>
        <v>6880</v>
      </c>
      <c r="J53" s="107">
        <f t="shared" si="3"/>
        <v>7048</v>
      </c>
      <c r="K53" s="9">
        <f t="shared" si="4"/>
        <v>21038</v>
      </c>
      <c r="L53" s="9">
        <f t="shared" si="5"/>
        <v>21243</v>
      </c>
      <c r="M53" s="9">
        <f t="shared" si="6"/>
        <v>42281</v>
      </c>
    </row>
    <row r="54" spans="1:13" ht="12.75" x14ac:dyDescent="0.2">
      <c r="A54" s="2" t="str">
        <f>StartupfileInput!A52</f>
        <v>1093</v>
      </c>
      <c r="B54" s="1" t="str">
        <f>INDEX(ActiveDistricts!$A$2:$J$328,MATCH(Calculation!$A54,ActiveDistricts!$C$2:$C$328,0),6)</f>
        <v>1093</v>
      </c>
      <c r="C54" s="1" t="str">
        <f>INDEX(ActiveDistricts!$A$2:$J$328,MATCH(Calculation!$A54,ActiveDistricts!$C$2:$C$328,0),7)</f>
        <v>Central Decatur</v>
      </c>
      <c r="D54" s="14">
        <f>INDEX(StartupfileInput!$A$2:$D$328,MATCH(Calculation!$A54,StartupfileInput!$A$2:$A$328,0),3)</f>
        <v>626.4</v>
      </c>
      <c r="E54" s="20">
        <f>INDEX(ActiveDistricts!$A$2:$J$328,MATCH(Calculation!$A54,ActiveDistricts!$C$2:$C$328,0),10)</f>
        <v>0.61052631578947369</v>
      </c>
      <c r="F54" s="8">
        <f t="shared" si="0"/>
        <v>2.4550000000000001</v>
      </c>
      <c r="G54" s="8">
        <f t="shared" si="1"/>
        <v>1.278</v>
      </c>
      <c r="H54" s="8">
        <f t="shared" si="2"/>
        <v>3.7330000000000001</v>
      </c>
      <c r="I54">
        <f>INDEX(StartupfileInput!$A$2:$D$328,MATCH(Calculation!$A54,StartupfileInput!$A$2:$A$328,0),4)</f>
        <v>6880</v>
      </c>
      <c r="J54" s="107">
        <f t="shared" si="3"/>
        <v>7048</v>
      </c>
      <c r="K54" s="9">
        <f t="shared" si="4"/>
        <v>17303</v>
      </c>
      <c r="L54" s="9">
        <f t="shared" si="5"/>
        <v>9007</v>
      </c>
      <c r="M54" s="9">
        <f t="shared" si="6"/>
        <v>26310</v>
      </c>
    </row>
    <row r="55" spans="1:13" ht="12.75" x14ac:dyDescent="0.2">
      <c r="A55" s="2" t="str">
        <f>StartupfileInput!A53</f>
        <v>1079</v>
      </c>
      <c r="B55" s="1" t="str">
        <f>INDEX(ActiveDistricts!$A$2:$J$328,MATCH(Calculation!$A55,ActiveDistricts!$C$2:$C$328,0),6)</f>
        <v>1079</v>
      </c>
      <c r="C55" s="1" t="str">
        <f>INDEX(ActiveDistricts!$A$2:$J$328,MATCH(Calculation!$A55,ActiveDistricts!$C$2:$C$328,0),7)</f>
        <v>Central Lee</v>
      </c>
      <c r="D55" s="14">
        <f>INDEX(StartupfileInput!$A$2:$D$328,MATCH(Calculation!$A55,StartupfileInput!$A$2:$A$328,0),3)</f>
        <v>760</v>
      </c>
      <c r="E55" s="20">
        <f>INDEX(ActiveDistricts!$A$2:$J$328,MATCH(Calculation!$A55,ActiveDistricts!$C$2:$C$328,0),10)</f>
        <v>0.4627151051625239</v>
      </c>
      <c r="F55" s="8">
        <f t="shared" si="0"/>
        <v>2.258</v>
      </c>
      <c r="G55" s="8">
        <f t="shared" si="1"/>
        <v>1.55</v>
      </c>
      <c r="H55" s="8">
        <f t="shared" si="2"/>
        <v>3.8079999999999998</v>
      </c>
      <c r="I55">
        <f>INDEX(StartupfileInput!$A$2:$D$328,MATCH(Calculation!$A55,StartupfileInput!$A$2:$A$328,0),4)</f>
        <v>6880</v>
      </c>
      <c r="J55" s="107">
        <f t="shared" si="3"/>
        <v>7048</v>
      </c>
      <c r="K55" s="9">
        <f t="shared" si="4"/>
        <v>15914</v>
      </c>
      <c r="L55" s="9">
        <f t="shared" si="5"/>
        <v>10925</v>
      </c>
      <c r="M55" s="9">
        <f t="shared" si="6"/>
        <v>26839</v>
      </c>
    </row>
    <row r="56" spans="1:13" ht="12.75" x14ac:dyDescent="0.2">
      <c r="A56" s="2" t="str">
        <f>StartupfileInput!A54</f>
        <v>1095</v>
      </c>
      <c r="B56" s="1" t="str">
        <f>INDEX(ActiveDistricts!$A$2:$J$328,MATCH(Calculation!$A56,ActiveDistricts!$C$2:$C$328,0),6)</f>
        <v>1095</v>
      </c>
      <c r="C56" s="1" t="str">
        <f>INDEX(ActiveDistricts!$A$2:$J$328,MATCH(Calculation!$A56,ActiveDistricts!$C$2:$C$328,0),7)</f>
        <v>Central Lyon</v>
      </c>
      <c r="D56" s="14">
        <f>INDEX(StartupfileInput!$A$2:$D$328,MATCH(Calculation!$A56,StartupfileInput!$A$2:$A$328,0),3)</f>
        <v>756.7</v>
      </c>
      <c r="E56" s="20">
        <f>INDEX(ActiveDistricts!$A$2:$J$328,MATCH(Calculation!$A56,ActiveDistricts!$C$2:$C$328,0),10)</f>
        <v>0.35384615384615387</v>
      </c>
      <c r="F56" s="8">
        <f t="shared" si="0"/>
        <v>1.7190000000000001</v>
      </c>
      <c r="G56" s="8">
        <f t="shared" si="1"/>
        <v>1.544</v>
      </c>
      <c r="H56" s="8">
        <f t="shared" si="2"/>
        <v>3.2629999999999999</v>
      </c>
      <c r="I56">
        <f>INDEX(StartupfileInput!$A$2:$D$328,MATCH(Calculation!$A56,StartupfileInput!$A$2:$A$328,0),4)</f>
        <v>6880</v>
      </c>
      <c r="J56" s="107">
        <f t="shared" si="3"/>
        <v>7048</v>
      </c>
      <c r="K56" s="9">
        <f t="shared" si="4"/>
        <v>12116</v>
      </c>
      <c r="L56" s="9">
        <f t="shared" si="5"/>
        <v>10882</v>
      </c>
      <c r="M56" s="9">
        <f t="shared" si="6"/>
        <v>22998</v>
      </c>
    </row>
    <row r="57" spans="1:13" ht="12.75" x14ac:dyDescent="0.2">
      <c r="A57" s="2" t="str">
        <f>StartupfileInput!A55</f>
        <v>4772</v>
      </c>
      <c r="B57" s="1" t="str">
        <f>INDEX(ActiveDistricts!$A$2:$J$328,MATCH(Calculation!$A57,ActiveDistricts!$C$2:$C$328,0),6)</f>
        <v>4772</v>
      </c>
      <c r="C57" s="1" t="str">
        <f>INDEX(ActiveDistricts!$A$2:$J$328,MATCH(Calculation!$A57,ActiveDistricts!$C$2:$C$328,0),7)</f>
        <v>Central Springs</v>
      </c>
      <c r="D57" s="14">
        <f>INDEX(StartupfileInput!$A$2:$D$328,MATCH(Calculation!$A57,StartupfileInput!$A$2:$A$328,0),3)</f>
        <v>791.2</v>
      </c>
      <c r="E57" s="20">
        <f>INDEX(ActiveDistricts!$A$2:$J$328,MATCH(Calculation!$A57,ActiveDistricts!$C$2:$C$328,0),10)</f>
        <v>0.44</v>
      </c>
      <c r="F57" s="8">
        <f t="shared" si="0"/>
        <v>2.2349999999999999</v>
      </c>
      <c r="G57" s="8">
        <f t="shared" si="1"/>
        <v>1.6140000000000001</v>
      </c>
      <c r="H57" s="8">
        <f t="shared" si="2"/>
        <v>3.8490000000000002</v>
      </c>
      <c r="I57">
        <f>INDEX(StartupfileInput!$A$2:$D$328,MATCH(Calculation!$A57,StartupfileInput!$A$2:$A$328,0),4)</f>
        <v>6896</v>
      </c>
      <c r="J57" s="107">
        <f t="shared" si="3"/>
        <v>7054</v>
      </c>
      <c r="K57" s="9">
        <f t="shared" si="4"/>
        <v>15766</v>
      </c>
      <c r="L57" s="9">
        <f t="shared" si="5"/>
        <v>11385</v>
      </c>
      <c r="M57" s="9">
        <f t="shared" si="6"/>
        <v>27151</v>
      </c>
    </row>
    <row r="58" spans="1:13" ht="12.75" x14ac:dyDescent="0.2">
      <c r="A58" s="2" t="str">
        <f>StartupfileInput!A56</f>
        <v>1107</v>
      </c>
      <c r="B58" s="1" t="str">
        <f>INDEX(ActiveDistricts!$A$2:$J$328,MATCH(Calculation!$A58,ActiveDistricts!$C$2:$C$328,0),6)</f>
        <v>1107</v>
      </c>
      <c r="C58" s="1" t="str">
        <f>INDEX(ActiveDistricts!$A$2:$J$328,MATCH(Calculation!$A58,ActiveDistricts!$C$2:$C$328,0),7)</f>
        <v>Chariton</v>
      </c>
      <c r="D58" s="14">
        <f>INDEX(StartupfileInput!$A$2:$D$328,MATCH(Calculation!$A58,StartupfileInput!$A$2:$A$328,0),3)</f>
        <v>1255.9000000000001</v>
      </c>
      <c r="E58" s="20">
        <f>INDEX(ActiveDistricts!$A$2:$J$328,MATCH(Calculation!$A58,ActiveDistricts!$C$2:$C$328,0),10)</f>
        <v>0.5714285714285714</v>
      </c>
      <c r="F58" s="8">
        <f t="shared" si="0"/>
        <v>4.6070000000000002</v>
      </c>
      <c r="G58" s="8">
        <f t="shared" si="1"/>
        <v>2.5619999999999998</v>
      </c>
      <c r="H58" s="8">
        <f t="shared" si="2"/>
        <v>7.1690000000000005</v>
      </c>
      <c r="I58">
        <f>INDEX(StartupfileInput!$A$2:$D$328,MATCH(Calculation!$A58,StartupfileInput!$A$2:$A$328,0),4)</f>
        <v>6880</v>
      </c>
      <c r="J58" s="107">
        <f t="shared" si="3"/>
        <v>7048</v>
      </c>
      <c r="K58" s="9">
        <f t="shared" si="4"/>
        <v>32470</v>
      </c>
      <c r="L58" s="9">
        <f t="shared" si="5"/>
        <v>18057</v>
      </c>
      <c r="M58" s="9">
        <f t="shared" si="6"/>
        <v>50527</v>
      </c>
    </row>
    <row r="59" spans="1:13" ht="12.75" x14ac:dyDescent="0.2">
      <c r="A59" s="2" t="str">
        <f>StartupfileInput!A57</f>
        <v>1116</v>
      </c>
      <c r="B59" s="1" t="str">
        <f>INDEX(ActiveDistricts!$A$2:$J$328,MATCH(Calculation!$A59,ActiveDistricts!$C$2:$C$328,0),6)</f>
        <v>1116</v>
      </c>
      <c r="C59" s="1" t="str">
        <f>INDEX(ActiveDistricts!$A$2:$J$328,MATCH(Calculation!$A59,ActiveDistricts!$C$2:$C$328,0),7)</f>
        <v>Charles City</v>
      </c>
      <c r="D59" s="14">
        <f>INDEX(StartupfileInput!$A$2:$D$328,MATCH(Calculation!$A59,StartupfileInput!$A$2:$A$328,0),3)</f>
        <v>1548.9</v>
      </c>
      <c r="E59" s="20">
        <f>INDEX(ActiveDistricts!$A$2:$J$328,MATCH(Calculation!$A59,ActiveDistricts!$C$2:$C$328,0),10)</f>
        <v>0.60906040268456374</v>
      </c>
      <c r="F59" s="8">
        <f t="shared" si="0"/>
        <v>6.056</v>
      </c>
      <c r="G59" s="8">
        <f t="shared" si="1"/>
        <v>3.16</v>
      </c>
      <c r="H59" s="8">
        <f t="shared" si="2"/>
        <v>9.2160000000000011</v>
      </c>
      <c r="I59">
        <f>INDEX(StartupfileInput!$A$2:$D$328,MATCH(Calculation!$A59,StartupfileInput!$A$2:$A$328,0),4)</f>
        <v>6930</v>
      </c>
      <c r="J59" s="107">
        <f t="shared" si="3"/>
        <v>7088</v>
      </c>
      <c r="K59" s="9">
        <f t="shared" si="4"/>
        <v>42925</v>
      </c>
      <c r="L59" s="9">
        <f t="shared" si="5"/>
        <v>22398</v>
      </c>
      <c r="M59" s="9">
        <f t="shared" si="6"/>
        <v>65323</v>
      </c>
    </row>
    <row r="60" spans="1:13" ht="12.75" x14ac:dyDescent="0.2">
      <c r="A60" s="2" t="str">
        <f>StartupfileInput!A58</f>
        <v>1134</v>
      </c>
      <c r="B60" s="1" t="str">
        <f>INDEX(ActiveDistricts!$A$2:$J$328,MATCH(Calculation!$A60,ActiveDistricts!$C$2:$C$328,0),6)</f>
        <v>1134</v>
      </c>
      <c r="C60" s="1" t="str">
        <f>INDEX(ActiveDistricts!$A$2:$J$328,MATCH(Calculation!$A60,ActiveDistricts!$C$2:$C$328,0),7)</f>
        <v>Charter Oak-Ute</v>
      </c>
      <c r="D60" s="14">
        <f>INDEX(StartupfileInput!$A$2:$D$328,MATCH(Calculation!$A60,StartupfileInput!$A$2:$A$328,0),3)</f>
        <v>265.60000000000002</v>
      </c>
      <c r="E60" s="20">
        <f>INDEX(ActiveDistricts!$A$2:$J$328,MATCH(Calculation!$A60,ActiveDistricts!$C$2:$C$328,0),10)</f>
        <v>0.6495726495726496</v>
      </c>
      <c r="F60" s="8">
        <f t="shared" si="0"/>
        <v>1.1080000000000001</v>
      </c>
      <c r="G60" s="8">
        <f t="shared" si="1"/>
        <v>0.54200000000000004</v>
      </c>
      <c r="H60" s="8">
        <f t="shared" si="2"/>
        <v>1.6500000000000001</v>
      </c>
      <c r="I60">
        <f>INDEX(StartupfileInput!$A$2:$D$328,MATCH(Calculation!$A60,StartupfileInput!$A$2:$A$328,0),4)</f>
        <v>6887</v>
      </c>
      <c r="J60" s="107">
        <f t="shared" si="3"/>
        <v>7048</v>
      </c>
      <c r="K60" s="9">
        <f t="shared" si="4"/>
        <v>7809</v>
      </c>
      <c r="L60" s="9">
        <f t="shared" si="5"/>
        <v>3820</v>
      </c>
      <c r="M60" s="9">
        <f t="shared" si="6"/>
        <v>11629</v>
      </c>
    </row>
    <row r="61" spans="1:13" ht="12.75" x14ac:dyDescent="0.2">
      <c r="A61" s="2" t="str">
        <f>StartupfileInput!A59</f>
        <v>1152</v>
      </c>
      <c r="B61" s="1" t="str">
        <f>INDEX(ActiveDistricts!$A$2:$J$328,MATCH(Calculation!$A61,ActiveDistricts!$C$2:$C$328,0),6)</f>
        <v>1152</v>
      </c>
      <c r="C61" s="1" t="str">
        <f>INDEX(ActiveDistricts!$A$2:$J$328,MATCH(Calculation!$A61,ActiveDistricts!$C$2:$C$328,0),7)</f>
        <v>Cherokee</v>
      </c>
      <c r="D61" s="14">
        <f>INDEX(StartupfileInput!$A$2:$D$328,MATCH(Calculation!$A61,StartupfileInput!$A$2:$A$328,0),3)</f>
        <v>1027.0999999999999</v>
      </c>
      <c r="E61" s="20">
        <f>INDEX(ActiveDistricts!$A$2:$J$328,MATCH(Calculation!$A61,ActiveDistricts!$C$2:$C$328,0),10)</f>
        <v>0.40740740740740738</v>
      </c>
      <c r="F61" s="8">
        <f t="shared" si="0"/>
        <v>2.6859999999999999</v>
      </c>
      <c r="G61" s="8">
        <f t="shared" si="1"/>
        <v>2.0950000000000002</v>
      </c>
      <c r="H61" s="8">
        <f t="shared" si="2"/>
        <v>4.7810000000000006</v>
      </c>
      <c r="I61">
        <f>INDEX(StartupfileInput!$A$2:$D$328,MATCH(Calculation!$A61,StartupfileInput!$A$2:$A$328,0),4)</f>
        <v>6921</v>
      </c>
      <c r="J61" s="107">
        <f t="shared" si="3"/>
        <v>7079</v>
      </c>
      <c r="K61" s="9">
        <f t="shared" si="4"/>
        <v>19014</v>
      </c>
      <c r="L61" s="9">
        <f t="shared" si="5"/>
        <v>14831</v>
      </c>
      <c r="M61" s="9">
        <f t="shared" si="6"/>
        <v>33845</v>
      </c>
    </row>
    <row r="62" spans="1:13" ht="12.75" x14ac:dyDescent="0.2">
      <c r="A62" s="2" t="str">
        <f>StartupfileInput!A60</f>
        <v>1197</v>
      </c>
      <c r="B62" s="1" t="str">
        <f>INDEX(ActiveDistricts!$A$2:$J$328,MATCH(Calculation!$A62,ActiveDistricts!$C$2:$C$328,0),6)</f>
        <v>1197</v>
      </c>
      <c r="C62" s="1" t="str">
        <f>INDEX(ActiveDistricts!$A$2:$J$328,MATCH(Calculation!$A62,ActiveDistricts!$C$2:$C$328,0),7)</f>
        <v>Clarinda</v>
      </c>
      <c r="D62" s="14">
        <f>INDEX(StartupfileInput!$A$2:$D$328,MATCH(Calculation!$A62,StartupfileInput!$A$2:$A$328,0),3)</f>
        <v>991.6</v>
      </c>
      <c r="E62" s="20">
        <f>INDEX(ActiveDistricts!$A$2:$J$328,MATCH(Calculation!$A62,ActiveDistricts!$C$2:$C$328,0),10)</f>
        <v>0.45901639344262296</v>
      </c>
      <c r="F62" s="8">
        <f t="shared" si="0"/>
        <v>2.9220000000000002</v>
      </c>
      <c r="G62" s="8">
        <f t="shared" si="1"/>
        <v>2.0230000000000001</v>
      </c>
      <c r="H62" s="8">
        <f t="shared" si="2"/>
        <v>4.9450000000000003</v>
      </c>
      <c r="I62">
        <f>INDEX(StartupfileInput!$A$2:$D$328,MATCH(Calculation!$A62,StartupfileInput!$A$2:$A$328,0),4)</f>
        <v>6880</v>
      </c>
      <c r="J62" s="107">
        <f t="shared" si="3"/>
        <v>7048</v>
      </c>
      <c r="K62" s="9">
        <f t="shared" si="4"/>
        <v>20594</v>
      </c>
      <c r="L62" s="9">
        <f t="shared" si="5"/>
        <v>14258</v>
      </c>
      <c r="M62" s="9">
        <f t="shared" si="6"/>
        <v>34852</v>
      </c>
    </row>
    <row r="63" spans="1:13" ht="12.75" x14ac:dyDescent="0.2">
      <c r="A63" s="2" t="str">
        <f>StartupfileInput!A61</f>
        <v>1206</v>
      </c>
      <c r="B63" s="1" t="str">
        <f>INDEX(ActiveDistricts!$A$2:$J$328,MATCH(Calculation!$A63,ActiveDistricts!$C$2:$C$328,0),6)</f>
        <v>1206</v>
      </c>
      <c r="C63" s="1" t="str">
        <f>INDEX(ActiveDistricts!$A$2:$J$328,MATCH(Calculation!$A63,ActiveDistricts!$C$2:$C$328,0),7)</f>
        <v>Clarion-Goldfield-Dows</v>
      </c>
      <c r="D63" s="14">
        <f>INDEX(StartupfileInput!$A$2:$D$328,MATCH(Calculation!$A63,StartupfileInput!$A$2:$A$328,0),3)</f>
        <v>973.4</v>
      </c>
      <c r="E63" s="20">
        <f>INDEX(ActiveDistricts!$A$2:$J$328,MATCH(Calculation!$A63,ActiveDistricts!$C$2:$C$328,0),10)</f>
        <v>0.60499999999999998</v>
      </c>
      <c r="F63" s="8">
        <f t="shared" si="0"/>
        <v>3.7810000000000001</v>
      </c>
      <c r="G63" s="8">
        <f t="shared" si="1"/>
        <v>1.986</v>
      </c>
      <c r="H63" s="8">
        <f t="shared" si="2"/>
        <v>5.7670000000000003</v>
      </c>
      <c r="I63">
        <f>INDEX(StartupfileInput!$A$2:$D$328,MATCH(Calculation!$A63,StartupfileInput!$A$2:$A$328,0),4)</f>
        <v>6905</v>
      </c>
      <c r="J63" s="107">
        <f t="shared" si="3"/>
        <v>7063</v>
      </c>
      <c r="K63" s="9">
        <f t="shared" si="4"/>
        <v>26705</v>
      </c>
      <c r="L63" s="9">
        <f t="shared" si="5"/>
        <v>14027</v>
      </c>
      <c r="M63" s="9">
        <f t="shared" si="6"/>
        <v>40732</v>
      </c>
    </row>
    <row r="64" spans="1:13" ht="12.75" x14ac:dyDescent="0.2">
      <c r="A64" s="2" t="str">
        <f>StartupfileInput!A62</f>
        <v>1211</v>
      </c>
      <c r="B64" s="1" t="str">
        <f>INDEX(ActiveDistricts!$A$2:$J$328,MATCH(Calculation!$A64,ActiveDistricts!$C$2:$C$328,0),6)</f>
        <v>1211</v>
      </c>
      <c r="C64" s="1" t="str">
        <f>INDEX(ActiveDistricts!$A$2:$J$328,MATCH(Calculation!$A64,ActiveDistricts!$C$2:$C$328,0),7)</f>
        <v>Clarke</v>
      </c>
      <c r="D64" s="14">
        <f>INDEX(StartupfileInput!$A$2:$D$328,MATCH(Calculation!$A64,StartupfileInput!$A$2:$A$328,0),3)</f>
        <v>1440.4</v>
      </c>
      <c r="E64" s="20">
        <f>INDEX(ActiveDistricts!$A$2:$J$328,MATCH(Calculation!$A64,ActiveDistricts!$C$2:$C$328,0),10)</f>
        <v>0.64189189189189189</v>
      </c>
      <c r="F64" s="8">
        <f t="shared" si="0"/>
        <v>5.9359999999999999</v>
      </c>
      <c r="G64" s="8">
        <f t="shared" si="1"/>
        <v>2.9380000000000002</v>
      </c>
      <c r="H64" s="8">
        <f t="shared" si="2"/>
        <v>8.8740000000000006</v>
      </c>
      <c r="I64">
        <f>INDEX(StartupfileInput!$A$2:$D$328,MATCH(Calculation!$A64,StartupfileInput!$A$2:$A$328,0),4)</f>
        <v>6880</v>
      </c>
      <c r="J64" s="107">
        <f t="shared" si="3"/>
        <v>7048</v>
      </c>
      <c r="K64" s="9">
        <f t="shared" si="4"/>
        <v>41837</v>
      </c>
      <c r="L64" s="9">
        <f t="shared" si="5"/>
        <v>20707</v>
      </c>
      <c r="M64" s="9">
        <f t="shared" si="6"/>
        <v>62544</v>
      </c>
    </row>
    <row r="65" spans="1:13" ht="12.75" x14ac:dyDescent="0.2">
      <c r="A65" s="2" t="str">
        <f>StartupfileInput!A63</f>
        <v>1215</v>
      </c>
      <c r="B65" s="1" t="str">
        <f>INDEX(ActiveDistricts!$A$2:$J$328,MATCH(Calculation!$A65,ActiveDistricts!$C$2:$C$328,0),6)</f>
        <v>1215</v>
      </c>
      <c r="C65" s="1" t="str">
        <f>INDEX(ActiveDistricts!$A$2:$J$328,MATCH(Calculation!$A65,ActiveDistricts!$C$2:$C$328,0),7)</f>
        <v>Clarksville</v>
      </c>
      <c r="D65" s="14">
        <f>INDEX(StartupfileInput!$A$2:$D$328,MATCH(Calculation!$A65,StartupfileInput!$A$2:$A$328,0),3)</f>
        <v>295</v>
      </c>
      <c r="E65" s="20">
        <f>INDEX(ActiveDistricts!$A$2:$J$328,MATCH(Calculation!$A65,ActiveDistricts!$C$2:$C$328,0),10)</f>
        <v>0.29545454545454547</v>
      </c>
      <c r="F65" s="8">
        <f t="shared" si="0"/>
        <v>0.56000000000000005</v>
      </c>
      <c r="G65" s="8">
        <f t="shared" si="1"/>
        <v>0.60199999999999998</v>
      </c>
      <c r="H65" s="8">
        <f t="shared" si="2"/>
        <v>1.1619999999999999</v>
      </c>
      <c r="I65">
        <f>INDEX(StartupfileInput!$A$2:$D$328,MATCH(Calculation!$A65,StartupfileInput!$A$2:$A$328,0),4)</f>
        <v>6880</v>
      </c>
      <c r="J65" s="107">
        <f t="shared" si="3"/>
        <v>7048</v>
      </c>
      <c r="K65" s="9">
        <f t="shared" si="4"/>
        <v>3947</v>
      </c>
      <c r="L65" s="9">
        <f t="shared" si="5"/>
        <v>4243</v>
      </c>
      <c r="M65" s="9">
        <f t="shared" si="6"/>
        <v>8190</v>
      </c>
    </row>
    <row r="66" spans="1:13" ht="12.75" x14ac:dyDescent="0.2">
      <c r="A66" s="2" t="str">
        <f>StartupfileInput!A64</f>
        <v>1218</v>
      </c>
      <c r="B66" s="1" t="str">
        <f>INDEX(ActiveDistricts!$A$2:$J$328,MATCH(Calculation!$A66,ActiveDistricts!$C$2:$C$328,0),6)</f>
        <v>1218</v>
      </c>
      <c r="C66" s="1" t="str">
        <f>INDEX(ActiveDistricts!$A$2:$J$328,MATCH(Calculation!$A66,ActiveDistricts!$C$2:$C$328,0),7)</f>
        <v>Clay Central-Everly</v>
      </c>
      <c r="D66" s="14">
        <f>INDEX(StartupfileInput!$A$2:$D$328,MATCH(Calculation!$A66,StartupfileInput!$A$2:$A$328,0),3)</f>
        <v>288</v>
      </c>
      <c r="E66" s="20">
        <f>INDEX(ActiveDistricts!$A$2:$J$328,MATCH(Calculation!$A66,ActiveDistricts!$C$2:$C$328,0),10)</f>
        <v>0.63076923076923075</v>
      </c>
      <c r="F66" s="8">
        <f t="shared" si="0"/>
        <v>1.1659999999999999</v>
      </c>
      <c r="G66" s="8">
        <f t="shared" si="1"/>
        <v>0.58799999999999997</v>
      </c>
      <c r="H66" s="8">
        <f t="shared" si="2"/>
        <v>1.754</v>
      </c>
      <c r="I66">
        <f>INDEX(StartupfileInput!$A$2:$D$328,MATCH(Calculation!$A66,StartupfileInput!$A$2:$A$328,0),4)</f>
        <v>6998</v>
      </c>
      <c r="J66" s="107">
        <f t="shared" si="3"/>
        <v>7156</v>
      </c>
      <c r="K66" s="9">
        <f t="shared" si="4"/>
        <v>8344</v>
      </c>
      <c r="L66" s="9">
        <f t="shared" si="5"/>
        <v>4208</v>
      </c>
      <c r="M66" s="9">
        <f t="shared" si="6"/>
        <v>12552</v>
      </c>
    </row>
    <row r="67" spans="1:13" ht="12.75" x14ac:dyDescent="0.2">
      <c r="A67" s="2" t="str">
        <f>StartupfileInput!A65</f>
        <v>2763</v>
      </c>
      <c r="B67" s="1" t="str">
        <f>INDEX(ActiveDistricts!$A$2:$J$328,MATCH(Calculation!$A67,ActiveDistricts!$C$2:$C$328,0),6)</f>
        <v>2763</v>
      </c>
      <c r="C67" s="1" t="str">
        <f>INDEX(ActiveDistricts!$A$2:$J$328,MATCH(Calculation!$A67,ActiveDistricts!$C$2:$C$328,0),7)</f>
        <v>Clayton Ridge</v>
      </c>
      <c r="D67" s="14">
        <f>INDEX(StartupfileInput!$A$2:$D$328,MATCH(Calculation!$A67,StartupfileInput!$A$2:$A$328,0),3)</f>
        <v>593.9</v>
      </c>
      <c r="E67" s="20">
        <f>INDEX(ActiveDistricts!$A$2:$J$328,MATCH(Calculation!$A67,ActiveDistricts!$C$2:$C$328,0),10)</f>
        <v>0.42465753424657532</v>
      </c>
      <c r="F67" s="8">
        <f t="shared" si="0"/>
        <v>1.619</v>
      </c>
      <c r="G67" s="8">
        <f t="shared" si="1"/>
        <v>1.212</v>
      </c>
      <c r="H67" s="8">
        <f t="shared" si="2"/>
        <v>2.831</v>
      </c>
      <c r="I67">
        <f>INDEX(StartupfileInput!$A$2:$D$328,MATCH(Calculation!$A67,StartupfileInput!$A$2:$A$328,0),4)</f>
        <v>6962</v>
      </c>
      <c r="J67" s="107">
        <f t="shared" si="3"/>
        <v>7120</v>
      </c>
      <c r="K67" s="9">
        <f t="shared" si="4"/>
        <v>11527</v>
      </c>
      <c r="L67" s="9">
        <f t="shared" si="5"/>
        <v>8630</v>
      </c>
      <c r="M67" s="9">
        <f t="shared" si="6"/>
        <v>20157</v>
      </c>
    </row>
    <row r="68" spans="1:13" ht="12.75" x14ac:dyDescent="0.2">
      <c r="A68" s="2" t="str">
        <f>StartupfileInput!A66</f>
        <v>1221</v>
      </c>
      <c r="B68" s="1" t="str">
        <f>INDEX(ActiveDistricts!$A$2:$J$328,MATCH(Calculation!$A68,ActiveDistricts!$C$2:$C$328,0),6)</f>
        <v>1221</v>
      </c>
      <c r="C68" s="1" t="str">
        <f>INDEX(ActiveDistricts!$A$2:$J$328,MATCH(Calculation!$A68,ActiveDistricts!$C$2:$C$328,0),7)</f>
        <v>Clear Creek-Amana</v>
      </c>
      <c r="D68" s="14">
        <f>INDEX(StartupfileInput!$A$2:$D$328,MATCH(Calculation!$A68,StartupfileInput!$A$2:$A$328,0),3)</f>
        <v>2488.6999999999998</v>
      </c>
      <c r="E68" s="20">
        <f>INDEX(ActiveDistricts!$A$2:$J$328,MATCH(Calculation!$A68,ActiveDistricts!$C$2:$C$328,0),10)</f>
        <v>0.27437106918238996</v>
      </c>
      <c r="F68" s="8">
        <f t="shared" si="0"/>
        <v>4.3840000000000003</v>
      </c>
      <c r="G68" s="8">
        <f t="shared" si="1"/>
        <v>5.077</v>
      </c>
      <c r="H68" s="8">
        <f t="shared" ref="H68:H131" si="7">SUM(F68:G68)</f>
        <v>9.4610000000000003</v>
      </c>
      <c r="I68">
        <f>INDEX(StartupfileInput!$A$2:$D$328,MATCH(Calculation!$A68,StartupfileInput!$A$2:$A$328,0),4)</f>
        <v>6906</v>
      </c>
      <c r="J68" s="107">
        <f t="shared" si="3"/>
        <v>7064</v>
      </c>
      <c r="K68" s="9">
        <f t="shared" ref="K68:K131" si="8">ROUND(F68*J68,0)</f>
        <v>30969</v>
      </c>
      <c r="L68" s="9">
        <f t="shared" si="5"/>
        <v>35864</v>
      </c>
      <c r="M68" s="9">
        <f t="shared" si="6"/>
        <v>66833</v>
      </c>
    </row>
    <row r="69" spans="1:13" ht="12.75" x14ac:dyDescent="0.2">
      <c r="A69" s="2" t="str">
        <f>StartupfileInput!A67</f>
        <v>1233</v>
      </c>
      <c r="B69" s="1" t="str">
        <f>INDEX(ActiveDistricts!$A$2:$J$328,MATCH(Calculation!$A69,ActiveDistricts!$C$2:$C$328,0),6)</f>
        <v>1233</v>
      </c>
      <c r="C69" s="1" t="str">
        <f>INDEX(ActiveDistricts!$A$2:$J$328,MATCH(Calculation!$A69,ActiveDistricts!$C$2:$C$328,0),7)</f>
        <v>Clear Lake</v>
      </c>
      <c r="D69" s="14">
        <f>INDEX(StartupfileInput!$A$2:$D$328,MATCH(Calculation!$A69,StartupfileInput!$A$2:$A$328,0),3)</f>
        <v>1245.3</v>
      </c>
      <c r="E69" s="20">
        <f>INDEX(ActiveDistricts!$A$2:$J$328,MATCH(Calculation!$A69,ActiveDistricts!$C$2:$C$328,0),10)</f>
        <v>0.34720000000000001</v>
      </c>
      <c r="F69" s="8">
        <f t="shared" ref="F69:F132" si="9">ROUND(D69*E69*$F$3,3)</f>
        <v>2.7759999999999998</v>
      </c>
      <c r="G69" s="8">
        <f t="shared" ref="G69:G132" si="10">ROUND(D69*$G$3,3)</f>
        <v>2.54</v>
      </c>
      <c r="H69" s="8">
        <f t="shared" si="7"/>
        <v>5.3159999999999998</v>
      </c>
      <c r="I69">
        <f>INDEX(StartupfileInput!$A$2:$D$328,MATCH(Calculation!$A69,StartupfileInput!$A$2:$A$328,0),4)</f>
        <v>6880</v>
      </c>
      <c r="J69" s="107">
        <f t="shared" ref="J69:J132" si="11">MAX(I69+$R$2,$T$2)</f>
        <v>7048</v>
      </c>
      <c r="K69" s="9">
        <f t="shared" si="8"/>
        <v>19565</v>
      </c>
      <c r="L69" s="9">
        <f t="shared" ref="L69:L132" si="12">M69-K69</f>
        <v>17902</v>
      </c>
      <c r="M69" s="9">
        <f t="shared" ref="M69:M132" si="13">ROUND(H69*J69,0)</f>
        <v>37467</v>
      </c>
    </row>
    <row r="70" spans="1:13" ht="12.75" x14ac:dyDescent="0.2">
      <c r="A70" s="2" t="str">
        <f>StartupfileInput!A68</f>
        <v>1278</v>
      </c>
      <c r="B70" s="1" t="str">
        <f>INDEX(ActiveDistricts!$A$2:$J$328,MATCH(Calculation!$A70,ActiveDistricts!$C$2:$C$328,0),6)</f>
        <v>1278</v>
      </c>
      <c r="C70" s="1" t="str">
        <f>INDEX(ActiveDistricts!$A$2:$J$328,MATCH(Calculation!$A70,ActiveDistricts!$C$2:$C$328,0),7)</f>
        <v>Clinton</v>
      </c>
      <c r="D70" s="14">
        <f>INDEX(StartupfileInput!$A$2:$D$328,MATCH(Calculation!$A70,StartupfileInput!$A$2:$A$328,0),3)</f>
        <v>3624.2</v>
      </c>
      <c r="E70" s="20">
        <f>INDEX(ActiveDistricts!$A$2:$J$328,MATCH(Calculation!$A70,ActiveDistricts!$C$2:$C$328,0),10)</f>
        <v>0.58467482292337414</v>
      </c>
      <c r="F70" s="8">
        <f t="shared" si="9"/>
        <v>13.603999999999999</v>
      </c>
      <c r="G70" s="8">
        <f t="shared" si="10"/>
        <v>7.3929999999999998</v>
      </c>
      <c r="H70" s="8">
        <f t="shared" si="7"/>
        <v>20.997</v>
      </c>
      <c r="I70">
        <f>INDEX(StartupfileInput!$A$2:$D$328,MATCH(Calculation!$A70,StartupfileInput!$A$2:$A$328,0),4)</f>
        <v>6916</v>
      </c>
      <c r="J70" s="107">
        <f t="shared" si="11"/>
        <v>7074</v>
      </c>
      <c r="K70" s="9">
        <f t="shared" si="8"/>
        <v>96235</v>
      </c>
      <c r="L70" s="9">
        <f t="shared" si="12"/>
        <v>52298</v>
      </c>
      <c r="M70" s="9">
        <f t="shared" si="13"/>
        <v>148533</v>
      </c>
    </row>
    <row r="71" spans="1:13" ht="12.75" x14ac:dyDescent="0.2">
      <c r="A71" s="2" t="str">
        <f>StartupfileInput!A69</f>
        <v>1332</v>
      </c>
      <c r="B71" s="1" t="str">
        <f>INDEX(ActiveDistricts!$A$2:$J$328,MATCH(Calculation!$A71,ActiveDistricts!$C$2:$C$328,0),6)</f>
        <v>1332</v>
      </c>
      <c r="C71" s="1" t="str">
        <f>INDEX(ActiveDistricts!$A$2:$J$328,MATCH(Calculation!$A71,ActiveDistricts!$C$2:$C$328,0),7)</f>
        <v>Colfax-Mingo</v>
      </c>
      <c r="D71" s="14">
        <f>INDEX(StartupfileInput!$A$2:$D$328,MATCH(Calculation!$A71,StartupfileInput!$A$2:$A$328,0),3)</f>
        <v>763.8</v>
      </c>
      <c r="E71" s="20">
        <f>INDEX(ActiveDistricts!$A$2:$J$328,MATCH(Calculation!$A71,ActiveDistricts!$C$2:$C$328,0),10)</f>
        <v>0.47017543859649125</v>
      </c>
      <c r="F71" s="8">
        <f t="shared" si="9"/>
        <v>2.306</v>
      </c>
      <c r="G71" s="8">
        <f t="shared" si="10"/>
        <v>1.5580000000000001</v>
      </c>
      <c r="H71" s="8">
        <f t="shared" si="7"/>
        <v>3.8639999999999999</v>
      </c>
      <c r="I71">
        <f>INDEX(StartupfileInput!$A$2:$D$328,MATCH(Calculation!$A71,StartupfileInput!$A$2:$A$328,0),4)</f>
        <v>6880</v>
      </c>
      <c r="J71" s="107">
        <f t="shared" si="11"/>
        <v>7048</v>
      </c>
      <c r="K71" s="9">
        <f t="shared" si="8"/>
        <v>16253</v>
      </c>
      <c r="L71" s="9">
        <f t="shared" si="12"/>
        <v>10980</v>
      </c>
      <c r="M71" s="9">
        <f t="shared" si="13"/>
        <v>27233</v>
      </c>
    </row>
    <row r="72" spans="1:13" ht="12.75" x14ac:dyDescent="0.2">
      <c r="A72" s="2" t="str">
        <f>StartupfileInput!A70</f>
        <v>1337</v>
      </c>
      <c r="B72" s="1" t="str">
        <f>INDEX(ActiveDistricts!$A$2:$J$328,MATCH(Calculation!$A72,ActiveDistricts!$C$2:$C$328,0),6)</f>
        <v>1337</v>
      </c>
      <c r="C72" s="1" t="str">
        <f>INDEX(ActiveDistricts!$A$2:$J$328,MATCH(Calculation!$A72,ActiveDistricts!$C$2:$C$328,0),7)</f>
        <v>College Community</v>
      </c>
      <c r="D72" s="14">
        <f>INDEX(StartupfileInput!$A$2:$D$328,MATCH(Calculation!$A72,StartupfileInput!$A$2:$A$328,0),3)</f>
        <v>5194.1000000000004</v>
      </c>
      <c r="E72" s="20">
        <f>INDEX(ActiveDistricts!$A$2:$J$328,MATCH(Calculation!$A72,ActiveDistricts!$C$2:$C$328,0),10)</f>
        <v>0.34316895715440582</v>
      </c>
      <c r="F72" s="8">
        <f t="shared" si="9"/>
        <v>11.443</v>
      </c>
      <c r="G72" s="8">
        <f t="shared" si="10"/>
        <v>10.596</v>
      </c>
      <c r="H72" s="8">
        <f t="shared" si="7"/>
        <v>22.039000000000001</v>
      </c>
      <c r="I72">
        <f>INDEX(StartupfileInput!$A$2:$D$328,MATCH(Calculation!$A72,StartupfileInput!$A$2:$A$328,0),4)</f>
        <v>6880</v>
      </c>
      <c r="J72" s="107">
        <f t="shared" si="11"/>
        <v>7048</v>
      </c>
      <c r="K72" s="9">
        <f t="shared" si="8"/>
        <v>80650</v>
      </c>
      <c r="L72" s="9">
        <f t="shared" si="12"/>
        <v>74681</v>
      </c>
      <c r="M72" s="9">
        <f t="shared" si="13"/>
        <v>155331</v>
      </c>
    </row>
    <row r="73" spans="1:13" ht="12.75" x14ac:dyDescent="0.2">
      <c r="A73" s="2" t="str">
        <f>StartupfileInput!A71</f>
        <v>1350</v>
      </c>
      <c r="B73" s="1" t="str">
        <f>INDEX(ActiveDistricts!$A$2:$J$328,MATCH(Calculation!$A73,ActiveDistricts!$C$2:$C$328,0),6)</f>
        <v>1350</v>
      </c>
      <c r="C73" s="1" t="str">
        <f>INDEX(ActiveDistricts!$A$2:$J$328,MATCH(Calculation!$A73,ActiveDistricts!$C$2:$C$328,0),7)</f>
        <v>Collins-Maxwell</v>
      </c>
      <c r="D73" s="14">
        <f>INDEX(StartupfileInput!$A$2:$D$328,MATCH(Calculation!$A73,StartupfileInput!$A$2:$A$328,0),3)</f>
        <v>446.4</v>
      </c>
      <c r="E73" s="20">
        <f>INDEX(ActiveDistricts!$A$2:$J$328,MATCH(Calculation!$A73,ActiveDistricts!$C$2:$C$328,0),10)</f>
        <v>0.38285714285714284</v>
      </c>
      <c r="F73" s="8">
        <f t="shared" si="9"/>
        <v>1.097</v>
      </c>
      <c r="G73" s="8">
        <f t="shared" si="10"/>
        <v>0.91100000000000003</v>
      </c>
      <c r="H73" s="8">
        <f t="shared" si="7"/>
        <v>2.008</v>
      </c>
      <c r="I73">
        <f>INDEX(StartupfileInput!$A$2:$D$328,MATCH(Calculation!$A73,StartupfileInput!$A$2:$A$328,0),4)</f>
        <v>6880</v>
      </c>
      <c r="J73" s="107">
        <f t="shared" si="11"/>
        <v>7048</v>
      </c>
      <c r="K73" s="9">
        <f t="shared" si="8"/>
        <v>7732</v>
      </c>
      <c r="L73" s="9">
        <f t="shared" si="12"/>
        <v>6420</v>
      </c>
      <c r="M73" s="9">
        <f t="shared" si="13"/>
        <v>14152</v>
      </c>
    </row>
    <row r="74" spans="1:13" ht="12.75" x14ac:dyDescent="0.2">
      <c r="A74" s="2" t="str">
        <f>StartupfileInput!A72</f>
        <v>1359</v>
      </c>
      <c r="B74" s="1" t="str">
        <f>INDEX(ActiveDistricts!$A$2:$J$328,MATCH(Calculation!$A74,ActiveDistricts!$C$2:$C$328,0),6)</f>
        <v>1359</v>
      </c>
      <c r="C74" s="1" t="str">
        <f>INDEX(ActiveDistricts!$A$2:$J$328,MATCH(Calculation!$A74,ActiveDistricts!$C$2:$C$328,0),7)</f>
        <v>Colo-Nesco</v>
      </c>
      <c r="D74" s="14">
        <f>INDEX(StartupfileInput!$A$2:$D$328,MATCH(Calculation!$A74,StartupfileInput!$A$2:$A$328,0),3)</f>
        <v>512</v>
      </c>
      <c r="E74" s="20">
        <f>INDEX(ActiveDistricts!$A$2:$J$328,MATCH(Calculation!$A74,ActiveDistricts!$C$2:$C$328,0),10)</f>
        <v>0.42682926829268292</v>
      </c>
      <c r="F74" s="8">
        <f t="shared" si="9"/>
        <v>1.403</v>
      </c>
      <c r="G74" s="8">
        <f t="shared" si="10"/>
        <v>1.044</v>
      </c>
      <c r="H74" s="8">
        <f t="shared" si="7"/>
        <v>2.4470000000000001</v>
      </c>
      <c r="I74">
        <f>INDEX(StartupfileInput!$A$2:$D$328,MATCH(Calculation!$A74,StartupfileInput!$A$2:$A$328,0),4)</f>
        <v>6893</v>
      </c>
      <c r="J74" s="107">
        <f t="shared" si="11"/>
        <v>7051</v>
      </c>
      <c r="K74" s="9">
        <f t="shared" si="8"/>
        <v>9893</v>
      </c>
      <c r="L74" s="9">
        <f t="shared" si="12"/>
        <v>7361</v>
      </c>
      <c r="M74" s="9">
        <f t="shared" si="13"/>
        <v>17254</v>
      </c>
    </row>
    <row r="75" spans="1:13" ht="12.75" x14ac:dyDescent="0.2">
      <c r="A75" s="2" t="str">
        <f>StartupfileInput!A73</f>
        <v>1368</v>
      </c>
      <c r="B75" s="1" t="str">
        <f>INDEX(ActiveDistricts!$A$2:$J$328,MATCH(Calculation!$A75,ActiveDistricts!$C$2:$C$328,0),6)</f>
        <v>1368</v>
      </c>
      <c r="C75" s="1" t="str">
        <f>INDEX(ActiveDistricts!$A$2:$J$328,MATCH(Calculation!$A75,ActiveDistricts!$C$2:$C$328,0),7)</f>
        <v>Columbus</v>
      </c>
      <c r="D75" s="14">
        <f>INDEX(StartupfileInput!$A$2:$D$328,MATCH(Calculation!$A75,StartupfileInput!$A$2:$A$328,0),3)</f>
        <v>762.7</v>
      </c>
      <c r="E75" s="20">
        <f>INDEX(ActiveDistricts!$A$2:$J$328,MATCH(Calculation!$A75,ActiveDistricts!$C$2:$C$328,0),10)</f>
        <v>0.71523178807947019</v>
      </c>
      <c r="F75" s="8">
        <f t="shared" si="9"/>
        <v>3.5019999999999998</v>
      </c>
      <c r="G75" s="8">
        <f t="shared" si="10"/>
        <v>1.556</v>
      </c>
      <c r="H75" s="8">
        <f t="shared" si="7"/>
        <v>5.0579999999999998</v>
      </c>
      <c r="I75">
        <f>INDEX(StartupfileInput!$A$2:$D$328,MATCH(Calculation!$A75,StartupfileInput!$A$2:$A$328,0),4)</f>
        <v>6880</v>
      </c>
      <c r="J75" s="107">
        <f t="shared" si="11"/>
        <v>7048</v>
      </c>
      <c r="K75" s="9">
        <f t="shared" si="8"/>
        <v>24682</v>
      </c>
      <c r="L75" s="9">
        <f t="shared" si="12"/>
        <v>10967</v>
      </c>
      <c r="M75" s="9">
        <f t="shared" si="13"/>
        <v>35649</v>
      </c>
    </row>
    <row r="76" spans="1:13" ht="12.75" x14ac:dyDescent="0.2">
      <c r="A76" s="2" t="str">
        <f>StartupfileInput!A74</f>
        <v>1413</v>
      </c>
      <c r="B76" s="1" t="str">
        <f>INDEX(ActiveDistricts!$A$2:$J$328,MATCH(Calculation!$A76,ActiveDistricts!$C$2:$C$328,0),6)</f>
        <v>1413</v>
      </c>
      <c r="C76" s="1" t="str">
        <f>INDEX(ActiveDistricts!$A$2:$J$328,MATCH(Calculation!$A76,ActiveDistricts!$C$2:$C$328,0),7)</f>
        <v>Coon Rapids-Bayard</v>
      </c>
      <c r="D76" s="14">
        <f>INDEX(StartupfileInput!$A$2:$D$328,MATCH(Calculation!$A76,StartupfileInput!$A$2:$A$328,0),3)</f>
        <v>427.9</v>
      </c>
      <c r="E76" s="20">
        <f>INDEX(ActiveDistricts!$A$2:$J$328,MATCH(Calculation!$A76,ActiveDistricts!$C$2:$C$328,0),10)</f>
        <v>0.49746192893401014</v>
      </c>
      <c r="F76" s="8">
        <f t="shared" si="9"/>
        <v>1.367</v>
      </c>
      <c r="G76" s="8">
        <f t="shared" si="10"/>
        <v>0.873</v>
      </c>
      <c r="H76" s="8">
        <f t="shared" si="7"/>
        <v>2.2400000000000002</v>
      </c>
      <c r="I76">
        <f>INDEX(StartupfileInput!$A$2:$D$328,MATCH(Calculation!$A76,StartupfileInput!$A$2:$A$328,0),4)</f>
        <v>7017</v>
      </c>
      <c r="J76" s="107">
        <f t="shared" si="11"/>
        <v>7175</v>
      </c>
      <c r="K76" s="9">
        <f t="shared" si="8"/>
        <v>9808</v>
      </c>
      <c r="L76" s="9">
        <f t="shared" si="12"/>
        <v>6264</v>
      </c>
      <c r="M76" s="9">
        <f t="shared" si="13"/>
        <v>16072</v>
      </c>
    </row>
    <row r="77" spans="1:13" ht="12.75" x14ac:dyDescent="0.2">
      <c r="A77" s="2" t="str">
        <f>StartupfileInput!A75</f>
        <v>1431</v>
      </c>
      <c r="B77" s="1" t="str">
        <f>INDEX(ActiveDistricts!$A$2:$J$328,MATCH(Calculation!$A77,ActiveDistricts!$C$2:$C$328,0),6)</f>
        <v>1431</v>
      </c>
      <c r="C77" s="1" t="str">
        <f>INDEX(ActiveDistricts!$A$2:$J$328,MATCH(Calculation!$A77,ActiveDistricts!$C$2:$C$328,0),7)</f>
        <v>Corning</v>
      </c>
      <c r="D77" s="14">
        <f>INDEX(StartupfileInput!$A$2:$D$328,MATCH(Calculation!$A77,StartupfileInput!$A$2:$A$328,0),3)</f>
        <v>405.6</v>
      </c>
      <c r="E77" s="20">
        <f>INDEX(ActiveDistricts!$A$2:$J$328,MATCH(Calculation!$A77,ActiveDistricts!$C$2:$C$328,0),10)</f>
        <v>0.51677852348993292</v>
      </c>
      <c r="F77" s="8">
        <f t="shared" si="9"/>
        <v>1.3460000000000001</v>
      </c>
      <c r="G77" s="8">
        <f t="shared" si="10"/>
        <v>0.82699999999999996</v>
      </c>
      <c r="H77" s="8">
        <f t="shared" si="7"/>
        <v>2.173</v>
      </c>
      <c r="I77">
        <f>INDEX(StartupfileInput!$A$2:$D$328,MATCH(Calculation!$A77,StartupfileInput!$A$2:$A$328,0),4)</f>
        <v>6917</v>
      </c>
      <c r="J77" s="107">
        <f t="shared" si="11"/>
        <v>7075</v>
      </c>
      <c r="K77" s="9">
        <f t="shared" si="8"/>
        <v>9523</v>
      </c>
      <c r="L77" s="9">
        <f t="shared" si="12"/>
        <v>5851</v>
      </c>
      <c r="M77" s="9">
        <f t="shared" si="13"/>
        <v>15374</v>
      </c>
    </row>
    <row r="78" spans="1:13" ht="12.75" x14ac:dyDescent="0.2">
      <c r="A78" s="2" t="str">
        <f>StartupfileInput!A76</f>
        <v>1476</v>
      </c>
      <c r="B78" s="1" t="str">
        <f>INDEX(ActiveDistricts!$A$2:$J$328,MATCH(Calculation!$A78,ActiveDistricts!$C$2:$C$328,0),6)</f>
        <v>1476</v>
      </c>
      <c r="C78" s="1" t="str">
        <f>INDEX(ActiveDistricts!$A$2:$J$328,MATCH(Calculation!$A78,ActiveDistricts!$C$2:$C$328,0),7)</f>
        <v>Council Bluffs</v>
      </c>
      <c r="D78" s="14">
        <f>INDEX(StartupfileInput!$A$2:$D$328,MATCH(Calculation!$A78,StartupfileInput!$A$2:$A$328,0),3)</f>
        <v>9122.1</v>
      </c>
      <c r="E78" s="20">
        <f>INDEX(ActiveDistricts!$A$2:$J$328,MATCH(Calculation!$A78,ActiveDistricts!$C$2:$C$328,0),10)</f>
        <v>0.67643407002731559</v>
      </c>
      <c r="F78" s="8">
        <f t="shared" si="9"/>
        <v>39.615000000000002</v>
      </c>
      <c r="G78" s="8">
        <f t="shared" si="10"/>
        <v>18.609000000000002</v>
      </c>
      <c r="H78" s="8">
        <f t="shared" si="7"/>
        <v>58.224000000000004</v>
      </c>
      <c r="I78">
        <f>INDEX(StartupfileInput!$A$2:$D$328,MATCH(Calculation!$A78,StartupfileInput!$A$2:$A$328,0),4)</f>
        <v>6939</v>
      </c>
      <c r="J78" s="107">
        <f t="shared" si="11"/>
        <v>7097</v>
      </c>
      <c r="K78" s="9">
        <f t="shared" si="8"/>
        <v>281148</v>
      </c>
      <c r="L78" s="9">
        <f t="shared" si="12"/>
        <v>132068</v>
      </c>
      <c r="M78" s="9">
        <f t="shared" si="13"/>
        <v>413216</v>
      </c>
    </row>
    <row r="79" spans="1:13" ht="12.75" x14ac:dyDescent="0.2">
      <c r="A79" s="2" t="str">
        <f>StartupfileInput!A77</f>
        <v>1503</v>
      </c>
      <c r="B79" s="1" t="str">
        <f>INDEX(ActiveDistricts!$A$2:$J$328,MATCH(Calculation!$A79,ActiveDistricts!$C$2:$C$328,0),6)</f>
        <v>1503</v>
      </c>
      <c r="C79" s="1" t="str">
        <f>INDEX(ActiveDistricts!$A$2:$J$328,MATCH(Calculation!$A79,ActiveDistricts!$C$2:$C$328,0),7)</f>
        <v>Creston</v>
      </c>
      <c r="D79" s="14">
        <f>INDEX(StartupfileInput!$A$2:$D$328,MATCH(Calculation!$A79,StartupfileInput!$A$2:$A$328,0),3)</f>
        <v>1470.7</v>
      </c>
      <c r="E79" s="20">
        <f>INDEX(ActiveDistricts!$A$2:$J$328,MATCH(Calculation!$A79,ActiveDistricts!$C$2:$C$328,0),10)</f>
        <v>0.67027027027027031</v>
      </c>
      <c r="F79" s="8">
        <f t="shared" si="9"/>
        <v>6.3289999999999997</v>
      </c>
      <c r="G79" s="8">
        <f t="shared" si="10"/>
        <v>3</v>
      </c>
      <c r="H79" s="8">
        <f t="shared" si="7"/>
        <v>9.3290000000000006</v>
      </c>
      <c r="I79">
        <f>INDEX(StartupfileInput!$A$2:$D$328,MATCH(Calculation!$A79,StartupfileInput!$A$2:$A$328,0),4)</f>
        <v>6881</v>
      </c>
      <c r="J79" s="107">
        <f t="shared" si="11"/>
        <v>7048</v>
      </c>
      <c r="K79" s="9">
        <f t="shared" si="8"/>
        <v>44607</v>
      </c>
      <c r="L79" s="9">
        <f t="shared" si="12"/>
        <v>21144</v>
      </c>
      <c r="M79" s="9">
        <f t="shared" si="13"/>
        <v>65751</v>
      </c>
    </row>
    <row r="80" spans="1:13" ht="12.75" x14ac:dyDescent="0.2">
      <c r="A80" s="2" t="str">
        <f>StartupfileInput!A78</f>
        <v>1576</v>
      </c>
      <c r="B80" s="1" t="str">
        <f>INDEX(ActiveDistricts!$A$2:$J$328,MATCH(Calculation!$A80,ActiveDistricts!$C$2:$C$328,0),6)</f>
        <v>1576</v>
      </c>
      <c r="C80" s="1" t="str">
        <f>INDEX(ActiveDistricts!$A$2:$J$328,MATCH(Calculation!$A80,ActiveDistricts!$C$2:$C$328,0),7)</f>
        <v>Dallas Center-Grimes</v>
      </c>
      <c r="D80" s="14">
        <f>INDEX(StartupfileInput!$A$2:$D$328,MATCH(Calculation!$A80,StartupfileInput!$A$2:$A$328,0),3)</f>
        <v>3127</v>
      </c>
      <c r="E80" s="20">
        <f>INDEX(ActiveDistricts!$A$2:$J$328,MATCH(Calculation!$A80,ActiveDistricts!$C$2:$C$328,0),10)</f>
        <v>0.15816326530612246</v>
      </c>
      <c r="F80" s="8">
        <f t="shared" si="9"/>
        <v>3.1749999999999998</v>
      </c>
      <c r="G80" s="8">
        <f t="shared" si="10"/>
        <v>6.3789999999999996</v>
      </c>
      <c r="H80" s="8">
        <f t="shared" si="7"/>
        <v>9.5539999999999985</v>
      </c>
      <c r="I80">
        <f>INDEX(StartupfileInput!$A$2:$D$328,MATCH(Calculation!$A80,StartupfileInput!$A$2:$A$328,0),4)</f>
        <v>6880</v>
      </c>
      <c r="J80" s="107">
        <f t="shared" si="11"/>
        <v>7048</v>
      </c>
      <c r="K80" s="9">
        <f t="shared" si="8"/>
        <v>22377</v>
      </c>
      <c r="L80" s="9">
        <f t="shared" si="12"/>
        <v>44960</v>
      </c>
      <c r="M80" s="9">
        <f t="shared" si="13"/>
        <v>67337</v>
      </c>
    </row>
    <row r="81" spans="1:13" ht="12.75" x14ac:dyDescent="0.2">
      <c r="A81" s="2" t="str">
        <f>StartupfileInput!A79</f>
        <v>1602</v>
      </c>
      <c r="B81" s="1" t="str">
        <f>INDEX(ActiveDistricts!$A$2:$J$328,MATCH(Calculation!$A81,ActiveDistricts!$C$2:$C$328,0),6)</f>
        <v>1602</v>
      </c>
      <c r="C81" s="1" t="str">
        <f>INDEX(ActiveDistricts!$A$2:$J$328,MATCH(Calculation!$A81,ActiveDistricts!$C$2:$C$328,0),7)</f>
        <v>Danville</v>
      </c>
      <c r="D81" s="14">
        <f>INDEX(StartupfileInput!$A$2:$D$328,MATCH(Calculation!$A81,StartupfileInput!$A$2:$A$328,0),3)</f>
        <v>507.6</v>
      </c>
      <c r="E81" s="20">
        <f>INDEX(ActiveDistricts!$A$2:$J$328,MATCH(Calculation!$A81,ActiveDistricts!$C$2:$C$328,0),10)</f>
        <v>0.32</v>
      </c>
      <c r="F81" s="8">
        <f t="shared" si="9"/>
        <v>1.0429999999999999</v>
      </c>
      <c r="G81" s="8">
        <f t="shared" si="10"/>
        <v>1.036</v>
      </c>
      <c r="H81" s="8">
        <f t="shared" si="7"/>
        <v>2.0789999999999997</v>
      </c>
      <c r="I81">
        <f>INDEX(StartupfileInput!$A$2:$D$328,MATCH(Calculation!$A81,StartupfileInput!$A$2:$A$328,0),4)</f>
        <v>6880</v>
      </c>
      <c r="J81" s="107">
        <f t="shared" si="11"/>
        <v>7048</v>
      </c>
      <c r="K81" s="9">
        <f t="shared" si="8"/>
        <v>7351</v>
      </c>
      <c r="L81" s="9">
        <f t="shared" si="12"/>
        <v>7302</v>
      </c>
      <c r="M81" s="9">
        <f t="shared" si="13"/>
        <v>14653</v>
      </c>
    </row>
    <row r="82" spans="1:13" ht="12.75" x14ac:dyDescent="0.2">
      <c r="A82" s="2" t="str">
        <f>StartupfileInput!A80</f>
        <v>1611</v>
      </c>
      <c r="B82" s="1" t="str">
        <f>INDEX(ActiveDistricts!$A$2:$J$328,MATCH(Calculation!$A82,ActiveDistricts!$C$2:$C$328,0),6)</f>
        <v>1611</v>
      </c>
      <c r="C82" s="1" t="str">
        <f>INDEX(ActiveDistricts!$A$2:$J$328,MATCH(Calculation!$A82,ActiveDistricts!$C$2:$C$328,0),7)</f>
        <v>Davenport</v>
      </c>
      <c r="D82" s="14">
        <f>INDEX(StartupfileInput!$A$2:$D$328,MATCH(Calculation!$A82,StartupfileInput!$A$2:$A$328,0),3)</f>
        <v>14930.5</v>
      </c>
      <c r="E82" s="20">
        <f>INDEX(ActiveDistricts!$A$2:$J$328,MATCH(Calculation!$A82,ActiveDistricts!$C$2:$C$328,0),10)</f>
        <v>0.58280793479932336</v>
      </c>
      <c r="F82" s="8">
        <f t="shared" si="9"/>
        <v>55.863999999999997</v>
      </c>
      <c r="G82" s="8">
        <f t="shared" si="10"/>
        <v>30.457999999999998</v>
      </c>
      <c r="H82" s="8">
        <f t="shared" si="7"/>
        <v>86.322000000000003</v>
      </c>
      <c r="I82">
        <f>INDEX(StartupfileInput!$A$2:$D$328,MATCH(Calculation!$A82,StartupfileInput!$A$2:$A$328,0),4)</f>
        <v>6880</v>
      </c>
      <c r="J82" s="107">
        <f t="shared" si="11"/>
        <v>7048</v>
      </c>
      <c r="K82" s="9">
        <f t="shared" si="8"/>
        <v>393729</v>
      </c>
      <c r="L82" s="9">
        <f t="shared" si="12"/>
        <v>214668</v>
      </c>
      <c r="M82" s="9">
        <f t="shared" si="13"/>
        <v>608397</v>
      </c>
    </row>
    <row r="83" spans="1:13" ht="12.75" x14ac:dyDescent="0.2">
      <c r="A83" s="2" t="str">
        <f>StartupfileInput!A81</f>
        <v>1619</v>
      </c>
      <c r="B83" s="1" t="str">
        <f>INDEX(ActiveDistricts!$A$2:$J$328,MATCH(Calculation!$A83,ActiveDistricts!$C$2:$C$328,0),6)</f>
        <v>1619</v>
      </c>
      <c r="C83" s="1" t="str">
        <f>INDEX(ActiveDistricts!$A$2:$J$328,MATCH(Calculation!$A83,ActiveDistricts!$C$2:$C$328,0),7)</f>
        <v>Davis County</v>
      </c>
      <c r="D83" s="14">
        <f>INDEX(StartupfileInput!$A$2:$D$328,MATCH(Calculation!$A83,StartupfileInput!$A$2:$A$328,0),3)</f>
        <v>1167.0999999999999</v>
      </c>
      <c r="E83" s="20">
        <f>INDEX(ActiveDistricts!$A$2:$J$328,MATCH(Calculation!$A83,ActiveDistricts!$C$2:$C$328,0),10)</f>
        <v>0.55655296229802509</v>
      </c>
      <c r="F83" s="8">
        <f t="shared" si="9"/>
        <v>4.17</v>
      </c>
      <c r="G83" s="8">
        <f t="shared" si="10"/>
        <v>2.3809999999999998</v>
      </c>
      <c r="H83" s="8">
        <f t="shared" si="7"/>
        <v>6.5510000000000002</v>
      </c>
      <c r="I83">
        <f>INDEX(StartupfileInput!$A$2:$D$328,MATCH(Calculation!$A83,StartupfileInput!$A$2:$A$328,0),4)</f>
        <v>6880</v>
      </c>
      <c r="J83" s="107">
        <f t="shared" si="11"/>
        <v>7048</v>
      </c>
      <c r="K83" s="9">
        <f t="shared" si="8"/>
        <v>29390</v>
      </c>
      <c r="L83" s="9">
        <f t="shared" si="12"/>
        <v>16781</v>
      </c>
      <c r="M83" s="9">
        <f t="shared" si="13"/>
        <v>46171</v>
      </c>
    </row>
    <row r="84" spans="1:13" ht="12.75" x14ac:dyDescent="0.2">
      <c r="A84" s="2" t="str">
        <f>StartupfileInput!A82</f>
        <v>1638</v>
      </c>
      <c r="B84" s="1" t="str">
        <f>INDEX(ActiveDistricts!$A$2:$J$328,MATCH(Calculation!$A84,ActiveDistricts!$C$2:$C$328,0),6)</f>
        <v>1638</v>
      </c>
      <c r="C84" s="1" t="str">
        <f>INDEX(ActiveDistricts!$A$2:$J$328,MATCH(Calculation!$A84,ActiveDistricts!$C$2:$C$328,0),7)</f>
        <v>Decorah</v>
      </c>
      <c r="D84" s="14">
        <f>INDEX(StartupfileInput!$A$2:$D$328,MATCH(Calculation!$A84,StartupfileInput!$A$2:$A$328,0),3)</f>
        <v>1607.2</v>
      </c>
      <c r="E84" s="20">
        <f>INDEX(ActiveDistricts!$A$2:$J$328,MATCH(Calculation!$A84,ActiveDistricts!$C$2:$C$328,0),10)</f>
        <v>0.25958702064896755</v>
      </c>
      <c r="F84" s="8">
        <f t="shared" si="9"/>
        <v>2.6779999999999999</v>
      </c>
      <c r="G84" s="8">
        <f t="shared" si="10"/>
        <v>3.2789999999999999</v>
      </c>
      <c r="H84" s="8">
        <f t="shared" si="7"/>
        <v>5.9569999999999999</v>
      </c>
      <c r="I84">
        <f>INDEX(StartupfileInput!$A$2:$D$328,MATCH(Calculation!$A84,StartupfileInput!$A$2:$A$328,0),4)</f>
        <v>6900</v>
      </c>
      <c r="J84" s="107">
        <f t="shared" si="11"/>
        <v>7058</v>
      </c>
      <c r="K84" s="9">
        <f t="shared" si="8"/>
        <v>18901</v>
      </c>
      <c r="L84" s="9">
        <f t="shared" si="12"/>
        <v>23144</v>
      </c>
      <c r="M84" s="9">
        <f t="shared" si="13"/>
        <v>42045</v>
      </c>
    </row>
    <row r="85" spans="1:13" ht="12.75" x14ac:dyDescent="0.2">
      <c r="A85" s="2" t="str">
        <f>StartupfileInput!A83</f>
        <v>1675</v>
      </c>
      <c r="B85" s="1" t="str">
        <f>INDEX(ActiveDistricts!$A$2:$J$328,MATCH(Calculation!$A85,ActiveDistricts!$C$2:$C$328,0),6)</f>
        <v>1675</v>
      </c>
      <c r="C85" s="1" t="str">
        <f>INDEX(ActiveDistricts!$A$2:$J$328,MATCH(Calculation!$A85,ActiveDistricts!$C$2:$C$328,0),7)</f>
        <v>Delwood</v>
      </c>
      <c r="D85" s="14">
        <f>INDEX(StartupfileInput!$A$2:$D$328,MATCH(Calculation!$A85,StartupfileInput!$A$2:$A$328,0),3)</f>
        <v>193.4</v>
      </c>
      <c r="E85" s="20">
        <f>INDEX(ActiveDistricts!$A$2:$J$328,MATCH(Calculation!$A85,ActiveDistricts!$C$2:$C$328,0),10)</f>
        <v>0.4144144144144144</v>
      </c>
      <c r="F85" s="8">
        <f t="shared" si="9"/>
        <v>0.51500000000000001</v>
      </c>
      <c r="G85" s="8">
        <f t="shared" si="10"/>
        <v>0.39500000000000002</v>
      </c>
      <c r="H85" s="8">
        <f t="shared" si="7"/>
        <v>0.91</v>
      </c>
      <c r="I85">
        <f>INDEX(StartupfileInput!$A$2:$D$328,MATCH(Calculation!$A85,StartupfileInput!$A$2:$A$328,0),4)</f>
        <v>7045</v>
      </c>
      <c r="J85" s="107">
        <f t="shared" si="11"/>
        <v>7203</v>
      </c>
      <c r="K85" s="9">
        <f t="shared" si="8"/>
        <v>3710</v>
      </c>
      <c r="L85" s="9">
        <f t="shared" si="12"/>
        <v>2845</v>
      </c>
      <c r="M85" s="9">
        <f t="shared" si="13"/>
        <v>6555</v>
      </c>
    </row>
    <row r="86" spans="1:13" ht="12.75" x14ac:dyDescent="0.2">
      <c r="A86" s="2" t="str">
        <f>StartupfileInput!A84</f>
        <v>1701</v>
      </c>
      <c r="B86" s="1" t="str">
        <f>INDEX(ActiveDistricts!$A$2:$J$328,MATCH(Calculation!$A86,ActiveDistricts!$C$2:$C$328,0),6)</f>
        <v>1701</v>
      </c>
      <c r="C86" s="1" t="str">
        <f>INDEX(ActiveDistricts!$A$2:$J$328,MATCH(Calculation!$A86,ActiveDistricts!$C$2:$C$328,0),7)</f>
        <v>Denison</v>
      </c>
      <c r="D86" s="14">
        <f>INDEX(StartupfileInput!$A$2:$D$328,MATCH(Calculation!$A86,StartupfileInput!$A$2:$A$328,0),3)</f>
        <v>2169</v>
      </c>
      <c r="E86" s="20">
        <f>INDEX(ActiveDistricts!$A$2:$J$328,MATCH(Calculation!$A86,ActiveDistricts!$C$2:$C$328,0),10)</f>
        <v>0.7534102833158447</v>
      </c>
      <c r="F86" s="8">
        <f t="shared" si="9"/>
        <v>10.491</v>
      </c>
      <c r="G86" s="8">
        <f t="shared" si="10"/>
        <v>4.4249999999999998</v>
      </c>
      <c r="H86" s="8">
        <f t="shared" si="7"/>
        <v>14.916</v>
      </c>
      <c r="I86">
        <f>INDEX(StartupfileInput!$A$2:$D$328,MATCH(Calculation!$A86,StartupfileInput!$A$2:$A$328,0),4)</f>
        <v>6880</v>
      </c>
      <c r="J86" s="107">
        <f t="shared" si="11"/>
        <v>7048</v>
      </c>
      <c r="K86" s="9">
        <f t="shared" si="8"/>
        <v>73941</v>
      </c>
      <c r="L86" s="9">
        <f t="shared" si="12"/>
        <v>31187</v>
      </c>
      <c r="M86" s="9">
        <f t="shared" si="13"/>
        <v>105128</v>
      </c>
    </row>
    <row r="87" spans="1:13" ht="12.75" x14ac:dyDescent="0.2">
      <c r="A87" s="2" t="str">
        <f>StartupfileInput!A85</f>
        <v>1719</v>
      </c>
      <c r="B87" s="1" t="str">
        <f>INDEX(ActiveDistricts!$A$2:$J$328,MATCH(Calculation!$A87,ActiveDistricts!$C$2:$C$328,0),6)</f>
        <v>1719</v>
      </c>
      <c r="C87" s="1" t="str">
        <f>INDEX(ActiveDistricts!$A$2:$J$328,MATCH(Calculation!$A87,ActiveDistricts!$C$2:$C$328,0),7)</f>
        <v>Denver</v>
      </c>
      <c r="D87" s="14">
        <f>INDEX(StartupfileInput!$A$2:$D$328,MATCH(Calculation!$A87,StartupfileInput!$A$2:$A$328,0),3)</f>
        <v>821.6</v>
      </c>
      <c r="E87" s="20">
        <f>INDEX(ActiveDistricts!$A$2:$J$328,MATCH(Calculation!$A87,ActiveDistricts!$C$2:$C$328,0),10)</f>
        <v>0.13670886075949368</v>
      </c>
      <c r="F87" s="8">
        <f t="shared" si="9"/>
        <v>0.72099999999999997</v>
      </c>
      <c r="G87" s="8">
        <f t="shared" si="10"/>
        <v>1.6759999999999999</v>
      </c>
      <c r="H87" s="8">
        <f t="shared" si="7"/>
        <v>2.3969999999999998</v>
      </c>
      <c r="I87">
        <f>INDEX(StartupfileInput!$A$2:$D$328,MATCH(Calculation!$A87,StartupfileInput!$A$2:$A$328,0),4)</f>
        <v>6880</v>
      </c>
      <c r="J87" s="107">
        <f t="shared" si="11"/>
        <v>7048</v>
      </c>
      <c r="K87" s="9">
        <f t="shared" si="8"/>
        <v>5082</v>
      </c>
      <c r="L87" s="9">
        <f t="shared" si="12"/>
        <v>11812</v>
      </c>
      <c r="M87" s="9">
        <f t="shared" si="13"/>
        <v>16894</v>
      </c>
    </row>
    <row r="88" spans="1:13" ht="12.75" x14ac:dyDescent="0.2">
      <c r="A88" s="2" t="str">
        <f>StartupfileInput!A86</f>
        <v>1737</v>
      </c>
      <c r="B88" s="1" t="str">
        <f>INDEX(ActiveDistricts!$A$2:$J$328,MATCH(Calculation!$A88,ActiveDistricts!$C$2:$C$328,0),6)</f>
        <v>1737</v>
      </c>
      <c r="C88" s="1" t="str">
        <f>INDEX(ActiveDistricts!$A$2:$J$328,MATCH(Calculation!$A88,ActiveDistricts!$C$2:$C$328,0),7)</f>
        <v>Des Moines</v>
      </c>
      <c r="D88" s="14">
        <f>INDEX(StartupfileInput!$A$2:$D$328,MATCH(Calculation!$A88,StartupfileInput!$A$2:$A$328,0),3)</f>
        <v>32606.7</v>
      </c>
      <c r="E88" s="20">
        <f>INDEX(ActiveDistricts!$A$2:$J$328,MATCH(Calculation!$A88,ActiveDistricts!$C$2:$C$328,0),10)</f>
        <v>0.7973010380622837</v>
      </c>
      <c r="F88" s="8">
        <f t="shared" si="9"/>
        <v>166.90299999999999</v>
      </c>
      <c r="G88" s="8">
        <f t="shared" si="10"/>
        <v>66.518000000000001</v>
      </c>
      <c r="H88" s="8">
        <f t="shared" si="7"/>
        <v>233.42099999999999</v>
      </c>
      <c r="I88">
        <f>INDEX(StartupfileInput!$A$2:$D$328,MATCH(Calculation!$A88,StartupfileInput!$A$2:$A$328,0),4)</f>
        <v>6938</v>
      </c>
      <c r="J88" s="107">
        <f t="shared" si="11"/>
        <v>7096</v>
      </c>
      <c r="K88" s="9">
        <f t="shared" si="8"/>
        <v>1184344</v>
      </c>
      <c r="L88" s="9">
        <f t="shared" si="12"/>
        <v>472011</v>
      </c>
      <c r="M88" s="9">
        <f t="shared" si="13"/>
        <v>1656355</v>
      </c>
    </row>
    <row r="89" spans="1:13" ht="12.75" x14ac:dyDescent="0.2">
      <c r="A89" s="2" t="str">
        <f>StartupfileInput!A87</f>
        <v>1782</v>
      </c>
      <c r="B89" s="1" t="str">
        <f>INDEX(ActiveDistricts!$A$2:$J$328,MATCH(Calculation!$A89,ActiveDistricts!$C$2:$C$328,0),6)</f>
        <v>1782</v>
      </c>
      <c r="C89" s="1" t="str">
        <f>INDEX(ActiveDistricts!$A$2:$J$328,MATCH(Calculation!$A89,ActiveDistricts!$C$2:$C$328,0),7)</f>
        <v>Diagonal</v>
      </c>
      <c r="D89" s="14">
        <f>INDEX(StartupfileInput!$A$2:$D$328,MATCH(Calculation!$A89,StartupfileInput!$A$2:$A$328,0),3)</f>
        <v>102</v>
      </c>
      <c r="E89" s="20">
        <f>INDEX(ActiveDistricts!$A$2:$J$328,MATCH(Calculation!$A89,ActiveDistricts!$C$2:$C$328,0),10)</f>
        <v>0.69090909090909092</v>
      </c>
      <c r="F89" s="8">
        <f t="shared" si="9"/>
        <v>0.45200000000000001</v>
      </c>
      <c r="G89" s="8">
        <f t="shared" si="10"/>
        <v>0.20799999999999999</v>
      </c>
      <c r="H89" s="8">
        <f t="shared" si="7"/>
        <v>0.66</v>
      </c>
      <c r="I89">
        <f>INDEX(StartupfileInput!$A$2:$D$328,MATCH(Calculation!$A89,StartupfileInput!$A$2:$A$328,0),4)</f>
        <v>6881</v>
      </c>
      <c r="J89" s="107">
        <f t="shared" si="11"/>
        <v>7048</v>
      </c>
      <c r="K89" s="9">
        <f t="shared" si="8"/>
        <v>3186</v>
      </c>
      <c r="L89" s="9">
        <f t="shared" si="12"/>
        <v>1466</v>
      </c>
      <c r="M89" s="9">
        <f t="shared" si="13"/>
        <v>4652</v>
      </c>
    </row>
    <row r="90" spans="1:13" ht="12.75" x14ac:dyDescent="0.2">
      <c r="A90" s="2" t="str">
        <f>StartupfileInput!A88</f>
        <v>1791</v>
      </c>
      <c r="B90" s="1" t="str">
        <f>INDEX(ActiveDistricts!$A$2:$J$328,MATCH(Calculation!$A90,ActiveDistricts!$C$2:$C$328,0),6)</f>
        <v>1791</v>
      </c>
      <c r="C90" s="1" t="str">
        <f>INDEX(ActiveDistricts!$A$2:$J$328,MATCH(Calculation!$A90,ActiveDistricts!$C$2:$C$328,0),7)</f>
        <v>Dike-New Hartford</v>
      </c>
      <c r="D90" s="14">
        <f>INDEX(StartupfileInput!$A$2:$D$328,MATCH(Calculation!$A90,StartupfileInput!$A$2:$A$328,0),3)</f>
        <v>872.1</v>
      </c>
      <c r="E90" s="20">
        <f>INDEX(ActiveDistricts!$A$2:$J$328,MATCH(Calculation!$A90,ActiveDistricts!$C$2:$C$328,0),10)</f>
        <v>0.21907216494845361</v>
      </c>
      <c r="F90" s="8">
        <f t="shared" si="9"/>
        <v>1.2270000000000001</v>
      </c>
      <c r="G90" s="8">
        <f t="shared" si="10"/>
        <v>1.7789999999999999</v>
      </c>
      <c r="H90" s="8">
        <f t="shared" si="7"/>
        <v>3.0060000000000002</v>
      </c>
      <c r="I90">
        <f>INDEX(StartupfileInput!$A$2:$D$328,MATCH(Calculation!$A90,StartupfileInput!$A$2:$A$328,0),4)</f>
        <v>6880</v>
      </c>
      <c r="J90" s="107">
        <f t="shared" si="11"/>
        <v>7048</v>
      </c>
      <c r="K90" s="9">
        <f t="shared" si="8"/>
        <v>8648</v>
      </c>
      <c r="L90" s="9">
        <f t="shared" si="12"/>
        <v>12538</v>
      </c>
      <c r="M90" s="9">
        <f t="shared" si="13"/>
        <v>21186</v>
      </c>
    </row>
    <row r="91" spans="1:13" ht="12.75" x14ac:dyDescent="0.2">
      <c r="A91" s="2" t="str">
        <f>StartupfileInput!A89</f>
        <v>1863</v>
      </c>
      <c r="B91" s="1" t="str">
        <f>INDEX(ActiveDistricts!$A$2:$J$328,MATCH(Calculation!$A91,ActiveDistricts!$C$2:$C$328,0),6)</f>
        <v>1863</v>
      </c>
      <c r="C91" s="1" t="str">
        <f>INDEX(ActiveDistricts!$A$2:$J$328,MATCH(Calculation!$A91,ActiveDistricts!$C$2:$C$328,0),7)</f>
        <v>Dubuque</v>
      </c>
      <c r="D91" s="14">
        <f>INDEX(StartupfileInput!$A$2:$D$328,MATCH(Calculation!$A91,StartupfileInput!$A$2:$A$328,0),3)</f>
        <v>10489</v>
      </c>
      <c r="E91" s="20">
        <f>INDEX(ActiveDistricts!$A$2:$J$328,MATCH(Calculation!$A91,ActiveDistricts!$C$2:$C$328,0),10)</f>
        <v>0.43142857142857144</v>
      </c>
      <c r="F91" s="8">
        <f t="shared" si="9"/>
        <v>29.052</v>
      </c>
      <c r="G91" s="8">
        <f t="shared" si="10"/>
        <v>21.398</v>
      </c>
      <c r="H91" s="8">
        <f t="shared" si="7"/>
        <v>50.45</v>
      </c>
      <c r="I91">
        <f>INDEX(StartupfileInput!$A$2:$D$328,MATCH(Calculation!$A91,StartupfileInput!$A$2:$A$328,0),4)</f>
        <v>6880</v>
      </c>
      <c r="J91" s="107">
        <f t="shared" si="11"/>
        <v>7048</v>
      </c>
      <c r="K91" s="9">
        <f t="shared" si="8"/>
        <v>204758</v>
      </c>
      <c r="L91" s="9">
        <f t="shared" si="12"/>
        <v>150814</v>
      </c>
      <c r="M91" s="9">
        <f t="shared" si="13"/>
        <v>355572</v>
      </c>
    </row>
    <row r="92" spans="1:13" ht="12.75" x14ac:dyDescent="0.2">
      <c r="A92" s="2" t="str">
        <f>StartupfileInput!A90</f>
        <v>1908</v>
      </c>
      <c r="B92" s="1" t="str">
        <f>INDEX(ActiveDistricts!$A$2:$J$328,MATCH(Calculation!$A92,ActiveDistricts!$C$2:$C$328,0),6)</f>
        <v>1908</v>
      </c>
      <c r="C92" s="1" t="str">
        <f>INDEX(ActiveDistricts!$A$2:$J$328,MATCH(Calculation!$A92,ActiveDistricts!$C$2:$C$328,0),7)</f>
        <v>Dunkerton</v>
      </c>
      <c r="D92" s="14">
        <f>INDEX(StartupfileInput!$A$2:$D$328,MATCH(Calculation!$A92,StartupfileInput!$A$2:$A$328,0),3)</f>
        <v>386</v>
      </c>
      <c r="E92" s="20">
        <f>INDEX(ActiveDistricts!$A$2:$J$328,MATCH(Calculation!$A92,ActiveDistricts!$C$2:$C$328,0),10)</f>
        <v>0.36305732484076431</v>
      </c>
      <c r="F92" s="8">
        <f t="shared" si="9"/>
        <v>0.9</v>
      </c>
      <c r="G92" s="8">
        <f t="shared" si="10"/>
        <v>0.78700000000000003</v>
      </c>
      <c r="H92" s="8">
        <f t="shared" si="7"/>
        <v>1.6870000000000001</v>
      </c>
      <c r="I92">
        <f>INDEX(StartupfileInput!$A$2:$D$328,MATCH(Calculation!$A92,StartupfileInput!$A$2:$A$328,0),4)</f>
        <v>6880</v>
      </c>
      <c r="J92" s="107">
        <f t="shared" si="11"/>
        <v>7048</v>
      </c>
      <c r="K92" s="9">
        <f t="shared" si="8"/>
        <v>6343</v>
      </c>
      <c r="L92" s="9">
        <f t="shared" si="12"/>
        <v>5547</v>
      </c>
      <c r="M92" s="9">
        <f t="shared" si="13"/>
        <v>11890</v>
      </c>
    </row>
    <row r="93" spans="1:13" ht="12.75" x14ac:dyDescent="0.2">
      <c r="A93" s="2" t="str">
        <f>StartupfileInput!A91</f>
        <v>1926</v>
      </c>
      <c r="B93" s="1" t="str">
        <f>INDEX(ActiveDistricts!$A$2:$J$328,MATCH(Calculation!$A93,ActiveDistricts!$C$2:$C$328,0),6)</f>
        <v>1926</v>
      </c>
      <c r="C93" s="1" t="str">
        <f>INDEX(ActiveDistricts!$A$2:$J$328,MATCH(Calculation!$A93,ActiveDistricts!$C$2:$C$328,0),7)</f>
        <v>Durant</v>
      </c>
      <c r="D93" s="14">
        <f>INDEX(StartupfileInput!$A$2:$D$328,MATCH(Calculation!$A93,StartupfileInput!$A$2:$A$328,0),3)</f>
        <v>557.29999999999995</v>
      </c>
      <c r="E93" s="20">
        <f>INDEX(ActiveDistricts!$A$2:$J$328,MATCH(Calculation!$A93,ActiveDistricts!$C$2:$C$328,0),10)</f>
        <v>0.30418250950570341</v>
      </c>
      <c r="F93" s="8">
        <f t="shared" si="9"/>
        <v>1.0880000000000001</v>
      </c>
      <c r="G93" s="8">
        <f t="shared" si="10"/>
        <v>1.137</v>
      </c>
      <c r="H93" s="8">
        <f t="shared" si="7"/>
        <v>2.2250000000000001</v>
      </c>
      <c r="I93">
        <f>INDEX(StartupfileInput!$A$2:$D$328,MATCH(Calculation!$A93,StartupfileInput!$A$2:$A$328,0),4)</f>
        <v>6916</v>
      </c>
      <c r="J93" s="107">
        <f t="shared" si="11"/>
        <v>7074</v>
      </c>
      <c r="K93" s="9">
        <f t="shared" si="8"/>
        <v>7697</v>
      </c>
      <c r="L93" s="9">
        <f t="shared" si="12"/>
        <v>8043</v>
      </c>
      <c r="M93" s="9">
        <f t="shared" si="13"/>
        <v>15740</v>
      </c>
    </row>
    <row r="94" spans="1:13" ht="12.75" x14ac:dyDescent="0.2">
      <c r="A94" s="2" t="str">
        <f>StartupfileInput!A92</f>
        <v>1944</v>
      </c>
      <c r="B94" s="1" t="str">
        <f>INDEX(ActiveDistricts!$A$2:$J$328,MATCH(Calculation!$A94,ActiveDistricts!$C$2:$C$328,0),6)</f>
        <v>1944</v>
      </c>
      <c r="C94" s="1" t="str">
        <f>INDEX(ActiveDistricts!$A$2:$J$328,MATCH(Calculation!$A94,ActiveDistricts!$C$2:$C$328,0),7)</f>
        <v>Eagle Grove</v>
      </c>
      <c r="D94" s="14">
        <f>INDEX(StartupfileInput!$A$2:$D$328,MATCH(Calculation!$A94,StartupfileInput!$A$2:$A$328,0),3)</f>
        <v>959.2</v>
      </c>
      <c r="E94" s="20">
        <f>INDEX(ActiveDistricts!$A$2:$J$328,MATCH(Calculation!$A94,ActiveDistricts!$C$2:$C$328,0),10)</f>
        <v>0.74238875878220145</v>
      </c>
      <c r="F94" s="8">
        <f t="shared" si="9"/>
        <v>4.5720000000000001</v>
      </c>
      <c r="G94" s="8">
        <f t="shared" si="10"/>
        <v>1.9570000000000001</v>
      </c>
      <c r="H94" s="8">
        <f t="shared" si="7"/>
        <v>6.5289999999999999</v>
      </c>
      <c r="I94">
        <f>INDEX(StartupfileInput!$A$2:$D$328,MATCH(Calculation!$A94,StartupfileInput!$A$2:$A$328,0),4)</f>
        <v>6988</v>
      </c>
      <c r="J94" s="107">
        <f t="shared" si="11"/>
        <v>7146</v>
      </c>
      <c r="K94" s="9">
        <f t="shared" si="8"/>
        <v>32672</v>
      </c>
      <c r="L94" s="9">
        <f t="shared" si="12"/>
        <v>13984</v>
      </c>
      <c r="M94" s="9">
        <f t="shared" si="13"/>
        <v>46656</v>
      </c>
    </row>
    <row r="95" spans="1:13" ht="12.75" x14ac:dyDescent="0.2">
      <c r="A95" s="2" t="str">
        <f>StartupfileInput!A93</f>
        <v>1953</v>
      </c>
      <c r="B95" s="1" t="str">
        <f>INDEX(ActiveDistricts!$A$2:$J$328,MATCH(Calculation!$A95,ActiveDistricts!$C$2:$C$328,0),6)</f>
        <v>1953</v>
      </c>
      <c r="C95" s="1" t="str">
        <f>INDEX(ActiveDistricts!$A$2:$J$328,MATCH(Calculation!$A95,ActiveDistricts!$C$2:$C$328,0),7)</f>
        <v>Earlham</v>
      </c>
      <c r="D95" s="14">
        <f>INDEX(StartupfileInput!$A$2:$D$328,MATCH(Calculation!$A95,StartupfileInput!$A$2:$A$328,0),3)</f>
        <v>574.1</v>
      </c>
      <c r="E95" s="20">
        <f>INDEX(ActiveDistricts!$A$2:$J$328,MATCH(Calculation!$A95,ActiveDistricts!$C$2:$C$328,0),10)</f>
        <v>0.30769230769230771</v>
      </c>
      <c r="F95" s="8">
        <f t="shared" si="9"/>
        <v>1.1339999999999999</v>
      </c>
      <c r="G95" s="8">
        <f t="shared" si="10"/>
        <v>1.171</v>
      </c>
      <c r="H95" s="8">
        <f t="shared" si="7"/>
        <v>2.3049999999999997</v>
      </c>
      <c r="I95">
        <f>INDEX(StartupfileInput!$A$2:$D$328,MATCH(Calculation!$A95,StartupfileInput!$A$2:$A$328,0),4)</f>
        <v>6880</v>
      </c>
      <c r="J95" s="107">
        <f t="shared" si="11"/>
        <v>7048</v>
      </c>
      <c r="K95" s="9">
        <f t="shared" si="8"/>
        <v>7992</v>
      </c>
      <c r="L95" s="9">
        <f t="shared" si="12"/>
        <v>8254</v>
      </c>
      <c r="M95" s="9">
        <f t="shared" si="13"/>
        <v>16246</v>
      </c>
    </row>
    <row r="96" spans="1:13" ht="12.75" x14ac:dyDescent="0.2">
      <c r="A96" s="2" t="str">
        <f>StartupfileInput!A94</f>
        <v>1963</v>
      </c>
      <c r="B96" s="1" t="str">
        <f>INDEX(ActiveDistricts!$A$2:$J$328,MATCH(Calculation!$A96,ActiveDistricts!$C$2:$C$328,0),6)</f>
        <v>1963</v>
      </c>
      <c r="C96" s="1" t="str">
        <f>INDEX(ActiveDistricts!$A$2:$J$328,MATCH(Calculation!$A96,ActiveDistricts!$C$2:$C$328,0),7)</f>
        <v>East Buchanan</v>
      </c>
      <c r="D96" s="14">
        <f>INDEX(StartupfileInput!$A$2:$D$328,MATCH(Calculation!$A96,StartupfileInput!$A$2:$A$328,0),3)</f>
        <v>552.29999999999995</v>
      </c>
      <c r="E96" s="20">
        <f>INDEX(ActiveDistricts!$A$2:$J$328,MATCH(Calculation!$A96,ActiveDistricts!$C$2:$C$328,0),10)</f>
        <v>0.34959349593495936</v>
      </c>
      <c r="F96" s="8">
        <f t="shared" si="9"/>
        <v>1.24</v>
      </c>
      <c r="G96" s="8">
        <f t="shared" si="10"/>
        <v>1.127</v>
      </c>
      <c r="H96" s="8">
        <f t="shared" si="7"/>
        <v>2.367</v>
      </c>
      <c r="I96">
        <f>INDEX(StartupfileInput!$A$2:$D$328,MATCH(Calculation!$A96,StartupfileInput!$A$2:$A$328,0),4)</f>
        <v>6880</v>
      </c>
      <c r="J96" s="107">
        <f t="shared" si="11"/>
        <v>7048</v>
      </c>
      <c r="K96" s="9">
        <f t="shared" si="8"/>
        <v>8740</v>
      </c>
      <c r="L96" s="9">
        <f t="shared" si="12"/>
        <v>7943</v>
      </c>
      <c r="M96" s="9">
        <f t="shared" si="13"/>
        <v>16683</v>
      </c>
    </row>
    <row r="97" spans="1:13" ht="12.75" x14ac:dyDescent="0.2">
      <c r="A97" s="2" t="str">
        <f>StartupfileInput!A95</f>
        <v>3582</v>
      </c>
      <c r="B97" s="1" t="str">
        <f>INDEX(ActiveDistricts!$A$2:$J$328,MATCH(Calculation!$A97,ActiveDistricts!$C$2:$C$328,0),6)</f>
        <v>1968</v>
      </c>
      <c r="C97" s="1" t="str">
        <f>INDEX(ActiveDistricts!$A$2:$J$328,MATCH(Calculation!$A97,ActiveDistricts!$C$2:$C$328,0),7)</f>
        <v>East Marshall</v>
      </c>
      <c r="D97" s="14">
        <f>INDEX(StartupfileInput!$A$2:$D$328,MATCH(Calculation!$A97,StartupfileInput!$A$2:$A$328,0),3)</f>
        <v>603.9</v>
      </c>
      <c r="E97" s="20">
        <f>INDEX(ActiveDistricts!$A$2:$J$328,MATCH(Calculation!$A97,ActiveDistricts!$C$2:$C$328,0),10)</f>
        <v>0.45915492957746479</v>
      </c>
      <c r="F97" s="8">
        <f t="shared" si="9"/>
        <v>1.78</v>
      </c>
      <c r="G97" s="8">
        <f t="shared" si="10"/>
        <v>1.232</v>
      </c>
      <c r="H97" s="8">
        <f t="shared" si="7"/>
        <v>3.012</v>
      </c>
      <c r="I97">
        <f>INDEX(StartupfileInput!$A$2:$D$328,MATCH(Calculation!$A97,StartupfileInput!$A$2:$A$328,0),4)</f>
        <v>6954</v>
      </c>
      <c r="J97" s="107">
        <f t="shared" si="11"/>
        <v>7112</v>
      </c>
      <c r="K97" s="9">
        <f t="shared" si="8"/>
        <v>12659</v>
      </c>
      <c r="L97" s="9">
        <f t="shared" si="12"/>
        <v>8762</v>
      </c>
      <c r="M97" s="9">
        <f t="shared" si="13"/>
        <v>21421</v>
      </c>
    </row>
    <row r="98" spans="1:13" ht="12.75" x14ac:dyDescent="0.2">
      <c r="A98" s="2" t="str">
        <f>StartupfileInput!A96</f>
        <v>3978</v>
      </c>
      <c r="B98" s="1" t="str">
        <f>INDEX(ActiveDistricts!$A$2:$J$328,MATCH(Calculation!$A98,ActiveDistricts!$C$2:$C$328,0),6)</f>
        <v>3978</v>
      </c>
      <c r="C98" s="1" t="str">
        <f>INDEX(ActiveDistricts!$A$2:$J$328,MATCH(Calculation!$A98,ActiveDistricts!$C$2:$C$328,0),7)</f>
        <v>East Mills</v>
      </c>
      <c r="D98" s="14">
        <f>INDEX(StartupfileInput!$A$2:$D$328,MATCH(Calculation!$A98,StartupfileInput!$A$2:$A$328,0),3)</f>
        <v>541.1</v>
      </c>
      <c r="E98" s="20">
        <f>INDEX(ActiveDistricts!$A$2:$J$328,MATCH(Calculation!$A98,ActiveDistricts!$C$2:$C$328,0),10)</f>
        <v>0.5112359550561798</v>
      </c>
      <c r="F98" s="8">
        <f t="shared" si="9"/>
        <v>1.776</v>
      </c>
      <c r="G98" s="8">
        <f t="shared" si="10"/>
        <v>1.1040000000000001</v>
      </c>
      <c r="H98" s="8">
        <f t="shared" si="7"/>
        <v>2.88</v>
      </c>
      <c r="I98">
        <f>INDEX(StartupfileInput!$A$2:$D$328,MATCH(Calculation!$A98,StartupfileInput!$A$2:$A$328,0),4)</f>
        <v>6934</v>
      </c>
      <c r="J98" s="107">
        <f t="shared" si="11"/>
        <v>7092</v>
      </c>
      <c r="K98" s="9">
        <f t="shared" si="8"/>
        <v>12595</v>
      </c>
      <c r="L98" s="9">
        <f t="shared" si="12"/>
        <v>7830</v>
      </c>
      <c r="M98" s="9">
        <f t="shared" si="13"/>
        <v>20425</v>
      </c>
    </row>
    <row r="99" spans="1:13" ht="12.75" x14ac:dyDescent="0.2">
      <c r="A99" s="2" t="str">
        <f>StartupfileInput!A97</f>
        <v>6741</v>
      </c>
      <c r="B99" s="1" t="str">
        <f>INDEX(ActiveDistricts!$A$2:$J$328,MATCH(Calculation!$A99,ActiveDistricts!$C$2:$C$328,0),6)</f>
        <v>6741</v>
      </c>
      <c r="C99" s="1" t="str">
        <f>INDEX(ActiveDistricts!$A$2:$J$328,MATCH(Calculation!$A99,ActiveDistricts!$C$2:$C$328,0),7)</f>
        <v>East Sac County</v>
      </c>
      <c r="D99" s="14">
        <f>INDEX(StartupfileInput!$A$2:$D$328,MATCH(Calculation!$A99,StartupfileInput!$A$2:$A$328,0),3)</f>
        <v>795.9</v>
      </c>
      <c r="E99" s="20">
        <f>INDEX(ActiveDistricts!$A$2:$J$328,MATCH(Calculation!$A99,ActiveDistricts!$C$2:$C$328,0),10)</f>
        <v>0.5316091954022989</v>
      </c>
      <c r="F99" s="8">
        <f t="shared" si="9"/>
        <v>2.7160000000000002</v>
      </c>
      <c r="G99" s="8">
        <f t="shared" si="10"/>
        <v>1.6240000000000001</v>
      </c>
      <c r="H99" s="8">
        <f t="shared" si="7"/>
        <v>4.34</v>
      </c>
      <c r="I99">
        <f>INDEX(StartupfileInput!$A$2:$D$328,MATCH(Calculation!$A99,StartupfileInput!$A$2:$A$328,0),4)</f>
        <v>6883</v>
      </c>
      <c r="J99" s="107">
        <f t="shared" si="11"/>
        <v>7048</v>
      </c>
      <c r="K99" s="9">
        <f t="shared" si="8"/>
        <v>19142</v>
      </c>
      <c r="L99" s="9">
        <f t="shared" si="12"/>
        <v>11446</v>
      </c>
      <c r="M99" s="9">
        <f t="shared" si="13"/>
        <v>30588</v>
      </c>
    </row>
    <row r="100" spans="1:13" ht="12.75" x14ac:dyDescent="0.2">
      <c r="A100" s="2" t="str">
        <f>StartupfileInput!A98</f>
        <v>1970</v>
      </c>
      <c r="B100" s="1" t="str">
        <f>INDEX(ActiveDistricts!$A$2:$J$328,MATCH(Calculation!$A100,ActiveDistricts!$C$2:$C$328,0),6)</f>
        <v>1970</v>
      </c>
      <c r="C100" s="1" t="str">
        <f>INDEX(ActiveDistricts!$A$2:$J$328,MATCH(Calculation!$A100,ActiveDistricts!$C$2:$C$328,0),7)</f>
        <v>East Union</v>
      </c>
      <c r="D100" s="14">
        <f>INDEX(StartupfileInput!$A$2:$D$328,MATCH(Calculation!$A100,StartupfileInput!$A$2:$A$328,0),3)</f>
        <v>503</v>
      </c>
      <c r="E100" s="20">
        <f>INDEX(ActiveDistricts!$A$2:$J$328,MATCH(Calculation!$A100,ActiveDistricts!$C$2:$C$328,0),10)</f>
        <v>0.69868995633187769</v>
      </c>
      <c r="F100" s="8">
        <f t="shared" si="9"/>
        <v>2.2559999999999998</v>
      </c>
      <c r="G100" s="8">
        <f t="shared" si="10"/>
        <v>1.026</v>
      </c>
      <c r="H100" s="8">
        <f t="shared" si="7"/>
        <v>3.282</v>
      </c>
      <c r="I100">
        <f>INDEX(StartupfileInput!$A$2:$D$328,MATCH(Calculation!$A100,StartupfileInput!$A$2:$A$328,0),4)</f>
        <v>6894</v>
      </c>
      <c r="J100" s="107">
        <f t="shared" si="11"/>
        <v>7052</v>
      </c>
      <c r="K100" s="9">
        <f t="shared" si="8"/>
        <v>15909</v>
      </c>
      <c r="L100" s="9">
        <f t="shared" si="12"/>
        <v>7236</v>
      </c>
      <c r="M100" s="9">
        <f t="shared" si="13"/>
        <v>23145</v>
      </c>
    </row>
    <row r="101" spans="1:13" ht="12.75" x14ac:dyDescent="0.2">
      <c r="A101" s="2" t="str">
        <f>StartupfileInput!A99</f>
        <v>1972</v>
      </c>
      <c r="B101" s="1" t="str">
        <f>INDEX(ActiveDistricts!$A$2:$J$328,MATCH(Calculation!$A101,ActiveDistricts!$C$2:$C$328,0),6)</f>
        <v>1972</v>
      </c>
      <c r="C101" s="1" t="str">
        <f>INDEX(ActiveDistricts!$A$2:$J$328,MATCH(Calculation!$A101,ActiveDistricts!$C$2:$C$328,0),7)</f>
        <v>Eastern Allamakee</v>
      </c>
      <c r="D101" s="14">
        <f>INDEX(StartupfileInput!$A$2:$D$328,MATCH(Calculation!$A101,StartupfileInput!$A$2:$A$328,0),3)</f>
        <v>323</v>
      </c>
      <c r="E101" s="20">
        <f>INDEX(ActiveDistricts!$A$2:$J$328,MATCH(Calculation!$A101,ActiveDistricts!$C$2:$C$328,0),10)</f>
        <v>0.40799999999999997</v>
      </c>
      <c r="F101" s="8">
        <f t="shared" si="9"/>
        <v>0.84599999999999997</v>
      </c>
      <c r="G101" s="8">
        <f t="shared" si="10"/>
        <v>0.65900000000000003</v>
      </c>
      <c r="H101" s="8">
        <f t="shared" si="7"/>
        <v>1.5049999999999999</v>
      </c>
      <c r="I101">
        <f>INDEX(StartupfileInput!$A$2:$D$328,MATCH(Calculation!$A101,StartupfileInput!$A$2:$A$328,0),4)</f>
        <v>6880</v>
      </c>
      <c r="J101" s="107">
        <f t="shared" si="11"/>
        <v>7048</v>
      </c>
      <c r="K101" s="9">
        <f t="shared" si="8"/>
        <v>5963</v>
      </c>
      <c r="L101" s="9">
        <f t="shared" si="12"/>
        <v>4644</v>
      </c>
      <c r="M101" s="9">
        <f t="shared" si="13"/>
        <v>10607</v>
      </c>
    </row>
    <row r="102" spans="1:13" ht="12.75" x14ac:dyDescent="0.2">
      <c r="A102" s="2" t="str">
        <f>StartupfileInput!A100</f>
        <v>1965</v>
      </c>
      <c r="B102" s="1" t="str">
        <f>INDEX(ActiveDistricts!$A$2:$J$328,MATCH(Calculation!$A102,ActiveDistricts!$C$2:$C$328,0),6)</f>
        <v>1965</v>
      </c>
      <c r="C102" s="1" t="str">
        <f>INDEX(ActiveDistricts!$A$2:$J$328,MATCH(Calculation!$A102,ActiveDistricts!$C$2:$C$328,0),7)</f>
        <v>Easton Valley</v>
      </c>
      <c r="D102" s="14">
        <f>INDEX(StartupfileInput!$A$2:$D$328,MATCH(Calculation!$A102,StartupfileInput!$A$2:$A$328,0),3)</f>
        <v>577.79999999999995</v>
      </c>
      <c r="E102" s="20">
        <f>INDEX(ActiveDistricts!$A$2:$J$328,MATCH(Calculation!$A102,ActiveDistricts!$C$2:$C$328,0),10)</f>
        <v>0.47643979057591623</v>
      </c>
      <c r="F102" s="8">
        <f t="shared" si="9"/>
        <v>1.7669999999999999</v>
      </c>
      <c r="G102" s="8">
        <f t="shared" si="10"/>
        <v>1.179</v>
      </c>
      <c r="H102" s="8">
        <f t="shared" si="7"/>
        <v>2.9459999999999997</v>
      </c>
      <c r="I102">
        <f>INDEX(StartupfileInput!$A$2:$D$328,MATCH(Calculation!$A102,StartupfileInput!$A$2:$A$328,0),4)</f>
        <v>6880</v>
      </c>
      <c r="J102" s="107">
        <f t="shared" si="11"/>
        <v>7048</v>
      </c>
      <c r="K102" s="9">
        <f t="shared" si="8"/>
        <v>12454</v>
      </c>
      <c r="L102" s="9">
        <f t="shared" si="12"/>
        <v>8309</v>
      </c>
      <c r="M102" s="9">
        <f t="shared" si="13"/>
        <v>20763</v>
      </c>
    </row>
    <row r="103" spans="1:13" ht="12.75" x14ac:dyDescent="0.2">
      <c r="A103" s="2" t="str">
        <f>StartupfileInput!A101</f>
        <v>0657</v>
      </c>
      <c r="B103" s="1" t="str">
        <f>INDEX(ActiveDistricts!$A$2:$J$328,MATCH(Calculation!$A103,ActiveDistricts!$C$2:$C$328,0),6)</f>
        <v>0657</v>
      </c>
      <c r="C103" s="1" t="str">
        <f>INDEX(ActiveDistricts!$A$2:$J$328,MATCH(Calculation!$A103,ActiveDistricts!$C$2:$C$328,0),7)</f>
        <v>Eddyville-Blakesburg-Fremont</v>
      </c>
      <c r="D103" s="14">
        <f>INDEX(StartupfileInput!$A$2:$D$328,MATCH(Calculation!$A103,StartupfileInput!$A$2:$A$328,0),3)</f>
        <v>869.6</v>
      </c>
      <c r="E103" s="20">
        <f>INDEX(ActiveDistricts!$A$2:$J$328,MATCH(Calculation!$A103,ActiveDistricts!$C$2:$C$328,0),10)</f>
        <v>0.40486725663716816</v>
      </c>
      <c r="F103" s="8">
        <f t="shared" si="9"/>
        <v>2.2599999999999998</v>
      </c>
      <c r="G103" s="8">
        <f t="shared" si="10"/>
        <v>1.774</v>
      </c>
      <c r="H103" s="8">
        <f t="shared" si="7"/>
        <v>4.0339999999999998</v>
      </c>
      <c r="I103">
        <f>INDEX(StartupfileInput!$A$2:$D$328,MATCH(Calculation!$A103,StartupfileInput!$A$2:$A$328,0),4)</f>
        <v>6880</v>
      </c>
      <c r="J103" s="107">
        <f t="shared" si="11"/>
        <v>7048</v>
      </c>
      <c r="K103" s="9">
        <f t="shared" si="8"/>
        <v>15928</v>
      </c>
      <c r="L103" s="9">
        <f t="shared" si="12"/>
        <v>12504</v>
      </c>
      <c r="M103" s="9">
        <f t="shared" si="13"/>
        <v>28432</v>
      </c>
    </row>
    <row r="104" spans="1:13" ht="12.75" x14ac:dyDescent="0.2">
      <c r="A104" s="2" t="str">
        <f>StartupfileInput!A102</f>
        <v>1989</v>
      </c>
      <c r="B104" s="1" t="str">
        <f>INDEX(ActiveDistricts!$A$2:$J$328,MATCH(Calculation!$A104,ActiveDistricts!$C$2:$C$328,0),6)</f>
        <v>1989</v>
      </c>
      <c r="C104" s="1" t="str">
        <f>INDEX(ActiveDistricts!$A$2:$J$328,MATCH(Calculation!$A104,ActiveDistricts!$C$2:$C$328,0),7)</f>
        <v>Edgewood-Colesburg</v>
      </c>
      <c r="D104" s="14">
        <f>INDEX(StartupfileInput!$A$2:$D$328,MATCH(Calculation!$A104,StartupfileInput!$A$2:$A$328,0),3)</f>
        <v>415</v>
      </c>
      <c r="E104" s="20">
        <f>INDEX(ActiveDistricts!$A$2:$J$328,MATCH(Calculation!$A104,ActiveDistricts!$C$2:$C$328,0),10)</f>
        <v>0.3656387665198238</v>
      </c>
      <c r="F104" s="8">
        <f t="shared" si="9"/>
        <v>0.97399999999999998</v>
      </c>
      <c r="G104" s="8">
        <f t="shared" si="10"/>
        <v>0.84699999999999998</v>
      </c>
      <c r="H104" s="8">
        <f t="shared" si="7"/>
        <v>1.821</v>
      </c>
      <c r="I104">
        <f>INDEX(StartupfileInput!$A$2:$D$328,MATCH(Calculation!$A104,StartupfileInput!$A$2:$A$328,0),4)</f>
        <v>6880</v>
      </c>
      <c r="J104" s="107">
        <f t="shared" si="11"/>
        <v>7048</v>
      </c>
      <c r="K104" s="9">
        <f t="shared" si="8"/>
        <v>6865</v>
      </c>
      <c r="L104" s="9">
        <f t="shared" si="12"/>
        <v>5969</v>
      </c>
      <c r="M104" s="9">
        <f t="shared" si="13"/>
        <v>12834</v>
      </c>
    </row>
    <row r="105" spans="1:13" ht="12.75" x14ac:dyDescent="0.2">
      <c r="A105" s="2" t="str">
        <f>StartupfileInput!A103</f>
        <v>2007</v>
      </c>
      <c r="B105" s="1" t="str">
        <f>INDEX(ActiveDistricts!$A$2:$J$328,MATCH(Calculation!$A105,ActiveDistricts!$C$2:$C$328,0),6)</f>
        <v>2007</v>
      </c>
      <c r="C105" s="1" t="str">
        <f>INDEX(ActiveDistricts!$A$2:$J$328,MATCH(Calculation!$A105,ActiveDistricts!$C$2:$C$328,0),7)</f>
        <v>Eldora-New Providence</v>
      </c>
      <c r="D105" s="14">
        <f>INDEX(StartupfileInput!$A$2:$D$328,MATCH(Calculation!$A105,StartupfileInput!$A$2:$A$328,0),3)</f>
        <v>604.20000000000005</v>
      </c>
      <c r="E105" s="20">
        <f>INDEX(ActiveDistricts!$A$2:$J$328,MATCH(Calculation!$A105,ActiveDistricts!$C$2:$C$328,0),10)</f>
        <v>0.55855855855855852</v>
      </c>
      <c r="F105" s="8">
        <f t="shared" si="9"/>
        <v>2.1669999999999998</v>
      </c>
      <c r="G105" s="8">
        <f t="shared" si="10"/>
        <v>1.2330000000000001</v>
      </c>
      <c r="H105" s="8">
        <f t="shared" si="7"/>
        <v>3.4</v>
      </c>
      <c r="I105">
        <f>INDEX(StartupfileInput!$A$2:$D$328,MATCH(Calculation!$A105,StartupfileInput!$A$2:$A$328,0),4)</f>
        <v>6880</v>
      </c>
      <c r="J105" s="107">
        <f t="shared" si="11"/>
        <v>7048</v>
      </c>
      <c r="K105" s="9">
        <f t="shared" si="8"/>
        <v>15273</v>
      </c>
      <c r="L105" s="9">
        <f t="shared" si="12"/>
        <v>8690</v>
      </c>
      <c r="M105" s="9">
        <f t="shared" si="13"/>
        <v>23963</v>
      </c>
    </row>
    <row r="106" spans="1:13" ht="12.75" x14ac:dyDescent="0.2">
      <c r="A106" s="2" t="str">
        <f>StartupfileInput!A104</f>
        <v>2088</v>
      </c>
      <c r="B106" s="1" t="str">
        <f>INDEX(ActiveDistricts!$A$2:$J$328,MATCH(Calculation!$A106,ActiveDistricts!$C$2:$C$328,0),6)</f>
        <v>2088</v>
      </c>
      <c r="C106" s="1" t="str">
        <f>INDEX(ActiveDistricts!$A$2:$J$328,MATCH(Calculation!$A106,ActiveDistricts!$C$2:$C$328,0),7)</f>
        <v>Emmetsburg</v>
      </c>
      <c r="D106" s="14">
        <f>INDEX(StartupfileInput!$A$2:$D$328,MATCH(Calculation!$A106,StartupfileInput!$A$2:$A$328,0),3)</f>
        <v>681.2</v>
      </c>
      <c r="E106" s="20">
        <f>INDEX(ActiveDistricts!$A$2:$J$328,MATCH(Calculation!$A106,ActiveDistricts!$C$2:$C$328,0),10)</f>
        <v>0.49832775919732442</v>
      </c>
      <c r="F106" s="8">
        <f t="shared" si="9"/>
        <v>2.1789999999999998</v>
      </c>
      <c r="G106" s="8">
        <f t="shared" si="10"/>
        <v>1.39</v>
      </c>
      <c r="H106" s="8">
        <f t="shared" si="7"/>
        <v>3.569</v>
      </c>
      <c r="I106">
        <f>INDEX(StartupfileInput!$A$2:$D$328,MATCH(Calculation!$A106,StartupfileInput!$A$2:$A$328,0),4)</f>
        <v>6993</v>
      </c>
      <c r="J106" s="107">
        <f t="shared" si="11"/>
        <v>7151</v>
      </c>
      <c r="K106" s="9">
        <f t="shared" si="8"/>
        <v>15582</v>
      </c>
      <c r="L106" s="9">
        <f t="shared" si="12"/>
        <v>9940</v>
      </c>
      <c r="M106" s="9">
        <f t="shared" si="13"/>
        <v>25522</v>
      </c>
    </row>
    <row r="107" spans="1:13" ht="12.75" x14ac:dyDescent="0.2">
      <c r="A107" s="2" t="str">
        <f>StartupfileInput!A105</f>
        <v>2097</v>
      </c>
      <c r="B107" s="1" t="str">
        <f>INDEX(ActiveDistricts!$A$2:$J$328,MATCH(Calculation!$A107,ActiveDistricts!$C$2:$C$328,0),6)</f>
        <v>2097</v>
      </c>
      <c r="C107" s="1" t="str">
        <f>INDEX(ActiveDistricts!$A$2:$J$328,MATCH(Calculation!$A107,ActiveDistricts!$C$2:$C$328,0),7)</f>
        <v>English Valleys</v>
      </c>
      <c r="D107" s="14">
        <f>INDEX(StartupfileInput!$A$2:$D$328,MATCH(Calculation!$A107,StartupfileInput!$A$2:$A$328,0),3)</f>
        <v>474.7</v>
      </c>
      <c r="E107" s="20">
        <f>INDEX(ActiveDistricts!$A$2:$J$328,MATCH(Calculation!$A107,ActiveDistricts!$C$2:$C$328,0),10)</f>
        <v>0.42021276595744683</v>
      </c>
      <c r="F107" s="8">
        <f t="shared" si="9"/>
        <v>1.2809999999999999</v>
      </c>
      <c r="G107" s="8">
        <f t="shared" si="10"/>
        <v>0.96799999999999997</v>
      </c>
      <c r="H107" s="8">
        <f t="shared" si="7"/>
        <v>2.2489999999999997</v>
      </c>
      <c r="I107">
        <f>INDEX(StartupfileInput!$A$2:$D$328,MATCH(Calculation!$A107,StartupfileInput!$A$2:$A$328,0),4)</f>
        <v>6943</v>
      </c>
      <c r="J107" s="107">
        <f t="shared" si="11"/>
        <v>7101</v>
      </c>
      <c r="K107" s="9">
        <f t="shared" si="8"/>
        <v>9096</v>
      </c>
      <c r="L107" s="9">
        <f t="shared" si="12"/>
        <v>6874</v>
      </c>
      <c r="M107" s="9">
        <f t="shared" si="13"/>
        <v>15970</v>
      </c>
    </row>
    <row r="108" spans="1:13" ht="12.75" x14ac:dyDescent="0.2">
      <c r="A108" s="2" t="str">
        <f>StartupfileInput!A106</f>
        <v>2113</v>
      </c>
      <c r="B108" s="1" t="str">
        <f>INDEX(ActiveDistricts!$A$2:$J$328,MATCH(Calculation!$A108,ActiveDistricts!$C$2:$C$328,0),6)</f>
        <v>2113</v>
      </c>
      <c r="C108" s="1" t="str">
        <f>INDEX(ActiveDistricts!$A$2:$J$328,MATCH(Calculation!$A108,ActiveDistricts!$C$2:$C$328,0),7)</f>
        <v>Essex</v>
      </c>
      <c r="D108" s="14">
        <f>INDEX(StartupfileInput!$A$2:$D$328,MATCH(Calculation!$A108,StartupfileInput!$A$2:$A$328,0),3)</f>
        <v>187.2</v>
      </c>
      <c r="E108" s="20">
        <f>INDEX(ActiveDistricts!$A$2:$J$328,MATCH(Calculation!$A108,ActiveDistricts!$C$2:$C$328,0),10)</f>
        <v>0.70833333333333337</v>
      </c>
      <c r="F108" s="8">
        <f t="shared" si="9"/>
        <v>0.85099999999999998</v>
      </c>
      <c r="G108" s="8">
        <f t="shared" si="10"/>
        <v>0.38200000000000001</v>
      </c>
      <c r="H108" s="8">
        <f t="shared" si="7"/>
        <v>1.2330000000000001</v>
      </c>
      <c r="I108">
        <f>INDEX(StartupfileInput!$A$2:$D$328,MATCH(Calculation!$A108,StartupfileInput!$A$2:$A$328,0),4)</f>
        <v>6880</v>
      </c>
      <c r="J108" s="107">
        <f t="shared" si="11"/>
        <v>7048</v>
      </c>
      <c r="K108" s="9">
        <f t="shared" si="8"/>
        <v>5998</v>
      </c>
      <c r="L108" s="9">
        <f t="shared" si="12"/>
        <v>2692</v>
      </c>
      <c r="M108" s="9">
        <f t="shared" si="13"/>
        <v>8690</v>
      </c>
    </row>
    <row r="109" spans="1:13" ht="12.75" x14ac:dyDescent="0.2">
      <c r="A109" s="2" t="str">
        <f>StartupfileInput!A107</f>
        <v>2124</v>
      </c>
      <c r="B109" s="1" t="str">
        <f>INDEX(ActiveDistricts!$A$2:$J$328,MATCH(Calculation!$A109,ActiveDistricts!$C$2:$C$328,0),6)</f>
        <v>2124</v>
      </c>
      <c r="C109" s="1" t="str">
        <f>INDEX(ActiveDistricts!$A$2:$J$328,MATCH(Calculation!$A109,ActiveDistricts!$C$2:$C$328,0),7)</f>
        <v>Estherville-Lincoln Central</v>
      </c>
      <c r="D109" s="14">
        <f>INDEX(StartupfileInput!$A$2:$D$328,MATCH(Calculation!$A109,StartupfileInput!$A$2:$A$328,0),3)</f>
        <v>1275.3</v>
      </c>
      <c r="E109" s="20">
        <f>INDEX(ActiveDistricts!$A$2:$J$328,MATCH(Calculation!$A109,ActiveDistricts!$C$2:$C$328,0),10)</f>
        <v>0.54858299595141702</v>
      </c>
      <c r="F109" s="8">
        <f t="shared" si="9"/>
        <v>4.4909999999999997</v>
      </c>
      <c r="G109" s="8">
        <f t="shared" si="10"/>
        <v>2.6019999999999999</v>
      </c>
      <c r="H109" s="8">
        <f t="shared" si="7"/>
        <v>7.093</v>
      </c>
      <c r="I109">
        <f>INDEX(StartupfileInput!$A$2:$D$328,MATCH(Calculation!$A109,StartupfileInput!$A$2:$A$328,0),4)</f>
        <v>6888</v>
      </c>
      <c r="J109" s="107">
        <f t="shared" si="11"/>
        <v>7048</v>
      </c>
      <c r="K109" s="9">
        <f t="shared" si="8"/>
        <v>31653</v>
      </c>
      <c r="L109" s="9">
        <f t="shared" si="12"/>
        <v>18338</v>
      </c>
      <c r="M109" s="9">
        <f t="shared" si="13"/>
        <v>49991</v>
      </c>
    </row>
    <row r="110" spans="1:13" ht="12.75" x14ac:dyDescent="0.2">
      <c r="A110" s="2" t="str">
        <f>StartupfileInput!A108</f>
        <v>2151</v>
      </c>
      <c r="B110" s="1" t="str">
        <f>INDEX(ActiveDistricts!$A$2:$J$328,MATCH(Calculation!$A110,ActiveDistricts!$C$2:$C$328,0),6)</f>
        <v>2151</v>
      </c>
      <c r="C110" s="1" t="str">
        <f>INDEX(ActiveDistricts!$A$2:$J$328,MATCH(Calculation!$A110,ActiveDistricts!$C$2:$C$328,0),7)</f>
        <v>Exira-Elk Horn-Kimballton</v>
      </c>
      <c r="D110" s="14">
        <f>INDEX(StartupfileInput!$A$2:$D$328,MATCH(Calculation!$A110,StartupfileInput!$A$2:$A$328,0),3)</f>
        <v>416.9</v>
      </c>
      <c r="E110" s="20">
        <f>INDEX(ActiveDistricts!$A$2:$J$328,MATCH(Calculation!$A110,ActiveDistricts!$C$2:$C$328,0),10)</f>
        <v>0.48125000000000001</v>
      </c>
      <c r="F110" s="8">
        <f t="shared" si="9"/>
        <v>1.288</v>
      </c>
      <c r="G110" s="8">
        <f t="shared" si="10"/>
        <v>0.85</v>
      </c>
      <c r="H110" s="8">
        <f t="shared" si="7"/>
        <v>2.1379999999999999</v>
      </c>
      <c r="I110">
        <f>INDEX(StartupfileInput!$A$2:$D$328,MATCH(Calculation!$A110,StartupfileInput!$A$2:$A$328,0),4)</f>
        <v>6954</v>
      </c>
      <c r="J110" s="107">
        <f t="shared" si="11"/>
        <v>7112</v>
      </c>
      <c r="K110" s="9">
        <f t="shared" si="8"/>
        <v>9160</v>
      </c>
      <c r="L110" s="9">
        <f t="shared" si="12"/>
        <v>6045</v>
      </c>
      <c r="M110" s="9">
        <f t="shared" si="13"/>
        <v>15205</v>
      </c>
    </row>
    <row r="111" spans="1:13" ht="12.75" x14ac:dyDescent="0.2">
      <c r="A111" s="2" t="str">
        <f>StartupfileInput!A109</f>
        <v>2169</v>
      </c>
      <c r="B111" s="1" t="str">
        <f>INDEX(ActiveDistricts!$A$2:$J$328,MATCH(Calculation!$A111,ActiveDistricts!$C$2:$C$328,0),6)</f>
        <v>2169</v>
      </c>
      <c r="C111" s="1" t="str">
        <f>INDEX(ActiveDistricts!$A$2:$J$328,MATCH(Calculation!$A111,ActiveDistricts!$C$2:$C$328,0),7)</f>
        <v>Fairfield</v>
      </c>
      <c r="D111" s="14">
        <f>INDEX(StartupfileInput!$A$2:$D$328,MATCH(Calculation!$A111,StartupfileInput!$A$2:$A$328,0),3)</f>
        <v>1607.5</v>
      </c>
      <c r="E111" s="20">
        <f>INDEX(ActiveDistricts!$A$2:$J$328,MATCH(Calculation!$A111,ActiveDistricts!$C$2:$C$328,0),10)</f>
        <v>0.51251840942562588</v>
      </c>
      <c r="F111" s="8">
        <f t="shared" si="9"/>
        <v>5.2889999999999997</v>
      </c>
      <c r="G111" s="8">
        <f t="shared" si="10"/>
        <v>3.2789999999999999</v>
      </c>
      <c r="H111" s="8">
        <f t="shared" si="7"/>
        <v>8.5679999999999996</v>
      </c>
      <c r="I111">
        <f>INDEX(StartupfileInput!$A$2:$D$328,MATCH(Calculation!$A111,StartupfileInput!$A$2:$A$328,0),4)</f>
        <v>6880</v>
      </c>
      <c r="J111" s="107">
        <f t="shared" si="11"/>
        <v>7048</v>
      </c>
      <c r="K111" s="9">
        <f t="shared" si="8"/>
        <v>37277</v>
      </c>
      <c r="L111" s="9">
        <f t="shared" si="12"/>
        <v>23110</v>
      </c>
      <c r="M111" s="9">
        <f t="shared" si="13"/>
        <v>60387</v>
      </c>
    </row>
    <row r="112" spans="1:13" ht="12.75" x14ac:dyDescent="0.2">
      <c r="A112" s="2" t="str">
        <f>StartupfileInput!A110</f>
        <v>2295</v>
      </c>
      <c r="B112" s="1" t="str">
        <f>INDEX(ActiveDistricts!$A$2:$J$328,MATCH(Calculation!$A112,ActiveDistricts!$C$2:$C$328,0),6)</f>
        <v>2295</v>
      </c>
      <c r="C112" s="1" t="str">
        <f>INDEX(ActiveDistricts!$A$2:$J$328,MATCH(Calculation!$A112,ActiveDistricts!$C$2:$C$328,0),7)</f>
        <v>Forest City</v>
      </c>
      <c r="D112" s="14">
        <f>INDEX(StartupfileInput!$A$2:$D$328,MATCH(Calculation!$A112,StartupfileInput!$A$2:$A$328,0),3)</f>
        <v>1067.2</v>
      </c>
      <c r="E112" s="20">
        <f>INDEX(ActiveDistricts!$A$2:$J$328,MATCH(Calculation!$A112,ActiveDistricts!$C$2:$C$328,0),10)</f>
        <v>0.4057017543859649</v>
      </c>
      <c r="F112" s="8">
        <f t="shared" si="9"/>
        <v>2.78</v>
      </c>
      <c r="G112" s="8">
        <f t="shared" si="10"/>
        <v>2.177</v>
      </c>
      <c r="H112" s="8">
        <f t="shared" si="7"/>
        <v>4.9569999999999999</v>
      </c>
      <c r="I112">
        <f>INDEX(StartupfileInput!$A$2:$D$328,MATCH(Calculation!$A112,StartupfileInput!$A$2:$A$328,0),4)</f>
        <v>6880</v>
      </c>
      <c r="J112" s="107">
        <f t="shared" si="11"/>
        <v>7048</v>
      </c>
      <c r="K112" s="9">
        <f t="shared" si="8"/>
        <v>19593</v>
      </c>
      <c r="L112" s="9">
        <f t="shared" si="12"/>
        <v>15344</v>
      </c>
      <c r="M112" s="9">
        <f t="shared" si="13"/>
        <v>34937</v>
      </c>
    </row>
    <row r="113" spans="1:13" ht="12.75" x14ac:dyDescent="0.2">
      <c r="A113" s="2" t="str">
        <f>StartupfileInput!A111</f>
        <v>2313</v>
      </c>
      <c r="B113" s="1" t="str">
        <f>INDEX(ActiveDistricts!$A$2:$J$328,MATCH(Calculation!$A113,ActiveDistricts!$C$2:$C$328,0),6)</f>
        <v>2313</v>
      </c>
      <c r="C113" s="1" t="str">
        <f>INDEX(ActiveDistricts!$A$2:$J$328,MATCH(Calculation!$A113,ActiveDistricts!$C$2:$C$328,0),7)</f>
        <v>Fort Dodge</v>
      </c>
      <c r="D113" s="14">
        <f>INDEX(StartupfileInput!$A$2:$D$328,MATCH(Calculation!$A113,StartupfileInput!$A$2:$A$328,0),3)</f>
        <v>3668.4</v>
      </c>
      <c r="E113" s="20">
        <f>INDEX(ActiveDistricts!$A$2:$J$328,MATCH(Calculation!$A113,ActiveDistricts!$C$2:$C$328,0),10)</f>
        <v>0.63174019607843135</v>
      </c>
      <c r="F113" s="8">
        <f t="shared" si="9"/>
        <v>14.878</v>
      </c>
      <c r="G113" s="8">
        <f t="shared" si="10"/>
        <v>7.484</v>
      </c>
      <c r="H113" s="8">
        <f t="shared" si="7"/>
        <v>22.362000000000002</v>
      </c>
      <c r="I113">
        <f>INDEX(StartupfileInput!$A$2:$D$328,MATCH(Calculation!$A113,StartupfileInput!$A$2:$A$328,0),4)</f>
        <v>6897</v>
      </c>
      <c r="J113" s="107">
        <f t="shared" si="11"/>
        <v>7055</v>
      </c>
      <c r="K113" s="9">
        <f t="shared" si="8"/>
        <v>104964</v>
      </c>
      <c r="L113" s="9">
        <f t="shared" si="12"/>
        <v>52800</v>
      </c>
      <c r="M113" s="9">
        <f t="shared" si="13"/>
        <v>157764</v>
      </c>
    </row>
    <row r="114" spans="1:13" ht="12.75" x14ac:dyDescent="0.2">
      <c r="A114" s="2" t="str">
        <f>StartupfileInput!A112</f>
        <v>2322</v>
      </c>
      <c r="B114" s="1" t="str">
        <f>INDEX(ActiveDistricts!$A$2:$J$328,MATCH(Calculation!$A114,ActiveDistricts!$C$2:$C$328,0),6)</f>
        <v>2322</v>
      </c>
      <c r="C114" s="1" t="str">
        <f>INDEX(ActiveDistricts!$A$2:$J$328,MATCH(Calculation!$A114,ActiveDistricts!$C$2:$C$328,0),7)</f>
        <v>Fort Madison</v>
      </c>
      <c r="D114" s="14">
        <f>INDEX(StartupfileInput!$A$2:$D$328,MATCH(Calculation!$A114,StartupfileInput!$A$2:$A$328,0),3)</f>
        <v>2092.8000000000002</v>
      </c>
      <c r="E114" s="20">
        <f>INDEX(ActiveDistricts!$A$2:$J$328,MATCH(Calculation!$A114,ActiveDistricts!$C$2:$C$328,0),10)</f>
        <v>0.56707317073170727</v>
      </c>
      <c r="F114" s="8">
        <f t="shared" si="9"/>
        <v>7.6189999999999998</v>
      </c>
      <c r="G114" s="8">
        <f t="shared" si="10"/>
        <v>4.2690000000000001</v>
      </c>
      <c r="H114" s="8">
        <f t="shared" si="7"/>
        <v>11.888</v>
      </c>
      <c r="I114">
        <f>INDEX(StartupfileInput!$A$2:$D$328,MATCH(Calculation!$A114,StartupfileInput!$A$2:$A$328,0),4)</f>
        <v>6880</v>
      </c>
      <c r="J114" s="107">
        <f t="shared" si="11"/>
        <v>7048</v>
      </c>
      <c r="K114" s="9">
        <f t="shared" si="8"/>
        <v>53699</v>
      </c>
      <c r="L114" s="9">
        <f t="shared" si="12"/>
        <v>30088</v>
      </c>
      <c r="M114" s="9">
        <f t="shared" si="13"/>
        <v>83787</v>
      </c>
    </row>
    <row r="115" spans="1:13" s="17" customFormat="1" ht="12.75" x14ac:dyDescent="0.2">
      <c r="A115" s="2" t="str">
        <f>StartupfileInput!A113</f>
        <v>2369</v>
      </c>
      <c r="B115" s="1" t="str">
        <f>INDEX(ActiveDistricts!$A$2:$J$328,MATCH(Calculation!$A115,ActiveDistricts!$C$2:$C$328,0),6)</f>
        <v>2369</v>
      </c>
      <c r="C115" s="1" t="str">
        <f>INDEX(ActiveDistricts!$A$2:$J$328,MATCH(Calculation!$A115,ActiveDistricts!$C$2:$C$328,0),7)</f>
        <v>Fremont-Mills</v>
      </c>
      <c r="D115" s="14">
        <f>INDEX(StartupfileInput!$A$2:$D$328,MATCH(Calculation!$A115,StartupfileInput!$A$2:$A$328,0),3)</f>
        <v>464.1</v>
      </c>
      <c r="E115" s="20">
        <f>INDEX(ActiveDistricts!$A$2:$J$328,MATCH(Calculation!$A115,ActiveDistricts!$C$2:$C$328,0),10)</f>
        <v>0.36651583710407237</v>
      </c>
      <c r="F115" s="8">
        <f t="shared" si="9"/>
        <v>1.0920000000000001</v>
      </c>
      <c r="G115" s="8">
        <f t="shared" si="10"/>
        <v>0.94699999999999995</v>
      </c>
      <c r="H115" s="18">
        <f t="shared" si="7"/>
        <v>2.0390000000000001</v>
      </c>
      <c r="I115">
        <f>INDEX(StartupfileInput!$A$2:$D$328,MATCH(Calculation!$A115,StartupfileInput!$A$2:$A$328,0),4)</f>
        <v>6880</v>
      </c>
      <c r="J115" s="107">
        <f t="shared" si="11"/>
        <v>7048</v>
      </c>
      <c r="K115" s="19">
        <f t="shared" si="8"/>
        <v>7696</v>
      </c>
      <c r="L115" s="9">
        <f t="shared" si="12"/>
        <v>6675</v>
      </c>
      <c r="M115" s="9">
        <f t="shared" si="13"/>
        <v>14371</v>
      </c>
    </row>
    <row r="116" spans="1:13" ht="12.75" x14ac:dyDescent="0.2">
      <c r="A116" s="2" t="str">
        <f>StartupfileInput!A114</f>
        <v>2682</v>
      </c>
      <c r="B116" s="1" t="str">
        <f>INDEX(ActiveDistricts!$A$2:$J$328,MATCH(Calculation!$A116,ActiveDistricts!$C$2:$C$328,0),6)</f>
        <v>2682</v>
      </c>
      <c r="C116" s="1" t="str">
        <f>INDEX(ActiveDistricts!$A$2:$J$328,MATCH(Calculation!$A116,ActiveDistricts!$C$2:$C$328,0),7)</f>
        <v>GMG</v>
      </c>
      <c r="D116" s="14">
        <f>INDEX(StartupfileInput!$A$2:$D$328,MATCH(Calculation!$A116,StartupfileInput!$A$2:$A$328,0),3)</f>
        <v>259.2</v>
      </c>
      <c r="E116" s="20">
        <f>INDEX(ActiveDistricts!$A$2:$J$328,MATCH(Calculation!$A116,ActiveDistricts!$C$2:$C$328,0),10)</f>
        <v>0.53731343283582089</v>
      </c>
      <c r="F116" s="8">
        <f t="shared" si="9"/>
        <v>0.89400000000000002</v>
      </c>
      <c r="G116" s="8">
        <f t="shared" si="10"/>
        <v>0.52900000000000003</v>
      </c>
      <c r="H116" s="8">
        <f t="shared" si="7"/>
        <v>1.423</v>
      </c>
      <c r="I116">
        <f>INDEX(StartupfileInput!$A$2:$D$328,MATCH(Calculation!$A116,StartupfileInput!$A$2:$A$328,0),4)</f>
        <v>6880</v>
      </c>
      <c r="J116" s="107">
        <f t="shared" si="11"/>
        <v>7048</v>
      </c>
      <c r="K116" s="9">
        <f t="shared" si="8"/>
        <v>6301</v>
      </c>
      <c r="L116" s="9">
        <f t="shared" si="12"/>
        <v>3728</v>
      </c>
      <c r="M116" s="9">
        <f t="shared" si="13"/>
        <v>10029</v>
      </c>
    </row>
    <row r="117" spans="1:13" ht="12.75" x14ac:dyDescent="0.2">
      <c r="A117" s="2" t="str">
        <f>StartupfileInput!A115</f>
        <v>2376</v>
      </c>
      <c r="B117" s="1" t="str">
        <f>INDEX(ActiveDistricts!$A$2:$J$328,MATCH(Calculation!$A117,ActiveDistricts!$C$2:$C$328,0),6)</f>
        <v>2376</v>
      </c>
      <c r="C117" s="1" t="str">
        <f>INDEX(ActiveDistricts!$A$2:$J$328,MATCH(Calculation!$A117,ActiveDistricts!$C$2:$C$328,0),7)</f>
        <v>Galva-Holstein</v>
      </c>
      <c r="D117" s="14">
        <f>INDEX(StartupfileInput!$A$2:$D$328,MATCH(Calculation!$A117,StartupfileInput!$A$2:$A$328,0),3)</f>
        <v>454</v>
      </c>
      <c r="E117" s="20">
        <f>INDEX(ActiveDistricts!$A$2:$J$328,MATCH(Calculation!$A117,ActiveDistricts!$C$2:$C$328,0),10)</f>
        <v>0.3652694610778443</v>
      </c>
      <c r="F117" s="8">
        <f t="shared" si="9"/>
        <v>1.0649999999999999</v>
      </c>
      <c r="G117" s="8">
        <f t="shared" si="10"/>
        <v>0.92600000000000005</v>
      </c>
      <c r="H117" s="8">
        <f t="shared" si="7"/>
        <v>1.9910000000000001</v>
      </c>
      <c r="I117">
        <f>INDEX(StartupfileInput!$A$2:$D$328,MATCH(Calculation!$A117,StartupfileInput!$A$2:$A$328,0),4)</f>
        <v>6901</v>
      </c>
      <c r="J117" s="107">
        <f t="shared" si="11"/>
        <v>7059</v>
      </c>
      <c r="K117" s="9">
        <f t="shared" si="8"/>
        <v>7518</v>
      </c>
      <c r="L117" s="9">
        <f t="shared" si="12"/>
        <v>6536</v>
      </c>
      <c r="M117" s="9">
        <f t="shared" si="13"/>
        <v>14054</v>
      </c>
    </row>
    <row r="118" spans="1:13" ht="12.75" x14ac:dyDescent="0.2">
      <c r="A118" s="2" t="str">
        <f>StartupfileInput!A116</f>
        <v>2403</v>
      </c>
      <c r="B118" s="1" t="str">
        <f>INDEX(ActiveDistricts!$A$2:$J$328,MATCH(Calculation!$A118,ActiveDistricts!$C$2:$C$328,0),6)</f>
        <v>2403</v>
      </c>
      <c r="C118" s="1" t="str">
        <f>INDEX(ActiveDistricts!$A$2:$J$328,MATCH(Calculation!$A118,ActiveDistricts!$C$2:$C$328,0),7)</f>
        <v>Garner-Hayfield-Ventura</v>
      </c>
      <c r="D118" s="14">
        <f>INDEX(StartupfileInput!$A$2:$D$328,MATCH(Calculation!$A118,StartupfileInput!$A$2:$A$328,0),3)</f>
        <v>846.8</v>
      </c>
      <c r="E118" s="20">
        <f>INDEX(ActiveDistricts!$A$2:$J$328,MATCH(Calculation!$A118,ActiveDistricts!$C$2:$C$328,0),10)</f>
        <v>0.32745591939546598</v>
      </c>
      <c r="F118" s="8">
        <f t="shared" si="9"/>
        <v>1.78</v>
      </c>
      <c r="G118" s="8">
        <f t="shared" si="10"/>
        <v>1.7270000000000001</v>
      </c>
      <c r="H118" s="8">
        <f t="shared" si="7"/>
        <v>3.5070000000000001</v>
      </c>
      <c r="I118">
        <f>INDEX(StartupfileInput!$A$2:$D$328,MATCH(Calculation!$A118,StartupfileInput!$A$2:$A$328,0),4)</f>
        <v>6897</v>
      </c>
      <c r="J118" s="107">
        <f t="shared" si="11"/>
        <v>7055</v>
      </c>
      <c r="K118" s="9">
        <f t="shared" si="8"/>
        <v>12558</v>
      </c>
      <c r="L118" s="9">
        <f t="shared" si="12"/>
        <v>12184</v>
      </c>
      <c r="M118" s="9">
        <f t="shared" si="13"/>
        <v>24742</v>
      </c>
    </row>
    <row r="119" spans="1:13" ht="12.75" x14ac:dyDescent="0.2">
      <c r="A119" s="2" t="str">
        <f>StartupfileInput!A117</f>
        <v>2457</v>
      </c>
      <c r="B119" s="1" t="str">
        <f>INDEX(ActiveDistricts!$A$2:$J$328,MATCH(Calculation!$A119,ActiveDistricts!$C$2:$C$328,0),6)</f>
        <v>2457</v>
      </c>
      <c r="C119" s="1" t="str">
        <f>INDEX(ActiveDistricts!$A$2:$J$328,MATCH(Calculation!$A119,ActiveDistricts!$C$2:$C$328,0),7)</f>
        <v>George-Little Rock</v>
      </c>
      <c r="D119" s="14">
        <f>INDEX(StartupfileInput!$A$2:$D$328,MATCH(Calculation!$A119,StartupfileInput!$A$2:$A$328,0),3)</f>
        <v>418.1</v>
      </c>
      <c r="E119" s="20">
        <f>INDEX(ActiveDistricts!$A$2:$J$328,MATCH(Calculation!$A119,ActiveDistricts!$C$2:$C$328,0),10)</f>
        <v>0.39393939393939392</v>
      </c>
      <c r="F119" s="8">
        <f t="shared" si="9"/>
        <v>1.0569999999999999</v>
      </c>
      <c r="G119" s="8">
        <f t="shared" si="10"/>
        <v>0.85299999999999998</v>
      </c>
      <c r="H119" s="8">
        <f t="shared" si="7"/>
        <v>1.91</v>
      </c>
      <c r="I119">
        <f>INDEX(StartupfileInput!$A$2:$D$328,MATCH(Calculation!$A119,StartupfileInput!$A$2:$A$328,0),4)</f>
        <v>6880</v>
      </c>
      <c r="J119" s="107">
        <f t="shared" si="11"/>
        <v>7048</v>
      </c>
      <c r="K119" s="9">
        <f t="shared" si="8"/>
        <v>7450</v>
      </c>
      <c r="L119" s="9">
        <f t="shared" si="12"/>
        <v>6012</v>
      </c>
      <c r="M119" s="9">
        <f t="shared" si="13"/>
        <v>13462</v>
      </c>
    </row>
    <row r="120" spans="1:13" ht="12.75" x14ac:dyDescent="0.2">
      <c r="A120" s="2" t="str">
        <f>StartupfileInput!A118</f>
        <v>2466</v>
      </c>
      <c r="B120" s="1" t="str">
        <f>INDEX(ActiveDistricts!$A$2:$J$328,MATCH(Calculation!$A120,ActiveDistricts!$C$2:$C$328,0),6)</f>
        <v>2466</v>
      </c>
      <c r="C120" s="1" t="str">
        <f>INDEX(ActiveDistricts!$A$2:$J$328,MATCH(Calculation!$A120,ActiveDistricts!$C$2:$C$328,0),7)</f>
        <v>Gilbert</v>
      </c>
      <c r="D120" s="14">
        <f>INDEX(StartupfileInput!$A$2:$D$328,MATCH(Calculation!$A120,StartupfileInput!$A$2:$A$328,0),3)</f>
        <v>1548.6</v>
      </c>
      <c r="E120" s="20">
        <f>INDEX(ActiveDistricts!$A$2:$J$328,MATCH(Calculation!$A120,ActiveDistricts!$C$2:$C$328,0),10)</f>
        <v>9.7488921713441659E-2</v>
      </c>
      <c r="F120" s="8">
        <f t="shared" si="9"/>
        <v>0.96899999999999997</v>
      </c>
      <c r="G120" s="8">
        <f t="shared" si="10"/>
        <v>3.1589999999999998</v>
      </c>
      <c r="H120" s="8">
        <f t="shared" si="7"/>
        <v>4.1280000000000001</v>
      </c>
      <c r="I120">
        <f>INDEX(StartupfileInput!$A$2:$D$328,MATCH(Calculation!$A120,StartupfileInput!$A$2:$A$328,0),4)</f>
        <v>6880</v>
      </c>
      <c r="J120" s="107">
        <f t="shared" si="11"/>
        <v>7048</v>
      </c>
      <c r="K120" s="9">
        <f t="shared" si="8"/>
        <v>6830</v>
      </c>
      <c r="L120" s="9">
        <f t="shared" si="12"/>
        <v>22264</v>
      </c>
      <c r="M120" s="9">
        <f t="shared" si="13"/>
        <v>29094</v>
      </c>
    </row>
    <row r="121" spans="1:13" ht="12.75" x14ac:dyDescent="0.2">
      <c r="A121" s="2" t="str">
        <f>StartupfileInput!A119</f>
        <v>2493</v>
      </c>
      <c r="B121" s="1" t="str">
        <f>INDEX(ActiveDistricts!$A$2:$J$328,MATCH(Calculation!$A121,ActiveDistricts!$C$2:$C$328,0),6)</f>
        <v>2493</v>
      </c>
      <c r="C121" s="1" t="str">
        <f>INDEX(ActiveDistricts!$A$2:$J$328,MATCH(Calculation!$A121,ActiveDistricts!$C$2:$C$328,0),7)</f>
        <v>Gilmore City-Bradgate</v>
      </c>
      <c r="D121" s="14">
        <f>INDEX(StartupfileInput!$A$2:$D$328,MATCH(Calculation!$A121,StartupfileInput!$A$2:$A$328,0),3)</f>
        <v>163</v>
      </c>
      <c r="E121" s="20">
        <f>INDEX(ActiveDistricts!$A$2:$J$328,MATCH(Calculation!$A121,ActiveDistricts!$C$2:$C$328,0),10)</f>
        <v>0.68055555555555558</v>
      </c>
      <c r="F121" s="8">
        <f t="shared" si="9"/>
        <v>0.71199999999999997</v>
      </c>
      <c r="G121" s="8">
        <f t="shared" si="10"/>
        <v>0.33300000000000002</v>
      </c>
      <c r="H121" s="8">
        <f t="shared" si="7"/>
        <v>1.0449999999999999</v>
      </c>
      <c r="I121">
        <f>INDEX(StartupfileInput!$A$2:$D$328,MATCH(Calculation!$A121,StartupfileInput!$A$2:$A$328,0),4)</f>
        <v>7037</v>
      </c>
      <c r="J121" s="107">
        <f t="shared" si="11"/>
        <v>7195</v>
      </c>
      <c r="K121" s="9">
        <f t="shared" si="8"/>
        <v>5123</v>
      </c>
      <c r="L121" s="9">
        <f t="shared" si="12"/>
        <v>2396</v>
      </c>
      <c r="M121" s="9">
        <f t="shared" si="13"/>
        <v>7519</v>
      </c>
    </row>
    <row r="122" spans="1:13" ht="12.75" x14ac:dyDescent="0.2">
      <c r="A122" s="2" t="str">
        <f>StartupfileInput!A120</f>
        <v>2502</v>
      </c>
      <c r="B122" s="1" t="str">
        <f>INDEX(ActiveDistricts!$A$2:$J$328,MATCH(Calculation!$A122,ActiveDistricts!$C$2:$C$328,0),6)</f>
        <v>2502</v>
      </c>
      <c r="C122" s="1" t="str">
        <f>INDEX(ActiveDistricts!$A$2:$J$328,MATCH(Calculation!$A122,ActiveDistricts!$C$2:$C$328,0),7)</f>
        <v>Gladbrook-Reinbeck</v>
      </c>
      <c r="D122" s="14">
        <f>INDEX(StartupfileInput!$A$2:$D$328,MATCH(Calculation!$A122,StartupfileInput!$A$2:$A$328,0),3)</f>
        <v>605.29999999999995</v>
      </c>
      <c r="E122" s="20">
        <f>INDEX(ActiveDistricts!$A$2:$J$328,MATCH(Calculation!$A122,ActiveDistricts!$C$2:$C$328,0),10)</f>
        <v>0.40952380952380951</v>
      </c>
      <c r="F122" s="8">
        <f t="shared" si="9"/>
        <v>1.591</v>
      </c>
      <c r="G122" s="8">
        <f t="shared" si="10"/>
        <v>1.2350000000000001</v>
      </c>
      <c r="H122" s="8">
        <f t="shared" si="7"/>
        <v>2.8260000000000001</v>
      </c>
      <c r="I122">
        <f>INDEX(StartupfileInput!$A$2:$D$328,MATCH(Calculation!$A122,StartupfileInput!$A$2:$A$328,0),4)</f>
        <v>6970</v>
      </c>
      <c r="J122" s="107">
        <f t="shared" si="11"/>
        <v>7128</v>
      </c>
      <c r="K122" s="9">
        <f t="shared" si="8"/>
        <v>11341</v>
      </c>
      <c r="L122" s="9">
        <f t="shared" si="12"/>
        <v>8803</v>
      </c>
      <c r="M122" s="9">
        <f t="shared" si="13"/>
        <v>20144</v>
      </c>
    </row>
    <row r="123" spans="1:13" ht="12.75" x14ac:dyDescent="0.2">
      <c r="A123" s="2" t="str">
        <f>StartupfileInput!A121</f>
        <v>2511</v>
      </c>
      <c r="B123" s="1" t="str">
        <f>INDEX(ActiveDistricts!$A$2:$J$328,MATCH(Calculation!$A123,ActiveDistricts!$C$2:$C$328,0),6)</f>
        <v>2511</v>
      </c>
      <c r="C123" s="1" t="str">
        <f>INDEX(ActiveDistricts!$A$2:$J$328,MATCH(Calculation!$A123,ActiveDistricts!$C$2:$C$328,0),7)</f>
        <v>Glenwood</v>
      </c>
      <c r="D123" s="14">
        <f>INDEX(StartupfileInput!$A$2:$D$328,MATCH(Calculation!$A123,StartupfileInput!$A$2:$A$328,0),3)</f>
        <v>1931.5</v>
      </c>
      <c r="E123" s="20">
        <f>INDEX(ActiveDistricts!$A$2:$J$328,MATCH(Calculation!$A123,ActiveDistricts!$C$2:$C$328,0),10)</f>
        <v>0.38975501113585748</v>
      </c>
      <c r="F123" s="8">
        <f t="shared" si="9"/>
        <v>4.8330000000000002</v>
      </c>
      <c r="G123" s="8">
        <f t="shared" si="10"/>
        <v>3.94</v>
      </c>
      <c r="H123" s="8">
        <f t="shared" si="7"/>
        <v>8.7729999999999997</v>
      </c>
      <c r="I123">
        <f>INDEX(StartupfileInput!$A$2:$D$328,MATCH(Calculation!$A123,StartupfileInput!$A$2:$A$328,0),4)</f>
        <v>6880</v>
      </c>
      <c r="J123" s="107">
        <f t="shared" si="11"/>
        <v>7048</v>
      </c>
      <c r="K123" s="9">
        <f t="shared" si="8"/>
        <v>34063</v>
      </c>
      <c r="L123" s="9">
        <f t="shared" si="12"/>
        <v>27769</v>
      </c>
      <c r="M123" s="9">
        <f t="shared" si="13"/>
        <v>61832</v>
      </c>
    </row>
    <row r="124" spans="1:13" ht="12.75" x14ac:dyDescent="0.2">
      <c r="A124" s="2" t="str">
        <f>StartupfileInput!A122</f>
        <v>2520</v>
      </c>
      <c r="B124" s="1" t="str">
        <f>INDEX(ActiveDistricts!$A$2:$J$328,MATCH(Calculation!$A124,ActiveDistricts!$C$2:$C$328,0),6)</f>
        <v>2520</v>
      </c>
      <c r="C124" s="1" t="str">
        <f>INDEX(ActiveDistricts!$A$2:$J$328,MATCH(Calculation!$A124,ActiveDistricts!$C$2:$C$328,0),7)</f>
        <v>Glidden-Ralston</v>
      </c>
      <c r="D124" s="14">
        <f>INDEX(StartupfileInput!$A$2:$D$328,MATCH(Calculation!$A124,StartupfileInput!$A$2:$A$328,0),3)</f>
        <v>288</v>
      </c>
      <c r="E124" s="20">
        <f>INDEX(ActiveDistricts!$A$2:$J$328,MATCH(Calculation!$A124,ActiveDistricts!$C$2:$C$328,0),10)</f>
        <v>0.32075471698113206</v>
      </c>
      <c r="F124" s="8">
        <f t="shared" si="9"/>
        <v>0.59299999999999997</v>
      </c>
      <c r="G124" s="8">
        <f t="shared" si="10"/>
        <v>0.58799999999999997</v>
      </c>
      <c r="H124" s="8">
        <f t="shared" si="7"/>
        <v>1.181</v>
      </c>
      <c r="I124">
        <f>INDEX(StartupfileInput!$A$2:$D$328,MATCH(Calculation!$A124,StartupfileInput!$A$2:$A$328,0),4)</f>
        <v>6880</v>
      </c>
      <c r="J124" s="107">
        <f t="shared" si="11"/>
        <v>7048</v>
      </c>
      <c r="K124" s="9">
        <f t="shared" si="8"/>
        <v>4179</v>
      </c>
      <c r="L124" s="9">
        <f t="shared" si="12"/>
        <v>4145</v>
      </c>
      <c r="M124" s="9">
        <f t="shared" si="13"/>
        <v>8324</v>
      </c>
    </row>
    <row r="125" spans="1:13" ht="12.75" x14ac:dyDescent="0.2">
      <c r="A125" s="2" t="str">
        <f>StartupfileInput!A123</f>
        <v>2556</v>
      </c>
      <c r="B125" s="1" t="str">
        <f>INDEX(ActiveDistricts!$A$2:$J$328,MATCH(Calculation!$A125,ActiveDistricts!$C$2:$C$328,0),6)</f>
        <v>2556</v>
      </c>
      <c r="C125" s="1" t="str">
        <f>INDEX(ActiveDistricts!$A$2:$J$328,MATCH(Calculation!$A125,ActiveDistricts!$C$2:$C$328,0),7)</f>
        <v>Graettinger-Terril</v>
      </c>
      <c r="D125" s="14">
        <f>INDEX(StartupfileInput!$A$2:$D$328,MATCH(Calculation!$A125,StartupfileInput!$A$2:$A$328,0),3)</f>
        <v>373.1</v>
      </c>
      <c r="E125" s="20">
        <f>INDEX(ActiveDistricts!$A$2:$J$328,MATCH(Calculation!$A125,ActiveDistricts!$C$2:$C$328,0),10)</f>
        <v>0.53846153846153844</v>
      </c>
      <c r="F125" s="8">
        <f t="shared" si="9"/>
        <v>1.29</v>
      </c>
      <c r="G125" s="8">
        <f t="shared" si="10"/>
        <v>0.76100000000000001</v>
      </c>
      <c r="H125" s="8">
        <f t="shared" si="7"/>
        <v>2.0510000000000002</v>
      </c>
      <c r="I125">
        <f>INDEX(StartupfileInput!$A$2:$D$328,MATCH(Calculation!$A125,StartupfileInput!$A$2:$A$328,0),4)</f>
        <v>6885</v>
      </c>
      <c r="J125" s="107">
        <f t="shared" si="11"/>
        <v>7048</v>
      </c>
      <c r="K125" s="9">
        <f t="shared" si="8"/>
        <v>9092</v>
      </c>
      <c r="L125" s="9">
        <f t="shared" si="12"/>
        <v>5363</v>
      </c>
      <c r="M125" s="9">
        <f t="shared" si="13"/>
        <v>14455</v>
      </c>
    </row>
    <row r="126" spans="1:13" ht="12.75" x14ac:dyDescent="0.2">
      <c r="A126" s="2" t="str">
        <f>StartupfileInput!A124</f>
        <v>3195</v>
      </c>
      <c r="B126" s="1" t="str">
        <f>INDEX(ActiveDistricts!$A$2:$J$328,MATCH(Calculation!$A126,ActiveDistricts!$C$2:$C$328,0),6)</f>
        <v>3195</v>
      </c>
      <c r="C126" s="1" t="str">
        <f>INDEX(ActiveDistricts!$A$2:$J$328,MATCH(Calculation!$A126,ActiveDistricts!$C$2:$C$328,0),7)</f>
        <v>Greene County</v>
      </c>
      <c r="D126" s="14">
        <f>INDEX(StartupfileInput!$A$2:$D$328,MATCH(Calculation!$A126,StartupfileInput!$A$2:$A$328,0),3)</f>
        <v>1199.5999999999999</v>
      </c>
      <c r="E126" s="20">
        <f>INDEX(ActiveDistricts!$A$2:$J$328,MATCH(Calculation!$A126,ActiveDistricts!$C$2:$C$328,0),10)</f>
        <v>0.5124760076775432</v>
      </c>
      <c r="F126" s="8">
        <f t="shared" si="9"/>
        <v>3.9470000000000001</v>
      </c>
      <c r="G126" s="8">
        <f t="shared" si="10"/>
        <v>2.4470000000000001</v>
      </c>
      <c r="H126" s="8">
        <f t="shared" si="7"/>
        <v>6.3940000000000001</v>
      </c>
      <c r="I126">
        <f>INDEX(StartupfileInput!$A$2:$D$328,MATCH(Calculation!$A126,StartupfileInput!$A$2:$A$328,0),4)</f>
        <v>6944</v>
      </c>
      <c r="J126" s="107">
        <f t="shared" si="11"/>
        <v>7102</v>
      </c>
      <c r="K126" s="9">
        <f t="shared" si="8"/>
        <v>28032</v>
      </c>
      <c r="L126" s="9">
        <f t="shared" si="12"/>
        <v>17378</v>
      </c>
      <c r="M126" s="9">
        <f t="shared" si="13"/>
        <v>45410</v>
      </c>
    </row>
    <row r="127" spans="1:13" ht="12.75" x14ac:dyDescent="0.2">
      <c r="A127" s="2" t="str">
        <f>StartupfileInput!A125</f>
        <v>2709</v>
      </c>
      <c r="B127" s="1" t="str">
        <f>INDEX(ActiveDistricts!$A$2:$J$328,MATCH(Calculation!$A127,ActiveDistricts!$C$2:$C$328,0),6)</f>
        <v>2709</v>
      </c>
      <c r="C127" s="1" t="str">
        <f>INDEX(ActiveDistricts!$A$2:$J$328,MATCH(Calculation!$A127,ActiveDistricts!$C$2:$C$328,0),7)</f>
        <v>Grinnell-Newburg</v>
      </c>
      <c r="D127" s="14">
        <f>INDEX(StartupfileInput!$A$2:$D$328,MATCH(Calculation!$A127,StartupfileInput!$A$2:$A$328,0),3)</f>
        <v>1619.3</v>
      </c>
      <c r="E127" s="20">
        <f>INDEX(ActiveDistricts!$A$2:$J$328,MATCH(Calculation!$A127,ActiveDistricts!$C$2:$C$328,0),10)</f>
        <v>0.38767123287671235</v>
      </c>
      <c r="F127" s="8">
        <f t="shared" si="9"/>
        <v>4.03</v>
      </c>
      <c r="G127" s="8">
        <f t="shared" si="10"/>
        <v>3.3029999999999999</v>
      </c>
      <c r="H127" s="8">
        <f t="shared" si="7"/>
        <v>7.3330000000000002</v>
      </c>
      <c r="I127">
        <f>INDEX(StartupfileInput!$A$2:$D$328,MATCH(Calculation!$A127,StartupfileInput!$A$2:$A$328,0),4)</f>
        <v>6893</v>
      </c>
      <c r="J127" s="107">
        <f t="shared" si="11"/>
        <v>7051</v>
      </c>
      <c r="K127" s="9">
        <f t="shared" si="8"/>
        <v>28416</v>
      </c>
      <c r="L127" s="9">
        <f t="shared" si="12"/>
        <v>23289</v>
      </c>
      <c r="M127" s="9">
        <f t="shared" si="13"/>
        <v>51705</v>
      </c>
    </row>
    <row r="128" spans="1:13" ht="12.75" x14ac:dyDescent="0.2">
      <c r="A128" s="2" t="str">
        <f>StartupfileInput!A126</f>
        <v>2718</v>
      </c>
      <c r="B128" s="1" t="str">
        <f>INDEX(ActiveDistricts!$A$2:$J$328,MATCH(Calculation!$A128,ActiveDistricts!$C$2:$C$328,0),6)</f>
        <v>2718</v>
      </c>
      <c r="C128" s="1" t="str">
        <f>INDEX(ActiveDistricts!$A$2:$J$328,MATCH(Calculation!$A128,ActiveDistricts!$C$2:$C$328,0),7)</f>
        <v>Griswold</v>
      </c>
      <c r="D128" s="14">
        <f>INDEX(StartupfileInput!$A$2:$D$328,MATCH(Calculation!$A128,StartupfileInput!$A$2:$A$328,0),3)</f>
        <v>457.5</v>
      </c>
      <c r="E128" s="20">
        <f>INDEX(ActiveDistricts!$A$2:$J$328,MATCH(Calculation!$A128,ActiveDistricts!$C$2:$C$328,0),10)</f>
        <v>0.42458100558659218</v>
      </c>
      <c r="F128" s="8">
        <f t="shared" si="9"/>
        <v>1.2470000000000001</v>
      </c>
      <c r="G128" s="8">
        <f t="shared" si="10"/>
        <v>0.93300000000000005</v>
      </c>
      <c r="H128" s="8">
        <f t="shared" si="7"/>
        <v>2.1800000000000002</v>
      </c>
      <c r="I128">
        <f>INDEX(StartupfileInput!$A$2:$D$328,MATCH(Calculation!$A128,StartupfileInput!$A$2:$A$328,0),4)</f>
        <v>6935</v>
      </c>
      <c r="J128" s="107">
        <f t="shared" si="11"/>
        <v>7093</v>
      </c>
      <c r="K128" s="9">
        <f t="shared" si="8"/>
        <v>8845</v>
      </c>
      <c r="L128" s="9">
        <f t="shared" si="12"/>
        <v>6618</v>
      </c>
      <c r="M128" s="9">
        <f t="shared" si="13"/>
        <v>15463</v>
      </c>
    </row>
    <row r="129" spans="1:13" ht="12.75" x14ac:dyDescent="0.2">
      <c r="A129" s="2" t="str">
        <f>StartupfileInput!A127</f>
        <v>2727</v>
      </c>
      <c r="B129" s="1" t="str">
        <f>INDEX(ActiveDistricts!$A$2:$J$328,MATCH(Calculation!$A129,ActiveDistricts!$C$2:$C$328,0),6)</f>
        <v>2727</v>
      </c>
      <c r="C129" s="1" t="str">
        <f>INDEX(ActiveDistricts!$A$2:$J$328,MATCH(Calculation!$A129,ActiveDistricts!$C$2:$C$328,0),7)</f>
        <v>Grundy Center</v>
      </c>
      <c r="D129" s="14">
        <f>INDEX(StartupfileInput!$A$2:$D$328,MATCH(Calculation!$A129,StartupfileInput!$A$2:$A$328,0),3)</f>
        <v>646</v>
      </c>
      <c r="E129" s="20">
        <f>INDEX(ActiveDistricts!$A$2:$J$328,MATCH(Calculation!$A129,ActiveDistricts!$C$2:$C$328,0),10)</f>
        <v>0.24761904761904763</v>
      </c>
      <c r="F129" s="8">
        <f t="shared" si="9"/>
        <v>1.0269999999999999</v>
      </c>
      <c r="G129" s="8">
        <f t="shared" si="10"/>
        <v>1.3180000000000001</v>
      </c>
      <c r="H129" s="8">
        <f t="shared" si="7"/>
        <v>2.3449999999999998</v>
      </c>
      <c r="I129">
        <f>INDEX(StartupfileInput!$A$2:$D$328,MATCH(Calculation!$A129,StartupfileInput!$A$2:$A$328,0),4)</f>
        <v>6880</v>
      </c>
      <c r="J129" s="107">
        <f t="shared" si="11"/>
        <v>7048</v>
      </c>
      <c r="K129" s="9">
        <f t="shared" si="8"/>
        <v>7238</v>
      </c>
      <c r="L129" s="9">
        <f t="shared" si="12"/>
        <v>9290</v>
      </c>
      <c r="M129" s="9">
        <f t="shared" si="13"/>
        <v>16528</v>
      </c>
    </row>
    <row r="130" spans="1:13" ht="12.75" x14ac:dyDescent="0.2">
      <c r="A130" s="2" t="str">
        <f>StartupfileInput!A128</f>
        <v>2754</v>
      </c>
      <c r="B130" s="1" t="str">
        <f>INDEX(ActiveDistricts!$A$2:$J$328,MATCH(Calculation!$A130,ActiveDistricts!$C$2:$C$328,0),6)</f>
        <v>2754</v>
      </c>
      <c r="C130" s="1" t="str">
        <f>INDEX(ActiveDistricts!$A$2:$J$328,MATCH(Calculation!$A130,ActiveDistricts!$C$2:$C$328,0),7)</f>
        <v>Guthrie Center</v>
      </c>
      <c r="D130" s="14">
        <f>INDEX(StartupfileInput!$A$2:$D$328,MATCH(Calculation!$A130,StartupfileInput!$A$2:$A$328,0),3)</f>
        <v>436.7</v>
      </c>
      <c r="E130" s="20">
        <f>INDEX(ActiveDistricts!$A$2:$J$328,MATCH(Calculation!$A130,ActiveDistricts!$C$2:$C$328,0),10)</f>
        <v>0.38755980861244022</v>
      </c>
      <c r="F130" s="8">
        <f t="shared" si="9"/>
        <v>1.087</v>
      </c>
      <c r="G130" s="8">
        <f t="shared" si="10"/>
        <v>0.89100000000000001</v>
      </c>
      <c r="H130" s="8">
        <f t="shared" si="7"/>
        <v>1.978</v>
      </c>
      <c r="I130">
        <f>INDEX(StartupfileInput!$A$2:$D$328,MATCH(Calculation!$A130,StartupfileInput!$A$2:$A$328,0),4)</f>
        <v>6894</v>
      </c>
      <c r="J130" s="107">
        <f t="shared" si="11"/>
        <v>7052</v>
      </c>
      <c r="K130" s="9">
        <f t="shared" si="8"/>
        <v>7666</v>
      </c>
      <c r="L130" s="9">
        <f t="shared" si="12"/>
        <v>6283</v>
      </c>
      <c r="M130" s="9">
        <f t="shared" si="13"/>
        <v>13949</v>
      </c>
    </row>
    <row r="131" spans="1:13" ht="12.75" x14ac:dyDescent="0.2">
      <c r="A131" s="2" t="str">
        <f>StartupfileInput!A129</f>
        <v>2766</v>
      </c>
      <c r="B131" s="1" t="str">
        <f>INDEX(ActiveDistricts!$A$2:$J$328,MATCH(Calculation!$A131,ActiveDistricts!$C$2:$C$328,0),6)</f>
        <v>2766</v>
      </c>
      <c r="C131" s="1" t="str">
        <f>INDEX(ActiveDistricts!$A$2:$J$328,MATCH(Calculation!$A131,ActiveDistricts!$C$2:$C$328,0),7)</f>
        <v>HLV</v>
      </c>
      <c r="D131" s="14">
        <f>INDEX(StartupfileInput!$A$2:$D$328,MATCH(Calculation!$A131,StartupfileInput!$A$2:$A$328,0),3)</f>
        <v>343.7</v>
      </c>
      <c r="E131" s="20">
        <f>INDEX(ActiveDistricts!$A$2:$J$328,MATCH(Calculation!$A131,ActiveDistricts!$C$2:$C$328,0),10)</f>
        <v>0.37086092715231789</v>
      </c>
      <c r="F131" s="8">
        <f t="shared" si="9"/>
        <v>0.81799999999999995</v>
      </c>
      <c r="G131" s="8">
        <f t="shared" si="10"/>
        <v>0.70099999999999996</v>
      </c>
      <c r="H131" s="8">
        <f t="shared" si="7"/>
        <v>1.5189999999999999</v>
      </c>
      <c r="I131">
        <f>INDEX(StartupfileInput!$A$2:$D$328,MATCH(Calculation!$A131,StartupfileInput!$A$2:$A$328,0),4)</f>
        <v>6970</v>
      </c>
      <c r="J131" s="107">
        <f t="shared" si="11"/>
        <v>7128</v>
      </c>
      <c r="K131" s="9">
        <f t="shared" si="8"/>
        <v>5831</v>
      </c>
      <c r="L131" s="9">
        <f t="shared" si="12"/>
        <v>4996</v>
      </c>
      <c r="M131" s="9">
        <f t="shared" si="13"/>
        <v>10827</v>
      </c>
    </row>
    <row r="132" spans="1:13" ht="12.75" x14ac:dyDescent="0.2">
      <c r="A132" s="2" t="str">
        <f>StartupfileInput!A130</f>
        <v>2772</v>
      </c>
      <c r="B132" s="1" t="str">
        <f>INDEX(ActiveDistricts!$A$2:$J$328,MATCH(Calculation!$A132,ActiveDistricts!$C$2:$C$328,0),6)</f>
        <v>2772</v>
      </c>
      <c r="C132" s="1" t="str">
        <f>INDEX(ActiveDistricts!$A$2:$J$328,MATCH(Calculation!$A132,ActiveDistricts!$C$2:$C$328,0),7)</f>
        <v>Hamburg</v>
      </c>
      <c r="D132" s="14">
        <f>INDEX(StartupfileInput!$A$2:$D$328,MATCH(Calculation!$A132,StartupfileInput!$A$2:$A$328,0),3)</f>
        <v>199</v>
      </c>
      <c r="E132" s="20">
        <f>INDEX(ActiveDistricts!$A$2:$J$328,MATCH(Calculation!$A132,ActiveDistricts!$C$2:$C$328,0),10)</f>
        <v>0.77108433734939763</v>
      </c>
      <c r="F132" s="8">
        <f t="shared" si="9"/>
        <v>0.98499999999999999</v>
      </c>
      <c r="G132" s="8">
        <f t="shared" si="10"/>
        <v>0.40600000000000003</v>
      </c>
      <c r="H132" s="8">
        <f t="shared" ref="H132:H195" si="14">SUM(F132:G132)</f>
        <v>1.391</v>
      </c>
      <c r="I132">
        <f>INDEX(StartupfileInput!$A$2:$D$328,MATCH(Calculation!$A132,StartupfileInput!$A$2:$A$328,0),4)</f>
        <v>7011</v>
      </c>
      <c r="J132" s="107">
        <f t="shared" si="11"/>
        <v>7169</v>
      </c>
      <c r="K132" s="9">
        <f t="shared" ref="K132:K195" si="15">ROUND(F132*J132,0)</f>
        <v>7061</v>
      </c>
      <c r="L132" s="9">
        <f t="shared" si="12"/>
        <v>2911</v>
      </c>
      <c r="M132" s="9">
        <f t="shared" si="13"/>
        <v>9972</v>
      </c>
    </row>
    <row r="133" spans="1:13" ht="12.75" x14ac:dyDescent="0.2">
      <c r="A133" s="2" t="str">
        <f>StartupfileInput!A131</f>
        <v>2781</v>
      </c>
      <c r="B133" s="1" t="str">
        <f>INDEX(ActiveDistricts!$A$2:$J$328,MATCH(Calculation!$A133,ActiveDistricts!$C$2:$C$328,0),6)</f>
        <v>2781</v>
      </c>
      <c r="C133" s="1" t="str">
        <f>INDEX(ActiveDistricts!$A$2:$J$328,MATCH(Calculation!$A133,ActiveDistricts!$C$2:$C$328,0),7)</f>
        <v>Hampton-Dumont</v>
      </c>
      <c r="D133" s="14">
        <f>INDEX(StartupfileInput!$A$2:$D$328,MATCH(Calculation!$A133,StartupfileInput!$A$2:$A$328,0),3)</f>
        <v>1169.5999999999999</v>
      </c>
      <c r="E133" s="20">
        <f>INDEX(ActiveDistricts!$A$2:$J$328,MATCH(Calculation!$A133,ActiveDistricts!$C$2:$C$328,0),10)</f>
        <v>0.66927592954990212</v>
      </c>
      <c r="F133" s="8">
        <f t="shared" ref="F133:F196" si="16">ROUND(D133*E133*$F$3,3)</f>
        <v>5.0250000000000004</v>
      </c>
      <c r="G133" s="8">
        <f t="shared" ref="G133:G196" si="17">ROUND(D133*$G$3,3)</f>
        <v>2.3860000000000001</v>
      </c>
      <c r="H133" s="8">
        <f t="shared" si="14"/>
        <v>7.4110000000000005</v>
      </c>
      <c r="I133">
        <f>INDEX(StartupfileInput!$A$2:$D$328,MATCH(Calculation!$A133,StartupfileInput!$A$2:$A$328,0),4)</f>
        <v>6880</v>
      </c>
      <c r="J133" s="107">
        <f t="shared" ref="J133:J196" si="18">MAX(I133+$R$2,$T$2)</f>
        <v>7048</v>
      </c>
      <c r="K133" s="9">
        <f t="shared" si="15"/>
        <v>35416</v>
      </c>
      <c r="L133" s="9">
        <f t="shared" ref="L133:L196" si="19">M133-K133</f>
        <v>16817</v>
      </c>
      <c r="M133" s="9">
        <f t="shared" ref="M133:M196" si="20">ROUND(H133*J133,0)</f>
        <v>52233</v>
      </c>
    </row>
    <row r="134" spans="1:13" ht="12.75" x14ac:dyDescent="0.2">
      <c r="A134" s="2" t="str">
        <f>StartupfileInput!A132</f>
        <v>2826</v>
      </c>
      <c r="B134" s="1" t="str">
        <f>INDEX(ActiveDistricts!$A$2:$J$328,MATCH(Calculation!$A134,ActiveDistricts!$C$2:$C$328,0),6)</f>
        <v>2826</v>
      </c>
      <c r="C134" s="1" t="str">
        <f>INDEX(ActiveDistricts!$A$2:$J$328,MATCH(Calculation!$A134,ActiveDistricts!$C$2:$C$328,0),7)</f>
        <v>Harlan</v>
      </c>
      <c r="D134" s="14">
        <f>INDEX(StartupfileInput!$A$2:$D$328,MATCH(Calculation!$A134,StartupfileInput!$A$2:$A$328,0),3)</f>
        <v>1384.2</v>
      </c>
      <c r="E134" s="20">
        <f>INDEX(ActiveDistricts!$A$2:$J$328,MATCH(Calculation!$A134,ActiveDistricts!$C$2:$C$328,0),10)</f>
        <v>0.43657331136738053</v>
      </c>
      <c r="F134" s="8">
        <f t="shared" si="16"/>
        <v>3.88</v>
      </c>
      <c r="G134" s="8">
        <f t="shared" si="17"/>
        <v>2.8239999999999998</v>
      </c>
      <c r="H134" s="8">
        <f t="shared" si="14"/>
        <v>6.7039999999999997</v>
      </c>
      <c r="I134">
        <f>INDEX(StartupfileInput!$A$2:$D$328,MATCH(Calculation!$A134,StartupfileInput!$A$2:$A$328,0),4)</f>
        <v>6910</v>
      </c>
      <c r="J134" s="107">
        <f t="shared" si="18"/>
        <v>7068</v>
      </c>
      <c r="K134" s="9">
        <f t="shared" si="15"/>
        <v>27424</v>
      </c>
      <c r="L134" s="9">
        <f t="shared" si="19"/>
        <v>19960</v>
      </c>
      <c r="M134" s="9">
        <f t="shared" si="20"/>
        <v>47384</v>
      </c>
    </row>
    <row r="135" spans="1:13" ht="12.75" x14ac:dyDescent="0.2">
      <c r="A135" s="2" t="str">
        <f>StartupfileInput!A133</f>
        <v>2846</v>
      </c>
      <c r="B135" s="1" t="str">
        <f>INDEX(ActiveDistricts!$A$2:$J$328,MATCH(Calculation!$A135,ActiveDistricts!$C$2:$C$328,0),6)</f>
        <v>2846</v>
      </c>
      <c r="C135" s="1" t="str">
        <f>INDEX(ActiveDistricts!$A$2:$J$328,MATCH(Calculation!$A135,ActiveDistricts!$C$2:$C$328,0),7)</f>
        <v>Harris-Lake Park</v>
      </c>
      <c r="D135" s="14">
        <f>INDEX(StartupfileInput!$A$2:$D$328,MATCH(Calculation!$A135,StartupfileInput!$A$2:$A$328,0),3)</f>
        <v>292</v>
      </c>
      <c r="E135" s="20">
        <f>INDEX(ActiveDistricts!$A$2:$J$328,MATCH(Calculation!$A135,ActiveDistricts!$C$2:$C$328,0),10)</f>
        <v>0.31578947368421051</v>
      </c>
      <c r="F135" s="8">
        <f t="shared" si="16"/>
        <v>0.59199999999999997</v>
      </c>
      <c r="G135" s="8">
        <f t="shared" si="17"/>
        <v>0.59599999999999997</v>
      </c>
      <c r="H135" s="8">
        <f t="shared" si="14"/>
        <v>1.1879999999999999</v>
      </c>
      <c r="I135">
        <f>INDEX(StartupfileInput!$A$2:$D$328,MATCH(Calculation!$A135,StartupfileInput!$A$2:$A$328,0),4)</f>
        <v>6941</v>
      </c>
      <c r="J135" s="107">
        <f t="shared" si="18"/>
        <v>7099</v>
      </c>
      <c r="K135" s="9">
        <f t="shared" si="15"/>
        <v>4203</v>
      </c>
      <c r="L135" s="9">
        <f t="shared" si="19"/>
        <v>4231</v>
      </c>
      <c r="M135" s="9">
        <f t="shared" si="20"/>
        <v>8434</v>
      </c>
    </row>
    <row r="136" spans="1:13" ht="12.75" x14ac:dyDescent="0.2">
      <c r="A136" s="2" t="str">
        <f>StartupfileInput!A134</f>
        <v>2862</v>
      </c>
      <c r="B136" s="1" t="str">
        <f>INDEX(ActiveDistricts!$A$2:$J$328,MATCH(Calculation!$A136,ActiveDistricts!$C$2:$C$328,0),6)</f>
        <v>2862</v>
      </c>
      <c r="C136" s="1" t="str">
        <f>INDEX(ActiveDistricts!$A$2:$J$328,MATCH(Calculation!$A136,ActiveDistricts!$C$2:$C$328,0),7)</f>
        <v>Hartley-Melvin-Sanborn</v>
      </c>
      <c r="D136" s="14">
        <f>INDEX(StartupfileInput!$A$2:$D$328,MATCH(Calculation!$A136,StartupfileInput!$A$2:$A$328,0),3)</f>
        <v>617.5</v>
      </c>
      <c r="E136" s="20">
        <f>INDEX(ActiveDistricts!$A$2:$J$328,MATCH(Calculation!$A136,ActiveDistricts!$C$2:$C$328,0),10)</f>
        <v>0.54201680672268904</v>
      </c>
      <c r="F136" s="8">
        <f t="shared" si="16"/>
        <v>2.149</v>
      </c>
      <c r="G136" s="8">
        <f t="shared" si="17"/>
        <v>1.26</v>
      </c>
      <c r="H136" s="8">
        <f t="shared" si="14"/>
        <v>3.4089999999999998</v>
      </c>
      <c r="I136">
        <f>INDEX(StartupfileInput!$A$2:$D$328,MATCH(Calculation!$A136,StartupfileInput!$A$2:$A$328,0),4)</f>
        <v>6917</v>
      </c>
      <c r="J136" s="107">
        <f t="shared" si="18"/>
        <v>7075</v>
      </c>
      <c r="K136" s="9">
        <f t="shared" si="15"/>
        <v>15204</v>
      </c>
      <c r="L136" s="9">
        <f t="shared" si="19"/>
        <v>8915</v>
      </c>
      <c r="M136" s="9">
        <f t="shared" si="20"/>
        <v>24119</v>
      </c>
    </row>
    <row r="137" spans="1:13" ht="12.75" x14ac:dyDescent="0.2">
      <c r="A137" s="2" t="str">
        <f>StartupfileInput!A135</f>
        <v>2977</v>
      </c>
      <c r="B137" s="1" t="str">
        <f>INDEX(ActiveDistricts!$A$2:$J$328,MATCH(Calculation!$A137,ActiveDistricts!$C$2:$C$328,0),6)</f>
        <v>2977</v>
      </c>
      <c r="C137" s="1" t="str">
        <f>INDEX(ActiveDistricts!$A$2:$J$328,MATCH(Calculation!$A137,ActiveDistricts!$C$2:$C$328,0),7)</f>
        <v>Highland</v>
      </c>
      <c r="D137" s="14">
        <f>INDEX(StartupfileInput!$A$2:$D$328,MATCH(Calculation!$A137,StartupfileInput!$A$2:$A$328,0),3)</f>
        <v>620.9</v>
      </c>
      <c r="E137" s="20">
        <f>INDEX(ActiveDistricts!$A$2:$J$328,MATCH(Calculation!$A137,ActiveDistricts!$C$2:$C$328,0),10)</f>
        <v>0.19583333333333333</v>
      </c>
      <c r="F137" s="8">
        <f t="shared" si="16"/>
        <v>0.78100000000000003</v>
      </c>
      <c r="G137" s="8">
        <f t="shared" si="17"/>
        <v>1.2669999999999999</v>
      </c>
      <c r="H137" s="8">
        <f t="shared" si="14"/>
        <v>2.048</v>
      </c>
      <c r="I137">
        <f>INDEX(StartupfileInput!$A$2:$D$328,MATCH(Calculation!$A137,StartupfileInput!$A$2:$A$328,0),4)</f>
        <v>6880</v>
      </c>
      <c r="J137" s="107">
        <f t="shared" si="18"/>
        <v>7048</v>
      </c>
      <c r="K137" s="9">
        <f t="shared" si="15"/>
        <v>5504</v>
      </c>
      <c r="L137" s="9">
        <f t="shared" si="19"/>
        <v>8930</v>
      </c>
      <c r="M137" s="9">
        <f t="shared" si="20"/>
        <v>14434</v>
      </c>
    </row>
    <row r="138" spans="1:13" ht="12.75" x14ac:dyDescent="0.2">
      <c r="A138" s="2" t="str">
        <f>StartupfileInput!A136</f>
        <v>2988</v>
      </c>
      <c r="B138" s="1" t="str">
        <f>INDEX(ActiveDistricts!$A$2:$J$328,MATCH(Calculation!$A138,ActiveDistricts!$C$2:$C$328,0),6)</f>
        <v>2988</v>
      </c>
      <c r="C138" s="1" t="str">
        <f>INDEX(ActiveDistricts!$A$2:$J$328,MATCH(Calculation!$A138,ActiveDistricts!$C$2:$C$328,0),7)</f>
        <v>Hinton</v>
      </c>
      <c r="D138" s="14">
        <f>INDEX(StartupfileInput!$A$2:$D$328,MATCH(Calculation!$A138,StartupfileInput!$A$2:$A$328,0),3)</f>
        <v>529.1</v>
      </c>
      <c r="E138" s="20">
        <f>INDEX(ActiveDistricts!$A$2:$J$328,MATCH(Calculation!$A138,ActiveDistricts!$C$2:$C$328,0),10)</f>
        <v>0.2073170731707317</v>
      </c>
      <c r="F138" s="8">
        <f t="shared" si="16"/>
        <v>0.70399999999999996</v>
      </c>
      <c r="G138" s="8">
        <f t="shared" si="17"/>
        <v>1.079</v>
      </c>
      <c r="H138" s="8">
        <f t="shared" si="14"/>
        <v>1.7829999999999999</v>
      </c>
      <c r="I138">
        <f>INDEX(StartupfileInput!$A$2:$D$328,MATCH(Calculation!$A138,StartupfileInput!$A$2:$A$328,0),4)</f>
        <v>6880</v>
      </c>
      <c r="J138" s="107">
        <f t="shared" si="18"/>
        <v>7048</v>
      </c>
      <c r="K138" s="9">
        <f t="shared" si="15"/>
        <v>4962</v>
      </c>
      <c r="L138" s="9">
        <f t="shared" si="19"/>
        <v>7605</v>
      </c>
      <c r="M138" s="9">
        <f t="shared" si="20"/>
        <v>12567</v>
      </c>
    </row>
    <row r="139" spans="1:13" ht="12.75" x14ac:dyDescent="0.2">
      <c r="A139" s="2" t="str">
        <f>StartupfileInput!A137</f>
        <v>3029</v>
      </c>
      <c r="B139" s="1" t="str">
        <f>INDEX(ActiveDistricts!$A$2:$J$328,MATCH(Calculation!$A139,ActiveDistricts!$C$2:$C$328,0),6)</f>
        <v>3029</v>
      </c>
      <c r="C139" s="1" t="str">
        <f>INDEX(ActiveDistricts!$A$2:$J$328,MATCH(Calculation!$A139,ActiveDistricts!$C$2:$C$328,0),7)</f>
        <v>Howard-Winneshiek</v>
      </c>
      <c r="D139" s="14">
        <f>INDEX(StartupfileInput!$A$2:$D$328,MATCH(Calculation!$A139,StartupfileInput!$A$2:$A$328,0),3)</f>
        <v>1132.8</v>
      </c>
      <c r="E139" s="20">
        <f>INDEX(ActiveDistricts!$A$2:$J$328,MATCH(Calculation!$A139,ActiveDistricts!$C$2:$C$328,0),10)</f>
        <v>0.56473829201101933</v>
      </c>
      <c r="F139" s="8">
        <f t="shared" si="16"/>
        <v>4.1070000000000002</v>
      </c>
      <c r="G139" s="8">
        <f t="shared" si="17"/>
        <v>2.3109999999999999</v>
      </c>
      <c r="H139" s="8">
        <f t="shared" si="14"/>
        <v>6.4180000000000001</v>
      </c>
      <c r="I139">
        <f>INDEX(StartupfileInput!$A$2:$D$328,MATCH(Calculation!$A139,StartupfileInput!$A$2:$A$328,0),4)</f>
        <v>6993</v>
      </c>
      <c r="J139" s="107">
        <f t="shared" si="18"/>
        <v>7151</v>
      </c>
      <c r="K139" s="9">
        <f t="shared" si="15"/>
        <v>29369</v>
      </c>
      <c r="L139" s="9">
        <f t="shared" si="19"/>
        <v>16526</v>
      </c>
      <c r="M139" s="9">
        <f t="shared" si="20"/>
        <v>45895</v>
      </c>
    </row>
    <row r="140" spans="1:13" ht="12.75" x14ac:dyDescent="0.2">
      <c r="A140" s="2" t="str">
        <f>StartupfileInput!A138</f>
        <v>3033</v>
      </c>
      <c r="B140" s="1" t="str">
        <f>INDEX(ActiveDistricts!$A$2:$J$328,MATCH(Calculation!$A140,ActiveDistricts!$C$2:$C$328,0),6)</f>
        <v>3033</v>
      </c>
      <c r="C140" s="1" t="str">
        <f>INDEX(ActiveDistricts!$A$2:$J$328,MATCH(Calculation!$A140,ActiveDistricts!$C$2:$C$328,0),7)</f>
        <v>Hubbard-Radcliffe</v>
      </c>
      <c r="D140" s="14">
        <f>INDEX(StartupfileInput!$A$2:$D$328,MATCH(Calculation!$A140,StartupfileInput!$A$2:$A$328,0),3)</f>
        <v>419.6</v>
      </c>
      <c r="E140" s="20">
        <f>INDEX(ActiveDistricts!$A$2:$J$328,MATCH(Calculation!$A140,ActiveDistricts!$C$2:$C$328,0),10)</f>
        <v>0.39795918367346939</v>
      </c>
      <c r="F140" s="8">
        <f t="shared" si="16"/>
        <v>1.0720000000000001</v>
      </c>
      <c r="G140" s="8">
        <f t="shared" si="17"/>
        <v>0.85599999999999998</v>
      </c>
      <c r="H140" s="8">
        <f t="shared" si="14"/>
        <v>1.9279999999999999</v>
      </c>
      <c r="I140">
        <f>INDEX(StartupfileInput!$A$2:$D$328,MATCH(Calculation!$A140,StartupfileInput!$A$2:$A$328,0),4)</f>
        <v>6982</v>
      </c>
      <c r="J140" s="107">
        <f t="shared" si="18"/>
        <v>7140</v>
      </c>
      <c r="K140" s="9">
        <f t="shared" si="15"/>
        <v>7654</v>
      </c>
      <c r="L140" s="9">
        <f t="shared" si="19"/>
        <v>6112</v>
      </c>
      <c r="M140" s="9">
        <f t="shared" si="20"/>
        <v>13766</v>
      </c>
    </row>
    <row r="141" spans="1:13" ht="12.75" x14ac:dyDescent="0.2">
      <c r="A141" s="2" t="str">
        <f>StartupfileInput!A139</f>
        <v>3042</v>
      </c>
      <c r="B141" s="1" t="str">
        <f>INDEX(ActiveDistricts!$A$2:$J$328,MATCH(Calculation!$A141,ActiveDistricts!$C$2:$C$328,0),6)</f>
        <v>3042</v>
      </c>
      <c r="C141" s="1" t="str">
        <f>INDEX(ActiveDistricts!$A$2:$J$328,MATCH(Calculation!$A141,ActiveDistricts!$C$2:$C$328,0),7)</f>
        <v>Hudson</v>
      </c>
      <c r="D141" s="14">
        <f>INDEX(StartupfileInput!$A$2:$D$328,MATCH(Calculation!$A141,StartupfileInput!$A$2:$A$328,0),3)</f>
        <v>703.4</v>
      </c>
      <c r="E141" s="20">
        <f>INDEX(ActiveDistricts!$A$2:$J$328,MATCH(Calculation!$A141,ActiveDistricts!$C$2:$C$328,0),10)</f>
        <v>0.2947976878612717</v>
      </c>
      <c r="F141" s="8">
        <f t="shared" si="16"/>
        <v>1.331</v>
      </c>
      <c r="G141" s="8">
        <f t="shared" si="17"/>
        <v>1.4350000000000001</v>
      </c>
      <c r="H141" s="8">
        <f t="shared" si="14"/>
        <v>2.766</v>
      </c>
      <c r="I141">
        <f>INDEX(StartupfileInput!$A$2:$D$328,MATCH(Calculation!$A141,StartupfileInput!$A$2:$A$328,0),4)</f>
        <v>7045</v>
      </c>
      <c r="J141" s="107">
        <f t="shared" si="18"/>
        <v>7203</v>
      </c>
      <c r="K141" s="9">
        <f t="shared" si="15"/>
        <v>9587</v>
      </c>
      <c r="L141" s="9">
        <f t="shared" si="19"/>
        <v>10336</v>
      </c>
      <c r="M141" s="9">
        <f t="shared" si="20"/>
        <v>19923</v>
      </c>
    </row>
    <row r="142" spans="1:13" ht="12.75" x14ac:dyDescent="0.2">
      <c r="A142" s="2" t="str">
        <f>StartupfileInput!A140</f>
        <v>3060</v>
      </c>
      <c r="B142" s="1" t="str">
        <f>INDEX(ActiveDistricts!$A$2:$J$328,MATCH(Calculation!$A142,ActiveDistricts!$C$2:$C$328,0),6)</f>
        <v>3060</v>
      </c>
      <c r="C142" s="1" t="str">
        <f>INDEX(ActiveDistricts!$A$2:$J$328,MATCH(Calculation!$A142,ActiveDistricts!$C$2:$C$328,0),7)</f>
        <v>Humboldt</v>
      </c>
      <c r="D142" s="14">
        <f>INDEX(StartupfileInput!$A$2:$D$328,MATCH(Calculation!$A142,StartupfileInput!$A$2:$A$328,0),3)</f>
        <v>1249.7</v>
      </c>
      <c r="E142" s="20">
        <f>INDEX(ActiveDistricts!$A$2:$J$328,MATCH(Calculation!$A142,ActiveDistricts!$C$2:$C$328,0),10)</f>
        <v>0.38732394366197181</v>
      </c>
      <c r="F142" s="8">
        <f t="shared" si="16"/>
        <v>3.1080000000000001</v>
      </c>
      <c r="G142" s="8">
        <f t="shared" si="17"/>
        <v>2.5489999999999999</v>
      </c>
      <c r="H142" s="8">
        <f t="shared" si="14"/>
        <v>5.657</v>
      </c>
      <c r="I142">
        <f>INDEX(StartupfileInput!$A$2:$D$328,MATCH(Calculation!$A142,StartupfileInput!$A$2:$A$328,0),4)</f>
        <v>6880</v>
      </c>
      <c r="J142" s="107">
        <f t="shared" si="18"/>
        <v>7048</v>
      </c>
      <c r="K142" s="9">
        <f t="shared" si="15"/>
        <v>21905</v>
      </c>
      <c r="L142" s="9">
        <f t="shared" si="19"/>
        <v>17966</v>
      </c>
      <c r="M142" s="9">
        <f t="shared" si="20"/>
        <v>39871</v>
      </c>
    </row>
    <row r="143" spans="1:13" ht="12.75" x14ac:dyDescent="0.2">
      <c r="A143" s="2" t="str">
        <f>StartupfileInput!A141</f>
        <v>3168</v>
      </c>
      <c r="B143" s="1" t="str">
        <f>INDEX(ActiveDistricts!$A$2:$J$328,MATCH(Calculation!$A143,ActiveDistricts!$C$2:$C$328,0),6)</f>
        <v>3168</v>
      </c>
      <c r="C143" s="1" t="str">
        <f>INDEX(ActiveDistricts!$A$2:$J$328,MATCH(Calculation!$A143,ActiveDistricts!$C$2:$C$328,0),7)</f>
        <v>IKM-Manning</v>
      </c>
      <c r="D143" s="14">
        <f>INDEX(StartupfileInput!$A$2:$D$328,MATCH(Calculation!$A143,StartupfileInput!$A$2:$A$328,0),3)</f>
        <v>684.7</v>
      </c>
      <c r="E143" s="20">
        <f>INDEX(ActiveDistricts!$A$2:$J$328,MATCH(Calculation!$A143,ActiveDistricts!$C$2:$C$328,0),10)</f>
        <v>0.37630662020905925</v>
      </c>
      <c r="F143" s="8">
        <f t="shared" si="16"/>
        <v>1.6539999999999999</v>
      </c>
      <c r="G143" s="8">
        <f t="shared" si="17"/>
        <v>1.397</v>
      </c>
      <c r="H143" s="8">
        <f t="shared" si="14"/>
        <v>3.0510000000000002</v>
      </c>
      <c r="I143">
        <f>INDEX(StartupfileInput!$A$2:$D$328,MATCH(Calculation!$A143,StartupfileInput!$A$2:$A$328,0),4)</f>
        <v>6971</v>
      </c>
      <c r="J143" s="107">
        <f t="shared" si="18"/>
        <v>7129</v>
      </c>
      <c r="K143" s="9">
        <f t="shared" si="15"/>
        <v>11791</v>
      </c>
      <c r="L143" s="9">
        <f t="shared" si="19"/>
        <v>9960</v>
      </c>
      <c r="M143" s="9">
        <f t="shared" si="20"/>
        <v>21751</v>
      </c>
    </row>
    <row r="144" spans="1:13" ht="12.75" x14ac:dyDescent="0.2">
      <c r="A144" s="2" t="str">
        <f>StartupfileInput!A142</f>
        <v>3105</v>
      </c>
      <c r="B144" s="1" t="str">
        <f>INDEX(ActiveDistricts!$A$2:$J$328,MATCH(Calculation!$A144,ActiveDistricts!$C$2:$C$328,0),6)</f>
        <v>3105</v>
      </c>
      <c r="C144" s="1" t="str">
        <f>INDEX(ActiveDistricts!$A$2:$J$328,MATCH(Calculation!$A144,ActiveDistricts!$C$2:$C$328,0),7)</f>
        <v>Independence</v>
      </c>
      <c r="D144" s="14">
        <f>INDEX(StartupfileInput!$A$2:$D$328,MATCH(Calculation!$A144,StartupfileInput!$A$2:$A$328,0),3)</f>
        <v>1426.6</v>
      </c>
      <c r="E144" s="20">
        <f>INDEX(ActiveDistricts!$A$2:$J$328,MATCH(Calculation!$A144,ActiveDistricts!$C$2:$C$328,0),10)</f>
        <v>0.43771043771043772</v>
      </c>
      <c r="F144" s="8">
        <f t="shared" si="16"/>
        <v>4.0090000000000003</v>
      </c>
      <c r="G144" s="8">
        <f t="shared" si="17"/>
        <v>2.91</v>
      </c>
      <c r="H144" s="8">
        <f t="shared" si="14"/>
        <v>6.9190000000000005</v>
      </c>
      <c r="I144">
        <f>INDEX(StartupfileInput!$A$2:$D$328,MATCH(Calculation!$A144,StartupfileInput!$A$2:$A$328,0),4)</f>
        <v>6880</v>
      </c>
      <c r="J144" s="107">
        <f t="shared" si="18"/>
        <v>7048</v>
      </c>
      <c r="K144" s="9">
        <f t="shared" si="15"/>
        <v>28255</v>
      </c>
      <c r="L144" s="9">
        <f t="shared" si="19"/>
        <v>20510</v>
      </c>
      <c r="M144" s="9">
        <f t="shared" si="20"/>
        <v>48765</v>
      </c>
    </row>
    <row r="145" spans="1:13" ht="12.75" x14ac:dyDescent="0.2">
      <c r="A145" s="2" t="str">
        <f>StartupfileInput!A143</f>
        <v>3114</v>
      </c>
      <c r="B145" s="1" t="str">
        <f>INDEX(ActiveDistricts!$A$2:$J$328,MATCH(Calculation!$A145,ActiveDistricts!$C$2:$C$328,0),6)</f>
        <v>3114</v>
      </c>
      <c r="C145" s="1" t="str">
        <f>INDEX(ActiveDistricts!$A$2:$J$328,MATCH(Calculation!$A145,ActiveDistricts!$C$2:$C$328,0),7)</f>
        <v>Indianola</v>
      </c>
      <c r="D145" s="14">
        <f>INDEX(StartupfileInput!$A$2:$D$328,MATCH(Calculation!$A145,StartupfileInput!$A$2:$A$328,0),3)</f>
        <v>3460.1</v>
      </c>
      <c r="E145" s="20">
        <f>INDEX(ActiveDistricts!$A$2:$J$328,MATCH(Calculation!$A145,ActiveDistricts!$C$2:$C$328,0),10)</f>
        <v>0.31985065339141255</v>
      </c>
      <c r="F145" s="8">
        <f t="shared" si="16"/>
        <v>7.1050000000000004</v>
      </c>
      <c r="G145" s="8">
        <f t="shared" si="17"/>
        <v>7.0590000000000002</v>
      </c>
      <c r="H145" s="8">
        <f t="shared" si="14"/>
        <v>14.164000000000001</v>
      </c>
      <c r="I145">
        <f>INDEX(StartupfileInput!$A$2:$D$328,MATCH(Calculation!$A145,StartupfileInput!$A$2:$A$328,0),4)</f>
        <v>6880</v>
      </c>
      <c r="J145" s="107">
        <f t="shared" si="18"/>
        <v>7048</v>
      </c>
      <c r="K145" s="9">
        <f t="shared" si="15"/>
        <v>50076</v>
      </c>
      <c r="L145" s="9">
        <f t="shared" si="19"/>
        <v>49752</v>
      </c>
      <c r="M145" s="9">
        <f t="shared" si="20"/>
        <v>99828</v>
      </c>
    </row>
    <row r="146" spans="1:13" ht="12.75" x14ac:dyDescent="0.2">
      <c r="A146" s="2" t="str">
        <f>StartupfileInput!A144</f>
        <v>3119</v>
      </c>
      <c r="B146" s="1" t="str">
        <f>INDEX(ActiveDistricts!$A$2:$J$328,MATCH(Calculation!$A146,ActiveDistricts!$C$2:$C$328,0),6)</f>
        <v>3119</v>
      </c>
      <c r="C146" s="1" t="str">
        <f>INDEX(ActiveDistricts!$A$2:$J$328,MATCH(Calculation!$A146,ActiveDistricts!$C$2:$C$328,0),7)</f>
        <v>Interstate 35</v>
      </c>
      <c r="D146" s="14">
        <f>INDEX(StartupfileInput!$A$2:$D$328,MATCH(Calculation!$A146,StartupfileInput!$A$2:$A$328,0),3)</f>
        <v>848.2</v>
      </c>
      <c r="E146" s="20">
        <f>INDEX(ActiveDistricts!$A$2:$J$328,MATCH(Calculation!$A146,ActiveDistricts!$C$2:$C$328,0),10)</f>
        <v>0.31896551724137934</v>
      </c>
      <c r="F146" s="8">
        <f t="shared" si="16"/>
        <v>1.7370000000000001</v>
      </c>
      <c r="G146" s="8">
        <f t="shared" si="17"/>
        <v>1.73</v>
      </c>
      <c r="H146" s="8">
        <f t="shared" si="14"/>
        <v>3.4670000000000001</v>
      </c>
      <c r="I146">
        <f>INDEX(StartupfileInput!$A$2:$D$328,MATCH(Calculation!$A146,StartupfileInput!$A$2:$A$328,0),4)</f>
        <v>6880</v>
      </c>
      <c r="J146" s="107">
        <f t="shared" si="18"/>
        <v>7048</v>
      </c>
      <c r="K146" s="9">
        <f t="shared" si="15"/>
        <v>12242</v>
      </c>
      <c r="L146" s="9">
        <f t="shared" si="19"/>
        <v>12193</v>
      </c>
      <c r="M146" s="9">
        <f t="shared" si="20"/>
        <v>24435</v>
      </c>
    </row>
    <row r="147" spans="1:13" ht="12.75" x14ac:dyDescent="0.2">
      <c r="A147" s="2" t="str">
        <f>StartupfileInput!A145</f>
        <v>3141</v>
      </c>
      <c r="B147" s="1" t="str">
        <f>INDEX(ActiveDistricts!$A$2:$J$328,MATCH(Calculation!$A147,ActiveDistricts!$C$2:$C$328,0),6)</f>
        <v>3141</v>
      </c>
      <c r="C147" s="1" t="str">
        <f>INDEX(ActiveDistricts!$A$2:$J$328,MATCH(Calculation!$A147,ActiveDistricts!$C$2:$C$328,0),7)</f>
        <v>Iowa City</v>
      </c>
      <c r="D147" s="14">
        <f>INDEX(StartupfileInput!$A$2:$D$328,MATCH(Calculation!$A147,StartupfileInput!$A$2:$A$328,0),3)</f>
        <v>14571.6</v>
      </c>
      <c r="E147" s="20">
        <f>INDEX(ActiveDistricts!$A$2:$J$328,MATCH(Calculation!$A147,ActiveDistricts!$C$2:$C$328,0),10)</f>
        <v>0.39129142517461735</v>
      </c>
      <c r="F147" s="8">
        <f t="shared" si="16"/>
        <v>36.604999999999997</v>
      </c>
      <c r="G147" s="8">
        <f t="shared" si="17"/>
        <v>29.725999999999999</v>
      </c>
      <c r="H147" s="8">
        <f t="shared" si="14"/>
        <v>66.330999999999989</v>
      </c>
      <c r="I147">
        <f>INDEX(StartupfileInput!$A$2:$D$328,MATCH(Calculation!$A147,StartupfileInput!$A$2:$A$328,0),4)</f>
        <v>6887</v>
      </c>
      <c r="J147" s="107">
        <f t="shared" si="18"/>
        <v>7048</v>
      </c>
      <c r="K147" s="9">
        <f t="shared" si="15"/>
        <v>257992</v>
      </c>
      <c r="L147" s="9">
        <f t="shared" si="19"/>
        <v>209509</v>
      </c>
      <c r="M147" s="9">
        <f t="shared" si="20"/>
        <v>467501</v>
      </c>
    </row>
    <row r="148" spans="1:13" ht="12.75" x14ac:dyDescent="0.2">
      <c r="A148" s="2" t="str">
        <f>StartupfileInput!A146</f>
        <v>3150</v>
      </c>
      <c r="B148" s="1" t="str">
        <f>INDEX(ActiveDistricts!$A$2:$J$328,MATCH(Calculation!$A148,ActiveDistricts!$C$2:$C$328,0),6)</f>
        <v>3150</v>
      </c>
      <c r="C148" s="1" t="str">
        <f>INDEX(ActiveDistricts!$A$2:$J$328,MATCH(Calculation!$A148,ActiveDistricts!$C$2:$C$328,0),7)</f>
        <v>Iowa Falls</v>
      </c>
      <c r="D148" s="14">
        <f>INDEX(StartupfileInput!$A$2:$D$328,MATCH(Calculation!$A148,StartupfileInput!$A$2:$A$328,0),3)</f>
        <v>1040.0999999999999</v>
      </c>
      <c r="E148" s="20">
        <f>INDEX(ActiveDistricts!$A$2:$J$328,MATCH(Calculation!$A148,ActiveDistricts!$C$2:$C$328,0),10)</f>
        <v>0.45492662473794548</v>
      </c>
      <c r="F148" s="8">
        <f t="shared" si="16"/>
        <v>3.0379999999999998</v>
      </c>
      <c r="G148" s="8">
        <f t="shared" si="17"/>
        <v>2.1219999999999999</v>
      </c>
      <c r="H148" s="8">
        <f t="shared" si="14"/>
        <v>5.16</v>
      </c>
      <c r="I148">
        <f>INDEX(StartupfileInput!$A$2:$D$328,MATCH(Calculation!$A148,StartupfileInput!$A$2:$A$328,0),4)</f>
        <v>6880</v>
      </c>
      <c r="J148" s="107">
        <f t="shared" si="18"/>
        <v>7048</v>
      </c>
      <c r="K148" s="9">
        <f t="shared" si="15"/>
        <v>21412</v>
      </c>
      <c r="L148" s="9">
        <f t="shared" si="19"/>
        <v>14956</v>
      </c>
      <c r="M148" s="9">
        <f t="shared" si="20"/>
        <v>36368</v>
      </c>
    </row>
    <row r="149" spans="1:13" ht="12.75" x14ac:dyDescent="0.2">
      <c r="A149" s="2" t="str">
        <f>StartupfileInput!A147</f>
        <v>3154</v>
      </c>
      <c r="B149" s="1" t="str">
        <f>INDEX(ActiveDistricts!$A$2:$J$328,MATCH(Calculation!$A149,ActiveDistricts!$C$2:$C$328,0),6)</f>
        <v>3154</v>
      </c>
      <c r="C149" s="1" t="str">
        <f>INDEX(ActiveDistricts!$A$2:$J$328,MATCH(Calculation!$A149,ActiveDistricts!$C$2:$C$328,0),7)</f>
        <v>Iowa Valley</v>
      </c>
      <c r="D149" s="14">
        <f>INDEX(StartupfileInput!$A$2:$D$328,MATCH(Calculation!$A149,StartupfileInput!$A$2:$A$328,0),3)</f>
        <v>532.5</v>
      </c>
      <c r="E149" s="20">
        <f>INDEX(ActiveDistricts!$A$2:$J$328,MATCH(Calculation!$A149,ActiveDistricts!$C$2:$C$328,0),10)</f>
        <v>0.3905579399141631</v>
      </c>
      <c r="F149" s="8">
        <f t="shared" si="16"/>
        <v>1.335</v>
      </c>
      <c r="G149" s="8">
        <f t="shared" si="17"/>
        <v>1.0860000000000001</v>
      </c>
      <c r="H149" s="8">
        <f t="shared" si="14"/>
        <v>2.4210000000000003</v>
      </c>
      <c r="I149">
        <f>INDEX(StartupfileInput!$A$2:$D$328,MATCH(Calculation!$A149,StartupfileInput!$A$2:$A$328,0),4)</f>
        <v>6880</v>
      </c>
      <c r="J149" s="107">
        <f t="shared" si="18"/>
        <v>7048</v>
      </c>
      <c r="K149" s="9">
        <f t="shared" si="15"/>
        <v>9409</v>
      </c>
      <c r="L149" s="9">
        <f t="shared" si="19"/>
        <v>7654</v>
      </c>
      <c r="M149" s="9">
        <f t="shared" si="20"/>
        <v>17063</v>
      </c>
    </row>
    <row r="150" spans="1:13" ht="12.75" x14ac:dyDescent="0.2">
      <c r="A150" s="2" t="str">
        <f>StartupfileInput!A148</f>
        <v>3186</v>
      </c>
      <c r="B150" s="1" t="str">
        <f>INDEX(ActiveDistricts!$A$2:$J$328,MATCH(Calculation!$A150,ActiveDistricts!$C$2:$C$328,0),6)</f>
        <v>3186</v>
      </c>
      <c r="C150" s="1" t="str">
        <f>INDEX(ActiveDistricts!$A$2:$J$328,MATCH(Calculation!$A150,ActiveDistricts!$C$2:$C$328,0),7)</f>
        <v>Janesville</v>
      </c>
      <c r="D150" s="14">
        <f>INDEX(StartupfileInput!$A$2:$D$328,MATCH(Calculation!$A150,StartupfileInput!$A$2:$A$328,0),3)</f>
        <v>436.2</v>
      </c>
      <c r="E150" s="20">
        <f>INDEX(ActiveDistricts!$A$2:$J$328,MATCH(Calculation!$A150,ActiveDistricts!$C$2:$C$328,0),10)</f>
        <v>0.17346938775510204</v>
      </c>
      <c r="F150" s="8">
        <f t="shared" si="16"/>
        <v>0.48599999999999999</v>
      </c>
      <c r="G150" s="8">
        <f t="shared" si="17"/>
        <v>0.89</v>
      </c>
      <c r="H150" s="8">
        <f t="shared" si="14"/>
        <v>1.3759999999999999</v>
      </c>
      <c r="I150">
        <f>INDEX(StartupfileInput!$A$2:$D$328,MATCH(Calculation!$A150,StartupfileInput!$A$2:$A$328,0),4)</f>
        <v>6945</v>
      </c>
      <c r="J150" s="107">
        <f t="shared" si="18"/>
        <v>7103</v>
      </c>
      <c r="K150" s="9">
        <f t="shared" si="15"/>
        <v>3452</v>
      </c>
      <c r="L150" s="9">
        <f t="shared" si="19"/>
        <v>6322</v>
      </c>
      <c r="M150" s="9">
        <f t="shared" si="20"/>
        <v>9774</v>
      </c>
    </row>
    <row r="151" spans="1:13" ht="12.75" x14ac:dyDescent="0.2">
      <c r="A151" s="2" t="str">
        <f>StartupfileInput!A149</f>
        <v>3204</v>
      </c>
      <c r="B151" s="1" t="str">
        <f>INDEX(ActiveDistricts!$A$2:$J$328,MATCH(Calculation!$A151,ActiveDistricts!$C$2:$C$328,0),6)</f>
        <v>3204</v>
      </c>
      <c r="C151" s="1" t="str">
        <f>INDEX(ActiveDistricts!$A$2:$J$328,MATCH(Calculation!$A151,ActiveDistricts!$C$2:$C$328,0),7)</f>
        <v>Jesup</v>
      </c>
      <c r="D151" s="14">
        <f>INDEX(StartupfileInput!$A$2:$D$328,MATCH(Calculation!$A151,StartupfileInput!$A$2:$A$328,0),3)</f>
        <v>883.8</v>
      </c>
      <c r="E151" s="20">
        <f>INDEX(ActiveDistricts!$A$2:$J$328,MATCH(Calculation!$A151,ActiveDistricts!$C$2:$C$328,0),10)</f>
        <v>0.20449438202247192</v>
      </c>
      <c r="F151" s="8">
        <f t="shared" si="16"/>
        <v>1.1599999999999999</v>
      </c>
      <c r="G151" s="8">
        <f t="shared" si="17"/>
        <v>1.8029999999999999</v>
      </c>
      <c r="H151" s="8">
        <f t="shared" si="14"/>
        <v>2.9630000000000001</v>
      </c>
      <c r="I151">
        <f>INDEX(StartupfileInput!$A$2:$D$328,MATCH(Calculation!$A151,StartupfileInput!$A$2:$A$328,0),4)</f>
        <v>6880</v>
      </c>
      <c r="J151" s="107">
        <f t="shared" si="18"/>
        <v>7048</v>
      </c>
      <c r="K151" s="9">
        <f t="shared" si="15"/>
        <v>8176</v>
      </c>
      <c r="L151" s="9">
        <f t="shared" si="19"/>
        <v>12707</v>
      </c>
      <c r="M151" s="9">
        <f t="shared" si="20"/>
        <v>20883</v>
      </c>
    </row>
    <row r="152" spans="1:13" ht="12.75" x14ac:dyDescent="0.2">
      <c r="A152" s="2" t="str">
        <f>StartupfileInput!A150</f>
        <v>3231</v>
      </c>
      <c r="B152" s="1" t="str">
        <f>INDEX(ActiveDistricts!$A$2:$J$328,MATCH(Calculation!$A152,ActiveDistricts!$C$2:$C$328,0),6)</f>
        <v>3231</v>
      </c>
      <c r="C152" s="1" t="str">
        <f>INDEX(ActiveDistricts!$A$2:$J$328,MATCH(Calculation!$A152,ActiveDistricts!$C$2:$C$328,0),7)</f>
        <v>Johnston</v>
      </c>
      <c r="D152" s="14">
        <f>INDEX(StartupfileInput!$A$2:$D$328,MATCH(Calculation!$A152,StartupfileInput!$A$2:$A$328,0),3)</f>
        <v>7105.7</v>
      </c>
      <c r="E152" s="20">
        <f>INDEX(ActiveDistricts!$A$2:$J$328,MATCH(Calculation!$A152,ActiveDistricts!$C$2:$C$328,0),10)</f>
        <v>0.23043342687870283</v>
      </c>
      <c r="F152" s="8">
        <f t="shared" si="16"/>
        <v>10.512</v>
      </c>
      <c r="G152" s="8">
        <f t="shared" si="17"/>
        <v>14.496</v>
      </c>
      <c r="H152" s="8">
        <f t="shared" si="14"/>
        <v>25.008000000000003</v>
      </c>
      <c r="I152">
        <f>INDEX(StartupfileInput!$A$2:$D$328,MATCH(Calculation!$A152,StartupfileInput!$A$2:$A$328,0),4)</f>
        <v>6880</v>
      </c>
      <c r="J152" s="107">
        <f t="shared" si="18"/>
        <v>7048</v>
      </c>
      <c r="K152" s="9">
        <f t="shared" si="15"/>
        <v>74089</v>
      </c>
      <c r="L152" s="9">
        <f t="shared" si="19"/>
        <v>102167</v>
      </c>
      <c r="M152" s="9">
        <f t="shared" si="20"/>
        <v>176256</v>
      </c>
    </row>
    <row r="153" spans="1:13" ht="12.75" x14ac:dyDescent="0.2">
      <c r="A153" s="2" t="str">
        <f>StartupfileInput!A151</f>
        <v>3312</v>
      </c>
      <c r="B153" s="1" t="str">
        <f>INDEX(ActiveDistricts!$A$2:$J$328,MATCH(Calculation!$A153,ActiveDistricts!$C$2:$C$328,0),6)</f>
        <v>3312</v>
      </c>
      <c r="C153" s="1" t="str">
        <f>INDEX(ActiveDistricts!$A$2:$J$328,MATCH(Calculation!$A153,ActiveDistricts!$C$2:$C$328,0),7)</f>
        <v>Keokuk</v>
      </c>
      <c r="D153" s="14">
        <f>INDEX(StartupfileInput!$A$2:$D$328,MATCH(Calculation!$A153,StartupfileInput!$A$2:$A$328,0),3)</f>
        <v>1918.7</v>
      </c>
      <c r="E153" s="20">
        <f>INDEX(ActiveDistricts!$A$2:$J$328,MATCH(Calculation!$A153,ActiveDistricts!$C$2:$C$328,0),10)</f>
        <v>0.68688118811881194</v>
      </c>
      <c r="F153" s="8">
        <f t="shared" si="16"/>
        <v>8.4610000000000003</v>
      </c>
      <c r="G153" s="8">
        <f t="shared" si="17"/>
        <v>3.9140000000000001</v>
      </c>
      <c r="H153" s="8">
        <f t="shared" si="14"/>
        <v>12.375</v>
      </c>
      <c r="I153">
        <f>INDEX(StartupfileInput!$A$2:$D$328,MATCH(Calculation!$A153,StartupfileInput!$A$2:$A$328,0),4)</f>
        <v>6880</v>
      </c>
      <c r="J153" s="107">
        <f t="shared" si="18"/>
        <v>7048</v>
      </c>
      <c r="K153" s="9">
        <f t="shared" si="15"/>
        <v>59633</v>
      </c>
      <c r="L153" s="9">
        <f t="shared" si="19"/>
        <v>27586</v>
      </c>
      <c r="M153" s="9">
        <f t="shared" si="20"/>
        <v>87219</v>
      </c>
    </row>
    <row r="154" spans="1:13" ht="12.75" x14ac:dyDescent="0.2">
      <c r="A154" s="2" t="str">
        <f>StartupfileInput!A152</f>
        <v>3330</v>
      </c>
      <c r="B154" s="1" t="str">
        <f>INDEX(ActiveDistricts!$A$2:$J$328,MATCH(Calculation!$A154,ActiveDistricts!$C$2:$C$328,0),6)</f>
        <v>3330</v>
      </c>
      <c r="C154" s="1" t="str">
        <f>INDEX(ActiveDistricts!$A$2:$J$328,MATCH(Calculation!$A154,ActiveDistricts!$C$2:$C$328,0),7)</f>
        <v>Keota</v>
      </c>
      <c r="D154" s="14">
        <f>INDEX(StartupfileInput!$A$2:$D$328,MATCH(Calculation!$A154,StartupfileInput!$A$2:$A$328,0),3)</f>
        <v>356.7</v>
      </c>
      <c r="E154" s="20">
        <f>INDEX(ActiveDistricts!$A$2:$J$328,MATCH(Calculation!$A154,ActiveDistricts!$C$2:$C$328,0),10)</f>
        <v>0.41044776119402987</v>
      </c>
      <c r="F154" s="8">
        <f t="shared" si="16"/>
        <v>0.94</v>
      </c>
      <c r="G154" s="8">
        <f t="shared" si="17"/>
        <v>0.72799999999999998</v>
      </c>
      <c r="H154" s="8">
        <f t="shared" si="14"/>
        <v>1.6679999999999999</v>
      </c>
      <c r="I154">
        <f>INDEX(StartupfileInput!$A$2:$D$328,MATCH(Calculation!$A154,StartupfileInput!$A$2:$A$328,0),4)</f>
        <v>6914</v>
      </c>
      <c r="J154" s="107">
        <f t="shared" si="18"/>
        <v>7072</v>
      </c>
      <c r="K154" s="9">
        <f t="shared" si="15"/>
        <v>6648</v>
      </c>
      <c r="L154" s="9">
        <f t="shared" si="19"/>
        <v>5148</v>
      </c>
      <c r="M154" s="9">
        <f t="shared" si="20"/>
        <v>11796</v>
      </c>
    </row>
    <row r="155" spans="1:13" ht="12.75" x14ac:dyDescent="0.2">
      <c r="A155" s="2" t="str">
        <f>StartupfileInput!A153</f>
        <v>3348</v>
      </c>
      <c r="B155" s="1" t="str">
        <f>INDEX(ActiveDistricts!$A$2:$J$328,MATCH(Calculation!$A155,ActiveDistricts!$C$2:$C$328,0),6)</f>
        <v>3348</v>
      </c>
      <c r="C155" s="1" t="str">
        <f>INDEX(ActiveDistricts!$A$2:$J$328,MATCH(Calculation!$A155,ActiveDistricts!$C$2:$C$328,0),7)</f>
        <v>Kingsley-Pierson</v>
      </c>
      <c r="D155" s="14">
        <f>INDEX(StartupfileInput!$A$2:$D$328,MATCH(Calculation!$A155,StartupfileInput!$A$2:$A$328,0),3)</f>
        <v>458.7</v>
      </c>
      <c r="E155" s="20">
        <f>INDEX(ActiveDistricts!$A$2:$J$328,MATCH(Calculation!$A155,ActiveDistricts!$C$2:$C$328,0),10)</f>
        <v>0.46666666666666667</v>
      </c>
      <c r="F155" s="8">
        <f t="shared" si="16"/>
        <v>1.3740000000000001</v>
      </c>
      <c r="G155" s="8">
        <f t="shared" si="17"/>
        <v>0.93600000000000005</v>
      </c>
      <c r="H155" s="8">
        <f t="shared" si="14"/>
        <v>2.31</v>
      </c>
      <c r="I155">
        <f>INDEX(StartupfileInput!$A$2:$D$328,MATCH(Calculation!$A155,StartupfileInput!$A$2:$A$328,0),4)</f>
        <v>6973</v>
      </c>
      <c r="J155" s="107">
        <f t="shared" si="18"/>
        <v>7131</v>
      </c>
      <c r="K155" s="9">
        <f t="shared" si="15"/>
        <v>9798</v>
      </c>
      <c r="L155" s="9">
        <f t="shared" si="19"/>
        <v>6675</v>
      </c>
      <c r="M155" s="9">
        <f t="shared" si="20"/>
        <v>16473</v>
      </c>
    </row>
    <row r="156" spans="1:13" ht="12.75" x14ac:dyDescent="0.2">
      <c r="A156" s="2" t="str">
        <f>StartupfileInput!A154</f>
        <v>3375</v>
      </c>
      <c r="B156" s="1" t="str">
        <f>INDEX(ActiveDistricts!$A$2:$J$328,MATCH(Calculation!$A156,ActiveDistricts!$C$2:$C$328,0),6)</f>
        <v>3375</v>
      </c>
      <c r="C156" s="1" t="str">
        <f>INDEX(ActiveDistricts!$A$2:$J$328,MATCH(Calculation!$A156,ActiveDistricts!$C$2:$C$328,0),7)</f>
        <v>Knoxville</v>
      </c>
      <c r="D156" s="14">
        <f>INDEX(StartupfileInput!$A$2:$D$328,MATCH(Calculation!$A156,StartupfileInput!$A$2:$A$328,0),3)</f>
        <v>1772.2</v>
      </c>
      <c r="E156" s="20">
        <f>INDEX(ActiveDistricts!$A$2:$J$328,MATCH(Calculation!$A156,ActiveDistricts!$C$2:$C$328,0),10)</f>
        <v>0.4916897506925208</v>
      </c>
      <c r="F156" s="8">
        <f t="shared" si="16"/>
        <v>5.5940000000000003</v>
      </c>
      <c r="G156" s="8">
        <f t="shared" si="17"/>
        <v>3.6150000000000002</v>
      </c>
      <c r="H156" s="8">
        <f t="shared" si="14"/>
        <v>9.2089999999999996</v>
      </c>
      <c r="I156">
        <f>INDEX(StartupfileInput!$A$2:$D$328,MATCH(Calculation!$A156,StartupfileInput!$A$2:$A$328,0),4)</f>
        <v>6880</v>
      </c>
      <c r="J156" s="107">
        <f t="shared" si="18"/>
        <v>7048</v>
      </c>
      <c r="K156" s="9">
        <f t="shared" si="15"/>
        <v>39427</v>
      </c>
      <c r="L156" s="9">
        <f t="shared" si="19"/>
        <v>25478</v>
      </c>
      <c r="M156" s="9">
        <f t="shared" si="20"/>
        <v>64905</v>
      </c>
    </row>
    <row r="157" spans="1:13" ht="12.75" x14ac:dyDescent="0.2">
      <c r="A157" s="2" t="str">
        <f>StartupfileInput!A155</f>
        <v>3420</v>
      </c>
      <c r="B157" s="1" t="str">
        <f>INDEX(ActiveDistricts!$A$2:$J$328,MATCH(Calculation!$A157,ActiveDistricts!$C$2:$C$328,0),6)</f>
        <v>3420</v>
      </c>
      <c r="C157" s="1" t="str">
        <f>INDEX(ActiveDistricts!$A$2:$J$328,MATCH(Calculation!$A157,ActiveDistricts!$C$2:$C$328,0),7)</f>
        <v>Lake Mills</v>
      </c>
      <c r="D157" s="14">
        <f>INDEX(StartupfileInput!$A$2:$D$328,MATCH(Calculation!$A157,StartupfileInput!$A$2:$A$328,0),3)</f>
        <v>573.5</v>
      </c>
      <c r="E157" s="20">
        <f>INDEX(ActiveDistricts!$A$2:$J$328,MATCH(Calculation!$A157,ActiveDistricts!$C$2:$C$328,0),10)</f>
        <v>0.37777777777777777</v>
      </c>
      <c r="F157" s="8">
        <f t="shared" si="16"/>
        <v>1.391</v>
      </c>
      <c r="G157" s="8">
        <f t="shared" si="17"/>
        <v>1.17</v>
      </c>
      <c r="H157" s="8">
        <f t="shared" si="14"/>
        <v>2.5609999999999999</v>
      </c>
      <c r="I157">
        <f>INDEX(StartupfileInput!$A$2:$D$328,MATCH(Calculation!$A157,StartupfileInput!$A$2:$A$328,0),4)</f>
        <v>6880</v>
      </c>
      <c r="J157" s="107">
        <f t="shared" si="18"/>
        <v>7048</v>
      </c>
      <c r="K157" s="9">
        <f t="shared" si="15"/>
        <v>9804</v>
      </c>
      <c r="L157" s="9">
        <f t="shared" si="19"/>
        <v>8246</v>
      </c>
      <c r="M157" s="9">
        <f t="shared" si="20"/>
        <v>18050</v>
      </c>
    </row>
    <row r="158" spans="1:13" ht="12.75" x14ac:dyDescent="0.2">
      <c r="A158" s="2" t="str">
        <f>StartupfileInput!A156</f>
        <v>3465</v>
      </c>
      <c r="B158" s="1" t="str">
        <f>INDEX(ActiveDistricts!$A$2:$J$328,MATCH(Calculation!$A158,ActiveDistricts!$C$2:$C$328,0),6)</f>
        <v>3465</v>
      </c>
      <c r="C158" s="1" t="str">
        <f>INDEX(ActiveDistricts!$A$2:$J$328,MATCH(Calculation!$A158,ActiveDistricts!$C$2:$C$328,0),7)</f>
        <v>Lamoni</v>
      </c>
      <c r="D158" s="14">
        <f>INDEX(StartupfileInput!$A$2:$D$328,MATCH(Calculation!$A158,StartupfileInput!$A$2:$A$328,0),3)</f>
        <v>302.60000000000002</v>
      </c>
      <c r="E158" s="20">
        <f>INDEX(ActiveDistricts!$A$2:$J$328,MATCH(Calculation!$A158,ActiveDistricts!$C$2:$C$328,0),10)</f>
        <v>0.68840579710144922</v>
      </c>
      <c r="F158" s="8">
        <f t="shared" si="16"/>
        <v>1.337</v>
      </c>
      <c r="G158" s="8">
        <f t="shared" si="17"/>
        <v>0.61699999999999999</v>
      </c>
      <c r="H158" s="8">
        <f t="shared" si="14"/>
        <v>1.954</v>
      </c>
      <c r="I158">
        <f>INDEX(StartupfileInput!$A$2:$D$328,MATCH(Calculation!$A158,StartupfileInput!$A$2:$A$328,0),4)</f>
        <v>6880</v>
      </c>
      <c r="J158" s="107">
        <f t="shared" si="18"/>
        <v>7048</v>
      </c>
      <c r="K158" s="9">
        <f t="shared" si="15"/>
        <v>9423</v>
      </c>
      <c r="L158" s="9">
        <f t="shared" si="19"/>
        <v>4349</v>
      </c>
      <c r="M158" s="9">
        <f t="shared" si="20"/>
        <v>13772</v>
      </c>
    </row>
    <row r="159" spans="1:13" ht="12.75" x14ac:dyDescent="0.2">
      <c r="A159" s="2" t="str">
        <f>StartupfileInput!A157</f>
        <v>3537</v>
      </c>
      <c r="B159" s="1" t="str">
        <f>INDEX(ActiveDistricts!$A$2:$J$328,MATCH(Calculation!$A159,ActiveDistricts!$C$2:$C$328,0),6)</f>
        <v>3537</v>
      </c>
      <c r="C159" s="1" t="str">
        <f>INDEX(ActiveDistricts!$A$2:$J$328,MATCH(Calculation!$A159,ActiveDistricts!$C$2:$C$328,0),7)</f>
        <v>Laurens-Marathon</v>
      </c>
      <c r="D159" s="14">
        <f>INDEX(StartupfileInput!$A$2:$D$328,MATCH(Calculation!$A159,StartupfileInput!$A$2:$A$328,0),3)</f>
        <v>276</v>
      </c>
      <c r="E159" s="20">
        <f>INDEX(ActiveDistricts!$A$2:$J$328,MATCH(Calculation!$A159,ActiveDistricts!$C$2:$C$328,0),10)</f>
        <v>0.4946236559139785</v>
      </c>
      <c r="F159" s="8">
        <f t="shared" si="16"/>
        <v>0.876</v>
      </c>
      <c r="G159" s="8">
        <f t="shared" si="17"/>
        <v>0.56299999999999994</v>
      </c>
      <c r="H159" s="8">
        <f t="shared" si="14"/>
        <v>1.4390000000000001</v>
      </c>
      <c r="I159">
        <f>INDEX(StartupfileInput!$A$2:$D$328,MATCH(Calculation!$A159,StartupfileInput!$A$2:$A$328,0),4)</f>
        <v>6880</v>
      </c>
      <c r="J159" s="107">
        <f t="shared" si="18"/>
        <v>7048</v>
      </c>
      <c r="K159" s="9">
        <f t="shared" si="15"/>
        <v>6174</v>
      </c>
      <c r="L159" s="9">
        <f t="shared" si="19"/>
        <v>3968</v>
      </c>
      <c r="M159" s="9">
        <f t="shared" si="20"/>
        <v>10142</v>
      </c>
    </row>
    <row r="160" spans="1:13" ht="12.75" x14ac:dyDescent="0.2">
      <c r="A160" s="2" t="str">
        <f>StartupfileInput!A158</f>
        <v>3555</v>
      </c>
      <c r="B160" s="1" t="str">
        <f>INDEX(ActiveDistricts!$A$2:$J$328,MATCH(Calculation!$A160,ActiveDistricts!$C$2:$C$328,0),6)</f>
        <v>3555</v>
      </c>
      <c r="C160" s="1" t="str">
        <f>INDEX(ActiveDistricts!$A$2:$J$328,MATCH(Calculation!$A160,ActiveDistricts!$C$2:$C$328,0),7)</f>
        <v>Lawton-Bronson</v>
      </c>
      <c r="D160" s="14">
        <f>INDEX(StartupfileInput!$A$2:$D$328,MATCH(Calculation!$A160,StartupfileInput!$A$2:$A$328,0),3)</f>
        <v>610.1</v>
      </c>
      <c r="E160" s="20">
        <f>INDEX(ActiveDistricts!$A$2:$J$328,MATCH(Calculation!$A160,ActiveDistricts!$C$2:$C$328,0),10)</f>
        <v>0.28771929824561404</v>
      </c>
      <c r="F160" s="8">
        <f t="shared" si="16"/>
        <v>1.127</v>
      </c>
      <c r="G160" s="8">
        <f t="shared" si="17"/>
        <v>1.2450000000000001</v>
      </c>
      <c r="H160" s="8">
        <f t="shared" si="14"/>
        <v>2.3719999999999999</v>
      </c>
      <c r="I160">
        <f>INDEX(StartupfileInput!$A$2:$D$328,MATCH(Calculation!$A160,StartupfileInput!$A$2:$A$328,0),4)</f>
        <v>6880</v>
      </c>
      <c r="J160" s="107">
        <f t="shared" si="18"/>
        <v>7048</v>
      </c>
      <c r="K160" s="9">
        <f t="shared" si="15"/>
        <v>7943</v>
      </c>
      <c r="L160" s="9">
        <f t="shared" si="19"/>
        <v>8775</v>
      </c>
      <c r="M160" s="9">
        <f t="shared" si="20"/>
        <v>16718</v>
      </c>
    </row>
    <row r="161" spans="1:13" ht="12.75" x14ac:dyDescent="0.2">
      <c r="A161" s="2" t="str">
        <f>StartupfileInput!A159</f>
        <v>3600</v>
      </c>
      <c r="B161" s="1" t="str">
        <f>INDEX(ActiveDistricts!$A$2:$J$328,MATCH(Calculation!$A161,ActiveDistricts!$C$2:$C$328,0),6)</f>
        <v>3600</v>
      </c>
      <c r="C161" s="1" t="str">
        <f>INDEX(ActiveDistricts!$A$2:$J$328,MATCH(Calculation!$A161,ActiveDistricts!$C$2:$C$328,0),7)</f>
        <v>Le Mars</v>
      </c>
      <c r="D161" s="14">
        <f>INDEX(StartupfileInput!$A$2:$D$328,MATCH(Calculation!$A161,StartupfileInput!$A$2:$A$328,0),3)</f>
        <v>2208.1</v>
      </c>
      <c r="E161" s="20">
        <f>INDEX(ActiveDistricts!$A$2:$J$328,MATCH(Calculation!$A161,ActiveDistricts!$C$2:$C$328,0),10)</f>
        <v>0.39244491080797483</v>
      </c>
      <c r="F161" s="8">
        <f t="shared" si="16"/>
        <v>5.5629999999999997</v>
      </c>
      <c r="G161" s="8">
        <f t="shared" si="17"/>
        <v>4.5049999999999999</v>
      </c>
      <c r="H161" s="8">
        <f t="shared" si="14"/>
        <v>10.068</v>
      </c>
      <c r="I161">
        <f>INDEX(StartupfileInput!$A$2:$D$328,MATCH(Calculation!$A161,StartupfileInput!$A$2:$A$328,0),4)</f>
        <v>6880</v>
      </c>
      <c r="J161" s="107">
        <f t="shared" si="18"/>
        <v>7048</v>
      </c>
      <c r="K161" s="9">
        <f t="shared" si="15"/>
        <v>39208</v>
      </c>
      <c r="L161" s="9">
        <f t="shared" si="19"/>
        <v>31751</v>
      </c>
      <c r="M161" s="9">
        <f t="shared" si="20"/>
        <v>70959</v>
      </c>
    </row>
    <row r="162" spans="1:13" ht="12.75" x14ac:dyDescent="0.2">
      <c r="A162" s="2" t="str">
        <f>StartupfileInput!A160</f>
        <v>3609</v>
      </c>
      <c r="B162" s="1" t="str">
        <f>INDEX(ActiveDistricts!$A$2:$J$328,MATCH(Calculation!$A162,ActiveDistricts!$C$2:$C$328,0),6)</f>
        <v>3609</v>
      </c>
      <c r="C162" s="1" t="str">
        <f>INDEX(ActiveDistricts!$A$2:$J$328,MATCH(Calculation!$A162,ActiveDistricts!$C$2:$C$328,0),7)</f>
        <v>Lenox</v>
      </c>
      <c r="D162" s="14">
        <f>INDEX(StartupfileInput!$A$2:$D$328,MATCH(Calculation!$A162,StartupfileInput!$A$2:$A$328,0),3)</f>
        <v>441.3</v>
      </c>
      <c r="E162" s="20">
        <f>INDEX(ActiveDistricts!$A$2:$J$328,MATCH(Calculation!$A162,ActiveDistricts!$C$2:$C$328,0),10)</f>
        <v>0.51184834123222744</v>
      </c>
      <c r="F162" s="8">
        <f t="shared" si="16"/>
        <v>1.45</v>
      </c>
      <c r="G162" s="8">
        <f t="shared" si="17"/>
        <v>0.9</v>
      </c>
      <c r="H162" s="8">
        <f t="shared" si="14"/>
        <v>2.35</v>
      </c>
      <c r="I162">
        <f>INDEX(StartupfileInput!$A$2:$D$328,MATCH(Calculation!$A162,StartupfileInput!$A$2:$A$328,0),4)</f>
        <v>6880</v>
      </c>
      <c r="J162" s="107">
        <f t="shared" si="18"/>
        <v>7048</v>
      </c>
      <c r="K162" s="9">
        <f t="shared" si="15"/>
        <v>10220</v>
      </c>
      <c r="L162" s="9">
        <f t="shared" si="19"/>
        <v>6343</v>
      </c>
      <c r="M162" s="9">
        <f t="shared" si="20"/>
        <v>16563</v>
      </c>
    </row>
    <row r="163" spans="1:13" ht="12.75" x14ac:dyDescent="0.2">
      <c r="A163" s="2" t="str">
        <f>StartupfileInput!A161</f>
        <v>3645</v>
      </c>
      <c r="B163" s="1" t="str">
        <f>INDEX(ActiveDistricts!$A$2:$J$328,MATCH(Calculation!$A163,ActiveDistricts!$C$2:$C$328,0),6)</f>
        <v>3645</v>
      </c>
      <c r="C163" s="1" t="str">
        <f>INDEX(ActiveDistricts!$A$2:$J$328,MATCH(Calculation!$A163,ActiveDistricts!$C$2:$C$328,0),7)</f>
        <v>Lewis Central</v>
      </c>
      <c r="D163" s="14">
        <f>INDEX(StartupfileInput!$A$2:$D$328,MATCH(Calculation!$A163,StartupfileInput!$A$2:$A$328,0),3)</f>
        <v>2624.7</v>
      </c>
      <c r="E163" s="20">
        <f>INDEX(ActiveDistricts!$A$2:$J$328,MATCH(Calculation!$A163,ActiveDistricts!$C$2:$C$328,0),10)</f>
        <v>0.40552651232262882</v>
      </c>
      <c r="F163" s="8">
        <f t="shared" si="16"/>
        <v>6.8330000000000002</v>
      </c>
      <c r="G163" s="8">
        <f t="shared" si="17"/>
        <v>5.3540000000000001</v>
      </c>
      <c r="H163" s="8">
        <f t="shared" si="14"/>
        <v>12.187000000000001</v>
      </c>
      <c r="I163">
        <f>INDEX(StartupfileInput!$A$2:$D$328,MATCH(Calculation!$A163,StartupfileInput!$A$2:$A$328,0),4)</f>
        <v>6880</v>
      </c>
      <c r="J163" s="107">
        <f t="shared" si="18"/>
        <v>7048</v>
      </c>
      <c r="K163" s="9">
        <f t="shared" si="15"/>
        <v>48159</v>
      </c>
      <c r="L163" s="9">
        <f t="shared" si="19"/>
        <v>37735</v>
      </c>
      <c r="M163" s="9">
        <f t="shared" si="20"/>
        <v>85894</v>
      </c>
    </row>
    <row r="164" spans="1:13" ht="12.75" x14ac:dyDescent="0.2">
      <c r="A164" s="2" t="str">
        <f>StartupfileInput!A162</f>
        <v>3715</v>
      </c>
      <c r="B164" s="1" t="str">
        <f>INDEX(ActiveDistricts!$A$2:$J$328,MATCH(Calculation!$A164,ActiveDistricts!$C$2:$C$328,0),6)</f>
        <v>3715</v>
      </c>
      <c r="C164" s="1" t="str">
        <f>INDEX(ActiveDistricts!$A$2:$J$328,MATCH(Calculation!$A164,ActiveDistricts!$C$2:$C$328,0),7)</f>
        <v>Linn-Mar</v>
      </c>
      <c r="D164" s="14">
        <f>INDEX(StartupfileInput!$A$2:$D$328,MATCH(Calculation!$A164,StartupfileInput!$A$2:$A$328,0),3)</f>
        <v>7675.5</v>
      </c>
      <c r="E164" s="20">
        <f>INDEX(ActiveDistricts!$A$2:$J$328,MATCH(Calculation!$A164,ActiveDistricts!$C$2:$C$328,0),10)</f>
        <v>0.22676371780515117</v>
      </c>
      <c r="F164" s="8">
        <f t="shared" si="16"/>
        <v>11.173999999999999</v>
      </c>
      <c r="G164" s="8">
        <f t="shared" si="17"/>
        <v>15.657999999999999</v>
      </c>
      <c r="H164" s="8">
        <f t="shared" si="14"/>
        <v>26.832000000000001</v>
      </c>
      <c r="I164">
        <f>INDEX(StartupfileInput!$A$2:$D$328,MATCH(Calculation!$A164,StartupfileInput!$A$2:$A$328,0),4)</f>
        <v>6880</v>
      </c>
      <c r="J164" s="107">
        <f t="shared" si="18"/>
        <v>7048</v>
      </c>
      <c r="K164" s="9">
        <f t="shared" si="15"/>
        <v>78754</v>
      </c>
      <c r="L164" s="9">
        <f t="shared" si="19"/>
        <v>110358</v>
      </c>
      <c r="M164" s="9">
        <f t="shared" si="20"/>
        <v>189112</v>
      </c>
    </row>
    <row r="165" spans="1:13" ht="12.75" x14ac:dyDescent="0.2">
      <c r="A165" s="2" t="str">
        <f>StartupfileInput!A163</f>
        <v>3744</v>
      </c>
      <c r="B165" s="1" t="str">
        <f>INDEX(ActiveDistricts!$A$2:$J$328,MATCH(Calculation!$A165,ActiveDistricts!$C$2:$C$328,0),6)</f>
        <v>3744</v>
      </c>
      <c r="C165" s="1" t="str">
        <f>INDEX(ActiveDistricts!$A$2:$J$328,MATCH(Calculation!$A165,ActiveDistricts!$C$2:$C$328,0),7)</f>
        <v>Lisbon</v>
      </c>
      <c r="D165" s="14">
        <f>INDEX(StartupfileInput!$A$2:$D$328,MATCH(Calculation!$A165,StartupfileInput!$A$2:$A$328,0),3)</f>
        <v>638.4</v>
      </c>
      <c r="E165" s="20">
        <f>INDEX(ActiveDistricts!$A$2:$J$328,MATCH(Calculation!$A165,ActiveDistricts!$C$2:$C$328,0),10)</f>
        <v>8.8967971530249115E-2</v>
      </c>
      <c r="F165" s="8">
        <f t="shared" si="16"/>
        <v>0.36499999999999999</v>
      </c>
      <c r="G165" s="8">
        <f t="shared" si="17"/>
        <v>1.302</v>
      </c>
      <c r="H165" s="8">
        <f t="shared" si="14"/>
        <v>1.667</v>
      </c>
      <c r="I165">
        <f>INDEX(StartupfileInput!$A$2:$D$328,MATCH(Calculation!$A165,StartupfileInput!$A$2:$A$328,0),4)</f>
        <v>6880</v>
      </c>
      <c r="J165" s="107">
        <f t="shared" si="18"/>
        <v>7048</v>
      </c>
      <c r="K165" s="9">
        <f t="shared" si="15"/>
        <v>2573</v>
      </c>
      <c r="L165" s="9">
        <f t="shared" si="19"/>
        <v>9176</v>
      </c>
      <c r="M165" s="9">
        <f t="shared" si="20"/>
        <v>11749</v>
      </c>
    </row>
    <row r="166" spans="1:13" ht="12.75" x14ac:dyDescent="0.2">
      <c r="A166" s="2" t="str">
        <f>StartupfileInput!A164</f>
        <v>3798</v>
      </c>
      <c r="B166" s="1" t="str">
        <f>INDEX(ActiveDistricts!$A$2:$J$328,MATCH(Calculation!$A166,ActiveDistricts!$C$2:$C$328,0),6)</f>
        <v>3798</v>
      </c>
      <c r="C166" s="1" t="str">
        <f>INDEX(ActiveDistricts!$A$2:$J$328,MATCH(Calculation!$A166,ActiveDistricts!$C$2:$C$328,0),7)</f>
        <v>Logan-Magnolia</v>
      </c>
      <c r="D166" s="14">
        <f>INDEX(StartupfileInput!$A$2:$D$328,MATCH(Calculation!$A166,StartupfileInput!$A$2:$A$328,0),3)</f>
        <v>572.1</v>
      </c>
      <c r="E166" s="20">
        <f>INDEX(ActiveDistricts!$A$2:$J$328,MATCH(Calculation!$A166,ActiveDistricts!$C$2:$C$328,0),10)</f>
        <v>0.30877192982456142</v>
      </c>
      <c r="F166" s="8">
        <f t="shared" si="16"/>
        <v>1.1339999999999999</v>
      </c>
      <c r="G166" s="8">
        <f t="shared" si="17"/>
        <v>1.167</v>
      </c>
      <c r="H166" s="8">
        <f t="shared" si="14"/>
        <v>2.3010000000000002</v>
      </c>
      <c r="I166">
        <f>INDEX(StartupfileInput!$A$2:$D$328,MATCH(Calculation!$A166,StartupfileInput!$A$2:$A$328,0),4)</f>
        <v>6880</v>
      </c>
      <c r="J166" s="107">
        <f t="shared" si="18"/>
        <v>7048</v>
      </c>
      <c r="K166" s="9">
        <f t="shared" si="15"/>
        <v>7992</v>
      </c>
      <c r="L166" s="9">
        <f t="shared" si="19"/>
        <v>8225</v>
      </c>
      <c r="M166" s="9">
        <f t="shared" si="20"/>
        <v>16217</v>
      </c>
    </row>
    <row r="167" spans="1:13" ht="12.75" x14ac:dyDescent="0.2">
      <c r="A167" s="2" t="str">
        <f>StartupfileInput!A165</f>
        <v>3816</v>
      </c>
      <c r="B167" s="1" t="str">
        <f>INDEX(ActiveDistricts!$A$2:$J$328,MATCH(Calculation!$A167,ActiveDistricts!$C$2:$C$328,0),6)</f>
        <v>3816</v>
      </c>
      <c r="C167" s="1" t="str">
        <f>INDEX(ActiveDistricts!$A$2:$J$328,MATCH(Calculation!$A167,ActiveDistricts!$C$2:$C$328,0),7)</f>
        <v>Lone Tree</v>
      </c>
      <c r="D167" s="14">
        <f>INDEX(StartupfileInput!$A$2:$D$328,MATCH(Calculation!$A167,StartupfileInput!$A$2:$A$328,0),3)</f>
        <v>368.8</v>
      </c>
      <c r="E167" s="20">
        <f>INDEX(ActiveDistricts!$A$2:$J$328,MATCH(Calculation!$A167,ActiveDistricts!$C$2:$C$328,0),10)</f>
        <v>0.32105263157894737</v>
      </c>
      <c r="F167" s="8">
        <f t="shared" si="16"/>
        <v>0.76</v>
      </c>
      <c r="G167" s="8">
        <f t="shared" si="17"/>
        <v>0.752</v>
      </c>
      <c r="H167" s="8">
        <f t="shared" si="14"/>
        <v>1.512</v>
      </c>
      <c r="I167">
        <f>INDEX(StartupfileInput!$A$2:$D$328,MATCH(Calculation!$A167,StartupfileInput!$A$2:$A$328,0),4)</f>
        <v>6880</v>
      </c>
      <c r="J167" s="107">
        <f t="shared" si="18"/>
        <v>7048</v>
      </c>
      <c r="K167" s="9">
        <f t="shared" si="15"/>
        <v>5356</v>
      </c>
      <c r="L167" s="9">
        <f t="shared" si="19"/>
        <v>5301</v>
      </c>
      <c r="M167" s="9">
        <f t="shared" si="20"/>
        <v>10657</v>
      </c>
    </row>
    <row r="168" spans="1:13" ht="12.75" x14ac:dyDescent="0.2">
      <c r="A168" s="2" t="str">
        <f>StartupfileInput!A166</f>
        <v>3841</v>
      </c>
      <c r="B168" s="1" t="str">
        <f>INDEX(ActiveDistricts!$A$2:$J$328,MATCH(Calculation!$A168,ActiveDistricts!$C$2:$C$328,0),6)</f>
        <v>3841</v>
      </c>
      <c r="C168" s="1" t="str">
        <f>INDEX(ActiveDistricts!$A$2:$J$328,MATCH(Calculation!$A168,ActiveDistricts!$C$2:$C$328,0),7)</f>
        <v>Louisa-Muscatine</v>
      </c>
      <c r="D168" s="14">
        <f>INDEX(StartupfileInput!$A$2:$D$328,MATCH(Calculation!$A168,StartupfileInput!$A$2:$A$328,0),3)</f>
        <v>712</v>
      </c>
      <c r="E168" s="20">
        <f>INDEX(ActiveDistricts!$A$2:$J$328,MATCH(Calculation!$A168,ActiveDistricts!$C$2:$C$328,0),10)</f>
        <v>0.33727810650887574</v>
      </c>
      <c r="F168" s="8">
        <f t="shared" si="16"/>
        <v>1.542</v>
      </c>
      <c r="G168" s="8">
        <f t="shared" si="17"/>
        <v>1.452</v>
      </c>
      <c r="H168" s="8">
        <f t="shared" si="14"/>
        <v>2.9939999999999998</v>
      </c>
      <c r="I168">
        <f>INDEX(StartupfileInput!$A$2:$D$328,MATCH(Calculation!$A168,StartupfileInput!$A$2:$A$328,0),4)</f>
        <v>6880</v>
      </c>
      <c r="J168" s="107">
        <f t="shared" si="18"/>
        <v>7048</v>
      </c>
      <c r="K168" s="9">
        <f t="shared" si="15"/>
        <v>10868</v>
      </c>
      <c r="L168" s="9">
        <f t="shared" si="19"/>
        <v>10234</v>
      </c>
      <c r="M168" s="9">
        <f t="shared" si="20"/>
        <v>21102</v>
      </c>
    </row>
    <row r="169" spans="1:13" ht="12.75" x14ac:dyDescent="0.2">
      <c r="A169" s="2" t="str">
        <f>StartupfileInput!A167</f>
        <v>3897</v>
      </c>
      <c r="B169" s="1" t="str">
        <f>INDEX(ActiveDistricts!$A$2:$J$328,MATCH(Calculation!$A169,ActiveDistricts!$C$2:$C$328,0),6)</f>
        <v>3897</v>
      </c>
      <c r="C169" s="1" t="str">
        <f>INDEX(ActiveDistricts!$A$2:$J$328,MATCH(Calculation!$A169,ActiveDistricts!$C$2:$C$328,0),7)</f>
        <v>Lu Verne</v>
      </c>
      <c r="D169" s="14">
        <f>INDEX(StartupfileInput!$A$2:$D$328,MATCH(Calculation!$A169,StartupfileInput!$A$2:$A$328,0),3)</f>
        <v>146.1</v>
      </c>
      <c r="E169" s="20">
        <f>INDEX(ActiveDistricts!$A$2:$J$328,MATCH(Calculation!$A169,ActiveDistricts!$C$2:$C$328,0),10)</f>
        <v>0.77777777777777779</v>
      </c>
      <c r="F169" s="8">
        <f t="shared" si="16"/>
        <v>0.73</v>
      </c>
      <c r="G169" s="8">
        <f t="shared" si="17"/>
        <v>0.29799999999999999</v>
      </c>
      <c r="H169" s="8">
        <f t="shared" si="14"/>
        <v>1.028</v>
      </c>
      <c r="I169">
        <f>INDEX(StartupfileInput!$A$2:$D$328,MATCH(Calculation!$A169,StartupfileInput!$A$2:$A$328,0),4)</f>
        <v>7045</v>
      </c>
      <c r="J169" s="107">
        <f t="shared" si="18"/>
        <v>7203</v>
      </c>
      <c r="K169" s="9">
        <f t="shared" si="15"/>
        <v>5258</v>
      </c>
      <c r="L169" s="9">
        <f t="shared" si="19"/>
        <v>2147</v>
      </c>
      <c r="M169" s="9">
        <f t="shared" si="20"/>
        <v>7405</v>
      </c>
    </row>
    <row r="170" spans="1:13" ht="12.75" x14ac:dyDescent="0.2">
      <c r="A170" s="2" t="str">
        <f>StartupfileInput!A168</f>
        <v>3906</v>
      </c>
      <c r="B170" s="1" t="str">
        <f>INDEX(ActiveDistricts!$A$2:$J$328,MATCH(Calculation!$A170,ActiveDistricts!$C$2:$C$328,0),6)</f>
        <v>3906</v>
      </c>
      <c r="C170" s="1" t="str">
        <f>INDEX(ActiveDistricts!$A$2:$J$328,MATCH(Calculation!$A170,ActiveDistricts!$C$2:$C$328,0),7)</f>
        <v>Lynnville-Sully</v>
      </c>
      <c r="D170" s="14">
        <f>INDEX(StartupfileInput!$A$2:$D$328,MATCH(Calculation!$A170,StartupfileInput!$A$2:$A$328,0),3)</f>
        <v>452.5</v>
      </c>
      <c r="E170" s="20">
        <f>INDEX(ActiveDistricts!$A$2:$J$328,MATCH(Calculation!$A170,ActiveDistricts!$C$2:$C$328,0),10)</f>
        <v>0.30042918454935624</v>
      </c>
      <c r="F170" s="8">
        <f t="shared" si="16"/>
        <v>0.873</v>
      </c>
      <c r="G170" s="8">
        <f t="shared" si="17"/>
        <v>0.92300000000000004</v>
      </c>
      <c r="H170" s="8">
        <f t="shared" si="14"/>
        <v>1.796</v>
      </c>
      <c r="I170">
        <f>INDEX(StartupfileInput!$A$2:$D$328,MATCH(Calculation!$A170,StartupfileInput!$A$2:$A$328,0),4)</f>
        <v>6880</v>
      </c>
      <c r="J170" s="107">
        <f t="shared" si="18"/>
        <v>7048</v>
      </c>
      <c r="K170" s="9">
        <f t="shared" si="15"/>
        <v>6153</v>
      </c>
      <c r="L170" s="9">
        <f t="shared" si="19"/>
        <v>6505</v>
      </c>
      <c r="M170" s="9">
        <f t="shared" si="20"/>
        <v>12658</v>
      </c>
    </row>
    <row r="171" spans="1:13" ht="12.75" x14ac:dyDescent="0.2">
      <c r="A171" s="2" t="str">
        <f>StartupfileInput!A169</f>
        <v>4419</v>
      </c>
      <c r="B171" s="1" t="str">
        <f>INDEX(ActiveDistricts!$A$2:$J$328,MATCH(Calculation!$A171,ActiveDistricts!$C$2:$C$328,0),6)</f>
        <v>4419</v>
      </c>
      <c r="C171" s="1" t="str">
        <f>INDEX(ActiveDistricts!$A$2:$J$328,MATCH(Calculation!$A171,ActiveDistricts!$C$2:$C$328,0),7)</f>
        <v>MFL Mar Mac</v>
      </c>
      <c r="D171" s="14">
        <f>INDEX(StartupfileInput!$A$2:$D$328,MATCH(Calculation!$A171,StartupfileInput!$A$2:$A$328,0),3)</f>
        <v>767.7</v>
      </c>
      <c r="E171" s="20">
        <f>INDEX(ActiveDistricts!$A$2:$J$328,MATCH(Calculation!$A171,ActiveDistricts!$C$2:$C$328,0),10)</f>
        <v>0.38176638176638178</v>
      </c>
      <c r="F171" s="8">
        <f t="shared" si="16"/>
        <v>1.8819999999999999</v>
      </c>
      <c r="G171" s="8">
        <f t="shared" si="17"/>
        <v>1.5660000000000001</v>
      </c>
      <c r="H171" s="8">
        <f t="shared" si="14"/>
        <v>3.448</v>
      </c>
      <c r="I171">
        <f>INDEX(StartupfileInput!$A$2:$D$328,MATCH(Calculation!$A171,StartupfileInput!$A$2:$A$328,0),4)</f>
        <v>6907</v>
      </c>
      <c r="J171" s="107">
        <f t="shared" si="18"/>
        <v>7065</v>
      </c>
      <c r="K171" s="9">
        <f t="shared" si="15"/>
        <v>13296</v>
      </c>
      <c r="L171" s="9">
        <f t="shared" si="19"/>
        <v>11064</v>
      </c>
      <c r="M171" s="9">
        <f t="shared" si="20"/>
        <v>24360</v>
      </c>
    </row>
    <row r="172" spans="1:13" ht="12.75" x14ac:dyDescent="0.2">
      <c r="A172" s="2" t="str">
        <f>StartupfileInput!A170</f>
        <v>3942</v>
      </c>
      <c r="B172" s="1" t="str">
        <f>INDEX(ActiveDistricts!$A$2:$J$328,MATCH(Calculation!$A172,ActiveDistricts!$C$2:$C$328,0),6)</f>
        <v>3942</v>
      </c>
      <c r="C172" s="1" t="str">
        <f>INDEX(ActiveDistricts!$A$2:$J$328,MATCH(Calculation!$A172,ActiveDistricts!$C$2:$C$328,0),7)</f>
        <v>Madrid</v>
      </c>
      <c r="D172" s="14">
        <f>INDEX(StartupfileInput!$A$2:$D$328,MATCH(Calculation!$A172,StartupfileInput!$A$2:$A$328,0),3)</f>
        <v>683</v>
      </c>
      <c r="E172" s="20">
        <f>INDEX(ActiveDistricts!$A$2:$J$328,MATCH(Calculation!$A172,ActiveDistricts!$C$2:$C$328,0),10)</f>
        <v>0.24671052631578946</v>
      </c>
      <c r="F172" s="8">
        <f t="shared" si="16"/>
        <v>1.0820000000000001</v>
      </c>
      <c r="G172" s="8">
        <f t="shared" si="17"/>
        <v>1.393</v>
      </c>
      <c r="H172" s="8">
        <f t="shared" si="14"/>
        <v>2.4750000000000001</v>
      </c>
      <c r="I172">
        <f>INDEX(StartupfileInput!$A$2:$D$328,MATCH(Calculation!$A172,StartupfileInput!$A$2:$A$328,0),4)</f>
        <v>6880</v>
      </c>
      <c r="J172" s="107">
        <f t="shared" si="18"/>
        <v>7048</v>
      </c>
      <c r="K172" s="9">
        <f t="shared" si="15"/>
        <v>7626</v>
      </c>
      <c r="L172" s="9">
        <f t="shared" si="19"/>
        <v>9818</v>
      </c>
      <c r="M172" s="9">
        <f t="shared" si="20"/>
        <v>17444</v>
      </c>
    </row>
    <row r="173" spans="1:13" ht="12.75" x14ac:dyDescent="0.2">
      <c r="A173" s="2" t="str">
        <f>StartupfileInput!A171</f>
        <v>4023</v>
      </c>
      <c r="B173" s="1" t="str">
        <f>INDEX(ActiveDistricts!$A$2:$J$328,MATCH(Calculation!$A173,ActiveDistricts!$C$2:$C$328,0),6)</f>
        <v>4023</v>
      </c>
      <c r="C173" s="1" t="str">
        <f>INDEX(ActiveDistricts!$A$2:$J$328,MATCH(Calculation!$A173,ActiveDistricts!$C$2:$C$328,0),7)</f>
        <v>Manson-Northwest Webster</v>
      </c>
      <c r="D173" s="14">
        <f>INDEX(StartupfileInput!$A$2:$D$328,MATCH(Calculation!$A173,StartupfileInput!$A$2:$A$328,0),3)</f>
        <v>642</v>
      </c>
      <c r="E173" s="20">
        <f>INDEX(ActiveDistricts!$A$2:$J$328,MATCH(Calculation!$A173,ActiveDistricts!$C$2:$C$328,0),10)</f>
        <v>0.32187500000000002</v>
      </c>
      <c r="F173" s="8">
        <f t="shared" si="16"/>
        <v>1.327</v>
      </c>
      <c r="G173" s="8">
        <f t="shared" si="17"/>
        <v>1.31</v>
      </c>
      <c r="H173" s="8">
        <f t="shared" si="14"/>
        <v>2.637</v>
      </c>
      <c r="I173">
        <f>INDEX(StartupfileInput!$A$2:$D$328,MATCH(Calculation!$A173,StartupfileInput!$A$2:$A$328,0),4)</f>
        <v>6930</v>
      </c>
      <c r="J173" s="107">
        <f t="shared" si="18"/>
        <v>7088</v>
      </c>
      <c r="K173" s="9">
        <f t="shared" si="15"/>
        <v>9406</v>
      </c>
      <c r="L173" s="9">
        <f t="shared" si="19"/>
        <v>9285</v>
      </c>
      <c r="M173" s="9">
        <f t="shared" si="20"/>
        <v>18691</v>
      </c>
    </row>
    <row r="174" spans="1:13" ht="12.75" x14ac:dyDescent="0.2">
      <c r="A174" s="2" t="str">
        <f>StartupfileInput!A172</f>
        <v>4033</v>
      </c>
      <c r="B174" s="1" t="str">
        <f>INDEX(ActiveDistricts!$A$2:$J$328,MATCH(Calculation!$A174,ActiveDistricts!$C$2:$C$328,0),6)</f>
        <v>4033</v>
      </c>
      <c r="C174" s="1" t="str">
        <f>INDEX(ActiveDistricts!$A$2:$J$328,MATCH(Calculation!$A174,ActiveDistricts!$C$2:$C$328,0),7)</f>
        <v>Maple Valley-Anthon Oto</v>
      </c>
      <c r="D174" s="14">
        <f>INDEX(StartupfileInput!$A$2:$D$328,MATCH(Calculation!$A174,StartupfileInput!$A$2:$A$328,0),3)</f>
        <v>600.79999999999995</v>
      </c>
      <c r="E174" s="20">
        <f>INDEX(ActiveDistricts!$A$2:$J$328,MATCH(Calculation!$A174,ActiveDistricts!$C$2:$C$328,0),10)</f>
        <v>0.58995815899581594</v>
      </c>
      <c r="F174" s="8">
        <f t="shared" si="16"/>
        <v>2.2759999999999998</v>
      </c>
      <c r="G174" s="8">
        <f t="shared" si="17"/>
        <v>1.226</v>
      </c>
      <c r="H174" s="8">
        <f t="shared" si="14"/>
        <v>3.5019999999999998</v>
      </c>
      <c r="I174">
        <f>INDEX(StartupfileInput!$A$2:$D$328,MATCH(Calculation!$A174,StartupfileInput!$A$2:$A$328,0),4)</f>
        <v>6977</v>
      </c>
      <c r="J174" s="107">
        <f t="shared" si="18"/>
        <v>7135</v>
      </c>
      <c r="K174" s="9">
        <f t="shared" si="15"/>
        <v>16239</v>
      </c>
      <c r="L174" s="9">
        <f t="shared" si="19"/>
        <v>8748</v>
      </c>
      <c r="M174" s="9">
        <f t="shared" si="20"/>
        <v>24987</v>
      </c>
    </row>
    <row r="175" spans="1:13" ht="12.75" x14ac:dyDescent="0.2">
      <c r="A175" s="2" t="str">
        <f>StartupfileInput!A173</f>
        <v>4041</v>
      </c>
      <c r="B175" s="1" t="str">
        <f>INDEX(ActiveDistricts!$A$2:$J$328,MATCH(Calculation!$A175,ActiveDistricts!$C$2:$C$328,0),6)</f>
        <v>4041</v>
      </c>
      <c r="C175" s="1" t="str">
        <f>INDEX(ActiveDistricts!$A$2:$J$328,MATCH(Calculation!$A175,ActiveDistricts!$C$2:$C$328,0),7)</f>
        <v>Maquoketa</v>
      </c>
      <c r="D175" s="14">
        <f>INDEX(StartupfileInput!$A$2:$D$328,MATCH(Calculation!$A175,StartupfileInput!$A$2:$A$328,0),3)</f>
        <v>1260.8</v>
      </c>
      <c r="E175" s="20">
        <f>INDEX(ActiveDistricts!$A$2:$J$328,MATCH(Calculation!$A175,ActiveDistricts!$C$2:$C$328,0),10)</f>
        <v>0.6203319502074689</v>
      </c>
      <c r="F175" s="8">
        <f t="shared" si="16"/>
        <v>5.0209999999999999</v>
      </c>
      <c r="G175" s="8">
        <f t="shared" si="17"/>
        <v>2.5720000000000001</v>
      </c>
      <c r="H175" s="8">
        <f t="shared" si="14"/>
        <v>7.593</v>
      </c>
      <c r="I175">
        <f>INDEX(StartupfileInput!$A$2:$D$328,MATCH(Calculation!$A175,StartupfileInput!$A$2:$A$328,0),4)</f>
        <v>6880</v>
      </c>
      <c r="J175" s="107">
        <f t="shared" si="18"/>
        <v>7048</v>
      </c>
      <c r="K175" s="9">
        <f t="shared" si="15"/>
        <v>35388</v>
      </c>
      <c r="L175" s="9">
        <f t="shared" si="19"/>
        <v>18127</v>
      </c>
      <c r="M175" s="9">
        <f t="shared" si="20"/>
        <v>53515</v>
      </c>
    </row>
    <row r="176" spans="1:13" ht="12.75" x14ac:dyDescent="0.2">
      <c r="A176" s="2" t="str">
        <f>StartupfileInput!A174</f>
        <v>4043</v>
      </c>
      <c r="B176" s="1" t="str">
        <f>INDEX(ActiveDistricts!$A$2:$J$328,MATCH(Calculation!$A176,ActiveDistricts!$C$2:$C$328,0),6)</f>
        <v>4043</v>
      </c>
      <c r="C176" s="1" t="str">
        <f>INDEX(ActiveDistricts!$A$2:$J$328,MATCH(Calculation!$A176,ActiveDistricts!$C$2:$C$328,0),7)</f>
        <v>Maquoketa Valley</v>
      </c>
      <c r="D176" s="14">
        <f>INDEX(StartupfileInput!$A$2:$D$328,MATCH(Calculation!$A176,StartupfileInput!$A$2:$A$328,0),3)</f>
        <v>682.6</v>
      </c>
      <c r="E176" s="20">
        <f>INDEX(ActiveDistricts!$A$2:$J$328,MATCH(Calculation!$A176,ActiveDistricts!$C$2:$C$328,0),10)</f>
        <v>0.30254777070063693</v>
      </c>
      <c r="F176" s="8">
        <f t="shared" si="16"/>
        <v>1.3260000000000001</v>
      </c>
      <c r="G176" s="8">
        <f t="shared" si="17"/>
        <v>1.393</v>
      </c>
      <c r="H176" s="8">
        <f t="shared" si="14"/>
        <v>2.7190000000000003</v>
      </c>
      <c r="I176">
        <f>INDEX(StartupfileInput!$A$2:$D$328,MATCH(Calculation!$A176,StartupfileInput!$A$2:$A$328,0),4)</f>
        <v>6902</v>
      </c>
      <c r="J176" s="107">
        <f t="shared" si="18"/>
        <v>7060</v>
      </c>
      <c r="K176" s="9">
        <f t="shared" si="15"/>
        <v>9362</v>
      </c>
      <c r="L176" s="9">
        <f t="shared" si="19"/>
        <v>9834</v>
      </c>
      <c r="M176" s="9">
        <f t="shared" si="20"/>
        <v>19196</v>
      </c>
    </row>
    <row r="177" spans="1:13" ht="12.75" x14ac:dyDescent="0.2">
      <c r="A177" s="2" t="str">
        <f>StartupfileInput!A175</f>
        <v>4068</v>
      </c>
      <c r="B177" s="1" t="str">
        <f>INDEX(ActiveDistricts!$A$2:$J$328,MATCH(Calculation!$A177,ActiveDistricts!$C$2:$C$328,0),6)</f>
        <v>4068</v>
      </c>
      <c r="C177" s="1" t="str">
        <f>INDEX(ActiveDistricts!$A$2:$J$328,MATCH(Calculation!$A177,ActiveDistricts!$C$2:$C$328,0),7)</f>
        <v>Marcus-Meriden Cleghorn</v>
      </c>
      <c r="D177" s="14">
        <f>INDEX(StartupfileInput!$A$2:$D$328,MATCH(Calculation!$A177,StartupfileInput!$A$2:$A$328,0),3)</f>
        <v>444.1</v>
      </c>
      <c r="E177" s="20">
        <f>INDEX(ActiveDistricts!$A$2:$J$328,MATCH(Calculation!$A177,ActiveDistricts!$C$2:$C$328,0),10)</f>
        <v>0.32142857142857145</v>
      </c>
      <c r="F177" s="8">
        <f t="shared" si="16"/>
        <v>0.91600000000000004</v>
      </c>
      <c r="G177" s="8">
        <f t="shared" si="17"/>
        <v>0.90600000000000003</v>
      </c>
      <c r="H177" s="8">
        <f t="shared" si="14"/>
        <v>1.8220000000000001</v>
      </c>
      <c r="I177">
        <f>INDEX(StartupfileInput!$A$2:$D$328,MATCH(Calculation!$A177,StartupfileInput!$A$2:$A$328,0),4)</f>
        <v>6905</v>
      </c>
      <c r="J177" s="107">
        <f t="shared" si="18"/>
        <v>7063</v>
      </c>
      <c r="K177" s="9">
        <f t="shared" si="15"/>
        <v>6470</v>
      </c>
      <c r="L177" s="9">
        <f t="shared" si="19"/>
        <v>6399</v>
      </c>
      <c r="M177" s="9">
        <f t="shared" si="20"/>
        <v>12869</v>
      </c>
    </row>
    <row r="178" spans="1:13" ht="12.75" x14ac:dyDescent="0.2">
      <c r="A178" s="2" t="str">
        <f>StartupfileInput!A176</f>
        <v>4086</v>
      </c>
      <c r="B178" s="1" t="str">
        <f>INDEX(ActiveDistricts!$A$2:$J$328,MATCH(Calculation!$A178,ActiveDistricts!$C$2:$C$328,0),6)</f>
        <v>4086</v>
      </c>
      <c r="C178" s="1" t="str">
        <f>INDEX(ActiveDistricts!$A$2:$J$328,MATCH(Calculation!$A178,ActiveDistricts!$C$2:$C$328,0),7)</f>
        <v>Marion</v>
      </c>
      <c r="D178" s="14">
        <f>INDEX(StartupfileInput!$A$2:$D$328,MATCH(Calculation!$A178,StartupfileInput!$A$2:$A$328,0),3)</f>
        <v>1911</v>
      </c>
      <c r="E178" s="20">
        <f>INDEX(ActiveDistricts!$A$2:$J$328,MATCH(Calculation!$A178,ActiveDistricts!$C$2:$C$328,0),10)</f>
        <v>0.36825053995680346</v>
      </c>
      <c r="F178" s="8">
        <f t="shared" si="16"/>
        <v>4.5179999999999998</v>
      </c>
      <c r="G178" s="8">
        <f t="shared" si="17"/>
        <v>3.8980000000000001</v>
      </c>
      <c r="H178" s="8">
        <f t="shared" si="14"/>
        <v>8.4160000000000004</v>
      </c>
      <c r="I178">
        <f>INDEX(StartupfileInput!$A$2:$D$328,MATCH(Calculation!$A178,StartupfileInput!$A$2:$A$328,0),4)</f>
        <v>6972</v>
      </c>
      <c r="J178" s="107">
        <f t="shared" si="18"/>
        <v>7130</v>
      </c>
      <c r="K178" s="9">
        <f t="shared" si="15"/>
        <v>32213</v>
      </c>
      <c r="L178" s="9">
        <f t="shared" si="19"/>
        <v>27793</v>
      </c>
      <c r="M178" s="9">
        <f t="shared" si="20"/>
        <v>60006</v>
      </c>
    </row>
    <row r="179" spans="1:13" ht="12.75" x14ac:dyDescent="0.2">
      <c r="A179" s="2" t="str">
        <f>StartupfileInput!A177</f>
        <v>4104</v>
      </c>
      <c r="B179" s="1" t="str">
        <f>INDEX(ActiveDistricts!$A$2:$J$328,MATCH(Calculation!$A179,ActiveDistricts!$C$2:$C$328,0),6)</f>
        <v>4104</v>
      </c>
      <c r="C179" s="1" t="str">
        <f>INDEX(ActiveDistricts!$A$2:$J$328,MATCH(Calculation!$A179,ActiveDistricts!$C$2:$C$328,0),7)</f>
        <v>Marshalltown</v>
      </c>
      <c r="D179" s="14">
        <f>INDEX(StartupfileInput!$A$2:$D$328,MATCH(Calculation!$A179,StartupfileInput!$A$2:$A$328,0),3)</f>
        <v>5420.2</v>
      </c>
      <c r="E179" s="20">
        <f>INDEX(ActiveDistricts!$A$2:$J$328,MATCH(Calculation!$A179,ActiveDistricts!$C$2:$C$328,0),10)</f>
        <v>0.5802139037433155</v>
      </c>
      <c r="F179" s="8">
        <f t="shared" si="16"/>
        <v>20.190000000000001</v>
      </c>
      <c r="G179" s="8">
        <f t="shared" si="17"/>
        <v>11.057</v>
      </c>
      <c r="H179" s="8">
        <f t="shared" si="14"/>
        <v>31.247</v>
      </c>
      <c r="I179">
        <f>INDEX(StartupfileInput!$A$2:$D$328,MATCH(Calculation!$A179,StartupfileInput!$A$2:$A$328,0),4)</f>
        <v>6911</v>
      </c>
      <c r="J179" s="107">
        <f t="shared" si="18"/>
        <v>7069</v>
      </c>
      <c r="K179" s="9">
        <f t="shared" si="15"/>
        <v>142723</v>
      </c>
      <c r="L179" s="9">
        <f t="shared" si="19"/>
        <v>78162</v>
      </c>
      <c r="M179" s="9">
        <f t="shared" si="20"/>
        <v>220885</v>
      </c>
    </row>
    <row r="180" spans="1:13" ht="12.75" x14ac:dyDescent="0.2">
      <c r="A180" s="2" t="str">
        <f>StartupfileInput!A178</f>
        <v>4122</v>
      </c>
      <c r="B180" s="1" t="str">
        <f>INDEX(ActiveDistricts!$A$2:$J$328,MATCH(Calculation!$A180,ActiveDistricts!$C$2:$C$328,0),6)</f>
        <v>4122</v>
      </c>
      <c r="C180" s="1" t="str">
        <f>INDEX(ActiveDistricts!$A$2:$J$328,MATCH(Calculation!$A180,ActiveDistricts!$C$2:$C$328,0),7)</f>
        <v>Martensdale-St Marys</v>
      </c>
      <c r="D180" s="14">
        <f>INDEX(StartupfileInput!$A$2:$D$328,MATCH(Calculation!$A180,StartupfileInput!$A$2:$A$328,0),3)</f>
        <v>516.20000000000005</v>
      </c>
      <c r="E180" s="20">
        <f>INDEX(ActiveDistricts!$A$2:$J$328,MATCH(Calculation!$A180,ActiveDistricts!$C$2:$C$328,0),10)</f>
        <v>0.29004329004329005</v>
      </c>
      <c r="F180" s="8">
        <f t="shared" si="16"/>
        <v>0.96099999999999997</v>
      </c>
      <c r="G180" s="8">
        <f t="shared" si="17"/>
        <v>1.0529999999999999</v>
      </c>
      <c r="H180" s="8">
        <f t="shared" si="14"/>
        <v>2.0139999999999998</v>
      </c>
      <c r="I180">
        <f>INDEX(StartupfileInput!$A$2:$D$328,MATCH(Calculation!$A180,StartupfileInput!$A$2:$A$328,0),4)</f>
        <v>6880</v>
      </c>
      <c r="J180" s="107">
        <f t="shared" si="18"/>
        <v>7048</v>
      </c>
      <c r="K180" s="9">
        <f t="shared" si="15"/>
        <v>6773</v>
      </c>
      <c r="L180" s="9">
        <f t="shared" si="19"/>
        <v>7422</v>
      </c>
      <c r="M180" s="9">
        <f t="shared" si="20"/>
        <v>14195</v>
      </c>
    </row>
    <row r="181" spans="1:13" ht="12.75" x14ac:dyDescent="0.2">
      <c r="A181" s="2" t="str">
        <f>StartupfileInput!A179</f>
        <v>4131</v>
      </c>
      <c r="B181" s="1" t="str">
        <f>INDEX(ActiveDistricts!$A$2:$J$328,MATCH(Calculation!$A181,ActiveDistricts!$C$2:$C$328,0),6)</f>
        <v>4131</v>
      </c>
      <c r="C181" s="1" t="str">
        <f>INDEX(ActiveDistricts!$A$2:$J$328,MATCH(Calculation!$A181,ActiveDistricts!$C$2:$C$328,0),7)</f>
        <v>Mason City</v>
      </c>
      <c r="D181" s="14">
        <f>INDEX(StartupfileInput!$A$2:$D$328,MATCH(Calculation!$A181,StartupfileInput!$A$2:$A$328,0),3)</f>
        <v>3624.6</v>
      </c>
      <c r="E181" s="20">
        <f>INDEX(ActiveDistricts!$A$2:$J$328,MATCH(Calculation!$A181,ActiveDistricts!$C$2:$C$328,0),10)</f>
        <v>0.56751933372992269</v>
      </c>
      <c r="F181" s="8">
        <f t="shared" si="16"/>
        <v>13.206</v>
      </c>
      <c r="G181" s="8">
        <f t="shared" si="17"/>
        <v>7.3940000000000001</v>
      </c>
      <c r="H181" s="8">
        <f t="shared" si="14"/>
        <v>20.6</v>
      </c>
      <c r="I181">
        <f>INDEX(StartupfileInput!$A$2:$D$328,MATCH(Calculation!$A181,StartupfileInput!$A$2:$A$328,0),4)</f>
        <v>6942</v>
      </c>
      <c r="J181" s="107">
        <f t="shared" si="18"/>
        <v>7100</v>
      </c>
      <c r="K181" s="9">
        <f t="shared" si="15"/>
        <v>93763</v>
      </c>
      <c r="L181" s="9">
        <f t="shared" si="19"/>
        <v>52497</v>
      </c>
      <c r="M181" s="9">
        <f t="shared" si="20"/>
        <v>146260</v>
      </c>
    </row>
    <row r="182" spans="1:13" ht="12.75" x14ac:dyDescent="0.2">
      <c r="A182" s="2" t="str">
        <f>StartupfileInput!A180</f>
        <v>4203</v>
      </c>
      <c r="B182" s="1" t="str">
        <f>INDEX(ActiveDistricts!$A$2:$J$328,MATCH(Calculation!$A182,ActiveDistricts!$C$2:$C$328,0),6)</f>
        <v>4203</v>
      </c>
      <c r="C182" s="1" t="str">
        <f>INDEX(ActiveDistricts!$A$2:$J$328,MATCH(Calculation!$A182,ActiveDistricts!$C$2:$C$328,0),7)</f>
        <v>Mediapolis</v>
      </c>
      <c r="D182" s="14">
        <f>INDEX(StartupfileInput!$A$2:$D$328,MATCH(Calculation!$A182,StartupfileInput!$A$2:$A$328,0),3)</f>
        <v>811.6</v>
      </c>
      <c r="E182" s="20">
        <f>INDEX(ActiveDistricts!$A$2:$J$328,MATCH(Calculation!$A182,ActiveDistricts!$C$2:$C$328,0),10)</f>
        <v>0.26168224299065418</v>
      </c>
      <c r="F182" s="8">
        <f t="shared" si="16"/>
        <v>1.363</v>
      </c>
      <c r="G182" s="8">
        <f t="shared" si="17"/>
        <v>1.6559999999999999</v>
      </c>
      <c r="H182" s="8">
        <f t="shared" si="14"/>
        <v>3.0190000000000001</v>
      </c>
      <c r="I182">
        <f>INDEX(StartupfileInput!$A$2:$D$328,MATCH(Calculation!$A182,StartupfileInput!$A$2:$A$328,0),4)</f>
        <v>6880</v>
      </c>
      <c r="J182" s="107">
        <f t="shared" si="18"/>
        <v>7048</v>
      </c>
      <c r="K182" s="9">
        <f t="shared" si="15"/>
        <v>9606</v>
      </c>
      <c r="L182" s="9">
        <f t="shared" si="19"/>
        <v>11672</v>
      </c>
      <c r="M182" s="9">
        <f t="shared" si="20"/>
        <v>21278</v>
      </c>
    </row>
    <row r="183" spans="1:13" ht="12.75" x14ac:dyDescent="0.2">
      <c r="A183" s="2" t="str">
        <f>StartupfileInput!A181</f>
        <v>4212</v>
      </c>
      <c r="B183" s="1" t="str">
        <f>INDEX(ActiveDistricts!$A$2:$J$328,MATCH(Calculation!$A183,ActiveDistricts!$C$2:$C$328,0),6)</f>
        <v>4212</v>
      </c>
      <c r="C183" s="1" t="str">
        <f>INDEX(ActiveDistricts!$A$2:$J$328,MATCH(Calculation!$A183,ActiveDistricts!$C$2:$C$328,0),7)</f>
        <v>Melcher-Dallas</v>
      </c>
      <c r="D183" s="14">
        <f>INDEX(StartupfileInput!$A$2:$D$328,MATCH(Calculation!$A183,StartupfileInput!$A$2:$A$328,0),3)</f>
        <v>333</v>
      </c>
      <c r="E183" s="20">
        <f>INDEX(ActiveDistricts!$A$2:$J$328,MATCH(Calculation!$A183,ActiveDistricts!$C$2:$C$328,0),10)</f>
        <v>0.43448275862068964</v>
      </c>
      <c r="F183" s="8">
        <f t="shared" si="16"/>
        <v>0.92900000000000005</v>
      </c>
      <c r="G183" s="8">
        <f t="shared" si="17"/>
        <v>0.67900000000000005</v>
      </c>
      <c r="H183" s="8">
        <f t="shared" si="14"/>
        <v>1.6080000000000001</v>
      </c>
      <c r="I183">
        <f>INDEX(StartupfileInput!$A$2:$D$328,MATCH(Calculation!$A183,StartupfileInput!$A$2:$A$328,0),4)</f>
        <v>6880</v>
      </c>
      <c r="J183" s="107">
        <f t="shared" si="18"/>
        <v>7048</v>
      </c>
      <c r="K183" s="9">
        <f t="shared" si="15"/>
        <v>6548</v>
      </c>
      <c r="L183" s="9">
        <f t="shared" si="19"/>
        <v>4785</v>
      </c>
      <c r="M183" s="9">
        <f t="shared" si="20"/>
        <v>11333</v>
      </c>
    </row>
    <row r="184" spans="1:13" ht="12.75" x14ac:dyDescent="0.2">
      <c r="A184" s="2" t="str">
        <f>StartupfileInput!A182</f>
        <v>4271</v>
      </c>
      <c r="B184" s="1" t="str">
        <f>INDEX(ActiveDistricts!$A$2:$J$328,MATCH(Calculation!$A184,ActiveDistricts!$C$2:$C$328,0),6)</f>
        <v>4271</v>
      </c>
      <c r="C184" s="1" t="str">
        <f>INDEX(ActiveDistricts!$A$2:$J$328,MATCH(Calculation!$A184,ActiveDistricts!$C$2:$C$328,0),7)</f>
        <v>Mid-Prairie</v>
      </c>
      <c r="D184" s="14">
        <f>INDEX(StartupfileInput!$A$2:$D$328,MATCH(Calculation!$A184,StartupfileInput!$A$2:$A$328,0),3)</f>
        <v>1276.3</v>
      </c>
      <c r="E184" s="20">
        <f>INDEX(ActiveDistricts!$A$2:$J$328,MATCH(Calculation!$A184,ActiveDistricts!$C$2:$C$328,0),10)</f>
        <v>0.29012345679012347</v>
      </c>
      <c r="F184" s="8">
        <f t="shared" si="16"/>
        <v>2.3769999999999998</v>
      </c>
      <c r="G184" s="8">
        <f t="shared" si="17"/>
        <v>2.6040000000000001</v>
      </c>
      <c r="H184" s="8">
        <f t="shared" si="14"/>
        <v>4.9809999999999999</v>
      </c>
      <c r="I184">
        <f>INDEX(StartupfileInput!$A$2:$D$328,MATCH(Calculation!$A184,StartupfileInput!$A$2:$A$328,0),4)</f>
        <v>6894</v>
      </c>
      <c r="J184" s="107">
        <f t="shared" si="18"/>
        <v>7052</v>
      </c>
      <c r="K184" s="9">
        <f t="shared" si="15"/>
        <v>16763</v>
      </c>
      <c r="L184" s="9">
        <f t="shared" si="19"/>
        <v>18363</v>
      </c>
      <c r="M184" s="9">
        <f t="shared" si="20"/>
        <v>35126</v>
      </c>
    </row>
    <row r="185" spans="1:13" ht="12.75" x14ac:dyDescent="0.2">
      <c r="A185" s="2" t="str">
        <f>StartupfileInput!A183</f>
        <v>4269</v>
      </c>
      <c r="B185" s="1" t="str">
        <f>INDEX(ActiveDistricts!$A$2:$J$328,MATCH(Calculation!$A185,ActiveDistricts!$C$2:$C$328,0),6)</f>
        <v>4269</v>
      </c>
      <c r="C185" s="1" t="str">
        <f>INDEX(ActiveDistricts!$A$2:$J$328,MATCH(Calculation!$A185,ActiveDistricts!$C$2:$C$328,0),7)</f>
        <v>Midland</v>
      </c>
      <c r="D185" s="14">
        <f>INDEX(StartupfileInput!$A$2:$D$328,MATCH(Calculation!$A185,StartupfileInput!$A$2:$A$328,0),3)</f>
        <v>520.20000000000005</v>
      </c>
      <c r="E185" s="20">
        <f>INDEX(ActiveDistricts!$A$2:$J$328,MATCH(Calculation!$A185,ActiveDistricts!$C$2:$C$328,0),10)</f>
        <v>0.46524064171122997</v>
      </c>
      <c r="F185" s="8">
        <f t="shared" si="16"/>
        <v>1.554</v>
      </c>
      <c r="G185" s="8">
        <f t="shared" si="17"/>
        <v>1.0609999999999999</v>
      </c>
      <c r="H185" s="8">
        <f t="shared" si="14"/>
        <v>2.6150000000000002</v>
      </c>
      <c r="I185">
        <f>INDEX(StartupfileInput!$A$2:$D$328,MATCH(Calculation!$A185,StartupfileInput!$A$2:$A$328,0),4)</f>
        <v>6959</v>
      </c>
      <c r="J185" s="107">
        <f t="shared" si="18"/>
        <v>7117</v>
      </c>
      <c r="K185" s="9">
        <f t="shared" si="15"/>
        <v>11060</v>
      </c>
      <c r="L185" s="9">
        <f t="shared" si="19"/>
        <v>7551</v>
      </c>
      <c r="M185" s="9">
        <f t="shared" si="20"/>
        <v>18611</v>
      </c>
    </row>
    <row r="186" spans="1:13" ht="12.75" x14ac:dyDescent="0.2">
      <c r="A186" s="2" t="str">
        <f>StartupfileInput!A184</f>
        <v>4356</v>
      </c>
      <c r="B186" s="1" t="str">
        <f>INDEX(ActiveDistricts!$A$2:$J$328,MATCH(Calculation!$A186,ActiveDistricts!$C$2:$C$328,0),6)</f>
        <v>4356</v>
      </c>
      <c r="C186" s="1" t="str">
        <f>INDEX(ActiveDistricts!$A$2:$J$328,MATCH(Calculation!$A186,ActiveDistricts!$C$2:$C$328,0),7)</f>
        <v>Missouri Valley</v>
      </c>
      <c r="D186" s="14">
        <f>INDEX(StartupfileInput!$A$2:$D$328,MATCH(Calculation!$A186,StartupfileInput!$A$2:$A$328,0),3)</f>
        <v>803.5</v>
      </c>
      <c r="E186" s="20">
        <f>INDEX(ActiveDistricts!$A$2:$J$328,MATCH(Calculation!$A186,ActiveDistricts!$C$2:$C$328,0),10)</f>
        <v>0.41065830721003133</v>
      </c>
      <c r="F186" s="8">
        <f t="shared" si="16"/>
        <v>2.1179999999999999</v>
      </c>
      <c r="G186" s="8">
        <f t="shared" si="17"/>
        <v>1.639</v>
      </c>
      <c r="H186" s="8">
        <f t="shared" si="14"/>
        <v>3.7569999999999997</v>
      </c>
      <c r="I186">
        <f>INDEX(StartupfileInput!$A$2:$D$328,MATCH(Calculation!$A186,StartupfileInput!$A$2:$A$328,0),4)</f>
        <v>6880</v>
      </c>
      <c r="J186" s="107">
        <f t="shared" si="18"/>
        <v>7048</v>
      </c>
      <c r="K186" s="9">
        <f t="shared" si="15"/>
        <v>14928</v>
      </c>
      <c r="L186" s="9">
        <f t="shared" si="19"/>
        <v>11551</v>
      </c>
      <c r="M186" s="9">
        <f t="shared" si="20"/>
        <v>26479</v>
      </c>
    </row>
    <row r="187" spans="1:13" ht="12.75" x14ac:dyDescent="0.2">
      <c r="A187" s="2" t="str">
        <f>StartupfileInput!A185</f>
        <v>4149</v>
      </c>
      <c r="B187" s="1" t="str">
        <f>INDEX(ActiveDistricts!$A$2:$J$328,MATCH(Calculation!$A187,ActiveDistricts!$C$2:$C$328,0),6)</f>
        <v>4149</v>
      </c>
      <c r="C187" s="1" t="str">
        <f>INDEX(ActiveDistricts!$A$2:$J$328,MATCH(Calculation!$A187,ActiveDistricts!$C$2:$C$328,0),7)</f>
        <v>Moc-Floyd Valley</v>
      </c>
      <c r="D187" s="14">
        <f>INDEX(StartupfileInput!$A$2:$D$328,MATCH(Calculation!$A187,StartupfileInput!$A$2:$A$328,0),3)</f>
        <v>1486.5</v>
      </c>
      <c r="E187" s="20">
        <f>INDEX(ActiveDistricts!$A$2:$J$328,MATCH(Calculation!$A187,ActiveDistricts!$C$2:$C$328,0),10)</f>
        <v>0.31895223420647151</v>
      </c>
      <c r="F187" s="8">
        <f t="shared" si="16"/>
        <v>3.044</v>
      </c>
      <c r="G187" s="8">
        <f t="shared" si="17"/>
        <v>3.032</v>
      </c>
      <c r="H187" s="8">
        <f t="shared" si="14"/>
        <v>6.0760000000000005</v>
      </c>
      <c r="I187">
        <f>INDEX(StartupfileInput!$A$2:$D$328,MATCH(Calculation!$A187,StartupfileInput!$A$2:$A$328,0),4)</f>
        <v>6910</v>
      </c>
      <c r="J187" s="107">
        <f t="shared" si="18"/>
        <v>7068</v>
      </c>
      <c r="K187" s="9">
        <f t="shared" si="15"/>
        <v>21515</v>
      </c>
      <c r="L187" s="9">
        <f t="shared" si="19"/>
        <v>21430</v>
      </c>
      <c r="M187" s="9">
        <f t="shared" si="20"/>
        <v>42945</v>
      </c>
    </row>
    <row r="188" spans="1:13" ht="12.75" x14ac:dyDescent="0.2">
      <c r="A188" s="2" t="str">
        <f>StartupfileInput!A186</f>
        <v>4437</v>
      </c>
      <c r="B188" s="1" t="str">
        <f>INDEX(ActiveDistricts!$A$2:$J$328,MATCH(Calculation!$A188,ActiveDistricts!$C$2:$C$328,0),6)</f>
        <v>4437</v>
      </c>
      <c r="C188" s="1" t="str">
        <f>INDEX(ActiveDistricts!$A$2:$J$328,MATCH(Calculation!$A188,ActiveDistricts!$C$2:$C$328,0),7)</f>
        <v>Montezuma</v>
      </c>
      <c r="D188" s="14">
        <f>INDEX(StartupfileInput!$A$2:$D$328,MATCH(Calculation!$A188,StartupfileInput!$A$2:$A$328,0),3)</f>
        <v>485.5</v>
      </c>
      <c r="E188" s="20">
        <f>INDEX(ActiveDistricts!$A$2:$J$328,MATCH(Calculation!$A188,ActiveDistricts!$C$2:$C$328,0),10)</f>
        <v>0.37440758293838861</v>
      </c>
      <c r="F188" s="8">
        <f t="shared" si="16"/>
        <v>1.167</v>
      </c>
      <c r="G188" s="8">
        <f t="shared" si="17"/>
        <v>0.99</v>
      </c>
      <c r="H188" s="8">
        <f t="shared" si="14"/>
        <v>2.157</v>
      </c>
      <c r="I188">
        <f>INDEX(StartupfileInput!$A$2:$D$328,MATCH(Calculation!$A188,StartupfileInput!$A$2:$A$328,0),4)</f>
        <v>6880</v>
      </c>
      <c r="J188" s="107">
        <f t="shared" si="18"/>
        <v>7048</v>
      </c>
      <c r="K188" s="9">
        <f t="shared" si="15"/>
        <v>8225</v>
      </c>
      <c r="L188" s="9">
        <f t="shared" si="19"/>
        <v>6978</v>
      </c>
      <c r="M188" s="9">
        <f t="shared" si="20"/>
        <v>15203</v>
      </c>
    </row>
    <row r="189" spans="1:13" ht="12.75" x14ac:dyDescent="0.2">
      <c r="A189" s="2" t="str">
        <f>StartupfileInput!A187</f>
        <v>4446</v>
      </c>
      <c r="B189" s="1" t="str">
        <f>INDEX(ActiveDistricts!$A$2:$J$328,MATCH(Calculation!$A189,ActiveDistricts!$C$2:$C$328,0),6)</f>
        <v>4446</v>
      </c>
      <c r="C189" s="1" t="str">
        <f>INDEX(ActiveDistricts!$A$2:$J$328,MATCH(Calculation!$A189,ActiveDistricts!$C$2:$C$328,0),7)</f>
        <v>Monticello</v>
      </c>
      <c r="D189" s="14">
        <f>INDEX(StartupfileInput!$A$2:$D$328,MATCH(Calculation!$A189,StartupfileInput!$A$2:$A$328,0),3)</f>
        <v>953.8</v>
      </c>
      <c r="E189" s="20">
        <f>INDEX(ActiveDistricts!$A$2:$J$328,MATCH(Calculation!$A189,ActiveDistricts!$C$2:$C$328,0),10)</f>
        <v>0.36666666666666664</v>
      </c>
      <c r="F189" s="8">
        <f t="shared" si="16"/>
        <v>2.2450000000000001</v>
      </c>
      <c r="G189" s="8">
        <f t="shared" si="17"/>
        <v>1.946</v>
      </c>
      <c r="H189" s="8">
        <f t="shared" si="14"/>
        <v>4.1909999999999998</v>
      </c>
      <c r="I189">
        <f>INDEX(StartupfileInput!$A$2:$D$328,MATCH(Calculation!$A189,StartupfileInput!$A$2:$A$328,0),4)</f>
        <v>6880</v>
      </c>
      <c r="J189" s="107">
        <f t="shared" si="18"/>
        <v>7048</v>
      </c>
      <c r="K189" s="9">
        <f t="shared" si="15"/>
        <v>15823</v>
      </c>
      <c r="L189" s="9">
        <f t="shared" si="19"/>
        <v>13715</v>
      </c>
      <c r="M189" s="9">
        <f t="shared" si="20"/>
        <v>29538</v>
      </c>
    </row>
    <row r="190" spans="1:13" ht="12.75" x14ac:dyDescent="0.2">
      <c r="A190" s="2" t="str">
        <f>StartupfileInput!A188</f>
        <v>4491</v>
      </c>
      <c r="B190" s="1" t="str">
        <f>INDEX(ActiveDistricts!$A$2:$J$328,MATCH(Calculation!$A190,ActiveDistricts!$C$2:$C$328,0),6)</f>
        <v>4491</v>
      </c>
      <c r="C190" s="1" t="str">
        <f>INDEX(ActiveDistricts!$A$2:$J$328,MATCH(Calculation!$A190,ActiveDistricts!$C$2:$C$328,0),7)</f>
        <v>Moravia</v>
      </c>
      <c r="D190" s="14">
        <f>INDEX(StartupfileInput!$A$2:$D$328,MATCH(Calculation!$A190,StartupfileInput!$A$2:$A$328,0),3)</f>
        <v>341.4</v>
      </c>
      <c r="E190" s="20">
        <f>INDEX(ActiveDistricts!$A$2:$J$328,MATCH(Calculation!$A190,ActiveDistricts!$C$2:$C$328,0),10)</f>
        <v>0.5</v>
      </c>
      <c r="F190" s="8">
        <f t="shared" si="16"/>
        <v>1.0960000000000001</v>
      </c>
      <c r="G190" s="8">
        <f t="shared" si="17"/>
        <v>0.69599999999999995</v>
      </c>
      <c r="H190" s="8">
        <f t="shared" si="14"/>
        <v>1.792</v>
      </c>
      <c r="I190">
        <f>INDEX(StartupfileInput!$A$2:$D$328,MATCH(Calculation!$A190,StartupfileInput!$A$2:$A$328,0),4)</f>
        <v>6880</v>
      </c>
      <c r="J190" s="107">
        <f t="shared" si="18"/>
        <v>7048</v>
      </c>
      <c r="K190" s="9">
        <f t="shared" si="15"/>
        <v>7725</v>
      </c>
      <c r="L190" s="9">
        <f t="shared" si="19"/>
        <v>4905</v>
      </c>
      <c r="M190" s="9">
        <f t="shared" si="20"/>
        <v>12630</v>
      </c>
    </row>
    <row r="191" spans="1:13" ht="12.75" x14ac:dyDescent="0.2">
      <c r="A191" s="2" t="str">
        <f>StartupfileInput!A189</f>
        <v>4505</v>
      </c>
      <c r="B191" s="1" t="str">
        <f>INDEX(ActiveDistricts!$A$2:$J$328,MATCH(Calculation!$A191,ActiveDistricts!$C$2:$C$328,0),6)</f>
        <v>4505</v>
      </c>
      <c r="C191" s="1" t="str">
        <f>INDEX(ActiveDistricts!$A$2:$J$328,MATCH(Calculation!$A191,ActiveDistricts!$C$2:$C$328,0),7)</f>
        <v>Mormon Trail</v>
      </c>
      <c r="D191" s="14">
        <f>INDEX(StartupfileInput!$A$2:$D$328,MATCH(Calculation!$A191,StartupfileInput!$A$2:$A$328,0),3)</f>
        <v>229.7</v>
      </c>
      <c r="E191" s="20">
        <f>INDEX(ActiveDistricts!$A$2:$J$328,MATCH(Calculation!$A191,ActiveDistricts!$C$2:$C$328,0),10)</f>
        <v>0.57608695652173914</v>
      </c>
      <c r="F191" s="8">
        <f t="shared" si="16"/>
        <v>0.85</v>
      </c>
      <c r="G191" s="8">
        <f t="shared" si="17"/>
        <v>0.46899999999999997</v>
      </c>
      <c r="H191" s="8">
        <f t="shared" si="14"/>
        <v>1.319</v>
      </c>
      <c r="I191">
        <f>INDEX(StartupfileInput!$A$2:$D$328,MATCH(Calculation!$A191,StartupfileInput!$A$2:$A$328,0),4)</f>
        <v>6944</v>
      </c>
      <c r="J191" s="107">
        <f t="shared" si="18"/>
        <v>7102</v>
      </c>
      <c r="K191" s="9">
        <f t="shared" si="15"/>
        <v>6037</v>
      </c>
      <c r="L191" s="9">
        <f t="shared" si="19"/>
        <v>3331</v>
      </c>
      <c r="M191" s="9">
        <f t="shared" si="20"/>
        <v>9368</v>
      </c>
    </row>
    <row r="192" spans="1:13" ht="12.75" x14ac:dyDescent="0.2">
      <c r="A192" s="2" t="str">
        <f>StartupfileInput!A190</f>
        <v>4509</v>
      </c>
      <c r="B192" s="1" t="str">
        <f>INDEX(ActiveDistricts!$A$2:$J$328,MATCH(Calculation!$A192,ActiveDistricts!$C$2:$C$328,0),6)</f>
        <v>4509</v>
      </c>
      <c r="C192" s="1" t="str">
        <f>INDEX(ActiveDistricts!$A$2:$J$328,MATCH(Calculation!$A192,ActiveDistricts!$C$2:$C$328,0),7)</f>
        <v>Morning Sun</v>
      </c>
      <c r="D192" s="14">
        <f>INDEX(StartupfileInput!$A$2:$D$328,MATCH(Calculation!$A192,StartupfileInput!$A$2:$A$328,0),3)</f>
        <v>209</v>
      </c>
      <c r="E192" s="20">
        <f>INDEX(ActiveDistricts!$A$2:$J$328,MATCH(Calculation!$A192,ActiveDistricts!$C$2:$C$328,0),10)</f>
        <v>0.43010752688172044</v>
      </c>
      <c r="F192" s="8">
        <f t="shared" si="16"/>
        <v>0.57699999999999996</v>
      </c>
      <c r="G192" s="8">
        <f t="shared" si="17"/>
        <v>0.42599999999999999</v>
      </c>
      <c r="H192" s="8">
        <f t="shared" si="14"/>
        <v>1.0029999999999999</v>
      </c>
      <c r="I192">
        <f>INDEX(StartupfileInput!$A$2:$D$328,MATCH(Calculation!$A192,StartupfileInput!$A$2:$A$328,0),4)</f>
        <v>6880</v>
      </c>
      <c r="J192" s="107">
        <f t="shared" si="18"/>
        <v>7048</v>
      </c>
      <c r="K192" s="9">
        <f t="shared" si="15"/>
        <v>4067</v>
      </c>
      <c r="L192" s="9">
        <f t="shared" si="19"/>
        <v>3002</v>
      </c>
      <c r="M192" s="9">
        <f t="shared" si="20"/>
        <v>7069</v>
      </c>
    </row>
    <row r="193" spans="1:13" ht="12.75" x14ac:dyDescent="0.2">
      <c r="A193" s="2" t="str">
        <f>StartupfileInput!A191</f>
        <v>4518</v>
      </c>
      <c r="B193" s="1" t="str">
        <f>INDEX(ActiveDistricts!$A$2:$J$328,MATCH(Calculation!$A193,ActiveDistricts!$C$2:$C$328,0),6)</f>
        <v>4518</v>
      </c>
      <c r="C193" s="1" t="str">
        <f>INDEX(ActiveDistricts!$A$2:$J$328,MATCH(Calculation!$A193,ActiveDistricts!$C$2:$C$328,0),7)</f>
        <v>Moulton-Udell</v>
      </c>
      <c r="D193" s="14">
        <f>INDEX(StartupfileInput!$A$2:$D$328,MATCH(Calculation!$A193,StartupfileInput!$A$2:$A$328,0),3)</f>
        <v>208.5</v>
      </c>
      <c r="E193" s="20">
        <f>INDEX(ActiveDistricts!$A$2:$J$328,MATCH(Calculation!$A193,ActiveDistricts!$C$2:$C$328,0),10)</f>
        <v>0.6785714285714286</v>
      </c>
      <c r="F193" s="8">
        <f t="shared" si="16"/>
        <v>0.90800000000000003</v>
      </c>
      <c r="G193" s="8">
        <f t="shared" si="17"/>
        <v>0.42499999999999999</v>
      </c>
      <c r="H193" s="8">
        <f t="shared" si="14"/>
        <v>1.333</v>
      </c>
      <c r="I193">
        <f>INDEX(StartupfileInput!$A$2:$D$328,MATCH(Calculation!$A193,StartupfileInput!$A$2:$A$328,0),4)</f>
        <v>6880</v>
      </c>
      <c r="J193" s="107">
        <f t="shared" si="18"/>
        <v>7048</v>
      </c>
      <c r="K193" s="9">
        <f t="shared" si="15"/>
        <v>6400</v>
      </c>
      <c r="L193" s="9">
        <f t="shared" si="19"/>
        <v>2995</v>
      </c>
      <c r="M193" s="9">
        <f t="shared" si="20"/>
        <v>9395</v>
      </c>
    </row>
    <row r="194" spans="1:13" ht="12.75" x14ac:dyDescent="0.2">
      <c r="A194" s="2" t="str">
        <f>StartupfileInput!A192</f>
        <v>4527</v>
      </c>
      <c r="B194" s="1" t="str">
        <f>INDEX(ActiveDistricts!$A$2:$J$328,MATCH(Calculation!$A194,ActiveDistricts!$C$2:$C$328,0),6)</f>
        <v>4527</v>
      </c>
      <c r="C194" s="1" t="str">
        <f>INDEX(ActiveDistricts!$A$2:$J$328,MATCH(Calculation!$A194,ActiveDistricts!$C$2:$C$328,0),7)</f>
        <v>Mount Ayr</v>
      </c>
      <c r="D194" s="14">
        <f>INDEX(StartupfileInput!$A$2:$D$328,MATCH(Calculation!$A194,StartupfileInput!$A$2:$A$328,0),3)</f>
        <v>607</v>
      </c>
      <c r="E194" s="20">
        <f>INDEX(ActiveDistricts!$A$2:$J$328,MATCH(Calculation!$A194,ActiveDistricts!$C$2:$C$328,0),10)</f>
        <v>0.46666666666666667</v>
      </c>
      <c r="F194" s="8">
        <f t="shared" si="16"/>
        <v>1.819</v>
      </c>
      <c r="G194" s="8">
        <f t="shared" si="17"/>
        <v>1.238</v>
      </c>
      <c r="H194" s="8">
        <f t="shared" si="14"/>
        <v>3.0569999999999999</v>
      </c>
      <c r="I194">
        <f>INDEX(StartupfileInput!$A$2:$D$328,MATCH(Calculation!$A194,StartupfileInput!$A$2:$A$328,0),4)</f>
        <v>6880</v>
      </c>
      <c r="J194" s="107">
        <f t="shared" si="18"/>
        <v>7048</v>
      </c>
      <c r="K194" s="9">
        <f t="shared" si="15"/>
        <v>12820</v>
      </c>
      <c r="L194" s="9">
        <f t="shared" si="19"/>
        <v>8726</v>
      </c>
      <c r="M194" s="9">
        <f t="shared" si="20"/>
        <v>21546</v>
      </c>
    </row>
    <row r="195" spans="1:13" ht="12.75" x14ac:dyDescent="0.2">
      <c r="A195" s="2" t="str">
        <f>StartupfileInput!A193</f>
        <v>4536</v>
      </c>
      <c r="B195" s="1" t="str">
        <f>INDEX(ActiveDistricts!$A$2:$J$328,MATCH(Calculation!$A195,ActiveDistricts!$C$2:$C$328,0),6)</f>
        <v>4536</v>
      </c>
      <c r="C195" s="1" t="str">
        <f>INDEX(ActiveDistricts!$A$2:$J$328,MATCH(Calculation!$A195,ActiveDistricts!$C$2:$C$328,0),7)</f>
        <v>Mount Pleasant</v>
      </c>
      <c r="D195" s="14">
        <f>INDEX(StartupfileInput!$A$2:$D$328,MATCH(Calculation!$A195,StartupfileInput!$A$2:$A$328,0),3)</f>
        <v>1902.8</v>
      </c>
      <c r="E195" s="20">
        <f>INDEX(ActiveDistricts!$A$2:$J$328,MATCH(Calculation!$A195,ActiveDistricts!$C$2:$C$328,0),10)</f>
        <v>0.56140350877192979</v>
      </c>
      <c r="F195" s="8">
        <f t="shared" si="16"/>
        <v>6.8579999999999997</v>
      </c>
      <c r="G195" s="8">
        <f t="shared" si="17"/>
        <v>3.8820000000000001</v>
      </c>
      <c r="H195" s="8">
        <f t="shared" si="14"/>
        <v>10.74</v>
      </c>
      <c r="I195">
        <f>INDEX(StartupfileInput!$A$2:$D$328,MATCH(Calculation!$A195,StartupfileInput!$A$2:$A$328,0),4)</f>
        <v>6880</v>
      </c>
      <c r="J195" s="107">
        <f t="shared" si="18"/>
        <v>7048</v>
      </c>
      <c r="K195" s="9">
        <f t="shared" si="15"/>
        <v>48335</v>
      </c>
      <c r="L195" s="9">
        <f t="shared" si="19"/>
        <v>27361</v>
      </c>
      <c r="M195" s="9">
        <f t="shared" si="20"/>
        <v>75696</v>
      </c>
    </row>
    <row r="196" spans="1:13" ht="12.75" x14ac:dyDescent="0.2">
      <c r="A196" s="2" t="str">
        <f>StartupfileInput!A194</f>
        <v>4554</v>
      </c>
      <c r="B196" s="1" t="str">
        <f>INDEX(ActiveDistricts!$A$2:$J$328,MATCH(Calculation!$A196,ActiveDistricts!$C$2:$C$328,0),6)</f>
        <v>4554</v>
      </c>
      <c r="C196" s="1" t="str">
        <f>INDEX(ActiveDistricts!$A$2:$J$328,MATCH(Calculation!$A196,ActiveDistricts!$C$2:$C$328,0),7)</f>
        <v>Mount Vernon</v>
      </c>
      <c r="D196" s="14">
        <f>INDEX(StartupfileInput!$A$2:$D$328,MATCH(Calculation!$A196,StartupfileInput!$A$2:$A$328,0),3)</f>
        <v>1108.3</v>
      </c>
      <c r="E196" s="20">
        <f>INDEX(ActiveDistricts!$A$2:$J$328,MATCH(Calculation!$A196,ActiveDistricts!$C$2:$C$328,0),10)</f>
        <v>0.153713298791019</v>
      </c>
      <c r="F196" s="8">
        <f t="shared" si="16"/>
        <v>1.0940000000000001</v>
      </c>
      <c r="G196" s="8">
        <f t="shared" si="17"/>
        <v>2.2610000000000001</v>
      </c>
      <c r="H196" s="8">
        <f t="shared" ref="H196:H259" si="21">SUM(F196:G196)</f>
        <v>3.3550000000000004</v>
      </c>
      <c r="I196">
        <f>INDEX(StartupfileInput!$A$2:$D$328,MATCH(Calculation!$A196,StartupfileInput!$A$2:$A$328,0),4)</f>
        <v>6880</v>
      </c>
      <c r="J196" s="107">
        <f t="shared" si="18"/>
        <v>7048</v>
      </c>
      <c r="K196" s="9">
        <f t="shared" ref="K196:K258" si="22">ROUND(F196*J196,0)</f>
        <v>7711</v>
      </c>
      <c r="L196" s="9">
        <f t="shared" si="19"/>
        <v>15935</v>
      </c>
      <c r="M196" s="9">
        <f t="shared" si="20"/>
        <v>23646</v>
      </c>
    </row>
    <row r="197" spans="1:13" ht="12.75" x14ac:dyDescent="0.2">
      <c r="A197" s="2" t="str">
        <f>StartupfileInput!A195</f>
        <v>4572</v>
      </c>
      <c r="B197" s="1" t="str">
        <f>INDEX(ActiveDistricts!$A$2:$J$328,MATCH(Calculation!$A197,ActiveDistricts!$C$2:$C$328,0),6)</f>
        <v>4572</v>
      </c>
      <c r="C197" s="1" t="str">
        <f>INDEX(ActiveDistricts!$A$2:$J$328,MATCH(Calculation!$A197,ActiveDistricts!$C$2:$C$328,0),7)</f>
        <v>Murray</v>
      </c>
      <c r="D197" s="14">
        <f>INDEX(StartupfileInput!$A$2:$D$328,MATCH(Calculation!$A197,StartupfileInput!$A$2:$A$328,0),3)</f>
        <v>230.5</v>
      </c>
      <c r="E197" s="20">
        <f>INDEX(ActiveDistricts!$A$2:$J$328,MATCH(Calculation!$A197,ActiveDistricts!$C$2:$C$328,0),10)</f>
        <v>0.42741935483870969</v>
      </c>
      <c r="F197" s="8">
        <f t="shared" ref="F197:F260" si="23">ROUND(D197*E197*$F$3,3)</f>
        <v>0.63200000000000001</v>
      </c>
      <c r="G197" s="8">
        <f t="shared" ref="G197:G260" si="24">ROUND(D197*$G$3,3)</f>
        <v>0.47</v>
      </c>
      <c r="H197" s="8">
        <f t="shared" si="21"/>
        <v>1.1019999999999999</v>
      </c>
      <c r="I197">
        <f>INDEX(StartupfileInput!$A$2:$D$328,MATCH(Calculation!$A197,StartupfileInput!$A$2:$A$328,0),4)</f>
        <v>6880</v>
      </c>
      <c r="J197" s="107">
        <f t="shared" ref="J197:J260" si="25">MAX(I197+$R$2,$T$2)</f>
        <v>7048</v>
      </c>
      <c r="K197" s="9">
        <f t="shared" si="22"/>
        <v>4454</v>
      </c>
      <c r="L197" s="9">
        <f t="shared" ref="L197:L260" si="26">M197-K197</f>
        <v>3313</v>
      </c>
      <c r="M197" s="9">
        <f t="shared" ref="M197:M260" si="27">ROUND(H197*J197,0)</f>
        <v>7767</v>
      </c>
    </row>
    <row r="198" spans="1:13" ht="12.75" x14ac:dyDescent="0.2">
      <c r="A198" s="2" t="str">
        <f>StartupfileInput!A196</f>
        <v>4581</v>
      </c>
      <c r="B198" s="1" t="str">
        <f>INDEX(ActiveDistricts!$A$2:$J$328,MATCH(Calculation!$A198,ActiveDistricts!$C$2:$C$328,0),6)</f>
        <v>4581</v>
      </c>
      <c r="C198" s="1" t="str">
        <f>INDEX(ActiveDistricts!$A$2:$J$328,MATCH(Calculation!$A198,ActiveDistricts!$C$2:$C$328,0),7)</f>
        <v>Muscatine</v>
      </c>
      <c r="D198" s="14">
        <f>INDEX(StartupfileInput!$A$2:$D$328,MATCH(Calculation!$A198,StartupfileInput!$A$2:$A$328,0),3)</f>
        <v>4811.8</v>
      </c>
      <c r="E198" s="20">
        <f>INDEX(ActiveDistricts!$A$2:$J$328,MATCH(Calculation!$A198,ActiveDistricts!$C$2:$C$328,0),10)</f>
        <v>0.5046774987690793</v>
      </c>
      <c r="F198" s="8">
        <f t="shared" si="23"/>
        <v>15.59</v>
      </c>
      <c r="G198" s="8">
        <f t="shared" si="24"/>
        <v>9.8160000000000007</v>
      </c>
      <c r="H198" s="8">
        <f t="shared" si="21"/>
        <v>25.405999999999999</v>
      </c>
      <c r="I198">
        <f>INDEX(StartupfileInput!$A$2:$D$328,MATCH(Calculation!$A198,StartupfileInput!$A$2:$A$328,0),4)</f>
        <v>6880</v>
      </c>
      <c r="J198" s="107">
        <f t="shared" si="25"/>
        <v>7048</v>
      </c>
      <c r="K198" s="9">
        <f t="shared" si="22"/>
        <v>109878</v>
      </c>
      <c r="L198" s="9">
        <f t="shared" si="26"/>
        <v>69183</v>
      </c>
      <c r="M198" s="9">
        <f t="shared" si="27"/>
        <v>179061</v>
      </c>
    </row>
    <row r="199" spans="1:13" ht="12.75" x14ac:dyDescent="0.2">
      <c r="A199" s="2" t="str">
        <f>StartupfileInput!A197</f>
        <v>4599</v>
      </c>
      <c r="B199" s="1" t="str">
        <f>INDEX(ActiveDistricts!$A$2:$J$328,MATCH(Calculation!$A199,ActiveDistricts!$C$2:$C$328,0),6)</f>
        <v>4599</v>
      </c>
      <c r="C199" s="1" t="str">
        <f>INDEX(ActiveDistricts!$A$2:$J$328,MATCH(Calculation!$A199,ActiveDistricts!$C$2:$C$328,0),7)</f>
        <v>Nashua-Plainfield</v>
      </c>
      <c r="D199" s="14">
        <f>INDEX(StartupfileInput!$A$2:$D$328,MATCH(Calculation!$A199,StartupfileInput!$A$2:$A$328,0),3)</f>
        <v>585.20000000000005</v>
      </c>
      <c r="E199" s="20">
        <f>INDEX(ActiveDistricts!$A$2:$J$328,MATCH(Calculation!$A199,ActiveDistricts!$C$2:$C$328,0),10)</f>
        <v>0.38800000000000001</v>
      </c>
      <c r="F199" s="8">
        <f t="shared" si="23"/>
        <v>1.458</v>
      </c>
      <c r="G199" s="8">
        <f t="shared" si="24"/>
        <v>1.194</v>
      </c>
      <c r="H199" s="8">
        <f t="shared" si="21"/>
        <v>2.6520000000000001</v>
      </c>
      <c r="I199">
        <f>INDEX(StartupfileInput!$A$2:$D$328,MATCH(Calculation!$A199,StartupfileInput!$A$2:$A$328,0),4)</f>
        <v>6982</v>
      </c>
      <c r="J199" s="107">
        <f t="shared" si="25"/>
        <v>7140</v>
      </c>
      <c r="K199" s="9">
        <f t="shared" si="22"/>
        <v>10410</v>
      </c>
      <c r="L199" s="9">
        <f t="shared" si="26"/>
        <v>8525</v>
      </c>
      <c r="M199" s="9">
        <f t="shared" si="27"/>
        <v>18935</v>
      </c>
    </row>
    <row r="200" spans="1:13" ht="12.75" x14ac:dyDescent="0.2">
      <c r="A200" s="2" t="str">
        <f>StartupfileInput!A198</f>
        <v>4617</v>
      </c>
      <c r="B200" s="1" t="str">
        <f>INDEX(ActiveDistricts!$A$2:$J$328,MATCH(Calculation!$A200,ActiveDistricts!$C$2:$C$328,0),6)</f>
        <v>4617</v>
      </c>
      <c r="C200" s="1" t="str">
        <f>INDEX(ActiveDistricts!$A$2:$J$328,MATCH(Calculation!$A200,ActiveDistricts!$C$2:$C$328,0),7)</f>
        <v>Nevada</v>
      </c>
      <c r="D200" s="14">
        <f>INDEX(StartupfileInput!$A$2:$D$328,MATCH(Calculation!$A200,StartupfileInput!$A$2:$A$328,0),3)</f>
        <v>1488.7</v>
      </c>
      <c r="E200" s="20">
        <f>INDEX(ActiveDistricts!$A$2:$J$328,MATCH(Calculation!$A200,ActiveDistricts!$C$2:$C$328,0),10)</f>
        <v>0.35266457680250785</v>
      </c>
      <c r="F200" s="8">
        <f t="shared" si="23"/>
        <v>3.371</v>
      </c>
      <c r="G200" s="8">
        <f t="shared" si="24"/>
        <v>3.0369999999999999</v>
      </c>
      <c r="H200" s="8">
        <f t="shared" si="21"/>
        <v>6.4079999999999995</v>
      </c>
      <c r="I200">
        <f>INDEX(StartupfileInput!$A$2:$D$328,MATCH(Calculation!$A200,StartupfileInput!$A$2:$A$328,0),4)</f>
        <v>6880</v>
      </c>
      <c r="J200" s="107">
        <f t="shared" si="25"/>
        <v>7048</v>
      </c>
      <c r="K200" s="9">
        <f t="shared" si="22"/>
        <v>23759</v>
      </c>
      <c r="L200" s="9">
        <f t="shared" si="26"/>
        <v>21405</v>
      </c>
      <c r="M200" s="9">
        <f t="shared" si="27"/>
        <v>45164</v>
      </c>
    </row>
    <row r="201" spans="1:13" ht="12.75" x14ac:dyDescent="0.2">
      <c r="A201" s="2" t="str">
        <f>StartupfileInput!A199</f>
        <v>4662</v>
      </c>
      <c r="B201" s="1" t="str">
        <f>INDEX(ActiveDistricts!$A$2:$J$328,MATCH(Calculation!$A201,ActiveDistricts!$C$2:$C$328,0),6)</f>
        <v>4662</v>
      </c>
      <c r="C201" s="1" t="str">
        <f>INDEX(ActiveDistricts!$A$2:$J$328,MATCH(Calculation!$A201,ActiveDistricts!$C$2:$C$328,0),7)</f>
        <v>New Hampton</v>
      </c>
      <c r="D201" s="14">
        <f>INDEX(StartupfileInput!$A$2:$D$328,MATCH(Calculation!$A201,StartupfileInput!$A$2:$A$328,0),3)</f>
        <v>915</v>
      </c>
      <c r="E201" s="20">
        <f>INDEX(ActiveDistricts!$A$2:$J$328,MATCH(Calculation!$A201,ActiveDistricts!$C$2:$C$328,0),10)</f>
        <v>0.38057742782152232</v>
      </c>
      <c r="F201" s="8">
        <f t="shared" si="23"/>
        <v>2.2360000000000002</v>
      </c>
      <c r="G201" s="8">
        <f t="shared" si="24"/>
        <v>1.867</v>
      </c>
      <c r="H201" s="8">
        <f t="shared" si="21"/>
        <v>4.1029999999999998</v>
      </c>
      <c r="I201">
        <f>INDEX(StartupfileInput!$A$2:$D$328,MATCH(Calculation!$A201,StartupfileInput!$A$2:$A$328,0),4)</f>
        <v>6880</v>
      </c>
      <c r="J201" s="107">
        <f t="shared" si="25"/>
        <v>7048</v>
      </c>
      <c r="K201" s="9">
        <f t="shared" si="22"/>
        <v>15759</v>
      </c>
      <c r="L201" s="9">
        <f t="shared" si="26"/>
        <v>13159</v>
      </c>
      <c r="M201" s="9">
        <f t="shared" si="27"/>
        <v>28918</v>
      </c>
    </row>
    <row r="202" spans="1:13" ht="12.75" x14ac:dyDescent="0.2">
      <c r="A202" s="2" t="str">
        <f>StartupfileInput!A200</f>
        <v>4689</v>
      </c>
      <c r="B202" s="1" t="str">
        <f>INDEX(ActiveDistricts!$A$2:$J$328,MATCH(Calculation!$A202,ActiveDistricts!$C$2:$C$328,0),6)</f>
        <v>4689</v>
      </c>
      <c r="C202" s="1" t="str">
        <f>INDEX(ActiveDistricts!$A$2:$J$328,MATCH(Calculation!$A202,ActiveDistricts!$C$2:$C$328,0),7)</f>
        <v>New London</v>
      </c>
      <c r="D202" s="14">
        <f>INDEX(StartupfileInput!$A$2:$D$328,MATCH(Calculation!$A202,StartupfileInput!$A$2:$A$328,0),3)</f>
        <v>494.1</v>
      </c>
      <c r="E202" s="20">
        <f>INDEX(ActiveDistricts!$A$2:$J$328,MATCH(Calculation!$A202,ActiveDistricts!$C$2:$C$328,0),10)</f>
        <v>0.44782608695652176</v>
      </c>
      <c r="F202" s="8">
        <f t="shared" si="23"/>
        <v>1.421</v>
      </c>
      <c r="G202" s="8">
        <f t="shared" si="24"/>
        <v>1.008</v>
      </c>
      <c r="H202" s="8">
        <f t="shared" si="21"/>
        <v>2.4290000000000003</v>
      </c>
      <c r="I202">
        <f>INDEX(StartupfileInput!$A$2:$D$328,MATCH(Calculation!$A202,StartupfileInput!$A$2:$A$328,0),4)</f>
        <v>6880</v>
      </c>
      <c r="J202" s="107">
        <f t="shared" si="25"/>
        <v>7048</v>
      </c>
      <c r="K202" s="9">
        <f t="shared" si="22"/>
        <v>10015</v>
      </c>
      <c r="L202" s="9">
        <f t="shared" si="26"/>
        <v>7105</v>
      </c>
      <c r="M202" s="9">
        <f t="shared" si="27"/>
        <v>17120</v>
      </c>
    </row>
    <row r="203" spans="1:13" ht="12.75" x14ac:dyDescent="0.2">
      <c r="A203" s="2" t="str">
        <f>StartupfileInput!A201</f>
        <v>4644</v>
      </c>
      <c r="B203" s="1" t="str">
        <f>INDEX(ActiveDistricts!$A$2:$J$328,MATCH(Calculation!$A203,ActiveDistricts!$C$2:$C$328,0),6)</f>
        <v>4644</v>
      </c>
      <c r="C203" s="1" t="str">
        <f>INDEX(ActiveDistricts!$A$2:$J$328,MATCH(Calculation!$A203,ActiveDistricts!$C$2:$C$328,0),7)</f>
        <v>Newell-Fonda</v>
      </c>
      <c r="D203" s="14">
        <f>INDEX(StartupfileInput!$A$2:$D$328,MATCH(Calculation!$A203,StartupfileInput!$A$2:$A$328,0),3)</f>
        <v>451.1</v>
      </c>
      <c r="E203" s="20">
        <f>INDEX(ActiveDistricts!$A$2:$J$328,MATCH(Calculation!$A203,ActiveDistricts!$C$2:$C$328,0),10)</f>
        <v>0.46948356807511737</v>
      </c>
      <c r="F203" s="8">
        <f t="shared" si="23"/>
        <v>1.36</v>
      </c>
      <c r="G203" s="8">
        <f t="shared" si="24"/>
        <v>0.92</v>
      </c>
      <c r="H203" s="8">
        <f t="shared" si="21"/>
        <v>2.2800000000000002</v>
      </c>
      <c r="I203">
        <f>INDEX(StartupfileInput!$A$2:$D$328,MATCH(Calculation!$A203,StartupfileInput!$A$2:$A$328,0),4)</f>
        <v>6959</v>
      </c>
      <c r="J203" s="107">
        <f t="shared" si="25"/>
        <v>7117</v>
      </c>
      <c r="K203" s="9">
        <f t="shared" si="22"/>
        <v>9679</v>
      </c>
      <c r="L203" s="9">
        <f t="shared" si="26"/>
        <v>6548</v>
      </c>
      <c r="M203" s="9">
        <f t="shared" si="27"/>
        <v>16227</v>
      </c>
    </row>
    <row r="204" spans="1:13" ht="12.75" x14ac:dyDescent="0.2">
      <c r="A204" s="2" t="str">
        <f>StartupfileInput!A202</f>
        <v>4725</v>
      </c>
      <c r="B204" s="1" t="str">
        <f>INDEX(ActiveDistricts!$A$2:$J$328,MATCH(Calculation!$A204,ActiveDistricts!$C$2:$C$328,0),6)</f>
        <v>4725</v>
      </c>
      <c r="C204" s="1" t="str">
        <f>INDEX(ActiveDistricts!$A$2:$J$328,MATCH(Calculation!$A204,ActiveDistricts!$C$2:$C$328,0),7)</f>
        <v>Newton</v>
      </c>
      <c r="D204" s="14">
        <f>INDEX(StartupfileInput!$A$2:$D$328,MATCH(Calculation!$A204,StartupfileInput!$A$2:$A$328,0),3)</f>
        <v>2996.5</v>
      </c>
      <c r="E204" s="20">
        <f>INDEX(ActiveDistricts!$A$2:$J$328,MATCH(Calculation!$A204,ActiveDistricts!$C$2:$C$328,0),10)</f>
        <v>0.56362217017954719</v>
      </c>
      <c r="F204" s="8">
        <f t="shared" si="23"/>
        <v>10.843</v>
      </c>
      <c r="G204" s="8">
        <f t="shared" si="24"/>
        <v>6.1130000000000004</v>
      </c>
      <c r="H204" s="8">
        <f t="shared" si="21"/>
        <v>16.956</v>
      </c>
      <c r="I204">
        <f>INDEX(StartupfileInput!$A$2:$D$328,MATCH(Calculation!$A204,StartupfileInput!$A$2:$A$328,0),4)</f>
        <v>6880</v>
      </c>
      <c r="J204" s="107">
        <f t="shared" si="25"/>
        <v>7048</v>
      </c>
      <c r="K204" s="9">
        <f t="shared" si="22"/>
        <v>76421</v>
      </c>
      <c r="L204" s="9">
        <f t="shared" si="26"/>
        <v>43085</v>
      </c>
      <c r="M204" s="9">
        <f t="shared" si="27"/>
        <v>119506</v>
      </c>
    </row>
    <row r="205" spans="1:13" ht="12.75" x14ac:dyDescent="0.2">
      <c r="A205" s="2" t="str">
        <f>StartupfileInput!A203</f>
        <v>2673</v>
      </c>
      <c r="B205" s="1" t="str">
        <f>INDEX(ActiveDistricts!$A$2:$J$328,MATCH(Calculation!$A205,ActiveDistricts!$C$2:$C$328,0),6)</f>
        <v>2673</v>
      </c>
      <c r="C205" s="1" t="str">
        <f>INDEX(ActiveDistricts!$A$2:$J$328,MATCH(Calculation!$A205,ActiveDistricts!$C$2:$C$328,0),7)</f>
        <v>Nodaway Valley</v>
      </c>
      <c r="D205" s="14">
        <f>INDEX(StartupfileInput!$A$2:$D$328,MATCH(Calculation!$A205,StartupfileInput!$A$2:$A$328,0),3)</f>
        <v>641.6</v>
      </c>
      <c r="E205" s="20">
        <f>INDEX(ActiveDistricts!$A$2:$J$328,MATCH(Calculation!$A205,ActiveDistricts!$C$2:$C$328,0),10)</f>
        <v>0.46062992125984253</v>
      </c>
      <c r="F205" s="8">
        <f t="shared" si="23"/>
        <v>1.897</v>
      </c>
      <c r="G205" s="8">
        <f t="shared" si="24"/>
        <v>1.3089999999999999</v>
      </c>
      <c r="H205" s="8">
        <f t="shared" si="21"/>
        <v>3.206</v>
      </c>
      <c r="I205">
        <f>INDEX(StartupfileInput!$A$2:$D$328,MATCH(Calculation!$A205,StartupfileInput!$A$2:$A$328,0),4)</f>
        <v>6907</v>
      </c>
      <c r="J205" s="107">
        <f t="shared" si="25"/>
        <v>7065</v>
      </c>
      <c r="K205" s="9">
        <f t="shared" si="22"/>
        <v>13402</v>
      </c>
      <c r="L205" s="9">
        <f t="shared" si="26"/>
        <v>9248</v>
      </c>
      <c r="M205" s="9">
        <f t="shared" si="27"/>
        <v>22650</v>
      </c>
    </row>
    <row r="206" spans="1:13" ht="12.75" x14ac:dyDescent="0.2">
      <c r="A206" s="2" t="str">
        <f>StartupfileInput!A204</f>
        <v>0153</v>
      </c>
      <c r="B206" s="1" t="str">
        <f>INDEX(ActiveDistricts!$A$2:$J$328,MATCH(Calculation!$A206,ActiveDistricts!$C$2:$C$328,0),6)</f>
        <v>0153</v>
      </c>
      <c r="C206" s="1" t="str">
        <f>INDEX(ActiveDistricts!$A$2:$J$328,MATCH(Calculation!$A206,ActiveDistricts!$C$2:$C$328,0),7)</f>
        <v>North Butler</v>
      </c>
      <c r="D206" s="14">
        <f>INDEX(StartupfileInput!$A$2:$D$328,MATCH(Calculation!$A206,StartupfileInput!$A$2:$A$328,0),3)</f>
        <v>560.6</v>
      </c>
      <c r="E206" s="20">
        <f>INDEX(ActiveDistricts!$A$2:$J$328,MATCH(Calculation!$A206,ActiveDistricts!$C$2:$C$328,0),10)</f>
        <v>0.33877551020408164</v>
      </c>
      <c r="F206" s="8">
        <f t="shared" si="23"/>
        <v>1.2190000000000001</v>
      </c>
      <c r="G206" s="8">
        <f t="shared" si="24"/>
        <v>1.1439999999999999</v>
      </c>
      <c r="H206" s="8">
        <f t="shared" si="21"/>
        <v>2.363</v>
      </c>
      <c r="I206">
        <f>INDEX(StartupfileInput!$A$2:$D$328,MATCH(Calculation!$A206,StartupfileInput!$A$2:$A$328,0),4)</f>
        <v>6957</v>
      </c>
      <c r="J206" s="107">
        <f t="shared" si="25"/>
        <v>7115</v>
      </c>
      <c r="K206" s="9">
        <f t="shared" si="22"/>
        <v>8673</v>
      </c>
      <c r="L206" s="9">
        <f t="shared" si="26"/>
        <v>8140</v>
      </c>
      <c r="M206" s="9">
        <f t="shared" si="27"/>
        <v>16813</v>
      </c>
    </row>
    <row r="207" spans="1:13" ht="12.75" x14ac:dyDescent="0.2">
      <c r="A207" s="2" t="str">
        <f>StartupfileInput!A205</f>
        <v>3691</v>
      </c>
      <c r="B207" s="1" t="str">
        <f>INDEX(ActiveDistricts!$A$2:$J$328,MATCH(Calculation!$A207,ActiveDistricts!$C$2:$C$328,0),6)</f>
        <v>3691</v>
      </c>
      <c r="C207" s="1" t="str">
        <f>INDEX(ActiveDistricts!$A$2:$J$328,MATCH(Calculation!$A207,ActiveDistricts!$C$2:$C$328,0),7)</f>
        <v>North Cedar</v>
      </c>
      <c r="D207" s="14">
        <f>INDEX(StartupfileInput!$A$2:$D$328,MATCH(Calculation!$A207,StartupfileInput!$A$2:$A$328,0),3)</f>
        <v>747.8</v>
      </c>
      <c r="E207" s="20">
        <f>INDEX(ActiveDistricts!$A$2:$J$328,MATCH(Calculation!$A207,ActiveDistricts!$C$2:$C$328,0),10)</f>
        <v>0.46718146718146719</v>
      </c>
      <c r="F207" s="8">
        <f t="shared" si="23"/>
        <v>2.2429999999999999</v>
      </c>
      <c r="G207" s="8">
        <f t="shared" si="24"/>
        <v>1.526</v>
      </c>
      <c r="H207" s="8">
        <f t="shared" si="21"/>
        <v>3.7690000000000001</v>
      </c>
      <c r="I207">
        <f>INDEX(StartupfileInput!$A$2:$D$328,MATCH(Calculation!$A207,StartupfileInput!$A$2:$A$328,0),4)</f>
        <v>6911</v>
      </c>
      <c r="J207" s="107">
        <f t="shared" si="25"/>
        <v>7069</v>
      </c>
      <c r="K207" s="9">
        <f t="shared" si="22"/>
        <v>15856</v>
      </c>
      <c r="L207" s="9">
        <f t="shared" si="26"/>
        <v>10787</v>
      </c>
      <c r="M207" s="9">
        <f t="shared" si="27"/>
        <v>26643</v>
      </c>
    </row>
    <row r="208" spans="1:13" ht="12.75" x14ac:dyDescent="0.2">
      <c r="A208" s="2" t="str">
        <f>StartupfileInput!A206</f>
        <v>4774</v>
      </c>
      <c r="B208" s="1" t="str">
        <f>INDEX(ActiveDistricts!$A$2:$J$328,MATCH(Calculation!$A208,ActiveDistricts!$C$2:$C$328,0),6)</f>
        <v>4774</v>
      </c>
      <c r="C208" s="1" t="str">
        <f>INDEX(ActiveDistricts!$A$2:$J$328,MATCH(Calculation!$A208,ActiveDistricts!$C$2:$C$328,0),7)</f>
        <v>North Fayette Valley</v>
      </c>
      <c r="D208" s="14">
        <f>INDEX(StartupfileInput!$A$2:$D$328,MATCH(Calculation!$A208,StartupfileInput!$A$2:$A$328,0),3)</f>
        <v>1123.5</v>
      </c>
      <c r="E208" s="20">
        <f>INDEX(ActiveDistricts!$A$2:$J$328,MATCH(Calculation!$A208,ActiveDistricts!$C$2:$C$328,0),10)</f>
        <v>0.39834024896265557</v>
      </c>
      <c r="F208" s="8">
        <f t="shared" si="23"/>
        <v>2.8730000000000002</v>
      </c>
      <c r="G208" s="8">
        <f t="shared" si="24"/>
        <v>2.2919999999999998</v>
      </c>
      <c r="H208" s="8">
        <f t="shared" si="21"/>
        <v>5.165</v>
      </c>
      <c r="I208">
        <f>INDEX(StartupfileInput!$A$2:$D$328,MATCH(Calculation!$A208,StartupfileInput!$A$2:$A$328,0),4)</f>
        <v>6959</v>
      </c>
      <c r="J208" s="107">
        <f t="shared" si="25"/>
        <v>7117</v>
      </c>
      <c r="K208" s="9">
        <f t="shared" si="22"/>
        <v>20447</v>
      </c>
      <c r="L208" s="9">
        <f t="shared" si="26"/>
        <v>16312</v>
      </c>
      <c r="M208" s="9">
        <f t="shared" si="27"/>
        <v>36759</v>
      </c>
    </row>
    <row r="209" spans="1:13" ht="12.75" x14ac:dyDescent="0.2">
      <c r="A209" s="2" t="str">
        <f>StartupfileInput!A207</f>
        <v>0873</v>
      </c>
      <c r="B209" s="1" t="str">
        <f>INDEX(ActiveDistricts!$A$2:$J$328,MATCH(Calculation!$A209,ActiveDistricts!$C$2:$C$328,0),6)</f>
        <v>0873</v>
      </c>
      <c r="C209" s="1" t="str">
        <f>INDEX(ActiveDistricts!$A$2:$J$328,MATCH(Calculation!$A209,ActiveDistricts!$C$2:$C$328,0),7)</f>
        <v>North Iowa</v>
      </c>
      <c r="D209" s="14">
        <f>INDEX(StartupfileInput!$A$2:$D$328,MATCH(Calculation!$A209,StartupfileInput!$A$2:$A$328,0),3)</f>
        <v>445.2</v>
      </c>
      <c r="E209" s="20">
        <f>INDEX(ActiveDistricts!$A$2:$J$328,MATCH(Calculation!$A209,ActiveDistricts!$C$2:$C$328,0),10)</f>
        <v>0.50480769230769229</v>
      </c>
      <c r="F209" s="8">
        <f t="shared" si="23"/>
        <v>1.4430000000000001</v>
      </c>
      <c r="G209" s="8">
        <f t="shared" si="24"/>
        <v>0.90800000000000003</v>
      </c>
      <c r="H209" s="8">
        <f t="shared" si="21"/>
        <v>2.351</v>
      </c>
      <c r="I209">
        <f>INDEX(StartupfileInput!$A$2:$D$328,MATCH(Calculation!$A209,StartupfileInput!$A$2:$A$328,0),4)</f>
        <v>6979</v>
      </c>
      <c r="J209" s="107">
        <f t="shared" si="25"/>
        <v>7137</v>
      </c>
      <c r="K209" s="9">
        <f t="shared" si="22"/>
        <v>10299</v>
      </c>
      <c r="L209" s="9">
        <f t="shared" si="26"/>
        <v>6480</v>
      </c>
      <c r="M209" s="9">
        <f t="shared" si="27"/>
        <v>16779</v>
      </c>
    </row>
    <row r="210" spans="1:13" ht="12.75" x14ac:dyDescent="0.2">
      <c r="A210" s="2" t="str">
        <f>StartupfileInput!A208</f>
        <v>4778</v>
      </c>
      <c r="B210" s="1" t="str">
        <f>INDEX(ActiveDistricts!$A$2:$J$328,MATCH(Calculation!$A210,ActiveDistricts!$C$2:$C$328,0),6)</f>
        <v>4778</v>
      </c>
      <c r="C210" s="1" t="str">
        <f>INDEX(ActiveDistricts!$A$2:$J$328,MATCH(Calculation!$A210,ActiveDistricts!$C$2:$C$328,0),7)</f>
        <v>North Kossuth</v>
      </c>
      <c r="D210" s="14">
        <f>INDEX(StartupfileInput!$A$2:$D$328,MATCH(Calculation!$A210,StartupfileInput!$A$2:$A$328,0),3)</f>
        <v>272.10000000000002</v>
      </c>
      <c r="E210" s="20">
        <f>INDEX(ActiveDistricts!$A$2:$J$328,MATCH(Calculation!$A210,ActiveDistricts!$C$2:$C$328,0),10)</f>
        <v>0.63513513513513509</v>
      </c>
      <c r="F210" s="8">
        <f t="shared" si="23"/>
        <v>1.1100000000000001</v>
      </c>
      <c r="G210" s="8">
        <f t="shared" si="24"/>
        <v>0.55500000000000005</v>
      </c>
      <c r="H210" s="8">
        <f t="shared" si="21"/>
        <v>1.665</v>
      </c>
      <c r="I210">
        <f>INDEX(StartupfileInput!$A$2:$D$328,MATCH(Calculation!$A210,StartupfileInput!$A$2:$A$328,0),4)</f>
        <v>6907</v>
      </c>
      <c r="J210" s="107">
        <f t="shared" si="25"/>
        <v>7065</v>
      </c>
      <c r="K210" s="9">
        <f t="shared" si="22"/>
        <v>7842</v>
      </c>
      <c r="L210" s="9">
        <f t="shared" si="26"/>
        <v>3921</v>
      </c>
      <c r="M210" s="9">
        <f t="shared" si="27"/>
        <v>11763</v>
      </c>
    </row>
    <row r="211" spans="1:13" ht="12.75" x14ac:dyDescent="0.2">
      <c r="A211" s="2" t="str">
        <f>StartupfileInput!A209</f>
        <v>4777</v>
      </c>
      <c r="B211" s="1" t="str">
        <f>INDEX(ActiveDistricts!$A$2:$J$328,MATCH(Calculation!$A211,ActiveDistricts!$C$2:$C$328,0),6)</f>
        <v>4777</v>
      </c>
      <c r="C211" s="1" t="str">
        <f>INDEX(ActiveDistricts!$A$2:$J$328,MATCH(Calculation!$A211,ActiveDistricts!$C$2:$C$328,0),7)</f>
        <v>North Linn</v>
      </c>
      <c r="D211" s="14">
        <f>INDEX(StartupfileInput!$A$2:$D$328,MATCH(Calculation!$A211,StartupfileInput!$A$2:$A$328,0),3)</f>
        <v>600.4</v>
      </c>
      <c r="E211" s="20">
        <f>INDEX(ActiveDistricts!$A$2:$J$328,MATCH(Calculation!$A211,ActiveDistricts!$C$2:$C$328,0),10)</f>
        <v>0.2982456140350877</v>
      </c>
      <c r="F211" s="8">
        <f t="shared" si="23"/>
        <v>1.1499999999999999</v>
      </c>
      <c r="G211" s="8">
        <f t="shared" si="24"/>
        <v>1.2250000000000001</v>
      </c>
      <c r="H211" s="8">
        <f t="shared" si="21"/>
        <v>2.375</v>
      </c>
      <c r="I211">
        <f>INDEX(StartupfileInput!$A$2:$D$328,MATCH(Calculation!$A211,StartupfileInput!$A$2:$A$328,0),4)</f>
        <v>6919</v>
      </c>
      <c r="J211" s="107">
        <f t="shared" si="25"/>
        <v>7077</v>
      </c>
      <c r="K211" s="9">
        <f t="shared" si="22"/>
        <v>8139</v>
      </c>
      <c r="L211" s="9">
        <f t="shared" si="26"/>
        <v>8669</v>
      </c>
      <c r="M211" s="9">
        <f t="shared" si="27"/>
        <v>16808</v>
      </c>
    </row>
    <row r="212" spans="1:13" ht="12.75" x14ac:dyDescent="0.2">
      <c r="A212" s="2" t="str">
        <f>StartupfileInput!A210</f>
        <v>4776</v>
      </c>
      <c r="B212" s="1" t="str">
        <f>INDEX(ActiveDistricts!$A$2:$J$328,MATCH(Calculation!$A212,ActiveDistricts!$C$2:$C$328,0),6)</f>
        <v>4776</v>
      </c>
      <c r="C212" s="1" t="str">
        <f>INDEX(ActiveDistricts!$A$2:$J$328,MATCH(Calculation!$A212,ActiveDistricts!$C$2:$C$328,0),7)</f>
        <v>North Mahaska</v>
      </c>
      <c r="D212" s="14">
        <f>INDEX(StartupfileInput!$A$2:$D$328,MATCH(Calculation!$A212,StartupfileInput!$A$2:$A$328,0),3)</f>
        <v>488.7</v>
      </c>
      <c r="E212" s="20">
        <f>INDEX(ActiveDistricts!$A$2:$J$328,MATCH(Calculation!$A212,ActiveDistricts!$C$2:$C$328,0),10)</f>
        <v>0.37209302325581395</v>
      </c>
      <c r="F212" s="8">
        <f t="shared" si="23"/>
        <v>1.167</v>
      </c>
      <c r="G212" s="8">
        <f t="shared" si="24"/>
        <v>0.997</v>
      </c>
      <c r="H212" s="8">
        <f t="shared" si="21"/>
        <v>2.1640000000000001</v>
      </c>
      <c r="I212">
        <f>INDEX(StartupfileInput!$A$2:$D$328,MATCH(Calculation!$A212,StartupfileInput!$A$2:$A$328,0),4)</f>
        <v>7037</v>
      </c>
      <c r="J212" s="107">
        <f t="shared" si="25"/>
        <v>7195</v>
      </c>
      <c r="K212" s="9">
        <f t="shared" si="22"/>
        <v>8397</v>
      </c>
      <c r="L212" s="9">
        <f t="shared" si="26"/>
        <v>7173</v>
      </c>
      <c r="M212" s="9">
        <f t="shared" si="27"/>
        <v>15570</v>
      </c>
    </row>
    <row r="213" spans="1:13" ht="12.75" x14ac:dyDescent="0.2">
      <c r="A213" s="2" t="str">
        <f>StartupfileInput!A211</f>
        <v>4779</v>
      </c>
      <c r="B213" s="1" t="str">
        <f>INDEX(ActiveDistricts!$A$2:$J$328,MATCH(Calculation!$A213,ActiveDistricts!$C$2:$C$328,0),6)</f>
        <v>4779</v>
      </c>
      <c r="C213" s="1" t="str">
        <f>INDEX(ActiveDistricts!$A$2:$J$328,MATCH(Calculation!$A213,ActiveDistricts!$C$2:$C$328,0),7)</f>
        <v>North Polk</v>
      </c>
      <c r="D213" s="14">
        <f>INDEX(StartupfileInput!$A$2:$D$328,MATCH(Calculation!$A213,StartupfileInput!$A$2:$A$328,0),3)</f>
        <v>1828</v>
      </c>
      <c r="E213" s="20">
        <f>INDEX(ActiveDistricts!$A$2:$J$328,MATCH(Calculation!$A213,ActiveDistricts!$C$2:$C$328,0),10)</f>
        <v>9.4430992736077482E-2</v>
      </c>
      <c r="F213" s="8">
        <f t="shared" si="23"/>
        <v>1.1080000000000001</v>
      </c>
      <c r="G213" s="8">
        <f t="shared" si="24"/>
        <v>3.7290000000000001</v>
      </c>
      <c r="H213" s="8">
        <f t="shared" si="21"/>
        <v>4.8369999999999997</v>
      </c>
      <c r="I213">
        <f>INDEX(StartupfileInput!$A$2:$D$328,MATCH(Calculation!$A213,StartupfileInput!$A$2:$A$328,0),4)</f>
        <v>6880</v>
      </c>
      <c r="J213" s="107">
        <f t="shared" si="25"/>
        <v>7048</v>
      </c>
      <c r="K213" s="9">
        <f t="shared" si="22"/>
        <v>7809</v>
      </c>
      <c r="L213" s="9">
        <f t="shared" si="26"/>
        <v>26282</v>
      </c>
      <c r="M213" s="9">
        <f t="shared" si="27"/>
        <v>34091</v>
      </c>
    </row>
    <row r="214" spans="1:13" ht="12.75" x14ac:dyDescent="0.2">
      <c r="A214" s="2" t="str">
        <f>StartupfileInput!A212</f>
        <v>4784</v>
      </c>
      <c r="B214" s="1" t="str">
        <f>INDEX(ActiveDistricts!$A$2:$J$328,MATCH(Calculation!$A214,ActiveDistricts!$C$2:$C$328,0),6)</f>
        <v>4784</v>
      </c>
      <c r="C214" s="1" t="str">
        <f>INDEX(ActiveDistricts!$A$2:$J$328,MATCH(Calculation!$A214,ActiveDistricts!$C$2:$C$328,0),7)</f>
        <v>North Scott</v>
      </c>
      <c r="D214" s="14">
        <f>INDEX(StartupfileInput!$A$2:$D$328,MATCH(Calculation!$A214,StartupfileInput!$A$2:$A$328,0),3)</f>
        <v>3029.6</v>
      </c>
      <c r="E214" s="20">
        <f>INDEX(ActiveDistricts!$A$2:$J$328,MATCH(Calculation!$A214,ActiveDistricts!$C$2:$C$328,0),10)</f>
        <v>0.24098124098124099</v>
      </c>
      <c r="F214" s="8">
        <f t="shared" si="23"/>
        <v>4.6870000000000003</v>
      </c>
      <c r="G214" s="8">
        <f t="shared" si="24"/>
        <v>6.18</v>
      </c>
      <c r="H214" s="8">
        <f t="shared" si="21"/>
        <v>10.867000000000001</v>
      </c>
      <c r="I214">
        <f>INDEX(StartupfileInput!$A$2:$D$328,MATCH(Calculation!$A214,StartupfileInput!$A$2:$A$328,0),4)</f>
        <v>6880</v>
      </c>
      <c r="J214" s="107">
        <f t="shared" si="25"/>
        <v>7048</v>
      </c>
      <c r="K214" s="9">
        <f t="shared" si="22"/>
        <v>33034</v>
      </c>
      <c r="L214" s="9">
        <f t="shared" si="26"/>
        <v>43557</v>
      </c>
      <c r="M214" s="9">
        <f t="shared" si="27"/>
        <v>76591</v>
      </c>
    </row>
    <row r="215" spans="1:13" ht="12.75" x14ac:dyDescent="0.2">
      <c r="A215" s="2" t="str">
        <f>StartupfileInput!A213</f>
        <v>4785</v>
      </c>
      <c r="B215" s="1" t="str">
        <f>INDEX(ActiveDistricts!$A$2:$J$328,MATCH(Calculation!$A215,ActiveDistricts!$C$2:$C$328,0),6)</f>
        <v>4785</v>
      </c>
      <c r="C215" s="1" t="str">
        <f>INDEX(ActiveDistricts!$A$2:$J$328,MATCH(Calculation!$A215,ActiveDistricts!$C$2:$C$328,0),7)</f>
        <v>North Tama</v>
      </c>
      <c r="D215" s="14">
        <f>INDEX(StartupfileInput!$A$2:$D$328,MATCH(Calculation!$A215,StartupfileInput!$A$2:$A$328,0),3)</f>
        <v>446</v>
      </c>
      <c r="E215" s="20">
        <f>INDEX(ActiveDistricts!$A$2:$J$328,MATCH(Calculation!$A215,ActiveDistricts!$C$2:$C$328,0),10)</f>
        <v>0.38674033149171272</v>
      </c>
      <c r="F215" s="8">
        <f t="shared" si="23"/>
        <v>1.107</v>
      </c>
      <c r="G215" s="8">
        <f t="shared" si="24"/>
        <v>0.91</v>
      </c>
      <c r="H215" s="8">
        <f t="shared" si="21"/>
        <v>2.0169999999999999</v>
      </c>
      <c r="I215">
        <f>INDEX(StartupfileInput!$A$2:$D$328,MATCH(Calculation!$A215,StartupfileInput!$A$2:$A$328,0),4)</f>
        <v>6880</v>
      </c>
      <c r="J215" s="107">
        <f t="shared" si="25"/>
        <v>7048</v>
      </c>
      <c r="K215" s="9">
        <f t="shared" si="22"/>
        <v>7802</v>
      </c>
      <c r="L215" s="9">
        <f t="shared" si="26"/>
        <v>6414</v>
      </c>
      <c r="M215" s="9">
        <f t="shared" si="27"/>
        <v>14216</v>
      </c>
    </row>
    <row r="216" spans="1:13" ht="12.75" x14ac:dyDescent="0.2">
      <c r="A216" s="2" t="str">
        <f>StartupfileInput!A214</f>
        <v>0333</v>
      </c>
      <c r="B216" s="1" t="str">
        <f>INDEX(ActiveDistricts!$A$2:$J$328,MATCH(Calculation!$A216,ActiveDistricts!$C$2:$C$328,0),6)</f>
        <v>0333</v>
      </c>
      <c r="C216" s="1" t="str">
        <f>INDEX(ActiveDistricts!$A$2:$J$328,MATCH(Calculation!$A216,ActiveDistricts!$C$2:$C$328,0),7)</f>
        <v>North Union</v>
      </c>
      <c r="D216" s="14">
        <f>INDEX(StartupfileInput!$A$2:$D$328,MATCH(Calculation!$A216,StartupfileInput!$A$2:$A$328,0),3)</f>
        <v>403.3</v>
      </c>
      <c r="E216" s="20">
        <f>INDEX(ActiveDistricts!$A$2:$J$328,MATCH(Calculation!$A216,ActiveDistricts!$C$2:$C$328,0),10)</f>
        <v>0.52777777777777779</v>
      </c>
      <c r="F216" s="8">
        <f t="shared" si="23"/>
        <v>1.367</v>
      </c>
      <c r="G216" s="8">
        <f t="shared" si="24"/>
        <v>0.82299999999999995</v>
      </c>
      <c r="H216" s="8">
        <f t="shared" si="21"/>
        <v>2.19</v>
      </c>
      <c r="I216">
        <f>INDEX(StartupfileInput!$A$2:$D$328,MATCH(Calculation!$A216,StartupfileInput!$A$2:$A$328,0),4)</f>
        <v>6940</v>
      </c>
      <c r="J216" s="107">
        <f t="shared" si="25"/>
        <v>7098</v>
      </c>
      <c r="K216" s="9">
        <f t="shared" si="22"/>
        <v>9703</v>
      </c>
      <c r="L216" s="9">
        <f t="shared" si="26"/>
        <v>5842</v>
      </c>
      <c r="M216" s="9">
        <f t="shared" si="27"/>
        <v>15545</v>
      </c>
    </row>
    <row r="217" spans="1:13" ht="12.75" x14ac:dyDescent="0.2">
      <c r="A217" s="2" t="str">
        <f>StartupfileInput!A215</f>
        <v>4773</v>
      </c>
      <c r="B217" s="1" t="str">
        <f>INDEX(ActiveDistricts!$A$2:$J$328,MATCH(Calculation!$A217,ActiveDistricts!$C$2:$C$328,0),6)</f>
        <v>4773</v>
      </c>
      <c r="C217" s="1" t="str">
        <f>INDEX(ActiveDistricts!$A$2:$J$328,MATCH(Calculation!$A217,ActiveDistricts!$C$2:$C$328,0),7)</f>
        <v>Northeast</v>
      </c>
      <c r="D217" s="14">
        <f>INDEX(StartupfileInput!$A$2:$D$328,MATCH(Calculation!$A217,StartupfileInput!$A$2:$A$328,0),3)</f>
        <v>532.79999999999995</v>
      </c>
      <c r="E217" s="20">
        <f>INDEX(ActiveDistricts!$A$2:$J$328,MATCH(Calculation!$A217,ActiveDistricts!$C$2:$C$328,0),10)</f>
        <v>0.34195402298850575</v>
      </c>
      <c r="F217" s="8">
        <f t="shared" si="23"/>
        <v>1.17</v>
      </c>
      <c r="G217" s="8">
        <f t="shared" si="24"/>
        <v>1.087</v>
      </c>
      <c r="H217" s="8">
        <f t="shared" si="21"/>
        <v>2.2569999999999997</v>
      </c>
      <c r="I217">
        <f>INDEX(StartupfileInput!$A$2:$D$328,MATCH(Calculation!$A217,StartupfileInput!$A$2:$A$328,0),4)</f>
        <v>6990</v>
      </c>
      <c r="J217" s="107">
        <f t="shared" si="25"/>
        <v>7148</v>
      </c>
      <c r="K217" s="9">
        <f t="shared" si="22"/>
        <v>8363</v>
      </c>
      <c r="L217" s="9">
        <f t="shared" si="26"/>
        <v>7770</v>
      </c>
      <c r="M217" s="9">
        <f t="shared" si="27"/>
        <v>16133</v>
      </c>
    </row>
    <row r="218" spans="1:13" ht="12.75" x14ac:dyDescent="0.2">
      <c r="A218" s="2" t="str">
        <f>StartupfileInput!A216</f>
        <v>4788</v>
      </c>
      <c r="B218" s="1" t="str">
        <f>INDEX(ActiveDistricts!$A$2:$J$328,MATCH(Calculation!$A218,ActiveDistricts!$C$2:$C$328,0),6)</f>
        <v>4788</v>
      </c>
      <c r="C218" s="1" t="str">
        <f>INDEX(ActiveDistricts!$A$2:$J$328,MATCH(Calculation!$A218,ActiveDistricts!$C$2:$C$328,0),7)</f>
        <v>Northwood-Kensett</v>
      </c>
      <c r="D218" s="14">
        <f>INDEX(StartupfileInput!$A$2:$D$328,MATCH(Calculation!$A218,StartupfileInput!$A$2:$A$328,0),3)</f>
        <v>508.8</v>
      </c>
      <c r="E218" s="20">
        <f>INDEX(ActiveDistricts!$A$2:$J$328,MATCH(Calculation!$A218,ActiveDistricts!$C$2:$C$328,0),10)</f>
        <v>0.42857142857142855</v>
      </c>
      <c r="F218" s="8">
        <f t="shared" si="23"/>
        <v>1.4</v>
      </c>
      <c r="G218" s="8">
        <f t="shared" si="24"/>
        <v>1.038</v>
      </c>
      <c r="H218" s="8">
        <f t="shared" si="21"/>
        <v>2.4379999999999997</v>
      </c>
      <c r="I218">
        <f>INDEX(StartupfileInput!$A$2:$D$328,MATCH(Calculation!$A218,StartupfileInput!$A$2:$A$328,0),4)</f>
        <v>6996</v>
      </c>
      <c r="J218" s="107">
        <f t="shared" si="25"/>
        <v>7154</v>
      </c>
      <c r="K218" s="9">
        <f t="shared" si="22"/>
        <v>10016</v>
      </c>
      <c r="L218" s="9">
        <f t="shared" si="26"/>
        <v>7425</v>
      </c>
      <c r="M218" s="9">
        <f t="shared" si="27"/>
        <v>17441</v>
      </c>
    </row>
    <row r="219" spans="1:13" ht="12.75" x14ac:dyDescent="0.2">
      <c r="A219" s="2" t="str">
        <f>StartupfileInput!A217</f>
        <v>4797</v>
      </c>
      <c r="B219" s="1" t="str">
        <f>INDEX(ActiveDistricts!$A$2:$J$328,MATCH(Calculation!$A219,ActiveDistricts!$C$2:$C$328,0),6)</f>
        <v>4797</v>
      </c>
      <c r="C219" s="1" t="str">
        <f>INDEX(ActiveDistricts!$A$2:$J$328,MATCH(Calculation!$A219,ActiveDistricts!$C$2:$C$328,0),7)</f>
        <v>Norwalk</v>
      </c>
      <c r="D219" s="14">
        <f>INDEX(StartupfileInput!$A$2:$D$328,MATCH(Calculation!$A219,StartupfileInput!$A$2:$A$328,0),3)</f>
        <v>3136.4</v>
      </c>
      <c r="E219" s="20">
        <f>INDEX(ActiveDistricts!$A$2:$J$328,MATCH(Calculation!$A219,ActiveDistricts!$C$2:$C$328,0),10)</f>
        <v>0.2153846153846154</v>
      </c>
      <c r="F219" s="8">
        <f t="shared" si="23"/>
        <v>4.3369999999999997</v>
      </c>
      <c r="G219" s="8">
        <f t="shared" si="24"/>
        <v>6.3979999999999997</v>
      </c>
      <c r="H219" s="8">
        <f t="shared" si="21"/>
        <v>10.734999999999999</v>
      </c>
      <c r="I219">
        <f>INDEX(StartupfileInput!$A$2:$D$328,MATCH(Calculation!$A219,StartupfileInput!$A$2:$A$328,0),4)</f>
        <v>6880</v>
      </c>
      <c r="J219" s="107">
        <f t="shared" si="25"/>
        <v>7048</v>
      </c>
      <c r="K219" s="9">
        <f t="shared" si="22"/>
        <v>30567</v>
      </c>
      <c r="L219" s="9">
        <f t="shared" si="26"/>
        <v>45093</v>
      </c>
      <c r="M219" s="9">
        <f t="shared" si="27"/>
        <v>75660</v>
      </c>
    </row>
    <row r="220" spans="1:13" ht="12.75" x14ac:dyDescent="0.2">
      <c r="A220" s="2" t="str">
        <f>StartupfileInput!A218</f>
        <v>4860</v>
      </c>
      <c r="B220" s="1" t="str">
        <f>INDEX(ActiveDistricts!$A$2:$J$328,MATCH(Calculation!$A220,ActiveDistricts!$C$2:$C$328,0),6)</f>
        <v>4860</v>
      </c>
      <c r="C220" s="1" t="str">
        <f>INDEX(ActiveDistricts!$A$2:$J$328,MATCH(Calculation!$A220,ActiveDistricts!$C$2:$C$328,0),7)</f>
        <v>Odebolt Arthur Battle Creek Ida Grove</v>
      </c>
      <c r="D220" s="14">
        <f>INDEX(StartupfileInput!$A$2:$D$328,MATCH(Calculation!$A220,StartupfileInput!$A$2:$A$328,0),3)</f>
        <v>994.8</v>
      </c>
      <c r="E220" s="20">
        <f>INDEX(ActiveDistricts!$A$2:$J$328,MATCH(Calculation!$A220,ActiveDistricts!$C$2:$C$328,0),10)</f>
        <v>0.51005025125628145</v>
      </c>
      <c r="F220" s="8">
        <f t="shared" si="23"/>
        <v>3.2570000000000001</v>
      </c>
      <c r="G220" s="8">
        <f t="shared" si="24"/>
        <v>2.0289999999999999</v>
      </c>
      <c r="H220" s="8">
        <f t="shared" si="21"/>
        <v>5.2859999999999996</v>
      </c>
      <c r="I220">
        <f>INDEX(StartupfileInput!$A$2:$D$328,MATCH(Calculation!$A220,StartupfileInput!$A$2:$A$328,0),4)</f>
        <v>6880</v>
      </c>
      <c r="J220" s="107">
        <f t="shared" si="25"/>
        <v>7048</v>
      </c>
      <c r="K220" s="9">
        <f t="shared" si="22"/>
        <v>22955</v>
      </c>
      <c r="L220" s="9">
        <f t="shared" si="26"/>
        <v>14301</v>
      </c>
      <c r="M220" s="9">
        <f t="shared" si="27"/>
        <v>37256</v>
      </c>
    </row>
    <row r="221" spans="1:13" ht="12.75" x14ac:dyDescent="0.2">
      <c r="A221" s="2" t="str">
        <f>StartupfileInput!A219</f>
        <v>4869</v>
      </c>
      <c r="B221" s="1" t="str">
        <f>INDEX(ActiveDistricts!$A$2:$J$328,MATCH(Calculation!$A221,ActiveDistricts!$C$2:$C$328,0),6)</f>
        <v>4869</v>
      </c>
      <c r="C221" s="1" t="str">
        <f>INDEX(ActiveDistricts!$A$2:$J$328,MATCH(Calculation!$A221,ActiveDistricts!$C$2:$C$328,0),7)</f>
        <v>Oelwein</v>
      </c>
      <c r="D221" s="14">
        <f>INDEX(StartupfileInput!$A$2:$D$328,MATCH(Calculation!$A221,StartupfileInput!$A$2:$A$328,0),3)</f>
        <v>1303.9000000000001</v>
      </c>
      <c r="E221" s="20">
        <f>INDEX(ActiveDistricts!$A$2:$J$328,MATCH(Calculation!$A221,ActiveDistricts!$C$2:$C$328,0),10)</f>
        <v>0.68233082706766912</v>
      </c>
      <c r="F221" s="8">
        <f t="shared" si="23"/>
        <v>5.7119999999999997</v>
      </c>
      <c r="G221" s="8">
        <f t="shared" si="24"/>
        <v>2.66</v>
      </c>
      <c r="H221" s="8">
        <f t="shared" si="21"/>
        <v>8.3719999999999999</v>
      </c>
      <c r="I221">
        <f>INDEX(StartupfileInput!$A$2:$D$328,MATCH(Calculation!$A221,StartupfileInput!$A$2:$A$328,0),4)</f>
        <v>6911</v>
      </c>
      <c r="J221" s="107">
        <f t="shared" si="25"/>
        <v>7069</v>
      </c>
      <c r="K221" s="9">
        <f t="shared" si="22"/>
        <v>40378</v>
      </c>
      <c r="L221" s="9">
        <f t="shared" si="26"/>
        <v>18804</v>
      </c>
      <c r="M221" s="9">
        <f t="shared" si="27"/>
        <v>59182</v>
      </c>
    </row>
    <row r="222" spans="1:13" ht="12.75" x14ac:dyDescent="0.2">
      <c r="A222" s="2" t="str">
        <f>StartupfileInput!A220</f>
        <v>4878</v>
      </c>
      <c r="B222" s="1" t="str">
        <f>INDEX(ActiveDistricts!$A$2:$J$328,MATCH(Calculation!$A222,ActiveDistricts!$C$2:$C$328,0),6)</f>
        <v>4878</v>
      </c>
      <c r="C222" s="1" t="str">
        <f>INDEX(ActiveDistricts!$A$2:$J$328,MATCH(Calculation!$A222,ActiveDistricts!$C$2:$C$328,0),7)</f>
        <v>Ogden</v>
      </c>
      <c r="D222" s="14">
        <f>INDEX(StartupfileInput!$A$2:$D$328,MATCH(Calculation!$A222,StartupfileInput!$A$2:$A$328,0),3)</f>
        <v>626.29999999999995</v>
      </c>
      <c r="E222" s="20">
        <f>INDEX(ActiveDistricts!$A$2:$J$328,MATCH(Calculation!$A222,ActiveDistricts!$C$2:$C$328,0),10)</f>
        <v>0.28703703703703703</v>
      </c>
      <c r="F222" s="8">
        <f t="shared" si="23"/>
        <v>1.1539999999999999</v>
      </c>
      <c r="G222" s="8">
        <f t="shared" si="24"/>
        <v>1.278</v>
      </c>
      <c r="H222" s="8">
        <f t="shared" si="21"/>
        <v>2.4319999999999999</v>
      </c>
      <c r="I222">
        <f>INDEX(StartupfileInput!$A$2:$D$328,MATCH(Calculation!$A222,StartupfileInput!$A$2:$A$328,0),4)</f>
        <v>6880</v>
      </c>
      <c r="J222" s="107">
        <f t="shared" si="25"/>
        <v>7048</v>
      </c>
      <c r="K222" s="9">
        <f t="shared" si="22"/>
        <v>8133</v>
      </c>
      <c r="L222" s="9">
        <f t="shared" si="26"/>
        <v>9008</v>
      </c>
      <c r="M222" s="9">
        <f t="shared" si="27"/>
        <v>17141</v>
      </c>
    </row>
    <row r="223" spans="1:13" ht="12.75" x14ac:dyDescent="0.2">
      <c r="A223" s="2" t="str">
        <f>StartupfileInput!A221</f>
        <v>4890</v>
      </c>
      <c r="B223" s="1" t="str">
        <f>INDEX(ActiveDistricts!$A$2:$J$328,MATCH(Calculation!$A223,ActiveDistricts!$C$2:$C$328,0),6)</f>
        <v>4890</v>
      </c>
      <c r="C223" s="1" t="str">
        <f>INDEX(ActiveDistricts!$A$2:$J$328,MATCH(Calculation!$A223,ActiveDistricts!$C$2:$C$328,0),7)</f>
        <v>Okoboji</v>
      </c>
      <c r="D223" s="14">
        <f>INDEX(StartupfileInput!$A$2:$D$328,MATCH(Calculation!$A223,StartupfileInput!$A$2:$A$328,0),3)</f>
        <v>1015.4</v>
      </c>
      <c r="E223" s="20">
        <f>INDEX(ActiveDistricts!$A$2:$J$328,MATCH(Calculation!$A223,ActiveDistricts!$C$2:$C$328,0),10)</f>
        <v>0.41422594142259417</v>
      </c>
      <c r="F223" s="8">
        <f t="shared" si="23"/>
        <v>2.7</v>
      </c>
      <c r="G223" s="8">
        <f t="shared" si="24"/>
        <v>2.0710000000000002</v>
      </c>
      <c r="H223" s="8">
        <f t="shared" si="21"/>
        <v>4.7710000000000008</v>
      </c>
      <c r="I223">
        <f>INDEX(StartupfileInput!$A$2:$D$328,MATCH(Calculation!$A223,StartupfileInput!$A$2:$A$328,0),4)</f>
        <v>6884</v>
      </c>
      <c r="J223" s="107">
        <f t="shared" si="25"/>
        <v>7048</v>
      </c>
      <c r="K223" s="9">
        <f t="shared" si="22"/>
        <v>19030</v>
      </c>
      <c r="L223" s="9">
        <f t="shared" si="26"/>
        <v>14596</v>
      </c>
      <c r="M223" s="9">
        <f t="shared" si="27"/>
        <v>33626</v>
      </c>
    </row>
    <row r="224" spans="1:13" ht="12.75" x14ac:dyDescent="0.2">
      <c r="A224" s="2" t="str">
        <f>StartupfileInput!A222</f>
        <v>4905</v>
      </c>
      <c r="B224" s="1" t="str">
        <f>INDEX(ActiveDistricts!$A$2:$J$328,MATCH(Calculation!$A224,ActiveDistricts!$C$2:$C$328,0),6)</f>
        <v>4905</v>
      </c>
      <c r="C224" s="1" t="str">
        <f>INDEX(ActiveDistricts!$A$2:$J$328,MATCH(Calculation!$A224,ActiveDistricts!$C$2:$C$328,0),7)</f>
        <v>Olin</v>
      </c>
      <c r="D224" s="14">
        <f>INDEX(StartupfileInput!$A$2:$D$328,MATCH(Calculation!$A224,StartupfileInput!$A$2:$A$328,0),3)</f>
        <v>225</v>
      </c>
      <c r="E224" s="20">
        <f>INDEX(ActiveDistricts!$A$2:$J$328,MATCH(Calculation!$A224,ActiveDistricts!$C$2:$C$328,0),10)</f>
        <v>0.7192982456140351</v>
      </c>
      <c r="F224" s="8">
        <f t="shared" si="23"/>
        <v>1.0389999999999999</v>
      </c>
      <c r="G224" s="8">
        <f t="shared" si="24"/>
        <v>0.45900000000000002</v>
      </c>
      <c r="H224" s="8">
        <f t="shared" si="21"/>
        <v>1.498</v>
      </c>
      <c r="I224">
        <f>INDEX(StartupfileInput!$A$2:$D$328,MATCH(Calculation!$A224,StartupfileInput!$A$2:$A$328,0),4)</f>
        <v>6882</v>
      </c>
      <c r="J224" s="107">
        <f t="shared" si="25"/>
        <v>7048</v>
      </c>
      <c r="K224" s="9">
        <f t="shared" si="22"/>
        <v>7323</v>
      </c>
      <c r="L224" s="9">
        <f t="shared" si="26"/>
        <v>3235</v>
      </c>
      <c r="M224" s="9">
        <f t="shared" si="27"/>
        <v>10558</v>
      </c>
    </row>
    <row r="225" spans="1:13" ht="12.75" x14ac:dyDescent="0.2">
      <c r="A225" s="2" t="str">
        <f>StartupfileInput!A223</f>
        <v>4978</v>
      </c>
      <c r="B225" s="1" t="str">
        <f>INDEX(ActiveDistricts!$A$2:$J$328,MATCH(Calculation!$A225,ActiveDistricts!$C$2:$C$328,0),6)</f>
        <v>4978</v>
      </c>
      <c r="C225" s="1" t="str">
        <f>INDEX(ActiveDistricts!$A$2:$J$328,MATCH(Calculation!$A225,ActiveDistricts!$C$2:$C$328,0),7)</f>
        <v>Orient-Macksburg</v>
      </c>
      <c r="D225" s="14">
        <f>INDEX(StartupfileInput!$A$2:$D$328,MATCH(Calculation!$A225,StartupfileInput!$A$2:$A$328,0),3)</f>
        <v>172.1</v>
      </c>
      <c r="E225" s="20">
        <f>INDEX(ActiveDistricts!$A$2:$J$328,MATCH(Calculation!$A225,ActiveDistricts!$C$2:$C$328,0),10)</f>
        <v>0.77777777777777779</v>
      </c>
      <c r="F225" s="8">
        <f t="shared" si="23"/>
        <v>0.85899999999999999</v>
      </c>
      <c r="G225" s="8">
        <f t="shared" si="24"/>
        <v>0.35099999999999998</v>
      </c>
      <c r="H225" s="8">
        <f t="shared" si="21"/>
        <v>1.21</v>
      </c>
      <c r="I225">
        <f>INDEX(StartupfileInput!$A$2:$D$328,MATCH(Calculation!$A225,StartupfileInput!$A$2:$A$328,0),4)</f>
        <v>6880</v>
      </c>
      <c r="J225" s="107">
        <f t="shared" si="25"/>
        <v>7048</v>
      </c>
      <c r="K225" s="9">
        <f t="shared" si="22"/>
        <v>6054</v>
      </c>
      <c r="L225" s="9">
        <f t="shared" si="26"/>
        <v>2474</v>
      </c>
      <c r="M225" s="9">
        <f t="shared" si="27"/>
        <v>8528</v>
      </c>
    </row>
    <row r="226" spans="1:13" ht="12.75" x14ac:dyDescent="0.2">
      <c r="A226" s="2" t="str">
        <f>StartupfileInput!A224</f>
        <v>4995</v>
      </c>
      <c r="B226" s="1" t="str">
        <f>INDEX(ActiveDistricts!$A$2:$J$328,MATCH(Calculation!$A226,ActiveDistricts!$C$2:$C$328,0),6)</f>
        <v>4995</v>
      </c>
      <c r="C226" s="1" t="str">
        <f>INDEX(ActiveDistricts!$A$2:$J$328,MATCH(Calculation!$A226,ActiveDistricts!$C$2:$C$328,0),7)</f>
        <v>Osage</v>
      </c>
      <c r="D226" s="14">
        <f>INDEX(StartupfileInput!$A$2:$D$328,MATCH(Calculation!$A226,StartupfileInput!$A$2:$A$328,0),3)</f>
        <v>902.4</v>
      </c>
      <c r="E226" s="20">
        <f>INDEX(ActiveDistricts!$A$2:$J$328,MATCH(Calculation!$A226,ActiveDistricts!$C$2:$C$328,0),10)</f>
        <v>0.35221674876847292</v>
      </c>
      <c r="F226" s="8">
        <f t="shared" si="23"/>
        <v>2.0409999999999999</v>
      </c>
      <c r="G226" s="8">
        <f t="shared" si="24"/>
        <v>1.841</v>
      </c>
      <c r="H226" s="8">
        <f t="shared" si="21"/>
        <v>3.8819999999999997</v>
      </c>
      <c r="I226">
        <f>INDEX(StartupfileInput!$A$2:$D$328,MATCH(Calculation!$A226,StartupfileInput!$A$2:$A$328,0),4)</f>
        <v>6927</v>
      </c>
      <c r="J226" s="107">
        <f t="shared" si="25"/>
        <v>7085</v>
      </c>
      <c r="K226" s="9">
        <f t="shared" si="22"/>
        <v>14460</v>
      </c>
      <c r="L226" s="9">
        <f t="shared" si="26"/>
        <v>13044</v>
      </c>
      <c r="M226" s="9">
        <f t="shared" si="27"/>
        <v>27504</v>
      </c>
    </row>
    <row r="227" spans="1:13" ht="12.75" x14ac:dyDescent="0.2">
      <c r="A227" s="2" t="str">
        <f>StartupfileInput!A225</f>
        <v>5013</v>
      </c>
      <c r="B227" s="1" t="str">
        <f>INDEX(ActiveDistricts!$A$2:$J$328,MATCH(Calculation!$A227,ActiveDistricts!$C$2:$C$328,0),6)</f>
        <v>5013</v>
      </c>
      <c r="C227" s="1" t="str">
        <f>INDEX(ActiveDistricts!$A$2:$J$328,MATCH(Calculation!$A227,ActiveDistricts!$C$2:$C$328,0),7)</f>
        <v>Oskaloosa</v>
      </c>
      <c r="D227" s="14">
        <f>INDEX(StartupfileInput!$A$2:$D$328,MATCH(Calculation!$A227,StartupfileInput!$A$2:$A$328,0),3)</f>
        <v>2272.6999999999998</v>
      </c>
      <c r="E227" s="20">
        <f>INDEX(ActiveDistricts!$A$2:$J$328,MATCH(Calculation!$A227,ActiveDistricts!$C$2:$C$328,0),10)</f>
        <v>0.49145299145299143</v>
      </c>
      <c r="F227" s="8">
        <f t="shared" si="23"/>
        <v>7.1710000000000003</v>
      </c>
      <c r="G227" s="8">
        <f t="shared" si="24"/>
        <v>4.6360000000000001</v>
      </c>
      <c r="H227" s="8">
        <f t="shared" si="21"/>
        <v>11.807</v>
      </c>
      <c r="I227">
        <f>INDEX(StartupfileInput!$A$2:$D$328,MATCH(Calculation!$A227,StartupfileInput!$A$2:$A$328,0),4)</f>
        <v>6880</v>
      </c>
      <c r="J227" s="107">
        <f t="shared" si="25"/>
        <v>7048</v>
      </c>
      <c r="K227" s="9">
        <f t="shared" si="22"/>
        <v>50541</v>
      </c>
      <c r="L227" s="9">
        <f t="shared" si="26"/>
        <v>32675</v>
      </c>
      <c r="M227" s="9">
        <f t="shared" si="27"/>
        <v>83216</v>
      </c>
    </row>
    <row r="228" spans="1:13" ht="12.75" x14ac:dyDescent="0.2">
      <c r="A228" s="2" t="str">
        <f>StartupfileInput!A226</f>
        <v>5049</v>
      </c>
      <c r="B228" s="1" t="str">
        <f>INDEX(ActiveDistricts!$A$2:$J$328,MATCH(Calculation!$A228,ActiveDistricts!$C$2:$C$328,0),6)</f>
        <v>5049</v>
      </c>
      <c r="C228" s="1" t="str">
        <f>INDEX(ActiveDistricts!$A$2:$J$328,MATCH(Calculation!$A228,ActiveDistricts!$C$2:$C$328,0),7)</f>
        <v>Ottumwa</v>
      </c>
      <c r="D228" s="14">
        <f>INDEX(StartupfileInput!$A$2:$D$328,MATCH(Calculation!$A228,StartupfileInput!$A$2:$A$328,0),3)</f>
        <v>4762.6000000000004</v>
      </c>
      <c r="E228" s="20">
        <f>INDEX(ActiveDistricts!$A$2:$J$328,MATCH(Calculation!$A228,ActiveDistricts!$C$2:$C$328,0),10)</f>
        <v>0.51079136690647486</v>
      </c>
      <c r="F228" s="8">
        <f t="shared" si="23"/>
        <v>15.618</v>
      </c>
      <c r="G228" s="8">
        <f t="shared" si="24"/>
        <v>9.7159999999999993</v>
      </c>
      <c r="H228" s="8">
        <f t="shared" si="21"/>
        <v>25.334</v>
      </c>
      <c r="I228">
        <f>INDEX(StartupfileInput!$A$2:$D$328,MATCH(Calculation!$A228,StartupfileInput!$A$2:$A$328,0),4)</f>
        <v>6880</v>
      </c>
      <c r="J228" s="107">
        <f t="shared" si="25"/>
        <v>7048</v>
      </c>
      <c r="K228" s="9">
        <f t="shared" si="22"/>
        <v>110076</v>
      </c>
      <c r="L228" s="9">
        <f t="shared" si="26"/>
        <v>68478</v>
      </c>
      <c r="M228" s="9">
        <f t="shared" si="27"/>
        <v>178554</v>
      </c>
    </row>
    <row r="229" spans="1:13" ht="12.75" x14ac:dyDescent="0.2">
      <c r="A229" s="2" t="str">
        <f>StartupfileInput!A227</f>
        <v>5319</v>
      </c>
      <c r="B229" s="1" t="str">
        <f>INDEX(ActiveDistricts!$A$2:$J$328,MATCH(Calculation!$A229,ActiveDistricts!$C$2:$C$328,0),6)</f>
        <v>5160</v>
      </c>
      <c r="C229" s="1" t="str">
        <f>INDEX(ActiveDistricts!$A$2:$J$328,MATCH(Calculation!$A229,ActiveDistricts!$C$2:$C$328,0),7)</f>
        <v>PCM</v>
      </c>
      <c r="D229" s="14">
        <f>INDEX(StartupfileInput!$A$2:$D$328,MATCH(Calculation!$A229,StartupfileInput!$A$2:$A$328,0),3)</f>
        <v>1063.4000000000001</v>
      </c>
      <c r="E229" s="20">
        <f>INDEX(ActiveDistricts!$A$2:$J$328,MATCH(Calculation!$A229,ActiveDistricts!$C$2:$C$328,0),10)</f>
        <v>0.26124197002141325</v>
      </c>
      <c r="F229" s="8">
        <f t="shared" si="23"/>
        <v>1.784</v>
      </c>
      <c r="G229" s="8">
        <f t="shared" si="24"/>
        <v>2.169</v>
      </c>
      <c r="H229" s="8">
        <f t="shared" si="21"/>
        <v>3.9530000000000003</v>
      </c>
      <c r="I229">
        <f>INDEX(StartupfileInput!$A$2:$D$328,MATCH(Calculation!$A229,StartupfileInput!$A$2:$A$328,0),4)</f>
        <v>6880</v>
      </c>
      <c r="J229" s="107">
        <f t="shared" si="25"/>
        <v>7048</v>
      </c>
      <c r="K229" s="9">
        <f t="shared" si="22"/>
        <v>12574</v>
      </c>
      <c r="L229" s="9">
        <f t="shared" si="26"/>
        <v>15287</v>
      </c>
      <c r="M229" s="9">
        <f t="shared" si="27"/>
        <v>27861</v>
      </c>
    </row>
    <row r="230" spans="1:13" ht="12.75" x14ac:dyDescent="0.2">
      <c r="A230" s="2" t="str">
        <f>StartupfileInput!A228</f>
        <v>5121</v>
      </c>
      <c r="B230" s="1" t="str">
        <f>INDEX(ActiveDistricts!$A$2:$J$328,MATCH(Calculation!$A230,ActiveDistricts!$C$2:$C$328,0),6)</f>
        <v>5121</v>
      </c>
      <c r="C230" s="1" t="str">
        <f>INDEX(ActiveDistricts!$A$2:$J$328,MATCH(Calculation!$A230,ActiveDistricts!$C$2:$C$328,0),7)</f>
        <v>Panorama</v>
      </c>
      <c r="D230" s="14">
        <f>INDEX(StartupfileInput!$A$2:$D$328,MATCH(Calculation!$A230,StartupfileInput!$A$2:$A$328,0),3)</f>
        <v>694.9</v>
      </c>
      <c r="E230" s="20">
        <f>INDEX(ActiveDistricts!$A$2:$J$328,MATCH(Calculation!$A230,ActiveDistricts!$C$2:$C$328,0),10)</f>
        <v>0.40225563909774437</v>
      </c>
      <c r="F230" s="8">
        <f t="shared" si="23"/>
        <v>1.7949999999999999</v>
      </c>
      <c r="G230" s="8">
        <f t="shared" si="24"/>
        <v>1.4179999999999999</v>
      </c>
      <c r="H230" s="8">
        <f t="shared" si="21"/>
        <v>3.2130000000000001</v>
      </c>
      <c r="I230">
        <f>INDEX(StartupfileInput!$A$2:$D$328,MATCH(Calculation!$A230,StartupfileInput!$A$2:$A$328,0),4)</f>
        <v>6880</v>
      </c>
      <c r="J230" s="107">
        <f t="shared" si="25"/>
        <v>7048</v>
      </c>
      <c r="K230" s="9">
        <f t="shared" si="22"/>
        <v>12651</v>
      </c>
      <c r="L230" s="9">
        <f t="shared" si="26"/>
        <v>9994</v>
      </c>
      <c r="M230" s="9">
        <f t="shared" si="27"/>
        <v>22645</v>
      </c>
    </row>
    <row r="231" spans="1:13" ht="12.75" x14ac:dyDescent="0.2">
      <c r="A231" s="2" t="str">
        <f>StartupfileInput!A229</f>
        <v>5139</v>
      </c>
      <c r="B231" s="1" t="str">
        <f>INDEX(ActiveDistricts!$A$2:$J$328,MATCH(Calculation!$A231,ActiveDistricts!$C$2:$C$328,0),6)</f>
        <v>5139</v>
      </c>
      <c r="C231" s="1" t="str">
        <f>INDEX(ActiveDistricts!$A$2:$J$328,MATCH(Calculation!$A231,ActiveDistricts!$C$2:$C$328,0),7)</f>
        <v>Paton-Churdan</v>
      </c>
      <c r="D231" s="14">
        <f>INDEX(StartupfileInput!$A$2:$D$328,MATCH(Calculation!$A231,StartupfileInput!$A$2:$A$328,0),3)</f>
        <v>205.6</v>
      </c>
      <c r="E231" s="20">
        <f>INDEX(ActiveDistricts!$A$2:$J$328,MATCH(Calculation!$A231,ActiveDistricts!$C$2:$C$328,0),10)</f>
        <v>0.54867256637168138</v>
      </c>
      <c r="F231" s="8">
        <f t="shared" si="23"/>
        <v>0.72399999999999998</v>
      </c>
      <c r="G231" s="8">
        <f t="shared" si="24"/>
        <v>0.41899999999999998</v>
      </c>
      <c r="H231" s="8">
        <f t="shared" si="21"/>
        <v>1.143</v>
      </c>
      <c r="I231">
        <f>INDEX(StartupfileInput!$A$2:$D$328,MATCH(Calculation!$A231,StartupfileInput!$A$2:$A$328,0),4)</f>
        <v>7037</v>
      </c>
      <c r="J231" s="107">
        <f t="shared" si="25"/>
        <v>7195</v>
      </c>
      <c r="K231" s="9">
        <f t="shared" si="22"/>
        <v>5209</v>
      </c>
      <c r="L231" s="9">
        <f t="shared" si="26"/>
        <v>3015</v>
      </c>
      <c r="M231" s="9">
        <f t="shared" si="27"/>
        <v>8224</v>
      </c>
    </row>
    <row r="232" spans="1:13" ht="12.75" x14ac:dyDescent="0.2">
      <c r="A232" s="2" t="str">
        <f>StartupfileInput!A230</f>
        <v>5163</v>
      </c>
      <c r="B232" s="1" t="str">
        <f>INDEX(ActiveDistricts!$A$2:$J$328,MATCH(Calculation!$A232,ActiveDistricts!$C$2:$C$328,0),6)</f>
        <v>5163</v>
      </c>
      <c r="C232" s="1" t="str">
        <f>INDEX(ActiveDistricts!$A$2:$J$328,MATCH(Calculation!$A232,ActiveDistricts!$C$2:$C$328,0),7)</f>
        <v>Pekin</v>
      </c>
      <c r="D232" s="14">
        <f>INDEX(StartupfileInput!$A$2:$D$328,MATCH(Calculation!$A232,StartupfileInput!$A$2:$A$328,0),3)</f>
        <v>610.5</v>
      </c>
      <c r="E232" s="20">
        <f>INDEX(ActiveDistricts!$A$2:$J$328,MATCH(Calculation!$A232,ActiveDistricts!$C$2:$C$328,0),10)</f>
        <v>0.45283018867924529</v>
      </c>
      <c r="F232" s="8">
        <f t="shared" si="23"/>
        <v>1.7749999999999999</v>
      </c>
      <c r="G232" s="8">
        <f t="shared" si="24"/>
        <v>1.2450000000000001</v>
      </c>
      <c r="H232" s="8">
        <f t="shared" si="21"/>
        <v>3.02</v>
      </c>
      <c r="I232">
        <f>INDEX(StartupfileInput!$A$2:$D$328,MATCH(Calculation!$A232,StartupfileInput!$A$2:$A$328,0),4)</f>
        <v>6880</v>
      </c>
      <c r="J232" s="107">
        <f t="shared" si="25"/>
        <v>7048</v>
      </c>
      <c r="K232" s="9">
        <f t="shared" si="22"/>
        <v>12510</v>
      </c>
      <c r="L232" s="9">
        <f t="shared" si="26"/>
        <v>8775</v>
      </c>
      <c r="M232" s="9">
        <f t="shared" si="27"/>
        <v>21285</v>
      </c>
    </row>
    <row r="233" spans="1:13" ht="12.75" x14ac:dyDescent="0.2">
      <c r="A233" s="2" t="str">
        <f>StartupfileInput!A231</f>
        <v>5166</v>
      </c>
      <c r="B233" s="1" t="str">
        <f>INDEX(ActiveDistricts!$A$2:$J$328,MATCH(Calculation!$A233,ActiveDistricts!$C$2:$C$328,0),6)</f>
        <v>5166</v>
      </c>
      <c r="C233" s="1" t="str">
        <f>INDEX(ActiveDistricts!$A$2:$J$328,MATCH(Calculation!$A233,ActiveDistricts!$C$2:$C$328,0),7)</f>
        <v>Pella</v>
      </c>
      <c r="D233" s="14">
        <f>INDEX(StartupfileInput!$A$2:$D$328,MATCH(Calculation!$A233,StartupfileInput!$A$2:$A$328,0),3)</f>
        <v>2187</v>
      </c>
      <c r="E233" s="20">
        <f>INDEX(ActiveDistricts!$A$2:$J$328,MATCH(Calculation!$A233,ActiveDistricts!$C$2:$C$328,0),10)</f>
        <v>0.18181818181818182</v>
      </c>
      <c r="F233" s="8">
        <f t="shared" si="23"/>
        <v>2.5529999999999999</v>
      </c>
      <c r="G233" s="8">
        <f t="shared" si="24"/>
        <v>4.4610000000000003</v>
      </c>
      <c r="H233" s="8">
        <f t="shared" si="21"/>
        <v>7.0140000000000002</v>
      </c>
      <c r="I233">
        <f>INDEX(StartupfileInput!$A$2:$D$328,MATCH(Calculation!$A233,StartupfileInput!$A$2:$A$328,0),4)</f>
        <v>6880</v>
      </c>
      <c r="J233" s="107">
        <f t="shared" si="25"/>
        <v>7048</v>
      </c>
      <c r="K233" s="9">
        <f t="shared" si="22"/>
        <v>17994</v>
      </c>
      <c r="L233" s="9">
        <f t="shared" si="26"/>
        <v>31441</v>
      </c>
      <c r="M233" s="9">
        <f t="shared" si="27"/>
        <v>49435</v>
      </c>
    </row>
    <row r="234" spans="1:13" ht="12.75" x14ac:dyDescent="0.2">
      <c r="A234" s="2" t="str">
        <f>StartupfileInput!A232</f>
        <v>5184</v>
      </c>
      <c r="B234" s="1" t="str">
        <f>INDEX(ActiveDistricts!$A$2:$J$328,MATCH(Calculation!$A234,ActiveDistricts!$C$2:$C$328,0),6)</f>
        <v>5184</v>
      </c>
      <c r="C234" s="1" t="str">
        <f>INDEX(ActiveDistricts!$A$2:$J$328,MATCH(Calculation!$A234,ActiveDistricts!$C$2:$C$328,0),7)</f>
        <v>Perry</v>
      </c>
      <c r="D234" s="14">
        <f>INDEX(StartupfileInput!$A$2:$D$328,MATCH(Calculation!$A234,StartupfileInput!$A$2:$A$328,0),3)</f>
        <v>1811.9</v>
      </c>
      <c r="E234" s="20">
        <f>INDEX(ActiveDistricts!$A$2:$J$328,MATCH(Calculation!$A234,ActiveDistricts!$C$2:$C$328,0),10)</f>
        <v>0.74425287356321834</v>
      </c>
      <c r="F234" s="8">
        <f t="shared" si="23"/>
        <v>8.657</v>
      </c>
      <c r="G234" s="8">
        <f t="shared" si="24"/>
        <v>3.6960000000000002</v>
      </c>
      <c r="H234" s="8">
        <f t="shared" si="21"/>
        <v>12.353</v>
      </c>
      <c r="I234">
        <f>INDEX(StartupfileInput!$A$2:$D$328,MATCH(Calculation!$A234,StartupfileInput!$A$2:$A$328,0),4)</f>
        <v>6880</v>
      </c>
      <c r="J234" s="107">
        <f t="shared" si="25"/>
        <v>7048</v>
      </c>
      <c r="K234" s="9">
        <f t="shared" si="22"/>
        <v>61015</v>
      </c>
      <c r="L234" s="9">
        <f t="shared" si="26"/>
        <v>26049</v>
      </c>
      <c r="M234" s="9">
        <f t="shared" si="27"/>
        <v>87064</v>
      </c>
    </row>
    <row r="235" spans="1:13" ht="12.75" x14ac:dyDescent="0.2">
      <c r="A235" s="2" t="str">
        <f>StartupfileInput!A233</f>
        <v>5250</v>
      </c>
      <c r="B235" s="1" t="str">
        <f>INDEX(ActiveDistricts!$A$2:$J$328,MATCH(Calculation!$A235,ActiveDistricts!$C$2:$C$328,0),6)</f>
        <v>5250</v>
      </c>
      <c r="C235" s="1" t="str">
        <f>INDEX(ActiveDistricts!$A$2:$J$328,MATCH(Calculation!$A235,ActiveDistricts!$C$2:$C$328,0),7)</f>
        <v>Pleasant Valley</v>
      </c>
      <c r="D235" s="14">
        <f>INDEX(StartupfileInput!$A$2:$D$328,MATCH(Calculation!$A235,StartupfileInput!$A$2:$A$328,0),3)</f>
        <v>5128.3999999999996</v>
      </c>
      <c r="E235" s="20">
        <f>INDEX(ActiveDistricts!$A$2:$J$328,MATCH(Calculation!$A235,ActiveDistricts!$C$2:$C$328,0),10)</f>
        <v>0.10403120936280884</v>
      </c>
      <c r="F235" s="8">
        <f t="shared" si="23"/>
        <v>3.4249999999999998</v>
      </c>
      <c r="G235" s="8">
        <f t="shared" si="24"/>
        <v>10.462</v>
      </c>
      <c r="H235" s="8">
        <f t="shared" si="21"/>
        <v>13.887</v>
      </c>
      <c r="I235">
        <f>INDEX(StartupfileInput!$A$2:$D$328,MATCH(Calculation!$A235,StartupfileInput!$A$2:$A$328,0),4)</f>
        <v>7003</v>
      </c>
      <c r="J235" s="107">
        <f t="shared" si="25"/>
        <v>7161</v>
      </c>
      <c r="K235" s="9">
        <f t="shared" si="22"/>
        <v>24526</v>
      </c>
      <c r="L235" s="9">
        <f t="shared" si="26"/>
        <v>74919</v>
      </c>
      <c r="M235" s="9">
        <f t="shared" si="27"/>
        <v>99445</v>
      </c>
    </row>
    <row r="236" spans="1:13" ht="12.75" x14ac:dyDescent="0.2">
      <c r="A236" s="2" t="str">
        <f>StartupfileInput!A234</f>
        <v>5256</v>
      </c>
      <c r="B236" s="1" t="str">
        <f>INDEX(ActiveDistricts!$A$2:$J$328,MATCH(Calculation!$A236,ActiveDistricts!$C$2:$C$328,0),6)</f>
        <v>5256</v>
      </c>
      <c r="C236" s="1" t="str">
        <f>INDEX(ActiveDistricts!$A$2:$J$328,MATCH(Calculation!$A236,ActiveDistricts!$C$2:$C$328,0),7)</f>
        <v>Pleasantville</v>
      </c>
      <c r="D236" s="14">
        <f>INDEX(StartupfileInput!$A$2:$D$328,MATCH(Calculation!$A236,StartupfileInput!$A$2:$A$328,0),3)</f>
        <v>669</v>
      </c>
      <c r="E236" s="20">
        <f>INDEX(ActiveDistricts!$A$2:$J$328,MATCH(Calculation!$A236,ActiveDistricts!$C$2:$C$328,0),10)</f>
        <v>0.37809187279151946</v>
      </c>
      <c r="F236" s="8">
        <f t="shared" si="23"/>
        <v>1.6240000000000001</v>
      </c>
      <c r="G236" s="8">
        <f t="shared" si="24"/>
        <v>1.365</v>
      </c>
      <c r="H236" s="8">
        <f t="shared" si="21"/>
        <v>2.9889999999999999</v>
      </c>
      <c r="I236">
        <f>INDEX(StartupfileInput!$A$2:$D$328,MATCH(Calculation!$A236,StartupfileInput!$A$2:$A$328,0),4)</f>
        <v>6880</v>
      </c>
      <c r="J236" s="107">
        <f t="shared" si="25"/>
        <v>7048</v>
      </c>
      <c r="K236" s="9">
        <f t="shared" si="22"/>
        <v>11446</v>
      </c>
      <c r="L236" s="9">
        <f t="shared" si="26"/>
        <v>9620</v>
      </c>
      <c r="M236" s="9">
        <f t="shared" si="27"/>
        <v>21066</v>
      </c>
    </row>
    <row r="237" spans="1:13" ht="12.75" x14ac:dyDescent="0.2">
      <c r="A237" s="2" t="str">
        <f>StartupfileInput!A235</f>
        <v>5283</v>
      </c>
      <c r="B237" s="1" t="str">
        <f>INDEX(ActiveDistricts!$A$2:$J$328,MATCH(Calculation!$A237,ActiveDistricts!$C$2:$C$328,0),6)</f>
        <v>5283</v>
      </c>
      <c r="C237" s="1" t="str">
        <f>INDEX(ActiveDistricts!$A$2:$J$328,MATCH(Calculation!$A237,ActiveDistricts!$C$2:$C$328,0),7)</f>
        <v>Pocahontas Area</v>
      </c>
      <c r="D237" s="14">
        <f>INDEX(StartupfileInput!$A$2:$D$328,MATCH(Calculation!$A237,StartupfileInput!$A$2:$A$328,0),3)</f>
        <v>664.9</v>
      </c>
      <c r="E237" s="20">
        <f>INDEX(ActiveDistricts!$A$2:$J$328,MATCH(Calculation!$A237,ActiveDistricts!$C$2:$C$328,0),10)</f>
        <v>0.5663716814159292</v>
      </c>
      <c r="F237" s="8">
        <f t="shared" si="23"/>
        <v>2.4180000000000001</v>
      </c>
      <c r="G237" s="8">
        <f t="shared" si="24"/>
        <v>1.3560000000000001</v>
      </c>
      <c r="H237" s="8">
        <f t="shared" si="21"/>
        <v>3.774</v>
      </c>
      <c r="I237">
        <f>INDEX(StartupfileInput!$A$2:$D$328,MATCH(Calculation!$A237,StartupfileInput!$A$2:$A$328,0),4)</f>
        <v>7005</v>
      </c>
      <c r="J237" s="107">
        <f t="shared" si="25"/>
        <v>7163</v>
      </c>
      <c r="K237" s="9">
        <f t="shared" si="22"/>
        <v>17320</v>
      </c>
      <c r="L237" s="9">
        <f t="shared" si="26"/>
        <v>9713</v>
      </c>
      <c r="M237" s="9">
        <f t="shared" si="27"/>
        <v>27033</v>
      </c>
    </row>
    <row r="238" spans="1:13" ht="12.75" x14ac:dyDescent="0.2">
      <c r="A238" s="2" t="str">
        <f>StartupfileInput!A236</f>
        <v>5310</v>
      </c>
      <c r="B238" s="1" t="str">
        <f>INDEX(ActiveDistricts!$A$2:$J$328,MATCH(Calculation!$A238,ActiveDistricts!$C$2:$C$328,0),6)</f>
        <v>5310</v>
      </c>
      <c r="C238" s="1" t="str">
        <f>INDEX(ActiveDistricts!$A$2:$J$328,MATCH(Calculation!$A238,ActiveDistricts!$C$2:$C$328,0),7)</f>
        <v>Postville</v>
      </c>
      <c r="D238" s="14">
        <f>INDEX(StartupfileInput!$A$2:$D$328,MATCH(Calculation!$A238,StartupfileInput!$A$2:$A$328,0),3)</f>
        <v>758</v>
      </c>
      <c r="E238" s="20">
        <f>INDEX(ActiveDistricts!$A$2:$J$328,MATCH(Calculation!$A238,ActiveDistricts!$C$2:$C$328,0),10)</f>
        <v>1</v>
      </c>
      <c r="F238" s="8">
        <f t="shared" si="23"/>
        <v>4.8659999999999997</v>
      </c>
      <c r="G238" s="8">
        <f t="shared" si="24"/>
        <v>1.546</v>
      </c>
      <c r="H238" s="8">
        <f t="shared" si="21"/>
        <v>6.4119999999999999</v>
      </c>
      <c r="I238">
        <f>INDEX(StartupfileInput!$A$2:$D$328,MATCH(Calculation!$A238,StartupfileInput!$A$2:$A$328,0),4)</f>
        <v>6883</v>
      </c>
      <c r="J238" s="107">
        <f t="shared" si="25"/>
        <v>7048</v>
      </c>
      <c r="K238" s="9">
        <f t="shared" si="22"/>
        <v>34296</v>
      </c>
      <c r="L238" s="9">
        <f t="shared" si="26"/>
        <v>10896</v>
      </c>
      <c r="M238" s="9">
        <f t="shared" si="27"/>
        <v>45192</v>
      </c>
    </row>
    <row r="239" spans="1:13" ht="12.75" x14ac:dyDescent="0.2">
      <c r="A239" s="2" t="str">
        <f>StartupfileInput!A237</f>
        <v>5323</v>
      </c>
      <c r="B239" s="1" t="str">
        <f>INDEX(ActiveDistricts!$A$2:$J$328,MATCH(Calculation!$A239,ActiveDistricts!$C$2:$C$328,0),6)</f>
        <v>5325</v>
      </c>
      <c r="C239" s="1" t="str">
        <f>INDEX(ActiveDistricts!$A$2:$J$328,MATCH(Calculation!$A239,ActiveDistricts!$C$2:$C$328,0),7)</f>
        <v>Prairie Valley</v>
      </c>
      <c r="D239" s="14">
        <f>INDEX(StartupfileInput!$A$2:$D$328,MATCH(Calculation!$A239,StartupfileInput!$A$2:$A$328,0),3)</f>
        <v>568.5</v>
      </c>
      <c r="E239" s="20">
        <f>INDEX(ActiveDistricts!$A$2:$J$328,MATCH(Calculation!$A239,ActiveDistricts!$C$2:$C$328,0),10)</f>
        <v>0.41666666666666669</v>
      </c>
      <c r="F239" s="8">
        <f t="shared" si="23"/>
        <v>1.5209999999999999</v>
      </c>
      <c r="G239" s="8">
        <f t="shared" si="24"/>
        <v>1.1599999999999999</v>
      </c>
      <c r="H239" s="8">
        <f t="shared" si="21"/>
        <v>2.681</v>
      </c>
      <c r="I239">
        <f>INDEX(StartupfileInput!$A$2:$D$328,MATCH(Calculation!$A239,StartupfileInput!$A$2:$A$328,0),4)</f>
        <v>6990</v>
      </c>
      <c r="J239" s="107">
        <f t="shared" si="25"/>
        <v>7148</v>
      </c>
      <c r="K239" s="9">
        <f t="shared" si="22"/>
        <v>10872</v>
      </c>
      <c r="L239" s="9">
        <f t="shared" si="26"/>
        <v>8292</v>
      </c>
      <c r="M239" s="9">
        <f t="shared" si="27"/>
        <v>19164</v>
      </c>
    </row>
    <row r="240" spans="1:13" ht="12.75" x14ac:dyDescent="0.2">
      <c r="A240" s="2" t="str">
        <f>StartupfileInput!A238</f>
        <v>5463</v>
      </c>
      <c r="B240" s="1" t="str">
        <f>INDEX(ActiveDistricts!$A$2:$J$328,MATCH(Calculation!$A240,ActiveDistricts!$C$2:$C$328,0),6)</f>
        <v>5463</v>
      </c>
      <c r="C240" s="1" t="str">
        <f>INDEX(ActiveDistricts!$A$2:$J$328,MATCH(Calculation!$A240,ActiveDistricts!$C$2:$C$328,0),7)</f>
        <v>Red Oak</v>
      </c>
      <c r="D240" s="14">
        <f>INDEX(StartupfileInput!$A$2:$D$328,MATCH(Calculation!$A240,StartupfileInput!$A$2:$A$328,0),3)</f>
        <v>1039.2</v>
      </c>
      <c r="E240" s="20">
        <f>INDEX(ActiveDistricts!$A$2:$J$328,MATCH(Calculation!$A240,ActiveDistricts!$C$2:$C$328,0),10)</f>
        <v>0.61778846153846156</v>
      </c>
      <c r="F240" s="8">
        <f t="shared" si="23"/>
        <v>4.1219999999999999</v>
      </c>
      <c r="G240" s="8">
        <f t="shared" si="24"/>
        <v>2.12</v>
      </c>
      <c r="H240" s="8">
        <f t="shared" si="21"/>
        <v>6.242</v>
      </c>
      <c r="I240">
        <f>INDEX(StartupfileInput!$A$2:$D$328,MATCH(Calculation!$A240,StartupfileInput!$A$2:$A$328,0),4)</f>
        <v>6880</v>
      </c>
      <c r="J240" s="107">
        <f t="shared" si="25"/>
        <v>7048</v>
      </c>
      <c r="K240" s="9">
        <f t="shared" si="22"/>
        <v>29052</v>
      </c>
      <c r="L240" s="9">
        <f t="shared" si="26"/>
        <v>14942</v>
      </c>
      <c r="M240" s="9">
        <f t="shared" si="27"/>
        <v>43994</v>
      </c>
    </row>
    <row r="241" spans="1:13" ht="12.75" x14ac:dyDescent="0.2">
      <c r="A241" s="2" t="str">
        <f>StartupfileInput!A239</f>
        <v>5486</v>
      </c>
      <c r="B241" s="1" t="str">
        <f>INDEX(ActiveDistricts!$A$2:$J$328,MATCH(Calculation!$A241,ActiveDistricts!$C$2:$C$328,0),6)</f>
        <v>5486</v>
      </c>
      <c r="C241" s="1" t="str">
        <f>INDEX(ActiveDistricts!$A$2:$J$328,MATCH(Calculation!$A241,ActiveDistricts!$C$2:$C$328,0),7)</f>
        <v>Remsen-Union</v>
      </c>
      <c r="D241" s="14">
        <f>INDEX(StartupfileInput!$A$2:$D$328,MATCH(Calculation!$A241,StartupfileInput!$A$2:$A$328,0),3)</f>
        <v>319.7</v>
      </c>
      <c r="E241" s="20">
        <f>INDEX(ActiveDistricts!$A$2:$J$328,MATCH(Calculation!$A241,ActiveDistricts!$C$2:$C$328,0),10)</f>
        <v>0.30681818181818182</v>
      </c>
      <c r="F241" s="8">
        <f t="shared" si="23"/>
        <v>0.63</v>
      </c>
      <c r="G241" s="8">
        <f t="shared" si="24"/>
        <v>0.65200000000000002</v>
      </c>
      <c r="H241" s="8">
        <f t="shared" si="21"/>
        <v>1.282</v>
      </c>
      <c r="I241">
        <f>INDEX(StartupfileInput!$A$2:$D$328,MATCH(Calculation!$A241,StartupfileInput!$A$2:$A$328,0),4)</f>
        <v>6891</v>
      </c>
      <c r="J241" s="107">
        <f t="shared" si="25"/>
        <v>7049</v>
      </c>
      <c r="K241" s="9">
        <f t="shared" si="22"/>
        <v>4441</v>
      </c>
      <c r="L241" s="9">
        <f t="shared" si="26"/>
        <v>4596</v>
      </c>
      <c r="M241" s="9">
        <f t="shared" si="27"/>
        <v>9037</v>
      </c>
    </row>
    <row r="242" spans="1:13" ht="12.75" x14ac:dyDescent="0.2">
      <c r="A242" s="2" t="str">
        <f>StartupfileInput!A240</f>
        <v>5508</v>
      </c>
      <c r="B242" s="1" t="str">
        <f>INDEX(ActiveDistricts!$A$2:$J$328,MATCH(Calculation!$A242,ActiveDistricts!$C$2:$C$328,0),6)</f>
        <v>5508</v>
      </c>
      <c r="C242" s="1" t="str">
        <f>INDEX(ActiveDistricts!$A$2:$J$328,MATCH(Calculation!$A242,ActiveDistricts!$C$2:$C$328,0),7)</f>
        <v>Riceville</v>
      </c>
      <c r="D242" s="14">
        <f>INDEX(StartupfileInput!$A$2:$D$328,MATCH(Calculation!$A242,StartupfileInput!$A$2:$A$328,0),3)</f>
        <v>326.8</v>
      </c>
      <c r="E242" s="20">
        <f>INDEX(ActiveDistricts!$A$2:$J$328,MATCH(Calculation!$A242,ActiveDistricts!$C$2:$C$328,0),10)</f>
        <v>0.43292682926829268</v>
      </c>
      <c r="F242" s="8">
        <f t="shared" si="23"/>
        <v>0.90800000000000003</v>
      </c>
      <c r="G242" s="8">
        <f t="shared" si="24"/>
        <v>0.66700000000000004</v>
      </c>
      <c r="H242" s="8">
        <f t="shared" si="21"/>
        <v>1.5750000000000002</v>
      </c>
      <c r="I242">
        <f>INDEX(StartupfileInput!$A$2:$D$328,MATCH(Calculation!$A242,StartupfileInput!$A$2:$A$328,0),4)</f>
        <v>6880</v>
      </c>
      <c r="J242" s="107">
        <f t="shared" si="25"/>
        <v>7048</v>
      </c>
      <c r="K242" s="9">
        <f t="shared" si="22"/>
        <v>6400</v>
      </c>
      <c r="L242" s="9">
        <f t="shared" si="26"/>
        <v>4701</v>
      </c>
      <c r="M242" s="9">
        <f t="shared" si="27"/>
        <v>11101</v>
      </c>
    </row>
    <row r="243" spans="1:13" ht="12.75" x14ac:dyDescent="0.2">
      <c r="A243" s="2" t="str">
        <f>StartupfileInput!A241</f>
        <v>1975</v>
      </c>
      <c r="B243" s="1" t="str">
        <f>INDEX(ActiveDistricts!$A$2:$J$328,MATCH(Calculation!$A243,ActiveDistricts!$C$2:$C$328,0),6)</f>
        <v>1975</v>
      </c>
      <c r="C243" s="1" t="str">
        <f>INDEX(ActiveDistricts!$A$2:$J$328,MATCH(Calculation!$A243,ActiveDistricts!$C$2:$C$328,0),7)</f>
        <v>River Valley</v>
      </c>
      <c r="D243" s="14">
        <f>INDEX(StartupfileInput!$A$2:$D$328,MATCH(Calculation!$A243,StartupfileInput!$A$2:$A$328,0),3)</f>
        <v>388</v>
      </c>
      <c r="E243" s="20">
        <f>INDEX(ActiveDistricts!$A$2:$J$328,MATCH(Calculation!$A243,ActiveDistricts!$C$2:$C$328,0),10)</f>
        <v>0.51923076923076927</v>
      </c>
      <c r="F243" s="8">
        <f t="shared" si="23"/>
        <v>1.2929999999999999</v>
      </c>
      <c r="G243" s="8">
        <f t="shared" si="24"/>
        <v>0.79200000000000004</v>
      </c>
      <c r="H243" s="8">
        <f t="shared" si="21"/>
        <v>2.085</v>
      </c>
      <c r="I243">
        <f>INDEX(StartupfileInput!$A$2:$D$328,MATCH(Calculation!$A243,StartupfileInput!$A$2:$A$328,0),4)</f>
        <v>6880</v>
      </c>
      <c r="J243" s="107">
        <f t="shared" si="25"/>
        <v>7048</v>
      </c>
      <c r="K243" s="9">
        <f t="shared" si="22"/>
        <v>9113</v>
      </c>
      <c r="L243" s="9">
        <f t="shared" si="26"/>
        <v>5582</v>
      </c>
      <c r="M243" s="9">
        <f t="shared" si="27"/>
        <v>14695</v>
      </c>
    </row>
    <row r="244" spans="1:13" ht="12.75" x14ac:dyDescent="0.2">
      <c r="A244" s="2" t="str">
        <f>StartupfileInput!A242</f>
        <v>4824</v>
      </c>
      <c r="B244" s="1" t="str">
        <f>INDEX(ActiveDistricts!$A$2:$J$328,MATCH(Calculation!$A244,ActiveDistricts!$C$2:$C$328,0),6)</f>
        <v>5510</v>
      </c>
      <c r="C244" s="1" t="str">
        <f>INDEX(ActiveDistricts!$A$2:$J$328,MATCH(Calculation!$A244,ActiveDistricts!$C$2:$C$328,0),7)</f>
        <v>Riverside</v>
      </c>
      <c r="D244" s="14">
        <f>INDEX(StartupfileInput!$A$2:$D$328,MATCH(Calculation!$A244,StartupfileInput!$A$2:$A$328,0),3)</f>
        <v>705</v>
      </c>
      <c r="E244" s="20">
        <f>INDEX(ActiveDistricts!$A$2:$J$328,MATCH(Calculation!$A244,ActiveDistricts!$C$2:$C$328,0),10)</f>
        <v>0.41883116883116883</v>
      </c>
      <c r="F244" s="8">
        <f t="shared" si="23"/>
        <v>1.8959999999999999</v>
      </c>
      <c r="G244" s="8">
        <f t="shared" si="24"/>
        <v>1.4379999999999999</v>
      </c>
      <c r="H244" s="8">
        <f t="shared" si="21"/>
        <v>3.3339999999999996</v>
      </c>
      <c r="I244">
        <f>INDEX(StartupfileInput!$A$2:$D$328,MATCH(Calculation!$A244,StartupfileInput!$A$2:$A$328,0),4)</f>
        <v>6880</v>
      </c>
      <c r="J244" s="107">
        <f t="shared" si="25"/>
        <v>7048</v>
      </c>
      <c r="K244" s="9">
        <f t="shared" si="22"/>
        <v>13363</v>
      </c>
      <c r="L244" s="9">
        <f t="shared" si="26"/>
        <v>10135</v>
      </c>
      <c r="M244" s="9">
        <f t="shared" si="27"/>
        <v>23498</v>
      </c>
    </row>
    <row r="245" spans="1:13" ht="12.75" x14ac:dyDescent="0.2">
      <c r="A245" s="2" t="str">
        <f>StartupfileInput!A243</f>
        <v>5607</v>
      </c>
      <c r="B245" s="1" t="str">
        <f>INDEX(ActiveDistricts!$A$2:$J$328,MATCH(Calculation!$A245,ActiveDistricts!$C$2:$C$328,0),6)</f>
        <v>5607</v>
      </c>
      <c r="C245" s="1" t="str">
        <f>INDEX(ActiveDistricts!$A$2:$J$328,MATCH(Calculation!$A245,ActiveDistricts!$C$2:$C$328,0),7)</f>
        <v>Rock Valley</v>
      </c>
      <c r="D245" s="14">
        <f>INDEX(StartupfileInput!$A$2:$D$328,MATCH(Calculation!$A245,StartupfileInput!$A$2:$A$328,0),3)</f>
        <v>847.6</v>
      </c>
      <c r="E245" s="20">
        <f>INDEX(ActiveDistricts!$A$2:$J$328,MATCH(Calculation!$A245,ActiveDistricts!$C$2:$C$328,0),10)</f>
        <v>0.457286432160804</v>
      </c>
      <c r="F245" s="8">
        <f t="shared" si="23"/>
        <v>2.488</v>
      </c>
      <c r="G245" s="8">
        <f t="shared" si="24"/>
        <v>1.7290000000000001</v>
      </c>
      <c r="H245" s="8">
        <f t="shared" si="21"/>
        <v>4.2170000000000005</v>
      </c>
      <c r="I245">
        <f>INDEX(StartupfileInput!$A$2:$D$328,MATCH(Calculation!$A245,StartupfileInput!$A$2:$A$328,0),4)</f>
        <v>6911</v>
      </c>
      <c r="J245" s="107">
        <f t="shared" si="25"/>
        <v>7069</v>
      </c>
      <c r="K245" s="9">
        <f t="shared" si="22"/>
        <v>17588</v>
      </c>
      <c r="L245" s="9">
        <f t="shared" si="26"/>
        <v>12222</v>
      </c>
      <c r="M245" s="9">
        <f t="shared" si="27"/>
        <v>29810</v>
      </c>
    </row>
    <row r="246" spans="1:13" ht="12.75" x14ac:dyDescent="0.2">
      <c r="A246" s="2" t="str">
        <f>StartupfileInput!A244</f>
        <v>5643</v>
      </c>
      <c r="B246" s="1" t="str">
        <f>INDEX(ActiveDistricts!$A$2:$J$328,MATCH(Calculation!$A246,ActiveDistricts!$C$2:$C$328,0),6)</f>
        <v>5643</v>
      </c>
      <c r="C246" s="1" t="str">
        <f>INDEX(ActiveDistricts!$A$2:$J$328,MATCH(Calculation!$A246,ActiveDistricts!$C$2:$C$328,0),7)</f>
        <v>Roland-Story</v>
      </c>
      <c r="D246" s="14">
        <f>INDEX(StartupfileInput!$A$2:$D$328,MATCH(Calculation!$A246,StartupfileInput!$A$2:$A$328,0),3)</f>
        <v>1004.9</v>
      </c>
      <c r="E246" s="20">
        <f>INDEX(ActiveDistricts!$A$2:$J$328,MATCH(Calculation!$A246,ActiveDistricts!$C$2:$C$328,0),10)</f>
        <v>0.25106382978723402</v>
      </c>
      <c r="F246" s="8">
        <f t="shared" si="23"/>
        <v>1.62</v>
      </c>
      <c r="G246" s="8">
        <f t="shared" si="24"/>
        <v>2.0499999999999998</v>
      </c>
      <c r="H246" s="8">
        <f t="shared" si="21"/>
        <v>3.67</v>
      </c>
      <c r="I246">
        <f>INDEX(StartupfileInput!$A$2:$D$328,MATCH(Calculation!$A246,StartupfileInput!$A$2:$A$328,0),4)</f>
        <v>6880</v>
      </c>
      <c r="J246" s="107">
        <f t="shared" si="25"/>
        <v>7048</v>
      </c>
      <c r="K246" s="9">
        <f t="shared" si="22"/>
        <v>11418</v>
      </c>
      <c r="L246" s="9">
        <f t="shared" si="26"/>
        <v>14448</v>
      </c>
      <c r="M246" s="9">
        <f t="shared" si="27"/>
        <v>25866</v>
      </c>
    </row>
    <row r="247" spans="1:13" ht="12.75" x14ac:dyDescent="0.2">
      <c r="A247" s="2" t="str">
        <f>StartupfileInput!A245</f>
        <v>5697</v>
      </c>
      <c r="B247" s="1" t="str">
        <f>INDEX(ActiveDistricts!$A$2:$J$328,MATCH(Calculation!$A247,ActiveDistricts!$C$2:$C$328,0),6)</f>
        <v>5697</v>
      </c>
      <c r="C247" s="1" t="str">
        <f>INDEX(ActiveDistricts!$A$2:$J$328,MATCH(Calculation!$A247,ActiveDistricts!$C$2:$C$328,0),7)</f>
        <v>Rudd-Rockford-Marble Rock</v>
      </c>
      <c r="D247" s="14">
        <f>INDEX(StartupfileInput!$A$2:$D$328,MATCH(Calculation!$A247,StartupfileInput!$A$2:$A$328,0),3)</f>
        <v>404</v>
      </c>
      <c r="E247" s="20">
        <f>INDEX(ActiveDistricts!$A$2:$J$328,MATCH(Calculation!$A247,ActiveDistricts!$C$2:$C$328,0),10)</f>
        <v>0.56687898089171973</v>
      </c>
      <c r="F247" s="8">
        <f t="shared" si="23"/>
        <v>1.47</v>
      </c>
      <c r="G247" s="8">
        <f t="shared" si="24"/>
        <v>0.82399999999999995</v>
      </c>
      <c r="H247" s="8">
        <f t="shared" si="21"/>
        <v>2.294</v>
      </c>
      <c r="I247">
        <f>INDEX(StartupfileInput!$A$2:$D$328,MATCH(Calculation!$A247,StartupfileInput!$A$2:$A$328,0),4)</f>
        <v>6880</v>
      </c>
      <c r="J247" s="107">
        <f t="shared" si="25"/>
        <v>7048</v>
      </c>
      <c r="K247" s="9">
        <f t="shared" si="22"/>
        <v>10361</v>
      </c>
      <c r="L247" s="9">
        <f t="shared" si="26"/>
        <v>5807</v>
      </c>
      <c r="M247" s="9">
        <f t="shared" si="27"/>
        <v>16168</v>
      </c>
    </row>
    <row r="248" spans="1:13" ht="12.75" x14ac:dyDescent="0.2">
      <c r="A248" s="2" t="str">
        <f>StartupfileInput!A246</f>
        <v>5724</v>
      </c>
      <c r="B248" s="1" t="str">
        <f>INDEX(ActiveDistricts!$A$2:$J$328,MATCH(Calculation!$A248,ActiveDistricts!$C$2:$C$328,0),6)</f>
        <v>5724</v>
      </c>
      <c r="C248" s="1" t="str">
        <f>INDEX(ActiveDistricts!$A$2:$J$328,MATCH(Calculation!$A248,ActiveDistricts!$C$2:$C$328,0),7)</f>
        <v>Ruthven-Ayrshire</v>
      </c>
      <c r="D248" s="14">
        <f>INDEX(StartupfileInput!$A$2:$D$328,MATCH(Calculation!$A248,StartupfileInput!$A$2:$A$328,0),3)</f>
        <v>225</v>
      </c>
      <c r="E248" s="20">
        <f>INDEX(ActiveDistricts!$A$2:$J$328,MATCH(Calculation!$A248,ActiveDistricts!$C$2:$C$328,0),10)</f>
        <v>0.67901234567901236</v>
      </c>
      <c r="F248" s="8">
        <f t="shared" si="23"/>
        <v>0.98099999999999998</v>
      </c>
      <c r="G248" s="8">
        <f t="shared" si="24"/>
        <v>0.45900000000000002</v>
      </c>
      <c r="H248" s="8">
        <f t="shared" si="21"/>
        <v>1.44</v>
      </c>
      <c r="I248">
        <f>INDEX(StartupfileInput!$A$2:$D$328,MATCH(Calculation!$A248,StartupfileInput!$A$2:$A$328,0),4)</f>
        <v>6884</v>
      </c>
      <c r="J248" s="107">
        <f t="shared" si="25"/>
        <v>7048</v>
      </c>
      <c r="K248" s="9">
        <f t="shared" si="22"/>
        <v>6914</v>
      </c>
      <c r="L248" s="9">
        <f t="shared" si="26"/>
        <v>3235</v>
      </c>
      <c r="M248" s="9">
        <f t="shared" si="27"/>
        <v>10149</v>
      </c>
    </row>
    <row r="249" spans="1:13" ht="12.75" x14ac:dyDescent="0.2">
      <c r="A249" s="2" t="str">
        <f>StartupfileInput!A247</f>
        <v>5805</v>
      </c>
      <c r="B249" s="1" t="str">
        <f>INDEX(ActiveDistricts!$A$2:$J$328,MATCH(Calculation!$A249,ActiveDistricts!$C$2:$C$328,0),6)</f>
        <v>5805</v>
      </c>
      <c r="C249" s="1" t="str">
        <f>INDEX(ActiveDistricts!$A$2:$J$328,MATCH(Calculation!$A249,ActiveDistricts!$C$2:$C$328,0),7)</f>
        <v>Saydel</v>
      </c>
      <c r="D249" s="14">
        <f>INDEX(StartupfileInput!$A$2:$D$328,MATCH(Calculation!$A249,StartupfileInput!$A$2:$A$328,0),3)</f>
        <v>1140.5999999999999</v>
      </c>
      <c r="E249" s="20">
        <f>INDEX(ActiveDistricts!$A$2:$J$328,MATCH(Calculation!$A249,ActiveDistricts!$C$2:$C$328,0),10)</f>
        <v>0.62257495590828926</v>
      </c>
      <c r="F249" s="8">
        <f t="shared" si="23"/>
        <v>4.5590000000000002</v>
      </c>
      <c r="G249" s="8">
        <f t="shared" si="24"/>
        <v>2.327</v>
      </c>
      <c r="H249" s="8">
        <f t="shared" si="21"/>
        <v>6.8860000000000001</v>
      </c>
      <c r="I249">
        <f>INDEX(StartupfileInput!$A$2:$D$328,MATCH(Calculation!$A249,StartupfileInput!$A$2:$A$328,0),4)</f>
        <v>6938</v>
      </c>
      <c r="J249" s="107">
        <f t="shared" si="25"/>
        <v>7096</v>
      </c>
      <c r="K249" s="9">
        <f t="shared" si="22"/>
        <v>32351</v>
      </c>
      <c r="L249" s="9">
        <f t="shared" si="26"/>
        <v>16512</v>
      </c>
      <c r="M249" s="9">
        <f t="shared" si="27"/>
        <v>48863</v>
      </c>
    </row>
    <row r="250" spans="1:13" ht="12.75" x14ac:dyDescent="0.2">
      <c r="A250" s="2" t="str">
        <f>StartupfileInput!A248</f>
        <v>5823</v>
      </c>
      <c r="B250" s="1" t="str">
        <f>INDEX(ActiveDistricts!$A$2:$J$328,MATCH(Calculation!$A250,ActiveDistricts!$C$2:$C$328,0),6)</f>
        <v>5823</v>
      </c>
      <c r="C250" s="1" t="str">
        <f>INDEX(ActiveDistricts!$A$2:$J$328,MATCH(Calculation!$A250,ActiveDistricts!$C$2:$C$328,0),7)</f>
        <v>Schaller-Crestland</v>
      </c>
      <c r="D250" s="14">
        <f>INDEX(StartupfileInput!$A$2:$D$328,MATCH(Calculation!$A250,StartupfileInput!$A$2:$A$328,0),3)</f>
        <v>365</v>
      </c>
      <c r="E250" s="20">
        <f>INDEX(ActiveDistricts!$A$2:$J$328,MATCH(Calculation!$A250,ActiveDistricts!$C$2:$C$328,0),10)</f>
        <v>0.58510638297872342</v>
      </c>
      <c r="F250" s="8">
        <f t="shared" si="23"/>
        <v>1.371</v>
      </c>
      <c r="G250" s="8">
        <f t="shared" si="24"/>
        <v>0.745</v>
      </c>
      <c r="H250" s="8">
        <f t="shared" si="21"/>
        <v>2.1160000000000001</v>
      </c>
      <c r="I250">
        <f>INDEX(StartupfileInput!$A$2:$D$328,MATCH(Calculation!$A250,StartupfileInput!$A$2:$A$328,0),4)</f>
        <v>6937</v>
      </c>
      <c r="J250" s="107">
        <f t="shared" si="25"/>
        <v>7095</v>
      </c>
      <c r="K250" s="9">
        <f t="shared" si="22"/>
        <v>9727</v>
      </c>
      <c r="L250" s="9">
        <f t="shared" si="26"/>
        <v>5286</v>
      </c>
      <c r="M250" s="9">
        <f t="shared" si="27"/>
        <v>15013</v>
      </c>
    </row>
    <row r="251" spans="1:13" ht="12.75" x14ac:dyDescent="0.2">
      <c r="A251" s="2" t="str">
        <f>StartupfileInput!A249</f>
        <v>5832</v>
      </c>
      <c r="B251" s="1" t="str">
        <f>INDEX(ActiveDistricts!$A$2:$J$328,MATCH(Calculation!$A251,ActiveDistricts!$C$2:$C$328,0),6)</f>
        <v>5832</v>
      </c>
      <c r="C251" s="1" t="str">
        <f>INDEX(ActiveDistricts!$A$2:$J$328,MATCH(Calculation!$A251,ActiveDistricts!$C$2:$C$328,0),7)</f>
        <v>Schleswig</v>
      </c>
      <c r="D251" s="14">
        <f>INDEX(StartupfileInput!$A$2:$D$328,MATCH(Calculation!$A251,StartupfileInput!$A$2:$A$328,0),3)</f>
        <v>249</v>
      </c>
      <c r="E251" s="20">
        <f>INDEX(ActiveDistricts!$A$2:$J$328,MATCH(Calculation!$A251,ActiveDistricts!$C$2:$C$328,0),10)</f>
        <v>0.37037037037037035</v>
      </c>
      <c r="F251" s="8">
        <f t="shared" si="23"/>
        <v>0.59199999999999997</v>
      </c>
      <c r="G251" s="8">
        <f t="shared" si="24"/>
        <v>0.50800000000000001</v>
      </c>
      <c r="H251" s="8">
        <f t="shared" si="21"/>
        <v>1.1000000000000001</v>
      </c>
      <c r="I251">
        <f>INDEX(StartupfileInput!$A$2:$D$328,MATCH(Calculation!$A251,StartupfileInput!$A$2:$A$328,0),4)</f>
        <v>6880</v>
      </c>
      <c r="J251" s="107">
        <f t="shared" si="25"/>
        <v>7048</v>
      </c>
      <c r="K251" s="9">
        <f t="shared" si="22"/>
        <v>4172</v>
      </c>
      <c r="L251" s="9">
        <f t="shared" si="26"/>
        <v>3581</v>
      </c>
      <c r="M251" s="9">
        <f t="shared" si="27"/>
        <v>7753</v>
      </c>
    </row>
    <row r="252" spans="1:13" ht="12.75" x14ac:dyDescent="0.2">
      <c r="A252" s="2" t="str">
        <f>StartupfileInput!A250</f>
        <v>5877</v>
      </c>
      <c r="B252" s="1" t="str">
        <f>INDEX(ActiveDistricts!$A$2:$J$328,MATCH(Calculation!$A252,ActiveDistricts!$C$2:$C$328,0),6)</f>
        <v>5877</v>
      </c>
      <c r="C252" s="1" t="str">
        <f>INDEX(ActiveDistricts!$A$2:$J$328,MATCH(Calculation!$A252,ActiveDistricts!$C$2:$C$328,0),7)</f>
        <v>Sergeant Bluff-Luton</v>
      </c>
      <c r="D252" s="14">
        <f>INDEX(StartupfileInput!$A$2:$D$328,MATCH(Calculation!$A252,StartupfileInput!$A$2:$A$328,0),3)</f>
        <v>1422.7</v>
      </c>
      <c r="E252" s="20">
        <f>INDEX(ActiveDistricts!$A$2:$J$328,MATCH(Calculation!$A252,ActiveDistricts!$C$2:$C$328,0),10)</f>
        <v>0.3477653631284916</v>
      </c>
      <c r="F252" s="8">
        <f t="shared" si="23"/>
        <v>3.1760000000000002</v>
      </c>
      <c r="G252" s="8">
        <f t="shared" si="24"/>
        <v>2.9020000000000001</v>
      </c>
      <c r="H252" s="8">
        <f t="shared" si="21"/>
        <v>6.0780000000000003</v>
      </c>
      <c r="I252">
        <f>INDEX(StartupfileInput!$A$2:$D$328,MATCH(Calculation!$A252,StartupfileInput!$A$2:$A$328,0),4)</f>
        <v>6880</v>
      </c>
      <c r="J252" s="107">
        <f t="shared" si="25"/>
        <v>7048</v>
      </c>
      <c r="K252" s="9">
        <f t="shared" si="22"/>
        <v>22384</v>
      </c>
      <c r="L252" s="9">
        <f t="shared" si="26"/>
        <v>20454</v>
      </c>
      <c r="M252" s="9">
        <f t="shared" si="27"/>
        <v>42838</v>
      </c>
    </row>
    <row r="253" spans="1:13" ht="12.75" x14ac:dyDescent="0.2">
      <c r="A253" s="2" t="str">
        <f>StartupfileInput!A251</f>
        <v>5895</v>
      </c>
      <c r="B253" s="1" t="str">
        <f>INDEX(ActiveDistricts!$A$2:$J$328,MATCH(Calculation!$A253,ActiveDistricts!$C$2:$C$328,0),6)</f>
        <v>5895</v>
      </c>
      <c r="C253" s="1" t="str">
        <f>INDEX(ActiveDistricts!$A$2:$J$328,MATCH(Calculation!$A253,ActiveDistricts!$C$2:$C$328,0),7)</f>
        <v>Seymour</v>
      </c>
      <c r="D253" s="14">
        <f>INDEX(StartupfileInput!$A$2:$D$328,MATCH(Calculation!$A253,StartupfileInput!$A$2:$A$328,0),3)</f>
        <v>266.8</v>
      </c>
      <c r="E253" s="20">
        <f>INDEX(ActiveDistricts!$A$2:$J$328,MATCH(Calculation!$A253,ActiveDistricts!$C$2:$C$328,0),10)</f>
        <v>0.60416666666666663</v>
      </c>
      <c r="F253" s="8">
        <f t="shared" si="23"/>
        <v>1.0349999999999999</v>
      </c>
      <c r="G253" s="8">
        <f t="shared" si="24"/>
        <v>0.54400000000000004</v>
      </c>
      <c r="H253" s="8">
        <f t="shared" si="21"/>
        <v>1.579</v>
      </c>
      <c r="I253">
        <f>INDEX(StartupfileInput!$A$2:$D$328,MATCH(Calculation!$A253,StartupfileInput!$A$2:$A$328,0),4)</f>
        <v>6880</v>
      </c>
      <c r="J253" s="107">
        <f t="shared" si="25"/>
        <v>7048</v>
      </c>
      <c r="K253" s="9">
        <f t="shared" si="22"/>
        <v>7295</v>
      </c>
      <c r="L253" s="9">
        <f t="shared" si="26"/>
        <v>3834</v>
      </c>
      <c r="M253" s="9">
        <f t="shared" si="27"/>
        <v>11129</v>
      </c>
    </row>
    <row r="254" spans="1:13" ht="12.75" x14ac:dyDescent="0.2">
      <c r="A254" s="2" t="str">
        <f>StartupfileInput!A252</f>
        <v>5949</v>
      </c>
      <c r="B254" s="1" t="str">
        <f>INDEX(ActiveDistricts!$A$2:$J$328,MATCH(Calculation!$A254,ActiveDistricts!$C$2:$C$328,0),6)</f>
        <v>5949</v>
      </c>
      <c r="C254" s="1" t="str">
        <f>INDEX(ActiveDistricts!$A$2:$J$328,MATCH(Calculation!$A254,ActiveDistricts!$C$2:$C$328,0),7)</f>
        <v>Sheldon</v>
      </c>
      <c r="D254" s="14">
        <f>INDEX(StartupfileInput!$A$2:$D$328,MATCH(Calculation!$A254,StartupfileInput!$A$2:$A$328,0),3)</f>
        <v>1072</v>
      </c>
      <c r="E254" s="20">
        <f>INDEX(ActiveDistricts!$A$2:$J$328,MATCH(Calculation!$A254,ActiveDistricts!$C$2:$C$328,0),10)</f>
        <v>0.44742268041237115</v>
      </c>
      <c r="F254" s="8">
        <f t="shared" si="23"/>
        <v>3.0790000000000002</v>
      </c>
      <c r="G254" s="8">
        <f t="shared" si="24"/>
        <v>2.1869999999999998</v>
      </c>
      <c r="H254" s="8">
        <f t="shared" si="21"/>
        <v>5.266</v>
      </c>
      <c r="I254">
        <f>INDEX(StartupfileInput!$A$2:$D$328,MATCH(Calculation!$A254,StartupfileInput!$A$2:$A$328,0),4)</f>
        <v>6880</v>
      </c>
      <c r="J254" s="107">
        <f t="shared" si="25"/>
        <v>7048</v>
      </c>
      <c r="K254" s="9">
        <f t="shared" si="22"/>
        <v>21701</v>
      </c>
      <c r="L254" s="9">
        <f t="shared" si="26"/>
        <v>15414</v>
      </c>
      <c r="M254" s="9">
        <f t="shared" si="27"/>
        <v>37115</v>
      </c>
    </row>
    <row r="255" spans="1:13" ht="12.75" x14ac:dyDescent="0.2">
      <c r="A255" s="2" t="str">
        <f>StartupfileInput!A253</f>
        <v>5976</v>
      </c>
      <c r="B255" s="1" t="str">
        <f>INDEX(ActiveDistricts!$A$2:$J$328,MATCH(Calculation!$A255,ActiveDistricts!$C$2:$C$328,0),6)</f>
        <v>5976</v>
      </c>
      <c r="C255" s="1" t="str">
        <f>INDEX(ActiveDistricts!$A$2:$J$328,MATCH(Calculation!$A255,ActiveDistricts!$C$2:$C$328,0),7)</f>
        <v>Shenandoah</v>
      </c>
      <c r="D255" s="14">
        <f>INDEX(StartupfileInput!$A$2:$D$328,MATCH(Calculation!$A255,StartupfileInput!$A$2:$A$328,0),3)</f>
        <v>1058.4000000000001</v>
      </c>
      <c r="E255" s="20">
        <f>INDEX(ActiveDistricts!$A$2:$J$328,MATCH(Calculation!$A255,ActiveDistricts!$C$2:$C$328,0),10)</f>
        <v>0.56779661016949157</v>
      </c>
      <c r="F255" s="8">
        <f t="shared" si="23"/>
        <v>3.8580000000000001</v>
      </c>
      <c r="G255" s="8">
        <f t="shared" si="24"/>
        <v>2.1589999999999998</v>
      </c>
      <c r="H255" s="8">
        <f t="shared" si="21"/>
        <v>6.0169999999999995</v>
      </c>
      <c r="I255">
        <f>INDEX(StartupfileInput!$A$2:$D$328,MATCH(Calculation!$A255,StartupfileInput!$A$2:$A$328,0),4)</f>
        <v>6880</v>
      </c>
      <c r="J255" s="107">
        <f t="shared" si="25"/>
        <v>7048</v>
      </c>
      <c r="K255" s="9">
        <f t="shared" si="22"/>
        <v>27191</v>
      </c>
      <c r="L255" s="9">
        <f t="shared" si="26"/>
        <v>15217</v>
      </c>
      <c r="M255" s="9">
        <f t="shared" si="27"/>
        <v>42408</v>
      </c>
    </row>
    <row r="256" spans="1:13" ht="12.75" x14ac:dyDescent="0.2">
      <c r="A256" s="2" t="str">
        <f>StartupfileInput!A254</f>
        <v>5994</v>
      </c>
      <c r="B256" s="1" t="str">
        <f>INDEX(ActiveDistricts!$A$2:$J$328,MATCH(Calculation!$A256,ActiveDistricts!$C$2:$C$328,0),6)</f>
        <v>5994</v>
      </c>
      <c r="C256" s="1" t="str">
        <f>INDEX(ActiveDistricts!$A$2:$J$328,MATCH(Calculation!$A256,ActiveDistricts!$C$2:$C$328,0),7)</f>
        <v>Sibley-Ocheyedan</v>
      </c>
      <c r="D256" s="14">
        <f>INDEX(StartupfileInput!$A$2:$D$328,MATCH(Calculation!$A256,StartupfileInput!$A$2:$A$328,0),3)</f>
        <v>735.3</v>
      </c>
      <c r="E256" s="20">
        <f>INDEX(ActiveDistricts!$A$2:$J$328,MATCH(Calculation!$A256,ActiveDistricts!$C$2:$C$328,0),10)</f>
        <v>0.49342105263157893</v>
      </c>
      <c r="F256" s="8">
        <f t="shared" si="23"/>
        <v>2.3290000000000002</v>
      </c>
      <c r="G256" s="8">
        <f t="shared" si="24"/>
        <v>1.5</v>
      </c>
      <c r="H256" s="8">
        <f t="shared" si="21"/>
        <v>3.8290000000000002</v>
      </c>
      <c r="I256">
        <f>INDEX(StartupfileInput!$A$2:$D$328,MATCH(Calculation!$A256,StartupfileInput!$A$2:$A$328,0),4)</f>
        <v>6900</v>
      </c>
      <c r="J256" s="107">
        <f t="shared" si="25"/>
        <v>7058</v>
      </c>
      <c r="K256" s="9">
        <f t="shared" si="22"/>
        <v>16438</v>
      </c>
      <c r="L256" s="9">
        <f t="shared" si="26"/>
        <v>10587</v>
      </c>
      <c r="M256" s="9">
        <f t="shared" si="27"/>
        <v>27025</v>
      </c>
    </row>
    <row r="257" spans="1:13" ht="12.75" x14ac:dyDescent="0.2">
      <c r="A257" s="2" t="str">
        <f>StartupfileInput!A255</f>
        <v>6003</v>
      </c>
      <c r="B257" s="1" t="str">
        <f>INDEX(ActiveDistricts!$A$2:$J$328,MATCH(Calculation!$A257,ActiveDistricts!$C$2:$C$328,0),6)</f>
        <v>6003</v>
      </c>
      <c r="C257" s="1" t="str">
        <f>INDEX(ActiveDistricts!$A$2:$J$328,MATCH(Calculation!$A257,ActiveDistricts!$C$2:$C$328,0),7)</f>
        <v>Sidney</v>
      </c>
      <c r="D257" s="14">
        <f>INDEX(StartupfileInput!$A$2:$D$328,MATCH(Calculation!$A257,StartupfileInput!$A$2:$A$328,0),3)</f>
        <v>372.8</v>
      </c>
      <c r="E257" s="20">
        <f>INDEX(ActiveDistricts!$A$2:$J$328,MATCH(Calculation!$A257,ActiveDistricts!$C$2:$C$328,0),10)</f>
        <v>0.53846153846153844</v>
      </c>
      <c r="F257" s="8">
        <f t="shared" si="23"/>
        <v>1.2889999999999999</v>
      </c>
      <c r="G257" s="8">
        <f t="shared" si="24"/>
        <v>0.76100000000000001</v>
      </c>
      <c r="H257" s="8">
        <f t="shared" si="21"/>
        <v>2.0499999999999998</v>
      </c>
      <c r="I257">
        <f>INDEX(StartupfileInput!$A$2:$D$328,MATCH(Calculation!$A257,StartupfileInput!$A$2:$A$328,0),4)</f>
        <v>6882</v>
      </c>
      <c r="J257" s="107">
        <f t="shared" si="25"/>
        <v>7048</v>
      </c>
      <c r="K257" s="9">
        <f t="shared" si="22"/>
        <v>9085</v>
      </c>
      <c r="L257" s="9">
        <f t="shared" si="26"/>
        <v>5363</v>
      </c>
      <c r="M257" s="9">
        <f t="shared" si="27"/>
        <v>14448</v>
      </c>
    </row>
    <row r="258" spans="1:13" ht="12.75" x14ac:dyDescent="0.2">
      <c r="A258" s="2" t="str">
        <f>StartupfileInput!A256</f>
        <v>6012</v>
      </c>
      <c r="B258" s="1" t="str">
        <f>INDEX(ActiveDistricts!$A$2:$J$328,MATCH(Calculation!$A258,ActiveDistricts!$C$2:$C$328,0),6)</f>
        <v>6012</v>
      </c>
      <c r="C258" s="1" t="str">
        <f>INDEX(ActiveDistricts!$A$2:$J$328,MATCH(Calculation!$A258,ActiveDistricts!$C$2:$C$328,0),7)</f>
        <v>Sigourney</v>
      </c>
      <c r="D258" s="14">
        <f>INDEX(StartupfileInput!$A$2:$D$328,MATCH(Calculation!$A258,StartupfileInput!$A$2:$A$328,0),3)</f>
        <v>552</v>
      </c>
      <c r="E258" s="20">
        <f>INDEX(ActiveDistricts!$A$2:$J$328,MATCH(Calculation!$A258,ActiveDistricts!$C$2:$C$328,0),10)</f>
        <v>0.36475409836065575</v>
      </c>
      <c r="F258" s="8">
        <f t="shared" si="23"/>
        <v>1.2929999999999999</v>
      </c>
      <c r="G258" s="8">
        <f t="shared" si="24"/>
        <v>1.1259999999999999</v>
      </c>
      <c r="H258" s="8">
        <f t="shared" si="21"/>
        <v>2.4189999999999996</v>
      </c>
      <c r="I258">
        <f>INDEX(StartupfileInput!$A$2:$D$328,MATCH(Calculation!$A258,StartupfileInput!$A$2:$A$328,0),4)</f>
        <v>6880</v>
      </c>
      <c r="J258" s="107">
        <f t="shared" si="25"/>
        <v>7048</v>
      </c>
      <c r="K258" s="9">
        <f t="shared" si="22"/>
        <v>9113</v>
      </c>
      <c r="L258" s="9">
        <f t="shared" si="26"/>
        <v>7936</v>
      </c>
      <c r="M258" s="9">
        <f t="shared" si="27"/>
        <v>17049</v>
      </c>
    </row>
    <row r="259" spans="1:13" ht="12.75" x14ac:dyDescent="0.2">
      <c r="A259" s="2" t="str">
        <f>StartupfileInput!A257</f>
        <v>6030</v>
      </c>
      <c r="B259" s="1" t="str">
        <f>INDEX(ActiveDistricts!$A$2:$J$328,MATCH(Calculation!$A259,ActiveDistricts!$C$2:$C$328,0),6)</f>
        <v>6030</v>
      </c>
      <c r="C259" s="1" t="str">
        <f>INDEX(ActiveDistricts!$A$2:$J$328,MATCH(Calculation!$A259,ActiveDistricts!$C$2:$C$328,0),7)</f>
        <v>Sioux Center</v>
      </c>
      <c r="D259" s="14">
        <f>INDEX(StartupfileInput!$A$2:$D$328,MATCH(Calculation!$A259,StartupfileInput!$A$2:$A$328,0),3)</f>
        <v>1420.6</v>
      </c>
      <c r="E259" s="20">
        <f>INDEX(ActiveDistricts!$A$2:$J$328,MATCH(Calculation!$A259,ActiveDistricts!$C$2:$C$328,0),10)</f>
        <v>0.42175856929955291</v>
      </c>
      <c r="F259" s="8">
        <f t="shared" si="23"/>
        <v>3.847</v>
      </c>
      <c r="G259" s="8">
        <f t="shared" si="24"/>
        <v>2.8980000000000001</v>
      </c>
      <c r="H259" s="8">
        <f t="shared" si="21"/>
        <v>6.7450000000000001</v>
      </c>
      <c r="I259">
        <f>INDEX(StartupfileInput!$A$2:$D$328,MATCH(Calculation!$A259,StartupfileInput!$A$2:$A$328,0),4)</f>
        <v>6880</v>
      </c>
      <c r="J259" s="107">
        <f t="shared" si="25"/>
        <v>7048</v>
      </c>
      <c r="K259" s="9">
        <f t="shared" ref="K259:K321" si="28">ROUND(F259*J259,0)</f>
        <v>27114</v>
      </c>
      <c r="L259" s="9">
        <f t="shared" si="26"/>
        <v>20425</v>
      </c>
      <c r="M259" s="9">
        <f t="shared" si="27"/>
        <v>47539</v>
      </c>
    </row>
    <row r="260" spans="1:13" ht="12.75" x14ac:dyDescent="0.2">
      <c r="A260" s="2" t="str">
        <f>StartupfileInput!A258</f>
        <v>6048</v>
      </c>
      <c r="B260" s="1" t="str">
        <f>INDEX(ActiveDistricts!$A$2:$J$328,MATCH(Calculation!$A260,ActiveDistricts!$C$2:$C$328,0),6)</f>
        <v>6035</v>
      </c>
      <c r="C260" s="1" t="str">
        <f>INDEX(ActiveDistricts!$A$2:$J$328,MATCH(Calculation!$A260,ActiveDistricts!$C$2:$C$328,0),7)</f>
        <v>Sioux Central</v>
      </c>
      <c r="D260" s="14">
        <f>INDEX(StartupfileInput!$A$2:$D$328,MATCH(Calculation!$A260,StartupfileInput!$A$2:$A$328,0),3)</f>
        <v>481.4</v>
      </c>
      <c r="E260" s="20">
        <f>INDEX(ActiveDistricts!$A$2:$J$328,MATCH(Calculation!$A260,ActiveDistricts!$C$2:$C$328,0),10)</f>
        <v>0.4009216589861751</v>
      </c>
      <c r="F260" s="8">
        <f t="shared" si="23"/>
        <v>1.2390000000000001</v>
      </c>
      <c r="G260" s="8">
        <f t="shared" si="24"/>
        <v>0.98199999999999998</v>
      </c>
      <c r="H260" s="8">
        <f t="shared" ref="H260:H323" si="29">SUM(F260:G260)</f>
        <v>2.2210000000000001</v>
      </c>
      <c r="I260">
        <f>INDEX(StartupfileInput!$A$2:$D$328,MATCH(Calculation!$A260,StartupfileInput!$A$2:$A$328,0),4)</f>
        <v>6885</v>
      </c>
      <c r="J260" s="107">
        <f t="shared" si="25"/>
        <v>7048</v>
      </c>
      <c r="K260" s="9">
        <f t="shared" si="28"/>
        <v>8732</v>
      </c>
      <c r="L260" s="9">
        <f t="shared" si="26"/>
        <v>6922</v>
      </c>
      <c r="M260" s="9">
        <f t="shared" si="27"/>
        <v>15654</v>
      </c>
    </row>
    <row r="261" spans="1:13" ht="12.75" x14ac:dyDescent="0.2">
      <c r="A261" s="2" t="str">
        <f>StartupfileInput!A259</f>
        <v>6039</v>
      </c>
      <c r="B261" s="1" t="str">
        <f>INDEX(ActiveDistricts!$A$2:$J$328,MATCH(Calculation!$A261,ActiveDistricts!$C$2:$C$328,0),6)</f>
        <v>6039</v>
      </c>
      <c r="C261" s="1" t="str">
        <f>INDEX(ActiveDistricts!$A$2:$J$328,MATCH(Calculation!$A261,ActiveDistricts!$C$2:$C$328,0),7)</f>
        <v>Sioux City</v>
      </c>
      <c r="D261" s="14">
        <f>INDEX(StartupfileInput!$A$2:$D$328,MATCH(Calculation!$A261,StartupfileInput!$A$2:$A$328,0),3)</f>
        <v>15016.9</v>
      </c>
      <c r="E261" s="20">
        <f>INDEX(ActiveDistricts!$A$2:$J$328,MATCH(Calculation!$A261,ActiveDistricts!$C$2:$C$328,0),10)</f>
        <v>0.54300346437716529</v>
      </c>
      <c r="F261" s="8">
        <f t="shared" ref="F261:F324" si="30">ROUND(D261*E261*$F$3,3)</f>
        <v>52.35</v>
      </c>
      <c r="G261" s="8">
        <f t="shared" ref="G261:G324" si="31">ROUND(D261*$G$3,3)</f>
        <v>30.634</v>
      </c>
      <c r="H261" s="8">
        <f t="shared" si="29"/>
        <v>82.984000000000009</v>
      </c>
      <c r="I261">
        <f>INDEX(StartupfileInput!$A$2:$D$328,MATCH(Calculation!$A261,StartupfileInput!$A$2:$A$328,0),4)</f>
        <v>6880</v>
      </c>
      <c r="J261" s="107">
        <f t="shared" ref="J261:J324" si="32">MAX(I261+$R$2,$T$2)</f>
        <v>7048</v>
      </c>
      <c r="K261" s="9">
        <f t="shared" si="28"/>
        <v>368963</v>
      </c>
      <c r="L261" s="9">
        <f t="shared" ref="L261:L324" si="33">M261-K261</f>
        <v>215908</v>
      </c>
      <c r="M261" s="9">
        <f t="shared" ref="M261:M324" si="34">ROUND(H261*J261,0)</f>
        <v>584871</v>
      </c>
    </row>
    <row r="262" spans="1:13" ht="12.75" x14ac:dyDescent="0.2">
      <c r="A262" s="2" t="str">
        <f>StartupfileInput!A260</f>
        <v>6093</v>
      </c>
      <c r="B262" s="1" t="str">
        <f>INDEX(ActiveDistricts!$A$2:$J$328,MATCH(Calculation!$A262,ActiveDistricts!$C$2:$C$328,0),6)</f>
        <v>6093</v>
      </c>
      <c r="C262" s="1" t="str">
        <f>INDEX(ActiveDistricts!$A$2:$J$328,MATCH(Calculation!$A262,ActiveDistricts!$C$2:$C$328,0),7)</f>
        <v>Solon</v>
      </c>
      <c r="D262" s="14">
        <f>INDEX(StartupfileInput!$A$2:$D$328,MATCH(Calculation!$A262,StartupfileInput!$A$2:$A$328,0),3)</f>
        <v>1395.9</v>
      </c>
      <c r="E262" s="20">
        <f>INDEX(ActiveDistricts!$A$2:$J$328,MATCH(Calculation!$A262,ActiveDistricts!$C$2:$C$328,0),10)</f>
        <v>0.10534351145038168</v>
      </c>
      <c r="F262" s="8">
        <f t="shared" si="30"/>
        <v>0.94399999999999995</v>
      </c>
      <c r="G262" s="8">
        <f t="shared" si="31"/>
        <v>2.8479999999999999</v>
      </c>
      <c r="H262" s="8">
        <f t="shared" si="29"/>
        <v>3.7919999999999998</v>
      </c>
      <c r="I262">
        <f>INDEX(StartupfileInput!$A$2:$D$328,MATCH(Calculation!$A262,StartupfileInput!$A$2:$A$328,0),4)</f>
        <v>6880</v>
      </c>
      <c r="J262" s="107">
        <f t="shared" si="32"/>
        <v>7048</v>
      </c>
      <c r="K262" s="9">
        <f t="shared" si="28"/>
        <v>6653</v>
      </c>
      <c r="L262" s="9">
        <f t="shared" si="33"/>
        <v>20073</v>
      </c>
      <c r="M262" s="9">
        <f t="shared" si="34"/>
        <v>26726</v>
      </c>
    </row>
    <row r="263" spans="1:13" ht="12.75" x14ac:dyDescent="0.2">
      <c r="A263" s="2" t="str">
        <f>StartupfileInput!A261</f>
        <v>6091</v>
      </c>
      <c r="B263" s="1" t="str">
        <f>INDEX(ActiveDistricts!$A$2:$J$328,MATCH(Calculation!$A263,ActiveDistricts!$C$2:$C$328,0),6)</f>
        <v>6091</v>
      </c>
      <c r="C263" s="1" t="str">
        <f>INDEX(ActiveDistricts!$A$2:$J$328,MATCH(Calculation!$A263,ActiveDistricts!$C$2:$C$328,0),7)</f>
        <v>South Central Calhoun</v>
      </c>
      <c r="D263" s="14">
        <f>INDEX(StartupfileInput!$A$2:$D$328,MATCH(Calculation!$A263,StartupfileInput!$A$2:$A$328,0),3)</f>
        <v>936.2</v>
      </c>
      <c r="E263" s="20">
        <f>INDEX(ActiveDistricts!$A$2:$J$328,MATCH(Calculation!$A263,ActiveDistricts!$C$2:$C$328,0),10)</f>
        <v>0.47135416666666669</v>
      </c>
      <c r="F263" s="8">
        <f t="shared" si="30"/>
        <v>2.8330000000000002</v>
      </c>
      <c r="G263" s="8">
        <f t="shared" si="31"/>
        <v>1.91</v>
      </c>
      <c r="H263" s="8">
        <f t="shared" si="29"/>
        <v>4.7430000000000003</v>
      </c>
      <c r="I263">
        <f>INDEX(StartupfileInput!$A$2:$D$328,MATCH(Calculation!$A263,StartupfileInput!$A$2:$A$328,0),4)</f>
        <v>6903</v>
      </c>
      <c r="J263" s="107">
        <f t="shared" si="32"/>
        <v>7061</v>
      </c>
      <c r="K263" s="9">
        <f t="shared" si="28"/>
        <v>20004</v>
      </c>
      <c r="L263" s="9">
        <f t="shared" si="33"/>
        <v>13486</v>
      </c>
      <c r="M263" s="9">
        <f t="shared" si="34"/>
        <v>33490</v>
      </c>
    </row>
    <row r="264" spans="1:13" ht="12.75" x14ac:dyDescent="0.2">
      <c r="A264" s="2" t="str">
        <f>StartupfileInput!A262</f>
        <v>6095</v>
      </c>
      <c r="B264" s="1" t="str">
        <f>INDEX(ActiveDistricts!$A$2:$J$328,MATCH(Calculation!$A264,ActiveDistricts!$C$2:$C$328,0),6)</f>
        <v>6095</v>
      </c>
      <c r="C264" s="1" t="str">
        <f>INDEX(ActiveDistricts!$A$2:$J$328,MATCH(Calculation!$A264,ActiveDistricts!$C$2:$C$328,0),7)</f>
        <v>South Hamilton</v>
      </c>
      <c r="D264" s="14">
        <f>INDEX(StartupfileInput!$A$2:$D$328,MATCH(Calculation!$A264,StartupfileInput!$A$2:$A$328,0),3)</f>
        <v>639.4</v>
      </c>
      <c r="E264" s="20">
        <f>INDEX(ActiveDistricts!$A$2:$J$328,MATCH(Calculation!$A264,ActiveDistricts!$C$2:$C$328,0),10)</f>
        <v>0.37313432835820898</v>
      </c>
      <c r="F264" s="8">
        <f t="shared" si="30"/>
        <v>1.532</v>
      </c>
      <c r="G264" s="8">
        <f t="shared" si="31"/>
        <v>1.304</v>
      </c>
      <c r="H264" s="8">
        <f t="shared" si="29"/>
        <v>2.8360000000000003</v>
      </c>
      <c r="I264">
        <f>INDEX(StartupfileInput!$A$2:$D$328,MATCH(Calculation!$A264,StartupfileInput!$A$2:$A$328,0),4)</f>
        <v>6932</v>
      </c>
      <c r="J264" s="107">
        <f t="shared" si="32"/>
        <v>7090</v>
      </c>
      <c r="K264" s="9">
        <f t="shared" si="28"/>
        <v>10862</v>
      </c>
      <c r="L264" s="9">
        <f t="shared" si="33"/>
        <v>9245</v>
      </c>
      <c r="M264" s="9">
        <f t="shared" si="34"/>
        <v>20107</v>
      </c>
    </row>
    <row r="265" spans="1:13" ht="12.75" x14ac:dyDescent="0.2">
      <c r="A265" s="2" t="str">
        <f>StartupfileInput!A263</f>
        <v>5157</v>
      </c>
      <c r="B265" s="1" t="str">
        <f>INDEX(ActiveDistricts!$A$2:$J$328,MATCH(Calculation!$A265,ActiveDistricts!$C$2:$C$328,0),6)</f>
        <v>6099</v>
      </c>
      <c r="C265" s="1" t="str">
        <f>INDEX(ActiveDistricts!$A$2:$J$328,MATCH(Calculation!$A265,ActiveDistricts!$C$2:$C$328,0),7)</f>
        <v>South O'Brien</v>
      </c>
      <c r="D265" s="14">
        <f>INDEX(StartupfileInput!$A$2:$D$328,MATCH(Calculation!$A265,StartupfileInput!$A$2:$A$328,0),3)</f>
        <v>606.1</v>
      </c>
      <c r="E265" s="20">
        <f>INDEX(ActiveDistricts!$A$2:$J$328,MATCH(Calculation!$A265,ActiveDistricts!$C$2:$C$328,0),10)</f>
        <v>0.38356164383561642</v>
      </c>
      <c r="F265" s="8">
        <f t="shared" si="30"/>
        <v>1.4930000000000001</v>
      </c>
      <c r="G265" s="8">
        <f t="shared" si="31"/>
        <v>1.236</v>
      </c>
      <c r="H265" s="8">
        <f t="shared" si="29"/>
        <v>2.7290000000000001</v>
      </c>
      <c r="I265">
        <f>INDEX(StartupfileInput!$A$2:$D$328,MATCH(Calculation!$A265,StartupfileInput!$A$2:$A$328,0),4)</f>
        <v>6923</v>
      </c>
      <c r="J265" s="107">
        <f t="shared" si="32"/>
        <v>7081</v>
      </c>
      <c r="K265" s="9">
        <f t="shared" si="28"/>
        <v>10572</v>
      </c>
      <c r="L265" s="9">
        <f t="shared" si="33"/>
        <v>8752</v>
      </c>
      <c r="M265" s="9">
        <f t="shared" si="34"/>
        <v>19324</v>
      </c>
    </row>
    <row r="266" spans="1:13" ht="12.75" x14ac:dyDescent="0.2">
      <c r="A266" s="2" t="str">
        <f>StartupfileInput!A264</f>
        <v>6097</v>
      </c>
      <c r="B266" s="1" t="str">
        <f>INDEX(ActiveDistricts!$A$2:$J$328,MATCH(Calculation!$A266,ActiveDistricts!$C$2:$C$328,0),6)</f>
        <v>6097</v>
      </c>
      <c r="C266" s="1" t="str">
        <f>INDEX(ActiveDistricts!$A$2:$J$328,MATCH(Calculation!$A266,ActiveDistricts!$C$2:$C$328,0),7)</f>
        <v>South Page</v>
      </c>
      <c r="D266" s="14">
        <f>INDEX(StartupfileInput!$A$2:$D$328,MATCH(Calculation!$A266,StartupfileInput!$A$2:$A$328,0),3)</f>
        <v>207</v>
      </c>
      <c r="E266" s="20">
        <f>INDEX(ActiveDistricts!$A$2:$J$328,MATCH(Calculation!$A266,ActiveDistricts!$C$2:$C$328,0),10)</f>
        <v>0.57407407407407407</v>
      </c>
      <c r="F266" s="8">
        <f t="shared" si="30"/>
        <v>0.76300000000000001</v>
      </c>
      <c r="G266" s="8">
        <f t="shared" si="31"/>
        <v>0.42199999999999999</v>
      </c>
      <c r="H266" s="8">
        <f t="shared" si="29"/>
        <v>1.1850000000000001</v>
      </c>
      <c r="I266">
        <f>INDEX(StartupfileInput!$A$2:$D$328,MATCH(Calculation!$A266,StartupfileInput!$A$2:$A$328,0),4)</f>
        <v>6880</v>
      </c>
      <c r="J266" s="107">
        <f t="shared" si="32"/>
        <v>7048</v>
      </c>
      <c r="K266" s="9">
        <f t="shared" si="28"/>
        <v>5378</v>
      </c>
      <c r="L266" s="9">
        <f t="shared" si="33"/>
        <v>2974</v>
      </c>
      <c r="M266" s="9">
        <f t="shared" si="34"/>
        <v>8352</v>
      </c>
    </row>
    <row r="267" spans="1:13" ht="12.75" x14ac:dyDescent="0.2">
      <c r="A267" s="2" t="str">
        <f>StartupfileInput!A265</f>
        <v>6098</v>
      </c>
      <c r="B267" s="1" t="str">
        <f>INDEX(ActiveDistricts!$A$2:$J$328,MATCH(Calculation!$A267,ActiveDistricts!$C$2:$C$328,0),6)</f>
        <v>6098</v>
      </c>
      <c r="C267" s="1" t="str">
        <f>INDEX(ActiveDistricts!$A$2:$J$328,MATCH(Calculation!$A267,ActiveDistricts!$C$2:$C$328,0),7)</f>
        <v>South Tama</v>
      </c>
      <c r="D267" s="14">
        <f>INDEX(StartupfileInput!$A$2:$D$328,MATCH(Calculation!$A267,StartupfileInput!$A$2:$A$328,0),3)</f>
        <v>1528.5</v>
      </c>
      <c r="E267" s="20">
        <f>INDEX(ActiveDistricts!$A$2:$J$328,MATCH(Calculation!$A267,ActiveDistricts!$C$2:$C$328,0),10)</f>
        <v>0.65543644716692195</v>
      </c>
      <c r="F267" s="8">
        <f t="shared" si="30"/>
        <v>6.4320000000000004</v>
      </c>
      <c r="G267" s="8">
        <f t="shared" si="31"/>
        <v>3.1179999999999999</v>
      </c>
      <c r="H267" s="8">
        <f t="shared" si="29"/>
        <v>9.5500000000000007</v>
      </c>
      <c r="I267">
        <f>INDEX(StartupfileInput!$A$2:$D$328,MATCH(Calculation!$A267,StartupfileInput!$A$2:$A$328,0),4)</f>
        <v>6890</v>
      </c>
      <c r="J267" s="107">
        <f t="shared" si="32"/>
        <v>7048</v>
      </c>
      <c r="K267" s="9">
        <f t="shared" si="28"/>
        <v>45333</v>
      </c>
      <c r="L267" s="9">
        <f t="shared" si="33"/>
        <v>21975</v>
      </c>
      <c r="M267" s="9">
        <f t="shared" si="34"/>
        <v>67308</v>
      </c>
    </row>
    <row r="268" spans="1:13" ht="12.75" x14ac:dyDescent="0.2">
      <c r="A268" s="2" t="str">
        <f>StartupfileInput!A266</f>
        <v>6100</v>
      </c>
      <c r="B268" s="1" t="str">
        <f>INDEX(ActiveDistricts!$A$2:$J$328,MATCH(Calculation!$A268,ActiveDistricts!$C$2:$C$328,0),6)</f>
        <v>6100</v>
      </c>
      <c r="C268" s="1" t="str">
        <f>INDEX(ActiveDistricts!$A$2:$J$328,MATCH(Calculation!$A268,ActiveDistricts!$C$2:$C$328,0),7)</f>
        <v>South Winneshiek</v>
      </c>
      <c r="D268" s="14">
        <f>INDEX(StartupfileInput!$A$2:$D$328,MATCH(Calculation!$A268,StartupfileInput!$A$2:$A$328,0),3)</f>
        <v>523.70000000000005</v>
      </c>
      <c r="E268" s="20">
        <f>INDEX(ActiveDistricts!$A$2:$J$328,MATCH(Calculation!$A268,ActiveDistricts!$C$2:$C$328,0),10)</f>
        <v>0.41397849462365593</v>
      </c>
      <c r="F268" s="8">
        <f t="shared" si="30"/>
        <v>1.3919999999999999</v>
      </c>
      <c r="G268" s="8">
        <f t="shared" si="31"/>
        <v>1.0680000000000001</v>
      </c>
      <c r="H268" s="8">
        <f t="shared" si="29"/>
        <v>2.46</v>
      </c>
      <c r="I268">
        <f>INDEX(StartupfileInput!$A$2:$D$328,MATCH(Calculation!$A268,StartupfileInput!$A$2:$A$328,0),4)</f>
        <v>6880</v>
      </c>
      <c r="J268" s="107">
        <f t="shared" si="32"/>
        <v>7048</v>
      </c>
      <c r="K268" s="9">
        <f t="shared" si="28"/>
        <v>9811</v>
      </c>
      <c r="L268" s="9">
        <f t="shared" si="33"/>
        <v>7527</v>
      </c>
      <c r="M268" s="9">
        <f t="shared" si="34"/>
        <v>17338</v>
      </c>
    </row>
    <row r="269" spans="1:13" ht="12.75" x14ac:dyDescent="0.2">
      <c r="A269" s="2" t="str">
        <f>StartupfileInput!A267</f>
        <v>6101</v>
      </c>
      <c r="B269" s="1" t="str">
        <f>INDEX(ActiveDistricts!$A$2:$J$328,MATCH(Calculation!$A269,ActiveDistricts!$C$2:$C$328,0),6)</f>
        <v>6101</v>
      </c>
      <c r="C269" s="1" t="str">
        <f>INDEX(ActiveDistricts!$A$2:$J$328,MATCH(Calculation!$A269,ActiveDistricts!$C$2:$C$328,0),7)</f>
        <v>Southeast Polk</v>
      </c>
      <c r="D269" s="14">
        <f>INDEX(StartupfileInput!$A$2:$D$328,MATCH(Calculation!$A269,StartupfileInput!$A$2:$A$328,0),3)</f>
        <v>6992.2</v>
      </c>
      <c r="E269" s="20">
        <f>INDEX(ActiveDistricts!$A$2:$J$328,MATCH(Calculation!$A269,ActiveDistricts!$C$2:$C$328,0),10)</f>
        <v>0.34448375683499516</v>
      </c>
      <c r="F269" s="8">
        <f t="shared" si="30"/>
        <v>15.464</v>
      </c>
      <c r="G269" s="8">
        <f t="shared" si="31"/>
        <v>14.263999999999999</v>
      </c>
      <c r="H269" s="8">
        <f t="shared" si="29"/>
        <v>29.728000000000002</v>
      </c>
      <c r="I269">
        <f>INDEX(StartupfileInput!$A$2:$D$328,MATCH(Calculation!$A269,StartupfileInput!$A$2:$A$328,0),4)</f>
        <v>6880</v>
      </c>
      <c r="J269" s="107">
        <f t="shared" si="32"/>
        <v>7048</v>
      </c>
      <c r="K269" s="9">
        <f t="shared" si="28"/>
        <v>108990</v>
      </c>
      <c r="L269" s="9">
        <f t="shared" si="33"/>
        <v>100533</v>
      </c>
      <c r="M269" s="9">
        <f t="shared" si="34"/>
        <v>209523</v>
      </c>
    </row>
    <row r="270" spans="1:13" ht="12.75" x14ac:dyDescent="0.2">
      <c r="A270" s="2" t="str">
        <f>StartupfileInput!A268</f>
        <v>6094</v>
      </c>
      <c r="B270" s="1" t="str">
        <f>INDEX(ActiveDistricts!$A$2:$J$328,MATCH(Calculation!$A270,ActiveDistricts!$C$2:$C$328,0),6)</f>
        <v>6094</v>
      </c>
      <c r="C270" s="1" t="str">
        <f>INDEX(ActiveDistricts!$A$2:$J$328,MATCH(Calculation!$A270,ActiveDistricts!$C$2:$C$328,0),7)</f>
        <v>Southeast Warren</v>
      </c>
      <c r="D270" s="14">
        <f>INDEX(StartupfileInput!$A$2:$D$328,MATCH(Calculation!$A270,StartupfileInput!$A$2:$A$328,0),3)</f>
        <v>533.79999999999995</v>
      </c>
      <c r="E270" s="20">
        <f>INDEX(ActiveDistricts!$A$2:$J$328,MATCH(Calculation!$A270,ActiveDistricts!$C$2:$C$328,0),10)</f>
        <v>0.37264150943396224</v>
      </c>
      <c r="F270" s="8">
        <f t="shared" si="30"/>
        <v>1.2769999999999999</v>
      </c>
      <c r="G270" s="8">
        <f t="shared" si="31"/>
        <v>1.089</v>
      </c>
      <c r="H270" s="8">
        <f t="shared" si="29"/>
        <v>2.3659999999999997</v>
      </c>
      <c r="I270">
        <f>INDEX(StartupfileInput!$A$2:$D$328,MATCH(Calculation!$A270,StartupfileInput!$A$2:$A$328,0),4)</f>
        <v>6880</v>
      </c>
      <c r="J270" s="107">
        <f t="shared" si="32"/>
        <v>7048</v>
      </c>
      <c r="K270" s="9">
        <f t="shared" si="28"/>
        <v>9000</v>
      </c>
      <c r="L270" s="9">
        <f t="shared" si="33"/>
        <v>7676</v>
      </c>
      <c r="M270" s="9">
        <f t="shared" si="34"/>
        <v>16676</v>
      </c>
    </row>
    <row r="271" spans="1:13" ht="12.75" x14ac:dyDescent="0.2">
      <c r="A271" s="2" t="str">
        <f>StartupfileInput!A269</f>
        <v>6096</v>
      </c>
      <c r="B271" s="1" t="str">
        <f>INDEX(ActiveDistricts!$A$2:$J$328,MATCH(Calculation!$A271,ActiveDistricts!$C$2:$C$328,0),6)</f>
        <v>6096</v>
      </c>
      <c r="C271" s="1" t="str">
        <f>INDEX(ActiveDistricts!$A$2:$J$328,MATCH(Calculation!$A271,ActiveDistricts!$C$2:$C$328,0),7)</f>
        <v>Southeast Webster-Grand</v>
      </c>
      <c r="D271" s="14">
        <f>INDEX(StartupfileInput!$A$2:$D$328,MATCH(Calculation!$A271,StartupfileInput!$A$2:$A$328,0),3)</f>
        <v>536.5</v>
      </c>
      <c r="E271" s="20">
        <f>INDEX(ActiveDistricts!$A$2:$J$328,MATCH(Calculation!$A271,ActiveDistricts!$C$2:$C$328,0),10)</f>
        <v>0.42953020134228187</v>
      </c>
      <c r="F271" s="8">
        <f t="shared" si="30"/>
        <v>1.4790000000000001</v>
      </c>
      <c r="G271" s="8">
        <f t="shared" si="31"/>
        <v>1.0940000000000001</v>
      </c>
      <c r="H271" s="8">
        <f t="shared" si="29"/>
        <v>2.5730000000000004</v>
      </c>
      <c r="I271">
        <f>INDEX(StartupfileInput!$A$2:$D$328,MATCH(Calculation!$A271,StartupfileInput!$A$2:$A$328,0),4)</f>
        <v>6999</v>
      </c>
      <c r="J271" s="107">
        <f t="shared" si="32"/>
        <v>7157</v>
      </c>
      <c r="K271" s="9">
        <f t="shared" si="28"/>
        <v>10585</v>
      </c>
      <c r="L271" s="9">
        <f t="shared" si="33"/>
        <v>7830</v>
      </c>
      <c r="M271" s="9">
        <f t="shared" si="34"/>
        <v>18415</v>
      </c>
    </row>
    <row r="272" spans="1:13" ht="12.75" x14ac:dyDescent="0.2">
      <c r="A272" s="2" t="str">
        <f>StartupfileInput!A270</f>
        <v>6102</v>
      </c>
      <c r="B272" s="1" t="str">
        <f>INDEX(ActiveDistricts!$A$2:$J$328,MATCH(Calculation!$A272,ActiveDistricts!$C$2:$C$328,0),6)</f>
        <v>6102</v>
      </c>
      <c r="C272" s="1" t="str">
        <f>INDEX(ActiveDistricts!$A$2:$J$328,MATCH(Calculation!$A272,ActiveDistricts!$C$2:$C$328,0),7)</f>
        <v>Spencer</v>
      </c>
      <c r="D272" s="14">
        <f>INDEX(StartupfileInput!$A$2:$D$328,MATCH(Calculation!$A272,StartupfileInput!$A$2:$A$328,0),3)</f>
        <v>1957.2</v>
      </c>
      <c r="E272" s="20">
        <f>INDEX(ActiveDistricts!$A$2:$J$328,MATCH(Calculation!$A272,ActiveDistricts!$C$2:$C$328,0),10)</f>
        <v>0.47294117647058825</v>
      </c>
      <c r="F272" s="8">
        <f t="shared" si="30"/>
        <v>5.9429999999999996</v>
      </c>
      <c r="G272" s="8">
        <f t="shared" si="31"/>
        <v>3.9929999999999999</v>
      </c>
      <c r="H272" s="8">
        <f t="shared" si="29"/>
        <v>9.9359999999999999</v>
      </c>
      <c r="I272">
        <f>INDEX(StartupfileInput!$A$2:$D$328,MATCH(Calculation!$A272,StartupfileInput!$A$2:$A$328,0),4)</f>
        <v>6880</v>
      </c>
      <c r="J272" s="107">
        <f t="shared" si="32"/>
        <v>7048</v>
      </c>
      <c r="K272" s="9">
        <f t="shared" si="28"/>
        <v>41886</v>
      </c>
      <c r="L272" s="9">
        <f t="shared" si="33"/>
        <v>28143</v>
      </c>
      <c r="M272" s="9">
        <f t="shared" si="34"/>
        <v>70029</v>
      </c>
    </row>
    <row r="273" spans="1:13" ht="12.75" x14ac:dyDescent="0.2">
      <c r="A273" s="2" t="str">
        <f>StartupfileInput!A271</f>
        <v>6120</v>
      </c>
      <c r="B273" s="1" t="str">
        <f>INDEX(ActiveDistricts!$A$2:$J$328,MATCH(Calculation!$A273,ActiveDistricts!$C$2:$C$328,0),6)</f>
        <v>6120</v>
      </c>
      <c r="C273" s="1" t="str">
        <f>INDEX(ActiveDistricts!$A$2:$J$328,MATCH(Calculation!$A273,ActiveDistricts!$C$2:$C$328,0),7)</f>
        <v>Spirit Lake</v>
      </c>
      <c r="D273" s="14">
        <f>INDEX(StartupfileInput!$A$2:$D$328,MATCH(Calculation!$A273,StartupfileInput!$A$2:$A$328,0),3)</f>
        <v>1134.2</v>
      </c>
      <c r="E273" s="20">
        <f>INDEX(ActiveDistricts!$A$2:$J$328,MATCH(Calculation!$A273,ActiveDistricts!$C$2:$C$328,0),10)</f>
        <v>0.34724857685009486</v>
      </c>
      <c r="F273" s="8">
        <f t="shared" si="30"/>
        <v>2.5289999999999999</v>
      </c>
      <c r="G273" s="8">
        <f t="shared" si="31"/>
        <v>2.3140000000000001</v>
      </c>
      <c r="H273" s="8">
        <f t="shared" si="29"/>
        <v>4.843</v>
      </c>
      <c r="I273">
        <f>INDEX(StartupfileInput!$A$2:$D$328,MATCH(Calculation!$A273,StartupfileInput!$A$2:$A$328,0),4)</f>
        <v>6880</v>
      </c>
      <c r="J273" s="107">
        <f t="shared" si="32"/>
        <v>7048</v>
      </c>
      <c r="K273" s="9">
        <f t="shared" si="28"/>
        <v>17824</v>
      </c>
      <c r="L273" s="9">
        <f t="shared" si="33"/>
        <v>16309</v>
      </c>
      <c r="M273" s="9">
        <f t="shared" si="34"/>
        <v>34133</v>
      </c>
    </row>
    <row r="274" spans="1:13" ht="12.75" x14ac:dyDescent="0.2">
      <c r="A274" s="2" t="str">
        <f>StartupfileInput!A272</f>
        <v>6138</v>
      </c>
      <c r="B274" s="1" t="str">
        <f>INDEX(ActiveDistricts!$A$2:$J$328,MATCH(Calculation!$A274,ActiveDistricts!$C$2:$C$328,0),6)</f>
        <v>6138</v>
      </c>
      <c r="C274" s="1" t="str">
        <f>INDEX(ActiveDistricts!$A$2:$J$328,MATCH(Calculation!$A274,ActiveDistricts!$C$2:$C$328,0),7)</f>
        <v>Springville</v>
      </c>
      <c r="D274" s="14">
        <f>INDEX(StartupfileInput!$A$2:$D$328,MATCH(Calculation!$A274,StartupfileInput!$A$2:$A$328,0),3)</f>
        <v>384.4</v>
      </c>
      <c r="E274" s="20">
        <f>INDEX(ActiveDistricts!$A$2:$J$328,MATCH(Calculation!$A274,ActiveDistricts!$C$2:$C$328,0),10)</f>
        <v>0.33532934131736525</v>
      </c>
      <c r="F274" s="8">
        <f t="shared" si="30"/>
        <v>0.82799999999999996</v>
      </c>
      <c r="G274" s="8">
        <f t="shared" si="31"/>
        <v>0.78400000000000003</v>
      </c>
      <c r="H274" s="8">
        <f t="shared" si="29"/>
        <v>1.6120000000000001</v>
      </c>
      <c r="I274">
        <f>INDEX(StartupfileInput!$A$2:$D$328,MATCH(Calculation!$A274,StartupfileInput!$A$2:$A$328,0),4)</f>
        <v>6912</v>
      </c>
      <c r="J274" s="107">
        <f t="shared" si="32"/>
        <v>7070</v>
      </c>
      <c r="K274" s="9">
        <f t="shared" si="28"/>
        <v>5854</v>
      </c>
      <c r="L274" s="9">
        <f t="shared" si="33"/>
        <v>5543</v>
      </c>
      <c r="M274" s="9">
        <f t="shared" si="34"/>
        <v>11397</v>
      </c>
    </row>
    <row r="275" spans="1:13" ht="12.75" x14ac:dyDescent="0.2">
      <c r="A275" s="2" t="str">
        <f>StartupfileInput!A273</f>
        <v>5751</v>
      </c>
      <c r="B275" s="1" t="str">
        <f>INDEX(ActiveDistricts!$A$2:$J$328,MATCH(Calculation!$A275,ActiveDistricts!$C$2:$C$328,0),6)</f>
        <v>5751</v>
      </c>
      <c r="C275" s="1" t="str">
        <f>INDEX(ActiveDistricts!$A$2:$J$328,MATCH(Calculation!$A275,ActiveDistricts!$C$2:$C$328,0),7)</f>
        <v>St Ansgar</v>
      </c>
      <c r="D275" s="14">
        <f>INDEX(StartupfileInput!$A$2:$D$328,MATCH(Calculation!$A275,StartupfileInput!$A$2:$A$328,0),3)</f>
        <v>575.1</v>
      </c>
      <c r="E275" s="20">
        <f>INDEX(ActiveDistricts!$A$2:$J$328,MATCH(Calculation!$A275,ActiveDistricts!$C$2:$C$328,0),10)</f>
        <v>0.28510638297872343</v>
      </c>
      <c r="F275" s="8">
        <f t="shared" si="30"/>
        <v>1.0529999999999999</v>
      </c>
      <c r="G275" s="8">
        <f t="shared" si="31"/>
        <v>1.173</v>
      </c>
      <c r="H275" s="8">
        <f t="shared" si="29"/>
        <v>2.226</v>
      </c>
      <c r="I275">
        <f>INDEX(StartupfileInput!$A$2:$D$328,MATCH(Calculation!$A275,StartupfileInput!$A$2:$A$328,0),4)</f>
        <v>6896</v>
      </c>
      <c r="J275" s="107">
        <f t="shared" si="32"/>
        <v>7054</v>
      </c>
      <c r="K275" s="9">
        <f t="shared" si="28"/>
        <v>7428</v>
      </c>
      <c r="L275" s="9">
        <f t="shared" si="33"/>
        <v>8274</v>
      </c>
      <c r="M275" s="9">
        <f t="shared" si="34"/>
        <v>15702</v>
      </c>
    </row>
    <row r="276" spans="1:13" ht="12.75" x14ac:dyDescent="0.2">
      <c r="A276" s="2" t="str">
        <f>StartupfileInput!A274</f>
        <v>6165</v>
      </c>
      <c r="B276" s="1" t="str">
        <f>INDEX(ActiveDistricts!$A$2:$J$328,MATCH(Calculation!$A276,ActiveDistricts!$C$2:$C$328,0),6)</f>
        <v>6165</v>
      </c>
      <c r="C276" s="1" t="str">
        <f>INDEX(ActiveDistricts!$A$2:$J$328,MATCH(Calculation!$A276,ActiveDistricts!$C$2:$C$328,0),7)</f>
        <v>Stanton</v>
      </c>
      <c r="D276" s="14">
        <f>INDEX(StartupfileInput!$A$2:$D$328,MATCH(Calculation!$A276,StartupfileInput!$A$2:$A$328,0),3)</f>
        <v>170</v>
      </c>
      <c r="E276" s="20">
        <f>INDEX(ActiveDistricts!$A$2:$J$328,MATCH(Calculation!$A276,ActiveDistricts!$C$2:$C$328,0),10)</f>
        <v>0.44660194174757284</v>
      </c>
      <c r="F276" s="8">
        <f t="shared" si="30"/>
        <v>0.48699999999999999</v>
      </c>
      <c r="G276" s="8">
        <f t="shared" si="31"/>
        <v>0.34699999999999998</v>
      </c>
      <c r="H276" s="8">
        <f t="shared" si="29"/>
        <v>0.83399999999999996</v>
      </c>
      <c r="I276">
        <f>INDEX(StartupfileInput!$A$2:$D$328,MATCH(Calculation!$A276,StartupfileInput!$A$2:$A$328,0),4)</f>
        <v>6880</v>
      </c>
      <c r="J276" s="107">
        <f t="shared" si="32"/>
        <v>7048</v>
      </c>
      <c r="K276" s="9">
        <f t="shared" si="28"/>
        <v>3432</v>
      </c>
      <c r="L276" s="9">
        <f t="shared" si="33"/>
        <v>2446</v>
      </c>
      <c r="M276" s="9">
        <f t="shared" si="34"/>
        <v>5878</v>
      </c>
    </row>
    <row r="277" spans="1:13" ht="12.75" x14ac:dyDescent="0.2">
      <c r="A277" s="2" t="str">
        <f>StartupfileInput!A275</f>
        <v>6175</v>
      </c>
      <c r="B277" s="1" t="str">
        <f>INDEX(ActiveDistricts!$A$2:$J$328,MATCH(Calculation!$A277,ActiveDistricts!$C$2:$C$328,0),6)</f>
        <v>6175</v>
      </c>
      <c r="C277" s="1" t="str">
        <f>INDEX(ActiveDistricts!$A$2:$J$328,MATCH(Calculation!$A277,ActiveDistricts!$C$2:$C$328,0),7)</f>
        <v>Starmont</v>
      </c>
      <c r="D277" s="14">
        <f>INDEX(StartupfileInput!$A$2:$D$328,MATCH(Calculation!$A277,StartupfileInput!$A$2:$A$328,0),3)</f>
        <v>609.4</v>
      </c>
      <c r="E277" s="20">
        <f>INDEX(ActiveDistricts!$A$2:$J$328,MATCH(Calculation!$A277,ActiveDistricts!$C$2:$C$328,0),10)</f>
        <v>0.52589641434262946</v>
      </c>
      <c r="F277" s="8">
        <f t="shared" si="30"/>
        <v>2.0569999999999999</v>
      </c>
      <c r="G277" s="8">
        <f t="shared" si="31"/>
        <v>1.2430000000000001</v>
      </c>
      <c r="H277" s="8">
        <f t="shared" si="29"/>
        <v>3.3</v>
      </c>
      <c r="I277">
        <f>INDEX(StartupfileInput!$A$2:$D$328,MATCH(Calculation!$A277,StartupfileInput!$A$2:$A$328,0),4)</f>
        <v>6884</v>
      </c>
      <c r="J277" s="107">
        <f t="shared" si="32"/>
        <v>7048</v>
      </c>
      <c r="K277" s="9">
        <f t="shared" si="28"/>
        <v>14498</v>
      </c>
      <c r="L277" s="9">
        <f t="shared" si="33"/>
        <v>8760</v>
      </c>
      <c r="M277" s="9">
        <f t="shared" si="34"/>
        <v>23258</v>
      </c>
    </row>
    <row r="278" spans="1:13" ht="12.75" x14ac:dyDescent="0.2">
      <c r="A278" s="2" t="str">
        <f>StartupfileInput!A276</f>
        <v>6219</v>
      </c>
      <c r="B278" s="1" t="str">
        <f>INDEX(ActiveDistricts!$A$2:$J$328,MATCH(Calculation!$A278,ActiveDistricts!$C$2:$C$328,0),6)</f>
        <v>6219</v>
      </c>
      <c r="C278" s="1" t="str">
        <f>INDEX(ActiveDistricts!$A$2:$J$328,MATCH(Calculation!$A278,ActiveDistricts!$C$2:$C$328,0),7)</f>
        <v>Storm Lake</v>
      </c>
      <c r="D278" s="14">
        <f>INDEX(StartupfileInput!$A$2:$D$328,MATCH(Calculation!$A278,StartupfileInput!$A$2:$A$328,0),3)</f>
        <v>2530.4</v>
      </c>
      <c r="E278" s="20">
        <f>INDEX(ActiveDistricts!$A$2:$J$328,MATCH(Calculation!$A278,ActiveDistricts!$C$2:$C$328,0),10)</f>
        <v>0.78516624040920713</v>
      </c>
      <c r="F278" s="8">
        <f t="shared" si="30"/>
        <v>12.755000000000001</v>
      </c>
      <c r="G278" s="8">
        <f t="shared" si="31"/>
        <v>5.1619999999999999</v>
      </c>
      <c r="H278" s="8">
        <f t="shared" si="29"/>
        <v>17.917000000000002</v>
      </c>
      <c r="I278">
        <f>INDEX(StartupfileInput!$A$2:$D$328,MATCH(Calculation!$A278,StartupfileInput!$A$2:$A$328,0),4)</f>
        <v>6880</v>
      </c>
      <c r="J278" s="107">
        <f t="shared" si="32"/>
        <v>7048</v>
      </c>
      <c r="K278" s="9">
        <f t="shared" si="28"/>
        <v>89897</v>
      </c>
      <c r="L278" s="9">
        <f t="shared" si="33"/>
        <v>36382</v>
      </c>
      <c r="M278" s="9">
        <f t="shared" si="34"/>
        <v>126279</v>
      </c>
    </row>
    <row r="279" spans="1:13" ht="12.75" x14ac:dyDescent="0.2">
      <c r="A279" s="2" t="str">
        <f>StartupfileInput!A277</f>
        <v>6246</v>
      </c>
      <c r="B279" s="1" t="str">
        <f>INDEX(ActiveDistricts!$A$2:$J$328,MATCH(Calculation!$A279,ActiveDistricts!$C$2:$C$328,0),6)</f>
        <v>6246</v>
      </c>
      <c r="C279" s="1" t="str">
        <f>INDEX(ActiveDistricts!$A$2:$J$328,MATCH(Calculation!$A279,ActiveDistricts!$C$2:$C$328,0),7)</f>
        <v>Stratford</v>
      </c>
      <c r="D279" s="14">
        <f>INDEX(StartupfileInput!$A$2:$D$328,MATCH(Calculation!$A279,StartupfileInput!$A$2:$A$328,0),3)</f>
        <v>137.9</v>
      </c>
      <c r="E279" s="20">
        <f>INDEX(ActiveDistricts!$A$2:$J$328,MATCH(Calculation!$A279,ActiveDistricts!$C$2:$C$328,0),10)</f>
        <v>0.51020408163265307</v>
      </c>
      <c r="F279" s="8">
        <f t="shared" si="30"/>
        <v>0.45200000000000001</v>
      </c>
      <c r="G279" s="8">
        <f t="shared" si="31"/>
        <v>0.28100000000000003</v>
      </c>
      <c r="H279" s="8">
        <f t="shared" si="29"/>
        <v>0.7330000000000001</v>
      </c>
      <c r="I279">
        <f>INDEX(StartupfileInput!$A$2:$D$328,MATCH(Calculation!$A279,StartupfileInput!$A$2:$A$328,0),4)</f>
        <v>7045</v>
      </c>
      <c r="J279" s="107">
        <f t="shared" si="32"/>
        <v>7203</v>
      </c>
      <c r="K279" s="9">
        <f t="shared" si="28"/>
        <v>3256</v>
      </c>
      <c r="L279" s="9">
        <f t="shared" si="33"/>
        <v>2024</v>
      </c>
      <c r="M279" s="9">
        <f t="shared" si="34"/>
        <v>5280</v>
      </c>
    </row>
    <row r="280" spans="1:13" ht="12.75" x14ac:dyDescent="0.2">
      <c r="A280" s="2" t="str">
        <f>StartupfileInput!A278</f>
        <v>6273</v>
      </c>
      <c r="B280" s="1" t="str">
        <f>INDEX(ActiveDistricts!$A$2:$J$328,MATCH(Calculation!$A280,ActiveDistricts!$C$2:$C$328,0),6)</f>
        <v>6273</v>
      </c>
      <c r="C280" s="1" t="str">
        <f>INDEX(ActiveDistricts!$A$2:$J$328,MATCH(Calculation!$A280,ActiveDistricts!$C$2:$C$328,0),7)</f>
        <v>Sumner-Fredericksburg</v>
      </c>
      <c r="D280" s="14">
        <f>INDEX(StartupfileInput!$A$2:$D$328,MATCH(Calculation!$A280,StartupfileInput!$A$2:$A$328,0),3)</f>
        <v>797.3</v>
      </c>
      <c r="E280" s="20">
        <f>INDEX(ActiveDistricts!$A$2:$J$328,MATCH(Calculation!$A280,ActiveDistricts!$C$2:$C$328,0),10)</f>
        <v>0.35875706214689268</v>
      </c>
      <c r="F280" s="8">
        <f t="shared" si="30"/>
        <v>1.8360000000000001</v>
      </c>
      <c r="G280" s="8">
        <f t="shared" si="31"/>
        <v>1.6259999999999999</v>
      </c>
      <c r="H280" s="8">
        <f t="shared" si="29"/>
        <v>3.4619999999999997</v>
      </c>
      <c r="I280">
        <f>INDEX(StartupfileInput!$A$2:$D$328,MATCH(Calculation!$A280,StartupfileInput!$A$2:$A$328,0),4)</f>
        <v>6880</v>
      </c>
      <c r="J280" s="107">
        <f t="shared" si="32"/>
        <v>7048</v>
      </c>
      <c r="K280" s="9">
        <f t="shared" si="28"/>
        <v>12940</v>
      </c>
      <c r="L280" s="9">
        <f t="shared" si="33"/>
        <v>11460</v>
      </c>
      <c r="M280" s="9">
        <f t="shared" si="34"/>
        <v>24400</v>
      </c>
    </row>
    <row r="281" spans="1:13" ht="12.75" x14ac:dyDescent="0.2">
      <c r="A281" s="2" t="str">
        <f>StartupfileInput!A279</f>
        <v>6408</v>
      </c>
      <c r="B281" s="1" t="str">
        <f>INDEX(ActiveDistricts!$A$2:$J$328,MATCH(Calculation!$A281,ActiveDistricts!$C$2:$C$328,0),6)</f>
        <v>6408</v>
      </c>
      <c r="C281" s="1" t="str">
        <f>INDEX(ActiveDistricts!$A$2:$J$328,MATCH(Calculation!$A281,ActiveDistricts!$C$2:$C$328,0),7)</f>
        <v>Tipton</v>
      </c>
      <c r="D281" s="14">
        <f>INDEX(StartupfileInput!$A$2:$D$328,MATCH(Calculation!$A281,StartupfileInput!$A$2:$A$328,0),3)</f>
        <v>872.7</v>
      </c>
      <c r="E281" s="20">
        <f>INDEX(ActiveDistricts!$A$2:$J$328,MATCH(Calculation!$A281,ActiveDistricts!$C$2:$C$328,0),10)</f>
        <v>0.26315789473684209</v>
      </c>
      <c r="F281" s="8">
        <f t="shared" si="30"/>
        <v>1.474</v>
      </c>
      <c r="G281" s="8">
        <f t="shared" si="31"/>
        <v>1.78</v>
      </c>
      <c r="H281" s="8">
        <f t="shared" si="29"/>
        <v>3.254</v>
      </c>
      <c r="I281">
        <f>INDEX(StartupfileInput!$A$2:$D$328,MATCH(Calculation!$A281,StartupfileInput!$A$2:$A$328,0),4)</f>
        <v>6921</v>
      </c>
      <c r="J281" s="107">
        <f t="shared" si="32"/>
        <v>7079</v>
      </c>
      <c r="K281" s="9">
        <f t="shared" si="28"/>
        <v>10434</v>
      </c>
      <c r="L281" s="9">
        <f t="shared" si="33"/>
        <v>12601</v>
      </c>
      <c r="M281" s="9">
        <f t="shared" si="34"/>
        <v>23035</v>
      </c>
    </row>
    <row r="282" spans="1:13" ht="12.75" x14ac:dyDescent="0.2">
      <c r="A282" s="2" t="str">
        <f>StartupfileInput!A280</f>
        <v>6453</v>
      </c>
      <c r="B282" s="1" t="str">
        <f>INDEX(ActiveDistricts!$A$2:$J$328,MATCH(Calculation!$A282,ActiveDistricts!$C$2:$C$328,0),6)</f>
        <v>6453</v>
      </c>
      <c r="C282" s="1" t="str">
        <f>INDEX(ActiveDistricts!$A$2:$J$328,MATCH(Calculation!$A282,ActiveDistricts!$C$2:$C$328,0),7)</f>
        <v>Treynor</v>
      </c>
      <c r="D282" s="14">
        <f>INDEX(StartupfileInput!$A$2:$D$328,MATCH(Calculation!$A282,StartupfileInput!$A$2:$A$328,0),3)</f>
        <v>623.70000000000005</v>
      </c>
      <c r="E282" s="20">
        <f>INDEX(ActiveDistricts!$A$2:$J$328,MATCH(Calculation!$A282,ActiveDistricts!$C$2:$C$328,0),10)</f>
        <v>0.12105263157894737</v>
      </c>
      <c r="F282" s="8">
        <f t="shared" si="30"/>
        <v>0.48499999999999999</v>
      </c>
      <c r="G282" s="8">
        <f t="shared" si="31"/>
        <v>1.272</v>
      </c>
      <c r="H282" s="8">
        <f t="shared" si="29"/>
        <v>1.7570000000000001</v>
      </c>
      <c r="I282">
        <f>INDEX(StartupfileInput!$A$2:$D$328,MATCH(Calculation!$A282,StartupfileInput!$A$2:$A$328,0),4)</f>
        <v>6880</v>
      </c>
      <c r="J282" s="107">
        <f t="shared" si="32"/>
        <v>7048</v>
      </c>
      <c r="K282" s="9">
        <f t="shared" si="28"/>
        <v>3418</v>
      </c>
      <c r="L282" s="9">
        <f t="shared" si="33"/>
        <v>8965</v>
      </c>
      <c r="M282" s="9">
        <f t="shared" si="34"/>
        <v>12383</v>
      </c>
    </row>
    <row r="283" spans="1:13" ht="12.75" x14ac:dyDescent="0.2">
      <c r="A283" s="2" t="str">
        <f>StartupfileInput!A281</f>
        <v>6460</v>
      </c>
      <c r="B283" s="1" t="str">
        <f>INDEX(ActiveDistricts!$A$2:$J$328,MATCH(Calculation!$A283,ActiveDistricts!$C$2:$C$328,0),6)</f>
        <v>6460</v>
      </c>
      <c r="C283" s="1" t="str">
        <f>INDEX(ActiveDistricts!$A$2:$J$328,MATCH(Calculation!$A283,ActiveDistricts!$C$2:$C$328,0),7)</f>
        <v>Tri-Center</v>
      </c>
      <c r="D283" s="14">
        <f>INDEX(StartupfileInput!$A$2:$D$328,MATCH(Calculation!$A283,StartupfileInput!$A$2:$A$328,0),3)</f>
        <v>657</v>
      </c>
      <c r="E283" s="20">
        <f>INDEX(ActiveDistricts!$A$2:$J$328,MATCH(Calculation!$A283,ActiveDistricts!$C$2:$C$328,0),10)</f>
        <v>0.29568106312292358</v>
      </c>
      <c r="F283" s="8">
        <f t="shared" si="30"/>
        <v>1.2470000000000001</v>
      </c>
      <c r="G283" s="8">
        <f t="shared" si="31"/>
        <v>1.34</v>
      </c>
      <c r="H283" s="8">
        <f t="shared" si="29"/>
        <v>2.5870000000000002</v>
      </c>
      <c r="I283">
        <f>INDEX(StartupfileInput!$A$2:$D$328,MATCH(Calculation!$A283,StartupfileInput!$A$2:$A$328,0),4)</f>
        <v>6902</v>
      </c>
      <c r="J283" s="107">
        <f t="shared" si="32"/>
        <v>7060</v>
      </c>
      <c r="K283" s="9">
        <f t="shared" si="28"/>
        <v>8804</v>
      </c>
      <c r="L283" s="9">
        <f t="shared" si="33"/>
        <v>9460</v>
      </c>
      <c r="M283" s="9">
        <f t="shared" si="34"/>
        <v>18264</v>
      </c>
    </row>
    <row r="284" spans="1:13" ht="12.75" x14ac:dyDescent="0.2">
      <c r="A284" s="2" t="str">
        <f>StartupfileInput!A282</f>
        <v>6462</v>
      </c>
      <c r="B284" s="1" t="str">
        <f>INDEX(ActiveDistricts!$A$2:$J$328,MATCH(Calculation!$A284,ActiveDistricts!$C$2:$C$328,0),6)</f>
        <v>6462</v>
      </c>
      <c r="C284" s="1" t="str">
        <f>INDEX(ActiveDistricts!$A$2:$J$328,MATCH(Calculation!$A284,ActiveDistricts!$C$2:$C$328,0),7)</f>
        <v>Tri-County</v>
      </c>
      <c r="D284" s="14">
        <f>INDEX(StartupfileInput!$A$2:$D$328,MATCH(Calculation!$A284,StartupfileInput!$A$2:$A$328,0),3)</f>
        <v>280.8</v>
      </c>
      <c r="E284" s="20">
        <f>INDEX(ActiveDistricts!$A$2:$J$328,MATCH(Calculation!$A284,ActiveDistricts!$C$2:$C$328,0),10)</f>
        <v>0.63636363636363635</v>
      </c>
      <c r="F284" s="8">
        <f t="shared" si="30"/>
        <v>1.147</v>
      </c>
      <c r="G284" s="8">
        <f t="shared" si="31"/>
        <v>0.57299999999999995</v>
      </c>
      <c r="H284" s="8">
        <f t="shared" si="29"/>
        <v>1.72</v>
      </c>
      <c r="I284">
        <f>INDEX(StartupfileInput!$A$2:$D$328,MATCH(Calculation!$A284,StartupfileInput!$A$2:$A$328,0),4)</f>
        <v>6880</v>
      </c>
      <c r="J284" s="107">
        <f t="shared" si="32"/>
        <v>7048</v>
      </c>
      <c r="K284" s="9">
        <f t="shared" si="28"/>
        <v>8084</v>
      </c>
      <c r="L284" s="9">
        <f t="shared" si="33"/>
        <v>4039</v>
      </c>
      <c r="M284" s="9">
        <f t="shared" si="34"/>
        <v>12123</v>
      </c>
    </row>
    <row r="285" spans="1:13" ht="12.75" x14ac:dyDescent="0.2">
      <c r="A285" s="2" t="str">
        <f>StartupfileInput!A283</f>
        <v>6471</v>
      </c>
      <c r="B285" s="1" t="str">
        <f>INDEX(ActiveDistricts!$A$2:$J$328,MATCH(Calculation!$A285,ActiveDistricts!$C$2:$C$328,0),6)</f>
        <v>6471</v>
      </c>
      <c r="C285" s="1" t="str">
        <f>INDEX(ActiveDistricts!$A$2:$J$328,MATCH(Calculation!$A285,ActiveDistricts!$C$2:$C$328,0),7)</f>
        <v>Tripoli</v>
      </c>
      <c r="D285" s="14">
        <f>INDEX(StartupfileInput!$A$2:$D$328,MATCH(Calculation!$A285,StartupfileInput!$A$2:$A$328,0),3)</f>
        <v>410</v>
      </c>
      <c r="E285" s="20">
        <f>INDEX(ActiveDistricts!$A$2:$J$328,MATCH(Calculation!$A285,ActiveDistricts!$C$2:$C$328,0),10)</f>
        <v>0.46153846153846156</v>
      </c>
      <c r="F285" s="8">
        <f t="shared" si="30"/>
        <v>1.2150000000000001</v>
      </c>
      <c r="G285" s="8">
        <f t="shared" si="31"/>
        <v>0.83599999999999997</v>
      </c>
      <c r="H285" s="8">
        <f t="shared" si="29"/>
        <v>2.0510000000000002</v>
      </c>
      <c r="I285">
        <f>INDEX(StartupfileInput!$A$2:$D$328,MATCH(Calculation!$A285,StartupfileInput!$A$2:$A$328,0),4)</f>
        <v>6909</v>
      </c>
      <c r="J285" s="107">
        <f t="shared" si="32"/>
        <v>7067</v>
      </c>
      <c r="K285" s="9">
        <f t="shared" si="28"/>
        <v>8586</v>
      </c>
      <c r="L285" s="9">
        <f t="shared" si="33"/>
        <v>5908</v>
      </c>
      <c r="M285" s="9">
        <f t="shared" si="34"/>
        <v>14494</v>
      </c>
    </row>
    <row r="286" spans="1:13" ht="12.75" x14ac:dyDescent="0.2">
      <c r="A286" s="2" t="str">
        <f>StartupfileInput!A284</f>
        <v>6509</v>
      </c>
      <c r="B286" s="1" t="str">
        <f>INDEX(ActiveDistricts!$A$2:$J$328,MATCH(Calculation!$A286,ActiveDistricts!$C$2:$C$328,0),6)</f>
        <v>6509</v>
      </c>
      <c r="C286" s="1" t="str">
        <f>INDEX(ActiveDistricts!$A$2:$J$328,MATCH(Calculation!$A286,ActiveDistricts!$C$2:$C$328,0),7)</f>
        <v>Turkey Valley</v>
      </c>
      <c r="D286" s="14">
        <f>INDEX(StartupfileInput!$A$2:$D$328,MATCH(Calculation!$A286,StartupfileInput!$A$2:$A$328,0),3)</f>
        <v>357.1</v>
      </c>
      <c r="E286" s="20">
        <f>INDEX(ActiveDistricts!$A$2:$J$328,MATCH(Calculation!$A286,ActiveDistricts!$C$2:$C$328,0),10)</f>
        <v>0.37903225806451613</v>
      </c>
      <c r="F286" s="8">
        <f t="shared" si="30"/>
        <v>0.86899999999999999</v>
      </c>
      <c r="G286" s="8">
        <f t="shared" si="31"/>
        <v>0.72799999999999998</v>
      </c>
      <c r="H286" s="8">
        <f t="shared" si="29"/>
        <v>1.597</v>
      </c>
      <c r="I286">
        <f>INDEX(StartupfileInput!$A$2:$D$328,MATCH(Calculation!$A286,StartupfileInput!$A$2:$A$328,0),4)</f>
        <v>7037</v>
      </c>
      <c r="J286" s="107">
        <f t="shared" si="32"/>
        <v>7195</v>
      </c>
      <c r="K286" s="9">
        <f t="shared" si="28"/>
        <v>6252</v>
      </c>
      <c r="L286" s="9">
        <f t="shared" si="33"/>
        <v>5238</v>
      </c>
      <c r="M286" s="9">
        <f t="shared" si="34"/>
        <v>11490</v>
      </c>
    </row>
    <row r="287" spans="1:13" ht="12.75" x14ac:dyDescent="0.2">
      <c r="A287" s="2" t="str">
        <f>StartupfileInput!A285</f>
        <v>6512</v>
      </c>
      <c r="B287" s="1" t="str">
        <f>INDEX(ActiveDistricts!$A$2:$J$328,MATCH(Calculation!$A287,ActiveDistricts!$C$2:$C$328,0),6)</f>
        <v>6512</v>
      </c>
      <c r="C287" s="1" t="str">
        <f>INDEX(ActiveDistricts!$A$2:$J$328,MATCH(Calculation!$A287,ActiveDistricts!$C$2:$C$328,0),7)</f>
        <v>Twin Cedars</v>
      </c>
      <c r="D287" s="14">
        <f>INDEX(StartupfileInput!$A$2:$D$328,MATCH(Calculation!$A287,StartupfileInput!$A$2:$A$328,0),3)</f>
        <v>323.60000000000002</v>
      </c>
      <c r="E287" s="20">
        <f>INDEX(ActiveDistricts!$A$2:$J$328,MATCH(Calculation!$A287,ActiveDistricts!$C$2:$C$328,0),10)</f>
        <v>0.56521739130434778</v>
      </c>
      <c r="F287" s="8">
        <f t="shared" si="30"/>
        <v>1.1739999999999999</v>
      </c>
      <c r="G287" s="8">
        <f t="shared" si="31"/>
        <v>0.66</v>
      </c>
      <c r="H287" s="8">
        <f t="shared" si="29"/>
        <v>1.8340000000000001</v>
      </c>
      <c r="I287">
        <f>INDEX(StartupfileInput!$A$2:$D$328,MATCH(Calculation!$A287,StartupfileInput!$A$2:$A$328,0),4)</f>
        <v>6920</v>
      </c>
      <c r="J287" s="107">
        <f t="shared" si="32"/>
        <v>7078</v>
      </c>
      <c r="K287" s="9">
        <f t="shared" si="28"/>
        <v>8310</v>
      </c>
      <c r="L287" s="9">
        <f t="shared" si="33"/>
        <v>4671</v>
      </c>
      <c r="M287" s="9">
        <f t="shared" si="34"/>
        <v>12981</v>
      </c>
    </row>
    <row r="288" spans="1:13" ht="12.75" x14ac:dyDescent="0.2">
      <c r="A288" s="2" t="str">
        <f>StartupfileInput!A286</f>
        <v>6516</v>
      </c>
      <c r="B288" s="1" t="str">
        <f>INDEX(ActiveDistricts!$A$2:$J$328,MATCH(Calculation!$A288,ActiveDistricts!$C$2:$C$328,0),6)</f>
        <v>6516</v>
      </c>
      <c r="C288" s="1" t="str">
        <f>INDEX(ActiveDistricts!$A$2:$J$328,MATCH(Calculation!$A288,ActiveDistricts!$C$2:$C$328,0),7)</f>
        <v>Twin Rivers</v>
      </c>
      <c r="D288" s="14">
        <f>INDEX(StartupfileInput!$A$2:$D$328,MATCH(Calculation!$A288,StartupfileInput!$A$2:$A$328,0),3)</f>
        <v>150</v>
      </c>
      <c r="E288" s="20">
        <f>INDEX(ActiveDistricts!$A$2:$J$328,MATCH(Calculation!$A288,ActiveDistricts!$C$2:$C$328,0),10)</f>
        <v>0.54545454545454541</v>
      </c>
      <c r="F288" s="8">
        <f t="shared" si="30"/>
        <v>0.52500000000000002</v>
      </c>
      <c r="G288" s="8">
        <f t="shared" si="31"/>
        <v>0.30599999999999999</v>
      </c>
      <c r="H288" s="8">
        <f t="shared" si="29"/>
        <v>0.83099999999999996</v>
      </c>
      <c r="I288">
        <f>INDEX(StartupfileInput!$A$2:$D$328,MATCH(Calculation!$A288,StartupfileInput!$A$2:$A$328,0),4)</f>
        <v>7045</v>
      </c>
      <c r="J288" s="107">
        <f t="shared" si="32"/>
        <v>7203</v>
      </c>
      <c r="K288" s="9">
        <f t="shared" si="28"/>
        <v>3782</v>
      </c>
      <c r="L288" s="9">
        <f t="shared" si="33"/>
        <v>2204</v>
      </c>
      <c r="M288" s="9">
        <f t="shared" si="34"/>
        <v>5986</v>
      </c>
    </row>
    <row r="289" spans="1:13" ht="12.75" x14ac:dyDescent="0.2">
      <c r="A289" s="2" t="str">
        <f>StartupfileInput!A287</f>
        <v>6534</v>
      </c>
      <c r="B289" s="1" t="str">
        <f>INDEX(ActiveDistricts!$A$2:$J$328,MATCH(Calculation!$A289,ActiveDistricts!$C$2:$C$328,0),6)</f>
        <v>6534</v>
      </c>
      <c r="C289" s="1" t="str">
        <f>INDEX(ActiveDistricts!$A$2:$J$328,MATCH(Calculation!$A289,ActiveDistricts!$C$2:$C$328,0),7)</f>
        <v>Underwood</v>
      </c>
      <c r="D289" s="14">
        <f>INDEX(StartupfileInput!$A$2:$D$328,MATCH(Calculation!$A289,StartupfileInput!$A$2:$A$328,0),3)</f>
        <v>690</v>
      </c>
      <c r="E289" s="20">
        <f>INDEX(ActiveDistricts!$A$2:$J$328,MATCH(Calculation!$A289,ActiveDistricts!$C$2:$C$328,0),10)</f>
        <v>0.19047619047619047</v>
      </c>
      <c r="F289" s="8">
        <f t="shared" si="30"/>
        <v>0.84399999999999997</v>
      </c>
      <c r="G289" s="8">
        <f t="shared" si="31"/>
        <v>1.4079999999999999</v>
      </c>
      <c r="H289" s="8">
        <f t="shared" si="29"/>
        <v>2.2519999999999998</v>
      </c>
      <c r="I289">
        <f>INDEX(StartupfileInput!$A$2:$D$328,MATCH(Calculation!$A289,StartupfileInput!$A$2:$A$328,0),4)</f>
        <v>6880</v>
      </c>
      <c r="J289" s="107">
        <f t="shared" si="32"/>
        <v>7048</v>
      </c>
      <c r="K289" s="9">
        <f t="shared" si="28"/>
        <v>5949</v>
      </c>
      <c r="L289" s="9">
        <f t="shared" si="33"/>
        <v>9923</v>
      </c>
      <c r="M289" s="9">
        <f t="shared" si="34"/>
        <v>15872</v>
      </c>
    </row>
    <row r="290" spans="1:13" ht="12.75" x14ac:dyDescent="0.2">
      <c r="A290" s="2" t="str">
        <f>StartupfileInput!A288</f>
        <v>1935</v>
      </c>
      <c r="B290" s="1" t="str">
        <f>INDEX(ActiveDistricts!$A$2:$J$328,MATCH(Calculation!$A290,ActiveDistricts!$C$2:$C$328,0),6)</f>
        <v>6536</v>
      </c>
      <c r="C290" s="1" t="str">
        <f>INDEX(ActiveDistricts!$A$2:$J$328,MATCH(Calculation!$A290,ActiveDistricts!$C$2:$C$328,0),7)</f>
        <v>Union</v>
      </c>
      <c r="D290" s="14">
        <f>INDEX(StartupfileInput!$A$2:$D$328,MATCH(Calculation!$A290,StartupfileInput!$A$2:$A$328,0),3)</f>
        <v>1035.5999999999999</v>
      </c>
      <c r="E290" s="20">
        <f>INDEX(ActiveDistricts!$A$2:$J$328,MATCH(Calculation!$A290,ActiveDistricts!$C$2:$C$328,0),10)</f>
        <v>0.28967254408060455</v>
      </c>
      <c r="F290" s="8">
        <f t="shared" si="30"/>
        <v>1.9259999999999999</v>
      </c>
      <c r="G290" s="8">
        <f t="shared" si="31"/>
        <v>2.113</v>
      </c>
      <c r="H290" s="8">
        <f t="shared" si="29"/>
        <v>4.0389999999999997</v>
      </c>
      <c r="I290">
        <f>INDEX(StartupfileInput!$A$2:$D$328,MATCH(Calculation!$A290,StartupfileInput!$A$2:$A$328,0),4)</f>
        <v>6952</v>
      </c>
      <c r="J290" s="107">
        <f t="shared" si="32"/>
        <v>7110</v>
      </c>
      <c r="K290" s="9">
        <f t="shared" si="28"/>
        <v>13694</v>
      </c>
      <c r="L290" s="9">
        <f t="shared" si="33"/>
        <v>15023</v>
      </c>
      <c r="M290" s="9">
        <f t="shared" si="34"/>
        <v>28717</v>
      </c>
    </row>
    <row r="291" spans="1:13" ht="12.75" x14ac:dyDescent="0.2">
      <c r="A291" s="2" t="str">
        <f>StartupfileInput!A289</f>
        <v>6561</v>
      </c>
      <c r="B291" s="1" t="str">
        <f>INDEX(ActiveDistricts!$A$2:$J$328,MATCH(Calculation!$A291,ActiveDistricts!$C$2:$C$328,0),6)</f>
        <v>6561</v>
      </c>
      <c r="C291" s="1" t="str">
        <f>INDEX(ActiveDistricts!$A$2:$J$328,MATCH(Calculation!$A291,ActiveDistricts!$C$2:$C$328,0),7)</f>
        <v>United</v>
      </c>
      <c r="D291" s="14">
        <f>INDEX(StartupfileInput!$A$2:$D$328,MATCH(Calculation!$A291,StartupfileInput!$A$2:$A$328,0),3)</f>
        <v>403.3</v>
      </c>
      <c r="E291" s="20">
        <f>INDEX(ActiveDistricts!$A$2:$J$328,MATCH(Calculation!$A291,ActiveDistricts!$C$2:$C$328,0),10)</f>
        <v>0.25675675675675674</v>
      </c>
      <c r="F291" s="8">
        <f t="shared" si="30"/>
        <v>0.66500000000000004</v>
      </c>
      <c r="G291" s="8">
        <f t="shared" si="31"/>
        <v>0.82299999999999995</v>
      </c>
      <c r="H291" s="8">
        <f t="shared" si="29"/>
        <v>1.488</v>
      </c>
      <c r="I291">
        <f>INDEX(StartupfileInput!$A$2:$D$328,MATCH(Calculation!$A291,StartupfileInput!$A$2:$A$328,0),4)</f>
        <v>6880</v>
      </c>
      <c r="J291" s="107">
        <f t="shared" si="32"/>
        <v>7048</v>
      </c>
      <c r="K291" s="9">
        <f t="shared" si="28"/>
        <v>4687</v>
      </c>
      <c r="L291" s="9">
        <f t="shared" si="33"/>
        <v>5800</v>
      </c>
      <c r="M291" s="9">
        <f t="shared" si="34"/>
        <v>10487</v>
      </c>
    </row>
    <row r="292" spans="1:13" ht="12.75" x14ac:dyDescent="0.2">
      <c r="A292" s="2" t="str">
        <f>StartupfileInput!A290</f>
        <v>6579</v>
      </c>
      <c r="B292" s="1" t="str">
        <f>INDEX(ActiveDistricts!$A$2:$J$328,MATCH(Calculation!$A292,ActiveDistricts!$C$2:$C$328,0),6)</f>
        <v>6579</v>
      </c>
      <c r="C292" s="1" t="str">
        <f>INDEX(ActiveDistricts!$A$2:$J$328,MATCH(Calculation!$A292,ActiveDistricts!$C$2:$C$328,0),7)</f>
        <v>Urbandale</v>
      </c>
      <c r="D292" s="14">
        <f>INDEX(StartupfileInput!$A$2:$D$328,MATCH(Calculation!$A292,StartupfileInput!$A$2:$A$328,0),3)</f>
        <v>3438</v>
      </c>
      <c r="E292" s="20">
        <f>INDEX(ActiveDistricts!$A$2:$J$328,MATCH(Calculation!$A292,ActiveDistricts!$C$2:$C$328,0),10)</f>
        <v>0.37808376362593232</v>
      </c>
      <c r="F292" s="8">
        <f t="shared" si="30"/>
        <v>8.3450000000000006</v>
      </c>
      <c r="G292" s="8">
        <f t="shared" si="31"/>
        <v>7.0140000000000002</v>
      </c>
      <c r="H292" s="8">
        <f t="shared" si="29"/>
        <v>15.359000000000002</v>
      </c>
      <c r="I292">
        <f>INDEX(StartupfileInput!$A$2:$D$328,MATCH(Calculation!$A292,StartupfileInput!$A$2:$A$328,0),4)</f>
        <v>6880</v>
      </c>
      <c r="J292" s="107">
        <f t="shared" si="32"/>
        <v>7048</v>
      </c>
      <c r="K292" s="9">
        <f t="shared" si="28"/>
        <v>58816</v>
      </c>
      <c r="L292" s="9">
        <f t="shared" si="33"/>
        <v>49434</v>
      </c>
      <c r="M292" s="9">
        <f t="shared" si="34"/>
        <v>108250</v>
      </c>
    </row>
    <row r="293" spans="1:13" ht="12.75" x14ac:dyDescent="0.2">
      <c r="A293" s="2" t="str">
        <f>StartupfileInput!A291</f>
        <v>6592</v>
      </c>
      <c r="B293" s="1" t="str">
        <f>INDEX(ActiveDistricts!$A$2:$J$328,MATCH(Calculation!$A293,ActiveDistricts!$C$2:$C$328,0),6)</f>
        <v>6592</v>
      </c>
      <c r="C293" s="1" t="str">
        <f>INDEX(ActiveDistricts!$A$2:$J$328,MATCH(Calculation!$A293,ActiveDistricts!$C$2:$C$328,0),7)</f>
        <v>Van Buren County</v>
      </c>
      <c r="D293" s="14">
        <f>INDEX(StartupfileInput!$A$2:$D$328,MATCH(Calculation!$A293,StartupfileInput!$A$2:$A$328,0),3)</f>
        <v>949.9</v>
      </c>
      <c r="E293" s="20">
        <f>INDEX(ActiveDistricts!$A$2:$J$328,MATCH(Calculation!$A293,ActiveDistricts!$C$2:$C$328,0),10)</f>
        <v>0.54120879120879117</v>
      </c>
      <c r="F293" s="8">
        <f t="shared" si="30"/>
        <v>3.3</v>
      </c>
      <c r="G293" s="8">
        <f t="shared" si="31"/>
        <v>1.9379999999999999</v>
      </c>
      <c r="H293" s="8">
        <f t="shared" si="29"/>
        <v>5.2379999999999995</v>
      </c>
      <c r="I293">
        <f>INDEX(StartupfileInput!$A$2:$D$328,MATCH(Calculation!$A293,StartupfileInput!$A$2:$A$328,0),4)</f>
        <v>6880</v>
      </c>
      <c r="J293" s="107">
        <f t="shared" si="32"/>
        <v>7048</v>
      </c>
      <c r="K293" s="9">
        <f t="shared" si="28"/>
        <v>23258</v>
      </c>
      <c r="L293" s="9">
        <f t="shared" si="33"/>
        <v>13659</v>
      </c>
      <c r="M293" s="9">
        <f t="shared" si="34"/>
        <v>36917</v>
      </c>
    </row>
    <row r="294" spans="1:13" ht="12.75" x14ac:dyDescent="0.2">
      <c r="A294" s="2" t="str">
        <f>StartupfileInput!A292</f>
        <v>6615</v>
      </c>
      <c r="B294" s="1" t="str">
        <f>INDEX(ActiveDistricts!$A$2:$J$328,MATCH(Calculation!$A294,ActiveDistricts!$C$2:$C$328,0),6)</f>
        <v>6615</v>
      </c>
      <c r="C294" s="1" t="str">
        <f>INDEX(ActiveDistricts!$A$2:$J$328,MATCH(Calculation!$A294,ActiveDistricts!$C$2:$C$328,0),7)</f>
        <v>Van Meter</v>
      </c>
      <c r="D294" s="14">
        <f>INDEX(StartupfileInput!$A$2:$D$328,MATCH(Calculation!$A294,StartupfileInput!$A$2:$A$328,0),3)</f>
        <v>754.3</v>
      </c>
      <c r="E294" s="20">
        <f>INDEX(ActiveDistricts!$A$2:$J$328,MATCH(Calculation!$A294,ActiveDistricts!$C$2:$C$328,0),10)</f>
        <v>0.11298076923076923</v>
      </c>
      <c r="F294" s="8">
        <f t="shared" si="30"/>
        <v>0.54700000000000004</v>
      </c>
      <c r="G294" s="8">
        <f t="shared" si="31"/>
        <v>1.5389999999999999</v>
      </c>
      <c r="H294" s="8">
        <f t="shared" si="29"/>
        <v>2.0859999999999999</v>
      </c>
      <c r="I294">
        <f>INDEX(StartupfileInput!$A$2:$D$328,MATCH(Calculation!$A294,StartupfileInput!$A$2:$A$328,0),4)</f>
        <v>6880</v>
      </c>
      <c r="J294" s="107">
        <f t="shared" si="32"/>
        <v>7048</v>
      </c>
      <c r="K294" s="9">
        <f t="shared" si="28"/>
        <v>3855</v>
      </c>
      <c r="L294" s="9">
        <f t="shared" si="33"/>
        <v>10847</v>
      </c>
      <c r="M294" s="9">
        <f t="shared" si="34"/>
        <v>14702</v>
      </c>
    </row>
    <row r="295" spans="1:13" ht="12.75" x14ac:dyDescent="0.2">
      <c r="A295" s="2" t="str">
        <f>StartupfileInput!A293</f>
        <v>6651</v>
      </c>
      <c r="B295" s="1" t="str">
        <f>INDEX(ActiveDistricts!$A$2:$J$328,MATCH(Calculation!$A295,ActiveDistricts!$C$2:$C$328,0),6)</f>
        <v>6651</v>
      </c>
      <c r="C295" s="1" t="str">
        <f>INDEX(ActiveDistricts!$A$2:$J$328,MATCH(Calculation!$A295,ActiveDistricts!$C$2:$C$328,0),7)</f>
        <v>Villisca</v>
      </c>
      <c r="D295" s="14">
        <f>INDEX(StartupfileInput!$A$2:$D$328,MATCH(Calculation!$A295,StartupfileInput!$A$2:$A$328,0),3)</f>
        <v>290.2</v>
      </c>
      <c r="E295" s="20">
        <f>INDEX(ActiveDistricts!$A$2:$J$328,MATCH(Calculation!$A295,ActiveDistricts!$C$2:$C$328,0),10)</f>
        <v>0.57534246575342463</v>
      </c>
      <c r="F295" s="8">
        <f t="shared" si="30"/>
        <v>1.0720000000000001</v>
      </c>
      <c r="G295" s="8">
        <f t="shared" si="31"/>
        <v>0.59199999999999997</v>
      </c>
      <c r="H295" s="8">
        <f t="shared" si="29"/>
        <v>1.6640000000000001</v>
      </c>
      <c r="I295">
        <f>INDEX(StartupfileInput!$A$2:$D$328,MATCH(Calculation!$A295,StartupfileInput!$A$2:$A$328,0),4)</f>
        <v>6880</v>
      </c>
      <c r="J295" s="107">
        <f t="shared" si="32"/>
        <v>7048</v>
      </c>
      <c r="K295" s="9">
        <f t="shared" si="28"/>
        <v>7555</v>
      </c>
      <c r="L295" s="9">
        <f t="shared" si="33"/>
        <v>4173</v>
      </c>
      <c r="M295" s="9">
        <f t="shared" si="34"/>
        <v>11728</v>
      </c>
    </row>
    <row r="296" spans="1:13" ht="12.75" x14ac:dyDescent="0.2">
      <c r="A296" s="2" t="str">
        <f>StartupfileInput!A294</f>
        <v>6660</v>
      </c>
      <c r="B296" s="1" t="str">
        <f>INDEX(ActiveDistricts!$A$2:$J$328,MATCH(Calculation!$A296,ActiveDistricts!$C$2:$C$328,0),6)</f>
        <v>6660</v>
      </c>
      <c r="C296" s="1" t="str">
        <f>INDEX(ActiveDistricts!$A$2:$J$328,MATCH(Calculation!$A296,ActiveDistricts!$C$2:$C$328,0),7)</f>
        <v>Vinton-Shellsburg</v>
      </c>
      <c r="D296" s="14">
        <f>INDEX(StartupfileInput!$A$2:$D$328,MATCH(Calculation!$A296,StartupfileInput!$A$2:$A$328,0),3)</f>
        <v>1522</v>
      </c>
      <c r="E296" s="20">
        <f>INDEX(ActiveDistricts!$A$2:$J$328,MATCH(Calculation!$A296,ActiveDistricts!$C$2:$C$328,0),10)</f>
        <v>0.46202531645569622</v>
      </c>
      <c r="F296" s="8">
        <f t="shared" si="30"/>
        <v>4.5149999999999997</v>
      </c>
      <c r="G296" s="8">
        <f t="shared" si="31"/>
        <v>3.105</v>
      </c>
      <c r="H296" s="8">
        <f t="shared" si="29"/>
        <v>7.6199999999999992</v>
      </c>
      <c r="I296">
        <f>INDEX(StartupfileInput!$A$2:$D$328,MATCH(Calculation!$A296,StartupfileInput!$A$2:$A$328,0),4)</f>
        <v>6880</v>
      </c>
      <c r="J296" s="107">
        <f t="shared" si="32"/>
        <v>7048</v>
      </c>
      <c r="K296" s="9">
        <f t="shared" si="28"/>
        <v>31822</v>
      </c>
      <c r="L296" s="9">
        <f t="shared" si="33"/>
        <v>21884</v>
      </c>
      <c r="M296" s="9">
        <f t="shared" si="34"/>
        <v>53706</v>
      </c>
    </row>
    <row r="297" spans="1:13" ht="12.75" x14ac:dyDescent="0.2">
      <c r="A297" s="2" t="str">
        <f>StartupfileInput!A295</f>
        <v>6700</v>
      </c>
      <c r="B297" s="1" t="str">
        <f>INDEX(ActiveDistricts!$A$2:$J$328,MATCH(Calculation!$A297,ActiveDistricts!$C$2:$C$328,0),6)</f>
        <v>6700</v>
      </c>
      <c r="C297" s="1" t="str">
        <f>INDEX(ActiveDistricts!$A$2:$J$328,MATCH(Calculation!$A297,ActiveDistricts!$C$2:$C$328,0),7)</f>
        <v>Waco</v>
      </c>
      <c r="D297" s="14">
        <f>INDEX(StartupfileInput!$A$2:$D$328,MATCH(Calculation!$A297,StartupfileInput!$A$2:$A$328,0),3)</f>
        <v>489.8</v>
      </c>
      <c r="E297" s="20">
        <f>INDEX(ActiveDistricts!$A$2:$J$328,MATCH(Calculation!$A297,ActiveDistricts!$C$2:$C$328,0),10)</f>
        <v>0.47488584474885842</v>
      </c>
      <c r="F297" s="8">
        <f t="shared" si="30"/>
        <v>1.4930000000000001</v>
      </c>
      <c r="G297" s="8">
        <f t="shared" si="31"/>
        <v>0.999</v>
      </c>
      <c r="H297" s="8">
        <f t="shared" si="29"/>
        <v>2.492</v>
      </c>
      <c r="I297">
        <f>INDEX(StartupfileInput!$A$2:$D$328,MATCH(Calculation!$A297,StartupfileInput!$A$2:$A$328,0),4)</f>
        <v>6994</v>
      </c>
      <c r="J297" s="107">
        <f t="shared" si="32"/>
        <v>7152</v>
      </c>
      <c r="K297" s="9">
        <f t="shared" si="28"/>
        <v>10678</v>
      </c>
      <c r="L297" s="9">
        <f t="shared" si="33"/>
        <v>7145</v>
      </c>
      <c r="M297" s="9">
        <f t="shared" si="34"/>
        <v>17823</v>
      </c>
    </row>
    <row r="298" spans="1:13" ht="12.75" x14ac:dyDescent="0.2">
      <c r="A298" s="2" t="str">
        <f>StartupfileInput!A296</f>
        <v>6759</v>
      </c>
      <c r="B298" s="1" t="str">
        <f>INDEX(ActiveDistricts!$A$2:$J$328,MATCH(Calculation!$A298,ActiveDistricts!$C$2:$C$328,0),6)</f>
        <v>6759</v>
      </c>
      <c r="C298" s="1" t="str">
        <f>INDEX(ActiveDistricts!$A$2:$J$328,MATCH(Calculation!$A298,ActiveDistricts!$C$2:$C$328,0),7)</f>
        <v>Wapello</v>
      </c>
      <c r="D298" s="14">
        <f>INDEX(StartupfileInput!$A$2:$D$328,MATCH(Calculation!$A298,StartupfileInput!$A$2:$A$328,0),3)</f>
        <v>573</v>
      </c>
      <c r="E298" s="20">
        <f>INDEX(ActiveDistricts!$A$2:$J$328,MATCH(Calculation!$A298,ActiveDistricts!$C$2:$C$328,0),10)</f>
        <v>0.62085308056872035</v>
      </c>
      <c r="F298" s="8">
        <f t="shared" si="30"/>
        <v>2.2839999999999998</v>
      </c>
      <c r="G298" s="8">
        <f t="shared" si="31"/>
        <v>1.169</v>
      </c>
      <c r="H298" s="8">
        <f t="shared" si="29"/>
        <v>3.4529999999999998</v>
      </c>
      <c r="I298">
        <f>INDEX(StartupfileInput!$A$2:$D$328,MATCH(Calculation!$A298,StartupfileInput!$A$2:$A$328,0),4)</f>
        <v>6893</v>
      </c>
      <c r="J298" s="107">
        <f t="shared" si="32"/>
        <v>7051</v>
      </c>
      <c r="K298" s="9">
        <f t="shared" si="28"/>
        <v>16104</v>
      </c>
      <c r="L298" s="9">
        <f t="shared" si="33"/>
        <v>8243</v>
      </c>
      <c r="M298" s="9">
        <f t="shared" si="34"/>
        <v>24347</v>
      </c>
    </row>
    <row r="299" spans="1:13" ht="12.75" x14ac:dyDescent="0.2">
      <c r="A299" s="2" t="str">
        <f>StartupfileInput!A297</f>
        <v>6762</v>
      </c>
      <c r="B299" s="1" t="str">
        <f>INDEX(ActiveDistricts!$A$2:$J$328,MATCH(Calculation!$A299,ActiveDistricts!$C$2:$C$328,0),6)</f>
        <v>6762</v>
      </c>
      <c r="C299" s="1" t="str">
        <f>INDEX(ActiveDistricts!$A$2:$J$328,MATCH(Calculation!$A299,ActiveDistricts!$C$2:$C$328,0),7)</f>
        <v>Wapsie Valley</v>
      </c>
      <c r="D299" s="14">
        <f>INDEX(StartupfileInput!$A$2:$D$328,MATCH(Calculation!$A299,StartupfileInput!$A$2:$A$328,0),3)</f>
        <v>680.6</v>
      </c>
      <c r="E299" s="20">
        <f>INDEX(ActiveDistricts!$A$2:$J$328,MATCH(Calculation!$A299,ActiveDistricts!$C$2:$C$328,0),10)</f>
        <v>0.17159763313609466</v>
      </c>
      <c r="F299" s="8">
        <f t="shared" si="30"/>
        <v>0.75</v>
      </c>
      <c r="G299" s="8">
        <f t="shared" si="31"/>
        <v>1.3879999999999999</v>
      </c>
      <c r="H299" s="8">
        <f t="shared" si="29"/>
        <v>2.1379999999999999</v>
      </c>
      <c r="I299">
        <f>INDEX(StartupfileInput!$A$2:$D$328,MATCH(Calculation!$A299,StartupfileInput!$A$2:$A$328,0),4)</f>
        <v>6916</v>
      </c>
      <c r="J299" s="107">
        <f>MAX(I299+$R$2,$T$2)</f>
        <v>7074</v>
      </c>
      <c r="K299" s="9">
        <f t="shared" si="28"/>
        <v>5306</v>
      </c>
      <c r="L299" s="9">
        <f t="shared" si="33"/>
        <v>9818</v>
      </c>
      <c r="M299" s="9">
        <f t="shared" si="34"/>
        <v>15124</v>
      </c>
    </row>
    <row r="300" spans="1:13" ht="12.75" x14ac:dyDescent="0.2">
      <c r="A300" s="2" t="str">
        <f>StartupfileInput!A298</f>
        <v>6768</v>
      </c>
      <c r="B300" s="1" t="str">
        <f>INDEX(ActiveDistricts!$A$2:$J$328,MATCH(Calculation!$A300,ActiveDistricts!$C$2:$C$328,0),6)</f>
        <v>6768</v>
      </c>
      <c r="C300" s="1" t="str">
        <f>INDEX(ActiveDistricts!$A$2:$J$328,MATCH(Calculation!$A300,ActiveDistricts!$C$2:$C$328,0),7)</f>
        <v>Washington</v>
      </c>
      <c r="D300" s="14">
        <f>INDEX(StartupfileInput!$A$2:$D$328,MATCH(Calculation!$A300,StartupfileInput!$A$2:$A$328,0),3)</f>
        <v>1703.9</v>
      </c>
      <c r="E300" s="20">
        <f>INDEX(ActiveDistricts!$A$2:$J$328,MATCH(Calculation!$A300,ActiveDistricts!$C$2:$C$328,0),10)</f>
        <v>0.53372434017595305</v>
      </c>
      <c r="F300" s="8">
        <f t="shared" si="30"/>
        <v>5.8380000000000001</v>
      </c>
      <c r="G300" s="8">
        <f t="shared" si="31"/>
        <v>3.476</v>
      </c>
      <c r="H300" s="8">
        <f t="shared" si="29"/>
        <v>9.3140000000000001</v>
      </c>
      <c r="I300">
        <f>INDEX(StartupfileInput!$A$2:$D$328,MATCH(Calculation!$A300,StartupfileInput!$A$2:$A$328,0),4)</f>
        <v>6880</v>
      </c>
      <c r="J300" s="107">
        <f t="shared" si="32"/>
        <v>7048</v>
      </c>
      <c r="K300" s="9">
        <f t="shared" si="28"/>
        <v>41146</v>
      </c>
      <c r="L300" s="9">
        <f t="shared" si="33"/>
        <v>24499</v>
      </c>
      <c r="M300" s="9">
        <f t="shared" si="34"/>
        <v>65645</v>
      </c>
    </row>
    <row r="301" spans="1:13" ht="12.75" x14ac:dyDescent="0.2">
      <c r="A301" s="2" t="str">
        <f>StartupfileInput!A299</f>
        <v>6795</v>
      </c>
      <c r="B301" s="1" t="str">
        <f>INDEX(ActiveDistricts!$A$2:$J$328,MATCH(Calculation!$A301,ActiveDistricts!$C$2:$C$328,0),6)</f>
        <v>6795</v>
      </c>
      <c r="C301" s="1" t="str">
        <f>INDEX(ActiveDistricts!$A$2:$J$328,MATCH(Calculation!$A301,ActiveDistricts!$C$2:$C$328,0),7)</f>
        <v>Waterloo</v>
      </c>
      <c r="D301" s="14">
        <f>INDEX(StartupfileInput!$A$2:$D$328,MATCH(Calculation!$A301,StartupfileInput!$A$2:$A$328,0),3)</f>
        <v>10865.5</v>
      </c>
      <c r="E301" s="20">
        <f>INDEX(ActiveDistricts!$A$2:$J$328,MATCH(Calculation!$A301,ActiveDistricts!$C$2:$C$328,0),10)</f>
        <v>0.73545734840698873</v>
      </c>
      <c r="F301" s="8">
        <f t="shared" si="30"/>
        <v>51.302999999999997</v>
      </c>
      <c r="G301" s="8">
        <f t="shared" si="31"/>
        <v>22.166</v>
      </c>
      <c r="H301" s="8">
        <f t="shared" si="29"/>
        <v>73.468999999999994</v>
      </c>
      <c r="I301">
        <f>INDEX(StartupfileInput!$A$2:$D$328,MATCH(Calculation!$A301,StartupfileInput!$A$2:$A$328,0),4)</f>
        <v>6880</v>
      </c>
      <c r="J301" s="107">
        <f t="shared" si="32"/>
        <v>7048</v>
      </c>
      <c r="K301" s="9">
        <f t="shared" si="28"/>
        <v>361584</v>
      </c>
      <c r="L301" s="9">
        <f t="shared" si="33"/>
        <v>156226</v>
      </c>
      <c r="M301" s="9">
        <f t="shared" si="34"/>
        <v>517810</v>
      </c>
    </row>
    <row r="302" spans="1:13" ht="12.75" x14ac:dyDescent="0.2">
      <c r="A302" s="2" t="str">
        <f>StartupfileInput!A300</f>
        <v>6822</v>
      </c>
      <c r="B302" s="1" t="str">
        <f>INDEX(ActiveDistricts!$A$2:$J$328,MATCH(Calculation!$A302,ActiveDistricts!$C$2:$C$328,0),6)</f>
        <v>6822</v>
      </c>
      <c r="C302" s="1" t="str">
        <f>INDEX(ActiveDistricts!$A$2:$J$328,MATCH(Calculation!$A302,ActiveDistricts!$C$2:$C$328,0),7)</f>
        <v>Waukee</v>
      </c>
      <c r="D302" s="14">
        <f>INDEX(StartupfileInput!$A$2:$D$328,MATCH(Calculation!$A302,StartupfileInput!$A$2:$A$328,0),3)</f>
        <v>11701.4</v>
      </c>
      <c r="E302" s="20">
        <f>INDEX(ActiveDistricts!$A$2:$J$328,MATCH(Calculation!$A302,ActiveDistricts!$C$2:$C$328,0),10)</f>
        <v>0.15723941657773036</v>
      </c>
      <c r="F302" s="8">
        <f t="shared" si="30"/>
        <v>11.811999999999999</v>
      </c>
      <c r="G302" s="8">
        <f t="shared" si="31"/>
        <v>23.870999999999999</v>
      </c>
      <c r="H302" s="8">
        <f t="shared" si="29"/>
        <v>35.683</v>
      </c>
      <c r="I302">
        <f>INDEX(StartupfileInput!$A$2:$D$328,MATCH(Calculation!$A302,StartupfileInput!$A$2:$A$328,0),4)</f>
        <v>6880</v>
      </c>
      <c r="J302" s="107">
        <f t="shared" si="32"/>
        <v>7048</v>
      </c>
      <c r="K302" s="9">
        <f t="shared" si="28"/>
        <v>83251</v>
      </c>
      <c r="L302" s="9">
        <f t="shared" si="33"/>
        <v>168243</v>
      </c>
      <c r="M302" s="9">
        <f t="shared" si="34"/>
        <v>251494</v>
      </c>
    </row>
    <row r="303" spans="1:13" ht="12.75" x14ac:dyDescent="0.2">
      <c r="A303" s="2" t="str">
        <f>StartupfileInput!A301</f>
        <v>6840</v>
      </c>
      <c r="B303" s="1" t="str">
        <f>INDEX(ActiveDistricts!$A$2:$J$328,MATCH(Calculation!$A303,ActiveDistricts!$C$2:$C$328,0),6)</f>
        <v>6840</v>
      </c>
      <c r="C303" s="1" t="str">
        <f>INDEX(ActiveDistricts!$A$2:$J$328,MATCH(Calculation!$A303,ActiveDistricts!$C$2:$C$328,0),7)</f>
        <v>Waverly-Shell Rock</v>
      </c>
      <c r="D303" s="14">
        <f>INDEX(StartupfileInput!$A$2:$D$328,MATCH(Calculation!$A303,StartupfileInput!$A$2:$A$328,0),3)</f>
        <v>2126.1999999999998</v>
      </c>
      <c r="E303" s="20">
        <f>INDEX(ActiveDistricts!$A$2:$J$328,MATCH(Calculation!$A303,ActiveDistricts!$C$2:$C$328,0),10)</f>
        <v>0.24710830704521555</v>
      </c>
      <c r="F303" s="8">
        <f t="shared" si="30"/>
        <v>3.3730000000000002</v>
      </c>
      <c r="G303" s="8">
        <f t="shared" si="31"/>
        <v>4.3369999999999997</v>
      </c>
      <c r="H303" s="8">
        <f t="shared" si="29"/>
        <v>7.71</v>
      </c>
      <c r="I303">
        <f>INDEX(StartupfileInput!$A$2:$D$328,MATCH(Calculation!$A303,StartupfileInput!$A$2:$A$328,0),4)</f>
        <v>6880</v>
      </c>
      <c r="J303" s="107">
        <f t="shared" si="32"/>
        <v>7048</v>
      </c>
      <c r="K303" s="9">
        <f t="shared" si="28"/>
        <v>23773</v>
      </c>
      <c r="L303" s="9">
        <f t="shared" si="33"/>
        <v>30567</v>
      </c>
      <c r="M303" s="9">
        <f t="shared" si="34"/>
        <v>54340</v>
      </c>
    </row>
    <row r="304" spans="1:13" ht="12.75" x14ac:dyDescent="0.2">
      <c r="A304" s="2" t="str">
        <f>StartupfileInput!A302</f>
        <v>6854</v>
      </c>
      <c r="B304" s="1" t="str">
        <f>INDEX(ActiveDistricts!$A$2:$J$328,MATCH(Calculation!$A304,ActiveDistricts!$C$2:$C$328,0),6)</f>
        <v>6854</v>
      </c>
      <c r="C304" s="1" t="str">
        <f>INDEX(ActiveDistricts!$A$2:$J$328,MATCH(Calculation!$A304,ActiveDistricts!$C$2:$C$328,0),7)</f>
        <v>Wayne</v>
      </c>
      <c r="D304" s="14">
        <f>INDEX(StartupfileInput!$A$2:$D$328,MATCH(Calculation!$A304,StartupfileInput!$A$2:$A$328,0),3)</f>
        <v>589</v>
      </c>
      <c r="E304" s="20">
        <f>INDEX(ActiveDistricts!$A$2:$J$328,MATCH(Calculation!$A304,ActiveDistricts!$C$2:$C$328,0),10)</f>
        <v>0.55160142348754448</v>
      </c>
      <c r="F304" s="8">
        <f t="shared" si="30"/>
        <v>2.0859999999999999</v>
      </c>
      <c r="G304" s="8">
        <f t="shared" si="31"/>
        <v>1.202</v>
      </c>
      <c r="H304" s="8">
        <f t="shared" si="29"/>
        <v>3.2879999999999998</v>
      </c>
      <c r="I304">
        <f>INDEX(StartupfileInput!$A$2:$D$328,MATCH(Calculation!$A304,StartupfileInput!$A$2:$A$328,0),4)</f>
        <v>6893</v>
      </c>
      <c r="J304" s="107">
        <f t="shared" si="32"/>
        <v>7051</v>
      </c>
      <c r="K304" s="9">
        <f t="shared" si="28"/>
        <v>14708</v>
      </c>
      <c r="L304" s="9">
        <f t="shared" si="33"/>
        <v>8476</v>
      </c>
      <c r="M304" s="9">
        <f t="shared" si="34"/>
        <v>23184</v>
      </c>
    </row>
    <row r="305" spans="1:13" ht="12.75" x14ac:dyDescent="0.2">
      <c r="A305" s="2" t="str">
        <f>StartupfileInput!A303</f>
        <v>6867</v>
      </c>
      <c r="B305" s="1" t="str">
        <f>INDEX(ActiveDistricts!$A$2:$J$328,MATCH(Calculation!$A305,ActiveDistricts!$C$2:$C$328,0),6)</f>
        <v>6867</v>
      </c>
      <c r="C305" s="1" t="str">
        <f>INDEX(ActiveDistricts!$A$2:$J$328,MATCH(Calculation!$A305,ActiveDistricts!$C$2:$C$328,0),7)</f>
        <v>Webster City</v>
      </c>
      <c r="D305" s="14">
        <f>INDEX(StartupfileInput!$A$2:$D$328,MATCH(Calculation!$A305,StartupfileInput!$A$2:$A$328,0),3)</f>
        <v>1773.3</v>
      </c>
      <c r="E305" s="20">
        <f>INDEX(ActiveDistricts!$A$2:$J$328,MATCH(Calculation!$A305,ActiveDistricts!$C$2:$C$328,0),10)</f>
        <v>0.5547752808988764</v>
      </c>
      <c r="F305" s="8">
        <f t="shared" si="30"/>
        <v>6.3159999999999998</v>
      </c>
      <c r="G305" s="8">
        <f t="shared" si="31"/>
        <v>3.6179999999999999</v>
      </c>
      <c r="H305" s="8">
        <f t="shared" si="29"/>
        <v>9.9339999999999993</v>
      </c>
      <c r="I305">
        <f>INDEX(StartupfileInput!$A$2:$D$328,MATCH(Calculation!$A305,StartupfileInput!$A$2:$A$328,0),4)</f>
        <v>6894</v>
      </c>
      <c r="J305" s="107">
        <f t="shared" si="32"/>
        <v>7052</v>
      </c>
      <c r="K305" s="9">
        <f t="shared" si="28"/>
        <v>44540</v>
      </c>
      <c r="L305" s="9">
        <f t="shared" si="33"/>
        <v>25515</v>
      </c>
      <c r="M305" s="9">
        <f t="shared" si="34"/>
        <v>70055</v>
      </c>
    </row>
    <row r="306" spans="1:13" ht="12.75" x14ac:dyDescent="0.2">
      <c r="A306" s="2" t="str">
        <f>StartupfileInput!A304</f>
        <v>6921</v>
      </c>
      <c r="B306" s="1" t="str">
        <f>INDEX(ActiveDistricts!$A$2:$J$328,MATCH(Calculation!$A306,ActiveDistricts!$C$2:$C$328,0),6)</f>
        <v>6921</v>
      </c>
      <c r="C306" s="1" t="str">
        <f>INDEX(ActiveDistricts!$A$2:$J$328,MATCH(Calculation!$A306,ActiveDistricts!$C$2:$C$328,0),7)</f>
        <v>West Bend-Mallard</v>
      </c>
      <c r="D306" s="14">
        <f>INDEX(StartupfileInput!$A$2:$D$328,MATCH(Calculation!$A306,StartupfileInput!$A$2:$A$328,0),3)</f>
        <v>289.5</v>
      </c>
      <c r="E306" s="20">
        <f>INDEX(ActiveDistricts!$A$2:$J$328,MATCH(Calculation!$A306,ActiveDistricts!$C$2:$C$328,0),10)</f>
        <v>0.44915254237288138</v>
      </c>
      <c r="F306" s="8">
        <f t="shared" si="30"/>
        <v>0.83499999999999996</v>
      </c>
      <c r="G306" s="8">
        <f t="shared" si="31"/>
        <v>0.59099999999999997</v>
      </c>
      <c r="H306" s="8">
        <f t="shared" si="29"/>
        <v>1.4259999999999999</v>
      </c>
      <c r="I306">
        <f>INDEX(StartupfileInput!$A$2:$D$328,MATCH(Calculation!$A306,StartupfileInput!$A$2:$A$328,0),4)</f>
        <v>6922</v>
      </c>
      <c r="J306" s="107">
        <f t="shared" si="32"/>
        <v>7080</v>
      </c>
      <c r="K306" s="9">
        <f t="shared" si="28"/>
        <v>5912</v>
      </c>
      <c r="L306" s="9">
        <f t="shared" si="33"/>
        <v>4184</v>
      </c>
      <c r="M306" s="9">
        <f t="shared" si="34"/>
        <v>10096</v>
      </c>
    </row>
    <row r="307" spans="1:13" ht="12.75" x14ac:dyDescent="0.2">
      <c r="A307" s="2" t="str">
        <f>StartupfileInput!A305</f>
        <v>6930</v>
      </c>
      <c r="B307" s="1" t="str">
        <f>INDEX(ActiveDistricts!$A$2:$J$328,MATCH(Calculation!$A307,ActiveDistricts!$C$2:$C$328,0),6)</f>
        <v>6930</v>
      </c>
      <c r="C307" s="1" t="str">
        <f>INDEX(ActiveDistricts!$A$2:$J$328,MATCH(Calculation!$A307,ActiveDistricts!$C$2:$C$328,0),7)</f>
        <v>West Branch</v>
      </c>
      <c r="D307" s="14">
        <f>INDEX(StartupfileInput!$A$2:$D$328,MATCH(Calculation!$A307,StartupfileInput!$A$2:$A$328,0),3)</f>
        <v>754.1</v>
      </c>
      <c r="E307" s="20">
        <f>INDEX(ActiveDistricts!$A$2:$J$328,MATCH(Calculation!$A307,ActiveDistricts!$C$2:$C$328,0),10)</f>
        <v>0.27914110429447853</v>
      </c>
      <c r="F307" s="8">
        <f t="shared" si="30"/>
        <v>1.351</v>
      </c>
      <c r="G307" s="8">
        <f t="shared" si="31"/>
        <v>1.538</v>
      </c>
      <c r="H307" s="8">
        <f t="shared" si="29"/>
        <v>2.8890000000000002</v>
      </c>
      <c r="I307">
        <f>INDEX(StartupfileInput!$A$2:$D$328,MATCH(Calculation!$A307,StartupfileInput!$A$2:$A$328,0),4)</f>
        <v>6902</v>
      </c>
      <c r="J307" s="107">
        <f t="shared" si="32"/>
        <v>7060</v>
      </c>
      <c r="K307" s="9">
        <f t="shared" si="28"/>
        <v>9538</v>
      </c>
      <c r="L307" s="9">
        <f t="shared" si="33"/>
        <v>10858</v>
      </c>
      <c r="M307" s="9">
        <f t="shared" si="34"/>
        <v>20396</v>
      </c>
    </row>
    <row r="308" spans="1:13" ht="12.75" x14ac:dyDescent="0.2">
      <c r="A308" s="2" t="str">
        <f>StartupfileInput!A306</f>
        <v>6937</v>
      </c>
      <c r="B308" s="1" t="str">
        <f>INDEX(ActiveDistricts!$A$2:$J$328,MATCH(Calculation!$A308,ActiveDistricts!$C$2:$C$328,0),6)</f>
        <v>6937</v>
      </c>
      <c r="C308" s="1" t="str">
        <f>INDEX(ActiveDistricts!$A$2:$J$328,MATCH(Calculation!$A308,ActiveDistricts!$C$2:$C$328,0),7)</f>
        <v>West Burlington</v>
      </c>
      <c r="D308" s="14">
        <f>INDEX(StartupfileInput!$A$2:$D$328,MATCH(Calculation!$A308,StartupfileInput!$A$2:$A$328,0),3)</f>
        <v>458.4</v>
      </c>
      <c r="E308" s="20">
        <f>INDEX(ActiveDistricts!$A$2:$J$328,MATCH(Calculation!$A308,ActiveDistricts!$C$2:$C$328,0),10)</f>
        <v>0.47263681592039802</v>
      </c>
      <c r="F308" s="8">
        <f t="shared" si="30"/>
        <v>1.391</v>
      </c>
      <c r="G308" s="8">
        <f t="shared" si="31"/>
        <v>0.93500000000000005</v>
      </c>
      <c r="H308" s="8">
        <f t="shared" si="29"/>
        <v>2.3260000000000001</v>
      </c>
      <c r="I308">
        <f>INDEX(StartupfileInput!$A$2:$D$328,MATCH(Calculation!$A308,StartupfileInput!$A$2:$A$328,0),4)</f>
        <v>6880</v>
      </c>
      <c r="J308" s="107">
        <f t="shared" si="32"/>
        <v>7048</v>
      </c>
      <c r="K308" s="9">
        <f t="shared" si="28"/>
        <v>9804</v>
      </c>
      <c r="L308" s="9">
        <f t="shared" si="33"/>
        <v>6590</v>
      </c>
      <c r="M308" s="9">
        <f t="shared" si="34"/>
        <v>16394</v>
      </c>
    </row>
    <row r="309" spans="1:13" ht="12.75" x14ac:dyDescent="0.2">
      <c r="A309" s="2" t="str">
        <f>StartupfileInput!A307</f>
        <v>6943</v>
      </c>
      <c r="B309" s="1" t="str">
        <f>INDEX(ActiveDistricts!$A$2:$J$328,MATCH(Calculation!$A309,ActiveDistricts!$C$2:$C$328,0),6)</f>
        <v>6943</v>
      </c>
      <c r="C309" s="1" t="str">
        <f>INDEX(ActiveDistricts!$A$2:$J$328,MATCH(Calculation!$A309,ActiveDistricts!$C$2:$C$328,0),7)</f>
        <v>West Central</v>
      </c>
      <c r="D309" s="14">
        <f>INDEX(StartupfileInput!$A$2:$D$328,MATCH(Calculation!$A309,StartupfileInput!$A$2:$A$328,0),3)</f>
        <v>262</v>
      </c>
      <c r="E309" s="20">
        <f>INDEX(ActiveDistricts!$A$2:$J$328,MATCH(Calculation!$A309,ActiveDistricts!$C$2:$C$328,0),10)</f>
        <v>0.54545454545454541</v>
      </c>
      <c r="F309" s="8">
        <f t="shared" si="30"/>
        <v>0.91700000000000004</v>
      </c>
      <c r="G309" s="8">
        <f t="shared" si="31"/>
        <v>0.53400000000000003</v>
      </c>
      <c r="H309" s="8">
        <f t="shared" si="29"/>
        <v>1.4510000000000001</v>
      </c>
      <c r="I309">
        <f>INDEX(StartupfileInput!$A$2:$D$328,MATCH(Calculation!$A309,StartupfileInput!$A$2:$A$328,0),4)</f>
        <v>6880</v>
      </c>
      <c r="J309" s="107">
        <f t="shared" si="32"/>
        <v>7048</v>
      </c>
      <c r="K309" s="9">
        <f t="shared" si="28"/>
        <v>6463</v>
      </c>
      <c r="L309" s="9">
        <f t="shared" si="33"/>
        <v>3764</v>
      </c>
      <c r="M309" s="9">
        <f t="shared" si="34"/>
        <v>10227</v>
      </c>
    </row>
    <row r="310" spans="1:13" ht="12.75" x14ac:dyDescent="0.2">
      <c r="A310" s="2" t="str">
        <f>StartupfileInput!A308</f>
        <v>6264</v>
      </c>
      <c r="B310" s="1" t="str">
        <f>INDEX(ActiveDistricts!$A$2:$J$328,MATCH(Calculation!$A310,ActiveDistricts!$C$2:$C$328,0),6)</f>
        <v>6264</v>
      </c>
      <c r="C310" s="1" t="str">
        <f>INDEX(ActiveDistricts!$A$2:$J$328,MATCH(Calculation!$A310,ActiveDistricts!$C$2:$C$328,0),7)</f>
        <v>West Central Valley</v>
      </c>
      <c r="D310" s="14">
        <f>INDEX(StartupfileInput!$A$2:$D$328,MATCH(Calculation!$A310,StartupfileInput!$A$2:$A$328,0),3)</f>
        <v>953.5</v>
      </c>
      <c r="E310" s="20">
        <f>INDEX(ActiveDistricts!$A$2:$J$328,MATCH(Calculation!$A310,ActiveDistricts!$C$2:$C$328,0),10)</f>
        <v>0.41935483870967744</v>
      </c>
      <c r="F310" s="8">
        <f t="shared" si="30"/>
        <v>2.5670000000000002</v>
      </c>
      <c r="G310" s="8">
        <f t="shared" si="31"/>
        <v>1.9450000000000001</v>
      </c>
      <c r="H310" s="8">
        <f t="shared" si="29"/>
        <v>4.5120000000000005</v>
      </c>
      <c r="I310">
        <f>INDEX(StartupfileInput!$A$2:$D$328,MATCH(Calculation!$A310,StartupfileInput!$A$2:$A$328,0),4)</f>
        <v>6936</v>
      </c>
      <c r="J310" s="107">
        <f t="shared" si="32"/>
        <v>7094</v>
      </c>
      <c r="K310" s="9">
        <f t="shared" si="28"/>
        <v>18210</v>
      </c>
      <c r="L310" s="9">
        <f t="shared" si="33"/>
        <v>13798</v>
      </c>
      <c r="M310" s="9">
        <f t="shared" si="34"/>
        <v>32008</v>
      </c>
    </row>
    <row r="311" spans="1:13" ht="12.75" x14ac:dyDescent="0.2">
      <c r="A311" s="2" t="str">
        <f>StartupfileInput!A309</f>
        <v>6950</v>
      </c>
      <c r="B311" s="1" t="str">
        <f>INDEX(ActiveDistricts!$A$2:$J$328,MATCH(Calculation!$A311,ActiveDistricts!$C$2:$C$328,0),6)</f>
        <v>6950</v>
      </c>
      <c r="C311" s="1" t="str">
        <f>INDEX(ActiveDistricts!$A$2:$J$328,MATCH(Calculation!$A311,ActiveDistricts!$C$2:$C$328,0),7)</f>
        <v>West Delaware Co</v>
      </c>
      <c r="D311" s="14">
        <f>INDEX(StartupfileInput!$A$2:$D$328,MATCH(Calculation!$A311,StartupfileInput!$A$2:$A$328,0),3)</f>
        <v>1419</v>
      </c>
      <c r="E311" s="20">
        <f>INDEX(ActiveDistricts!$A$2:$J$328,MATCH(Calculation!$A311,ActiveDistricts!$C$2:$C$328,0),10)</f>
        <v>0.46153846153846156</v>
      </c>
      <c r="F311" s="8">
        <f t="shared" si="30"/>
        <v>4.2050000000000001</v>
      </c>
      <c r="G311" s="8">
        <f t="shared" si="31"/>
        <v>2.895</v>
      </c>
      <c r="H311" s="8">
        <f t="shared" si="29"/>
        <v>7.1</v>
      </c>
      <c r="I311">
        <f>INDEX(StartupfileInput!$A$2:$D$328,MATCH(Calculation!$A311,StartupfileInput!$A$2:$A$328,0),4)</f>
        <v>6880</v>
      </c>
      <c r="J311" s="107">
        <f t="shared" si="32"/>
        <v>7048</v>
      </c>
      <c r="K311" s="9">
        <f t="shared" si="28"/>
        <v>29637</v>
      </c>
      <c r="L311" s="9">
        <f t="shared" si="33"/>
        <v>20404</v>
      </c>
      <c r="M311" s="9">
        <f t="shared" si="34"/>
        <v>50041</v>
      </c>
    </row>
    <row r="312" spans="1:13" ht="12.75" x14ac:dyDescent="0.2">
      <c r="A312" s="2" t="str">
        <f>StartupfileInput!A310</f>
        <v>6957</v>
      </c>
      <c r="B312" s="1" t="str">
        <f>INDEX(ActiveDistricts!$A$2:$J$328,MATCH(Calculation!$A312,ActiveDistricts!$C$2:$C$328,0),6)</f>
        <v>6957</v>
      </c>
      <c r="C312" s="1" t="str">
        <f>INDEX(ActiveDistricts!$A$2:$J$328,MATCH(Calculation!$A312,ActiveDistricts!$C$2:$C$328,0),7)</f>
        <v>West Des Moines</v>
      </c>
      <c r="D312" s="14">
        <f>INDEX(StartupfileInput!$A$2:$D$328,MATCH(Calculation!$A312,StartupfileInput!$A$2:$A$328,0),3)</f>
        <v>8989.1</v>
      </c>
      <c r="E312" s="20">
        <f>INDEX(ActiveDistricts!$A$2:$J$328,MATCH(Calculation!$A312,ActiveDistricts!$C$2:$C$328,0),10)</f>
        <v>0.39964788732394368</v>
      </c>
      <c r="F312" s="8">
        <f t="shared" si="30"/>
        <v>23.064</v>
      </c>
      <c r="G312" s="8">
        <f t="shared" si="31"/>
        <v>18.338000000000001</v>
      </c>
      <c r="H312" s="8">
        <f t="shared" si="29"/>
        <v>41.402000000000001</v>
      </c>
      <c r="I312">
        <f>INDEX(StartupfileInput!$A$2:$D$328,MATCH(Calculation!$A312,StartupfileInput!$A$2:$A$328,0),4)</f>
        <v>6880</v>
      </c>
      <c r="J312" s="107">
        <f t="shared" si="32"/>
        <v>7048</v>
      </c>
      <c r="K312" s="9">
        <f t="shared" si="28"/>
        <v>162555</v>
      </c>
      <c r="L312" s="9">
        <f t="shared" si="33"/>
        <v>129246</v>
      </c>
      <c r="M312" s="9">
        <f t="shared" si="34"/>
        <v>291801</v>
      </c>
    </row>
    <row r="313" spans="1:13" ht="12.75" x14ac:dyDescent="0.2">
      <c r="A313" s="2" t="str">
        <f>StartupfileInput!A311</f>
        <v>5922</v>
      </c>
      <c r="B313" s="1" t="str">
        <f>INDEX(ActiveDistricts!$A$2:$J$328,MATCH(Calculation!$A313,ActiveDistricts!$C$2:$C$328,0),6)</f>
        <v>5922</v>
      </c>
      <c r="C313" s="1" t="str">
        <f>INDEX(ActiveDistricts!$A$2:$J$328,MATCH(Calculation!$A313,ActiveDistricts!$C$2:$C$328,0),7)</f>
        <v>West Fork</v>
      </c>
      <c r="D313" s="14">
        <f>INDEX(StartupfileInput!$A$2:$D$328,MATCH(Calculation!$A313,StartupfileInput!$A$2:$A$328,0),3)</f>
        <v>717.4</v>
      </c>
      <c r="E313" s="20">
        <f>INDEX(ActiveDistricts!$A$2:$J$328,MATCH(Calculation!$A313,ActiveDistricts!$C$2:$C$328,0),10)</f>
        <v>0.3687707641196013</v>
      </c>
      <c r="F313" s="8">
        <f t="shared" si="30"/>
        <v>1.698</v>
      </c>
      <c r="G313" s="8">
        <f t="shared" si="31"/>
        <v>1.4630000000000001</v>
      </c>
      <c r="H313" s="8">
        <f t="shared" si="29"/>
        <v>3.161</v>
      </c>
      <c r="I313">
        <f>INDEX(StartupfileInput!$A$2:$D$328,MATCH(Calculation!$A313,StartupfileInput!$A$2:$A$328,0),4)</f>
        <v>6926</v>
      </c>
      <c r="J313" s="107">
        <f t="shared" si="32"/>
        <v>7084</v>
      </c>
      <c r="K313" s="9">
        <f t="shared" si="28"/>
        <v>12029</v>
      </c>
      <c r="L313" s="9">
        <f t="shared" si="33"/>
        <v>10364</v>
      </c>
      <c r="M313" s="9">
        <f t="shared" si="34"/>
        <v>22393</v>
      </c>
    </row>
    <row r="314" spans="1:13" ht="12.75" x14ac:dyDescent="0.2">
      <c r="A314" s="2" t="str">
        <f>StartupfileInput!A312</f>
        <v>0819</v>
      </c>
      <c r="B314" s="1" t="str">
        <f>INDEX(ActiveDistricts!$A$2:$J$328,MATCH(Calculation!$A314,ActiveDistricts!$C$2:$C$328,0),6)</f>
        <v>0819</v>
      </c>
      <c r="C314" s="1" t="str">
        <f>INDEX(ActiveDistricts!$A$2:$J$328,MATCH(Calculation!$A314,ActiveDistricts!$C$2:$C$328,0),7)</f>
        <v>West Hancock</v>
      </c>
      <c r="D314" s="14">
        <f>INDEX(StartupfileInput!$A$2:$D$328,MATCH(Calculation!$A314,StartupfileInput!$A$2:$A$328,0),3)</f>
        <v>561.5</v>
      </c>
      <c r="E314" s="20">
        <f>INDEX(ActiveDistricts!$A$2:$J$328,MATCH(Calculation!$A314,ActiveDistricts!$C$2:$C$328,0),10)</f>
        <v>0.4127659574468085</v>
      </c>
      <c r="F314" s="8">
        <f t="shared" si="30"/>
        <v>1.488</v>
      </c>
      <c r="G314" s="8">
        <f t="shared" si="31"/>
        <v>1.145</v>
      </c>
      <c r="H314" s="8">
        <f t="shared" si="29"/>
        <v>2.633</v>
      </c>
      <c r="I314">
        <f>INDEX(StartupfileInput!$A$2:$D$328,MATCH(Calculation!$A314,StartupfileInput!$A$2:$A$328,0),4)</f>
        <v>6888</v>
      </c>
      <c r="J314" s="107">
        <f t="shared" si="32"/>
        <v>7048</v>
      </c>
      <c r="K314" s="9">
        <f t="shared" si="28"/>
        <v>10487</v>
      </c>
      <c r="L314" s="9">
        <f t="shared" si="33"/>
        <v>8070</v>
      </c>
      <c r="M314" s="9">
        <f t="shared" si="34"/>
        <v>18557</v>
      </c>
    </row>
    <row r="315" spans="1:13" ht="12.75" x14ac:dyDescent="0.2">
      <c r="A315" s="2" t="str">
        <f>StartupfileInput!A313</f>
        <v>6969</v>
      </c>
      <c r="B315" s="1" t="str">
        <f>INDEX(ActiveDistricts!$A$2:$J$328,MATCH(Calculation!$A315,ActiveDistricts!$C$2:$C$328,0),6)</f>
        <v>6969</v>
      </c>
      <c r="C315" s="1" t="str">
        <f>INDEX(ActiveDistricts!$A$2:$J$328,MATCH(Calculation!$A315,ActiveDistricts!$C$2:$C$328,0),7)</f>
        <v>West Harrison</v>
      </c>
      <c r="D315" s="14">
        <f>INDEX(StartupfileInput!$A$2:$D$328,MATCH(Calculation!$A315,StartupfileInput!$A$2:$A$328,0),3)</f>
        <v>322.60000000000002</v>
      </c>
      <c r="E315" s="20">
        <f>INDEX(ActiveDistricts!$A$2:$J$328,MATCH(Calculation!$A315,ActiveDistricts!$C$2:$C$328,0),10)</f>
        <v>0.54205607476635509</v>
      </c>
      <c r="F315" s="8">
        <f t="shared" si="30"/>
        <v>1.123</v>
      </c>
      <c r="G315" s="8">
        <f t="shared" si="31"/>
        <v>0.65800000000000003</v>
      </c>
      <c r="H315" s="8">
        <f t="shared" si="29"/>
        <v>1.7810000000000001</v>
      </c>
      <c r="I315">
        <f>INDEX(StartupfileInput!$A$2:$D$328,MATCH(Calculation!$A315,StartupfileInput!$A$2:$A$328,0),4)</f>
        <v>7040</v>
      </c>
      <c r="J315" s="107">
        <f t="shared" si="32"/>
        <v>7198</v>
      </c>
      <c r="K315" s="9">
        <f t="shared" si="28"/>
        <v>8083</v>
      </c>
      <c r="L315" s="9">
        <f t="shared" si="33"/>
        <v>4737</v>
      </c>
      <c r="M315" s="9">
        <f t="shared" si="34"/>
        <v>12820</v>
      </c>
    </row>
    <row r="316" spans="1:13" ht="12.75" x14ac:dyDescent="0.2">
      <c r="A316" s="2" t="str">
        <f>StartupfileInput!A314</f>
        <v>6975</v>
      </c>
      <c r="B316" s="1" t="str">
        <f>INDEX(ActiveDistricts!$A$2:$J$328,MATCH(Calculation!$A316,ActiveDistricts!$C$2:$C$328,0),6)</f>
        <v>6975</v>
      </c>
      <c r="C316" s="1" t="str">
        <f>INDEX(ActiveDistricts!$A$2:$J$328,MATCH(Calculation!$A316,ActiveDistricts!$C$2:$C$328,0),7)</f>
        <v>West Liberty</v>
      </c>
      <c r="D316" s="14">
        <f>INDEX(StartupfileInput!$A$2:$D$328,MATCH(Calculation!$A316,StartupfileInput!$A$2:$A$328,0),3)</f>
        <v>1301.7</v>
      </c>
      <c r="E316" s="20">
        <f>INDEX(ActiveDistricts!$A$2:$J$328,MATCH(Calculation!$A316,ActiveDistricts!$C$2:$C$328,0),10)</f>
        <v>0.62183544303797467</v>
      </c>
      <c r="F316" s="8">
        <f t="shared" si="30"/>
        <v>5.1970000000000001</v>
      </c>
      <c r="G316" s="8">
        <f t="shared" si="31"/>
        <v>2.6549999999999998</v>
      </c>
      <c r="H316" s="8">
        <f t="shared" si="29"/>
        <v>7.8520000000000003</v>
      </c>
      <c r="I316">
        <f>INDEX(StartupfileInput!$A$2:$D$328,MATCH(Calculation!$A316,StartupfileInput!$A$2:$A$328,0),4)</f>
        <v>6880</v>
      </c>
      <c r="J316" s="107">
        <f t="shared" si="32"/>
        <v>7048</v>
      </c>
      <c r="K316" s="9">
        <f t="shared" si="28"/>
        <v>36628</v>
      </c>
      <c r="L316" s="9">
        <f t="shared" si="33"/>
        <v>18713</v>
      </c>
      <c r="M316" s="9">
        <f t="shared" si="34"/>
        <v>55341</v>
      </c>
    </row>
    <row r="317" spans="1:13" ht="12.75" x14ac:dyDescent="0.2">
      <c r="A317" s="2" t="str">
        <f>StartupfileInput!A315</f>
        <v>6983</v>
      </c>
      <c r="B317" s="1" t="str">
        <f>INDEX(ActiveDistricts!$A$2:$J$328,MATCH(Calculation!$A317,ActiveDistricts!$C$2:$C$328,0),6)</f>
        <v>6983</v>
      </c>
      <c r="C317" s="1" t="str">
        <f>INDEX(ActiveDistricts!$A$2:$J$328,MATCH(Calculation!$A317,ActiveDistricts!$C$2:$C$328,0),7)</f>
        <v>West Lyon</v>
      </c>
      <c r="D317" s="14">
        <f>INDEX(StartupfileInput!$A$2:$D$328,MATCH(Calculation!$A317,StartupfileInput!$A$2:$A$328,0),3)</f>
        <v>952.3</v>
      </c>
      <c r="E317" s="20">
        <f>INDEX(ActiveDistricts!$A$2:$J$328,MATCH(Calculation!$A317,ActiveDistricts!$C$2:$C$328,0),10)</f>
        <v>0.26701570680628273</v>
      </c>
      <c r="F317" s="8">
        <f t="shared" si="30"/>
        <v>1.6319999999999999</v>
      </c>
      <c r="G317" s="8">
        <f t="shared" si="31"/>
        <v>1.9430000000000001</v>
      </c>
      <c r="H317" s="8">
        <f t="shared" si="29"/>
        <v>3.5750000000000002</v>
      </c>
      <c r="I317">
        <f>INDEX(StartupfileInput!$A$2:$D$328,MATCH(Calculation!$A317,StartupfileInput!$A$2:$A$328,0),4)</f>
        <v>6880</v>
      </c>
      <c r="J317" s="107">
        <f t="shared" si="32"/>
        <v>7048</v>
      </c>
      <c r="K317" s="9">
        <f t="shared" si="28"/>
        <v>11502</v>
      </c>
      <c r="L317" s="9">
        <f t="shared" si="33"/>
        <v>13695</v>
      </c>
      <c r="M317" s="9">
        <f t="shared" si="34"/>
        <v>25197</v>
      </c>
    </row>
    <row r="318" spans="1:13" ht="12.75" x14ac:dyDescent="0.2">
      <c r="A318" s="2" t="str">
        <f>StartupfileInput!A316</f>
        <v>6985</v>
      </c>
      <c r="B318" s="1" t="str">
        <f>INDEX(ActiveDistricts!$A$2:$J$328,MATCH(Calculation!$A318,ActiveDistricts!$C$2:$C$328,0),6)</f>
        <v>6985</v>
      </c>
      <c r="C318" s="1" t="str">
        <f>INDEX(ActiveDistricts!$A$2:$J$328,MATCH(Calculation!$A318,ActiveDistricts!$C$2:$C$328,0),7)</f>
        <v>West Marshall</v>
      </c>
      <c r="D318" s="14">
        <f>INDEX(StartupfileInput!$A$2:$D$328,MATCH(Calculation!$A318,StartupfileInput!$A$2:$A$328,0),3)</f>
        <v>822.2</v>
      </c>
      <c r="E318" s="20">
        <f>INDEX(ActiveDistricts!$A$2:$J$328,MATCH(Calculation!$A318,ActiveDistricts!$C$2:$C$328,0),10)</f>
        <v>0.33827160493827163</v>
      </c>
      <c r="F318" s="8">
        <f t="shared" si="30"/>
        <v>1.786</v>
      </c>
      <c r="G318" s="8">
        <f t="shared" si="31"/>
        <v>1.677</v>
      </c>
      <c r="H318" s="8">
        <f t="shared" si="29"/>
        <v>3.4630000000000001</v>
      </c>
      <c r="I318">
        <f>INDEX(StartupfileInput!$A$2:$D$328,MATCH(Calculation!$A318,StartupfileInput!$A$2:$A$328,0),4)</f>
        <v>6880</v>
      </c>
      <c r="J318" s="107">
        <f t="shared" si="32"/>
        <v>7048</v>
      </c>
      <c r="K318" s="9">
        <f t="shared" si="28"/>
        <v>12588</v>
      </c>
      <c r="L318" s="9">
        <f t="shared" si="33"/>
        <v>11819</v>
      </c>
      <c r="M318" s="9">
        <f t="shared" si="34"/>
        <v>24407</v>
      </c>
    </row>
    <row r="319" spans="1:13" ht="12.75" x14ac:dyDescent="0.2">
      <c r="A319" s="2" t="str">
        <f>StartupfileInput!A317</f>
        <v>6987</v>
      </c>
      <c r="B319" s="1" t="str">
        <f>INDEX(ActiveDistricts!$A$2:$J$328,MATCH(Calculation!$A319,ActiveDistricts!$C$2:$C$328,0),6)</f>
        <v>6987</v>
      </c>
      <c r="C319" s="1" t="str">
        <f>INDEX(ActiveDistricts!$A$2:$J$328,MATCH(Calculation!$A319,ActiveDistricts!$C$2:$C$328,0),7)</f>
        <v>West Monona</v>
      </c>
      <c r="D319" s="14">
        <f>INDEX(StartupfileInput!$A$2:$D$328,MATCH(Calculation!$A319,StartupfileInput!$A$2:$A$328,0),3)</f>
        <v>633.70000000000005</v>
      </c>
      <c r="E319" s="20">
        <f>INDEX(ActiveDistricts!$A$2:$J$328,MATCH(Calculation!$A319,ActiveDistricts!$C$2:$C$328,0),10)</f>
        <v>0.50205761316872433</v>
      </c>
      <c r="F319" s="8">
        <f t="shared" si="30"/>
        <v>2.0430000000000001</v>
      </c>
      <c r="G319" s="8">
        <f t="shared" si="31"/>
        <v>1.2929999999999999</v>
      </c>
      <c r="H319" s="8">
        <f t="shared" si="29"/>
        <v>3.3360000000000003</v>
      </c>
      <c r="I319">
        <f>INDEX(StartupfileInput!$A$2:$D$328,MATCH(Calculation!$A319,StartupfileInput!$A$2:$A$328,0),4)</f>
        <v>6880</v>
      </c>
      <c r="J319" s="107">
        <f t="shared" si="32"/>
        <v>7048</v>
      </c>
      <c r="K319" s="9">
        <f t="shared" si="28"/>
        <v>14399</v>
      </c>
      <c r="L319" s="9">
        <f t="shared" si="33"/>
        <v>9113</v>
      </c>
      <c r="M319" s="9">
        <f t="shared" si="34"/>
        <v>23512</v>
      </c>
    </row>
    <row r="320" spans="1:13" ht="12.75" x14ac:dyDescent="0.2">
      <c r="A320" s="2" t="str">
        <f>StartupfileInput!A318</f>
        <v>6990</v>
      </c>
      <c r="B320" s="1" t="str">
        <f>INDEX(ActiveDistricts!$A$2:$J$328,MATCH(Calculation!$A320,ActiveDistricts!$C$2:$C$328,0),6)</f>
        <v>6990</v>
      </c>
      <c r="C320" s="1" t="str">
        <f>INDEX(ActiveDistricts!$A$2:$J$328,MATCH(Calculation!$A320,ActiveDistricts!$C$2:$C$328,0),7)</f>
        <v>West Sioux</v>
      </c>
      <c r="D320" s="14">
        <f>INDEX(StartupfileInput!$A$2:$D$328,MATCH(Calculation!$A320,StartupfileInput!$A$2:$A$328,0),3)</f>
        <v>877.9</v>
      </c>
      <c r="E320" s="20">
        <f>INDEX(ActiveDistricts!$A$2:$J$328,MATCH(Calculation!$A320,ActiveDistricts!$C$2:$C$328,0),10)</f>
        <v>0.61403508771929827</v>
      </c>
      <c r="F320" s="8">
        <f t="shared" si="30"/>
        <v>3.4609999999999999</v>
      </c>
      <c r="G320" s="8">
        <f t="shared" si="31"/>
        <v>1.7909999999999999</v>
      </c>
      <c r="H320" s="8">
        <f t="shared" si="29"/>
        <v>5.2519999999999998</v>
      </c>
      <c r="I320">
        <f>INDEX(StartupfileInput!$A$2:$D$328,MATCH(Calculation!$A320,StartupfileInput!$A$2:$A$328,0),4)</f>
        <v>6893</v>
      </c>
      <c r="J320" s="107">
        <f t="shared" si="32"/>
        <v>7051</v>
      </c>
      <c r="K320" s="9">
        <f t="shared" si="28"/>
        <v>24404</v>
      </c>
      <c r="L320" s="9">
        <f t="shared" si="33"/>
        <v>12628</v>
      </c>
      <c r="M320" s="9">
        <f t="shared" si="34"/>
        <v>37032</v>
      </c>
    </row>
    <row r="321" spans="1:13" ht="12.75" x14ac:dyDescent="0.2">
      <c r="A321" s="2" t="str">
        <f>StartupfileInput!A319</f>
        <v>6961</v>
      </c>
      <c r="B321" s="1" t="str">
        <f>INDEX(ActiveDistricts!$A$2:$J$328,MATCH(Calculation!$A321,ActiveDistricts!$C$2:$C$328,0),6)</f>
        <v>6961</v>
      </c>
      <c r="C321" s="1" t="str">
        <f>INDEX(ActiveDistricts!$A$2:$J$328,MATCH(Calculation!$A321,ActiveDistricts!$C$2:$C$328,0),7)</f>
        <v>Western Dubuque Co</v>
      </c>
      <c r="D321" s="14">
        <f>INDEX(StartupfileInput!$A$2:$D$328,MATCH(Calculation!$A321,StartupfileInput!$A$2:$A$328,0),3)</f>
        <v>3129.6</v>
      </c>
      <c r="E321" s="20">
        <f>INDEX(ActiveDistricts!$A$2:$J$328,MATCH(Calculation!$A321,ActiveDistricts!$C$2:$C$328,0),10)</f>
        <v>0.2750877192982456</v>
      </c>
      <c r="F321" s="8">
        <f t="shared" si="30"/>
        <v>5.5270000000000001</v>
      </c>
      <c r="G321" s="8">
        <f t="shared" si="31"/>
        <v>6.3840000000000003</v>
      </c>
      <c r="H321" s="8">
        <f t="shared" si="29"/>
        <v>11.911000000000001</v>
      </c>
      <c r="I321">
        <f>INDEX(StartupfileInput!$A$2:$D$328,MATCH(Calculation!$A321,StartupfileInput!$A$2:$A$328,0),4)</f>
        <v>6925</v>
      </c>
      <c r="J321" s="107">
        <f t="shared" si="32"/>
        <v>7083</v>
      </c>
      <c r="K321" s="9">
        <f t="shared" si="28"/>
        <v>39148</v>
      </c>
      <c r="L321" s="9">
        <f t="shared" si="33"/>
        <v>45218</v>
      </c>
      <c r="M321" s="9">
        <f t="shared" si="34"/>
        <v>84366</v>
      </c>
    </row>
    <row r="322" spans="1:13" ht="12.75" x14ac:dyDescent="0.2">
      <c r="A322" s="2" t="str">
        <f>StartupfileInput!A320</f>
        <v>6992</v>
      </c>
      <c r="B322" s="1" t="str">
        <f>INDEX(ActiveDistricts!$A$2:$J$328,MATCH(Calculation!$A322,ActiveDistricts!$C$2:$C$328,0),6)</f>
        <v>6992</v>
      </c>
      <c r="C322" s="1" t="str">
        <f>INDEX(ActiveDistricts!$A$2:$J$328,MATCH(Calculation!$A322,ActiveDistricts!$C$2:$C$328,0),7)</f>
        <v>Westwood</v>
      </c>
      <c r="D322" s="14">
        <f>INDEX(StartupfileInput!$A$2:$D$328,MATCH(Calculation!$A322,StartupfileInput!$A$2:$A$328,0),3)</f>
        <v>551.79999999999995</v>
      </c>
      <c r="E322" s="20">
        <f>INDEX(ActiveDistricts!$A$2:$J$328,MATCH(Calculation!$A322,ActiveDistricts!$C$2:$C$328,0),10)</f>
        <v>0.36679536679536678</v>
      </c>
      <c r="F322" s="8">
        <f t="shared" si="30"/>
        <v>1.2989999999999999</v>
      </c>
      <c r="G322" s="8">
        <f>ROUND(D322*$G$3,3)</f>
        <v>1.1259999999999999</v>
      </c>
      <c r="H322" s="8">
        <f t="shared" si="29"/>
        <v>2.4249999999999998</v>
      </c>
      <c r="I322">
        <f>INDEX(StartupfileInput!$A$2:$D$328,MATCH(Calculation!$A322,StartupfileInput!$A$2:$A$328,0),4)</f>
        <v>6899</v>
      </c>
      <c r="J322" s="107">
        <f t="shared" si="32"/>
        <v>7057</v>
      </c>
      <c r="K322" s="9">
        <f t="shared" ref="K322:K330" si="35">ROUND(F322*J322,0)</f>
        <v>9167</v>
      </c>
      <c r="L322" s="9">
        <f t="shared" si="33"/>
        <v>7946</v>
      </c>
      <c r="M322" s="9">
        <f t="shared" si="34"/>
        <v>17113</v>
      </c>
    </row>
    <row r="323" spans="1:13" ht="12.75" x14ac:dyDescent="0.2">
      <c r="A323" s="2" t="str">
        <f>StartupfileInput!A321</f>
        <v>7002</v>
      </c>
      <c r="B323" s="1" t="str">
        <f>INDEX(ActiveDistricts!$A$2:$J$328,MATCH(Calculation!$A323,ActiveDistricts!$C$2:$C$328,0),6)</f>
        <v>7002</v>
      </c>
      <c r="C323" s="1" t="str">
        <f>INDEX(ActiveDistricts!$A$2:$J$328,MATCH(Calculation!$A323,ActiveDistricts!$C$2:$C$328,0),7)</f>
        <v>Whiting</v>
      </c>
      <c r="D323" s="14">
        <f>INDEX(StartupfileInput!$A$2:$D$328,MATCH(Calculation!$A323,StartupfileInput!$A$2:$A$328,0),3)</f>
        <v>189.1</v>
      </c>
      <c r="E323" s="20">
        <f>INDEX(ActiveDistricts!$A$2:$J$328,MATCH(Calculation!$A323,ActiveDistricts!$C$2:$C$328,0),10)</f>
        <v>0.63636363636363635</v>
      </c>
      <c r="F323" s="8">
        <f t="shared" si="30"/>
        <v>0.77300000000000002</v>
      </c>
      <c r="G323" s="8">
        <f t="shared" si="31"/>
        <v>0.38600000000000001</v>
      </c>
      <c r="H323" s="8">
        <f t="shared" si="29"/>
        <v>1.159</v>
      </c>
      <c r="I323">
        <f>INDEX(StartupfileInput!$A$2:$D$328,MATCH(Calculation!$A323,StartupfileInput!$A$2:$A$328,0),4)</f>
        <v>6880</v>
      </c>
      <c r="J323" s="107">
        <f t="shared" si="32"/>
        <v>7048</v>
      </c>
      <c r="K323" s="9">
        <f t="shared" si="35"/>
        <v>5448</v>
      </c>
      <c r="L323" s="9">
        <f t="shared" si="33"/>
        <v>2721</v>
      </c>
      <c r="M323" s="9">
        <f t="shared" si="34"/>
        <v>8169</v>
      </c>
    </row>
    <row r="324" spans="1:13" ht="12.75" x14ac:dyDescent="0.2">
      <c r="A324" s="2" t="str">
        <f>StartupfileInput!A322</f>
        <v>7029</v>
      </c>
      <c r="B324" s="1" t="str">
        <f>INDEX(ActiveDistricts!$A$2:$J$328,MATCH(Calculation!$A324,ActiveDistricts!$C$2:$C$328,0),6)</f>
        <v>7029</v>
      </c>
      <c r="C324" s="1" t="str">
        <f>INDEX(ActiveDistricts!$A$2:$J$328,MATCH(Calculation!$A324,ActiveDistricts!$C$2:$C$328,0),7)</f>
        <v>Williamsburg</v>
      </c>
      <c r="D324" s="14">
        <f>INDEX(StartupfileInput!$A$2:$D$328,MATCH(Calculation!$A324,StartupfileInput!$A$2:$A$328,0),3)</f>
        <v>1138.4000000000001</v>
      </c>
      <c r="E324" s="20">
        <f>INDEX(ActiveDistricts!$A$2:$J$328,MATCH(Calculation!$A324,ActiveDistricts!$C$2:$C$328,0),10)</f>
        <v>0.25426944971537002</v>
      </c>
      <c r="F324" s="8">
        <f t="shared" si="30"/>
        <v>1.8580000000000001</v>
      </c>
      <c r="G324" s="8">
        <f t="shared" si="31"/>
        <v>2.3220000000000001</v>
      </c>
      <c r="H324" s="8">
        <f t="shared" ref="H324:H330" si="36">SUM(F324:G324)</f>
        <v>4.18</v>
      </c>
      <c r="I324">
        <f>INDEX(StartupfileInput!$A$2:$D$328,MATCH(Calculation!$A324,StartupfileInput!$A$2:$A$328,0),4)</f>
        <v>6886</v>
      </c>
      <c r="J324" s="107">
        <f t="shared" si="32"/>
        <v>7048</v>
      </c>
      <c r="K324" s="9">
        <f t="shared" si="35"/>
        <v>13095</v>
      </c>
      <c r="L324" s="9">
        <f t="shared" si="33"/>
        <v>16366</v>
      </c>
      <c r="M324" s="9">
        <f t="shared" si="34"/>
        <v>29461</v>
      </c>
    </row>
    <row r="325" spans="1:13" ht="12.75" x14ac:dyDescent="0.2">
      <c r="A325" s="2" t="str">
        <f>StartupfileInput!A323</f>
        <v>7038</v>
      </c>
      <c r="B325" s="1" t="str">
        <f>INDEX(ActiveDistricts!$A$2:$J$328,MATCH(Calculation!$A325,ActiveDistricts!$C$2:$C$328,0),6)</f>
        <v>7038</v>
      </c>
      <c r="C325" s="1" t="str">
        <f>INDEX(ActiveDistricts!$A$2:$J$328,MATCH(Calculation!$A325,ActiveDistricts!$C$2:$C$328,0),7)</f>
        <v>Wilton</v>
      </c>
      <c r="D325" s="14">
        <f>INDEX(StartupfileInput!$A$2:$D$328,MATCH(Calculation!$A325,StartupfileInput!$A$2:$A$328,0),3)</f>
        <v>849.9</v>
      </c>
      <c r="E325" s="20">
        <f>INDEX(ActiveDistricts!$A$2:$J$328,MATCH(Calculation!$A325,ActiveDistricts!$C$2:$C$328,0),10)</f>
        <v>0.33100233100233101</v>
      </c>
      <c r="F325" s="8">
        <f t="shared" ref="F325:F330" si="37">ROUND(D325*E325*$F$3,3)</f>
        <v>1.806</v>
      </c>
      <c r="G325" s="8">
        <f t="shared" ref="G325:G329" si="38">ROUND(D325*$G$3,3)</f>
        <v>1.734</v>
      </c>
      <c r="H325" s="8">
        <f t="shared" si="36"/>
        <v>3.54</v>
      </c>
      <c r="I325">
        <f>INDEX(StartupfileInput!$A$2:$D$328,MATCH(Calculation!$A325,StartupfileInput!$A$2:$A$328,0),4)</f>
        <v>6880</v>
      </c>
      <c r="J325" s="107">
        <f t="shared" ref="J325:J330" si="39">MAX(I325+$R$2,$T$2)</f>
        <v>7048</v>
      </c>
      <c r="K325" s="9">
        <f t="shared" si="35"/>
        <v>12729</v>
      </c>
      <c r="L325" s="9">
        <f t="shared" ref="L325:L330" si="40">M325-K325</f>
        <v>12221</v>
      </c>
      <c r="M325" s="9">
        <f t="shared" ref="M325:M330" si="41">ROUND(H325*J325,0)</f>
        <v>24950</v>
      </c>
    </row>
    <row r="326" spans="1:13" ht="12.75" x14ac:dyDescent="0.2">
      <c r="A326" s="2" t="str">
        <f>StartupfileInput!A324</f>
        <v>7047</v>
      </c>
      <c r="B326" s="1" t="str">
        <f>INDEX(ActiveDistricts!$A$2:$J$328,MATCH(Calculation!$A326,ActiveDistricts!$C$2:$C$328,0),6)</f>
        <v>7047</v>
      </c>
      <c r="C326" s="1" t="str">
        <f>INDEX(ActiveDistricts!$A$2:$J$328,MATCH(Calculation!$A326,ActiveDistricts!$C$2:$C$328,0),7)</f>
        <v>Winfield-Mt Union</v>
      </c>
      <c r="D326" s="14">
        <f>INDEX(StartupfileInput!$A$2:$D$328,MATCH(Calculation!$A326,StartupfileInput!$A$2:$A$328,0),3)</f>
        <v>308.10000000000002</v>
      </c>
      <c r="E326" s="20">
        <f>INDEX(ActiveDistricts!$A$2:$J$328,MATCH(Calculation!$A326,ActiveDistricts!$C$2:$C$328,0),10)</f>
        <v>0.60759493670886078</v>
      </c>
      <c r="F326" s="8">
        <f t="shared" si="37"/>
        <v>1.202</v>
      </c>
      <c r="G326" s="8">
        <f t="shared" si="38"/>
        <v>0.629</v>
      </c>
      <c r="H326" s="8">
        <f t="shared" si="36"/>
        <v>1.831</v>
      </c>
      <c r="I326">
        <f>INDEX(StartupfileInput!$A$2:$D$328,MATCH(Calculation!$A326,StartupfileInput!$A$2:$A$328,0),4)</f>
        <v>6900</v>
      </c>
      <c r="J326" s="107">
        <f t="shared" si="39"/>
        <v>7058</v>
      </c>
      <c r="K326" s="9">
        <f t="shared" si="35"/>
        <v>8484</v>
      </c>
      <c r="L326" s="9">
        <f t="shared" si="40"/>
        <v>4439</v>
      </c>
      <c r="M326" s="9">
        <f t="shared" si="41"/>
        <v>12923</v>
      </c>
    </row>
    <row r="327" spans="1:13" ht="12.75" x14ac:dyDescent="0.2">
      <c r="A327" s="2" t="str">
        <f>StartupfileInput!A325</f>
        <v>7056</v>
      </c>
      <c r="B327" s="1" t="str">
        <f>INDEX(ActiveDistricts!$A$2:$J$328,MATCH(Calculation!$A327,ActiveDistricts!$C$2:$C$328,0),6)</f>
        <v>7056</v>
      </c>
      <c r="C327" s="1" t="str">
        <f>INDEX(ActiveDistricts!$A$2:$J$328,MATCH(Calculation!$A327,ActiveDistricts!$C$2:$C$328,0),7)</f>
        <v>Winterset</v>
      </c>
      <c r="D327" s="14">
        <f>INDEX(StartupfileInput!$A$2:$D$328,MATCH(Calculation!$A327,StartupfileInput!$A$2:$A$328,0),3)</f>
        <v>1728</v>
      </c>
      <c r="E327" s="20">
        <f>INDEX(ActiveDistricts!$A$2:$J$328,MATCH(Calculation!$A327,ActiveDistricts!$C$2:$C$328,0),10)</f>
        <v>0.31420765027322406</v>
      </c>
      <c r="F327" s="8">
        <f t="shared" si="37"/>
        <v>3.4860000000000002</v>
      </c>
      <c r="G327" s="8">
        <f t="shared" si="38"/>
        <v>3.5249999999999999</v>
      </c>
      <c r="H327" s="8">
        <f t="shared" si="36"/>
        <v>7.0110000000000001</v>
      </c>
      <c r="I327">
        <f>INDEX(StartupfileInput!$A$2:$D$328,MATCH(Calculation!$A327,StartupfileInput!$A$2:$A$328,0),4)</f>
        <v>6880</v>
      </c>
      <c r="J327" s="107">
        <f t="shared" si="39"/>
        <v>7048</v>
      </c>
      <c r="K327" s="9">
        <f t="shared" si="35"/>
        <v>24569</v>
      </c>
      <c r="L327" s="9">
        <f t="shared" si="40"/>
        <v>24845</v>
      </c>
      <c r="M327" s="9">
        <f t="shared" si="41"/>
        <v>49414</v>
      </c>
    </row>
    <row r="328" spans="1:13" ht="12.75" x14ac:dyDescent="0.2">
      <c r="A328" s="2" t="str">
        <f>StartupfileInput!A326</f>
        <v>7092</v>
      </c>
      <c r="B328" s="1" t="str">
        <f>INDEX(ActiveDistricts!$A$2:$J$328,MATCH(Calculation!$A328,ActiveDistricts!$C$2:$C$328,0),6)</f>
        <v>7092</v>
      </c>
      <c r="C328" s="1" t="str">
        <f>INDEX(ActiveDistricts!$A$2:$J$328,MATCH(Calculation!$A328,ActiveDistricts!$C$2:$C$328,0),7)</f>
        <v>Woodbine</v>
      </c>
      <c r="D328" s="14">
        <f>INDEX(StartupfileInput!$A$2:$D$328,MATCH(Calculation!$A328,StartupfileInput!$A$2:$A$328,0),3)</f>
        <v>454.1</v>
      </c>
      <c r="E328" s="20">
        <f>INDEX(ActiveDistricts!$A$2:$J$328,MATCH(Calculation!$A328,ActiveDistricts!$C$2:$C$328,0),10)</f>
        <v>0.41062801932367149</v>
      </c>
      <c r="F328" s="8">
        <f t="shared" si="37"/>
        <v>1.1970000000000001</v>
      </c>
      <c r="G328" s="8">
        <f t="shared" si="38"/>
        <v>0.92600000000000005</v>
      </c>
      <c r="H328" s="8">
        <f t="shared" si="36"/>
        <v>2.1230000000000002</v>
      </c>
      <c r="I328">
        <f>INDEX(StartupfileInput!$A$2:$D$328,MATCH(Calculation!$A328,StartupfileInput!$A$2:$A$328,0),4)</f>
        <v>6880</v>
      </c>
      <c r="J328" s="107">
        <f t="shared" si="39"/>
        <v>7048</v>
      </c>
      <c r="K328" s="9">
        <f t="shared" si="35"/>
        <v>8436</v>
      </c>
      <c r="L328" s="9">
        <f t="shared" si="40"/>
        <v>6527</v>
      </c>
      <c r="M328" s="9">
        <f t="shared" si="41"/>
        <v>14963</v>
      </c>
    </row>
    <row r="329" spans="1:13" ht="12.75" x14ac:dyDescent="0.2">
      <c r="A329" s="2" t="str">
        <f>StartupfileInput!A327</f>
        <v>7098</v>
      </c>
      <c r="B329" s="1" t="str">
        <f>INDEX(ActiveDistricts!$A$2:$J$328,MATCH(Calculation!$A329,ActiveDistricts!$C$2:$C$328,0),6)</f>
        <v>7098</v>
      </c>
      <c r="C329" s="1" t="str">
        <f>INDEX(ActiveDistricts!$A$2:$J$328,MATCH(Calculation!$A329,ActiveDistricts!$C$2:$C$328,0),7)</f>
        <v>Woodbury Central</v>
      </c>
      <c r="D329" s="14">
        <f>INDEX(StartupfileInput!$A$2:$D$328,MATCH(Calculation!$A329,StartupfileInput!$A$2:$A$328,0),3)</f>
        <v>557.1</v>
      </c>
      <c r="E329" s="20">
        <f>INDEX(ActiveDistricts!$A$2:$J$328,MATCH(Calculation!$A329,ActiveDistricts!$C$2:$C$328,0),10)</f>
        <v>0.31950207468879666</v>
      </c>
      <c r="F329" s="8">
        <f>ROUND(D329*E329*$F$3,3)</f>
        <v>1.143</v>
      </c>
      <c r="G329" s="8">
        <f t="shared" si="38"/>
        <v>1.1359999999999999</v>
      </c>
      <c r="H329" s="8">
        <f t="shared" si="36"/>
        <v>2.2789999999999999</v>
      </c>
      <c r="I329">
        <f>INDEX(StartupfileInput!$A$2:$D$328,MATCH(Calculation!$A329,StartupfileInput!$A$2:$A$328,0),4)</f>
        <v>6880</v>
      </c>
      <c r="J329" s="107">
        <f t="shared" si="39"/>
        <v>7048</v>
      </c>
      <c r="K329" s="9">
        <f t="shared" si="35"/>
        <v>8056</v>
      </c>
      <c r="L329" s="9">
        <f t="shared" si="40"/>
        <v>8006</v>
      </c>
      <c r="M329" s="9">
        <f t="shared" si="41"/>
        <v>16062</v>
      </c>
    </row>
    <row r="330" spans="1:13" ht="12.75" x14ac:dyDescent="0.2">
      <c r="A330" s="2" t="str">
        <f>StartupfileInput!A328</f>
        <v>7110</v>
      </c>
      <c r="B330" s="1" t="str">
        <f>INDEX(ActiveDistricts!$A$2:$J$328,MATCH(Calculation!$A330,ActiveDistricts!$C$2:$C$328,0),6)</f>
        <v>7110</v>
      </c>
      <c r="C330" s="1" t="str">
        <f>INDEX(ActiveDistricts!$A$2:$J$328,MATCH(Calculation!$A330,ActiveDistricts!$C$2:$C$328,0),7)</f>
        <v>Woodward-Granger</v>
      </c>
      <c r="D330" s="14">
        <f>INDEX(StartupfileInput!$A$2:$D$328,MATCH(Calculation!$A330,StartupfileInput!$A$2:$A$328,0),3)</f>
        <v>980</v>
      </c>
      <c r="E330" s="20">
        <f>INDEX(ActiveDistricts!$A$2:$J$328,MATCH(Calculation!$A330,ActiveDistricts!$C$2:$C$328,0),10)</f>
        <v>0.21017699115044247</v>
      </c>
      <c r="F330" s="8">
        <f t="shared" si="37"/>
        <v>1.3220000000000001</v>
      </c>
      <c r="G330" s="8">
        <f>ROUND(D330*$G$3,3)</f>
        <v>1.9990000000000001</v>
      </c>
      <c r="H330" s="8">
        <f t="shared" si="36"/>
        <v>3.3210000000000002</v>
      </c>
      <c r="I330">
        <f>INDEX(StartupfileInput!$A$2:$D$328,MATCH(Calculation!$A330,StartupfileInput!$A$2:$A$328,0),4)</f>
        <v>6962</v>
      </c>
      <c r="J330" s="107">
        <f t="shared" si="39"/>
        <v>7120</v>
      </c>
      <c r="K330" s="9">
        <f t="shared" si="35"/>
        <v>9413</v>
      </c>
      <c r="L330" s="9">
        <f t="shared" si="40"/>
        <v>14233</v>
      </c>
      <c r="M330" s="9">
        <f t="shared" si="41"/>
        <v>23646</v>
      </c>
    </row>
    <row r="331" spans="1:13" ht="12.75" x14ac:dyDescent="0.2">
      <c r="B331" s="7"/>
      <c r="C331" s="1"/>
      <c r="D331" s="13">
        <f>SUM(D4:D330)</f>
        <v>490094.4</v>
      </c>
      <c r="E331" s="15"/>
      <c r="F331" s="8">
        <f>SUM(F4:F330)</f>
        <v>1418.0489999999995</v>
      </c>
      <c r="G331" s="8">
        <f>SUM(G4:G330)</f>
        <v>999.78900000000021</v>
      </c>
      <c r="H331" s="8">
        <f>SUM(H4:H330)</f>
        <v>2417.8380000000002</v>
      </c>
      <c r="I331"/>
      <c r="J331"/>
    </row>
    <row r="332" spans="1:13" ht="12.75" x14ac:dyDescent="0.2">
      <c r="B332" s="7"/>
      <c r="C332" s="7" t="s">
        <v>1801</v>
      </c>
      <c r="D332" s="10">
        <f>SUM(D4:D330)</f>
        <v>490094.4</v>
      </c>
      <c r="E332" s="15">
        <f>SUM(ActiveDistricts!$I:$I)/SUM(ActiveDistricts!$H:$H)</f>
        <v>0.44452428135340344</v>
      </c>
      <c r="F332" s="8">
        <f>ROUND(D332*E332*$F$3,3)</f>
        <v>1398.654</v>
      </c>
      <c r="G332" s="8">
        <f>ROUND(D332*$G$3,3)</f>
        <v>999.79300000000001</v>
      </c>
      <c r="H332" s="8">
        <f>SUM(F332:G332)</f>
        <v>2398.4470000000001</v>
      </c>
      <c r="K332" s="9">
        <f>SUM(K4:K330)</f>
        <v>10018058</v>
      </c>
      <c r="L332" s="9">
        <f>SUM(L4:L330)</f>
        <v>7061430</v>
      </c>
      <c r="M332" s="9">
        <f>SUM(M4:M330)</f>
        <v>17079488</v>
      </c>
    </row>
    <row r="334" spans="1:13" x14ac:dyDescent="0.2">
      <c r="B334" s="7"/>
      <c r="C334" s="7" t="s">
        <v>15</v>
      </c>
      <c r="M334" s="9">
        <f>ROUND(M332*0.875,0)</f>
        <v>14944552</v>
      </c>
    </row>
    <row r="335" spans="1:13" x14ac:dyDescent="0.2">
      <c r="B335" s="7"/>
      <c r="C335" s="7" t="s">
        <v>16</v>
      </c>
      <c r="M335" s="9">
        <f>ROUND(M332*0.125,0)</f>
        <v>2134936</v>
      </c>
    </row>
  </sheetData>
  <phoneticPr fontId="0" type="noConversion"/>
  <pageMargins left="0.25" right="0.25" top="0.5" bottom="0.25" header="0.5" footer="0.5"/>
  <pageSetup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8"/>
  <sheetViews>
    <sheetView topLeftCell="A289" workbookViewId="0">
      <selection sqref="A1:D328"/>
    </sheetView>
  </sheetViews>
  <sheetFormatPr defaultRowHeight="12.75" x14ac:dyDescent="0.2"/>
  <cols>
    <col min="1" max="1" width="5" style="129" bestFit="1" customWidth="1"/>
    <col min="2" max="2" width="32.85546875" bestFit="1" customWidth="1"/>
    <col min="3" max="4" width="11.5703125" bestFit="1" customWidth="1"/>
    <col min="10" max="10" width="10.85546875" bestFit="1" customWidth="1"/>
    <col min="11" max="11" width="33.140625" bestFit="1" customWidth="1"/>
    <col min="12" max="12" width="6" bestFit="1" customWidth="1"/>
  </cols>
  <sheetData>
    <row r="1" spans="1:12" ht="15" x14ac:dyDescent="0.25">
      <c r="A1" s="129" t="s">
        <v>340</v>
      </c>
      <c r="B1" t="s">
        <v>684</v>
      </c>
      <c r="C1" t="s">
        <v>685</v>
      </c>
      <c r="D1" t="s">
        <v>714</v>
      </c>
      <c r="F1" s="25" t="s">
        <v>715</v>
      </c>
      <c r="J1" s="131"/>
      <c r="K1" s="131"/>
      <c r="L1" s="131"/>
    </row>
    <row r="2" spans="1:12" x14ac:dyDescent="0.2">
      <c r="A2" s="129" t="s">
        <v>342</v>
      </c>
      <c r="B2" t="s">
        <v>17</v>
      </c>
      <c r="C2">
        <v>645.20000000000005</v>
      </c>
      <c r="D2">
        <v>6980</v>
      </c>
    </row>
    <row r="3" spans="1:12" x14ac:dyDescent="0.2">
      <c r="A3" s="129" t="s">
        <v>363</v>
      </c>
      <c r="B3" t="s">
        <v>26</v>
      </c>
      <c r="C3">
        <v>780.7</v>
      </c>
      <c r="D3">
        <v>6915</v>
      </c>
    </row>
    <row r="4" spans="1:12" x14ac:dyDescent="0.2">
      <c r="A4" s="129" t="s">
        <v>343</v>
      </c>
      <c r="B4" t="s">
        <v>339</v>
      </c>
      <c r="C4">
        <v>297.39999999999998</v>
      </c>
      <c r="D4">
        <v>6880</v>
      </c>
    </row>
    <row r="5" spans="1:12" x14ac:dyDescent="0.2">
      <c r="A5" s="129" t="s">
        <v>344</v>
      </c>
      <c r="B5" t="s">
        <v>686</v>
      </c>
      <c r="C5" s="128">
        <v>1932.2</v>
      </c>
      <c r="D5">
        <v>6890</v>
      </c>
    </row>
    <row r="6" spans="1:12" x14ac:dyDescent="0.2">
      <c r="A6" s="129" t="s">
        <v>345</v>
      </c>
      <c r="B6" t="s">
        <v>687</v>
      </c>
      <c r="C6">
        <v>577.4</v>
      </c>
      <c r="D6">
        <v>6921</v>
      </c>
    </row>
    <row r="7" spans="1:12" x14ac:dyDescent="0.2">
      <c r="A7" s="129" t="s">
        <v>346</v>
      </c>
      <c r="B7" t="s">
        <v>336</v>
      </c>
      <c r="C7">
        <v>216.9</v>
      </c>
      <c r="D7">
        <v>6951</v>
      </c>
    </row>
    <row r="8" spans="1:12" x14ac:dyDescent="0.2">
      <c r="A8" s="129" t="s">
        <v>347</v>
      </c>
      <c r="B8" t="s">
        <v>335</v>
      </c>
      <c r="C8" s="128">
        <v>1151.0999999999999</v>
      </c>
      <c r="D8">
        <v>6880</v>
      </c>
    </row>
    <row r="9" spans="1:12" x14ac:dyDescent="0.2">
      <c r="A9" s="129" t="s">
        <v>348</v>
      </c>
      <c r="B9" t="s">
        <v>334</v>
      </c>
      <c r="C9">
        <v>511.8</v>
      </c>
      <c r="D9">
        <v>6880</v>
      </c>
    </row>
    <row r="10" spans="1:12" x14ac:dyDescent="0.2">
      <c r="A10" s="129" t="s">
        <v>349</v>
      </c>
      <c r="B10" t="s">
        <v>333</v>
      </c>
      <c r="C10">
        <v>264.39999999999998</v>
      </c>
      <c r="D10">
        <v>6880</v>
      </c>
    </row>
    <row r="11" spans="1:12" x14ac:dyDescent="0.2">
      <c r="A11" s="129" t="s">
        <v>350</v>
      </c>
      <c r="B11" t="s">
        <v>332</v>
      </c>
      <c r="C11" s="128">
        <v>1295.5999999999999</v>
      </c>
      <c r="D11">
        <v>6903</v>
      </c>
    </row>
    <row r="12" spans="1:12" x14ac:dyDescent="0.2">
      <c r="A12" s="129" t="s">
        <v>351</v>
      </c>
      <c r="B12" t="s">
        <v>331</v>
      </c>
      <c r="C12" s="128">
        <v>1095</v>
      </c>
      <c r="D12">
        <v>6952</v>
      </c>
    </row>
    <row r="13" spans="1:12" x14ac:dyDescent="0.2">
      <c r="A13" s="129" t="s">
        <v>353</v>
      </c>
      <c r="B13" t="s">
        <v>683</v>
      </c>
      <c r="C13">
        <v>803.2</v>
      </c>
      <c r="D13">
        <v>6891</v>
      </c>
    </row>
    <row r="14" spans="1:12" x14ac:dyDescent="0.2">
      <c r="A14" s="129" t="s">
        <v>354</v>
      </c>
      <c r="B14" t="s">
        <v>329</v>
      </c>
      <c r="C14" s="128">
        <v>4477.3999999999996</v>
      </c>
      <c r="D14">
        <v>6960</v>
      </c>
    </row>
    <row r="15" spans="1:12" x14ac:dyDescent="0.2">
      <c r="A15" s="129" t="s">
        <v>355</v>
      </c>
      <c r="B15" t="s">
        <v>328</v>
      </c>
      <c r="C15" s="128">
        <v>1298.2</v>
      </c>
      <c r="D15">
        <v>6887</v>
      </c>
    </row>
    <row r="16" spans="1:12" x14ac:dyDescent="0.2">
      <c r="A16" s="129" t="s">
        <v>356</v>
      </c>
      <c r="B16" t="s">
        <v>327</v>
      </c>
      <c r="C16">
        <v>234.3</v>
      </c>
      <c r="D16">
        <v>6935</v>
      </c>
    </row>
    <row r="17" spans="1:4" x14ac:dyDescent="0.2">
      <c r="A17" s="129" t="s">
        <v>357</v>
      </c>
      <c r="B17" t="s">
        <v>326</v>
      </c>
      <c r="C17" s="128">
        <v>12255.8</v>
      </c>
      <c r="D17">
        <v>6880</v>
      </c>
    </row>
    <row r="18" spans="1:4" x14ac:dyDescent="0.2">
      <c r="A18" s="129" t="s">
        <v>358</v>
      </c>
      <c r="B18" t="s">
        <v>325</v>
      </c>
      <c r="C18">
        <v>788</v>
      </c>
      <c r="D18">
        <v>6880</v>
      </c>
    </row>
    <row r="19" spans="1:4" x14ac:dyDescent="0.2">
      <c r="A19" s="129" t="s">
        <v>360</v>
      </c>
      <c r="B19" t="s">
        <v>323</v>
      </c>
      <c r="C19">
        <v>274</v>
      </c>
      <c r="D19">
        <v>6880</v>
      </c>
    </row>
    <row r="20" spans="1:4" x14ac:dyDescent="0.2">
      <c r="A20" s="129" t="s">
        <v>361</v>
      </c>
      <c r="B20" t="s">
        <v>322</v>
      </c>
      <c r="C20" s="128">
        <v>1334.3</v>
      </c>
      <c r="D20">
        <v>6880</v>
      </c>
    </row>
    <row r="21" spans="1:4" x14ac:dyDescent="0.2">
      <c r="A21" s="129" t="s">
        <v>362</v>
      </c>
      <c r="B21" t="s">
        <v>321</v>
      </c>
      <c r="C21">
        <v>514.1</v>
      </c>
      <c r="D21">
        <v>6949</v>
      </c>
    </row>
    <row r="22" spans="1:4" x14ac:dyDescent="0.2">
      <c r="A22" s="129" t="s">
        <v>366</v>
      </c>
      <c r="B22" t="s">
        <v>0</v>
      </c>
      <c r="C22">
        <v>504.1</v>
      </c>
      <c r="D22">
        <v>6951</v>
      </c>
    </row>
    <row r="23" spans="1:4" x14ac:dyDescent="0.2">
      <c r="A23" s="129" t="s">
        <v>364</v>
      </c>
      <c r="B23" t="s">
        <v>320</v>
      </c>
      <c r="C23" s="128">
        <v>1639.3</v>
      </c>
      <c r="D23">
        <v>6880</v>
      </c>
    </row>
    <row r="24" spans="1:4" x14ac:dyDescent="0.2">
      <c r="A24" s="129" t="s">
        <v>365</v>
      </c>
      <c r="B24" t="s">
        <v>319</v>
      </c>
      <c r="C24">
        <v>323.10000000000002</v>
      </c>
      <c r="D24">
        <v>6880</v>
      </c>
    </row>
    <row r="25" spans="1:4" x14ac:dyDescent="0.2">
      <c r="A25" s="129" t="s">
        <v>367</v>
      </c>
      <c r="B25" t="s">
        <v>318</v>
      </c>
      <c r="C25">
        <v>499</v>
      </c>
      <c r="D25">
        <v>6880</v>
      </c>
    </row>
    <row r="26" spans="1:4" x14ac:dyDescent="0.2">
      <c r="A26" s="129" t="s">
        <v>368</v>
      </c>
      <c r="B26" t="s">
        <v>317</v>
      </c>
      <c r="C26">
        <v>484.3</v>
      </c>
      <c r="D26">
        <v>6880</v>
      </c>
    </row>
    <row r="27" spans="1:4" x14ac:dyDescent="0.2">
      <c r="A27" s="129" t="s">
        <v>369</v>
      </c>
      <c r="B27" t="s">
        <v>316</v>
      </c>
      <c r="C27">
        <v>600.1</v>
      </c>
      <c r="D27">
        <v>6927</v>
      </c>
    </row>
    <row r="28" spans="1:4" x14ac:dyDescent="0.2">
      <c r="A28" s="129" t="s">
        <v>370</v>
      </c>
      <c r="B28" t="s">
        <v>315</v>
      </c>
      <c r="C28">
        <v>774.9</v>
      </c>
      <c r="D28">
        <v>6880</v>
      </c>
    </row>
    <row r="29" spans="1:4" x14ac:dyDescent="0.2">
      <c r="A29" s="129" t="s">
        <v>371</v>
      </c>
      <c r="B29" t="s">
        <v>314</v>
      </c>
      <c r="C29">
        <v>194.4</v>
      </c>
      <c r="D29">
        <v>7001</v>
      </c>
    </row>
    <row r="30" spans="1:4" x14ac:dyDescent="0.2">
      <c r="A30" s="129" t="s">
        <v>372</v>
      </c>
      <c r="B30" t="s">
        <v>313</v>
      </c>
      <c r="C30" s="128">
        <v>1522.3</v>
      </c>
      <c r="D30">
        <v>6935</v>
      </c>
    </row>
    <row r="31" spans="1:4" x14ac:dyDescent="0.2">
      <c r="A31" s="129" t="s">
        <v>373</v>
      </c>
      <c r="B31" t="s">
        <v>312</v>
      </c>
      <c r="C31" s="128">
        <v>4171</v>
      </c>
      <c r="D31">
        <v>6944</v>
      </c>
    </row>
    <row r="32" spans="1:4" x14ac:dyDescent="0.2">
      <c r="A32" s="129" t="s">
        <v>375</v>
      </c>
      <c r="B32" t="s">
        <v>311</v>
      </c>
      <c r="C32" s="128">
        <v>2268.6999999999998</v>
      </c>
      <c r="D32">
        <v>6880</v>
      </c>
    </row>
    <row r="33" spans="1:4" x14ac:dyDescent="0.2">
      <c r="A33" s="129" t="s">
        <v>376</v>
      </c>
      <c r="B33" t="s">
        <v>310</v>
      </c>
      <c r="C33" s="128">
        <v>2094.8000000000002</v>
      </c>
      <c r="D33">
        <v>6880</v>
      </c>
    </row>
    <row r="34" spans="1:4" x14ac:dyDescent="0.2">
      <c r="A34" s="129" t="s">
        <v>377</v>
      </c>
      <c r="B34" t="s">
        <v>309</v>
      </c>
      <c r="C34">
        <v>588.6</v>
      </c>
      <c r="D34">
        <v>6880</v>
      </c>
    </row>
    <row r="35" spans="1:4" x14ac:dyDescent="0.2">
      <c r="A35" s="129" t="s">
        <v>433</v>
      </c>
      <c r="B35" t="s">
        <v>255</v>
      </c>
      <c r="C35">
        <v>401.3</v>
      </c>
      <c r="D35">
        <v>6880</v>
      </c>
    </row>
    <row r="36" spans="1:4" x14ac:dyDescent="0.2">
      <c r="A36" s="129" t="s">
        <v>379</v>
      </c>
      <c r="B36" t="s">
        <v>307</v>
      </c>
      <c r="C36">
        <v>540.79999999999995</v>
      </c>
      <c r="D36">
        <v>6885</v>
      </c>
    </row>
    <row r="37" spans="1:4" x14ac:dyDescent="0.2">
      <c r="A37" s="129" t="s">
        <v>381</v>
      </c>
      <c r="B37" t="s">
        <v>305</v>
      </c>
      <c r="C37" s="128">
        <v>4085.6</v>
      </c>
      <c r="D37">
        <v>6880</v>
      </c>
    </row>
    <row r="38" spans="1:4" x14ac:dyDescent="0.2">
      <c r="A38" s="129" t="s">
        <v>383</v>
      </c>
      <c r="B38" t="s">
        <v>1</v>
      </c>
      <c r="C38">
        <v>247.5</v>
      </c>
      <c r="D38">
        <v>7040</v>
      </c>
    </row>
    <row r="39" spans="1:4" x14ac:dyDescent="0.2">
      <c r="A39" s="129" t="s">
        <v>382</v>
      </c>
      <c r="B39" t="s">
        <v>22</v>
      </c>
      <c r="C39">
        <v>505.9</v>
      </c>
      <c r="D39">
        <v>6920</v>
      </c>
    </row>
    <row r="40" spans="1:4" x14ac:dyDescent="0.2">
      <c r="A40" s="129" t="s">
        <v>384</v>
      </c>
      <c r="B40" t="s">
        <v>304</v>
      </c>
      <c r="C40">
        <v>409</v>
      </c>
      <c r="D40">
        <v>6929</v>
      </c>
    </row>
    <row r="41" spans="1:4" x14ac:dyDescent="0.2">
      <c r="A41" s="129" t="s">
        <v>385</v>
      </c>
      <c r="B41" t="s">
        <v>303</v>
      </c>
      <c r="C41">
        <v>832</v>
      </c>
      <c r="D41">
        <v>6880</v>
      </c>
    </row>
    <row r="42" spans="1:4" x14ac:dyDescent="0.2">
      <c r="A42" s="129" t="s">
        <v>386</v>
      </c>
      <c r="B42" t="s">
        <v>302</v>
      </c>
      <c r="C42">
        <v>588.70000000000005</v>
      </c>
      <c r="D42">
        <v>6880</v>
      </c>
    </row>
    <row r="43" spans="1:4" x14ac:dyDescent="0.2">
      <c r="A43" s="129" t="s">
        <v>387</v>
      </c>
      <c r="B43" t="s">
        <v>301</v>
      </c>
      <c r="C43" s="128">
        <v>1936.9</v>
      </c>
      <c r="D43">
        <v>6880</v>
      </c>
    </row>
    <row r="44" spans="1:4" x14ac:dyDescent="0.2">
      <c r="A44" s="129" t="s">
        <v>388</v>
      </c>
      <c r="B44" t="s">
        <v>300</v>
      </c>
      <c r="C44" s="128">
        <v>1701</v>
      </c>
      <c r="D44">
        <v>6880</v>
      </c>
    </row>
    <row r="45" spans="1:4" x14ac:dyDescent="0.2">
      <c r="A45" s="129" t="s">
        <v>389</v>
      </c>
      <c r="B45" t="s">
        <v>299</v>
      </c>
      <c r="C45" s="128">
        <v>5371.4</v>
      </c>
      <c r="D45">
        <v>6880</v>
      </c>
    </row>
    <row r="46" spans="1:4" x14ac:dyDescent="0.2">
      <c r="A46" s="129" t="s">
        <v>390</v>
      </c>
      <c r="B46" t="s">
        <v>298</v>
      </c>
      <c r="C46" s="128">
        <v>16851.5</v>
      </c>
      <c r="D46">
        <v>6880</v>
      </c>
    </row>
    <row r="47" spans="1:4" x14ac:dyDescent="0.2">
      <c r="A47" s="129" t="s">
        <v>391</v>
      </c>
      <c r="B47" t="s">
        <v>297</v>
      </c>
      <c r="C47" s="128">
        <v>1346.6</v>
      </c>
      <c r="D47">
        <v>6880</v>
      </c>
    </row>
    <row r="48" spans="1:4" x14ac:dyDescent="0.2">
      <c r="A48" s="129" t="s">
        <v>392</v>
      </c>
      <c r="B48" t="s">
        <v>296</v>
      </c>
      <c r="C48" s="128">
        <v>1359</v>
      </c>
      <c r="D48">
        <v>6929</v>
      </c>
    </row>
    <row r="49" spans="1:4" x14ac:dyDescent="0.2">
      <c r="A49" s="129" t="s">
        <v>396</v>
      </c>
      <c r="B49" t="s">
        <v>292</v>
      </c>
      <c r="C49">
        <v>461.9</v>
      </c>
      <c r="D49">
        <v>6931</v>
      </c>
    </row>
    <row r="50" spans="1:4" x14ac:dyDescent="0.2">
      <c r="A50" s="129" t="s">
        <v>394</v>
      </c>
      <c r="B50" t="s">
        <v>688</v>
      </c>
      <c r="C50">
        <v>416.1</v>
      </c>
      <c r="D50">
        <v>6880</v>
      </c>
    </row>
    <row r="51" spans="1:4" x14ac:dyDescent="0.2">
      <c r="A51" s="129" t="s">
        <v>395</v>
      </c>
      <c r="B51" t="s">
        <v>689</v>
      </c>
      <c r="C51" s="128">
        <v>1477.5</v>
      </c>
      <c r="D51">
        <v>6880</v>
      </c>
    </row>
    <row r="52" spans="1:4" x14ac:dyDescent="0.2">
      <c r="A52" s="129" t="s">
        <v>397</v>
      </c>
      <c r="B52" t="s">
        <v>291</v>
      </c>
      <c r="C52">
        <v>626.4</v>
      </c>
      <c r="D52">
        <v>6880</v>
      </c>
    </row>
    <row r="53" spans="1:4" x14ac:dyDescent="0.2">
      <c r="A53" s="129" t="s">
        <v>393</v>
      </c>
      <c r="B53" t="s">
        <v>295</v>
      </c>
      <c r="C53">
        <v>760</v>
      </c>
      <c r="D53">
        <v>6880</v>
      </c>
    </row>
    <row r="54" spans="1:4" x14ac:dyDescent="0.2">
      <c r="A54" s="129" t="s">
        <v>398</v>
      </c>
      <c r="B54" t="s">
        <v>290</v>
      </c>
      <c r="C54">
        <v>756.7</v>
      </c>
      <c r="D54">
        <v>6880</v>
      </c>
    </row>
    <row r="55" spans="1:4" x14ac:dyDescent="0.2">
      <c r="A55" s="129" t="s">
        <v>550</v>
      </c>
      <c r="B55" t="s">
        <v>142</v>
      </c>
      <c r="C55">
        <v>791.2</v>
      </c>
      <c r="D55">
        <v>6896</v>
      </c>
    </row>
    <row r="56" spans="1:4" x14ac:dyDescent="0.2">
      <c r="A56" s="129" t="s">
        <v>399</v>
      </c>
      <c r="B56" t="s">
        <v>289</v>
      </c>
      <c r="C56" s="128">
        <v>1255.9000000000001</v>
      </c>
      <c r="D56">
        <v>6880</v>
      </c>
    </row>
    <row r="57" spans="1:4" x14ac:dyDescent="0.2">
      <c r="A57" s="129" t="s">
        <v>400</v>
      </c>
      <c r="B57" t="s">
        <v>288</v>
      </c>
      <c r="C57" s="128">
        <v>1548.9</v>
      </c>
      <c r="D57">
        <v>6930</v>
      </c>
    </row>
    <row r="58" spans="1:4" x14ac:dyDescent="0.2">
      <c r="A58" s="129" t="s">
        <v>401</v>
      </c>
      <c r="B58" t="s">
        <v>287</v>
      </c>
      <c r="C58">
        <v>265.60000000000002</v>
      </c>
      <c r="D58">
        <v>6887</v>
      </c>
    </row>
    <row r="59" spans="1:4" x14ac:dyDescent="0.2">
      <c r="A59" s="129" t="s">
        <v>402</v>
      </c>
      <c r="B59" t="s">
        <v>286</v>
      </c>
      <c r="C59" s="128">
        <v>1027.0999999999999</v>
      </c>
      <c r="D59">
        <v>6921</v>
      </c>
    </row>
    <row r="60" spans="1:4" x14ac:dyDescent="0.2">
      <c r="A60" s="129" t="s">
        <v>403</v>
      </c>
      <c r="B60" t="s">
        <v>285</v>
      </c>
      <c r="C60">
        <v>991.6</v>
      </c>
      <c r="D60">
        <v>6880</v>
      </c>
    </row>
    <row r="61" spans="1:4" x14ac:dyDescent="0.2">
      <c r="A61" s="129" t="s">
        <v>404</v>
      </c>
      <c r="B61" t="s">
        <v>284</v>
      </c>
      <c r="C61">
        <v>973.4</v>
      </c>
      <c r="D61">
        <v>6905</v>
      </c>
    </row>
    <row r="62" spans="1:4" x14ac:dyDescent="0.2">
      <c r="A62" s="129" t="s">
        <v>405</v>
      </c>
      <c r="B62" t="s">
        <v>283</v>
      </c>
      <c r="C62" s="128">
        <v>1440.4</v>
      </c>
      <c r="D62">
        <v>6880</v>
      </c>
    </row>
    <row r="63" spans="1:4" x14ac:dyDescent="0.2">
      <c r="A63" s="129" t="s">
        <v>406</v>
      </c>
      <c r="B63" t="s">
        <v>282</v>
      </c>
      <c r="C63">
        <v>295</v>
      </c>
      <c r="D63">
        <v>6880</v>
      </c>
    </row>
    <row r="64" spans="1:4" x14ac:dyDescent="0.2">
      <c r="A64" s="129" t="s">
        <v>407</v>
      </c>
      <c r="B64" t="s">
        <v>281</v>
      </c>
      <c r="C64">
        <v>288</v>
      </c>
      <c r="D64">
        <v>6998</v>
      </c>
    </row>
    <row r="65" spans="1:4" x14ac:dyDescent="0.2">
      <c r="A65" s="129" t="s">
        <v>470</v>
      </c>
      <c r="B65" t="s">
        <v>220</v>
      </c>
      <c r="C65">
        <v>593.9</v>
      </c>
      <c r="D65">
        <v>6962</v>
      </c>
    </row>
    <row r="66" spans="1:4" x14ac:dyDescent="0.2">
      <c r="A66" s="129" t="s">
        <v>408</v>
      </c>
      <c r="B66" t="s">
        <v>690</v>
      </c>
      <c r="C66" s="128">
        <v>2488.6999999999998</v>
      </c>
      <c r="D66">
        <v>6906</v>
      </c>
    </row>
    <row r="67" spans="1:4" x14ac:dyDescent="0.2">
      <c r="A67" s="129" t="s">
        <v>409</v>
      </c>
      <c r="B67" t="s">
        <v>279</v>
      </c>
      <c r="C67" s="128">
        <v>1245.3</v>
      </c>
      <c r="D67">
        <v>6880</v>
      </c>
    </row>
    <row r="68" spans="1:4" x14ac:dyDescent="0.2">
      <c r="A68" s="129" t="s">
        <v>410</v>
      </c>
      <c r="B68" t="s">
        <v>278</v>
      </c>
      <c r="C68" s="128">
        <v>3624.2</v>
      </c>
      <c r="D68">
        <v>6916</v>
      </c>
    </row>
    <row r="69" spans="1:4" x14ac:dyDescent="0.2">
      <c r="A69" s="129" t="s">
        <v>411</v>
      </c>
      <c r="B69" t="s">
        <v>277</v>
      </c>
      <c r="C69">
        <v>763.8</v>
      </c>
      <c r="D69">
        <v>6880</v>
      </c>
    </row>
    <row r="70" spans="1:4" x14ac:dyDescent="0.2">
      <c r="A70" s="129" t="s">
        <v>412</v>
      </c>
      <c r="B70" t="s">
        <v>691</v>
      </c>
      <c r="C70" s="128">
        <v>5194.1000000000004</v>
      </c>
      <c r="D70">
        <v>6880</v>
      </c>
    </row>
    <row r="71" spans="1:4" x14ac:dyDescent="0.2">
      <c r="A71" s="129" t="s">
        <v>413</v>
      </c>
      <c r="B71" t="s">
        <v>275</v>
      </c>
      <c r="C71">
        <v>446.4</v>
      </c>
      <c r="D71">
        <v>6880</v>
      </c>
    </row>
    <row r="72" spans="1:4" x14ac:dyDescent="0.2">
      <c r="A72" s="129" t="s">
        <v>414</v>
      </c>
      <c r="B72" t="s">
        <v>692</v>
      </c>
      <c r="C72">
        <v>512</v>
      </c>
      <c r="D72">
        <v>6893</v>
      </c>
    </row>
    <row r="73" spans="1:4" x14ac:dyDescent="0.2">
      <c r="A73" s="129" t="s">
        <v>415</v>
      </c>
      <c r="B73" t="s">
        <v>273</v>
      </c>
      <c r="C73">
        <v>762.7</v>
      </c>
      <c r="D73">
        <v>6880</v>
      </c>
    </row>
    <row r="74" spans="1:4" x14ac:dyDescent="0.2">
      <c r="A74" s="129" t="s">
        <v>416</v>
      </c>
      <c r="B74" t="s">
        <v>272</v>
      </c>
      <c r="C74">
        <v>427.9</v>
      </c>
      <c r="D74">
        <v>7017</v>
      </c>
    </row>
    <row r="75" spans="1:4" x14ac:dyDescent="0.2">
      <c r="A75" s="129" t="s">
        <v>417</v>
      </c>
      <c r="B75" t="s">
        <v>271</v>
      </c>
      <c r="C75">
        <v>405.6</v>
      </c>
      <c r="D75">
        <v>6917</v>
      </c>
    </row>
    <row r="76" spans="1:4" x14ac:dyDescent="0.2">
      <c r="A76" s="129" t="s">
        <v>418</v>
      </c>
      <c r="B76" t="s">
        <v>270</v>
      </c>
      <c r="C76" s="128">
        <v>9122.1</v>
      </c>
      <c r="D76">
        <v>6939</v>
      </c>
    </row>
    <row r="77" spans="1:4" x14ac:dyDescent="0.2">
      <c r="A77" s="129" t="s">
        <v>419</v>
      </c>
      <c r="B77" t="s">
        <v>269</v>
      </c>
      <c r="C77" s="128">
        <v>1470.7</v>
      </c>
      <c r="D77">
        <v>6881</v>
      </c>
    </row>
    <row r="78" spans="1:4" x14ac:dyDescent="0.2">
      <c r="A78" s="129" t="s">
        <v>420</v>
      </c>
      <c r="B78" t="s">
        <v>268</v>
      </c>
      <c r="C78" s="128">
        <v>3127</v>
      </c>
      <c r="D78">
        <v>6880</v>
      </c>
    </row>
    <row r="79" spans="1:4" x14ac:dyDescent="0.2">
      <c r="A79" s="129" t="s">
        <v>421</v>
      </c>
      <c r="B79" t="s">
        <v>267</v>
      </c>
      <c r="C79">
        <v>507.6</v>
      </c>
      <c r="D79">
        <v>6880</v>
      </c>
    </row>
    <row r="80" spans="1:4" x14ac:dyDescent="0.2">
      <c r="A80" s="129" t="s">
        <v>422</v>
      </c>
      <c r="B80" t="s">
        <v>266</v>
      </c>
      <c r="C80" s="128">
        <v>14930.5</v>
      </c>
      <c r="D80">
        <v>6880</v>
      </c>
    </row>
    <row r="81" spans="1:4" x14ac:dyDescent="0.2">
      <c r="A81" s="129" t="s">
        <v>423</v>
      </c>
      <c r="B81" t="s">
        <v>265</v>
      </c>
      <c r="C81" s="128">
        <v>1167.0999999999999</v>
      </c>
      <c r="D81">
        <v>6880</v>
      </c>
    </row>
    <row r="82" spans="1:4" x14ac:dyDescent="0.2">
      <c r="A82" s="129" t="s">
        <v>424</v>
      </c>
      <c r="B82" t="s">
        <v>693</v>
      </c>
      <c r="C82" s="128">
        <v>1607.2</v>
      </c>
      <c r="D82">
        <v>6900</v>
      </c>
    </row>
    <row r="83" spans="1:4" x14ac:dyDescent="0.2">
      <c r="A83" s="129" t="s">
        <v>425</v>
      </c>
      <c r="B83" t="s">
        <v>263</v>
      </c>
      <c r="C83">
        <v>193.4</v>
      </c>
      <c r="D83">
        <v>7045</v>
      </c>
    </row>
    <row r="84" spans="1:4" x14ac:dyDescent="0.2">
      <c r="A84" s="129" t="s">
        <v>426</v>
      </c>
      <c r="B84" t="s">
        <v>262</v>
      </c>
      <c r="C84" s="128">
        <v>2169</v>
      </c>
      <c r="D84">
        <v>6880</v>
      </c>
    </row>
    <row r="85" spans="1:4" x14ac:dyDescent="0.2">
      <c r="A85" s="129" t="s">
        <v>427</v>
      </c>
      <c r="B85" t="s">
        <v>261</v>
      </c>
      <c r="C85">
        <v>821.6</v>
      </c>
      <c r="D85">
        <v>6880</v>
      </c>
    </row>
    <row r="86" spans="1:4" x14ac:dyDescent="0.2">
      <c r="A86" s="129" t="s">
        <v>428</v>
      </c>
      <c r="B86" t="s">
        <v>694</v>
      </c>
      <c r="C86" s="128">
        <v>32606.7</v>
      </c>
      <c r="D86">
        <v>6938</v>
      </c>
    </row>
    <row r="87" spans="1:4" x14ac:dyDescent="0.2">
      <c r="A87" s="129" t="s">
        <v>429</v>
      </c>
      <c r="B87" t="s">
        <v>259</v>
      </c>
      <c r="C87">
        <v>102</v>
      </c>
      <c r="D87">
        <v>6881</v>
      </c>
    </row>
    <row r="88" spans="1:4" x14ac:dyDescent="0.2">
      <c r="A88" s="129" t="s">
        <v>430</v>
      </c>
      <c r="B88" t="s">
        <v>258</v>
      </c>
      <c r="C88">
        <v>872.1</v>
      </c>
      <c r="D88">
        <v>6880</v>
      </c>
    </row>
    <row r="89" spans="1:4" x14ac:dyDescent="0.2">
      <c r="A89" s="129" t="s">
        <v>431</v>
      </c>
      <c r="B89" t="s">
        <v>257</v>
      </c>
      <c r="C89" s="128">
        <v>10489</v>
      </c>
      <c r="D89">
        <v>6880</v>
      </c>
    </row>
    <row r="90" spans="1:4" x14ac:dyDescent="0.2">
      <c r="A90" s="129" t="s">
        <v>432</v>
      </c>
      <c r="B90" t="s">
        <v>256</v>
      </c>
      <c r="C90">
        <v>386</v>
      </c>
      <c r="D90">
        <v>6880</v>
      </c>
    </row>
    <row r="91" spans="1:4" x14ac:dyDescent="0.2">
      <c r="A91" s="129" t="s">
        <v>434</v>
      </c>
      <c r="B91" t="s">
        <v>254</v>
      </c>
      <c r="C91">
        <v>557.29999999999995</v>
      </c>
      <c r="D91">
        <v>6916</v>
      </c>
    </row>
    <row r="92" spans="1:4" x14ac:dyDescent="0.2">
      <c r="A92" s="129" t="s">
        <v>436</v>
      </c>
      <c r="B92" t="s">
        <v>253</v>
      </c>
      <c r="C92">
        <v>959.2</v>
      </c>
      <c r="D92">
        <v>6988</v>
      </c>
    </row>
    <row r="93" spans="1:4" x14ac:dyDescent="0.2">
      <c r="A93" s="129" t="s">
        <v>437</v>
      </c>
      <c r="B93" t="s">
        <v>252</v>
      </c>
      <c r="C93">
        <v>574.1</v>
      </c>
      <c r="D93">
        <v>6880</v>
      </c>
    </row>
    <row r="94" spans="1:4" x14ac:dyDescent="0.2">
      <c r="A94" s="129" t="s">
        <v>438</v>
      </c>
      <c r="B94" t="s">
        <v>251</v>
      </c>
      <c r="C94">
        <v>552.29999999999995</v>
      </c>
      <c r="D94">
        <v>6880</v>
      </c>
    </row>
    <row r="95" spans="1:4" x14ac:dyDescent="0.2">
      <c r="A95" s="129" t="s">
        <v>503</v>
      </c>
      <c r="B95" t="s">
        <v>249</v>
      </c>
      <c r="C95">
        <v>603.9</v>
      </c>
      <c r="D95">
        <v>6954</v>
      </c>
    </row>
    <row r="96" spans="1:4" x14ac:dyDescent="0.2">
      <c r="A96" s="129" t="s">
        <v>516</v>
      </c>
      <c r="B96" t="s">
        <v>176</v>
      </c>
      <c r="C96">
        <v>541.1</v>
      </c>
      <c r="D96">
        <v>6934</v>
      </c>
    </row>
    <row r="97" spans="1:4" x14ac:dyDescent="0.2">
      <c r="A97" s="129" t="s">
        <v>641</v>
      </c>
      <c r="B97" t="s">
        <v>57</v>
      </c>
      <c r="C97">
        <v>795.9</v>
      </c>
      <c r="D97">
        <v>6883</v>
      </c>
    </row>
    <row r="98" spans="1:4" x14ac:dyDescent="0.2">
      <c r="A98" s="129" t="s">
        <v>440</v>
      </c>
      <c r="B98" t="s">
        <v>248</v>
      </c>
      <c r="C98">
        <v>503</v>
      </c>
      <c r="D98">
        <v>6894</v>
      </c>
    </row>
    <row r="99" spans="1:4" x14ac:dyDescent="0.2">
      <c r="A99" s="129" t="s">
        <v>441</v>
      </c>
      <c r="B99" t="s">
        <v>247</v>
      </c>
      <c r="C99">
        <v>323</v>
      </c>
      <c r="D99">
        <v>6880</v>
      </c>
    </row>
    <row r="100" spans="1:4" x14ac:dyDescent="0.2">
      <c r="A100" s="129" t="s">
        <v>439</v>
      </c>
      <c r="B100" t="s">
        <v>250</v>
      </c>
      <c r="C100">
        <v>577.79999999999995</v>
      </c>
      <c r="D100">
        <v>6880</v>
      </c>
    </row>
    <row r="101" spans="1:4" x14ac:dyDescent="0.2">
      <c r="A101" s="129" t="s">
        <v>374</v>
      </c>
      <c r="B101" t="s">
        <v>695</v>
      </c>
      <c r="C101">
        <v>869.6</v>
      </c>
      <c r="D101">
        <v>6880</v>
      </c>
    </row>
    <row r="102" spans="1:4" x14ac:dyDescent="0.2">
      <c r="A102" s="129" t="s">
        <v>443</v>
      </c>
      <c r="B102" t="s">
        <v>245</v>
      </c>
      <c r="C102">
        <v>415</v>
      </c>
      <c r="D102">
        <v>6880</v>
      </c>
    </row>
    <row r="103" spans="1:4" x14ac:dyDescent="0.2">
      <c r="A103" s="129" t="s">
        <v>444</v>
      </c>
      <c r="B103" t="s">
        <v>244</v>
      </c>
      <c r="C103">
        <v>604.20000000000005</v>
      </c>
      <c r="D103">
        <v>6880</v>
      </c>
    </row>
    <row r="104" spans="1:4" x14ac:dyDescent="0.2">
      <c r="A104" s="129" t="s">
        <v>445</v>
      </c>
      <c r="B104" t="s">
        <v>243</v>
      </c>
      <c r="C104">
        <v>681.2</v>
      </c>
      <c r="D104">
        <v>6993</v>
      </c>
    </row>
    <row r="105" spans="1:4" x14ac:dyDescent="0.2">
      <c r="A105" s="129" t="s">
        <v>446</v>
      </c>
      <c r="B105" t="s">
        <v>242</v>
      </c>
      <c r="C105">
        <v>474.7</v>
      </c>
      <c r="D105">
        <v>6943</v>
      </c>
    </row>
    <row r="106" spans="1:4" x14ac:dyDescent="0.2">
      <c r="A106" s="129" t="s">
        <v>447</v>
      </c>
      <c r="B106" t="s">
        <v>241</v>
      </c>
      <c r="C106">
        <v>187.2</v>
      </c>
      <c r="D106">
        <v>6880</v>
      </c>
    </row>
    <row r="107" spans="1:4" x14ac:dyDescent="0.2">
      <c r="A107" s="129" t="s">
        <v>448</v>
      </c>
      <c r="B107" t="s">
        <v>696</v>
      </c>
      <c r="C107" s="128">
        <v>1275.3</v>
      </c>
      <c r="D107">
        <v>6888</v>
      </c>
    </row>
    <row r="108" spans="1:4" x14ac:dyDescent="0.2">
      <c r="A108" s="129" t="s">
        <v>449</v>
      </c>
      <c r="B108" t="s">
        <v>697</v>
      </c>
      <c r="C108">
        <v>416.9</v>
      </c>
      <c r="D108">
        <v>6954</v>
      </c>
    </row>
    <row r="109" spans="1:4" x14ac:dyDescent="0.2">
      <c r="A109" s="129" t="s">
        <v>450</v>
      </c>
      <c r="B109" t="s">
        <v>239</v>
      </c>
      <c r="C109" s="128">
        <v>1607.5</v>
      </c>
      <c r="D109">
        <v>6880</v>
      </c>
    </row>
    <row r="110" spans="1:4" x14ac:dyDescent="0.2">
      <c r="A110" s="129" t="s">
        <v>451</v>
      </c>
      <c r="B110" t="s">
        <v>238</v>
      </c>
      <c r="C110" s="128">
        <v>1067.2</v>
      </c>
      <c r="D110">
        <v>6880</v>
      </c>
    </row>
    <row r="111" spans="1:4" x14ac:dyDescent="0.2">
      <c r="A111" s="129" t="s">
        <v>452</v>
      </c>
      <c r="B111" t="s">
        <v>237</v>
      </c>
      <c r="C111" s="128">
        <v>3668.4</v>
      </c>
      <c r="D111">
        <v>6897</v>
      </c>
    </row>
    <row r="112" spans="1:4" x14ac:dyDescent="0.2">
      <c r="A112" s="129" t="s">
        <v>453</v>
      </c>
      <c r="B112" t="s">
        <v>236</v>
      </c>
      <c r="C112" s="128">
        <v>2092.8000000000002</v>
      </c>
      <c r="D112">
        <v>6880</v>
      </c>
    </row>
    <row r="113" spans="1:4" x14ac:dyDescent="0.2">
      <c r="A113" s="129" t="s">
        <v>454</v>
      </c>
      <c r="B113" t="s">
        <v>235</v>
      </c>
      <c r="C113">
        <v>464.1</v>
      </c>
      <c r="D113">
        <v>6880</v>
      </c>
    </row>
    <row r="114" spans="1:4" x14ac:dyDescent="0.2">
      <c r="A114" s="129" t="s">
        <v>465</v>
      </c>
      <c r="B114" t="s">
        <v>2</v>
      </c>
      <c r="C114">
        <v>259.2</v>
      </c>
      <c r="D114">
        <v>6880</v>
      </c>
    </row>
    <row r="115" spans="1:4" x14ac:dyDescent="0.2">
      <c r="A115" s="129" t="s">
        <v>455</v>
      </c>
      <c r="B115" t="s">
        <v>234</v>
      </c>
      <c r="C115">
        <v>454</v>
      </c>
      <c r="D115">
        <v>6901</v>
      </c>
    </row>
    <row r="116" spans="1:4" x14ac:dyDescent="0.2">
      <c r="A116" s="129" t="s">
        <v>456</v>
      </c>
      <c r="B116" t="s">
        <v>233</v>
      </c>
      <c r="C116">
        <v>846.8</v>
      </c>
      <c r="D116">
        <v>6897</v>
      </c>
    </row>
    <row r="117" spans="1:4" x14ac:dyDescent="0.2">
      <c r="A117" s="129" t="s">
        <v>457</v>
      </c>
      <c r="B117" t="s">
        <v>232</v>
      </c>
      <c r="C117">
        <v>418.1</v>
      </c>
      <c r="D117">
        <v>6880</v>
      </c>
    </row>
    <row r="118" spans="1:4" x14ac:dyDescent="0.2">
      <c r="A118" s="129" t="s">
        <v>458</v>
      </c>
      <c r="B118" t="s">
        <v>231</v>
      </c>
      <c r="C118" s="128">
        <v>1548.6</v>
      </c>
      <c r="D118">
        <v>6880</v>
      </c>
    </row>
    <row r="119" spans="1:4" x14ac:dyDescent="0.2">
      <c r="A119" s="129" t="s">
        <v>459</v>
      </c>
      <c r="B119" t="s">
        <v>230</v>
      </c>
      <c r="C119">
        <v>163</v>
      </c>
      <c r="D119">
        <v>7037</v>
      </c>
    </row>
    <row r="120" spans="1:4" x14ac:dyDescent="0.2">
      <c r="A120" s="129" t="s">
        <v>460</v>
      </c>
      <c r="B120" t="s">
        <v>229</v>
      </c>
      <c r="C120">
        <v>605.29999999999995</v>
      </c>
      <c r="D120">
        <v>6970</v>
      </c>
    </row>
    <row r="121" spans="1:4" x14ac:dyDescent="0.2">
      <c r="A121" s="129" t="s">
        <v>461</v>
      </c>
      <c r="B121" t="s">
        <v>228</v>
      </c>
      <c r="C121" s="128">
        <v>1931.5</v>
      </c>
      <c r="D121">
        <v>6880</v>
      </c>
    </row>
    <row r="122" spans="1:4" x14ac:dyDescent="0.2">
      <c r="A122" s="129" t="s">
        <v>462</v>
      </c>
      <c r="B122" t="s">
        <v>227</v>
      </c>
      <c r="C122">
        <v>288</v>
      </c>
      <c r="D122">
        <v>6880</v>
      </c>
    </row>
    <row r="123" spans="1:4" x14ac:dyDescent="0.2">
      <c r="A123" s="129" t="s">
        <v>463</v>
      </c>
      <c r="B123" t="s">
        <v>226</v>
      </c>
      <c r="C123">
        <v>373.1</v>
      </c>
      <c r="D123">
        <v>6885</v>
      </c>
    </row>
    <row r="124" spans="1:4" x14ac:dyDescent="0.2">
      <c r="A124" s="129" t="s">
        <v>492</v>
      </c>
      <c r="B124" t="s">
        <v>199</v>
      </c>
      <c r="C124" s="128">
        <v>1199.5999999999999</v>
      </c>
      <c r="D124">
        <v>6944</v>
      </c>
    </row>
    <row r="125" spans="1:4" x14ac:dyDescent="0.2">
      <c r="A125" s="129" t="s">
        <v>466</v>
      </c>
      <c r="B125" t="s">
        <v>224</v>
      </c>
      <c r="C125" s="128">
        <v>1619.3</v>
      </c>
      <c r="D125">
        <v>6893</v>
      </c>
    </row>
    <row r="126" spans="1:4" x14ac:dyDescent="0.2">
      <c r="A126" s="129" t="s">
        <v>467</v>
      </c>
      <c r="B126" t="s">
        <v>223</v>
      </c>
      <c r="C126">
        <v>457.5</v>
      </c>
      <c r="D126">
        <v>6935</v>
      </c>
    </row>
    <row r="127" spans="1:4" x14ac:dyDescent="0.2">
      <c r="A127" s="129" t="s">
        <v>468</v>
      </c>
      <c r="B127" t="s">
        <v>222</v>
      </c>
      <c r="C127">
        <v>646</v>
      </c>
      <c r="D127">
        <v>6880</v>
      </c>
    </row>
    <row r="128" spans="1:4" x14ac:dyDescent="0.2">
      <c r="A128" s="129" t="s">
        <v>469</v>
      </c>
      <c r="B128" t="s">
        <v>221</v>
      </c>
      <c r="C128">
        <v>436.7</v>
      </c>
      <c r="D128">
        <v>6894</v>
      </c>
    </row>
    <row r="129" spans="1:4" x14ac:dyDescent="0.2">
      <c r="A129" s="129" t="s">
        <v>471</v>
      </c>
      <c r="B129" t="s">
        <v>23</v>
      </c>
      <c r="C129">
        <v>343.7</v>
      </c>
      <c r="D129">
        <v>6970</v>
      </c>
    </row>
    <row r="130" spans="1:4" x14ac:dyDescent="0.2">
      <c r="A130" s="129" t="s">
        <v>472</v>
      </c>
      <c r="B130" t="s">
        <v>218</v>
      </c>
      <c r="C130">
        <v>199</v>
      </c>
      <c r="D130">
        <v>7011</v>
      </c>
    </row>
    <row r="131" spans="1:4" x14ac:dyDescent="0.2">
      <c r="A131" s="129" t="s">
        <v>473</v>
      </c>
      <c r="B131" t="s">
        <v>217</v>
      </c>
      <c r="C131" s="128">
        <v>1169.5999999999999</v>
      </c>
      <c r="D131">
        <v>6880</v>
      </c>
    </row>
    <row r="132" spans="1:4" x14ac:dyDescent="0.2">
      <c r="A132" s="129" t="s">
        <v>474</v>
      </c>
      <c r="B132" t="s">
        <v>216</v>
      </c>
      <c r="C132" s="128">
        <v>1384.2</v>
      </c>
      <c r="D132">
        <v>6910</v>
      </c>
    </row>
    <row r="133" spans="1:4" x14ac:dyDescent="0.2">
      <c r="A133" s="129" t="s">
        <v>476</v>
      </c>
      <c r="B133" t="s">
        <v>215</v>
      </c>
      <c r="C133">
        <v>292</v>
      </c>
      <c r="D133">
        <v>6941</v>
      </c>
    </row>
    <row r="134" spans="1:4" x14ac:dyDescent="0.2">
      <c r="A134" s="129" t="s">
        <v>477</v>
      </c>
      <c r="B134" t="s">
        <v>214</v>
      </c>
      <c r="C134">
        <v>617.5</v>
      </c>
      <c r="D134">
        <v>6917</v>
      </c>
    </row>
    <row r="135" spans="1:4" x14ac:dyDescent="0.2">
      <c r="A135" s="129" t="s">
        <v>478</v>
      </c>
      <c r="B135" t="s">
        <v>213</v>
      </c>
      <c r="C135">
        <v>620.9</v>
      </c>
      <c r="D135">
        <v>6880</v>
      </c>
    </row>
    <row r="136" spans="1:4" x14ac:dyDescent="0.2">
      <c r="A136" s="129" t="s">
        <v>479</v>
      </c>
      <c r="B136" t="s">
        <v>212</v>
      </c>
      <c r="C136">
        <v>529.1</v>
      </c>
      <c r="D136">
        <v>6880</v>
      </c>
    </row>
    <row r="137" spans="1:4" x14ac:dyDescent="0.2">
      <c r="A137" s="129" t="s">
        <v>480</v>
      </c>
      <c r="B137" t="s">
        <v>211</v>
      </c>
      <c r="C137" s="128">
        <v>1132.8</v>
      </c>
      <c r="D137">
        <v>6993</v>
      </c>
    </row>
    <row r="138" spans="1:4" x14ac:dyDescent="0.2">
      <c r="A138" s="129" t="s">
        <v>481</v>
      </c>
      <c r="B138" t="s">
        <v>210</v>
      </c>
      <c r="C138">
        <v>419.6</v>
      </c>
      <c r="D138">
        <v>6982</v>
      </c>
    </row>
    <row r="139" spans="1:4" x14ac:dyDescent="0.2">
      <c r="A139" s="129" t="s">
        <v>482</v>
      </c>
      <c r="B139" t="s">
        <v>209</v>
      </c>
      <c r="C139">
        <v>703.4</v>
      </c>
      <c r="D139">
        <v>7045</v>
      </c>
    </row>
    <row r="140" spans="1:4" x14ac:dyDescent="0.2">
      <c r="A140" s="129" t="s">
        <v>483</v>
      </c>
      <c r="B140" t="s">
        <v>208</v>
      </c>
      <c r="C140" s="128">
        <v>1249.7</v>
      </c>
      <c r="D140">
        <v>6880</v>
      </c>
    </row>
    <row r="141" spans="1:4" x14ac:dyDescent="0.2">
      <c r="A141" s="129" t="s">
        <v>490</v>
      </c>
      <c r="B141" t="s">
        <v>201</v>
      </c>
      <c r="C141">
        <v>684.7</v>
      </c>
      <c r="D141">
        <v>6971</v>
      </c>
    </row>
    <row r="142" spans="1:4" x14ac:dyDescent="0.2">
      <c r="A142" s="129" t="s">
        <v>484</v>
      </c>
      <c r="B142" t="s">
        <v>207</v>
      </c>
      <c r="C142" s="128">
        <v>1426.6</v>
      </c>
      <c r="D142">
        <v>6880</v>
      </c>
    </row>
    <row r="143" spans="1:4" x14ac:dyDescent="0.2">
      <c r="A143" s="129" t="s">
        <v>485</v>
      </c>
      <c r="B143" t="s">
        <v>206</v>
      </c>
      <c r="C143" s="128">
        <v>3460.1</v>
      </c>
      <c r="D143">
        <v>6880</v>
      </c>
    </row>
    <row r="144" spans="1:4" x14ac:dyDescent="0.2">
      <c r="A144" s="129" t="s">
        <v>486</v>
      </c>
      <c r="B144" t="s">
        <v>205</v>
      </c>
      <c r="C144">
        <v>848.2</v>
      </c>
      <c r="D144">
        <v>6880</v>
      </c>
    </row>
    <row r="145" spans="1:4" x14ac:dyDescent="0.2">
      <c r="A145" s="129" t="s">
        <v>487</v>
      </c>
      <c r="B145" t="s">
        <v>204</v>
      </c>
      <c r="C145" s="128">
        <v>14571.6</v>
      </c>
      <c r="D145">
        <v>6887</v>
      </c>
    </row>
    <row r="146" spans="1:4" x14ac:dyDescent="0.2">
      <c r="A146" s="129" t="s">
        <v>488</v>
      </c>
      <c r="B146" t="s">
        <v>203</v>
      </c>
      <c r="C146" s="128">
        <v>1040.0999999999999</v>
      </c>
      <c r="D146">
        <v>6880</v>
      </c>
    </row>
    <row r="147" spans="1:4" x14ac:dyDescent="0.2">
      <c r="A147" s="129" t="s">
        <v>489</v>
      </c>
      <c r="B147" t="s">
        <v>202</v>
      </c>
      <c r="C147">
        <v>532.5</v>
      </c>
      <c r="D147">
        <v>6880</v>
      </c>
    </row>
    <row r="148" spans="1:4" x14ac:dyDescent="0.2">
      <c r="A148" s="129" t="s">
        <v>491</v>
      </c>
      <c r="B148" t="s">
        <v>698</v>
      </c>
      <c r="C148">
        <v>436.2</v>
      </c>
      <c r="D148">
        <v>6945</v>
      </c>
    </row>
    <row r="149" spans="1:4" x14ac:dyDescent="0.2">
      <c r="A149" s="129" t="s">
        <v>493</v>
      </c>
      <c r="B149" t="s">
        <v>198</v>
      </c>
      <c r="C149">
        <v>883.8</v>
      </c>
      <c r="D149">
        <v>6880</v>
      </c>
    </row>
    <row r="150" spans="1:4" x14ac:dyDescent="0.2">
      <c r="A150" s="129" t="s">
        <v>494</v>
      </c>
      <c r="B150" t="s">
        <v>197</v>
      </c>
      <c r="C150" s="128">
        <v>7105.7</v>
      </c>
      <c r="D150">
        <v>6880</v>
      </c>
    </row>
    <row r="151" spans="1:4" x14ac:dyDescent="0.2">
      <c r="A151" s="129" t="s">
        <v>495</v>
      </c>
      <c r="B151" t="s">
        <v>196</v>
      </c>
      <c r="C151" s="128">
        <v>1918.7</v>
      </c>
      <c r="D151">
        <v>6880</v>
      </c>
    </row>
    <row r="152" spans="1:4" x14ac:dyDescent="0.2">
      <c r="A152" s="129" t="s">
        <v>496</v>
      </c>
      <c r="B152" t="s">
        <v>195</v>
      </c>
      <c r="C152">
        <v>356.7</v>
      </c>
      <c r="D152">
        <v>6914</v>
      </c>
    </row>
    <row r="153" spans="1:4" x14ac:dyDescent="0.2">
      <c r="A153" s="129" t="s">
        <v>497</v>
      </c>
      <c r="B153" t="s">
        <v>194</v>
      </c>
      <c r="C153">
        <v>458.7</v>
      </c>
      <c r="D153">
        <v>6973</v>
      </c>
    </row>
    <row r="154" spans="1:4" x14ac:dyDescent="0.2">
      <c r="A154" s="129" t="s">
        <v>498</v>
      </c>
      <c r="B154" t="s">
        <v>193</v>
      </c>
      <c r="C154" s="128">
        <v>1772.2</v>
      </c>
      <c r="D154">
        <v>6880</v>
      </c>
    </row>
    <row r="155" spans="1:4" x14ac:dyDescent="0.2">
      <c r="A155" s="129" t="s">
        <v>499</v>
      </c>
      <c r="B155" t="s">
        <v>192</v>
      </c>
      <c r="C155">
        <v>573.5</v>
      </c>
      <c r="D155">
        <v>6880</v>
      </c>
    </row>
    <row r="156" spans="1:4" x14ac:dyDescent="0.2">
      <c r="A156" s="129" t="s">
        <v>500</v>
      </c>
      <c r="B156" t="s">
        <v>191</v>
      </c>
      <c r="C156">
        <v>302.60000000000002</v>
      </c>
      <c r="D156">
        <v>6880</v>
      </c>
    </row>
    <row r="157" spans="1:4" x14ac:dyDescent="0.2">
      <c r="A157" s="129" t="s">
        <v>501</v>
      </c>
      <c r="B157" t="s">
        <v>190</v>
      </c>
      <c r="C157">
        <v>276</v>
      </c>
      <c r="D157">
        <v>6880</v>
      </c>
    </row>
    <row r="158" spans="1:4" x14ac:dyDescent="0.2">
      <c r="A158" s="129" t="s">
        <v>502</v>
      </c>
      <c r="B158" t="s">
        <v>189</v>
      </c>
      <c r="C158">
        <v>610.1</v>
      </c>
      <c r="D158">
        <v>6880</v>
      </c>
    </row>
    <row r="159" spans="1:4" x14ac:dyDescent="0.2">
      <c r="A159" s="129" t="s">
        <v>504</v>
      </c>
      <c r="B159" t="s">
        <v>188</v>
      </c>
      <c r="C159" s="128">
        <v>2208.1</v>
      </c>
      <c r="D159">
        <v>6880</v>
      </c>
    </row>
    <row r="160" spans="1:4" x14ac:dyDescent="0.2">
      <c r="A160" s="129" t="s">
        <v>505</v>
      </c>
      <c r="B160" t="s">
        <v>187</v>
      </c>
      <c r="C160">
        <v>441.3</v>
      </c>
      <c r="D160">
        <v>6880</v>
      </c>
    </row>
    <row r="161" spans="1:4" x14ac:dyDescent="0.2">
      <c r="A161" s="129" t="s">
        <v>506</v>
      </c>
      <c r="B161" t="s">
        <v>186</v>
      </c>
      <c r="C161" s="128">
        <v>2624.7</v>
      </c>
      <c r="D161">
        <v>6880</v>
      </c>
    </row>
    <row r="162" spans="1:4" x14ac:dyDescent="0.2">
      <c r="A162" s="129" t="s">
        <v>508</v>
      </c>
      <c r="B162" t="s">
        <v>184</v>
      </c>
      <c r="C162" s="128">
        <v>7675.5</v>
      </c>
      <c r="D162">
        <v>6880</v>
      </c>
    </row>
    <row r="163" spans="1:4" x14ac:dyDescent="0.2">
      <c r="A163" s="129" t="s">
        <v>509</v>
      </c>
      <c r="B163" t="s">
        <v>183</v>
      </c>
      <c r="C163">
        <v>638.4</v>
      </c>
      <c r="D163">
        <v>6880</v>
      </c>
    </row>
    <row r="164" spans="1:4" x14ac:dyDescent="0.2">
      <c r="A164" s="129" t="s">
        <v>510</v>
      </c>
      <c r="B164" t="s">
        <v>182</v>
      </c>
      <c r="C164">
        <v>572.1</v>
      </c>
      <c r="D164">
        <v>6880</v>
      </c>
    </row>
    <row r="165" spans="1:4" x14ac:dyDescent="0.2">
      <c r="A165" s="129" t="s">
        <v>511</v>
      </c>
      <c r="B165" t="s">
        <v>181</v>
      </c>
      <c r="C165">
        <v>368.8</v>
      </c>
      <c r="D165">
        <v>6880</v>
      </c>
    </row>
    <row r="166" spans="1:4" x14ac:dyDescent="0.2">
      <c r="A166" s="129" t="s">
        <v>512</v>
      </c>
      <c r="B166" t="s">
        <v>180</v>
      </c>
      <c r="C166">
        <v>712</v>
      </c>
      <c r="D166">
        <v>6880</v>
      </c>
    </row>
    <row r="167" spans="1:4" x14ac:dyDescent="0.2">
      <c r="A167" s="129" t="s">
        <v>513</v>
      </c>
      <c r="B167" t="s">
        <v>699</v>
      </c>
      <c r="C167">
        <v>146.1</v>
      </c>
      <c r="D167">
        <v>7045</v>
      </c>
    </row>
    <row r="168" spans="1:4" x14ac:dyDescent="0.2">
      <c r="A168" s="129" t="s">
        <v>514</v>
      </c>
      <c r="B168" t="s">
        <v>178</v>
      </c>
      <c r="C168">
        <v>452.5</v>
      </c>
      <c r="D168">
        <v>6880</v>
      </c>
    </row>
    <row r="169" spans="1:4" x14ac:dyDescent="0.2">
      <c r="A169" s="129" t="s">
        <v>532</v>
      </c>
      <c r="B169" t="s">
        <v>700</v>
      </c>
      <c r="C169">
        <v>767.7</v>
      </c>
      <c r="D169">
        <v>6907</v>
      </c>
    </row>
    <row r="170" spans="1:4" x14ac:dyDescent="0.2">
      <c r="A170" s="129" t="s">
        <v>515</v>
      </c>
      <c r="B170" t="s">
        <v>177</v>
      </c>
      <c r="C170">
        <v>683</v>
      </c>
      <c r="D170">
        <v>6880</v>
      </c>
    </row>
    <row r="171" spans="1:4" x14ac:dyDescent="0.2">
      <c r="A171" s="129" t="s">
        <v>517</v>
      </c>
      <c r="B171" t="s">
        <v>701</v>
      </c>
      <c r="C171">
        <v>642</v>
      </c>
      <c r="D171">
        <v>6930</v>
      </c>
    </row>
    <row r="172" spans="1:4" x14ac:dyDescent="0.2">
      <c r="A172" s="129" t="s">
        <v>518</v>
      </c>
      <c r="B172" t="s">
        <v>174</v>
      </c>
      <c r="C172">
        <v>600.79999999999995</v>
      </c>
      <c r="D172">
        <v>6977</v>
      </c>
    </row>
    <row r="173" spans="1:4" x14ac:dyDescent="0.2">
      <c r="A173" s="129" t="s">
        <v>519</v>
      </c>
      <c r="B173" t="s">
        <v>173</v>
      </c>
      <c r="C173" s="128">
        <v>1260.8</v>
      </c>
      <c r="D173">
        <v>6880</v>
      </c>
    </row>
    <row r="174" spans="1:4" x14ac:dyDescent="0.2">
      <c r="A174" s="129" t="s">
        <v>520</v>
      </c>
      <c r="B174" t="s">
        <v>172</v>
      </c>
      <c r="C174">
        <v>682.6</v>
      </c>
      <c r="D174">
        <v>6902</v>
      </c>
    </row>
    <row r="175" spans="1:4" x14ac:dyDescent="0.2">
      <c r="A175" s="129" t="s">
        <v>521</v>
      </c>
      <c r="B175" t="s">
        <v>702</v>
      </c>
      <c r="C175">
        <v>444.1</v>
      </c>
      <c r="D175">
        <v>6905</v>
      </c>
    </row>
    <row r="176" spans="1:4" x14ac:dyDescent="0.2">
      <c r="A176" s="129" t="s">
        <v>522</v>
      </c>
      <c r="B176" t="s">
        <v>703</v>
      </c>
      <c r="C176" s="128">
        <v>1911</v>
      </c>
      <c r="D176">
        <v>6972</v>
      </c>
    </row>
    <row r="177" spans="1:4" x14ac:dyDescent="0.2">
      <c r="A177" s="129" t="s">
        <v>523</v>
      </c>
      <c r="B177" t="s">
        <v>169</v>
      </c>
      <c r="C177" s="128">
        <v>5420.2</v>
      </c>
      <c r="D177">
        <v>6911</v>
      </c>
    </row>
    <row r="178" spans="1:4" x14ac:dyDescent="0.2">
      <c r="A178" s="129" t="s">
        <v>524</v>
      </c>
      <c r="B178" t="s">
        <v>168</v>
      </c>
      <c r="C178">
        <v>516.20000000000005</v>
      </c>
      <c r="D178">
        <v>6880</v>
      </c>
    </row>
    <row r="179" spans="1:4" x14ac:dyDescent="0.2">
      <c r="A179" s="129" t="s">
        <v>525</v>
      </c>
      <c r="B179" t="s">
        <v>167</v>
      </c>
      <c r="C179" s="128">
        <v>3624.6</v>
      </c>
      <c r="D179">
        <v>6942</v>
      </c>
    </row>
    <row r="180" spans="1:4" x14ac:dyDescent="0.2">
      <c r="A180" s="129" t="s">
        <v>527</v>
      </c>
      <c r="B180" t="s">
        <v>165</v>
      </c>
      <c r="C180">
        <v>811.6</v>
      </c>
      <c r="D180">
        <v>6880</v>
      </c>
    </row>
    <row r="181" spans="1:4" x14ac:dyDescent="0.2">
      <c r="A181" s="129" t="s">
        <v>528</v>
      </c>
      <c r="B181" t="s">
        <v>164</v>
      </c>
      <c r="C181">
        <v>333</v>
      </c>
      <c r="D181">
        <v>6880</v>
      </c>
    </row>
    <row r="182" spans="1:4" x14ac:dyDescent="0.2">
      <c r="A182" s="129" t="s">
        <v>530</v>
      </c>
      <c r="B182" t="s">
        <v>162</v>
      </c>
      <c r="C182" s="128">
        <v>1276.3</v>
      </c>
      <c r="D182">
        <v>6894</v>
      </c>
    </row>
    <row r="183" spans="1:4" x14ac:dyDescent="0.2">
      <c r="A183" s="129" t="s">
        <v>529</v>
      </c>
      <c r="B183" t="s">
        <v>163</v>
      </c>
      <c r="C183">
        <v>520.20000000000005</v>
      </c>
      <c r="D183">
        <v>6959</v>
      </c>
    </row>
    <row r="184" spans="1:4" x14ac:dyDescent="0.2">
      <c r="A184" s="129" t="s">
        <v>531</v>
      </c>
      <c r="B184" t="s">
        <v>161</v>
      </c>
      <c r="C184">
        <v>803.5</v>
      </c>
      <c r="D184">
        <v>6880</v>
      </c>
    </row>
    <row r="185" spans="1:4" x14ac:dyDescent="0.2">
      <c r="A185" s="129" t="s">
        <v>526</v>
      </c>
      <c r="B185" t="s">
        <v>704</v>
      </c>
      <c r="C185" s="128">
        <v>1486.5</v>
      </c>
      <c r="D185">
        <v>6910</v>
      </c>
    </row>
    <row r="186" spans="1:4" x14ac:dyDescent="0.2">
      <c r="A186" s="129" t="s">
        <v>533</v>
      </c>
      <c r="B186" t="s">
        <v>159</v>
      </c>
      <c r="C186">
        <v>485.5</v>
      </c>
      <c r="D186">
        <v>6880</v>
      </c>
    </row>
    <row r="187" spans="1:4" x14ac:dyDescent="0.2">
      <c r="A187" s="129" t="s">
        <v>534</v>
      </c>
      <c r="B187" t="s">
        <v>158</v>
      </c>
      <c r="C187">
        <v>953.8</v>
      </c>
      <c r="D187">
        <v>6880</v>
      </c>
    </row>
    <row r="188" spans="1:4" x14ac:dyDescent="0.2">
      <c r="A188" s="129" t="s">
        <v>535</v>
      </c>
      <c r="B188" t="s">
        <v>157</v>
      </c>
      <c r="C188">
        <v>341.4</v>
      </c>
      <c r="D188">
        <v>6880</v>
      </c>
    </row>
    <row r="189" spans="1:4" x14ac:dyDescent="0.2">
      <c r="A189" s="129" t="s">
        <v>536</v>
      </c>
      <c r="B189" t="s">
        <v>156</v>
      </c>
      <c r="C189">
        <v>229.7</v>
      </c>
      <c r="D189">
        <v>6944</v>
      </c>
    </row>
    <row r="190" spans="1:4" x14ac:dyDescent="0.2">
      <c r="A190" s="129" t="s">
        <v>537</v>
      </c>
      <c r="B190" t="s">
        <v>155</v>
      </c>
      <c r="C190">
        <v>209</v>
      </c>
      <c r="D190">
        <v>6880</v>
      </c>
    </row>
    <row r="191" spans="1:4" x14ac:dyDescent="0.2">
      <c r="A191" s="129" t="s">
        <v>538</v>
      </c>
      <c r="B191" t="s">
        <v>154</v>
      </c>
      <c r="C191">
        <v>208.5</v>
      </c>
      <c r="D191">
        <v>6880</v>
      </c>
    </row>
    <row r="192" spans="1:4" x14ac:dyDescent="0.2">
      <c r="A192" s="129" t="s">
        <v>539</v>
      </c>
      <c r="B192" t="s">
        <v>153</v>
      </c>
      <c r="C192">
        <v>607</v>
      </c>
      <c r="D192">
        <v>6880</v>
      </c>
    </row>
    <row r="193" spans="1:4" x14ac:dyDescent="0.2">
      <c r="A193" s="129" t="s">
        <v>540</v>
      </c>
      <c r="B193" t="s">
        <v>152</v>
      </c>
      <c r="C193" s="128">
        <v>1902.8</v>
      </c>
      <c r="D193">
        <v>6880</v>
      </c>
    </row>
    <row r="194" spans="1:4" x14ac:dyDescent="0.2">
      <c r="A194" s="129" t="s">
        <v>541</v>
      </c>
      <c r="B194" t="s">
        <v>151</v>
      </c>
      <c r="C194" s="128">
        <v>1108.3</v>
      </c>
      <c r="D194">
        <v>6880</v>
      </c>
    </row>
    <row r="195" spans="1:4" x14ac:dyDescent="0.2">
      <c r="A195" s="129" t="s">
        <v>542</v>
      </c>
      <c r="B195" t="s">
        <v>150</v>
      </c>
      <c r="C195">
        <v>230.5</v>
      </c>
      <c r="D195">
        <v>6880</v>
      </c>
    </row>
    <row r="196" spans="1:4" x14ac:dyDescent="0.2">
      <c r="A196" s="129" t="s">
        <v>543</v>
      </c>
      <c r="B196" t="s">
        <v>149</v>
      </c>
      <c r="C196" s="128">
        <v>4811.8</v>
      </c>
      <c r="D196">
        <v>6880</v>
      </c>
    </row>
    <row r="197" spans="1:4" x14ac:dyDescent="0.2">
      <c r="A197" s="129" t="s">
        <v>544</v>
      </c>
      <c r="B197" t="s">
        <v>148</v>
      </c>
      <c r="C197">
        <v>585.20000000000005</v>
      </c>
      <c r="D197">
        <v>6982</v>
      </c>
    </row>
    <row r="198" spans="1:4" x14ac:dyDescent="0.2">
      <c r="A198" s="129" t="s">
        <v>545</v>
      </c>
      <c r="B198" t="s">
        <v>147</v>
      </c>
      <c r="C198" s="128">
        <v>1488.7</v>
      </c>
      <c r="D198">
        <v>6880</v>
      </c>
    </row>
    <row r="199" spans="1:4" x14ac:dyDescent="0.2">
      <c r="A199" s="129" t="s">
        <v>547</v>
      </c>
      <c r="B199" t="s">
        <v>145</v>
      </c>
      <c r="C199">
        <v>915</v>
      </c>
      <c r="D199">
        <v>6880</v>
      </c>
    </row>
    <row r="200" spans="1:4" x14ac:dyDescent="0.2">
      <c r="A200" s="129" t="s">
        <v>548</v>
      </c>
      <c r="B200" t="s">
        <v>144</v>
      </c>
      <c r="C200">
        <v>494.1</v>
      </c>
      <c r="D200">
        <v>6880</v>
      </c>
    </row>
    <row r="201" spans="1:4" x14ac:dyDescent="0.2">
      <c r="A201" s="129" t="s">
        <v>546</v>
      </c>
      <c r="B201" t="s">
        <v>146</v>
      </c>
      <c r="C201">
        <v>451.1</v>
      </c>
      <c r="D201">
        <v>6959</v>
      </c>
    </row>
    <row r="202" spans="1:4" x14ac:dyDescent="0.2">
      <c r="A202" s="129" t="s">
        <v>549</v>
      </c>
      <c r="B202" t="s">
        <v>143</v>
      </c>
      <c r="C202" s="128">
        <v>2996.5</v>
      </c>
      <c r="D202">
        <v>6880</v>
      </c>
    </row>
    <row r="203" spans="1:4" x14ac:dyDescent="0.2">
      <c r="A203" s="129" t="s">
        <v>464</v>
      </c>
      <c r="B203" t="s">
        <v>225</v>
      </c>
      <c r="C203">
        <v>641.6</v>
      </c>
      <c r="D203">
        <v>6907</v>
      </c>
    </row>
    <row r="204" spans="1:4" x14ac:dyDescent="0.2">
      <c r="A204" s="129" t="s">
        <v>352</v>
      </c>
      <c r="B204" t="s">
        <v>330</v>
      </c>
      <c r="C204">
        <v>560.6</v>
      </c>
      <c r="D204">
        <v>6957</v>
      </c>
    </row>
    <row r="205" spans="1:4" x14ac:dyDescent="0.2">
      <c r="A205" s="129" t="s">
        <v>507</v>
      </c>
      <c r="B205" t="s">
        <v>185</v>
      </c>
      <c r="C205">
        <v>747.8</v>
      </c>
      <c r="D205">
        <v>6911</v>
      </c>
    </row>
    <row r="206" spans="1:4" x14ac:dyDescent="0.2">
      <c r="A206" s="129" t="s">
        <v>552</v>
      </c>
      <c r="B206" t="s">
        <v>681</v>
      </c>
      <c r="C206" s="128">
        <v>1123.5</v>
      </c>
      <c r="D206">
        <v>6959</v>
      </c>
    </row>
    <row r="207" spans="1:4" x14ac:dyDescent="0.2">
      <c r="A207" s="129" t="s">
        <v>380</v>
      </c>
      <c r="B207" t="s">
        <v>306</v>
      </c>
      <c r="C207">
        <v>445.2</v>
      </c>
      <c r="D207">
        <v>6979</v>
      </c>
    </row>
    <row r="208" spans="1:4" x14ac:dyDescent="0.2">
      <c r="A208" s="129" t="s">
        <v>556</v>
      </c>
      <c r="B208" t="s">
        <v>138</v>
      </c>
      <c r="C208">
        <v>272.10000000000002</v>
      </c>
      <c r="D208">
        <v>6907</v>
      </c>
    </row>
    <row r="209" spans="1:4" x14ac:dyDescent="0.2">
      <c r="A209" s="129" t="s">
        <v>555</v>
      </c>
      <c r="B209" t="s">
        <v>139</v>
      </c>
      <c r="C209">
        <v>600.4</v>
      </c>
      <c r="D209">
        <v>6919</v>
      </c>
    </row>
    <row r="210" spans="1:4" x14ac:dyDescent="0.2">
      <c r="A210" s="129" t="s">
        <v>554</v>
      </c>
      <c r="B210" t="s">
        <v>140</v>
      </c>
      <c r="C210">
        <v>488.7</v>
      </c>
      <c r="D210">
        <v>7037</v>
      </c>
    </row>
    <row r="211" spans="1:4" x14ac:dyDescent="0.2">
      <c r="A211" s="129" t="s">
        <v>557</v>
      </c>
      <c r="B211" t="s">
        <v>137</v>
      </c>
      <c r="C211" s="128">
        <v>1828</v>
      </c>
      <c r="D211">
        <v>6880</v>
      </c>
    </row>
    <row r="212" spans="1:4" x14ac:dyDescent="0.2">
      <c r="A212" s="129" t="s">
        <v>558</v>
      </c>
      <c r="B212" t="s">
        <v>136</v>
      </c>
      <c r="C212" s="128">
        <v>3029.6</v>
      </c>
      <c r="D212">
        <v>6880</v>
      </c>
    </row>
    <row r="213" spans="1:4" x14ac:dyDescent="0.2">
      <c r="A213" s="129" t="s">
        <v>559</v>
      </c>
      <c r="B213" t="s">
        <v>705</v>
      </c>
      <c r="C213">
        <v>446</v>
      </c>
      <c r="D213">
        <v>6880</v>
      </c>
    </row>
    <row r="214" spans="1:4" x14ac:dyDescent="0.2">
      <c r="A214" s="129" t="s">
        <v>359</v>
      </c>
      <c r="B214" t="s">
        <v>324</v>
      </c>
      <c r="C214">
        <v>403.3</v>
      </c>
      <c r="D214">
        <v>6940</v>
      </c>
    </row>
    <row r="215" spans="1:4" x14ac:dyDescent="0.2">
      <c r="A215" s="129" t="s">
        <v>551</v>
      </c>
      <c r="B215" t="s">
        <v>141</v>
      </c>
      <c r="C215">
        <v>532.79999999999995</v>
      </c>
      <c r="D215">
        <v>6990</v>
      </c>
    </row>
    <row r="216" spans="1:4" x14ac:dyDescent="0.2">
      <c r="A216" s="129" t="s">
        <v>561</v>
      </c>
      <c r="B216" t="s">
        <v>134</v>
      </c>
      <c r="C216">
        <v>508.8</v>
      </c>
      <c r="D216">
        <v>6996</v>
      </c>
    </row>
    <row r="217" spans="1:4" x14ac:dyDescent="0.2">
      <c r="A217" s="129" t="s">
        <v>562</v>
      </c>
      <c r="B217" t="s">
        <v>133</v>
      </c>
      <c r="C217" s="128">
        <v>3136.4</v>
      </c>
      <c r="D217">
        <v>6880</v>
      </c>
    </row>
    <row r="218" spans="1:4" x14ac:dyDescent="0.2">
      <c r="A218" s="129" t="s">
        <v>564</v>
      </c>
      <c r="B218" t="s">
        <v>682</v>
      </c>
      <c r="C218">
        <v>994.8</v>
      </c>
      <c r="D218">
        <v>6880</v>
      </c>
    </row>
    <row r="219" spans="1:4" x14ac:dyDescent="0.2">
      <c r="A219" s="129" t="s">
        <v>565</v>
      </c>
      <c r="B219" t="s">
        <v>132</v>
      </c>
      <c r="C219" s="128">
        <v>1303.9000000000001</v>
      </c>
      <c r="D219">
        <v>6911</v>
      </c>
    </row>
    <row r="220" spans="1:4" x14ac:dyDescent="0.2">
      <c r="A220" s="129" t="s">
        <v>566</v>
      </c>
      <c r="B220" t="s">
        <v>131</v>
      </c>
      <c r="C220">
        <v>626.29999999999995</v>
      </c>
      <c r="D220">
        <v>6880</v>
      </c>
    </row>
    <row r="221" spans="1:4" x14ac:dyDescent="0.2">
      <c r="A221" s="129" t="s">
        <v>567</v>
      </c>
      <c r="B221" t="s">
        <v>130</v>
      </c>
      <c r="C221" s="128">
        <v>1015.4</v>
      </c>
      <c r="D221">
        <v>6884</v>
      </c>
    </row>
    <row r="222" spans="1:4" x14ac:dyDescent="0.2">
      <c r="A222" s="129" t="s">
        <v>568</v>
      </c>
      <c r="B222" t="s">
        <v>706</v>
      </c>
      <c r="C222">
        <v>225</v>
      </c>
      <c r="D222">
        <v>6882</v>
      </c>
    </row>
    <row r="223" spans="1:4" x14ac:dyDescent="0.2">
      <c r="A223" s="129" t="s">
        <v>569</v>
      </c>
      <c r="B223" t="s">
        <v>128</v>
      </c>
      <c r="C223">
        <v>172.1</v>
      </c>
      <c r="D223">
        <v>6880</v>
      </c>
    </row>
    <row r="224" spans="1:4" x14ac:dyDescent="0.2">
      <c r="A224" s="129" t="s">
        <v>570</v>
      </c>
      <c r="B224" t="s">
        <v>127</v>
      </c>
      <c r="C224">
        <v>902.4</v>
      </c>
      <c r="D224">
        <v>6927</v>
      </c>
    </row>
    <row r="225" spans="1:4" x14ac:dyDescent="0.2">
      <c r="A225" s="129" t="s">
        <v>571</v>
      </c>
      <c r="B225" t="s">
        <v>126</v>
      </c>
      <c r="C225" s="128">
        <v>2272.6999999999998</v>
      </c>
      <c r="D225">
        <v>6880</v>
      </c>
    </row>
    <row r="226" spans="1:4" x14ac:dyDescent="0.2">
      <c r="A226" s="129" t="s">
        <v>572</v>
      </c>
      <c r="B226" t="s">
        <v>125</v>
      </c>
      <c r="C226" s="128">
        <v>4762.6000000000004</v>
      </c>
      <c r="D226">
        <v>6880</v>
      </c>
    </row>
    <row r="227" spans="1:4" x14ac:dyDescent="0.2">
      <c r="A227" s="129" t="s">
        <v>583</v>
      </c>
      <c r="B227" t="s">
        <v>3</v>
      </c>
      <c r="C227" s="128">
        <v>1063.4000000000001</v>
      </c>
      <c r="D227">
        <v>6880</v>
      </c>
    </row>
    <row r="228" spans="1:4" x14ac:dyDescent="0.2">
      <c r="A228" s="129" t="s">
        <v>573</v>
      </c>
      <c r="B228" t="s">
        <v>124</v>
      </c>
      <c r="C228">
        <v>694.9</v>
      </c>
      <c r="D228">
        <v>6880</v>
      </c>
    </row>
    <row r="229" spans="1:4" x14ac:dyDescent="0.2">
      <c r="A229" s="129" t="s">
        <v>574</v>
      </c>
      <c r="B229" t="s">
        <v>123</v>
      </c>
      <c r="C229">
        <v>205.6</v>
      </c>
      <c r="D229">
        <v>7037</v>
      </c>
    </row>
    <row r="230" spans="1:4" x14ac:dyDescent="0.2">
      <c r="A230" s="129" t="s">
        <v>576</v>
      </c>
      <c r="B230" t="s">
        <v>122</v>
      </c>
      <c r="C230">
        <v>610.5</v>
      </c>
      <c r="D230">
        <v>6880</v>
      </c>
    </row>
    <row r="231" spans="1:4" x14ac:dyDescent="0.2">
      <c r="A231" s="129" t="s">
        <v>577</v>
      </c>
      <c r="B231" t="s">
        <v>121</v>
      </c>
      <c r="C231" s="128">
        <v>2187</v>
      </c>
      <c r="D231">
        <v>6880</v>
      </c>
    </row>
    <row r="232" spans="1:4" x14ac:dyDescent="0.2">
      <c r="A232" s="129" t="s">
        <v>578</v>
      </c>
      <c r="B232" t="s">
        <v>120</v>
      </c>
      <c r="C232" s="128">
        <v>1811.9</v>
      </c>
      <c r="D232">
        <v>6880</v>
      </c>
    </row>
    <row r="233" spans="1:4" x14ac:dyDescent="0.2">
      <c r="A233" s="129" t="s">
        <v>579</v>
      </c>
      <c r="B233" t="s">
        <v>119</v>
      </c>
      <c r="C233" s="128">
        <v>5128.3999999999996</v>
      </c>
      <c r="D233">
        <v>7003</v>
      </c>
    </row>
    <row r="234" spans="1:4" x14ac:dyDescent="0.2">
      <c r="A234" s="129" t="s">
        <v>580</v>
      </c>
      <c r="B234" t="s">
        <v>118</v>
      </c>
      <c r="C234">
        <v>669</v>
      </c>
      <c r="D234">
        <v>6880</v>
      </c>
    </row>
    <row r="235" spans="1:4" x14ac:dyDescent="0.2">
      <c r="A235" s="129" t="s">
        <v>581</v>
      </c>
      <c r="B235" t="s">
        <v>117</v>
      </c>
      <c r="C235">
        <v>664.9</v>
      </c>
      <c r="D235">
        <v>7005</v>
      </c>
    </row>
    <row r="236" spans="1:4" x14ac:dyDescent="0.2">
      <c r="A236" s="129" t="s">
        <v>582</v>
      </c>
      <c r="B236" t="s">
        <v>116</v>
      </c>
      <c r="C236">
        <v>758</v>
      </c>
      <c r="D236">
        <v>6883</v>
      </c>
    </row>
    <row r="237" spans="1:4" x14ac:dyDescent="0.2">
      <c r="A237" s="129" t="s">
        <v>584</v>
      </c>
      <c r="B237" t="s">
        <v>115</v>
      </c>
      <c r="C237">
        <v>568.5</v>
      </c>
      <c r="D237">
        <v>6990</v>
      </c>
    </row>
    <row r="238" spans="1:4" x14ac:dyDescent="0.2">
      <c r="A238" s="129" t="s">
        <v>585</v>
      </c>
      <c r="B238" t="s">
        <v>114</v>
      </c>
      <c r="C238" s="128">
        <v>1039.2</v>
      </c>
      <c r="D238">
        <v>6880</v>
      </c>
    </row>
    <row r="239" spans="1:4" x14ac:dyDescent="0.2">
      <c r="A239" s="129" t="s">
        <v>586</v>
      </c>
      <c r="B239" t="s">
        <v>113</v>
      </c>
      <c r="C239">
        <v>319.7</v>
      </c>
      <c r="D239">
        <v>6891</v>
      </c>
    </row>
    <row r="240" spans="1:4" x14ac:dyDescent="0.2">
      <c r="A240" s="129" t="s">
        <v>587</v>
      </c>
      <c r="B240" t="s">
        <v>112</v>
      </c>
      <c r="C240">
        <v>326.8</v>
      </c>
      <c r="D240">
        <v>6880</v>
      </c>
    </row>
    <row r="241" spans="1:4" x14ac:dyDescent="0.2">
      <c r="A241" s="129" t="s">
        <v>442</v>
      </c>
      <c r="B241" t="s">
        <v>246</v>
      </c>
      <c r="C241">
        <v>388</v>
      </c>
      <c r="D241">
        <v>6880</v>
      </c>
    </row>
    <row r="242" spans="1:4" x14ac:dyDescent="0.2">
      <c r="A242" s="129" t="s">
        <v>563</v>
      </c>
      <c r="B242" t="s">
        <v>111</v>
      </c>
      <c r="C242">
        <v>705</v>
      </c>
      <c r="D242">
        <v>6880</v>
      </c>
    </row>
    <row r="243" spans="1:4" x14ac:dyDescent="0.2">
      <c r="A243" s="129" t="s">
        <v>588</v>
      </c>
      <c r="B243" t="s">
        <v>110</v>
      </c>
      <c r="C243">
        <v>847.6</v>
      </c>
      <c r="D243">
        <v>6911</v>
      </c>
    </row>
    <row r="244" spans="1:4" x14ac:dyDescent="0.2">
      <c r="A244" s="129" t="s">
        <v>589</v>
      </c>
      <c r="B244" t="s">
        <v>109</v>
      </c>
      <c r="C244" s="128">
        <v>1004.9</v>
      </c>
      <c r="D244">
        <v>6880</v>
      </c>
    </row>
    <row r="245" spans="1:4" x14ac:dyDescent="0.2">
      <c r="A245" s="129" t="s">
        <v>590</v>
      </c>
      <c r="B245" t="s">
        <v>707</v>
      </c>
      <c r="C245">
        <v>404</v>
      </c>
      <c r="D245">
        <v>6880</v>
      </c>
    </row>
    <row r="246" spans="1:4" x14ac:dyDescent="0.2">
      <c r="A246" s="129" t="s">
        <v>591</v>
      </c>
      <c r="B246" t="s">
        <v>107</v>
      </c>
      <c r="C246">
        <v>225</v>
      </c>
      <c r="D246">
        <v>6884</v>
      </c>
    </row>
    <row r="247" spans="1:4" x14ac:dyDescent="0.2">
      <c r="A247" s="129" t="s">
        <v>593</v>
      </c>
      <c r="B247" t="s">
        <v>105</v>
      </c>
      <c r="C247" s="128">
        <v>1140.5999999999999</v>
      </c>
      <c r="D247">
        <v>6938</v>
      </c>
    </row>
    <row r="248" spans="1:4" x14ac:dyDescent="0.2">
      <c r="A248" s="129" t="s">
        <v>594</v>
      </c>
      <c r="B248" t="s">
        <v>104</v>
      </c>
      <c r="C248">
        <v>365</v>
      </c>
      <c r="D248">
        <v>6937</v>
      </c>
    </row>
    <row r="249" spans="1:4" x14ac:dyDescent="0.2">
      <c r="A249" s="129" t="s">
        <v>595</v>
      </c>
      <c r="B249" t="s">
        <v>103</v>
      </c>
      <c r="C249">
        <v>249</v>
      </c>
      <c r="D249">
        <v>6880</v>
      </c>
    </row>
    <row r="250" spans="1:4" x14ac:dyDescent="0.2">
      <c r="A250" s="129" t="s">
        <v>596</v>
      </c>
      <c r="B250" t="s">
        <v>102</v>
      </c>
      <c r="C250" s="128">
        <v>1422.7</v>
      </c>
      <c r="D250">
        <v>6880</v>
      </c>
    </row>
    <row r="251" spans="1:4" x14ac:dyDescent="0.2">
      <c r="A251" s="129" t="s">
        <v>597</v>
      </c>
      <c r="B251" t="s">
        <v>101</v>
      </c>
      <c r="C251">
        <v>266.8</v>
      </c>
      <c r="D251">
        <v>6880</v>
      </c>
    </row>
    <row r="252" spans="1:4" x14ac:dyDescent="0.2">
      <c r="A252" s="129" t="s">
        <v>599</v>
      </c>
      <c r="B252" t="s">
        <v>100</v>
      </c>
      <c r="C252" s="128">
        <v>1072</v>
      </c>
      <c r="D252">
        <v>6880</v>
      </c>
    </row>
    <row r="253" spans="1:4" x14ac:dyDescent="0.2">
      <c r="A253" s="129" t="s">
        <v>600</v>
      </c>
      <c r="B253" t="s">
        <v>99</v>
      </c>
      <c r="C253" s="128">
        <v>1058.4000000000001</v>
      </c>
      <c r="D253">
        <v>6880</v>
      </c>
    </row>
    <row r="254" spans="1:4" x14ac:dyDescent="0.2">
      <c r="A254" s="129" t="s">
        <v>601</v>
      </c>
      <c r="B254" t="s">
        <v>98</v>
      </c>
      <c r="C254">
        <v>735.3</v>
      </c>
      <c r="D254">
        <v>6900</v>
      </c>
    </row>
    <row r="255" spans="1:4" x14ac:dyDescent="0.2">
      <c r="A255" s="129" t="s">
        <v>602</v>
      </c>
      <c r="B255" t="s">
        <v>97</v>
      </c>
      <c r="C255">
        <v>372.8</v>
      </c>
      <c r="D255">
        <v>6882</v>
      </c>
    </row>
    <row r="256" spans="1:4" x14ac:dyDescent="0.2">
      <c r="A256" s="129" t="s">
        <v>603</v>
      </c>
      <c r="B256" t="s">
        <v>96</v>
      </c>
      <c r="C256">
        <v>552</v>
      </c>
      <c r="D256">
        <v>6880</v>
      </c>
    </row>
    <row r="257" spans="1:4" x14ac:dyDescent="0.2">
      <c r="A257" s="129" t="s">
        <v>604</v>
      </c>
      <c r="B257" t="s">
        <v>95</v>
      </c>
      <c r="C257" s="128">
        <v>1420.6</v>
      </c>
      <c r="D257">
        <v>6880</v>
      </c>
    </row>
    <row r="258" spans="1:4" x14ac:dyDescent="0.2">
      <c r="A258" s="129" t="s">
        <v>606</v>
      </c>
      <c r="B258" t="s">
        <v>94</v>
      </c>
      <c r="C258">
        <v>481.4</v>
      </c>
      <c r="D258">
        <v>6885</v>
      </c>
    </row>
    <row r="259" spans="1:4" x14ac:dyDescent="0.2">
      <c r="A259" s="129" t="s">
        <v>605</v>
      </c>
      <c r="B259" t="s">
        <v>93</v>
      </c>
      <c r="C259" s="128">
        <v>15016.9</v>
      </c>
      <c r="D259">
        <v>6880</v>
      </c>
    </row>
    <row r="260" spans="1:4" x14ac:dyDescent="0.2">
      <c r="A260" s="129" t="s">
        <v>608</v>
      </c>
      <c r="B260" t="s">
        <v>91</v>
      </c>
      <c r="C260" s="128">
        <v>1395.9</v>
      </c>
      <c r="D260">
        <v>6880</v>
      </c>
    </row>
    <row r="261" spans="1:4" x14ac:dyDescent="0.2">
      <c r="A261" s="129" t="s">
        <v>607</v>
      </c>
      <c r="B261" t="s">
        <v>92</v>
      </c>
      <c r="C261">
        <v>936.2</v>
      </c>
      <c r="D261">
        <v>6903</v>
      </c>
    </row>
    <row r="262" spans="1:4" x14ac:dyDescent="0.2">
      <c r="A262" s="129" t="s">
        <v>610</v>
      </c>
      <c r="B262" t="s">
        <v>89</v>
      </c>
      <c r="C262">
        <v>639.4</v>
      </c>
      <c r="D262">
        <v>6932</v>
      </c>
    </row>
    <row r="263" spans="1:4" x14ac:dyDescent="0.2">
      <c r="A263" s="129" t="s">
        <v>575</v>
      </c>
      <c r="B263" t="s">
        <v>85</v>
      </c>
      <c r="C263">
        <v>606.1</v>
      </c>
      <c r="D263">
        <v>6923</v>
      </c>
    </row>
    <row r="264" spans="1:4" x14ac:dyDescent="0.2">
      <c r="A264" s="129" t="s">
        <v>612</v>
      </c>
      <c r="B264" t="s">
        <v>87</v>
      </c>
      <c r="C264">
        <v>207</v>
      </c>
      <c r="D264">
        <v>6880</v>
      </c>
    </row>
    <row r="265" spans="1:4" x14ac:dyDescent="0.2">
      <c r="A265" s="129" t="s">
        <v>613</v>
      </c>
      <c r="B265" t="s">
        <v>708</v>
      </c>
      <c r="C265" s="128">
        <v>1528.5</v>
      </c>
      <c r="D265">
        <v>6890</v>
      </c>
    </row>
    <row r="266" spans="1:4" x14ac:dyDescent="0.2">
      <c r="A266" s="129" t="s">
        <v>614</v>
      </c>
      <c r="B266" t="s">
        <v>84</v>
      </c>
      <c r="C266">
        <v>523.70000000000005</v>
      </c>
      <c r="D266">
        <v>6880</v>
      </c>
    </row>
    <row r="267" spans="1:4" x14ac:dyDescent="0.2">
      <c r="A267" s="129" t="s">
        <v>615</v>
      </c>
      <c r="B267" t="s">
        <v>83</v>
      </c>
      <c r="C267" s="128">
        <v>6992.2</v>
      </c>
      <c r="D267">
        <v>6880</v>
      </c>
    </row>
    <row r="268" spans="1:4" x14ac:dyDescent="0.2">
      <c r="A268" s="129" t="s">
        <v>609</v>
      </c>
      <c r="B268" t="s">
        <v>90</v>
      </c>
      <c r="C268">
        <v>533.79999999999995</v>
      </c>
      <c r="D268">
        <v>6880</v>
      </c>
    </row>
    <row r="269" spans="1:4" x14ac:dyDescent="0.2">
      <c r="A269" s="129" t="s">
        <v>611</v>
      </c>
      <c r="B269" t="s">
        <v>709</v>
      </c>
      <c r="C269">
        <v>536.5</v>
      </c>
      <c r="D269">
        <v>6999</v>
      </c>
    </row>
    <row r="270" spans="1:4" x14ac:dyDescent="0.2">
      <c r="A270" s="129" t="s">
        <v>616</v>
      </c>
      <c r="B270" t="s">
        <v>82</v>
      </c>
      <c r="C270" s="128">
        <v>1957.2</v>
      </c>
      <c r="D270">
        <v>6880</v>
      </c>
    </row>
    <row r="271" spans="1:4" x14ac:dyDescent="0.2">
      <c r="A271" s="129" t="s">
        <v>617</v>
      </c>
      <c r="B271" t="s">
        <v>81</v>
      </c>
      <c r="C271" s="128">
        <v>1134.2</v>
      </c>
      <c r="D271">
        <v>6880</v>
      </c>
    </row>
    <row r="272" spans="1:4" x14ac:dyDescent="0.2">
      <c r="A272" s="129" t="s">
        <v>618</v>
      </c>
      <c r="B272" t="s">
        <v>80</v>
      </c>
      <c r="C272">
        <v>384.4</v>
      </c>
      <c r="D272">
        <v>6912</v>
      </c>
    </row>
    <row r="273" spans="1:4" x14ac:dyDescent="0.2">
      <c r="A273" s="129" t="s">
        <v>592</v>
      </c>
      <c r="B273" t="s">
        <v>106</v>
      </c>
      <c r="C273">
        <v>575.1</v>
      </c>
      <c r="D273">
        <v>6896</v>
      </c>
    </row>
    <row r="274" spans="1:4" x14ac:dyDescent="0.2">
      <c r="A274" s="129" t="s">
        <v>619</v>
      </c>
      <c r="B274" t="s">
        <v>79</v>
      </c>
      <c r="C274">
        <v>170</v>
      </c>
      <c r="D274">
        <v>6880</v>
      </c>
    </row>
    <row r="275" spans="1:4" x14ac:dyDescent="0.2">
      <c r="A275" s="129" t="s">
        <v>620</v>
      </c>
      <c r="B275" t="s">
        <v>78</v>
      </c>
      <c r="C275">
        <v>609.4</v>
      </c>
      <c r="D275">
        <v>6884</v>
      </c>
    </row>
    <row r="276" spans="1:4" x14ac:dyDescent="0.2">
      <c r="A276" s="129" t="s">
        <v>621</v>
      </c>
      <c r="B276" t="s">
        <v>77</v>
      </c>
      <c r="C276" s="128">
        <v>2530.4</v>
      </c>
      <c r="D276">
        <v>6880</v>
      </c>
    </row>
    <row r="277" spans="1:4" x14ac:dyDescent="0.2">
      <c r="A277" s="129" t="s">
        <v>622</v>
      </c>
      <c r="B277" t="s">
        <v>76</v>
      </c>
      <c r="C277">
        <v>137.9</v>
      </c>
      <c r="D277">
        <v>7045</v>
      </c>
    </row>
    <row r="278" spans="1:4" x14ac:dyDescent="0.2">
      <c r="A278" s="129" t="s">
        <v>624</v>
      </c>
      <c r="B278" t="s">
        <v>74</v>
      </c>
      <c r="C278">
        <v>797.3</v>
      </c>
      <c r="D278">
        <v>6880</v>
      </c>
    </row>
    <row r="279" spans="1:4" x14ac:dyDescent="0.2">
      <c r="A279" s="129" t="s">
        <v>625</v>
      </c>
      <c r="B279" t="s">
        <v>73</v>
      </c>
      <c r="C279">
        <v>872.7</v>
      </c>
      <c r="D279">
        <v>6921</v>
      </c>
    </row>
    <row r="280" spans="1:4" x14ac:dyDescent="0.2">
      <c r="A280" s="129" t="s">
        <v>626</v>
      </c>
      <c r="B280" t="s">
        <v>72</v>
      </c>
      <c r="C280">
        <v>623.70000000000005</v>
      </c>
      <c r="D280">
        <v>6880</v>
      </c>
    </row>
    <row r="281" spans="1:4" x14ac:dyDescent="0.2">
      <c r="A281" s="129" t="s">
        <v>627</v>
      </c>
      <c r="B281" t="s">
        <v>71</v>
      </c>
      <c r="C281">
        <v>657</v>
      </c>
      <c r="D281">
        <v>6902</v>
      </c>
    </row>
    <row r="282" spans="1:4" x14ac:dyDescent="0.2">
      <c r="A282" s="129" t="s">
        <v>628</v>
      </c>
      <c r="B282" t="s">
        <v>70</v>
      </c>
      <c r="C282">
        <v>280.8</v>
      </c>
      <c r="D282">
        <v>6880</v>
      </c>
    </row>
    <row r="283" spans="1:4" x14ac:dyDescent="0.2">
      <c r="A283" s="129" t="s">
        <v>629</v>
      </c>
      <c r="B283" t="s">
        <v>69</v>
      </c>
      <c r="C283">
        <v>410</v>
      </c>
      <c r="D283">
        <v>6909</v>
      </c>
    </row>
    <row r="284" spans="1:4" x14ac:dyDescent="0.2">
      <c r="A284" s="129" t="s">
        <v>630</v>
      </c>
      <c r="B284" t="s">
        <v>68</v>
      </c>
      <c r="C284">
        <v>357.1</v>
      </c>
      <c r="D284">
        <v>7037</v>
      </c>
    </row>
    <row r="285" spans="1:4" x14ac:dyDescent="0.2">
      <c r="A285" s="129" t="s">
        <v>631</v>
      </c>
      <c r="B285" t="s">
        <v>67</v>
      </c>
      <c r="C285">
        <v>323.60000000000002</v>
      </c>
      <c r="D285">
        <v>6920</v>
      </c>
    </row>
    <row r="286" spans="1:4" x14ac:dyDescent="0.2">
      <c r="A286" s="129" t="s">
        <v>632</v>
      </c>
      <c r="B286" t="s">
        <v>66</v>
      </c>
      <c r="C286">
        <v>150</v>
      </c>
      <c r="D286">
        <v>7045</v>
      </c>
    </row>
    <row r="287" spans="1:4" x14ac:dyDescent="0.2">
      <c r="A287" s="129" t="s">
        <v>633</v>
      </c>
      <c r="B287" t="s">
        <v>65</v>
      </c>
      <c r="C287">
        <v>690</v>
      </c>
      <c r="D287">
        <v>6880</v>
      </c>
    </row>
    <row r="288" spans="1:4" x14ac:dyDescent="0.2">
      <c r="A288" s="129" t="s">
        <v>435</v>
      </c>
      <c r="B288" t="s">
        <v>64</v>
      </c>
      <c r="C288" s="128">
        <v>1035.5999999999999</v>
      </c>
      <c r="D288">
        <v>6952</v>
      </c>
    </row>
    <row r="289" spans="1:4" x14ac:dyDescent="0.2">
      <c r="A289" s="129" t="s">
        <v>634</v>
      </c>
      <c r="B289" t="s">
        <v>63</v>
      </c>
      <c r="C289">
        <v>403.3</v>
      </c>
      <c r="D289">
        <v>6880</v>
      </c>
    </row>
    <row r="290" spans="1:4" x14ac:dyDescent="0.2">
      <c r="A290" s="129" t="s">
        <v>635</v>
      </c>
      <c r="B290" t="s">
        <v>62</v>
      </c>
      <c r="C290" s="128">
        <v>3438</v>
      </c>
      <c r="D290">
        <v>6880</v>
      </c>
    </row>
    <row r="291" spans="1:4" x14ac:dyDescent="0.2">
      <c r="A291" s="129" t="s">
        <v>636</v>
      </c>
      <c r="B291" t="s">
        <v>743</v>
      </c>
      <c r="C291">
        <v>949.9</v>
      </c>
      <c r="D291">
        <v>6880</v>
      </c>
    </row>
    <row r="292" spans="1:4" x14ac:dyDescent="0.2">
      <c r="A292" s="129" t="s">
        <v>637</v>
      </c>
      <c r="B292" t="s">
        <v>61</v>
      </c>
      <c r="C292">
        <v>754.3</v>
      </c>
      <c r="D292">
        <v>6880</v>
      </c>
    </row>
    <row r="293" spans="1:4" x14ac:dyDescent="0.2">
      <c r="A293" s="129" t="s">
        <v>638</v>
      </c>
      <c r="B293" t="s">
        <v>60</v>
      </c>
      <c r="C293">
        <v>290.2</v>
      </c>
      <c r="D293">
        <v>6880</v>
      </c>
    </row>
    <row r="294" spans="1:4" x14ac:dyDescent="0.2">
      <c r="A294" s="129" t="s">
        <v>639</v>
      </c>
      <c r="B294" t="s">
        <v>59</v>
      </c>
      <c r="C294" s="128">
        <v>1522</v>
      </c>
      <c r="D294">
        <v>6880</v>
      </c>
    </row>
    <row r="295" spans="1:4" x14ac:dyDescent="0.2">
      <c r="A295" s="129" t="s">
        <v>640</v>
      </c>
      <c r="B295" t="s">
        <v>58</v>
      </c>
      <c r="C295">
        <v>489.8</v>
      </c>
      <c r="D295">
        <v>6994</v>
      </c>
    </row>
    <row r="296" spans="1:4" x14ac:dyDescent="0.2">
      <c r="A296" s="129" t="s">
        <v>642</v>
      </c>
      <c r="B296" t="s">
        <v>56</v>
      </c>
      <c r="C296">
        <v>573</v>
      </c>
      <c r="D296">
        <v>6893</v>
      </c>
    </row>
    <row r="297" spans="1:4" x14ac:dyDescent="0.2">
      <c r="A297" s="129" t="s">
        <v>643</v>
      </c>
      <c r="B297" t="s">
        <v>55</v>
      </c>
      <c r="C297">
        <v>680.6</v>
      </c>
      <c r="D297">
        <v>6916</v>
      </c>
    </row>
    <row r="298" spans="1:4" x14ac:dyDescent="0.2">
      <c r="A298" s="129" t="s">
        <v>644</v>
      </c>
      <c r="B298" t="s">
        <v>54</v>
      </c>
      <c r="C298" s="128">
        <v>1703.9</v>
      </c>
      <c r="D298">
        <v>6880</v>
      </c>
    </row>
    <row r="299" spans="1:4" x14ac:dyDescent="0.2">
      <c r="A299" s="129" t="s">
        <v>645</v>
      </c>
      <c r="B299" t="s">
        <v>53</v>
      </c>
      <c r="C299" s="128">
        <v>10865.5</v>
      </c>
      <c r="D299">
        <v>6880</v>
      </c>
    </row>
    <row r="300" spans="1:4" x14ac:dyDescent="0.2">
      <c r="A300" s="129" t="s">
        <v>646</v>
      </c>
      <c r="B300" t="s">
        <v>52</v>
      </c>
      <c r="C300" s="128">
        <v>11701.4</v>
      </c>
      <c r="D300">
        <v>6880</v>
      </c>
    </row>
    <row r="301" spans="1:4" x14ac:dyDescent="0.2">
      <c r="A301" s="129" t="s">
        <v>647</v>
      </c>
      <c r="B301" t="s">
        <v>51</v>
      </c>
      <c r="C301" s="128">
        <v>2126.1999999999998</v>
      </c>
      <c r="D301">
        <v>6880</v>
      </c>
    </row>
    <row r="302" spans="1:4" x14ac:dyDescent="0.2">
      <c r="A302" s="129" t="s">
        <v>648</v>
      </c>
      <c r="B302" t="s">
        <v>50</v>
      </c>
      <c r="C302">
        <v>589</v>
      </c>
      <c r="D302">
        <v>6893</v>
      </c>
    </row>
    <row r="303" spans="1:4" x14ac:dyDescent="0.2">
      <c r="A303" s="129" t="s">
        <v>649</v>
      </c>
      <c r="B303" t="s">
        <v>49</v>
      </c>
      <c r="C303" s="128">
        <v>1773.3</v>
      </c>
      <c r="D303">
        <v>6894</v>
      </c>
    </row>
    <row r="304" spans="1:4" x14ac:dyDescent="0.2">
      <c r="A304" s="129" t="s">
        <v>650</v>
      </c>
      <c r="B304" t="s">
        <v>48</v>
      </c>
      <c r="C304">
        <v>289.5</v>
      </c>
      <c r="D304">
        <v>6922</v>
      </c>
    </row>
    <row r="305" spans="1:4" x14ac:dyDescent="0.2">
      <c r="A305" s="129" t="s">
        <v>651</v>
      </c>
      <c r="B305" t="s">
        <v>47</v>
      </c>
      <c r="C305">
        <v>754.1</v>
      </c>
      <c r="D305">
        <v>6902</v>
      </c>
    </row>
    <row r="306" spans="1:4" x14ac:dyDescent="0.2">
      <c r="A306" s="129" t="s">
        <v>652</v>
      </c>
      <c r="B306" t="s">
        <v>710</v>
      </c>
      <c r="C306">
        <v>458.4</v>
      </c>
      <c r="D306">
        <v>6880</v>
      </c>
    </row>
    <row r="307" spans="1:4" x14ac:dyDescent="0.2">
      <c r="A307" s="129" t="s">
        <v>653</v>
      </c>
      <c r="B307" t="s">
        <v>45</v>
      </c>
      <c r="C307">
        <v>262</v>
      </c>
      <c r="D307">
        <v>6880</v>
      </c>
    </row>
    <row r="308" spans="1:4" x14ac:dyDescent="0.2">
      <c r="A308" s="129" t="s">
        <v>623</v>
      </c>
      <c r="B308" t="s">
        <v>75</v>
      </c>
      <c r="C308">
        <v>953.5</v>
      </c>
      <c r="D308">
        <v>6936</v>
      </c>
    </row>
    <row r="309" spans="1:4" x14ac:dyDescent="0.2">
      <c r="A309" s="129" t="s">
        <v>654</v>
      </c>
      <c r="B309" t="s">
        <v>711</v>
      </c>
      <c r="C309" s="128">
        <v>1419</v>
      </c>
      <c r="D309">
        <v>6880</v>
      </c>
    </row>
    <row r="310" spans="1:4" x14ac:dyDescent="0.2">
      <c r="A310" s="129" t="s">
        <v>655</v>
      </c>
      <c r="B310" t="s">
        <v>43</v>
      </c>
      <c r="C310" s="128">
        <v>8989.1</v>
      </c>
      <c r="D310">
        <v>6880</v>
      </c>
    </row>
    <row r="311" spans="1:4" x14ac:dyDescent="0.2">
      <c r="A311" s="129" t="s">
        <v>598</v>
      </c>
      <c r="B311" t="s">
        <v>712</v>
      </c>
      <c r="C311">
        <v>717.4</v>
      </c>
      <c r="D311">
        <v>6926</v>
      </c>
    </row>
    <row r="312" spans="1:4" x14ac:dyDescent="0.2">
      <c r="A312" s="129" t="s">
        <v>378</v>
      </c>
      <c r="B312" t="s">
        <v>308</v>
      </c>
      <c r="C312">
        <v>561.5</v>
      </c>
      <c r="D312">
        <v>6888</v>
      </c>
    </row>
    <row r="313" spans="1:4" x14ac:dyDescent="0.2">
      <c r="A313" s="129" t="s">
        <v>657</v>
      </c>
      <c r="B313" t="s">
        <v>41</v>
      </c>
      <c r="C313">
        <v>322.60000000000002</v>
      </c>
      <c r="D313">
        <v>7040</v>
      </c>
    </row>
    <row r="314" spans="1:4" x14ac:dyDescent="0.2">
      <c r="A314" s="129" t="s">
        <v>658</v>
      </c>
      <c r="B314" t="s">
        <v>40</v>
      </c>
      <c r="C314" s="128">
        <v>1301.7</v>
      </c>
      <c r="D314">
        <v>6880</v>
      </c>
    </row>
    <row r="315" spans="1:4" x14ac:dyDescent="0.2">
      <c r="A315" s="129" t="s">
        <v>659</v>
      </c>
      <c r="B315" t="s">
        <v>39</v>
      </c>
      <c r="C315">
        <v>952.3</v>
      </c>
      <c r="D315">
        <v>6880</v>
      </c>
    </row>
    <row r="316" spans="1:4" x14ac:dyDescent="0.2">
      <c r="A316" s="129" t="s">
        <v>660</v>
      </c>
      <c r="B316" t="s">
        <v>38</v>
      </c>
      <c r="C316">
        <v>822.2</v>
      </c>
      <c r="D316">
        <v>6880</v>
      </c>
    </row>
    <row r="317" spans="1:4" x14ac:dyDescent="0.2">
      <c r="A317" s="129" t="s">
        <v>661</v>
      </c>
      <c r="B317" t="s">
        <v>37</v>
      </c>
      <c r="C317">
        <v>633.70000000000005</v>
      </c>
      <c r="D317">
        <v>6880</v>
      </c>
    </row>
    <row r="318" spans="1:4" x14ac:dyDescent="0.2">
      <c r="A318" s="129" t="s">
        <v>662</v>
      </c>
      <c r="B318" t="s">
        <v>36</v>
      </c>
      <c r="C318">
        <v>877.9</v>
      </c>
      <c r="D318">
        <v>6893</v>
      </c>
    </row>
    <row r="319" spans="1:4" x14ac:dyDescent="0.2">
      <c r="A319" s="129" t="s">
        <v>656</v>
      </c>
      <c r="B319" t="s">
        <v>713</v>
      </c>
      <c r="C319" s="128">
        <v>3129.6</v>
      </c>
      <c r="D319">
        <v>6925</v>
      </c>
    </row>
    <row r="320" spans="1:4" x14ac:dyDescent="0.2">
      <c r="A320" s="129" t="s">
        <v>663</v>
      </c>
      <c r="B320" t="s">
        <v>35</v>
      </c>
      <c r="C320">
        <v>551.79999999999995</v>
      </c>
      <c r="D320">
        <v>6899</v>
      </c>
    </row>
    <row r="321" spans="1:4" x14ac:dyDescent="0.2">
      <c r="A321" s="129" t="s">
        <v>664</v>
      </c>
      <c r="B321" t="s">
        <v>34</v>
      </c>
      <c r="C321">
        <v>189.1</v>
      </c>
      <c r="D321">
        <v>6880</v>
      </c>
    </row>
    <row r="322" spans="1:4" x14ac:dyDescent="0.2">
      <c r="A322" s="129" t="s">
        <v>665</v>
      </c>
      <c r="B322" t="s">
        <v>33</v>
      </c>
      <c r="C322" s="128">
        <v>1138.4000000000001</v>
      </c>
      <c r="D322">
        <v>6886</v>
      </c>
    </row>
    <row r="323" spans="1:4" x14ac:dyDescent="0.2">
      <c r="A323" s="129" t="s">
        <v>666</v>
      </c>
      <c r="B323" t="s">
        <v>32</v>
      </c>
      <c r="C323">
        <v>849.9</v>
      </c>
      <c r="D323">
        <v>6880</v>
      </c>
    </row>
    <row r="324" spans="1:4" x14ac:dyDescent="0.2">
      <c r="A324" s="129" t="s">
        <v>667</v>
      </c>
      <c r="B324" t="s">
        <v>31</v>
      </c>
      <c r="C324">
        <v>308.10000000000002</v>
      </c>
      <c r="D324">
        <v>6900</v>
      </c>
    </row>
    <row r="325" spans="1:4" x14ac:dyDescent="0.2">
      <c r="A325" s="129" t="s">
        <v>668</v>
      </c>
      <c r="B325" t="s">
        <v>30</v>
      </c>
      <c r="C325" s="128">
        <v>1728</v>
      </c>
      <c r="D325">
        <v>6880</v>
      </c>
    </row>
    <row r="326" spans="1:4" x14ac:dyDescent="0.2">
      <c r="A326" s="129" t="s">
        <v>669</v>
      </c>
      <c r="B326" t="s">
        <v>29</v>
      </c>
      <c r="C326">
        <v>454.1</v>
      </c>
      <c r="D326">
        <v>6880</v>
      </c>
    </row>
    <row r="327" spans="1:4" x14ac:dyDescent="0.2">
      <c r="A327" s="129" t="s">
        <v>670</v>
      </c>
      <c r="B327" t="s">
        <v>28</v>
      </c>
      <c r="C327">
        <v>557.1</v>
      </c>
      <c r="D327">
        <v>6880</v>
      </c>
    </row>
    <row r="328" spans="1:4" x14ac:dyDescent="0.2">
      <c r="A328" s="129" t="s">
        <v>671</v>
      </c>
      <c r="B328" t="s">
        <v>27</v>
      </c>
      <c r="C328">
        <v>980</v>
      </c>
      <c r="D328">
        <v>6962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474E-CBFD-4B55-97BB-2143CDE81560}">
  <dimension ref="A1:J328"/>
  <sheetViews>
    <sheetView topLeftCell="A292" workbookViewId="0">
      <selection activeCell="J2" sqref="J2:J328"/>
    </sheetView>
  </sheetViews>
  <sheetFormatPr defaultRowHeight="12.75" x14ac:dyDescent="0.2"/>
  <cols>
    <col min="7" max="7" width="32.85546875" bestFit="1" customWidth="1"/>
    <col min="8" max="8" width="9.85546875" bestFit="1" customWidth="1"/>
    <col min="9" max="9" width="31.7109375" bestFit="1" customWidth="1"/>
    <col min="10" max="10" width="19.140625" customWidth="1"/>
  </cols>
  <sheetData>
    <row r="1" spans="1:10" x14ac:dyDescent="0.2">
      <c r="A1" t="s">
        <v>718</v>
      </c>
      <c r="B1" t="s">
        <v>719</v>
      </c>
      <c r="C1" s="134" t="s">
        <v>340</v>
      </c>
      <c r="D1" t="s">
        <v>720</v>
      </c>
      <c r="E1" t="s">
        <v>721</v>
      </c>
      <c r="F1" t="s">
        <v>341</v>
      </c>
      <c r="G1" t="s">
        <v>722</v>
      </c>
      <c r="H1" t="s">
        <v>4</v>
      </c>
      <c r="I1" t="s">
        <v>801</v>
      </c>
      <c r="J1" t="s">
        <v>802</v>
      </c>
    </row>
    <row r="2" spans="1:10" x14ac:dyDescent="0.2">
      <c r="A2">
        <v>2021</v>
      </c>
      <c r="B2" t="s">
        <v>723</v>
      </c>
      <c r="C2" t="s">
        <v>343</v>
      </c>
      <c r="D2" t="s">
        <v>724</v>
      </c>
      <c r="E2" t="s">
        <v>724</v>
      </c>
      <c r="F2" t="s">
        <v>343</v>
      </c>
      <c r="G2" t="s">
        <v>339</v>
      </c>
      <c r="H2" s="135">
        <f>SUMIF(lunch1920_g1to6!$B$3:$B$935,ActiveDistricts!$F2,lunch1920_g1to6!$F$3:$F$935)</f>
        <v>110</v>
      </c>
      <c r="I2" s="135">
        <f>SUMIF(lunch1920_g1to6!$B$3:$B$935,ActiveDistricts!$F2,lunch1920_g1to6!$G$3:$G$935)</f>
        <v>49</v>
      </c>
      <c r="J2">
        <f>I2/H2</f>
        <v>0.44545454545454544</v>
      </c>
    </row>
    <row r="3" spans="1:10" x14ac:dyDescent="0.2">
      <c r="A3">
        <v>2021</v>
      </c>
      <c r="B3" t="s">
        <v>723</v>
      </c>
      <c r="C3" t="s">
        <v>344</v>
      </c>
      <c r="D3" t="s">
        <v>724</v>
      </c>
      <c r="E3" t="s">
        <v>724</v>
      </c>
      <c r="F3" t="s">
        <v>344</v>
      </c>
      <c r="G3" t="s">
        <v>686</v>
      </c>
      <c r="H3" s="135">
        <f>SUMIF(lunch1920_g1to6!$B$3:$B$935,ActiveDistricts!$F3,lunch1920_g1to6!$F$3:$F$935)</f>
        <v>961</v>
      </c>
      <c r="I3" s="135">
        <f>SUMIF(lunch1920_g1to6!$B$3:$B$935,ActiveDistricts!$F3,lunch1920_g1to6!$G$3:$G$935)</f>
        <v>189</v>
      </c>
      <c r="J3">
        <f t="shared" ref="J3:J66" si="0">I3/H3</f>
        <v>0.19667013527575442</v>
      </c>
    </row>
    <row r="4" spans="1:10" x14ac:dyDescent="0.2">
      <c r="A4">
        <v>2021</v>
      </c>
      <c r="B4" t="s">
        <v>725</v>
      </c>
      <c r="C4" t="s">
        <v>342</v>
      </c>
      <c r="D4" t="s">
        <v>724</v>
      </c>
      <c r="E4" t="s">
        <v>724</v>
      </c>
      <c r="F4" t="s">
        <v>342</v>
      </c>
      <c r="G4" t="s">
        <v>17</v>
      </c>
      <c r="H4" s="135">
        <f>SUMIF(lunch1920_g1to6!$B$3:$B$935,ActiveDistricts!$F4,lunch1920_g1to6!$F$3:$F$935)</f>
        <v>271</v>
      </c>
      <c r="I4" s="135">
        <f>SUMIF(lunch1920_g1to6!$B$3:$B$935,ActiveDistricts!$F4,lunch1920_g1to6!$G$3:$G$935)</f>
        <v>123</v>
      </c>
      <c r="J4">
        <f t="shared" si="0"/>
        <v>0.45387453874538747</v>
      </c>
    </row>
    <row r="5" spans="1:10" x14ac:dyDescent="0.2">
      <c r="A5">
        <v>2021</v>
      </c>
      <c r="B5" t="s">
        <v>726</v>
      </c>
      <c r="C5" t="s">
        <v>363</v>
      </c>
      <c r="D5" t="s">
        <v>724</v>
      </c>
      <c r="E5" t="s">
        <v>724</v>
      </c>
      <c r="F5" t="s">
        <v>363</v>
      </c>
      <c r="G5" t="s">
        <v>26</v>
      </c>
      <c r="H5" s="135">
        <f>SUMIF(lunch1920_g1to6!$B$3:$B$935,ActiveDistricts!$F5,lunch1920_g1to6!$F$3:$F$935)</f>
        <v>291</v>
      </c>
      <c r="I5" s="135">
        <f>SUMIF(lunch1920_g1to6!$B$3:$B$935,ActiveDistricts!$F5,lunch1920_g1to6!$G$3:$G$935)</f>
        <v>122</v>
      </c>
      <c r="J5">
        <f t="shared" si="0"/>
        <v>0.41924398625429554</v>
      </c>
    </row>
    <row r="6" spans="1:10" x14ac:dyDescent="0.2">
      <c r="A6">
        <v>2021</v>
      </c>
      <c r="B6" t="s">
        <v>727</v>
      </c>
      <c r="C6" t="s">
        <v>345</v>
      </c>
      <c r="D6" t="s">
        <v>724</v>
      </c>
      <c r="E6" t="s">
        <v>724</v>
      </c>
      <c r="F6" t="s">
        <v>345</v>
      </c>
      <c r="G6" t="s">
        <v>687</v>
      </c>
      <c r="H6" s="135">
        <f>SUMIF(lunch1920_g1to6!$B$3:$B$935,ActiveDistricts!$F6,lunch1920_g1to6!$F$3:$F$935)</f>
        <v>260</v>
      </c>
      <c r="I6" s="135">
        <f>SUMIF(lunch1920_g1to6!$B$3:$B$935,ActiveDistricts!$F6,lunch1920_g1to6!$G$3:$G$935)</f>
        <v>93</v>
      </c>
      <c r="J6">
        <f t="shared" si="0"/>
        <v>0.3576923076923077</v>
      </c>
    </row>
    <row r="7" spans="1:10" x14ac:dyDescent="0.2">
      <c r="A7">
        <v>2021</v>
      </c>
      <c r="B7" t="s">
        <v>728</v>
      </c>
      <c r="C7" t="s">
        <v>346</v>
      </c>
      <c r="D7" t="s">
        <v>724</v>
      </c>
      <c r="E7" t="s">
        <v>724</v>
      </c>
      <c r="F7" t="s">
        <v>346</v>
      </c>
      <c r="G7" t="s">
        <v>336</v>
      </c>
      <c r="H7" s="135">
        <f>SUMIF(lunch1920_g1to6!$B$3:$B$935,ActiveDistricts!$F7,lunch1920_g1to6!$F$3:$F$935)</f>
        <v>87</v>
      </c>
      <c r="I7" s="135">
        <f>SUMIF(lunch1920_g1to6!$B$3:$B$935,ActiveDistricts!$F7,lunch1920_g1to6!$G$3:$G$935)</f>
        <v>39</v>
      </c>
      <c r="J7">
        <f t="shared" si="0"/>
        <v>0.44827586206896552</v>
      </c>
    </row>
    <row r="8" spans="1:10" x14ac:dyDescent="0.2">
      <c r="A8">
        <v>2021</v>
      </c>
      <c r="B8" t="s">
        <v>729</v>
      </c>
      <c r="C8" t="s">
        <v>347</v>
      </c>
      <c r="D8" t="s">
        <v>724</v>
      </c>
      <c r="E8" t="s">
        <v>724</v>
      </c>
      <c r="F8" t="s">
        <v>347</v>
      </c>
      <c r="G8" t="s">
        <v>335</v>
      </c>
      <c r="H8" s="135">
        <f>SUMIF(lunch1920_g1to6!$B$3:$B$935,ActiveDistricts!$F8,lunch1920_g1to6!$F$3:$F$935)</f>
        <v>491</v>
      </c>
      <c r="I8" s="135">
        <f>SUMIF(lunch1920_g1to6!$B$3:$B$935,ActiveDistricts!$F8,lunch1920_g1to6!$G$3:$G$935)</f>
        <v>196</v>
      </c>
      <c r="J8">
        <f t="shared" si="0"/>
        <v>0.39918533604887985</v>
      </c>
    </row>
    <row r="9" spans="1:10" x14ac:dyDescent="0.2">
      <c r="A9">
        <v>2021</v>
      </c>
      <c r="B9" t="s">
        <v>730</v>
      </c>
      <c r="C9" t="s">
        <v>348</v>
      </c>
      <c r="D9" t="s">
        <v>724</v>
      </c>
      <c r="E9" t="s">
        <v>724</v>
      </c>
      <c r="F9" t="s">
        <v>348</v>
      </c>
      <c r="G9" t="s">
        <v>334</v>
      </c>
      <c r="H9" s="135">
        <f>SUMIF(lunch1920_g1to6!$B$3:$B$935,ActiveDistricts!$F9,lunch1920_g1to6!$F$3:$F$935)</f>
        <v>283</v>
      </c>
      <c r="I9" s="135">
        <f>SUMIF(lunch1920_g1to6!$B$3:$B$935,ActiveDistricts!$F9,lunch1920_g1to6!$G$3:$G$935)</f>
        <v>58</v>
      </c>
      <c r="J9">
        <f t="shared" si="0"/>
        <v>0.20494699646643111</v>
      </c>
    </row>
    <row r="10" spans="1:10" x14ac:dyDescent="0.2">
      <c r="A10">
        <v>2021</v>
      </c>
      <c r="B10" t="s">
        <v>725</v>
      </c>
      <c r="C10" t="s">
        <v>349</v>
      </c>
      <c r="D10" t="s">
        <v>724</v>
      </c>
      <c r="E10" t="s">
        <v>724</v>
      </c>
      <c r="F10" t="s">
        <v>349</v>
      </c>
      <c r="G10" t="s">
        <v>333</v>
      </c>
      <c r="H10" s="135">
        <f>SUMIF(lunch1920_g1to6!$B$3:$B$935,ActiveDistricts!$F10,lunch1920_g1to6!$F$3:$F$935)</f>
        <v>119</v>
      </c>
      <c r="I10" s="135">
        <f>SUMIF(lunch1920_g1to6!$B$3:$B$935,ActiveDistricts!$F10,lunch1920_g1to6!$G$3:$G$935)</f>
        <v>44</v>
      </c>
      <c r="J10">
        <f t="shared" si="0"/>
        <v>0.36974789915966388</v>
      </c>
    </row>
    <row r="11" spans="1:10" x14ac:dyDescent="0.2">
      <c r="A11">
        <v>2021</v>
      </c>
      <c r="B11" t="s">
        <v>728</v>
      </c>
      <c r="C11" t="s">
        <v>350</v>
      </c>
      <c r="D11" t="s">
        <v>731</v>
      </c>
      <c r="E11" t="s">
        <v>724</v>
      </c>
      <c r="F11" t="s">
        <v>350</v>
      </c>
      <c r="G11" t="s">
        <v>332</v>
      </c>
      <c r="H11" s="135">
        <f>SUMIF(lunch1920_g1to6!$B$3:$B$935,ActiveDistricts!$F11,lunch1920_g1to6!$F$3:$F$935)</f>
        <v>567</v>
      </c>
      <c r="I11" s="135">
        <f>SUMIF(lunch1920_g1to6!$B$3:$B$935,ActiveDistricts!$F11,lunch1920_g1to6!$G$3:$G$935)</f>
        <v>231</v>
      </c>
      <c r="J11">
        <f t="shared" si="0"/>
        <v>0.40740740740740738</v>
      </c>
    </row>
    <row r="12" spans="1:10" x14ac:dyDescent="0.2">
      <c r="A12">
        <v>2021</v>
      </c>
      <c r="B12" t="s">
        <v>732</v>
      </c>
      <c r="C12" t="s">
        <v>351</v>
      </c>
      <c r="D12" t="s">
        <v>724</v>
      </c>
      <c r="E12" t="s">
        <v>724</v>
      </c>
      <c r="F12" t="s">
        <v>351</v>
      </c>
      <c r="G12" t="s">
        <v>331</v>
      </c>
      <c r="H12" s="135">
        <f>SUMIF(lunch1920_g1to6!$B$3:$B$935,ActiveDistricts!$F12,lunch1920_g1to6!$F$3:$F$935)</f>
        <v>436</v>
      </c>
      <c r="I12" s="135">
        <f>SUMIF(lunch1920_g1to6!$B$3:$B$935,ActiveDistricts!$F12,lunch1920_g1to6!$G$3:$G$935)</f>
        <v>197</v>
      </c>
      <c r="J12">
        <f t="shared" si="0"/>
        <v>0.45183486238532111</v>
      </c>
    </row>
    <row r="13" spans="1:10" x14ac:dyDescent="0.2">
      <c r="A13">
        <v>2021</v>
      </c>
      <c r="B13" t="s">
        <v>728</v>
      </c>
      <c r="C13" t="s">
        <v>353</v>
      </c>
      <c r="D13" t="s">
        <v>733</v>
      </c>
      <c r="E13" t="s">
        <v>724</v>
      </c>
      <c r="F13" t="s">
        <v>353</v>
      </c>
      <c r="G13" t="s">
        <v>683</v>
      </c>
      <c r="H13" s="135">
        <f>SUMIF(lunch1920_g1to6!$B$3:$B$935,ActiveDistricts!$F13,lunch1920_g1to6!$F$3:$F$935)</f>
        <v>347</v>
      </c>
      <c r="I13" s="135">
        <f>SUMIF(lunch1920_g1to6!$B$3:$B$935,ActiveDistricts!$F13,lunch1920_g1to6!$G$3:$G$935)</f>
        <v>167</v>
      </c>
      <c r="J13">
        <f t="shared" si="0"/>
        <v>0.48126801152737753</v>
      </c>
    </row>
    <row r="14" spans="1:10" x14ac:dyDescent="0.2">
      <c r="A14">
        <v>2021</v>
      </c>
      <c r="B14" t="s">
        <v>723</v>
      </c>
      <c r="C14" t="s">
        <v>354</v>
      </c>
      <c r="D14" t="s">
        <v>724</v>
      </c>
      <c r="E14" t="s">
        <v>724</v>
      </c>
      <c r="F14" t="s">
        <v>354</v>
      </c>
      <c r="G14" t="s">
        <v>329</v>
      </c>
      <c r="H14" s="135">
        <f>SUMIF(lunch1920_g1to6!$B$3:$B$935,ActiveDistricts!$F14,lunch1920_g1to6!$F$3:$F$935)</f>
        <v>2160</v>
      </c>
      <c r="I14" s="135">
        <f>SUMIF(lunch1920_g1to6!$B$3:$B$935,ActiveDistricts!$F14,lunch1920_g1to6!$G$3:$G$935)</f>
        <v>685</v>
      </c>
      <c r="J14">
        <f t="shared" si="0"/>
        <v>0.31712962962962965</v>
      </c>
    </row>
    <row r="15" spans="1:10" x14ac:dyDescent="0.2">
      <c r="A15">
        <v>2021</v>
      </c>
      <c r="B15" t="s">
        <v>730</v>
      </c>
      <c r="C15" t="s">
        <v>355</v>
      </c>
      <c r="D15" t="s">
        <v>724</v>
      </c>
      <c r="E15" t="s">
        <v>724</v>
      </c>
      <c r="F15" t="s">
        <v>355</v>
      </c>
      <c r="G15" t="s">
        <v>328</v>
      </c>
      <c r="H15" s="135">
        <f>SUMIF(lunch1920_g1to6!$B$3:$B$935,ActiveDistricts!$F15,lunch1920_g1to6!$F$3:$F$935)</f>
        <v>495</v>
      </c>
      <c r="I15" s="135">
        <f>SUMIF(lunch1920_g1to6!$B$3:$B$935,ActiveDistricts!$F15,lunch1920_g1to6!$G$3:$G$935)</f>
        <v>223</v>
      </c>
      <c r="J15">
        <f t="shared" si="0"/>
        <v>0.45050505050505052</v>
      </c>
    </row>
    <row r="16" spans="1:10" x14ac:dyDescent="0.2">
      <c r="A16">
        <v>2021</v>
      </c>
      <c r="B16" t="s">
        <v>734</v>
      </c>
      <c r="C16" t="s">
        <v>356</v>
      </c>
      <c r="D16" t="s">
        <v>724</v>
      </c>
      <c r="E16" t="s">
        <v>724</v>
      </c>
      <c r="F16" t="s">
        <v>356</v>
      </c>
      <c r="G16" t="s">
        <v>327</v>
      </c>
      <c r="H16" s="135">
        <f>SUMIF(lunch1920_g1to6!$B$3:$B$935,ActiveDistricts!$F16,lunch1920_g1to6!$F$3:$F$935)</f>
        <v>97</v>
      </c>
      <c r="I16" s="135">
        <f>SUMIF(lunch1920_g1to6!$B$3:$B$935,ActiveDistricts!$F16,lunch1920_g1to6!$G$3:$G$935)</f>
        <v>39</v>
      </c>
      <c r="J16">
        <f t="shared" si="0"/>
        <v>0.40206185567010311</v>
      </c>
    </row>
    <row r="17" spans="1:10" x14ac:dyDescent="0.2">
      <c r="A17">
        <v>2021</v>
      </c>
      <c r="B17" t="s">
        <v>723</v>
      </c>
      <c r="C17" t="s">
        <v>357</v>
      </c>
      <c r="D17" t="s">
        <v>724</v>
      </c>
      <c r="E17" t="s">
        <v>724</v>
      </c>
      <c r="F17" t="s">
        <v>357</v>
      </c>
      <c r="G17" t="s">
        <v>326</v>
      </c>
      <c r="H17" s="135">
        <f>SUMIF(lunch1920_g1to6!$B$3:$B$935,ActiveDistricts!$F17,lunch1920_g1to6!$F$3:$F$935)</f>
        <v>5694</v>
      </c>
      <c r="I17" s="135">
        <f>SUMIF(lunch1920_g1to6!$B$3:$B$935,ActiveDistricts!$F17,lunch1920_g1to6!$G$3:$G$935)</f>
        <v>957</v>
      </c>
      <c r="J17">
        <f t="shared" si="0"/>
        <v>0.16807165437302424</v>
      </c>
    </row>
    <row r="18" spans="1:10" x14ac:dyDescent="0.2">
      <c r="A18">
        <v>2021</v>
      </c>
      <c r="B18" t="s">
        <v>725</v>
      </c>
      <c r="C18" t="s">
        <v>358</v>
      </c>
      <c r="D18" t="s">
        <v>724</v>
      </c>
      <c r="E18" t="s">
        <v>724</v>
      </c>
      <c r="F18" t="s">
        <v>358</v>
      </c>
      <c r="G18" t="s">
        <v>325</v>
      </c>
      <c r="H18" s="135">
        <f>SUMIF(lunch1920_g1to6!$B$3:$B$935,ActiveDistricts!$F18,lunch1920_g1to6!$F$3:$F$935)</f>
        <v>347</v>
      </c>
      <c r="I18" s="135">
        <f>SUMIF(lunch1920_g1to6!$B$3:$B$935,ActiveDistricts!$F18,lunch1920_g1to6!$G$3:$G$935)</f>
        <v>111</v>
      </c>
      <c r="J18">
        <f t="shared" si="0"/>
        <v>0.31988472622478387</v>
      </c>
    </row>
    <row r="19" spans="1:10" x14ac:dyDescent="0.2">
      <c r="A19">
        <v>2021</v>
      </c>
      <c r="B19" t="s">
        <v>727</v>
      </c>
      <c r="C19" t="s">
        <v>360</v>
      </c>
      <c r="D19" t="s">
        <v>724</v>
      </c>
      <c r="E19" t="s">
        <v>724</v>
      </c>
      <c r="F19" t="s">
        <v>360</v>
      </c>
      <c r="G19" t="s">
        <v>323</v>
      </c>
      <c r="H19" s="135">
        <f>SUMIF(lunch1920_g1to6!$B$3:$B$935,ActiveDistricts!$F19,lunch1920_g1to6!$F$3:$F$935)</f>
        <v>95</v>
      </c>
      <c r="I19" s="135">
        <f>SUMIF(lunch1920_g1to6!$B$3:$B$935,ActiveDistricts!$F19,lunch1920_g1to6!$G$3:$G$935)</f>
        <v>55</v>
      </c>
      <c r="J19">
        <f t="shared" si="0"/>
        <v>0.57894736842105265</v>
      </c>
    </row>
    <row r="20" spans="1:10" x14ac:dyDescent="0.2">
      <c r="A20">
        <v>2021</v>
      </c>
      <c r="B20" t="s">
        <v>726</v>
      </c>
      <c r="C20" t="s">
        <v>361</v>
      </c>
      <c r="D20" t="s">
        <v>724</v>
      </c>
      <c r="E20" t="s">
        <v>724</v>
      </c>
      <c r="F20" t="s">
        <v>361</v>
      </c>
      <c r="G20" t="s">
        <v>322</v>
      </c>
      <c r="H20" s="135">
        <f>SUMIF(lunch1920_g1to6!$B$3:$B$935,ActiveDistricts!$F20,lunch1920_g1to6!$F$3:$F$935)</f>
        <v>625</v>
      </c>
      <c r="I20" s="135">
        <f>SUMIF(lunch1920_g1to6!$B$3:$B$935,ActiveDistricts!$F20,lunch1920_g1to6!$G$3:$G$935)</f>
        <v>350</v>
      </c>
      <c r="J20">
        <f t="shared" si="0"/>
        <v>0.56000000000000005</v>
      </c>
    </row>
    <row r="21" spans="1:10" x14ac:dyDescent="0.2">
      <c r="A21">
        <v>2021</v>
      </c>
      <c r="B21" t="s">
        <v>723</v>
      </c>
      <c r="C21" t="s">
        <v>362</v>
      </c>
      <c r="D21" t="s">
        <v>724</v>
      </c>
      <c r="E21" t="s">
        <v>724</v>
      </c>
      <c r="F21" t="s">
        <v>362</v>
      </c>
      <c r="G21" t="s">
        <v>321</v>
      </c>
      <c r="H21" s="135">
        <f>SUMIF(lunch1920_g1to6!$B$3:$B$935,ActiveDistricts!$F21,lunch1920_g1to6!$F$3:$F$935)</f>
        <v>246</v>
      </c>
      <c r="I21" s="135">
        <f>SUMIF(lunch1920_g1to6!$B$3:$B$935,ActiveDistricts!$F21,lunch1920_g1to6!$G$3:$G$935)</f>
        <v>113</v>
      </c>
      <c r="J21">
        <f t="shared" si="0"/>
        <v>0.45934959349593496</v>
      </c>
    </row>
    <row r="22" spans="1:10" x14ac:dyDescent="0.2">
      <c r="A22">
        <v>2021</v>
      </c>
      <c r="B22" t="s">
        <v>723</v>
      </c>
      <c r="C22" t="s">
        <v>364</v>
      </c>
      <c r="D22" t="s">
        <v>724</v>
      </c>
      <c r="E22" t="s">
        <v>724</v>
      </c>
      <c r="F22" t="s">
        <v>364</v>
      </c>
      <c r="G22" t="s">
        <v>320</v>
      </c>
      <c r="H22" s="135">
        <f>SUMIF(lunch1920_g1to6!$B$3:$B$935,ActiveDistricts!$F22,lunch1920_g1to6!$F$3:$F$935)</f>
        <v>793</v>
      </c>
      <c r="I22" s="135">
        <f>SUMIF(lunch1920_g1to6!$B$3:$B$935,ActiveDistricts!$F22,lunch1920_g1to6!$G$3:$G$935)</f>
        <v>139</v>
      </c>
      <c r="J22">
        <f t="shared" si="0"/>
        <v>0.17528373266078184</v>
      </c>
    </row>
    <row r="23" spans="1:10" x14ac:dyDescent="0.2">
      <c r="A23">
        <v>2021</v>
      </c>
      <c r="B23" t="s">
        <v>723</v>
      </c>
      <c r="C23" t="s">
        <v>365</v>
      </c>
      <c r="D23" t="s">
        <v>724</v>
      </c>
      <c r="E23" t="s">
        <v>724</v>
      </c>
      <c r="F23" t="s">
        <v>365</v>
      </c>
      <c r="G23" t="s">
        <v>319</v>
      </c>
      <c r="H23" s="135">
        <f>SUMIF(lunch1920_g1to6!$B$3:$B$935,ActiveDistricts!$F23,lunch1920_g1to6!$F$3:$F$935)</f>
        <v>192</v>
      </c>
      <c r="I23" s="135">
        <f>SUMIF(lunch1920_g1to6!$B$3:$B$935,ActiveDistricts!$F23,lunch1920_g1to6!$G$3:$G$935)</f>
        <v>53</v>
      </c>
      <c r="J23">
        <f t="shared" si="0"/>
        <v>0.27604166666666669</v>
      </c>
    </row>
    <row r="24" spans="1:10" x14ac:dyDescent="0.2">
      <c r="A24">
        <v>2021</v>
      </c>
      <c r="B24" t="s">
        <v>725</v>
      </c>
      <c r="C24" t="s">
        <v>366</v>
      </c>
      <c r="D24" t="s">
        <v>724</v>
      </c>
      <c r="E24" t="s">
        <v>724</v>
      </c>
      <c r="F24" t="s">
        <v>366</v>
      </c>
      <c r="G24" t="s">
        <v>0</v>
      </c>
      <c r="H24" s="135">
        <f>SUMIF(lunch1920_g1to6!$B$3:$B$935,ActiveDistricts!$F24,lunch1920_g1to6!$F$3:$F$935)</f>
        <v>226</v>
      </c>
      <c r="I24" s="135">
        <f>SUMIF(lunch1920_g1to6!$B$3:$B$935,ActiveDistricts!$F24,lunch1920_g1to6!$G$3:$G$935)</f>
        <v>87</v>
      </c>
      <c r="J24">
        <f t="shared" si="0"/>
        <v>0.38495575221238937</v>
      </c>
    </row>
    <row r="25" spans="1:10" x14ac:dyDescent="0.2">
      <c r="A25">
        <v>2021</v>
      </c>
      <c r="B25" t="s">
        <v>726</v>
      </c>
      <c r="C25" t="s">
        <v>367</v>
      </c>
      <c r="D25" t="s">
        <v>724</v>
      </c>
      <c r="E25" t="s">
        <v>724</v>
      </c>
      <c r="F25" t="s">
        <v>367</v>
      </c>
      <c r="G25" t="s">
        <v>318</v>
      </c>
      <c r="H25" s="135">
        <f>SUMIF(lunch1920_g1to6!$B$3:$B$935,ActiveDistricts!$F25,lunch1920_g1to6!$F$3:$F$935)</f>
        <v>225</v>
      </c>
      <c r="I25" s="135">
        <f>SUMIF(lunch1920_g1to6!$B$3:$B$935,ActiveDistricts!$F25,lunch1920_g1to6!$G$3:$G$935)</f>
        <v>104</v>
      </c>
      <c r="J25">
        <f t="shared" si="0"/>
        <v>0.4622222222222222</v>
      </c>
    </row>
    <row r="26" spans="1:10" x14ac:dyDescent="0.2">
      <c r="A26">
        <v>2021</v>
      </c>
      <c r="B26" t="s">
        <v>730</v>
      </c>
      <c r="C26" t="s">
        <v>368</v>
      </c>
      <c r="D26" t="s">
        <v>724</v>
      </c>
      <c r="E26" t="s">
        <v>724</v>
      </c>
      <c r="F26" t="s">
        <v>368</v>
      </c>
      <c r="G26" t="s">
        <v>317</v>
      </c>
      <c r="H26" s="135">
        <f>SUMIF(lunch1920_g1to6!$B$3:$B$935,ActiveDistricts!$F26,lunch1920_g1to6!$F$3:$F$935)</f>
        <v>212</v>
      </c>
      <c r="I26" s="135">
        <f>SUMIF(lunch1920_g1to6!$B$3:$B$935,ActiveDistricts!$F26,lunch1920_g1to6!$G$3:$G$935)</f>
        <v>100</v>
      </c>
      <c r="J26">
        <f t="shared" si="0"/>
        <v>0.47169811320754718</v>
      </c>
    </row>
    <row r="27" spans="1:10" x14ac:dyDescent="0.2">
      <c r="A27">
        <v>2021</v>
      </c>
      <c r="B27" t="s">
        <v>734</v>
      </c>
      <c r="C27" t="s">
        <v>369</v>
      </c>
      <c r="D27" t="s">
        <v>724</v>
      </c>
      <c r="E27" t="s">
        <v>724</v>
      </c>
      <c r="F27" t="s">
        <v>369</v>
      </c>
      <c r="G27" t="s">
        <v>316</v>
      </c>
      <c r="H27" s="135">
        <f>SUMIF(lunch1920_g1to6!$B$3:$B$935,ActiveDistricts!$F27,lunch1920_g1to6!$F$3:$F$935)</f>
        <v>276</v>
      </c>
      <c r="I27" s="135">
        <f>SUMIF(lunch1920_g1to6!$B$3:$B$935,ActiveDistricts!$F27,lunch1920_g1to6!$G$3:$G$935)</f>
        <v>70</v>
      </c>
      <c r="J27">
        <f t="shared" si="0"/>
        <v>0.25362318840579712</v>
      </c>
    </row>
    <row r="28" spans="1:10" x14ac:dyDescent="0.2">
      <c r="A28">
        <v>2021</v>
      </c>
      <c r="B28" t="s">
        <v>725</v>
      </c>
      <c r="C28" t="s">
        <v>370</v>
      </c>
      <c r="D28" t="s">
        <v>724</v>
      </c>
      <c r="E28" t="s">
        <v>724</v>
      </c>
      <c r="F28" t="s">
        <v>370</v>
      </c>
      <c r="G28" t="s">
        <v>315</v>
      </c>
      <c r="H28" s="135">
        <f>SUMIF(lunch1920_g1to6!$B$3:$B$935,ActiveDistricts!$F28,lunch1920_g1to6!$F$3:$F$935)</f>
        <v>284</v>
      </c>
      <c r="I28" s="135">
        <f>SUMIF(lunch1920_g1to6!$B$3:$B$935,ActiveDistricts!$F28,lunch1920_g1to6!$G$3:$G$935)</f>
        <v>140</v>
      </c>
      <c r="J28">
        <f t="shared" si="0"/>
        <v>0.49295774647887325</v>
      </c>
    </row>
    <row r="29" spans="1:10" x14ac:dyDescent="0.2">
      <c r="A29">
        <v>2021</v>
      </c>
      <c r="B29" t="s">
        <v>734</v>
      </c>
      <c r="C29" t="s">
        <v>371</v>
      </c>
      <c r="D29" t="s">
        <v>724</v>
      </c>
      <c r="E29" t="s">
        <v>724</v>
      </c>
      <c r="F29" t="s">
        <v>371</v>
      </c>
      <c r="G29" t="s">
        <v>314</v>
      </c>
      <c r="H29" s="135">
        <f>SUMIF(lunch1920_g1to6!$B$3:$B$935,ActiveDistricts!$F29,lunch1920_g1to6!$F$3:$F$935)</f>
        <v>60</v>
      </c>
      <c r="I29" s="135">
        <f>SUMIF(lunch1920_g1to6!$B$3:$B$935,ActiveDistricts!$F29,lunch1920_g1to6!$G$3:$G$935)</f>
        <v>27</v>
      </c>
      <c r="J29">
        <f t="shared" si="0"/>
        <v>0.45</v>
      </c>
    </row>
    <row r="30" spans="1:10" x14ac:dyDescent="0.2">
      <c r="A30">
        <v>2021</v>
      </c>
      <c r="B30" t="s">
        <v>730</v>
      </c>
      <c r="C30" t="s">
        <v>372</v>
      </c>
      <c r="D30" t="s">
        <v>724</v>
      </c>
      <c r="E30" t="s">
        <v>724</v>
      </c>
      <c r="F30" t="s">
        <v>372</v>
      </c>
      <c r="G30" t="s">
        <v>313</v>
      </c>
      <c r="H30" s="135">
        <f>SUMIF(lunch1920_g1to6!$B$3:$B$935,ActiveDistricts!$F30,lunch1920_g1to6!$F$3:$F$935)</f>
        <v>635</v>
      </c>
      <c r="I30" s="135">
        <f>SUMIF(lunch1920_g1to6!$B$3:$B$935,ActiveDistricts!$F30,lunch1920_g1to6!$G$3:$G$935)</f>
        <v>158</v>
      </c>
      <c r="J30">
        <f t="shared" si="0"/>
        <v>0.24881889763779527</v>
      </c>
    </row>
    <row r="31" spans="1:10" x14ac:dyDescent="0.2">
      <c r="A31">
        <v>2021</v>
      </c>
      <c r="B31" t="s">
        <v>734</v>
      </c>
      <c r="C31" t="s">
        <v>373</v>
      </c>
      <c r="D31" t="s">
        <v>724</v>
      </c>
      <c r="E31" t="s">
        <v>724</v>
      </c>
      <c r="F31" t="s">
        <v>373</v>
      </c>
      <c r="G31" t="s">
        <v>312</v>
      </c>
      <c r="H31" s="135">
        <f>SUMIF(lunch1920_g1to6!$B$3:$B$935,ActiveDistricts!$F31,lunch1920_g1to6!$F$3:$F$935)</f>
        <v>1986</v>
      </c>
      <c r="I31" s="135">
        <f>SUMIF(lunch1920_g1to6!$B$3:$B$935,ActiveDistricts!$F31,lunch1920_g1to6!$G$3:$G$935)</f>
        <v>735</v>
      </c>
      <c r="J31">
        <f t="shared" si="0"/>
        <v>0.37009063444108764</v>
      </c>
    </row>
    <row r="32" spans="1:10" x14ac:dyDescent="0.2">
      <c r="A32">
        <v>2021</v>
      </c>
      <c r="B32" t="s">
        <v>723</v>
      </c>
      <c r="C32" t="s">
        <v>375</v>
      </c>
      <c r="D32" t="s">
        <v>724</v>
      </c>
      <c r="E32" t="s">
        <v>724</v>
      </c>
      <c r="F32" t="s">
        <v>375</v>
      </c>
      <c r="G32" t="s">
        <v>311</v>
      </c>
      <c r="H32" s="135">
        <f>SUMIF(lunch1920_g1to6!$B$3:$B$935,ActiveDistricts!$F32,lunch1920_g1to6!$F$3:$F$935)</f>
        <v>1143</v>
      </c>
      <c r="I32" s="135">
        <f>SUMIF(lunch1920_g1to6!$B$3:$B$935,ActiveDistricts!$F32,lunch1920_g1to6!$G$3:$G$935)</f>
        <v>237</v>
      </c>
      <c r="J32">
        <f t="shared" si="0"/>
        <v>0.20734908136482941</v>
      </c>
    </row>
    <row r="33" spans="1:10" x14ac:dyDescent="0.2">
      <c r="A33">
        <v>2021</v>
      </c>
      <c r="B33" t="s">
        <v>723</v>
      </c>
      <c r="C33" t="s">
        <v>376</v>
      </c>
      <c r="D33" t="s">
        <v>724</v>
      </c>
      <c r="E33" t="s">
        <v>724</v>
      </c>
      <c r="F33" t="s">
        <v>376</v>
      </c>
      <c r="G33" t="s">
        <v>310</v>
      </c>
      <c r="H33" s="135">
        <f>SUMIF(lunch1920_g1to6!$B$3:$B$935,ActiveDistricts!$F33,lunch1920_g1to6!$F$3:$F$935)</f>
        <v>791</v>
      </c>
      <c r="I33" s="135">
        <f>SUMIF(lunch1920_g1to6!$B$3:$B$935,ActiveDistricts!$F33,lunch1920_g1to6!$G$3:$G$935)</f>
        <v>382</v>
      </c>
      <c r="J33">
        <f t="shared" si="0"/>
        <v>0.48293299620733249</v>
      </c>
    </row>
    <row r="34" spans="1:10" x14ac:dyDescent="0.2">
      <c r="A34">
        <v>2021</v>
      </c>
      <c r="B34" t="s">
        <v>727</v>
      </c>
      <c r="C34" t="s">
        <v>377</v>
      </c>
      <c r="D34" t="s">
        <v>724</v>
      </c>
      <c r="E34" t="s">
        <v>724</v>
      </c>
      <c r="F34" t="s">
        <v>377</v>
      </c>
      <c r="G34" t="s">
        <v>309</v>
      </c>
      <c r="H34" s="135">
        <f>SUMIF(lunch1920_g1to6!$B$3:$B$935,ActiveDistricts!$F34,lunch1920_g1to6!$F$3:$F$935)</f>
        <v>220</v>
      </c>
      <c r="I34" s="135">
        <f>SUMIF(lunch1920_g1to6!$B$3:$B$935,ActiveDistricts!$F34,lunch1920_g1to6!$G$3:$G$935)</f>
        <v>102</v>
      </c>
      <c r="J34">
        <f t="shared" si="0"/>
        <v>0.46363636363636362</v>
      </c>
    </row>
    <row r="35" spans="1:10" x14ac:dyDescent="0.2">
      <c r="A35">
        <v>2021</v>
      </c>
      <c r="B35" t="s">
        <v>726</v>
      </c>
      <c r="C35" t="s">
        <v>433</v>
      </c>
      <c r="D35" t="s">
        <v>724</v>
      </c>
      <c r="E35" t="s">
        <v>724</v>
      </c>
      <c r="F35" t="s">
        <v>433</v>
      </c>
      <c r="G35" t="s">
        <v>255</v>
      </c>
      <c r="H35" s="135">
        <f>SUMIF(lunch1920_g1to6!$B$3:$B$935,ActiveDistricts!$F35,lunch1920_g1to6!$F$3:$F$935)</f>
        <v>182</v>
      </c>
      <c r="I35" s="135">
        <f>SUMIF(lunch1920_g1to6!$B$3:$B$935,ActiveDistricts!$F35,lunch1920_g1to6!$G$3:$G$935)</f>
        <v>80</v>
      </c>
      <c r="J35">
        <f t="shared" si="0"/>
        <v>0.43956043956043955</v>
      </c>
    </row>
    <row r="36" spans="1:10" x14ac:dyDescent="0.2">
      <c r="A36">
        <v>2021</v>
      </c>
      <c r="B36" t="s">
        <v>725</v>
      </c>
      <c r="C36" t="s">
        <v>379</v>
      </c>
      <c r="D36" t="s">
        <v>724</v>
      </c>
      <c r="E36" t="s">
        <v>724</v>
      </c>
      <c r="F36" t="s">
        <v>379</v>
      </c>
      <c r="G36" t="s">
        <v>307</v>
      </c>
      <c r="H36" s="135">
        <f>SUMIF(lunch1920_g1to6!$B$3:$B$935,ActiveDistricts!$F36,lunch1920_g1to6!$F$3:$F$935)</f>
        <v>257</v>
      </c>
      <c r="I36" s="135">
        <f>SUMIF(lunch1920_g1to6!$B$3:$B$935,ActiveDistricts!$F36,lunch1920_g1to6!$G$3:$G$935)</f>
        <v>106</v>
      </c>
      <c r="J36">
        <f t="shared" si="0"/>
        <v>0.41245136186770426</v>
      </c>
    </row>
    <row r="37" spans="1:10" x14ac:dyDescent="0.2">
      <c r="A37">
        <v>2021</v>
      </c>
      <c r="B37" t="s">
        <v>729</v>
      </c>
      <c r="C37" t="s">
        <v>381</v>
      </c>
      <c r="D37" t="s">
        <v>724</v>
      </c>
      <c r="E37" t="s">
        <v>724</v>
      </c>
      <c r="F37" t="s">
        <v>381</v>
      </c>
      <c r="G37" t="s">
        <v>305</v>
      </c>
      <c r="H37" s="135">
        <f>SUMIF(lunch1920_g1to6!$B$3:$B$935,ActiveDistricts!$F37,lunch1920_g1to6!$F$3:$F$935)</f>
        <v>1552</v>
      </c>
      <c r="I37" s="135">
        <f>SUMIF(lunch1920_g1to6!$B$3:$B$935,ActiveDistricts!$F37,lunch1920_g1to6!$G$3:$G$935)</f>
        <v>1141</v>
      </c>
      <c r="J37">
        <f t="shared" si="0"/>
        <v>0.73518041237113407</v>
      </c>
    </row>
    <row r="38" spans="1:10" x14ac:dyDescent="0.2">
      <c r="A38">
        <v>2021</v>
      </c>
      <c r="B38" t="s">
        <v>725</v>
      </c>
      <c r="C38" t="s">
        <v>383</v>
      </c>
      <c r="D38" t="s">
        <v>724</v>
      </c>
      <c r="E38" t="s">
        <v>724</v>
      </c>
      <c r="F38" t="s">
        <v>383</v>
      </c>
      <c r="G38" t="s">
        <v>1</v>
      </c>
      <c r="H38" s="135">
        <f>SUMIF(lunch1920_g1to6!$B$3:$B$935,ActiveDistricts!$F38,lunch1920_g1to6!$F$3:$F$935)</f>
        <v>91</v>
      </c>
      <c r="I38" s="135">
        <f>SUMIF(lunch1920_g1to6!$B$3:$B$935,ActiveDistricts!$F38,lunch1920_g1to6!$G$3:$G$935)</f>
        <v>52</v>
      </c>
      <c r="J38">
        <f t="shared" si="0"/>
        <v>0.5714285714285714</v>
      </c>
    </row>
    <row r="39" spans="1:10" x14ac:dyDescent="0.2">
      <c r="A39">
        <v>2021</v>
      </c>
      <c r="B39" t="s">
        <v>734</v>
      </c>
      <c r="C39" t="s">
        <v>384</v>
      </c>
      <c r="D39" t="s">
        <v>724</v>
      </c>
      <c r="E39" t="s">
        <v>724</v>
      </c>
      <c r="F39" t="s">
        <v>384</v>
      </c>
      <c r="G39" t="s">
        <v>304</v>
      </c>
      <c r="H39" s="135">
        <f>SUMIF(lunch1920_g1to6!$B$3:$B$935,ActiveDistricts!$F39,lunch1920_g1to6!$F$3:$F$935)</f>
        <v>197</v>
      </c>
      <c r="I39" s="135">
        <f>SUMIF(lunch1920_g1to6!$B$3:$B$935,ActiveDistricts!$F39,lunch1920_g1to6!$G$3:$G$935)</f>
        <v>69</v>
      </c>
      <c r="J39">
        <f t="shared" si="0"/>
        <v>0.35025380710659898</v>
      </c>
    </row>
    <row r="40" spans="1:10" x14ac:dyDescent="0.2">
      <c r="A40">
        <v>2021</v>
      </c>
      <c r="B40" t="s">
        <v>726</v>
      </c>
      <c r="C40" t="s">
        <v>382</v>
      </c>
      <c r="D40" t="s">
        <v>724</v>
      </c>
      <c r="E40" t="s">
        <v>724</v>
      </c>
      <c r="F40" t="s">
        <v>382</v>
      </c>
      <c r="G40" t="s">
        <v>22</v>
      </c>
      <c r="H40" s="135">
        <f>SUMIF(lunch1920_g1to6!$B$3:$B$935,ActiveDistricts!$F40,lunch1920_g1to6!$F$3:$F$935)</f>
        <v>310</v>
      </c>
      <c r="I40" s="135">
        <f>SUMIF(lunch1920_g1to6!$B$3:$B$935,ActiveDistricts!$F40,lunch1920_g1to6!$G$3:$G$935)</f>
        <v>130</v>
      </c>
      <c r="J40">
        <f t="shared" si="0"/>
        <v>0.41935483870967744</v>
      </c>
    </row>
    <row r="41" spans="1:10" x14ac:dyDescent="0.2">
      <c r="A41">
        <v>2021</v>
      </c>
      <c r="B41" t="s">
        <v>734</v>
      </c>
      <c r="C41" t="s">
        <v>385</v>
      </c>
      <c r="D41" t="s">
        <v>724</v>
      </c>
      <c r="E41" t="s">
        <v>724</v>
      </c>
      <c r="F41" t="s">
        <v>385</v>
      </c>
      <c r="G41" t="s">
        <v>303</v>
      </c>
      <c r="H41" s="135">
        <f>SUMIF(lunch1920_g1to6!$B$3:$B$935,ActiveDistricts!$F41,lunch1920_g1to6!$F$3:$F$935)</f>
        <v>409</v>
      </c>
      <c r="I41" s="135">
        <f>SUMIF(lunch1920_g1to6!$B$3:$B$935,ActiveDistricts!$F41,lunch1920_g1to6!$G$3:$G$935)</f>
        <v>176</v>
      </c>
      <c r="J41">
        <f t="shared" si="0"/>
        <v>0.43031784841075793</v>
      </c>
    </row>
    <row r="42" spans="1:10" x14ac:dyDescent="0.2">
      <c r="A42">
        <v>2021</v>
      </c>
      <c r="B42" t="s">
        <v>729</v>
      </c>
      <c r="C42" t="s">
        <v>386</v>
      </c>
      <c r="D42" t="s">
        <v>724</v>
      </c>
      <c r="E42" t="s">
        <v>724</v>
      </c>
      <c r="F42" t="s">
        <v>386</v>
      </c>
      <c r="G42" t="s">
        <v>302</v>
      </c>
      <c r="H42" s="135">
        <f>SUMIF(lunch1920_g1to6!$B$3:$B$935,ActiveDistricts!$F42,lunch1920_g1to6!$F$3:$F$935)</f>
        <v>439</v>
      </c>
      <c r="I42" s="135">
        <f>SUMIF(lunch1920_g1to6!$B$3:$B$935,ActiveDistricts!$F42,lunch1920_g1to6!$G$3:$G$935)</f>
        <v>263</v>
      </c>
      <c r="J42">
        <f t="shared" si="0"/>
        <v>0.59908883826879267</v>
      </c>
    </row>
    <row r="43" spans="1:10" x14ac:dyDescent="0.2">
      <c r="A43">
        <v>2021</v>
      </c>
      <c r="B43" t="s">
        <v>723</v>
      </c>
      <c r="C43" t="s">
        <v>387</v>
      </c>
      <c r="D43" t="s">
        <v>724</v>
      </c>
      <c r="E43" t="s">
        <v>724</v>
      </c>
      <c r="F43" t="s">
        <v>387</v>
      </c>
      <c r="G43" t="s">
        <v>301</v>
      </c>
      <c r="H43" s="135">
        <f>SUMIF(lunch1920_g1to6!$B$3:$B$935,ActiveDistricts!$F43,lunch1920_g1to6!$F$3:$F$935)</f>
        <v>958</v>
      </c>
      <c r="I43" s="135">
        <f>SUMIF(lunch1920_g1to6!$B$3:$B$935,ActiveDistricts!$F43,lunch1920_g1to6!$G$3:$G$935)</f>
        <v>322</v>
      </c>
      <c r="J43">
        <f t="shared" si="0"/>
        <v>0.33611691022964507</v>
      </c>
    </row>
    <row r="44" spans="1:10" x14ac:dyDescent="0.2">
      <c r="A44">
        <v>2021</v>
      </c>
      <c r="B44" t="s">
        <v>723</v>
      </c>
      <c r="C44" t="s">
        <v>388</v>
      </c>
      <c r="D44" t="s">
        <v>724</v>
      </c>
      <c r="E44" t="s">
        <v>724</v>
      </c>
      <c r="F44" t="s">
        <v>388</v>
      </c>
      <c r="G44" t="s">
        <v>300</v>
      </c>
      <c r="H44" s="135">
        <f>SUMIF(lunch1920_g1to6!$B$3:$B$935,ActiveDistricts!$F44,lunch1920_g1to6!$F$3:$F$935)</f>
        <v>747</v>
      </c>
      <c r="I44" s="135">
        <f>SUMIF(lunch1920_g1to6!$B$3:$B$935,ActiveDistricts!$F44,lunch1920_g1to6!$G$3:$G$935)</f>
        <v>307</v>
      </c>
      <c r="J44">
        <f t="shared" si="0"/>
        <v>0.41097724230254351</v>
      </c>
    </row>
    <row r="45" spans="1:10" x14ac:dyDescent="0.2">
      <c r="A45">
        <v>2021</v>
      </c>
      <c r="B45" t="s">
        <v>725</v>
      </c>
      <c r="C45" t="s">
        <v>389</v>
      </c>
      <c r="D45" t="s">
        <v>724</v>
      </c>
      <c r="E45" t="s">
        <v>724</v>
      </c>
      <c r="F45" t="s">
        <v>389</v>
      </c>
      <c r="G45" t="s">
        <v>299</v>
      </c>
      <c r="H45" s="135">
        <f>SUMIF(lunch1920_g1to6!$B$3:$B$935,ActiveDistricts!$F45,lunch1920_g1to6!$F$3:$F$935)</f>
        <v>2577</v>
      </c>
      <c r="I45" s="135">
        <f>SUMIF(lunch1920_g1to6!$B$3:$B$935,ActiveDistricts!$F45,lunch1920_g1to6!$G$3:$G$935)</f>
        <v>626</v>
      </c>
      <c r="J45">
        <f t="shared" si="0"/>
        <v>0.24291812184710904</v>
      </c>
    </row>
    <row r="46" spans="1:10" x14ac:dyDescent="0.2">
      <c r="A46">
        <v>2021</v>
      </c>
      <c r="B46" t="s">
        <v>730</v>
      </c>
      <c r="C46" t="s">
        <v>390</v>
      </c>
      <c r="D46" t="s">
        <v>724</v>
      </c>
      <c r="E46" t="s">
        <v>724</v>
      </c>
      <c r="F46" t="s">
        <v>390</v>
      </c>
      <c r="G46" t="s">
        <v>298</v>
      </c>
      <c r="H46" s="135">
        <f>SUMIF(lunch1920_g1to6!$B$3:$B$935,ActiveDistricts!$F46,lunch1920_g1to6!$F$3:$F$935)</f>
        <v>7016</v>
      </c>
      <c r="I46" s="135">
        <f>SUMIF(lunch1920_g1to6!$B$3:$B$935,ActiveDistricts!$F46,lunch1920_g1to6!$G$3:$G$935)</f>
        <v>4232</v>
      </c>
      <c r="J46">
        <f t="shared" si="0"/>
        <v>0.60319270239452683</v>
      </c>
    </row>
    <row r="47" spans="1:10" x14ac:dyDescent="0.2">
      <c r="A47">
        <v>2021</v>
      </c>
      <c r="B47" t="s">
        <v>730</v>
      </c>
      <c r="C47" t="s">
        <v>391</v>
      </c>
      <c r="D47" t="s">
        <v>724</v>
      </c>
      <c r="E47" t="s">
        <v>724</v>
      </c>
      <c r="F47" t="s">
        <v>391</v>
      </c>
      <c r="G47" t="s">
        <v>297</v>
      </c>
      <c r="H47" s="135">
        <f>SUMIF(lunch1920_g1to6!$B$3:$B$935,ActiveDistricts!$F47,lunch1920_g1to6!$F$3:$F$935)</f>
        <v>650</v>
      </c>
      <c r="I47" s="135">
        <f>SUMIF(lunch1920_g1to6!$B$3:$B$935,ActiveDistricts!$F47,lunch1920_g1to6!$G$3:$G$935)</f>
        <v>113</v>
      </c>
      <c r="J47">
        <f t="shared" si="0"/>
        <v>0.17384615384615384</v>
      </c>
    </row>
    <row r="48" spans="1:10" x14ac:dyDescent="0.2">
      <c r="A48">
        <v>2021</v>
      </c>
      <c r="B48" t="s">
        <v>729</v>
      </c>
      <c r="C48" t="s">
        <v>392</v>
      </c>
      <c r="D48" t="s">
        <v>724</v>
      </c>
      <c r="E48" t="s">
        <v>724</v>
      </c>
      <c r="F48" t="s">
        <v>392</v>
      </c>
      <c r="G48" t="s">
        <v>296</v>
      </c>
      <c r="H48" s="135">
        <f>SUMIF(lunch1920_g1to6!$B$3:$B$935,ActiveDistricts!$F48,lunch1920_g1to6!$F$3:$F$935)</f>
        <v>634</v>
      </c>
      <c r="I48" s="135">
        <f>SUMIF(lunch1920_g1to6!$B$3:$B$935,ActiveDistricts!$F48,lunch1920_g1to6!$G$3:$G$935)</f>
        <v>380</v>
      </c>
      <c r="J48">
        <f t="shared" si="0"/>
        <v>0.59936908517350163</v>
      </c>
    </row>
    <row r="49" spans="1:10" x14ac:dyDescent="0.2">
      <c r="A49">
        <v>2021</v>
      </c>
      <c r="B49" t="s">
        <v>730</v>
      </c>
      <c r="C49" t="s">
        <v>396</v>
      </c>
      <c r="D49" t="s">
        <v>724</v>
      </c>
      <c r="E49" t="s">
        <v>724</v>
      </c>
      <c r="F49" t="s">
        <v>396</v>
      </c>
      <c r="G49" t="s">
        <v>292</v>
      </c>
      <c r="H49" s="135">
        <f>SUMIF(lunch1920_g1to6!$B$3:$B$935,ActiveDistricts!$F49,lunch1920_g1to6!$F$3:$F$935)</f>
        <v>184</v>
      </c>
      <c r="I49" s="135">
        <f>SUMIF(lunch1920_g1to6!$B$3:$B$935,ActiveDistricts!$F49,lunch1920_g1to6!$G$3:$G$935)</f>
        <v>60</v>
      </c>
      <c r="J49">
        <f t="shared" si="0"/>
        <v>0.32608695652173914</v>
      </c>
    </row>
    <row r="50" spans="1:10" x14ac:dyDescent="0.2">
      <c r="A50">
        <v>2021</v>
      </c>
      <c r="B50" t="s">
        <v>732</v>
      </c>
      <c r="C50" t="s">
        <v>394</v>
      </c>
      <c r="D50" t="s">
        <v>724</v>
      </c>
      <c r="E50" t="s">
        <v>724</v>
      </c>
      <c r="F50" t="s">
        <v>394</v>
      </c>
      <c r="G50" t="s">
        <v>688</v>
      </c>
      <c r="H50" s="135">
        <f>SUMIF(lunch1920_g1to6!$B$3:$B$935,ActiveDistricts!$F50,lunch1920_g1to6!$F$3:$F$935)</f>
        <v>164</v>
      </c>
      <c r="I50" s="135">
        <f>SUMIF(lunch1920_g1to6!$B$3:$B$935,ActiveDistricts!$F50,lunch1920_g1to6!$G$3:$G$935)</f>
        <v>56</v>
      </c>
      <c r="J50">
        <f t="shared" si="0"/>
        <v>0.34146341463414637</v>
      </c>
    </row>
    <row r="51" spans="1:10" x14ac:dyDescent="0.2">
      <c r="A51">
        <v>2021</v>
      </c>
      <c r="B51" t="s">
        <v>734</v>
      </c>
      <c r="C51" t="s">
        <v>395</v>
      </c>
      <c r="D51" t="s">
        <v>724</v>
      </c>
      <c r="E51" t="s">
        <v>724</v>
      </c>
      <c r="F51" t="s">
        <v>395</v>
      </c>
      <c r="G51" t="s">
        <v>689</v>
      </c>
      <c r="H51" s="135">
        <f>SUMIF(lunch1920_g1to6!$B$3:$B$935,ActiveDistricts!$F51,lunch1920_g1to6!$F$3:$F$935)</f>
        <v>645</v>
      </c>
      <c r="I51" s="135">
        <f>SUMIF(lunch1920_g1to6!$B$3:$B$935,ActiveDistricts!$F51,lunch1920_g1to6!$G$3:$G$935)</f>
        <v>203</v>
      </c>
      <c r="J51">
        <f t="shared" si="0"/>
        <v>0.31472868217054262</v>
      </c>
    </row>
    <row r="52" spans="1:10" x14ac:dyDescent="0.2">
      <c r="A52">
        <v>2021</v>
      </c>
      <c r="B52" t="s">
        <v>726</v>
      </c>
      <c r="C52" t="s">
        <v>397</v>
      </c>
      <c r="D52" t="s">
        <v>724</v>
      </c>
      <c r="E52" t="s">
        <v>724</v>
      </c>
      <c r="F52" t="s">
        <v>397</v>
      </c>
      <c r="G52" t="s">
        <v>291</v>
      </c>
      <c r="H52" s="135">
        <f>SUMIF(lunch1920_g1to6!$B$3:$B$935,ActiveDistricts!$F52,lunch1920_g1to6!$F$3:$F$935)</f>
        <v>285</v>
      </c>
      <c r="I52" s="135">
        <f>SUMIF(lunch1920_g1to6!$B$3:$B$935,ActiveDistricts!$F52,lunch1920_g1to6!$G$3:$G$935)</f>
        <v>174</v>
      </c>
      <c r="J52">
        <f t="shared" si="0"/>
        <v>0.61052631578947369</v>
      </c>
    </row>
    <row r="53" spans="1:10" x14ac:dyDescent="0.2">
      <c r="A53">
        <v>2021</v>
      </c>
      <c r="B53" t="s">
        <v>729</v>
      </c>
      <c r="C53" t="s">
        <v>393</v>
      </c>
      <c r="D53" t="s">
        <v>724</v>
      </c>
      <c r="E53" t="s">
        <v>724</v>
      </c>
      <c r="F53" t="s">
        <v>393</v>
      </c>
      <c r="G53" t="s">
        <v>295</v>
      </c>
      <c r="H53" s="135">
        <f>SUMIF(lunch1920_g1to6!$B$3:$B$935,ActiveDistricts!$F53,lunch1920_g1to6!$F$3:$F$935)</f>
        <v>523</v>
      </c>
      <c r="I53" s="135">
        <f>SUMIF(lunch1920_g1to6!$B$3:$B$935,ActiveDistricts!$F53,lunch1920_g1to6!$G$3:$G$935)</f>
        <v>242</v>
      </c>
      <c r="J53">
        <f t="shared" si="0"/>
        <v>0.4627151051625239</v>
      </c>
    </row>
    <row r="54" spans="1:10" x14ac:dyDescent="0.2">
      <c r="A54">
        <v>2021</v>
      </c>
      <c r="B54" t="s">
        <v>727</v>
      </c>
      <c r="C54" t="s">
        <v>398</v>
      </c>
      <c r="D54" t="s">
        <v>724</v>
      </c>
      <c r="E54" t="s">
        <v>724</v>
      </c>
      <c r="F54" t="s">
        <v>398</v>
      </c>
      <c r="G54" t="s">
        <v>290</v>
      </c>
      <c r="H54" s="135">
        <f>SUMIF(lunch1920_g1to6!$B$3:$B$935,ActiveDistricts!$F54,lunch1920_g1to6!$F$3:$F$935)</f>
        <v>325</v>
      </c>
      <c r="I54" s="135">
        <f>SUMIF(lunch1920_g1to6!$B$3:$B$935,ActiveDistricts!$F54,lunch1920_g1to6!$G$3:$G$935)</f>
        <v>115</v>
      </c>
      <c r="J54">
        <f t="shared" si="0"/>
        <v>0.35384615384615387</v>
      </c>
    </row>
    <row r="55" spans="1:10" x14ac:dyDescent="0.2">
      <c r="A55">
        <v>2021</v>
      </c>
      <c r="B55" t="s">
        <v>725</v>
      </c>
      <c r="C55" t="s">
        <v>550</v>
      </c>
      <c r="D55" t="s">
        <v>724</v>
      </c>
      <c r="E55" t="s">
        <v>724</v>
      </c>
      <c r="F55" t="s">
        <v>550</v>
      </c>
      <c r="G55" t="s">
        <v>142</v>
      </c>
      <c r="H55" s="135">
        <f>SUMIF(lunch1920_g1to6!$B$3:$B$935,ActiveDistricts!$F55,lunch1920_g1to6!$F$3:$F$935)</f>
        <v>325</v>
      </c>
      <c r="I55" s="135">
        <f>SUMIF(lunch1920_g1to6!$B$3:$B$935,ActiveDistricts!$F55,lunch1920_g1to6!$G$3:$G$935)</f>
        <v>143</v>
      </c>
      <c r="J55">
        <f t="shared" si="0"/>
        <v>0.44</v>
      </c>
    </row>
    <row r="56" spans="1:10" x14ac:dyDescent="0.2">
      <c r="A56">
        <v>2021</v>
      </c>
      <c r="B56" t="s">
        <v>729</v>
      </c>
      <c r="C56" t="s">
        <v>399</v>
      </c>
      <c r="D56" t="s">
        <v>724</v>
      </c>
      <c r="E56" t="s">
        <v>724</v>
      </c>
      <c r="F56" t="s">
        <v>399</v>
      </c>
      <c r="G56" t="s">
        <v>289</v>
      </c>
      <c r="H56" s="135">
        <f>SUMIF(lunch1920_g1to6!$B$3:$B$935,ActiveDistricts!$F56,lunch1920_g1to6!$F$3:$F$935)</f>
        <v>546</v>
      </c>
      <c r="I56" s="135">
        <f>SUMIF(lunch1920_g1to6!$B$3:$B$935,ActiveDistricts!$F56,lunch1920_g1to6!$G$3:$G$935)</f>
        <v>312</v>
      </c>
      <c r="J56">
        <f t="shared" si="0"/>
        <v>0.5714285714285714</v>
      </c>
    </row>
    <row r="57" spans="1:10" x14ac:dyDescent="0.2">
      <c r="A57">
        <v>2021</v>
      </c>
      <c r="B57" t="s">
        <v>725</v>
      </c>
      <c r="C57" t="s">
        <v>400</v>
      </c>
      <c r="D57" t="s">
        <v>724</v>
      </c>
      <c r="E57" t="s">
        <v>724</v>
      </c>
      <c r="F57" t="s">
        <v>400</v>
      </c>
      <c r="G57" t="s">
        <v>288</v>
      </c>
      <c r="H57" s="135">
        <f>SUMIF(lunch1920_g1to6!$B$3:$B$935,ActiveDistricts!$F57,lunch1920_g1to6!$F$3:$F$935)</f>
        <v>596</v>
      </c>
      <c r="I57" s="135">
        <f>SUMIF(lunch1920_g1to6!$B$3:$B$935,ActiveDistricts!$F57,lunch1920_g1to6!$G$3:$G$935)</f>
        <v>363</v>
      </c>
      <c r="J57">
        <f t="shared" si="0"/>
        <v>0.60906040268456374</v>
      </c>
    </row>
    <row r="58" spans="1:10" x14ac:dyDescent="0.2">
      <c r="A58">
        <v>2021</v>
      </c>
      <c r="B58" t="s">
        <v>727</v>
      </c>
      <c r="C58" t="s">
        <v>401</v>
      </c>
      <c r="D58" t="s">
        <v>724</v>
      </c>
      <c r="E58" t="s">
        <v>724</v>
      </c>
      <c r="F58" t="s">
        <v>401</v>
      </c>
      <c r="G58" t="s">
        <v>287</v>
      </c>
      <c r="H58" s="135">
        <f>SUMIF(lunch1920_g1to6!$B$3:$B$935,ActiveDistricts!$F58,lunch1920_g1to6!$F$3:$F$935)</f>
        <v>117</v>
      </c>
      <c r="I58" s="135">
        <f>SUMIF(lunch1920_g1to6!$B$3:$B$935,ActiveDistricts!$F58,lunch1920_g1to6!$G$3:$G$935)</f>
        <v>76</v>
      </c>
      <c r="J58">
        <f t="shared" si="0"/>
        <v>0.6495726495726496</v>
      </c>
    </row>
    <row r="59" spans="1:10" x14ac:dyDescent="0.2">
      <c r="A59">
        <v>2021</v>
      </c>
      <c r="B59" t="s">
        <v>727</v>
      </c>
      <c r="C59" t="s">
        <v>402</v>
      </c>
      <c r="D59" t="s">
        <v>724</v>
      </c>
      <c r="E59" t="s">
        <v>724</v>
      </c>
      <c r="F59" t="s">
        <v>402</v>
      </c>
      <c r="G59" t="s">
        <v>286</v>
      </c>
      <c r="H59" s="135">
        <f>SUMIF(lunch1920_g1to6!$B$3:$B$935,ActiveDistricts!$F59,lunch1920_g1to6!$F$3:$F$935)</f>
        <v>513</v>
      </c>
      <c r="I59" s="135">
        <f>SUMIF(lunch1920_g1to6!$B$3:$B$935,ActiveDistricts!$F59,lunch1920_g1to6!$G$3:$G$935)</f>
        <v>209</v>
      </c>
      <c r="J59">
        <f t="shared" si="0"/>
        <v>0.40740740740740738</v>
      </c>
    </row>
    <row r="60" spans="1:10" x14ac:dyDescent="0.2">
      <c r="A60">
        <v>2021</v>
      </c>
      <c r="B60" t="s">
        <v>726</v>
      </c>
      <c r="C60" t="s">
        <v>403</v>
      </c>
      <c r="D60" t="s">
        <v>724</v>
      </c>
      <c r="E60" t="s">
        <v>724</v>
      </c>
      <c r="F60" t="s">
        <v>403</v>
      </c>
      <c r="G60" t="s">
        <v>285</v>
      </c>
      <c r="H60" s="135">
        <f>SUMIF(lunch1920_g1to6!$B$3:$B$935,ActiveDistricts!$F60,lunch1920_g1to6!$F$3:$F$935)</f>
        <v>488</v>
      </c>
      <c r="I60" s="135">
        <f>SUMIF(lunch1920_g1to6!$B$3:$B$935,ActiveDistricts!$F60,lunch1920_g1to6!$G$3:$G$935)</f>
        <v>224</v>
      </c>
      <c r="J60">
        <f t="shared" si="0"/>
        <v>0.45901639344262296</v>
      </c>
    </row>
    <row r="61" spans="1:10" x14ac:dyDescent="0.2">
      <c r="A61">
        <v>2021</v>
      </c>
      <c r="B61" t="s">
        <v>728</v>
      </c>
      <c r="C61" t="s">
        <v>404</v>
      </c>
      <c r="D61" t="s">
        <v>735</v>
      </c>
      <c r="E61" t="s">
        <v>724</v>
      </c>
      <c r="F61" t="s">
        <v>404</v>
      </c>
      <c r="G61" t="s">
        <v>284</v>
      </c>
      <c r="H61" s="135">
        <f>SUMIF(lunch1920_g1to6!$B$3:$B$935,ActiveDistricts!$F61,lunch1920_g1to6!$F$3:$F$935)</f>
        <v>400</v>
      </c>
      <c r="I61" s="135">
        <f>SUMIF(lunch1920_g1to6!$B$3:$B$935,ActiveDistricts!$F61,lunch1920_g1to6!$G$3:$G$935)</f>
        <v>242</v>
      </c>
      <c r="J61">
        <f t="shared" si="0"/>
        <v>0.60499999999999998</v>
      </c>
    </row>
    <row r="62" spans="1:10" x14ac:dyDescent="0.2">
      <c r="A62">
        <v>2021</v>
      </c>
      <c r="B62" t="s">
        <v>726</v>
      </c>
      <c r="C62" t="s">
        <v>405</v>
      </c>
      <c r="D62" t="s">
        <v>724</v>
      </c>
      <c r="E62" t="s">
        <v>724</v>
      </c>
      <c r="F62" t="s">
        <v>405</v>
      </c>
      <c r="G62" t="s">
        <v>283</v>
      </c>
      <c r="H62" s="135">
        <f>SUMIF(lunch1920_g1to6!$B$3:$B$935,ActiveDistricts!$F62,lunch1920_g1to6!$F$3:$F$935)</f>
        <v>592</v>
      </c>
      <c r="I62" s="135">
        <f>SUMIF(lunch1920_g1to6!$B$3:$B$935,ActiveDistricts!$F62,lunch1920_g1to6!$G$3:$G$935)</f>
        <v>380</v>
      </c>
      <c r="J62">
        <f t="shared" si="0"/>
        <v>0.64189189189189189</v>
      </c>
    </row>
    <row r="63" spans="1:10" x14ac:dyDescent="0.2">
      <c r="A63">
        <v>2021</v>
      </c>
      <c r="B63" t="s">
        <v>725</v>
      </c>
      <c r="C63" t="s">
        <v>406</v>
      </c>
      <c r="D63" t="s">
        <v>724</v>
      </c>
      <c r="E63" t="s">
        <v>724</v>
      </c>
      <c r="F63" t="s">
        <v>406</v>
      </c>
      <c r="G63" t="s">
        <v>282</v>
      </c>
      <c r="H63" s="135">
        <f>SUMIF(lunch1920_g1to6!$B$3:$B$935,ActiveDistricts!$F63,lunch1920_g1to6!$F$3:$F$935)</f>
        <v>132</v>
      </c>
      <c r="I63" s="135">
        <f>SUMIF(lunch1920_g1to6!$B$3:$B$935,ActiveDistricts!$F63,lunch1920_g1to6!$G$3:$G$935)</f>
        <v>39</v>
      </c>
      <c r="J63">
        <f t="shared" si="0"/>
        <v>0.29545454545454547</v>
      </c>
    </row>
    <row r="64" spans="1:10" x14ac:dyDescent="0.2">
      <c r="A64">
        <v>2021</v>
      </c>
      <c r="B64" t="s">
        <v>728</v>
      </c>
      <c r="C64" t="s">
        <v>407</v>
      </c>
      <c r="D64" t="s">
        <v>724</v>
      </c>
      <c r="E64" t="s">
        <v>724</v>
      </c>
      <c r="F64" t="s">
        <v>407</v>
      </c>
      <c r="G64" t="s">
        <v>281</v>
      </c>
      <c r="H64" s="135">
        <f>SUMIF(lunch1920_g1to6!$B$3:$B$935,ActiveDistricts!$F64,lunch1920_g1to6!$F$3:$F$935)</f>
        <v>65</v>
      </c>
      <c r="I64" s="135">
        <f>SUMIF(lunch1920_g1to6!$B$3:$B$935,ActiveDistricts!$F64,lunch1920_g1to6!$G$3:$G$935)</f>
        <v>41</v>
      </c>
      <c r="J64">
        <f t="shared" si="0"/>
        <v>0.63076923076923075</v>
      </c>
    </row>
    <row r="65" spans="1:10" x14ac:dyDescent="0.2">
      <c r="A65">
        <v>2021</v>
      </c>
      <c r="B65" t="s">
        <v>732</v>
      </c>
      <c r="C65" t="s">
        <v>470</v>
      </c>
      <c r="D65" t="s">
        <v>724</v>
      </c>
      <c r="E65" t="s">
        <v>724</v>
      </c>
      <c r="F65" t="s">
        <v>470</v>
      </c>
      <c r="G65" t="s">
        <v>220</v>
      </c>
      <c r="H65" s="135">
        <f>SUMIF(lunch1920_g1to6!$B$3:$B$935,ActiveDistricts!$F65,lunch1920_g1to6!$F$3:$F$935)</f>
        <v>365</v>
      </c>
      <c r="I65" s="135">
        <f>SUMIF(lunch1920_g1to6!$B$3:$B$935,ActiveDistricts!$F65,lunch1920_g1to6!$G$3:$G$935)</f>
        <v>155</v>
      </c>
      <c r="J65">
        <f t="shared" si="0"/>
        <v>0.42465753424657532</v>
      </c>
    </row>
    <row r="66" spans="1:10" x14ac:dyDescent="0.2">
      <c r="A66">
        <v>2021</v>
      </c>
      <c r="B66" t="s">
        <v>730</v>
      </c>
      <c r="C66" t="s">
        <v>408</v>
      </c>
      <c r="D66" t="s">
        <v>736</v>
      </c>
      <c r="E66" t="s">
        <v>724</v>
      </c>
      <c r="F66" t="s">
        <v>408</v>
      </c>
      <c r="G66" t="s">
        <v>690</v>
      </c>
      <c r="H66" s="135">
        <f>SUMIF(lunch1920_g1to6!$B$3:$B$935,ActiveDistricts!$F66,lunch1920_g1to6!$F$3:$F$935)</f>
        <v>1272</v>
      </c>
      <c r="I66" s="135">
        <f>SUMIF(lunch1920_g1to6!$B$3:$B$935,ActiveDistricts!$F66,lunch1920_g1to6!$G$3:$G$935)</f>
        <v>349</v>
      </c>
      <c r="J66">
        <f t="shared" si="0"/>
        <v>0.27437106918238996</v>
      </c>
    </row>
    <row r="67" spans="1:10" x14ac:dyDescent="0.2">
      <c r="A67">
        <v>2021</v>
      </c>
      <c r="B67" t="s">
        <v>725</v>
      </c>
      <c r="C67" t="s">
        <v>409</v>
      </c>
      <c r="D67" t="s">
        <v>724</v>
      </c>
      <c r="E67" t="s">
        <v>724</v>
      </c>
      <c r="F67" t="s">
        <v>409</v>
      </c>
      <c r="G67" t="s">
        <v>279</v>
      </c>
      <c r="H67" s="135">
        <f>SUMIF(lunch1920_g1to6!$B$3:$B$935,ActiveDistricts!$F67,lunch1920_g1to6!$F$3:$F$935)</f>
        <v>625</v>
      </c>
      <c r="I67" s="135">
        <f>SUMIF(lunch1920_g1to6!$B$3:$B$935,ActiveDistricts!$F67,lunch1920_g1to6!$G$3:$G$935)</f>
        <v>217</v>
      </c>
      <c r="J67">
        <f t="shared" ref="J67:J130" si="1">I67/H67</f>
        <v>0.34720000000000001</v>
      </c>
    </row>
    <row r="68" spans="1:10" x14ac:dyDescent="0.2">
      <c r="A68">
        <v>2021</v>
      </c>
      <c r="B68" t="s">
        <v>734</v>
      </c>
      <c r="C68" t="s">
        <v>410</v>
      </c>
      <c r="D68" t="s">
        <v>724</v>
      </c>
      <c r="E68" t="s">
        <v>724</v>
      </c>
      <c r="F68" t="s">
        <v>410</v>
      </c>
      <c r="G68" t="s">
        <v>278</v>
      </c>
      <c r="H68" s="135">
        <f>SUMIF(lunch1920_g1to6!$B$3:$B$935,ActiveDistricts!$F68,lunch1920_g1to6!$F$3:$F$935)</f>
        <v>1553</v>
      </c>
      <c r="I68" s="135">
        <f>SUMIF(lunch1920_g1to6!$B$3:$B$935,ActiveDistricts!$F68,lunch1920_g1to6!$G$3:$G$935)</f>
        <v>908</v>
      </c>
      <c r="J68">
        <f t="shared" si="1"/>
        <v>0.58467482292337414</v>
      </c>
    </row>
    <row r="69" spans="1:10" x14ac:dyDescent="0.2">
      <c r="A69">
        <v>2021</v>
      </c>
      <c r="B69" t="s">
        <v>723</v>
      </c>
      <c r="C69" t="s">
        <v>411</v>
      </c>
      <c r="D69" t="s">
        <v>724</v>
      </c>
      <c r="E69" t="s">
        <v>724</v>
      </c>
      <c r="F69" t="s">
        <v>411</v>
      </c>
      <c r="G69" t="s">
        <v>277</v>
      </c>
      <c r="H69" s="135">
        <f>SUMIF(lunch1920_g1to6!$B$3:$B$935,ActiveDistricts!$F69,lunch1920_g1to6!$F$3:$F$935)</f>
        <v>285</v>
      </c>
      <c r="I69" s="135">
        <f>SUMIF(lunch1920_g1to6!$B$3:$B$935,ActiveDistricts!$F69,lunch1920_g1to6!$G$3:$G$935)</f>
        <v>134</v>
      </c>
      <c r="J69">
        <f t="shared" si="1"/>
        <v>0.47017543859649125</v>
      </c>
    </row>
    <row r="70" spans="1:10" x14ac:dyDescent="0.2">
      <c r="A70">
        <v>2021</v>
      </c>
      <c r="B70" t="s">
        <v>730</v>
      </c>
      <c r="C70" t="s">
        <v>412</v>
      </c>
      <c r="D70" t="s">
        <v>724</v>
      </c>
      <c r="E70" t="s">
        <v>724</v>
      </c>
      <c r="F70" t="s">
        <v>412</v>
      </c>
      <c r="G70" t="s">
        <v>691</v>
      </c>
      <c r="H70" s="135">
        <f>SUMIF(lunch1920_g1to6!$B$3:$B$935,ActiveDistricts!$F70,lunch1920_g1to6!$F$3:$F$935)</f>
        <v>2474</v>
      </c>
      <c r="I70" s="135">
        <f>SUMIF(lunch1920_g1to6!$B$3:$B$935,ActiveDistricts!$F70,lunch1920_g1to6!$G$3:$G$935)</f>
        <v>849</v>
      </c>
      <c r="J70">
        <f t="shared" si="1"/>
        <v>0.34316895715440582</v>
      </c>
    </row>
    <row r="71" spans="1:10" x14ac:dyDescent="0.2">
      <c r="A71">
        <v>2021</v>
      </c>
      <c r="B71" t="s">
        <v>723</v>
      </c>
      <c r="C71" t="s">
        <v>413</v>
      </c>
      <c r="D71" t="s">
        <v>724</v>
      </c>
      <c r="E71" t="s">
        <v>724</v>
      </c>
      <c r="F71" t="s">
        <v>413</v>
      </c>
      <c r="G71" t="s">
        <v>275</v>
      </c>
      <c r="H71" s="135">
        <f>SUMIF(lunch1920_g1to6!$B$3:$B$935,ActiveDistricts!$F71,lunch1920_g1to6!$F$3:$F$935)</f>
        <v>175</v>
      </c>
      <c r="I71" s="135">
        <f>SUMIF(lunch1920_g1to6!$B$3:$B$935,ActiveDistricts!$F71,lunch1920_g1to6!$G$3:$G$935)</f>
        <v>67</v>
      </c>
      <c r="J71">
        <f t="shared" si="1"/>
        <v>0.38285714285714284</v>
      </c>
    </row>
    <row r="72" spans="1:10" x14ac:dyDescent="0.2">
      <c r="A72">
        <v>2021</v>
      </c>
      <c r="B72" t="s">
        <v>723</v>
      </c>
      <c r="C72" t="s">
        <v>414</v>
      </c>
      <c r="D72" t="s">
        <v>724</v>
      </c>
      <c r="E72" t="s">
        <v>724</v>
      </c>
      <c r="F72" t="s">
        <v>414</v>
      </c>
      <c r="G72" t="s">
        <v>692</v>
      </c>
      <c r="H72" s="135">
        <f>SUMIF(lunch1920_g1to6!$B$3:$B$935,ActiveDistricts!$F72,lunch1920_g1to6!$F$3:$F$935)</f>
        <v>164</v>
      </c>
      <c r="I72" s="135">
        <f>SUMIF(lunch1920_g1to6!$B$3:$B$935,ActiveDistricts!$F72,lunch1920_g1to6!$G$3:$G$935)</f>
        <v>70</v>
      </c>
      <c r="J72">
        <f t="shared" si="1"/>
        <v>0.42682926829268292</v>
      </c>
    </row>
    <row r="73" spans="1:10" x14ac:dyDescent="0.2">
      <c r="A73">
        <v>2021</v>
      </c>
      <c r="B73" t="s">
        <v>734</v>
      </c>
      <c r="C73" t="s">
        <v>415</v>
      </c>
      <c r="D73" t="s">
        <v>724</v>
      </c>
      <c r="E73" t="s">
        <v>724</v>
      </c>
      <c r="F73" t="s">
        <v>415</v>
      </c>
      <c r="G73" t="s">
        <v>273</v>
      </c>
      <c r="H73" s="135">
        <f>SUMIF(lunch1920_g1to6!$B$3:$B$935,ActiveDistricts!$F73,lunch1920_g1to6!$F$3:$F$935)</f>
        <v>302</v>
      </c>
      <c r="I73" s="135">
        <f>SUMIF(lunch1920_g1to6!$B$3:$B$935,ActiveDistricts!$F73,lunch1920_g1to6!$G$3:$G$935)</f>
        <v>216</v>
      </c>
      <c r="J73">
        <f t="shared" si="1"/>
        <v>0.71523178807947019</v>
      </c>
    </row>
    <row r="74" spans="1:10" x14ac:dyDescent="0.2">
      <c r="A74">
        <v>2021</v>
      </c>
      <c r="B74" t="s">
        <v>723</v>
      </c>
      <c r="C74" t="s">
        <v>416</v>
      </c>
      <c r="D74" t="s">
        <v>724</v>
      </c>
      <c r="E74" t="s">
        <v>724</v>
      </c>
      <c r="F74" t="s">
        <v>416</v>
      </c>
      <c r="G74" t="s">
        <v>272</v>
      </c>
      <c r="H74" s="135">
        <f>SUMIF(lunch1920_g1to6!$B$3:$B$935,ActiveDistricts!$F74,lunch1920_g1to6!$F$3:$F$935)</f>
        <v>197</v>
      </c>
      <c r="I74" s="135">
        <f>SUMIF(lunch1920_g1to6!$B$3:$B$935,ActiveDistricts!$F74,lunch1920_g1to6!$G$3:$G$935)</f>
        <v>98</v>
      </c>
      <c r="J74">
        <f t="shared" si="1"/>
        <v>0.49746192893401014</v>
      </c>
    </row>
    <row r="75" spans="1:10" x14ac:dyDescent="0.2">
      <c r="A75">
        <v>2021</v>
      </c>
      <c r="B75" t="s">
        <v>726</v>
      </c>
      <c r="C75" t="s">
        <v>417</v>
      </c>
      <c r="D75" t="s">
        <v>724</v>
      </c>
      <c r="E75" t="s">
        <v>724</v>
      </c>
      <c r="F75" t="s">
        <v>417</v>
      </c>
      <c r="G75" t="s">
        <v>271</v>
      </c>
      <c r="H75" s="135">
        <f>SUMIF(lunch1920_g1to6!$B$3:$B$935,ActiveDistricts!$F75,lunch1920_g1to6!$F$3:$F$935)</f>
        <v>149</v>
      </c>
      <c r="I75" s="135">
        <f>SUMIF(lunch1920_g1to6!$B$3:$B$935,ActiveDistricts!$F75,lunch1920_g1to6!$G$3:$G$935)</f>
        <v>77</v>
      </c>
      <c r="J75">
        <f t="shared" si="1"/>
        <v>0.51677852348993292</v>
      </c>
    </row>
    <row r="76" spans="1:10" x14ac:dyDescent="0.2">
      <c r="A76">
        <v>2021</v>
      </c>
      <c r="B76" t="s">
        <v>726</v>
      </c>
      <c r="C76" t="s">
        <v>418</v>
      </c>
      <c r="D76" t="s">
        <v>724</v>
      </c>
      <c r="E76" t="s">
        <v>724</v>
      </c>
      <c r="F76" t="s">
        <v>418</v>
      </c>
      <c r="G76" t="s">
        <v>270</v>
      </c>
      <c r="H76" s="135">
        <f>SUMIF(lunch1920_g1to6!$B$3:$B$935,ActiveDistricts!$F76,lunch1920_g1to6!$F$3:$F$935)</f>
        <v>4027</v>
      </c>
      <c r="I76" s="135">
        <f>SUMIF(lunch1920_g1to6!$B$3:$B$935,ActiveDistricts!$F76,lunch1920_g1to6!$G$3:$G$935)</f>
        <v>2724</v>
      </c>
      <c r="J76">
        <f t="shared" si="1"/>
        <v>0.67643407002731559</v>
      </c>
    </row>
    <row r="77" spans="1:10" x14ac:dyDescent="0.2">
      <c r="A77">
        <v>2021</v>
      </c>
      <c r="B77" t="s">
        <v>726</v>
      </c>
      <c r="C77" t="s">
        <v>419</v>
      </c>
      <c r="D77" t="s">
        <v>737</v>
      </c>
      <c r="E77" t="s">
        <v>724</v>
      </c>
      <c r="F77" t="s">
        <v>419</v>
      </c>
      <c r="G77" t="s">
        <v>269</v>
      </c>
      <c r="H77" s="135">
        <f>SUMIF(lunch1920_g1to6!$B$3:$B$935,ActiveDistricts!$F77,lunch1920_g1to6!$F$3:$F$935)</f>
        <v>555</v>
      </c>
      <c r="I77" s="135">
        <f>SUMIF(lunch1920_g1to6!$B$3:$B$935,ActiveDistricts!$F77,lunch1920_g1to6!$G$3:$G$935)</f>
        <v>372</v>
      </c>
      <c r="J77">
        <f t="shared" si="1"/>
        <v>0.67027027027027031</v>
      </c>
    </row>
    <row r="78" spans="1:10" x14ac:dyDescent="0.2">
      <c r="A78">
        <v>2021</v>
      </c>
      <c r="B78" t="s">
        <v>723</v>
      </c>
      <c r="C78" t="s">
        <v>420</v>
      </c>
      <c r="D78" t="s">
        <v>724</v>
      </c>
      <c r="E78" t="s">
        <v>724</v>
      </c>
      <c r="F78" t="s">
        <v>420</v>
      </c>
      <c r="G78" t="s">
        <v>268</v>
      </c>
      <c r="H78" s="135">
        <f>SUMIF(lunch1920_g1to6!$B$3:$B$935,ActiveDistricts!$F78,lunch1920_g1to6!$F$3:$F$935)</f>
        <v>1568</v>
      </c>
      <c r="I78" s="135">
        <f>SUMIF(lunch1920_g1to6!$B$3:$B$935,ActiveDistricts!$F78,lunch1920_g1to6!$G$3:$G$935)</f>
        <v>248</v>
      </c>
      <c r="J78">
        <f t="shared" si="1"/>
        <v>0.15816326530612246</v>
      </c>
    </row>
    <row r="79" spans="1:10" x14ac:dyDescent="0.2">
      <c r="A79">
        <v>2021</v>
      </c>
      <c r="B79" t="s">
        <v>729</v>
      </c>
      <c r="C79" t="s">
        <v>421</v>
      </c>
      <c r="D79" t="s">
        <v>724</v>
      </c>
      <c r="E79" t="s">
        <v>724</v>
      </c>
      <c r="F79" t="s">
        <v>421</v>
      </c>
      <c r="G79" t="s">
        <v>267</v>
      </c>
      <c r="H79" s="135">
        <f>SUMIF(lunch1920_g1to6!$B$3:$B$935,ActiveDistricts!$F79,lunch1920_g1to6!$F$3:$F$935)</f>
        <v>300</v>
      </c>
      <c r="I79" s="135">
        <f>SUMIF(lunch1920_g1to6!$B$3:$B$935,ActiveDistricts!$F79,lunch1920_g1to6!$G$3:$G$935)</f>
        <v>96</v>
      </c>
      <c r="J79">
        <f t="shared" si="1"/>
        <v>0.32</v>
      </c>
    </row>
    <row r="80" spans="1:10" x14ac:dyDescent="0.2">
      <c r="A80">
        <v>2021</v>
      </c>
      <c r="B80" t="s">
        <v>734</v>
      </c>
      <c r="C80" t="s">
        <v>422</v>
      </c>
      <c r="D80" t="s">
        <v>724</v>
      </c>
      <c r="E80" t="s">
        <v>724</v>
      </c>
      <c r="F80" t="s">
        <v>422</v>
      </c>
      <c r="G80" t="s">
        <v>266</v>
      </c>
      <c r="H80" s="135">
        <f>SUMIF(lunch1920_g1to6!$B$3:$B$935,ActiveDistricts!$F80,lunch1920_g1to6!$F$3:$F$935)</f>
        <v>6503</v>
      </c>
      <c r="I80" s="135">
        <f>SUMIF(lunch1920_g1to6!$B$3:$B$935,ActiveDistricts!$F80,lunch1920_g1to6!$G$3:$G$935)</f>
        <v>3790</v>
      </c>
      <c r="J80">
        <f t="shared" si="1"/>
        <v>0.58280793479932336</v>
      </c>
    </row>
    <row r="81" spans="1:10" x14ac:dyDescent="0.2">
      <c r="A81">
        <v>2021</v>
      </c>
      <c r="B81" t="s">
        <v>729</v>
      </c>
      <c r="C81" t="s">
        <v>423</v>
      </c>
      <c r="D81" t="s">
        <v>724</v>
      </c>
      <c r="E81" t="s">
        <v>724</v>
      </c>
      <c r="F81" t="s">
        <v>423</v>
      </c>
      <c r="G81" t="s">
        <v>265</v>
      </c>
      <c r="H81" s="135">
        <f>SUMIF(lunch1920_g1to6!$B$3:$B$935,ActiveDistricts!$F81,lunch1920_g1to6!$F$3:$F$935)</f>
        <v>557</v>
      </c>
      <c r="I81" s="135">
        <f>SUMIF(lunch1920_g1to6!$B$3:$B$935,ActiveDistricts!$F81,lunch1920_g1to6!$G$3:$G$935)</f>
        <v>310</v>
      </c>
      <c r="J81">
        <f t="shared" si="1"/>
        <v>0.55655296229802509</v>
      </c>
    </row>
    <row r="82" spans="1:10" x14ac:dyDescent="0.2">
      <c r="A82">
        <v>2021</v>
      </c>
      <c r="B82" t="s">
        <v>732</v>
      </c>
      <c r="C82" t="s">
        <v>424</v>
      </c>
      <c r="D82" t="s">
        <v>560</v>
      </c>
      <c r="E82" t="s">
        <v>724</v>
      </c>
      <c r="F82" t="s">
        <v>424</v>
      </c>
      <c r="G82" t="s">
        <v>693</v>
      </c>
      <c r="H82" s="135">
        <f>SUMIF(lunch1920_g1to6!$B$3:$B$935,ActiveDistricts!$F82,lunch1920_g1to6!$F$3:$F$935)</f>
        <v>678</v>
      </c>
      <c r="I82" s="135">
        <f>SUMIF(lunch1920_g1to6!$B$3:$B$935,ActiveDistricts!$F82,lunch1920_g1to6!$G$3:$G$935)</f>
        <v>176</v>
      </c>
      <c r="J82">
        <f t="shared" si="1"/>
        <v>0.25958702064896755</v>
      </c>
    </row>
    <row r="83" spans="1:10" x14ac:dyDescent="0.2">
      <c r="A83">
        <v>2021</v>
      </c>
      <c r="B83" t="s">
        <v>734</v>
      </c>
      <c r="C83" t="s">
        <v>425</v>
      </c>
      <c r="D83" t="s">
        <v>724</v>
      </c>
      <c r="E83" t="s">
        <v>724</v>
      </c>
      <c r="F83" t="s">
        <v>425</v>
      </c>
      <c r="G83" t="s">
        <v>263</v>
      </c>
      <c r="H83" s="135">
        <f>SUMIF(lunch1920_g1to6!$B$3:$B$935,ActiveDistricts!$F83,lunch1920_g1to6!$F$3:$F$935)</f>
        <v>111</v>
      </c>
      <c r="I83" s="135">
        <f>SUMIF(lunch1920_g1to6!$B$3:$B$935,ActiveDistricts!$F83,lunch1920_g1to6!$G$3:$G$935)</f>
        <v>46</v>
      </c>
      <c r="J83">
        <f t="shared" si="1"/>
        <v>0.4144144144144144</v>
      </c>
    </row>
    <row r="84" spans="1:10" x14ac:dyDescent="0.2">
      <c r="A84">
        <v>2021</v>
      </c>
      <c r="B84" t="s">
        <v>727</v>
      </c>
      <c r="C84" t="s">
        <v>426</v>
      </c>
      <c r="D84" t="s">
        <v>724</v>
      </c>
      <c r="E84" t="s">
        <v>724</v>
      </c>
      <c r="F84" t="s">
        <v>426</v>
      </c>
      <c r="G84" t="s">
        <v>262</v>
      </c>
      <c r="H84" s="135">
        <f>SUMIF(lunch1920_g1to6!$B$3:$B$935,ActiveDistricts!$F84,lunch1920_g1to6!$F$3:$F$935)</f>
        <v>953</v>
      </c>
      <c r="I84" s="135">
        <f>SUMIF(lunch1920_g1to6!$B$3:$B$935,ActiveDistricts!$F84,lunch1920_g1to6!$G$3:$G$935)</f>
        <v>718</v>
      </c>
      <c r="J84">
        <f t="shared" si="1"/>
        <v>0.7534102833158447</v>
      </c>
    </row>
    <row r="85" spans="1:10" x14ac:dyDescent="0.2">
      <c r="A85">
        <v>2021</v>
      </c>
      <c r="B85" t="s">
        <v>725</v>
      </c>
      <c r="C85" t="s">
        <v>427</v>
      </c>
      <c r="D85" t="s">
        <v>724</v>
      </c>
      <c r="E85" t="s">
        <v>724</v>
      </c>
      <c r="F85" t="s">
        <v>427</v>
      </c>
      <c r="G85" t="s">
        <v>261</v>
      </c>
      <c r="H85" s="135">
        <f>SUMIF(lunch1920_g1to6!$B$3:$B$935,ActiveDistricts!$F85,lunch1920_g1to6!$F$3:$F$935)</f>
        <v>395</v>
      </c>
      <c r="I85" s="135">
        <f>SUMIF(lunch1920_g1to6!$B$3:$B$935,ActiveDistricts!$F85,lunch1920_g1to6!$G$3:$G$935)</f>
        <v>54</v>
      </c>
      <c r="J85">
        <f t="shared" si="1"/>
        <v>0.13670886075949368</v>
      </c>
    </row>
    <row r="86" spans="1:10" x14ac:dyDescent="0.2">
      <c r="A86">
        <v>2021</v>
      </c>
      <c r="B86" t="s">
        <v>723</v>
      </c>
      <c r="C86" t="s">
        <v>428</v>
      </c>
      <c r="D86" t="s">
        <v>724</v>
      </c>
      <c r="E86" t="s">
        <v>724</v>
      </c>
      <c r="F86" t="s">
        <v>428</v>
      </c>
      <c r="G86" t="s">
        <v>694</v>
      </c>
      <c r="H86" s="135">
        <f>SUMIF(lunch1920_g1to6!$B$3:$B$935,ActiveDistricts!$F86,lunch1920_g1to6!$F$3:$F$935)</f>
        <v>14450</v>
      </c>
      <c r="I86" s="135">
        <f>SUMIF(lunch1920_g1to6!$B$3:$B$935,ActiveDistricts!$F86,lunch1920_g1to6!$G$3:$G$935)</f>
        <v>11521</v>
      </c>
      <c r="J86">
        <f t="shared" si="1"/>
        <v>0.7973010380622837</v>
      </c>
    </row>
    <row r="87" spans="1:10" x14ac:dyDescent="0.2">
      <c r="A87">
        <v>2021</v>
      </c>
      <c r="B87" t="s">
        <v>726</v>
      </c>
      <c r="C87" t="s">
        <v>429</v>
      </c>
      <c r="D87" t="s">
        <v>724</v>
      </c>
      <c r="E87" t="s">
        <v>724</v>
      </c>
      <c r="F87" t="s">
        <v>429</v>
      </c>
      <c r="G87" t="s">
        <v>259</v>
      </c>
      <c r="H87" s="135">
        <f>SUMIF(lunch1920_g1to6!$B$3:$B$935,ActiveDistricts!$F87,lunch1920_g1to6!$F$3:$F$935)</f>
        <v>55</v>
      </c>
      <c r="I87" s="135">
        <f>SUMIF(lunch1920_g1to6!$B$3:$B$935,ActiveDistricts!$F87,lunch1920_g1to6!$G$3:$G$935)</f>
        <v>38</v>
      </c>
      <c r="J87">
        <f t="shared" si="1"/>
        <v>0.69090909090909092</v>
      </c>
    </row>
    <row r="88" spans="1:10" x14ac:dyDescent="0.2">
      <c r="A88">
        <v>2021</v>
      </c>
      <c r="B88" t="s">
        <v>725</v>
      </c>
      <c r="C88" t="s">
        <v>430</v>
      </c>
      <c r="D88" t="s">
        <v>724</v>
      </c>
      <c r="E88" t="s">
        <v>724</v>
      </c>
      <c r="F88" t="s">
        <v>430</v>
      </c>
      <c r="G88" t="s">
        <v>258</v>
      </c>
      <c r="H88" s="135">
        <f>SUMIF(lunch1920_g1to6!$B$3:$B$935,ActiveDistricts!$F88,lunch1920_g1to6!$F$3:$F$935)</f>
        <v>388</v>
      </c>
      <c r="I88" s="135">
        <f>SUMIF(lunch1920_g1to6!$B$3:$B$935,ActiveDistricts!$F88,lunch1920_g1to6!$G$3:$G$935)</f>
        <v>85</v>
      </c>
      <c r="J88">
        <f t="shared" si="1"/>
        <v>0.21907216494845361</v>
      </c>
    </row>
    <row r="89" spans="1:10" x14ac:dyDescent="0.2">
      <c r="A89">
        <v>2021</v>
      </c>
      <c r="B89" t="s">
        <v>732</v>
      </c>
      <c r="C89" t="s">
        <v>431</v>
      </c>
      <c r="D89" t="s">
        <v>724</v>
      </c>
      <c r="E89" t="s">
        <v>724</v>
      </c>
      <c r="F89" t="s">
        <v>431</v>
      </c>
      <c r="G89" t="s">
        <v>257</v>
      </c>
      <c r="H89" s="135">
        <f>SUMIF(lunch1920_g1to6!$B$3:$B$935,ActiveDistricts!$F89,lunch1920_g1to6!$F$3:$F$935)</f>
        <v>4550</v>
      </c>
      <c r="I89" s="135">
        <f>SUMIF(lunch1920_g1to6!$B$3:$B$935,ActiveDistricts!$F89,lunch1920_g1to6!$G$3:$G$935)</f>
        <v>1963</v>
      </c>
      <c r="J89">
        <f t="shared" si="1"/>
        <v>0.43142857142857144</v>
      </c>
    </row>
    <row r="90" spans="1:10" x14ac:dyDescent="0.2">
      <c r="A90">
        <v>2021</v>
      </c>
      <c r="B90" t="s">
        <v>725</v>
      </c>
      <c r="C90" t="s">
        <v>432</v>
      </c>
      <c r="D90" t="s">
        <v>724</v>
      </c>
      <c r="E90" t="s">
        <v>724</v>
      </c>
      <c r="F90" t="s">
        <v>432</v>
      </c>
      <c r="G90" t="s">
        <v>256</v>
      </c>
      <c r="H90" s="135">
        <f>SUMIF(lunch1920_g1to6!$B$3:$B$935,ActiveDistricts!$F90,lunch1920_g1to6!$F$3:$F$935)</f>
        <v>157</v>
      </c>
      <c r="I90" s="135">
        <f>SUMIF(lunch1920_g1to6!$B$3:$B$935,ActiveDistricts!$F90,lunch1920_g1to6!$G$3:$G$935)</f>
        <v>57</v>
      </c>
      <c r="J90">
        <f t="shared" si="1"/>
        <v>0.36305732484076431</v>
      </c>
    </row>
    <row r="91" spans="1:10" x14ac:dyDescent="0.2">
      <c r="A91">
        <v>2021</v>
      </c>
      <c r="B91" t="s">
        <v>734</v>
      </c>
      <c r="C91" t="s">
        <v>434</v>
      </c>
      <c r="D91" t="s">
        <v>724</v>
      </c>
      <c r="E91" t="s">
        <v>724</v>
      </c>
      <c r="F91" t="s">
        <v>434</v>
      </c>
      <c r="G91" t="s">
        <v>254</v>
      </c>
      <c r="H91" s="135">
        <f>SUMIF(lunch1920_g1to6!$B$3:$B$935,ActiveDistricts!$F91,lunch1920_g1to6!$F$3:$F$935)</f>
        <v>263</v>
      </c>
      <c r="I91" s="135">
        <f>SUMIF(lunch1920_g1to6!$B$3:$B$935,ActiveDistricts!$F91,lunch1920_g1to6!$G$3:$G$935)</f>
        <v>80</v>
      </c>
      <c r="J91">
        <f t="shared" si="1"/>
        <v>0.30418250950570341</v>
      </c>
    </row>
    <row r="92" spans="1:10" x14ac:dyDescent="0.2">
      <c r="A92">
        <v>2021</v>
      </c>
      <c r="B92" t="s">
        <v>728</v>
      </c>
      <c r="C92" t="s">
        <v>436</v>
      </c>
      <c r="D92" t="s">
        <v>724</v>
      </c>
      <c r="E92" t="s">
        <v>724</v>
      </c>
      <c r="F92" t="s">
        <v>436</v>
      </c>
      <c r="G92" t="s">
        <v>253</v>
      </c>
      <c r="H92" s="135">
        <f>SUMIF(lunch1920_g1to6!$B$3:$B$935,ActiveDistricts!$F92,lunch1920_g1to6!$F$3:$F$935)</f>
        <v>427</v>
      </c>
      <c r="I92" s="135">
        <f>SUMIF(lunch1920_g1to6!$B$3:$B$935,ActiveDistricts!$F92,lunch1920_g1to6!$G$3:$G$935)</f>
        <v>317</v>
      </c>
      <c r="J92">
        <f t="shared" si="1"/>
        <v>0.74238875878220145</v>
      </c>
    </row>
    <row r="93" spans="1:10" x14ac:dyDescent="0.2">
      <c r="A93">
        <v>2021</v>
      </c>
      <c r="B93" t="s">
        <v>723</v>
      </c>
      <c r="C93" t="s">
        <v>437</v>
      </c>
      <c r="D93" t="s">
        <v>724</v>
      </c>
      <c r="E93" t="s">
        <v>724</v>
      </c>
      <c r="F93" t="s">
        <v>437</v>
      </c>
      <c r="G93" t="s">
        <v>252</v>
      </c>
      <c r="H93" s="135">
        <f>SUMIF(lunch1920_g1to6!$B$3:$B$935,ActiveDistricts!$F93,lunch1920_g1to6!$F$3:$F$935)</f>
        <v>273</v>
      </c>
      <c r="I93" s="135">
        <f>SUMIF(lunch1920_g1to6!$B$3:$B$935,ActiveDistricts!$F93,lunch1920_g1to6!$G$3:$G$935)</f>
        <v>84</v>
      </c>
      <c r="J93">
        <f t="shared" si="1"/>
        <v>0.30769230769230771</v>
      </c>
    </row>
    <row r="94" spans="1:10" x14ac:dyDescent="0.2">
      <c r="A94">
        <v>2021</v>
      </c>
      <c r="B94" t="s">
        <v>725</v>
      </c>
      <c r="C94" t="s">
        <v>438</v>
      </c>
      <c r="D94" t="s">
        <v>724</v>
      </c>
      <c r="E94" t="s">
        <v>724</v>
      </c>
      <c r="F94" t="s">
        <v>438</v>
      </c>
      <c r="G94" t="s">
        <v>251</v>
      </c>
      <c r="H94" s="135">
        <f>SUMIF(lunch1920_g1to6!$B$3:$B$935,ActiveDistricts!$F94,lunch1920_g1to6!$F$3:$F$935)</f>
        <v>246</v>
      </c>
      <c r="I94" s="135">
        <f>SUMIF(lunch1920_g1to6!$B$3:$B$935,ActiveDistricts!$F94,lunch1920_g1to6!$G$3:$G$935)</f>
        <v>86</v>
      </c>
      <c r="J94">
        <f t="shared" si="1"/>
        <v>0.34959349593495936</v>
      </c>
    </row>
    <row r="95" spans="1:10" x14ac:dyDescent="0.2">
      <c r="A95">
        <v>2021</v>
      </c>
      <c r="B95" t="s">
        <v>725</v>
      </c>
      <c r="C95" t="s">
        <v>503</v>
      </c>
      <c r="D95" t="s">
        <v>724</v>
      </c>
      <c r="E95" t="s">
        <v>724</v>
      </c>
      <c r="F95" t="s">
        <v>675</v>
      </c>
      <c r="G95" t="s">
        <v>249</v>
      </c>
      <c r="H95" s="135">
        <f>SUMIF(lunch1920_g1to6!$B$3:$B$935,ActiveDistricts!$F95,lunch1920_g1to6!$F$3:$F$935)</f>
        <v>355</v>
      </c>
      <c r="I95" s="135">
        <f>SUMIF(lunch1920_g1to6!$B$3:$B$935,ActiveDistricts!$F95,lunch1920_g1to6!$G$3:$G$935)</f>
        <v>163</v>
      </c>
      <c r="J95">
        <f t="shared" si="1"/>
        <v>0.45915492957746479</v>
      </c>
    </row>
    <row r="96" spans="1:10" x14ac:dyDescent="0.2">
      <c r="A96">
        <v>2021</v>
      </c>
      <c r="B96" t="s">
        <v>726</v>
      </c>
      <c r="C96" t="s">
        <v>516</v>
      </c>
      <c r="D96" t="s">
        <v>738</v>
      </c>
      <c r="E96" t="s">
        <v>724</v>
      </c>
      <c r="F96" t="s">
        <v>516</v>
      </c>
      <c r="G96" t="s">
        <v>176</v>
      </c>
      <c r="H96" s="135">
        <f>SUMIF(lunch1920_g1to6!$B$3:$B$935,ActiveDistricts!$F96,lunch1920_g1to6!$F$3:$F$935)</f>
        <v>178</v>
      </c>
      <c r="I96" s="135">
        <f>SUMIF(lunch1920_g1to6!$B$3:$B$935,ActiveDistricts!$F96,lunch1920_g1to6!$G$3:$G$935)</f>
        <v>91</v>
      </c>
      <c r="J96">
        <f t="shared" si="1"/>
        <v>0.5112359550561798</v>
      </c>
    </row>
    <row r="97" spans="1:10" x14ac:dyDescent="0.2">
      <c r="A97">
        <v>2021</v>
      </c>
      <c r="B97" t="s">
        <v>728</v>
      </c>
      <c r="C97" t="s">
        <v>641</v>
      </c>
      <c r="D97" t="s">
        <v>724</v>
      </c>
      <c r="E97" t="s">
        <v>724</v>
      </c>
      <c r="F97" t="s">
        <v>641</v>
      </c>
      <c r="G97" t="s">
        <v>57</v>
      </c>
      <c r="H97" s="135">
        <f>SUMIF(lunch1920_g1to6!$B$3:$B$935,ActiveDistricts!$F97,lunch1920_g1to6!$F$3:$F$935)</f>
        <v>348</v>
      </c>
      <c r="I97" s="135">
        <f>SUMIF(lunch1920_g1to6!$B$3:$B$935,ActiveDistricts!$F97,lunch1920_g1to6!$G$3:$G$935)</f>
        <v>185</v>
      </c>
      <c r="J97">
        <f t="shared" si="1"/>
        <v>0.5316091954022989</v>
      </c>
    </row>
    <row r="98" spans="1:10" x14ac:dyDescent="0.2">
      <c r="A98">
        <v>2021</v>
      </c>
      <c r="B98" t="s">
        <v>726</v>
      </c>
      <c r="C98" t="s">
        <v>440</v>
      </c>
      <c r="D98" t="s">
        <v>724</v>
      </c>
      <c r="E98" t="s">
        <v>724</v>
      </c>
      <c r="F98" t="s">
        <v>440</v>
      </c>
      <c r="G98" t="s">
        <v>248</v>
      </c>
      <c r="H98" s="135">
        <f>SUMIF(lunch1920_g1to6!$B$3:$B$935,ActiveDistricts!$F98,lunch1920_g1to6!$F$3:$F$935)</f>
        <v>229</v>
      </c>
      <c r="I98" s="135">
        <f>SUMIF(lunch1920_g1to6!$B$3:$B$935,ActiveDistricts!$F98,lunch1920_g1to6!$G$3:$G$935)</f>
        <v>160</v>
      </c>
      <c r="J98">
        <f t="shared" si="1"/>
        <v>0.69868995633187769</v>
      </c>
    </row>
    <row r="99" spans="1:10" x14ac:dyDescent="0.2">
      <c r="A99">
        <v>2021</v>
      </c>
      <c r="B99" t="s">
        <v>732</v>
      </c>
      <c r="C99" t="s">
        <v>441</v>
      </c>
      <c r="D99" t="s">
        <v>724</v>
      </c>
      <c r="E99" t="s">
        <v>724</v>
      </c>
      <c r="F99" t="s">
        <v>441</v>
      </c>
      <c r="G99" t="s">
        <v>247</v>
      </c>
      <c r="H99" s="135">
        <f>SUMIF(lunch1920_g1to6!$B$3:$B$935,ActiveDistricts!$F99,lunch1920_g1to6!$F$3:$F$935)</f>
        <v>125</v>
      </c>
      <c r="I99" s="135">
        <f>SUMIF(lunch1920_g1to6!$B$3:$B$935,ActiveDistricts!$F99,lunch1920_g1to6!$G$3:$G$935)</f>
        <v>51</v>
      </c>
      <c r="J99">
        <f t="shared" si="1"/>
        <v>0.40799999999999997</v>
      </c>
    </row>
    <row r="100" spans="1:10" x14ac:dyDescent="0.2">
      <c r="A100">
        <v>2021</v>
      </c>
      <c r="B100" t="s">
        <v>734</v>
      </c>
      <c r="C100" t="s">
        <v>439</v>
      </c>
      <c r="D100" t="s">
        <v>724</v>
      </c>
      <c r="E100" t="s">
        <v>724</v>
      </c>
      <c r="F100" t="s">
        <v>439</v>
      </c>
      <c r="G100" t="s">
        <v>250</v>
      </c>
      <c r="H100" s="135">
        <f>SUMIF(lunch1920_g1to6!$B$3:$B$935,ActiveDistricts!$F100,lunch1920_g1to6!$F$3:$F$935)</f>
        <v>191</v>
      </c>
      <c r="I100" s="135">
        <f>SUMIF(lunch1920_g1to6!$B$3:$B$935,ActiveDistricts!$F100,lunch1920_g1to6!$G$3:$G$935)</f>
        <v>91</v>
      </c>
      <c r="J100">
        <f t="shared" si="1"/>
        <v>0.47643979057591623</v>
      </c>
    </row>
    <row r="101" spans="1:10" x14ac:dyDescent="0.2">
      <c r="A101">
        <v>2021</v>
      </c>
      <c r="B101" t="s">
        <v>729</v>
      </c>
      <c r="C101" t="s">
        <v>374</v>
      </c>
      <c r="D101" t="s">
        <v>724</v>
      </c>
      <c r="E101" t="s">
        <v>724</v>
      </c>
      <c r="F101" t="s">
        <v>374</v>
      </c>
      <c r="G101" t="s">
        <v>695</v>
      </c>
      <c r="H101" s="135">
        <f>SUMIF(lunch1920_g1to6!$B$3:$B$935,ActiveDistricts!$F101,lunch1920_g1to6!$F$3:$F$935)</f>
        <v>452</v>
      </c>
      <c r="I101" s="135">
        <f>SUMIF(lunch1920_g1to6!$B$3:$B$935,ActiveDistricts!$F101,lunch1920_g1to6!$G$3:$G$935)</f>
        <v>183</v>
      </c>
      <c r="J101">
        <f t="shared" si="1"/>
        <v>0.40486725663716816</v>
      </c>
    </row>
    <row r="102" spans="1:10" x14ac:dyDescent="0.2">
      <c r="A102">
        <v>2021</v>
      </c>
      <c r="B102" t="s">
        <v>732</v>
      </c>
      <c r="C102" t="s">
        <v>443</v>
      </c>
      <c r="D102" t="s">
        <v>724</v>
      </c>
      <c r="E102" t="s">
        <v>724</v>
      </c>
      <c r="F102" t="s">
        <v>443</v>
      </c>
      <c r="G102" t="s">
        <v>245</v>
      </c>
      <c r="H102" s="135">
        <f>SUMIF(lunch1920_g1to6!$B$3:$B$935,ActiveDistricts!$F102,lunch1920_g1to6!$F$3:$F$935)</f>
        <v>227</v>
      </c>
      <c r="I102" s="135">
        <f>SUMIF(lunch1920_g1to6!$B$3:$B$935,ActiveDistricts!$F102,lunch1920_g1to6!$G$3:$G$935)</f>
        <v>83</v>
      </c>
      <c r="J102">
        <f t="shared" si="1"/>
        <v>0.3656387665198238</v>
      </c>
    </row>
    <row r="103" spans="1:10" x14ac:dyDescent="0.2">
      <c r="A103">
        <v>2021</v>
      </c>
      <c r="B103" t="s">
        <v>725</v>
      </c>
      <c r="C103" t="s">
        <v>444</v>
      </c>
      <c r="D103" t="s">
        <v>724</v>
      </c>
      <c r="E103" t="s">
        <v>724</v>
      </c>
      <c r="F103" t="s">
        <v>444</v>
      </c>
      <c r="G103" t="s">
        <v>244</v>
      </c>
      <c r="H103" s="135">
        <f>SUMIF(lunch1920_g1to6!$B$3:$B$935,ActiveDistricts!$F103,lunch1920_g1to6!$F$3:$F$935)</f>
        <v>222</v>
      </c>
      <c r="I103" s="135">
        <f>SUMIF(lunch1920_g1to6!$B$3:$B$935,ActiveDistricts!$F103,lunch1920_g1to6!$G$3:$G$935)</f>
        <v>124</v>
      </c>
      <c r="J103">
        <f t="shared" si="1"/>
        <v>0.55855855855855852</v>
      </c>
    </row>
    <row r="104" spans="1:10" x14ac:dyDescent="0.2">
      <c r="A104">
        <v>2021</v>
      </c>
      <c r="B104" t="s">
        <v>728</v>
      </c>
      <c r="C104" t="s">
        <v>445</v>
      </c>
      <c r="D104" t="s">
        <v>724</v>
      </c>
      <c r="E104" t="s">
        <v>724</v>
      </c>
      <c r="F104" t="s">
        <v>445</v>
      </c>
      <c r="G104" t="s">
        <v>243</v>
      </c>
      <c r="H104" s="135">
        <f>SUMIF(lunch1920_g1to6!$B$3:$B$935,ActiveDistricts!$F104,lunch1920_g1to6!$F$3:$F$935)</f>
        <v>299</v>
      </c>
      <c r="I104" s="135">
        <f>SUMIF(lunch1920_g1to6!$B$3:$B$935,ActiveDistricts!$F104,lunch1920_g1to6!$G$3:$G$935)</f>
        <v>149</v>
      </c>
      <c r="J104">
        <f t="shared" si="1"/>
        <v>0.49832775919732442</v>
      </c>
    </row>
    <row r="105" spans="1:10" x14ac:dyDescent="0.2">
      <c r="A105">
        <v>2021</v>
      </c>
      <c r="B105" t="s">
        <v>730</v>
      </c>
      <c r="C105" t="s">
        <v>446</v>
      </c>
      <c r="D105" t="s">
        <v>724</v>
      </c>
      <c r="E105" t="s">
        <v>724</v>
      </c>
      <c r="F105" t="s">
        <v>446</v>
      </c>
      <c r="G105" t="s">
        <v>242</v>
      </c>
      <c r="H105" s="135">
        <f>SUMIF(lunch1920_g1to6!$B$3:$B$935,ActiveDistricts!$F105,lunch1920_g1to6!$F$3:$F$935)</f>
        <v>188</v>
      </c>
      <c r="I105" s="135">
        <f>SUMIF(lunch1920_g1to6!$B$3:$B$935,ActiveDistricts!$F105,lunch1920_g1to6!$G$3:$G$935)</f>
        <v>79</v>
      </c>
      <c r="J105">
        <f t="shared" si="1"/>
        <v>0.42021276595744683</v>
      </c>
    </row>
    <row r="106" spans="1:10" x14ac:dyDescent="0.2">
      <c r="A106">
        <v>2021</v>
      </c>
      <c r="B106" t="s">
        <v>726</v>
      </c>
      <c r="C106" t="s">
        <v>447</v>
      </c>
      <c r="D106" t="s">
        <v>724</v>
      </c>
      <c r="E106" t="s">
        <v>724</v>
      </c>
      <c r="F106" t="s">
        <v>447</v>
      </c>
      <c r="G106" t="s">
        <v>241</v>
      </c>
      <c r="H106" s="135">
        <f>SUMIF(lunch1920_g1to6!$B$3:$B$935,ActiveDistricts!$F106,lunch1920_g1to6!$F$3:$F$935)</f>
        <v>72</v>
      </c>
      <c r="I106" s="135">
        <f>SUMIF(lunch1920_g1to6!$B$3:$B$935,ActiveDistricts!$F106,lunch1920_g1to6!$G$3:$G$935)</f>
        <v>51</v>
      </c>
      <c r="J106">
        <f t="shared" si="1"/>
        <v>0.70833333333333337</v>
      </c>
    </row>
    <row r="107" spans="1:10" x14ac:dyDescent="0.2">
      <c r="A107">
        <v>2021</v>
      </c>
      <c r="B107" t="s">
        <v>728</v>
      </c>
      <c r="C107" t="s">
        <v>448</v>
      </c>
      <c r="D107" t="s">
        <v>724</v>
      </c>
      <c r="E107" t="s">
        <v>724</v>
      </c>
      <c r="F107" t="s">
        <v>448</v>
      </c>
      <c r="G107" t="s">
        <v>696</v>
      </c>
      <c r="H107" s="135">
        <f>SUMIF(lunch1920_g1to6!$B$3:$B$935,ActiveDistricts!$F107,lunch1920_g1to6!$F$3:$F$935)</f>
        <v>494</v>
      </c>
      <c r="I107" s="135">
        <f>SUMIF(lunch1920_g1to6!$B$3:$B$935,ActiveDistricts!$F107,lunch1920_g1to6!$G$3:$G$935)</f>
        <v>271</v>
      </c>
      <c r="J107">
        <f t="shared" si="1"/>
        <v>0.54858299595141702</v>
      </c>
    </row>
    <row r="108" spans="1:10" x14ac:dyDescent="0.2">
      <c r="A108">
        <v>2021</v>
      </c>
      <c r="B108" t="s">
        <v>723</v>
      </c>
      <c r="C108" t="s">
        <v>449</v>
      </c>
      <c r="D108" t="s">
        <v>724</v>
      </c>
      <c r="E108" t="s">
        <v>724</v>
      </c>
      <c r="F108" t="s">
        <v>449</v>
      </c>
      <c r="G108" t="s">
        <v>697</v>
      </c>
      <c r="H108" s="135">
        <f>SUMIF(lunch1920_g1to6!$B$3:$B$935,ActiveDistricts!$F108,lunch1920_g1to6!$F$3:$F$935)</f>
        <v>160</v>
      </c>
      <c r="I108" s="135">
        <f>SUMIF(lunch1920_g1to6!$B$3:$B$935,ActiveDistricts!$F108,lunch1920_g1to6!$G$3:$G$935)</f>
        <v>77</v>
      </c>
      <c r="J108">
        <f t="shared" si="1"/>
        <v>0.48125000000000001</v>
      </c>
    </row>
    <row r="109" spans="1:10" x14ac:dyDescent="0.2">
      <c r="A109">
        <v>2021</v>
      </c>
      <c r="B109" t="s">
        <v>729</v>
      </c>
      <c r="C109" t="s">
        <v>450</v>
      </c>
      <c r="D109" t="s">
        <v>724</v>
      </c>
      <c r="E109" t="s">
        <v>724</v>
      </c>
      <c r="F109" t="s">
        <v>450</v>
      </c>
      <c r="G109" t="s">
        <v>239</v>
      </c>
      <c r="H109" s="135">
        <f>SUMIF(lunch1920_g1to6!$B$3:$B$935,ActiveDistricts!$F109,lunch1920_g1to6!$F$3:$F$935)</f>
        <v>679</v>
      </c>
      <c r="I109" s="135">
        <f>SUMIF(lunch1920_g1to6!$B$3:$B$935,ActiveDistricts!$F109,lunch1920_g1to6!$G$3:$G$935)</f>
        <v>348</v>
      </c>
      <c r="J109">
        <f t="shared" si="1"/>
        <v>0.51251840942562588</v>
      </c>
    </row>
    <row r="110" spans="1:10" x14ac:dyDescent="0.2">
      <c r="A110">
        <v>2021</v>
      </c>
      <c r="B110" t="s">
        <v>725</v>
      </c>
      <c r="C110" t="s">
        <v>451</v>
      </c>
      <c r="D110" t="s">
        <v>724</v>
      </c>
      <c r="E110" t="s">
        <v>724</v>
      </c>
      <c r="F110" t="s">
        <v>451</v>
      </c>
      <c r="G110" t="s">
        <v>238</v>
      </c>
      <c r="H110" s="135">
        <f>SUMIF(lunch1920_g1to6!$B$3:$B$935,ActiveDistricts!$F110,lunch1920_g1to6!$F$3:$F$935)</f>
        <v>456</v>
      </c>
      <c r="I110" s="135">
        <f>SUMIF(lunch1920_g1to6!$B$3:$B$935,ActiveDistricts!$F110,lunch1920_g1to6!$G$3:$G$935)</f>
        <v>185</v>
      </c>
      <c r="J110">
        <f t="shared" si="1"/>
        <v>0.4057017543859649</v>
      </c>
    </row>
    <row r="111" spans="1:10" x14ac:dyDescent="0.2">
      <c r="A111">
        <v>2021</v>
      </c>
      <c r="B111" t="s">
        <v>728</v>
      </c>
      <c r="C111" t="s">
        <v>452</v>
      </c>
      <c r="D111" t="s">
        <v>724</v>
      </c>
      <c r="E111" t="s">
        <v>724</v>
      </c>
      <c r="F111" t="s">
        <v>452</v>
      </c>
      <c r="G111" t="s">
        <v>237</v>
      </c>
      <c r="H111" s="135">
        <f>SUMIF(lunch1920_g1to6!$B$3:$B$935,ActiveDistricts!$F111,lunch1920_g1to6!$F$3:$F$935)</f>
        <v>1632</v>
      </c>
      <c r="I111" s="135">
        <f>SUMIF(lunch1920_g1to6!$B$3:$B$935,ActiveDistricts!$F111,lunch1920_g1to6!$G$3:$G$935)</f>
        <v>1031</v>
      </c>
      <c r="J111">
        <f t="shared" si="1"/>
        <v>0.63174019607843135</v>
      </c>
    </row>
    <row r="112" spans="1:10" x14ac:dyDescent="0.2">
      <c r="A112">
        <v>2021</v>
      </c>
      <c r="B112" t="s">
        <v>729</v>
      </c>
      <c r="C112" t="s">
        <v>453</v>
      </c>
      <c r="D112" t="s">
        <v>724</v>
      </c>
      <c r="E112" t="s">
        <v>724</v>
      </c>
      <c r="F112" t="s">
        <v>453</v>
      </c>
      <c r="G112" t="s">
        <v>236</v>
      </c>
      <c r="H112" s="135">
        <f>SUMIF(lunch1920_g1to6!$B$3:$B$935,ActiveDistricts!$F112,lunch1920_g1to6!$F$3:$F$935)</f>
        <v>820</v>
      </c>
      <c r="I112" s="135">
        <f>SUMIF(lunch1920_g1to6!$B$3:$B$935,ActiveDistricts!$F112,lunch1920_g1to6!$G$3:$G$935)</f>
        <v>465</v>
      </c>
      <c r="J112">
        <f t="shared" si="1"/>
        <v>0.56707317073170727</v>
      </c>
    </row>
    <row r="113" spans="1:10" x14ac:dyDescent="0.2">
      <c r="A113">
        <v>2021</v>
      </c>
      <c r="B113" t="s">
        <v>726</v>
      </c>
      <c r="C113" t="s">
        <v>454</v>
      </c>
      <c r="D113" t="s">
        <v>724</v>
      </c>
      <c r="E113" t="s">
        <v>724</v>
      </c>
      <c r="F113" t="s">
        <v>454</v>
      </c>
      <c r="G113" t="s">
        <v>235</v>
      </c>
      <c r="H113" s="135">
        <f>SUMIF(lunch1920_g1to6!$B$3:$B$935,ActiveDistricts!$F113,lunch1920_g1to6!$F$3:$F$935)</f>
        <v>221</v>
      </c>
      <c r="I113" s="135">
        <f>SUMIF(lunch1920_g1to6!$B$3:$B$935,ActiveDistricts!$F113,lunch1920_g1to6!$G$3:$G$935)</f>
        <v>81</v>
      </c>
      <c r="J113">
        <f t="shared" si="1"/>
        <v>0.36651583710407237</v>
      </c>
    </row>
    <row r="114" spans="1:10" x14ac:dyDescent="0.2">
      <c r="A114">
        <v>2021</v>
      </c>
      <c r="B114" t="s">
        <v>727</v>
      </c>
      <c r="C114" t="s">
        <v>455</v>
      </c>
      <c r="D114" t="s">
        <v>724</v>
      </c>
      <c r="E114" t="s">
        <v>724</v>
      </c>
      <c r="F114" t="s">
        <v>455</v>
      </c>
      <c r="G114" t="s">
        <v>234</v>
      </c>
      <c r="H114" s="135">
        <f>SUMIF(lunch1920_g1to6!$B$3:$B$935,ActiveDistricts!$F114,lunch1920_g1to6!$F$3:$F$935)</f>
        <v>167</v>
      </c>
      <c r="I114" s="135">
        <f>SUMIF(lunch1920_g1to6!$B$3:$B$935,ActiveDistricts!$F114,lunch1920_g1to6!$G$3:$G$935)</f>
        <v>61</v>
      </c>
      <c r="J114">
        <f t="shared" si="1"/>
        <v>0.3652694610778443</v>
      </c>
    </row>
    <row r="115" spans="1:10" x14ac:dyDescent="0.2">
      <c r="A115">
        <v>2021</v>
      </c>
      <c r="B115" t="s">
        <v>725</v>
      </c>
      <c r="C115" t="s">
        <v>456</v>
      </c>
      <c r="D115" t="s">
        <v>724</v>
      </c>
      <c r="E115" t="s">
        <v>724</v>
      </c>
      <c r="F115" t="s">
        <v>456</v>
      </c>
      <c r="G115" t="s">
        <v>233</v>
      </c>
      <c r="H115" s="135">
        <f>SUMIF(lunch1920_g1to6!$B$3:$B$935,ActiveDistricts!$F115,lunch1920_g1to6!$F$3:$F$935)</f>
        <v>397</v>
      </c>
      <c r="I115" s="135">
        <f>SUMIF(lunch1920_g1to6!$B$3:$B$935,ActiveDistricts!$F115,lunch1920_g1to6!$G$3:$G$935)</f>
        <v>130</v>
      </c>
      <c r="J115">
        <f t="shared" si="1"/>
        <v>0.32745591939546598</v>
      </c>
    </row>
    <row r="116" spans="1:10" x14ac:dyDescent="0.2">
      <c r="A116">
        <v>2021</v>
      </c>
      <c r="B116" t="s">
        <v>727</v>
      </c>
      <c r="C116" t="s">
        <v>457</v>
      </c>
      <c r="D116" t="s">
        <v>724</v>
      </c>
      <c r="E116" t="s">
        <v>724</v>
      </c>
      <c r="F116" t="s">
        <v>457</v>
      </c>
      <c r="G116" t="s">
        <v>232</v>
      </c>
      <c r="H116" s="135">
        <f>SUMIF(lunch1920_g1to6!$B$3:$B$935,ActiveDistricts!$F116,lunch1920_g1to6!$F$3:$F$935)</f>
        <v>165</v>
      </c>
      <c r="I116" s="135">
        <f>SUMIF(lunch1920_g1to6!$B$3:$B$935,ActiveDistricts!$F116,lunch1920_g1to6!$G$3:$G$935)</f>
        <v>65</v>
      </c>
      <c r="J116">
        <f t="shared" si="1"/>
        <v>0.39393939393939392</v>
      </c>
    </row>
    <row r="117" spans="1:10" x14ac:dyDescent="0.2">
      <c r="A117">
        <v>2021</v>
      </c>
      <c r="B117" t="s">
        <v>723</v>
      </c>
      <c r="C117" t="s">
        <v>458</v>
      </c>
      <c r="D117" t="s">
        <v>724</v>
      </c>
      <c r="E117" t="s">
        <v>724</v>
      </c>
      <c r="F117" t="s">
        <v>458</v>
      </c>
      <c r="G117" t="s">
        <v>231</v>
      </c>
      <c r="H117" s="135">
        <f>SUMIF(lunch1920_g1to6!$B$3:$B$935,ActiveDistricts!$F117,lunch1920_g1to6!$F$3:$F$935)</f>
        <v>677</v>
      </c>
      <c r="I117" s="135">
        <f>SUMIF(lunch1920_g1to6!$B$3:$B$935,ActiveDistricts!$F117,lunch1920_g1to6!$G$3:$G$935)</f>
        <v>66</v>
      </c>
      <c r="J117">
        <f t="shared" si="1"/>
        <v>9.7488921713441659E-2</v>
      </c>
    </row>
    <row r="118" spans="1:10" x14ac:dyDescent="0.2">
      <c r="A118">
        <v>2021</v>
      </c>
      <c r="B118" t="s">
        <v>728</v>
      </c>
      <c r="C118" t="s">
        <v>459</v>
      </c>
      <c r="D118" t="s">
        <v>724</v>
      </c>
      <c r="E118" t="s">
        <v>724</v>
      </c>
      <c r="F118" t="s">
        <v>459</v>
      </c>
      <c r="G118" t="s">
        <v>230</v>
      </c>
      <c r="H118" s="135">
        <f>SUMIF(lunch1920_g1to6!$B$3:$B$935,ActiveDistricts!$F118,lunch1920_g1to6!$F$3:$F$935)</f>
        <v>72</v>
      </c>
      <c r="I118" s="135">
        <f>SUMIF(lunch1920_g1to6!$B$3:$B$935,ActiveDistricts!$F118,lunch1920_g1to6!$G$3:$G$935)</f>
        <v>49</v>
      </c>
      <c r="J118">
        <f t="shared" si="1"/>
        <v>0.68055555555555558</v>
      </c>
    </row>
    <row r="119" spans="1:10" x14ac:dyDescent="0.2">
      <c r="A119">
        <v>2021</v>
      </c>
      <c r="B119" t="s">
        <v>725</v>
      </c>
      <c r="C119" t="s">
        <v>460</v>
      </c>
      <c r="D119" t="s">
        <v>724</v>
      </c>
      <c r="E119" t="s">
        <v>724</v>
      </c>
      <c r="F119" t="s">
        <v>460</v>
      </c>
      <c r="G119" t="s">
        <v>229</v>
      </c>
      <c r="H119" s="135">
        <f>SUMIF(lunch1920_g1to6!$B$3:$B$935,ActiveDistricts!$F119,lunch1920_g1to6!$F$3:$F$935)</f>
        <v>210</v>
      </c>
      <c r="I119" s="135">
        <f>SUMIF(lunch1920_g1to6!$B$3:$B$935,ActiveDistricts!$F119,lunch1920_g1to6!$G$3:$G$935)</f>
        <v>86</v>
      </c>
      <c r="J119">
        <f t="shared" si="1"/>
        <v>0.40952380952380951</v>
      </c>
    </row>
    <row r="120" spans="1:10" x14ac:dyDescent="0.2">
      <c r="A120">
        <v>2021</v>
      </c>
      <c r="B120" t="s">
        <v>726</v>
      </c>
      <c r="C120" t="s">
        <v>461</v>
      </c>
      <c r="D120" t="s">
        <v>724</v>
      </c>
      <c r="E120" t="s">
        <v>724</v>
      </c>
      <c r="F120" t="s">
        <v>461</v>
      </c>
      <c r="G120" t="s">
        <v>228</v>
      </c>
      <c r="H120" s="135">
        <f>SUMIF(lunch1920_g1to6!$B$3:$B$935,ActiveDistricts!$F120,lunch1920_g1to6!$F$3:$F$935)</f>
        <v>898</v>
      </c>
      <c r="I120" s="135">
        <f>SUMIF(lunch1920_g1to6!$B$3:$B$935,ActiveDistricts!$F120,lunch1920_g1to6!$G$3:$G$935)</f>
        <v>350</v>
      </c>
      <c r="J120">
        <f t="shared" si="1"/>
        <v>0.38975501113585748</v>
      </c>
    </row>
    <row r="121" spans="1:10" x14ac:dyDescent="0.2">
      <c r="A121">
        <v>2021</v>
      </c>
      <c r="B121" t="s">
        <v>723</v>
      </c>
      <c r="C121" t="s">
        <v>462</v>
      </c>
      <c r="D121" t="s">
        <v>724</v>
      </c>
      <c r="E121" t="s">
        <v>724</v>
      </c>
      <c r="F121" t="s">
        <v>462</v>
      </c>
      <c r="G121" t="s">
        <v>227</v>
      </c>
      <c r="H121" s="135">
        <f>SUMIF(lunch1920_g1to6!$B$3:$B$935,ActiveDistricts!$F121,lunch1920_g1to6!$F$3:$F$935)</f>
        <v>159</v>
      </c>
      <c r="I121" s="135">
        <f>SUMIF(lunch1920_g1to6!$B$3:$B$935,ActiveDistricts!$F121,lunch1920_g1to6!$G$3:$G$935)</f>
        <v>51</v>
      </c>
      <c r="J121">
        <f t="shared" si="1"/>
        <v>0.32075471698113206</v>
      </c>
    </row>
    <row r="122" spans="1:10" x14ac:dyDescent="0.2">
      <c r="A122">
        <v>2021</v>
      </c>
      <c r="B122" t="s">
        <v>725</v>
      </c>
      <c r="C122" t="s">
        <v>465</v>
      </c>
      <c r="D122" t="s">
        <v>724</v>
      </c>
      <c r="E122" t="s">
        <v>724</v>
      </c>
      <c r="F122" t="s">
        <v>465</v>
      </c>
      <c r="G122" t="s">
        <v>2</v>
      </c>
      <c r="H122" s="135">
        <f>SUMIF(lunch1920_g1to6!$B$3:$B$935,ActiveDistricts!$F122,lunch1920_g1to6!$F$3:$F$935)</f>
        <v>201</v>
      </c>
      <c r="I122" s="135">
        <f>SUMIF(lunch1920_g1to6!$B$3:$B$935,ActiveDistricts!$F122,lunch1920_g1to6!$G$3:$G$935)</f>
        <v>108</v>
      </c>
      <c r="J122">
        <f t="shared" si="1"/>
        <v>0.53731343283582089</v>
      </c>
    </row>
    <row r="123" spans="1:10" x14ac:dyDescent="0.2">
      <c r="A123">
        <v>2021</v>
      </c>
      <c r="B123" t="s">
        <v>728</v>
      </c>
      <c r="C123" t="s">
        <v>463</v>
      </c>
      <c r="D123" t="s">
        <v>724</v>
      </c>
      <c r="E123" t="s">
        <v>724</v>
      </c>
      <c r="F123" t="s">
        <v>463</v>
      </c>
      <c r="G123" t="s">
        <v>226</v>
      </c>
      <c r="H123" s="135">
        <f>SUMIF(lunch1920_g1to6!$B$3:$B$935,ActiveDistricts!$F123,lunch1920_g1to6!$F$3:$F$935)</f>
        <v>130</v>
      </c>
      <c r="I123" s="135">
        <f>SUMIF(lunch1920_g1to6!$B$3:$B$935,ActiveDistricts!$F123,lunch1920_g1to6!$G$3:$G$935)</f>
        <v>70</v>
      </c>
      <c r="J123">
        <f t="shared" si="1"/>
        <v>0.53846153846153844</v>
      </c>
    </row>
    <row r="124" spans="1:10" x14ac:dyDescent="0.2">
      <c r="A124">
        <v>2021</v>
      </c>
      <c r="B124" t="s">
        <v>728</v>
      </c>
      <c r="C124" t="s">
        <v>492</v>
      </c>
      <c r="D124" t="s">
        <v>724</v>
      </c>
      <c r="E124" t="s">
        <v>724</v>
      </c>
      <c r="F124" t="s">
        <v>492</v>
      </c>
      <c r="G124" t="s">
        <v>199</v>
      </c>
      <c r="H124" s="135">
        <f>SUMIF(lunch1920_g1to6!$B$3:$B$935,ActiveDistricts!$F124,lunch1920_g1to6!$F$3:$F$935)</f>
        <v>521</v>
      </c>
      <c r="I124" s="135">
        <f>SUMIF(lunch1920_g1to6!$B$3:$B$935,ActiveDistricts!$F124,lunch1920_g1to6!$G$3:$G$935)</f>
        <v>267</v>
      </c>
      <c r="J124">
        <f t="shared" si="1"/>
        <v>0.5124760076775432</v>
      </c>
    </row>
    <row r="125" spans="1:10" x14ac:dyDescent="0.2">
      <c r="A125">
        <v>2021</v>
      </c>
      <c r="B125" t="s">
        <v>725</v>
      </c>
      <c r="C125" t="s">
        <v>466</v>
      </c>
      <c r="D125" t="s">
        <v>724</v>
      </c>
      <c r="E125" t="s">
        <v>724</v>
      </c>
      <c r="F125" t="s">
        <v>466</v>
      </c>
      <c r="G125" t="s">
        <v>224</v>
      </c>
      <c r="H125" s="135">
        <f>SUMIF(lunch1920_g1to6!$B$3:$B$935,ActiveDistricts!$F125,lunch1920_g1to6!$F$3:$F$935)</f>
        <v>730</v>
      </c>
      <c r="I125" s="135">
        <f>SUMIF(lunch1920_g1to6!$B$3:$B$935,ActiveDistricts!$F125,lunch1920_g1to6!$G$3:$G$935)</f>
        <v>283</v>
      </c>
      <c r="J125">
        <f t="shared" si="1"/>
        <v>0.38767123287671235</v>
      </c>
    </row>
    <row r="126" spans="1:10" x14ac:dyDescent="0.2">
      <c r="A126">
        <v>2021</v>
      </c>
      <c r="B126" t="s">
        <v>726</v>
      </c>
      <c r="C126" t="s">
        <v>467</v>
      </c>
      <c r="D126" t="s">
        <v>724</v>
      </c>
      <c r="E126" t="s">
        <v>724</v>
      </c>
      <c r="F126" t="s">
        <v>467</v>
      </c>
      <c r="G126" t="s">
        <v>223</v>
      </c>
      <c r="H126" s="135">
        <f>SUMIF(lunch1920_g1to6!$B$3:$B$935,ActiveDistricts!$F126,lunch1920_g1to6!$F$3:$F$935)</f>
        <v>179</v>
      </c>
      <c r="I126" s="135">
        <f>SUMIF(lunch1920_g1to6!$B$3:$B$935,ActiveDistricts!$F126,lunch1920_g1to6!$G$3:$G$935)</f>
        <v>76</v>
      </c>
      <c r="J126">
        <f t="shared" si="1"/>
        <v>0.42458100558659218</v>
      </c>
    </row>
    <row r="127" spans="1:10" x14ac:dyDescent="0.2">
      <c r="A127">
        <v>2021</v>
      </c>
      <c r="B127" t="s">
        <v>725</v>
      </c>
      <c r="C127" t="s">
        <v>468</v>
      </c>
      <c r="D127" t="s">
        <v>724</v>
      </c>
      <c r="E127" t="s">
        <v>724</v>
      </c>
      <c r="F127" t="s">
        <v>468</v>
      </c>
      <c r="G127" t="s">
        <v>222</v>
      </c>
      <c r="H127" s="135">
        <f>SUMIF(lunch1920_g1to6!$B$3:$B$935,ActiveDistricts!$F127,lunch1920_g1to6!$F$3:$F$935)</f>
        <v>315</v>
      </c>
      <c r="I127" s="135">
        <f>SUMIF(lunch1920_g1to6!$B$3:$B$935,ActiveDistricts!$F127,lunch1920_g1to6!$G$3:$G$935)</f>
        <v>78</v>
      </c>
      <c r="J127">
        <f t="shared" si="1"/>
        <v>0.24761904761904763</v>
      </c>
    </row>
    <row r="128" spans="1:10" x14ac:dyDescent="0.2">
      <c r="A128">
        <v>2021</v>
      </c>
      <c r="B128" t="s">
        <v>723</v>
      </c>
      <c r="C128" t="s">
        <v>469</v>
      </c>
      <c r="D128" t="s">
        <v>724</v>
      </c>
      <c r="E128" t="s">
        <v>724</v>
      </c>
      <c r="F128" t="s">
        <v>469</v>
      </c>
      <c r="G128" t="s">
        <v>221</v>
      </c>
      <c r="H128" s="135">
        <f>SUMIF(lunch1920_g1to6!$B$3:$B$935,ActiveDistricts!$F128,lunch1920_g1to6!$F$3:$F$935)</f>
        <v>209</v>
      </c>
      <c r="I128" s="135">
        <f>SUMIF(lunch1920_g1to6!$B$3:$B$935,ActiveDistricts!$F128,lunch1920_g1to6!$G$3:$G$935)</f>
        <v>81</v>
      </c>
      <c r="J128">
        <f t="shared" si="1"/>
        <v>0.38755980861244022</v>
      </c>
    </row>
    <row r="129" spans="1:10" x14ac:dyDescent="0.2">
      <c r="A129">
        <v>2021</v>
      </c>
      <c r="B129" t="s">
        <v>726</v>
      </c>
      <c r="C129" t="s">
        <v>472</v>
      </c>
      <c r="D129" t="s">
        <v>724</v>
      </c>
      <c r="E129" t="s">
        <v>724</v>
      </c>
      <c r="F129" t="s">
        <v>472</v>
      </c>
      <c r="G129" t="s">
        <v>218</v>
      </c>
      <c r="H129" s="135">
        <f>SUMIF(lunch1920_g1to6!$B$3:$B$935,ActiveDistricts!$F129,lunch1920_g1to6!$F$3:$F$935)</f>
        <v>83</v>
      </c>
      <c r="I129" s="135">
        <f>SUMIF(lunch1920_g1to6!$B$3:$B$935,ActiveDistricts!$F129,lunch1920_g1to6!$G$3:$G$935)</f>
        <v>64</v>
      </c>
      <c r="J129">
        <f t="shared" si="1"/>
        <v>0.77108433734939763</v>
      </c>
    </row>
    <row r="130" spans="1:10" x14ac:dyDescent="0.2">
      <c r="A130">
        <v>2021</v>
      </c>
      <c r="B130" t="s">
        <v>725</v>
      </c>
      <c r="C130" t="s">
        <v>473</v>
      </c>
      <c r="D130" t="s">
        <v>724</v>
      </c>
      <c r="E130" t="s">
        <v>724</v>
      </c>
      <c r="F130" t="s">
        <v>473</v>
      </c>
      <c r="G130" t="s">
        <v>217</v>
      </c>
      <c r="H130" s="135">
        <f>SUMIF(lunch1920_g1to6!$B$3:$B$935,ActiveDistricts!$F130,lunch1920_g1to6!$F$3:$F$935)</f>
        <v>511</v>
      </c>
      <c r="I130" s="135">
        <f>SUMIF(lunch1920_g1to6!$B$3:$B$935,ActiveDistricts!$F130,lunch1920_g1to6!$G$3:$G$935)</f>
        <v>342</v>
      </c>
      <c r="J130">
        <f t="shared" si="1"/>
        <v>0.66927592954990212</v>
      </c>
    </row>
    <row r="131" spans="1:10" x14ac:dyDescent="0.2">
      <c r="A131">
        <v>2021</v>
      </c>
      <c r="B131" t="s">
        <v>726</v>
      </c>
      <c r="C131" t="s">
        <v>474</v>
      </c>
      <c r="D131" t="s">
        <v>724</v>
      </c>
      <c r="E131" t="s">
        <v>724</v>
      </c>
      <c r="F131" t="s">
        <v>474</v>
      </c>
      <c r="G131" t="s">
        <v>216</v>
      </c>
      <c r="H131" s="135">
        <f>SUMIF(lunch1920_g1to6!$B$3:$B$935,ActiveDistricts!$F131,lunch1920_g1to6!$F$3:$F$935)</f>
        <v>607</v>
      </c>
      <c r="I131" s="135">
        <f>SUMIF(lunch1920_g1to6!$B$3:$B$935,ActiveDistricts!$F131,lunch1920_g1to6!$G$3:$G$935)</f>
        <v>265</v>
      </c>
      <c r="J131">
        <f t="shared" ref="J131:J194" si="2">I131/H131</f>
        <v>0.43657331136738053</v>
      </c>
    </row>
    <row r="132" spans="1:10" x14ac:dyDescent="0.2">
      <c r="A132">
        <v>2021</v>
      </c>
      <c r="B132" t="s">
        <v>728</v>
      </c>
      <c r="C132" t="s">
        <v>476</v>
      </c>
      <c r="D132" t="s">
        <v>724</v>
      </c>
      <c r="E132" t="s">
        <v>724</v>
      </c>
      <c r="F132" t="s">
        <v>476</v>
      </c>
      <c r="G132" t="s">
        <v>215</v>
      </c>
      <c r="H132" s="135">
        <f>SUMIF(lunch1920_g1to6!$B$3:$B$935,ActiveDistricts!$F132,lunch1920_g1to6!$F$3:$F$935)</f>
        <v>133</v>
      </c>
      <c r="I132" s="135">
        <f>SUMIF(lunch1920_g1to6!$B$3:$B$935,ActiveDistricts!$F132,lunch1920_g1to6!$G$3:$G$935)</f>
        <v>42</v>
      </c>
      <c r="J132">
        <f t="shared" si="2"/>
        <v>0.31578947368421051</v>
      </c>
    </row>
    <row r="133" spans="1:10" x14ac:dyDescent="0.2">
      <c r="A133">
        <v>2021</v>
      </c>
      <c r="B133" t="s">
        <v>727</v>
      </c>
      <c r="C133" t="s">
        <v>477</v>
      </c>
      <c r="D133" t="s">
        <v>724</v>
      </c>
      <c r="E133" t="s">
        <v>724</v>
      </c>
      <c r="F133" t="s">
        <v>477</v>
      </c>
      <c r="G133" t="s">
        <v>214</v>
      </c>
      <c r="H133" s="135">
        <f>SUMIF(lunch1920_g1to6!$B$3:$B$935,ActiveDistricts!$F133,lunch1920_g1to6!$F$3:$F$935)</f>
        <v>238</v>
      </c>
      <c r="I133" s="135">
        <f>SUMIF(lunch1920_g1to6!$B$3:$B$935,ActiveDistricts!$F133,lunch1920_g1to6!$G$3:$G$935)</f>
        <v>129</v>
      </c>
      <c r="J133">
        <f t="shared" si="2"/>
        <v>0.54201680672268904</v>
      </c>
    </row>
    <row r="134" spans="1:10" x14ac:dyDescent="0.2">
      <c r="A134">
        <v>2021</v>
      </c>
      <c r="B134" t="s">
        <v>730</v>
      </c>
      <c r="C134" t="s">
        <v>478</v>
      </c>
      <c r="D134" t="s">
        <v>724</v>
      </c>
      <c r="E134" t="s">
        <v>724</v>
      </c>
      <c r="F134" t="s">
        <v>478</v>
      </c>
      <c r="G134" t="s">
        <v>213</v>
      </c>
      <c r="H134" s="135">
        <f>SUMIF(lunch1920_g1to6!$B$3:$B$935,ActiveDistricts!$F134,lunch1920_g1to6!$F$3:$F$935)</f>
        <v>240</v>
      </c>
      <c r="I134" s="135">
        <f>SUMIF(lunch1920_g1to6!$B$3:$B$935,ActiveDistricts!$F134,lunch1920_g1to6!$G$3:$G$935)</f>
        <v>47</v>
      </c>
      <c r="J134">
        <f t="shared" si="2"/>
        <v>0.19583333333333333</v>
      </c>
    </row>
    <row r="135" spans="1:10" x14ac:dyDescent="0.2">
      <c r="A135">
        <v>2021</v>
      </c>
      <c r="B135" t="s">
        <v>727</v>
      </c>
      <c r="C135" t="s">
        <v>479</v>
      </c>
      <c r="D135" t="s">
        <v>724</v>
      </c>
      <c r="E135" t="s">
        <v>724</v>
      </c>
      <c r="F135" t="s">
        <v>479</v>
      </c>
      <c r="G135" t="s">
        <v>212</v>
      </c>
      <c r="H135" s="135">
        <f>SUMIF(lunch1920_g1to6!$B$3:$B$935,ActiveDistricts!$F135,lunch1920_g1to6!$F$3:$F$935)</f>
        <v>328</v>
      </c>
      <c r="I135" s="135">
        <f>SUMIF(lunch1920_g1to6!$B$3:$B$935,ActiveDistricts!$F135,lunch1920_g1to6!$G$3:$G$935)</f>
        <v>68</v>
      </c>
      <c r="J135">
        <f t="shared" si="2"/>
        <v>0.2073170731707317</v>
      </c>
    </row>
    <row r="136" spans="1:10" x14ac:dyDescent="0.2">
      <c r="A136">
        <v>2021</v>
      </c>
      <c r="B136" t="s">
        <v>730</v>
      </c>
      <c r="C136" t="s">
        <v>471</v>
      </c>
      <c r="D136" t="s">
        <v>724</v>
      </c>
      <c r="E136" t="s">
        <v>724</v>
      </c>
      <c r="F136" t="s">
        <v>471</v>
      </c>
      <c r="G136" t="s">
        <v>23</v>
      </c>
      <c r="H136" s="135">
        <f>SUMIF(lunch1920_g1to6!$B$3:$B$935,ActiveDistricts!$F136,lunch1920_g1to6!$F$3:$F$935)</f>
        <v>151</v>
      </c>
      <c r="I136" s="135">
        <f>SUMIF(lunch1920_g1to6!$B$3:$B$935,ActiveDistricts!$F136,lunch1920_g1to6!$G$3:$G$935)</f>
        <v>56</v>
      </c>
      <c r="J136">
        <f t="shared" si="2"/>
        <v>0.37086092715231789</v>
      </c>
    </row>
    <row r="137" spans="1:10" x14ac:dyDescent="0.2">
      <c r="A137">
        <v>2021</v>
      </c>
      <c r="B137" t="s">
        <v>732</v>
      </c>
      <c r="C137" t="s">
        <v>480</v>
      </c>
      <c r="D137" t="s">
        <v>724</v>
      </c>
      <c r="E137" t="s">
        <v>724</v>
      </c>
      <c r="F137" t="s">
        <v>480</v>
      </c>
      <c r="G137" t="s">
        <v>211</v>
      </c>
      <c r="H137" s="135">
        <f>SUMIF(lunch1920_g1to6!$B$3:$B$935,ActiveDistricts!$F137,lunch1920_g1to6!$F$3:$F$935)</f>
        <v>363</v>
      </c>
      <c r="I137" s="135">
        <f>SUMIF(lunch1920_g1to6!$B$3:$B$935,ActiveDistricts!$F137,lunch1920_g1to6!$G$3:$G$935)</f>
        <v>205</v>
      </c>
      <c r="J137">
        <f t="shared" si="2"/>
        <v>0.56473829201101933</v>
      </c>
    </row>
    <row r="138" spans="1:10" x14ac:dyDescent="0.2">
      <c r="A138">
        <v>2021</v>
      </c>
      <c r="B138" t="s">
        <v>725</v>
      </c>
      <c r="C138" t="s">
        <v>481</v>
      </c>
      <c r="D138" t="s">
        <v>724</v>
      </c>
      <c r="E138" t="s">
        <v>724</v>
      </c>
      <c r="F138" t="s">
        <v>481</v>
      </c>
      <c r="G138" t="s">
        <v>210</v>
      </c>
      <c r="H138" s="135">
        <f>SUMIF(lunch1920_g1to6!$B$3:$B$935,ActiveDistricts!$F138,lunch1920_g1to6!$F$3:$F$935)</f>
        <v>196</v>
      </c>
      <c r="I138" s="135">
        <f>SUMIF(lunch1920_g1to6!$B$3:$B$935,ActiveDistricts!$F138,lunch1920_g1to6!$G$3:$G$935)</f>
        <v>78</v>
      </c>
      <c r="J138">
        <f t="shared" si="2"/>
        <v>0.39795918367346939</v>
      </c>
    </row>
    <row r="139" spans="1:10" x14ac:dyDescent="0.2">
      <c r="A139">
        <v>2021</v>
      </c>
      <c r="B139" t="s">
        <v>725</v>
      </c>
      <c r="C139" t="s">
        <v>482</v>
      </c>
      <c r="D139" t="s">
        <v>724</v>
      </c>
      <c r="E139" t="s">
        <v>724</v>
      </c>
      <c r="F139" t="s">
        <v>482</v>
      </c>
      <c r="G139" t="s">
        <v>209</v>
      </c>
      <c r="H139" s="135">
        <f>SUMIF(lunch1920_g1to6!$B$3:$B$935,ActiveDistricts!$F139,lunch1920_g1to6!$F$3:$F$935)</f>
        <v>346</v>
      </c>
      <c r="I139" s="135">
        <f>SUMIF(lunch1920_g1to6!$B$3:$B$935,ActiveDistricts!$F139,lunch1920_g1to6!$G$3:$G$935)</f>
        <v>102</v>
      </c>
      <c r="J139">
        <f t="shared" si="2"/>
        <v>0.2947976878612717</v>
      </c>
    </row>
    <row r="140" spans="1:10" x14ac:dyDescent="0.2">
      <c r="A140">
        <v>2021</v>
      </c>
      <c r="B140" t="s">
        <v>728</v>
      </c>
      <c r="C140" t="s">
        <v>483</v>
      </c>
      <c r="D140" t="s">
        <v>724</v>
      </c>
      <c r="E140" t="s">
        <v>724</v>
      </c>
      <c r="F140" t="s">
        <v>483</v>
      </c>
      <c r="G140" t="s">
        <v>208</v>
      </c>
      <c r="H140" s="135">
        <f>SUMIF(lunch1920_g1to6!$B$3:$B$935,ActiveDistricts!$F140,lunch1920_g1to6!$F$3:$F$935)</f>
        <v>568</v>
      </c>
      <c r="I140" s="135">
        <f>SUMIF(lunch1920_g1to6!$B$3:$B$935,ActiveDistricts!$F140,lunch1920_g1to6!$G$3:$G$935)</f>
        <v>220</v>
      </c>
      <c r="J140">
        <f t="shared" si="2"/>
        <v>0.38732394366197181</v>
      </c>
    </row>
    <row r="141" spans="1:10" x14ac:dyDescent="0.2">
      <c r="A141">
        <v>2021</v>
      </c>
      <c r="B141" t="s">
        <v>726</v>
      </c>
      <c r="C141" t="s">
        <v>490</v>
      </c>
      <c r="D141" t="s">
        <v>724</v>
      </c>
      <c r="E141" t="s">
        <v>724</v>
      </c>
      <c r="F141" t="s">
        <v>490</v>
      </c>
      <c r="G141" t="s">
        <v>201</v>
      </c>
      <c r="H141" s="135">
        <f>SUMIF(lunch1920_g1to6!$B$3:$B$935,ActiveDistricts!$F141,lunch1920_g1to6!$F$3:$F$935)</f>
        <v>287</v>
      </c>
      <c r="I141" s="135">
        <f>SUMIF(lunch1920_g1to6!$B$3:$B$935,ActiveDistricts!$F141,lunch1920_g1to6!$G$3:$G$935)</f>
        <v>108</v>
      </c>
      <c r="J141">
        <f t="shared" si="2"/>
        <v>0.37630662020905925</v>
      </c>
    </row>
    <row r="142" spans="1:10" x14ac:dyDescent="0.2">
      <c r="A142">
        <v>2021</v>
      </c>
      <c r="B142" t="s">
        <v>725</v>
      </c>
      <c r="C142" t="s">
        <v>484</v>
      </c>
      <c r="D142" t="s">
        <v>724</v>
      </c>
      <c r="E142" t="s">
        <v>724</v>
      </c>
      <c r="F142" t="s">
        <v>484</v>
      </c>
      <c r="G142" t="s">
        <v>207</v>
      </c>
      <c r="H142" s="135">
        <f>SUMIF(lunch1920_g1to6!$B$3:$B$935,ActiveDistricts!$F142,lunch1920_g1to6!$F$3:$F$935)</f>
        <v>594</v>
      </c>
      <c r="I142" s="135">
        <f>SUMIF(lunch1920_g1to6!$B$3:$B$935,ActiveDistricts!$F142,lunch1920_g1to6!$G$3:$G$935)</f>
        <v>260</v>
      </c>
      <c r="J142">
        <f t="shared" si="2"/>
        <v>0.43771043771043772</v>
      </c>
    </row>
    <row r="143" spans="1:10" x14ac:dyDescent="0.2">
      <c r="A143">
        <v>2021</v>
      </c>
      <c r="B143" t="s">
        <v>723</v>
      </c>
      <c r="C143" t="s">
        <v>485</v>
      </c>
      <c r="D143" t="s">
        <v>724</v>
      </c>
      <c r="E143" t="s">
        <v>724</v>
      </c>
      <c r="F143" t="s">
        <v>485</v>
      </c>
      <c r="G143" t="s">
        <v>206</v>
      </c>
      <c r="H143" s="135">
        <f>SUMIF(lunch1920_g1to6!$B$3:$B$935,ActiveDistricts!$F143,lunch1920_g1to6!$F$3:$F$935)</f>
        <v>1607</v>
      </c>
      <c r="I143" s="135">
        <f>SUMIF(lunch1920_g1to6!$B$3:$B$935,ActiveDistricts!$F143,lunch1920_g1to6!$G$3:$G$935)</f>
        <v>514</v>
      </c>
      <c r="J143">
        <f t="shared" si="2"/>
        <v>0.31985065339141255</v>
      </c>
    </row>
    <row r="144" spans="1:10" x14ac:dyDescent="0.2">
      <c r="A144">
        <v>2021</v>
      </c>
      <c r="B144" t="s">
        <v>723</v>
      </c>
      <c r="C144" t="s">
        <v>486</v>
      </c>
      <c r="D144" t="s">
        <v>724</v>
      </c>
      <c r="E144" t="s">
        <v>724</v>
      </c>
      <c r="F144" t="s">
        <v>486</v>
      </c>
      <c r="G144" t="s">
        <v>205</v>
      </c>
      <c r="H144" s="135">
        <f>SUMIF(lunch1920_g1to6!$B$3:$B$935,ActiveDistricts!$F144,lunch1920_g1to6!$F$3:$F$935)</f>
        <v>348</v>
      </c>
      <c r="I144" s="135">
        <f>SUMIF(lunch1920_g1to6!$B$3:$B$935,ActiveDistricts!$F144,lunch1920_g1to6!$G$3:$G$935)</f>
        <v>111</v>
      </c>
      <c r="J144">
        <f t="shared" si="2"/>
        <v>0.31896551724137934</v>
      </c>
    </row>
    <row r="145" spans="1:10" x14ac:dyDescent="0.2">
      <c r="A145">
        <v>2021</v>
      </c>
      <c r="B145" t="s">
        <v>730</v>
      </c>
      <c r="C145" t="s">
        <v>487</v>
      </c>
      <c r="D145" t="s">
        <v>724</v>
      </c>
      <c r="E145" t="s">
        <v>724</v>
      </c>
      <c r="F145" t="s">
        <v>487</v>
      </c>
      <c r="G145" t="s">
        <v>204</v>
      </c>
      <c r="H145" s="135">
        <f>SUMIF(lunch1920_g1to6!$B$3:$B$935,ActiveDistricts!$F145,lunch1920_g1to6!$F$3:$F$935)</f>
        <v>6729</v>
      </c>
      <c r="I145" s="135">
        <f>SUMIF(lunch1920_g1to6!$B$3:$B$935,ActiveDistricts!$F145,lunch1920_g1to6!$G$3:$G$935)</f>
        <v>2633</v>
      </c>
      <c r="J145">
        <f t="shared" si="2"/>
        <v>0.39129142517461735</v>
      </c>
    </row>
    <row r="146" spans="1:10" x14ac:dyDescent="0.2">
      <c r="A146">
        <v>2021</v>
      </c>
      <c r="B146" t="s">
        <v>725</v>
      </c>
      <c r="C146" t="s">
        <v>488</v>
      </c>
      <c r="D146" t="s">
        <v>724</v>
      </c>
      <c r="E146" t="s">
        <v>724</v>
      </c>
      <c r="F146" t="s">
        <v>488</v>
      </c>
      <c r="G146" t="s">
        <v>203</v>
      </c>
      <c r="H146" s="135">
        <f>SUMIF(lunch1920_g1to6!$B$3:$B$935,ActiveDistricts!$F146,lunch1920_g1to6!$F$3:$F$935)</f>
        <v>477</v>
      </c>
      <c r="I146" s="135">
        <f>SUMIF(lunch1920_g1to6!$B$3:$B$935,ActiveDistricts!$F146,lunch1920_g1to6!$G$3:$G$935)</f>
        <v>217</v>
      </c>
      <c r="J146">
        <f t="shared" si="2"/>
        <v>0.45492662473794548</v>
      </c>
    </row>
    <row r="147" spans="1:10" x14ac:dyDescent="0.2">
      <c r="A147">
        <v>2021</v>
      </c>
      <c r="B147" t="s">
        <v>730</v>
      </c>
      <c r="C147" t="s">
        <v>489</v>
      </c>
      <c r="D147" t="s">
        <v>724</v>
      </c>
      <c r="E147" t="s">
        <v>724</v>
      </c>
      <c r="F147" t="s">
        <v>489</v>
      </c>
      <c r="G147" t="s">
        <v>202</v>
      </c>
      <c r="H147" s="135">
        <f>SUMIF(lunch1920_g1to6!$B$3:$B$935,ActiveDistricts!$F147,lunch1920_g1to6!$F$3:$F$935)</f>
        <v>233</v>
      </c>
      <c r="I147" s="135">
        <f>SUMIF(lunch1920_g1to6!$B$3:$B$935,ActiveDistricts!$F147,lunch1920_g1to6!$G$3:$G$935)</f>
        <v>91</v>
      </c>
      <c r="J147">
        <f t="shared" si="2"/>
        <v>0.3905579399141631</v>
      </c>
    </row>
    <row r="148" spans="1:10" x14ac:dyDescent="0.2">
      <c r="A148">
        <v>2021</v>
      </c>
      <c r="B148" t="s">
        <v>725</v>
      </c>
      <c r="C148" t="s">
        <v>491</v>
      </c>
      <c r="D148" t="s">
        <v>724</v>
      </c>
      <c r="E148" t="s">
        <v>724</v>
      </c>
      <c r="F148" t="s">
        <v>491</v>
      </c>
      <c r="G148" t="s">
        <v>698</v>
      </c>
      <c r="H148" s="135">
        <f>SUMIF(lunch1920_g1to6!$B$3:$B$935,ActiveDistricts!$F148,lunch1920_g1to6!$F$3:$F$935)</f>
        <v>196</v>
      </c>
      <c r="I148" s="135">
        <f>SUMIF(lunch1920_g1to6!$B$3:$B$935,ActiveDistricts!$F148,lunch1920_g1to6!$G$3:$G$935)</f>
        <v>34</v>
      </c>
      <c r="J148">
        <f t="shared" si="2"/>
        <v>0.17346938775510204</v>
      </c>
    </row>
    <row r="149" spans="1:10" x14ac:dyDescent="0.2">
      <c r="A149">
        <v>2021</v>
      </c>
      <c r="B149" t="s">
        <v>725</v>
      </c>
      <c r="C149" t="s">
        <v>493</v>
      </c>
      <c r="D149" t="s">
        <v>724</v>
      </c>
      <c r="E149" t="s">
        <v>724</v>
      </c>
      <c r="F149" t="s">
        <v>493</v>
      </c>
      <c r="G149" t="s">
        <v>198</v>
      </c>
      <c r="H149" s="135">
        <f>SUMIF(lunch1920_g1to6!$B$3:$B$935,ActiveDistricts!$F149,lunch1920_g1to6!$F$3:$F$935)</f>
        <v>445</v>
      </c>
      <c r="I149" s="135">
        <f>SUMIF(lunch1920_g1to6!$B$3:$B$935,ActiveDistricts!$F149,lunch1920_g1to6!$G$3:$G$935)</f>
        <v>91</v>
      </c>
      <c r="J149">
        <f t="shared" si="2"/>
        <v>0.20449438202247192</v>
      </c>
    </row>
    <row r="150" spans="1:10" x14ac:dyDescent="0.2">
      <c r="A150">
        <v>2021</v>
      </c>
      <c r="B150" t="s">
        <v>723</v>
      </c>
      <c r="C150" t="s">
        <v>494</v>
      </c>
      <c r="D150" t="s">
        <v>724</v>
      </c>
      <c r="E150" t="s">
        <v>724</v>
      </c>
      <c r="F150" t="s">
        <v>494</v>
      </c>
      <c r="G150" t="s">
        <v>197</v>
      </c>
      <c r="H150" s="135">
        <f>SUMIF(lunch1920_g1to6!$B$3:$B$935,ActiveDistricts!$F150,lunch1920_g1to6!$F$3:$F$935)</f>
        <v>3207</v>
      </c>
      <c r="I150" s="135">
        <f>SUMIF(lunch1920_g1to6!$B$3:$B$935,ActiveDistricts!$F150,lunch1920_g1to6!$G$3:$G$935)</f>
        <v>739</v>
      </c>
      <c r="J150">
        <f t="shared" si="2"/>
        <v>0.23043342687870283</v>
      </c>
    </row>
    <row r="151" spans="1:10" x14ac:dyDescent="0.2">
      <c r="A151">
        <v>2021</v>
      </c>
      <c r="B151" t="s">
        <v>729</v>
      </c>
      <c r="C151" t="s">
        <v>495</v>
      </c>
      <c r="D151" t="s">
        <v>724</v>
      </c>
      <c r="E151" t="s">
        <v>724</v>
      </c>
      <c r="F151" t="s">
        <v>495</v>
      </c>
      <c r="G151" t="s">
        <v>196</v>
      </c>
      <c r="H151" s="135">
        <f>SUMIF(lunch1920_g1to6!$B$3:$B$935,ActiveDistricts!$F151,lunch1920_g1to6!$F$3:$F$935)</f>
        <v>808</v>
      </c>
      <c r="I151" s="135">
        <f>SUMIF(lunch1920_g1to6!$B$3:$B$935,ActiveDistricts!$F151,lunch1920_g1to6!$G$3:$G$935)</f>
        <v>555</v>
      </c>
      <c r="J151">
        <f t="shared" si="2"/>
        <v>0.68688118811881194</v>
      </c>
    </row>
    <row r="152" spans="1:10" x14ac:dyDescent="0.2">
      <c r="A152">
        <v>2021</v>
      </c>
      <c r="B152" t="s">
        <v>729</v>
      </c>
      <c r="C152" t="s">
        <v>496</v>
      </c>
      <c r="D152" t="s">
        <v>724</v>
      </c>
      <c r="E152" t="s">
        <v>724</v>
      </c>
      <c r="F152" t="s">
        <v>496</v>
      </c>
      <c r="G152" t="s">
        <v>195</v>
      </c>
      <c r="H152" s="135">
        <f>SUMIF(lunch1920_g1to6!$B$3:$B$935,ActiveDistricts!$F152,lunch1920_g1to6!$F$3:$F$935)</f>
        <v>134</v>
      </c>
      <c r="I152" s="135">
        <f>SUMIF(lunch1920_g1to6!$B$3:$B$935,ActiveDistricts!$F152,lunch1920_g1to6!$G$3:$G$935)</f>
        <v>55</v>
      </c>
      <c r="J152">
        <f t="shared" si="2"/>
        <v>0.41044776119402987</v>
      </c>
    </row>
    <row r="153" spans="1:10" x14ac:dyDescent="0.2">
      <c r="A153">
        <v>2021</v>
      </c>
      <c r="B153" t="s">
        <v>727</v>
      </c>
      <c r="C153" t="s">
        <v>497</v>
      </c>
      <c r="D153" t="s">
        <v>724</v>
      </c>
      <c r="E153" t="s">
        <v>724</v>
      </c>
      <c r="F153" t="s">
        <v>497</v>
      </c>
      <c r="G153" t="s">
        <v>194</v>
      </c>
      <c r="H153" s="135">
        <f>SUMIF(lunch1920_g1to6!$B$3:$B$935,ActiveDistricts!$F153,lunch1920_g1to6!$F$3:$F$935)</f>
        <v>210</v>
      </c>
      <c r="I153" s="135">
        <f>SUMIF(lunch1920_g1to6!$B$3:$B$935,ActiveDistricts!$F153,lunch1920_g1to6!$G$3:$G$935)</f>
        <v>98</v>
      </c>
      <c r="J153">
        <f t="shared" si="2"/>
        <v>0.46666666666666667</v>
      </c>
    </row>
    <row r="154" spans="1:10" x14ac:dyDescent="0.2">
      <c r="A154">
        <v>2021</v>
      </c>
      <c r="B154" t="s">
        <v>723</v>
      </c>
      <c r="C154" t="s">
        <v>498</v>
      </c>
      <c r="D154" t="s">
        <v>724</v>
      </c>
      <c r="E154" t="s">
        <v>724</v>
      </c>
      <c r="F154" t="s">
        <v>498</v>
      </c>
      <c r="G154" t="s">
        <v>193</v>
      </c>
      <c r="H154" s="135">
        <f>SUMIF(lunch1920_g1to6!$B$3:$B$935,ActiveDistricts!$F154,lunch1920_g1to6!$F$3:$F$935)</f>
        <v>722</v>
      </c>
      <c r="I154" s="135">
        <f>SUMIF(lunch1920_g1to6!$B$3:$B$935,ActiveDistricts!$F154,lunch1920_g1to6!$G$3:$G$935)</f>
        <v>355</v>
      </c>
      <c r="J154">
        <f t="shared" si="2"/>
        <v>0.4916897506925208</v>
      </c>
    </row>
    <row r="155" spans="1:10" x14ac:dyDescent="0.2">
      <c r="A155">
        <v>2021</v>
      </c>
      <c r="B155" t="s">
        <v>725</v>
      </c>
      <c r="C155" t="s">
        <v>499</v>
      </c>
      <c r="D155" t="s">
        <v>724</v>
      </c>
      <c r="E155" t="s">
        <v>724</v>
      </c>
      <c r="F155" t="s">
        <v>499</v>
      </c>
      <c r="G155" t="s">
        <v>192</v>
      </c>
      <c r="H155" s="135">
        <f>SUMIF(lunch1920_g1to6!$B$3:$B$935,ActiveDistricts!$F155,lunch1920_g1to6!$F$3:$F$935)</f>
        <v>270</v>
      </c>
      <c r="I155" s="135">
        <f>SUMIF(lunch1920_g1to6!$B$3:$B$935,ActiveDistricts!$F155,lunch1920_g1to6!$G$3:$G$935)</f>
        <v>102</v>
      </c>
      <c r="J155">
        <f t="shared" si="2"/>
        <v>0.37777777777777777</v>
      </c>
    </row>
    <row r="156" spans="1:10" x14ac:dyDescent="0.2">
      <c r="A156">
        <v>2021</v>
      </c>
      <c r="B156" t="s">
        <v>726</v>
      </c>
      <c r="C156" t="s">
        <v>500</v>
      </c>
      <c r="D156" t="s">
        <v>724</v>
      </c>
      <c r="E156" t="s">
        <v>724</v>
      </c>
      <c r="F156" t="s">
        <v>500</v>
      </c>
      <c r="G156" t="s">
        <v>191</v>
      </c>
      <c r="H156" s="135">
        <f>SUMIF(lunch1920_g1to6!$B$3:$B$935,ActiveDistricts!$F156,lunch1920_g1to6!$F$3:$F$935)</f>
        <v>138</v>
      </c>
      <c r="I156" s="135">
        <f>SUMIF(lunch1920_g1to6!$B$3:$B$935,ActiveDistricts!$F156,lunch1920_g1to6!$G$3:$G$935)</f>
        <v>95</v>
      </c>
      <c r="J156">
        <f t="shared" si="2"/>
        <v>0.68840579710144922</v>
      </c>
    </row>
    <row r="157" spans="1:10" x14ac:dyDescent="0.2">
      <c r="A157">
        <v>2021</v>
      </c>
      <c r="B157" t="s">
        <v>728</v>
      </c>
      <c r="C157" t="s">
        <v>501</v>
      </c>
      <c r="D157" t="s">
        <v>724</v>
      </c>
      <c r="E157" t="s">
        <v>724</v>
      </c>
      <c r="F157" t="s">
        <v>501</v>
      </c>
      <c r="G157" t="s">
        <v>190</v>
      </c>
      <c r="H157" s="135">
        <f>SUMIF(lunch1920_g1to6!$B$3:$B$935,ActiveDistricts!$F157,lunch1920_g1to6!$F$3:$F$935)</f>
        <v>93</v>
      </c>
      <c r="I157" s="135">
        <f>SUMIF(lunch1920_g1to6!$B$3:$B$935,ActiveDistricts!$F157,lunch1920_g1to6!$G$3:$G$935)</f>
        <v>46</v>
      </c>
      <c r="J157">
        <f t="shared" si="2"/>
        <v>0.4946236559139785</v>
      </c>
    </row>
    <row r="158" spans="1:10" x14ac:dyDescent="0.2">
      <c r="A158">
        <v>2021</v>
      </c>
      <c r="B158" t="s">
        <v>727</v>
      </c>
      <c r="C158" t="s">
        <v>502</v>
      </c>
      <c r="D158" t="s">
        <v>724</v>
      </c>
      <c r="E158" t="s">
        <v>724</v>
      </c>
      <c r="F158" t="s">
        <v>502</v>
      </c>
      <c r="G158" t="s">
        <v>189</v>
      </c>
      <c r="H158" s="135">
        <f>SUMIF(lunch1920_g1to6!$B$3:$B$935,ActiveDistricts!$F158,lunch1920_g1to6!$F$3:$F$935)</f>
        <v>285</v>
      </c>
      <c r="I158" s="135">
        <f>SUMIF(lunch1920_g1to6!$B$3:$B$935,ActiveDistricts!$F158,lunch1920_g1to6!$G$3:$G$935)</f>
        <v>82</v>
      </c>
      <c r="J158">
        <f t="shared" si="2"/>
        <v>0.28771929824561404</v>
      </c>
    </row>
    <row r="159" spans="1:10" x14ac:dyDescent="0.2">
      <c r="A159">
        <v>2021</v>
      </c>
      <c r="B159" t="s">
        <v>727</v>
      </c>
      <c r="C159" t="s">
        <v>504</v>
      </c>
      <c r="D159" t="s">
        <v>724</v>
      </c>
      <c r="E159" t="s">
        <v>724</v>
      </c>
      <c r="F159" t="s">
        <v>504</v>
      </c>
      <c r="G159" t="s">
        <v>188</v>
      </c>
      <c r="H159" s="135">
        <f>SUMIF(lunch1920_g1to6!$B$3:$B$935,ActiveDistricts!$F159,lunch1920_g1to6!$F$3:$F$935)</f>
        <v>953</v>
      </c>
      <c r="I159" s="135">
        <f>SUMIF(lunch1920_g1to6!$B$3:$B$935,ActiveDistricts!$F159,lunch1920_g1to6!$G$3:$G$935)</f>
        <v>374</v>
      </c>
      <c r="J159">
        <f t="shared" si="2"/>
        <v>0.39244491080797483</v>
      </c>
    </row>
    <row r="160" spans="1:10" x14ac:dyDescent="0.2">
      <c r="A160">
        <v>2021</v>
      </c>
      <c r="B160" t="s">
        <v>726</v>
      </c>
      <c r="C160" t="s">
        <v>505</v>
      </c>
      <c r="D160" t="s">
        <v>724</v>
      </c>
      <c r="E160" t="s">
        <v>724</v>
      </c>
      <c r="F160" t="s">
        <v>505</v>
      </c>
      <c r="G160" t="s">
        <v>187</v>
      </c>
      <c r="H160" s="135">
        <f>SUMIF(lunch1920_g1to6!$B$3:$B$935,ActiveDistricts!$F160,lunch1920_g1to6!$F$3:$F$935)</f>
        <v>211</v>
      </c>
      <c r="I160" s="135">
        <f>SUMIF(lunch1920_g1to6!$B$3:$B$935,ActiveDistricts!$F160,lunch1920_g1to6!$G$3:$G$935)</f>
        <v>108</v>
      </c>
      <c r="J160">
        <f t="shared" si="2"/>
        <v>0.51184834123222744</v>
      </c>
    </row>
    <row r="161" spans="1:10" x14ac:dyDescent="0.2">
      <c r="A161">
        <v>2021</v>
      </c>
      <c r="B161" t="s">
        <v>726</v>
      </c>
      <c r="C161" t="s">
        <v>506</v>
      </c>
      <c r="D161" t="s">
        <v>724</v>
      </c>
      <c r="E161" t="s">
        <v>724</v>
      </c>
      <c r="F161" t="s">
        <v>506</v>
      </c>
      <c r="G161" t="s">
        <v>186</v>
      </c>
      <c r="H161" s="135">
        <f>SUMIF(lunch1920_g1to6!$B$3:$B$935,ActiveDistricts!$F161,lunch1920_g1to6!$F$3:$F$935)</f>
        <v>1339</v>
      </c>
      <c r="I161" s="135">
        <f>SUMIF(lunch1920_g1to6!$B$3:$B$935,ActiveDistricts!$F161,lunch1920_g1to6!$G$3:$G$935)</f>
        <v>543</v>
      </c>
      <c r="J161">
        <f t="shared" si="2"/>
        <v>0.40552651232262882</v>
      </c>
    </row>
    <row r="162" spans="1:10" x14ac:dyDescent="0.2">
      <c r="A162">
        <v>2021</v>
      </c>
      <c r="B162" t="s">
        <v>730</v>
      </c>
      <c r="C162" t="s">
        <v>508</v>
      </c>
      <c r="D162" t="s">
        <v>724</v>
      </c>
      <c r="E162" t="s">
        <v>724</v>
      </c>
      <c r="F162" t="s">
        <v>508</v>
      </c>
      <c r="G162" t="s">
        <v>184</v>
      </c>
      <c r="H162" s="135">
        <f>SUMIF(lunch1920_g1to6!$B$3:$B$935,ActiveDistricts!$F162,lunch1920_g1to6!$F$3:$F$935)</f>
        <v>3572</v>
      </c>
      <c r="I162" s="135">
        <f>SUMIF(lunch1920_g1to6!$B$3:$B$935,ActiveDistricts!$F162,lunch1920_g1to6!$G$3:$G$935)</f>
        <v>810</v>
      </c>
      <c r="J162">
        <f t="shared" si="2"/>
        <v>0.22676371780515117</v>
      </c>
    </row>
    <row r="163" spans="1:10" x14ac:dyDescent="0.2">
      <c r="A163">
        <v>2021</v>
      </c>
      <c r="B163" t="s">
        <v>730</v>
      </c>
      <c r="C163" t="s">
        <v>509</v>
      </c>
      <c r="D163" t="s">
        <v>724</v>
      </c>
      <c r="E163" t="s">
        <v>724</v>
      </c>
      <c r="F163" t="s">
        <v>509</v>
      </c>
      <c r="G163" t="s">
        <v>183</v>
      </c>
      <c r="H163" s="135">
        <f>SUMIF(lunch1920_g1to6!$B$3:$B$935,ActiveDistricts!$F163,lunch1920_g1to6!$F$3:$F$935)</f>
        <v>281</v>
      </c>
      <c r="I163" s="135">
        <f>SUMIF(lunch1920_g1to6!$B$3:$B$935,ActiveDistricts!$F163,lunch1920_g1to6!$G$3:$G$935)</f>
        <v>25</v>
      </c>
      <c r="J163">
        <f t="shared" si="2"/>
        <v>8.8967971530249115E-2</v>
      </c>
    </row>
    <row r="164" spans="1:10" x14ac:dyDescent="0.2">
      <c r="A164">
        <v>2021</v>
      </c>
      <c r="B164" t="s">
        <v>726</v>
      </c>
      <c r="C164" t="s">
        <v>510</v>
      </c>
      <c r="D164" t="s">
        <v>724</v>
      </c>
      <c r="E164" t="s">
        <v>724</v>
      </c>
      <c r="F164" t="s">
        <v>510</v>
      </c>
      <c r="G164" t="s">
        <v>182</v>
      </c>
      <c r="H164" s="135">
        <f>SUMIF(lunch1920_g1to6!$B$3:$B$935,ActiveDistricts!$F164,lunch1920_g1to6!$F$3:$F$935)</f>
        <v>285</v>
      </c>
      <c r="I164" s="135">
        <f>SUMIF(lunch1920_g1to6!$B$3:$B$935,ActiveDistricts!$F164,lunch1920_g1to6!$G$3:$G$935)</f>
        <v>88</v>
      </c>
      <c r="J164">
        <f t="shared" si="2"/>
        <v>0.30877192982456142</v>
      </c>
    </row>
    <row r="165" spans="1:10" x14ac:dyDescent="0.2">
      <c r="A165">
        <v>2021</v>
      </c>
      <c r="B165" t="s">
        <v>730</v>
      </c>
      <c r="C165" t="s">
        <v>511</v>
      </c>
      <c r="D165" t="s">
        <v>724</v>
      </c>
      <c r="E165" t="s">
        <v>724</v>
      </c>
      <c r="F165" t="s">
        <v>511</v>
      </c>
      <c r="G165" t="s">
        <v>181</v>
      </c>
      <c r="H165" s="135">
        <f>SUMIF(lunch1920_g1to6!$B$3:$B$935,ActiveDistricts!$F165,lunch1920_g1to6!$F$3:$F$935)</f>
        <v>190</v>
      </c>
      <c r="I165" s="135">
        <f>SUMIF(lunch1920_g1to6!$B$3:$B$935,ActiveDistricts!$F165,lunch1920_g1to6!$G$3:$G$935)</f>
        <v>61</v>
      </c>
      <c r="J165">
        <f t="shared" si="2"/>
        <v>0.32105263157894737</v>
      </c>
    </row>
    <row r="166" spans="1:10" x14ac:dyDescent="0.2">
      <c r="A166">
        <v>2021</v>
      </c>
      <c r="B166" t="s">
        <v>734</v>
      </c>
      <c r="C166" t="s">
        <v>512</v>
      </c>
      <c r="D166" t="s">
        <v>724</v>
      </c>
      <c r="E166" t="s">
        <v>724</v>
      </c>
      <c r="F166" t="s">
        <v>512</v>
      </c>
      <c r="G166" t="s">
        <v>180</v>
      </c>
      <c r="H166" s="135">
        <f>SUMIF(lunch1920_g1to6!$B$3:$B$935,ActiveDistricts!$F166,lunch1920_g1to6!$F$3:$F$935)</f>
        <v>338</v>
      </c>
      <c r="I166" s="135">
        <f>SUMIF(lunch1920_g1to6!$B$3:$B$935,ActiveDistricts!$F166,lunch1920_g1to6!$G$3:$G$935)</f>
        <v>114</v>
      </c>
      <c r="J166">
        <f t="shared" si="2"/>
        <v>0.33727810650887574</v>
      </c>
    </row>
    <row r="167" spans="1:10" x14ac:dyDescent="0.2">
      <c r="A167">
        <v>2021</v>
      </c>
      <c r="B167" t="s">
        <v>728</v>
      </c>
      <c r="C167" t="s">
        <v>513</v>
      </c>
      <c r="D167" t="s">
        <v>724</v>
      </c>
      <c r="E167" t="s">
        <v>724</v>
      </c>
      <c r="F167" t="s">
        <v>513</v>
      </c>
      <c r="G167" t="s">
        <v>699</v>
      </c>
      <c r="H167" s="135">
        <f>SUMIF(lunch1920_g1to6!$B$3:$B$935,ActiveDistricts!$F167,lunch1920_g1to6!$F$3:$F$935)</f>
        <v>36</v>
      </c>
      <c r="I167" s="135">
        <f>SUMIF(lunch1920_g1to6!$B$3:$B$935,ActiveDistricts!$F167,lunch1920_g1to6!$G$3:$G$935)</f>
        <v>28</v>
      </c>
      <c r="J167">
        <f t="shared" si="2"/>
        <v>0.77777777777777779</v>
      </c>
    </row>
    <row r="168" spans="1:10" x14ac:dyDescent="0.2">
      <c r="A168">
        <v>2021</v>
      </c>
      <c r="B168" t="s">
        <v>723</v>
      </c>
      <c r="C168" t="s">
        <v>514</v>
      </c>
      <c r="D168" t="s">
        <v>724</v>
      </c>
      <c r="E168" t="s">
        <v>724</v>
      </c>
      <c r="F168" t="s">
        <v>514</v>
      </c>
      <c r="G168" t="s">
        <v>178</v>
      </c>
      <c r="H168" s="135">
        <f>SUMIF(lunch1920_g1to6!$B$3:$B$935,ActiveDistricts!$F168,lunch1920_g1to6!$F$3:$F$935)</f>
        <v>233</v>
      </c>
      <c r="I168" s="135">
        <f>SUMIF(lunch1920_g1to6!$B$3:$B$935,ActiveDistricts!$F168,lunch1920_g1to6!$G$3:$G$935)</f>
        <v>70</v>
      </c>
      <c r="J168">
        <f t="shared" si="2"/>
        <v>0.30042918454935624</v>
      </c>
    </row>
    <row r="169" spans="1:10" x14ac:dyDescent="0.2">
      <c r="A169">
        <v>2021</v>
      </c>
      <c r="B169" t="s">
        <v>723</v>
      </c>
      <c r="C169" t="s">
        <v>515</v>
      </c>
      <c r="D169" t="s">
        <v>724</v>
      </c>
      <c r="E169" t="s">
        <v>724</v>
      </c>
      <c r="F169" t="s">
        <v>515</v>
      </c>
      <c r="G169" t="s">
        <v>177</v>
      </c>
      <c r="H169" s="135">
        <f>SUMIF(lunch1920_g1to6!$B$3:$B$935,ActiveDistricts!$F169,lunch1920_g1to6!$F$3:$F$935)</f>
        <v>304</v>
      </c>
      <c r="I169" s="135">
        <f>SUMIF(lunch1920_g1to6!$B$3:$B$935,ActiveDistricts!$F169,lunch1920_g1to6!$G$3:$G$935)</f>
        <v>75</v>
      </c>
      <c r="J169">
        <f t="shared" si="2"/>
        <v>0.24671052631578946</v>
      </c>
    </row>
    <row r="170" spans="1:10" x14ac:dyDescent="0.2">
      <c r="A170">
        <v>2021</v>
      </c>
      <c r="B170" t="s">
        <v>728</v>
      </c>
      <c r="C170" t="s">
        <v>517</v>
      </c>
      <c r="D170" t="s">
        <v>724</v>
      </c>
      <c r="E170" t="s">
        <v>724</v>
      </c>
      <c r="F170" t="s">
        <v>517</v>
      </c>
      <c r="G170" t="s">
        <v>701</v>
      </c>
      <c r="H170" s="135">
        <f>SUMIF(lunch1920_g1to6!$B$3:$B$935,ActiveDistricts!$F170,lunch1920_g1to6!$F$3:$F$935)</f>
        <v>320</v>
      </c>
      <c r="I170" s="135">
        <f>SUMIF(lunch1920_g1to6!$B$3:$B$935,ActiveDistricts!$F170,lunch1920_g1to6!$G$3:$G$935)</f>
        <v>103</v>
      </c>
      <c r="J170">
        <f t="shared" si="2"/>
        <v>0.32187500000000002</v>
      </c>
    </row>
    <row r="171" spans="1:10" x14ac:dyDescent="0.2">
      <c r="A171">
        <v>2021</v>
      </c>
      <c r="B171" t="s">
        <v>727</v>
      </c>
      <c r="C171" t="s">
        <v>518</v>
      </c>
      <c r="D171" t="s">
        <v>739</v>
      </c>
      <c r="E171" t="s">
        <v>724</v>
      </c>
      <c r="F171" t="s">
        <v>518</v>
      </c>
      <c r="G171" t="s">
        <v>174</v>
      </c>
      <c r="H171" s="135">
        <f>SUMIF(lunch1920_g1to6!$B$3:$B$935,ActiveDistricts!$F171,lunch1920_g1to6!$F$3:$F$935)</f>
        <v>239</v>
      </c>
      <c r="I171" s="135">
        <f>SUMIF(lunch1920_g1to6!$B$3:$B$935,ActiveDistricts!$F171,lunch1920_g1to6!$G$3:$G$935)</f>
        <v>141</v>
      </c>
      <c r="J171">
        <f t="shared" si="2"/>
        <v>0.58995815899581594</v>
      </c>
    </row>
    <row r="172" spans="1:10" x14ac:dyDescent="0.2">
      <c r="A172">
        <v>2021</v>
      </c>
      <c r="B172" t="s">
        <v>734</v>
      </c>
      <c r="C172" t="s">
        <v>519</v>
      </c>
      <c r="D172" t="s">
        <v>724</v>
      </c>
      <c r="E172" t="s">
        <v>724</v>
      </c>
      <c r="F172" t="s">
        <v>519</v>
      </c>
      <c r="G172" t="s">
        <v>173</v>
      </c>
      <c r="H172" s="135">
        <f>SUMIF(lunch1920_g1to6!$B$3:$B$935,ActiveDistricts!$F172,lunch1920_g1to6!$F$3:$F$935)</f>
        <v>482</v>
      </c>
      <c r="I172" s="135">
        <f>SUMIF(lunch1920_g1to6!$B$3:$B$935,ActiveDistricts!$F172,lunch1920_g1to6!$G$3:$G$935)</f>
        <v>299</v>
      </c>
      <c r="J172">
        <f t="shared" si="2"/>
        <v>0.6203319502074689</v>
      </c>
    </row>
    <row r="173" spans="1:10" x14ac:dyDescent="0.2">
      <c r="A173">
        <v>2021</v>
      </c>
      <c r="B173" t="s">
        <v>732</v>
      </c>
      <c r="C173" t="s">
        <v>520</v>
      </c>
      <c r="D173" t="s">
        <v>724</v>
      </c>
      <c r="E173" t="s">
        <v>724</v>
      </c>
      <c r="F173" t="s">
        <v>520</v>
      </c>
      <c r="G173" t="s">
        <v>172</v>
      </c>
      <c r="H173" s="135">
        <f>SUMIF(lunch1920_g1to6!$B$3:$B$935,ActiveDistricts!$F173,lunch1920_g1to6!$F$3:$F$935)</f>
        <v>314</v>
      </c>
      <c r="I173" s="135">
        <f>SUMIF(lunch1920_g1to6!$B$3:$B$935,ActiveDistricts!$F173,lunch1920_g1to6!$G$3:$G$935)</f>
        <v>95</v>
      </c>
      <c r="J173">
        <f t="shared" si="2"/>
        <v>0.30254777070063693</v>
      </c>
    </row>
    <row r="174" spans="1:10" x14ac:dyDescent="0.2">
      <c r="A174">
        <v>2021</v>
      </c>
      <c r="B174" t="s">
        <v>727</v>
      </c>
      <c r="C174" t="s">
        <v>521</v>
      </c>
      <c r="D174" t="s">
        <v>724</v>
      </c>
      <c r="E174" t="s">
        <v>724</v>
      </c>
      <c r="F174" t="s">
        <v>521</v>
      </c>
      <c r="G174" t="s">
        <v>702</v>
      </c>
      <c r="H174" s="135">
        <f>SUMIF(lunch1920_g1to6!$B$3:$B$935,ActiveDistricts!$F174,lunch1920_g1to6!$F$3:$F$935)</f>
        <v>112</v>
      </c>
      <c r="I174" s="135">
        <f>SUMIF(lunch1920_g1to6!$B$3:$B$935,ActiveDistricts!$F174,lunch1920_g1to6!$G$3:$G$935)</f>
        <v>36</v>
      </c>
      <c r="J174">
        <f t="shared" si="2"/>
        <v>0.32142857142857145</v>
      </c>
    </row>
    <row r="175" spans="1:10" x14ac:dyDescent="0.2">
      <c r="A175">
        <v>2021</v>
      </c>
      <c r="B175" t="s">
        <v>730</v>
      </c>
      <c r="C175" t="s">
        <v>522</v>
      </c>
      <c r="D175" t="s">
        <v>724</v>
      </c>
      <c r="E175" t="s">
        <v>724</v>
      </c>
      <c r="F175" t="s">
        <v>522</v>
      </c>
      <c r="G175" t="s">
        <v>703</v>
      </c>
      <c r="H175" s="135">
        <f>SUMIF(lunch1920_g1to6!$B$3:$B$935,ActiveDistricts!$F175,lunch1920_g1to6!$F$3:$F$935)</f>
        <v>926</v>
      </c>
      <c r="I175" s="135">
        <f>SUMIF(lunch1920_g1to6!$B$3:$B$935,ActiveDistricts!$F175,lunch1920_g1to6!$G$3:$G$935)</f>
        <v>341</v>
      </c>
      <c r="J175">
        <f t="shared" si="2"/>
        <v>0.36825053995680346</v>
      </c>
    </row>
    <row r="176" spans="1:10" x14ac:dyDescent="0.2">
      <c r="A176">
        <v>2021</v>
      </c>
      <c r="B176" t="s">
        <v>725</v>
      </c>
      <c r="C176" t="s">
        <v>523</v>
      </c>
      <c r="D176" t="s">
        <v>724</v>
      </c>
      <c r="E176" t="s">
        <v>724</v>
      </c>
      <c r="F176" t="s">
        <v>523</v>
      </c>
      <c r="G176" t="s">
        <v>169</v>
      </c>
      <c r="H176" s="135">
        <f>SUMIF(lunch1920_g1to6!$B$3:$B$935,ActiveDistricts!$F176,lunch1920_g1to6!$F$3:$F$935)</f>
        <v>2244</v>
      </c>
      <c r="I176" s="135">
        <f>SUMIF(lunch1920_g1to6!$B$3:$B$935,ActiveDistricts!$F176,lunch1920_g1to6!$G$3:$G$935)</f>
        <v>1302</v>
      </c>
      <c r="J176">
        <f t="shared" si="2"/>
        <v>0.5802139037433155</v>
      </c>
    </row>
    <row r="177" spans="1:10" x14ac:dyDescent="0.2">
      <c r="A177">
        <v>2021</v>
      </c>
      <c r="B177" t="s">
        <v>723</v>
      </c>
      <c r="C177" t="s">
        <v>524</v>
      </c>
      <c r="D177" t="s">
        <v>724</v>
      </c>
      <c r="E177" t="s">
        <v>724</v>
      </c>
      <c r="F177" t="s">
        <v>524</v>
      </c>
      <c r="G177" t="s">
        <v>168</v>
      </c>
      <c r="H177" s="135">
        <f>SUMIF(lunch1920_g1to6!$B$3:$B$935,ActiveDistricts!$F177,lunch1920_g1to6!$F$3:$F$935)</f>
        <v>231</v>
      </c>
      <c r="I177" s="135">
        <f>SUMIF(lunch1920_g1to6!$B$3:$B$935,ActiveDistricts!$F177,lunch1920_g1to6!$G$3:$G$935)</f>
        <v>67</v>
      </c>
      <c r="J177">
        <f t="shared" si="2"/>
        <v>0.29004329004329005</v>
      </c>
    </row>
    <row r="178" spans="1:10" x14ac:dyDescent="0.2">
      <c r="A178">
        <v>2021</v>
      </c>
      <c r="B178" t="s">
        <v>725</v>
      </c>
      <c r="C178" t="s">
        <v>525</v>
      </c>
      <c r="D178" t="s">
        <v>724</v>
      </c>
      <c r="E178" t="s">
        <v>724</v>
      </c>
      <c r="F178" t="s">
        <v>525</v>
      </c>
      <c r="G178" t="s">
        <v>167</v>
      </c>
      <c r="H178" s="135">
        <f>SUMIF(lunch1920_g1to6!$B$3:$B$935,ActiveDistricts!$F178,lunch1920_g1to6!$F$3:$F$935)</f>
        <v>1681</v>
      </c>
      <c r="I178" s="135">
        <f>SUMIF(lunch1920_g1to6!$B$3:$B$935,ActiveDistricts!$F178,lunch1920_g1to6!$G$3:$G$935)</f>
        <v>954</v>
      </c>
      <c r="J178">
        <f t="shared" si="2"/>
        <v>0.56751933372992269</v>
      </c>
    </row>
    <row r="179" spans="1:10" x14ac:dyDescent="0.2">
      <c r="A179">
        <v>2021</v>
      </c>
      <c r="B179" t="s">
        <v>729</v>
      </c>
      <c r="C179" t="s">
        <v>527</v>
      </c>
      <c r="D179" t="s">
        <v>724</v>
      </c>
      <c r="E179" t="s">
        <v>724</v>
      </c>
      <c r="F179" t="s">
        <v>527</v>
      </c>
      <c r="G179" t="s">
        <v>165</v>
      </c>
      <c r="H179" s="135">
        <f>SUMIF(lunch1920_g1to6!$B$3:$B$935,ActiveDistricts!$F179,lunch1920_g1to6!$F$3:$F$935)</f>
        <v>428</v>
      </c>
      <c r="I179" s="135">
        <f>SUMIF(lunch1920_g1to6!$B$3:$B$935,ActiveDistricts!$F179,lunch1920_g1to6!$G$3:$G$935)</f>
        <v>112</v>
      </c>
      <c r="J179">
        <f t="shared" si="2"/>
        <v>0.26168224299065418</v>
      </c>
    </row>
    <row r="180" spans="1:10" x14ac:dyDescent="0.2">
      <c r="A180">
        <v>2021</v>
      </c>
      <c r="B180" t="s">
        <v>723</v>
      </c>
      <c r="C180" t="s">
        <v>528</v>
      </c>
      <c r="D180" t="s">
        <v>724</v>
      </c>
      <c r="E180" t="s">
        <v>724</v>
      </c>
      <c r="F180" t="s">
        <v>528</v>
      </c>
      <c r="G180" t="s">
        <v>164</v>
      </c>
      <c r="H180" s="135">
        <f>SUMIF(lunch1920_g1to6!$B$3:$B$935,ActiveDistricts!$F180,lunch1920_g1to6!$F$3:$F$935)</f>
        <v>145</v>
      </c>
      <c r="I180" s="135">
        <f>SUMIF(lunch1920_g1to6!$B$3:$B$935,ActiveDistricts!$F180,lunch1920_g1to6!$G$3:$G$935)</f>
        <v>63</v>
      </c>
      <c r="J180">
        <f t="shared" si="2"/>
        <v>0.43448275862068964</v>
      </c>
    </row>
    <row r="181" spans="1:10" x14ac:dyDescent="0.2">
      <c r="A181">
        <v>2021</v>
      </c>
      <c r="B181" t="s">
        <v>732</v>
      </c>
      <c r="C181" t="s">
        <v>532</v>
      </c>
      <c r="D181" t="s">
        <v>724</v>
      </c>
      <c r="E181" t="s">
        <v>724</v>
      </c>
      <c r="F181" t="s">
        <v>532</v>
      </c>
      <c r="G181" t="s">
        <v>700</v>
      </c>
      <c r="H181" s="135">
        <f>SUMIF(lunch1920_g1to6!$B$3:$B$935,ActiveDistricts!$F181,lunch1920_g1to6!$F$3:$F$935)</f>
        <v>351</v>
      </c>
      <c r="I181" s="135">
        <f>SUMIF(lunch1920_g1to6!$B$3:$B$935,ActiveDistricts!$F181,lunch1920_g1to6!$G$3:$G$935)</f>
        <v>134</v>
      </c>
      <c r="J181">
        <f t="shared" si="2"/>
        <v>0.38176638176638178</v>
      </c>
    </row>
    <row r="182" spans="1:10" x14ac:dyDescent="0.2">
      <c r="A182">
        <v>2021</v>
      </c>
      <c r="B182" t="s">
        <v>730</v>
      </c>
      <c r="C182" t="s">
        <v>529</v>
      </c>
      <c r="D182" t="s">
        <v>724</v>
      </c>
      <c r="E182" t="s">
        <v>724</v>
      </c>
      <c r="F182" t="s">
        <v>529</v>
      </c>
      <c r="G182" t="s">
        <v>163</v>
      </c>
      <c r="H182" s="135">
        <f>SUMIF(lunch1920_g1to6!$B$3:$B$935,ActiveDistricts!$F182,lunch1920_g1to6!$F$3:$F$935)</f>
        <v>187</v>
      </c>
      <c r="I182" s="135">
        <f>SUMIF(lunch1920_g1to6!$B$3:$B$935,ActiveDistricts!$F182,lunch1920_g1to6!$G$3:$G$935)</f>
        <v>87</v>
      </c>
      <c r="J182">
        <f t="shared" si="2"/>
        <v>0.46524064171122997</v>
      </c>
    </row>
    <row r="183" spans="1:10" x14ac:dyDescent="0.2">
      <c r="A183">
        <v>2021</v>
      </c>
      <c r="B183" t="s">
        <v>730</v>
      </c>
      <c r="C183" t="s">
        <v>530</v>
      </c>
      <c r="D183" t="s">
        <v>724</v>
      </c>
      <c r="E183" t="s">
        <v>724</v>
      </c>
      <c r="F183" t="s">
        <v>530</v>
      </c>
      <c r="G183" t="s">
        <v>162</v>
      </c>
      <c r="H183" s="135">
        <f>SUMIF(lunch1920_g1to6!$B$3:$B$935,ActiveDistricts!$F183,lunch1920_g1to6!$F$3:$F$935)</f>
        <v>648</v>
      </c>
      <c r="I183" s="135">
        <f>SUMIF(lunch1920_g1to6!$B$3:$B$935,ActiveDistricts!$F183,lunch1920_g1to6!$G$3:$G$935)</f>
        <v>188</v>
      </c>
      <c r="J183">
        <f t="shared" si="2"/>
        <v>0.29012345679012347</v>
      </c>
    </row>
    <row r="184" spans="1:10" x14ac:dyDescent="0.2">
      <c r="A184">
        <v>2021</v>
      </c>
      <c r="B184" t="s">
        <v>726</v>
      </c>
      <c r="C184" t="s">
        <v>531</v>
      </c>
      <c r="D184" t="s">
        <v>724</v>
      </c>
      <c r="E184" t="s">
        <v>724</v>
      </c>
      <c r="F184" t="s">
        <v>531</v>
      </c>
      <c r="G184" t="s">
        <v>161</v>
      </c>
      <c r="H184" s="135">
        <f>SUMIF(lunch1920_g1to6!$B$3:$B$935,ActiveDistricts!$F184,lunch1920_g1to6!$F$3:$F$935)</f>
        <v>319</v>
      </c>
      <c r="I184" s="135">
        <f>SUMIF(lunch1920_g1to6!$B$3:$B$935,ActiveDistricts!$F184,lunch1920_g1to6!$G$3:$G$935)</f>
        <v>131</v>
      </c>
      <c r="J184">
        <f t="shared" si="2"/>
        <v>0.41065830721003133</v>
      </c>
    </row>
    <row r="185" spans="1:10" x14ac:dyDescent="0.2">
      <c r="A185">
        <v>2021</v>
      </c>
      <c r="B185" t="s">
        <v>727</v>
      </c>
      <c r="C185" t="s">
        <v>526</v>
      </c>
      <c r="D185" t="s">
        <v>724</v>
      </c>
      <c r="E185" t="s">
        <v>724</v>
      </c>
      <c r="F185" t="s">
        <v>526</v>
      </c>
      <c r="G185" t="s">
        <v>704</v>
      </c>
      <c r="H185" s="135">
        <f>SUMIF(lunch1920_g1to6!$B$3:$B$935,ActiveDistricts!$F185,lunch1920_g1to6!$F$3:$F$935)</f>
        <v>649</v>
      </c>
      <c r="I185" s="135">
        <f>SUMIF(lunch1920_g1to6!$B$3:$B$935,ActiveDistricts!$F185,lunch1920_g1to6!$G$3:$G$935)</f>
        <v>207</v>
      </c>
      <c r="J185">
        <f t="shared" si="2"/>
        <v>0.31895223420647151</v>
      </c>
    </row>
    <row r="186" spans="1:10" x14ac:dyDescent="0.2">
      <c r="A186">
        <v>2021</v>
      </c>
      <c r="B186" t="s">
        <v>725</v>
      </c>
      <c r="C186" t="s">
        <v>533</v>
      </c>
      <c r="D186" t="s">
        <v>724</v>
      </c>
      <c r="E186" t="s">
        <v>724</v>
      </c>
      <c r="F186" t="s">
        <v>533</v>
      </c>
      <c r="G186" t="s">
        <v>159</v>
      </c>
      <c r="H186" s="135">
        <f>SUMIF(lunch1920_g1to6!$B$3:$B$935,ActiveDistricts!$F186,lunch1920_g1to6!$F$3:$F$935)</f>
        <v>211</v>
      </c>
      <c r="I186" s="135">
        <f>SUMIF(lunch1920_g1to6!$B$3:$B$935,ActiveDistricts!$F186,lunch1920_g1to6!$G$3:$G$935)</f>
        <v>79</v>
      </c>
      <c r="J186">
        <f t="shared" si="2"/>
        <v>0.37440758293838861</v>
      </c>
    </row>
    <row r="187" spans="1:10" x14ac:dyDescent="0.2">
      <c r="A187">
        <v>2021</v>
      </c>
      <c r="B187" t="s">
        <v>730</v>
      </c>
      <c r="C187" t="s">
        <v>534</v>
      </c>
      <c r="D187" t="s">
        <v>724</v>
      </c>
      <c r="E187" t="s">
        <v>724</v>
      </c>
      <c r="F187" t="s">
        <v>534</v>
      </c>
      <c r="G187" t="s">
        <v>158</v>
      </c>
      <c r="H187" s="135">
        <f>SUMIF(lunch1920_g1to6!$B$3:$B$935,ActiveDistricts!$F187,lunch1920_g1to6!$F$3:$F$935)</f>
        <v>390</v>
      </c>
      <c r="I187" s="135">
        <f>SUMIF(lunch1920_g1to6!$B$3:$B$935,ActiveDistricts!$F187,lunch1920_g1to6!$G$3:$G$935)</f>
        <v>143</v>
      </c>
      <c r="J187">
        <f t="shared" si="2"/>
        <v>0.36666666666666664</v>
      </c>
    </row>
    <row r="188" spans="1:10" x14ac:dyDescent="0.2">
      <c r="A188">
        <v>2021</v>
      </c>
      <c r="B188" t="s">
        <v>729</v>
      </c>
      <c r="C188" t="s">
        <v>535</v>
      </c>
      <c r="D188" t="s">
        <v>724</v>
      </c>
      <c r="E188" t="s">
        <v>724</v>
      </c>
      <c r="F188" t="s">
        <v>535</v>
      </c>
      <c r="G188" t="s">
        <v>157</v>
      </c>
      <c r="H188" s="135">
        <f>SUMIF(lunch1920_g1to6!$B$3:$B$935,ActiveDistricts!$F188,lunch1920_g1to6!$F$3:$F$935)</f>
        <v>154</v>
      </c>
      <c r="I188" s="135">
        <f>SUMIF(lunch1920_g1to6!$B$3:$B$935,ActiveDistricts!$F188,lunch1920_g1to6!$G$3:$G$935)</f>
        <v>77</v>
      </c>
      <c r="J188">
        <f t="shared" si="2"/>
        <v>0.5</v>
      </c>
    </row>
    <row r="189" spans="1:10" x14ac:dyDescent="0.2">
      <c r="A189">
        <v>2021</v>
      </c>
      <c r="B189" t="s">
        <v>726</v>
      </c>
      <c r="C189" t="s">
        <v>536</v>
      </c>
      <c r="D189" t="s">
        <v>724</v>
      </c>
      <c r="E189" t="s">
        <v>724</v>
      </c>
      <c r="F189" t="s">
        <v>536</v>
      </c>
      <c r="G189" t="s">
        <v>156</v>
      </c>
      <c r="H189" s="135">
        <f>SUMIF(lunch1920_g1to6!$B$3:$B$935,ActiveDistricts!$F189,lunch1920_g1to6!$F$3:$F$935)</f>
        <v>92</v>
      </c>
      <c r="I189" s="135">
        <f>SUMIF(lunch1920_g1to6!$B$3:$B$935,ActiveDistricts!$F189,lunch1920_g1to6!$G$3:$G$935)</f>
        <v>53</v>
      </c>
      <c r="J189">
        <f t="shared" si="2"/>
        <v>0.57608695652173914</v>
      </c>
    </row>
    <row r="190" spans="1:10" x14ac:dyDescent="0.2">
      <c r="A190">
        <v>2021</v>
      </c>
      <c r="B190" t="s">
        <v>729</v>
      </c>
      <c r="C190" t="s">
        <v>537</v>
      </c>
      <c r="D190" t="s">
        <v>724</v>
      </c>
      <c r="E190" t="s">
        <v>724</v>
      </c>
      <c r="F190" t="s">
        <v>537</v>
      </c>
      <c r="G190" t="s">
        <v>155</v>
      </c>
      <c r="H190" s="135">
        <f>SUMIF(lunch1920_g1to6!$B$3:$B$935,ActiveDistricts!$F190,lunch1920_g1to6!$F$3:$F$935)</f>
        <v>93</v>
      </c>
      <c r="I190" s="135">
        <f>SUMIF(lunch1920_g1to6!$B$3:$B$935,ActiveDistricts!$F190,lunch1920_g1to6!$G$3:$G$935)</f>
        <v>40</v>
      </c>
      <c r="J190">
        <f t="shared" si="2"/>
        <v>0.43010752688172044</v>
      </c>
    </row>
    <row r="191" spans="1:10" x14ac:dyDescent="0.2">
      <c r="A191">
        <v>2021</v>
      </c>
      <c r="B191" t="s">
        <v>729</v>
      </c>
      <c r="C191" t="s">
        <v>538</v>
      </c>
      <c r="D191" t="s">
        <v>724</v>
      </c>
      <c r="E191" t="s">
        <v>724</v>
      </c>
      <c r="F191" t="s">
        <v>538</v>
      </c>
      <c r="G191" t="s">
        <v>154</v>
      </c>
      <c r="H191" s="135">
        <f>SUMIF(lunch1920_g1to6!$B$3:$B$935,ActiveDistricts!$F191,lunch1920_g1to6!$F$3:$F$935)</f>
        <v>84</v>
      </c>
      <c r="I191" s="135">
        <f>SUMIF(lunch1920_g1to6!$B$3:$B$935,ActiveDistricts!$F191,lunch1920_g1to6!$G$3:$G$935)</f>
        <v>57</v>
      </c>
      <c r="J191">
        <f t="shared" si="2"/>
        <v>0.6785714285714286</v>
      </c>
    </row>
    <row r="192" spans="1:10" x14ac:dyDescent="0.2">
      <c r="A192">
        <v>2021</v>
      </c>
      <c r="B192" t="s">
        <v>726</v>
      </c>
      <c r="C192" t="s">
        <v>539</v>
      </c>
      <c r="D192" t="s">
        <v>724</v>
      </c>
      <c r="E192" t="s">
        <v>724</v>
      </c>
      <c r="F192" t="s">
        <v>539</v>
      </c>
      <c r="G192" t="s">
        <v>153</v>
      </c>
      <c r="H192" s="135">
        <f>SUMIF(lunch1920_g1to6!$B$3:$B$935,ActiveDistricts!$F192,lunch1920_g1to6!$F$3:$F$935)</f>
        <v>255</v>
      </c>
      <c r="I192" s="135">
        <f>SUMIF(lunch1920_g1to6!$B$3:$B$935,ActiveDistricts!$F192,lunch1920_g1to6!$G$3:$G$935)</f>
        <v>119</v>
      </c>
      <c r="J192">
        <f t="shared" si="2"/>
        <v>0.46666666666666667</v>
      </c>
    </row>
    <row r="193" spans="1:10" x14ac:dyDescent="0.2">
      <c r="A193">
        <v>2021</v>
      </c>
      <c r="B193" t="s">
        <v>729</v>
      </c>
      <c r="C193" t="s">
        <v>540</v>
      </c>
      <c r="D193" t="s">
        <v>724</v>
      </c>
      <c r="E193" t="s">
        <v>724</v>
      </c>
      <c r="F193" t="s">
        <v>540</v>
      </c>
      <c r="G193" t="s">
        <v>152</v>
      </c>
      <c r="H193" s="135">
        <f>SUMIF(lunch1920_g1to6!$B$3:$B$935,ActiveDistricts!$F193,lunch1920_g1to6!$F$3:$F$935)</f>
        <v>855</v>
      </c>
      <c r="I193" s="135">
        <f>SUMIF(lunch1920_g1to6!$B$3:$B$935,ActiveDistricts!$F193,lunch1920_g1to6!$G$3:$G$935)</f>
        <v>480</v>
      </c>
      <c r="J193">
        <f t="shared" si="2"/>
        <v>0.56140350877192979</v>
      </c>
    </row>
    <row r="194" spans="1:10" x14ac:dyDescent="0.2">
      <c r="A194">
        <v>2021</v>
      </c>
      <c r="B194" t="s">
        <v>730</v>
      </c>
      <c r="C194" t="s">
        <v>541</v>
      </c>
      <c r="D194" t="s">
        <v>724</v>
      </c>
      <c r="E194" t="s">
        <v>724</v>
      </c>
      <c r="F194" t="s">
        <v>541</v>
      </c>
      <c r="G194" t="s">
        <v>151</v>
      </c>
      <c r="H194" s="135">
        <f>SUMIF(lunch1920_g1to6!$B$3:$B$935,ActiveDistricts!$F194,lunch1920_g1to6!$F$3:$F$935)</f>
        <v>579</v>
      </c>
      <c r="I194" s="135">
        <f>SUMIF(lunch1920_g1to6!$B$3:$B$935,ActiveDistricts!$F194,lunch1920_g1to6!$G$3:$G$935)</f>
        <v>89</v>
      </c>
      <c r="J194">
        <f t="shared" si="2"/>
        <v>0.153713298791019</v>
      </c>
    </row>
    <row r="195" spans="1:10" x14ac:dyDescent="0.2">
      <c r="A195">
        <v>2021</v>
      </c>
      <c r="B195" t="s">
        <v>726</v>
      </c>
      <c r="C195" t="s">
        <v>542</v>
      </c>
      <c r="D195" t="s">
        <v>724</v>
      </c>
      <c r="E195" t="s">
        <v>724</v>
      </c>
      <c r="F195" t="s">
        <v>542</v>
      </c>
      <c r="G195" t="s">
        <v>150</v>
      </c>
      <c r="H195" s="135">
        <f>SUMIF(lunch1920_g1to6!$B$3:$B$935,ActiveDistricts!$F195,lunch1920_g1to6!$F$3:$F$935)</f>
        <v>124</v>
      </c>
      <c r="I195" s="135">
        <f>SUMIF(lunch1920_g1to6!$B$3:$B$935,ActiveDistricts!$F195,lunch1920_g1to6!$G$3:$G$935)</f>
        <v>53</v>
      </c>
      <c r="J195">
        <f t="shared" ref="J195:J258" si="3">I195/H195</f>
        <v>0.42741935483870969</v>
      </c>
    </row>
    <row r="196" spans="1:10" x14ac:dyDescent="0.2">
      <c r="A196">
        <v>2021</v>
      </c>
      <c r="B196" t="s">
        <v>734</v>
      </c>
      <c r="C196" t="s">
        <v>543</v>
      </c>
      <c r="D196" t="s">
        <v>724</v>
      </c>
      <c r="E196" t="s">
        <v>724</v>
      </c>
      <c r="F196" t="s">
        <v>543</v>
      </c>
      <c r="G196" t="s">
        <v>149</v>
      </c>
      <c r="H196" s="135">
        <f>SUMIF(lunch1920_g1to6!$B$3:$B$935,ActiveDistricts!$F196,lunch1920_g1to6!$F$3:$F$935)</f>
        <v>2031</v>
      </c>
      <c r="I196" s="135">
        <f>SUMIF(lunch1920_g1to6!$B$3:$B$935,ActiveDistricts!$F196,lunch1920_g1to6!$G$3:$G$935)</f>
        <v>1025</v>
      </c>
      <c r="J196">
        <f t="shared" si="3"/>
        <v>0.5046774987690793</v>
      </c>
    </row>
    <row r="197" spans="1:10" x14ac:dyDescent="0.2">
      <c r="A197">
        <v>2021</v>
      </c>
      <c r="B197" t="s">
        <v>725</v>
      </c>
      <c r="C197" t="s">
        <v>544</v>
      </c>
      <c r="D197" t="s">
        <v>724</v>
      </c>
      <c r="E197" t="s">
        <v>724</v>
      </c>
      <c r="F197" t="s">
        <v>544</v>
      </c>
      <c r="G197" t="s">
        <v>148</v>
      </c>
      <c r="H197" s="135">
        <f>SUMIF(lunch1920_g1to6!$B$3:$B$935,ActiveDistricts!$F197,lunch1920_g1to6!$F$3:$F$935)</f>
        <v>250</v>
      </c>
      <c r="I197" s="135">
        <f>SUMIF(lunch1920_g1to6!$B$3:$B$935,ActiveDistricts!$F197,lunch1920_g1to6!$G$3:$G$935)</f>
        <v>97</v>
      </c>
      <c r="J197">
        <f t="shared" si="3"/>
        <v>0.38800000000000001</v>
      </c>
    </row>
    <row r="198" spans="1:10" x14ac:dyDescent="0.2">
      <c r="A198">
        <v>2021</v>
      </c>
      <c r="B198" t="s">
        <v>723</v>
      </c>
      <c r="C198" t="s">
        <v>545</v>
      </c>
      <c r="D198" t="s">
        <v>724</v>
      </c>
      <c r="E198" t="s">
        <v>724</v>
      </c>
      <c r="F198" t="s">
        <v>545</v>
      </c>
      <c r="G198" t="s">
        <v>147</v>
      </c>
      <c r="H198" s="135">
        <f>SUMIF(lunch1920_g1to6!$B$3:$B$935,ActiveDistricts!$F198,lunch1920_g1to6!$F$3:$F$935)</f>
        <v>638</v>
      </c>
      <c r="I198" s="135">
        <f>SUMIF(lunch1920_g1to6!$B$3:$B$935,ActiveDistricts!$F198,lunch1920_g1to6!$G$3:$G$935)</f>
        <v>225</v>
      </c>
      <c r="J198">
        <f t="shared" si="3"/>
        <v>0.35266457680250785</v>
      </c>
    </row>
    <row r="199" spans="1:10" x14ac:dyDescent="0.2">
      <c r="A199">
        <v>2021</v>
      </c>
      <c r="B199" t="s">
        <v>732</v>
      </c>
      <c r="C199" t="s">
        <v>547</v>
      </c>
      <c r="D199" t="s">
        <v>724</v>
      </c>
      <c r="E199" t="s">
        <v>724</v>
      </c>
      <c r="F199" t="s">
        <v>547</v>
      </c>
      <c r="G199" t="s">
        <v>145</v>
      </c>
      <c r="H199" s="135">
        <f>SUMIF(lunch1920_g1to6!$B$3:$B$935,ActiveDistricts!$F199,lunch1920_g1to6!$F$3:$F$935)</f>
        <v>381</v>
      </c>
      <c r="I199" s="135">
        <f>SUMIF(lunch1920_g1to6!$B$3:$B$935,ActiveDistricts!$F199,lunch1920_g1to6!$G$3:$G$935)</f>
        <v>145</v>
      </c>
      <c r="J199">
        <f t="shared" si="3"/>
        <v>0.38057742782152232</v>
      </c>
    </row>
    <row r="200" spans="1:10" x14ac:dyDescent="0.2">
      <c r="A200">
        <v>2021</v>
      </c>
      <c r="B200" t="s">
        <v>729</v>
      </c>
      <c r="C200" t="s">
        <v>548</v>
      </c>
      <c r="D200" t="s">
        <v>724</v>
      </c>
      <c r="E200" t="s">
        <v>724</v>
      </c>
      <c r="F200" t="s">
        <v>548</v>
      </c>
      <c r="G200" t="s">
        <v>144</v>
      </c>
      <c r="H200" s="135">
        <f>SUMIF(lunch1920_g1to6!$B$3:$B$935,ActiveDistricts!$F200,lunch1920_g1to6!$F$3:$F$935)</f>
        <v>230</v>
      </c>
      <c r="I200" s="135">
        <f>SUMIF(lunch1920_g1to6!$B$3:$B$935,ActiveDistricts!$F200,lunch1920_g1to6!$G$3:$G$935)</f>
        <v>103</v>
      </c>
      <c r="J200">
        <f t="shared" si="3"/>
        <v>0.44782608695652176</v>
      </c>
    </row>
    <row r="201" spans="1:10" x14ac:dyDescent="0.2">
      <c r="A201">
        <v>2021</v>
      </c>
      <c r="B201" t="s">
        <v>728</v>
      </c>
      <c r="C201" t="s">
        <v>546</v>
      </c>
      <c r="D201" t="s">
        <v>724</v>
      </c>
      <c r="E201" t="s">
        <v>724</v>
      </c>
      <c r="F201" t="s">
        <v>546</v>
      </c>
      <c r="G201" t="s">
        <v>146</v>
      </c>
      <c r="H201" s="135">
        <f>SUMIF(lunch1920_g1to6!$B$3:$B$935,ActiveDistricts!$F201,lunch1920_g1to6!$F$3:$F$935)</f>
        <v>213</v>
      </c>
      <c r="I201" s="135">
        <f>SUMIF(lunch1920_g1to6!$B$3:$B$935,ActiveDistricts!$F201,lunch1920_g1to6!$G$3:$G$935)</f>
        <v>100</v>
      </c>
      <c r="J201">
        <f t="shared" si="3"/>
        <v>0.46948356807511737</v>
      </c>
    </row>
    <row r="202" spans="1:10" x14ac:dyDescent="0.2">
      <c r="A202">
        <v>2021</v>
      </c>
      <c r="B202" t="s">
        <v>723</v>
      </c>
      <c r="C202" t="s">
        <v>549</v>
      </c>
      <c r="D202" t="s">
        <v>724</v>
      </c>
      <c r="E202" t="s">
        <v>724</v>
      </c>
      <c r="F202" t="s">
        <v>549</v>
      </c>
      <c r="G202" t="s">
        <v>143</v>
      </c>
      <c r="H202" s="135">
        <f>SUMIF(lunch1920_g1to6!$B$3:$B$935,ActiveDistricts!$F202,lunch1920_g1to6!$F$3:$F$935)</f>
        <v>1281</v>
      </c>
      <c r="I202" s="135">
        <f>SUMIF(lunch1920_g1to6!$B$3:$B$935,ActiveDistricts!$F202,lunch1920_g1to6!$G$3:$G$935)</f>
        <v>722</v>
      </c>
      <c r="J202">
        <f t="shared" si="3"/>
        <v>0.56362217017954719</v>
      </c>
    </row>
    <row r="203" spans="1:10" x14ac:dyDescent="0.2">
      <c r="A203">
        <v>2021</v>
      </c>
      <c r="B203" t="s">
        <v>726</v>
      </c>
      <c r="C203" t="s">
        <v>464</v>
      </c>
      <c r="D203" t="s">
        <v>724</v>
      </c>
      <c r="E203" t="s">
        <v>724</v>
      </c>
      <c r="F203" t="s">
        <v>464</v>
      </c>
      <c r="G203" t="s">
        <v>225</v>
      </c>
      <c r="H203" s="135">
        <f>SUMIF(lunch1920_g1to6!$B$3:$B$935,ActiveDistricts!$F203,lunch1920_g1to6!$F$3:$F$935)</f>
        <v>254</v>
      </c>
      <c r="I203" s="135">
        <f>SUMIF(lunch1920_g1to6!$B$3:$B$935,ActiveDistricts!$F203,lunch1920_g1to6!$G$3:$G$935)</f>
        <v>117</v>
      </c>
      <c r="J203">
        <f t="shared" si="3"/>
        <v>0.46062992125984253</v>
      </c>
    </row>
    <row r="204" spans="1:10" x14ac:dyDescent="0.2">
      <c r="A204">
        <v>2021</v>
      </c>
      <c r="B204" t="s">
        <v>725</v>
      </c>
      <c r="C204" t="s">
        <v>352</v>
      </c>
      <c r="D204" t="s">
        <v>740</v>
      </c>
      <c r="E204" t="s">
        <v>724</v>
      </c>
      <c r="F204" t="s">
        <v>352</v>
      </c>
      <c r="G204" t="s">
        <v>330</v>
      </c>
      <c r="H204" s="135">
        <f>SUMIF(lunch1920_g1to6!$B$3:$B$935,ActiveDistricts!$F204,lunch1920_g1to6!$F$3:$F$935)</f>
        <v>245</v>
      </c>
      <c r="I204" s="135">
        <f>SUMIF(lunch1920_g1to6!$B$3:$B$935,ActiveDistricts!$F204,lunch1920_g1to6!$G$3:$G$935)</f>
        <v>83</v>
      </c>
      <c r="J204">
        <f t="shared" si="3"/>
        <v>0.33877551020408164</v>
      </c>
    </row>
    <row r="205" spans="1:10" x14ac:dyDescent="0.2">
      <c r="A205">
        <v>2021</v>
      </c>
      <c r="B205" t="s">
        <v>730</v>
      </c>
      <c r="C205" t="s">
        <v>507</v>
      </c>
      <c r="D205" t="s">
        <v>724</v>
      </c>
      <c r="E205" t="s">
        <v>724</v>
      </c>
      <c r="F205" t="s">
        <v>507</v>
      </c>
      <c r="G205" t="s">
        <v>185</v>
      </c>
      <c r="H205" s="135">
        <f>SUMIF(lunch1920_g1to6!$B$3:$B$935,ActiveDistricts!$F205,lunch1920_g1to6!$F$3:$F$935)</f>
        <v>259</v>
      </c>
      <c r="I205" s="135">
        <f>SUMIF(lunch1920_g1to6!$B$3:$B$935,ActiveDistricts!$F205,lunch1920_g1to6!$G$3:$G$935)</f>
        <v>121</v>
      </c>
      <c r="J205">
        <f t="shared" si="3"/>
        <v>0.46718146718146719</v>
      </c>
    </row>
    <row r="206" spans="1:10" x14ac:dyDescent="0.2">
      <c r="A206">
        <v>2021</v>
      </c>
      <c r="B206" t="s">
        <v>732</v>
      </c>
      <c r="C206" t="s">
        <v>552</v>
      </c>
      <c r="D206" t="s">
        <v>741</v>
      </c>
      <c r="E206" t="s">
        <v>724</v>
      </c>
      <c r="F206" t="s">
        <v>552</v>
      </c>
      <c r="G206" t="s">
        <v>681</v>
      </c>
      <c r="H206" s="135">
        <f>SUMIF(lunch1920_g1to6!$B$3:$B$935,ActiveDistricts!$F206,lunch1920_g1to6!$F$3:$F$935)</f>
        <v>482</v>
      </c>
      <c r="I206" s="135">
        <f>SUMIF(lunch1920_g1to6!$B$3:$B$935,ActiveDistricts!$F206,lunch1920_g1to6!$G$3:$G$935)</f>
        <v>192</v>
      </c>
      <c r="J206">
        <f t="shared" si="3"/>
        <v>0.39834024896265557</v>
      </c>
    </row>
    <row r="207" spans="1:10" x14ac:dyDescent="0.2">
      <c r="A207">
        <v>2021</v>
      </c>
      <c r="B207" t="s">
        <v>725</v>
      </c>
      <c r="C207" t="s">
        <v>380</v>
      </c>
      <c r="D207" t="s">
        <v>724</v>
      </c>
      <c r="E207" t="s">
        <v>724</v>
      </c>
      <c r="F207" t="s">
        <v>380</v>
      </c>
      <c r="G207" t="s">
        <v>306</v>
      </c>
      <c r="H207" s="135">
        <f>SUMIF(lunch1920_g1to6!$B$3:$B$935,ActiveDistricts!$F207,lunch1920_g1to6!$F$3:$F$935)</f>
        <v>208</v>
      </c>
      <c r="I207" s="135">
        <f>SUMIF(lunch1920_g1to6!$B$3:$B$935,ActiveDistricts!$F207,lunch1920_g1to6!$G$3:$G$935)</f>
        <v>105</v>
      </c>
      <c r="J207">
        <f t="shared" si="3"/>
        <v>0.50480769230769229</v>
      </c>
    </row>
    <row r="208" spans="1:10" x14ac:dyDescent="0.2">
      <c r="A208">
        <v>2021</v>
      </c>
      <c r="B208" t="s">
        <v>728</v>
      </c>
      <c r="C208" t="s">
        <v>556</v>
      </c>
      <c r="D208" t="s">
        <v>724</v>
      </c>
      <c r="E208" t="s">
        <v>724</v>
      </c>
      <c r="F208" t="s">
        <v>556</v>
      </c>
      <c r="G208" t="s">
        <v>138</v>
      </c>
      <c r="H208" s="135">
        <f>SUMIF(lunch1920_g1to6!$B$3:$B$935,ActiveDistricts!$F208,lunch1920_g1to6!$F$3:$F$935)</f>
        <v>148</v>
      </c>
      <c r="I208" s="135">
        <f>SUMIF(lunch1920_g1to6!$B$3:$B$935,ActiveDistricts!$F208,lunch1920_g1to6!$G$3:$G$935)</f>
        <v>94</v>
      </c>
      <c r="J208">
        <f t="shared" si="3"/>
        <v>0.63513513513513509</v>
      </c>
    </row>
    <row r="209" spans="1:10" x14ac:dyDescent="0.2">
      <c r="A209">
        <v>2021</v>
      </c>
      <c r="B209" t="s">
        <v>730</v>
      </c>
      <c r="C209" t="s">
        <v>555</v>
      </c>
      <c r="D209" t="s">
        <v>724</v>
      </c>
      <c r="E209" t="s">
        <v>724</v>
      </c>
      <c r="F209" t="s">
        <v>555</v>
      </c>
      <c r="G209" t="s">
        <v>139</v>
      </c>
      <c r="H209" s="135">
        <f>SUMIF(lunch1920_g1to6!$B$3:$B$935,ActiveDistricts!$F209,lunch1920_g1to6!$F$3:$F$935)</f>
        <v>228</v>
      </c>
      <c r="I209" s="135">
        <f>SUMIF(lunch1920_g1to6!$B$3:$B$935,ActiveDistricts!$F209,lunch1920_g1to6!$G$3:$G$935)</f>
        <v>68</v>
      </c>
      <c r="J209">
        <f t="shared" si="3"/>
        <v>0.2982456140350877</v>
      </c>
    </row>
    <row r="210" spans="1:10" x14ac:dyDescent="0.2">
      <c r="A210">
        <v>2021</v>
      </c>
      <c r="B210" t="s">
        <v>729</v>
      </c>
      <c r="C210" t="s">
        <v>554</v>
      </c>
      <c r="D210" t="s">
        <v>724</v>
      </c>
      <c r="E210" t="s">
        <v>724</v>
      </c>
      <c r="F210" t="s">
        <v>554</v>
      </c>
      <c r="G210" t="s">
        <v>140</v>
      </c>
      <c r="H210" s="135">
        <f>SUMIF(lunch1920_g1to6!$B$3:$B$935,ActiveDistricts!$F210,lunch1920_g1to6!$F$3:$F$935)</f>
        <v>258</v>
      </c>
      <c r="I210" s="135">
        <f>SUMIF(lunch1920_g1to6!$B$3:$B$935,ActiveDistricts!$F210,lunch1920_g1to6!$G$3:$G$935)</f>
        <v>96</v>
      </c>
      <c r="J210">
        <f t="shared" si="3"/>
        <v>0.37209302325581395</v>
      </c>
    </row>
    <row r="211" spans="1:10" x14ac:dyDescent="0.2">
      <c r="A211">
        <v>2021</v>
      </c>
      <c r="B211" t="s">
        <v>723</v>
      </c>
      <c r="C211" t="s">
        <v>557</v>
      </c>
      <c r="D211" t="s">
        <v>724</v>
      </c>
      <c r="E211" t="s">
        <v>724</v>
      </c>
      <c r="F211" t="s">
        <v>557</v>
      </c>
      <c r="G211" t="s">
        <v>137</v>
      </c>
      <c r="H211" s="135">
        <f>SUMIF(lunch1920_g1to6!$B$3:$B$935,ActiveDistricts!$F211,lunch1920_g1to6!$F$3:$F$935)</f>
        <v>826</v>
      </c>
      <c r="I211" s="135">
        <f>SUMIF(lunch1920_g1to6!$B$3:$B$935,ActiveDistricts!$F211,lunch1920_g1to6!$G$3:$G$935)</f>
        <v>78</v>
      </c>
      <c r="J211">
        <f t="shared" si="3"/>
        <v>9.4430992736077482E-2</v>
      </c>
    </row>
    <row r="212" spans="1:10" x14ac:dyDescent="0.2">
      <c r="A212">
        <v>2021</v>
      </c>
      <c r="B212" t="s">
        <v>734</v>
      </c>
      <c r="C212" t="s">
        <v>558</v>
      </c>
      <c r="D212" t="s">
        <v>724</v>
      </c>
      <c r="E212" t="s">
        <v>724</v>
      </c>
      <c r="F212" t="s">
        <v>558</v>
      </c>
      <c r="G212" t="s">
        <v>136</v>
      </c>
      <c r="H212" s="135">
        <f>SUMIF(lunch1920_g1to6!$B$3:$B$935,ActiveDistricts!$F212,lunch1920_g1to6!$F$3:$F$935)</f>
        <v>1386</v>
      </c>
      <c r="I212" s="135">
        <f>SUMIF(lunch1920_g1to6!$B$3:$B$935,ActiveDistricts!$F212,lunch1920_g1to6!$G$3:$G$935)</f>
        <v>334</v>
      </c>
      <c r="J212">
        <f t="shared" si="3"/>
        <v>0.24098124098124099</v>
      </c>
    </row>
    <row r="213" spans="1:10" x14ac:dyDescent="0.2">
      <c r="A213">
        <v>2021</v>
      </c>
      <c r="B213" t="s">
        <v>725</v>
      </c>
      <c r="C213" t="s">
        <v>559</v>
      </c>
      <c r="D213" t="s">
        <v>724</v>
      </c>
      <c r="E213" t="s">
        <v>724</v>
      </c>
      <c r="F213" t="s">
        <v>559</v>
      </c>
      <c r="G213" t="s">
        <v>705</v>
      </c>
      <c r="H213" s="135">
        <f>SUMIF(lunch1920_g1to6!$B$3:$B$935,ActiveDistricts!$F213,lunch1920_g1to6!$F$3:$F$935)</f>
        <v>181</v>
      </c>
      <c r="I213" s="135">
        <f>SUMIF(lunch1920_g1to6!$B$3:$B$935,ActiveDistricts!$F213,lunch1920_g1to6!$G$3:$G$935)</f>
        <v>70</v>
      </c>
      <c r="J213">
        <f t="shared" si="3"/>
        <v>0.38674033149171272</v>
      </c>
    </row>
    <row r="214" spans="1:10" x14ac:dyDescent="0.2">
      <c r="A214">
        <v>2021</v>
      </c>
      <c r="B214" t="s">
        <v>728</v>
      </c>
      <c r="C214" t="s">
        <v>359</v>
      </c>
      <c r="D214" t="s">
        <v>724</v>
      </c>
      <c r="E214" t="s">
        <v>724</v>
      </c>
      <c r="F214" t="s">
        <v>359</v>
      </c>
      <c r="G214" t="s">
        <v>324</v>
      </c>
      <c r="H214" s="135">
        <f>SUMIF(lunch1920_g1to6!$B$3:$B$935,ActiveDistricts!$F214,lunch1920_g1to6!$F$3:$F$935)</f>
        <v>108</v>
      </c>
      <c r="I214" s="135">
        <f>SUMIF(lunch1920_g1to6!$B$3:$B$935,ActiveDistricts!$F214,lunch1920_g1to6!$G$3:$G$935)</f>
        <v>57</v>
      </c>
      <c r="J214">
        <f t="shared" si="3"/>
        <v>0.52777777777777779</v>
      </c>
    </row>
    <row r="215" spans="1:10" x14ac:dyDescent="0.2">
      <c r="A215">
        <v>2021</v>
      </c>
      <c r="B215" t="s">
        <v>734</v>
      </c>
      <c r="C215" t="s">
        <v>551</v>
      </c>
      <c r="D215" t="s">
        <v>724</v>
      </c>
      <c r="E215" t="s">
        <v>724</v>
      </c>
      <c r="F215" t="s">
        <v>551</v>
      </c>
      <c r="G215" t="s">
        <v>141</v>
      </c>
      <c r="H215" s="135">
        <f>SUMIF(lunch1920_g1to6!$B$3:$B$935,ActiveDistricts!$F215,lunch1920_g1to6!$F$3:$F$935)</f>
        <v>348</v>
      </c>
      <c r="I215" s="135">
        <f>SUMIF(lunch1920_g1to6!$B$3:$B$935,ActiveDistricts!$F215,lunch1920_g1to6!$G$3:$G$935)</f>
        <v>119</v>
      </c>
      <c r="J215">
        <f t="shared" si="3"/>
        <v>0.34195402298850575</v>
      </c>
    </row>
    <row r="216" spans="1:10" x14ac:dyDescent="0.2">
      <c r="A216">
        <v>2021</v>
      </c>
      <c r="B216" t="s">
        <v>725</v>
      </c>
      <c r="C216" t="s">
        <v>561</v>
      </c>
      <c r="D216" t="s">
        <v>724</v>
      </c>
      <c r="E216" t="s">
        <v>724</v>
      </c>
      <c r="F216" t="s">
        <v>561</v>
      </c>
      <c r="G216" t="s">
        <v>134</v>
      </c>
      <c r="H216" s="135">
        <f>SUMIF(lunch1920_g1to6!$B$3:$B$935,ActiveDistricts!$F216,lunch1920_g1to6!$F$3:$F$935)</f>
        <v>231</v>
      </c>
      <c r="I216" s="135">
        <f>SUMIF(lunch1920_g1to6!$B$3:$B$935,ActiveDistricts!$F216,lunch1920_g1to6!$G$3:$G$935)</f>
        <v>99</v>
      </c>
      <c r="J216">
        <f t="shared" si="3"/>
        <v>0.42857142857142855</v>
      </c>
    </row>
    <row r="217" spans="1:10" x14ac:dyDescent="0.2">
      <c r="A217">
        <v>2021</v>
      </c>
      <c r="B217" t="s">
        <v>723</v>
      </c>
      <c r="C217" t="s">
        <v>562</v>
      </c>
      <c r="D217" t="s">
        <v>724</v>
      </c>
      <c r="E217" t="s">
        <v>724</v>
      </c>
      <c r="F217" t="s">
        <v>562</v>
      </c>
      <c r="G217" t="s">
        <v>133</v>
      </c>
      <c r="H217" s="135">
        <f>SUMIF(lunch1920_g1to6!$B$3:$B$935,ActiveDistricts!$F217,lunch1920_g1to6!$F$3:$F$935)</f>
        <v>1495</v>
      </c>
      <c r="I217" s="135">
        <f>SUMIF(lunch1920_g1to6!$B$3:$B$935,ActiveDistricts!$F217,lunch1920_g1to6!$G$3:$G$935)</f>
        <v>322</v>
      </c>
      <c r="J217">
        <f t="shared" si="3"/>
        <v>0.2153846153846154</v>
      </c>
    </row>
    <row r="218" spans="1:10" x14ac:dyDescent="0.2">
      <c r="A218">
        <v>2021</v>
      </c>
      <c r="B218" t="s">
        <v>727</v>
      </c>
      <c r="C218" t="s">
        <v>564</v>
      </c>
      <c r="D218" t="s">
        <v>742</v>
      </c>
      <c r="E218" t="s">
        <v>724</v>
      </c>
      <c r="F218" t="s">
        <v>564</v>
      </c>
      <c r="G218" t="s">
        <v>682</v>
      </c>
      <c r="H218" s="135">
        <f>SUMIF(lunch1920_g1to6!$B$3:$B$935,ActiveDistricts!$F218,lunch1920_g1to6!$F$3:$F$935)</f>
        <v>398</v>
      </c>
      <c r="I218" s="135">
        <f>SUMIF(lunch1920_g1to6!$B$3:$B$935,ActiveDistricts!$F218,lunch1920_g1to6!$G$3:$G$935)</f>
        <v>203</v>
      </c>
      <c r="J218">
        <f t="shared" si="3"/>
        <v>0.51005025125628145</v>
      </c>
    </row>
    <row r="219" spans="1:10" x14ac:dyDescent="0.2">
      <c r="A219">
        <v>2021</v>
      </c>
      <c r="B219" t="s">
        <v>732</v>
      </c>
      <c r="C219" t="s">
        <v>565</v>
      </c>
      <c r="D219" t="s">
        <v>724</v>
      </c>
      <c r="E219" t="s">
        <v>724</v>
      </c>
      <c r="F219" t="s">
        <v>565</v>
      </c>
      <c r="G219" t="s">
        <v>132</v>
      </c>
      <c r="H219" s="135">
        <f>SUMIF(lunch1920_g1to6!$B$3:$B$935,ActiveDistricts!$F219,lunch1920_g1to6!$F$3:$F$935)</f>
        <v>532</v>
      </c>
      <c r="I219" s="135">
        <f>SUMIF(lunch1920_g1to6!$B$3:$B$935,ActiveDistricts!$F219,lunch1920_g1to6!$G$3:$G$935)</f>
        <v>363</v>
      </c>
      <c r="J219">
        <f t="shared" si="3"/>
        <v>0.68233082706766912</v>
      </c>
    </row>
    <row r="220" spans="1:10" x14ac:dyDescent="0.2">
      <c r="A220">
        <v>2021</v>
      </c>
      <c r="B220" t="s">
        <v>723</v>
      </c>
      <c r="C220" t="s">
        <v>566</v>
      </c>
      <c r="D220" t="s">
        <v>724</v>
      </c>
      <c r="E220" t="s">
        <v>724</v>
      </c>
      <c r="F220" t="s">
        <v>566</v>
      </c>
      <c r="G220" t="s">
        <v>131</v>
      </c>
      <c r="H220" s="135">
        <f>SUMIF(lunch1920_g1to6!$B$3:$B$935,ActiveDistricts!$F220,lunch1920_g1to6!$F$3:$F$935)</f>
        <v>324</v>
      </c>
      <c r="I220" s="135">
        <f>SUMIF(lunch1920_g1to6!$B$3:$B$935,ActiveDistricts!$F220,lunch1920_g1to6!$G$3:$G$935)</f>
        <v>93</v>
      </c>
      <c r="J220">
        <f t="shared" si="3"/>
        <v>0.28703703703703703</v>
      </c>
    </row>
    <row r="221" spans="1:10" x14ac:dyDescent="0.2">
      <c r="A221">
        <v>2021</v>
      </c>
      <c r="B221" t="s">
        <v>728</v>
      </c>
      <c r="C221" t="s">
        <v>567</v>
      </c>
      <c r="D221" t="s">
        <v>724</v>
      </c>
      <c r="E221" t="s">
        <v>724</v>
      </c>
      <c r="F221" t="s">
        <v>567</v>
      </c>
      <c r="G221" t="s">
        <v>130</v>
      </c>
      <c r="H221" s="135">
        <f>SUMIF(lunch1920_g1to6!$B$3:$B$935,ActiveDistricts!$F221,lunch1920_g1to6!$F$3:$F$935)</f>
        <v>478</v>
      </c>
      <c r="I221" s="135">
        <f>SUMIF(lunch1920_g1to6!$B$3:$B$935,ActiveDistricts!$F221,lunch1920_g1to6!$G$3:$G$935)</f>
        <v>198</v>
      </c>
      <c r="J221">
        <f t="shared" si="3"/>
        <v>0.41422594142259417</v>
      </c>
    </row>
    <row r="222" spans="1:10" x14ac:dyDescent="0.2">
      <c r="A222">
        <v>2021</v>
      </c>
      <c r="B222" t="s">
        <v>730</v>
      </c>
      <c r="C222" t="s">
        <v>568</v>
      </c>
      <c r="D222" t="s">
        <v>724</v>
      </c>
      <c r="E222" t="s">
        <v>724</v>
      </c>
      <c r="F222" t="s">
        <v>568</v>
      </c>
      <c r="G222" t="s">
        <v>706</v>
      </c>
      <c r="H222" s="135">
        <f>SUMIF(lunch1920_g1to6!$B$3:$B$935,ActiveDistricts!$F222,lunch1920_g1to6!$F$3:$F$935)</f>
        <v>57</v>
      </c>
      <c r="I222" s="135">
        <f>SUMIF(lunch1920_g1to6!$B$3:$B$935,ActiveDistricts!$F222,lunch1920_g1to6!$G$3:$G$935)</f>
        <v>41</v>
      </c>
      <c r="J222">
        <f t="shared" si="3"/>
        <v>0.7192982456140351</v>
      </c>
    </row>
    <row r="223" spans="1:10" x14ac:dyDescent="0.2">
      <c r="A223">
        <v>2021</v>
      </c>
      <c r="B223" t="s">
        <v>726</v>
      </c>
      <c r="C223" t="s">
        <v>569</v>
      </c>
      <c r="D223" t="s">
        <v>724</v>
      </c>
      <c r="E223" t="s">
        <v>724</v>
      </c>
      <c r="F223" t="s">
        <v>569</v>
      </c>
      <c r="G223" t="s">
        <v>128</v>
      </c>
      <c r="H223" s="135">
        <f>SUMIF(lunch1920_g1to6!$B$3:$B$935,ActiveDistricts!$F223,lunch1920_g1to6!$F$3:$F$935)</f>
        <v>72</v>
      </c>
      <c r="I223" s="135">
        <f>SUMIF(lunch1920_g1to6!$B$3:$B$935,ActiveDistricts!$F223,lunch1920_g1to6!$G$3:$G$935)</f>
        <v>56</v>
      </c>
      <c r="J223">
        <f t="shared" si="3"/>
        <v>0.77777777777777779</v>
      </c>
    </row>
    <row r="224" spans="1:10" x14ac:dyDescent="0.2">
      <c r="A224">
        <v>2021</v>
      </c>
      <c r="B224" t="s">
        <v>725</v>
      </c>
      <c r="C224" t="s">
        <v>570</v>
      </c>
      <c r="D224" t="s">
        <v>724</v>
      </c>
      <c r="E224" t="s">
        <v>724</v>
      </c>
      <c r="F224" t="s">
        <v>570</v>
      </c>
      <c r="G224" t="s">
        <v>127</v>
      </c>
      <c r="H224" s="135">
        <f>SUMIF(lunch1920_g1to6!$B$3:$B$935,ActiveDistricts!$F224,lunch1920_g1to6!$F$3:$F$935)</f>
        <v>406</v>
      </c>
      <c r="I224" s="135">
        <f>SUMIF(lunch1920_g1to6!$B$3:$B$935,ActiveDistricts!$F224,lunch1920_g1to6!$G$3:$G$935)</f>
        <v>143</v>
      </c>
      <c r="J224">
        <f t="shared" si="3"/>
        <v>0.35221674876847292</v>
      </c>
    </row>
    <row r="225" spans="1:10" x14ac:dyDescent="0.2">
      <c r="A225">
        <v>2021</v>
      </c>
      <c r="B225" t="s">
        <v>729</v>
      </c>
      <c r="C225" t="s">
        <v>571</v>
      </c>
      <c r="D225" t="s">
        <v>724</v>
      </c>
      <c r="E225" t="s">
        <v>724</v>
      </c>
      <c r="F225" t="s">
        <v>571</v>
      </c>
      <c r="G225" t="s">
        <v>126</v>
      </c>
      <c r="H225" s="135">
        <f>SUMIF(lunch1920_g1to6!$B$3:$B$935,ActiveDistricts!$F225,lunch1920_g1to6!$F$3:$F$935)</f>
        <v>936</v>
      </c>
      <c r="I225" s="135">
        <f>SUMIF(lunch1920_g1to6!$B$3:$B$935,ActiveDistricts!$F225,lunch1920_g1to6!$G$3:$G$935)</f>
        <v>460</v>
      </c>
      <c r="J225">
        <f t="shared" si="3"/>
        <v>0.49145299145299143</v>
      </c>
    </row>
    <row r="226" spans="1:10" x14ac:dyDescent="0.2">
      <c r="A226">
        <v>2021</v>
      </c>
      <c r="B226" t="s">
        <v>729</v>
      </c>
      <c r="C226" t="s">
        <v>572</v>
      </c>
      <c r="D226" t="s">
        <v>724</v>
      </c>
      <c r="E226" t="s">
        <v>724</v>
      </c>
      <c r="F226" t="s">
        <v>572</v>
      </c>
      <c r="G226" t="s">
        <v>125</v>
      </c>
      <c r="H226" s="135">
        <f>SUMIF(lunch1920_g1to6!$B$3:$B$935,ActiveDistricts!$F226,lunch1920_g1to6!$F$3:$F$935)</f>
        <v>1946</v>
      </c>
      <c r="I226" s="135">
        <f>SUMIF(lunch1920_g1to6!$B$3:$B$935,ActiveDistricts!$F226,lunch1920_g1to6!$G$3:$G$935)</f>
        <v>994</v>
      </c>
      <c r="J226">
        <f t="shared" si="3"/>
        <v>0.51079136690647486</v>
      </c>
    </row>
    <row r="227" spans="1:10" x14ac:dyDescent="0.2">
      <c r="A227">
        <v>2021</v>
      </c>
      <c r="B227" t="s">
        <v>723</v>
      </c>
      <c r="C227" t="s">
        <v>573</v>
      </c>
      <c r="D227" t="s">
        <v>724</v>
      </c>
      <c r="E227" t="s">
        <v>724</v>
      </c>
      <c r="F227" t="s">
        <v>573</v>
      </c>
      <c r="G227" t="s">
        <v>124</v>
      </c>
      <c r="H227" s="135">
        <f>SUMIF(lunch1920_g1to6!$B$3:$B$935,ActiveDistricts!$F227,lunch1920_g1to6!$F$3:$F$935)</f>
        <v>266</v>
      </c>
      <c r="I227" s="135">
        <f>SUMIF(lunch1920_g1to6!$B$3:$B$935,ActiveDistricts!$F227,lunch1920_g1to6!$G$3:$G$935)</f>
        <v>107</v>
      </c>
      <c r="J227">
        <f t="shared" si="3"/>
        <v>0.40225563909774437</v>
      </c>
    </row>
    <row r="228" spans="1:10" x14ac:dyDescent="0.2">
      <c r="A228">
        <v>2021</v>
      </c>
      <c r="B228" t="s">
        <v>728</v>
      </c>
      <c r="C228" t="s">
        <v>574</v>
      </c>
      <c r="D228" t="s">
        <v>724</v>
      </c>
      <c r="E228" t="s">
        <v>724</v>
      </c>
      <c r="F228" t="s">
        <v>574</v>
      </c>
      <c r="G228" t="s">
        <v>123</v>
      </c>
      <c r="H228" s="135">
        <f>SUMIF(lunch1920_g1to6!$B$3:$B$935,ActiveDistricts!$F228,lunch1920_g1to6!$F$3:$F$935)</f>
        <v>113</v>
      </c>
      <c r="I228" s="135">
        <f>SUMIF(lunch1920_g1to6!$B$3:$B$935,ActiveDistricts!$F228,lunch1920_g1to6!$G$3:$G$935)</f>
        <v>62</v>
      </c>
      <c r="J228">
        <f t="shared" si="3"/>
        <v>0.54867256637168138</v>
      </c>
    </row>
    <row r="229" spans="1:10" x14ac:dyDescent="0.2">
      <c r="A229">
        <v>2021</v>
      </c>
      <c r="B229" t="s">
        <v>723</v>
      </c>
      <c r="C229" t="s">
        <v>583</v>
      </c>
      <c r="D229" t="s">
        <v>724</v>
      </c>
      <c r="E229" t="s">
        <v>724</v>
      </c>
      <c r="F229" t="s">
        <v>678</v>
      </c>
      <c r="G229" t="s">
        <v>3</v>
      </c>
      <c r="H229" s="135">
        <f>SUMIF(lunch1920_g1to6!$B$3:$B$935,ActiveDistricts!$F229,lunch1920_g1to6!$F$3:$F$935)</f>
        <v>467</v>
      </c>
      <c r="I229" s="135">
        <f>SUMIF(lunch1920_g1to6!$B$3:$B$935,ActiveDistricts!$F229,lunch1920_g1to6!$G$3:$G$935)</f>
        <v>122</v>
      </c>
      <c r="J229">
        <f t="shared" si="3"/>
        <v>0.26124197002141325</v>
      </c>
    </row>
    <row r="230" spans="1:10" x14ac:dyDescent="0.2">
      <c r="A230">
        <v>2021</v>
      </c>
      <c r="B230" t="s">
        <v>729</v>
      </c>
      <c r="C230" t="s">
        <v>576</v>
      </c>
      <c r="D230" t="s">
        <v>724</v>
      </c>
      <c r="E230" t="s">
        <v>724</v>
      </c>
      <c r="F230" t="s">
        <v>576</v>
      </c>
      <c r="G230" t="s">
        <v>122</v>
      </c>
      <c r="H230" s="135">
        <f>SUMIF(lunch1920_g1to6!$B$3:$B$935,ActiveDistricts!$F230,lunch1920_g1to6!$F$3:$F$935)</f>
        <v>318</v>
      </c>
      <c r="I230" s="135">
        <f>SUMIF(lunch1920_g1to6!$B$3:$B$935,ActiveDistricts!$F230,lunch1920_g1to6!$G$3:$G$935)</f>
        <v>144</v>
      </c>
      <c r="J230">
        <f t="shared" si="3"/>
        <v>0.45283018867924529</v>
      </c>
    </row>
    <row r="231" spans="1:10" x14ac:dyDescent="0.2">
      <c r="A231">
        <v>2021</v>
      </c>
      <c r="B231" t="s">
        <v>723</v>
      </c>
      <c r="C231" t="s">
        <v>577</v>
      </c>
      <c r="D231" t="s">
        <v>724</v>
      </c>
      <c r="E231" t="s">
        <v>724</v>
      </c>
      <c r="F231" t="s">
        <v>577</v>
      </c>
      <c r="G231" t="s">
        <v>121</v>
      </c>
      <c r="H231" s="135">
        <f>SUMIF(lunch1920_g1to6!$B$3:$B$935,ActiveDistricts!$F231,lunch1920_g1to6!$F$3:$F$935)</f>
        <v>1045</v>
      </c>
      <c r="I231" s="135">
        <f>SUMIF(lunch1920_g1to6!$B$3:$B$935,ActiveDistricts!$F231,lunch1920_g1to6!$G$3:$G$935)</f>
        <v>190</v>
      </c>
      <c r="J231">
        <f t="shared" si="3"/>
        <v>0.18181818181818182</v>
      </c>
    </row>
    <row r="232" spans="1:10" x14ac:dyDescent="0.2">
      <c r="A232">
        <v>2021</v>
      </c>
      <c r="B232" t="s">
        <v>723</v>
      </c>
      <c r="C232" t="s">
        <v>578</v>
      </c>
      <c r="D232" t="s">
        <v>724</v>
      </c>
      <c r="E232" t="s">
        <v>724</v>
      </c>
      <c r="F232" t="s">
        <v>578</v>
      </c>
      <c r="G232" t="s">
        <v>120</v>
      </c>
      <c r="H232" s="135">
        <f>SUMIF(lunch1920_g1to6!$B$3:$B$935,ActiveDistricts!$F232,lunch1920_g1to6!$F$3:$F$935)</f>
        <v>696</v>
      </c>
      <c r="I232" s="135">
        <f>SUMIF(lunch1920_g1to6!$B$3:$B$935,ActiveDistricts!$F232,lunch1920_g1to6!$G$3:$G$935)</f>
        <v>518</v>
      </c>
      <c r="J232">
        <f t="shared" si="3"/>
        <v>0.74425287356321834</v>
      </c>
    </row>
    <row r="233" spans="1:10" x14ac:dyDescent="0.2">
      <c r="A233">
        <v>2021</v>
      </c>
      <c r="B233" t="s">
        <v>734</v>
      </c>
      <c r="C233" t="s">
        <v>579</v>
      </c>
      <c r="D233" t="s">
        <v>724</v>
      </c>
      <c r="E233" t="s">
        <v>724</v>
      </c>
      <c r="F233" t="s">
        <v>579</v>
      </c>
      <c r="G233" t="s">
        <v>119</v>
      </c>
      <c r="H233" s="135">
        <f>SUMIF(lunch1920_g1to6!$B$3:$B$935,ActiveDistricts!$F233,lunch1920_g1to6!$F$3:$F$935)</f>
        <v>2307</v>
      </c>
      <c r="I233" s="135">
        <f>SUMIF(lunch1920_g1to6!$B$3:$B$935,ActiveDistricts!$F233,lunch1920_g1to6!$G$3:$G$935)</f>
        <v>240</v>
      </c>
      <c r="J233">
        <f t="shared" si="3"/>
        <v>0.10403120936280884</v>
      </c>
    </row>
    <row r="234" spans="1:10" x14ac:dyDescent="0.2">
      <c r="A234">
        <v>2021</v>
      </c>
      <c r="B234" t="s">
        <v>723</v>
      </c>
      <c r="C234" t="s">
        <v>580</v>
      </c>
      <c r="D234" t="s">
        <v>724</v>
      </c>
      <c r="E234" t="s">
        <v>724</v>
      </c>
      <c r="F234" t="s">
        <v>580</v>
      </c>
      <c r="G234" t="s">
        <v>118</v>
      </c>
      <c r="H234" s="135">
        <f>SUMIF(lunch1920_g1to6!$B$3:$B$935,ActiveDistricts!$F234,lunch1920_g1to6!$F$3:$F$935)</f>
        <v>283</v>
      </c>
      <c r="I234" s="135">
        <f>SUMIF(lunch1920_g1to6!$B$3:$B$935,ActiveDistricts!$F234,lunch1920_g1to6!$G$3:$G$935)</f>
        <v>107</v>
      </c>
      <c r="J234">
        <f t="shared" si="3"/>
        <v>0.37809187279151946</v>
      </c>
    </row>
    <row r="235" spans="1:10" x14ac:dyDescent="0.2">
      <c r="A235">
        <v>2021</v>
      </c>
      <c r="B235" t="s">
        <v>728</v>
      </c>
      <c r="C235" t="s">
        <v>581</v>
      </c>
      <c r="D235" t="s">
        <v>724</v>
      </c>
      <c r="E235" t="s">
        <v>724</v>
      </c>
      <c r="F235" t="s">
        <v>581</v>
      </c>
      <c r="G235" t="s">
        <v>117</v>
      </c>
      <c r="H235" s="135">
        <f>SUMIF(lunch1920_g1to6!$B$3:$B$935,ActiveDistricts!$F235,lunch1920_g1to6!$F$3:$F$935)</f>
        <v>226</v>
      </c>
      <c r="I235" s="135">
        <f>SUMIF(lunch1920_g1to6!$B$3:$B$935,ActiveDistricts!$F235,lunch1920_g1to6!$G$3:$G$935)</f>
        <v>128</v>
      </c>
      <c r="J235">
        <f t="shared" si="3"/>
        <v>0.5663716814159292</v>
      </c>
    </row>
    <row r="236" spans="1:10" x14ac:dyDescent="0.2">
      <c r="A236">
        <v>2021</v>
      </c>
      <c r="B236" t="s">
        <v>732</v>
      </c>
      <c r="C236" t="s">
        <v>582</v>
      </c>
      <c r="D236" t="s">
        <v>724</v>
      </c>
      <c r="E236" t="s">
        <v>724</v>
      </c>
      <c r="F236" t="s">
        <v>582</v>
      </c>
      <c r="G236" t="s">
        <v>116</v>
      </c>
      <c r="H236" s="135">
        <f>SUMIF(lunch1920_g1to6!$B$3:$B$935,ActiveDistricts!$F236,lunch1920_g1to6!$F$3:$F$935)</f>
        <v>324</v>
      </c>
      <c r="I236" s="135">
        <f>SUMIF(lunch1920_g1to6!$B$3:$B$935,ActiveDistricts!$F236,lunch1920_g1to6!$G$3:$G$935)</f>
        <v>324</v>
      </c>
      <c r="J236">
        <f t="shared" si="3"/>
        <v>1</v>
      </c>
    </row>
    <row r="237" spans="1:10" x14ac:dyDescent="0.2">
      <c r="A237">
        <v>2021</v>
      </c>
      <c r="B237" t="s">
        <v>728</v>
      </c>
      <c r="C237" t="s">
        <v>584</v>
      </c>
      <c r="D237" t="s">
        <v>724</v>
      </c>
      <c r="E237" t="s">
        <v>724</v>
      </c>
      <c r="F237" t="s">
        <v>679</v>
      </c>
      <c r="G237" t="s">
        <v>115</v>
      </c>
      <c r="H237" s="135">
        <f>SUMIF(lunch1920_g1to6!$B$3:$B$935,ActiveDistricts!$F237,lunch1920_g1to6!$F$3:$F$935)</f>
        <v>156</v>
      </c>
      <c r="I237" s="135">
        <f>SUMIF(lunch1920_g1to6!$B$3:$B$935,ActiveDistricts!$F237,lunch1920_g1to6!$G$3:$G$935)</f>
        <v>65</v>
      </c>
      <c r="J237">
        <f t="shared" si="3"/>
        <v>0.41666666666666669</v>
      </c>
    </row>
    <row r="238" spans="1:10" x14ac:dyDescent="0.2">
      <c r="A238">
        <v>2021</v>
      </c>
      <c r="B238" t="s">
        <v>726</v>
      </c>
      <c r="C238" t="s">
        <v>585</v>
      </c>
      <c r="D238" t="s">
        <v>724</v>
      </c>
      <c r="E238" t="s">
        <v>724</v>
      </c>
      <c r="F238" t="s">
        <v>585</v>
      </c>
      <c r="G238" t="s">
        <v>114</v>
      </c>
      <c r="H238" s="135">
        <f>SUMIF(lunch1920_g1to6!$B$3:$B$935,ActiveDistricts!$F238,lunch1920_g1to6!$F$3:$F$935)</f>
        <v>416</v>
      </c>
      <c r="I238" s="135">
        <f>SUMIF(lunch1920_g1to6!$B$3:$B$935,ActiveDistricts!$F238,lunch1920_g1to6!$G$3:$G$935)</f>
        <v>257</v>
      </c>
      <c r="J238">
        <f t="shared" si="3"/>
        <v>0.61778846153846156</v>
      </c>
    </row>
    <row r="239" spans="1:10" x14ac:dyDescent="0.2">
      <c r="A239">
        <v>2021</v>
      </c>
      <c r="B239" t="s">
        <v>727</v>
      </c>
      <c r="C239" t="s">
        <v>586</v>
      </c>
      <c r="D239" t="s">
        <v>724</v>
      </c>
      <c r="E239" t="s">
        <v>724</v>
      </c>
      <c r="F239" t="s">
        <v>586</v>
      </c>
      <c r="G239" t="s">
        <v>113</v>
      </c>
      <c r="H239" s="135">
        <f>SUMIF(lunch1920_g1to6!$B$3:$B$935,ActiveDistricts!$F239,lunch1920_g1to6!$F$3:$F$935)</f>
        <v>176</v>
      </c>
      <c r="I239" s="135">
        <f>SUMIF(lunch1920_g1to6!$B$3:$B$935,ActiveDistricts!$F239,lunch1920_g1to6!$G$3:$G$935)</f>
        <v>54</v>
      </c>
      <c r="J239">
        <f t="shared" si="3"/>
        <v>0.30681818181818182</v>
      </c>
    </row>
    <row r="240" spans="1:10" x14ac:dyDescent="0.2">
      <c r="A240">
        <v>2021</v>
      </c>
      <c r="B240" t="s">
        <v>732</v>
      </c>
      <c r="C240" t="s">
        <v>587</v>
      </c>
      <c r="D240" t="s">
        <v>724</v>
      </c>
      <c r="E240" t="s">
        <v>724</v>
      </c>
      <c r="F240" t="s">
        <v>587</v>
      </c>
      <c r="G240" t="s">
        <v>112</v>
      </c>
      <c r="H240" s="135">
        <f>SUMIF(lunch1920_g1to6!$B$3:$B$935,ActiveDistricts!$F240,lunch1920_g1to6!$F$3:$F$935)</f>
        <v>164</v>
      </c>
      <c r="I240" s="135">
        <f>SUMIF(lunch1920_g1to6!$B$3:$B$935,ActiveDistricts!$F240,lunch1920_g1to6!$G$3:$G$935)</f>
        <v>71</v>
      </c>
      <c r="J240">
        <f t="shared" si="3"/>
        <v>0.43292682926829268</v>
      </c>
    </row>
    <row r="241" spans="1:10" x14ac:dyDescent="0.2">
      <c r="A241">
        <v>2021</v>
      </c>
      <c r="B241" t="s">
        <v>727</v>
      </c>
      <c r="C241" t="s">
        <v>442</v>
      </c>
      <c r="D241" t="s">
        <v>724</v>
      </c>
      <c r="E241" t="s">
        <v>724</v>
      </c>
      <c r="F241" t="s">
        <v>442</v>
      </c>
      <c r="G241" t="s">
        <v>246</v>
      </c>
      <c r="H241" s="135">
        <f>SUMIF(lunch1920_g1to6!$B$3:$B$935,ActiveDistricts!$F241,lunch1920_g1to6!$F$3:$F$935)</f>
        <v>156</v>
      </c>
      <c r="I241" s="135">
        <f>SUMIF(lunch1920_g1to6!$B$3:$B$935,ActiveDistricts!$F241,lunch1920_g1to6!$G$3:$G$935)</f>
        <v>81</v>
      </c>
      <c r="J241">
        <f t="shared" si="3"/>
        <v>0.51923076923076927</v>
      </c>
    </row>
    <row r="242" spans="1:10" x14ac:dyDescent="0.2">
      <c r="A242">
        <v>2021</v>
      </c>
      <c r="B242" t="s">
        <v>726</v>
      </c>
      <c r="C242" t="s">
        <v>563</v>
      </c>
      <c r="D242" t="s">
        <v>724</v>
      </c>
      <c r="E242" t="s">
        <v>724</v>
      </c>
      <c r="F242" t="s">
        <v>676</v>
      </c>
      <c r="G242" t="s">
        <v>111</v>
      </c>
      <c r="H242" s="135">
        <f>SUMIF(lunch1920_g1to6!$B$3:$B$935,ActiveDistricts!$F242,lunch1920_g1to6!$F$3:$F$935)</f>
        <v>308</v>
      </c>
      <c r="I242" s="135">
        <f>SUMIF(lunch1920_g1to6!$B$3:$B$935,ActiveDistricts!$F242,lunch1920_g1to6!$G$3:$G$935)</f>
        <v>129</v>
      </c>
      <c r="J242">
        <f t="shared" si="3"/>
        <v>0.41883116883116883</v>
      </c>
    </row>
    <row r="243" spans="1:10" x14ac:dyDescent="0.2">
      <c r="A243">
        <v>2021</v>
      </c>
      <c r="B243" t="s">
        <v>727</v>
      </c>
      <c r="C243" t="s">
        <v>588</v>
      </c>
      <c r="D243" t="s">
        <v>724</v>
      </c>
      <c r="E243" t="s">
        <v>724</v>
      </c>
      <c r="F243" t="s">
        <v>588</v>
      </c>
      <c r="G243" t="s">
        <v>110</v>
      </c>
      <c r="H243" s="135">
        <f>SUMIF(lunch1920_g1to6!$B$3:$B$935,ActiveDistricts!$F243,lunch1920_g1to6!$F$3:$F$935)</f>
        <v>398</v>
      </c>
      <c r="I243" s="135">
        <f>SUMIF(lunch1920_g1to6!$B$3:$B$935,ActiveDistricts!$F243,lunch1920_g1to6!$G$3:$G$935)</f>
        <v>182</v>
      </c>
      <c r="J243">
        <f t="shared" si="3"/>
        <v>0.457286432160804</v>
      </c>
    </row>
    <row r="244" spans="1:10" x14ac:dyDescent="0.2">
      <c r="A244">
        <v>2021</v>
      </c>
      <c r="B244" t="s">
        <v>723</v>
      </c>
      <c r="C244" t="s">
        <v>589</v>
      </c>
      <c r="D244" t="s">
        <v>724</v>
      </c>
      <c r="E244" t="s">
        <v>724</v>
      </c>
      <c r="F244" t="s">
        <v>589</v>
      </c>
      <c r="G244" t="s">
        <v>109</v>
      </c>
      <c r="H244" s="135">
        <f>SUMIF(lunch1920_g1to6!$B$3:$B$935,ActiveDistricts!$F244,lunch1920_g1to6!$F$3:$F$935)</f>
        <v>470</v>
      </c>
      <c r="I244" s="135">
        <f>SUMIF(lunch1920_g1to6!$B$3:$B$935,ActiveDistricts!$F244,lunch1920_g1to6!$G$3:$G$935)</f>
        <v>118</v>
      </c>
      <c r="J244">
        <f t="shared" si="3"/>
        <v>0.25106382978723402</v>
      </c>
    </row>
    <row r="245" spans="1:10" x14ac:dyDescent="0.2">
      <c r="A245">
        <v>2021</v>
      </c>
      <c r="B245" t="s">
        <v>725</v>
      </c>
      <c r="C245" t="s">
        <v>590</v>
      </c>
      <c r="D245" t="s">
        <v>724</v>
      </c>
      <c r="E245" t="s">
        <v>724</v>
      </c>
      <c r="F245" t="s">
        <v>590</v>
      </c>
      <c r="G245" t="s">
        <v>707</v>
      </c>
      <c r="H245" s="135">
        <f>SUMIF(lunch1920_g1to6!$B$3:$B$935,ActiveDistricts!$F245,lunch1920_g1to6!$F$3:$F$935)</f>
        <v>157</v>
      </c>
      <c r="I245" s="135">
        <f>SUMIF(lunch1920_g1to6!$B$3:$B$935,ActiveDistricts!$F245,lunch1920_g1to6!$G$3:$G$935)</f>
        <v>89</v>
      </c>
      <c r="J245">
        <f t="shared" si="3"/>
        <v>0.56687898089171973</v>
      </c>
    </row>
    <row r="246" spans="1:10" x14ac:dyDescent="0.2">
      <c r="A246">
        <v>2021</v>
      </c>
      <c r="B246" t="s">
        <v>728</v>
      </c>
      <c r="C246" t="s">
        <v>591</v>
      </c>
      <c r="D246" t="s">
        <v>724</v>
      </c>
      <c r="E246" t="s">
        <v>724</v>
      </c>
      <c r="F246" t="s">
        <v>591</v>
      </c>
      <c r="G246" t="s">
        <v>107</v>
      </c>
      <c r="H246" s="135">
        <f>SUMIF(lunch1920_g1to6!$B$3:$B$935,ActiveDistricts!$F246,lunch1920_g1to6!$F$3:$F$935)</f>
        <v>81</v>
      </c>
      <c r="I246" s="135">
        <f>SUMIF(lunch1920_g1to6!$B$3:$B$935,ActiveDistricts!$F246,lunch1920_g1to6!$G$3:$G$935)</f>
        <v>55</v>
      </c>
      <c r="J246">
        <f t="shared" si="3"/>
        <v>0.67901234567901236</v>
      </c>
    </row>
    <row r="247" spans="1:10" x14ac:dyDescent="0.2">
      <c r="A247">
        <v>2021</v>
      </c>
      <c r="B247" t="s">
        <v>723</v>
      </c>
      <c r="C247" t="s">
        <v>593</v>
      </c>
      <c r="D247" t="s">
        <v>724</v>
      </c>
      <c r="E247" t="s">
        <v>724</v>
      </c>
      <c r="F247" t="s">
        <v>593</v>
      </c>
      <c r="G247" t="s">
        <v>105</v>
      </c>
      <c r="H247" s="135">
        <f>SUMIF(lunch1920_g1to6!$B$3:$B$935,ActiveDistricts!$F247,lunch1920_g1to6!$F$3:$F$935)</f>
        <v>567</v>
      </c>
      <c r="I247" s="135">
        <f>SUMIF(lunch1920_g1to6!$B$3:$B$935,ActiveDistricts!$F247,lunch1920_g1to6!$G$3:$G$935)</f>
        <v>353</v>
      </c>
      <c r="J247">
        <f t="shared" si="3"/>
        <v>0.62257495590828926</v>
      </c>
    </row>
    <row r="248" spans="1:10" x14ac:dyDescent="0.2">
      <c r="A248">
        <v>2021</v>
      </c>
      <c r="B248" t="s">
        <v>728</v>
      </c>
      <c r="C248" t="s">
        <v>594</v>
      </c>
      <c r="D248" t="s">
        <v>724</v>
      </c>
      <c r="E248" t="s">
        <v>724</v>
      </c>
      <c r="F248" t="s">
        <v>594</v>
      </c>
      <c r="G248" t="s">
        <v>104</v>
      </c>
      <c r="H248" s="135">
        <f>SUMIF(lunch1920_g1to6!$B$3:$B$935,ActiveDistricts!$F248,lunch1920_g1to6!$F$3:$F$935)</f>
        <v>188</v>
      </c>
      <c r="I248" s="135">
        <f>SUMIF(lunch1920_g1to6!$B$3:$B$935,ActiveDistricts!$F248,lunch1920_g1to6!$G$3:$G$935)</f>
        <v>110</v>
      </c>
      <c r="J248">
        <f t="shared" si="3"/>
        <v>0.58510638297872342</v>
      </c>
    </row>
    <row r="249" spans="1:10" x14ac:dyDescent="0.2">
      <c r="A249">
        <v>2021</v>
      </c>
      <c r="B249" t="s">
        <v>727</v>
      </c>
      <c r="C249" t="s">
        <v>595</v>
      </c>
      <c r="D249" t="s">
        <v>724</v>
      </c>
      <c r="E249" t="s">
        <v>724</v>
      </c>
      <c r="F249" t="s">
        <v>595</v>
      </c>
      <c r="G249" t="s">
        <v>103</v>
      </c>
      <c r="H249" s="135">
        <f>SUMIF(lunch1920_g1to6!$B$3:$B$935,ActiveDistricts!$F249,lunch1920_g1to6!$F$3:$F$935)</f>
        <v>108</v>
      </c>
      <c r="I249" s="135">
        <f>SUMIF(lunch1920_g1to6!$B$3:$B$935,ActiveDistricts!$F249,lunch1920_g1to6!$G$3:$G$935)</f>
        <v>40</v>
      </c>
      <c r="J249">
        <f t="shared" si="3"/>
        <v>0.37037037037037035</v>
      </c>
    </row>
    <row r="250" spans="1:10" x14ac:dyDescent="0.2">
      <c r="A250">
        <v>2021</v>
      </c>
      <c r="B250" t="s">
        <v>727</v>
      </c>
      <c r="C250" t="s">
        <v>596</v>
      </c>
      <c r="D250" t="s">
        <v>724</v>
      </c>
      <c r="E250" t="s">
        <v>724</v>
      </c>
      <c r="F250" t="s">
        <v>596</v>
      </c>
      <c r="G250" t="s">
        <v>102</v>
      </c>
      <c r="H250" s="135">
        <f>SUMIF(lunch1920_g1to6!$B$3:$B$935,ActiveDistricts!$F250,lunch1920_g1to6!$F$3:$F$935)</f>
        <v>716</v>
      </c>
      <c r="I250" s="135">
        <f>SUMIF(lunch1920_g1to6!$B$3:$B$935,ActiveDistricts!$F250,lunch1920_g1to6!$G$3:$G$935)</f>
        <v>249</v>
      </c>
      <c r="J250">
        <f t="shared" si="3"/>
        <v>0.3477653631284916</v>
      </c>
    </row>
    <row r="251" spans="1:10" x14ac:dyDescent="0.2">
      <c r="A251">
        <v>2021</v>
      </c>
      <c r="B251" t="s">
        <v>729</v>
      </c>
      <c r="C251" t="s">
        <v>597</v>
      </c>
      <c r="D251" t="s">
        <v>724</v>
      </c>
      <c r="E251" t="s">
        <v>724</v>
      </c>
      <c r="F251" t="s">
        <v>597</v>
      </c>
      <c r="G251" t="s">
        <v>101</v>
      </c>
      <c r="H251" s="135">
        <f>SUMIF(lunch1920_g1to6!$B$3:$B$935,ActiveDistricts!$F251,lunch1920_g1to6!$F$3:$F$935)</f>
        <v>96</v>
      </c>
      <c r="I251" s="135">
        <f>SUMIF(lunch1920_g1to6!$B$3:$B$935,ActiveDistricts!$F251,lunch1920_g1to6!$G$3:$G$935)</f>
        <v>58</v>
      </c>
      <c r="J251">
        <f t="shared" si="3"/>
        <v>0.60416666666666663</v>
      </c>
    </row>
    <row r="252" spans="1:10" x14ac:dyDescent="0.2">
      <c r="A252">
        <v>2021</v>
      </c>
      <c r="B252" t="s">
        <v>727</v>
      </c>
      <c r="C252" t="s">
        <v>599</v>
      </c>
      <c r="D252" t="s">
        <v>724</v>
      </c>
      <c r="E252" t="s">
        <v>724</v>
      </c>
      <c r="F252" t="s">
        <v>599</v>
      </c>
      <c r="G252" t="s">
        <v>100</v>
      </c>
      <c r="H252" s="135">
        <f>SUMIF(lunch1920_g1to6!$B$3:$B$935,ActiveDistricts!$F252,lunch1920_g1to6!$F$3:$F$935)</f>
        <v>485</v>
      </c>
      <c r="I252" s="135">
        <f>SUMIF(lunch1920_g1to6!$B$3:$B$935,ActiveDistricts!$F252,lunch1920_g1to6!$G$3:$G$935)</f>
        <v>217</v>
      </c>
      <c r="J252">
        <f t="shared" si="3"/>
        <v>0.44742268041237115</v>
      </c>
    </row>
    <row r="253" spans="1:10" x14ac:dyDescent="0.2">
      <c r="A253">
        <v>2021</v>
      </c>
      <c r="B253" t="s">
        <v>726</v>
      </c>
      <c r="C253" t="s">
        <v>600</v>
      </c>
      <c r="D253" t="s">
        <v>724</v>
      </c>
      <c r="E253" t="s">
        <v>724</v>
      </c>
      <c r="F253" t="s">
        <v>600</v>
      </c>
      <c r="G253" t="s">
        <v>99</v>
      </c>
      <c r="H253" s="135">
        <f>SUMIF(lunch1920_g1to6!$B$3:$B$935,ActiveDistricts!$F253,lunch1920_g1to6!$F$3:$F$935)</f>
        <v>472</v>
      </c>
      <c r="I253" s="135">
        <f>SUMIF(lunch1920_g1to6!$B$3:$B$935,ActiveDistricts!$F253,lunch1920_g1to6!$G$3:$G$935)</f>
        <v>268</v>
      </c>
      <c r="J253">
        <f t="shared" si="3"/>
        <v>0.56779661016949157</v>
      </c>
    </row>
    <row r="254" spans="1:10" x14ac:dyDescent="0.2">
      <c r="A254">
        <v>2021</v>
      </c>
      <c r="B254" t="s">
        <v>727</v>
      </c>
      <c r="C254" t="s">
        <v>601</v>
      </c>
      <c r="D254" t="s">
        <v>724</v>
      </c>
      <c r="E254" t="s">
        <v>724</v>
      </c>
      <c r="F254" t="s">
        <v>601</v>
      </c>
      <c r="G254" t="s">
        <v>98</v>
      </c>
      <c r="H254" s="135">
        <f>SUMIF(lunch1920_g1to6!$B$3:$B$935,ActiveDistricts!$F254,lunch1920_g1to6!$F$3:$F$935)</f>
        <v>304</v>
      </c>
      <c r="I254" s="135">
        <f>SUMIF(lunch1920_g1to6!$B$3:$B$935,ActiveDistricts!$F254,lunch1920_g1to6!$G$3:$G$935)</f>
        <v>150</v>
      </c>
      <c r="J254">
        <f t="shared" si="3"/>
        <v>0.49342105263157893</v>
      </c>
    </row>
    <row r="255" spans="1:10" x14ac:dyDescent="0.2">
      <c r="A255">
        <v>2021</v>
      </c>
      <c r="B255" t="s">
        <v>726</v>
      </c>
      <c r="C255" t="s">
        <v>602</v>
      </c>
      <c r="D255" t="s">
        <v>724</v>
      </c>
      <c r="E255" t="s">
        <v>724</v>
      </c>
      <c r="F255" t="s">
        <v>602</v>
      </c>
      <c r="G255" t="s">
        <v>97</v>
      </c>
      <c r="H255" s="135">
        <f>SUMIF(lunch1920_g1to6!$B$3:$B$935,ActiveDistricts!$F255,lunch1920_g1to6!$F$3:$F$935)</f>
        <v>182</v>
      </c>
      <c r="I255" s="135">
        <f>SUMIF(lunch1920_g1to6!$B$3:$B$935,ActiveDistricts!$F255,lunch1920_g1to6!$G$3:$G$935)</f>
        <v>98</v>
      </c>
      <c r="J255">
        <f t="shared" si="3"/>
        <v>0.53846153846153844</v>
      </c>
    </row>
    <row r="256" spans="1:10" x14ac:dyDescent="0.2">
      <c r="A256">
        <v>2021</v>
      </c>
      <c r="B256" t="s">
        <v>729</v>
      </c>
      <c r="C256" t="s">
        <v>603</v>
      </c>
      <c r="D256" t="s">
        <v>724</v>
      </c>
      <c r="E256" t="s">
        <v>724</v>
      </c>
      <c r="F256" t="s">
        <v>603</v>
      </c>
      <c r="G256" t="s">
        <v>96</v>
      </c>
      <c r="H256" s="135">
        <f>SUMIF(lunch1920_g1to6!$B$3:$B$935,ActiveDistricts!$F256,lunch1920_g1to6!$F$3:$F$935)</f>
        <v>244</v>
      </c>
      <c r="I256" s="135">
        <f>SUMIF(lunch1920_g1to6!$B$3:$B$935,ActiveDistricts!$F256,lunch1920_g1to6!$G$3:$G$935)</f>
        <v>89</v>
      </c>
      <c r="J256">
        <f t="shared" si="3"/>
        <v>0.36475409836065575</v>
      </c>
    </row>
    <row r="257" spans="1:10" x14ac:dyDescent="0.2">
      <c r="A257">
        <v>2021</v>
      </c>
      <c r="B257" t="s">
        <v>727</v>
      </c>
      <c r="C257" t="s">
        <v>604</v>
      </c>
      <c r="D257" t="s">
        <v>724</v>
      </c>
      <c r="E257" t="s">
        <v>724</v>
      </c>
      <c r="F257" t="s">
        <v>604</v>
      </c>
      <c r="G257" t="s">
        <v>95</v>
      </c>
      <c r="H257" s="135">
        <f>SUMIF(lunch1920_g1to6!$B$3:$B$935,ActiveDistricts!$F257,lunch1920_g1to6!$F$3:$F$935)</f>
        <v>671</v>
      </c>
      <c r="I257" s="135">
        <f>SUMIF(lunch1920_g1to6!$B$3:$B$935,ActiveDistricts!$F257,lunch1920_g1to6!$G$3:$G$935)</f>
        <v>283</v>
      </c>
      <c r="J257">
        <f t="shared" si="3"/>
        <v>0.42175856929955291</v>
      </c>
    </row>
    <row r="258" spans="1:10" x14ac:dyDescent="0.2">
      <c r="A258">
        <v>2021</v>
      </c>
      <c r="B258" t="s">
        <v>728</v>
      </c>
      <c r="C258" t="s">
        <v>606</v>
      </c>
      <c r="D258" t="s">
        <v>724</v>
      </c>
      <c r="E258" t="s">
        <v>724</v>
      </c>
      <c r="F258" t="s">
        <v>680</v>
      </c>
      <c r="G258" t="s">
        <v>94</v>
      </c>
      <c r="H258" s="135">
        <f>SUMIF(lunch1920_g1to6!$B$3:$B$935,ActiveDistricts!$F258,lunch1920_g1to6!$F$3:$F$935)</f>
        <v>217</v>
      </c>
      <c r="I258" s="135">
        <f>SUMIF(lunch1920_g1to6!$B$3:$B$935,ActiveDistricts!$F258,lunch1920_g1to6!$G$3:$G$935)</f>
        <v>87</v>
      </c>
      <c r="J258">
        <f t="shared" si="3"/>
        <v>0.4009216589861751</v>
      </c>
    </row>
    <row r="259" spans="1:10" x14ac:dyDescent="0.2">
      <c r="A259">
        <v>2021</v>
      </c>
      <c r="B259" t="s">
        <v>727</v>
      </c>
      <c r="C259" t="s">
        <v>605</v>
      </c>
      <c r="D259" t="s">
        <v>724</v>
      </c>
      <c r="E259" t="s">
        <v>724</v>
      </c>
      <c r="F259" t="s">
        <v>605</v>
      </c>
      <c r="G259" t="s">
        <v>93</v>
      </c>
      <c r="H259" s="135">
        <f>SUMIF(lunch1920_g1to6!$B$3:$B$935,ActiveDistricts!$F259,lunch1920_g1to6!$F$3:$F$935)</f>
        <v>6639</v>
      </c>
      <c r="I259" s="135">
        <f>SUMIF(lunch1920_g1to6!$B$3:$B$935,ActiveDistricts!$F259,lunch1920_g1to6!$G$3:$G$935)</f>
        <v>3605</v>
      </c>
      <c r="J259">
        <f t="shared" ref="J259:J322" si="4">I259/H259</f>
        <v>0.54300346437716529</v>
      </c>
    </row>
    <row r="260" spans="1:10" x14ac:dyDescent="0.2">
      <c r="A260">
        <v>2021</v>
      </c>
      <c r="B260" t="s">
        <v>730</v>
      </c>
      <c r="C260" t="s">
        <v>608</v>
      </c>
      <c r="D260" t="s">
        <v>724</v>
      </c>
      <c r="E260" t="s">
        <v>724</v>
      </c>
      <c r="F260" t="s">
        <v>608</v>
      </c>
      <c r="G260" t="s">
        <v>91</v>
      </c>
      <c r="H260" s="135">
        <f>SUMIF(lunch1920_g1to6!$B$3:$B$935,ActiveDistricts!$F260,lunch1920_g1to6!$F$3:$F$935)</f>
        <v>655</v>
      </c>
      <c r="I260" s="135">
        <f>SUMIF(lunch1920_g1to6!$B$3:$B$935,ActiveDistricts!$F260,lunch1920_g1to6!$G$3:$G$935)</f>
        <v>69</v>
      </c>
      <c r="J260">
        <f t="shared" si="4"/>
        <v>0.10534351145038168</v>
      </c>
    </row>
    <row r="261" spans="1:10" x14ac:dyDescent="0.2">
      <c r="A261">
        <v>2021</v>
      </c>
      <c r="B261" t="s">
        <v>728</v>
      </c>
      <c r="C261" t="s">
        <v>607</v>
      </c>
      <c r="D261" t="s">
        <v>724</v>
      </c>
      <c r="E261" t="s">
        <v>724</v>
      </c>
      <c r="F261" t="s">
        <v>607</v>
      </c>
      <c r="G261" t="s">
        <v>92</v>
      </c>
      <c r="H261" s="135">
        <f>SUMIF(lunch1920_g1to6!$B$3:$B$935,ActiveDistricts!$F261,lunch1920_g1to6!$F$3:$F$935)</f>
        <v>384</v>
      </c>
      <c r="I261" s="135">
        <f>SUMIF(lunch1920_g1to6!$B$3:$B$935,ActiveDistricts!$F261,lunch1920_g1to6!$G$3:$G$935)</f>
        <v>181</v>
      </c>
      <c r="J261">
        <f t="shared" si="4"/>
        <v>0.47135416666666669</v>
      </c>
    </row>
    <row r="262" spans="1:10" x14ac:dyDescent="0.2">
      <c r="A262">
        <v>2021</v>
      </c>
      <c r="B262" t="s">
        <v>728</v>
      </c>
      <c r="C262" t="s">
        <v>610</v>
      </c>
      <c r="D262" t="s">
        <v>724</v>
      </c>
      <c r="E262" t="s">
        <v>724</v>
      </c>
      <c r="F262" t="s">
        <v>610</v>
      </c>
      <c r="G262" t="s">
        <v>89</v>
      </c>
      <c r="H262" s="135">
        <f>SUMIF(lunch1920_g1to6!$B$3:$B$935,ActiveDistricts!$F262,lunch1920_g1to6!$F$3:$F$935)</f>
        <v>268</v>
      </c>
      <c r="I262" s="135">
        <f>SUMIF(lunch1920_g1to6!$B$3:$B$935,ActiveDistricts!$F262,lunch1920_g1to6!$G$3:$G$935)</f>
        <v>100</v>
      </c>
      <c r="J262">
        <f t="shared" si="4"/>
        <v>0.37313432835820898</v>
      </c>
    </row>
    <row r="263" spans="1:10" x14ac:dyDescent="0.2">
      <c r="A263">
        <v>2021</v>
      </c>
      <c r="B263" t="s">
        <v>727</v>
      </c>
      <c r="C263" t="s">
        <v>575</v>
      </c>
      <c r="D263" t="s">
        <v>724</v>
      </c>
      <c r="E263" t="s">
        <v>724</v>
      </c>
      <c r="F263" t="s">
        <v>677</v>
      </c>
      <c r="G263" t="s">
        <v>85</v>
      </c>
      <c r="H263" s="135">
        <f>SUMIF(lunch1920_g1to6!$B$3:$B$935,ActiveDistricts!$F263,lunch1920_g1to6!$F$3:$F$935)</f>
        <v>219</v>
      </c>
      <c r="I263" s="135">
        <f>SUMIF(lunch1920_g1to6!$B$3:$B$935,ActiveDistricts!$F263,lunch1920_g1to6!$G$3:$G$935)</f>
        <v>84</v>
      </c>
      <c r="J263">
        <f t="shared" si="4"/>
        <v>0.38356164383561642</v>
      </c>
    </row>
    <row r="264" spans="1:10" x14ac:dyDescent="0.2">
      <c r="A264">
        <v>2021</v>
      </c>
      <c r="B264" t="s">
        <v>726</v>
      </c>
      <c r="C264" t="s">
        <v>612</v>
      </c>
      <c r="D264" t="s">
        <v>724</v>
      </c>
      <c r="E264" t="s">
        <v>724</v>
      </c>
      <c r="F264" t="s">
        <v>612</v>
      </c>
      <c r="G264" t="s">
        <v>87</v>
      </c>
      <c r="H264" s="135">
        <f>SUMIF(lunch1920_g1to6!$B$3:$B$935,ActiveDistricts!$F264,lunch1920_g1to6!$F$3:$F$935)</f>
        <v>54</v>
      </c>
      <c r="I264" s="135">
        <f>SUMIF(lunch1920_g1to6!$B$3:$B$935,ActiveDistricts!$F264,lunch1920_g1to6!$G$3:$G$935)</f>
        <v>31</v>
      </c>
      <c r="J264">
        <f t="shared" si="4"/>
        <v>0.57407407407407407</v>
      </c>
    </row>
    <row r="265" spans="1:10" x14ac:dyDescent="0.2">
      <c r="A265">
        <v>2021</v>
      </c>
      <c r="B265" t="s">
        <v>725</v>
      </c>
      <c r="C265" t="s">
        <v>613</v>
      </c>
      <c r="D265" t="s">
        <v>724</v>
      </c>
      <c r="E265" t="s">
        <v>724</v>
      </c>
      <c r="F265" t="s">
        <v>613</v>
      </c>
      <c r="G265" t="s">
        <v>708</v>
      </c>
      <c r="H265" s="135">
        <f>SUMIF(lunch1920_g1to6!$B$3:$B$935,ActiveDistricts!$F265,lunch1920_g1to6!$F$3:$F$935)</f>
        <v>653</v>
      </c>
      <c r="I265" s="135">
        <f>SUMIF(lunch1920_g1to6!$B$3:$B$935,ActiveDistricts!$F265,lunch1920_g1to6!$G$3:$G$935)</f>
        <v>428</v>
      </c>
      <c r="J265">
        <f t="shared" si="4"/>
        <v>0.65543644716692195</v>
      </c>
    </row>
    <row r="266" spans="1:10" x14ac:dyDescent="0.2">
      <c r="A266">
        <v>2021</v>
      </c>
      <c r="B266" t="s">
        <v>732</v>
      </c>
      <c r="C266" t="s">
        <v>614</v>
      </c>
      <c r="D266" t="s">
        <v>724</v>
      </c>
      <c r="E266" t="s">
        <v>724</v>
      </c>
      <c r="F266" t="s">
        <v>614</v>
      </c>
      <c r="G266" t="s">
        <v>84</v>
      </c>
      <c r="H266" s="135">
        <f>SUMIF(lunch1920_g1to6!$B$3:$B$935,ActiveDistricts!$F266,lunch1920_g1to6!$F$3:$F$935)</f>
        <v>186</v>
      </c>
      <c r="I266" s="135">
        <f>SUMIF(lunch1920_g1to6!$B$3:$B$935,ActiveDistricts!$F266,lunch1920_g1to6!$G$3:$G$935)</f>
        <v>77</v>
      </c>
      <c r="J266">
        <f t="shared" si="4"/>
        <v>0.41397849462365593</v>
      </c>
    </row>
    <row r="267" spans="1:10" x14ac:dyDescent="0.2">
      <c r="A267">
        <v>2021</v>
      </c>
      <c r="B267" t="s">
        <v>723</v>
      </c>
      <c r="C267" t="s">
        <v>615</v>
      </c>
      <c r="D267" t="s">
        <v>724</v>
      </c>
      <c r="E267" t="s">
        <v>724</v>
      </c>
      <c r="F267" t="s">
        <v>615</v>
      </c>
      <c r="G267" t="s">
        <v>83</v>
      </c>
      <c r="H267" s="135">
        <f>SUMIF(lunch1920_g1to6!$B$3:$B$935,ActiveDistricts!$F267,lunch1920_g1to6!$F$3:$F$935)</f>
        <v>3109</v>
      </c>
      <c r="I267" s="135">
        <f>SUMIF(lunch1920_g1to6!$B$3:$B$935,ActiveDistricts!$F267,lunch1920_g1to6!$G$3:$G$935)</f>
        <v>1071</v>
      </c>
      <c r="J267">
        <f t="shared" si="4"/>
        <v>0.34448375683499516</v>
      </c>
    </row>
    <row r="268" spans="1:10" x14ac:dyDescent="0.2">
      <c r="A268">
        <v>2021</v>
      </c>
      <c r="B268" t="s">
        <v>723</v>
      </c>
      <c r="C268" t="s">
        <v>609</v>
      </c>
      <c r="D268" t="s">
        <v>724</v>
      </c>
      <c r="E268" t="s">
        <v>724</v>
      </c>
      <c r="F268" t="s">
        <v>609</v>
      </c>
      <c r="G268" t="s">
        <v>90</v>
      </c>
      <c r="H268" s="135">
        <f>SUMIF(lunch1920_g1to6!$B$3:$B$935,ActiveDistricts!$F268,lunch1920_g1to6!$F$3:$F$935)</f>
        <v>212</v>
      </c>
      <c r="I268" s="135">
        <f>SUMIF(lunch1920_g1to6!$B$3:$B$935,ActiveDistricts!$F268,lunch1920_g1to6!$G$3:$G$935)</f>
        <v>79</v>
      </c>
      <c r="J268">
        <f t="shared" si="4"/>
        <v>0.37264150943396224</v>
      </c>
    </row>
    <row r="269" spans="1:10" x14ac:dyDescent="0.2">
      <c r="A269">
        <v>2021</v>
      </c>
      <c r="B269" t="s">
        <v>728</v>
      </c>
      <c r="C269" t="s">
        <v>611</v>
      </c>
      <c r="D269" t="s">
        <v>724</v>
      </c>
      <c r="E269" t="s">
        <v>724</v>
      </c>
      <c r="F269" t="s">
        <v>611</v>
      </c>
      <c r="G269" t="s">
        <v>709</v>
      </c>
      <c r="H269" s="135">
        <f>SUMIF(lunch1920_g1to6!$B$3:$B$935,ActiveDistricts!$F269,lunch1920_g1to6!$F$3:$F$935)</f>
        <v>298</v>
      </c>
      <c r="I269" s="135">
        <f>SUMIF(lunch1920_g1to6!$B$3:$B$935,ActiveDistricts!$F269,lunch1920_g1to6!$G$3:$G$935)</f>
        <v>128</v>
      </c>
      <c r="J269">
        <f t="shared" si="4"/>
        <v>0.42953020134228187</v>
      </c>
    </row>
    <row r="270" spans="1:10" x14ac:dyDescent="0.2">
      <c r="A270">
        <v>2021</v>
      </c>
      <c r="B270" t="s">
        <v>728</v>
      </c>
      <c r="C270" t="s">
        <v>616</v>
      </c>
      <c r="D270" t="s">
        <v>724</v>
      </c>
      <c r="E270" t="s">
        <v>724</v>
      </c>
      <c r="F270" t="s">
        <v>616</v>
      </c>
      <c r="G270" t="s">
        <v>82</v>
      </c>
      <c r="H270" s="135">
        <f>SUMIF(lunch1920_g1to6!$B$3:$B$935,ActiveDistricts!$F270,lunch1920_g1to6!$F$3:$F$935)</f>
        <v>850</v>
      </c>
      <c r="I270" s="135">
        <f>SUMIF(lunch1920_g1to6!$B$3:$B$935,ActiveDistricts!$F270,lunch1920_g1to6!$G$3:$G$935)</f>
        <v>402</v>
      </c>
      <c r="J270">
        <f t="shared" si="4"/>
        <v>0.47294117647058825</v>
      </c>
    </row>
    <row r="271" spans="1:10" x14ac:dyDescent="0.2">
      <c r="A271">
        <v>2021</v>
      </c>
      <c r="B271" t="s">
        <v>728</v>
      </c>
      <c r="C271" t="s">
        <v>617</v>
      </c>
      <c r="D271" t="s">
        <v>724</v>
      </c>
      <c r="E271" t="s">
        <v>724</v>
      </c>
      <c r="F271" t="s">
        <v>617</v>
      </c>
      <c r="G271" t="s">
        <v>81</v>
      </c>
      <c r="H271" s="135">
        <f>SUMIF(lunch1920_g1to6!$B$3:$B$935,ActiveDistricts!$F271,lunch1920_g1to6!$F$3:$F$935)</f>
        <v>527</v>
      </c>
      <c r="I271" s="135">
        <f>SUMIF(lunch1920_g1to6!$B$3:$B$935,ActiveDistricts!$F271,lunch1920_g1to6!$G$3:$G$935)</f>
        <v>183</v>
      </c>
      <c r="J271">
        <f t="shared" si="4"/>
        <v>0.34724857685009486</v>
      </c>
    </row>
    <row r="272" spans="1:10" x14ac:dyDescent="0.2">
      <c r="A272">
        <v>2021</v>
      </c>
      <c r="B272" t="s">
        <v>730</v>
      </c>
      <c r="C272" t="s">
        <v>618</v>
      </c>
      <c r="D272" t="s">
        <v>724</v>
      </c>
      <c r="E272" t="s">
        <v>724</v>
      </c>
      <c r="F272" t="s">
        <v>618</v>
      </c>
      <c r="G272" t="s">
        <v>80</v>
      </c>
      <c r="H272" s="135">
        <f>SUMIF(lunch1920_g1to6!$B$3:$B$935,ActiveDistricts!$F272,lunch1920_g1to6!$F$3:$F$935)</f>
        <v>167</v>
      </c>
      <c r="I272" s="135">
        <f>SUMIF(lunch1920_g1to6!$B$3:$B$935,ActiveDistricts!$F272,lunch1920_g1to6!$G$3:$G$935)</f>
        <v>56</v>
      </c>
      <c r="J272">
        <f t="shared" si="4"/>
        <v>0.33532934131736525</v>
      </c>
    </row>
    <row r="273" spans="1:10" x14ac:dyDescent="0.2">
      <c r="A273">
        <v>2021</v>
      </c>
      <c r="B273" t="s">
        <v>725</v>
      </c>
      <c r="C273" t="s">
        <v>592</v>
      </c>
      <c r="D273" t="s">
        <v>724</v>
      </c>
      <c r="E273" t="s">
        <v>724</v>
      </c>
      <c r="F273" t="s">
        <v>592</v>
      </c>
      <c r="G273" t="s">
        <v>106</v>
      </c>
      <c r="H273" s="135">
        <f>SUMIF(lunch1920_g1to6!$B$3:$B$935,ActiveDistricts!$F273,lunch1920_g1to6!$F$3:$F$935)</f>
        <v>235</v>
      </c>
      <c r="I273" s="135">
        <f>SUMIF(lunch1920_g1to6!$B$3:$B$935,ActiveDistricts!$F273,lunch1920_g1to6!$G$3:$G$935)</f>
        <v>67</v>
      </c>
      <c r="J273">
        <f t="shared" si="4"/>
        <v>0.28510638297872343</v>
      </c>
    </row>
    <row r="274" spans="1:10" x14ac:dyDescent="0.2">
      <c r="A274">
        <v>2021</v>
      </c>
      <c r="B274" t="s">
        <v>726</v>
      </c>
      <c r="C274" t="s">
        <v>619</v>
      </c>
      <c r="D274" t="s">
        <v>724</v>
      </c>
      <c r="E274" t="s">
        <v>724</v>
      </c>
      <c r="F274" t="s">
        <v>619</v>
      </c>
      <c r="G274" t="s">
        <v>79</v>
      </c>
      <c r="H274" s="135">
        <f>SUMIF(lunch1920_g1to6!$B$3:$B$935,ActiveDistricts!$F274,lunch1920_g1to6!$F$3:$F$935)</f>
        <v>103</v>
      </c>
      <c r="I274" s="135">
        <f>SUMIF(lunch1920_g1to6!$B$3:$B$935,ActiveDistricts!$F274,lunch1920_g1to6!$G$3:$G$935)</f>
        <v>46</v>
      </c>
      <c r="J274">
        <f t="shared" si="4"/>
        <v>0.44660194174757284</v>
      </c>
    </row>
    <row r="275" spans="1:10" x14ac:dyDescent="0.2">
      <c r="A275">
        <v>2021</v>
      </c>
      <c r="B275" t="s">
        <v>732</v>
      </c>
      <c r="C275" t="s">
        <v>620</v>
      </c>
      <c r="D275" t="s">
        <v>724</v>
      </c>
      <c r="E275" t="s">
        <v>724</v>
      </c>
      <c r="F275" t="s">
        <v>620</v>
      </c>
      <c r="G275" t="s">
        <v>78</v>
      </c>
      <c r="H275" s="135">
        <f>SUMIF(lunch1920_g1to6!$B$3:$B$935,ActiveDistricts!$F275,lunch1920_g1to6!$F$3:$F$935)</f>
        <v>251</v>
      </c>
      <c r="I275" s="135">
        <f>SUMIF(lunch1920_g1to6!$B$3:$B$935,ActiveDistricts!$F275,lunch1920_g1to6!$G$3:$G$935)</f>
        <v>132</v>
      </c>
      <c r="J275">
        <f t="shared" si="4"/>
        <v>0.52589641434262946</v>
      </c>
    </row>
    <row r="276" spans="1:10" x14ac:dyDescent="0.2">
      <c r="A276">
        <v>2021</v>
      </c>
      <c r="B276" t="s">
        <v>728</v>
      </c>
      <c r="C276" t="s">
        <v>621</v>
      </c>
      <c r="D276" t="s">
        <v>724</v>
      </c>
      <c r="E276" t="s">
        <v>724</v>
      </c>
      <c r="F276" t="s">
        <v>621</v>
      </c>
      <c r="G276" t="s">
        <v>77</v>
      </c>
      <c r="H276" s="135">
        <f>SUMIF(lunch1920_g1to6!$B$3:$B$935,ActiveDistricts!$F276,lunch1920_g1to6!$F$3:$F$935)</f>
        <v>1173</v>
      </c>
      <c r="I276" s="135">
        <f>SUMIF(lunch1920_g1to6!$B$3:$B$935,ActiveDistricts!$F276,lunch1920_g1to6!$G$3:$G$935)</f>
        <v>921</v>
      </c>
      <c r="J276">
        <f t="shared" si="4"/>
        <v>0.78516624040920713</v>
      </c>
    </row>
    <row r="277" spans="1:10" x14ac:dyDescent="0.2">
      <c r="A277">
        <v>2021</v>
      </c>
      <c r="B277" t="s">
        <v>728</v>
      </c>
      <c r="C277" t="s">
        <v>622</v>
      </c>
      <c r="D277" t="s">
        <v>724</v>
      </c>
      <c r="E277" t="s">
        <v>724</v>
      </c>
      <c r="F277" t="s">
        <v>622</v>
      </c>
      <c r="G277" t="s">
        <v>76</v>
      </c>
      <c r="H277" s="135">
        <f>SUMIF(lunch1920_g1to6!$B$3:$B$935,ActiveDistricts!$F277,lunch1920_g1to6!$F$3:$F$935)</f>
        <v>49</v>
      </c>
      <c r="I277" s="135">
        <f>SUMIF(lunch1920_g1to6!$B$3:$B$935,ActiveDistricts!$F277,lunch1920_g1to6!$G$3:$G$935)</f>
        <v>25</v>
      </c>
      <c r="J277">
        <f t="shared" si="4"/>
        <v>0.51020408163265307</v>
      </c>
    </row>
    <row r="278" spans="1:10" x14ac:dyDescent="0.2">
      <c r="A278">
        <v>2021</v>
      </c>
      <c r="B278" t="s">
        <v>725</v>
      </c>
      <c r="C278" t="s">
        <v>624</v>
      </c>
      <c r="D278" t="s">
        <v>724</v>
      </c>
      <c r="E278" t="s">
        <v>724</v>
      </c>
      <c r="F278" t="s">
        <v>624</v>
      </c>
      <c r="G278" t="s">
        <v>74</v>
      </c>
      <c r="H278" s="135">
        <f>SUMIF(lunch1920_g1to6!$B$3:$B$935,ActiveDistricts!$F278,lunch1920_g1to6!$F$3:$F$935)</f>
        <v>354</v>
      </c>
      <c r="I278" s="135">
        <f>SUMIF(lunch1920_g1to6!$B$3:$B$935,ActiveDistricts!$F278,lunch1920_g1to6!$G$3:$G$935)</f>
        <v>127</v>
      </c>
      <c r="J278">
        <f t="shared" si="4"/>
        <v>0.35875706214689268</v>
      </c>
    </row>
    <row r="279" spans="1:10" x14ac:dyDescent="0.2">
      <c r="A279">
        <v>2021</v>
      </c>
      <c r="B279" t="s">
        <v>730</v>
      </c>
      <c r="C279" t="s">
        <v>625</v>
      </c>
      <c r="D279" t="s">
        <v>724</v>
      </c>
      <c r="E279" t="s">
        <v>724</v>
      </c>
      <c r="F279" t="s">
        <v>625</v>
      </c>
      <c r="G279" t="s">
        <v>73</v>
      </c>
      <c r="H279" s="135">
        <f>SUMIF(lunch1920_g1to6!$B$3:$B$935,ActiveDistricts!$F279,lunch1920_g1to6!$F$3:$F$935)</f>
        <v>399</v>
      </c>
      <c r="I279" s="135">
        <f>SUMIF(lunch1920_g1to6!$B$3:$B$935,ActiveDistricts!$F279,lunch1920_g1to6!$G$3:$G$935)</f>
        <v>105</v>
      </c>
      <c r="J279">
        <f t="shared" si="4"/>
        <v>0.26315789473684209</v>
      </c>
    </row>
    <row r="280" spans="1:10" x14ac:dyDescent="0.2">
      <c r="A280">
        <v>2021</v>
      </c>
      <c r="B280" t="s">
        <v>726</v>
      </c>
      <c r="C280" t="s">
        <v>626</v>
      </c>
      <c r="D280" t="s">
        <v>724</v>
      </c>
      <c r="E280" t="s">
        <v>724</v>
      </c>
      <c r="F280" t="s">
        <v>626</v>
      </c>
      <c r="G280" t="s">
        <v>72</v>
      </c>
      <c r="H280" s="135">
        <f>SUMIF(lunch1920_g1to6!$B$3:$B$935,ActiveDistricts!$F280,lunch1920_g1to6!$F$3:$F$935)</f>
        <v>380</v>
      </c>
      <c r="I280" s="135">
        <f>SUMIF(lunch1920_g1to6!$B$3:$B$935,ActiveDistricts!$F280,lunch1920_g1to6!$G$3:$G$935)</f>
        <v>46</v>
      </c>
      <c r="J280">
        <f t="shared" si="4"/>
        <v>0.12105263157894737</v>
      </c>
    </row>
    <row r="281" spans="1:10" x14ac:dyDescent="0.2">
      <c r="A281">
        <v>2021</v>
      </c>
      <c r="B281" t="s">
        <v>726</v>
      </c>
      <c r="C281" t="s">
        <v>627</v>
      </c>
      <c r="D281" t="s">
        <v>724</v>
      </c>
      <c r="E281" t="s">
        <v>724</v>
      </c>
      <c r="F281" t="s">
        <v>627</v>
      </c>
      <c r="G281" t="s">
        <v>71</v>
      </c>
      <c r="H281" s="135">
        <f>SUMIF(lunch1920_g1to6!$B$3:$B$935,ActiveDistricts!$F281,lunch1920_g1to6!$F$3:$F$935)</f>
        <v>301</v>
      </c>
      <c r="I281" s="135">
        <f>SUMIF(lunch1920_g1to6!$B$3:$B$935,ActiveDistricts!$F281,lunch1920_g1to6!$G$3:$G$935)</f>
        <v>89</v>
      </c>
      <c r="J281">
        <f t="shared" si="4"/>
        <v>0.29568106312292358</v>
      </c>
    </row>
    <row r="282" spans="1:10" x14ac:dyDescent="0.2">
      <c r="A282">
        <v>2021</v>
      </c>
      <c r="B282" t="s">
        <v>729</v>
      </c>
      <c r="C282" t="s">
        <v>628</v>
      </c>
      <c r="D282" t="s">
        <v>724</v>
      </c>
      <c r="E282" t="s">
        <v>724</v>
      </c>
      <c r="F282" t="s">
        <v>628</v>
      </c>
      <c r="G282" t="s">
        <v>70</v>
      </c>
      <c r="H282" s="135">
        <f>SUMIF(lunch1920_g1to6!$B$3:$B$935,ActiveDistricts!$F282,lunch1920_g1to6!$F$3:$F$935)</f>
        <v>99</v>
      </c>
      <c r="I282" s="135">
        <f>SUMIF(lunch1920_g1to6!$B$3:$B$935,ActiveDistricts!$F282,lunch1920_g1to6!$G$3:$G$935)</f>
        <v>63</v>
      </c>
      <c r="J282">
        <f t="shared" si="4"/>
        <v>0.63636363636363635</v>
      </c>
    </row>
    <row r="283" spans="1:10" x14ac:dyDescent="0.2">
      <c r="A283">
        <v>2021</v>
      </c>
      <c r="B283" t="s">
        <v>725</v>
      </c>
      <c r="C283" t="s">
        <v>629</v>
      </c>
      <c r="D283" t="s">
        <v>724</v>
      </c>
      <c r="E283" t="s">
        <v>724</v>
      </c>
      <c r="F283" t="s">
        <v>629</v>
      </c>
      <c r="G283" t="s">
        <v>69</v>
      </c>
      <c r="H283" s="135">
        <f>SUMIF(lunch1920_g1to6!$B$3:$B$935,ActiveDistricts!$F283,lunch1920_g1to6!$F$3:$F$935)</f>
        <v>156</v>
      </c>
      <c r="I283" s="135">
        <f>SUMIF(lunch1920_g1to6!$B$3:$B$935,ActiveDistricts!$F283,lunch1920_g1to6!$G$3:$G$935)</f>
        <v>72</v>
      </c>
      <c r="J283">
        <f t="shared" si="4"/>
        <v>0.46153846153846156</v>
      </c>
    </row>
    <row r="284" spans="1:10" x14ac:dyDescent="0.2">
      <c r="A284">
        <v>2021</v>
      </c>
      <c r="B284" t="s">
        <v>732</v>
      </c>
      <c r="C284" t="s">
        <v>630</v>
      </c>
      <c r="D284" t="s">
        <v>724</v>
      </c>
      <c r="E284" t="s">
        <v>724</v>
      </c>
      <c r="F284" t="s">
        <v>630</v>
      </c>
      <c r="G284" t="s">
        <v>68</v>
      </c>
      <c r="H284" s="135">
        <f>SUMIF(lunch1920_g1to6!$B$3:$B$935,ActiveDistricts!$F284,lunch1920_g1to6!$F$3:$F$935)</f>
        <v>124</v>
      </c>
      <c r="I284" s="135">
        <f>SUMIF(lunch1920_g1to6!$B$3:$B$935,ActiveDistricts!$F284,lunch1920_g1to6!$G$3:$G$935)</f>
        <v>47</v>
      </c>
      <c r="J284">
        <f t="shared" si="4"/>
        <v>0.37903225806451613</v>
      </c>
    </row>
    <row r="285" spans="1:10" x14ac:dyDescent="0.2">
      <c r="A285">
        <v>2021</v>
      </c>
      <c r="B285" t="s">
        <v>723</v>
      </c>
      <c r="C285" t="s">
        <v>631</v>
      </c>
      <c r="D285" t="s">
        <v>724</v>
      </c>
      <c r="E285" t="s">
        <v>724</v>
      </c>
      <c r="F285" t="s">
        <v>631</v>
      </c>
      <c r="G285" t="s">
        <v>67</v>
      </c>
      <c r="H285" s="135">
        <f>SUMIF(lunch1920_g1to6!$B$3:$B$935,ActiveDistricts!$F285,lunch1920_g1to6!$F$3:$F$935)</f>
        <v>138</v>
      </c>
      <c r="I285" s="135">
        <f>SUMIF(lunch1920_g1to6!$B$3:$B$935,ActiveDistricts!$F285,lunch1920_g1to6!$G$3:$G$935)</f>
        <v>78</v>
      </c>
      <c r="J285">
        <f t="shared" si="4"/>
        <v>0.56521739130434778</v>
      </c>
    </row>
    <row r="286" spans="1:10" x14ac:dyDescent="0.2">
      <c r="A286">
        <v>2021</v>
      </c>
      <c r="B286" t="s">
        <v>728</v>
      </c>
      <c r="C286" t="s">
        <v>632</v>
      </c>
      <c r="D286" t="s">
        <v>724</v>
      </c>
      <c r="E286" t="s">
        <v>724</v>
      </c>
      <c r="F286" t="s">
        <v>632</v>
      </c>
      <c r="G286" t="s">
        <v>66</v>
      </c>
      <c r="H286" s="135">
        <f>SUMIF(lunch1920_g1to6!$B$3:$B$935,ActiveDistricts!$F286,lunch1920_g1to6!$F$3:$F$935)</f>
        <v>33</v>
      </c>
      <c r="I286" s="135">
        <f>SUMIF(lunch1920_g1to6!$B$3:$B$935,ActiveDistricts!$F286,lunch1920_g1to6!$G$3:$G$935)</f>
        <v>18</v>
      </c>
      <c r="J286">
        <f t="shared" si="4"/>
        <v>0.54545454545454541</v>
      </c>
    </row>
    <row r="287" spans="1:10" x14ac:dyDescent="0.2">
      <c r="A287">
        <v>2021</v>
      </c>
      <c r="B287" t="s">
        <v>726</v>
      </c>
      <c r="C287" t="s">
        <v>633</v>
      </c>
      <c r="D287" t="s">
        <v>724</v>
      </c>
      <c r="E287" t="s">
        <v>724</v>
      </c>
      <c r="F287" t="s">
        <v>633</v>
      </c>
      <c r="G287" t="s">
        <v>65</v>
      </c>
      <c r="H287" s="135">
        <f>SUMIF(lunch1920_g1to6!$B$3:$B$935,ActiveDistricts!$F287,lunch1920_g1to6!$F$3:$F$935)</f>
        <v>336</v>
      </c>
      <c r="I287" s="135">
        <f>SUMIF(lunch1920_g1to6!$B$3:$B$935,ActiveDistricts!$F287,lunch1920_g1to6!$G$3:$G$935)</f>
        <v>64</v>
      </c>
      <c r="J287">
        <f t="shared" si="4"/>
        <v>0.19047619047619047</v>
      </c>
    </row>
    <row r="288" spans="1:10" x14ac:dyDescent="0.2">
      <c r="A288">
        <v>2021</v>
      </c>
      <c r="B288" t="s">
        <v>725</v>
      </c>
      <c r="C288" t="s">
        <v>435</v>
      </c>
      <c r="D288" t="s">
        <v>724</v>
      </c>
      <c r="E288" t="s">
        <v>724</v>
      </c>
      <c r="F288" t="s">
        <v>674</v>
      </c>
      <c r="G288" t="s">
        <v>64</v>
      </c>
      <c r="H288" s="135">
        <f>SUMIF(lunch1920_g1to6!$B$3:$B$935,ActiveDistricts!$F288,lunch1920_g1to6!$F$3:$F$935)</f>
        <v>397</v>
      </c>
      <c r="I288" s="135">
        <f>SUMIF(lunch1920_g1to6!$B$3:$B$935,ActiveDistricts!$F288,lunch1920_g1to6!$G$3:$G$935)</f>
        <v>115</v>
      </c>
      <c r="J288">
        <f t="shared" si="4"/>
        <v>0.28967254408060455</v>
      </c>
    </row>
    <row r="289" spans="1:10" x14ac:dyDescent="0.2">
      <c r="A289">
        <v>2021</v>
      </c>
      <c r="B289" t="s">
        <v>723</v>
      </c>
      <c r="C289" t="s">
        <v>634</v>
      </c>
      <c r="D289" t="s">
        <v>724</v>
      </c>
      <c r="E289" t="s">
        <v>724</v>
      </c>
      <c r="F289" t="s">
        <v>634</v>
      </c>
      <c r="G289" t="s">
        <v>63</v>
      </c>
      <c r="H289" s="135">
        <f>SUMIF(lunch1920_g1to6!$B$3:$B$935,ActiveDistricts!$F289,lunch1920_g1to6!$F$3:$F$935)</f>
        <v>222</v>
      </c>
      <c r="I289" s="135">
        <f>SUMIF(lunch1920_g1to6!$B$3:$B$935,ActiveDistricts!$F289,lunch1920_g1to6!$G$3:$G$935)</f>
        <v>57</v>
      </c>
      <c r="J289">
        <f t="shared" si="4"/>
        <v>0.25675675675675674</v>
      </c>
    </row>
    <row r="290" spans="1:10" x14ac:dyDescent="0.2">
      <c r="A290">
        <v>2021</v>
      </c>
      <c r="B290" t="s">
        <v>723</v>
      </c>
      <c r="C290" t="s">
        <v>635</v>
      </c>
      <c r="D290" t="s">
        <v>724</v>
      </c>
      <c r="E290" t="s">
        <v>724</v>
      </c>
      <c r="F290" t="s">
        <v>635</v>
      </c>
      <c r="G290" t="s">
        <v>62</v>
      </c>
      <c r="H290" s="135">
        <f>SUMIF(lunch1920_g1to6!$B$3:$B$935,ActiveDistricts!$F290,lunch1920_g1to6!$F$3:$F$935)</f>
        <v>1743</v>
      </c>
      <c r="I290" s="135">
        <f>SUMIF(lunch1920_g1to6!$B$3:$B$935,ActiveDistricts!$F290,lunch1920_g1to6!$G$3:$G$935)</f>
        <v>659</v>
      </c>
      <c r="J290">
        <f t="shared" si="4"/>
        <v>0.37808376362593232</v>
      </c>
    </row>
    <row r="291" spans="1:10" x14ac:dyDescent="0.2">
      <c r="A291">
        <v>2021</v>
      </c>
      <c r="B291" t="s">
        <v>729</v>
      </c>
      <c r="C291" t="s">
        <v>636</v>
      </c>
      <c r="D291" t="s">
        <v>475</v>
      </c>
      <c r="E291" t="s">
        <v>724</v>
      </c>
      <c r="F291" t="s">
        <v>636</v>
      </c>
      <c r="G291" t="s">
        <v>743</v>
      </c>
      <c r="H291" s="135">
        <f>SUMIF(lunch1920_g1to6!$B$3:$B$935,ActiveDistricts!$F291,lunch1920_g1to6!$F$3:$F$935)</f>
        <v>364</v>
      </c>
      <c r="I291" s="135">
        <f>SUMIF(lunch1920_g1to6!$B$3:$B$935,ActiveDistricts!$F291,lunch1920_g1to6!$G$3:$G$935)</f>
        <v>197</v>
      </c>
      <c r="J291">
        <f t="shared" si="4"/>
        <v>0.54120879120879117</v>
      </c>
    </row>
    <row r="292" spans="1:10" x14ac:dyDescent="0.2">
      <c r="A292">
        <v>2021</v>
      </c>
      <c r="B292" t="s">
        <v>723</v>
      </c>
      <c r="C292" t="s">
        <v>637</v>
      </c>
      <c r="D292" t="s">
        <v>724</v>
      </c>
      <c r="E292" t="s">
        <v>724</v>
      </c>
      <c r="F292" t="s">
        <v>637</v>
      </c>
      <c r="G292" t="s">
        <v>61</v>
      </c>
      <c r="H292" s="135">
        <f>SUMIF(lunch1920_g1to6!$B$3:$B$935,ActiveDistricts!$F292,lunch1920_g1to6!$F$3:$F$935)</f>
        <v>416</v>
      </c>
      <c r="I292" s="135">
        <f>SUMIF(lunch1920_g1to6!$B$3:$B$935,ActiveDistricts!$F292,lunch1920_g1to6!$G$3:$G$935)</f>
        <v>47</v>
      </c>
      <c r="J292">
        <f t="shared" si="4"/>
        <v>0.11298076923076923</v>
      </c>
    </row>
    <row r="293" spans="1:10" x14ac:dyDescent="0.2">
      <c r="A293">
        <v>2021</v>
      </c>
      <c r="B293" t="s">
        <v>726</v>
      </c>
      <c r="C293" t="s">
        <v>638</v>
      </c>
      <c r="D293" t="s">
        <v>724</v>
      </c>
      <c r="E293" t="s">
        <v>724</v>
      </c>
      <c r="F293" t="s">
        <v>638</v>
      </c>
      <c r="G293" t="s">
        <v>60</v>
      </c>
      <c r="H293" s="135">
        <f>SUMIF(lunch1920_g1to6!$B$3:$B$935,ActiveDistricts!$F293,lunch1920_g1to6!$F$3:$F$935)</f>
        <v>146</v>
      </c>
      <c r="I293" s="135">
        <f>SUMIF(lunch1920_g1to6!$B$3:$B$935,ActiveDistricts!$F293,lunch1920_g1to6!$G$3:$G$935)</f>
        <v>84</v>
      </c>
      <c r="J293">
        <f t="shared" si="4"/>
        <v>0.57534246575342463</v>
      </c>
    </row>
    <row r="294" spans="1:10" x14ac:dyDescent="0.2">
      <c r="A294">
        <v>2021</v>
      </c>
      <c r="B294" t="s">
        <v>730</v>
      </c>
      <c r="C294" t="s">
        <v>639</v>
      </c>
      <c r="D294" t="s">
        <v>724</v>
      </c>
      <c r="E294" t="s">
        <v>724</v>
      </c>
      <c r="F294" t="s">
        <v>639</v>
      </c>
      <c r="G294" t="s">
        <v>59</v>
      </c>
      <c r="H294" s="135">
        <f>SUMIF(lunch1920_g1to6!$B$3:$B$935,ActiveDistricts!$F294,lunch1920_g1to6!$F$3:$F$935)</f>
        <v>632</v>
      </c>
      <c r="I294" s="135">
        <f>SUMIF(lunch1920_g1to6!$B$3:$B$935,ActiveDistricts!$F294,lunch1920_g1to6!$G$3:$G$935)</f>
        <v>292</v>
      </c>
      <c r="J294">
        <f t="shared" si="4"/>
        <v>0.46202531645569622</v>
      </c>
    </row>
    <row r="295" spans="1:10" x14ac:dyDescent="0.2">
      <c r="A295">
        <v>2021</v>
      </c>
      <c r="B295" t="s">
        <v>729</v>
      </c>
      <c r="C295" t="s">
        <v>640</v>
      </c>
      <c r="D295" t="s">
        <v>724</v>
      </c>
      <c r="E295" t="s">
        <v>724</v>
      </c>
      <c r="F295" t="s">
        <v>640</v>
      </c>
      <c r="G295" t="s">
        <v>58</v>
      </c>
      <c r="H295" s="135">
        <f>SUMIF(lunch1920_g1to6!$B$3:$B$935,ActiveDistricts!$F295,lunch1920_g1to6!$F$3:$F$935)</f>
        <v>219</v>
      </c>
      <c r="I295" s="135">
        <f>SUMIF(lunch1920_g1to6!$B$3:$B$935,ActiveDistricts!$F295,lunch1920_g1to6!$G$3:$G$935)</f>
        <v>104</v>
      </c>
      <c r="J295">
        <f t="shared" si="4"/>
        <v>0.47488584474885842</v>
      </c>
    </row>
    <row r="296" spans="1:10" x14ac:dyDescent="0.2">
      <c r="A296">
        <v>2021</v>
      </c>
      <c r="B296" t="s">
        <v>729</v>
      </c>
      <c r="C296" t="s">
        <v>642</v>
      </c>
      <c r="D296" t="s">
        <v>724</v>
      </c>
      <c r="E296" t="s">
        <v>724</v>
      </c>
      <c r="F296" t="s">
        <v>642</v>
      </c>
      <c r="G296" t="s">
        <v>56</v>
      </c>
      <c r="H296" s="135">
        <f>SUMIF(lunch1920_g1to6!$B$3:$B$935,ActiveDistricts!$F296,lunch1920_g1to6!$F$3:$F$935)</f>
        <v>211</v>
      </c>
      <c r="I296" s="135">
        <f>SUMIF(lunch1920_g1to6!$B$3:$B$935,ActiveDistricts!$F296,lunch1920_g1to6!$G$3:$G$935)</f>
        <v>131</v>
      </c>
      <c r="J296">
        <f t="shared" si="4"/>
        <v>0.62085308056872035</v>
      </c>
    </row>
    <row r="297" spans="1:10" x14ac:dyDescent="0.2">
      <c r="A297">
        <v>2021</v>
      </c>
      <c r="B297" t="s">
        <v>725</v>
      </c>
      <c r="C297" t="s">
        <v>643</v>
      </c>
      <c r="D297" t="s">
        <v>724</v>
      </c>
      <c r="E297" t="s">
        <v>724</v>
      </c>
      <c r="F297" t="s">
        <v>643</v>
      </c>
      <c r="G297" t="s">
        <v>55</v>
      </c>
      <c r="H297" s="135">
        <f>SUMIF(lunch1920_g1to6!$B$3:$B$935,ActiveDistricts!$F297,lunch1920_g1to6!$F$3:$F$935)</f>
        <v>338</v>
      </c>
      <c r="I297" s="135">
        <f>SUMIF(lunch1920_g1to6!$B$3:$B$935,ActiveDistricts!$F297,lunch1920_g1to6!$G$3:$G$935)</f>
        <v>58</v>
      </c>
      <c r="J297">
        <f t="shared" si="4"/>
        <v>0.17159763313609466</v>
      </c>
    </row>
    <row r="298" spans="1:10" x14ac:dyDescent="0.2">
      <c r="A298">
        <v>2021</v>
      </c>
      <c r="B298" t="s">
        <v>730</v>
      </c>
      <c r="C298" t="s">
        <v>644</v>
      </c>
      <c r="D298" t="s">
        <v>724</v>
      </c>
      <c r="E298" t="s">
        <v>724</v>
      </c>
      <c r="F298" t="s">
        <v>644</v>
      </c>
      <c r="G298" t="s">
        <v>54</v>
      </c>
      <c r="H298" s="135">
        <f>SUMIF(lunch1920_g1to6!$B$3:$B$935,ActiveDistricts!$F298,lunch1920_g1to6!$F$3:$F$935)</f>
        <v>682</v>
      </c>
      <c r="I298" s="135">
        <f>SUMIF(lunch1920_g1to6!$B$3:$B$935,ActiveDistricts!$F298,lunch1920_g1to6!$G$3:$G$935)</f>
        <v>364</v>
      </c>
      <c r="J298">
        <f t="shared" si="4"/>
        <v>0.53372434017595305</v>
      </c>
    </row>
    <row r="299" spans="1:10" x14ac:dyDescent="0.2">
      <c r="A299">
        <v>2021</v>
      </c>
      <c r="B299" t="s">
        <v>725</v>
      </c>
      <c r="C299" t="s">
        <v>645</v>
      </c>
      <c r="D299" t="s">
        <v>724</v>
      </c>
      <c r="E299" t="s">
        <v>724</v>
      </c>
      <c r="F299" t="s">
        <v>645</v>
      </c>
      <c r="G299" t="s">
        <v>53</v>
      </c>
      <c r="H299" s="135">
        <f>SUMIF(lunch1920_g1to6!$B$3:$B$935,ActiveDistricts!$F299,lunch1920_g1to6!$F$3:$F$935)</f>
        <v>4865</v>
      </c>
      <c r="I299" s="135">
        <f>SUMIF(lunch1920_g1to6!$B$3:$B$935,ActiveDistricts!$F299,lunch1920_g1to6!$G$3:$G$935)</f>
        <v>3578</v>
      </c>
      <c r="J299">
        <f t="shared" si="4"/>
        <v>0.73545734840698873</v>
      </c>
    </row>
    <row r="300" spans="1:10" x14ac:dyDescent="0.2">
      <c r="A300">
        <v>2021</v>
      </c>
      <c r="B300" t="s">
        <v>723</v>
      </c>
      <c r="C300" t="s">
        <v>646</v>
      </c>
      <c r="D300" t="s">
        <v>724</v>
      </c>
      <c r="E300" t="s">
        <v>724</v>
      </c>
      <c r="F300" t="s">
        <v>646</v>
      </c>
      <c r="G300" t="s">
        <v>52</v>
      </c>
      <c r="H300" s="135">
        <f>SUMIF(lunch1920_g1to6!$B$3:$B$935,ActiveDistricts!$F300,lunch1920_g1to6!$F$3:$F$935)</f>
        <v>5622</v>
      </c>
      <c r="I300" s="135">
        <f>SUMIF(lunch1920_g1to6!$B$3:$B$935,ActiveDistricts!$F300,lunch1920_g1to6!$G$3:$G$935)</f>
        <v>884</v>
      </c>
      <c r="J300">
        <f t="shared" si="4"/>
        <v>0.15723941657773036</v>
      </c>
    </row>
    <row r="301" spans="1:10" x14ac:dyDescent="0.2">
      <c r="A301">
        <v>2021</v>
      </c>
      <c r="B301" t="s">
        <v>725</v>
      </c>
      <c r="C301" t="s">
        <v>647</v>
      </c>
      <c r="D301" t="s">
        <v>724</v>
      </c>
      <c r="E301" t="s">
        <v>724</v>
      </c>
      <c r="F301" t="s">
        <v>647</v>
      </c>
      <c r="G301" t="s">
        <v>51</v>
      </c>
      <c r="H301" s="135">
        <f>SUMIF(lunch1920_g1to6!$B$3:$B$935,ActiveDistricts!$F301,lunch1920_g1to6!$F$3:$F$935)</f>
        <v>951</v>
      </c>
      <c r="I301" s="135">
        <f>SUMIF(lunch1920_g1to6!$B$3:$B$935,ActiveDistricts!$F301,lunch1920_g1to6!$G$3:$G$935)</f>
        <v>235</v>
      </c>
      <c r="J301">
        <f t="shared" si="4"/>
        <v>0.24710830704521555</v>
      </c>
    </row>
    <row r="302" spans="1:10" x14ac:dyDescent="0.2">
      <c r="A302">
        <v>2021</v>
      </c>
      <c r="B302" t="s">
        <v>729</v>
      </c>
      <c r="C302" t="s">
        <v>648</v>
      </c>
      <c r="D302" t="s">
        <v>724</v>
      </c>
      <c r="E302" t="s">
        <v>724</v>
      </c>
      <c r="F302" t="s">
        <v>648</v>
      </c>
      <c r="G302" t="s">
        <v>50</v>
      </c>
      <c r="H302" s="135">
        <f>SUMIF(lunch1920_g1to6!$B$3:$B$935,ActiveDistricts!$F302,lunch1920_g1to6!$F$3:$F$935)</f>
        <v>281</v>
      </c>
      <c r="I302" s="135">
        <f>SUMIF(lunch1920_g1to6!$B$3:$B$935,ActiveDistricts!$F302,lunch1920_g1to6!$G$3:$G$935)</f>
        <v>155</v>
      </c>
      <c r="J302">
        <f t="shared" si="4"/>
        <v>0.55160142348754448</v>
      </c>
    </row>
    <row r="303" spans="1:10" x14ac:dyDescent="0.2">
      <c r="A303">
        <v>2021</v>
      </c>
      <c r="B303" t="s">
        <v>728</v>
      </c>
      <c r="C303" t="s">
        <v>649</v>
      </c>
      <c r="D303" t="s">
        <v>553</v>
      </c>
      <c r="E303" t="s">
        <v>724</v>
      </c>
      <c r="F303" t="s">
        <v>649</v>
      </c>
      <c r="G303" t="s">
        <v>49</v>
      </c>
      <c r="H303" s="135">
        <f>SUMIF(lunch1920_g1to6!$B$3:$B$935,ActiveDistricts!$F303,lunch1920_g1to6!$F$3:$F$935)</f>
        <v>712</v>
      </c>
      <c r="I303" s="135">
        <f>SUMIF(lunch1920_g1to6!$B$3:$B$935,ActiveDistricts!$F303,lunch1920_g1to6!$G$3:$G$935)</f>
        <v>395</v>
      </c>
      <c r="J303">
        <f t="shared" si="4"/>
        <v>0.5547752808988764</v>
      </c>
    </row>
    <row r="304" spans="1:10" x14ac:dyDescent="0.2">
      <c r="A304">
        <v>2021</v>
      </c>
      <c r="B304" t="s">
        <v>728</v>
      </c>
      <c r="C304" t="s">
        <v>650</v>
      </c>
      <c r="D304" t="s">
        <v>724</v>
      </c>
      <c r="E304" t="s">
        <v>724</v>
      </c>
      <c r="F304" t="s">
        <v>650</v>
      </c>
      <c r="G304" t="s">
        <v>48</v>
      </c>
      <c r="H304" s="135">
        <f>SUMIF(lunch1920_g1to6!$B$3:$B$935,ActiveDistricts!$F304,lunch1920_g1to6!$F$3:$F$935)</f>
        <v>118</v>
      </c>
      <c r="I304" s="135">
        <f>SUMIF(lunch1920_g1to6!$B$3:$B$935,ActiveDistricts!$F304,lunch1920_g1to6!$G$3:$G$935)</f>
        <v>53</v>
      </c>
      <c r="J304">
        <f t="shared" si="4"/>
        <v>0.44915254237288138</v>
      </c>
    </row>
    <row r="305" spans="1:10" x14ac:dyDescent="0.2">
      <c r="A305">
        <v>2021</v>
      </c>
      <c r="B305" t="s">
        <v>730</v>
      </c>
      <c r="C305" t="s">
        <v>651</v>
      </c>
      <c r="D305" t="s">
        <v>724</v>
      </c>
      <c r="E305" t="s">
        <v>724</v>
      </c>
      <c r="F305" t="s">
        <v>651</v>
      </c>
      <c r="G305" t="s">
        <v>47</v>
      </c>
      <c r="H305" s="135">
        <f>SUMIF(lunch1920_g1to6!$B$3:$B$935,ActiveDistricts!$F305,lunch1920_g1to6!$F$3:$F$935)</f>
        <v>326</v>
      </c>
      <c r="I305" s="135">
        <f>SUMIF(lunch1920_g1to6!$B$3:$B$935,ActiveDistricts!$F305,lunch1920_g1to6!$G$3:$G$935)</f>
        <v>91</v>
      </c>
      <c r="J305">
        <f t="shared" si="4"/>
        <v>0.27914110429447853</v>
      </c>
    </row>
    <row r="306" spans="1:10" x14ac:dyDescent="0.2">
      <c r="A306">
        <v>2021</v>
      </c>
      <c r="B306" t="s">
        <v>729</v>
      </c>
      <c r="C306" t="s">
        <v>652</v>
      </c>
      <c r="D306" t="s">
        <v>724</v>
      </c>
      <c r="E306" t="s">
        <v>724</v>
      </c>
      <c r="F306" t="s">
        <v>652</v>
      </c>
      <c r="G306" t="s">
        <v>710</v>
      </c>
      <c r="H306" s="135">
        <f>SUMIF(lunch1920_g1to6!$B$3:$B$935,ActiveDistricts!$F306,lunch1920_g1to6!$F$3:$F$935)</f>
        <v>402</v>
      </c>
      <c r="I306" s="135">
        <f>SUMIF(lunch1920_g1to6!$B$3:$B$935,ActiveDistricts!$F306,lunch1920_g1to6!$G$3:$G$935)</f>
        <v>190</v>
      </c>
      <c r="J306">
        <f t="shared" si="4"/>
        <v>0.47263681592039802</v>
      </c>
    </row>
    <row r="307" spans="1:10" x14ac:dyDescent="0.2">
      <c r="A307">
        <v>2021</v>
      </c>
      <c r="B307" t="s">
        <v>732</v>
      </c>
      <c r="C307" t="s">
        <v>653</v>
      </c>
      <c r="D307" t="s">
        <v>724</v>
      </c>
      <c r="E307" t="s">
        <v>724</v>
      </c>
      <c r="F307" t="s">
        <v>653</v>
      </c>
      <c r="G307" t="s">
        <v>45</v>
      </c>
      <c r="H307" s="135">
        <f>SUMIF(lunch1920_g1to6!$B$3:$B$935,ActiveDistricts!$F307,lunch1920_g1to6!$F$3:$F$935)</f>
        <v>121</v>
      </c>
      <c r="I307" s="135">
        <f>SUMIF(lunch1920_g1to6!$B$3:$B$935,ActiveDistricts!$F307,lunch1920_g1to6!$G$3:$G$935)</f>
        <v>66</v>
      </c>
      <c r="J307">
        <f t="shared" si="4"/>
        <v>0.54545454545454541</v>
      </c>
    </row>
    <row r="308" spans="1:10" x14ac:dyDescent="0.2">
      <c r="A308">
        <v>2021</v>
      </c>
      <c r="B308" t="s">
        <v>723</v>
      </c>
      <c r="C308" t="s">
        <v>623</v>
      </c>
      <c r="D308" t="s">
        <v>724</v>
      </c>
      <c r="E308" t="s">
        <v>724</v>
      </c>
      <c r="F308" t="s">
        <v>623</v>
      </c>
      <c r="G308" t="s">
        <v>75</v>
      </c>
      <c r="H308" s="135">
        <f>SUMIF(lunch1920_g1to6!$B$3:$B$935,ActiveDistricts!$F308,lunch1920_g1to6!$F$3:$F$935)</f>
        <v>372</v>
      </c>
      <c r="I308" s="135">
        <f>SUMIF(lunch1920_g1to6!$B$3:$B$935,ActiveDistricts!$F308,lunch1920_g1to6!$G$3:$G$935)</f>
        <v>156</v>
      </c>
      <c r="J308">
        <f t="shared" si="4"/>
        <v>0.41935483870967744</v>
      </c>
    </row>
    <row r="309" spans="1:10" x14ac:dyDescent="0.2">
      <c r="A309">
        <v>2021</v>
      </c>
      <c r="B309" t="s">
        <v>732</v>
      </c>
      <c r="C309" t="s">
        <v>654</v>
      </c>
      <c r="D309" t="s">
        <v>724</v>
      </c>
      <c r="E309" t="s">
        <v>724</v>
      </c>
      <c r="F309" t="s">
        <v>654</v>
      </c>
      <c r="G309" t="s">
        <v>711</v>
      </c>
      <c r="H309" s="135">
        <f>SUMIF(lunch1920_g1to6!$B$3:$B$935,ActiveDistricts!$F309,lunch1920_g1to6!$F$3:$F$935)</f>
        <v>520</v>
      </c>
      <c r="I309" s="135">
        <f>SUMIF(lunch1920_g1to6!$B$3:$B$935,ActiveDistricts!$F309,lunch1920_g1to6!$G$3:$G$935)</f>
        <v>240</v>
      </c>
      <c r="J309">
        <f t="shared" si="4"/>
        <v>0.46153846153846156</v>
      </c>
    </row>
    <row r="310" spans="1:10" x14ac:dyDescent="0.2">
      <c r="A310">
        <v>2021</v>
      </c>
      <c r="B310" t="s">
        <v>723</v>
      </c>
      <c r="C310" t="s">
        <v>655</v>
      </c>
      <c r="D310" t="s">
        <v>724</v>
      </c>
      <c r="E310" t="s">
        <v>724</v>
      </c>
      <c r="F310" t="s">
        <v>655</v>
      </c>
      <c r="G310" t="s">
        <v>43</v>
      </c>
      <c r="H310" s="135">
        <f>SUMIF(lunch1920_g1to6!$B$3:$B$935,ActiveDistricts!$F310,lunch1920_g1to6!$F$3:$F$935)</f>
        <v>3976</v>
      </c>
      <c r="I310" s="135">
        <f>SUMIF(lunch1920_g1to6!$B$3:$B$935,ActiveDistricts!$F310,lunch1920_g1to6!$G$3:$G$935)</f>
        <v>1589</v>
      </c>
      <c r="J310">
        <f t="shared" si="4"/>
        <v>0.39964788732394368</v>
      </c>
    </row>
    <row r="311" spans="1:10" x14ac:dyDescent="0.2">
      <c r="A311">
        <v>2021</v>
      </c>
      <c r="B311" t="s">
        <v>725</v>
      </c>
      <c r="C311" t="s">
        <v>598</v>
      </c>
      <c r="D311" t="s">
        <v>724</v>
      </c>
      <c r="E311" t="s">
        <v>724</v>
      </c>
      <c r="F311" t="s">
        <v>598</v>
      </c>
      <c r="G311" t="s">
        <v>712</v>
      </c>
      <c r="H311" s="135">
        <f>SUMIF(lunch1920_g1to6!$B$3:$B$935,ActiveDistricts!$F311,lunch1920_g1to6!$F$3:$F$935)</f>
        <v>301</v>
      </c>
      <c r="I311" s="135">
        <f>SUMIF(lunch1920_g1to6!$B$3:$B$935,ActiveDistricts!$F311,lunch1920_g1to6!$G$3:$G$935)</f>
        <v>111</v>
      </c>
      <c r="J311">
        <f t="shared" si="4"/>
        <v>0.3687707641196013</v>
      </c>
    </row>
    <row r="312" spans="1:10" x14ac:dyDescent="0.2">
      <c r="A312">
        <v>2021</v>
      </c>
      <c r="B312" t="s">
        <v>725</v>
      </c>
      <c r="C312" t="s">
        <v>378</v>
      </c>
      <c r="D312" t="s">
        <v>724</v>
      </c>
      <c r="E312" t="s">
        <v>724</v>
      </c>
      <c r="F312" t="s">
        <v>378</v>
      </c>
      <c r="G312" t="s">
        <v>308</v>
      </c>
      <c r="H312" s="135">
        <f>SUMIF(lunch1920_g1to6!$B$3:$B$935,ActiveDistricts!$F312,lunch1920_g1to6!$F$3:$F$935)</f>
        <v>235</v>
      </c>
      <c r="I312" s="135">
        <f>SUMIF(lunch1920_g1to6!$B$3:$B$935,ActiveDistricts!$F312,lunch1920_g1to6!$G$3:$G$935)</f>
        <v>97</v>
      </c>
      <c r="J312">
        <f t="shared" si="4"/>
        <v>0.4127659574468085</v>
      </c>
    </row>
    <row r="313" spans="1:10" x14ac:dyDescent="0.2">
      <c r="A313">
        <v>2021</v>
      </c>
      <c r="B313" t="s">
        <v>726</v>
      </c>
      <c r="C313" t="s">
        <v>657</v>
      </c>
      <c r="D313" t="s">
        <v>724</v>
      </c>
      <c r="E313" t="s">
        <v>724</v>
      </c>
      <c r="F313" t="s">
        <v>657</v>
      </c>
      <c r="G313" t="s">
        <v>41</v>
      </c>
      <c r="H313" s="135">
        <f>SUMIF(lunch1920_g1to6!$B$3:$B$935,ActiveDistricts!$F313,lunch1920_g1to6!$F$3:$F$935)</f>
        <v>107</v>
      </c>
      <c r="I313" s="135">
        <f>SUMIF(lunch1920_g1to6!$B$3:$B$935,ActiveDistricts!$F313,lunch1920_g1to6!$G$3:$G$935)</f>
        <v>58</v>
      </c>
      <c r="J313">
        <f t="shared" si="4"/>
        <v>0.54205607476635509</v>
      </c>
    </row>
    <row r="314" spans="1:10" x14ac:dyDescent="0.2">
      <c r="A314">
        <v>2021</v>
      </c>
      <c r="B314" t="s">
        <v>734</v>
      </c>
      <c r="C314" t="s">
        <v>658</v>
      </c>
      <c r="D314" t="s">
        <v>724</v>
      </c>
      <c r="E314" t="s">
        <v>724</v>
      </c>
      <c r="F314" t="s">
        <v>658</v>
      </c>
      <c r="G314" t="s">
        <v>40</v>
      </c>
      <c r="H314" s="135">
        <f>SUMIF(lunch1920_g1to6!$B$3:$B$935,ActiveDistricts!$F314,lunch1920_g1to6!$F$3:$F$935)</f>
        <v>632</v>
      </c>
      <c r="I314" s="135">
        <f>SUMIF(lunch1920_g1to6!$B$3:$B$935,ActiveDistricts!$F314,lunch1920_g1to6!$G$3:$G$935)</f>
        <v>393</v>
      </c>
      <c r="J314">
        <f t="shared" si="4"/>
        <v>0.62183544303797467</v>
      </c>
    </row>
    <row r="315" spans="1:10" x14ac:dyDescent="0.2">
      <c r="A315">
        <v>2021</v>
      </c>
      <c r="B315" t="s">
        <v>727</v>
      </c>
      <c r="C315" t="s">
        <v>659</v>
      </c>
      <c r="D315" t="s">
        <v>724</v>
      </c>
      <c r="E315" t="s">
        <v>724</v>
      </c>
      <c r="F315" t="s">
        <v>659</v>
      </c>
      <c r="G315" t="s">
        <v>39</v>
      </c>
      <c r="H315" s="135">
        <f>SUMIF(lunch1920_g1to6!$B$3:$B$935,ActiveDistricts!$F315,lunch1920_g1to6!$F$3:$F$935)</f>
        <v>382</v>
      </c>
      <c r="I315" s="135">
        <f>SUMIF(lunch1920_g1to6!$B$3:$B$935,ActiveDistricts!$F315,lunch1920_g1to6!$G$3:$G$935)</f>
        <v>102</v>
      </c>
      <c r="J315">
        <f t="shared" si="4"/>
        <v>0.26701570680628273</v>
      </c>
    </row>
    <row r="316" spans="1:10" x14ac:dyDescent="0.2">
      <c r="A316">
        <v>2021</v>
      </c>
      <c r="B316" t="s">
        <v>725</v>
      </c>
      <c r="C316" t="s">
        <v>660</v>
      </c>
      <c r="D316" t="s">
        <v>724</v>
      </c>
      <c r="E316" t="s">
        <v>724</v>
      </c>
      <c r="F316" t="s">
        <v>660</v>
      </c>
      <c r="G316" t="s">
        <v>38</v>
      </c>
      <c r="H316" s="135">
        <f>SUMIF(lunch1920_g1to6!$B$3:$B$935,ActiveDistricts!$F316,lunch1920_g1to6!$F$3:$F$935)</f>
        <v>405</v>
      </c>
      <c r="I316" s="135">
        <f>SUMIF(lunch1920_g1to6!$B$3:$B$935,ActiveDistricts!$F316,lunch1920_g1to6!$G$3:$G$935)</f>
        <v>137</v>
      </c>
      <c r="J316">
        <f t="shared" si="4"/>
        <v>0.33827160493827163</v>
      </c>
    </row>
    <row r="317" spans="1:10" x14ac:dyDescent="0.2">
      <c r="A317">
        <v>2021</v>
      </c>
      <c r="B317" t="s">
        <v>727</v>
      </c>
      <c r="C317" t="s">
        <v>661</v>
      </c>
      <c r="D317" t="s">
        <v>724</v>
      </c>
      <c r="E317" t="s">
        <v>724</v>
      </c>
      <c r="F317" t="s">
        <v>661</v>
      </c>
      <c r="G317" t="s">
        <v>37</v>
      </c>
      <c r="H317" s="135">
        <f>SUMIF(lunch1920_g1to6!$B$3:$B$935,ActiveDistricts!$F317,lunch1920_g1to6!$F$3:$F$935)</f>
        <v>243</v>
      </c>
      <c r="I317" s="135">
        <f>SUMIF(lunch1920_g1to6!$B$3:$B$935,ActiveDistricts!$F317,lunch1920_g1to6!$G$3:$G$935)</f>
        <v>122</v>
      </c>
      <c r="J317">
        <f t="shared" si="4"/>
        <v>0.50205761316872433</v>
      </c>
    </row>
    <row r="318" spans="1:10" x14ac:dyDescent="0.2">
      <c r="A318">
        <v>2021</v>
      </c>
      <c r="B318" t="s">
        <v>727</v>
      </c>
      <c r="C318" t="s">
        <v>662</v>
      </c>
      <c r="D318" t="s">
        <v>724</v>
      </c>
      <c r="E318" t="s">
        <v>724</v>
      </c>
      <c r="F318" t="s">
        <v>662</v>
      </c>
      <c r="G318" t="s">
        <v>36</v>
      </c>
      <c r="H318" s="135">
        <f>SUMIF(lunch1920_g1to6!$B$3:$B$935,ActiveDistricts!$F318,lunch1920_g1to6!$F$3:$F$935)</f>
        <v>342</v>
      </c>
      <c r="I318" s="135">
        <f>SUMIF(lunch1920_g1to6!$B$3:$B$935,ActiveDistricts!$F318,lunch1920_g1to6!$G$3:$G$935)</f>
        <v>210</v>
      </c>
      <c r="J318">
        <f t="shared" si="4"/>
        <v>0.61403508771929827</v>
      </c>
    </row>
    <row r="319" spans="1:10" x14ac:dyDescent="0.2">
      <c r="A319">
        <v>2021</v>
      </c>
      <c r="B319" t="s">
        <v>732</v>
      </c>
      <c r="C319" t="s">
        <v>656</v>
      </c>
      <c r="D319" t="s">
        <v>724</v>
      </c>
      <c r="E319" t="s">
        <v>724</v>
      </c>
      <c r="F319" t="s">
        <v>656</v>
      </c>
      <c r="G319" t="s">
        <v>713</v>
      </c>
      <c r="H319" s="135">
        <f>SUMIF(lunch1920_g1to6!$B$3:$B$935,ActiveDistricts!$F319,lunch1920_g1to6!$F$3:$F$935)</f>
        <v>1425</v>
      </c>
      <c r="I319" s="135">
        <f>SUMIF(lunch1920_g1to6!$B$3:$B$935,ActiveDistricts!$F319,lunch1920_g1to6!$G$3:$G$935)</f>
        <v>392</v>
      </c>
      <c r="J319">
        <f t="shared" si="4"/>
        <v>0.2750877192982456</v>
      </c>
    </row>
    <row r="320" spans="1:10" x14ac:dyDescent="0.2">
      <c r="A320">
        <v>2021</v>
      </c>
      <c r="B320" t="s">
        <v>727</v>
      </c>
      <c r="C320" t="s">
        <v>663</v>
      </c>
      <c r="D320" t="s">
        <v>724</v>
      </c>
      <c r="E320" t="s">
        <v>724</v>
      </c>
      <c r="F320" t="s">
        <v>663</v>
      </c>
      <c r="G320" t="s">
        <v>35</v>
      </c>
      <c r="H320" s="135">
        <f>SUMIF(lunch1920_g1to6!$B$3:$B$935,ActiveDistricts!$F320,lunch1920_g1to6!$F$3:$F$935)</f>
        <v>259</v>
      </c>
      <c r="I320" s="135">
        <f>SUMIF(lunch1920_g1to6!$B$3:$B$935,ActiveDistricts!$F320,lunch1920_g1to6!$G$3:$G$935)</f>
        <v>95</v>
      </c>
      <c r="J320">
        <f t="shared" si="4"/>
        <v>0.36679536679536678</v>
      </c>
    </row>
    <row r="321" spans="1:10" x14ac:dyDescent="0.2">
      <c r="A321">
        <v>2021</v>
      </c>
      <c r="B321" t="s">
        <v>727</v>
      </c>
      <c r="C321" t="s">
        <v>664</v>
      </c>
      <c r="D321" t="s">
        <v>724</v>
      </c>
      <c r="E321" t="s">
        <v>724</v>
      </c>
      <c r="F321" t="s">
        <v>664</v>
      </c>
      <c r="G321" t="s">
        <v>34</v>
      </c>
      <c r="H321" s="135">
        <f>SUMIF(lunch1920_g1to6!$B$3:$B$935,ActiveDistricts!$F321,lunch1920_g1to6!$F$3:$F$935)</f>
        <v>88</v>
      </c>
      <c r="I321" s="135">
        <f>SUMIF(lunch1920_g1to6!$B$3:$B$935,ActiveDistricts!$F321,lunch1920_g1to6!$G$3:$G$935)</f>
        <v>56</v>
      </c>
      <c r="J321">
        <f t="shared" si="4"/>
        <v>0.63636363636363635</v>
      </c>
    </row>
    <row r="322" spans="1:10" x14ac:dyDescent="0.2">
      <c r="A322">
        <v>2021</v>
      </c>
      <c r="B322" t="s">
        <v>730</v>
      </c>
      <c r="C322" t="s">
        <v>665</v>
      </c>
      <c r="D322" t="s">
        <v>724</v>
      </c>
      <c r="E322" t="s">
        <v>724</v>
      </c>
      <c r="F322" t="s">
        <v>665</v>
      </c>
      <c r="G322" t="s">
        <v>33</v>
      </c>
      <c r="H322" s="135">
        <f>SUMIF(lunch1920_g1to6!$B$3:$B$935,ActiveDistricts!$F322,lunch1920_g1to6!$F$3:$F$935)</f>
        <v>527</v>
      </c>
      <c r="I322" s="135">
        <f>SUMIF(lunch1920_g1to6!$B$3:$B$935,ActiveDistricts!$F322,lunch1920_g1to6!$G$3:$G$935)</f>
        <v>134</v>
      </c>
      <c r="J322">
        <f t="shared" si="4"/>
        <v>0.25426944971537002</v>
      </c>
    </row>
    <row r="323" spans="1:10" x14ac:dyDescent="0.2">
      <c r="A323">
        <v>2021</v>
      </c>
      <c r="B323" t="s">
        <v>734</v>
      </c>
      <c r="C323" t="s">
        <v>666</v>
      </c>
      <c r="D323" t="s">
        <v>724</v>
      </c>
      <c r="E323" t="s">
        <v>724</v>
      </c>
      <c r="F323" t="s">
        <v>666</v>
      </c>
      <c r="G323" t="s">
        <v>32</v>
      </c>
      <c r="H323" s="135">
        <f>SUMIF(lunch1920_g1to6!$B$3:$B$935,ActiveDistricts!$F323,lunch1920_g1to6!$F$3:$F$935)</f>
        <v>429</v>
      </c>
      <c r="I323" s="135">
        <f>SUMIF(lunch1920_g1to6!$B$3:$B$935,ActiveDistricts!$F323,lunch1920_g1to6!$G$3:$G$935)</f>
        <v>142</v>
      </c>
      <c r="J323">
        <f t="shared" ref="J323:J328" si="5">I323/H323</f>
        <v>0.33100233100233101</v>
      </c>
    </row>
    <row r="324" spans="1:10" x14ac:dyDescent="0.2">
      <c r="A324">
        <v>2021</v>
      </c>
      <c r="B324" t="s">
        <v>729</v>
      </c>
      <c r="C324" t="s">
        <v>667</v>
      </c>
      <c r="D324" t="s">
        <v>724</v>
      </c>
      <c r="E324" t="s">
        <v>724</v>
      </c>
      <c r="F324" t="s">
        <v>667</v>
      </c>
      <c r="G324" t="s">
        <v>31</v>
      </c>
      <c r="H324" s="135">
        <f>SUMIF(lunch1920_g1to6!$B$3:$B$935,ActiveDistricts!$F324,lunch1920_g1to6!$F$3:$F$935)</f>
        <v>158</v>
      </c>
      <c r="I324" s="135">
        <f>SUMIF(lunch1920_g1to6!$B$3:$B$935,ActiveDistricts!$F324,lunch1920_g1to6!$G$3:$G$935)</f>
        <v>96</v>
      </c>
      <c r="J324">
        <f t="shared" si="5"/>
        <v>0.60759493670886078</v>
      </c>
    </row>
    <row r="325" spans="1:10" x14ac:dyDescent="0.2">
      <c r="A325">
        <v>2021</v>
      </c>
      <c r="B325" t="s">
        <v>723</v>
      </c>
      <c r="C325" t="s">
        <v>668</v>
      </c>
      <c r="D325" t="s">
        <v>724</v>
      </c>
      <c r="E325" t="s">
        <v>724</v>
      </c>
      <c r="F325" t="s">
        <v>668</v>
      </c>
      <c r="G325" t="s">
        <v>30</v>
      </c>
      <c r="H325" s="135">
        <f>SUMIF(lunch1920_g1to6!$B$3:$B$935,ActiveDistricts!$F325,lunch1920_g1to6!$F$3:$F$935)</f>
        <v>732</v>
      </c>
      <c r="I325" s="135">
        <f>SUMIF(lunch1920_g1to6!$B$3:$B$935,ActiveDistricts!$F325,lunch1920_g1to6!$G$3:$G$935)</f>
        <v>230</v>
      </c>
      <c r="J325">
        <f t="shared" si="5"/>
        <v>0.31420765027322406</v>
      </c>
    </row>
    <row r="326" spans="1:10" x14ac:dyDescent="0.2">
      <c r="A326">
        <v>2021</v>
      </c>
      <c r="B326" t="s">
        <v>726</v>
      </c>
      <c r="C326" t="s">
        <v>669</v>
      </c>
      <c r="D326" t="s">
        <v>724</v>
      </c>
      <c r="E326" t="s">
        <v>724</v>
      </c>
      <c r="F326" t="s">
        <v>669</v>
      </c>
      <c r="G326" t="s">
        <v>29</v>
      </c>
      <c r="H326" s="135">
        <f>SUMIF(lunch1920_g1to6!$B$3:$B$935,ActiveDistricts!$F326,lunch1920_g1to6!$F$3:$F$935)</f>
        <v>207</v>
      </c>
      <c r="I326" s="135">
        <f>SUMIF(lunch1920_g1to6!$B$3:$B$935,ActiveDistricts!$F326,lunch1920_g1to6!$G$3:$G$935)</f>
        <v>85</v>
      </c>
      <c r="J326">
        <f t="shared" si="5"/>
        <v>0.41062801932367149</v>
      </c>
    </row>
    <row r="327" spans="1:10" x14ac:dyDescent="0.2">
      <c r="A327">
        <v>2021</v>
      </c>
      <c r="B327" t="s">
        <v>727</v>
      </c>
      <c r="C327" t="s">
        <v>670</v>
      </c>
      <c r="D327" t="s">
        <v>724</v>
      </c>
      <c r="E327" t="s">
        <v>724</v>
      </c>
      <c r="F327" t="s">
        <v>670</v>
      </c>
      <c r="G327" t="s">
        <v>28</v>
      </c>
      <c r="H327" s="135">
        <f>SUMIF(lunch1920_g1to6!$B$3:$B$935,ActiveDistricts!$F327,lunch1920_g1to6!$F$3:$F$935)</f>
        <v>241</v>
      </c>
      <c r="I327" s="135">
        <f>SUMIF(lunch1920_g1to6!$B$3:$B$935,ActiveDistricts!$F327,lunch1920_g1to6!$G$3:$G$935)</f>
        <v>77</v>
      </c>
      <c r="J327">
        <f t="shared" si="5"/>
        <v>0.31950207468879666</v>
      </c>
    </row>
    <row r="328" spans="1:10" x14ac:dyDescent="0.2">
      <c r="A328">
        <v>2021</v>
      </c>
      <c r="B328" t="s">
        <v>723</v>
      </c>
      <c r="C328" t="s">
        <v>671</v>
      </c>
      <c r="D328" t="s">
        <v>724</v>
      </c>
      <c r="E328" t="s">
        <v>724</v>
      </c>
      <c r="F328" t="s">
        <v>671</v>
      </c>
      <c r="G328" t="s">
        <v>27</v>
      </c>
      <c r="H328" s="135">
        <f>SUMIF(lunch1920_g1to6!$B$3:$B$935,ActiveDistricts!$F328,lunch1920_g1to6!$F$3:$F$935)</f>
        <v>452</v>
      </c>
      <c r="I328" s="135">
        <f>SUMIF(lunch1920_g1to6!$B$3:$B$935,ActiveDistricts!$F328,lunch1920_g1to6!$G$3:$G$935)</f>
        <v>95</v>
      </c>
      <c r="J328">
        <f t="shared" si="5"/>
        <v>0.21017699115044247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W99"/>
  <sheetViews>
    <sheetView workbookViewId="0">
      <pane xSplit="1" ySplit="1" topLeftCell="B20" activePane="bottomRight" state="frozen"/>
      <selection activeCell="A2" sqref="A2"/>
      <selection pane="topRight" activeCell="A2" sqref="A2"/>
      <selection pane="bottomLeft" activeCell="A2" sqref="A2"/>
      <selection pane="bottomRight" activeCell="D51" sqref="D51"/>
    </sheetView>
  </sheetViews>
  <sheetFormatPr defaultRowHeight="11.25" x14ac:dyDescent="0.2"/>
  <cols>
    <col min="1" max="2" width="9.140625" style="34"/>
    <col min="3" max="3" width="19.28515625" style="34" bestFit="1" customWidth="1"/>
    <col min="4" max="5" width="9.140625" style="34"/>
    <col min="6" max="6" width="9.42578125" style="34" customWidth="1"/>
    <col min="7" max="7" width="9.140625" style="34"/>
    <col min="8" max="9" width="9.140625" style="80"/>
    <col min="10" max="10" width="9.140625" style="34"/>
    <col min="11" max="12" width="9.140625" style="80"/>
    <col min="13" max="13" width="9.140625" style="34"/>
    <col min="14" max="15" width="9.140625" style="80"/>
    <col min="16" max="16" width="9.140625" style="34"/>
    <col min="17" max="28" width="9.140625" style="80"/>
    <col min="29" max="29" width="9.140625" style="34"/>
    <col min="30" max="30" width="10.5703125" style="34" bestFit="1" customWidth="1"/>
    <col min="31" max="31" width="11.28515625" style="34" customWidth="1"/>
    <col min="32" max="32" width="13" style="34" customWidth="1"/>
    <col min="33" max="33" width="9.140625" style="34"/>
    <col min="34" max="34" width="18.5703125" style="34" customWidth="1"/>
    <col min="35" max="40" width="9.140625" style="34"/>
    <col min="41" max="41" width="19.28515625" style="34" bestFit="1" customWidth="1"/>
    <col min="42" max="42" width="9.42578125" style="34" bestFit="1" customWidth="1"/>
    <col min="43" max="43" width="23.5703125" style="34" bestFit="1" customWidth="1"/>
    <col min="44" max="47" width="9.140625" style="34"/>
    <col min="48" max="48" width="20.28515625" style="34" bestFit="1" customWidth="1"/>
    <col min="49" max="49" width="15.140625" style="34" bestFit="1" customWidth="1"/>
    <col min="50" max="16384" width="9.140625" style="34"/>
  </cols>
  <sheetData>
    <row r="1" spans="1:49" ht="12.75" x14ac:dyDescent="0.2">
      <c r="A1" s="27" t="s">
        <v>718</v>
      </c>
      <c r="B1" s="27" t="s">
        <v>744</v>
      </c>
      <c r="C1" s="28" t="s">
        <v>745</v>
      </c>
      <c r="D1" s="27" t="s">
        <v>746</v>
      </c>
      <c r="E1" s="27" t="s">
        <v>716</v>
      </c>
      <c r="F1" s="27" t="s">
        <v>747</v>
      </c>
      <c r="G1" s="27" t="s">
        <v>748</v>
      </c>
      <c r="H1" s="29" t="s">
        <v>749</v>
      </c>
      <c r="I1" s="30" t="s">
        <v>750</v>
      </c>
      <c r="J1" s="27" t="s">
        <v>751</v>
      </c>
      <c r="K1" s="29" t="s">
        <v>752</v>
      </c>
      <c r="L1" s="30" t="s">
        <v>753</v>
      </c>
      <c r="M1" s="27" t="s">
        <v>754</v>
      </c>
      <c r="N1" s="29" t="s">
        <v>755</v>
      </c>
      <c r="O1" s="30" t="s">
        <v>756</v>
      </c>
      <c r="P1" s="27" t="s">
        <v>757</v>
      </c>
      <c r="Q1" s="29" t="s">
        <v>758</v>
      </c>
      <c r="R1" s="30" t="s">
        <v>759</v>
      </c>
      <c r="S1" s="29" t="s">
        <v>760</v>
      </c>
      <c r="T1" s="30" t="s">
        <v>761</v>
      </c>
      <c r="U1" s="29" t="s">
        <v>762</v>
      </c>
      <c r="V1" s="30" t="s">
        <v>763</v>
      </c>
      <c r="W1" s="29" t="s">
        <v>764</v>
      </c>
      <c r="X1" s="30" t="s">
        <v>765</v>
      </c>
      <c r="Y1" s="29" t="s">
        <v>766</v>
      </c>
      <c r="Z1" s="30" t="s">
        <v>767</v>
      </c>
      <c r="AA1" s="29" t="s">
        <v>768</v>
      </c>
      <c r="AB1" s="30" t="s">
        <v>769</v>
      </c>
      <c r="AC1" s="27" t="s">
        <v>770</v>
      </c>
      <c r="AD1" s="28" t="s">
        <v>771</v>
      </c>
      <c r="AE1" s="31" t="s">
        <v>772</v>
      </c>
      <c r="AF1" s="28" t="s">
        <v>773</v>
      </c>
      <c r="AG1" s="31" t="s">
        <v>774</v>
      </c>
      <c r="AH1" s="28" t="s">
        <v>775</v>
      </c>
      <c r="AI1" s="32" t="s">
        <v>776</v>
      </c>
      <c r="AJ1" s="32" t="s">
        <v>777</v>
      </c>
      <c r="AK1" s="32" t="s">
        <v>778</v>
      </c>
      <c r="AL1" s="31" t="s">
        <v>779</v>
      </c>
      <c r="AM1" s="31" t="s">
        <v>780</v>
      </c>
      <c r="AN1" s="27" t="s">
        <v>781</v>
      </c>
      <c r="AO1" s="28" t="s">
        <v>782</v>
      </c>
      <c r="AP1" s="31" t="s">
        <v>783</v>
      </c>
      <c r="AQ1" s="32" t="s">
        <v>784</v>
      </c>
      <c r="AR1" s="31" t="s">
        <v>785</v>
      </c>
      <c r="AS1" s="33" t="s">
        <v>786</v>
      </c>
      <c r="AT1" s="33" t="s">
        <v>787</v>
      </c>
      <c r="AU1" s="33" t="s">
        <v>788</v>
      </c>
      <c r="AV1" s="33" t="s">
        <v>789</v>
      </c>
      <c r="AW1" s="33" t="s">
        <v>790</v>
      </c>
    </row>
    <row r="2" spans="1:49" ht="12.75" x14ac:dyDescent="0.2">
      <c r="A2" s="27">
        <v>1973</v>
      </c>
      <c r="B2" s="35">
        <v>4.9279999999999997E-2</v>
      </c>
      <c r="C2" s="31">
        <v>45</v>
      </c>
      <c r="D2" s="31">
        <v>0</v>
      </c>
      <c r="E2" s="31">
        <v>903</v>
      </c>
      <c r="F2" s="31"/>
      <c r="G2" s="31"/>
      <c r="H2" s="36"/>
      <c r="I2" s="36"/>
      <c r="J2" s="31"/>
      <c r="K2" s="36"/>
      <c r="L2" s="36"/>
      <c r="M2" s="31"/>
      <c r="N2" s="36"/>
      <c r="O2" s="36"/>
      <c r="P2" s="31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>
        <v>0.7</v>
      </c>
      <c r="AD2" s="38">
        <f>ROUND(AC2*E2,0)</f>
        <v>632</v>
      </c>
      <c r="AE2" s="37">
        <v>0</v>
      </c>
      <c r="AF2" s="39">
        <f>ROUND(AE2*F2,0)</f>
        <v>0</v>
      </c>
      <c r="AG2" s="37"/>
      <c r="AH2" s="37"/>
      <c r="AI2" s="31"/>
      <c r="AJ2" s="31"/>
      <c r="AK2" s="31"/>
      <c r="AL2" s="31"/>
      <c r="AM2" s="37">
        <f t="shared" ref="AM2:AM51" si="0">1-AC2</f>
        <v>0.30000000000000004</v>
      </c>
      <c r="AN2" s="31"/>
      <c r="AO2" s="31"/>
      <c r="AP2" s="31"/>
      <c r="AQ2" s="31"/>
      <c r="AR2" s="31"/>
    </row>
    <row r="3" spans="1:49" ht="12.75" x14ac:dyDescent="0.2">
      <c r="A3" s="27">
        <v>1974</v>
      </c>
      <c r="B3" s="35">
        <v>0.05</v>
      </c>
      <c r="C3" s="31">
        <f>ROUND(E2*B3,0)</f>
        <v>45</v>
      </c>
      <c r="D3" s="31">
        <v>0</v>
      </c>
      <c r="E3" s="31">
        <f>E2+C3+D3</f>
        <v>948</v>
      </c>
      <c r="F3" s="31"/>
      <c r="G3" s="31"/>
      <c r="H3" s="36"/>
      <c r="I3" s="36"/>
      <c r="J3" s="31"/>
      <c r="K3" s="36"/>
      <c r="L3" s="36"/>
      <c r="M3" s="31"/>
      <c r="N3" s="36"/>
      <c r="O3" s="36"/>
      <c r="P3" s="31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>
        <v>0.71</v>
      </c>
      <c r="AD3" s="38">
        <f t="shared" ref="AD3:AD51" si="1">ROUND(AC3*E3,0)</f>
        <v>673</v>
      </c>
      <c r="AE3" s="37">
        <v>0</v>
      </c>
      <c r="AF3" s="39">
        <f t="shared" ref="AF3:AF51" si="2">ROUND(AE3*F3,0)</f>
        <v>0</v>
      </c>
      <c r="AG3" s="37"/>
      <c r="AH3" s="37"/>
      <c r="AI3" s="31"/>
      <c r="AJ3" s="31"/>
      <c r="AK3" s="31"/>
      <c r="AL3" s="31"/>
      <c r="AM3" s="37">
        <f t="shared" si="0"/>
        <v>0.29000000000000004</v>
      </c>
      <c r="AN3" s="31"/>
      <c r="AO3" s="31"/>
      <c r="AP3" s="31"/>
      <c r="AQ3" s="31"/>
      <c r="AR3" s="31"/>
      <c r="AS3" s="34">
        <f>INDEX($A$2:$AZ$100,MATCH($A3-1,$A$2:$A$100,0),30)</f>
        <v>632</v>
      </c>
      <c r="AT3" s="34">
        <f>INDEX($A$2:$AZ$100,MATCH($A3-1,$A$2:$A$100,0),5)</f>
        <v>903</v>
      </c>
    </row>
    <row r="4" spans="1:49" ht="12.75" x14ac:dyDescent="0.2">
      <c r="A4" s="27">
        <v>1975</v>
      </c>
      <c r="B4" s="35">
        <v>0.08</v>
      </c>
      <c r="C4" s="31">
        <f>ROUND(E3*B4,0)</f>
        <v>76</v>
      </c>
      <c r="D4" s="31">
        <v>0</v>
      </c>
      <c r="E4" s="31">
        <f t="shared" ref="E4:E51" si="3">E3+C4+D4</f>
        <v>1024</v>
      </c>
      <c r="F4" s="31"/>
      <c r="G4" s="31"/>
      <c r="H4" s="36"/>
      <c r="I4" s="36"/>
      <c r="J4" s="31"/>
      <c r="K4" s="36"/>
      <c r="L4" s="36"/>
      <c r="M4" s="31"/>
      <c r="N4" s="36"/>
      <c r="O4" s="36"/>
      <c r="P4" s="31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7">
        <v>0.72</v>
      </c>
      <c r="AD4" s="38">
        <f t="shared" si="1"/>
        <v>737</v>
      </c>
      <c r="AE4" s="37">
        <v>0</v>
      </c>
      <c r="AF4" s="39">
        <f t="shared" si="2"/>
        <v>0</v>
      </c>
      <c r="AG4" s="37"/>
      <c r="AH4" s="37"/>
      <c r="AI4" s="31"/>
      <c r="AJ4" s="31"/>
      <c r="AK4" s="31"/>
      <c r="AL4" s="31"/>
      <c r="AM4" s="37">
        <f t="shared" si="0"/>
        <v>0.28000000000000003</v>
      </c>
      <c r="AN4" s="31"/>
      <c r="AO4" s="31"/>
      <c r="AP4" s="31"/>
      <c r="AQ4" s="31"/>
      <c r="AR4" s="31"/>
      <c r="AS4" s="34">
        <f t="shared" ref="AS4:AS51" si="4">INDEX($A$2:$AZ$100,MATCH($A4-1,$A$2:$A$100,0),30)</f>
        <v>673</v>
      </c>
      <c r="AT4" s="34">
        <f t="shared" ref="AT4:AT51" si="5">INDEX($A$2:$AZ$100,MATCH($A4-1,$A$2:$A$100,0),5)</f>
        <v>948</v>
      </c>
    </row>
    <row r="5" spans="1:49" ht="12.75" x14ac:dyDescent="0.2">
      <c r="A5" s="27">
        <v>1976</v>
      </c>
      <c r="B5" s="35">
        <v>0.107</v>
      </c>
      <c r="C5" s="31">
        <f t="shared" ref="C5:C48" si="6">ROUND(E4*B5,0)</f>
        <v>110</v>
      </c>
      <c r="D5" s="31">
        <v>0</v>
      </c>
      <c r="E5" s="31">
        <f t="shared" si="3"/>
        <v>1134</v>
      </c>
      <c r="F5" s="31">
        <f t="shared" ref="F5:F51" si="7">E5</f>
        <v>1134</v>
      </c>
      <c r="G5" s="31"/>
      <c r="H5" s="36"/>
      <c r="I5" s="36"/>
      <c r="J5" s="31"/>
      <c r="K5" s="36"/>
      <c r="L5" s="36"/>
      <c r="M5" s="31"/>
      <c r="N5" s="36"/>
      <c r="O5" s="36"/>
      <c r="P5" s="31"/>
      <c r="Q5" s="36"/>
      <c r="R5" s="36"/>
      <c r="S5" s="36"/>
      <c r="T5" s="36">
        <v>40.43</v>
      </c>
      <c r="U5" s="36"/>
      <c r="V5" s="36">
        <v>6.08</v>
      </c>
      <c r="W5" s="36"/>
      <c r="X5" s="36">
        <v>10.16</v>
      </c>
      <c r="Y5" s="36"/>
      <c r="Z5" s="36"/>
      <c r="AA5" s="36"/>
      <c r="AB5" s="36"/>
      <c r="AC5" s="37">
        <v>0.73</v>
      </c>
      <c r="AD5" s="38">
        <f t="shared" si="1"/>
        <v>828</v>
      </c>
      <c r="AE5" s="37">
        <v>0.73</v>
      </c>
      <c r="AF5" s="39">
        <f>ROUND(AE5*F5,0)</f>
        <v>828</v>
      </c>
      <c r="AG5" s="37">
        <v>0.73</v>
      </c>
      <c r="AH5" s="39">
        <f t="shared" ref="AH5:AH51" si="8">ROUND(AG5*T5,0)</f>
        <v>30</v>
      </c>
      <c r="AI5" s="31"/>
      <c r="AJ5" s="31"/>
      <c r="AK5" s="31"/>
      <c r="AL5" s="31"/>
      <c r="AM5" s="37">
        <f t="shared" si="0"/>
        <v>0.27</v>
      </c>
      <c r="AN5" s="31"/>
      <c r="AO5" s="31">
        <f>ROUND(T5*AG5,0)</f>
        <v>30</v>
      </c>
      <c r="AP5" s="31"/>
      <c r="AQ5" s="31"/>
      <c r="AR5" s="31"/>
      <c r="AS5" s="34">
        <f t="shared" si="4"/>
        <v>737</v>
      </c>
      <c r="AT5" s="34">
        <f t="shared" si="5"/>
        <v>1024</v>
      </c>
    </row>
    <row r="6" spans="1:49" ht="12.75" x14ac:dyDescent="0.2">
      <c r="A6" s="27">
        <v>1977</v>
      </c>
      <c r="B6" s="35">
        <v>9.8250000000000004E-2</v>
      </c>
      <c r="C6" s="31">
        <f t="shared" si="6"/>
        <v>111</v>
      </c>
      <c r="D6" s="31">
        <v>0</v>
      </c>
      <c r="E6" s="31">
        <f t="shared" si="3"/>
        <v>1245</v>
      </c>
      <c r="F6" s="31">
        <f t="shared" si="7"/>
        <v>1245</v>
      </c>
      <c r="G6" s="31"/>
      <c r="H6" s="36"/>
      <c r="I6" s="36"/>
      <c r="J6" s="31"/>
      <c r="K6" s="36"/>
      <c r="L6" s="36"/>
      <c r="M6" s="31"/>
      <c r="N6" s="36"/>
      <c r="O6" s="36"/>
      <c r="P6" s="31"/>
      <c r="Q6" s="36"/>
      <c r="R6" s="36"/>
      <c r="S6" s="36"/>
      <c r="T6" s="36">
        <v>48.47</v>
      </c>
      <c r="U6" s="36"/>
      <c r="V6" s="36">
        <v>6.57</v>
      </c>
      <c r="W6" s="36"/>
      <c r="X6" s="36">
        <v>11.3</v>
      </c>
      <c r="Y6" s="36"/>
      <c r="Z6" s="36"/>
      <c r="AA6" s="36"/>
      <c r="AB6" s="36"/>
      <c r="AC6" s="37">
        <v>0.74</v>
      </c>
      <c r="AD6" s="38">
        <f t="shared" si="1"/>
        <v>921</v>
      </c>
      <c r="AE6" s="37">
        <v>0.74</v>
      </c>
      <c r="AF6" s="39">
        <f t="shared" si="2"/>
        <v>921</v>
      </c>
      <c r="AG6" s="37">
        <v>0.74</v>
      </c>
      <c r="AH6" s="39">
        <f t="shared" si="8"/>
        <v>36</v>
      </c>
      <c r="AI6" s="31"/>
      <c r="AJ6" s="31"/>
      <c r="AK6" s="31"/>
      <c r="AL6" s="31"/>
      <c r="AM6" s="37">
        <f t="shared" si="0"/>
        <v>0.26</v>
      </c>
      <c r="AN6" s="31"/>
      <c r="AO6" s="31">
        <f t="shared" ref="AO6:AO51" si="9">ROUND(T6*AG6,0)</f>
        <v>36</v>
      </c>
      <c r="AP6" s="31"/>
      <c r="AQ6" s="31"/>
      <c r="AR6" s="31"/>
      <c r="AS6" s="34">
        <f t="shared" si="4"/>
        <v>828</v>
      </c>
      <c r="AT6" s="34">
        <f t="shared" si="5"/>
        <v>1134</v>
      </c>
    </row>
    <row r="7" spans="1:49" ht="12.75" x14ac:dyDescent="0.2">
      <c r="A7" s="27">
        <v>1978</v>
      </c>
      <c r="B7" s="35">
        <v>7.8399999999999997E-2</v>
      </c>
      <c r="C7" s="31">
        <f t="shared" si="6"/>
        <v>98</v>
      </c>
      <c r="D7" s="31">
        <v>0</v>
      </c>
      <c r="E7" s="31">
        <f t="shared" si="3"/>
        <v>1343</v>
      </c>
      <c r="F7" s="31">
        <f t="shared" si="7"/>
        <v>1343</v>
      </c>
      <c r="G7" s="31"/>
      <c r="H7" s="36"/>
      <c r="I7" s="36"/>
      <c r="J7" s="31"/>
      <c r="K7" s="36"/>
      <c r="L7" s="36"/>
      <c r="M7" s="31"/>
      <c r="N7" s="36"/>
      <c r="O7" s="36"/>
      <c r="P7" s="31"/>
      <c r="Q7" s="36"/>
      <c r="R7" s="36"/>
      <c r="S7" s="36"/>
      <c r="T7" s="36">
        <v>55.14</v>
      </c>
      <c r="U7" s="36"/>
      <c r="V7" s="36">
        <v>6.84</v>
      </c>
      <c r="W7" s="36"/>
      <c r="X7" s="36">
        <v>12.14</v>
      </c>
      <c r="Y7" s="36"/>
      <c r="Z7" s="36"/>
      <c r="AA7" s="36"/>
      <c r="AB7" s="36"/>
      <c r="AC7" s="37">
        <v>0.75</v>
      </c>
      <c r="AD7" s="38">
        <f t="shared" si="1"/>
        <v>1007</v>
      </c>
      <c r="AE7" s="37">
        <v>0.75</v>
      </c>
      <c r="AF7" s="39">
        <f t="shared" si="2"/>
        <v>1007</v>
      </c>
      <c r="AG7" s="37">
        <v>0.75</v>
      </c>
      <c r="AH7" s="39">
        <f t="shared" si="8"/>
        <v>41</v>
      </c>
      <c r="AI7" s="31"/>
      <c r="AJ7" s="31"/>
      <c r="AK7" s="31"/>
      <c r="AL7" s="31"/>
      <c r="AM7" s="37">
        <f t="shared" si="0"/>
        <v>0.25</v>
      </c>
      <c r="AN7" s="31"/>
      <c r="AO7" s="31">
        <f t="shared" si="9"/>
        <v>41</v>
      </c>
      <c r="AP7" s="31"/>
      <c r="AQ7" s="31"/>
      <c r="AR7" s="31"/>
      <c r="AS7" s="34">
        <f t="shared" si="4"/>
        <v>921</v>
      </c>
      <c r="AT7" s="34">
        <f t="shared" si="5"/>
        <v>1245</v>
      </c>
    </row>
    <row r="8" spans="1:49" ht="12.75" x14ac:dyDescent="0.2">
      <c r="A8" s="27">
        <v>1979</v>
      </c>
      <c r="B8" s="35">
        <v>9.4219999999999998E-2</v>
      </c>
      <c r="C8" s="31">
        <f t="shared" si="6"/>
        <v>127</v>
      </c>
      <c r="D8" s="31">
        <v>0</v>
      </c>
      <c r="E8" s="31">
        <f t="shared" si="3"/>
        <v>1470</v>
      </c>
      <c r="F8" s="31">
        <f t="shared" si="7"/>
        <v>1470</v>
      </c>
      <c r="G8" s="31"/>
      <c r="H8" s="36"/>
      <c r="I8" s="36"/>
      <c r="J8" s="31"/>
      <c r="K8" s="36"/>
      <c r="L8" s="36"/>
      <c r="M8" s="31"/>
      <c r="N8" s="36"/>
      <c r="O8" s="36"/>
      <c r="P8" s="31"/>
      <c r="Q8" s="36"/>
      <c r="R8" s="36"/>
      <c r="S8" s="36"/>
      <c r="T8" s="36">
        <v>55.18</v>
      </c>
      <c r="U8" s="36"/>
      <c r="V8" s="36">
        <v>11.05</v>
      </c>
      <c r="W8" s="36"/>
      <c r="X8" s="36">
        <v>13.61</v>
      </c>
      <c r="Y8" s="36"/>
      <c r="Z8" s="36"/>
      <c r="AA8" s="36"/>
      <c r="AB8" s="36"/>
      <c r="AC8" s="37">
        <v>0.76</v>
      </c>
      <c r="AD8" s="38">
        <f t="shared" si="1"/>
        <v>1117</v>
      </c>
      <c r="AE8" s="37">
        <v>0.76</v>
      </c>
      <c r="AF8" s="39">
        <f t="shared" si="2"/>
        <v>1117</v>
      </c>
      <c r="AG8" s="37">
        <v>0.76</v>
      </c>
      <c r="AH8" s="39">
        <f t="shared" si="8"/>
        <v>42</v>
      </c>
      <c r="AI8" s="31"/>
      <c r="AJ8" s="31"/>
      <c r="AK8" s="31"/>
      <c r="AL8" s="31"/>
      <c r="AM8" s="37">
        <f t="shared" si="0"/>
        <v>0.24</v>
      </c>
      <c r="AN8" s="31"/>
      <c r="AO8" s="31">
        <f t="shared" si="9"/>
        <v>42</v>
      </c>
      <c r="AP8" s="31"/>
      <c r="AQ8" s="31"/>
      <c r="AR8" s="31"/>
      <c r="AS8" s="34">
        <f t="shared" si="4"/>
        <v>1007</v>
      </c>
      <c r="AT8" s="34">
        <f t="shared" si="5"/>
        <v>1343</v>
      </c>
    </row>
    <row r="9" spans="1:49" ht="12.75" x14ac:dyDescent="0.2">
      <c r="A9" s="27">
        <v>1980</v>
      </c>
      <c r="B9" s="35">
        <v>9.4839999999999994E-2</v>
      </c>
      <c r="C9" s="31">
        <f t="shared" si="6"/>
        <v>139</v>
      </c>
      <c r="D9" s="31">
        <v>0</v>
      </c>
      <c r="E9" s="31">
        <f t="shared" si="3"/>
        <v>1609</v>
      </c>
      <c r="F9" s="31">
        <f t="shared" si="7"/>
        <v>1609</v>
      </c>
      <c r="G9" s="31"/>
      <c r="H9" s="36"/>
      <c r="I9" s="36"/>
      <c r="J9" s="31"/>
      <c r="K9" s="36"/>
      <c r="L9" s="36"/>
      <c r="M9" s="31"/>
      <c r="N9" s="36"/>
      <c r="O9" s="36"/>
      <c r="P9" s="31"/>
      <c r="Q9" s="36"/>
      <c r="R9" s="36"/>
      <c r="S9" s="36"/>
      <c r="T9" s="36">
        <v>74.37</v>
      </c>
      <c r="U9" s="36"/>
      <c r="V9" s="36">
        <v>12.76</v>
      </c>
      <c r="W9" s="36"/>
      <c r="X9" s="36">
        <v>15.32</v>
      </c>
      <c r="Y9" s="36"/>
      <c r="Z9" s="36"/>
      <c r="AA9" s="36"/>
      <c r="AB9" s="36"/>
      <c r="AC9" s="37">
        <v>0.77</v>
      </c>
      <c r="AD9" s="38">
        <f t="shared" si="1"/>
        <v>1239</v>
      </c>
      <c r="AE9" s="37">
        <v>0.77</v>
      </c>
      <c r="AF9" s="39">
        <f t="shared" si="2"/>
        <v>1239</v>
      </c>
      <c r="AG9" s="37">
        <v>0.77</v>
      </c>
      <c r="AH9" s="39">
        <f t="shared" si="8"/>
        <v>57</v>
      </c>
      <c r="AI9" s="31"/>
      <c r="AJ9" s="31"/>
      <c r="AK9" s="31"/>
      <c r="AL9" s="31"/>
      <c r="AM9" s="37">
        <f t="shared" si="0"/>
        <v>0.22999999999999998</v>
      </c>
      <c r="AN9" s="31"/>
      <c r="AO9" s="31">
        <f t="shared" si="9"/>
        <v>57</v>
      </c>
      <c r="AP9" s="31"/>
      <c r="AQ9" s="31"/>
      <c r="AR9" s="31"/>
      <c r="AS9" s="34">
        <f t="shared" si="4"/>
        <v>1117</v>
      </c>
      <c r="AT9" s="34">
        <f t="shared" si="5"/>
        <v>1470</v>
      </c>
    </row>
    <row r="10" spans="1:49" ht="12.75" x14ac:dyDescent="0.2">
      <c r="A10" s="27">
        <v>1981</v>
      </c>
      <c r="B10" s="35">
        <v>0.13592000000000001</v>
      </c>
      <c r="C10" s="31">
        <f t="shared" si="6"/>
        <v>219</v>
      </c>
      <c r="D10" s="31">
        <v>20</v>
      </c>
      <c r="E10" s="31">
        <f t="shared" si="3"/>
        <v>1848</v>
      </c>
      <c r="F10" s="31">
        <f t="shared" si="7"/>
        <v>1848</v>
      </c>
      <c r="G10" s="31"/>
      <c r="H10" s="36"/>
      <c r="I10" s="36"/>
      <c r="J10" s="31"/>
      <c r="K10" s="36"/>
      <c r="L10" s="36"/>
      <c r="M10" s="31"/>
      <c r="N10" s="36"/>
      <c r="O10" s="36"/>
      <c r="P10" s="31"/>
      <c r="Q10" s="36"/>
      <c r="R10" s="36"/>
      <c r="S10" s="36"/>
      <c r="T10" s="36">
        <v>88.07</v>
      </c>
      <c r="U10" s="36"/>
      <c r="V10" s="36">
        <v>14.86</v>
      </c>
      <c r="W10" s="36"/>
      <c r="X10" s="36">
        <v>18.03</v>
      </c>
      <c r="Y10" s="36"/>
      <c r="Z10" s="36"/>
      <c r="AA10" s="36"/>
      <c r="AB10" s="36"/>
      <c r="AC10" s="37">
        <v>0.77</v>
      </c>
      <c r="AD10" s="38">
        <f t="shared" si="1"/>
        <v>1423</v>
      </c>
      <c r="AE10" s="37">
        <v>0.77</v>
      </c>
      <c r="AF10" s="39">
        <f t="shared" si="2"/>
        <v>1423</v>
      </c>
      <c r="AG10" s="37">
        <v>0.77</v>
      </c>
      <c r="AH10" s="39">
        <f t="shared" si="8"/>
        <v>68</v>
      </c>
      <c r="AI10" s="31"/>
      <c r="AJ10" s="31"/>
      <c r="AK10" s="31"/>
      <c r="AL10" s="31"/>
      <c r="AM10" s="37">
        <f t="shared" si="0"/>
        <v>0.22999999999999998</v>
      </c>
      <c r="AN10" s="31"/>
      <c r="AO10" s="31">
        <f t="shared" si="9"/>
        <v>68</v>
      </c>
      <c r="AP10" s="31"/>
      <c r="AQ10" s="31"/>
      <c r="AR10" s="31"/>
      <c r="AS10" s="34">
        <f t="shared" si="4"/>
        <v>1239</v>
      </c>
      <c r="AT10" s="34">
        <f t="shared" si="5"/>
        <v>1609</v>
      </c>
    </row>
    <row r="11" spans="1:49" ht="12.75" x14ac:dyDescent="0.2">
      <c r="A11" s="27">
        <v>1982</v>
      </c>
      <c r="B11" s="35">
        <v>0.05</v>
      </c>
      <c r="C11" s="31">
        <f t="shared" si="6"/>
        <v>92</v>
      </c>
      <c r="D11" s="31">
        <v>0</v>
      </c>
      <c r="E11" s="31">
        <f t="shared" si="3"/>
        <v>1940</v>
      </c>
      <c r="F11" s="31">
        <f t="shared" si="7"/>
        <v>1940</v>
      </c>
      <c r="G11" s="31"/>
      <c r="H11" s="36"/>
      <c r="I11" s="36"/>
      <c r="J11" s="31"/>
      <c r="K11" s="36"/>
      <c r="L11" s="36"/>
      <c r="M11" s="31"/>
      <c r="N11" s="36"/>
      <c r="O11" s="36"/>
      <c r="P11" s="31"/>
      <c r="Q11" s="36"/>
      <c r="R11" s="36"/>
      <c r="S11" s="36"/>
      <c r="T11" s="36">
        <v>88.07</v>
      </c>
      <c r="U11" s="36"/>
      <c r="V11" s="36">
        <v>16</v>
      </c>
      <c r="W11" s="36"/>
      <c r="X11" s="36">
        <v>18.5</v>
      </c>
      <c r="Y11" s="36"/>
      <c r="Z11" s="36"/>
      <c r="AA11" s="36"/>
      <c r="AB11" s="36"/>
      <c r="AC11" s="37">
        <v>0.77</v>
      </c>
      <c r="AD11" s="38">
        <f t="shared" si="1"/>
        <v>1494</v>
      </c>
      <c r="AE11" s="37">
        <v>0.77</v>
      </c>
      <c r="AF11" s="39">
        <f t="shared" si="2"/>
        <v>1494</v>
      </c>
      <c r="AG11" s="37">
        <v>0.77</v>
      </c>
      <c r="AH11" s="39">
        <f t="shared" si="8"/>
        <v>68</v>
      </c>
      <c r="AI11" s="31"/>
      <c r="AJ11" s="31"/>
      <c r="AK11" s="31"/>
      <c r="AL11" s="31"/>
      <c r="AM11" s="37">
        <f t="shared" si="0"/>
        <v>0.22999999999999998</v>
      </c>
      <c r="AN11" s="31"/>
      <c r="AO11" s="31">
        <f t="shared" si="9"/>
        <v>68</v>
      </c>
      <c r="AP11" s="31"/>
      <c r="AQ11" s="31"/>
      <c r="AR11" s="31"/>
      <c r="AS11" s="34">
        <f t="shared" si="4"/>
        <v>1423</v>
      </c>
      <c r="AT11" s="34">
        <f t="shared" si="5"/>
        <v>1848</v>
      </c>
    </row>
    <row r="12" spans="1:49" ht="12.75" x14ac:dyDescent="0.2">
      <c r="A12" s="27">
        <v>1983</v>
      </c>
      <c r="B12" s="35">
        <v>7.0000000000000007E-2</v>
      </c>
      <c r="C12" s="31">
        <f t="shared" si="6"/>
        <v>136</v>
      </c>
      <c r="D12" s="31">
        <v>13</v>
      </c>
      <c r="E12" s="31">
        <f t="shared" si="3"/>
        <v>2089</v>
      </c>
      <c r="F12" s="31">
        <f t="shared" si="7"/>
        <v>2089</v>
      </c>
      <c r="G12" s="31"/>
      <c r="H12" s="36"/>
      <c r="I12" s="36"/>
      <c r="J12" s="31"/>
      <c r="K12" s="36"/>
      <c r="L12" s="36"/>
      <c r="M12" s="31"/>
      <c r="N12" s="36"/>
      <c r="O12" s="36"/>
      <c r="P12" s="31"/>
      <c r="Q12" s="36"/>
      <c r="R12" s="36"/>
      <c r="S12" s="40">
        <f>ROUND(T11*$B12,2)</f>
        <v>6.16</v>
      </c>
      <c r="T12" s="36">
        <f>S12+T11</f>
        <v>94.22999999999999</v>
      </c>
      <c r="U12" s="36"/>
      <c r="V12" s="36">
        <v>17.12</v>
      </c>
      <c r="W12" s="36"/>
      <c r="X12" s="36">
        <v>19.8</v>
      </c>
      <c r="Y12" s="36"/>
      <c r="Z12" s="36"/>
      <c r="AA12" s="36"/>
      <c r="AB12" s="36"/>
      <c r="AC12" s="37">
        <v>0.77</v>
      </c>
      <c r="AD12" s="38">
        <f t="shared" si="1"/>
        <v>1609</v>
      </c>
      <c r="AE12" s="37">
        <v>0.77</v>
      </c>
      <c r="AF12" s="39">
        <f t="shared" si="2"/>
        <v>1609</v>
      </c>
      <c r="AG12" s="37">
        <v>0.77</v>
      </c>
      <c r="AH12" s="39">
        <f t="shared" si="8"/>
        <v>73</v>
      </c>
      <c r="AI12" s="31"/>
      <c r="AJ12" s="31"/>
      <c r="AK12" s="31"/>
      <c r="AL12" s="31"/>
      <c r="AM12" s="37">
        <f t="shared" si="0"/>
        <v>0.22999999999999998</v>
      </c>
      <c r="AN12" s="31"/>
      <c r="AO12" s="31">
        <f t="shared" si="9"/>
        <v>73</v>
      </c>
      <c r="AP12" s="31"/>
      <c r="AQ12" s="31"/>
      <c r="AR12" s="31"/>
      <c r="AS12" s="34">
        <f t="shared" si="4"/>
        <v>1494</v>
      </c>
      <c r="AT12" s="34">
        <f t="shared" si="5"/>
        <v>1940</v>
      </c>
    </row>
    <row r="13" spans="1:49" ht="12.75" x14ac:dyDescent="0.2">
      <c r="A13" s="27">
        <v>1984</v>
      </c>
      <c r="B13" s="35">
        <v>6.1030000000000001E-2</v>
      </c>
      <c r="C13" s="31">
        <f t="shared" si="6"/>
        <v>127</v>
      </c>
      <c r="D13" s="31">
        <v>8</v>
      </c>
      <c r="E13" s="31">
        <f t="shared" si="3"/>
        <v>2224</v>
      </c>
      <c r="F13" s="31">
        <f t="shared" si="7"/>
        <v>2224</v>
      </c>
      <c r="G13" s="31"/>
      <c r="H13" s="36"/>
      <c r="I13" s="36"/>
      <c r="J13" s="31"/>
      <c r="K13" s="36"/>
      <c r="L13" s="36"/>
      <c r="M13" s="31"/>
      <c r="N13" s="36"/>
      <c r="O13" s="36"/>
      <c r="P13" s="31"/>
      <c r="Q13" s="36"/>
      <c r="R13" s="36"/>
      <c r="S13" s="36">
        <f t="shared" ref="S13:S51" si="10">ROUND(T12*$B13,2)</f>
        <v>5.75</v>
      </c>
      <c r="T13" s="36">
        <f t="shared" ref="T13:T51" si="11">S13+T12</f>
        <v>99.97999999999999</v>
      </c>
      <c r="U13" s="36"/>
      <c r="V13" s="36">
        <v>18.16</v>
      </c>
      <c r="W13" s="36"/>
      <c r="X13" s="36">
        <v>21.01</v>
      </c>
      <c r="Y13" s="36"/>
      <c r="Z13" s="36"/>
      <c r="AA13" s="36"/>
      <c r="AB13" s="36"/>
      <c r="AC13" s="37">
        <v>0.78</v>
      </c>
      <c r="AD13" s="38">
        <f t="shared" si="1"/>
        <v>1735</v>
      </c>
      <c r="AE13" s="37">
        <v>0.78</v>
      </c>
      <c r="AF13" s="39">
        <f t="shared" si="2"/>
        <v>1735</v>
      </c>
      <c r="AG13" s="37">
        <v>0.78</v>
      </c>
      <c r="AH13" s="39">
        <f t="shared" si="8"/>
        <v>78</v>
      </c>
      <c r="AI13" s="31"/>
      <c r="AJ13" s="31">
        <v>5.4</v>
      </c>
      <c r="AK13" s="31">
        <v>200</v>
      </c>
      <c r="AL13" s="31"/>
      <c r="AM13" s="37">
        <f t="shared" si="0"/>
        <v>0.21999999999999997</v>
      </c>
      <c r="AN13" s="31"/>
      <c r="AO13" s="31">
        <f t="shared" si="9"/>
        <v>78</v>
      </c>
      <c r="AP13" s="31"/>
      <c r="AQ13" s="31"/>
      <c r="AR13" s="31"/>
      <c r="AS13" s="34">
        <f t="shared" si="4"/>
        <v>1609</v>
      </c>
      <c r="AT13" s="34">
        <f t="shared" si="5"/>
        <v>2089</v>
      </c>
    </row>
    <row r="14" spans="1:49" ht="12.75" x14ac:dyDescent="0.2">
      <c r="A14" s="27">
        <v>1985</v>
      </c>
      <c r="B14" s="35">
        <v>2.5399999999999999E-2</v>
      </c>
      <c r="C14" s="31">
        <f t="shared" si="6"/>
        <v>56</v>
      </c>
      <c r="D14" s="31">
        <v>8</v>
      </c>
      <c r="E14" s="31">
        <f t="shared" si="3"/>
        <v>2288</v>
      </c>
      <c r="F14" s="31">
        <f t="shared" si="7"/>
        <v>2288</v>
      </c>
      <c r="G14" s="31"/>
      <c r="H14" s="36"/>
      <c r="I14" s="36"/>
      <c r="J14" s="31"/>
      <c r="K14" s="36"/>
      <c r="L14" s="36"/>
      <c r="M14" s="31"/>
      <c r="N14" s="36"/>
      <c r="O14" s="36"/>
      <c r="P14" s="31"/>
      <c r="Q14" s="36"/>
      <c r="R14" s="36"/>
      <c r="S14" s="36">
        <f t="shared" si="10"/>
        <v>2.54</v>
      </c>
      <c r="T14" s="36">
        <f t="shared" si="11"/>
        <v>102.52</v>
      </c>
      <c r="U14" s="36"/>
      <c r="V14" s="36">
        <v>18.62</v>
      </c>
      <c r="W14" s="36"/>
      <c r="X14" s="36">
        <v>21.54</v>
      </c>
      <c r="Y14" s="36"/>
      <c r="Z14" s="36"/>
      <c r="AA14" s="36"/>
      <c r="AB14" s="36"/>
      <c r="AC14" s="37">
        <v>0.79</v>
      </c>
      <c r="AD14" s="38">
        <f t="shared" si="1"/>
        <v>1808</v>
      </c>
      <c r="AE14" s="37">
        <v>0.79</v>
      </c>
      <c r="AF14" s="39">
        <f t="shared" si="2"/>
        <v>1808</v>
      </c>
      <c r="AG14" s="37">
        <v>0.79</v>
      </c>
      <c r="AH14" s="39">
        <f t="shared" si="8"/>
        <v>81</v>
      </c>
      <c r="AI14" s="31"/>
      <c r="AJ14" s="31">
        <v>5.4</v>
      </c>
      <c r="AK14" s="31">
        <v>200</v>
      </c>
      <c r="AL14" s="31"/>
      <c r="AM14" s="37">
        <f t="shared" si="0"/>
        <v>0.20999999999999996</v>
      </c>
      <c r="AN14" s="31"/>
      <c r="AO14" s="31">
        <f t="shared" si="9"/>
        <v>81</v>
      </c>
      <c r="AP14" s="31"/>
      <c r="AQ14" s="31"/>
      <c r="AR14" s="31"/>
      <c r="AS14" s="34">
        <f t="shared" si="4"/>
        <v>1735</v>
      </c>
      <c r="AT14" s="34">
        <f t="shared" si="5"/>
        <v>2224</v>
      </c>
    </row>
    <row r="15" spans="1:49" ht="12.75" x14ac:dyDescent="0.2">
      <c r="A15" s="27">
        <v>1986</v>
      </c>
      <c r="B15" s="35">
        <v>5.3249999999999999E-2</v>
      </c>
      <c r="C15" s="31">
        <f t="shared" si="6"/>
        <v>122</v>
      </c>
      <c r="D15" s="31">
        <v>0</v>
      </c>
      <c r="E15" s="31">
        <f t="shared" si="3"/>
        <v>2410</v>
      </c>
      <c r="F15" s="31">
        <f t="shared" si="7"/>
        <v>2410</v>
      </c>
      <c r="G15" s="31"/>
      <c r="H15" s="36"/>
      <c r="I15" s="36"/>
      <c r="J15" s="31"/>
      <c r="K15" s="36"/>
      <c r="L15" s="36"/>
      <c r="M15" s="31"/>
      <c r="N15" s="36"/>
      <c r="O15" s="36"/>
      <c r="P15" s="31"/>
      <c r="Q15" s="36"/>
      <c r="R15" s="36"/>
      <c r="S15" s="36">
        <f t="shared" si="10"/>
        <v>5.46</v>
      </c>
      <c r="T15" s="36">
        <f t="shared" si="11"/>
        <v>107.97999999999999</v>
      </c>
      <c r="U15" s="36"/>
      <c r="V15" s="36">
        <v>19.61</v>
      </c>
      <c r="W15" s="36"/>
      <c r="X15" s="36">
        <v>22.69</v>
      </c>
      <c r="Y15" s="36"/>
      <c r="Z15" s="36"/>
      <c r="AA15" s="36"/>
      <c r="AB15" s="36"/>
      <c r="AC15" s="37">
        <v>0.8</v>
      </c>
      <c r="AD15" s="38">
        <f t="shared" si="1"/>
        <v>1928</v>
      </c>
      <c r="AE15" s="37">
        <v>0.8</v>
      </c>
      <c r="AF15" s="39">
        <f t="shared" si="2"/>
        <v>1928</v>
      </c>
      <c r="AG15" s="37">
        <v>0.8</v>
      </c>
      <c r="AH15" s="39">
        <f t="shared" si="8"/>
        <v>86</v>
      </c>
      <c r="AI15" s="31"/>
      <c r="AJ15" s="31">
        <v>5.4</v>
      </c>
      <c r="AK15" s="31">
        <v>200</v>
      </c>
      <c r="AL15" s="31"/>
      <c r="AM15" s="37">
        <f t="shared" si="0"/>
        <v>0.19999999999999996</v>
      </c>
      <c r="AN15" s="31"/>
      <c r="AO15" s="31">
        <f t="shared" si="9"/>
        <v>86</v>
      </c>
      <c r="AP15" s="31"/>
      <c r="AQ15" s="31"/>
      <c r="AR15" s="31"/>
      <c r="AS15" s="34">
        <f t="shared" si="4"/>
        <v>1808</v>
      </c>
      <c r="AT15" s="34">
        <f t="shared" si="5"/>
        <v>2288</v>
      </c>
    </row>
    <row r="16" spans="1:49" ht="12.75" x14ac:dyDescent="0.2">
      <c r="A16" s="27">
        <v>1987</v>
      </c>
      <c r="B16" s="35">
        <v>3.8429999999999999E-2</v>
      </c>
      <c r="C16" s="31">
        <f t="shared" si="6"/>
        <v>93</v>
      </c>
      <c r="D16" s="31">
        <v>0</v>
      </c>
      <c r="E16" s="31">
        <f t="shared" si="3"/>
        <v>2503</v>
      </c>
      <c r="F16" s="31">
        <f t="shared" si="7"/>
        <v>2503</v>
      </c>
      <c r="G16" s="31"/>
      <c r="H16" s="36"/>
      <c r="I16" s="36"/>
      <c r="J16" s="31"/>
      <c r="K16" s="36"/>
      <c r="L16" s="36"/>
      <c r="M16" s="31"/>
      <c r="N16" s="36"/>
      <c r="O16" s="36"/>
      <c r="P16" s="31"/>
      <c r="Q16" s="36"/>
      <c r="R16" s="36"/>
      <c r="S16" s="36">
        <f t="shared" si="10"/>
        <v>4.1500000000000004</v>
      </c>
      <c r="T16" s="36">
        <f t="shared" si="11"/>
        <v>112.13</v>
      </c>
      <c r="U16" s="36"/>
      <c r="V16" s="36">
        <v>21.37</v>
      </c>
      <c r="W16" s="36"/>
      <c r="X16" s="36">
        <v>23.56</v>
      </c>
      <c r="Y16" s="36"/>
      <c r="Z16" s="36"/>
      <c r="AA16" s="36"/>
      <c r="AB16" s="36"/>
      <c r="AC16" s="37">
        <v>0.8</v>
      </c>
      <c r="AD16" s="38">
        <f t="shared" si="1"/>
        <v>2002</v>
      </c>
      <c r="AE16" s="37">
        <v>0.8</v>
      </c>
      <c r="AF16" s="39">
        <f t="shared" si="2"/>
        <v>2002</v>
      </c>
      <c r="AG16" s="37">
        <v>0.8</v>
      </c>
      <c r="AH16" s="39">
        <f t="shared" si="8"/>
        <v>90</v>
      </c>
      <c r="AI16" s="31"/>
      <c r="AJ16" s="31">
        <v>5.4</v>
      </c>
      <c r="AK16" s="31">
        <v>200</v>
      </c>
      <c r="AL16" s="31"/>
      <c r="AM16" s="37">
        <f t="shared" si="0"/>
        <v>0.19999999999999996</v>
      </c>
      <c r="AN16" s="31"/>
      <c r="AO16" s="31">
        <f t="shared" si="9"/>
        <v>90</v>
      </c>
      <c r="AP16" s="31"/>
      <c r="AQ16" s="31"/>
      <c r="AR16" s="31"/>
      <c r="AS16" s="34">
        <f t="shared" si="4"/>
        <v>1928</v>
      </c>
      <c r="AT16" s="34">
        <f t="shared" si="5"/>
        <v>2410</v>
      </c>
    </row>
    <row r="17" spans="1:46" ht="12.75" x14ac:dyDescent="0.2">
      <c r="A17" s="27">
        <v>1988</v>
      </c>
      <c r="B17" s="35">
        <v>3.4689999999999999E-2</v>
      </c>
      <c r="C17" s="31">
        <f t="shared" si="6"/>
        <v>87</v>
      </c>
      <c r="D17" s="31">
        <v>0</v>
      </c>
      <c r="E17" s="31">
        <f t="shared" si="3"/>
        <v>2590</v>
      </c>
      <c r="F17" s="31">
        <f t="shared" si="7"/>
        <v>2590</v>
      </c>
      <c r="G17" s="31"/>
      <c r="H17" s="36"/>
      <c r="I17" s="36"/>
      <c r="J17" s="31"/>
      <c r="K17" s="36"/>
      <c r="L17" s="36"/>
      <c r="M17" s="31"/>
      <c r="N17" s="36"/>
      <c r="O17" s="36"/>
      <c r="P17" s="31"/>
      <c r="Q17" s="36"/>
      <c r="R17" s="36"/>
      <c r="S17" s="36">
        <f>ROUND(T16*$B17,2)</f>
        <v>3.89</v>
      </c>
      <c r="T17" s="36">
        <f t="shared" si="11"/>
        <v>116.02</v>
      </c>
      <c r="U17" s="36"/>
      <c r="V17" s="36">
        <v>22.11</v>
      </c>
      <c r="W17" s="36"/>
      <c r="X17" s="36">
        <v>24.38</v>
      </c>
      <c r="Y17" s="36"/>
      <c r="Z17" s="36"/>
      <c r="AA17" s="36"/>
      <c r="AB17" s="36"/>
      <c r="AC17" s="37">
        <v>0.81499999999999995</v>
      </c>
      <c r="AD17" s="38">
        <f t="shared" si="1"/>
        <v>2111</v>
      </c>
      <c r="AE17" s="37">
        <v>0.81499999999999995</v>
      </c>
      <c r="AF17" s="39">
        <f t="shared" si="2"/>
        <v>2111</v>
      </c>
      <c r="AG17" s="37">
        <v>0.81499999999999995</v>
      </c>
      <c r="AH17" s="39">
        <f t="shared" si="8"/>
        <v>95</v>
      </c>
      <c r="AI17" s="31"/>
      <c r="AJ17" s="31">
        <v>5.4</v>
      </c>
      <c r="AK17" s="31">
        <v>200</v>
      </c>
      <c r="AL17" s="31"/>
      <c r="AM17" s="37">
        <f t="shared" si="0"/>
        <v>0.18500000000000005</v>
      </c>
      <c r="AN17" s="31"/>
      <c r="AO17" s="31">
        <f t="shared" si="9"/>
        <v>95</v>
      </c>
      <c r="AP17" s="31"/>
      <c r="AQ17" s="31"/>
      <c r="AR17" s="31"/>
      <c r="AS17" s="34">
        <f t="shared" si="4"/>
        <v>2002</v>
      </c>
      <c r="AT17" s="34">
        <f t="shared" si="5"/>
        <v>2503</v>
      </c>
    </row>
    <row r="18" spans="1:46" ht="12.75" x14ac:dyDescent="0.2">
      <c r="A18" s="27">
        <v>1989</v>
      </c>
      <c r="B18" s="35">
        <v>3.5920000000000001E-2</v>
      </c>
      <c r="C18" s="31">
        <f t="shared" si="6"/>
        <v>93</v>
      </c>
      <c r="D18" s="31">
        <v>0</v>
      </c>
      <c r="E18" s="31">
        <f t="shared" si="3"/>
        <v>2683</v>
      </c>
      <c r="F18" s="31">
        <f t="shared" si="7"/>
        <v>2683</v>
      </c>
      <c r="G18" s="31"/>
      <c r="H18" s="36"/>
      <c r="I18" s="36"/>
      <c r="J18" s="31"/>
      <c r="K18" s="36"/>
      <c r="L18" s="36"/>
      <c r="M18" s="31"/>
      <c r="N18" s="36"/>
      <c r="O18" s="36"/>
      <c r="P18" s="31"/>
      <c r="Q18" s="36"/>
      <c r="R18" s="36"/>
      <c r="S18" s="36">
        <f t="shared" si="10"/>
        <v>4.17</v>
      </c>
      <c r="T18" s="36">
        <f t="shared" si="11"/>
        <v>120.19</v>
      </c>
      <c r="U18" s="36"/>
      <c r="V18" s="36">
        <v>22.9</v>
      </c>
      <c r="W18" s="36"/>
      <c r="X18" s="36">
        <v>25.26</v>
      </c>
      <c r="Y18" s="36"/>
      <c r="Z18" s="36"/>
      <c r="AA18" s="36"/>
      <c r="AB18" s="36"/>
      <c r="AC18" s="37">
        <v>0.82</v>
      </c>
      <c r="AD18" s="38">
        <f t="shared" si="1"/>
        <v>2200</v>
      </c>
      <c r="AE18" s="37">
        <v>0.82</v>
      </c>
      <c r="AF18" s="39">
        <f t="shared" si="2"/>
        <v>2200</v>
      </c>
      <c r="AG18" s="37">
        <v>0.82</v>
      </c>
      <c r="AH18" s="39">
        <f t="shared" si="8"/>
        <v>99</v>
      </c>
      <c r="AI18" s="31"/>
      <c r="AJ18" s="31">
        <v>5.4</v>
      </c>
      <c r="AK18" s="31">
        <v>200</v>
      </c>
      <c r="AL18" s="31"/>
      <c r="AM18" s="37">
        <f t="shared" si="0"/>
        <v>0.18000000000000005</v>
      </c>
      <c r="AN18" s="31"/>
      <c r="AO18" s="31">
        <f t="shared" si="9"/>
        <v>99</v>
      </c>
      <c r="AP18" s="31"/>
      <c r="AQ18" s="31"/>
      <c r="AR18" s="31"/>
      <c r="AS18" s="34">
        <f t="shared" si="4"/>
        <v>2111</v>
      </c>
      <c r="AT18" s="34">
        <f t="shared" si="5"/>
        <v>2590</v>
      </c>
    </row>
    <row r="19" spans="1:46" ht="12.75" x14ac:dyDescent="0.2">
      <c r="A19" s="27">
        <v>1990</v>
      </c>
      <c r="B19" s="35">
        <v>3.5340000000000003E-2</v>
      </c>
      <c r="C19" s="31">
        <f t="shared" si="6"/>
        <v>95</v>
      </c>
      <c r="D19" s="31">
        <v>0</v>
      </c>
      <c r="E19" s="31">
        <f t="shared" si="3"/>
        <v>2778</v>
      </c>
      <c r="F19" s="31">
        <f t="shared" si="7"/>
        <v>2778</v>
      </c>
      <c r="G19" s="31"/>
      <c r="H19" s="36"/>
      <c r="I19" s="36"/>
      <c r="J19" s="31"/>
      <c r="K19" s="36"/>
      <c r="L19" s="36"/>
      <c r="M19" s="31"/>
      <c r="N19" s="36"/>
      <c r="O19" s="36"/>
      <c r="P19" s="31"/>
      <c r="Q19" s="36"/>
      <c r="R19" s="36"/>
      <c r="S19" s="36">
        <f t="shared" si="10"/>
        <v>4.25</v>
      </c>
      <c r="T19" s="36">
        <f t="shared" si="11"/>
        <v>124.44</v>
      </c>
      <c r="U19" s="36"/>
      <c r="V19" s="36">
        <v>22.9</v>
      </c>
      <c r="W19" s="36"/>
      <c r="X19" s="36">
        <v>25.26</v>
      </c>
      <c r="Y19" s="36"/>
      <c r="Z19" s="36"/>
      <c r="AA19" s="36"/>
      <c r="AB19" s="36"/>
      <c r="AC19" s="37">
        <v>0.82499999999999996</v>
      </c>
      <c r="AD19" s="38">
        <f t="shared" si="1"/>
        <v>2292</v>
      </c>
      <c r="AE19" s="37">
        <v>0.82499999999999996</v>
      </c>
      <c r="AF19" s="39">
        <f t="shared" si="2"/>
        <v>2292</v>
      </c>
      <c r="AG19" s="37">
        <v>0.82499999999999996</v>
      </c>
      <c r="AH19" s="39">
        <f t="shared" si="8"/>
        <v>103</v>
      </c>
      <c r="AI19" s="31"/>
      <c r="AJ19" s="31">
        <v>5.4</v>
      </c>
      <c r="AK19" s="31">
        <v>200</v>
      </c>
      <c r="AL19" s="31"/>
      <c r="AM19" s="37">
        <f t="shared" si="0"/>
        <v>0.17500000000000004</v>
      </c>
      <c r="AN19" s="31"/>
      <c r="AO19" s="31">
        <f t="shared" si="9"/>
        <v>103</v>
      </c>
      <c r="AP19" s="31"/>
      <c r="AQ19" s="31"/>
      <c r="AR19" s="31"/>
      <c r="AS19" s="34">
        <f t="shared" si="4"/>
        <v>2200</v>
      </c>
      <c r="AT19" s="34">
        <f t="shared" si="5"/>
        <v>2683</v>
      </c>
    </row>
    <row r="20" spans="1:46" ht="12.75" x14ac:dyDescent="0.2">
      <c r="A20" s="27">
        <v>1991</v>
      </c>
      <c r="B20" s="35">
        <v>7.1819999999999995E-2</v>
      </c>
      <c r="C20" s="31">
        <f t="shared" si="6"/>
        <v>200</v>
      </c>
      <c r="D20" s="31">
        <v>0</v>
      </c>
      <c r="E20" s="31">
        <f t="shared" si="3"/>
        <v>2978</v>
      </c>
      <c r="F20" s="31">
        <f t="shared" si="7"/>
        <v>2978</v>
      </c>
      <c r="G20" s="31"/>
      <c r="H20" s="36"/>
      <c r="I20" s="36"/>
      <c r="J20" s="31"/>
      <c r="K20" s="36"/>
      <c r="L20" s="36"/>
      <c r="M20" s="31"/>
      <c r="N20" s="36"/>
      <c r="O20" s="36"/>
      <c r="P20" s="31"/>
      <c r="Q20" s="36"/>
      <c r="R20" s="36"/>
      <c r="S20" s="36">
        <f t="shared" si="10"/>
        <v>8.94</v>
      </c>
      <c r="T20" s="36">
        <f t="shared" si="11"/>
        <v>133.38</v>
      </c>
      <c r="U20" s="36"/>
      <c r="V20" s="36">
        <v>25.41</v>
      </c>
      <c r="W20" s="36"/>
      <c r="X20" s="36">
        <v>28.03</v>
      </c>
      <c r="Y20" s="36"/>
      <c r="Z20" s="36"/>
      <c r="AA20" s="36"/>
      <c r="AB20" s="36"/>
      <c r="AC20" s="37">
        <v>0.83</v>
      </c>
      <c r="AD20" s="38">
        <f t="shared" si="1"/>
        <v>2472</v>
      </c>
      <c r="AE20" s="37">
        <v>0.83</v>
      </c>
      <c r="AF20" s="39">
        <f t="shared" si="2"/>
        <v>2472</v>
      </c>
      <c r="AG20" s="37">
        <v>0.83</v>
      </c>
      <c r="AH20" s="39">
        <f t="shared" si="8"/>
        <v>111</v>
      </c>
      <c r="AI20" s="31"/>
      <c r="AJ20" s="31">
        <v>5.4</v>
      </c>
      <c r="AK20" s="31">
        <v>200</v>
      </c>
      <c r="AL20" s="31"/>
      <c r="AM20" s="37">
        <f t="shared" si="0"/>
        <v>0.17000000000000004</v>
      </c>
      <c r="AN20" s="31"/>
      <c r="AO20" s="31">
        <f t="shared" si="9"/>
        <v>111</v>
      </c>
      <c r="AP20" s="31"/>
      <c r="AQ20" s="31"/>
      <c r="AR20" s="31"/>
      <c r="AS20" s="34">
        <f t="shared" si="4"/>
        <v>2292</v>
      </c>
      <c r="AT20" s="34">
        <f t="shared" si="5"/>
        <v>2778</v>
      </c>
    </row>
    <row r="21" spans="1:46" ht="12.75" x14ac:dyDescent="0.2">
      <c r="A21" s="27">
        <v>1992</v>
      </c>
      <c r="B21" s="41">
        <v>4.3400000000000001E-2</v>
      </c>
      <c r="C21" s="31">
        <f>ROUND(E20*B21,0)</f>
        <v>129</v>
      </c>
      <c r="D21" s="31">
        <v>96</v>
      </c>
      <c r="E21" s="31">
        <f t="shared" si="3"/>
        <v>3203</v>
      </c>
      <c r="F21" s="31">
        <f t="shared" si="7"/>
        <v>3203</v>
      </c>
      <c r="G21" s="31"/>
      <c r="H21" s="36"/>
      <c r="I21" s="36"/>
      <c r="J21" s="31"/>
      <c r="K21" s="36"/>
      <c r="L21" s="36"/>
      <c r="M21" s="31"/>
      <c r="N21" s="36"/>
      <c r="O21" s="36"/>
      <c r="P21" s="31"/>
      <c r="Q21" s="36"/>
      <c r="R21" s="36"/>
      <c r="S21" s="36">
        <f t="shared" si="10"/>
        <v>5.79</v>
      </c>
      <c r="T21" s="40">
        <v>141.97</v>
      </c>
      <c r="U21" s="36"/>
      <c r="V21" s="36">
        <v>26.48</v>
      </c>
      <c r="W21" s="36"/>
      <c r="X21" s="36">
        <v>29.21</v>
      </c>
      <c r="Y21" s="36"/>
      <c r="Z21" s="36"/>
      <c r="AA21" s="36"/>
      <c r="AB21" s="36"/>
      <c r="AC21" s="37">
        <v>0.83</v>
      </c>
      <c r="AD21" s="38">
        <f t="shared" si="1"/>
        <v>2658</v>
      </c>
      <c r="AE21" s="37">
        <v>0.83</v>
      </c>
      <c r="AF21" s="39">
        <f t="shared" si="2"/>
        <v>2658</v>
      </c>
      <c r="AG21" s="37">
        <v>0.83</v>
      </c>
      <c r="AH21" s="39">
        <f t="shared" si="8"/>
        <v>118</v>
      </c>
      <c r="AI21" s="31"/>
      <c r="AJ21" s="31">
        <v>5.4</v>
      </c>
      <c r="AK21" s="31">
        <v>300</v>
      </c>
      <c r="AL21" s="31"/>
      <c r="AM21" s="37">
        <f t="shared" si="0"/>
        <v>0.17000000000000004</v>
      </c>
      <c r="AN21" s="31"/>
      <c r="AO21" s="31">
        <f t="shared" si="9"/>
        <v>118</v>
      </c>
      <c r="AP21" s="31"/>
      <c r="AQ21" s="31"/>
      <c r="AR21" s="31"/>
      <c r="AS21" s="34">
        <f t="shared" si="4"/>
        <v>2472</v>
      </c>
      <c r="AT21" s="34">
        <f t="shared" si="5"/>
        <v>2978</v>
      </c>
    </row>
    <row r="22" spans="1:46" ht="12.75" x14ac:dyDescent="0.2">
      <c r="A22" s="27">
        <v>1993</v>
      </c>
      <c r="B22" s="35">
        <v>4.1509999999999998E-2</v>
      </c>
      <c r="C22" s="31">
        <f t="shared" si="6"/>
        <v>133</v>
      </c>
      <c r="D22" s="31">
        <v>0</v>
      </c>
      <c r="E22" s="31">
        <f t="shared" si="3"/>
        <v>3336</v>
      </c>
      <c r="F22" s="31">
        <f t="shared" si="7"/>
        <v>3336</v>
      </c>
      <c r="G22" s="31"/>
      <c r="H22" s="36"/>
      <c r="I22" s="36"/>
      <c r="J22" s="31"/>
      <c r="K22" s="36"/>
      <c r="L22" s="36"/>
      <c r="M22" s="31"/>
      <c r="N22" s="36"/>
      <c r="O22" s="36"/>
      <c r="P22" s="31"/>
      <c r="Q22" s="36"/>
      <c r="R22" s="36"/>
      <c r="S22" s="36">
        <f t="shared" si="10"/>
        <v>5.89</v>
      </c>
      <c r="T22" s="36">
        <f>S22+T21</f>
        <v>147.85999999999999</v>
      </c>
      <c r="U22" s="36">
        <f>ROUND(V21*$B22,2)</f>
        <v>1.1000000000000001</v>
      </c>
      <c r="V22" s="36">
        <f>U22+V21</f>
        <v>27.580000000000002</v>
      </c>
      <c r="W22" s="36">
        <f t="shared" ref="W22:W50" si="12">ROUND(X21*$B22,2)</f>
        <v>1.21</v>
      </c>
      <c r="X22" s="36">
        <f>W22+X21</f>
        <v>30.42</v>
      </c>
      <c r="Y22" s="36"/>
      <c r="Z22" s="36"/>
      <c r="AA22" s="36"/>
      <c r="AB22" s="36"/>
      <c r="AC22" s="37">
        <v>0.83</v>
      </c>
      <c r="AD22" s="38">
        <f t="shared" si="1"/>
        <v>2769</v>
      </c>
      <c r="AE22" s="37">
        <v>0.79</v>
      </c>
      <c r="AF22" s="39">
        <f t="shared" si="2"/>
        <v>2635</v>
      </c>
      <c r="AG22" s="37">
        <v>0.79</v>
      </c>
      <c r="AH22" s="39">
        <f t="shared" si="8"/>
        <v>117</v>
      </c>
      <c r="AI22" s="31"/>
      <c r="AJ22" s="31">
        <v>5.4</v>
      </c>
      <c r="AK22" s="31">
        <v>300</v>
      </c>
      <c r="AL22" s="31"/>
      <c r="AM22" s="37">
        <f t="shared" si="0"/>
        <v>0.17000000000000004</v>
      </c>
      <c r="AN22" s="31"/>
      <c r="AO22" s="31">
        <f t="shared" si="9"/>
        <v>117</v>
      </c>
      <c r="AP22" s="31"/>
      <c r="AQ22" s="31"/>
      <c r="AR22" s="31"/>
      <c r="AS22" s="34">
        <f t="shared" si="4"/>
        <v>2658</v>
      </c>
      <c r="AT22" s="34">
        <f t="shared" si="5"/>
        <v>3203</v>
      </c>
    </row>
    <row r="23" spans="1:46" ht="12.75" x14ac:dyDescent="0.2">
      <c r="A23" s="27">
        <v>1994</v>
      </c>
      <c r="B23" s="35">
        <v>2.1000000000000001E-2</v>
      </c>
      <c r="C23" s="31">
        <f t="shared" si="6"/>
        <v>70</v>
      </c>
      <c r="D23" s="31">
        <v>0</v>
      </c>
      <c r="E23" s="31">
        <f t="shared" si="3"/>
        <v>3406</v>
      </c>
      <c r="F23" s="31">
        <f t="shared" si="7"/>
        <v>3406</v>
      </c>
      <c r="G23" s="31"/>
      <c r="H23" s="36"/>
      <c r="I23" s="36"/>
      <c r="J23" s="31"/>
      <c r="K23" s="36"/>
      <c r="L23" s="36"/>
      <c r="M23" s="31"/>
      <c r="N23" s="36"/>
      <c r="O23" s="36"/>
      <c r="P23" s="31"/>
      <c r="Q23" s="36"/>
      <c r="R23" s="36"/>
      <c r="S23" s="36">
        <f t="shared" si="10"/>
        <v>3.11</v>
      </c>
      <c r="T23" s="36">
        <f t="shared" si="11"/>
        <v>150.97</v>
      </c>
      <c r="U23" s="36">
        <f t="shared" ref="U23:U50" si="13">ROUND(V22*$B23,2)</f>
        <v>0.57999999999999996</v>
      </c>
      <c r="V23" s="36">
        <f t="shared" ref="V23:V50" si="14">U23+V22</f>
        <v>28.16</v>
      </c>
      <c r="W23" s="36">
        <f t="shared" si="12"/>
        <v>0.64</v>
      </c>
      <c r="X23" s="36">
        <f t="shared" ref="X23:X50" si="15">W23+X22</f>
        <v>31.060000000000002</v>
      </c>
      <c r="Y23" s="36"/>
      <c r="Z23" s="36"/>
      <c r="AA23" s="36"/>
      <c r="AB23" s="36"/>
      <c r="AC23" s="37">
        <v>0.83</v>
      </c>
      <c r="AD23" s="38">
        <f t="shared" si="1"/>
        <v>2827</v>
      </c>
      <c r="AE23" s="37">
        <v>0.79</v>
      </c>
      <c r="AF23" s="39">
        <f t="shared" si="2"/>
        <v>2691</v>
      </c>
      <c r="AG23" s="37">
        <v>0.79</v>
      </c>
      <c r="AH23" s="39">
        <f t="shared" si="8"/>
        <v>119</v>
      </c>
      <c r="AI23" s="31"/>
      <c r="AJ23" s="31">
        <v>5.4</v>
      </c>
      <c r="AK23" s="31">
        <v>300</v>
      </c>
      <c r="AL23" s="31"/>
      <c r="AM23" s="37">
        <f t="shared" si="0"/>
        <v>0.17000000000000004</v>
      </c>
      <c r="AN23" s="31"/>
      <c r="AO23" s="31">
        <f t="shared" si="9"/>
        <v>119</v>
      </c>
      <c r="AP23" s="31"/>
      <c r="AQ23" s="31"/>
      <c r="AR23" s="31"/>
      <c r="AS23" s="34">
        <f t="shared" si="4"/>
        <v>2769</v>
      </c>
      <c r="AT23" s="34">
        <f t="shared" si="5"/>
        <v>3336</v>
      </c>
    </row>
    <row r="24" spans="1:46" ht="12.75" x14ac:dyDescent="0.2">
      <c r="A24" s="27">
        <v>1995</v>
      </c>
      <c r="B24" s="35">
        <v>2.8500000000000001E-2</v>
      </c>
      <c r="C24" s="31">
        <f t="shared" si="6"/>
        <v>97</v>
      </c>
      <c r="D24" s="31">
        <v>0</v>
      </c>
      <c r="E24" s="31">
        <f t="shared" si="3"/>
        <v>3503</v>
      </c>
      <c r="F24" s="31">
        <f t="shared" si="7"/>
        <v>3503</v>
      </c>
      <c r="G24" s="31"/>
      <c r="H24" s="36"/>
      <c r="I24" s="36"/>
      <c r="J24" s="31"/>
      <c r="K24" s="36"/>
      <c r="L24" s="36"/>
      <c r="M24" s="31"/>
      <c r="N24" s="36"/>
      <c r="O24" s="36"/>
      <c r="P24" s="31"/>
      <c r="Q24" s="36"/>
      <c r="R24" s="36"/>
      <c r="S24" s="36">
        <f t="shared" si="10"/>
        <v>4.3</v>
      </c>
      <c r="T24" s="36">
        <f t="shared" si="11"/>
        <v>155.27000000000001</v>
      </c>
      <c r="U24" s="36">
        <f t="shared" si="13"/>
        <v>0.8</v>
      </c>
      <c r="V24" s="36">
        <f t="shared" si="14"/>
        <v>28.96</v>
      </c>
      <c r="W24" s="36">
        <f t="shared" si="12"/>
        <v>0.89</v>
      </c>
      <c r="X24" s="36">
        <f t="shared" si="15"/>
        <v>31.950000000000003</v>
      </c>
      <c r="Y24" s="36"/>
      <c r="Z24" s="36"/>
      <c r="AA24" s="36"/>
      <c r="AB24" s="36"/>
      <c r="AC24" s="37">
        <v>0.83</v>
      </c>
      <c r="AD24" s="38">
        <f t="shared" si="1"/>
        <v>2907</v>
      </c>
      <c r="AE24" s="37">
        <v>0.79</v>
      </c>
      <c r="AF24" s="39">
        <f t="shared" si="2"/>
        <v>2767</v>
      </c>
      <c r="AG24" s="37">
        <v>0.79</v>
      </c>
      <c r="AH24" s="39">
        <f t="shared" si="8"/>
        <v>123</v>
      </c>
      <c r="AI24" s="31"/>
      <c r="AJ24" s="31">
        <v>5.4</v>
      </c>
      <c r="AK24" s="31">
        <v>300</v>
      </c>
      <c r="AL24" s="31"/>
      <c r="AM24" s="37">
        <f t="shared" si="0"/>
        <v>0.17000000000000004</v>
      </c>
      <c r="AN24" s="31"/>
      <c r="AO24" s="31">
        <f t="shared" si="9"/>
        <v>123</v>
      </c>
      <c r="AP24" s="31"/>
      <c r="AQ24" s="31"/>
      <c r="AR24" s="31"/>
      <c r="AS24" s="34">
        <f t="shared" si="4"/>
        <v>2827</v>
      </c>
      <c r="AT24" s="34">
        <f t="shared" si="5"/>
        <v>3406</v>
      </c>
    </row>
    <row r="25" spans="1:46" ht="12.75" x14ac:dyDescent="0.2">
      <c r="A25" s="27">
        <v>1996</v>
      </c>
      <c r="B25" s="35">
        <v>3.5000000000000003E-2</v>
      </c>
      <c r="C25" s="31">
        <f t="shared" si="6"/>
        <v>123</v>
      </c>
      <c r="D25" s="31">
        <v>0</v>
      </c>
      <c r="E25" s="31">
        <f t="shared" si="3"/>
        <v>3626</v>
      </c>
      <c r="F25" s="31">
        <f t="shared" si="7"/>
        <v>3626</v>
      </c>
      <c r="G25" s="31"/>
      <c r="H25" s="36"/>
      <c r="I25" s="36"/>
      <c r="J25" s="31"/>
      <c r="K25" s="36"/>
      <c r="L25" s="36"/>
      <c r="M25" s="31"/>
      <c r="N25" s="36"/>
      <c r="O25" s="36"/>
      <c r="P25" s="31"/>
      <c r="Q25" s="36"/>
      <c r="R25" s="36"/>
      <c r="S25" s="36">
        <f t="shared" si="10"/>
        <v>5.43</v>
      </c>
      <c r="T25" s="36">
        <f t="shared" si="11"/>
        <v>160.70000000000002</v>
      </c>
      <c r="U25" s="36">
        <f t="shared" si="13"/>
        <v>1.01</v>
      </c>
      <c r="V25" s="36">
        <f t="shared" si="14"/>
        <v>29.970000000000002</v>
      </c>
      <c r="W25" s="36">
        <f t="shared" si="12"/>
        <v>1.1200000000000001</v>
      </c>
      <c r="X25" s="36">
        <f t="shared" si="15"/>
        <v>33.07</v>
      </c>
      <c r="Y25" s="36"/>
      <c r="Z25" s="36"/>
      <c r="AA25" s="36"/>
      <c r="AB25" s="36"/>
      <c r="AC25" s="37">
        <v>0.83</v>
      </c>
      <c r="AD25" s="38">
        <f t="shared" si="1"/>
        <v>3010</v>
      </c>
      <c r="AE25" s="37">
        <v>0.79</v>
      </c>
      <c r="AF25" s="39">
        <f>ROUND(AE25*F25,0)</f>
        <v>2865</v>
      </c>
      <c r="AG25" s="37">
        <v>0.79</v>
      </c>
      <c r="AH25" s="39">
        <f t="shared" si="8"/>
        <v>127</v>
      </c>
      <c r="AI25" s="36">
        <v>1</v>
      </c>
      <c r="AJ25" s="31">
        <v>5.4</v>
      </c>
      <c r="AK25" s="31">
        <v>300</v>
      </c>
      <c r="AL25" s="31"/>
      <c r="AM25" s="37">
        <f t="shared" si="0"/>
        <v>0.17000000000000004</v>
      </c>
      <c r="AN25" s="31"/>
      <c r="AO25" s="31">
        <f t="shared" si="9"/>
        <v>127</v>
      </c>
      <c r="AP25" s="31"/>
      <c r="AQ25" s="31"/>
      <c r="AR25" s="31"/>
      <c r="AS25" s="34">
        <f t="shared" si="4"/>
        <v>2907</v>
      </c>
      <c r="AT25" s="34">
        <f t="shared" si="5"/>
        <v>3503</v>
      </c>
    </row>
    <row r="26" spans="1:46" ht="12.75" x14ac:dyDescent="0.2">
      <c r="A26" s="27">
        <v>1997</v>
      </c>
      <c r="B26" s="35">
        <v>3.3000000000000002E-2</v>
      </c>
      <c r="C26" s="31">
        <f t="shared" si="6"/>
        <v>120</v>
      </c>
      <c r="D26" s="31">
        <v>0</v>
      </c>
      <c r="E26" s="31">
        <f t="shared" si="3"/>
        <v>3746</v>
      </c>
      <c r="F26" s="31">
        <f t="shared" si="7"/>
        <v>3746</v>
      </c>
      <c r="G26" s="31"/>
      <c r="H26" s="36"/>
      <c r="I26" s="36"/>
      <c r="J26" s="31"/>
      <c r="K26" s="36"/>
      <c r="L26" s="36"/>
      <c r="M26" s="31"/>
      <c r="N26" s="36"/>
      <c r="O26" s="36"/>
      <c r="P26" s="31"/>
      <c r="Q26" s="36"/>
      <c r="R26" s="36"/>
      <c r="S26" s="36">
        <f t="shared" si="10"/>
        <v>5.3</v>
      </c>
      <c r="T26" s="36">
        <f t="shared" si="11"/>
        <v>166.00000000000003</v>
      </c>
      <c r="U26" s="36">
        <f t="shared" si="13"/>
        <v>0.99</v>
      </c>
      <c r="V26" s="36">
        <f t="shared" si="14"/>
        <v>30.96</v>
      </c>
      <c r="W26" s="36">
        <f t="shared" si="12"/>
        <v>1.0900000000000001</v>
      </c>
      <c r="X26" s="36">
        <f t="shared" si="15"/>
        <v>34.160000000000004</v>
      </c>
      <c r="Y26" s="36"/>
      <c r="Z26" s="36"/>
      <c r="AA26" s="36"/>
      <c r="AB26" s="36"/>
      <c r="AC26" s="37">
        <v>0.875</v>
      </c>
      <c r="AD26" s="38">
        <f t="shared" si="1"/>
        <v>3278</v>
      </c>
      <c r="AE26" s="37">
        <v>0.79</v>
      </c>
      <c r="AF26" s="39">
        <f t="shared" si="2"/>
        <v>2959</v>
      </c>
      <c r="AG26" s="37">
        <v>0.79</v>
      </c>
      <c r="AH26" s="39">
        <f t="shared" si="8"/>
        <v>131</v>
      </c>
      <c r="AI26" s="36">
        <v>1</v>
      </c>
      <c r="AJ26" s="31">
        <v>5.4</v>
      </c>
      <c r="AK26" s="31">
        <v>300</v>
      </c>
      <c r="AL26" s="31"/>
      <c r="AM26" s="37">
        <f t="shared" si="0"/>
        <v>0.125</v>
      </c>
      <c r="AN26" s="31"/>
      <c r="AO26" s="31">
        <f t="shared" si="9"/>
        <v>131</v>
      </c>
      <c r="AP26" s="31"/>
      <c r="AQ26" s="31"/>
      <c r="AR26" s="31"/>
      <c r="AS26" s="34">
        <f t="shared" si="4"/>
        <v>3010</v>
      </c>
      <c r="AT26" s="34">
        <f t="shared" si="5"/>
        <v>3626</v>
      </c>
    </row>
    <row r="27" spans="1:46" ht="12.75" x14ac:dyDescent="0.2">
      <c r="A27" s="27">
        <v>1998</v>
      </c>
      <c r="B27" s="35">
        <v>3.5000000000000003E-2</v>
      </c>
      <c r="C27" s="31">
        <f t="shared" si="6"/>
        <v>131</v>
      </c>
      <c r="D27" s="31">
        <v>0</v>
      </c>
      <c r="E27" s="31">
        <f t="shared" si="3"/>
        <v>3877</v>
      </c>
      <c r="F27" s="31">
        <f t="shared" si="7"/>
        <v>3877</v>
      </c>
      <c r="G27" s="31"/>
      <c r="H27" s="36"/>
      <c r="I27" s="36"/>
      <c r="J27" s="31"/>
      <c r="K27" s="36"/>
      <c r="L27" s="36"/>
      <c r="M27" s="31"/>
      <c r="N27" s="36"/>
      <c r="O27" s="36"/>
      <c r="P27" s="31"/>
      <c r="Q27" s="36"/>
      <c r="R27" s="36"/>
      <c r="S27" s="36">
        <f t="shared" si="10"/>
        <v>5.81</v>
      </c>
      <c r="T27" s="36">
        <f t="shared" si="11"/>
        <v>171.81000000000003</v>
      </c>
      <c r="U27" s="36">
        <f t="shared" si="13"/>
        <v>1.08</v>
      </c>
      <c r="V27" s="36">
        <f t="shared" si="14"/>
        <v>32.04</v>
      </c>
      <c r="W27" s="36">
        <f t="shared" si="12"/>
        <v>1.2</v>
      </c>
      <c r="X27" s="36">
        <f t="shared" si="15"/>
        <v>35.360000000000007</v>
      </c>
      <c r="Y27" s="36"/>
      <c r="Z27" s="36"/>
      <c r="AA27" s="36"/>
      <c r="AB27" s="36"/>
      <c r="AC27" s="37">
        <v>0.875</v>
      </c>
      <c r="AD27" s="38">
        <f t="shared" si="1"/>
        <v>3392</v>
      </c>
      <c r="AE27" s="37">
        <v>0.79</v>
      </c>
      <c r="AF27" s="39">
        <f t="shared" si="2"/>
        <v>3063</v>
      </c>
      <c r="AG27" s="37">
        <v>0.79</v>
      </c>
      <c r="AH27" s="39">
        <f t="shared" si="8"/>
        <v>136</v>
      </c>
      <c r="AI27" s="36">
        <v>1</v>
      </c>
      <c r="AJ27" s="31">
        <v>5.4</v>
      </c>
      <c r="AK27" s="31">
        <v>300</v>
      </c>
      <c r="AL27" s="31"/>
      <c r="AM27" s="37">
        <f t="shared" si="0"/>
        <v>0.125</v>
      </c>
      <c r="AN27" s="31"/>
      <c r="AO27" s="31">
        <f t="shared" si="9"/>
        <v>136</v>
      </c>
      <c r="AP27" s="31"/>
      <c r="AQ27" s="31"/>
      <c r="AR27" s="31"/>
      <c r="AS27" s="34">
        <f t="shared" si="4"/>
        <v>3278</v>
      </c>
      <c r="AT27" s="34">
        <f t="shared" si="5"/>
        <v>3746</v>
      </c>
    </row>
    <row r="28" spans="1:46" ht="12.75" x14ac:dyDescent="0.2">
      <c r="A28" s="27">
        <v>1999</v>
      </c>
      <c r="B28" s="35">
        <v>3.5000000000000003E-2</v>
      </c>
      <c r="C28" s="31">
        <f t="shared" si="6"/>
        <v>136</v>
      </c>
      <c r="D28" s="31">
        <v>0</v>
      </c>
      <c r="E28" s="31">
        <f t="shared" si="3"/>
        <v>4013</v>
      </c>
      <c r="F28" s="31">
        <f t="shared" si="7"/>
        <v>4013</v>
      </c>
      <c r="G28" s="31"/>
      <c r="H28" s="36"/>
      <c r="I28" s="36"/>
      <c r="J28" s="31"/>
      <c r="K28" s="36"/>
      <c r="L28" s="36"/>
      <c r="M28" s="31"/>
      <c r="N28" s="36"/>
      <c r="O28" s="36"/>
      <c r="P28" s="31"/>
      <c r="Q28" s="36"/>
      <c r="R28" s="36"/>
      <c r="S28" s="36">
        <f t="shared" si="10"/>
        <v>6.01</v>
      </c>
      <c r="T28" s="36">
        <f t="shared" si="11"/>
        <v>177.82000000000002</v>
      </c>
      <c r="U28" s="36">
        <f t="shared" si="13"/>
        <v>1.1200000000000001</v>
      </c>
      <c r="V28" s="36">
        <f t="shared" si="14"/>
        <v>33.159999999999997</v>
      </c>
      <c r="W28" s="36">
        <f t="shared" si="12"/>
        <v>1.24</v>
      </c>
      <c r="X28" s="36">
        <f t="shared" si="15"/>
        <v>36.600000000000009</v>
      </c>
      <c r="Y28" s="36"/>
      <c r="Z28" s="36"/>
      <c r="AA28" s="36"/>
      <c r="AB28" s="36"/>
      <c r="AC28" s="37">
        <v>0.875</v>
      </c>
      <c r="AD28" s="38">
        <f t="shared" si="1"/>
        <v>3511</v>
      </c>
      <c r="AE28" s="37">
        <v>0.79</v>
      </c>
      <c r="AF28" s="39">
        <f t="shared" si="2"/>
        <v>3170</v>
      </c>
      <c r="AG28" s="37">
        <v>0.79</v>
      </c>
      <c r="AH28" s="39">
        <f t="shared" si="8"/>
        <v>140</v>
      </c>
      <c r="AI28" s="36">
        <v>1</v>
      </c>
      <c r="AJ28" s="31">
        <v>5.4</v>
      </c>
      <c r="AK28" s="31">
        <v>300</v>
      </c>
      <c r="AL28" s="31"/>
      <c r="AM28" s="37">
        <f t="shared" si="0"/>
        <v>0.125</v>
      </c>
      <c r="AN28" s="31"/>
      <c r="AO28" s="31">
        <f t="shared" si="9"/>
        <v>140</v>
      </c>
      <c r="AP28" s="31"/>
      <c r="AQ28" s="31"/>
      <c r="AR28" s="31"/>
      <c r="AS28" s="34">
        <f t="shared" si="4"/>
        <v>3392</v>
      </c>
      <c r="AT28" s="34">
        <f t="shared" si="5"/>
        <v>3877</v>
      </c>
    </row>
    <row r="29" spans="1:46" ht="12.75" x14ac:dyDescent="0.2">
      <c r="A29" s="27">
        <v>2000</v>
      </c>
      <c r="B29" s="35">
        <v>0.03</v>
      </c>
      <c r="C29" s="31">
        <f t="shared" si="6"/>
        <v>120</v>
      </c>
      <c r="D29" s="31">
        <v>38</v>
      </c>
      <c r="E29" s="31">
        <f t="shared" si="3"/>
        <v>4171</v>
      </c>
      <c r="F29" s="31">
        <f t="shared" si="7"/>
        <v>4171</v>
      </c>
      <c r="G29" s="31"/>
      <c r="H29" s="36"/>
      <c r="I29" s="36"/>
      <c r="J29" s="31"/>
      <c r="K29" s="36"/>
      <c r="L29" s="36"/>
      <c r="M29" s="31"/>
      <c r="N29" s="36"/>
      <c r="O29" s="36"/>
      <c r="P29" s="31"/>
      <c r="Q29" s="36"/>
      <c r="R29" s="36"/>
      <c r="S29" s="36">
        <f t="shared" si="10"/>
        <v>5.33</v>
      </c>
      <c r="T29" s="36">
        <f t="shared" si="11"/>
        <v>183.15000000000003</v>
      </c>
      <c r="U29" s="36">
        <f t="shared" si="13"/>
        <v>0.99</v>
      </c>
      <c r="V29" s="36">
        <f t="shared" si="14"/>
        <v>34.15</v>
      </c>
      <c r="W29" s="36">
        <f t="shared" si="12"/>
        <v>1.1000000000000001</v>
      </c>
      <c r="X29" s="36">
        <f t="shared" si="15"/>
        <v>37.70000000000001</v>
      </c>
      <c r="Y29" s="36"/>
      <c r="Z29" s="36"/>
      <c r="AA29" s="36"/>
      <c r="AB29" s="36"/>
      <c r="AC29" s="37">
        <v>0.875</v>
      </c>
      <c r="AD29" s="38">
        <f t="shared" si="1"/>
        <v>3650</v>
      </c>
      <c r="AE29" s="37">
        <v>0.875</v>
      </c>
      <c r="AF29" s="39">
        <f t="shared" si="2"/>
        <v>3650</v>
      </c>
      <c r="AG29" s="37">
        <v>0.79</v>
      </c>
      <c r="AH29" s="39">
        <f t="shared" si="8"/>
        <v>145</v>
      </c>
      <c r="AI29" s="36">
        <v>1</v>
      </c>
      <c r="AJ29" s="31">
        <v>5.4</v>
      </c>
      <c r="AK29" s="31">
        <v>300</v>
      </c>
      <c r="AL29" s="31"/>
      <c r="AM29" s="37">
        <f t="shared" si="0"/>
        <v>0.125</v>
      </c>
      <c r="AN29" s="31"/>
      <c r="AO29" s="31">
        <f t="shared" si="9"/>
        <v>145</v>
      </c>
      <c r="AP29" s="31"/>
      <c r="AQ29" s="31"/>
      <c r="AR29" s="31">
        <f>D29</f>
        <v>38</v>
      </c>
      <c r="AS29" s="34">
        <f t="shared" si="4"/>
        <v>3511</v>
      </c>
      <c r="AT29" s="34">
        <f t="shared" si="5"/>
        <v>4013</v>
      </c>
    </row>
    <row r="30" spans="1:46" ht="12.75" x14ac:dyDescent="0.2">
      <c r="A30" s="27">
        <v>2001</v>
      </c>
      <c r="B30" s="35">
        <v>0.04</v>
      </c>
      <c r="C30" s="31">
        <f t="shared" si="6"/>
        <v>167</v>
      </c>
      <c r="D30" s="31">
        <v>0</v>
      </c>
      <c r="E30" s="31">
        <f t="shared" si="3"/>
        <v>4338</v>
      </c>
      <c r="F30" s="31">
        <f t="shared" si="7"/>
        <v>4338</v>
      </c>
      <c r="G30" s="31"/>
      <c r="H30" s="36"/>
      <c r="I30" s="36"/>
      <c r="J30" s="31"/>
      <c r="K30" s="36"/>
      <c r="L30" s="36"/>
      <c r="M30" s="31"/>
      <c r="N30" s="36"/>
      <c r="O30" s="36"/>
      <c r="P30" s="31"/>
      <c r="Q30" s="36"/>
      <c r="R30" s="36"/>
      <c r="S30" s="36">
        <f t="shared" si="10"/>
        <v>7.33</v>
      </c>
      <c r="T30" s="36">
        <f t="shared" si="11"/>
        <v>190.48000000000005</v>
      </c>
      <c r="U30" s="36">
        <f t="shared" si="13"/>
        <v>1.37</v>
      </c>
      <c r="V30" s="36">
        <f t="shared" si="14"/>
        <v>35.519999999999996</v>
      </c>
      <c r="W30" s="36">
        <f t="shared" si="12"/>
        <v>1.51</v>
      </c>
      <c r="X30" s="36">
        <f t="shared" si="15"/>
        <v>39.210000000000008</v>
      </c>
      <c r="Y30" s="36"/>
      <c r="Z30" s="36"/>
      <c r="AA30" s="36"/>
      <c r="AB30" s="36"/>
      <c r="AC30" s="37">
        <v>0.875</v>
      </c>
      <c r="AD30" s="38">
        <f t="shared" si="1"/>
        <v>3796</v>
      </c>
      <c r="AE30" s="37">
        <v>0.875</v>
      </c>
      <c r="AF30" s="39">
        <f t="shared" si="2"/>
        <v>3796</v>
      </c>
      <c r="AG30" s="37">
        <v>0.79</v>
      </c>
      <c r="AH30" s="39">
        <f t="shared" si="8"/>
        <v>150</v>
      </c>
      <c r="AI30" s="36">
        <v>1</v>
      </c>
      <c r="AJ30" s="31">
        <v>5.4</v>
      </c>
      <c r="AK30" s="31">
        <v>300</v>
      </c>
      <c r="AL30" s="31"/>
      <c r="AM30" s="37">
        <f t="shared" si="0"/>
        <v>0.125</v>
      </c>
      <c r="AN30" s="31"/>
      <c r="AO30" s="31">
        <f t="shared" si="9"/>
        <v>150</v>
      </c>
      <c r="AP30" s="31"/>
      <c r="AQ30" s="31"/>
      <c r="AR30" s="38">
        <f>ROUND(AR29*(1+B30),0)</f>
        <v>40</v>
      </c>
      <c r="AS30" s="34">
        <f t="shared" si="4"/>
        <v>3650</v>
      </c>
      <c r="AT30" s="34">
        <f t="shared" si="5"/>
        <v>4171</v>
      </c>
    </row>
    <row r="31" spans="1:46" ht="12.75" x14ac:dyDescent="0.2">
      <c r="A31" s="27">
        <v>2002</v>
      </c>
      <c r="B31" s="35">
        <v>0.04</v>
      </c>
      <c r="C31" s="31">
        <f t="shared" si="6"/>
        <v>174</v>
      </c>
      <c r="D31" s="31">
        <v>0</v>
      </c>
      <c r="E31" s="31">
        <f t="shared" si="3"/>
        <v>4512</v>
      </c>
      <c r="F31" s="31">
        <f t="shared" si="7"/>
        <v>4512</v>
      </c>
      <c r="G31" s="31"/>
      <c r="H31" s="36"/>
      <c r="I31" s="36"/>
      <c r="J31" s="31"/>
      <c r="K31" s="36"/>
      <c r="L31" s="36"/>
      <c r="M31" s="31"/>
      <c r="N31" s="36"/>
      <c r="O31" s="36"/>
      <c r="P31" s="31"/>
      <c r="Q31" s="36"/>
      <c r="R31" s="36"/>
      <c r="S31" s="36">
        <f t="shared" si="10"/>
        <v>7.62</v>
      </c>
      <c r="T31" s="36">
        <f t="shared" si="11"/>
        <v>198.10000000000005</v>
      </c>
      <c r="U31" s="36">
        <f t="shared" si="13"/>
        <v>1.42</v>
      </c>
      <c r="V31" s="36">
        <f t="shared" si="14"/>
        <v>36.94</v>
      </c>
      <c r="W31" s="36">
        <f t="shared" si="12"/>
        <v>1.57</v>
      </c>
      <c r="X31" s="36">
        <f t="shared" si="15"/>
        <v>40.780000000000008</v>
      </c>
      <c r="Y31" s="36"/>
      <c r="Z31" s="36"/>
      <c r="AA31" s="36"/>
      <c r="AB31" s="36"/>
      <c r="AC31" s="37">
        <v>0.875</v>
      </c>
      <c r="AD31" s="38">
        <f t="shared" si="1"/>
        <v>3948</v>
      </c>
      <c r="AE31" s="37">
        <v>0.875</v>
      </c>
      <c r="AF31" s="39">
        <f t="shared" si="2"/>
        <v>3948</v>
      </c>
      <c r="AG31" s="37">
        <v>0.79</v>
      </c>
      <c r="AH31" s="39">
        <f t="shared" si="8"/>
        <v>156</v>
      </c>
      <c r="AI31" s="36">
        <v>1</v>
      </c>
      <c r="AJ31" s="31">
        <v>5.4</v>
      </c>
      <c r="AK31" s="31">
        <v>300</v>
      </c>
      <c r="AL31" s="31"/>
      <c r="AM31" s="37">
        <f t="shared" si="0"/>
        <v>0.125</v>
      </c>
      <c r="AN31" s="31"/>
      <c r="AO31" s="31">
        <f t="shared" si="9"/>
        <v>156</v>
      </c>
      <c r="AP31" s="31"/>
      <c r="AQ31" s="31"/>
      <c r="AR31" s="38">
        <f t="shared" ref="AR31:AR51" si="16">ROUND(AR30*(1+B31),0)</f>
        <v>42</v>
      </c>
      <c r="AS31" s="34">
        <f t="shared" si="4"/>
        <v>3796</v>
      </c>
      <c r="AT31" s="34">
        <f t="shared" si="5"/>
        <v>4338</v>
      </c>
    </row>
    <row r="32" spans="1:46" ht="12.75" x14ac:dyDescent="0.2">
      <c r="A32" s="27">
        <v>2003</v>
      </c>
      <c r="B32" s="35">
        <v>0.01</v>
      </c>
      <c r="C32" s="31">
        <f t="shared" si="6"/>
        <v>45</v>
      </c>
      <c r="D32" s="31">
        <v>0</v>
      </c>
      <c r="E32" s="31">
        <f t="shared" si="3"/>
        <v>4557</v>
      </c>
      <c r="F32" s="31">
        <f t="shared" si="7"/>
        <v>4557</v>
      </c>
      <c r="G32" s="31"/>
      <c r="H32" s="36"/>
      <c r="I32" s="36"/>
      <c r="J32" s="31"/>
      <c r="K32" s="36"/>
      <c r="L32" s="36"/>
      <c r="M32" s="31"/>
      <c r="N32" s="36"/>
      <c r="O32" s="36"/>
      <c r="P32" s="31"/>
      <c r="Q32" s="36"/>
      <c r="R32" s="36"/>
      <c r="S32" s="36">
        <f t="shared" si="10"/>
        <v>1.98</v>
      </c>
      <c r="T32" s="36">
        <f t="shared" si="11"/>
        <v>200.08000000000004</v>
      </c>
      <c r="U32" s="36">
        <f t="shared" si="13"/>
        <v>0.37</v>
      </c>
      <c r="V32" s="36">
        <f t="shared" si="14"/>
        <v>37.309999999999995</v>
      </c>
      <c r="W32" s="36">
        <f t="shared" si="12"/>
        <v>0.41</v>
      </c>
      <c r="X32" s="36">
        <f t="shared" si="15"/>
        <v>41.190000000000005</v>
      </c>
      <c r="Y32" s="36"/>
      <c r="Z32" s="36"/>
      <c r="AA32" s="36"/>
      <c r="AB32" s="36"/>
      <c r="AC32" s="37">
        <v>0.875</v>
      </c>
      <c r="AD32" s="38">
        <f t="shared" si="1"/>
        <v>3987</v>
      </c>
      <c r="AE32" s="37">
        <v>0.875</v>
      </c>
      <c r="AF32" s="39">
        <f t="shared" si="2"/>
        <v>3987</v>
      </c>
      <c r="AG32" s="37">
        <v>0.79</v>
      </c>
      <c r="AH32" s="39">
        <f t="shared" si="8"/>
        <v>158</v>
      </c>
      <c r="AI32" s="36">
        <v>1</v>
      </c>
      <c r="AJ32" s="31">
        <v>5.4</v>
      </c>
      <c r="AK32" s="31">
        <v>300</v>
      </c>
      <c r="AL32" s="31"/>
      <c r="AM32" s="37">
        <f t="shared" si="0"/>
        <v>0.125</v>
      </c>
      <c r="AN32" s="31"/>
      <c r="AO32" s="31">
        <f t="shared" si="9"/>
        <v>158</v>
      </c>
      <c r="AP32" s="31"/>
      <c r="AQ32" s="31"/>
      <c r="AR32" s="38">
        <f t="shared" si="16"/>
        <v>42</v>
      </c>
      <c r="AS32" s="34">
        <f t="shared" si="4"/>
        <v>3948</v>
      </c>
      <c r="AT32" s="34">
        <f t="shared" si="5"/>
        <v>4512</v>
      </c>
    </row>
    <row r="33" spans="1:49" ht="12.75" x14ac:dyDescent="0.2">
      <c r="A33" s="27">
        <v>2004</v>
      </c>
      <c r="B33" s="35">
        <v>0.02</v>
      </c>
      <c r="C33" s="31">
        <f t="shared" si="6"/>
        <v>91</v>
      </c>
      <c r="D33" s="31">
        <v>0</v>
      </c>
      <c r="E33" s="31">
        <f t="shared" si="3"/>
        <v>4648</v>
      </c>
      <c r="F33" s="31">
        <f t="shared" si="7"/>
        <v>4648</v>
      </c>
      <c r="G33" s="31"/>
      <c r="H33" s="36"/>
      <c r="I33" s="36"/>
      <c r="J33" s="31"/>
      <c r="K33" s="36"/>
      <c r="L33" s="36"/>
      <c r="M33" s="31"/>
      <c r="N33" s="36"/>
      <c r="O33" s="36"/>
      <c r="P33" s="31"/>
      <c r="Q33" s="36"/>
      <c r="R33" s="36"/>
      <c r="S33" s="36">
        <f t="shared" si="10"/>
        <v>4</v>
      </c>
      <c r="T33" s="36">
        <f t="shared" si="11"/>
        <v>204.08000000000004</v>
      </c>
      <c r="U33" s="36">
        <f t="shared" si="13"/>
        <v>0.75</v>
      </c>
      <c r="V33" s="36">
        <f t="shared" si="14"/>
        <v>38.059999999999995</v>
      </c>
      <c r="W33" s="36">
        <f t="shared" si="12"/>
        <v>0.82</v>
      </c>
      <c r="X33" s="36">
        <f t="shared" si="15"/>
        <v>42.010000000000005</v>
      </c>
      <c r="Y33" s="36"/>
      <c r="Z33" s="36"/>
      <c r="AA33" s="36"/>
      <c r="AB33" s="36"/>
      <c r="AC33" s="37">
        <v>0.875</v>
      </c>
      <c r="AD33" s="38">
        <f t="shared" si="1"/>
        <v>4067</v>
      </c>
      <c r="AE33" s="37">
        <v>0.875</v>
      </c>
      <c r="AF33" s="39">
        <f t="shared" si="2"/>
        <v>4067</v>
      </c>
      <c r="AG33" s="37">
        <v>0.79</v>
      </c>
      <c r="AH33" s="39">
        <f t="shared" si="8"/>
        <v>161</v>
      </c>
      <c r="AI33" s="36">
        <v>1</v>
      </c>
      <c r="AJ33" s="31">
        <v>5.4</v>
      </c>
      <c r="AK33" s="31">
        <v>300</v>
      </c>
      <c r="AL33" s="31"/>
      <c r="AM33" s="37">
        <f t="shared" si="0"/>
        <v>0.125</v>
      </c>
      <c r="AN33" s="31"/>
      <c r="AO33" s="31">
        <f t="shared" si="9"/>
        <v>161</v>
      </c>
      <c r="AP33" s="31"/>
      <c r="AQ33" s="31"/>
      <c r="AR33" s="38">
        <f t="shared" si="16"/>
        <v>43</v>
      </c>
      <c r="AS33" s="34">
        <f t="shared" si="4"/>
        <v>3987</v>
      </c>
      <c r="AT33" s="34">
        <f t="shared" si="5"/>
        <v>4557</v>
      </c>
    </row>
    <row r="34" spans="1:49" ht="12.75" x14ac:dyDescent="0.2">
      <c r="A34" s="27">
        <v>2005</v>
      </c>
      <c r="B34" s="35">
        <v>0.02</v>
      </c>
      <c r="C34" s="31">
        <f t="shared" si="6"/>
        <v>93</v>
      </c>
      <c r="D34" s="31">
        <v>0</v>
      </c>
      <c r="E34" s="31">
        <f t="shared" si="3"/>
        <v>4741</v>
      </c>
      <c r="F34" s="31">
        <f t="shared" si="7"/>
        <v>4741</v>
      </c>
      <c r="G34" s="31"/>
      <c r="H34" s="36"/>
      <c r="I34" s="36"/>
      <c r="J34" s="31"/>
      <c r="K34" s="36"/>
      <c r="L34" s="36"/>
      <c r="M34" s="31"/>
      <c r="N34" s="36"/>
      <c r="O34" s="36"/>
      <c r="P34" s="31"/>
      <c r="Q34" s="36"/>
      <c r="R34" s="36"/>
      <c r="S34" s="36">
        <f t="shared" si="10"/>
        <v>4.08</v>
      </c>
      <c r="T34" s="36">
        <f t="shared" si="11"/>
        <v>208.16000000000005</v>
      </c>
      <c r="U34" s="36">
        <f t="shared" si="13"/>
        <v>0.76</v>
      </c>
      <c r="V34" s="36">
        <f t="shared" si="14"/>
        <v>38.819999999999993</v>
      </c>
      <c r="W34" s="36">
        <f t="shared" si="12"/>
        <v>0.84</v>
      </c>
      <c r="X34" s="36">
        <f t="shared" si="15"/>
        <v>42.850000000000009</v>
      </c>
      <c r="Y34" s="36"/>
      <c r="Z34" s="36"/>
      <c r="AA34" s="36"/>
      <c r="AB34" s="36"/>
      <c r="AC34" s="37">
        <v>0.875</v>
      </c>
      <c r="AD34" s="38">
        <f t="shared" si="1"/>
        <v>4148</v>
      </c>
      <c r="AE34" s="37">
        <v>0.875</v>
      </c>
      <c r="AF34" s="39">
        <f t="shared" si="2"/>
        <v>4148</v>
      </c>
      <c r="AG34" s="37">
        <v>0.79</v>
      </c>
      <c r="AH34" s="39">
        <f t="shared" si="8"/>
        <v>164</v>
      </c>
      <c r="AI34" s="36">
        <v>1.01</v>
      </c>
      <c r="AJ34" s="31">
        <v>5.4</v>
      </c>
      <c r="AK34" s="31">
        <v>300</v>
      </c>
      <c r="AL34" s="31"/>
      <c r="AM34" s="37">
        <f t="shared" si="0"/>
        <v>0.125</v>
      </c>
      <c r="AN34" s="31"/>
      <c r="AO34" s="31">
        <f t="shared" si="9"/>
        <v>164</v>
      </c>
      <c r="AP34" s="31"/>
      <c r="AQ34" s="31"/>
      <c r="AR34" s="38">
        <f t="shared" si="16"/>
        <v>44</v>
      </c>
      <c r="AS34" s="34">
        <f t="shared" si="4"/>
        <v>4067</v>
      </c>
      <c r="AT34" s="34">
        <f t="shared" si="5"/>
        <v>4648</v>
      </c>
    </row>
    <row r="35" spans="1:49" ht="12.75" x14ac:dyDescent="0.2">
      <c r="A35" s="27">
        <v>2006</v>
      </c>
      <c r="B35" s="35">
        <v>0.04</v>
      </c>
      <c r="C35" s="31">
        <f t="shared" si="6"/>
        <v>190</v>
      </c>
      <c r="D35" s="31">
        <v>0</v>
      </c>
      <c r="E35" s="31">
        <f t="shared" si="3"/>
        <v>4931</v>
      </c>
      <c r="F35" s="31">
        <f t="shared" si="7"/>
        <v>4931</v>
      </c>
      <c r="G35" s="31"/>
      <c r="H35" s="36"/>
      <c r="I35" s="36"/>
      <c r="J35" s="31"/>
      <c r="K35" s="36"/>
      <c r="L35" s="36"/>
      <c r="M35" s="31"/>
      <c r="N35" s="36"/>
      <c r="O35" s="36"/>
      <c r="P35" s="31"/>
      <c r="Q35" s="36"/>
      <c r="R35" s="36"/>
      <c r="S35" s="36">
        <f t="shared" si="10"/>
        <v>8.33</v>
      </c>
      <c r="T35" s="36">
        <f t="shared" si="11"/>
        <v>216.49000000000007</v>
      </c>
      <c r="U35" s="36">
        <f t="shared" si="13"/>
        <v>1.55</v>
      </c>
      <c r="V35" s="36">
        <f t="shared" si="14"/>
        <v>40.36999999999999</v>
      </c>
      <c r="W35" s="36">
        <f t="shared" si="12"/>
        <v>1.71</v>
      </c>
      <c r="X35" s="36">
        <f t="shared" si="15"/>
        <v>44.560000000000009</v>
      </c>
      <c r="Y35" s="36"/>
      <c r="Z35" s="36"/>
      <c r="AA35" s="36"/>
      <c r="AB35" s="36"/>
      <c r="AC35" s="37">
        <v>0.875</v>
      </c>
      <c r="AD35" s="38">
        <f t="shared" si="1"/>
        <v>4315</v>
      </c>
      <c r="AE35" s="37">
        <v>0.875</v>
      </c>
      <c r="AF35" s="39">
        <f t="shared" si="2"/>
        <v>4315</v>
      </c>
      <c r="AG35" s="37">
        <v>0.79</v>
      </c>
      <c r="AH35" s="39">
        <f t="shared" si="8"/>
        <v>171</v>
      </c>
      <c r="AI35" s="36">
        <v>1.01</v>
      </c>
      <c r="AJ35" s="31">
        <v>5.4</v>
      </c>
      <c r="AK35" s="31">
        <v>300</v>
      </c>
      <c r="AL35" s="31"/>
      <c r="AM35" s="37">
        <f t="shared" si="0"/>
        <v>0.125</v>
      </c>
      <c r="AN35" s="31"/>
      <c r="AO35" s="31">
        <f t="shared" si="9"/>
        <v>171</v>
      </c>
      <c r="AP35" s="31"/>
      <c r="AQ35" s="31"/>
      <c r="AR35" s="38">
        <f t="shared" si="16"/>
        <v>46</v>
      </c>
      <c r="AS35" s="34">
        <f t="shared" si="4"/>
        <v>4148</v>
      </c>
      <c r="AT35" s="34">
        <f t="shared" si="5"/>
        <v>4741</v>
      </c>
    </row>
    <row r="36" spans="1:49" ht="12.75" x14ac:dyDescent="0.2">
      <c r="A36" s="27">
        <v>2007</v>
      </c>
      <c r="B36" s="35">
        <v>0.04</v>
      </c>
      <c r="C36" s="31">
        <f t="shared" si="6"/>
        <v>197</v>
      </c>
      <c r="D36" s="31">
        <v>0</v>
      </c>
      <c r="E36" s="31">
        <f t="shared" si="3"/>
        <v>5128</v>
      </c>
      <c r="F36" s="31">
        <f t="shared" si="7"/>
        <v>5128</v>
      </c>
      <c r="G36" s="31"/>
      <c r="H36" s="36"/>
      <c r="I36" s="36"/>
      <c r="J36" s="31"/>
      <c r="K36" s="36"/>
      <c r="L36" s="36"/>
      <c r="M36" s="31"/>
      <c r="N36" s="36"/>
      <c r="O36" s="36"/>
      <c r="P36" s="31"/>
      <c r="Q36" s="36"/>
      <c r="R36" s="36"/>
      <c r="S36" s="36">
        <f t="shared" si="10"/>
        <v>8.66</v>
      </c>
      <c r="T36" s="36">
        <f t="shared" si="11"/>
        <v>225.15000000000006</v>
      </c>
      <c r="U36" s="36">
        <f t="shared" si="13"/>
        <v>1.61</v>
      </c>
      <c r="V36" s="36">
        <f t="shared" si="14"/>
        <v>41.97999999999999</v>
      </c>
      <c r="W36" s="36">
        <f t="shared" si="12"/>
        <v>1.78</v>
      </c>
      <c r="X36" s="36">
        <f t="shared" si="15"/>
        <v>46.340000000000011</v>
      </c>
      <c r="Y36" s="36"/>
      <c r="Z36" s="36"/>
      <c r="AA36" s="36"/>
      <c r="AB36" s="36"/>
      <c r="AC36" s="37">
        <v>0.875</v>
      </c>
      <c r="AD36" s="38">
        <f t="shared" si="1"/>
        <v>4487</v>
      </c>
      <c r="AE36" s="37">
        <v>0.875</v>
      </c>
      <c r="AF36" s="39">
        <f t="shared" si="2"/>
        <v>4487</v>
      </c>
      <c r="AG36" s="37">
        <v>0.79</v>
      </c>
      <c r="AH36" s="39">
        <f t="shared" si="8"/>
        <v>178</v>
      </c>
      <c r="AI36" s="36">
        <v>1.01</v>
      </c>
      <c r="AJ36" s="31">
        <v>5.4</v>
      </c>
      <c r="AK36" s="31">
        <v>300</v>
      </c>
      <c r="AL36" s="31"/>
      <c r="AM36" s="37">
        <f t="shared" si="0"/>
        <v>0.125</v>
      </c>
      <c r="AN36" s="35">
        <v>4.72424</v>
      </c>
      <c r="AO36" s="31">
        <f t="shared" si="9"/>
        <v>178</v>
      </c>
      <c r="AP36" s="31"/>
      <c r="AQ36" s="31"/>
      <c r="AR36" s="38">
        <f t="shared" si="16"/>
        <v>48</v>
      </c>
      <c r="AS36" s="34">
        <f t="shared" si="4"/>
        <v>4315</v>
      </c>
      <c r="AT36" s="34">
        <f t="shared" si="5"/>
        <v>4931</v>
      </c>
    </row>
    <row r="37" spans="1:49" ht="12.75" x14ac:dyDescent="0.2">
      <c r="A37" s="27">
        <v>2008</v>
      </c>
      <c r="B37" s="35">
        <v>0.04</v>
      </c>
      <c r="C37" s="31">
        <f t="shared" si="6"/>
        <v>205</v>
      </c>
      <c r="D37" s="31">
        <v>0</v>
      </c>
      <c r="E37" s="31">
        <f t="shared" si="3"/>
        <v>5333</v>
      </c>
      <c r="F37" s="31">
        <f t="shared" si="7"/>
        <v>5333</v>
      </c>
      <c r="G37" s="31"/>
      <c r="H37" s="36"/>
      <c r="I37" s="36"/>
      <c r="J37" s="31"/>
      <c r="K37" s="36"/>
      <c r="L37" s="36"/>
      <c r="M37" s="31"/>
      <c r="N37" s="36"/>
      <c r="O37" s="36"/>
      <c r="P37" s="31"/>
      <c r="Q37" s="36"/>
      <c r="R37" s="36"/>
      <c r="S37" s="36">
        <f t="shared" si="10"/>
        <v>9.01</v>
      </c>
      <c r="T37" s="36">
        <f t="shared" si="11"/>
        <v>234.16000000000005</v>
      </c>
      <c r="U37" s="36">
        <f t="shared" si="13"/>
        <v>1.68</v>
      </c>
      <c r="V37" s="36">
        <f t="shared" si="14"/>
        <v>43.659999999999989</v>
      </c>
      <c r="W37" s="36">
        <f t="shared" si="12"/>
        <v>1.85</v>
      </c>
      <c r="X37" s="36">
        <f t="shared" si="15"/>
        <v>48.190000000000012</v>
      </c>
      <c r="Y37" s="36"/>
      <c r="Z37" s="36"/>
      <c r="AA37" s="36"/>
      <c r="AB37" s="36"/>
      <c r="AC37" s="37">
        <v>0.875</v>
      </c>
      <c r="AD37" s="38">
        <f t="shared" si="1"/>
        <v>4666</v>
      </c>
      <c r="AE37" s="37">
        <v>0.875</v>
      </c>
      <c r="AF37" s="39">
        <f t="shared" si="2"/>
        <v>4666</v>
      </c>
      <c r="AG37" s="37">
        <v>0.79</v>
      </c>
      <c r="AH37" s="39">
        <f t="shared" si="8"/>
        <v>185</v>
      </c>
      <c r="AI37" s="36">
        <v>1.01</v>
      </c>
      <c r="AJ37" s="31">
        <v>5.4</v>
      </c>
      <c r="AK37" s="31">
        <v>300</v>
      </c>
      <c r="AL37" s="31"/>
      <c r="AM37" s="37">
        <f t="shared" si="0"/>
        <v>0.125</v>
      </c>
      <c r="AN37" s="31">
        <v>4.4445399999999999</v>
      </c>
      <c r="AO37" s="31">
        <f t="shared" si="9"/>
        <v>185</v>
      </c>
      <c r="AP37" s="31"/>
      <c r="AQ37" s="31"/>
      <c r="AR37" s="38">
        <f t="shared" si="16"/>
        <v>50</v>
      </c>
      <c r="AS37" s="34">
        <f t="shared" si="4"/>
        <v>4487</v>
      </c>
      <c r="AT37" s="34">
        <f t="shared" si="5"/>
        <v>5128</v>
      </c>
    </row>
    <row r="38" spans="1:49" ht="12.75" x14ac:dyDescent="0.2">
      <c r="A38" s="27">
        <v>2009</v>
      </c>
      <c r="B38" s="35">
        <v>0.04</v>
      </c>
      <c r="C38" s="31">
        <f t="shared" si="6"/>
        <v>213</v>
      </c>
      <c r="D38" s="31">
        <v>0</v>
      </c>
      <c r="E38" s="31">
        <f t="shared" si="3"/>
        <v>5546</v>
      </c>
      <c r="F38" s="31">
        <f t="shared" si="7"/>
        <v>5546</v>
      </c>
      <c r="G38" s="31"/>
      <c r="H38" s="36"/>
      <c r="I38" s="36"/>
      <c r="J38" s="31"/>
      <c r="K38" s="36"/>
      <c r="L38" s="36"/>
      <c r="M38" s="31"/>
      <c r="N38" s="36"/>
      <c r="O38" s="36"/>
      <c r="P38" s="31"/>
      <c r="Q38" s="36"/>
      <c r="R38" s="36"/>
      <c r="S38" s="36">
        <f t="shared" si="10"/>
        <v>9.3699999999999992</v>
      </c>
      <c r="T38" s="36">
        <f t="shared" si="11"/>
        <v>243.53000000000006</v>
      </c>
      <c r="U38" s="36">
        <f t="shared" si="13"/>
        <v>1.75</v>
      </c>
      <c r="V38" s="36">
        <f t="shared" si="14"/>
        <v>45.409999999999989</v>
      </c>
      <c r="W38" s="36">
        <f t="shared" si="12"/>
        <v>1.93</v>
      </c>
      <c r="X38" s="36">
        <f t="shared" si="15"/>
        <v>50.120000000000012</v>
      </c>
      <c r="Y38" s="36"/>
      <c r="Z38" s="36"/>
      <c r="AA38" s="36"/>
      <c r="AB38" s="36"/>
      <c r="AC38" s="37">
        <v>0.875</v>
      </c>
      <c r="AD38" s="38">
        <f t="shared" si="1"/>
        <v>4853</v>
      </c>
      <c r="AE38" s="37">
        <v>0.875</v>
      </c>
      <c r="AF38" s="39">
        <f t="shared" si="2"/>
        <v>4853</v>
      </c>
      <c r="AG38" s="37">
        <v>0.79</v>
      </c>
      <c r="AH38" s="39">
        <f t="shared" si="8"/>
        <v>192</v>
      </c>
      <c r="AI38" s="36">
        <v>1.01</v>
      </c>
      <c r="AJ38" s="31">
        <v>5.4</v>
      </c>
      <c r="AK38" s="31">
        <v>300</v>
      </c>
      <c r="AL38" s="31"/>
      <c r="AM38" s="37">
        <f t="shared" si="0"/>
        <v>0.125</v>
      </c>
      <c r="AN38" s="31">
        <v>4.1448799999999997</v>
      </c>
      <c r="AO38" s="31">
        <f t="shared" si="9"/>
        <v>192</v>
      </c>
      <c r="AP38" s="31"/>
      <c r="AQ38" s="31"/>
      <c r="AR38" s="38">
        <f t="shared" si="16"/>
        <v>52</v>
      </c>
      <c r="AS38" s="34">
        <f t="shared" si="4"/>
        <v>4666</v>
      </c>
      <c r="AT38" s="34">
        <f t="shared" si="5"/>
        <v>5333</v>
      </c>
    </row>
    <row r="39" spans="1:49" ht="12.75" x14ac:dyDescent="0.2">
      <c r="A39" s="27">
        <v>2010</v>
      </c>
      <c r="B39" s="35">
        <v>0.04</v>
      </c>
      <c r="C39" s="31">
        <f t="shared" si="6"/>
        <v>222</v>
      </c>
      <c r="D39" s="31">
        <v>0</v>
      </c>
      <c r="E39" s="31">
        <f t="shared" si="3"/>
        <v>5768</v>
      </c>
      <c r="F39" s="31">
        <f t="shared" si="7"/>
        <v>5768</v>
      </c>
      <c r="G39" s="31"/>
      <c r="H39" s="36"/>
      <c r="I39" s="42">
        <v>497.09</v>
      </c>
      <c r="J39" s="43"/>
      <c r="K39" s="42"/>
      <c r="L39" s="42">
        <v>56.29</v>
      </c>
      <c r="M39" s="43"/>
      <c r="N39" s="42"/>
      <c r="O39" s="42">
        <v>61.32</v>
      </c>
      <c r="P39" s="43"/>
      <c r="Q39" s="42"/>
      <c r="R39" s="36"/>
      <c r="S39" s="36">
        <f t="shared" si="10"/>
        <v>9.74</v>
      </c>
      <c r="T39" s="36">
        <f t="shared" si="11"/>
        <v>253.27000000000007</v>
      </c>
      <c r="U39" s="36">
        <f t="shared" si="13"/>
        <v>1.82</v>
      </c>
      <c r="V39" s="36">
        <f t="shared" si="14"/>
        <v>47.22999999999999</v>
      </c>
      <c r="W39" s="36">
        <f t="shared" si="12"/>
        <v>2</v>
      </c>
      <c r="X39" s="36">
        <f t="shared" si="15"/>
        <v>52.120000000000012</v>
      </c>
      <c r="Y39" s="36"/>
      <c r="Z39" s="42">
        <v>26.02</v>
      </c>
      <c r="AA39" s="42"/>
      <c r="AB39" s="42">
        <v>3.04</v>
      </c>
      <c r="AC39" s="37">
        <v>0.875</v>
      </c>
      <c r="AD39" s="38">
        <f t="shared" si="1"/>
        <v>5047</v>
      </c>
      <c r="AE39" s="37">
        <v>0.875</v>
      </c>
      <c r="AF39" s="39">
        <f t="shared" si="2"/>
        <v>5047</v>
      </c>
      <c r="AG39" s="37">
        <v>0.79</v>
      </c>
      <c r="AH39" s="39">
        <f t="shared" si="8"/>
        <v>200</v>
      </c>
      <c r="AI39" s="36">
        <v>1.01</v>
      </c>
      <c r="AJ39" s="31">
        <v>5.4</v>
      </c>
      <c r="AK39" s="31">
        <v>300</v>
      </c>
      <c r="AL39" s="31"/>
      <c r="AM39" s="37">
        <f t="shared" si="0"/>
        <v>0.125</v>
      </c>
      <c r="AN39" s="31">
        <v>3.9292400000000001</v>
      </c>
      <c r="AO39" s="31">
        <f t="shared" si="9"/>
        <v>200</v>
      </c>
      <c r="AP39" s="31"/>
      <c r="AQ39" s="31"/>
      <c r="AR39" s="38">
        <f t="shared" si="16"/>
        <v>54</v>
      </c>
      <c r="AS39" s="34">
        <f t="shared" si="4"/>
        <v>4853</v>
      </c>
      <c r="AT39" s="34">
        <f t="shared" si="5"/>
        <v>5546</v>
      </c>
    </row>
    <row r="40" spans="1:49" ht="12.75" x14ac:dyDescent="0.2">
      <c r="A40" s="27">
        <v>2011</v>
      </c>
      <c r="B40" s="35">
        <v>0.02</v>
      </c>
      <c r="C40" s="31">
        <f t="shared" si="6"/>
        <v>115</v>
      </c>
      <c r="D40" s="31">
        <v>0</v>
      </c>
      <c r="E40" s="31">
        <f t="shared" si="3"/>
        <v>5883</v>
      </c>
      <c r="F40" s="31">
        <f t="shared" si="7"/>
        <v>5883</v>
      </c>
      <c r="G40" s="35">
        <f>$B40</f>
        <v>0.02</v>
      </c>
      <c r="H40" s="36">
        <f t="shared" ref="H40:H51" si="17">ROUND(I39*$G40,2)</f>
        <v>9.94</v>
      </c>
      <c r="I40" s="36">
        <f t="shared" ref="I40:I51" si="18">H40+I39</f>
        <v>507.03</v>
      </c>
      <c r="J40" s="35">
        <f>$B40</f>
        <v>0.02</v>
      </c>
      <c r="K40" s="44">
        <f t="shared" ref="K40:K48" si="19">ROUND(L39*$J40,2)</f>
        <v>1.1299999999999999</v>
      </c>
      <c r="L40" s="36">
        <f>K40+L39</f>
        <v>57.42</v>
      </c>
      <c r="M40" s="35">
        <f>$B40</f>
        <v>0.02</v>
      </c>
      <c r="N40" s="44">
        <f t="shared" ref="N40:N48" si="20">ROUND(O39*$M40,2)</f>
        <v>1.23</v>
      </c>
      <c r="O40" s="36">
        <f>N40+O39</f>
        <v>62.55</v>
      </c>
      <c r="P40" s="31"/>
      <c r="Q40" s="36"/>
      <c r="R40" s="36"/>
      <c r="S40" s="36">
        <f t="shared" si="10"/>
        <v>5.07</v>
      </c>
      <c r="T40" s="36">
        <f t="shared" si="11"/>
        <v>258.34000000000009</v>
      </c>
      <c r="U40" s="36">
        <f t="shared" si="13"/>
        <v>0.94</v>
      </c>
      <c r="V40" s="36">
        <f t="shared" si="14"/>
        <v>48.169999999999987</v>
      </c>
      <c r="W40" s="36">
        <f t="shared" si="12"/>
        <v>1.04</v>
      </c>
      <c r="X40" s="36">
        <f t="shared" si="15"/>
        <v>53.160000000000011</v>
      </c>
      <c r="Y40" s="36">
        <f t="shared" ref="Y40:Y50" si="21">ROUND(Z39*$B40,2)</f>
        <v>0.52</v>
      </c>
      <c r="Z40" s="36">
        <f t="shared" ref="Z40:Z50" si="22">Y40+Z39</f>
        <v>26.54</v>
      </c>
      <c r="AA40" s="36">
        <f t="shared" ref="AA40:AA50" si="23">ROUND(AB39*$B40,2)</f>
        <v>0.06</v>
      </c>
      <c r="AB40" s="36">
        <f t="shared" ref="AB40:AB50" si="24">AA40+AB39</f>
        <v>3.1</v>
      </c>
      <c r="AC40" s="37">
        <v>0.875</v>
      </c>
      <c r="AD40" s="38">
        <f t="shared" si="1"/>
        <v>5148</v>
      </c>
      <c r="AE40" s="37">
        <v>0.875</v>
      </c>
      <c r="AF40" s="39">
        <f t="shared" si="2"/>
        <v>5148</v>
      </c>
      <c r="AG40" s="37">
        <v>0.79</v>
      </c>
      <c r="AH40" s="39">
        <f t="shared" si="8"/>
        <v>204</v>
      </c>
      <c r="AI40" s="36">
        <v>1.01</v>
      </c>
      <c r="AJ40" s="31">
        <v>5.4</v>
      </c>
      <c r="AK40" s="31">
        <v>300</v>
      </c>
      <c r="AL40" s="31"/>
      <c r="AM40" s="37">
        <f t="shared" si="0"/>
        <v>0.125</v>
      </c>
      <c r="AN40" s="35">
        <v>3.2606000000000002</v>
      </c>
      <c r="AO40" s="31">
        <f t="shared" si="9"/>
        <v>204</v>
      </c>
      <c r="AP40" s="31"/>
      <c r="AQ40" s="31"/>
      <c r="AR40" s="38">
        <f t="shared" si="16"/>
        <v>55</v>
      </c>
      <c r="AS40" s="34">
        <f t="shared" si="4"/>
        <v>5047</v>
      </c>
      <c r="AT40" s="34">
        <f t="shared" si="5"/>
        <v>5768</v>
      </c>
    </row>
    <row r="41" spans="1:49" ht="12.75" x14ac:dyDescent="0.2">
      <c r="A41" s="27">
        <v>2012</v>
      </c>
      <c r="B41" s="35">
        <v>0</v>
      </c>
      <c r="C41" s="31">
        <f t="shared" si="6"/>
        <v>0</v>
      </c>
      <c r="D41" s="31">
        <v>0</v>
      </c>
      <c r="E41" s="31">
        <f t="shared" si="3"/>
        <v>5883</v>
      </c>
      <c r="F41" s="31">
        <f t="shared" si="7"/>
        <v>5883</v>
      </c>
      <c r="G41" s="35">
        <f t="shared" ref="G41:G47" si="25">$B41</f>
        <v>0</v>
      </c>
      <c r="H41" s="36">
        <f t="shared" si="17"/>
        <v>0</v>
      </c>
      <c r="I41" s="36">
        <f t="shared" si="18"/>
        <v>507.03</v>
      </c>
      <c r="J41" s="35">
        <f t="shared" ref="J41:J47" si="26">$B41</f>
        <v>0</v>
      </c>
      <c r="K41" s="44">
        <f t="shared" si="19"/>
        <v>0</v>
      </c>
      <c r="L41" s="36">
        <f t="shared" ref="L41:L51" si="27">K41+L40</f>
        <v>57.42</v>
      </c>
      <c r="M41" s="35">
        <f t="shared" ref="M41:M47" si="28">$B41</f>
        <v>0</v>
      </c>
      <c r="N41" s="44">
        <f t="shared" si="20"/>
        <v>0</v>
      </c>
      <c r="O41" s="36">
        <f t="shared" ref="O41:O51" si="29">N41+O40</f>
        <v>62.55</v>
      </c>
      <c r="P41" s="31"/>
      <c r="Q41" s="36"/>
      <c r="R41" s="36"/>
      <c r="S41" s="36">
        <f t="shared" si="10"/>
        <v>0</v>
      </c>
      <c r="T41" s="36">
        <f t="shared" si="11"/>
        <v>258.34000000000009</v>
      </c>
      <c r="U41" s="36">
        <f t="shared" si="13"/>
        <v>0</v>
      </c>
      <c r="V41" s="36">
        <f t="shared" si="14"/>
        <v>48.169999999999987</v>
      </c>
      <c r="W41" s="36">
        <f t="shared" si="12"/>
        <v>0</v>
      </c>
      <c r="X41" s="36">
        <f t="shared" si="15"/>
        <v>53.160000000000011</v>
      </c>
      <c r="Y41" s="36">
        <f t="shared" si="21"/>
        <v>0</v>
      </c>
      <c r="Z41" s="36">
        <f t="shared" si="22"/>
        <v>26.54</v>
      </c>
      <c r="AA41" s="36">
        <f t="shared" si="23"/>
        <v>0</v>
      </c>
      <c r="AB41" s="36">
        <f t="shared" si="24"/>
        <v>3.1</v>
      </c>
      <c r="AC41" s="37">
        <v>0.875</v>
      </c>
      <c r="AD41" s="38">
        <f t="shared" si="1"/>
        <v>5148</v>
      </c>
      <c r="AE41" s="37">
        <v>0.875</v>
      </c>
      <c r="AF41" s="39">
        <f t="shared" si="2"/>
        <v>5148</v>
      </c>
      <c r="AG41" s="37">
        <v>0.79</v>
      </c>
      <c r="AH41" s="39">
        <f t="shared" si="8"/>
        <v>204</v>
      </c>
      <c r="AI41" s="36">
        <v>1.01</v>
      </c>
      <c r="AJ41" s="31">
        <v>5.4</v>
      </c>
      <c r="AK41" s="31">
        <v>300</v>
      </c>
      <c r="AL41" s="31"/>
      <c r="AM41" s="37">
        <f t="shared" si="0"/>
        <v>0.125</v>
      </c>
      <c r="AN41" s="31">
        <v>3.5121600000000002</v>
      </c>
      <c r="AO41" s="31">
        <f t="shared" si="9"/>
        <v>204</v>
      </c>
      <c r="AP41" s="31"/>
      <c r="AQ41" s="31"/>
      <c r="AR41" s="38">
        <f t="shared" si="16"/>
        <v>55</v>
      </c>
      <c r="AS41" s="34">
        <f t="shared" si="4"/>
        <v>5148</v>
      </c>
      <c r="AT41" s="34">
        <f t="shared" si="5"/>
        <v>5883</v>
      </c>
    </row>
    <row r="42" spans="1:49" ht="12.75" x14ac:dyDescent="0.2">
      <c r="A42" s="27">
        <v>2013</v>
      </c>
      <c r="B42" s="35">
        <v>0.02</v>
      </c>
      <c r="C42" s="31">
        <f t="shared" si="6"/>
        <v>118</v>
      </c>
      <c r="D42" s="31">
        <v>0</v>
      </c>
      <c r="E42" s="31">
        <f t="shared" si="3"/>
        <v>6001</v>
      </c>
      <c r="F42" s="31">
        <f t="shared" si="7"/>
        <v>6001</v>
      </c>
      <c r="G42" s="35">
        <f t="shared" si="25"/>
        <v>0.02</v>
      </c>
      <c r="H42" s="36">
        <f t="shared" si="17"/>
        <v>10.14</v>
      </c>
      <c r="I42" s="36">
        <f t="shared" si="18"/>
        <v>517.16999999999996</v>
      </c>
      <c r="J42" s="35">
        <f t="shared" si="26"/>
        <v>0.02</v>
      </c>
      <c r="K42" s="44">
        <f t="shared" si="19"/>
        <v>1.1499999999999999</v>
      </c>
      <c r="L42" s="36">
        <f t="shared" si="27"/>
        <v>58.57</v>
      </c>
      <c r="M42" s="35">
        <f t="shared" si="28"/>
        <v>0.02</v>
      </c>
      <c r="N42" s="44">
        <f t="shared" si="20"/>
        <v>1.25</v>
      </c>
      <c r="O42" s="36">
        <f t="shared" si="29"/>
        <v>63.8</v>
      </c>
      <c r="P42" s="31"/>
      <c r="Q42" s="36"/>
      <c r="R42" s="36"/>
      <c r="S42" s="36">
        <f t="shared" si="10"/>
        <v>5.17</v>
      </c>
      <c r="T42" s="36">
        <f t="shared" si="11"/>
        <v>263.5100000000001</v>
      </c>
      <c r="U42" s="36">
        <f t="shared" si="13"/>
        <v>0.96</v>
      </c>
      <c r="V42" s="36">
        <f t="shared" si="14"/>
        <v>49.129999999999988</v>
      </c>
      <c r="W42" s="36">
        <f t="shared" si="12"/>
        <v>1.06</v>
      </c>
      <c r="X42" s="36">
        <f t="shared" si="15"/>
        <v>54.220000000000013</v>
      </c>
      <c r="Y42" s="36">
        <f t="shared" si="21"/>
        <v>0.53</v>
      </c>
      <c r="Z42" s="36">
        <f t="shared" si="22"/>
        <v>27.07</v>
      </c>
      <c r="AA42" s="36">
        <f t="shared" si="23"/>
        <v>0.06</v>
      </c>
      <c r="AB42" s="36">
        <f t="shared" si="24"/>
        <v>3.16</v>
      </c>
      <c r="AC42" s="37">
        <v>0.875</v>
      </c>
      <c r="AD42" s="38">
        <f t="shared" si="1"/>
        <v>5251</v>
      </c>
      <c r="AE42" s="37">
        <v>0.875</v>
      </c>
      <c r="AF42" s="39">
        <f t="shared" si="2"/>
        <v>5251</v>
      </c>
      <c r="AG42" s="37">
        <v>0.79</v>
      </c>
      <c r="AH42" s="39">
        <f t="shared" si="8"/>
        <v>208</v>
      </c>
      <c r="AI42" s="36">
        <v>1.01</v>
      </c>
      <c r="AJ42" s="31">
        <v>5.4</v>
      </c>
      <c r="AK42" s="31">
        <v>300</v>
      </c>
      <c r="AL42" s="31"/>
      <c r="AM42" s="37">
        <f t="shared" si="0"/>
        <v>0.125</v>
      </c>
      <c r="AN42" s="31">
        <v>3.46875</v>
      </c>
      <c r="AO42" s="31">
        <f t="shared" si="9"/>
        <v>208</v>
      </c>
      <c r="AP42" s="31"/>
      <c r="AQ42" s="31"/>
      <c r="AR42" s="38">
        <f t="shared" si="16"/>
        <v>56</v>
      </c>
      <c r="AS42" s="34">
        <f t="shared" si="4"/>
        <v>5148</v>
      </c>
      <c r="AT42" s="34">
        <f t="shared" si="5"/>
        <v>5883</v>
      </c>
    </row>
    <row r="43" spans="1:49" ht="12.75" x14ac:dyDescent="0.2">
      <c r="A43" s="27">
        <v>2014</v>
      </c>
      <c r="B43" s="35">
        <v>0.02</v>
      </c>
      <c r="C43" s="31">
        <f t="shared" si="6"/>
        <v>120</v>
      </c>
      <c r="D43" s="31">
        <v>0</v>
      </c>
      <c r="E43" s="31">
        <f t="shared" si="3"/>
        <v>6121</v>
      </c>
      <c r="F43" s="31">
        <f t="shared" si="7"/>
        <v>6121</v>
      </c>
      <c r="G43" s="35">
        <f t="shared" si="25"/>
        <v>0.02</v>
      </c>
      <c r="H43" s="36">
        <f t="shared" si="17"/>
        <v>10.34</v>
      </c>
      <c r="I43" s="36">
        <f t="shared" si="18"/>
        <v>527.51</v>
      </c>
      <c r="J43" s="35">
        <f t="shared" si="26"/>
        <v>0.02</v>
      </c>
      <c r="K43" s="44">
        <f t="shared" si="19"/>
        <v>1.17</v>
      </c>
      <c r="L43" s="36">
        <f t="shared" si="27"/>
        <v>59.74</v>
      </c>
      <c r="M43" s="35">
        <f t="shared" si="28"/>
        <v>0.02</v>
      </c>
      <c r="N43" s="44">
        <f t="shared" si="20"/>
        <v>1.28</v>
      </c>
      <c r="O43" s="36">
        <f t="shared" si="29"/>
        <v>65.08</v>
      </c>
      <c r="P43" s="31"/>
      <c r="Q43" s="36"/>
      <c r="R43" s="36"/>
      <c r="S43" s="36">
        <f t="shared" si="10"/>
        <v>5.27</v>
      </c>
      <c r="T43" s="36">
        <f t="shared" si="11"/>
        <v>268.78000000000009</v>
      </c>
      <c r="U43" s="36">
        <f t="shared" si="13"/>
        <v>0.98</v>
      </c>
      <c r="V43" s="36">
        <f t="shared" si="14"/>
        <v>50.109999999999985</v>
      </c>
      <c r="W43" s="36">
        <f t="shared" si="12"/>
        <v>1.08</v>
      </c>
      <c r="X43" s="36">
        <f t="shared" si="15"/>
        <v>55.300000000000011</v>
      </c>
      <c r="Y43" s="36">
        <f t="shared" si="21"/>
        <v>0.54</v>
      </c>
      <c r="Z43" s="36">
        <f t="shared" si="22"/>
        <v>27.61</v>
      </c>
      <c r="AA43" s="36">
        <f t="shared" si="23"/>
        <v>0.06</v>
      </c>
      <c r="AB43" s="36">
        <f t="shared" si="24"/>
        <v>3.22</v>
      </c>
      <c r="AC43" s="37">
        <v>0.875</v>
      </c>
      <c r="AD43" s="38">
        <f t="shared" si="1"/>
        <v>5356</v>
      </c>
      <c r="AE43" s="37">
        <v>0.875</v>
      </c>
      <c r="AF43" s="39">
        <f t="shared" si="2"/>
        <v>5356</v>
      </c>
      <c r="AG43" s="37">
        <v>0.79</v>
      </c>
      <c r="AH43" s="39">
        <f t="shared" si="8"/>
        <v>212</v>
      </c>
      <c r="AI43" s="36">
        <v>1.01</v>
      </c>
      <c r="AJ43" s="31">
        <v>5.4</v>
      </c>
      <c r="AK43" s="31">
        <v>300</v>
      </c>
      <c r="AL43" s="31">
        <v>750</v>
      </c>
      <c r="AM43" s="37">
        <f t="shared" si="0"/>
        <v>0.125</v>
      </c>
      <c r="AN43" s="31">
        <v>3.34158</v>
      </c>
      <c r="AO43" s="31">
        <f t="shared" si="9"/>
        <v>212</v>
      </c>
      <c r="AP43" s="38">
        <f>E43-AD43-AL43</f>
        <v>15</v>
      </c>
      <c r="AQ43" s="31"/>
      <c r="AR43" s="38">
        <f t="shared" si="16"/>
        <v>57</v>
      </c>
      <c r="AS43" s="34">
        <f t="shared" si="4"/>
        <v>5251</v>
      </c>
      <c r="AT43" s="34">
        <f t="shared" si="5"/>
        <v>6001</v>
      </c>
    </row>
    <row r="44" spans="1:49" ht="12.75" x14ac:dyDescent="0.2">
      <c r="A44" s="27">
        <v>2015</v>
      </c>
      <c r="B44" s="35">
        <v>0.04</v>
      </c>
      <c r="C44" s="31">
        <f t="shared" si="6"/>
        <v>245</v>
      </c>
      <c r="D44" s="31">
        <v>0</v>
      </c>
      <c r="E44" s="31">
        <f t="shared" si="3"/>
        <v>6366</v>
      </c>
      <c r="F44" s="31">
        <f t="shared" si="7"/>
        <v>6366</v>
      </c>
      <c r="G44" s="35">
        <f t="shared" si="25"/>
        <v>0.04</v>
      </c>
      <c r="H44" s="36">
        <f t="shared" si="17"/>
        <v>21.1</v>
      </c>
      <c r="I44" s="36">
        <f t="shared" si="18"/>
        <v>548.61</v>
      </c>
      <c r="J44" s="35">
        <f t="shared" si="26"/>
        <v>0.04</v>
      </c>
      <c r="K44" s="44">
        <f t="shared" si="19"/>
        <v>2.39</v>
      </c>
      <c r="L44" s="36">
        <f t="shared" si="27"/>
        <v>62.13</v>
      </c>
      <c r="M44" s="35">
        <f t="shared" si="28"/>
        <v>0.04</v>
      </c>
      <c r="N44" s="44">
        <f t="shared" si="20"/>
        <v>2.6</v>
      </c>
      <c r="O44" s="36">
        <f t="shared" si="29"/>
        <v>67.679999999999993</v>
      </c>
      <c r="P44" s="31"/>
      <c r="Q44" s="36"/>
      <c r="R44" s="36">
        <v>308.82</v>
      </c>
      <c r="S44" s="36">
        <f t="shared" si="10"/>
        <v>10.75</v>
      </c>
      <c r="T44" s="36">
        <f t="shared" si="11"/>
        <v>279.53000000000009</v>
      </c>
      <c r="U44" s="36">
        <f t="shared" si="13"/>
        <v>2</v>
      </c>
      <c r="V44" s="36">
        <f t="shared" si="14"/>
        <v>52.109999999999985</v>
      </c>
      <c r="W44" s="36">
        <f t="shared" si="12"/>
        <v>2.21</v>
      </c>
      <c r="X44" s="36">
        <f t="shared" si="15"/>
        <v>57.510000000000012</v>
      </c>
      <c r="Y44" s="36">
        <f t="shared" si="21"/>
        <v>1.1000000000000001</v>
      </c>
      <c r="Z44" s="36">
        <f t="shared" si="22"/>
        <v>28.71</v>
      </c>
      <c r="AA44" s="36">
        <f t="shared" si="23"/>
        <v>0.13</v>
      </c>
      <c r="AB44" s="36">
        <f t="shared" si="24"/>
        <v>3.35</v>
      </c>
      <c r="AC44" s="37">
        <v>0.875</v>
      </c>
      <c r="AD44" s="38">
        <f t="shared" si="1"/>
        <v>5570</v>
      </c>
      <c r="AE44" s="37">
        <v>0.875</v>
      </c>
      <c r="AF44" s="39">
        <f t="shared" si="2"/>
        <v>5570</v>
      </c>
      <c r="AG44" s="37">
        <v>0.79</v>
      </c>
      <c r="AH44" s="39">
        <f t="shared" si="8"/>
        <v>221</v>
      </c>
      <c r="AI44" s="36">
        <v>1.01</v>
      </c>
      <c r="AJ44" s="31">
        <v>5.4</v>
      </c>
      <c r="AK44" s="31">
        <v>300</v>
      </c>
      <c r="AL44" s="31">
        <v>750</v>
      </c>
      <c r="AM44" s="37">
        <f t="shared" si="0"/>
        <v>0.125</v>
      </c>
      <c r="AN44" s="31">
        <v>3.38985</v>
      </c>
      <c r="AO44" s="31">
        <f t="shared" si="9"/>
        <v>221</v>
      </c>
      <c r="AP44" s="38">
        <f>E44-AD44-AL44</f>
        <v>46</v>
      </c>
      <c r="AQ44" s="31"/>
      <c r="AR44" s="38">
        <f t="shared" si="16"/>
        <v>59</v>
      </c>
      <c r="AS44" s="34">
        <f t="shared" si="4"/>
        <v>5356</v>
      </c>
      <c r="AT44" s="34">
        <f t="shared" si="5"/>
        <v>6121</v>
      </c>
    </row>
    <row r="45" spans="1:49" ht="12.75" x14ac:dyDescent="0.2">
      <c r="A45" s="27">
        <v>2016</v>
      </c>
      <c r="B45" s="35">
        <v>1.2500000000000001E-2</v>
      </c>
      <c r="C45" s="31">
        <f t="shared" si="6"/>
        <v>80</v>
      </c>
      <c r="D45" s="31">
        <v>0</v>
      </c>
      <c r="E45" s="31">
        <f t="shared" si="3"/>
        <v>6446</v>
      </c>
      <c r="F45" s="31">
        <f t="shared" si="7"/>
        <v>6446</v>
      </c>
      <c r="G45" s="35">
        <f t="shared" si="25"/>
        <v>1.2500000000000001E-2</v>
      </c>
      <c r="H45" s="36">
        <f t="shared" si="17"/>
        <v>6.86</v>
      </c>
      <c r="I45" s="36">
        <f t="shared" si="18"/>
        <v>555.47</v>
      </c>
      <c r="J45" s="35">
        <f t="shared" si="26"/>
        <v>1.2500000000000001E-2</v>
      </c>
      <c r="K45" s="44">
        <f t="shared" si="19"/>
        <v>0.78</v>
      </c>
      <c r="L45" s="36">
        <f t="shared" si="27"/>
        <v>62.910000000000004</v>
      </c>
      <c r="M45" s="35">
        <f t="shared" si="28"/>
        <v>1.2500000000000001E-2</v>
      </c>
      <c r="N45" s="44">
        <f t="shared" si="20"/>
        <v>0.85</v>
      </c>
      <c r="O45" s="36">
        <f t="shared" si="29"/>
        <v>68.529999999999987</v>
      </c>
      <c r="P45" s="35">
        <f>$B45</f>
        <v>1.2500000000000001E-2</v>
      </c>
      <c r="Q45" s="44">
        <f t="shared" ref="Q45:Q51" si="30">ROUND(R44*$P45,2)</f>
        <v>3.86</v>
      </c>
      <c r="R45" s="36">
        <f t="shared" ref="R45:R51" si="31">Q45+R44</f>
        <v>312.68</v>
      </c>
      <c r="S45" s="36">
        <f t="shared" si="10"/>
        <v>3.49</v>
      </c>
      <c r="T45" s="36">
        <f t="shared" si="11"/>
        <v>283.0200000000001</v>
      </c>
      <c r="U45" s="36">
        <f t="shared" si="13"/>
        <v>0.65</v>
      </c>
      <c r="V45" s="36">
        <f t="shared" si="14"/>
        <v>52.759999999999984</v>
      </c>
      <c r="W45" s="36">
        <f t="shared" si="12"/>
        <v>0.72</v>
      </c>
      <c r="X45" s="36">
        <f t="shared" si="15"/>
        <v>58.230000000000011</v>
      </c>
      <c r="Y45" s="36">
        <f t="shared" si="21"/>
        <v>0.36</v>
      </c>
      <c r="Z45" s="36">
        <f t="shared" si="22"/>
        <v>29.07</v>
      </c>
      <c r="AA45" s="36">
        <f t="shared" si="23"/>
        <v>0.04</v>
      </c>
      <c r="AB45" s="36">
        <f t="shared" si="24"/>
        <v>3.39</v>
      </c>
      <c r="AC45" s="37">
        <v>0.875</v>
      </c>
      <c r="AD45" s="38">
        <f t="shared" si="1"/>
        <v>5640</v>
      </c>
      <c r="AE45" s="37">
        <v>0.875</v>
      </c>
      <c r="AF45" s="39">
        <f t="shared" si="2"/>
        <v>5640</v>
      </c>
      <c r="AG45" s="37">
        <v>0.79</v>
      </c>
      <c r="AH45" s="39">
        <f t="shared" si="8"/>
        <v>224</v>
      </c>
      <c r="AI45" s="36">
        <v>1.01</v>
      </c>
      <c r="AJ45" s="31">
        <v>5.4</v>
      </c>
      <c r="AK45" s="31">
        <v>300</v>
      </c>
      <c r="AL45" s="31">
        <v>750</v>
      </c>
      <c r="AM45" s="37">
        <f t="shared" si="0"/>
        <v>0.125</v>
      </c>
      <c r="AN45" s="35">
        <v>3.4121000000000001</v>
      </c>
      <c r="AO45" s="31">
        <f t="shared" si="9"/>
        <v>224</v>
      </c>
      <c r="AP45" s="38">
        <f t="shared" ref="AP45:AP51" si="32">E45-AD45-AL45</f>
        <v>56</v>
      </c>
      <c r="AQ45" s="31"/>
      <c r="AR45" s="38">
        <f t="shared" si="16"/>
        <v>60</v>
      </c>
      <c r="AS45" s="34">
        <f t="shared" si="4"/>
        <v>5570</v>
      </c>
      <c r="AT45" s="34">
        <f t="shared" si="5"/>
        <v>6366</v>
      </c>
    </row>
    <row r="46" spans="1:49" ht="12.75" x14ac:dyDescent="0.2">
      <c r="A46" s="27">
        <v>2017</v>
      </c>
      <c r="B46" s="35">
        <v>2.2499999999999999E-2</v>
      </c>
      <c r="C46" s="31">
        <f t="shared" si="6"/>
        <v>145</v>
      </c>
      <c r="D46" s="31"/>
      <c r="E46" s="31">
        <f>E45+C46+D46</f>
        <v>6591</v>
      </c>
      <c r="F46" s="31">
        <f t="shared" si="7"/>
        <v>6591</v>
      </c>
      <c r="G46" s="35">
        <f t="shared" si="25"/>
        <v>2.2499999999999999E-2</v>
      </c>
      <c r="H46" s="36">
        <f t="shared" si="17"/>
        <v>12.5</v>
      </c>
      <c r="I46" s="36">
        <f>H46+I45</f>
        <v>567.97</v>
      </c>
      <c r="J46" s="35">
        <f t="shared" si="26"/>
        <v>2.2499999999999999E-2</v>
      </c>
      <c r="K46" s="44">
        <f t="shared" si="19"/>
        <v>1.42</v>
      </c>
      <c r="L46" s="36">
        <f t="shared" si="27"/>
        <v>64.33</v>
      </c>
      <c r="M46" s="35">
        <f t="shared" si="28"/>
        <v>2.2499999999999999E-2</v>
      </c>
      <c r="N46" s="44">
        <f t="shared" si="20"/>
        <v>1.54</v>
      </c>
      <c r="O46" s="36">
        <f t="shared" si="29"/>
        <v>70.069999999999993</v>
      </c>
      <c r="P46" s="35">
        <f>$B46</f>
        <v>2.2499999999999999E-2</v>
      </c>
      <c r="Q46" s="44">
        <f t="shared" si="30"/>
        <v>7.04</v>
      </c>
      <c r="R46" s="40">
        <f t="shared" si="31"/>
        <v>319.72000000000003</v>
      </c>
      <c r="S46" s="36">
        <f t="shared" si="10"/>
        <v>6.37</v>
      </c>
      <c r="T46" s="36">
        <f t="shared" si="11"/>
        <v>289.3900000000001</v>
      </c>
      <c r="U46" s="36">
        <f t="shared" si="13"/>
        <v>1.19</v>
      </c>
      <c r="V46" s="36">
        <f t="shared" si="14"/>
        <v>53.949999999999982</v>
      </c>
      <c r="W46" s="36">
        <f t="shared" si="12"/>
        <v>1.31</v>
      </c>
      <c r="X46" s="36">
        <f t="shared" si="15"/>
        <v>59.540000000000013</v>
      </c>
      <c r="Y46" s="36">
        <f t="shared" si="21"/>
        <v>0.65</v>
      </c>
      <c r="Z46" s="36">
        <f t="shared" si="22"/>
        <v>29.72</v>
      </c>
      <c r="AA46" s="36">
        <f t="shared" si="23"/>
        <v>0.08</v>
      </c>
      <c r="AB46" s="36">
        <f t="shared" si="24"/>
        <v>3.47</v>
      </c>
      <c r="AC46" s="37">
        <v>0.875</v>
      </c>
      <c r="AD46" s="45">
        <f>ROUND(AC46*E46,0)</f>
        <v>5767</v>
      </c>
      <c r="AE46" s="37">
        <v>0.875</v>
      </c>
      <c r="AF46" s="45">
        <f t="shared" si="2"/>
        <v>5767</v>
      </c>
      <c r="AG46" s="37">
        <v>0.79</v>
      </c>
      <c r="AH46" s="39">
        <f t="shared" si="8"/>
        <v>229</v>
      </c>
      <c r="AI46" s="36">
        <f t="shared" ref="AI46:AI51" si="33">AI45</f>
        <v>1.01</v>
      </c>
      <c r="AJ46" s="31">
        <v>5.4</v>
      </c>
      <c r="AK46" s="31">
        <v>300</v>
      </c>
      <c r="AL46" s="31">
        <v>750</v>
      </c>
      <c r="AM46" s="37">
        <f t="shared" si="0"/>
        <v>0.125</v>
      </c>
      <c r="AN46" s="31">
        <v>3.2430699999999999</v>
      </c>
      <c r="AO46" s="31">
        <f t="shared" si="9"/>
        <v>229</v>
      </c>
      <c r="AP46" s="38">
        <f>E46-AD46-AL46</f>
        <v>74</v>
      </c>
      <c r="AQ46" s="46">
        <v>317587</v>
      </c>
      <c r="AR46" s="38">
        <f t="shared" si="16"/>
        <v>61</v>
      </c>
      <c r="AS46" s="34">
        <f t="shared" si="4"/>
        <v>5640</v>
      </c>
      <c r="AT46" s="34">
        <f t="shared" si="5"/>
        <v>6446</v>
      </c>
      <c r="AV46" s="34">
        <v>0.25</v>
      </c>
    </row>
    <row r="47" spans="1:49" s="53" customFormat="1" ht="12.75" x14ac:dyDescent="0.2">
      <c r="A47" s="47">
        <v>2018</v>
      </c>
      <c r="B47" s="48">
        <v>1.11E-2</v>
      </c>
      <c r="C47" s="49">
        <f>ROUND(E46*B47,0)</f>
        <v>73</v>
      </c>
      <c r="D47" s="49"/>
      <c r="E47" s="49">
        <f t="shared" si="3"/>
        <v>6664</v>
      </c>
      <c r="F47" s="49">
        <f t="shared" si="7"/>
        <v>6664</v>
      </c>
      <c r="G47" s="35">
        <f t="shared" si="25"/>
        <v>1.11E-2</v>
      </c>
      <c r="H47" s="44">
        <f t="shared" si="17"/>
        <v>6.3</v>
      </c>
      <c r="I47" s="44">
        <f>H47+I46</f>
        <v>574.27</v>
      </c>
      <c r="J47" s="35">
        <f t="shared" si="26"/>
        <v>1.11E-2</v>
      </c>
      <c r="K47" s="44">
        <f t="shared" si="19"/>
        <v>0.71</v>
      </c>
      <c r="L47" s="44">
        <f>K47+L46</f>
        <v>65.039999999999992</v>
      </c>
      <c r="M47" s="35">
        <f t="shared" si="28"/>
        <v>1.11E-2</v>
      </c>
      <c r="N47" s="44">
        <f t="shared" si="20"/>
        <v>0.78</v>
      </c>
      <c r="O47" s="44">
        <f>N47+O46</f>
        <v>70.849999999999994</v>
      </c>
      <c r="P47" s="35">
        <f>$B47</f>
        <v>1.11E-2</v>
      </c>
      <c r="Q47" s="44">
        <f t="shared" si="30"/>
        <v>3.55</v>
      </c>
      <c r="R47" s="44">
        <f t="shared" si="31"/>
        <v>323.27000000000004</v>
      </c>
      <c r="S47" s="44">
        <f t="shared" si="10"/>
        <v>3.21</v>
      </c>
      <c r="T47" s="44">
        <f t="shared" si="11"/>
        <v>292.60000000000008</v>
      </c>
      <c r="U47" s="44">
        <f t="shared" si="13"/>
        <v>0.6</v>
      </c>
      <c r="V47" s="44">
        <f t="shared" si="14"/>
        <v>54.549999999999983</v>
      </c>
      <c r="W47" s="44">
        <f t="shared" si="12"/>
        <v>0.66</v>
      </c>
      <c r="X47" s="44">
        <f t="shared" si="15"/>
        <v>60.20000000000001</v>
      </c>
      <c r="Y47" s="44">
        <f t="shared" si="21"/>
        <v>0.33</v>
      </c>
      <c r="Z47" s="44">
        <f t="shared" si="22"/>
        <v>30.049999999999997</v>
      </c>
      <c r="AA47" s="44">
        <f t="shared" si="23"/>
        <v>0.04</v>
      </c>
      <c r="AB47" s="44">
        <f t="shared" si="24"/>
        <v>3.5100000000000002</v>
      </c>
      <c r="AC47" s="50">
        <v>0.875</v>
      </c>
      <c r="AD47" s="51">
        <f>ROUND(AC47*E47,0)</f>
        <v>5831</v>
      </c>
      <c r="AE47" s="50">
        <v>0.875</v>
      </c>
      <c r="AF47" s="51">
        <f>ROUND(AE47*F47,0)</f>
        <v>5831</v>
      </c>
      <c r="AG47" s="50">
        <v>0.79</v>
      </c>
      <c r="AH47" s="51">
        <f>ROUND(AG47*T47,0)</f>
        <v>231</v>
      </c>
      <c r="AI47" s="44">
        <f t="shared" si="33"/>
        <v>1.01</v>
      </c>
      <c r="AJ47" s="49">
        <v>5.4</v>
      </c>
      <c r="AK47" s="49">
        <v>300</v>
      </c>
      <c r="AL47" s="51">
        <v>750</v>
      </c>
      <c r="AM47" s="50">
        <f t="shared" si="0"/>
        <v>0.125</v>
      </c>
      <c r="AN47" s="49">
        <v>3.1638899999999999</v>
      </c>
      <c r="AO47" s="49">
        <f t="shared" si="9"/>
        <v>231</v>
      </c>
      <c r="AP47" s="51">
        <f>E47-AD47-AL47</f>
        <v>83</v>
      </c>
      <c r="AQ47" s="52">
        <f>ROUND(159714313837/485147.3,0)</f>
        <v>329208</v>
      </c>
      <c r="AR47" s="51">
        <f t="shared" si="16"/>
        <v>62</v>
      </c>
      <c r="AS47" s="51">
        <f t="shared" si="4"/>
        <v>5767</v>
      </c>
      <c r="AT47" s="51">
        <f t="shared" si="5"/>
        <v>6591</v>
      </c>
      <c r="AU47" s="53">
        <v>0</v>
      </c>
      <c r="AV47" s="53">
        <v>0.25</v>
      </c>
      <c r="AW47" s="54">
        <v>0</v>
      </c>
    </row>
    <row r="48" spans="1:49" s="62" customFormat="1" ht="13.5" thickBot="1" x14ac:dyDescent="0.25">
      <c r="A48" s="55">
        <v>2019</v>
      </c>
      <c r="B48" s="56">
        <v>0.01</v>
      </c>
      <c r="C48" s="57">
        <f t="shared" si="6"/>
        <v>67</v>
      </c>
      <c r="D48" s="57">
        <v>5</v>
      </c>
      <c r="E48" s="57">
        <f t="shared" si="3"/>
        <v>6736</v>
      </c>
      <c r="F48" s="57">
        <f t="shared" si="7"/>
        <v>6736</v>
      </c>
      <c r="G48" s="56">
        <v>0.01</v>
      </c>
      <c r="H48" s="58">
        <f t="shared" si="17"/>
        <v>5.74</v>
      </c>
      <c r="I48" s="58">
        <f t="shared" si="18"/>
        <v>580.01</v>
      </c>
      <c r="J48" s="56">
        <v>0.01</v>
      </c>
      <c r="K48" s="58">
        <f t="shared" si="19"/>
        <v>0.65</v>
      </c>
      <c r="L48" s="58">
        <f t="shared" si="27"/>
        <v>65.69</v>
      </c>
      <c r="M48" s="56">
        <v>0.01</v>
      </c>
      <c r="N48" s="58">
        <f t="shared" si="20"/>
        <v>0.71</v>
      </c>
      <c r="O48" s="58">
        <f t="shared" si="29"/>
        <v>71.559999999999988</v>
      </c>
      <c r="P48" s="56">
        <v>0.01</v>
      </c>
      <c r="Q48" s="58">
        <f t="shared" si="30"/>
        <v>3.23</v>
      </c>
      <c r="R48" s="58">
        <f t="shared" si="31"/>
        <v>326.50000000000006</v>
      </c>
      <c r="S48" s="58">
        <f t="shared" si="10"/>
        <v>2.93</v>
      </c>
      <c r="T48" s="58">
        <f>S48+T47</f>
        <v>295.53000000000009</v>
      </c>
      <c r="U48" s="58">
        <f t="shared" si="13"/>
        <v>0.55000000000000004</v>
      </c>
      <c r="V48" s="58">
        <f t="shared" si="14"/>
        <v>55.09999999999998</v>
      </c>
      <c r="W48" s="58">
        <f t="shared" si="12"/>
        <v>0.6</v>
      </c>
      <c r="X48" s="58">
        <f t="shared" si="15"/>
        <v>60.800000000000011</v>
      </c>
      <c r="Y48" s="58">
        <f t="shared" si="21"/>
        <v>0.3</v>
      </c>
      <c r="Z48" s="58">
        <f t="shared" si="22"/>
        <v>30.349999999999998</v>
      </c>
      <c r="AA48" s="58">
        <f t="shared" si="23"/>
        <v>0.04</v>
      </c>
      <c r="AB48" s="58">
        <f t="shared" si="24"/>
        <v>3.5500000000000003</v>
      </c>
      <c r="AC48" s="59">
        <v>0.875</v>
      </c>
      <c r="AD48" s="60">
        <f>ROUND(AC48*E48,0)</f>
        <v>5894</v>
      </c>
      <c r="AE48" s="59">
        <v>0.875</v>
      </c>
      <c r="AF48" s="60">
        <f t="shared" si="2"/>
        <v>5894</v>
      </c>
      <c r="AG48" s="59">
        <v>0.79</v>
      </c>
      <c r="AH48" s="60">
        <f>ROUND(AG48*T48,0)</f>
        <v>233</v>
      </c>
      <c r="AI48" s="58">
        <f t="shared" si="33"/>
        <v>1.01</v>
      </c>
      <c r="AJ48" s="57">
        <v>5.4</v>
      </c>
      <c r="AK48" s="57">
        <v>300</v>
      </c>
      <c r="AL48" s="60">
        <v>750</v>
      </c>
      <c r="AM48" s="59">
        <f t="shared" si="0"/>
        <v>0.125</v>
      </c>
      <c r="AN48" s="56">
        <v>3.0393599999999998</v>
      </c>
      <c r="AO48" s="57">
        <f>ROUND(T48*AG48,0)</f>
        <v>233</v>
      </c>
      <c r="AP48" s="60">
        <f>E48-AD48-AL48</f>
        <v>92</v>
      </c>
      <c r="AQ48" s="61">
        <v>345229</v>
      </c>
      <c r="AR48" s="60">
        <f>ROUND(AR47*(1+B48),0)</f>
        <v>63</v>
      </c>
      <c r="AS48" s="62">
        <f t="shared" si="4"/>
        <v>5831</v>
      </c>
      <c r="AT48" s="62">
        <f t="shared" si="5"/>
        <v>6664</v>
      </c>
      <c r="AU48" s="62">
        <v>0</v>
      </c>
      <c r="AV48" s="62">
        <v>0.25</v>
      </c>
      <c r="AW48" s="63">
        <v>0</v>
      </c>
    </row>
    <row r="49" spans="1:49" s="73" customFormat="1" ht="13.5" thickBot="1" x14ac:dyDescent="0.25">
      <c r="A49" s="64">
        <v>2020</v>
      </c>
      <c r="B49" s="65">
        <v>2.06E-2</v>
      </c>
      <c r="C49" s="66">
        <f>ROUND(E48*B49,0)</f>
        <v>139</v>
      </c>
      <c r="D49" s="66">
        <v>5</v>
      </c>
      <c r="E49" s="66">
        <f t="shared" si="3"/>
        <v>6880</v>
      </c>
      <c r="F49" s="66">
        <f t="shared" si="7"/>
        <v>6880</v>
      </c>
      <c r="G49" s="65">
        <f>B49</f>
        <v>2.06E-2</v>
      </c>
      <c r="H49" s="67">
        <f t="shared" si="17"/>
        <v>11.95</v>
      </c>
      <c r="I49" s="67">
        <f t="shared" si="18"/>
        <v>591.96</v>
      </c>
      <c r="J49" s="65">
        <f>B49</f>
        <v>2.06E-2</v>
      </c>
      <c r="K49" s="67">
        <f>ROUND(L48*$J49,2)</f>
        <v>1.35</v>
      </c>
      <c r="L49" s="67">
        <f t="shared" si="27"/>
        <v>67.039999999999992</v>
      </c>
      <c r="M49" s="65">
        <f>B49</f>
        <v>2.06E-2</v>
      </c>
      <c r="N49" s="67">
        <f>ROUND(O48*$M49,2)</f>
        <v>1.47</v>
      </c>
      <c r="O49" s="67">
        <f t="shared" si="29"/>
        <v>73.029999999999987</v>
      </c>
      <c r="P49" s="65">
        <f>B49</f>
        <v>2.06E-2</v>
      </c>
      <c r="Q49" s="67">
        <f t="shared" si="30"/>
        <v>6.73</v>
      </c>
      <c r="R49" s="67">
        <f t="shared" si="31"/>
        <v>333.23000000000008</v>
      </c>
      <c r="S49" s="67">
        <f t="shared" si="10"/>
        <v>6.09</v>
      </c>
      <c r="T49" s="67">
        <f t="shared" si="11"/>
        <v>301.62000000000006</v>
      </c>
      <c r="U49" s="67">
        <f t="shared" si="13"/>
        <v>1.1399999999999999</v>
      </c>
      <c r="V49" s="67">
        <f t="shared" si="14"/>
        <v>56.239999999999981</v>
      </c>
      <c r="W49" s="67">
        <f t="shared" si="12"/>
        <v>1.25</v>
      </c>
      <c r="X49" s="67">
        <f t="shared" si="15"/>
        <v>62.050000000000011</v>
      </c>
      <c r="Y49" s="67">
        <f t="shared" si="21"/>
        <v>0.63</v>
      </c>
      <c r="Z49" s="67">
        <f t="shared" si="22"/>
        <v>30.979999999999997</v>
      </c>
      <c r="AA49" s="67">
        <f t="shared" si="23"/>
        <v>7.0000000000000007E-2</v>
      </c>
      <c r="AB49" s="67">
        <f t="shared" si="24"/>
        <v>3.62</v>
      </c>
      <c r="AC49" s="68">
        <v>0.875</v>
      </c>
      <c r="AD49" s="69">
        <f t="shared" si="1"/>
        <v>6020</v>
      </c>
      <c r="AE49" s="68">
        <v>0.875</v>
      </c>
      <c r="AF49" s="70">
        <f t="shared" si="2"/>
        <v>6020</v>
      </c>
      <c r="AG49" s="68">
        <v>0.79</v>
      </c>
      <c r="AH49" s="70">
        <f t="shared" si="8"/>
        <v>238</v>
      </c>
      <c r="AI49" s="67">
        <f t="shared" si="33"/>
        <v>1.01</v>
      </c>
      <c r="AJ49" s="66">
        <v>5.4</v>
      </c>
      <c r="AK49" s="66">
        <v>300</v>
      </c>
      <c r="AL49" s="69">
        <v>750</v>
      </c>
      <c r="AM49" s="68">
        <f t="shared" si="0"/>
        <v>0.125</v>
      </c>
      <c r="AN49" s="71">
        <v>0</v>
      </c>
      <c r="AO49" s="66">
        <f t="shared" si="9"/>
        <v>238</v>
      </c>
      <c r="AP49" s="69">
        <f>E49-AD49-AL49</f>
        <v>110</v>
      </c>
      <c r="AQ49" s="72">
        <v>0</v>
      </c>
      <c r="AR49" s="69">
        <f t="shared" si="16"/>
        <v>64</v>
      </c>
      <c r="AS49" s="73">
        <f t="shared" si="4"/>
        <v>5894</v>
      </c>
      <c r="AT49" s="73">
        <f t="shared" si="5"/>
        <v>6736</v>
      </c>
      <c r="AU49" s="73">
        <v>0</v>
      </c>
      <c r="AV49" s="73">
        <v>0.25</v>
      </c>
      <c r="AW49" s="74">
        <v>0</v>
      </c>
    </row>
    <row r="50" spans="1:49" s="79" customFormat="1" ht="13.5" thickBot="1" x14ac:dyDescent="0.25">
      <c r="A50" s="75">
        <v>2021</v>
      </c>
      <c r="B50" s="76">
        <v>2.3E-2</v>
      </c>
      <c r="C50" s="43">
        <f>ROUND(E49*B50,0)</f>
        <v>158</v>
      </c>
      <c r="D50" s="43">
        <v>10</v>
      </c>
      <c r="E50" s="43">
        <f>E49+C50+D50</f>
        <v>7048</v>
      </c>
      <c r="F50" s="43">
        <f t="shared" si="7"/>
        <v>7048</v>
      </c>
      <c r="G50" s="65">
        <f t="shared" ref="G50:G51" si="34">B50</f>
        <v>2.3E-2</v>
      </c>
      <c r="H50" s="42">
        <f t="shared" si="17"/>
        <v>13.62</v>
      </c>
      <c r="I50" s="42">
        <f t="shared" si="18"/>
        <v>605.58000000000004</v>
      </c>
      <c r="J50" s="65">
        <f t="shared" ref="J50:J51" si="35">B50</f>
        <v>2.3E-2</v>
      </c>
      <c r="K50" s="42">
        <f>ROUND(L49*$J50,2)</f>
        <v>1.54</v>
      </c>
      <c r="L50" s="42">
        <f t="shared" si="27"/>
        <v>68.58</v>
      </c>
      <c r="M50" s="65">
        <f t="shared" ref="M50:M51" si="36">B50</f>
        <v>2.3E-2</v>
      </c>
      <c r="N50" s="42">
        <f>ROUND(O49*$M50,2)</f>
        <v>1.68</v>
      </c>
      <c r="O50" s="42">
        <f>N50+O49</f>
        <v>74.709999999999994</v>
      </c>
      <c r="P50" s="65">
        <f t="shared" ref="P50:P51" si="37">B50</f>
        <v>2.3E-2</v>
      </c>
      <c r="Q50" s="42">
        <f t="shared" si="30"/>
        <v>7.66</v>
      </c>
      <c r="R50" s="42">
        <f t="shared" si="31"/>
        <v>340.8900000000001</v>
      </c>
      <c r="S50" s="42">
        <f t="shared" si="10"/>
        <v>6.94</v>
      </c>
      <c r="T50" s="42">
        <f t="shared" si="11"/>
        <v>308.56000000000006</v>
      </c>
      <c r="U50" s="42">
        <f t="shared" si="13"/>
        <v>1.29</v>
      </c>
      <c r="V50" s="42">
        <f t="shared" si="14"/>
        <v>57.52999999999998</v>
      </c>
      <c r="W50" s="42">
        <f t="shared" si="12"/>
        <v>1.43</v>
      </c>
      <c r="X50" s="42">
        <f t="shared" si="15"/>
        <v>63.480000000000011</v>
      </c>
      <c r="Y50" s="42">
        <f t="shared" si="21"/>
        <v>0.71</v>
      </c>
      <c r="Z50" s="42">
        <f t="shared" si="22"/>
        <v>31.689999999999998</v>
      </c>
      <c r="AA50" s="42">
        <f t="shared" si="23"/>
        <v>0.08</v>
      </c>
      <c r="AB50" s="42">
        <f t="shared" si="24"/>
        <v>3.7</v>
      </c>
      <c r="AC50" s="77">
        <v>0.875</v>
      </c>
      <c r="AD50" s="78">
        <f t="shared" si="1"/>
        <v>6167</v>
      </c>
      <c r="AE50" s="77">
        <v>0.875</v>
      </c>
      <c r="AF50" s="51">
        <f t="shared" si="2"/>
        <v>6167</v>
      </c>
      <c r="AG50" s="77">
        <v>0.79</v>
      </c>
      <c r="AH50" s="51">
        <f t="shared" si="8"/>
        <v>244</v>
      </c>
      <c r="AI50" s="42">
        <f t="shared" si="33"/>
        <v>1.01</v>
      </c>
      <c r="AJ50" s="43">
        <v>5.4</v>
      </c>
      <c r="AK50" s="43">
        <v>300</v>
      </c>
      <c r="AL50" s="78">
        <f>E50-AD50-$AP49</f>
        <v>771</v>
      </c>
      <c r="AM50" s="77">
        <f t="shared" si="0"/>
        <v>0.125</v>
      </c>
      <c r="AN50" s="43"/>
      <c r="AO50" s="43">
        <f t="shared" si="9"/>
        <v>244</v>
      </c>
      <c r="AP50" s="78">
        <f t="shared" si="32"/>
        <v>110</v>
      </c>
      <c r="AQ50" s="43"/>
      <c r="AR50" s="78">
        <f t="shared" si="16"/>
        <v>65</v>
      </c>
      <c r="AS50" s="79">
        <f t="shared" si="4"/>
        <v>6020</v>
      </c>
      <c r="AT50" s="79">
        <f t="shared" si="5"/>
        <v>6880</v>
      </c>
    </row>
    <row r="51" spans="1:49" s="79" customFormat="1" ht="13.5" thickBot="1" x14ac:dyDescent="0.25">
      <c r="A51" s="75">
        <v>2022</v>
      </c>
      <c r="B51" s="76">
        <v>0</v>
      </c>
      <c r="C51" s="43">
        <f>ROUND(E50*B51,0)</f>
        <v>0</v>
      </c>
      <c r="D51" s="43"/>
      <c r="E51" s="43">
        <f t="shared" si="3"/>
        <v>7048</v>
      </c>
      <c r="F51" s="43">
        <f t="shared" si="7"/>
        <v>7048</v>
      </c>
      <c r="G51" s="65">
        <f t="shared" si="34"/>
        <v>0</v>
      </c>
      <c r="H51" s="42">
        <f t="shared" si="17"/>
        <v>0</v>
      </c>
      <c r="I51" s="42">
        <f t="shared" si="18"/>
        <v>605.58000000000004</v>
      </c>
      <c r="J51" s="65">
        <f t="shared" si="35"/>
        <v>0</v>
      </c>
      <c r="K51" s="42">
        <f>ROUND(L50*$J51,2)</f>
        <v>0</v>
      </c>
      <c r="L51" s="42">
        <f t="shared" si="27"/>
        <v>68.58</v>
      </c>
      <c r="M51" s="65">
        <f t="shared" si="36"/>
        <v>0</v>
      </c>
      <c r="N51" s="42">
        <f>ROUND(O50*$M51,2)</f>
        <v>0</v>
      </c>
      <c r="O51" s="42">
        <f t="shared" si="29"/>
        <v>74.709999999999994</v>
      </c>
      <c r="P51" s="65">
        <f t="shared" si="37"/>
        <v>0</v>
      </c>
      <c r="Q51" s="42">
        <f t="shared" si="30"/>
        <v>0</v>
      </c>
      <c r="R51" s="42">
        <f t="shared" si="31"/>
        <v>340.8900000000001</v>
      </c>
      <c r="S51" s="42">
        <f t="shared" si="10"/>
        <v>0</v>
      </c>
      <c r="T51" s="42">
        <f t="shared" si="11"/>
        <v>308.56000000000006</v>
      </c>
      <c r="U51" s="42">
        <f>ROUND(V50*$B51,2)</f>
        <v>0</v>
      </c>
      <c r="V51" s="42">
        <f>U51+V50</f>
        <v>57.52999999999998</v>
      </c>
      <c r="W51" s="42">
        <f>ROUND(X50*$B51,2)</f>
        <v>0</v>
      </c>
      <c r="X51" s="42">
        <f>W51+X50</f>
        <v>63.480000000000011</v>
      </c>
      <c r="Y51" s="42">
        <f>ROUND(Z50*$B51,2)</f>
        <v>0</v>
      </c>
      <c r="Z51" s="42">
        <f>Y51+Z50</f>
        <v>31.689999999999998</v>
      </c>
      <c r="AA51" s="42">
        <f>ROUND(AB50*$B51,2)</f>
        <v>0</v>
      </c>
      <c r="AB51" s="42">
        <f>AA51+AB50</f>
        <v>3.7</v>
      </c>
      <c r="AC51" s="77">
        <v>0.875</v>
      </c>
      <c r="AD51" s="78">
        <f t="shared" si="1"/>
        <v>6167</v>
      </c>
      <c r="AE51" s="77">
        <v>0.875</v>
      </c>
      <c r="AF51" s="51">
        <f t="shared" si="2"/>
        <v>6167</v>
      </c>
      <c r="AG51" s="77">
        <v>0.79</v>
      </c>
      <c r="AH51" s="51">
        <f t="shared" si="8"/>
        <v>244</v>
      </c>
      <c r="AI51" s="42">
        <f t="shared" si="33"/>
        <v>1.01</v>
      </c>
      <c r="AJ51" s="43">
        <v>5.4</v>
      </c>
      <c r="AK51" s="43">
        <v>300</v>
      </c>
      <c r="AL51" s="78">
        <f>E51-AD51-$AP50</f>
        <v>771</v>
      </c>
      <c r="AM51" s="77">
        <f t="shared" si="0"/>
        <v>0.125</v>
      </c>
      <c r="AN51" s="43"/>
      <c r="AO51" s="43">
        <f t="shared" si="9"/>
        <v>244</v>
      </c>
      <c r="AP51" s="78">
        <f t="shared" si="32"/>
        <v>110</v>
      </c>
      <c r="AQ51" s="43"/>
      <c r="AR51" s="78">
        <f t="shared" si="16"/>
        <v>65</v>
      </c>
      <c r="AS51" s="79">
        <f t="shared" si="4"/>
        <v>6167</v>
      </c>
      <c r="AT51" s="79">
        <f t="shared" si="5"/>
        <v>7048</v>
      </c>
    </row>
    <row r="52" spans="1:49" x14ac:dyDescent="0.2">
      <c r="AF52" s="81"/>
    </row>
    <row r="54" spans="1:49" ht="12.75" x14ac:dyDescent="0.2">
      <c r="H54" s="82"/>
      <c r="I54" s="83"/>
      <c r="U54" s="82"/>
      <c r="V54" s="84"/>
      <c r="W54" s="85"/>
      <c r="AC54" s="86"/>
      <c r="AD54" s="87"/>
      <c r="AE54" s="88"/>
    </row>
    <row r="55" spans="1:49" ht="12.75" x14ac:dyDescent="0.2">
      <c r="H55" s="82"/>
      <c r="I55" s="83"/>
      <c r="U55" s="82"/>
      <c r="V55" s="84"/>
      <c r="W55" s="85"/>
      <c r="AC55" s="86"/>
      <c r="AD55" s="87"/>
    </row>
    <row r="56" spans="1:49" ht="12.75" x14ac:dyDescent="0.2">
      <c r="E56" s="88"/>
      <c r="F56" s="88"/>
      <c r="H56" s="82"/>
      <c r="I56" s="83"/>
      <c r="U56" s="82"/>
      <c r="V56" s="84"/>
      <c r="W56" s="85"/>
      <c r="AC56" s="86"/>
      <c r="AD56" s="87"/>
    </row>
    <row r="57" spans="1:49" ht="12.75" x14ac:dyDescent="0.2">
      <c r="E57" s="88"/>
      <c r="F57" s="88"/>
      <c r="H57" s="82"/>
      <c r="I57" s="83"/>
      <c r="U57" s="82"/>
      <c r="V57" s="84"/>
      <c r="W57" s="85"/>
      <c r="AC57" s="86"/>
      <c r="AD57" s="87"/>
    </row>
    <row r="58" spans="1:49" ht="12.75" x14ac:dyDescent="0.2">
      <c r="H58" s="82"/>
      <c r="I58" s="83"/>
      <c r="U58" s="82"/>
      <c r="V58" s="84"/>
      <c r="W58" s="85"/>
      <c r="AC58" s="86"/>
      <c r="AD58" s="87"/>
    </row>
    <row r="59" spans="1:49" ht="12.75" x14ac:dyDescent="0.2">
      <c r="F59" s="88"/>
      <c r="H59" s="82"/>
      <c r="I59" s="83"/>
      <c r="U59" s="82"/>
      <c r="V59" s="84"/>
      <c r="W59" s="85"/>
      <c r="AC59" s="86"/>
      <c r="AD59" s="87"/>
    </row>
    <row r="60" spans="1:49" ht="12.75" x14ac:dyDescent="0.2">
      <c r="C60" s="89"/>
      <c r="H60" s="82"/>
      <c r="I60" s="83"/>
      <c r="U60" s="82"/>
      <c r="V60" s="84"/>
      <c r="W60" s="85"/>
      <c r="AC60" s="86"/>
      <c r="AD60" s="87"/>
    </row>
    <row r="61" spans="1:49" ht="12.75" x14ac:dyDescent="0.2">
      <c r="C61" s="89"/>
      <c r="H61" s="82"/>
      <c r="I61" s="83"/>
      <c r="U61" s="82"/>
      <c r="V61" s="84"/>
      <c r="W61" s="85"/>
      <c r="AC61" s="86"/>
      <c r="AD61" s="87"/>
    </row>
    <row r="62" spans="1:49" ht="12.75" x14ac:dyDescent="0.2">
      <c r="H62" s="82"/>
      <c r="I62" s="83"/>
      <c r="U62" s="90"/>
      <c r="V62" s="84"/>
      <c r="W62" s="85"/>
      <c r="AC62" s="86"/>
      <c r="AD62" s="87"/>
    </row>
    <row r="63" spans="1:49" ht="12.75" x14ac:dyDescent="0.2">
      <c r="U63" s="90"/>
      <c r="V63" s="84"/>
      <c r="W63" s="85"/>
      <c r="AC63" s="86"/>
      <c r="AD63" s="87"/>
    </row>
    <row r="64" spans="1:49" ht="12.75" x14ac:dyDescent="0.2">
      <c r="C64" s="91"/>
      <c r="U64" s="90"/>
      <c r="V64" s="84"/>
      <c r="W64" s="85"/>
      <c r="AC64" s="86"/>
      <c r="AD64" s="87"/>
    </row>
    <row r="65" spans="8:30" ht="12.75" x14ac:dyDescent="0.2">
      <c r="U65" s="90"/>
      <c r="V65" s="84"/>
      <c r="W65" s="85"/>
      <c r="AC65" s="86"/>
      <c r="AD65" s="87"/>
    </row>
    <row r="66" spans="8:30" ht="12.75" x14ac:dyDescent="0.2">
      <c r="U66" s="90"/>
      <c r="V66" s="84"/>
      <c r="W66" s="85"/>
      <c r="AC66" s="86"/>
      <c r="AD66" s="87"/>
    </row>
    <row r="67" spans="8:30" ht="12.75" x14ac:dyDescent="0.2">
      <c r="U67" s="90"/>
      <c r="V67" s="84"/>
      <c r="W67" s="85"/>
      <c r="AC67" s="86"/>
      <c r="AD67" s="87"/>
    </row>
    <row r="68" spans="8:30" ht="12.75" x14ac:dyDescent="0.2">
      <c r="U68" s="90"/>
      <c r="V68" s="84"/>
      <c r="W68" s="85"/>
      <c r="AC68" s="86"/>
      <c r="AD68" s="87"/>
    </row>
    <row r="69" spans="8:30" ht="12.75" x14ac:dyDescent="0.2">
      <c r="U69" s="90"/>
      <c r="V69" s="84"/>
      <c r="W69" s="85"/>
      <c r="AC69" s="86"/>
      <c r="AD69" s="87"/>
    </row>
    <row r="70" spans="8:30" ht="12.75" x14ac:dyDescent="0.2">
      <c r="H70" s="88"/>
      <c r="I70" s="92"/>
      <c r="J70" s="92"/>
      <c r="K70" s="34"/>
      <c r="L70" s="34"/>
      <c r="U70" s="90"/>
      <c r="V70" s="84"/>
      <c r="W70" s="85"/>
      <c r="AC70" s="86"/>
      <c r="AD70" s="87"/>
    </row>
    <row r="71" spans="8:30" ht="12.75" x14ac:dyDescent="0.2">
      <c r="H71" s="93"/>
      <c r="I71" s="94"/>
      <c r="J71" s="94"/>
      <c r="K71" s="34"/>
      <c r="L71" s="34"/>
      <c r="U71" s="90"/>
      <c r="V71" s="84"/>
      <c r="W71" s="85"/>
      <c r="AC71" s="86"/>
      <c r="AD71" s="87"/>
    </row>
    <row r="72" spans="8:30" ht="12.75" x14ac:dyDescent="0.2">
      <c r="H72" s="88"/>
      <c r="I72" s="92"/>
      <c r="J72" s="92"/>
      <c r="K72" s="34"/>
      <c r="L72" s="34"/>
      <c r="U72" s="90"/>
      <c r="V72" s="84"/>
      <c r="W72" s="85"/>
      <c r="AC72" s="86"/>
      <c r="AD72" s="87"/>
    </row>
    <row r="73" spans="8:30" ht="12.75" x14ac:dyDescent="0.2">
      <c r="H73" s="34"/>
      <c r="I73" s="95"/>
      <c r="J73" s="95"/>
      <c r="K73" s="96"/>
      <c r="L73" s="97"/>
      <c r="U73" s="90"/>
      <c r="V73" s="84"/>
      <c r="W73" s="85"/>
      <c r="AC73" s="86"/>
      <c r="AD73" s="87"/>
    </row>
    <row r="74" spans="8:30" ht="12.75" x14ac:dyDescent="0.2">
      <c r="H74" s="34"/>
      <c r="I74" s="34"/>
      <c r="K74" s="34"/>
      <c r="L74" s="34"/>
      <c r="U74" s="90"/>
      <c r="V74" s="84"/>
      <c r="W74" s="85"/>
      <c r="AC74" s="86"/>
      <c r="AD74" s="87"/>
    </row>
    <row r="75" spans="8:30" ht="12.75" x14ac:dyDescent="0.2">
      <c r="H75" s="98"/>
      <c r="I75" s="92"/>
      <c r="J75" s="92"/>
      <c r="K75" s="34"/>
      <c r="L75" s="34"/>
      <c r="U75" s="90"/>
      <c r="V75" s="84"/>
      <c r="W75" s="85"/>
      <c r="AC75" s="86"/>
      <c r="AD75" s="87"/>
    </row>
    <row r="76" spans="8:30" ht="12.75" x14ac:dyDescent="0.2">
      <c r="H76" s="93"/>
      <c r="I76" s="94"/>
      <c r="J76" s="94"/>
      <c r="K76" s="34"/>
      <c r="L76" s="34"/>
      <c r="U76" s="90"/>
      <c r="V76" s="84"/>
      <c r="W76" s="85"/>
      <c r="AC76" s="86"/>
      <c r="AD76" s="87"/>
    </row>
    <row r="77" spans="8:30" ht="12.75" x14ac:dyDescent="0.2">
      <c r="H77" s="98"/>
      <c r="I77" s="92"/>
      <c r="J77" s="92"/>
      <c r="K77" s="34"/>
      <c r="L77" s="34"/>
      <c r="U77" s="90"/>
      <c r="V77" s="84"/>
      <c r="W77" s="85"/>
      <c r="AC77" s="86"/>
      <c r="AD77" s="87"/>
    </row>
    <row r="78" spans="8:30" ht="12.75" x14ac:dyDescent="0.2">
      <c r="H78" s="34"/>
      <c r="I78" s="95"/>
      <c r="J78" s="95"/>
      <c r="K78" s="99"/>
      <c r="L78" s="100"/>
      <c r="U78" s="90"/>
      <c r="V78" s="84"/>
      <c r="W78" s="85"/>
      <c r="AC78" s="86"/>
      <c r="AD78" s="87"/>
    </row>
    <row r="79" spans="8:30" ht="12.75" x14ac:dyDescent="0.2">
      <c r="H79" s="34"/>
      <c r="I79" s="34"/>
      <c r="K79" s="34"/>
      <c r="L79" s="34"/>
      <c r="U79" s="90"/>
      <c r="V79" s="84"/>
      <c r="W79" s="85"/>
      <c r="AC79" s="101"/>
      <c r="AD79" s="87"/>
    </row>
    <row r="80" spans="8:30" ht="12.75" x14ac:dyDescent="0.2">
      <c r="H80" s="34"/>
      <c r="I80" s="34"/>
      <c r="K80" s="34"/>
      <c r="L80" s="34"/>
      <c r="U80" s="90"/>
      <c r="V80" s="84"/>
      <c r="W80" s="85"/>
      <c r="AC80" s="101"/>
      <c r="AD80" s="87"/>
    </row>
    <row r="81" spans="8:30" ht="12.75" x14ac:dyDescent="0.2">
      <c r="H81" s="34"/>
      <c r="I81" s="95"/>
      <c r="J81" s="95"/>
      <c r="K81" s="102"/>
      <c r="L81" s="103"/>
      <c r="U81" s="90"/>
      <c r="V81" s="84"/>
      <c r="W81" s="85"/>
      <c r="AC81" s="101"/>
      <c r="AD81" s="87"/>
    </row>
    <row r="82" spans="8:30" ht="12.75" x14ac:dyDescent="0.2">
      <c r="U82" s="90"/>
      <c r="V82" s="84"/>
      <c r="W82" s="85"/>
      <c r="AC82" s="101"/>
      <c r="AD82" s="87"/>
    </row>
    <row r="83" spans="8:30" ht="12.75" x14ac:dyDescent="0.2">
      <c r="U83" s="90"/>
      <c r="V83" s="84"/>
      <c r="W83" s="85"/>
      <c r="AC83" s="101"/>
      <c r="AD83" s="87"/>
    </row>
    <row r="84" spans="8:30" ht="12.75" x14ac:dyDescent="0.2">
      <c r="U84" s="90"/>
      <c r="V84" s="84"/>
      <c r="W84" s="85"/>
      <c r="AC84" s="101"/>
      <c r="AD84" s="87"/>
    </row>
    <row r="85" spans="8:30" ht="12.75" x14ac:dyDescent="0.2">
      <c r="U85" s="90"/>
      <c r="V85" s="84"/>
      <c r="W85" s="85"/>
      <c r="AC85" s="101"/>
      <c r="AD85" s="87"/>
    </row>
    <row r="86" spans="8:30" ht="12.75" x14ac:dyDescent="0.2">
      <c r="U86" s="90"/>
      <c r="V86" s="84"/>
      <c r="W86" s="85"/>
      <c r="AC86" s="101"/>
      <c r="AD86" s="87"/>
    </row>
    <row r="87" spans="8:30" ht="12.75" x14ac:dyDescent="0.2">
      <c r="U87" s="90"/>
      <c r="V87" s="84"/>
      <c r="W87" s="85"/>
      <c r="AC87" s="101"/>
      <c r="AD87" s="87"/>
    </row>
    <row r="88" spans="8:30" ht="12.75" x14ac:dyDescent="0.2">
      <c r="U88" s="90"/>
      <c r="V88" s="84"/>
      <c r="W88" s="85"/>
      <c r="AC88" s="101"/>
      <c r="AD88" s="87"/>
    </row>
    <row r="89" spans="8:30" ht="12.75" x14ac:dyDescent="0.2">
      <c r="U89" s="90"/>
      <c r="V89" s="84"/>
      <c r="W89" s="85"/>
      <c r="AC89" s="101"/>
      <c r="AD89" s="87"/>
    </row>
    <row r="90" spans="8:30" ht="12.75" x14ac:dyDescent="0.2">
      <c r="U90" s="90"/>
      <c r="V90" s="84"/>
      <c r="W90" s="85"/>
      <c r="AC90" s="101"/>
      <c r="AD90" s="87"/>
    </row>
    <row r="91" spans="8:30" ht="12.75" x14ac:dyDescent="0.2">
      <c r="U91" s="90"/>
      <c r="V91" s="84"/>
      <c r="W91" s="85"/>
      <c r="AC91" s="101"/>
      <c r="AD91" s="87"/>
    </row>
    <row r="92" spans="8:30" ht="12.75" x14ac:dyDescent="0.2">
      <c r="U92" s="90"/>
      <c r="V92" s="84"/>
      <c r="W92" s="85"/>
      <c r="AC92" s="101"/>
      <c r="AD92" s="87"/>
    </row>
    <row r="93" spans="8:30" ht="12.75" x14ac:dyDescent="0.2">
      <c r="U93" s="90"/>
      <c r="V93" s="84"/>
      <c r="W93" s="85"/>
      <c r="AC93" s="101"/>
      <c r="AD93" s="87"/>
    </row>
    <row r="94" spans="8:30" ht="12.75" x14ac:dyDescent="0.2">
      <c r="U94" s="90"/>
      <c r="V94" s="84"/>
      <c r="W94" s="85"/>
      <c r="AC94" s="101"/>
      <c r="AD94" s="87"/>
    </row>
    <row r="95" spans="8:30" ht="12.75" x14ac:dyDescent="0.2">
      <c r="U95" s="90"/>
      <c r="V95" s="84"/>
      <c r="W95" s="90"/>
      <c r="AC95" s="101"/>
      <c r="AD95" s="87"/>
    </row>
    <row r="96" spans="8:30" ht="12.75" x14ac:dyDescent="0.2">
      <c r="U96" s="90"/>
      <c r="V96" s="84"/>
      <c r="W96" s="90"/>
      <c r="AC96" s="101"/>
      <c r="AD96" s="87"/>
    </row>
    <row r="97" spans="29:30" ht="12.75" x14ac:dyDescent="0.2">
      <c r="AC97" s="86"/>
      <c r="AD97" s="87"/>
    </row>
    <row r="98" spans="29:30" ht="12.75" x14ac:dyDescent="0.2">
      <c r="AC98" s="86"/>
      <c r="AD98" s="87"/>
    </row>
    <row r="99" spans="29:30" ht="12.75" x14ac:dyDescent="0.2">
      <c r="AC99" s="86"/>
      <c r="AD99" s="87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36BE-6548-4B93-9989-3486B24D5D33}">
  <dimension ref="A1:H936"/>
  <sheetViews>
    <sheetView workbookViewId="0">
      <selection activeCell="G1" sqref="G1:G1048576"/>
    </sheetView>
  </sheetViews>
  <sheetFormatPr defaultRowHeight="15" x14ac:dyDescent="0.25"/>
  <cols>
    <col min="1" max="1" width="4" style="131" customWidth="1"/>
    <col min="2" max="2" width="9" style="131" customWidth="1"/>
    <col min="3" max="3" width="41" style="131" customWidth="1"/>
    <col min="4" max="4" width="7" style="131" customWidth="1"/>
    <col min="5" max="5" width="41" style="131" customWidth="1"/>
    <col min="6" max="6" width="13" style="131" customWidth="1"/>
    <col min="7" max="7" width="33.140625" style="131" bestFit="1" customWidth="1"/>
    <col min="8" max="16384" width="9.140625" style="131"/>
  </cols>
  <sheetData>
    <row r="1" spans="1:8" x14ac:dyDescent="0.25">
      <c r="A1" s="130" t="s">
        <v>796</v>
      </c>
    </row>
    <row r="2" spans="1:8" x14ac:dyDescent="0.25">
      <c r="A2" s="131" t="s">
        <v>719</v>
      </c>
      <c r="B2" s="131" t="s">
        <v>797</v>
      </c>
      <c r="C2" s="131" t="s">
        <v>798</v>
      </c>
      <c r="D2" s="131" t="s">
        <v>799</v>
      </c>
      <c r="E2" s="131" t="s">
        <v>800</v>
      </c>
      <c r="F2" s="131" t="s">
        <v>4</v>
      </c>
      <c r="G2" s="131" t="s">
        <v>801</v>
      </c>
      <c r="H2" s="131" t="s">
        <v>802</v>
      </c>
    </row>
    <row r="3" spans="1:8" x14ac:dyDescent="0.25">
      <c r="A3" s="131" t="s">
        <v>725</v>
      </c>
      <c r="B3" s="131" t="s">
        <v>342</v>
      </c>
      <c r="C3" s="131" t="s">
        <v>17</v>
      </c>
      <c r="D3" s="131" t="s">
        <v>803</v>
      </c>
      <c r="E3" s="131" t="s">
        <v>804</v>
      </c>
      <c r="F3" s="131">
        <v>45</v>
      </c>
      <c r="G3" s="131">
        <v>23</v>
      </c>
      <c r="H3" s="132">
        <v>0.51111111111111107</v>
      </c>
    </row>
    <row r="4" spans="1:8" x14ac:dyDescent="0.25">
      <c r="A4" s="131" t="s">
        <v>725</v>
      </c>
      <c r="B4" s="131" t="s">
        <v>342</v>
      </c>
      <c r="C4" s="131" t="s">
        <v>17</v>
      </c>
      <c r="D4" s="131" t="s">
        <v>805</v>
      </c>
      <c r="E4" s="131" t="s">
        <v>806</v>
      </c>
      <c r="F4" s="131">
        <v>193</v>
      </c>
      <c r="G4" s="131">
        <v>83</v>
      </c>
      <c r="H4" s="132">
        <v>0.43005181347150256</v>
      </c>
    </row>
    <row r="5" spans="1:8" x14ac:dyDescent="0.25">
      <c r="A5" s="131" t="s">
        <v>725</v>
      </c>
      <c r="B5" s="131" t="s">
        <v>342</v>
      </c>
      <c r="C5" s="131" t="s">
        <v>17</v>
      </c>
      <c r="D5" s="131" t="s">
        <v>807</v>
      </c>
      <c r="E5" s="131" t="s">
        <v>808</v>
      </c>
      <c r="F5" s="131">
        <v>33</v>
      </c>
      <c r="G5" s="131">
        <v>17</v>
      </c>
      <c r="H5" s="132">
        <v>0.51515151515151514</v>
      </c>
    </row>
    <row r="6" spans="1:8" x14ac:dyDescent="0.25">
      <c r="A6" s="131" t="s">
        <v>723</v>
      </c>
      <c r="B6" s="131" t="s">
        <v>343</v>
      </c>
      <c r="C6" s="131" t="s">
        <v>339</v>
      </c>
      <c r="D6" s="131" t="s">
        <v>805</v>
      </c>
      <c r="E6" s="131" t="s">
        <v>809</v>
      </c>
      <c r="F6" s="131">
        <v>110</v>
      </c>
      <c r="G6" s="131">
        <v>49</v>
      </c>
      <c r="H6" s="132">
        <v>0.44545454545454544</v>
      </c>
    </row>
    <row r="7" spans="1:8" x14ac:dyDescent="0.25">
      <c r="A7" s="131" t="s">
        <v>723</v>
      </c>
      <c r="B7" s="131" t="s">
        <v>344</v>
      </c>
      <c r="C7" s="131" t="s">
        <v>338</v>
      </c>
      <c r="D7" s="131" t="s">
        <v>805</v>
      </c>
      <c r="E7" s="131" t="s">
        <v>810</v>
      </c>
      <c r="F7" s="131">
        <v>297</v>
      </c>
      <c r="G7" s="131">
        <v>55</v>
      </c>
      <c r="H7" s="132">
        <v>0.18518518518518517</v>
      </c>
    </row>
    <row r="8" spans="1:8" x14ac:dyDescent="0.25">
      <c r="A8" s="131" t="s">
        <v>723</v>
      </c>
      <c r="B8" s="131" t="s">
        <v>344</v>
      </c>
      <c r="C8" s="131" t="s">
        <v>338</v>
      </c>
      <c r="D8" s="131" t="s">
        <v>811</v>
      </c>
      <c r="E8" s="131" t="s">
        <v>812</v>
      </c>
      <c r="F8" s="131">
        <v>165</v>
      </c>
      <c r="G8" s="131">
        <v>36</v>
      </c>
      <c r="H8" s="132">
        <v>0.21818181818181817</v>
      </c>
    </row>
    <row r="9" spans="1:8" x14ac:dyDescent="0.25">
      <c r="A9" s="131" t="s">
        <v>723</v>
      </c>
      <c r="B9" s="131" t="s">
        <v>344</v>
      </c>
      <c r="C9" s="131" t="s">
        <v>338</v>
      </c>
      <c r="D9" s="131" t="s">
        <v>813</v>
      </c>
      <c r="E9" s="131" t="s">
        <v>814</v>
      </c>
      <c r="F9" s="131">
        <v>499</v>
      </c>
      <c r="G9" s="131">
        <v>98</v>
      </c>
      <c r="H9" s="132">
        <v>0.19639278557114229</v>
      </c>
    </row>
    <row r="10" spans="1:8" x14ac:dyDescent="0.25">
      <c r="A10" s="131" t="s">
        <v>727</v>
      </c>
      <c r="B10" s="131" t="s">
        <v>345</v>
      </c>
      <c r="C10" s="131" t="s">
        <v>337</v>
      </c>
      <c r="D10" s="131" t="s">
        <v>805</v>
      </c>
      <c r="E10" s="131" t="s">
        <v>815</v>
      </c>
      <c r="F10" s="131">
        <v>216</v>
      </c>
      <c r="G10" s="131">
        <v>80</v>
      </c>
      <c r="H10" s="132">
        <v>0.37037037037037035</v>
      </c>
    </row>
    <row r="11" spans="1:8" x14ac:dyDescent="0.25">
      <c r="A11" s="131" t="s">
        <v>727</v>
      </c>
      <c r="B11" s="131" t="s">
        <v>345</v>
      </c>
      <c r="C11" s="131" t="s">
        <v>337</v>
      </c>
      <c r="D11" s="131" t="s">
        <v>813</v>
      </c>
      <c r="E11" s="131" t="s">
        <v>816</v>
      </c>
      <c r="F11" s="131">
        <v>44</v>
      </c>
      <c r="G11" s="131">
        <v>13</v>
      </c>
      <c r="H11" s="132">
        <v>0.29545454545454547</v>
      </c>
    </row>
    <row r="12" spans="1:8" x14ac:dyDescent="0.25">
      <c r="A12" s="131" t="s">
        <v>728</v>
      </c>
      <c r="B12" s="131" t="s">
        <v>346</v>
      </c>
      <c r="C12" s="131" t="s">
        <v>336</v>
      </c>
      <c r="D12" s="131" t="s">
        <v>805</v>
      </c>
      <c r="E12" s="131" t="s">
        <v>817</v>
      </c>
      <c r="F12" s="131">
        <v>87</v>
      </c>
      <c r="G12" s="131">
        <v>39</v>
      </c>
      <c r="H12" s="132">
        <v>0.44827586206896552</v>
      </c>
    </row>
    <row r="13" spans="1:8" x14ac:dyDescent="0.25">
      <c r="A13" s="131" t="s">
        <v>729</v>
      </c>
      <c r="B13" s="131" t="s">
        <v>347</v>
      </c>
      <c r="C13" s="131" t="s">
        <v>335</v>
      </c>
      <c r="D13" s="131" t="s">
        <v>805</v>
      </c>
      <c r="E13" s="131" t="s">
        <v>818</v>
      </c>
      <c r="F13" s="131">
        <v>148</v>
      </c>
      <c r="G13" s="131">
        <v>59</v>
      </c>
      <c r="H13" s="132">
        <v>0.39864864864864863</v>
      </c>
    </row>
    <row r="14" spans="1:8" x14ac:dyDescent="0.25">
      <c r="A14" s="131" t="s">
        <v>729</v>
      </c>
      <c r="B14" s="131" t="s">
        <v>347</v>
      </c>
      <c r="C14" s="131" t="s">
        <v>335</v>
      </c>
      <c r="D14" s="131" t="s">
        <v>819</v>
      </c>
      <c r="E14" s="131" t="s">
        <v>820</v>
      </c>
      <c r="F14" s="131">
        <v>343</v>
      </c>
      <c r="G14" s="131">
        <v>137</v>
      </c>
      <c r="H14" s="132">
        <v>0.39941690962099125</v>
      </c>
    </row>
    <row r="15" spans="1:8" x14ac:dyDescent="0.25">
      <c r="A15" s="131" t="s">
        <v>730</v>
      </c>
      <c r="B15" s="131" t="s">
        <v>348</v>
      </c>
      <c r="C15" s="131" t="s">
        <v>334</v>
      </c>
      <c r="D15" s="131" t="s">
        <v>821</v>
      </c>
      <c r="E15" s="131" t="s">
        <v>822</v>
      </c>
      <c r="F15" s="131">
        <v>56</v>
      </c>
      <c r="G15" s="131">
        <v>12</v>
      </c>
      <c r="H15" s="132">
        <v>0.21428571428571427</v>
      </c>
    </row>
    <row r="16" spans="1:8" x14ac:dyDescent="0.25">
      <c r="A16" s="131" t="s">
        <v>730</v>
      </c>
      <c r="B16" s="131" t="s">
        <v>348</v>
      </c>
      <c r="C16" s="131" t="s">
        <v>334</v>
      </c>
      <c r="D16" s="131" t="s">
        <v>805</v>
      </c>
      <c r="E16" s="131" t="s">
        <v>823</v>
      </c>
      <c r="F16" s="131">
        <v>227</v>
      </c>
      <c r="G16" s="131">
        <v>46</v>
      </c>
      <c r="H16" s="132">
        <v>0.20264317180616739</v>
      </c>
    </row>
    <row r="17" spans="1:8" x14ac:dyDescent="0.25">
      <c r="A17" s="131" t="s">
        <v>725</v>
      </c>
      <c r="B17" s="131" t="s">
        <v>349</v>
      </c>
      <c r="C17" s="131" t="s">
        <v>333</v>
      </c>
      <c r="D17" s="131" t="s">
        <v>805</v>
      </c>
      <c r="E17" s="131" t="s">
        <v>824</v>
      </c>
      <c r="F17" s="131">
        <v>119</v>
      </c>
      <c r="G17" s="131">
        <v>44</v>
      </c>
      <c r="H17" s="132">
        <v>0.36974789915966388</v>
      </c>
    </row>
    <row r="18" spans="1:8" x14ac:dyDescent="0.25">
      <c r="A18" s="131" t="s">
        <v>728</v>
      </c>
      <c r="B18" s="131" t="s">
        <v>350</v>
      </c>
      <c r="C18" s="131" t="s">
        <v>332</v>
      </c>
      <c r="D18" s="131" t="s">
        <v>821</v>
      </c>
      <c r="E18" s="131" t="s">
        <v>825</v>
      </c>
      <c r="F18" s="131">
        <v>198</v>
      </c>
      <c r="G18" s="131">
        <v>76</v>
      </c>
      <c r="H18" s="132">
        <v>0.38383838383838381</v>
      </c>
    </row>
    <row r="19" spans="1:8" x14ac:dyDescent="0.25">
      <c r="A19" s="131" t="s">
        <v>728</v>
      </c>
      <c r="B19" s="131" t="s">
        <v>350</v>
      </c>
      <c r="C19" s="131" t="s">
        <v>332</v>
      </c>
      <c r="D19" s="131" t="s">
        <v>811</v>
      </c>
      <c r="E19" s="131" t="s">
        <v>826</v>
      </c>
      <c r="F19" s="131">
        <v>183</v>
      </c>
      <c r="G19" s="131">
        <v>76</v>
      </c>
      <c r="H19" s="132">
        <v>0.41530054644808745</v>
      </c>
    </row>
    <row r="20" spans="1:8" x14ac:dyDescent="0.25">
      <c r="A20" s="131" t="s">
        <v>728</v>
      </c>
      <c r="B20" s="131" t="s">
        <v>350</v>
      </c>
      <c r="C20" s="131" t="s">
        <v>332</v>
      </c>
      <c r="D20" s="131" t="s">
        <v>819</v>
      </c>
      <c r="E20" s="131" t="s">
        <v>827</v>
      </c>
      <c r="F20" s="131">
        <v>186</v>
      </c>
      <c r="G20" s="131">
        <v>79</v>
      </c>
      <c r="H20" s="132">
        <v>0.42473118279569894</v>
      </c>
    </row>
    <row r="21" spans="1:8" x14ac:dyDescent="0.25">
      <c r="A21" s="131" t="s">
        <v>732</v>
      </c>
      <c r="B21" s="131" t="s">
        <v>351</v>
      </c>
      <c r="C21" s="131" t="s">
        <v>331</v>
      </c>
      <c r="D21" s="131" t="s">
        <v>828</v>
      </c>
      <c r="E21" s="131" t="s">
        <v>829</v>
      </c>
      <c r="F21" s="131">
        <v>82</v>
      </c>
      <c r="G21" s="131">
        <v>45</v>
      </c>
      <c r="H21" s="132">
        <v>0.54878048780487809</v>
      </c>
    </row>
    <row r="22" spans="1:8" x14ac:dyDescent="0.25">
      <c r="A22" s="131" t="s">
        <v>732</v>
      </c>
      <c r="B22" s="131" t="s">
        <v>351</v>
      </c>
      <c r="C22" s="131" t="s">
        <v>331</v>
      </c>
      <c r="D22" s="131" t="s">
        <v>811</v>
      </c>
      <c r="E22" s="131" t="s">
        <v>830</v>
      </c>
      <c r="F22" s="131">
        <v>220</v>
      </c>
      <c r="G22" s="131">
        <v>94</v>
      </c>
      <c r="H22" s="132">
        <v>0.42727272727272725</v>
      </c>
    </row>
    <row r="23" spans="1:8" x14ac:dyDescent="0.25">
      <c r="A23" s="131" t="s">
        <v>732</v>
      </c>
      <c r="B23" s="131" t="s">
        <v>351</v>
      </c>
      <c r="C23" s="131" t="s">
        <v>331</v>
      </c>
      <c r="D23" s="131" t="s">
        <v>819</v>
      </c>
      <c r="E23" s="131" t="s">
        <v>831</v>
      </c>
      <c r="F23" s="131">
        <v>134</v>
      </c>
      <c r="G23" s="131">
        <v>58</v>
      </c>
      <c r="H23" s="132">
        <v>0.43283582089552236</v>
      </c>
    </row>
    <row r="24" spans="1:8" x14ac:dyDescent="0.25">
      <c r="A24" s="131" t="s">
        <v>725</v>
      </c>
      <c r="B24" s="131" t="s">
        <v>352</v>
      </c>
      <c r="C24" s="131" t="s">
        <v>330</v>
      </c>
      <c r="D24" s="131" t="s">
        <v>813</v>
      </c>
      <c r="E24" s="131" t="s">
        <v>832</v>
      </c>
      <c r="F24" s="131">
        <v>245</v>
      </c>
      <c r="G24" s="131">
        <v>83</v>
      </c>
      <c r="H24" s="132">
        <v>0.33877551020408164</v>
      </c>
    </row>
    <row r="25" spans="1:8" x14ac:dyDescent="0.25">
      <c r="A25" s="131" t="s">
        <v>728</v>
      </c>
      <c r="B25" s="131" t="s">
        <v>353</v>
      </c>
      <c r="C25" s="131" t="s">
        <v>683</v>
      </c>
      <c r="D25" s="131" t="s">
        <v>821</v>
      </c>
      <c r="E25" s="131" t="s">
        <v>833</v>
      </c>
      <c r="F25" s="131">
        <v>105</v>
      </c>
      <c r="G25" s="131">
        <v>53</v>
      </c>
      <c r="H25" s="132">
        <v>0.50476190476190474</v>
      </c>
    </row>
    <row r="26" spans="1:8" x14ac:dyDescent="0.25">
      <c r="A26" s="131" t="s">
        <v>728</v>
      </c>
      <c r="B26" s="131" t="s">
        <v>353</v>
      </c>
      <c r="C26" s="131" t="s">
        <v>683</v>
      </c>
      <c r="D26" s="131" t="s">
        <v>805</v>
      </c>
      <c r="E26" s="131" t="s">
        <v>834</v>
      </c>
      <c r="F26" s="131">
        <v>193</v>
      </c>
      <c r="G26" s="131">
        <v>98</v>
      </c>
      <c r="H26" s="132">
        <v>0.50777202072538863</v>
      </c>
    </row>
    <row r="27" spans="1:8" x14ac:dyDescent="0.25">
      <c r="A27" s="131" t="s">
        <v>728</v>
      </c>
      <c r="B27" s="131" t="s">
        <v>353</v>
      </c>
      <c r="C27" s="131" t="s">
        <v>683</v>
      </c>
      <c r="D27" s="131" t="s">
        <v>813</v>
      </c>
      <c r="E27" s="131" t="s">
        <v>835</v>
      </c>
      <c r="F27" s="131">
        <v>49</v>
      </c>
      <c r="G27" s="131">
        <v>16</v>
      </c>
      <c r="H27" s="132">
        <v>0.32653061224489793</v>
      </c>
    </row>
    <row r="28" spans="1:8" x14ac:dyDescent="0.25">
      <c r="A28" s="131" t="s">
        <v>723</v>
      </c>
      <c r="B28" s="131" t="s">
        <v>354</v>
      </c>
      <c r="C28" s="131" t="s">
        <v>329</v>
      </c>
      <c r="D28" s="131" t="s">
        <v>828</v>
      </c>
      <c r="E28" s="131" t="s">
        <v>836</v>
      </c>
      <c r="F28" s="131">
        <v>385</v>
      </c>
      <c r="G28" s="131">
        <v>110</v>
      </c>
      <c r="H28" s="132">
        <v>0.2857142857142857</v>
      </c>
    </row>
    <row r="29" spans="1:8" x14ac:dyDescent="0.25">
      <c r="A29" s="131" t="s">
        <v>723</v>
      </c>
      <c r="B29" s="131" t="s">
        <v>354</v>
      </c>
      <c r="C29" s="131" t="s">
        <v>329</v>
      </c>
      <c r="D29" s="131" t="s">
        <v>819</v>
      </c>
      <c r="E29" s="131" t="s">
        <v>837</v>
      </c>
      <c r="F29" s="131">
        <v>318</v>
      </c>
      <c r="G29" s="131">
        <v>104</v>
      </c>
      <c r="H29" s="132">
        <v>0.32704402515723269</v>
      </c>
    </row>
    <row r="30" spans="1:8" x14ac:dyDescent="0.25">
      <c r="A30" s="131" t="s">
        <v>723</v>
      </c>
      <c r="B30" s="131" t="s">
        <v>354</v>
      </c>
      <c r="C30" s="131" t="s">
        <v>329</v>
      </c>
      <c r="D30" s="131" t="s">
        <v>838</v>
      </c>
      <c r="E30" s="131" t="s">
        <v>839</v>
      </c>
      <c r="F30" s="131">
        <v>490</v>
      </c>
      <c r="G30" s="131">
        <v>90</v>
      </c>
      <c r="H30" s="132">
        <v>0.18367346938775511</v>
      </c>
    </row>
    <row r="31" spans="1:8" x14ac:dyDescent="0.25">
      <c r="A31" s="131" t="s">
        <v>723</v>
      </c>
      <c r="B31" s="131" t="s">
        <v>354</v>
      </c>
      <c r="C31" s="131" t="s">
        <v>329</v>
      </c>
      <c r="D31" s="131" t="s">
        <v>840</v>
      </c>
      <c r="E31" s="131" t="s">
        <v>841</v>
      </c>
      <c r="F31" s="131">
        <v>358</v>
      </c>
      <c r="G31" s="131">
        <v>142</v>
      </c>
      <c r="H31" s="132">
        <v>0.39664804469273746</v>
      </c>
    </row>
    <row r="32" spans="1:8" x14ac:dyDescent="0.25">
      <c r="A32" s="131" t="s">
        <v>723</v>
      </c>
      <c r="B32" s="131" t="s">
        <v>354</v>
      </c>
      <c r="C32" s="131" t="s">
        <v>329</v>
      </c>
      <c r="D32" s="131" t="s">
        <v>842</v>
      </c>
      <c r="E32" s="131" t="s">
        <v>843</v>
      </c>
      <c r="F32" s="131">
        <v>260</v>
      </c>
      <c r="G32" s="131">
        <v>111</v>
      </c>
      <c r="H32" s="132">
        <v>0.42692307692307691</v>
      </c>
    </row>
    <row r="33" spans="1:8" x14ac:dyDescent="0.25">
      <c r="A33" s="131" t="s">
        <v>723</v>
      </c>
      <c r="B33" s="131" t="s">
        <v>354</v>
      </c>
      <c r="C33" s="131" t="s">
        <v>329</v>
      </c>
      <c r="D33" s="131" t="s">
        <v>844</v>
      </c>
      <c r="E33" s="131" t="s">
        <v>845</v>
      </c>
      <c r="F33" s="131">
        <v>349</v>
      </c>
      <c r="G33" s="131">
        <v>128</v>
      </c>
      <c r="H33" s="132">
        <v>0.36676217765042979</v>
      </c>
    </row>
    <row r="34" spans="1:8" x14ac:dyDescent="0.25">
      <c r="A34" s="131" t="s">
        <v>730</v>
      </c>
      <c r="B34" s="131" t="s">
        <v>355</v>
      </c>
      <c r="C34" s="131" t="s">
        <v>328</v>
      </c>
      <c r="D34" s="131" t="s">
        <v>821</v>
      </c>
      <c r="E34" s="131" t="s">
        <v>846</v>
      </c>
      <c r="F34" s="131">
        <v>192</v>
      </c>
      <c r="G34" s="131">
        <v>96</v>
      </c>
      <c r="H34" s="132">
        <v>0.5</v>
      </c>
    </row>
    <row r="35" spans="1:8" x14ac:dyDescent="0.25">
      <c r="A35" s="131" t="s">
        <v>730</v>
      </c>
      <c r="B35" s="131" t="s">
        <v>355</v>
      </c>
      <c r="C35" s="131" t="s">
        <v>328</v>
      </c>
      <c r="D35" s="131" t="s">
        <v>813</v>
      </c>
      <c r="E35" s="131" t="s">
        <v>847</v>
      </c>
      <c r="F35" s="131">
        <v>303</v>
      </c>
      <c r="G35" s="131">
        <v>127</v>
      </c>
      <c r="H35" s="132">
        <v>0.41914191419141916</v>
      </c>
    </row>
    <row r="36" spans="1:8" x14ac:dyDescent="0.25">
      <c r="A36" s="131" t="s">
        <v>734</v>
      </c>
      <c r="B36" s="131" t="s">
        <v>356</v>
      </c>
      <c r="C36" s="131" t="s">
        <v>327</v>
      </c>
      <c r="D36" s="131" t="s">
        <v>821</v>
      </c>
      <c r="E36" s="131" t="s">
        <v>848</v>
      </c>
      <c r="F36" s="131">
        <v>13</v>
      </c>
      <c r="G36" s="131">
        <v>3</v>
      </c>
      <c r="H36" s="132">
        <v>0.23076923076923078</v>
      </c>
    </row>
    <row r="37" spans="1:8" x14ac:dyDescent="0.25">
      <c r="A37" s="131" t="s">
        <v>734</v>
      </c>
      <c r="B37" s="131" t="s">
        <v>356</v>
      </c>
      <c r="C37" s="131" t="s">
        <v>327</v>
      </c>
      <c r="D37" s="131" t="s">
        <v>805</v>
      </c>
      <c r="E37" s="131" t="s">
        <v>849</v>
      </c>
      <c r="F37" s="131">
        <v>84</v>
      </c>
      <c r="G37" s="131">
        <v>36</v>
      </c>
      <c r="H37" s="132">
        <v>0.42857142857142855</v>
      </c>
    </row>
    <row r="38" spans="1:8" x14ac:dyDescent="0.25">
      <c r="A38" s="131" t="s">
        <v>723</v>
      </c>
      <c r="B38" s="131" t="s">
        <v>357</v>
      </c>
      <c r="C38" s="131" t="s">
        <v>326</v>
      </c>
      <c r="D38" s="131" t="s">
        <v>821</v>
      </c>
      <c r="E38" s="131" t="s">
        <v>850</v>
      </c>
      <c r="F38" s="131">
        <v>474</v>
      </c>
      <c r="G38" s="131">
        <v>95</v>
      </c>
      <c r="H38" s="132">
        <v>0.20042194092827004</v>
      </c>
    </row>
    <row r="39" spans="1:8" x14ac:dyDescent="0.25">
      <c r="A39" s="131" t="s">
        <v>723</v>
      </c>
      <c r="B39" s="131" t="s">
        <v>357</v>
      </c>
      <c r="C39" s="131" t="s">
        <v>326</v>
      </c>
      <c r="D39" s="131" t="s">
        <v>828</v>
      </c>
      <c r="E39" s="131" t="s">
        <v>851</v>
      </c>
      <c r="F39" s="131">
        <v>522</v>
      </c>
      <c r="G39" s="131">
        <v>66</v>
      </c>
      <c r="H39" s="132">
        <v>0.12643678160919541</v>
      </c>
    </row>
    <row r="40" spans="1:8" x14ac:dyDescent="0.25">
      <c r="A40" s="131" t="s">
        <v>723</v>
      </c>
      <c r="B40" s="131" t="s">
        <v>357</v>
      </c>
      <c r="C40" s="131" t="s">
        <v>326</v>
      </c>
      <c r="D40" s="131" t="s">
        <v>852</v>
      </c>
      <c r="E40" s="131" t="s">
        <v>853</v>
      </c>
      <c r="F40" s="131">
        <v>327</v>
      </c>
      <c r="G40" s="131">
        <v>102</v>
      </c>
      <c r="H40" s="132">
        <v>0.31192660550458717</v>
      </c>
    </row>
    <row r="41" spans="1:8" x14ac:dyDescent="0.25">
      <c r="A41" s="131" t="s">
        <v>723</v>
      </c>
      <c r="B41" s="131" t="s">
        <v>357</v>
      </c>
      <c r="C41" s="131" t="s">
        <v>326</v>
      </c>
      <c r="D41" s="131" t="s">
        <v>805</v>
      </c>
      <c r="E41" s="131" t="s">
        <v>854</v>
      </c>
      <c r="F41" s="131">
        <v>285</v>
      </c>
      <c r="G41" s="131">
        <v>85</v>
      </c>
      <c r="H41" s="132">
        <v>0.2982456140350877</v>
      </c>
    </row>
    <row r="42" spans="1:8" x14ac:dyDescent="0.25">
      <c r="A42" s="131" t="s">
        <v>723</v>
      </c>
      <c r="B42" s="131" t="s">
        <v>357</v>
      </c>
      <c r="C42" s="131" t="s">
        <v>326</v>
      </c>
      <c r="D42" s="131" t="s">
        <v>811</v>
      </c>
      <c r="E42" s="131" t="s">
        <v>855</v>
      </c>
      <c r="F42" s="131">
        <v>595</v>
      </c>
      <c r="G42" s="131">
        <v>49</v>
      </c>
      <c r="H42" s="132">
        <v>8.2352941176470587E-2</v>
      </c>
    </row>
    <row r="43" spans="1:8" x14ac:dyDescent="0.25">
      <c r="A43" s="131" t="s">
        <v>723</v>
      </c>
      <c r="B43" s="131" t="s">
        <v>357</v>
      </c>
      <c r="C43" s="131" t="s">
        <v>326</v>
      </c>
      <c r="D43" s="131" t="s">
        <v>813</v>
      </c>
      <c r="E43" s="131" t="s">
        <v>856</v>
      </c>
      <c r="F43" s="131">
        <v>553</v>
      </c>
      <c r="G43" s="131">
        <v>53</v>
      </c>
      <c r="H43" s="132">
        <v>9.5840867992766726E-2</v>
      </c>
    </row>
    <row r="44" spans="1:8" x14ac:dyDescent="0.25">
      <c r="A44" s="131" t="s">
        <v>723</v>
      </c>
      <c r="B44" s="131" t="s">
        <v>357</v>
      </c>
      <c r="C44" s="131" t="s">
        <v>326</v>
      </c>
      <c r="D44" s="131" t="s">
        <v>819</v>
      </c>
      <c r="E44" s="131" t="s">
        <v>857</v>
      </c>
      <c r="F44" s="131">
        <v>542</v>
      </c>
      <c r="G44" s="131">
        <v>149</v>
      </c>
      <c r="H44" s="132">
        <v>0.27490774907749077</v>
      </c>
    </row>
    <row r="45" spans="1:8" x14ac:dyDescent="0.25">
      <c r="A45" s="131" t="s">
        <v>723</v>
      </c>
      <c r="B45" s="131" t="s">
        <v>357</v>
      </c>
      <c r="C45" s="131" t="s">
        <v>326</v>
      </c>
      <c r="D45" s="131" t="s">
        <v>807</v>
      </c>
      <c r="E45" s="131" t="s">
        <v>858</v>
      </c>
      <c r="F45" s="131">
        <v>229</v>
      </c>
      <c r="G45" s="131">
        <v>75</v>
      </c>
      <c r="H45" s="132">
        <v>0.32751091703056767</v>
      </c>
    </row>
    <row r="46" spans="1:8" x14ac:dyDescent="0.25">
      <c r="A46" s="131" t="s">
        <v>723</v>
      </c>
      <c r="B46" s="131" t="s">
        <v>357</v>
      </c>
      <c r="C46" s="131" t="s">
        <v>326</v>
      </c>
      <c r="D46" s="131" t="s">
        <v>859</v>
      </c>
      <c r="E46" s="131" t="s">
        <v>860</v>
      </c>
      <c r="F46" s="131">
        <v>548</v>
      </c>
      <c r="G46" s="131">
        <v>70</v>
      </c>
      <c r="H46" s="132">
        <v>0.12773722627737227</v>
      </c>
    </row>
    <row r="47" spans="1:8" x14ac:dyDescent="0.25">
      <c r="A47" s="131" t="s">
        <v>723</v>
      </c>
      <c r="B47" s="131" t="s">
        <v>357</v>
      </c>
      <c r="C47" s="131" t="s">
        <v>326</v>
      </c>
      <c r="D47" s="131" t="s">
        <v>861</v>
      </c>
      <c r="E47" s="131" t="s">
        <v>862</v>
      </c>
      <c r="F47" s="131">
        <v>521</v>
      </c>
      <c r="G47" s="131">
        <v>44</v>
      </c>
      <c r="H47" s="132">
        <v>8.4452975047984644E-2</v>
      </c>
    </row>
    <row r="48" spans="1:8" x14ac:dyDescent="0.25">
      <c r="A48" s="131" t="s">
        <v>723</v>
      </c>
      <c r="B48" s="131" t="s">
        <v>357</v>
      </c>
      <c r="C48" s="131" t="s">
        <v>326</v>
      </c>
      <c r="D48" s="131" t="s">
        <v>863</v>
      </c>
      <c r="E48" s="131" t="s">
        <v>864</v>
      </c>
      <c r="F48" s="131">
        <v>494</v>
      </c>
      <c r="G48" s="131">
        <v>83</v>
      </c>
      <c r="H48" s="132">
        <v>0.16801619433198381</v>
      </c>
    </row>
    <row r="49" spans="1:8" x14ac:dyDescent="0.25">
      <c r="A49" s="131" t="s">
        <v>723</v>
      </c>
      <c r="B49" s="131" t="s">
        <v>357</v>
      </c>
      <c r="C49" s="131" t="s">
        <v>326</v>
      </c>
      <c r="D49" s="131" t="s">
        <v>840</v>
      </c>
      <c r="E49" s="131" t="s">
        <v>865</v>
      </c>
      <c r="F49" s="131">
        <v>604</v>
      </c>
      <c r="G49" s="131">
        <v>86</v>
      </c>
      <c r="H49" s="132">
        <v>0.14238410596026491</v>
      </c>
    </row>
    <row r="50" spans="1:8" x14ac:dyDescent="0.25">
      <c r="A50" s="131" t="s">
        <v>725</v>
      </c>
      <c r="B50" s="131" t="s">
        <v>358</v>
      </c>
      <c r="C50" s="131" t="s">
        <v>325</v>
      </c>
      <c r="D50" s="131" t="s">
        <v>803</v>
      </c>
      <c r="E50" s="131" t="s">
        <v>866</v>
      </c>
      <c r="F50" s="131">
        <v>65</v>
      </c>
      <c r="G50" s="131">
        <v>20</v>
      </c>
      <c r="H50" s="132">
        <v>0.30769230769230771</v>
      </c>
    </row>
    <row r="51" spans="1:8" x14ac:dyDescent="0.25">
      <c r="A51" s="131" t="s">
        <v>725</v>
      </c>
      <c r="B51" s="131" t="s">
        <v>358</v>
      </c>
      <c r="C51" s="131" t="s">
        <v>325</v>
      </c>
      <c r="D51" s="131" t="s">
        <v>805</v>
      </c>
      <c r="E51" s="131" t="s">
        <v>867</v>
      </c>
      <c r="F51" s="131">
        <v>166</v>
      </c>
      <c r="G51" s="131">
        <v>49</v>
      </c>
      <c r="H51" s="132">
        <v>0.29518072289156627</v>
      </c>
    </row>
    <row r="52" spans="1:8" x14ac:dyDescent="0.25">
      <c r="A52" s="131" t="s">
        <v>725</v>
      </c>
      <c r="B52" s="131" t="s">
        <v>358</v>
      </c>
      <c r="C52" s="131" t="s">
        <v>325</v>
      </c>
      <c r="D52" s="131" t="s">
        <v>819</v>
      </c>
      <c r="E52" s="131" t="s">
        <v>868</v>
      </c>
      <c r="F52" s="131">
        <v>116</v>
      </c>
      <c r="G52" s="131">
        <v>42</v>
      </c>
      <c r="H52" s="132">
        <v>0.36206896551724138</v>
      </c>
    </row>
    <row r="53" spans="1:8" x14ac:dyDescent="0.25">
      <c r="A53" s="131" t="s">
        <v>728</v>
      </c>
      <c r="B53" s="131" t="s">
        <v>359</v>
      </c>
      <c r="C53" s="131" t="s">
        <v>324</v>
      </c>
      <c r="D53" s="131" t="s">
        <v>819</v>
      </c>
      <c r="E53" s="131" t="s">
        <v>869</v>
      </c>
      <c r="F53" s="131">
        <v>108</v>
      </c>
      <c r="G53" s="131">
        <v>57</v>
      </c>
      <c r="H53" s="132">
        <v>0.52777777777777779</v>
      </c>
    </row>
    <row r="54" spans="1:8" x14ac:dyDescent="0.25">
      <c r="A54" s="131" t="s">
        <v>727</v>
      </c>
      <c r="B54" s="131" t="s">
        <v>360</v>
      </c>
      <c r="C54" s="131" t="s">
        <v>323</v>
      </c>
      <c r="D54" s="131" t="s">
        <v>803</v>
      </c>
      <c r="E54" s="131" t="s">
        <v>870</v>
      </c>
      <c r="F54" s="131">
        <v>20</v>
      </c>
      <c r="G54" s="131">
        <v>8</v>
      </c>
      <c r="H54" s="132">
        <v>0.4</v>
      </c>
    </row>
    <row r="55" spans="1:8" x14ac:dyDescent="0.25">
      <c r="A55" s="131" t="s">
        <v>727</v>
      </c>
      <c r="B55" s="131" t="s">
        <v>360</v>
      </c>
      <c r="C55" s="131" t="s">
        <v>323</v>
      </c>
      <c r="D55" s="131" t="s">
        <v>819</v>
      </c>
      <c r="E55" s="131" t="s">
        <v>871</v>
      </c>
      <c r="F55" s="131">
        <v>75</v>
      </c>
      <c r="G55" s="131">
        <v>47</v>
      </c>
      <c r="H55" s="132">
        <v>0.62666666666666671</v>
      </c>
    </row>
    <row r="56" spans="1:8" x14ac:dyDescent="0.25">
      <c r="A56" s="131" t="s">
        <v>726</v>
      </c>
      <c r="B56" s="131" t="s">
        <v>361</v>
      </c>
      <c r="C56" s="131" t="s">
        <v>322</v>
      </c>
      <c r="D56" s="131" t="s">
        <v>821</v>
      </c>
      <c r="E56" s="131" t="s">
        <v>872</v>
      </c>
      <c r="F56" s="131">
        <v>119</v>
      </c>
      <c r="G56" s="131">
        <v>60</v>
      </c>
      <c r="H56" s="132">
        <v>0.50420168067226889</v>
      </c>
    </row>
    <row r="57" spans="1:8" x14ac:dyDescent="0.25">
      <c r="A57" s="131" t="s">
        <v>726</v>
      </c>
      <c r="B57" s="131" t="s">
        <v>361</v>
      </c>
      <c r="C57" s="131" t="s">
        <v>322</v>
      </c>
      <c r="D57" s="131" t="s">
        <v>819</v>
      </c>
      <c r="E57" s="131" t="s">
        <v>873</v>
      </c>
      <c r="F57" s="131">
        <v>206</v>
      </c>
      <c r="G57" s="131">
        <v>111</v>
      </c>
      <c r="H57" s="132">
        <v>0.53883495145631066</v>
      </c>
    </row>
    <row r="58" spans="1:8" x14ac:dyDescent="0.25">
      <c r="A58" s="131" t="s">
        <v>726</v>
      </c>
      <c r="B58" s="131" t="s">
        <v>361</v>
      </c>
      <c r="C58" s="131" t="s">
        <v>322</v>
      </c>
      <c r="D58" s="131" t="s">
        <v>859</v>
      </c>
      <c r="E58" s="131" t="s">
        <v>874</v>
      </c>
      <c r="F58" s="131">
        <v>300</v>
      </c>
      <c r="G58" s="131">
        <v>179</v>
      </c>
      <c r="H58" s="132">
        <v>0.59666666666666668</v>
      </c>
    </row>
    <row r="59" spans="1:8" x14ac:dyDescent="0.25">
      <c r="A59" s="131" t="s">
        <v>723</v>
      </c>
      <c r="B59" s="131" t="s">
        <v>362</v>
      </c>
      <c r="C59" s="131" t="s">
        <v>321</v>
      </c>
      <c r="D59" s="131" t="s">
        <v>875</v>
      </c>
      <c r="E59" s="131" t="s">
        <v>876</v>
      </c>
      <c r="F59" s="131">
        <v>88</v>
      </c>
      <c r="G59" s="131">
        <v>39</v>
      </c>
      <c r="H59" s="132">
        <v>0.44318181818181818</v>
      </c>
    </row>
    <row r="60" spans="1:8" x14ac:dyDescent="0.25">
      <c r="A60" s="131" t="s">
        <v>723</v>
      </c>
      <c r="B60" s="131" t="s">
        <v>362</v>
      </c>
      <c r="C60" s="131" t="s">
        <v>321</v>
      </c>
      <c r="D60" s="131" t="s">
        <v>805</v>
      </c>
      <c r="E60" s="131" t="s">
        <v>877</v>
      </c>
      <c r="F60" s="131">
        <v>158</v>
      </c>
      <c r="G60" s="131">
        <v>74</v>
      </c>
      <c r="H60" s="132">
        <v>0.46835443037974683</v>
      </c>
    </row>
    <row r="61" spans="1:8" x14ac:dyDescent="0.25">
      <c r="A61" s="131" t="s">
        <v>726</v>
      </c>
      <c r="B61" s="131" t="s">
        <v>363</v>
      </c>
      <c r="C61" s="131" t="s">
        <v>26</v>
      </c>
      <c r="D61" s="131" t="s">
        <v>821</v>
      </c>
      <c r="E61" s="131" t="s">
        <v>878</v>
      </c>
      <c r="F61" s="131">
        <v>149</v>
      </c>
      <c r="G61" s="131">
        <v>62</v>
      </c>
      <c r="H61" s="132">
        <v>0.41610738255033558</v>
      </c>
    </row>
    <row r="62" spans="1:8" x14ac:dyDescent="0.25">
      <c r="A62" s="131" t="s">
        <v>726</v>
      </c>
      <c r="B62" s="131" t="s">
        <v>363</v>
      </c>
      <c r="C62" s="131" t="s">
        <v>26</v>
      </c>
      <c r="D62" s="131" t="s">
        <v>805</v>
      </c>
      <c r="E62" s="131" t="s">
        <v>879</v>
      </c>
      <c r="F62" s="131">
        <v>142</v>
      </c>
      <c r="G62" s="131">
        <v>60</v>
      </c>
      <c r="H62" s="132">
        <v>0.42253521126760563</v>
      </c>
    </row>
    <row r="63" spans="1:8" x14ac:dyDescent="0.25">
      <c r="A63" s="131" t="s">
        <v>723</v>
      </c>
      <c r="B63" s="131" t="s">
        <v>364</v>
      </c>
      <c r="C63" s="131" t="s">
        <v>320</v>
      </c>
      <c r="D63" s="131" t="s">
        <v>821</v>
      </c>
      <c r="E63" s="131" t="s">
        <v>880</v>
      </c>
      <c r="F63" s="131">
        <v>124</v>
      </c>
      <c r="G63" s="131">
        <v>25</v>
      </c>
      <c r="H63" s="132">
        <v>0.20161290322580644</v>
      </c>
    </row>
    <row r="64" spans="1:8" x14ac:dyDescent="0.25">
      <c r="A64" s="131" t="s">
        <v>723</v>
      </c>
      <c r="B64" s="131" t="s">
        <v>364</v>
      </c>
      <c r="C64" s="131" t="s">
        <v>320</v>
      </c>
      <c r="D64" s="131" t="s">
        <v>881</v>
      </c>
      <c r="E64" s="131" t="s">
        <v>882</v>
      </c>
      <c r="F64" s="131">
        <v>406</v>
      </c>
      <c r="G64" s="131">
        <v>75</v>
      </c>
      <c r="H64" s="132">
        <v>0.18472906403940886</v>
      </c>
    </row>
    <row r="65" spans="1:8" x14ac:dyDescent="0.25">
      <c r="A65" s="131" t="s">
        <v>723</v>
      </c>
      <c r="B65" s="131" t="s">
        <v>364</v>
      </c>
      <c r="C65" s="131" t="s">
        <v>320</v>
      </c>
      <c r="D65" s="131" t="s">
        <v>883</v>
      </c>
      <c r="E65" s="131" t="s">
        <v>884</v>
      </c>
      <c r="F65" s="131">
        <v>263</v>
      </c>
      <c r="G65" s="131">
        <v>39</v>
      </c>
      <c r="H65" s="132">
        <v>0.14828897338403041</v>
      </c>
    </row>
    <row r="66" spans="1:8" x14ac:dyDescent="0.25">
      <c r="A66" s="131" t="s">
        <v>723</v>
      </c>
      <c r="B66" s="131" t="s">
        <v>365</v>
      </c>
      <c r="C66" s="131" t="s">
        <v>319</v>
      </c>
      <c r="D66" s="131" t="s">
        <v>803</v>
      </c>
      <c r="E66" s="131" t="s">
        <v>885</v>
      </c>
      <c r="F66" s="131">
        <v>31</v>
      </c>
      <c r="G66" s="131">
        <v>6</v>
      </c>
      <c r="H66" s="132">
        <v>0.19354838709677419</v>
      </c>
    </row>
    <row r="67" spans="1:8" x14ac:dyDescent="0.25">
      <c r="A67" s="131" t="s">
        <v>723</v>
      </c>
      <c r="B67" s="131" t="s">
        <v>365</v>
      </c>
      <c r="C67" s="131" t="s">
        <v>319</v>
      </c>
      <c r="D67" s="131" t="s">
        <v>805</v>
      </c>
      <c r="E67" s="131" t="s">
        <v>886</v>
      </c>
      <c r="F67" s="131">
        <v>161</v>
      </c>
      <c r="G67" s="131">
        <v>47</v>
      </c>
      <c r="H67" s="132">
        <v>0.29192546583850931</v>
      </c>
    </row>
    <row r="68" spans="1:8" x14ac:dyDescent="0.25">
      <c r="A68" s="131" t="s">
        <v>725</v>
      </c>
      <c r="B68" s="131" t="s">
        <v>366</v>
      </c>
      <c r="C68" s="131" t="s">
        <v>0</v>
      </c>
      <c r="D68" s="131" t="s">
        <v>821</v>
      </c>
      <c r="E68" s="131" t="s">
        <v>887</v>
      </c>
      <c r="F68" s="131">
        <v>88</v>
      </c>
      <c r="G68" s="131">
        <v>31</v>
      </c>
      <c r="H68" s="132">
        <v>0.35227272727272729</v>
      </c>
    </row>
    <row r="69" spans="1:8" x14ac:dyDescent="0.25">
      <c r="A69" s="131" t="s">
        <v>725</v>
      </c>
      <c r="B69" s="131" t="s">
        <v>366</v>
      </c>
      <c r="C69" s="131" t="s">
        <v>0</v>
      </c>
      <c r="D69" s="131" t="s">
        <v>888</v>
      </c>
      <c r="E69" s="131" t="s">
        <v>889</v>
      </c>
      <c r="F69" s="131">
        <v>138</v>
      </c>
      <c r="G69" s="131">
        <v>56</v>
      </c>
      <c r="H69" s="132">
        <v>0.40579710144927539</v>
      </c>
    </row>
    <row r="70" spans="1:8" x14ac:dyDescent="0.25">
      <c r="A70" s="131" t="s">
        <v>726</v>
      </c>
      <c r="B70" s="131" t="s">
        <v>367</v>
      </c>
      <c r="C70" s="131" t="s">
        <v>318</v>
      </c>
      <c r="D70" s="131" t="s">
        <v>875</v>
      </c>
      <c r="E70" s="131" t="s">
        <v>890</v>
      </c>
      <c r="F70" s="131">
        <v>38</v>
      </c>
      <c r="G70" s="131">
        <v>20</v>
      </c>
      <c r="H70" s="132">
        <v>0.52631578947368418</v>
      </c>
    </row>
    <row r="71" spans="1:8" x14ac:dyDescent="0.25">
      <c r="A71" s="131" t="s">
        <v>726</v>
      </c>
      <c r="B71" s="131" t="s">
        <v>367</v>
      </c>
      <c r="C71" s="131" t="s">
        <v>318</v>
      </c>
      <c r="D71" s="131" t="s">
        <v>805</v>
      </c>
      <c r="E71" s="131" t="s">
        <v>891</v>
      </c>
      <c r="F71" s="131">
        <v>187</v>
      </c>
      <c r="G71" s="131">
        <v>84</v>
      </c>
      <c r="H71" s="132">
        <v>0.44919786096256686</v>
      </c>
    </row>
    <row r="72" spans="1:8" x14ac:dyDescent="0.25">
      <c r="A72" s="131" t="s">
        <v>730</v>
      </c>
      <c r="B72" s="131" t="s">
        <v>368</v>
      </c>
      <c r="C72" s="131" t="s">
        <v>317</v>
      </c>
      <c r="D72" s="131" t="s">
        <v>807</v>
      </c>
      <c r="E72" s="131" t="s">
        <v>892</v>
      </c>
      <c r="F72" s="131">
        <v>212</v>
      </c>
      <c r="G72" s="131">
        <v>100</v>
      </c>
      <c r="H72" s="132">
        <v>0.47169811320754718</v>
      </c>
    </row>
    <row r="73" spans="1:8" x14ac:dyDescent="0.25">
      <c r="A73" s="131" t="s">
        <v>734</v>
      </c>
      <c r="B73" s="131" t="s">
        <v>369</v>
      </c>
      <c r="C73" s="131" t="s">
        <v>316</v>
      </c>
      <c r="D73" s="131" t="s">
        <v>875</v>
      </c>
      <c r="E73" s="131" t="s">
        <v>893</v>
      </c>
      <c r="F73" s="131">
        <v>52</v>
      </c>
      <c r="G73" s="131">
        <v>11</v>
      </c>
      <c r="H73" s="132">
        <v>0.21153846153846154</v>
      </c>
    </row>
    <row r="74" spans="1:8" x14ac:dyDescent="0.25">
      <c r="A74" s="131" t="s">
        <v>734</v>
      </c>
      <c r="B74" s="131" t="s">
        <v>369</v>
      </c>
      <c r="C74" s="131" t="s">
        <v>316</v>
      </c>
      <c r="D74" s="131" t="s">
        <v>805</v>
      </c>
      <c r="E74" s="131" t="s">
        <v>894</v>
      </c>
      <c r="F74" s="131">
        <v>224</v>
      </c>
      <c r="G74" s="131">
        <v>59</v>
      </c>
      <c r="H74" s="132">
        <v>0.26339285714285715</v>
      </c>
    </row>
    <row r="75" spans="1:8" x14ac:dyDescent="0.25">
      <c r="A75" s="131" t="s">
        <v>725</v>
      </c>
      <c r="B75" s="131" t="s">
        <v>370</v>
      </c>
      <c r="C75" s="131" t="s">
        <v>315</v>
      </c>
      <c r="D75" s="131" t="s">
        <v>805</v>
      </c>
      <c r="E75" s="131" t="s">
        <v>895</v>
      </c>
      <c r="F75" s="131">
        <v>284</v>
      </c>
      <c r="G75" s="131">
        <v>140</v>
      </c>
      <c r="H75" s="132">
        <v>0.49295774647887325</v>
      </c>
    </row>
    <row r="76" spans="1:8" x14ac:dyDescent="0.25">
      <c r="A76" s="131" t="s">
        <v>734</v>
      </c>
      <c r="B76" s="131" t="s">
        <v>371</v>
      </c>
      <c r="C76" s="131" t="s">
        <v>314</v>
      </c>
      <c r="D76" s="131" t="s">
        <v>805</v>
      </c>
      <c r="E76" s="131" t="s">
        <v>896</v>
      </c>
      <c r="F76" s="131">
        <v>60</v>
      </c>
      <c r="G76" s="131">
        <v>27</v>
      </c>
      <c r="H76" s="132">
        <v>0.45</v>
      </c>
    </row>
    <row r="77" spans="1:8" x14ac:dyDescent="0.25">
      <c r="A77" s="131" t="s">
        <v>730</v>
      </c>
      <c r="B77" s="131" t="s">
        <v>372</v>
      </c>
      <c r="C77" s="131" t="s">
        <v>313</v>
      </c>
      <c r="D77" s="131" t="s">
        <v>852</v>
      </c>
      <c r="E77" s="131" t="s">
        <v>897</v>
      </c>
      <c r="F77" s="131">
        <v>214</v>
      </c>
      <c r="G77" s="131">
        <v>44</v>
      </c>
      <c r="H77" s="132">
        <v>0.20560747663551401</v>
      </c>
    </row>
    <row r="78" spans="1:8" x14ac:dyDescent="0.25">
      <c r="A78" s="131" t="s">
        <v>730</v>
      </c>
      <c r="B78" s="131" t="s">
        <v>372</v>
      </c>
      <c r="C78" s="131" t="s">
        <v>313</v>
      </c>
      <c r="D78" s="131" t="s">
        <v>859</v>
      </c>
      <c r="E78" s="131" t="s">
        <v>898</v>
      </c>
      <c r="F78" s="131">
        <v>98</v>
      </c>
      <c r="G78" s="131">
        <v>31</v>
      </c>
      <c r="H78" s="132">
        <v>0.31632653061224492</v>
      </c>
    </row>
    <row r="79" spans="1:8" x14ac:dyDescent="0.25">
      <c r="A79" s="131" t="s">
        <v>730</v>
      </c>
      <c r="B79" s="131" t="s">
        <v>372</v>
      </c>
      <c r="C79" s="131" t="s">
        <v>313</v>
      </c>
      <c r="D79" s="131" t="s">
        <v>840</v>
      </c>
      <c r="E79" s="131" t="s">
        <v>899</v>
      </c>
      <c r="F79" s="131">
        <v>323</v>
      </c>
      <c r="G79" s="131">
        <v>83</v>
      </c>
      <c r="H79" s="132">
        <v>0.25696594427244585</v>
      </c>
    </row>
    <row r="80" spans="1:8" x14ac:dyDescent="0.25">
      <c r="A80" s="131" t="s">
        <v>734</v>
      </c>
      <c r="B80" s="131" t="s">
        <v>373</v>
      </c>
      <c r="C80" s="131" t="s">
        <v>312</v>
      </c>
      <c r="D80" s="131" t="s">
        <v>821</v>
      </c>
      <c r="E80" s="131" t="s">
        <v>900</v>
      </c>
      <c r="F80" s="131">
        <v>369</v>
      </c>
      <c r="G80" s="131">
        <v>146</v>
      </c>
      <c r="H80" s="132">
        <v>0.39566395663956638</v>
      </c>
    </row>
    <row r="81" spans="1:8" x14ac:dyDescent="0.25">
      <c r="A81" s="131" t="s">
        <v>734</v>
      </c>
      <c r="B81" s="131" t="s">
        <v>373</v>
      </c>
      <c r="C81" s="131" t="s">
        <v>312</v>
      </c>
      <c r="D81" s="131" t="s">
        <v>852</v>
      </c>
      <c r="E81" s="131" t="s">
        <v>901</v>
      </c>
      <c r="F81" s="131">
        <v>322</v>
      </c>
      <c r="G81" s="131">
        <v>128</v>
      </c>
      <c r="H81" s="132">
        <v>0.39751552795031053</v>
      </c>
    </row>
    <row r="82" spans="1:8" x14ac:dyDescent="0.25">
      <c r="A82" s="131" t="s">
        <v>734</v>
      </c>
      <c r="B82" s="131" t="s">
        <v>373</v>
      </c>
      <c r="C82" s="131" t="s">
        <v>312</v>
      </c>
      <c r="D82" s="131" t="s">
        <v>888</v>
      </c>
      <c r="E82" s="131" t="s">
        <v>902</v>
      </c>
      <c r="F82" s="131">
        <v>360</v>
      </c>
      <c r="G82" s="131">
        <v>107</v>
      </c>
      <c r="H82" s="132">
        <v>0.29722222222222222</v>
      </c>
    </row>
    <row r="83" spans="1:8" x14ac:dyDescent="0.25">
      <c r="A83" s="131" t="s">
        <v>734</v>
      </c>
      <c r="B83" s="131" t="s">
        <v>373</v>
      </c>
      <c r="C83" s="131" t="s">
        <v>312</v>
      </c>
      <c r="D83" s="131" t="s">
        <v>805</v>
      </c>
      <c r="E83" s="131" t="s">
        <v>903</v>
      </c>
      <c r="F83" s="131">
        <v>368</v>
      </c>
      <c r="G83" s="131">
        <v>47</v>
      </c>
      <c r="H83" s="132">
        <v>0.12771739130434784</v>
      </c>
    </row>
    <row r="84" spans="1:8" x14ac:dyDescent="0.25">
      <c r="A84" s="131" t="s">
        <v>734</v>
      </c>
      <c r="B84" s="131" t="s">
        <v>373</v>
      </c>
      <c r="C84" s="131" t="s">
        <v>312</v>
      </c>
      <c r="D84" s="131" t="s">
        <v>807</v>
      </c>
      <c r="E84" s="131" t="s">
        <v>904</v>
      </c>
      <c r="F84" s="131">
        <v>328</v>
      </c>
      <c r="G84" s="131">
        <v>160</v>
      </c>
      <c r="H84" s="132">
        <v>0.48780487804878048</v>
      </c>
    </row>
    <row r="85" spans="1:8" x14ac:dyDescent="0.25">
      <c r="A85" s="131" t="s">
        <v>734</v>
      </c>
      <c r="B85" s="131" t="s">
        <v>373</v>
      </c>
      <c r="C85" s="131" t="s">
        <v>312</v>
      </c>
      <c r="D85" s="131" t="s">
        <v>859</v>
      </c>
      <c r="E85" s="131" t="s">
        <v>905</v>
      </c>
      <c r="F85" s="131">
        <v>239</v>
      </c>
      <c r="G85" s="131">
        <v>147</v>
      </c>
      <c r="H85" s="132">
        <v>0.61506276150627615</v>
      </c>
    </row>
    <row r="86" spans="1:8" x14ac:dyDescent="0.25">
      <c r="A86" s="131" t="s">
        <v>729</v>
      </c>
      <c r="B86" s="131" t="s">
        <v>374</v>
      </c>
      <c r="C86" s="131" t="s">
        <v>906</v>
      </c>
      <c r="D86" s="131" t="s">
        <v>805</v>
      </c>
      <c r="E86" s="131" t="s">
        <v>907</v>
      </c>
      <c r="F86" s="131">
        <v>256</v>
      </c>
      <c r="G86" s="131">
        <v>101</v>
      </c>
      <c r="H86" s="132">
        <v>0.39453125</v>
      </c>
    </row>
    <row r="87" spans="1:8" x14ac:dyDescent="0.25">
      <c r="A87" s="131" t="s">
        <v>729</v>
      </c>
      <c r="B87" s="131" t="s">
        <v>374</v>
      </c>
      <c r="C87" s="131" t="s">
        <v>906</v>
      </c>
      <c r="D87" s="131" t="s">
        <v>813</v>
      </c>
      <c r="E87" s="131" t="s">
        <v>908</v>
      </c>
      <c r="F87" s="131">
        <v>107</v>
      </c>
      <c r="G87" s="131">
        <v>41</v>
      </c>
      <c r="H87" s="132">
        <v>0.38317757009345793</v>
      </c>
    </row>
    <row r="88" spans="1:8" x14ac:dyDescent="0.25">
      <c r="A88" s="131" t="s">
        <v>729</v>
      </c>
      <c r="B88" s="131" t="s">
        <v>374</v>
      </c>
      <c r="C88" s="131" t="s">
        <v>906</v>
      </c>
      <c r="D88" s="131" t="s">
        <v>819</v>
      </c>
      <c r="E88" s="131" t="s">
        <v>909</v>
      </c>
      <c r="F88" s="131">
        <v>89</v>
      </c>
      <c r="G88" s="131">
        <v>41</v>
      </c>
      <c r="H88" s="132">
        <v>0.4606741573033708</v>
      </c>
    </row>
    <row r="89" spans="1:8" x14ac:dyDescent="0.25">
      <c r="A89" s="131" t="s">
        <v>723</v>
      </c>
      <c r="B89" s="131" t="s">
        <v>375</v>
      </c>
      <c r="C89" s="131" t="s">
        <v>311</v>
      </c>
      <c r="D89" s="131" t="s">
        <v>821</v>
      </c>
      <c r="E89" s="131" t="s">
        <v>910</v>
      </c>
      <c r="F89" s="131">
        <v>185</v>
      </c>
      <c r="G89" s="131">
        <v>43</v>
      </c>
      <c r="H89" s="132">
        <v>0.23243243243243245</v>
      </c>
    </row>
    <row r="90" spans="1:8" x14ac:dyDescent="0.25">
      <c r="A90" s="131" t="s">
        <v>723</v>
      </c>
      <c r="B90" s="131" t="s">
        <v>375</v>
      </c>
      <c r="C90" s="131" t="s">
        <v>311</v>
      </c>
      <c r="D90" s="131" t="s">
        <v>805</v>
      </c>
      <c r="E90" s="131" t="s">
        <v>911</v>
      </c>
      <c r="F90" s="131">
        <v>573</v>
      </c>
      <c r="G90" s="131">
        <v>117</v>
      </c>
      <c r="H90" s="132">
        <v>0.20418848167539266</v>
      </c>
    </row>
    <row r="91" spans="1:8" x14ac:dyDescent="0.25">
      <c r="A91" s="131" t="s">
        <v>723</v>
      </c>
      <c r="B91" s="131" t="s">
        <v>375</v>
      </c>
      <c r="C91" s="131" t="s">
        <v>311</v>
      </c>
      <c r="D91" s="131" t="s">
        <v>819</v>
      </c>
      <c r="E91" s="131" t="s">
        <v>912</v>
      </c>
      <c r="F91" s="131">
        <v>385</v>
      </c>
      <c r="G91" s="131">
        <v>77</v>
      </c>
      <c r="H91" s="132">
        <v>0.2</v>
      </c>
    </row>
    <row r="92" spans="1:8" x14ac:dyDescent="0.25">
      <c r="A92" s="131" t="s">
        <v>723</v>
      </c>
      <c r="B92" s="131" t="s">
        <v>376</v>
      </c>
      <c r="C92" s="131" t="s">
        <v>310</v>
      </c>
      <c r="D92" s="131" t="s">
        <v>821</v>
      </c>
      <c r="E92" s="131" t="s">
        <v>913</v>
      </c>
      <c r="F92" s="131">
        <v>306</v>
      </c>
      <c r="G92" s="131">
        <v>149</v>
      </c>
      <c r="H92" s="132">
        <v>0.48692810457516339</v>
      </c>
    </row>
    <row r="93" spans="1:8" x14ac:dyDescent="0.25">
      <c r="A93" s="131" t="s">
        <v>723</v>
      </c>
      <c r="B93" s="131" t="s">
        <v>376</v>
      </c>
      <c r="C93" s="131" t="s">
        <v>310</v>
      </c>
      <c r="D93" s="131" t="s">
        <v>813</v>
      </c>
      <c r="E93" s="131" t="s">
        <v>914</v>
      </c>
      <c r="F93" s="131">
        <v>358</v>
      </c>
      <c r="G93" s="131">
        <v>182</v>
      </c>
      <c r="H93" s="132">
        <v>0.50837988826815639</v>
      </c>
    </row>
    <row r="94" spans="1:8" x14ac:dyDescent="0.25">
      <c r="A94" s="131" t="s">
        <v>723</v>
      </c>
      <c r="B94" s="131" t="s">
        <v>376</v>
      </c>
      <c r="C94" s="131" t="s">
        <v>310</v>
      </c>
      <c r="D94" s="131" t="s">
        <v>807</v>
      </c>
      <c r="E94" s="131" t="s">
        <v>915</v>
      </c>
      <c r="F94" s="131">
        <v>61</v>
      </c>
      <c r="G94" s="131">
        <v>31</v>
      </c>
      <c r="H94" s="132">
        <v>0.50819672131147542</v>
      </c>
    </row>
    <row r="95" spans="1:8" x14ac:dyDescent="0.25">
      <c r="A95" s="131" t="s">
        <v>723</v>
      </c>
      <c r="B95" s="131" t="s">
        <v>376</v>
      </c>
      <c r="C95" s="131" t="s">
        <v>310</v>
      </c>
      <c r="D95" s="131" t="s">
        <v>840</v>
      </c>
      <c r="E95" s="131" t="s">
        <v>916</v>
      </c>
      <c r="F95" s="131">
        <v>66</v>
      </c>
      <c r="G95" s="131">
        <v>20</v>
      </c>
      <c r="H95" s="132">
        <v>0.30303030303030304</v>
      </c>
    </row>
    <row r="96" spans="1:8" x14ac:dyDescent="0.25">
      <c r="A96" s="131" t="s">
        <v>727</v>
      </c>
      <c r="B96" s="131" t="s">
        <v>377</v>
      </c>
      <c r="C96" s="131" t="s">
        <v>309</v>
      </c>
      <c r="D96" s="131" t="s">
        <v>805</v>
      </c>
      <c r="E96" s="131" t="s">
        <v>917</v>
      </c>
      <c r="F96" s="131">
        <v>220</v>
      </c>
      <c r="G96" s="131">
        <v>102</v>
      </c>
      <c r="H96" s="132">
        <v>0.46363636363636362</v>
      </c>
    </row>
    <row r="97" spans="1:8" x14ac:dyDescent="0.25">
      <c r="A97" s="131" t="s">
        <v>725</v>
      </c>
      <c r="B97" s="131" t="s">
        <v>378</v>
      </c>
      <c r="C97" s="131" t="s">
        <v>308</v>
      </c>
      <c r="D97" s="131" t="s">
        <v>821</v>
      </c>
      <c r="E97" s="131" t="s">
        <v>918</v>
      </c>
      <c r="F97" s="131">
        <v>85</v>
      </c>
      <c r="G97" s="131">
        <v>31</v>
      </c>
      <c r="H97" s="132">
        <v>0.36470588235294116</v>
      </c>
    </row>
    <row r="98" spans="1:8" x14ac:dyDescent="0.25">
      <c r="A98" s="131" t="s">
        <v>725</v>
      </c>
      <c r="B98" s="131" t="s">
        <v>378</v>
      </c>
      <c r="C98" s="131" t="s">
        <v>308</v>
      </c>
      <c r="D98" s="131" t="s">
        <v>805</v>
      </c>
      <c r="E98" s="131" t="s">
        <v>919</v>
      </c>
      <c r="F98" s="131">
        <v>150</v>
      </c>
      <c r="G98" s="131">
        <v>66</v>
      </c>
      <c r="H98" s="132">
        <v>0.44</v>
      </c>
    </row>
    <row r="99" spans="1:8" x14ac:dyDescent="0.25">
      <c r="A99" s="131" t="s">
        <v>725</v>
      </c>
      <c r="B99" s="131" t="s">
        <v>379</v>
      </c>
      <c r="C99" s="131" t="s">
        <v>307</v>
      </c>
      <c r="D99" s="131" t="s">
        <v>805</v>
      </c>
      <c r="E99" s="131" t="s">
        <v>920</v>
      </c>
      <c r="F99" s="131">
        <v>257</v>
      </c>
      <c r="G99" s="131">
        <v>106</v>
      </c>
      <c r="H99" s="132">
        <v>0.41245136186770426</v>
      </c>
    </row>
    <row r="100" spans="1:8" x14ac:dyDescent="0.25">
      <c r="A100" s="131" t="s">
        <v>725</v>
      </c>
      <c r="B100" s="131" t="s">
        <v>380</v>
      </c>
      <c r="C100" s="131" t="s">
        <v>306</v>
      </c>
      <c r="D100" s="131" t="s">
        <v>803</v>
      </c>
      <c r="E100" s="131" t="s">
        <v>921</v>
      </c>
      <c r="F100" s="131">
        <v>71</v>
      </c>
      <c r="G100" s="131">
        <v>36</v>
      </c>
      <c r="H100" s="132">
        <v>0.50704225352112675</v>
      </c>
    </row>
    <row r="101" spans="1:8" x14ac:dyDescent="0.25">
      <c r="A101" s="131" t="s">
        <v>725</v>
      </c>
      <c r="B101" s="131" t="s">
        <v>380</v>
      </c>
      <c r="C101" s="131" t="s">
        <v>306</v>
      </c>
      <c r="D101" s="131" t="s">
        <v>805</v>
      </c>
      <c r="E101" s="131" t="s">
        <v>922</v>
      </c>
      <c r="F101" s="131">
        <v>137</v>
      </c>
      <c r="G101" s="131">
        <v>69</v>
      </c>
      <c r="H101" s="132">
        <v>0.5036496350364964</v>
      </c>
    </row>
    <row r="102" spans="1:8" x14ac:dyDescent="0.25">
      <c r="A102" s="131" t="s">
        <v>729</v>
      </c>
      <c r="B102" s="131" t="s">
        <v>381</v>
      </c>
      <c r="C102" s="131" t="s">
        <v>305</v>
      </c>
      <c r="D102" s="131" t="s">
        <v>828</v>
      </c>
      <c r="E102" s="131" t="s">
        <v>923</v>
      </c>
      <c r="F102" s="131">
        <v>527</v>
      </c>
      <c r="G102" s="131">
        <v>385</v>
      </c>
      <c r="H102" s="132">
        <v>0.73055028462998106</v>
      </c>
    </row>
    <row r="103" spans="1:8" x14ac:dyDescent="0.25">
      <c r="A103" s="131" t="s">
        <v>729</v>
      </c>
      <c r="B103" s="131" t="s">
        <v>381</v>
      </c>
      <c r="C103" s="131" t="s">
        <v>305</v>
      </c>
      <c r="D103" s="131" t="s">
        <v>805</v>
      </c>
      <c r="E103" s="131" t="s">
        <v>924</v>
      </c>
      <c r="F103" s="131">
        <v>294</v>
      </c>
      <c r="G103" s="131">
        <v>206</v>
      </c>
      <c r="H103" s="132">
        <v>0.70068027210884354</v>
      </c>
    </row>
    <row r="104" spans="1:8" x14ac:dyDescent="0.25">
      <c r="A104" s="131" t="s">
        <v>729</v>
      </c>
      <c r="B104" s="131" t="s">
        <v>381</v>
      </c>
      <c r="C104" s="131" t="s">
        <v>305</v>
      </c>
      <c r="D104" s="131" t="s">
        <v>859</v>
      </c>
      <c r="E104" s="131" t="s">
        <v>925</v>
      </c>
      <c r="F104" s="131">
        <v>222</v>
      </c>
      <c r="G104" s="131">
        <v>173</v>
      </c>
      <c r="H104" s="132">
        <v>0.77927927927927931</v>
      </c>
    </row>
    <row r="105" spans="1:8" x14ac:dyDescent="0.25">
      <c r="A105" s="131" t="s">
        <v>729</v>
      </c>
      <c r="B105" s="131" t="s">
        <v>381</v>
      </c>
      <c r="C105" s="131" t="s">
        <v>305</v>
      </c>
      <c r="D105" s="131" t="s">
        <v>840</v>
      </c>
      <c r="E105" s="131" t="s">
        <v>926</v>
      </c>
      <c r="F105" s="131">
        <v>247</v>
      </c>
      <c r="G105" s="131">
        <v>205</v>
      </c>
      <c r="H105" s="132">
        <v>0.82995951417004044</v>
      </c>
    </row>
    <row r="106" spans="1:8" x14ac:dyDescent="0.25">
      <c r="A106" s="131" t="s">
        <v>729</v>
      </c>
      <c r="B106" s="131" t="s">
        <v>381</v>
      </c>
      <c r="C106" s="131" t="s">
        <v>305</v>
      </c>
      <c r="D106" s="131" t="s">
        <v>927</v>
      </c>
      <c r="E106" s="131" t="s">
        <v>928</v>
      </c>
      <c r="F106" s="131">
        <v>262</v>
      </c>
      <c r="G106" s="131">
        <v>172</v>
      </c>
      <c r="H106" s="132">
        <v>0.65648854961832059</v>
      </c>
    </row>
    <row r="107" spans="1:8" x14ac:dyDescent="0.25">
      <c r="A107" s="131" t="s">
        <v>726</v>
      </c>
      <c r="B107" s="131" t="s">
        <v>382</v>
      </c>
      <c r="C107" s="131" t="s">
        <v>22</v>
      </c>
      <c r="D107" s="131" t="s">
        <v>803</v>
      </c>
      <c r="E107" s="131" t="s">
        <v>929</v>
      </c>
      <c r="F107" s="131">
        <v>26</v>
      </c>
      <c r="G107" s="131">
        <v>14</v>
      </c>
      <c r="H107" s="132">
        <v>0.53846153846153844</v>
      </c>
    </row>
    <row r="108" spans="1:8" x14ac:dyDescent="0.25">
      <c r="A108" s="131" t="s">
        <v>726</v>
      </c>
      <c r="B108" s="131" t="s">
        <v>382</v>
      </c>
      <c r="C108" s="131" t="s">
        <v>22</v>
      </c>
      <c r="D108" s="131" t="s">
        <v>930</v>
      </c>
      <c r="E108" s="131" t="s">
        <v>931</v>
      </c>
      <c r="F108" s="131">
        <v>35</v>
      </c>
      <c r="G108" s="131">
        <v>8</v>
      </c>
      <c r="H108" s="132">
        <v>0.22857142857142856</v>
      </c>
    </row>
    <row r="109" spans="1:8" x14ac:dyDescent="0.25">
      <c r="A109" s="131" t="s">
        <v>726</v>
      </c>
      <c r="B109" s="131" t="s">
        <v>382</v>
      </c>
      <c r="C109" s="131" t="s">
        <v>22</v>
      </c>
      <c r="D109" s="131" t="s">
        <v>805</v>
      </c>
      <c r="E109" s="131" t="s">
        <v>932</v>
      </c>
      <c r="F109" s="131">
        <v>92</v>
      </c>
      <c r="G109" s="131">
        <v>45</v>
      </c>
      <c r="H109" s="132">
        <v>0.4891304347826087</v>
      </c>
    </row>
    <row r="110" spans="1:8" x14ac:dyDescent="0.25">
      <c r="A110" s="131" t="s">
        <v>726</v>
      </c>
      <c r="B110" s="131" t="s">
        <v>382</v>
      </c>
      <c r="C110" s="131" t="s">
        <v>22</v>
      </c>
      <c r="D110" s="131" t="s">
        <v>813</v>
      </c>
      <c r="E110" s="131" t="s">
        <v>933</v>
      </c>
      <c r="F110" s="131">
        <v>83</v>
      </c>
      <c r="G110" s="131">
        <v>37</v>
      </c>
      <c r="H110" s="132">
        <v>0.44578313253012047</v>
      </c>
    </row>
    <row r="111" spans="1:8" x14ac:dyDescent="0.25">
      <c r="A111" s="131" t="s">
        <v>726</v>
      </c>
      <c r="B111" s="131" t="s">
        <v>382</v>
      </c>
      <c r="C111" s="131" t="s">
        <v>22</v>
      </c>
      <c r="D111" s="131" t="s">
        <v>807</v>
      </c>
      <c r="E111" s="131" t="s">
        <v>934</v>
      </c>
      <c r="F111" s="131">
        <v>74</v>
      </c>
      <c r="G111" s="131">
        <v>26</v>
      </c>
      <c r="H111" s="132">
        <v>0.35135135135135137</v>
      </c>
    </row>
    <row r="112" spans="1:8" x14ac:dyDescent="0.25">
      <c r="A112" s="131" t="s">
        <v>725</v>
      </c>
      <c r="B112" s="131" t="s">
        <v>383</v>
      </c>
      <c r="C112" s="131" t="s">
        <v>1</v>
      </c>
      <c r="D112" s="131" t="s">
        <v>813</v>
      </c>
      <c r="E112" s="131" t="s">
        <v>935</v>
      </c>
      <c r="F112" s="131">
        <v>91</v>
      </c>
      <c r="G112" s="131">
        <v>52</v>
      </c>
      <c r="H112" s="132">
        <v>0.5714285714285714</v>
      </c>
    </row>
    <row r="113" spans="1:8" x14ac:dyDescent="0.25">
      <c r="A113" s="131" t="s">
        <v>734</v>
      </c>
      <c r="B113" s="131" t="s">
        <v>384</v>
      </c>
      <c r="C113" s="131" t="s">
        <v>304</v>
      </c>
      <c r="D113" s="131" t="s">
        <v>805</v>
      </c>
      <c r="E113" s="131" t="s">
        <v>936</v>
      </c>
      <c r="F113" s="131">
        <v>197</v>
      </c>
      <c r="G113" s="131">
        <v>69</v>
      </c>
      <c r="H113" s="132">
        <v>0.35025380710659898</v>
      </c>
    </row>
    <row r="114" spans="1:8" x14ac:dyDescent="0.25">
      <c r="A114" s="131" t="s">
        <v>734</v>
      </c>
      <c r="B114" s="131" t="s">
        <v>385</v>
      </c>
      <c r="C114" s="131" t="s">
        <v>303</v>
      </c>
      <c r="D114" s="131" t="s">
        <v>821</v>
      </c>
      <c r="E114" s="131" t="s">
        <v>937</v>
      </c>
      <c r="F114" s="131">
        <v>144</v>
      </c>
      <c r="G114" s="131">
        <v>67</v>
      </c>
      <c r="H114" s="132">
        <v>0.46527777777777779</v>
      </c>
    </row>
    <row r="115" spans="1:8" x14ac:dyDescent="0.25">
      <c r="A115" s="131" t="s">
        <v>734</v>
      </c>
      <c r="B115" s="131" t="s">
        <v>385</v>
      </c>
      <c r="C115" s="131" t="s">
        <v>303</v>
      </c>
      <c r="D115" s="131" t="s">
        <v>813</v>
      </c>
      <c r="E115" s="131" t="s">
        <v>938</v>
      </c>
      <c r="F115" s="131">
        <v>265</v>
      </c>
      <c r="G115" s="131">
        <v>109</v>
      </c>
      <c r="H115" s="132">
        <v>0.41132075471698115</v>
      </c>
    </row>
    <row r="116" spans="1:8" x14ac:dyDescent="0.25">
      <c r="A116" s="131" t="s">
        <v>729</v>
      </c>
      <c r="B116" s="131" t="s">
        <v>386</v>
      </c>
      <c r="C116" s="131" t="s">
        <v>302</v>
      </c>
      <c r="D116" s="131" t="s">
        <v>939</v>
      </c>
      <c r="E116" s="131" t="s">
        <v>940</v>
      </c>
      <c r="F116" s="131">
        <v>133</v>
      </c>
      <c r="G116" s="131">
        <v>79</v>
      </c>
      <c r="H116" s="132">
        <v>0.59398496240601506</v>
      </c>
    </row>
    <row r="117" spans="1:8" x14ac:dyDescent="0.25">
      <c r="A117" s="131" t="s">
        <v>729</v>
      </c>
      <c r="B117" s="131" t="s">
        <v>386</v>
      </c>
      <c r="C117" s="131" t="s">
        <v>302</v>
      </c>
      <c r="D117" s="131" t="s">
        <v>805</v>
      </c>
      <c r="E117" s="131" t="s">
        <v>941</v>
      </c>
      <c r="F117" s="131">
        <v>306</v>
      </c>
      <c r="G117" s="131">
        <v>184</v>
      </c>
      <c r="H117" s="132">
        <v>0.60130718954248363</v>
      </c>
    </row>
    <row r="118" spans="1:8" x14ac:dyDescent="0.25">
      <c r="A118" s="131" t="s">
        <v>723</v>
      </c>
      <c r="B118" s="131" t="s">
        <v>387</v>
      </c>
      <c r="C118" s="131" t="s">
        <v>301</v>
      </c>
      <c r="D118" s="131" t="s">
        <v>821</v>
      </c>
      <c r="E118" s="131" t="s">
        <v>942</v>
      </c>
      <c r="F118" s="131">
        <v>187</v>
      </c>
      <c r="G118" s="131">
        <v>64</v>
      </c>
      <c r="H118" s="132">
        <v>0.34224598930481281</v>
      </c>
    </row>
    <row r="119" spans="1:8" x14ac:dyDescent="0.25">
      <c r="A119" s="131" t="s">
        <v>723</v>
      </c>
      <c r="B119" s="131" t="s">
        <v>387</v>
      </c>
      <c r="C119" s="131" t="s">
        <v>301</v>
      </c>
      <c r="D119" s="131" t="s">
        <v>805</v>
      </c>
      <c r="E119" s="131" t="s">
        <v>943</v>
      </c>
      <c r="F119" s="131">
        <v>440</v>
      </c>
      <c r="G119" s="131">
        <v>153</v>
      </c>
      <c r="H119" s="132">
        <v>0.34772727272727272</v>
      </c>
    </row>
    <row r="120" spans="1:8" x14ac:dyDescent="0.25">
      <c r="A120" s="131" t="s">
        <v>723</v>
      </c>
      <c r="B120" s="131" t="s">
        <v>387</v>
      </c>
      <c r="C120" s="131" t="s">
        <v>301</v>
      </c>
      <c r="D120" s="131" t="s">
        <v>813</v>
      </c>
      <c r="E120" s="131" t="s">
        <v>944</v>
      </c>
      <c r="F120" s="131">
        <v>331</v>
      </c>
      <c r="G120" s="131">
        <v>105</v>
      </c>
      <c r="H120" s="132">
        <v>0.31722054380664655</v>
      </c>
    </row>
    <row r="121" spans="1:8" x14ac:dyDescent="0.25">
      <c r="A121" s="131" t="s">
        <v>723</v>
      </c>
      <c r="B121" s="131" t="s">
        <v>388</v>
      </c>
      <c r="C121" s="131" t="s">
        <v>300</v>
      </c>
      <c r="D121" s="131" t="s">
        <v>805</v>
      </c>
      <c r="E121" s="131" t="s">
        <v>945</v>
      </c>
      <c r="F121" s="131">
        <v>226</v>
      </c>
      <c r="G121" s="131">
        <v>108</v>
      </c>
      <c r="H121" s="132">
        <v>0.47787610619469029</v>
      </c>
    </row>
    <row r="122" spans="1:8" x14ac:dyDescent="0.25">
      <c r="A122" s="131" t="s">
        <v>723</v>
      </c>
      <c r="B122" s="131" t="s">
        <v>388</v>
      </c>
      <c r="C122" s="131" t="s">
        <v>300</v>
      </c>
      <c r="D122" s="131" t="s">
        <v>813</v>
      </c>
      <c r="E122" s="131" t="s">
        <v>946</v>
      </c>
      <c r="F122" s="131">
        <v>276</v>
      </c>
      <c r="G122" s="131">
        <v>105</v>
      </c>
      <c r="H122" s="132">
        <v>0.38043478260869568</v>
      </c>
    </row>
    <row r="123" spans="1:8" x14ac:dyDescent="0.25">
      <c r="A123" s="131" t="s">
        <v>723</v>
      </c>
      <c r="B123" s="131" t="s">
        <v>388</v>
      </c>
      <c r="C123" s="131" t="s">
        <v>300</v>
      </c>
      <c r="D123" s="131" t="s">
        <v>819</v>
      </c>
      <c r="E123" s="131" t="s">
        <v>947</v>
      </c>
      <c r="F123" s="131">
        <v>245</v>
      </c>
      <c r="G123" s="131">
        <v>94</v>
      </c>
      <c r="H123" s="132">
        <v>0.3836734693877551</v>
      </c>
    </row>
    <row r="124" spans="1:8" x14ac:dyDescent="0.25">
      <c r="A124" s="131" t="s">
        <v>725</v>
      </c>
      <c r="B124" s="131" t="s">
        <v>389</v>
      </c>
      <c r="C124" s="131" t="s">
        <v>299</v>
      </c>
      <c r="D124" s="131" t="s">
        <v>805</v>
      </c>
      <c r="E124" s="131" t="s">
        <v>948</v>
      </c>
      <c r="F124" s="131">
        <v>405</v>
      </c>
      <c r="G124" s="131">
        <v>130</v>
      </c>
      <c r="H124" s="132">
        <v>0.32098765432098764</v>
      </c>
    </row>
    <row r="125" spans="1:8" x14ac:dyDescent="0.25">
      <c r="A125" s="131" t="s">
        <v>725</v>
      </c>
      <c r="B125" s="131" t="s">
        <v>389</v>
      </c>
      <c r="C125" s="131" t="s">
        <v>299</v>
      </c>
      <c r="D125" s="131" t="s">
        <v>881</v>
      </c>
      <c r="E125" s="131" t="s">
        <v>949</v>
      </c>
      <c r="F125" s="131">
        <v>553</v>
      </c>
      <c r="G125" s="131">
        <v>80</v>
      </c>
      <c r="H125" s="132">
        <v>0.14466546112115733</v>
      </c>
    </row>
    <row r="126" spans="1:8" x14ac:dyDescent="0.25">
      <c r="A126" s="131" t="s">
        <v>725</v>
      </c>
      <c r="B126" s="131" t="s">
        <v>389</v>
      </c>
      <c r="C126" s="131" t="s">
        <v>299</v>
      </c>
      <c r="D126" s="131" t="s">
        <v>819</v>
      </c>
      <c r="E126" s="131" t="s">
        <v>915</v>
      </c>
      <c r="F126" s="131">
        <v>347</v>
      </c>
      <c r="G126" s="131">
        <v>135</v>
      </c>
      <c r="H126" s="132">
        <v>0.38904899135446686</v>
      </c>
    </row>
    <row r="127" spans="1:8" x14ac:dyDescent="0.25">
      <c r="A127" s="131" t="s">
        <v>725</v>
      </c>
      <c r="B127" s="131" t="s">
        <v>389</v>
      </c>
      <c r="C127" s="131" t="s">
        <v>299</v>
      </c>
      <c r="D127" s="131" t="s">
        <v>807</v>
      </c>
      <c r="E127" s="131" t="s">
        <v>950</v>
      </c>
      <c r="F127" s="131">
        <v>316</v>
      </c>
      <c r="G127" s="131">
        <v>9</v>
      </c>
      <c r="H127" s="132">
        <v>2.8481012658227847E-2</v>
      </c>
    </row>
    <row r="128" spans="1:8" x14ac:dyDescent="0.25">
      <c r="A128" s="131" t="s">
        <v>725</v>
      </c>
      <c r="B128" s="131" t="s">
        <v>389</v>
      </c>
      <c r="C128" s="131" t="s">
        <v>299</v>
      </c>
      <c r="D128" s="131" t="s">
        <v>840</v>
      </c>
      <c r="E128" s="131" t="s">
        <v>951</v>
      </c>
      <c r="F128" s="131">
        <v>210</v>
      </c>
      <c r="G128" s="131">
        <v>111</v>
      </c>
      <c r="H128" s="132">
        <v>0.52857142857142858</v>
      </c>
    </row>
    <row r="129" spans="1:8" x14ac:dyDescent="0.25">
      <c r="A129" s="131" t="s">
        <v>725</v>
      </c>
      <c r="B129" s="131" t="s">
        <v>389</v>
      </c>
      <c r="C129" s="131" t="s">
        <v>299</v>
      </c>
      <c r="D129" s="131" t="s">
        <v>952</v>
      </c>
      <c r="E129" s="131" t="s">
        <v>953</v>
      </c>
      <c r="F129" s="131">
        <v>341</v>
      </c>
      <c r="G129" s="131">
        <v>86</v>
      </c>
      <c r="H129" s="132">
        <v>0.25219941348973607</v>
      </c>
    </row>
    <row r="130" spans="1:8" x14ac:dyDescent="0.25">
      <c r="A130" s="131" t="s">
        <v>725</v>
      </c>
      <c r="B130" s="131" t="s">
        <v>389</v>
      </c>
      <c r="C130" s="131" t="s">
        <v>299</v>
      </c>
      <c r="D130" s="131" t="s">
        <v>364</v>
      </c>
      <c r="E130" s="131" t="s">
        <v>954</v>
      </c>
      <c r="F130" s="131">
        <v>405</v>
      </c>
      <c r="G130" s="131">
        <v>75</v>
      </c>
      <c r="H130" s="132">
        <v>0.18518518518518517</v>
      </c>
    </row>
    <row r="131" spans="1:8" x14ac:dyDescent="0.25">
      <c r="A131" s="131" t="s">
        <v>730</v>
      </c>
      <c r="B131" s="131" t="s">
        <v>390</v>
      </c>
      <c r="C131" s="131" t="s">
        <v>298</v>
      </c>
      <c r="D131" s="131" t="s">
        <v>821</v>
      </c>
      <c r="E131" s="131" t="s">
        <v>955</v>
      </c>
      <c r="F131" s="131">
        <v>194</v>
      </c>
      <c r="G131" s="131">
        <v>110</v>
      </c>
      <c r="H131" s="132">
        <v>0.5670103092783505</v>
      </c>
    </row>
    <row r="132" spans="1:8" x14ac:dyDescent="0.25">
      <c r="A132" s="131" t="s">
        <v>730</v>
      </c>
      <c r="B132" s="131" t="s">
        <v>390</v>
      </c>
      <c r="C132" s="131" t="s">
        <v>298</v>
      </c>
      <c r="D132" s="131" t="s">
        <v>956</v>
      </c>
      <c r="E132" s="131" t="s">
        <v>957</v>
      </c>
      <c r="F132" s="131">
        <v>274</v>
      </c>
      <c r="G132" s="131">
        <v>150</v>
      </c>
      <c r="H132" s="132">
        <v>0.54744525547445255</v>
      </c>
    </row>
    <row r="133" spans="1:8" x14ac:dyDescent="0.25">
      <c r="A133" s="131" t="s">
        <v>730</v>
      </c>
      <c r="B133" s="131" t="s">
        <v>390</v>
      </c>
      <c r="C133" s="131" t="s">
        <v>298</v>
      </c>
      <c r="D133" s="131" t="s">
        <v>828</v>
      </c>
      <c r="E133" s="131" t="s">
        <v>958</v>
      </c>
      <c r="F133" s="131">
        <v>168</v>
      </c>
      <c r="G133" s="131">
        <v>103</v>
      </c>
      <c r="H133" s="132">
        <v>0.61309523809523814</v>
      </c>
    </row>
    <row r="134" spans="1:8" x14ac:dyDescent="0.25">
      <c r="A134" s="131" t="s">
        <v>730</v>
      </c>
      <c r="B134" s="131" t="s">
        <v>390</v>
      </c>
      <c r="C134" s="131" t="s">
        <v>298</v>
      </c>
      <c r="D134" s="131" t="s">
        <v>959</v>
      </c>
      <c r="E134" s="131" t="s">
        <v>960</v>
      </c>
      <c r="F134" s="131">
        <v>223</v>
      </c>
      <c r="G134" s="131">
        <v>161</v>
      </c>
      <c r="H134" s="132">
        <v>0.72197309417040356</v>
      </c>
    </row>
    <row r="135" spans="1:8" x14ac:dyDescent="0.25">
      <c r="A135" s="131" t="s">
        <v>730</v>
      </c>
      <c r="B135" s="131" t="s">
        <v>390</v>
      </c>
      <c r="C135" s="131" t="s">
        <v>298</v>
      </c>
      <c r="D135" s="131" t="s">
        <v>961</v>
      </c>
      <c r="E135" s="131" t="s">
        <v>962</v>
      </c>
      <c r="F135" s="131">
        <v>184</v>
      </c>
      <c r="G135" s="131">
        <v>74</v>
      </c>
      <c r="H135" s="132">
        <v>0.40217391304347827</v>
      </c>
    </row>
    <row r="136" spans="1:8" x14ac:dyDescent="0.25">
      <c r="A136" s="131" t="s">
        <v>730</v>
      </c>
      <c r="B136" s="131" t="s">
        <v>390</v>
      </c>
      <c r="C136" s="131" t="s">
        <v>298</v>
      </c>
      <c r="D136" s="131" t="s">
        <v>930</v>
      </c>
      <c r="E136" s="131" t="s">
        <v>963</v>
      </c>
      <c r="F136" s="131">
        <v>151</v>
      </c>
      <c r="G136" s="131">
        <v>112</v>
      </c>
      <c r="H136" s="132">
        <v>0.74172185430463577</v>
      </c>
    </row>
    <row r="137" spans="1:8" x14ac:dyDescent="0.25">
      <c r="A137" s="131" t="s">
        <v>730</v>
      </c>
      <c r="B137" s="131" t="s">
        <v>390</v>
      </c>
      <c r="C137" s="131" t="s">
        <v>298</v>
      </c>
      <c r="D137" s="131" t="s">
        <v>813</v>
      </c>
      <c r="E137" s="131" t="s">
        <v>964</v>
      </c>
      <c r="F137" s="131">
        <v>242</v>
      </c>
      <c r="G137" s="131">
        <v>148</v>
      </c>
      <c r="H137" s="132">
        <v>0.61157024793388426</v>
      </c>
    </row>
    <row r="138" spans="1:8" x14ac:dyDescent="0.25">
      <c r="A138" s="131" t="s">
        <v>730</v>
      </c>
      <c r="B138" s="131" t="s">
        <v>390</v>
      </c>
      <c r="C138" s="131" t="s">
        <v>298</v>
      </c>
      <c r="D138" s="131" t="s">
        <v>965</v>
      </c>
      <c r="E138" s="131" t="s">
        <v>966</v>
      </c>
      <c r="F138" s="131">
        <v>275</v>
      </c>
      <c r="G138" s="131">
        <v>199</v>
      </c>
      <c r="H138" s="132">
        <v>0.72363636363636363</v>
      </c>
    </row>
    <row r="139" spans="1:8" x14ac:dyDescent="0.25">
      <c r="A139" s="131" t="s">
        <v>730</v>
      </c>
      <c r="B139" s="131" t="s">
        <v>390</v>
      </c>
      <c r="C139" s="131" t="s">
        <v>298</v>
      </c>
      <c r="D139" s="131" t="s">
        <v>967</v>
      </c>
      <c r="E139" s="131" t="s">
        <v>968</v>
      </c>
      <c r="F139" s="131">
        <v>306</v>
      </c>
      <c r="G139" s="131">
        <v>111</v>
      </c>
      <c r="H139" s="132">
        <v>0.36274509803921567</v>
      </c>
    </row>
    <row r="140" spans="1:8" x14ac:dyDescent="0.25">
      <c r="A140" s="131" t="s">
        <v>730</v>
      </c>
      <c r="B140" s="131" t="s">
        <v>390</v>
      </c>
      <c r="C140" s="131" t="s">
        <v>298</v>
      </c>
      <c r="D140" s="131" t="s">
        <v>859</v>
      </c>
      <c r="E140" s="131" t="s">
        <v>969</v>
      </c>
      <c r="F140" s="131">
        <v>300</v>
      </c>
      <c r="G140" s="131">
        <v>130</v>
      </c>
      <c r="H140" s="132">
        <v>0.43333333333333335</v>
      </c>
    </row>
    <row r="141" spans="1:8" x14ac:dyDescent="0.25">
      <c r="A141" s="131" t="s">
        <v>730</v>
      </c>
      <c r="B141" s="131" t="s">
        <v>390</v>
      </c>
      <c r="C141" s="131" t="s">
        <v>298</v>
      </c>
      <c r="D141" s="131" t="s">
        <v>952</v>
      </c>
      <c r="E141" s="131" t="s">
        <v>970</v>
      </c>
      <c r="F141" s="131">
        <v>208</v>
      </c>
      <c r="G141" s="131">
        <v>175</v>
      </c>
      <c r="H141" s="132">
        <v>0.84134615384615385</v>
      </c>
    </row>
    <row r="142" spans="1:8" x14ac:dyDescent="0.25">
      <c r="A142" s="131" t="s">
        <v>730</v>
      </c>
      <c r="B142" s="131" t="s">
        <v>390</v>
      </c>
      <c r="C142" s="131" t="s">
        <v>298</v>
      </c>
      <c r="D142" s="131" t="s">
        <v>844</v>
      </c>
      <c r="E142" s="131" t="s">
        <v>901</v>
      </c>
      <c r="F142" s="131">
        <v>253</v>
      </c>
      <c r="G142" s="131">
        <v>174</v>
      </c>
      <c r="H142" s="132">
        <v>0.68774703557312256</v>
      </c>
    </row>
    <row r="143" spans="1:8" x14ac:dyDescent="0.25">
      <c r="A143" s="131" t="s">
        <v>730</v>
      </c>
      <c r="B143" s="131" t="s">
        <v>390</v>
      </c>
      <c r="C143" s="131" t="s">
        <v>298</v>
      </c>
      <c r="D143" s="131" t="s">
        <v>927</v>
      </c>
      <c r="E143" s="131" t="s">
        <v>971</v>
      </c>
      <c r="F143" s="131">
        <v>239</v>
      </c>
      <c r="G143" s="131">
        <v>191</v>
      </c>
      <c r="H143" s="132">
        <v>0.79916317991631802</v>
      </c>
    </row>
    <row r="144" spans="1:8" x14ac:dyDescent="0.25">
      <c r="A144" s="131" t="s">
        <v>730</v>
      </c>
      <c r="B144" s="131" t="s">
        <v>390</v>
      </c>
      <c r="C144" s="131" t="s">
        <v>298</v>
      </c>
      <c r="D144" s="131" t="s">
        <v>972</v>
      </c>
      <c r="E144" s="131" t="s">
        <v>973</v>
      </c>
      <c r="F144" s="131">
        <v>270</v>
      </c>
      <c r="G144" s="131">
        <v>163</v>
      </c>
      <c r="H144" s="132">
        <v>0.60370370370370374</v>
      </c>
    </row>
    <row r="145" spans="1:8" x14ac:dyDescent="0.25">
      <c r="A145" s="131" t="s">
        <v>730</v>
      </c>
      <c r="B145" s="131" t="s">
        <v>390</v>
      </c>
      <c r="C145" s="131" t="s">
        <v>298</v>
      </c>
      <c r="D145" s="131" t="s">
        <v>974</v>
      </c>
      <c r="E145" s="131" t="s">
        <v>975</v>
      </c>
      <c r="F145" s="131">
        <v>309</v>
      </c>
      <c r="G145" s="131">
        <v>259</v>
      </c>
      <c r="H145" s="132">
        <v>0.8381877022653722</v>
      </c>
    </row>
    <row r="146" spans="1:8" x14ac:dyDescent="0.25">
      <c r="A146" s="131" t="s">
        <v>730</v>
      </c>
      <c r="B146" s="131" t="s">
        <v>390</v>
      </c>
      <c r="C146" s="131" t="s">
        <v>298</v>
      </c>
      <c r="D146" s="131" t="s">
        <v>976</v>
      </c>
      <c r="E146" s="131" t="s">
        <v>977</v>
      </c>
      <c r="F146" s="131">
        <v>328</v>
      </c>
      <c r="G146" s="131">
        <v>248</v>
      </c>
      <c r="H146" s="132">
        <v>0.75609756097560976</v>
      </c>
    </row>
    <row r="147" spans="1:8" x14ac:dyDescent="0.25">
      <c r="A147" s="131" t="s">
        <v>730</v>
      </c>
      <c r="B147" s="131" t="s">
        <v>390</v>
      </c>
      <c r="C147" s="131" t="s">
        <v>298</v>
      </c>
      <c r="D147" s="131" t="s">
        <v>978</v>
      </c>
      <c r="E147" s="131" t="s">
        <v>979</v>
      </c>
      <c r="F147" s="131">
        <v>340</v>
      </c>
      <c r="G147" s="131">
        <v>251</v>
      </c>
      <c r="H147" s="132">
        <v>0.7382352941176471</v>
      </c>
    </row>
    <row r="148" spans="1:8" x14ac:dyDescent="0.25">
      <c r="A148" s="131" t="s">
        <v>730</v>
      </c>
      <c r="B148" s="131" t="s">
        <v>390</v>
      </c>
      <c r="C148" s="131" t="s">
        <v>298</v>
      </c>
      <c r="D148" s="131" t="s">
        <v>980</v>
      </c>
      <c r="E148" s="131" t="s">
        <v>981</v>
      </c>
      <c r="F148" s="131">
        <v>172</v>
      </c>
      <c r="G148" s="131">
        <v>80</v>
      </c>
      <c r="H148" s="132">
        <v>0.46511627906976744</v>
      </c>
    </row>
    <row r="149" spans="1:8" x14ac:dyDescent="0.25">
      <c r="A149" s="131" t="s">
        <v>730</v>
      </c>
      <c r="B149" s="131" t="s">
        <v>390</v>
      </c>
      <c r="C149" s="131" t="s">
        <v>298</v>
      </c>
      <c r="D149" s="131" t="s">
        <v>982</v>
      </c>
      <c r="E149" s="131" t="s">
        <v>983</v>
      </c>
      <c r="F149" s="131">
        <v>274</v>
      </c>
      <c r="G149" s="131">
        <v>183</v>
      </c>
      <c r="H149" s="132">
        <v>0.66788321167883213</v>
      </c>
    </row>
    <row r="150" spans="1:8" x14ac:dyDescent="0.25">
      <c r="A150" s="131" t="s">
        <v>730</v>
      </c>
      <c r="B150" s="131" t="s">
        <v>390</v>
      </c>
      <c r="C150" s="131" t="s">
        <v>298</v>
      </c>
      <c r="D150" s="131" t="s">
        <v>984</v>
      </c>
      <c r="E150" s="131" t="s">
        <v>985</v>
      </c>
      <c r="F150" s="131">
        <v>352</v>
      </c>
      <c r="G150" s="131">
        <v>151</v>
      </c>
      <c r="H150" s="132">
        <v>0.42897727272727271</v>
      </c>
    </row>
    <row r="151" spans="1:8" x14ac:dyDescent="0.25">
      <c r="A151" s="131" t="s">
        <v>730</v>
      </c>
      <c r="B151" s="131" t="s">
        <v>390</v>
      </c>
      <c r="C151" s="131" t="s">
        <v>298</v>
      </c>
      <c r="D151" s="131" t="s">
        <v>986</v>
      </c>
      <c r="E151" s="131" t="s">
        <v>987</v>
      </c>
      <c r="F151" s="131">
        <v>196</v>
      </c>
      <c r="G151" s="131">
        <v>180</v>
      </c>
      <c r="H151" s="132">
        <v>0.91836734693877553</v>
      </c>
    </row>
    <row r="152" spans="1:8" x14ac:dyDescent="0.25">
      <c r="A152" s="131" t="s">
        <v>730</v>
      </c>
      <c r="B152" s="131" t="s">
        <v>390</v>
      </c>
      <c r="C152" s="131" t="s">
        <v>298</v>
      </c>
      <c r="D152" s="131" t="s">
        <v>988</v>
      </c>
      <c r="E152" s="131" t="s">
        <v>989</v>
      </c>
      <c r="F152" s="131">
        <v>218</v>
      </c>
      <c r="G152" s="131">
        <v>116</v>
      </c>
      <c r="H152" s="132">
        <v>0.5321100917431193</v>
      </c>
    </row>
    <row r="153" spans="1:8" x14ac:dyDescent="0.25">
      <c r="A153" s="131" t="s">
        <v>730</v>
      </c>
      <c r="B153" s="131" t="s">
        <v>390</v>
      </c>
      <c r="C153" s="131" t="s">
        <v>298</v>
      </c>
      <c r="D153" s="131" t="s">
        <v>990</v>
      </c>
      <c r="E153" s="131" t="s">
        <v>991</v>
      </c>
      <c r="F153" s="131">
        <v>342</v>
      </c>
      <c r="G153" s="131">
        <v>264</v>
      </c>
      <c r="H153" s="132">
        <v>0.77192982456140347</v>
      </c>
    </row>
    <row r="154" spans="1:8" x14ac:dyDescent="0.25">
      <c r="A154" s="131" t="s">
        <v>730</v>
      </c>
      <c r="B154" s="131" t="s">
        <v>390</v>
      </c>
      <c r="C154" s="131" t="s">
        <v>298</v>
      </c>
      <c r="D154" s="131" t="s">
        <v>992</v>
      </c>
      <c r="E154" s="131" t="s">
        <v>993</v>
      </c>
      <c r="F154" s="131">
        <v>271</v>
      </c>
      <c r="G154" s="131">
        <v>178</v>
      </c>
      <c r="H154" s="132">
        <v>0.65682656826568264</v>
      </c>
    </row>
    <row r="155" spans="1:8" x14ac:dyDescent="0.25">
      <c r="A155" s="131" t="s">
        <v>730</v>
      </c>
      <c r="B155" s="131" t="s">
        <v>390</v>
      </c>
      <c r="C155" s="131" t="s">
        <v>298</v>
      </c>
      <c r="D155" s="131" t="s">
        <v>994</v>
      </c>
      <c r="E155" s="131" t="s">
        <v>995</v>
      </c>
      <c r="F155" s="131">
        <v>226</v>
      </c>
      <c r="G155" s="131">
        <v>176</v>
      </c>
      <c r="H155" s="132">
        <v>0.77876106194690264</v>
      </c>
    </row>
    <row r="156" spans="1:8" x14ac:dyDescent="0.25">
      <c r="A156" s="131" t="s">
        <v>730</v>
      </c>
      <c r="B156" s="131" t="s">
        <v>390</v>
      </c>
      <c r="C156" s="131" t="s">
        <v>298</v>
      </c>
      <c r="D156" s="131" t="s">
        <v>996</v>
      </c>
      <c r="E156" s="131" t="s">
        <v>997</v>
      </c>
      <c r="F156" s="131">
        <v>284</v>
      </c>
      <c r="G156" s="131">
        <v>82</v>
      </c>
      <c r="H156" s="132">
        <v>0.28873239436619719</v>
      </c>
    </row>
    <row r="157" spans="1:8" x14ac:dyDescent="0.25">
      <c r="A157" s="131" t="s">
        <v>730</v>
      </c>
      <c r="B157" s="131" t="s">
        <v>390</v>
      </c>
      <c r="C157" s="131" t="s">
        <v>298</v>
      </c>
      <c r="D157" s="131" t="s">
        <v>998</v>
      </c>
      <c r="E157" s="131" t="s">
        <v>999</v>
      </c>
      <c r="F157" s="131">
        <v>417</v>
      </c>
      <c r="G157" s="131">
        <v>63</v>
      </c>
      <c r="H157" s="132">
        <v>0.15107913669064749</v>
      </c>
    </row>
    <row r="158" spans="1:8" x14ac:dyDescent="0.25">
      <c r="A158" s="131" t="s">
        <v>730</v>
      </c>
      <c r="B158" s="131" t="s">
        <v>391</v>
      </c>
      <c r="C158" s="131" t="s">
        <v>297</v>
      </c>
      <c r="D158" s="131" t="s">
        <v>821</v>
      </c>
      <c r="E158" s="131" t="s">
        <v>1000</v>
      </c>
      <c r="F158" s="131">
        <v>110</v>
      </c>
      <c r="G158" s="131">
        <v>20</v>
      </c>
      <c r="H158" s="132">
        <v>0.18181818181818182</v>
      </c>
    </row>
    <row r="159" spans="1:8" x14ac:dyDescent="0.25">
      <c r="A159" s="131" t="s">
        <v>730</v>
      </c>
      <c r="B159" s="131" t="s">
        <v>391</v>
      </c>
      <c r="C159" s="131" t="s">
        <v>297</v>
      </c>
      <c r="D159" s="131" t="s">
        <v>805</v>
      </c>
      <c r="E159" s="131" t="s">
        <v>1001</v>
      </c>
      <c r="F159" s="131">
        <v>201</v>
      </c>
      <c r="G159" s="131">
        <v>37</v>
      </c>
      <c r="H159" s="132">
        <v>0.18407960199004975</v>
      </c>
    </row>
    <row r="160" spans="1:8" x14ac:dyDescent="0.25">
      <c r="A160" s="131" t="s">
        <v>730</v>
      </c>
      <c r="B160" s="131" t="s">
        <v>391</v>
      </c>
      <c r="C160" s="131" t="s">
        <v>297</v>
      </c>
      <c r="D160" s="131" t="s">
        <v>813</v>
      </c>
      <c r="E160" s="131" t="s">
        <v>1002</v>
      </c>
      <c r="F160" s="131">
        <v>339</v>
      </c>
      <c r="G160" s="131">
        <v>56</v>
      </c>
      <c r="H160" s="132">
        <v>0.16519174041297935</v>
      </c>
    </row>
    <row r="161" spans="1:8" x14ac:dyDescent="0.25">
      <c r="A161" s="131" t="s">
        <v>729</v>
      </c>
      <c r="B161" s="131" t="s">
        <v>392</v>
      </c>
      <c r="C161" s="131" t="s">
        <v>296</v>
      </c>
      <c r="D161" s="131" t="s">
        <v>821</v>
      </c>
      <c r="E161" s="131" t="s">
        <v>1003</v>
      </c>
      <c r="F161" s="131">
        <v>109</v>
      </c>
      <c r="G161" s="131">
        <v>62</v>
      </c>
      <c r="H161" s="132">
        <v>0.56880733944954132</v>
      </c>
    </row>
    <row r="162" spans="1:8" x14ac:dyDescent="0.25">
      <c r="A162" s="131" t="s">
        <v>729</v>
      </c>
      <c r="B162" s="131" t="s">
        <v>392</v>
      </c>
      <c r="C162" s="131" t="s">
        <v>296</v>
      </c>
      <c r="D162" s="131" t="s">
        <v>805</v>
      </c>
      <c r="E162" s="131" t="s">
        <v>1004</v>
      </c>
      <c r="F162" s="131">
        <v>108</v>
      </c>
      <c r="G162" s="131">
        <v>77</v>
      </c>
      <c r="H162" s="132">
        <v>0.71296296296296291</v>
      </c>
    </row>
    <row r="163" spans="1:8" x14ac:dyDescent="0.25">
      <c r="A163" s="131" t="s">
        <v>729</v>
      </c>
      <c r="B163" s="131" t="s">
        <v>392</v>
      </c>
      <c r="C163" s="131" t="s">
        <v>296</v>
      </c>
      <c r="D163" s="131" t="s">
        <v>811</v>
      </c>
      <c r="E163" s="131" t="s">
        <v>1005</v>
      </c>
      <c r="F163" s="131">
        <v>417</v>
      </c>
      <c r="G163" s="131">
        <v>241</v>
      </c>
      <c r="H163" s="132">
        <v>0.57793764988009588</v>
      </c>
    </row>
    <row r="164" spans="1:8" x14ac:dyDescent="0.25">
      <c r="A164" s="131" t="s">
        <v>729</v>
      </c>
      <c r="B164" s="131" t="s">
        <v>393</v>
      </c>
      <c r="C164" s="131" t="s">
        <v>295</v>
      </c>
      <c r="D164" s="131" t="s">
        <v>821</v>
      </c>
      <c r="E164" s="131" t="s">
        <v>1006</v>
      </c>
      <c r="F164" s="131">
        <v>82</v>
      </c>
      <c r="G164" s="131">
        <v>34</v>
      </c>
      <c r="H164" s="132">
        <v>0.41463414634146339</v>
      </c>
    </row>
    <row r="165" spans="1:8" x14ac:dyDescent="0.25">
      <c r="A165" s="131" t="s">
        <v>729</v>
      </c>
      <c r="B165" s="131" t="s">
        <v>393</v>
      </c>
      <c r="C165" s="131" t="s">
        <v>295</v>
      </c>
      <c r="D165" s="131" t="s">
        <v>819</v>
      </c>
      <c r="E165" s="131" t="s">
        <v>1007</v>
      </c>
      <c r="F165" s="131">
        <v>441</v>
      </c>
      <c r="G165" s="131">
        <v>208</v>
      </c>
      <c r="H165" s="132">
        <v>0.47165532879818595</v>
      </c>
    </row>
    <row r="166" spans="1:8" x14ac:dyDescent="0.25">
      <c r="A166" s="131" t="s">
        <v>732</v>
      </c>
      <c r="B166" s="131" t="s">
        <v>394</v>
      </c>
      <c r="C166" s="131" t="s">
        <v>294</v>
      </c>
      <c r="D166" s="131" t="s">
        <v>805</v>
      </c>
      <c r="E166" s="131" t="s">
        <v>1008</v>
      </c>
      <c r="F166" s="131">
        <v>164</v>
      </c>
      <c r="G166" s="131">
        <v>56</v>
      </c>
      <c r="H166" s="132">
        <v>0.34146341463414637</v>
      </c>
    </row>
    <row r="167" spans="1:8" x14ac:dyDescent="0.25">
      <c r="A167" s="131" t="s">
        <v>734</v>
      </c>
      <c r="B167" s="131" t="s">
        <v>395</v>
      </c>
      <c r="C167" s="131" t="s">
        <v>293</v>
      </c>
      <c r="D167" s="131" t="s">
        <v>805</v>
      </c>
      <c r="E167" s="131" t="s">
        <v>1009</v>
      </c>
      <c r="F167" s="131">
        <v>333</v>
      </c>
      <c r="G167" s="131">
        <v>100</v>
      </c>
      <c r="H167" s="132">
        <v>0.3003003003003003</v>
      </c>
    </row>
    <row r="168" spans="1:8" x14ac:dyDescent="0.25">
      <c r="A168" s="131" t="s">
        <v>734</v>
      </c>
      <c r="B168" s="131" t="s">
        <v>395</v>
      </c>
      <c r="C168" s="131" t="s">
        <v>293</v>
      </c>
      <c r="D168" s="131" t="s">
        <v>965</v>
      </c>
      <c r="E168" s="131" t="s">
        <v>1010</v>
      </c>
      <c r="F168" s="131">
        <v>312</v>
      </c>
      <c r="G168" s="131">
        <v>103</v>
      </c>
      <c r="H168" s="132">
        <v>0.33012820512820512</v>
      </c>
    </row>
    <row r="169" spans="1:8" x14ac:dyDescent="0.25">
      <c r="A169" s="131" t="s">
        <v>730</v>
      </c>
      <c r="B169" s="131" t="s">
        <v>396</v>
      </c>
      <c r="C169" s="131" t="s">
        <v>292</v>
      </c>
      <c r="D169" s="131" t="s">
        <v>875</v>
      </c>
      <c r="E169" s="131" t="s">
        <v>1011</v>
      </c>
      <c r="F169" s="131">
        <v>37</v>
      </c>
      <c r="G169" s="131">
        <v>13</v>
      </c>
      <c r="H169" s="132">
        <v>0.35135135135135137</v>
      </c>
    </row>
    <row r="170" spans="1:8" x14ac:dyDescent="0.25">
      <c r="A170" s="131" t="s">
        <v>730</v>
      </c>
      <c r="B170" s="131" t="s">
        <v>396</v>
      </c>
      <c r="C170" s="131" t="s">
        <v>292</v>
      </c>
      <c r="D170" s="131" t="s">
        <v>805</v>
      </c>
      <c r="E170" s="131" t="s">
        <v>1012</v>
      </c>
      <c r="F170" s="131">
        <v>147</v>
      </c>
      <c r="G170" s="131">
        <v>47</v>
      </c>
      <c r="H170" s="132">
        <v>0.31972789115646261</v>
      </c>
    </row>
    <row r="171" spans="1:8" x14ac:dyDescent="0.25">
      <c r="A171" s="131" t="s">
        <v>726</v>
      </c>
      <c r="B171" s="131" t="s">
        <v>397</v>
      </c>
      <c r="C171" s="131" t="s">
        <v>291</v>
      </c>
      <c r="D171" s="131" t="s">
        <v>819</v>
      </c>
      <c r="E171" s="131" t="s">
        <v>1013</v>
      </c>
      <c r="F171" s="131">
        <v>201</v>
      </c>
      <c r="G171" s="131">
        <v>122</v>
      </c>
      <c r="H171" s="132">
        <v>0.60696517412935325</v>
      </c>
    </row>
    <row r="172" spans="1:8" x14ac:dyDescent="0.25">
      <c r="A172" s="131" t="s">
        <v>726</v>
      </c>
      <c r="B172" s="131" t="s">
        <v>397</v>
      </c>
      <c r="C172" s="131" t="s">
        <v>291</v>
      </c>
      <c r="D172" s="131" t="s">
        <v>807</v>
      </c>
      <c r="E172" s="131" t="s">
        <v>1014</v>
      </c>
      <c r="F172" s="131">
        <v>84</v>
      </c>
      <c r="G172" s="131">
        <v>52</v>
      </c>
      <c r="H172" s="132">
        <v>0.61904761904761907</v>
      </c>
    </row>
    <row r="173" spans="1:8" x14ac:dyDescent="0.25">
      <c r="A173" s="131" t="s">
        <v>727</v>
      </c>
      <c r="B173" s="131" t="s">
        <v>398</v>
      </c>
      <c r="C173" s="131" t="s">
        <v>290</v>
      </c>
      <c r="D173" s="131" t="s">
        <v>821</v>
      </c>
      <c r="E173" s="131" t="s">
        <v>1015</v>
      </c>
      <c r="F173" s="131">
        <v>58</v>
      </c>
      <c r="G173" s="131">
        <v>27</v>
      </c>
      <c r="H173" s="132">
        <v>0.46551724137931033</v>
      </c>
    </row>
    <row r="174" spans="1:8" x14ac:dyDescent="0.25">
      <c r="A174" s="131" t="s">
        <v>727</v>
      </c>
      <c r="B174" s="131" t="s">
        <v>398</v>
      </c>
      <c r="C174" s="131" t="s">
        <v>290</v>
      </c>
      <c r="D174" s="131" t="s">
        <v>805</v>
      </c>
      <c r="E174" s="131" t="s">
        <v>1016</v>
      </c>
      <c r="F174" s="131">
        <v>267</v>
      </c>
      <c r="G174" s="131">
        <v>88</v>
      </c>
      <c r="H174" s="132">
        <v>0.32958801498127338</v>
      </c>
    </row>
    <row r="175" spans="1:8" x14ac:dyDescent="0.25">
      <c r="A175" s="131" t="s">
        <v>729</v>
      </c>
      <c r="B175" s="131" t="s">
        <v>399</v>
      </c>
      <c r="C175" s="131" t="s">
        <v>289</v>
      </c>
      <c r="D175" s="131" t="s">
        <v>821</v>
      </c>
      <c r="E175" s="131" t="s">
        <v>1017</v>
      </c>
      <c r="F175" s="131">
        <v>101</v>
      </c>
      <c r="G175" s="131">
        <v>59</v>
      </c>
      <c r="H175" s="132">
        <v>0.58415841584158412</v>
      </c>
    </row>
    <row r="176" spans="1:8" x14ac:dyDescent="0.25">
      <c r="A176" s="131" t="s">
        <v>729</v>
      </c>
      <c r="B176" s="131" t="s">
        <v>399</v>
      </c>
      <c r="C176" s="131" t="s">
        <v>289</v>
      </c>
      <c r="D176" s="131" t="s">
        <v>813</v>
      </c>
      <c r="E176" s="131" t="s">
        <v>1018</v>
      </c>
      <c r="F176" s="131">
        <v>164</v>
      </c>
      <c r="G176" s="131">
        <v>85</v>
      </c>
      <c r="H176" s="132">
        <v>0.51829268292682928</v>
      </c>
    </row>
    <row r="177" spans="1:8" x14ac:dyDescent="0.25">
      <c r="A177" s="131" t="s">
        <v>729</v>
      </c>
      <c r="B177" s="131" t="s">
        <v>399</v>
      </c>
      <c r="C177" s="131" t="s">
        <v>289</v>
      </c>
      <c r="D177" s="131" t="s">
        <v>1019</v>
      </c>
      <c r="E177" s="131" t="s">
        <v>1020</v>
      </c>
      <c r="F177" s="131">
        <v>281</v>
      </c>
      <c r="G177" s="131">
        <v>168</v>
      </c>
      <c r="H177" s="132">
        <v>0.59786476868327398</v>
      </c>
    </row>
    <row r="178" spans="1:8" x14ac:dyDescent="0.25">
      <c r="A178" s="131" t="s">
        <v>725</v>
      </c>
      <c r="B178" s="131" t="s">
        <v>400</v>
      </c>
      <c r="C178" s="131" t="s">
        <v>288</v>
      </c>
      <c r="D178" s="131" t="s">
        <v>821</v>
      </c>
      <c r="E178" s="131" t="s">
        <v>1021</v>
      </c>
      <c r="F178" s="131">
        <v>227</v>
      </c>
      <c r="G178" s="131">
        <v>132</v>
      </c>
      <c r="H178" s="132">
        <v>0.58149779735682816</v>
      </c>
    </row>
    <row r="179" spans="1:8" x14ac:dyDescent="0.25">
      <c r="A179" s="131" t="s">
        <v>725</v>
      </c>
      <c r="B179" s="131" t="s">
        <v>400</v>
      </c>
      <c r="C179" s="131" t="s">
        <v>288</v>
      </c>
      <c r="D179" s="131" t="s">
        <v>807</v>
      </c>
      <c r="E179" s="131" t="s">
        <v>915</v>
      </c>
      <c r="F179" s="131">
        <v>188</v>
      </c>
      <c r="G179" s="131">
        <v>117</v>
      </c>
      <c r="H179" s="132">
        <v>0.62234042553191493</v>
      </c>
    </row>
    <row r="180" spans="1:8" x14ac:dyDescent="0.25">
      <c r="A180" s="131" t="s">
        <v>725</v>
      </c>
      <c r="B180" s="131" t="s">
        <v>400</v>
      </c>
      <c r="C180" s="131" t="s">
        <v>288</v>
      </c>
      <c r="D180" s="131" t="s">
        <v>1022</v>
      </c>
      <c r="E180" s="131" t="s">
        <v>874</v>
      </c>
      <c r="F180" s="131">
        <v>181</v>
      </c>
      <c r="G180" s="131">
        <v>114</v>
      </c>
      <c r="H180" s="132">
        <v>0.62983425414364635</v>
      </c>
    </row>
    <row r="181" spans="1:8" x14ac:dyDescent="0.25">
      <c r="A181" s="131" t="s">
        <v>727</v>
      </c>
      <c r="B181" s="131" t="s">
        <v>401</v>
      </c>
      <c r="C181" s="131" t="s">
        <v>287</v>
      </c>
      <c r="D181" s="131" t="s">
        <v>821</v>
      </c>
      <c r="E181" s="131" t="s">
        <v>1023</v>
      </c>
      <c r="F181" s="131">
        <v>20</v>
      </c>
      <c r="G181" s="131">
        <v>14</v>
      </c>
      <c r="H181" s="132">
        <v>0.7</v>
      </c>
    </row>
    <row r="182" spans="1:8" x14ac:dyDescent="0.25">
      <c r="A182" s="131" t="s">
        <v>727</v>
      </c>
      <c r="B182" s="131" t="s">
        <v>401</v>
      </c>
      <c r="C182" s="131" t="s">
        <v>287</v>
      </c>
      <c r="D182" s="131" t="s">
        <v>813</v>
      </c>
      <c r="E182" s="131" t="s">
        <v>1024</v>
      </c>
      <c r="F182" s="131">
        <v>97</v>
      </c>
      <c r="G182" s="131">
        <v>62</v>
      </c>
      <c r="H182" s="132">
        <v>0.63917525773195871</v>
      </c>
    </row>
    <row r="183" spans="1:8" x14ac:dyDescent="0.25">
      <c r="A183" s="131" t="s">
        <v>727</v>
      </c>
      <c r="B183" s="131" t="s">
        <v>402</v>
      </c>
      <c r="C183" s="131" t="s">
        <v>286</v>
      </c>
      <c r="D183" s="131" t="s">
        <v>821</v>
      </c>
      <c r="E183" s="131" t="s">
        <v>1025</v>
      </c>
      <c r="F183" s="131">
        <v>181</v>
      </c>
      <c r="G183" s="131">
        <v>74</v>
      </c>
      <c r="H183" s="132">
        <v>0.40883977900552487</v>
      </c>
    </row>
    <row r="184" spans="1:8" x14ac:dyDescent="0.25">
      <c r="A184" s="131" t="s">
        <v>727</v>
      </c>
      <c r="B184" s="131" t="s">
        <v>402</v>
      </c>
      <c r="C184" s="131" t="s">
        <v>286</v>
      </c>
      <c r="D184" s="131" t="s">
        <v>819</v>
      </c>
      <c r="E184" s="131" t="s">
        <v>1026</v>
      </c>
      <c r="F184" s="131">
        <v>332</v>
      </c>
      <c r="G184" s="131">
        <v>135</v>
      </c>
      <c r="H184" s="132">
        <v>0.40662650602409639</v>
      </c>
    </row>
    <row r="185" spans="1:8" x14ac:dyDescent="0.25">
      <c r="A185" s="131" t="s">
        <v>726</v>
      </c>
      <c r="B185" s="131" t="s">
        <v>403</v>
      </c>
      <c r="C185" s="131" t="s">
        <v>285</v>
      </c>
      <c r="D185" s="131" t="s">
        <v>821</v>
      </c>
      <c r="E185" s="131" t="s">
        <v>1027</v>
      </c>
      <c r="F185" s="131">
        <v>176</v>
      </c>
      <c r="G185" s="131">
        <v>74</v>
      </c>
      <c r="H185" s="132">
        <v>0.42045454545454547</v>
      </c>
    </row>
    <row r="186" spans="1:8" x14ac:dyDescent="0.25">
      <c r="A186" s="131" t="s">
        <v>726</v>
      </c>
      <c r="B186" s="131" t="s">
        <v>403</v>
      </c>
      <c r="C186" s="131" t="s">
        <v>285</v>
      </c>
      <c r="D186" s="131" t="s">
        <v>805</v>
      </c>
      <c r="E186" s="131" t="s">
        <v>970</v>
      </c>
      <c r="F186" s="131">
        <v>312</v>
      </c>
      <c r="G186" s="131">
        <v>150</v>
      </c>
      <c r="H186" s="132">
        <v>0.48076923076923078</v>
      </c>
    </row>
    <row r="187" spans="1:8" x14ac:dyDescent="0.25">
      <c r="A187" s="131" t="s">
        <v>728</v>
      </c>
      <c r="B187" s="131" t="s">
        <v>404</v>
      </c>
      <c r="C187" s="131" t="s">
        <v>284</v>
      </c>
      <c r="D187" s="131" t="s">
        <v>821</v>
      </c>
      <c r="E187" s="131" t="s">
        <v>1028</v>
      </c>
      <c r="F187" s="131">
        <v>73</v>
      </c>
      <c r="G187" s="131">
        <v>48</v>
      </c>
      <c r="H187" s="132">
        <v>0.65753424657534243</v>
      </c>
    </row>
    <row r="188" spans="1:8" x14ac:dyDescent="0.25">
      <c r="A188" s="131" t="s">
        <v>728</v>
      </c>
      <c r="B188" s="131" t="s">
        <v>404</v>
      </c>
      <c r="C188" s="131" t="s">
        <v>284</v>
      </c>
      <c r="D188" s="131" t="s">
        <v>805</v>
      </c>
      <c r="E188" s="131" t="s">
        <v>1029</v>
      </c>
      <c r="F188" s="131">
        <v>327</v>
      </c>
      <c r="G188" s="131">
        <v>194</v>
      </c>
      <c r="H188" s="132">
        <v>0.59327217125382259</v>
      </c>
    </row>
    <row r="189" spans="1:8" x14ac:dyDescent="0.25">
      <c r="A189" s="131" t="s">
        <v>726</v>
      </c>
      <c r="B189" s="131" t="s">
        <v>405</v>
      </c>
      <c r="C189" s="131" t="s">
        <v>283</v>
      </c>
      <c r="D189" s="131" t="s">
        <v>805</v>
      </c>
      <c r="E189" s="131" t="s">
        <v>1030</v>
      </c>
      <c r="F189" s="131">
        <v>592</v>
      </c>
      <c r="G189" s="131">
        <v>380</v>
      </c>
      <c r="H189" s="132">
        <v>0.64189189189189189</v>
      </c>
    </row>
    <row r="190" spans="1:8" x14ac:dyDescent="0.25">
      <c r="A190" s="131" t="s">
        <v>725</v>
      </c>
      <c r="B190" s="131" t="s">
        <v>406</v>
      </c>
      <c r="C190" s="131" t="s">
        <v>282</v>
      </c>
      <c r="D190" s="131" t="s">
        <v>805</v>
      </c>
      <c r="E190" s="131" t="s">
        <v>1031</v>
      </c>
      <c r="F190" s="131">
        <v>132</v>
      </c>
      <c r="G190" s="131">
        <v>39</v>
      </c>
      <c r="H190" s="132">
        <v>0.29545454545454547</v>
      </c>
    </row>
    <row r="191" spans="1:8" x14ac:dyDescent="0.25">
      <c r="A191" s="131" t="s">
        <v>728</v>
      </c>
      <c r="B191" s="131" t="s">
        <v>407</v>
      </c>
      <c r="C191" s="131" t="s">
        <v>281</v>
      </c>
      <c r="D191" s="131" t="s">
        <v>805</v>
      </c>
      <c r="E191" s="131" t="s">
        <v>1032</v>
      </c>
      <c r="F191" s="131">
        <v>65</v>
      </c>
      <c r="G191" s="131">
        <v>41</v>
      </c>
      <c r="H191" s="132">
        <v>0.63076923076923075</v>
      </c>
    </row>
    <row r="192" spans="1:8" x14ac:dyDescent="0.25">
      <c r="A192" s="131" t="s">
        <v>730</v>
      </c>
      <c r="B192" s="131" t="s">
        <v>408</v>
      </c>
      <c r="C192" s="131" t="s">
        <v>280</v>
      </c>
      <c r="D192" s="131" t="s">
        <v>852</v>
      </c>
      <c r="E192" s="131" t="s">
        <v>1033</v>
      </c>
      <c r="F192" s="131">
        <v>200</v>
      </c>
      <c r="G192" s="131">
        <v>59</v>
      </c>
      <c r="H192" s="132">
        <v>0.29499999999999998</v>
      </c>
    </row>
    <row r="193" spans="1:8" x14ac:dyDescent="0.25">
      <c r="A193" s="131" t="s">
        <v>730</v>
      </c>
      <c r="B193" s="131" t="s">
        <v>408</v>
      </c>
      <c r="C193" s="131" t="s">
        <v>280</v>
      </c>
      <c r="D193" s="131" t="s">
        <v>805</v>
      </c>
      <c r="E193" s="131" t="s">
        <v>1034</v>
      </c>
      <c r="F193" s="131">
        <v>99</v>
      </c>
      <c r="G193" s="131">
        <v>33</v>
      </c>
      <c r="H193" s="132">
        <v>0.33333333333333331</v>
      </c>
    </row>
    <row r="194" spans="1:8" x14ac:dyDescent="0.25">
      <c r="A194" s="131" t="s">
        <v>730</v>
      </c>
      <c r="B194" s="131" t="s">
        <v>408</v>
      </c>
      <c r="C194" s="131" t="s">
        <v>280</v>
      </c>
      <c r="D194" s="131" t="s">
        <v>813</v>
      </c>
      <c r="E194" s="131" t="s">
        <v>1035</v>
      </c>
      <c r="F194" s="131">
        <v>231</v>
      </c>
      <c r="G194" s="131">
        <v>64</v>
      </c>
      <c r="H194" s="132">
        <v>0.27705627705627706</v>
      </c>
    </row>
    <row r="195" spans="1:8" x14ac:dyDescent="0.25">
      <c r="A195" s="131" t="s">
        <v>730</v>
      </c>
      <c r="B195" s="131" t="s">
        <v>408</v>
      </c>
      <c r="C195" s="131" t="s">
        <v>280</v>
      </c>
      <c r="D195" s="131" t="s">
        <v>883</v>
      </c>
      <c r="E195" s="131" t="s">
        <v>1036</v>
      </c>
      <c r="F195" s="131">
        <v>271</v>
      </c>
      <c r="G195" s="131">
        <v>77</v>
      </c>
      <c r="H195" s="132">
        <v>0.28413284132841327</v>
      </c>
    </row>
    <row r="196" spans="1:8" x14ac:dyDescent="0.25">
      <c r="A196" s="131" t="s">
        <v>730</v>
      </c>
      <c r="B196" s="131" t="s">
        <v>408</v>
      </c>
      <c r="C196" s="131" t="s">
        <v>280</v>
      </c>
      <c r="D196" s="131" t="s">
        <v>819</v>
      </c>
      <c r="E196" s="131" t="s">
        <v>1037</v>
      </c>
      <c r="F196" s="131">
        <v>248</v>
      </c>
      <c r="G196" s="131">
        <v>51</v>
      </c>
      <c r="H196" s="132">
        <v>0.20564516129032259</v>
      </c>
    </row>
    <row r="197" spans="1:8" x14ac:dyDescent="0.25">
      <c r="A197" s="131" t="s">
        <v>730</v>
      </c>
      <c r="B197" s="131" t="s">
        <v>408</v>
      </c>
      <c r="C197" s="131" t="s">
        <v>280</v>
      </c>
      <c r="D197" s="131" t="s">
        <v>807</v>
      </c>
      <c r="E197" s="131" t="s">
        <v>1038</v>
      </c>
      <c r="F197" s="131">
        <v>223</v>
      </c>
      <c r="G197" s="131">
        <v>65</v>
      </c>
      <c r="H197" s="132">
        <v>0.2914798206278027</v>
      </c>
    </row>
    <row r="198" spans="1:8" x14ac:dyDescent="0.25">
      <c r="A198" s="131" t="s">
        <v>725</v>
      </c>
      <c r="B198" s="131" t="s">
        <v>409</v>
      </c>
      <c r="C198" s="131" t="s">
        <v>279</v>
      </c>
      <c r="D198" s="131" t="s">
        <v>821</v>
      </c>
      <c r="E198" s="131" t="s">
        <v>1039</v>
      </c>
      <c r="F198" s="131">
        <v>120</v>
      </c>
      <c r="G198" s="131">
        <v>42</v>
      </c>
      <c r="H198" s="132">
        <v>0.35</v>
      </c>
    </row>
    <row r="199" spans="1:8" x14ac:dyDescent="0.25">
      <c r="A199" s="131" t="s">
        <v>725</v>
      </c>
      <c r="B199" s="131" t="s">
        <v>409</v>
      </c>
      <c r="C199" s="131" t="s">
        <v>279</v>
      </c>
      <c r="D199" s="131" t="s">
        <v>805</v>
      </c>
      <c r="E199" s="131" t="s">
        <v>1035</v>
      </c>
      <c r="F199" s="131">
        <v>505</v>
      </c>
      <c r="G199" s="131">
        <v>175</v>
      </c>
      <c r="H199" s="132">
        <v>0.34653465346534651</v>
      </c>
    </row>
    <row r="200" spans="1:8" x14ac:dyDescent="0.25">
      <c r="A200" s="131" t="s">
        <v>734</v>
      </c>
      <c r="B200" s="131" t="s">
        <v>410</v>
      </c>
      <c r="C200" s="131" t="s">
        <v>278</v>
      </c>
      <c r="D200" s="131" t="s">
        <v>354</v>
      </c>
      <c r="E200" s="131" t="s">
        <v>1040</v>
      </c>
      <c r="F200" s="131">
        <v>251</v>
      </c>
      <c r="G200" s="131">
        <v>141</v>
      </c>
      <c r="H200" s="132">
        <v>0.56175298804780871</v>
      </c>
    </row>
    <row r="201" spans="1:8" x14ac:dyDescent="0.25">
      <c r="A201" s="131" t="s">
        <v>734</v>
      </c>
      <c r="B201" s="131" t="s">
        <v>410</v>
      </c>
      <c r="C201" s="131" t="s">
        <v>278</v>
      </c>
      <c r="D201" s="131" t="s">
        <v>959</v>
      </c>
      <c r="E201" s="131" t="s">
        <v>1041</v>
      </c>
      <c r="F201" s="131">
        <v>268</v>
      </c>
      <c r="G201" s="131">
        <v>193</v>
      </c>
      <c r="H201" s="132">
        <v>0.72014925373134331</v>
      </c>
    </row>
    <row r="202" spans="1:8" x14ac:dyDescent="0.25">
      <c r="A202" s="131" t="s">
        <v>734</v>
      </c>
      <c r="B202" s="131" t="s">
        <v>410</v>
      </c>
      <c r="C202" s="131" t="s">
        <v>278</v>
      </c>
      <c r="D202" s="131" t="s">
        <v>364</v>
      </c>
      <c r="E202" s="131" t="s">
        <v>1042</v>
      </c>
      <c r="F202" s="131">
        <v>306</v>
      </c>
      <c r="G202" s="131">
        <v>238</v>
      </c>
      <c r="H202" s="132">
        <v>0.77777777777777779</v>
      </c>
    </row>
    <row r="203" spans="1:8" x14ac:dyDescent="0.25">
      <c r="A203" s="131" t="s">
        <v>734</v>
      </c>
      <c r="B203" s="131" t="s">
        <v>410</v>
      </c>
      <c r="C203" s="131" t="s">
        <v>278</v>
      </c>
      <c r="D203" s="131" t="s">
        <v>1043</v>
      </c>
      <c r="E203" s="131" t="s">
        <v>1044</v>
      </c>
      <c r="F203" s="131">
        <v>378</v>
      </c>
      <c r="G203" s="131">
        <v>191</v>
      </c>
      <c r="H203" s="132">
        <v>0.50529100529100535</v>
      </c>
    </row>
    <row r="204" spans="1:8" x14ac:dyDescent="0.25">
      <c r="A204" s="131" t="s">
        <v>734</v>
      </c>
      <c r="B204" s="131" t="s">
        <v>410</v>
      </c>
      <c r="C204" s="131" t="s">
        <v>278</v>
      </c>
      <c r="D204" s="131" t="s">
        <v>1045</v>
      </c>
      <c r="E204" s="131" t="s">
        <v>1046</v>
      </c>
      <c r="F204" s="131">
        <v>350</v>
      </c>
      <c r="G204" s="131">
        <v>145</v>
      </c>
      <c r="H204" s="132">
        <v>0.41428571428571431</v>
      </c>
    </row>
    <row r="205" spans="1:8" x14ac:dyDescent="0.25">
      <c r="A205" s="131" t="s">
        <v>723</v>
      </c>
      <c r="B205" s="131" t="s">
        <v>411</v>
      </c>
      <c r="C205" s="131" t="s">
        <v>277</v>
      </c>
      <c r="D205" s="131" t="s">
        <v>805</v>
      </c>
      <c r="E205" s="131" t="s">
        <v>1047</v>
      </c>
      <c r="F205" s="131">
        <v>285</v>
      </c>
      <c r="G205" s="131">
        <v>134</v>
      </c>
      <c r="H205" s="132">
        <v>0.47017543859649125</v>
      </c>
    </row>
    <row r="206" spans="1:8" x14ac:dyDescent="0.25">
      <c r="A206" s="131" t="s">
        <v>730</v>
      </c>
      <c r="B206" s="131" t="s">
        <v>412</v>
      </c>
      <c r="C206" s="131" t="s">
        <v>276</v>
      </c>
      <c r="D206" s="131" t="s">
        <v>805</v>
      </c>
      <c r="E206" s="131" t="s">
        <v>1048</v>
      </c>
      <c r="F206" s="131">
        <v>853</v>
      </c>
      <c r="G206" s="131">
        <v>281</v>
      </c>
      <c r="H206" s="132">
        <v>0.32942555685814773</v>
      </c>
    </row>
    <row r="207" spans="1:8" x14ac:dyDescent="0.25">
      <c r="A207" s="131" t="s">
        <v>730</v>
      </c>
      <c r="B207" s="131" t="s">
        <v>412</v>
      </c>
      <c r="C207" s="131" t="s">
        <v>276</v>
      </c>
      <c r="D207" s="131" t="s">
        <v>813</v>
      </c>
      <c r="E207" s="131" t="s">
        <v>1049</v>
      </c>
      <c r="F207" s="131">
        <v>320</v>
      </c>
      <c r="G207" s="131">
        <v>110</v>
      </c>
      <c r="H207" s="132">
        <v>0.34375</v>
      </c>
    </row>
    <row r="208" spans="1:8" x14ac:dyDescent="0.25">
      <c r="A208" s="131" t="s">
        <v>730</v>
      </c>
      <c r="B208" s="131" t="s">
        <v>412</v>
      </c>
      <c r="C208" s="131" t="s">
        <v>276</v>
      </c>
      <c r="D208" s="131" t="s">
        <v>819</v>
      </c>
      <c r="E208" s="131" t="s">
        <v>1050</v>
      </c>
      <c r="F208" s="131">
        <v>320</v>
      </c>
      <c r="G208" s="131">
        <v>132</v>
      </c>
      <c r="H208" s="132">
        <v>0.41249999999999998</v>
      </c>
    </row>
    <row r="209" spans="1:8" x14ac:dyDescent="0.25">
      <c r="A209" s="131" t="s">
        <v>730</v>
      </c>
      <c r="B209" s="131" t="s">
        <v>412</v>
      </c>
      <c r="C209" s="131" t="s">
        <v>276</v>
      </c>
      <c r="D209" s="131" t="s">
        <v>965</v>
      </c>
      <c r="E209" s="131" t="s">
        <v>1051</v>
      </c>
      <c r="F209" s="131">
        <v>326</v>
      </c>
      <c r="G209" s="131">
        <v>105</v>
      </c>
      <c r="H209" s="132">
        <v>0.32208588957055212</v>
      </c>
    </row>
    <row r="210" spans="1:8" x14ac:dyDescent="0.25">
      <c r="A210" s="131" t="s">
        <v>730</v>
      </c>
      <c r="B210" s="131" t="s">
        <v>412</v>
      </c>
      <c r="C210" s="131" t="s">
        <v>276</v>
      </c>
      <c r="D210" s="131" t="s">
        <v>807</v>
      </c>
      <c r="E210" s="131" t="s">
        <v>1052</v>
      </c>
      <c r="F210" s="131">
        <v>316</v>
      </c>
      <c r="G210" s="131">
        <v>107</v>
      </c>
      <c r="H210" s="132">
        <v>0.33860759493670883</v>
      </c>
    </row>
    <row r="211" spans="1:8" x14ac:dyDescent="0.25">
      <c r="A211" s="131" t="s">
        <v>730</v>
      </c>
      <c r="B211" s="131" t="s">
        <v>412</v>
      </c>
      <c r="C211" s="131" t="s">
        <v>276</v>
      </c>
      <c r="D211" s="131" t="s">
        <v>1053</v>
      </c>
      <c r="E211" s="131" t="s">
        <v>1054</v>
      </c>
      <c r="F211" s="131">
        <v>323</v>
      </c>
      <c r="G211" s="131">
        <v>100</v>
      </c>
      <c r="H211" s="132">
        <v>0.30959752321981426</v>
      </c>
    </row>
    <row r="212" spans="1:8" x14ac:dyDescent="0.25">
      <c r="A212" s="131" t="s">
        <v>730</v>
      </c>
      <c r="B212" s="131" t="s">
        <v>412</v>
      </c>
      <c r="C212" s="131" t="s">
        <v>276</v>
      </c>
      <c r="D212" s="131" t="s">
        <v>1055</v>
      </c>
      <c r="E212" s="131" t="s">
        <v>1056</v>
      </c>
      <c r="F212" s="131">
        <v>16</v>
      </c>
      <c r="G212" s="131">
        <v>14</v>
      </c>
      <c r="H212" s="132">
        <v>0.875</v>
      </c>
    </row>
    <row r="213" spans="1:8" x14ac:dyDescent="0.25">
      <c r="A213" s="131" t="s">
        <v>723</v>
      </c>
      <c r="B213" s="131" t="s">
        <v>413</v>
      </c>
      <c r="C213" s="131" t="s">
        <v>275</v>
      </c>
      <c r="D213" s="131" t="s">
        <v>875</v>
      </c>
      <c r="E213" s="131" t="s">
        <v>1057</v>
      </c>
      <c r="F213" s="131">
        <v>37</v>
      </c>
      <c r="G213" s="131">
        <v>12</v>
      </c>
      <c r="H213" s="132">
        <v>0.32432432432432434</v>
      </c>
    </row>
    <row r="214" spans="1:8" x14ac:dyDescent="0.25">
      <c r="A214" s="131" t="s">
        <v>723</v>
      </c>
      <c r="B214" s="131" t="s">
        <v>413</v>
      </c>
      <c r="C214" s="131" t="s">
        <v>275</v>
      </c>
      <c r="D214" s="131" t="s">
        <v>805</v>
      </c>
      <c r="E214" s="131" t="s">
        <v>1058</v>
      </c>
      <c r="F214" s="131">
        <v>138</v>
      </c>
      <c r="G214" s="131">
        <v>55</v>
      </c>
      <c r="H214" s="132">
        <v>0.39855072463768115</v>
      </c>
    </row>
    <row r="215" spans="1:8" x14ac:dyDescent="0.25">
      <c r="A215" s="131" t="s">
        <v>723</v>
      </c>
      <c r="B215" s="131" t="s">
        <v>414</v>
      </c>
      <c r="C215" s="131" t="s">
        <v>274</v>
      </c>
      <c r="D215" s="131" t="s">
        <v>803</v>
      </c>
      <c r="E215" s="131" t="s">
        <v>1059</v>
      </c>
      <c r="F215" s="131">
        <v>69</v>
      </c>
      <c r="G215" s="131">
        <v>30</v>
      </c>
      <c r="H215" s="132">
        <v>0.43478260869565216</v>
      </c>
    </row>
    <row r="216" spans="1:8" x14ac:dyDescent="0.25">
      <c r="A216" s="131" t="s">
        <v>723</v>
      </c>
      <c r="B216" s="131" t="s">
        <v>414</v>
      </c>
      <c r="C216" s="131" t="s">
        <v>274</v>
      </c>
      <c r="D216" s="131" t="s">
        <v>840</v>
      </c>
      <c r="E216" s="131" t="s">
        <v>1060</v>
      </c>
      <c r="F216" s="131">
        <v>95</v>
      </c>
      <c r="G216" s="131">
        <v>40</v>
      </c>
      <c r="H216" s="132">
        <v>0.42105263157894735</v>
      </c>
    </row>
    <row r="217" spans="1:8" x14ac:dyDescent="0.25">
      <c r="A217" s="131" t="s">
        <v>734</v>
      </c>
      <c r="B217" s="131" t="s">
        <v>415</v>
      </c>
      <c r="C217" s="131" t="s">
        <v>273</v>
      </c>
      <c r="D217" s="131" t="s">
        <v>805</v>
      </c>
      <c r="E217" s="131" t="s">
        <v>1061</v>
      </c>
      <c r="F217" s="131">
        <v>302</v>
      </c>
      <c r="G217" s="131">
        <v>216</v>
      </c>
      <c r="H217" s="132">
        <v>0.71523178807947019</v>
      </c>
    </row>
    <row r="218" spans="1:8" x14ac:dyDescent="0.25">
      <c r="A218" s="131" t="s">
        <v>723</v>
      </c>
      <c r="B218" s="131" t="s">
        <v>416</v>
      </c>
      <c r="C218" s="131" t="s">
        <v>272</v>
      </c>
      <c r="D218" s="131" t="s">
        <v>803</v>
      </c>
      <c r="E218" s="131" t="s">
        <v>1062</v>
      </c>
      <c r="F218" s="131">
        <v>71</v>
      </c>
      <c r="G218" s="131">
        <v>38</v>
      </c>
      <c r="H218" s="132">
        <v>0.53521126760563376</v>
      </c>
    </row>
    <row r="219" spans="1:8" x14ac:dyDescent="0.25">
      <c r="A219" s="131" t="s">
        <v>723</v>
      </c>
      <c r="B219" s="131" t="s">
        <v>416</v>
      </c>
      <c r="C219" s="131" t="s">
        <v>272</v>
      </c>
      <c r="D219" s="131" t="s">
        <v>805</v>
      </c>
      <c r="E219" s="131" t="s">
        <v>1063</v>
      </c>
      <c r="F219" s="131">
        <v>126</v>
      </c>
      <c r="G219" s="131">
        <v>60</v>
      </c>
      <c r="H219" s="132">
        <v>0.47619047619047616</v>
      </c>
    </row>
    <row r="220" spans="1:8" x14ac:dyDescent="0.25">
      <c r="A220" s="131" t="s">
        <v>726</v>
      </c>
      <c r="B220" s="131" t="s">
        <v>417</v>
      </c>
      <c r="C220" s="131" t="s">
        <v>271</v>
      </c>
      <c r="D220" s="131" t="s">
        <v>805</v>
      </c>
      <c r="E220" s="131" t="s">
        <v>1064</v>
      </c>
      <c r="F220" s="131">
        <v>149</v>
      </c>
      <c r="G220" s="131">
        <v>77</v>
      </c>
      <c r="H220" s="132">
        <v>0.51677852348993292</v>
      </c>
    </row>
    <row r="221" spans="1:8" x14ac:dyDescent="0.25">
      <c r="A221" s="131" t="s">
        <v>726</v>
      </c>
      <c r="B221" s="131" t="s">
        <v>418</v>
      </c>
      <c r="C221" s="131" t="s">
        <v>270</v>
      </c>
      <c r="D221" s="131" t="s">
        <v>1065</v>
      </c>
      <c r="E221" s="131" t="s">
        <v>1066</v>
      </c>
      <c r="F221" s="131">
        <v>358</v>
      </c>
      <c r="G221" s="131">
        <v>182</v>
      </c>
      <c r="H221" s="132">
        <v>0.50837988826815639</v>
      </c>
    </row>
    <row r="222" spans="1:8" x14ac:dyDescent="0.25">
      <c r="A222" s="131" t="s">
        <v>726</v>
      </c>
      <c r="B222" s="131" t="s">
        <v>418</v>
      </c>
      <c r="C222" s="131" t="s">
        <v>270</v>
      </c>
      <c r="D222" s="131" t="s">
        <v>1067</v>
      </c>
      <c r="E222" s="131" t="s">
        <v>1068</v>
      </c>
      <c r="F222" s="131">
        <v>314</v>
      </c>
      <c r="G222" s="131">
        <v>254</v>
      </c>
      <c r="H222" s="132">
        <v>0.80891719745222934</v>
      </c>
    </row>
    <row r="223" spans="1:8" x14ac:dyDescent="0.25">
      <c r="A223" s="131" t="s">
        <v>726</v>
      </c>
      <c r="B223" s="131" t="s">
        <v>418</v>
      </c>
      <c r="C223" s="131" t="s">
        <v>270</v>
      </c>
      <c r="D223" s="131" t="s">
        <v>813</v>
      </c>
      <c r="E223" s="131" t="s">
        <v>1069</v>
      </c>
      <c r="F223" s="131">
        <v>286</v>
      </c>
      <c r="G223" s="131">
        <v>252</v>
      </c>
      <c r="H223" s="132">
        <v>0.88111888111888115</v>
      </c>
    </row>
    <row r="224" spans="1:8" x14ac:dyDescent="0.25">
      <c r="A224" s="131" t="s">
        <v>726</v>
      </c>
      <c r="B224" s="131" t="s">
        <v>418</v>
      </c>
      <c r="C224" s="131" t="s">
        <v>270</v>
      </c>
      <c r="D224" s="131" t="s">
        <v>1070</v>
      </c>
      <c r="E224" s="131" t="s">
        <v>1071</v>
      </c>
      <c r="F224" s="131">
        <v>295</v>
      </c>
      <c r="G224" s="131">
        <v>249</v>
      </c>
      <c r="H224" s="132">
        <v>0.84406779661016951</v>
      </c>
    </row>
    <row r="225" spans="1:8" x14ac:dyDescent="0.25">
      <c r="A225" s="131" t="s">
        <v>726</v>
      </c>
      <c r="B225" s="131" t="s">
        <v>418</v>
      </c>
      <c r="C225" s="131" t="s">
        <v>270</v>
      </c>
      <c r="D225" s="131" t="s">
        <v>883</v>
      </c>
      <c r="E225" s="131" t="s">
        <v>1072</v>
      </c>
      <c r="F225" s="131">
        <v>64</v>
      </c>
      <c r="G225" s="131">
        <v>36</v>
      </c>
      <c r="H225" s="132">
        <v>0.5625</v>
      </c>
    </row>
    <row r="226" spans="1:8" x14ac:dyDescent="0.25">
      <c r="A226" s="131" t="s">
        <v>726</v>
      </c>
      <c r="B226" s="131" t="s">
        <v>418</v>
      </c>
      <c r="C226" s="131" t="s">
        <v>270</v>
      </c>
      <c r="D226" s="131" t="s">
        <v>819</v>
      </c>
      <c r="E226" s="131" t="s">
        <v>1073</v>
      </c>
      <c r="F226" s="131">
        <v>423</v>
      </c>
      <c r="G226" s="131">
        <v>168</v>
      </c>
      <c r="H226" s="132">
        <v>0.3971631205673759</v>
      </c>
    </row>
    <row r="227" spans="1:8" x14ac:dyDescent="0.25">
      <c r="A227" s="131" t="s">
        <v>726</v>
      </c>
      <c r="B227" s="131" t="s">
        <v>418</v>
      </c>
      <c r="C227" s="131" t="s">
        <v>270</v>
      </c>
      <c r="D227" s="131" t="s">
        <v>859</v>
      </c>
      <c r="E227" s="131" t="s">
        <v>1074</v>
      </c>
      <c r="F227" s="131">
        <v>365</v>
      </c>
      <c r="G227" s="131">
        <v>285</v>
      </c>
      <c r="H227" s="132">
        <v>0.78082191780821919</v>
      </c>
    </row>
    <row r="228" spans="1:8" x14ac:dyDescent="0.25">
      <c r="A228" s="131" t="s">
        <v>726</v>
      </c>
      <c r="B228" s="131" t="s">
        <v>418</v>
      </c>
      <c r="C228" s="131" t="s">
        <v>270</v>
      </c>
      <c r="D228" s="131" t="s">
        <v>840</v>
      </c>
      <c r="E228" s="131" t="s">
        <v>914</v>
      </c>
      <c r="F228" s="131">
        <v>371</v>
      </c>
      <c r="G228" s="131">
        <v>259</v>
      </c>
      <c r="H228" s="132">
        <v>0.69811320754716977</v>
      </c>
    </row>
    <row r="229" spans="1:8" x14ac:dyDescent="0.25">
      <c r="A229" s="131" t="s">
        <v>726</v>
      </c>
      <c r="B229" s="131" t="s">
        <v>418</v>
      </c>
      <c r="C229" s="131" t="s">
        <v>270</v>
      </c>
      <c r="D229" s="131" t="s">
        <v>844</v>
      </c>
      <c r="E229" s="131" t="s">
        <v>975</v>
      </c>
      <c r="F229" s="131">
        <v>352</v>
      </c>
      <c r="G229" s="131">
        <v>237</v>
      </c>
      <c r="H229" s="132">
        <v>0.67329545454545459</v>
      </c>
    </row>
    <row r="230" spans="1:8" x14ac:dyDescent="0.25">
      <c r="A230" s="131" t="s">
        <v>726</v>
      </c>
      <c r="B230" s="131" t="s">
        <v>418</v>
      </c>
      <c r="C230" s="131" t="s">
        <v>270</v>
      </c>
      <c r="D230" s="131" t="s">
        <v>927</v>
      </c>
      <c r="E230" s="131" t="s">
        <v>1075</v>
      </c>
      <c r="F230" s="131">
        <v>195</v>
      </c>
      <c r="G230" s="131">
        <v>97</v>
      </c>
      <c r="H230" s="132">
        <v>0.49743589743589745</v>
      </c>
    </row>
    <row r="231" spans="1:8" x14ac:dyDescent="0.25">
      <c r="A231" s="131" t="s">
        <v>726</v>
      </c>
      <c r="B231" s="131" t="s">
        <v>418</v>
      </c>
      <c r="C231" s="131" t="s">
        <v>270</v>
      </c>
      <c r="D231" s="131" t="s">
        <v>1076</v>
      </c>
      <c r="E231" s="131" t="s">
        <v>892</v>
      </c>
      <c r="F231" s="131">
        <v>400</v>
      </c>
      <c r="G231" s="131">
        <v>262</v>
      </c>
      <c r="H231" s="132">
        <v>0.65500000000000003</v>
      </c>
    </row>
    <row r="232" spans="1:8" x14ac:dyDescent="0.25">
      <c r="A232" s="131" t="s">
        <v>726</v>
      </c>
      <c r="B232" s="131" t="s">
        <v>418</v>
      </c>
      <c r="C232" s="131" t="s">
        <v>270</v>
      </c>
      <c r="D232" s="131" t="s">
        <v>980</v>
      </c>
      <c r="E232" s="131" t="s">
        <v>1026</v>
      </c>
      <c r="F232" s="131">
        <v>327</v>
      </c>
      <c r="G232" s="131">
        <v>237</v>
      </c>
      <c r="H232" s="132">
        <v>0.72477064220183485</v>
      </c>
    </row>
    <row r="233" spans="1:8" x14ac:dyDescent="0.25">
      <c r="A233" s="131" t="s">
        <v>726</v>
      </c>
      <c r="B233" s="131" t="s">
        <v>418</v>
      </c>
      <c r="C233" s="131" t="s">
        <v>270</v>
      </c>
      <c r="D233" s="131" t="s">
        <v>1077</v>
      </c>
      <c r="E233" s="131" t="s">
        <v>1078</v>
      </c>
      <c r="F233" s="131">
        <v>277</v>
      </c>
      <c r="G233" s="131">
        <v>206</v>
      </c>
      <c r="H233" s="132">
        <v>0.7436823104693141</v>
      </c>
    </row>
    <row r="234" spans="1:8" x14ac:dyDescent="0.25">
      <c r="A234" s="131" t="s">
        <v>726</v>
      </c>
      <c r="B234" s="131" t="s">
        <v>419</v>
      </c>
      <c r="C234" s="131" t="s">
        <v>269</v>
      </c>
      <c r="D234" s="131" t="s">
        <v>828</v>
      </c>
      <c r="E234" s="131" t="s">
        <v>1079</v>
      </c>
      <c r="F234" s="131">
        <v>108</v>
      </c>
      <c r="G234" s="131">
        <v>71</v>
      </c>
      <c r="H234" s="132">
        <v>0.65740740740740744</v>
      </c>
    </row>
    <row r="235" spans="1:8" x14ac:dyDescent="0.25">
      <c r="A235" s="131" t="s">
        <v>726</v>
      </c>
      <c r="B235" s="131" t="s">
        <v>419</v>
      </c>
      <c r="C235" s="131" t="s">
        <v>269</v>
      </c>
      <c r="D235" s="131" t="s">
        <v>805</v>
      </c>
      <c r="E235" s="131" t="s">
        <v>1080</v>
      </c>
      <c r="F235" s="131">
        <v>447</v>
      </c>
      <c r="G235" s="131">
        <v>301</v>
      </c>
      <c r="H235" s="132">
        <v>0.67337807606263977</v>
      </c>
    </row>
    <row r="236" spans="1:8" x14ac:dyDescent="0.25">
      <c r="A236" s="131" t="s">
        <v>723</v>
      </c>
      <c r="B236" s="131" t="s">
        <v>420</v>
      </c>
      <c r="C236" s="131" t="s">
        <v>268</v>
      </c>
      <c r="D236" s="131" t="s">
        <v>821</v>
      </c>
      <c r="E236" s="131" t="s">
        <v>1081</v>
      </c>
      <c r="F236" s="131">
        <v>229</v>
      </c>
      <c r="G236" s="131">
        <v>39</v>
      </c>
      <c r="H236" s="132">
        <v>0.1703056768558952</v>
      </c>
    </row>
    <row r="237" spans="1:8" x14ac:dyDescent="0.25">
      <c r="A237" s="131" t="s">
        <v>723</v>
      </c>
      <c r="B237" s="131" t="s">
        <v>420</v>
      </c>
      <c r="C237" s="131" t="s">
        <v>268</v>
      </c>
      <c r="D237" s="131" t="s">
        <v>813</v>
      </c>
      <c r="E237" s="131" t="s">
        <v>1082</v>
      </c>
      <c r="F237" s="131">
        <v>428</v>
      </c>
      <c r="G237" s="131">
        <v>25</v>
      </c>
      <c r="H237" s="132">
        <v>5.8411214953271028E-2</v>
      </c>
    </row>
    <row r="238" spans="1:8" x14ac:dyDescent="0.25">
      <c r="A238" s="131" t="s">
        <v>723</v>
      </c>
      <c r="B238" s="131" t="s">
        <v>420</v>
      </c>
      <c r="C238" s="131" t="s">
        <v>268</v>
      </c>
      <c r="D238" s="131" t="s">
        <v>819</v>
      </c>
      <c r="E238" s="131" t="s">
        <v>1083</v>
      </c>
      <c r="F238" s="131">
        <v>397</v>
      </c>
      <c r="G238" s="131">
        <v>89</v>
      </c>
      <c r="H238" s="132">
        <v>0.22418136020151133</v>
      </c>
    </row>
    <row r="239" spans="1:8" x14ac:dyDescent="0.25">
      <c r="A239" s="131" t="s">
        <v>723</v>
      </c>
      <c r="B239" s="131" t="s">
        <v>420</v>
      </c>
      <c r="C239" s="131" t="s">
        <v>268</v>
      </c>
      <c r="D239" s="131" t="s">
        <v>807</v>
      </c>
      <c r="E239" s="131" t="s">
        <v>1084</v>
      </c>
      <c r="F239" s="131">
        <v>224</v>
      </c>
      <c r="G239" s="131">
        <v>60</v>
      </c>
      <c r="H239" s="132">
        <v>0.26785714285714285</v>
      </c>
    </row>
    <row r="240" spans="1:8" x14ac:dyDescent="0.25">
      <c r="A240" s="131" t="s">
        <v>723</v>
      </c>
      <c r="B240" s="131" t="s">
        <v>420</v>
      </c>
      <c r="C240" s="131" t="s">
        <v>268</v>
      </c>
      <c r="D240" s="131" t="s">
        <v>1085</v>
      </c>
      <c r="E240" s="131" t="s">
        <v>1086</v>
      </c>
      <c r="F240" s="131">
        <v>290</v>
      </c>
      <c r="G240" s="131">
        <v>35</v>
      </c>
      <c r="H240" s="132">
        <v>0.1206896551724138</v>
      </c>
    </row>
    <row r="241" spans="1:8" x14ac:dyDescent="0.25">
      <c r="A241" s="131" t="s">
        <v>729</v>
      </c>
      <c r="B241" s="131" t="s">
        <v>421</v>
      </c>
      <c r="C241" s="131" t="s">
        <v>267</v>
      </c>
      <c r="D241" s="131" t="s">
        <v>805</v>
      </c>
      <c r="E241" s="131" t="s">
        <v>1087</v>
      </c>
      <c r="F241" s="131">
        <v>300</v>
      </c>
      <c r="G241" s="131">
        <v>96</v>
      </c>
      <c r="H241" s="132">
        <v>0.32</v>
      </c>
    </row>
    <row r="242" spans="1:8" x14ac:dyDescent="0.25">
      <c r="A242" s="131" t="s">
        <v>734</v>
      </c>
      <c r="B242" s="131" t="s">
        <v>422</v>
      </c>
      <c r="C242" s="131" t="s">
        <v>266</v>
      </c>
      <c r="D242" s="131" t="s">
        <v>1088</v>
      </c>
      <c r="E242" s="131" t="s">
        <v>1089</v>
      </c>
      <c r="F242" s="131">
        <v>240</v>
      </c>
      <c r="G242" s="131">
        <v>129</v>
      </c>
      <c r="H242" s="132">
        <v>0.53749999999999998</v>
      </c>
    </row>
    <row r="243" spans="1:8" x14ac:dyDescent="0.25">
      <c r="A243" s="131" t="s">
        <v>734</v>
      </c>
      <c r="B243" s="131" t="s">
        <v>422</v>
      </c>
      <c r="C243" s="131" t="s">
        <v>266</v>
      </c>
      <c r="D243" s="131" t="s">
        <v>821</v>
      </c>
      <c r="E243" s="131" t="s">
        <v>1090</v>
      </c>
      <c r="F243" s="131">
        <v>213</v>
      </c>
      <c r="G243" s="131">
        <v>146</v>
      </c>
      <c r="H243" s="132">
        <v>0.68544600938967137</v>
      </c>
    </row>
    <row r="244" spans="1:8" x14ac:dyDescent="0.25">
      <c r="A244" s="131" t="s">
        <v>734</v>
      </c>
      <c r="B244" s="131" t="s">
        <v>422</v>
      </c>
      <c r="C244" s="131" t="s">
        <v>266</v>
      </c>
      <c r="D244" s="131" t="s">
        <v>828</v>
      </c>
      <c r="E244" s="131" t="s">
        <v>1091</v>
      </c>
      <c r="F244" s="131">
        <v>307</v>
      </c>
      <c r="G244" s="131">
        <v>176</v>
      </c>
      <c r="H244" s="132">
        <v>0.57328990228013033</v>
      </c>
    </row>
    <row r="245" spans="1:8" x14ac:dyDescent="0.25">
      <c r="A245" s="131" t="s">
        <v>734</v>
      </c>
      <c r="B245" s="131" t="s">
        <v>422</v>
      </c>
      <c r="C245" s="131" t="s">
        <v>266</v>
      </c>
      <c r="D245" s="131" t="s">
        <v>1092</v>
      </c>
      <c r="E245" s="131" t="s">
        <v>1093</v>
      </c>
      <c r="F245" s="131">
        <v>138</v>
      </c>
      <c r="G245" s="131">
        <v>56</v>
      </c>
      <c r="H245" s="132">
        <v>0.40579710144927539</v>
      </c>
    </row>
    <row r="246" spans="1:8" x14ac:dyDescent="0.25">
      <c r="A246" s="131" t="s">
        <v>734</v>
      </c>
      <c r="B246" s="131" t="s">
        <v>422</v>
      </c>
      <c r="C246" s="131" t="s">
        <v>266</v>
      </c>
      <c r="D246" s="131" t="s">
        <v>959</v>
      </c>
      <c r="E246" s="131" t="s">
        <v>1094</v>
      </c>
      <c r="F246" s="131">
        <v>247</v>
      </c>
      <c r="G246" s="131">
        <v>145</v>
      </c>
      <c r="H246" s="132">
        <v>0.58704453441295545</v>
      </c>
    </row>
    <row r="247" spans="1:8" x14ac:dyDescent="0.25">
      <c r="A247" s="131" t="s">
        <v>734</v>
      </c>
      <c r="B247" s="131" t="s">
        <v>422</v>
      </c>
      <c r="C247" s="131" t="s">
        <v>266</v>
      </c>
      <c r="D247" s="131" t="s">
        <v>805</v>
      </c>
      <c r="E247" s="131" t="s">
        <v>947</v>
      </c>
      <c r="F247" s="131">
        <v>411</v>
      </c>
      <c r="G247" s="131">
        <v>249</v>
      </c>
      <c r="H247" s="132">
        <v>0.6058394160583942</v>
      </c>
    </row>
    <row r="248" spans="1:8" x14ac:dyDescent="0.25">
      <c r="A248" s="131" t="s">
        <v>734</v>
      </c>
      <c r="B248" s="131" t="s">
        <v>422</v>
      </c>
      <c r="C248" s="131" t="s">
        <v>266</v>
      </c>
      <c r="D248" s="131" t="s">
        <v>811</v>
      </c>
      <c r="E248" s="131" t="s">
        <v>1095</v>
      </c>
      <c r="F248" s="131">
        <v>234</v>
      </c>
      <c r="G248" s="131">
        <v>59</v>
      </c>
      <c r="H248" s="132">
        <v>0.25213675213675213</v>
      </c>
    </row>
    <row r="249" spans="1:8" x14ac:dyDescent="0.25">
      <c r="A249" s="131" t="s">
        <v>734</v>
      </c>
      <c r="B249" s="131" t="s">
        <v>422</v>
      </c>
      <c r="C249" s="131" t="s">
        <v>266</v>
      </c>
      <c r="D249" s="131" t="s">
        <v>362</v>
      </c>
      <c r="E249" s="131" t="s">
        <v>1096</v>
      </c>
      <c r="F249" s="131">
        <v>274</v>
      </c>
      <c r="G249" s="131">
        <v>188</v>
      </c>
      <c r="H249" s="132">
        <v>0.68613138686131392</v>
      </c>
    </row>
    <row r="250" spans="1:8" x14ac:dyDescent="0.25">
      <c r="A250" s="131" t="s">
        <v>734</v>
      </c>
      <c r="B250" s="131" t="s">
        <v>422</v>
      </c>
      <c r="C250" s="131" t="s">
        <v>266</v>
      </c>
      <c r="D250" s="131" t="s">
        <v>881</v>
      </c>
      <c r="E250" s="131" t="s">
        <v>1097</v>
      </c>
      <c r="F250" s="131">
        <v>203</v>
      </c>
      <c r="G250" s="131">
        <v>105</v>
      </c>
      <c r="H250" s="132">
        <v>0.51724137931034486</v>
      </c>
    </row>
    <row r="251" spans="1:8" x14ac:dyDescent="0.25">
      <c r="A251" s="131" t="s">
        <v>734</v>
      </c>
      <c r="B251" s="131" t="s">
        <v>422</v>
      </c>
      <c r="C251" s="131" t="s">
        <v>266</v>
      </c>
      <c r="D251" s="131" t="s">
        <v>1098</v>
      </c>
      <c r="E251" s="131" t="s">
        <v>1099</v>
      </c>
      <c r="F251" s="131">
        <v>377</v>
      </c>
      <c r="G251" s="131">
        <v>151</v>
      </c>
      <c r="H251" s="132">
        <v>0.40053050397877982</v>
      </c>
    </row>
    <row r="252" spans="1:8" x14ac:dyDescent="0.25">
      <c r="A252" s="131" t="s">
        <v>734</v>
      </c>
      <c r="B252" s="131" t="s">
        <v>422</v>
      </c>
      <c r="C252" s="131" t="s">
        <v>266</v>
      </c>
      <c r="D252" s="131" t="s">
        <v>813</v>
      </c>
      <c r="E252" s="131" t="s">
        <v>1100</v>
      </c>
      <c r="F252" s="131">
        <v>345</v>
      </c>
      <c r="G252" s="131">
        <v>223</v>
      </c>
      <c r="H252" s="132">
        <v>0.6463768115942029</v>
      </c>
    </row>
    <row r="253" spans="1:8" x14ac:dyDescent="0.25">
      <c r="A253" s="131" t="s">
        <v>734</v>
      </c>
      <c r="B253" s="131" t="s">
        <v>422</v>
      </c>
      <c r="C253" s="131" t="s">
        <v>266</v>
      </c>
      <c r="D253" s="131" t="s">
        <v>819</v>
      </c>
      <c r="E253" s="131" t="s">
        <v>970</v>
      </c>
      <c r="F253" s="131">
        <v>333</v>
      </c>
      <c r="G253" s="131">
        <v>191</v>
      </c>
      <c r="H253" s="132">
        <v>0.57357357357357353</v>
      </c>
    </row>
    <row r="254" spans="1:8" x14ac:dyDescent="0.25">
      <c r="A254" s="131" t="s">
        <v>734</v>
      </c>
      <c r="B254" s="131" t="s">
        <v>422</v>
      </c>
      <c r="C254" s="131" t="s">
        <v>266</v>
      </c>
      <c r="D254" s="131" t="s">
        <v>840</v>
      </c>
      <c r="E254" s="131" t="s">
        <v>971</v>
      </c>
      <c r="F254" s="131">
        <v>381</v>
      </c>
      <c r="G254" s="131">
        <v>166</v>
      </c>
      <c r="H254" s="132">
        <v>0.4356955380577428</v>
      </c>
    </row>
    <row r="255" spans="1:8" x14ac:dyDescent="0.25">
      <c r="A255" s="131" t="s">
        <v>734</v>
      </c>
      <c r="B255" s="131" t="s">
        <v>422</v>
      </c>
      <c r="C255" s="131" t="s">
        <v>266</v>
      </c>
      <c r="D255" s="131" t="s">
        <v>952</v>
      </c>
      <c r="E255" s="131" t="s">
        <v>1101</v>
      </c>
      <c r="F255" s="131">
        <v>257</v>
      </c>
      <c r="G255" s="131">
        <v>174</v>
      </c>
      <c r="H255" s="132">
        <v>0.67704280155642027</v>
      </c>
    </row>
    <row r="256" spans="1:8" x14ac:dyDescent="0.25">
      <c r="A256" s="131" t="s">
        <v>734</v>
      </c>
      <c r="B256" s="131" t="s">
        <v>422</v>
      </c>
      <c r="C256" s="131" t="s">
        <v>266</v>
      </c>
      <c r="D256" s="131" t="s">
        <v>1102</v>
      </c>
      <c r="E256" s="131" t="s">
        <v>997</v>
      </c>
      <c r="F256" s="131">
        <v>261</v>
      </c>
      <c r="G256" s="131">
        <v>148</v>
      </c>
      <c r="H256" s="132">
        <v>0.56704980842911878</v>
      </c>
    </row>
    <row r="257" spans="1:8" x14ac:dyDescent="0.25">
      <c r="A257" s="131" t="s">
        <v>734</v>
      </c>
      <c r="B257" s="131" t="s">
        <v>422</v>
      </c>
      <c r="C257" s="131" t="s">
        <v>266</v>
      </c>
      <c r="D257" s="131" t="s">
        <v>844</v>
      </c>
      <c r="E257" s="131" t="s">
        <v>1042</v>
      </c>
      <c r="F257" s="131">
        <v>339</v>
      </c>
      <c r="G257" s="131">
        <v>272</v>
      </c>
      <c r="H257" s="132">
        <v>0.80235988200589969</v>
      </c>
    </row>
    <row r="258" spans="1:8" x14ac:dyDescent="0.25">
      <c r="A258" s="131" t="s">
        <v>734</v>
      </c>
      <c r="B258" s="131" t="s">
        <v>422</v>
      </c>
      <c r="C258" s="131" t="s">
        <v>266</v>
      </c>
      <c r="D258" s="131" t="s">
        <v>1103</v>
      </c>
      <c r="E258" s="131" t="s">
        <v>981</v>
      </c>
      <c r="F258" s="131">
        <v>333</v>
      </c>
      <c r="G258" s="131">
        <v>242</v>
      </c>
      <c r="H258" s="132">
        <v>0.72672672672672678</v>
      </c>
    </row>
    <row r="259" spans="1:8" x14ac:dyDescent="0.25">
      <c r="A259" s="131" t="s">
        <v>734</v>
      </c>
      <c r="B259" s="131" t="s">
        <v>422</v>
      </c>
      <c r="C259" s="131" t="s">
        <v>266</v>
      </c>
      <c r="D259" s="131" t="s">
        <v>978</v>
      </c>
      <c r="E259" s="131" t="s">
        <v>1104</v>
      </c>
      <c r="F259" s="131">
        <v>327</v>
      </c>
      <c r="G259" s="131">
        <v>193</v>
      </c>
      <c r="H259" s="132">
        <v>0.59021406727828751</v>
      </c>
    </row>
    <row r="260" spans="1:8" x14ac:dyDescent="0.25">
      <c r="A260" s="131" t="s">
        <v>734</v>
      </c>
      <c r="B260" s="131" t="s">
        <v>422</v>
      </c>
      <c r="C260" s="131" t="s">
        <v>266</v>
      </c>
      <c r="D260" s="131" t="s">
        <v>1105</v>
      </c>
      <c r="E260" s="131" t="s">
        <v>1106</v>
      </c>
      <c r="F260" s="131">
        <v>278</v>
      </c>
      <c r="G260" s="131">
        <v>207</v>
      </c>
      <c r="H260" s="132">
        <v>0.74460431654676262</v>
      </c>
    </row>
    <row r="261" spans="1:8" x14ac:dyDescent="0.25">
      <c r="A261" s="131" t="s">
        <v>734</v>
      </c>
      <c r="B261" s="131" t="s">
        <v>422</v>
      </c>
      <c r="C261" s="131" t="s">
        <v>266</v>
      </c>
      <c r="D261" s="131" t="s">
        <v>1107</v>
      </c>
      <c r="E261" s="131" t="s">
        <v>989</v>
      </c>
      <c r="F261" s="131">
        <v>251</v>
      </c>
      <c r="G261" s="131">
        <v>123</v>
      </c>
      <c r="H261" s="132">
        <v>0.49003984063745021</v>
      </c>
    </row>
    <row r="262" spans="1:8" x14ac:dyDescent="0.25">
      <c r="A262" s="131" t="s">
        <v>734</v>
      </c>
      <c r="B262" s="131" t="s">
        <v>422</v>
      </c>
      <c r="C262" s="131" t="s">
        <v>266</v>
      </c>
      <c r="D262" s="131" t="s">
        <v>368</v>
      </c>
      <c r="E262" s="131" t="s">
        <v>1108</v>
      </c>
      <c r="F262" s="131">
        <v>162</v>
      </c>
      <c r="G262" s="131">
        <v>86</v>
      </c>
      <c r="H262" s="132">
        <v>0.53086419753086422</v>
      </c>
    </row>
    <row r="263" spans="1:8" x14ac:dyDescent="0.25">
      <c r="A263" s="131" t="s">
        <v>734</v>
      </c>
      <c r="B263" s="131" t="s">
        <v>422</v>
      </c>
      <c r="C263" s="131" t="s">
        <v>266</v>
      </c>
      <c r="D263" s="131" t="s">
        <v>986</v>
      </c>
      <c r="E263" s="131" t="s">
        <v>874</v>
      </c>
      <c r="F263" s="131">
        <v>210</v>
      </c>
      <c r="G263" s="131">
        <v>146</v>
      </c>
      <c r="H263" s="132">
        <v>0.69523809523809521</v>
      </c>
    </row>
    <row r="264" spans="1:8" x14ac:dyDescent="0.25">
      <c r="A264" s="131" t="s">
        <v>734</v>
      </c>
      <c r="B264" s="131" t="s">
        <v>422</v>
      </c>
      <c r="C264" s="131" t="s">
        <v>266</v>
      </c>
      <c r="D264" s="131" t="s">
        <v>988</v>
      </c>
      <c r="E264" s="131" t="s">
        <v>1109</v>
      </c>
      <c r="F264" s="131">
        <v>382</v>
      </c>
      <c r="G264" s="131">
        <v>215</v>
      </c>
      <c r="H264" s="132">
        <v>0.56282722513089001</v>
      </c>
    </row>
    <row r="265" spans="1:8" x14ac:dyDescent="0.25">
      <c r="A265" s="131" t="s">
        <v>729</v>
      </c>
      <c r="B265" s="131" t="s">
        <v>423</v>
      </c>
      <c r="C265" s="131" t="s">
        <v>265</v>
      </c>
      <c r="D265" s="131" t="s">
        <v>1110</v>
      </c>
      <c r="E265" s="131" t="s">
        <v>1111</v>
      </c>
      <c r="F265" s="131">
        <v>355</v>
      </c>
      <c r="G265" s="131">
        <v>204</v>
      </c>
      <c r="H265" s="132">
        <v>0.57464788732394367</v>
      </c>
    </row>
    <row r="266" spans="1:8" x14ac:dyDescent="0.25">
      <c r="A266" s="131" t="s">
        <v>729</v>
      </c>
      <c r="B266" s="131" t="s">
        <v>423</v>
      </c>
      <c r="C266" s="131" t="s">
        <v>265</v>
      </c>
      <c r="D266" s="131" t="s">
        <v>1112</v>
      </c>
      <c r="E266" s="131" t="s">
        <v>1113</v>
      </c>
      <c r="F266" s="131">
        <v>202</v>
      </c>
      <c r="G266" s="131">
        <v>106</v>
      </c>
      <c r="H266" s="132">
        <v>0.52475247524752477</v>
      </c>
    </row>
    <row r="267" spans="1:8" x14ac:dyDescent="0.25">
      <c r="A267" s="131" t="s">
        <v>732</v>
      </c>
      <c r="B267" s="131" t="s">
        <v>424</v>
      </c>
      <c r="C267" s="131" t="s">
        <v>264</v>
      </c>
      <c r="D267" s="131" t="s">
        <v>821</v>
      </c>
      <c r="E267" s="131" t="s">
        <v>1114</v>
      </c>
      <c r="F267" s="131">
        <v>258</v>
      </c>
      <c r="G267" s="131">
        <v>58</v>
      </c>
      <c r="H267" s="132">
        <v>0.22480620155038761</v>
      </c>
    </row>
    <row r="268" spans="1:8" x14ac:dyDescent="0.25">
      <c r="A268" s="131" t="s">
        <v>732</v>
      </c>
      <c r="B268" s="131" t="s">
        <v>424</v>
      </c>
      <c r="C268" s="131" t="s">
        <v>264</v>
      </c>
      <c r="D268" s="131" t="s">
        <v>805</v>
      </c>
      <c r="E268" s="131" t="s">
        <v>1115</v>
      </c>
      <c r="F268" s="131">
        <v>220</v>
      </c>
      <c r="G268" s="131">
        <v>68</v>
      </c>
      <c r="H268" s="132">
        <v>0.30909090909090908</v>
      </c>
    </row>
    <row r="269" spans="1:8" x14ac:dyDescent="0.25">
      <c r="A269" s="131" t="s">
        <v>732</v>
      </c>
      <c r="B269" s="131" t="s">
        <v>424</v>
      </c>
      <c r="C269" s="131" t="s">
        <v>264</v>
      </c>
      <c r="D269" s="131" t="s">
        <v>838</v>
      </c>
      <c r="E269" s="131" t="s">
        <v>1116</v>
      </c>
      <c r="F269" s="131">
        <v>200</v>
      </c>
      <c r="G269" s="131">
        <v>50</v>
      </c>
      <c r="H269" s="132">
        <v>0.25</v>
      </c>
    </row>
    <row r="270" spans="1:8" x14ac:dyDescent="0.25">
      <c r="A270" s="131" t="s">
        <v>734</v>
      </c>
      <c r="B270" s="131" t="s">
        <v>425</v>
      </c>
      <c r="C270" s="131" t="s">
        <v>263</v>
      </c>
      <c r="D270" s="131" t="s">
        <v>805</v>
      </c>
      <c r="E270" s="131" t="s">
        <v>1117</v>
      </c>
      <c r="F270" s="131">
        <v>111</v>
      </c>
      <c r="G270" s="131">
        <v>46</v>
      </c>
      <c r="H270" s="132">
        <v>0.4144144144144144</v>
      </c>
    </row>
    <row r="271" spans="1:8" x14ac:dyDescent="0.25">
      <c r="A271" s="131" t="s">
        <v>727</v>
      </c>
      <c r="B271" s="131" t="s">
        <v>426</v>
      </c>
      <c r="C271" s="131" t="s">
        <v>262</v>
      </c>
      <c r="D271" s="131" t="s">
        <v>821</v>
      </c>
      <c r="E271" s="131" t="s">
        <v>1118</v>
      </c>
      <c r="F271" s="131">
        <v>185</v>
      </c>
      <c r="G271" s="131">
        <v>147</v>
      </c>
      <c r="H271" s="132">
        <v>0.79459459459459458</v>
      </c>
    </row>
    <row r="272" spans="1:8" x14ac:dyDescent="0.25">
      <c r="A272" s="131" t="s">
        <v>727</v>
      </c>
      <c r="B272" s="131" t="s">
        <v>426</v>
      </c>
      <c r="C272" s="131" t="s">
        <v>262</v>
      </c>
      <c r="D272" s="131" t="s">
        <v>805</v>
      </c>
      <c r="E272" s="131" t="s">
        <v>1119</v>
      </c>
      <c r="F272" s="131">
        <v>312</v>
      </c>
      <c r="G272" s="131">
        <v>235</v>
      </c>
      <c r="H272" s="132">
        <v>0.75320512820512819</v>
      </c>
    </row>
    <row r="273" spans="1:8" x14ac:dyDescent="0.25">
      <c r="A273" s="131" t="s">
        <v>727</v>
      </c>
      <c r="B273" s="131" t="s">
        <v>426</v>
      </c>
      <c r="C273" s="131" t="s">
        <v>262</v>
      </c>
      <c r="D273" s="131" t="s">
        <v>813</v>
      </c>
      <c r="E273" s="131" t="s">
        <v>1120</v>
      </c>
      <c r="F273" s="131">
        <v>456</v>
      </c>
      <c r="G273" s="131">
        <v>336</v>
      </c>
      <c r="H273" s="132">
        <v>0.73684210526315785</v>
      </c>
    </row>
    <row r="274" spans="1:8" x14ac:dyDescent="0.25">
      <c r="A274" s="131" t="s">
        <v>725</v>
      </c>
      <c r="B274" s="131" t="s">
        <v>427</v>
      </c>
      <c r="C274" s="131" t="s">
        <v>261</v>
      </c>
      <c r="D274" s="131" t="s">
        <v>821</v>
      </c>
      <c r="E274" s="131" t="s">
        <v>1121</v>
      </c>
      <c r="F274" s="131">
        <v>64</v>
      </c>
      <c r="G274" s="131">
        <v>8</v>
      </c>
      <c r="H274" s="132">
        <v>0.125</v>
      </c>
    </row>
    <row r="275" spans="1:8" x14ac:dyDescent="0.25">
      <c r="A275" s="131" t="s">
        <v>725</v>
      </c>
      <c r="B275" s="131" t="s">
        <v>427</v>
      </c>
      <c r="C275" s="131" t="s">
        <v>261</v>
      </c>
      <c r="D275" s="131" t="s">
        <v>1122</v>
      </c>
      <c r="E275" s="131" t="s">
        <v>1123</v>
      </c>
      <c r="F275" s="131">
        <v>331</v>
      </c>
      <c r="G275" s="131">
        <v>46</v>
      </c>
      <c r="H275" s="132">
        <v>0.13897280966767372</v>
      </c>
    </row>
    <row r="276" spans="1:8" x14ac:dyDescent="0.25">
      <c r="A276" s="131" t="s">
        <v>723</v>
      </c>
      <c r="B276" s="131" t="s">
        <v>428</v>
      </c>
      <c r="C276" s="131" t="s">
        <v>260</v>
      </c>
      <c r="D276" s="131" t="s">
        <v>1088</v>
      </c>
      <c r="E276" s="131" t="s">
        <v>1124</v>
      </c>
      <c r="F276" s="131">
        <v>224</v>
      </c>
      <c r="G276" s="131">
        <v>180</v>
      </c>
      <c r="H276" s="132">
        <v>0.8035714285714286</v>
      </c>
    </row>
    <row r="277" spans="1:8" x14ac:dyDescent="0.25">
      <c r="A277" s="131" t="s">
        <v>723</v>
      </c>
      <c r="B277" s="131" t="s">
        <v>428</v>
      </c>
      <c r="C277" s="131" t="s">
        <v>260</v>
      </c>
      <c r="D277" s="131" t="s">
        <v>821</v>
      </c>
      <c r="E277" s="131" t="s">
        <v>1125</v>
      </c>
      <c r="F277" s="131">
        <v>196</v>
      </c>
      <c r="G277" s="131">
        <v>153</v>
      </c>
      <c r="H277" s="132">
        <v>0.78061224489795922</v>
      </c>
    </row>
    <row r="278" spans="1:8" x14ac:dyDescent="0.25">
      <c r="A278" s="131" t="s">
        <v>723</v>
      </c>
      <c r="B278" s="131" t="s">
        <v>428</v>
      </c>
      <c r="C278" s="131" t="s">
        <v>260</v>
      </c>
      <c r="D278" s="131" t="s">
        <v>959</v>
      </c>
      <c r="E278" s="131" t="s">
        <v>1126</v>
      </c>
      <c r="F278" s="131">
        <v>184</v>
      </c>
      <c r="G278" s="131">
        <v>139</v>
      </c>
      <c r="H278" s="132">
        <v>0.75543478260869568</v>
      </c>
    </row>
    <row r="279" spans="1:8" x14ac:dyDescent="0.25">
      <c r="A279" s="131" t="s">
        <v>723</v>
      </c>
      <c r="B279" s="131" t="s">
        <v>428</v>
      </c>
      <c r="C279" s="131" t="s">
        <v>260</v>
      </c>
      <c r="D279" s="131" t="s">
        <v>930</v>
      </c>
      <c r="E279" s="131" t="s">
        <v>957</v>
      </c>
      <c r="F279" s="131">
        <v>285</v>
      </c>
      <c r="G279" s="131">
        <v>263</v>
      </c>
      <c r="H279" s="132">
        <v>0.92280701754385963</v>
      </c>
    </row>
    <row r="280" spans="1:8" x14ac:dyDescent="0.25">
      <c r="A280" s="131" t="s">
        <v>723</v>
      </c>
      <c r="B280" s="131" t="s">
        <v>428</v>
      </c>
      <c r="C280" s="131" t="s">
        <v>260</v>
      </c>
      <c r="D280" s="131" t="s">
        <v>1067</v>
      </c>
      <c r="E280" s="131" t="s">
        <v>1127</v>
      </c>
      <c r="F280" s="131">
        <v>195</v>
      </c>
      <c r="G280" s="131">
        <v>181</v>
      </c>
      <c r="H280" s="132">
        <v>0.92820512820512824</v>
      </c>
    </row>
    <row r="281" spans="1:8" x14ac:dyDescent="0.25">
      <c r="A281" s="131" t="s">
        <v>723</v>
      </c>
      <c r="B281" s="131" t="s">
        <v>428</v>
      </c>
      <c r="C281" s="131" t="s">
        <v>260</v>
      </c>
      <c r="D281" s="131" t="s">
        <v>1128</v>
      </c>
      <c r="E281" s="131" t="s">
        <v>1129</v>
      </c>
      <c r="F281" s="131">
        <v>223</v>
      </c>
      <c r="G281" s="131">
        <v>187</v>
      </c>
      <c r="H281" s="132">
        <v>0.83856502242152464</v>
      </c>
    </row>
    <row r="282" spans="1:8" x14ac:dyDescent="0.25">
      <c r="A282" s="131" t="s">
        <v>723</v>
      </c>
      <c r="B282" s="131" t="s">
        <v>428</v>
      </c>
      <c r="C282" s="131" t="s">
        <v>260</v>
      </c>
      <c r="D282" s="131" t="s">
        <v>1130</v>
      </c>
      <c r="E282" s="131" t="s">
        <v>1131</v>
      </c>
      <c r="F282" s="131">
        <v>245</v>
      </c>
      <c r="G282" s="131">
        <v>207</v>
      </c>
      <c r="H282" s="132">
        <v>0.8448979591836735</v>
      </c>
    </row>
    <row r="283" spans="1:8" x14ac:dyDescent="0.25">
      <c r="A283" s="131" t="s">
        <v>723</v>
      </c>
      <c r="B283" s="131" t="s">
        <v>428</v>
      </c>
      <c r="C283" s="131" t="s">
        <v>260</v>
      </c>
      <c r="D283" s="131" t="s">
        <v>1132</v>
      </c>
      <c r="E283" s="131" t="s">
        <v>1133</v>
      </c>
      <c r="F283" s="131">
        <v>268</v>
      </c>
      <c r="G283" s="131">
        <v>230</v>
      </c>
      <c r="H283" s="132">
        <v>0.85820895522388063</v>
      </c>
    </row>
    <row r="284" spans="1:8" x14ac:dyDescent="0.25">
      <c r="A284" s="131" t="s">
        <v>723</v>
      </c>
      <c r="B284" s="131" t="s">
        <v>428</v>
      </c>
      <c r="C284" s="131" t="s">
        <v>260</v>
      </c>
      <c r="D284" s="131" t="s">
        <v>1134</v>
      </c>
      <c r="E284" s="131" t="s">
        <v>1135</v>
      </c>
      <c r="F284" s="131">
        <v>263</v>
      </c>
      <c r="G284" s="131">
        <v>119</v>
      </c>
      <c r="H284" s="132">
        <v>0.45247148288973382</v>
      </c>
    </row>
    <row r="285" spans="1:8" x14ac:dyDescent="0.25">
      <c r="A285" s="131" t="s">
        <v>723</v>
      </c>
      <c r="B285" s="131" t="s">
        <v>428</v>
      </c>
      <c r="C285" s="131" t="s">
        <v>260</v>
      </c>
      <c r="D285" s="131" t="s">
        <v>1136</v>
      </c>
      <c r="E285" s="131" t="s">
        <v>1137</v>
      </c>
      <c r="F285" s="131">
        <v>274</v>
      </c>
      <c r="G285" s="131">
        <v>240</v>
      </c>
      <c r="H285" s="132">
        <v>0.87591240875912413</v>
      </c>
    </row>
    <row r="286" spans="1:8" x14ac:dyDescent="0.25">
      <c r="A286" s="131" t="s">
        <v>723</v>
      </c>
      <c r="B286" s="131" t="s">
        <v>428</v>
      </c>
      <c r="C286" s="131" t="s">
        <v>260</v>
      </c>
      <c r="D286" s="131" t="s">
        <v>819</v>
      </c>
      <c r="E286" s="131" t="s">
        <v>1138</v>
      </c>
      <c r="F286" s="131">
        <v>407</v>
      </c>
      <c r="G286" s="131">
        <v>392</v>
      </c>
      <c r="H286" s="132">
        <v>0.96314496314496312</v>
      </c>
    </row>
    <row r="287" spans="1:8" x14ac:dyDescent="0.25">
      <c r="A287" s="131" t="s">
        <v>723</v>
      </c>
      <c r="B287" s="131" t="s">
        <v>428</v>
      </c>
      <c r="C287" s="131" t="s">
        <v>260</v>
      </c>
      <c r="D287" s="131" t="s">
        <v>1139</v>
      </c>
      <c r="E287" s="131" t="s">
        <v>1140</v>
      </c>
      <c r="F287" s="131">
        <v>387</v>
      </c>
      <c r="G287" s="131">
        <v>366</v>
      </c>
      <c r="H287" s="132">
        <v>0.94573643410852715</v>
      </c>
    </row>
    <row r="288" spans="1:8" x14ac:dyDescent="0.25">
      <c r="A288" s="131" t="s">
        <v>723</v>
      </c>
      <c r="B288" s="131" t="s">
        <v>428</v>
      </c>
      <c r="C288" s="131" t="s">
        <v>260</v>
      </c>
      <c r="D288" s="131" t="s">
        <v>859</v>
      </c>
      <c r="E288" s="131" t="s">
        <v>1141</v>
      </c>
      <c r="F288" s="131">
        <v>324</v>
      </c>
      <c r="G288" s="131">
        <v>291</v>
      </c>
      <c r="H288" s="132">
        <v>0.89814814814814814</v>
      </c>
    </row>
    <row r="289" spans="1:8" x14ac:dyDescent="0.25">
      <c r="A289" s="131" t="s">
        <v>723</v>
      </c>
      <c r="B289" s="131" t="s">
        <v>428</v>
      </c>
      <c r="C289" s="131" t="s">
        <v>260</v>
      </c>
      <c r="D289" s="131" t="s">
        <v>952</v>
      </c>
      <c r="E289" s="131" t="s">
        <v>1142</v>
      </c>
      <c r="F289" s="131">
        <v>226</v>
      </c>
      <c r="G289" s="131">
        <v>56</v>
      </c>
      <c r="H289" s="132">
        <v>0.24778761061946902</v>
      </c>
    </row>
    <row r="290" spans="1:8" x14ac:dyDescent="0.25">
      <c r="A290" s="131" t="s">
        <v>723</v>
      </c>
      <c r="B290" s="131" t="s">
        <v>428</v>
      </c>
      <c r="C290" s="131" t="s">
        <v>260</v>
      </c>
      <c r="D290" s="131" t="s">
        <v>927</v>
      </c>
      <c r="E290" s="131" t="s">
        <v>1143</v>
      </c>
      <c r="F290" s="131">
        <v>265</v>
      </c>
      <c r="G290" s="131">
        <v>261</v>
      </c>
      <c r="H290" s="132">
        <v>0.98490566037735849</v>
      </c>
    </row>
    <row r="291" spans="1:8" x14ac:dyDescent="0.25">
      <c r="A291" s="131" t="s">
        <v>723</v>
      </c>
      <c r="B291" s="131" t="s">
        <v>428</v>
      </c>
      <c r="C291" s="131" t="s">
        <v>260</v>
      </c>
      <c r="D291" s="131" t="s">
        <v>1144</v>
      </c>
      <c r="E291" s="131" t="s">
        <v>1145</v>
      </c>
      <c r="F291" s="131">
        <v>274</v>
      </c>
      <c r="G291" s="131">
        <v>246</v>
      </c>
      <c r="H291" s="132">
        <v>0.8978102189781022</v>
      </c>
    </row>
    <row r="292" spans="1:8" x14ac:dyDescent="0.25">
      <c r="A292" s="131" t="s">
        <v>723</v>
      </c>
      <c r="B292" s="131" t="s">
        <v>428</v>
      </c>
      <c r="C292" s="131" t="s">
        <v>260</v>
      </c>
      <c r="D292" s="131" t="s">
        <v>978</v>
      </c>
      <c r="E292" s="131" t="s">
        <v>1146</v>
      </c>
      <c r="F292" s="131">
        <v>421</v>
      </c>
      <c r="G292" s="131">
        <v>372</v>
      </c>
      <c r="H292" s="132">
        <v>0.88361045130641325</v>
      </c>
    </row>
    <row r="293" spans="1:8" x14ac:dyDescent="0.25">
      <c r="A293" s="131" t="s">
        <v>723</v>
      </c>
      <c r="B293" s="131" t="s">
        <v>428</v>
      </c>
      <c r="C293" s="131" t="s">
        <v>260</v>
      </c>
      <c r="D293" s="131" t="s">
        <v>1077</v>
      </c>
      <c r="E293" s="131" t="s">
        <v>1147</v>
      </c>
      <c r="F293" s="131">
        <v>203</v>
      </c>
      <c r="G293" s="131">
        <v>111</v>
      </c>
      <c r="H293" s="132">
        <v>0.54679802955665024</v>
      </c>
    </row>
    <row r="294" spans="1:8" x14ac:dyDescent="0.25">
      <c r="A294" s="131" t="s">
        <v>723</v>
      </c>
      <c r="B294" s="131" t="s">
        <v>428</v>
      </c>
      <c r="C294" s="131" t="s">
        <v>260</v>
      </c>
      <c r="D294" s="131" t="s">
        <v>1148</v>
      </c>
      <c r="E294" s="131" t="s">
        <v>1149</v>
      </c>
      <c r="F294" s="131">
        <v>281</v>
      </c>
      <c r="G294" s="131">
        <v>141</v>
      </c>
      <c r="H294" s="132">
        <v>0.50177935943060503</v>
      </c>
    </row>
    <row r="295" spans="1:8" x14ac:dyDescent="0.25">
      <c r="A295" s="131" t="s">
        <v>723</v>
      </c>
      <c r="B295" s="131" t="s">
        <v>428</v>
      </c>
      <c r="C295" s="131" t="s">
        <v>260</v>
      </c>
      <c r="D295" s="131" t="s">
        <v>1150</v>
      </c>
      <c r="E295" s="131" t="s">
        <v>1151</v>
      </c>
      <c r="F295" s="131">
        <v>265</v>
      </c>
      <c r="G295" s="131">
        <v>200</v>
      </c>
      <c r="H295" s="132">
        <v>0.75471698113207553</v>
      </c>
    </row>
    <row r="296" spans="1:8" x14ac:dyDescent="0.25">
      <c r="A296" s="131" t="s">
        <v>723</v>
      </c>
      <c r="B296" s="131" t="s">
        <v>428</v>
      </c>
      <c r="C296" s="131" t="s">
        <v>260</v>
      </c>
      <c r="D296" s="131" t="s">
        <v>988</v>
      </c>
      <c r="E296" s="131" t="s">
        <v>1152</v>
      </c>
      <c r="F296" s="131">
        <v>228</v>
      </c>
      <c r="G296" s="131">
        <v>196</v>
      </c>
      <c r="H296" s="132">
        <v>0.85964912280701755</v>
      </c>
    </row>
    <row r="297" spans="1:8" x14ac:dyDescent="0.25">
      <c r="A297" s="131" t="s">
        <v>723</v>
      </c>
      <c r="B297" s="131" t="s">
        <v>428</v>
      </c>
      <c r="C297" s="131" t="s">
        <v>260</v>
      </c>
      <c r="D297" s="131" t="s">
        <v>1153</v>
      </c>
      <c r="E297" s="131" t="s">
        <v>1154</v>
      </c>
      <c r="F297" s="131">
        <v>373</v>
      </c>
      <c r="G297" s="131">
        <v>181</v>
      </c>
      <c r="H297" s="132">
        <v>0.48525469168900803</v>
      </c>
    </row>
    <row r="298" spans="1:8" x14ac:dyDescent="0.25">
      <c r="A298" s="131" t="s">
        <v>723</v>
      </c>
      <c r="B298" s="131" t="s">
        <v>428</v>
      </c>
      <c r="C298" s="131" t="s">
        <v>260</v>
      </c>
      <c r="D298" s="131" t="s">
        <v>1155</v>
      </c>
      <c r="E298" s="131" t="s">
        <v>997</v>
      </c>
      <c r="F298" s="131">
        <v>343</v>
      </c>
      <c r="G298" s="131">
        <v>267</v>
      </c>
      <c r="H298" s="132">
        <v>0.77842565597667635</v>
      </c>
    </row>
    <row r="299" spans="1:8" x14ac:dyDescent="0.25">
      <c r="A299" s="131" t="s">
        <v>723</v>
      </c>
      <c r="B299" s="131" t="s">
        <v>428</v>
      </c>
      <c r="C299" s="131" t="s">
        <v>260</v>
      </c>
      <c r="D299" s="131" t="s">
        <v>994</v>
      </c>
      <c r="E299" s="131" t="s">
        <v>1042</v>
      </c>
      <c r="F299" s="131">
        <v>329</v>
      </c>
      <c r="G299" s="131">
        <v>159</v>
      </c>
      <c r="H299" s="132">
        <v>0.48328267477203646</v>
      </c>
    </row>
    <row r="300" spans="1:8" x14ac:dyDescent="0.25">
      <c r="A300" s="131" t="s">
        <v>723</v>
      </c>
      <c r="B300" s="131" t="s">
        <v>428</v>
      </c>
      <c r="C300" s="131" t="s">
        <v>260</v>
      </c>
      <c r="D300" s="131" t="s">
        <v>1156</v>
      </c>
      <c r="E300" s="131" t="s">
        <v>1157</v>
      </c>
      <c r="F300" s="131">
        <v>244</v>
      </c>
      <c r="G300" s="131">
        <v>239</v>
      </c>
      <c r="H300" s="132">
        <v>0.97950819672131151</v>
      </c>
    </row>
    <row r="301" spans="1:8" x14ac:dyDescent="0.25">
      <c r="A301" s="131" t="s">
        <v>723</v>
      </c>
      <c r="B301" s="131" t="s">
        <v>428</v>
      </c>
      <c r="C301" s="131" t="s">
        <v>260</v>
      </c>
      <c r="D301" s="131" t="s">
        <v>1158</v>
      </c>
      <c r="E301" s="131" t="s">
        <v>1159</v>
      </c>
      <c r="F301" s="131">
        <v>324</v>
      </c>
      <c r="G301" s="131">
        <v>289</v>
      </c>
      <c r="H301" s="132">
        <v>0.89197530864197527</v>
      </c>
    </row>
    <row r="302" spans="1:8" x14ac:dyDescent="0.25">
      <c r="A302" s="131" t="s">
        <v>723</v>
      </c>
      <c r="B302" s="131" t="s">
        <v>428</v>
      </c>
      <c r="C302" s="131" t="s">
        <v>260</v>
      </c>
      <c r="D302" s="131" t="s">
        <v>1160</v>
      </c>
      <c r="E302" s="131" t="s">
        <v>981</v>
      </c>
      <c r="F302" s="131">
        <v>227</v>
      </c>
      <c r="G302" s="131">
        <v>207</v>
      </c>
      <c r="H302" s="132">
        <v>0.91189427312775329</v>
      </c>
    </row>
    <row r="303" spans="1:8" x14ac:dyDescent="0.25">
      <c r="A303" s="131" t="s">
        <v>723</v>
      </c>
      <c r="B303" s="131" t="s">
        <v>428</v>
      </c>
      <c r="C303" s="131" t="s">
        <v>260</v>
      </c>
      <c r="D303" s="131" t="s">
        <v>1161</v>
      </c>
      <c r="E303" s="131" t="s">
        <v>1104</v>
      </c>
      <c r="F303" s="131">
        <v>219</v>
      </c>
      <c r="G303" s="131">
        <v>207</v>
      </c>
      <c r="H303" s="132">
        <v>0.9452054794520548</v>
      </c>
    </row>
    <row r="304" spans="1:8" x14ac:dyDescent="0.25">
      <c r="A304" s="131" t="s">
        <v>723</v>
      </c>
      <c r="B304" s="131" t="s">
        <v>428</v>
      </c>
      <c r="C304" s="131" t="s">
        <v>260</v>
      </c>
      <c r="D304" s="131" t="s">
        <v>1162</v>
      </c>
      <c r="E304" s="131" t="s">
        <v>1106</v>
      </c>
      <c r="F304" s="131">
        <v>380</v>
      </c>
      <c r="G304" s="131">
        <v>363</v>
      </c>
      <c r="H304" s="132">
        <v>0.95526315789473681</v>
      </c>
    </row>
    <row r="305" spans="1:8" x14ac:dyDescent="0.25">
      <c r="A305" s="131" t="s">
        <v>723</v>
      </c>
      <c r="B305" s="131" t="s">
        <v>428</v>
      </c>
      <c r="C305" s="131" t="s">
        <v>260</v>
      </c>
      <c r="D305" s="131" t="s">
        <v>1163</v>
      </c>
      <c r="E305" s="131" t="s">
        <v>1164</v>
      </c>
      <c r="F305" s="131">
        <v>272</v>
      </c>
      <c r="G305" s="131">
        <v>183</v>
      </c>
      <c r="H305" s="132">
        <v>0.67279411764705888</v>
      </c>
    </row>
    <row r="306" spans="1:8" x14ac:dyDescent="0.25">
      <c r="A306" s="131" t="s">
        <v>723</v>
      </c>
      <c r="B306" s="131" t="s">
        <v>428</v>
      </c>
      <c r="C306" s="131" t="s">
        <v>260</v>
      </c>
      <c r="D306" s="131" t="s">
        <v>1165</v>
      </c>
      <c r="E306" s="131" t="s">
        <v>1166</v>
      </c>
      <c r="F306" s="131">
        <v>426</v>
      </c>
      <c r="G306" s="131">
        <v>411</v>
      </c>
      <c r="H306" s="132">
        <v>0.96478873239436624</v>
      </c>
    </row>
    <row r="307" spans="1:8" x14ac:dyDescent="0.25">
      <c r="A307" s="131" t="s">
        <v>723</v>
      </c>
      <c r="B307" s="131" t="s">
        <v>428</v>
      </c>
      <c r="C307" s="131" t="s">
        <v>260</v>
      </c>
      <c r="D307" s="131" t="s">
        <v>1167</v>
      </c>
      <c r="E307" s="131" t="s">
        <v>1168</v>
      </c>
      <c r="F307" s="131">
        <v>549</v>
      </c>
      <c r="G307" s="131">
        <v>460</v>
      </c>
      <c r="H307" s="132">
        <v>0.83788706739526408</v>
      </c>
    </row>
    <row r="308" spans="1:8" x14ac:dyDescent="0.25">
      <c r="A308" s="131" t="s">
        <v>723</v>
      </c>
      <c r="B308" s="131" t="s">
        <v>428</v>
      </c>
      <c r="C308" s="131" t="s">
        <v>260</v>
      </c>
      <c r="D308" s="131" t="s">
        <v>1169</v>
      </c>
      <c r="E308" s="131" t="s">
        <v>1170</v>
      </c>
      <c r="F308" s="131">
        <v>286</v>
      </c>
      <c r="G308" s="131">
        <v>249</v>
      </c>
      <c r="H308" s="132">
        <v>0.87062937062937062</v>
      </c>
    </row>
    <row r="309" spans="1:8" x14ac:dyDescent="0.25">
      <c r="A309" s="131" t="s">
        <v>723</v>
      </c>
      <c r="B309" s="131" t="s">
        <v>428</v>
      </c>
      <c r="C309" s="131" t="s">
        <v>260</v>
      </c>
      <c r="D309" s="131" t="s">
        <v>1171</v>
      </c>
      <c r="E309" s="131" t="s">
        <v>1172</v>
      </c>
      <c r="F309" s="131">
        <v>344</v>
      </c>
      <c r="G309" s="131">
        <v>287</v>
      </c>
      <c r="H309" s="132">
        <v>0.83430232558139539</v>
      </c>
    </row>
    <row r="310" spans="1:8" x14ac:dyDescent="0.25">
      <c r="A310" s="131" t="s">
        <v>723</v>
      </c>
      <c r="B310" s="131" t="s">
        <v>428</v>
      </c>
      <c r="C310" s="131" t="s">
        <v>260</v>
      </c>
      <c r="D310" s="131" t="s">
        <v>1173</v>
      </c>
      <c r="E310" s="131" t="s">
        <v>1174</v>
      </c>
      <c r="F310" s="131">
        <v>369</v>
      </c>
      <c r="G310" s="131">
        <v>234</v>
      </c>
      <c r="H310" s="132">
        <v>0.63414634146341464</v>
      </c>
    </row>
    <row r="311" spans="1:8" x14ac:dyDescent="0.25">
      <c r="A311" s="131" t="s">
        <v>723</v>
      </c>
      <c r="B311" s="131" t="s">
        <v>428</v>
      </c>
      <c r="C311" s="131" t="s">
        <v>260</v>
      </c>
      <c r="D311" s="131" t="s">
        <v>1175</v>
      </c>
      <c r="E311" s="131" t="s">
        <v>1176</v>
      </c>
      <c r="F311" s="131">
        <v>272</v>
      </c>
      <c r="G311" s="131">
        <v>210</v>
      </c>
      <c r="H311" s="132">
        <v>0.7720588235294118</v>
      </c>
    </row>
    <row r="312" spans="1:8" x14ac:dyDescent="0.25">
      <c r="A312" s="131" t="s">
        <v>723</v>
      </c>
      <c r="B312" s="131" t="s">
        <v>428</v>
      </c>
      <c r="C312" s="131" t="s">
        <v>260</v>
      </c>
      <c r="D312" s="131" t="s">
        <v>1177</v>
      </c>
      <c r="E312" s="131" t="s">
        <v>1178</v>
      </c>
      <c r="F312" s="131">
        <v>196</v>
      </c>
      <c r="G312" s="131">
        <v>124</v>
      </c>
      <c r="H312" s="132">
        <v>0.63265306122448983</v>
      </c>
    </row>
    <row r="313" spans="1:8" x14ac:dyDescent="0.25">
      <c r="A313" s="131" t="s">
        <v>723</v>
      </c>
      <c r="B313" s="131" t="s">
        <v>428</v>
      </c>
      <c r="C313" s="131" t="s">
        <v>260</v>
      </c>
      <c r="D313" s="131" t="s">
        <v>1179</v>
      </c>
      <c r="E313" s="131" t="s">
        <v>1180</v>
      </c>
      <c r="F313" s="131">
        <v>437</v>
      </c>
      <c r="G313" s="131">
        <v>391</v>
      </c>
      <c r="H313" s="132">
        <v>0.89473684210526316</v>
      </c>
    </row>
    <row r="314" spans="1:8" x14ac:dyDescent="0.25">
      <c r="A314" s="131" t="s">
        <v>723</v>
      </c>
      <c r="B314" s="131" t="s">
        <v>428</v>
      </c>
      <c r="C314" s="131" t="s">
        <v>260</v>
      </c>
      <c r="D314" s="131" t="s">
        <v>378</v>
      </c>
      <c r="E314" s="131" t="s">
        <v>1181</v>
      </c>
      <c r="F314" s="131">
        <v>372</v>
      </c>
      <c r="G314" s="131">
        <v>314</v>
      </c>
      <c r="H314" s="132">
        <v>0.84408602150537637</v>
      </c>
    </row>
    <row r="315" spans="1:8" x14ac:dyDescent="0.25">
      <c r="A315" s="131" t="s">
        <v>723</v>
      </c>
      <c r="B315" s="131" t="s">
        <v>428</v>
      </c>
      <c r="C315" s="131" t="s">
        <v>260</v>
      </c>
      <c r="D315" s="131" t="s">
        <v>1182</v>
      </c>
      <c r="E315" s="131" t="s">
        <v>1183</v>
      </c>
      <c r="F315" s="131">
        <v>414</v>
      </c>
      <c r="G315" s="131">
        <v>373</v>
      </c>
      <c r="H315" s="132">
        <v>0.90096618357487923</v>
      </c>
    </row>
    <row r="316" spans="1:8" x14ac:dyDescent="0.25">
      <c r="A316" s="131" t="s">
        <v>723</v>
      </c>
      <c r="B316" s="131" t="s">
        <v>428</v>
      </c>
      <c r="C316" s="131" t="s">
        <v>260</v>
      </c>
      <c r="D316" s="131" t="s">
        <v>1184</v>
      </c>
      <c r="E316" s="131" t="s">
        <v>1185</v>
      </c>
      <c r="F316" s="131">
        <v>298</v>
      </c>
      <c r="G316" s="131">
        <v>266</v>
      </c>
      <c r="H316" s="132">
        <v>0.89261744966442957</v>
      </c>
    </row>
    <row r="317" spans="1:8" x14ac:dyDescent="0.25">
      <c r="A317" s="131" t="s">
        <v>723</v>
      </c>
      <c r="B317" s="131" t="s">
        <v>428</v>
      </c>
      <c r="C317" s="131" t="s">
        <v>260</v>
      </c>
      <c r="D317" s="131" t="s">
        <v>1186</v>
      </c>
      <c r="E317" s="131" t="s">
        <v>1187</v>
      </c>
      <c r="F317" s="131">
        <v>460</v>
      </c>
      <c r="G317" s="131">
        <v>386</v>
      </c>
      <c r="H317" s="132">
        <v>0.83913043478260874</v>
      </c>
    </row>
    <row r="318" spans="1:8" x14ac:dyDescent="0.25">
      <c r="A318" s="131" t="s">
        <v>723</v>
      </c>
      <c r="B318" s="131" t="s">
        <v>428</v>
      </c>
      <c r="C318" s="131" t="s">
        <v>260</v>
      </c>
      <c r="D318" s="131" t="s">
        <v>1188</v>
      </c>
      <c r="E318" s="131" t="s">
        <v>1189</v>
      </c>
      <c r="F318" s="131">
        <v>438</v>
      </c>
      <c r="G318" s="131">
        <v>384</v>
      </c>
      <c r="H318" s="132">
        <v>0.87671232876712324</v>
      </c>
    </row>
    <row r="319" spans="1:8" x14ac:dyDescent="0.25">
      <c r="A319" s="131" t="s">
        <v>723</v>
      </c>
      <c r="B319" s="131" t="s">
        <v>428</v>
      </c>
      <c r="C319" s="131" t="s">
        <v>260</v>
      </c>
      <c r="D319" s="131" t="s">
        <v>1190</v>
      </c>
      <c r="E319" s="131" t="s">
        <v>1191</v>
      </c>
      <c r="F319" s="131">
        <v>266</v>
      </c>
      <c r="G319" s="131">
        <v>243</v>
      </c>
      <c r="H319" s="132">
        <v>0.9135338345864662</v>
      </c>
    </row>
    <row r="320" spans="1:8" x14ac:dyDescent="0.25">
      <c r="A320" s="131" t="s">
        <v>723</v>
      </c>
      <c r="B320" s="131" t="s">
        <v>428</v>
      </c>
      <c r="C320" s="131" t="s">
        <v>260</v>
      </c>
      <c r="D320" s="131" t="s">
        <v>1192</v>
      </c>
      <c r="E320" s="131" t="s">
        <v>1193</v>
      </c>
      <c r="F320" s="131">
        <v>259</v>
      </c>
      <c r="G320" s="131">
        <v>164</v>
      </c>
      <c r="H320" s="132">
        <v>0.63320463320463316</v>
      </c>
    </row>
    <row r="321" spans="1:8" x14ac:dyDescent="0.25">
      <c r="A321" s="131" t="s">
        <v>723</v>
      </c>
      <c r="B321" s="131" t="s">
        <v>428</v>
      </c>
      <c r="C321" s="131" t="s">
        <v>260</v>
      </c>
      <c r="D321" s="131" t="s">
        <v>1194</v>
      </c>
      <c r="E321" s="131" t="s">
        <v>995</v>
      </c>
      <c r="F321" s="131">
        <v>243</v>
      </c>
      <c r="G321" s="131">
        <v>184</v>
      </c>
      <c r="H321" s="132">
        <v>0.75720164609053497</v>
      </c>
    </row>
    <row r="322" spans="1:8" x14ac:dyDescent="0.25">
      <c r="A322" s="131" t="s">
        <v>723</v>
      </c>
      <c r="B322" s="131" t="s">
        <v>428</v>
      </c>
      <c r="C322" s="131" t="s">
        <v>260</v>
      </c>
      <c r="D322" s="131" t="s">
        <v>1195</v>
      </c>
      <c r="E322" s="131" t="s">
        <v>1196</v>
      </c>
      <c r="F322" s="131">
        <v>217</v>
      </c>
      <c r="G322" s="131">
        <v>49</v>
      </c>
      <c r="H322" s="132">
        <v>0.22580645161290322</v>
      </c>
    </row>
    <row r="323" spans="1:8" x14ac:dyDescent="0.25">
      <c r="A323" s="131" t="s">
        <v>723</v>
      </c>
      <c r="B323" s="131" t="s">
        <v>428</v>
      </c>
      <c r="C323" s="131" t="s">
        <v>260</v>
      </c>
      <c r="D323" s="131" t="s">
        <v>386</v>
      </c>
      <c r="E323" s="131" t="s">
        <v>1197</v>
      </c>
      <c r="F323" s="131">
        <v>11</v>
      </c>
      <c r="G323" s="131">
        <v>6</v>
      </c>
      <c r="H323" s="132">
        <v>0.54545454545454541</v>
      </c>
    </row>
    <row r="324" spans="1:8" x14ac:dyDescent="0.25">
      <c r="A324" s="131" t="s">
        <v>723</v>
      </c>
      <c r="B324" s="131" t="s">
        <v>428</v>
      </c>
      <c r="C324" s="131" t="s">
        <v>260</v>
      </c>
      <c r="D324" s="131" t="s">
        <v>1198</v>
      </c>
      <c r="E324" s="131" t="s">
        <v>1199</v>
      </c>
      <c r="F324" s="131">
        <v>212</v>
      </c>
      <c r="G324" s="131">
        <v>133</v>
      </c>
      <c r="H324" s="132">
        <v>0.62735849056603776</v>
      </c>
    </row>
    <row r="325" spans="1:8" x14ac:dyDescent="0.25">
      <c r="A325" s="131" t="s">
        <v>723</v>
      </c>
      <c r="B325" s="131" t="s">
        <v>428</v>
      </c>
      <c r="C325" s="131" t="s">
        <v>260</v>
      </c>
      <c r="D325" s="131" t="s">
        <v>1200</v>
      </c>
      <c r="E325" s="131" t="s">
        <v>1201</v>
      </c>
      <c r="F325" s="131">
        <v>32</v>
      </c>
      <c r="G325" s="131">
        <v>27</v>
      </c>
      <c r="H325" s="132">
        <v>0.84375</v>
      </c>
    </row>
    <row r="326" spans="1:8" x14ac:dyDescent="0.25">
      <c r="A326" s="131" t="s">
        <v>726</v>
      </c>
      <c r="B326" s="131" t="s">
        <v>429</v>
      </c>
      <c r="C326" s="131" t="s">
        <v>259</v>
      </c>
      <c r="D326" s="131" t="s">
        <v>803</v>
      </c>
      <c r="E326" s="131" t="s">
        <v>1202</v>
      </c>
      <c r="F326" s="131">
        <v>10</v>
      </c>
      <c r="G326" s="131">
        <v>5</v>
      </c>
      <c r="H326" s="132">
        <v>0.5</v>
      </c>
    </row>
    <row r="327" spans="1:8" x14ac:dyDescent="0.25">
      <c r="A327" s="131" t="s">
        <v>726</v>
      </c>
      <c r="B327" s="131" t="s">
        <v>429</v>
      </c>
      <c r="C327" s="131" t="s">
        <v>259</v>
      </c>
      <c r="D327" s="131" t="s">
        <v>805</v>
      </c>
      <c r="E327" s="131" t="s">
        <v>1203</v>
      </c>
      <c r="F327" s="131">
        <v>45</v>
      </c>
      <c r="G327" s="131">
        <v>33</v>
      </c>
      <c r="H327" s="132">
        <v>0.73333333333333328</v>
      </c>
    </row>
    <row r="328" spans="1:8" x14ac:dyDescent="0.25">
      <c r="A328" s="131" t="s">
        <v>725</v>
      </c>
      <c r="B328" s="131" t="s">
        <v>430</v>
      </c>
      <c r="C328" s="131" t="s">
        <v>258</v>
      </c>
      <c r="D328" s="131" t="s">
        <v>821</v>
      </c>
      <c r="E328" s="131" t="s">
        <v>1204</v>
      </c>
      <c r="F328" s="131">
        <v>64</v>
      </c>
      <c r="G328" s="131">
        <v>16</v>
      </c>
      <c r="H328" s="132">
        <v>0.25</v>
      </c>
    </row>
    <row r="329" spans="1:8" x14ac:dyDescent="0.25">
      <c r="A329" s="131" t="s">
        <v>725</v>
      </c>
      <c r="B329" s="131" t="s">
        <v>430</v>
      </c>
      <c r="C329" s="131" t="s">
        <v>258</v>
      </c>
      <c r="D329" s="131" t="s">
        <v>805</v>
      </c>
      <c r="E329" s="131" t="s">
        <v>1205</v>
      </c>
      <c r="F329" s="131">
        <v>220</v>
      </c>
      <c r="G329" s="131">
        <v>45</v>
      </c>
      <c r="H329" s="132">
        <v>0.20454545454545456</v>
      </c>
    </row>
    <row r="330" spans="1:8" x14ac:dyDescent="0.25">
      <c r="A330" s="131" t="s">
        <v>725</v>
      </c>
      <c r="B330" s="131" t="s">
        <v>430</v>
      </c>
      <c r="C330" s="131" t="s">
        <v>258</v>
      </c>
      <c r="D330" s="131" t="s">
        <v>813</v>
      </c>
      <c r="E330" s="131" t="s">
        <v>1206</v>
      </c>
      <c r="F330" s="131">
        <v>104</v>
      </c>
      <c r="G330" s="131">
        <v>24</v>
      </c>
      <c r="H330" s="132">
        <v>0.23076923076923078</v>
      </c>
    </row>
    <row r="331" spans="1:8" x14ac:dyDescent="0.25">
      <c r="A331" s="131" t="s">
        <v>732</v>
      </c>
      <c r="B331" s="131" t="s">
        <v>431</v>
      </c>
      <c r="C331" s="131" t="s">
        <v>257</v>
      </c>
      <c r="D331" s="131" t="s">
        <v>821</v>
      </c>
      <c r="E331" s="131" t="s">
        <v>1207</v>
      </c>
      <c r="F331" s="131">
        <v>193</v>
      </c>
      <c r="G331" s="131">
        <v>125</v>
      </c>
      <c r="H331" s="132">
        <v>0.64766839378238339</v>
      </c>
    </row>
    <row r="332" spans="1:8" x14ac:dyDescent="0.25">
      <c r="A332" s="131" t="s">
        <v>732</v>
      </c>
      <c r="B332" s="131" t="s">
        <v>431</v>
      </c>
      <c r="C332" s="131" t="s">
        <v>257</v>
      </c>
      <c r="D332" s="131" t="s">
        <v>828</v>
      </c>
      <c r="E332" s="131" t="s">
        <v>1208</v>
      </c>
      <c r="F332" s="131">
        <v>246</v>
      </c>
      <c r="G332" s="131">
        <v>122</v>
      </c>
      <c r="H332" s="132">
        <v>0.49593495934959347</v>
      </c>
    </row>
    <row r="333" spans="1:8" x14ac:dyDescent="0.25">
      <c r="A333" s="131" t="s">
        <v>732</v>
      </c>
      <c r="B333" s="131" t="s">
        <v>431</v>
      </c>
      <c r="C333" s="131" t="s">
        <v>257</v>
      </c>
      <c r="D333" s="131" t="s">
        <v>354</v>
      </c>
      <c r="E333" s="131" t="s">
        <v>1209</v>
      </c>
      <c r="F333" s="131">
        <v>394</v>
      </c>
      <c r="G333" s="131">
        <v>104</v>
      </c>
      <c r="H333" s="132">
        <v>0.26395939086294418</v>
      </c>
    </row>
    <row r="334" spans="1:8" x14ac:dyDescent="0.25">
      <c r="A334" s="131" t="s">
        <v>732</v>
      </c>
      <c r="B334" s="131" t="s">
        <v>431</v>
      </c>
      <c r="C334" s="131" t="s">
        <v>257</v>
      </c>
      <c r="D334" s="131" t="s">
        <v>805</v>
      </c>
      <c r="E334" s="131" t="s">
        <v>1210</v>
      </c>
      <c r="F334" s="131">
        <v>418</v>
      </c>
      <c r="G334" s="131">
        <v>107</v>
      </c>
      <c r="H334" s="132">
        <v>0.25598086124401914</v>
      </c>
    </row>
    <row r="335" spans="1:8" x14ac:dyDescent="0.25">
      <c r="A335" s="131" t="s">
        <v>732</v>
      </c>
      <c r="B335" s="131" t="s">
        <v>431</v>
      </c>
      <c r="C335" s="131" t="s">
        <v>257</v>
      </c>
      <c r="D335" s="131" t="s">
        <v>813</v>
      </c>
      <c r="E335" s="131" t="s">
        <v>877</v>
      </c>
      <c r="F335" s="131">
        <v>182</v>
      </c>
      <c r="G335" s="131">
        <v>157</v>
      </c>
      <c r="H335" s="132">
        <v>0.86263736263736268</v>
      </c>
    </row>
    <row r="336" spans="1:8" x14ac:dyDescent="0.25">
      <c r="A336" s="131" t="s">
        <v>732</v>
      </c>
      <c r="B336" s="131" t="s">
        <v>431</v>
      </c>
      <c r="C336" s="131" t="s">
        <v>257</v>
      </c>
      <c r="D336" s="131" t="s">
        <v>819</v>
      </c>
      <c r="E336" s="131" t="s">
        <v>826</v>
      </c>
      <c r="F336" s="131">
        <v>243</v>
      </c>
      <c r="G336" s="131">
        <v>78</v>
      </c>
      <c r="H336" s="132">
        <v>0.32098765432098764</v>
      </c>
    </row>
    <row r="337" spans="1:8" x14ac:dyDescent="0.25">
      <c r="A337" s="131" t="s">
        <v>732</v>
      </c>
      <c r="B337" s="131" t="s">
        <v>431</v>
      </c>
      <c r="C337" s="131" t="s">
        <v>257</v>
      </c>
      <c r="D337" s="131" t="s">
        <v>807</v>
      </c>
      <c r="E337" s="131" t="s">
        <v>1099</v>
      </c>
      <c r="F337" s="131">
        <v>418</v>
      </c>
      <c r="G337" s="131">
        <v>122</v>
      </c>
      <c r="H337" s="132">
        <v>0.291866028708134</v>
      </c>
    </row>
    <row r="338" spans="1:8" x14ac:dyDescent="0.25">
      <c r="A338" s="131" t="s">
        <v>732</v>
      </c>
      <c r="B338" s="131" t="s">
        <v>431</v>
      </c>
      <c r="C338" s="131" t="s">
        <v>257</v>
      </c>
      <c r="D338" s="131" t="s">
        <v>364</v>
      </c>
      <c r="E338" s="131" t="s">
        <v>1211</v>
      </c>
      <c r="F338" s="131">
        <v>206</v>
      </c>
      <c r="G338" s="131">
        <v>185</v>
      </c>
      <c r="H338" s="132">
        <v>0.89805825242718451</v>
      </c>
    </row>
    <row r="339" spans="1:8" x14ac:dyDescent="0.25">
      <c r="A339" s="131" t="s">
        <v>732</v>
      </c>
      <c r="B339" s="131" t="s">
        <v>431</v>
      </c>
      <c r="C339" s="131" t="s">
        <v>257</v>
      </c>
      <c r="D339" s="131" t="s">
        <v>1102</v>
      </c>
      <c r="E339" s="131" t="s">
        <v>975</v>
      </c>
      <c r="F339" s="131">
        <v>284</v>
      </c>
      <c r="G339" s="131">
        <v>119</v>
      </c>
      <c r="H339" s="132">
        <v>0.41901408450704225</v>
      </c>
    </row>
    <row r="340" spans="1:8" x14ac:dyDescent="0.25">
      <c r="A340" s="131" t="s">
        <v>732</v>
      </c>
      <c r="B340" s="131" t="s">
        <v>431</v>
      </c>
      <c r="C340" s="131" t="s">
        <v>257</v>
      </c>
      <c r="D340" s="131" t="s">
        <v>844</v>
      </c>
      <c r="E340" s="131" t="s">
        <v>1212</v>
      </c>
      <c r="F340" s="131">
        <v>338</v>
      </c>
      <c r="G340" s="131">
        <v>146</v>
      </c>
      <c r="H340" s="132">
        <v>0.43195266272189348</v>
      </c>
    </row>
    <row r="341" spans="1:8" x14ac:dyDescent="0.25">
      <c r="A341" s="131" t="s">
        <v>732</v>
      </c>
      <c r="B341" s="131" t="s">
        <v>431</v>
      </c>
      <c r="C341" s="131" t="s">
        <v>257</v>
      </c>
      <c r="D341" s="131" t="s">
        <v>1213</v>
      </c>
      <c r="E341" s="131" t="s">
        <v>1214</v>
      </c>
      <c r="F341" s="131">
        <v>477</v>
      </c>
      <c r="G341" s="131">
        <v>111</v>
      </c>
      <c r="H341" s="132">
        <v>0.23270440251572327</v>
      </c>
    </row>
    <row r="342" spans="1:8" x14ac:dyDescent="0.25">
      <c r="A342" s="131" t="s">
        <v>732</v>
      </c>
      <c r="B342" s="131" t="s">
        <v>431</v>
      </c>
      <c r="C342" s="131" t="s">
        <v>257</v>
      </c>
      <c r="D342" s="131" t="s">
        <v>1076</v>
      </c>
      <c r="E342" s="131" t="s">
        <v>915</v>
      </c>
      <c r="F342" s="131">
        <v>200</v>
      </c>
      <c r="G342" s="131">
        <v>159</v>
      </c>
      <c r="H342" s="132">
        <v>0.79500000000000004</v>
      </c>
    </row>
    <row r="343" spans="1:8" x14ac:dyDescent="0.25">
      <c r="A343" s="131" t="s">
        <v>732</v>
      </c>
      <c r="B343" s="131" t="s">
        <v>431</v>
      </c>
      <c r="C343" s="131" t="s">
        <v>257</v>
      </c>
      <c r="D343" s="131" t="s">
        <v>1103</v>
      </c>
      <c r="E343" s="131" t="s">
        <v>1215</v>
      </c>
      <c r="F343" s="131">
        <v>232</v>
      </c>
      <c r="G343" s="131">
        <v>151</v>
      </c>
      <c r="H343" s="132">
        <v>0.65086206896551724</v>
      </c>
    </row>
    <row r="344" spans="1:8" x14ac:dyDescent="0.25">
      <c r="A344" s="131" t="s">
        <v>732</v>
      </c>
      <c r="B344" s="131" t="s">
        <v>431</v>
      </c>
      <c r="C344" s="131" t="s">
        <v>257</v>
      </c>
      <c r="D344" s="131" t="s">
        <v>1216</v>
      </c>
      <c r="E344" s="131" t="s">
        <v>1217</v>
      </c>
      <c r="F344" s="131">
        <v>214</v>
      </c>
      <c r="G344" s="131">
        <v>157</v>
      </c>
      <c r="H344" s="132">
        <v>0.73364485981308414</v>
      </c>
    </row>
    <row r="345" spans="1:8" x14ac:dyDescent="0.25">
      <c r="A345" s="131" t="s">
        <v>732</v>
      </c>
      <c r="B345" s="131" t="s">
        <v>431</v>
      </c>
      <c r="C345" s="131" t="s">
        <v>257</v>
      </c>
      <c r="D345" s="131" t="s">
        <v>1218</v>
      </c>
      <c r="E345" s="131" t="s">
        <v>1219</v>
      </c>
      <c r="F345" s="131">
        <v>207</v>
      </c>
      <c r="G345" s="131">
        <v>41</v>
      </c>
      <c r="H345" s="132">
        <v>0.19806763285024154</v>
      </c>
    </row>
    <row r="346" spans="1:8" x14ac:dyDescent="0.25">
      <c r="A346" s="131" t="s">
        <v>732</v>
      </c>
      <c r="B346" s="131" t="s">
        <v>431</v>
      </c>
      <c r="C346" s="131" t="s">
        <v>257</v>
      </c>
      <c r="D346" s="131" t="s">
        <v>978</v>
      </c>
      <c r="E346" s="131" t="s">
        <v>1220</v>
      </c>
      <c r="F346" s="131">
        <v>298</v>
      </c>
      <c r="G346" s="131">
        <v>79</v>
      </c>
      <c r="H346" s="132">
        <v>0.2651006711409396</v>
      </c>
    </row>
    <row r="347" spans="1:8" x14ac:dyDescent="0.25">
      <c r="A347" s="131" t="s">
        <v>725</v>
      </c>
      <c r="B347" s="131" t="s">
        <v>432</v>
      </c>
      <c r="C347" s="131" t="s">
        <v>256</v>
      </c>
      <c r="D347" s="131" t="s">
        <v>803</v>
      </c>
      <c r="E347" s="131" t="s">
        <v>1221</v>
      </c>
      <c r="F347" s="131">
        <v>37</v>
      </c>
      <c r="G347" s="131">
        <v>14</v>
      </c>
      <c r="H347" s="132">
        <v>0.3783783783783784</v>
      </c>
    </row>
    <row r="348" spans="1:8" x14ac:dyDescent="0.25">
      <c r="A348" s="131" t="s">
        <v>725</v>
      </c>
      <c r="B348" s="131" t="s">
        <v>432</v>
      </c>
      <c r="C348" s="131" t="s">
        <v>256</v>
      </c>
      <c r="D348" s="131" t="s">
        <v>805</v>
      </c>
      <c r="E348" s="131" t="s">
        <v>1222</v>
      </c>
      <c r="F348" s="131">
        <v>120</v>
      </c>
      <c r="G348" s="131">
        <v>43</v>
      </c>
      <c r="H348" s="132">
        <v>0.35833333333333334</v>
      </c>
    </row>
    <row r="349" spans="1:8" x14ac:dyDescent="0.25">
      <c r="A349" s="131" t="s">
        <v>726</v>
      </c>
      <c r="B349" s="131" t="s">
        <v>433</v>
      </c>
      <c r="C349" s="131" t="s">
        <v>255</v>
      </c>
      <c r="D349" s="131" t="s">
        <v>803</v>
      </c>
      <c r="E349" s="131" t="s">
        <v>1223</v>
      </c>
      <c r="F349" s="131">
        <v>31</v>
      </c>
      <c r="G349" s="131">
        <v>17</v>
      </c>
      <c r="H349" s="132">
        <v>0.54838709677419351</v>
      </c>
    </row>
    <row r="350" spans="1:8" x14ac:dyDescent="0.25">
      <c r="A350" s="131" t="s">
        <v>726</v>
      </c>
      <c r="B350" s="131" t="s">
        <v>433</v>
      </c>
      <c r="C350" s="131" t="s">
        <v>255</v>
      </c>
      <c r="D350" s="131" t="s">
        <v>813</v>
      </c>
      <c r="E350" s="131" t="s">
        <v>1224</v>
      </c>
      <c r="F350" s="131">
        <v>151</v>
      </c>
      <c r="G350" s="131">
        <v>63</v>
      </c>
      <c r="H350" s="132">
        <v>0.41721854304635764</v>
      </c>
    </row>
    <row r="351" spans="1:8" x14ac:dyDescent="0.25">
      <c r="A351" s="131" t="s">
        <v>734</v>
      </c>
      <c r="B351" s="131" t="s">
        <v>434</v>
      </c>
      <c r="C351" s="131" t="s">
        <v>254</v>
      </c>
      <c r="D351" s="131" t="s">
        <v>805</v>
      </c>
      <c r="E351" s="131" t="s">
        <v>1225</v>
      </c>
      <c r="F351" s="131">
        <v>170</v>
      </c>
      <c r="G351" s="131">
        <v>51</v>
      </c>
      <c r="H351" s="132">
        <v>0.3</v>
      </c>
    </row>
    <row r="352" spans="1:8" x14ac:dyDescent="0.25">
      <c r="A352" s="131" t="s">
        <v>734</v>
      </c>
      <c r="B352" s="131" t="s">
        <v>434</v>
      </c>
      <c r="C352" s="131" t="s">
        <v>254</v>
      </c>
      <c r="D352" s="131" t="s">
        <v>813</v>
      </c>
      <c r="E352" s="131" t="s">
        <v>1226</v>
      </c>
      <c r="F352" s="131">
        <v>93</v>
      </c>
      <c r="G352" s="131">
        <v>29</v>
      </c>
      <c r="H352" s="132">
        <v>0.31182795698924731</v>
      </c>
    </row>
    <row r="353" spans="1:8" x14ac:dyDescent="0.25">
      <c r="A353" s="131" t="s">
        <v>728</v>
      </c>
      <c r="B353" s="131" t="s">
        <v>436</v>
      </c>
      <c r="C353" s="131" t="s">
        <v>253</v>
      </c>
      <c r="D353" s="131" t="s">
        <v>821</v>
      </c>
      <c r="E353" s="131" t="s">
        <v>1227</v>
      </c>
      <c r="F353" s="131">
        <v>151</v>
      </c>
      <c r="G353" s="131">
        <v>111</v>
      </c>
      <c r="H353" s="132">
        <v>0.73509933774834435</v>
      </c>
    </row>
    <row r="354" spans="1:8" x14ac:dyDescent="0.25">
      <c r="A354" s="131" t="s">
        <v>728</v>
      </c>
      <c r="B354" s="131" t="s">
        <v>436</v>
      </c>
      <c r="C354" s="131" t="s">
        <v>253</v>
      </c>
      <c r="D354" s="131" t="s">
        <v>813</v>
      </c>
      <c r="E354" s="131" t="s">
        <v>1228</v>
      </c>
      <c r="F354" s="131">
        <v>276</v>
      </c>
      <c r="G354" s="131">
        <v>206</v>
      </c>
      <c r="H354" s="132">
        <v>0.74637681159420288</v>
      </c>
    </row>
    <row r="355" spans="1:8" x14ac:dyDescent="0.25">
      <c r="A355" s="131" t="s">
        <v>723</v>
      </c>
      <c r="B355" s="131" t="s">
        <v>437</v>
      </c>
      <c r="C355" s="131" t="s">
        <v>252</v>
      </c>
      <c r="D355" s="131" t="s">
        <v>821</v>
      </c>
      <c r="E355" s="131" t="s">
        <v>1229</v>
      </c>
      <c r="F355" s="131">
        <v>59</v>
      </c>
      <c r="G355" s="131">
        <v>23</v>
      </c>
      <c r="H355" s="132">
        <v>0.38983050847457629</v>
      </c>
    </row>
    <row r="356" spans="1:8" x14ac:dyDescent="0.25">
      <c r="A356" s="131" t="s">
        <v>723</v>
      </c>
      <c r="B356" s="131" t="s">
        <v>437</v>
      </c>
      <c r="C356" s="131" t="s">
        <v>252</v>
      </c>
      <c r="D356" s="131" t="s">
        <v>805</v>
      </c>
      <c r="E356" s="131" t="s">
        <v>1230</v>
      </c>
      <c r="F356" s="131">
        <v>214</v>
      </c>
      <c r="G356" s="131">
        <v>61</v>
      </c>
      <c r="H356" s="132">
        <v>0.28504672897196259</v>
      </c>
    </row>
    <row r="357" spans="1:8" x14ac:dyDescent="0.25">
      <c r="A357" s="131" t="s">
        <v>725</v>
      </c>
      <c r="B357" s="131" t="s">
        <v>438</v>
      </c>
      <c r="C357" s="131" t="s">
        <v>251</v>
      </c>
      <c r="D357" s="131" t="s">
        <v>821</v>
      </c>
      <c r="E357" s="131" t="s">
        <v>1231</v>
      </c>
      <c r="F357" s="131">
        <v>45</v>
      </c>
      <c r="G357" s="131">
        <v>18</v>
      </c>
      <c r="H357" s="132">
        <v>0.4</v>
      </c>
    </row>
    <row r="358" spans="1:8" x14ac:dyDescent="0.25">
      <c r="A358" s="131" t="s">
        <v>725</v>
      </c>
      <c r="B358" s="131" t="s">
        <v>438</v>
      </c>
      <c r="C358" s="131" t="s">
        <v>251</v>
      </c>
      <c r="D358" s="131" t="s">
        <v>852</v>
      </c>
      <c r="E358" s="131" t="s">
        <v>1232</v>
      </c>
      <c r="F358" s="131">
        <v>201</v>
      </c>
      <c r="G358" s="131">
        <v>68</v>
      </c>
      <c r="H358" s="132">
        <v>0.3383084577114428</v>
      </c>
    </row>
    <row r="359" spans="1:8" x14ac:dyDescent="0.25">
      <c r="A359" s="131" t="s">
        <v>734</v>
      </c>
      <c r="B359" s="131" t="s">
        <v>439</v>
      </c>
      <c r="C359" s="131" t="s">
        <v>250</v>
      </c>
      <c r="D359" s="131" t="s">
        <v>852</v>
      </c>
      <c r="E359" s="131" t="s">
        <v>1233</v>
      </c>
      <c r="F359" s="131">
        <v>191</v>
      </c>
      <c r="G359" s="131">
        <v>91</v>
      </c>
      <c r="H359" s="132">
        <v>0.47643979057591623</v>
      </c>
    </row>
    <row r="360" spans="1:8" x14ac:dyDescent="0.25">
      <c r="A360" s="131" t="s">
        <v>725</v>
      </c>
      <c r="B360" s="131" t="s">
        <v>675</v>
      </c>
      <c r="C360" s="131" t="s">
        <v>249</v>
      </c>
      <c r="D360" s="131" t="s">
        <v>821</v>
      </c>
      <c r="E360" s="131" t="s">
        <v>1234</v>
      </c>
      <c r="F360" s="131">
        <v>202</v>
      </c>
      <c r="G360" s="131">
        <v>93</v>
      </c>
      <c r="H360" s="132">
        <v>0.46039603960396042</v>
      </c>
    </row>
    <row r="361" spans="1:8" x14ac:dyDescent="0.25">
      <c r="A361" s="131" t="s">
        <v>725</v>
      </c>
      <c r="B361" s="131" t="s">
        <v>675</v>
      </c>
      <c r="C361" s="131" t="s">
        <v>249</v>
      </c>
      <c r="D361" s="131" t="s">
        <v>819</v>
      </c>
      <c r="E361" s="131" t="s">
        <v>1235</v>
      </c>
      <c r="F361" s="131">
        <v>153</v>
      </c>
      <c r="G361" s="131">
        <v>70</v>
      </c>
      <c r="H361" s="132">
        <v>0.45751633986928103</v>
      </c>
    </row>
    <row r="362" spans="1:8" x14ac:dyDescent="0.25">
      <c r="A362" s="131" t="s">
        <v>726</v>
      </c>
      <c r="B362" s="131" t="s">
        <v>440</v>
      </c>
      <c r="C362" s="131" t="s">
        <v>248</v>
      </c>
      <c r="D362" s="131" t="s">
        <v>803</v>
      </c>
      <c r="E362" s="131" t="s">
        <v>1236</v>
      </c>
      <c r="F362" s="131">
        <v>52</v>
      </c>
      <c r="G362" s="131">
        <v>36</v>
      </c>
      <c r="H362" s="132">
        <v>0.69230769230769229</v>
      </c>
    </row>
    <row r="363" spans="1:8" x14ac:dyDescent="0.25">
      <c r="A363" s="131" t="s">
        <v>726</v>
      </c>
      <c r="B363" s="131" t="s">
        <v>440</v>
      </c>
      <c r="C363" s="131" t="s">
        <v>248</v>
      </c>
      <c r="D363" s="131" t="s">
        <v>805</v>
      </c>
      <c r="E363" s="131" t="s">
        <v>1237</v>
      </c>
      <c r="F363" s="131">
        <v>177</v>
      </c>
      <c r="G363" s="131">
        <v>124</v>
      </c>
      <c r="H363" s="132">
        <v>0.70056497175141241</v>
      </c>
    </row>
    <row r="364" spans="1:8" x14ac:dyDescent="0.25">
      <c r="A364" s="131" t="s">
        <v>732</v>
      </c>
      <c r="B364" s="131" t="s">
        <v>441</v>
      </c>
      <c r="C364" s="131" t="s">
        <v>247</v>
      </c>
      <c r="D364" s="131" t="s">
        <v>813</v>
      </c>
      <c r="E364" s="131" t="s">
        <v>1238</v>
      </c>
      <c r="F364" s="131">
        <v>125</v>
      </c>
      <c r="G364" s="131">
        <v>51</v>
      </c>
      <c r="H364" s="132">
        <v>0.40799999999999997</v>
      </c>
    </row>
    <row r="365" spans="1:8" x14ac:dyDescent="0.25">
      <c r="A365" s="131" t="s">
        <v>727</v>
      </c>
      <c r="B365" s="131" t="s">
        <v>442</v>
      </c>
      <c r="C365" s="131" t="s">
        <v>246</v>
      </c>
      <c r="D365" s="131" t="s">
        <v>875</v>
      </c>
      <c r="E365" s="131" t="s">
        <v>1239</v>
      </c>
      <c r="F365" s="131">
        <v>29</v>
      </c>
      <c r="G365" s="131">
        <v>15</v>
      </c>
      <c r="H365" s="132">
        <v>0.51724137931034486</v>
      </c>
    </row>
    <row r="366" spans="1:8" x14ac:dyDescent="0.25">
      <c r="A366" s="131" t="s">
        <v>727</v>
      </c>
      <c r="B366" s="131" t="s">
        <v>442</v>
      </c>
      <c r="C366" s="131" t="s">
        <v>246</v>
      </c>
      <c r="D366" s="131" t="s">
        <v>813</v>
      </c>
      <c r="E366" s="131" t="s">
        <v>1240</v>
      </c>
      <c r="F366" s="131">
        <v>127</v>
      </c>
      <c r="G366" s="131">
        <v>66</v>
      </c>
      <c r="H366" s="132">
        <v>0.51968503937007871</v>
      </c>
    </row>
    <row r="367" spans="1:8" x14ac:dyDescent="0.25">
      <c r="A367" s="131" t="s">
        <v>732</v>
      </c>
      <c r="B367" s="131" t="s">
        <v>443</v>
      </c>
      <c r="C367" s="131" t="s">
        <v>245</v>
      </c>
      <c r="D367" s="131" t="s">
        <v>805</v>
      </c>
      <c r="E367" s="131" t="s">
        <v>1241</v>
      </c>
      <c r="F367" s="131">
        <v>227</v>
      </c>
      <c r="G367" s="131">
        <v>83</v>
      </c>
      <c r="H367" s="132">
        <v>0.3656387665198238</v>
      </c>
    </row>
    <row r="368" spans="1:8" x14ac:dyDescent="0.25">
      <c r="A368" s="131" t="s">
        <v>725</v>
      </c>
      <c r="B368" s="131" t="s">
        <v>444</v>
      </c>
      <c r="C368" s="131" t="s">
        <v>244</v>
      </c>
      <c r="D368" s="131" t="s">
        <v>805</v>
      </c>
      <c r="E368" s="131" t="s">
        <v>1242</v>
      </c>
      <c r="F368" s="131">
        <v>222</v>
      </c>
      <c r="G368" s="131">
        <v>124</v>
      </c>
      <c r="H368" s="132">
        <v>0.55855855855855852</v>
      </c>
    </row>
    <row r="369" spans="1:8" x14ac:dyDescent="0.25">
      <c r="A369" s="131" t="s">
        <v>728</v>
      </c>
      <c r="B369" s="131" t="s">
        <v>445</v>
      </c>
      <c r="C369" s="131" t="s">
        <v>243</v>
      </c>
      <c r="D369" s="131" t="s">
        <v>821</v>
      </c>
      <c r="E369" s="131" t="s">
        <v>1243</v>
      </c>
      <c r="F369" s="131">
        <v>102</v>
      </c>
      <c r="G369" s="131">
        <v>50</v>
      </c>
      <c r="H369" s="132">
        <v>0.49019607843137253</v>
      </c>
    </row>
    <row r="370" spans="1:8" x14ac:dyDescent="0.25">
      <c r="A370" s="131" t="s">
        <v>728</v>
      </c>
      <c r="B370" s="131" t="s">
        <v>445</v>
      </c>
      <c r="C370" s="131" t="s">
        <v>243</v>
      </c>
      <c r="D370" s="131" t="s">
        <v>813</v>
      </c>
      <c r="E370" s="131" t="s">
        <v>1244</v>
      </c>
      <c r="F370" s="131">
        <v>197</v>
      </c>
      <c r="G370" s="131">
        <v>99</v>
      </c>
      <c r="H370" s="132">
        <v>0.5025380710659898</v>
      </c>
    </row>
    <row r="371" spans="1:8" x14ac:dyDescent="0.25">
      <c r="A371" s="131" t="s">
        <v>730</v>
      </c>
      <c r="B371" s="131" t="s">
        <v>446</v>
      </c>
      <c r="C371" s="131" t="s">
        <v>242</v>
      </c>
      <c r="D371" s="131" t="s">
        <v>875</v>
      </c>
      <c r="E371" s="131" t="s">
        <v>1245</v>
      </c>
      <c r="F371" s="131">
        <v>33</v>
      </c>
      <c r="G371" s="131">
        <v>18</v>
      </c>
      <c r="H371" s="132">
        <v>0.54545454545454541</v>
      </c>
    </row>
    <row r="372" spans="1:8" x14ac:dyDescent="0.25">
      <c r="A372" s="131" t="s">
        <v>730</v>
      </c>
      <c r="B372" s="131" t="s">
        <v>446</v>
      </c>
      <c r="C372" s="131" t="s">
        <v>242</v>
      </c>
      <c r="D372" s="131" t="s">
        <v>805</v>
      </c>
      <c r="E372" s="131" t="s">
        <v>1246</v>
      </c>
      <c r="F372" s="131">
        <v>155</v>
      </c>
      <c r="G372" s="131">
        <v>61</v>
      </c>
      <c r="H372" s="132">
        <v>0.3935483870967742</v>
      </c>
    </row>
    <row r="373" spans="1:8" x14ac:dyDescent="0.25">
      <c r="A373" s="131" t="s">
        <v>726</v>
      </c>
      <c r="B373" s="131" t="s">
        <v>447</v>
      </c>
      <c r="C373" s="131" t="s">
        <v>241</v>
      </c>
      <c r="D373" s="131" t="s">
        <v>803</v>
      </c>
      <c r="E373" s="131" t="s">
        <v>1247</v>
      </c>
      <c r="F373" s="131">
        <v>12</v>
      </c>
      <c r="G373" s="131">
        <v>9</v>
      </c>
      <c r="H373" s="132">
        <v>0.75</v>
      </c>
    </row>
    <row r="374" spans="1:8" x14ac:dyDescent="0.25">
      <c r="A374" s="131" t="s">
        <v>726</v>
      </c>
      <c r="B374" s="131" t="s">
        <v>447</v>
      </c>
      <c r="C374" s="131" t="s">
        <v>241</v>
      </c>
      <c r="D374" s="131" t="s">
        <v>805</v>
      </c>
      <c r="E374" s="131" t="s">
        <v>1248</v>
      </c>
      <c r="F374" s="131">
        <v>60</v>
      </c>
      <c r="G374" s="131">
        <v>42</v>
      </c>
      <c r="H374" s="132">
        <v>0.7</v>
      </c>
    </row>
    <row r="375" spans="1:8" x14ac:dyDescent="0.25">
      <c r="A375" s="131" t="s">
        <v>728</v>
      </c>
      <c r="B375" s="131" t="s">
        <v>448</v>
      </c>
      <c r="C375" s="131" t="s">
        <v>240</v>
      </c>
      <c r="D375" s="131" t="s">
        <v>362</v>
      </c>
      <c r="E375" s="131" t="s">
        <v>1249</v>
      </c>
      <c r="F375" s="131">
        <v>179</v>
      </c>
      <c r="G375" s="131">
        <v>92</v>
      </c>
      <c r="H375" s="132">
        <v>0.51396648044692739</v>
      </c>
    </row>
    <row r="376" spans="1:8" x14ac:dyDescent="0.25">
      <c r="A376" s="131" t="s">
        <v>728</v>
      </c>
      <c r="B376" s="131" t="s">
        <v>448</v>
      </c>
      <c r="C376" s="131" t="s">
        <v>240</v>
      </c>
      <c r="D376" s="131" t="s">
        <v>819</v>
      </c>
      <c r="E376" s="131" t="s">
        <v>1250</v>
      </c>
      <c r="F376" s="131">
        <v>315</v>
      </c>
      <c r="G376" s="131">
        <v>179</v>
      </c>
      <c r="H376" s="132">
        <v>0.56825396825396823</v>
      </c>
    </row>
    <row r="377" spans="1:8" x14ac:dyDescent="0.25">
      <c r="A377" s="131" t="s">
        <v>723</v>
      </c>
      <c r="B377" s="131" t="s">
        <v>449</v>
      </c>
      <c r="C377" s="131" t="s">
        <v>1251</v>
      </c>
      <c r="D377" s="131" t="s">
        <v>875</v>
      </c>
      <c r="E377" s="131" t="s">
        <v>1252</v>
      </c>
      <c r="F377" s="131">
        <v>26</v>
      </c>
      <c r="G377" s="131">
        <v>12</v>
      </c>
      <c r="H377" s="132">
        <v>0.46153846153846156</v>
      </c>
    </row>
    <row r="378" spans="1:8" x14ac:dyDescent="0.25">
      <c r="A378" s="131" t="s">
        <v>723</v>
      </c>
      <c r="B378" s="131" t="s">
        <v>449</v>
      </c>
      <c r="C378" s="131" t="s">
        <v>1251</v>
      </c>
      <c r="D378" s="131" t="s">
        <v>813</v>
      </c>
      <c r="E378" s="131" t="s">
        <v>1253</v>
      </c>
      <c r="F378" s="131">
        <v>134</v>
      </c>
      <c r="G378" s="131">
        <v>65</v>
      </c>
      <c r="H378" s="132">
        <v>0.48507462686567165</v>
      </c>
    </row>
    <row r="379" spans="1:8" x14ac:dyDescent="0.25">
      <c r="A379" s="131" t="s">
        <v>729</v>
      </c>
      <c r="B379" s="131" t="s">
        <v>450</v>
      </c>
      <c r="C379" s="131" t="s">
        <v>239</v>
      </c>
      <c r="D379" s="131" t="s">
        <v>821</v>
      </c>
      <c r="E379" s="131" t="s">
        <v>1254</v>
      </c>
      <c r="F379" s="131">
        <v>258</v>
      </c>
      <c r="G379" s="131">
        <v>135</v>
      </c>
      <c r="H379" s="132">
        <v>0.52325581395348841</v>
      </c>
    </row>
    <row r="380" spans="1:8" x14ac:dyDescent="0.25">
      <c r="A380" s="131" t="s">
        <v>729</v>
      </c>
      <c r="B380" s="131" t="s">
        <v>450</v>
      </c>
      <c r="C380" s="131" t="s">
        <v>239</v>
      </c>
      <c r="D380" s="131" t="s">
        <v>1255</v>
      </c>
      <c r="E380" s="131" t="s">
        <v>1256</v>
      </c>
      <c r="F380" s="131">
        <v>93</v>
      </c>
      <c r="G380" s="131">
        <v>46</v>
      </c>
      <c r="H380" s="132">
        <v>0.4946236559139785</v>
      </c>
    </row>
    <row r="381" spans="1:8" x14ac:dyDescent="0.25">
      <c r="A381" s="131" t="s">
        <v>729</v>
      </c>
      <c r="B381" s="131" t="s">
        <v>450</v>
      </c>
      <c r="C381" s="131" t="s">
        <v>239</v>
      </c>
      <c r="D381" s="131" t="s">
        <v>1257</v>
      </c>
      <c r="E381" s="131" t="s">
        <v>1258</v>
      </c>
      <c r="F381" s="131">
        <v>328</v>
      </c>
      <c r="G381" s="131">
        <v>167</v>
      </c>
      <c r="H381" s="132">
        <v>0.50914634146341464</v>
      </c>
    </row>
    <row r="382" spans="1:8" x14ac:dyDescent="0.25">
      <c r="A382" s="131" t="s">
        <v>725</v>
      </c>
      <c r="B382" s="131" t="s">
        <v>451</v>
      </c>
      <c r="C382" s="131" t="s">
        <v>238</v>
      </c>
      <c r="D382" s="131" t="s">
        <v>821</v>
      </c>
      <c r="E382" s="131" t="s">
        <v>1259</v>
      </c>
      <c r="F382" s="131">
        <v>153</v>
      </c>
      <c r="G382" s="131">
        <v>65</v>
      </c>
      <c r="H382" s="132">
        <v>0.42483660130718953</v>
      </c>
    </row>
    <row r="383" spans="1:8" x14ac:dyDescent="0.25">
      <c r="A383" s="131" t="s">
        <v>725</v>
      </c>
      <c r="B383" s="131" t="s">
        <v>451</v>
      </c>
      <c r="C383" s="131" t="s">
        <v>238</v>
      </c>
      <c r="D383" s="131" t="s">
        <v>813</v>
      </c>
      <c r="E383" s="131" t="s">
        <v>1260</v>
      </c>
      <c r="F383" s="131">
        <v>303</v>
      </c>
      <c r="G383" s="131">
        <v>120</v>
      </c>
      <c r="H383" s="132">
        <v>0.39603960396039606</v>
      </c>
    </row>
    <row r="384" spans="1:8" x14ac:dyDescent="0.25">
      <c r="A384" s="131" t="s">
        <v>728</v>
      </c>
      <c r="B384" s="131" t="s">
        <v>452</v>
      </c>
      <c r="C384" s="131" t="s">
        <v>237</v>
      </c>
      <c r="D384" s="131" t="s">
        <v>959</v>
      </c>
      <c r="E384" s="131" t="s">
        <v>1261</v>
      </c>
      <c r="F384" s="131">
        <v>545</v>
      </c>
      <c r="G384" s="131">
        <v>355</v>
      </c>
      <c r="H384" s="132">
        <v>0.65137614678899081</v>
      </c>
    </row>
    <row r="385" spans="1:8" x14ac:dyDescent="0.25">
      <c r="A385" s="131" t="s">
        <v>728</v>
      </c>
      <c r="B385" s="131" t="s">
        <v>452</v>
      </c>
      <c r="C385" s="131" t="s">
        <v>237</v>
      </c>
      <c r="D385" s="131" t="s">
        <v>813</v>
      </c>
      <c r="E385" s="131" t="s">
        <v>1262</v>
      </c>
      <c r="F385" s="131">
        <v>320</v>
      </c>
      <c r="G385" s="131">
        <v>233</v>
      </c>
      <c r="H385" s="132">
        <v>0.72812500000000002</v>
      </c>
    </row>
    <row r="386" spans="1:8" x14ac:dyDescent="0.25">
      <c r="A386" s="131" t="s">
        <v>728</v>
      </c>
      <c r="B386" s="131" t="s">
        <v>452</v>
      </c>
      <c r="C386" s="131" t="s">
        <v>237</v>
      </c>
      <c r="D386" s="131" t="s">
        <v>859</v>
      </c>
      <c r="E386" s="131" t="s">
        <v>1263</v>
      </c>
      <c r="F386" s="131">
        <v>199</v>
      </c>
      <c r="G386" s="131">
        <v>80</v>
      </c>
      <c r="H386" s="132">
        <v>0.4020100502512563</v>
      </c>
    </row>
    <row r="387" spans="1:8" x14ac:dyDescent="0.25">
      <c r="A387" s="131" t="s">
        <v>728</v>
      </c>
      <c r="B387" s="131" t="s">
        <v>452</v>
      </c>
      <c r="C387" s="131" t="s">
        <v>237</v>
      </c>
      <c r="D387" s="131" t="s">
        <v>840</v>
      </c>
      <c r="E387" s="131" t="s">
        <v>1264</v>
      </c>
      <c r="F387" s="131">
        <v>375</v>
      </c>
      <c r="G387" s="131">
        <v>280</v>
      </c>
      <c r="H387" s="132">
        <v>0.7466666666666667</v>
      </c>
    </row>
    <row r="388" spans="1:8" x14ac:dyDescent="0.25">
      <c r="A388" s="131" t="s">
        <v>728</v>
      </c>
      <c r="B388" s="131" t="s">
        <v>452</v>
      </c>
      <c r="C388" s="131" t="s">
        <v>237</v>
      </c>
      <c r="D388" s="131" t="s">
        <v>1265</v>
      </c>
      <c r="E388" s="131" t="s">
        <v>1266</v>
      </c>
      <c r="F388" s="131">
        <v>193</v>
      </c>
      <c r="G388" s="131">
        <v>83</v>
      </c>
      <c r="H388" s="132">
        <v>0.43005181347150256</v>
      </c>
    </row>
    <row r="389" spans="1:8" x14ac:dyDescent="0.25">
      <c r="A389" s="131" t="s">
        <v>729</v>
      </c>
      <c r="B389" s="131" t="s">
        <v>453</v>
      </c>
      <c r="C389" s="131" t="s">
        <v>236</v>
      </c>
      <c r="D389" s="131" t="s">
        <v>821</v>
      </c>
      <c r="E389" s="131" t="s">
        <v>1267</v>
      </c>
      <c r="F389" s="131">
        <v>391</v>
      </c>
      <c r="G389" s="131">
        <v>214</v>
      </c>
      <c r="H389" s="132">
        <v>0.54731457800511507</v>
      </c>
    </row>
    <row r="390" spans="1:8" x14ac:dyDescent="0.25">
      <c r="A390" s="131" t="s">
        <v>729</v>
      </c>
      <c r="B390" s="131" t="s">
        <v>453</v>
      </c>
      <c r="C390" s="131" t="s">
        <v>236</v>
      </c>
      <c r="D390" s="131" t="s">
        <v>807</v>
      </c>
      <c r="E390" s="131" t="s">
        <v>915</v>
      </c>
      <c r="F390" s="131">
        <v>216</v>
      </c>
      <c r="G390" s="131">
        <v>119</v>
      </c>
      <c r="H390" s="132">
        <v>0.55092592592592593</v>
      </c>
    </row>
    <row r="391" spans="1:8" x14ac:dyDescent="0.25">
      <c r="A391" s="131" t="s">
        <v>729</v>
      </c>
      <c r="B391" s="131" t="s">
        <v>453</v>
      </c>
      <c r="C391" s="131" t="s">
        <v>236</v>
      </c>
      <c r="D391" s="131" t="s">
        <v>859</v>
      </c>
      <c r="E391" s="131" t="s">
        <v>1268</v>
      </c>
      <c r="F391" s="131">
        <v>213</v>
      </c>
      <c r="G391" s="131">
        <v>132</v>
      </c>
      <c r="H391" s="132">
        <v>0.61971830985915488</v>
      </c>
    </row>
    <row r="392" spans="1:8" x14ac:dyDescent="0.25">
      <c r="A392" s="131" t="s">
        <v>726</v>
      </c>
      <c r="B392" s="131" t="s">
        <v>454</v>
      </c>
      <c r="C392" s="131" t="s">
        <v>235</v>
      </c>
      <c r="D392" s="131" t="s">
        <v>813</v>
      </c>
      <c r="E392" s="131" t="s">
        <v>1269</v>
      </c>
      <c r="F392" s="131">
        <v>221</v>
      </c>
      <c r="G392" s="131">
        <v>81</v>
      </c>
      <c r="H392" s="132">
        <v>0.36651583710407237</v>
      </c>
    </row>
    <row r="393" spans="1:8" x14ac:dyDescent="0.25">
      <c r="A393" s="131" t="s">
        <v>727</v>
      </c>
      <c r="B393" s="131" t="s">
        <v>455</v>
      </c>
      <c r="C393" s="131" t="s">
        <v>234</v>
      </c>
      <c r="D393" s="131" t="s">
        <v>805</v>
      </c>
      <c r="E393" s="131" t="s">
        <v>1270</v>
      </c>
      <c r="F393" s="131">
        <v>65</v>
      </c>
      <c r="G393" s="131">
        <v>21</v>
      </c>
      <c r="H393" s="132">
        <v>0.32307692307692309</v>
      </c>
    </row>
    <row r="394" spans="1:8" x14ac:dyDescent="0.25">
      <c r="A394" s="131" t="s">
        <v>727</v>
      </c>
      <c r="B394" s="131" t="s">
        <v>455</v>
      </c>
      <c r="C394" s="131" t="s">
        <v>234</v>
      </c>
      <c r="D394" s="131" t="s">
        <v>813</v>
      </c>
      <c r="E394" s="131" t="s">
        <v>1271</v>
      </c>
      <c r="F394" s="131">
        <v>102</v>
      </c>
      <c r="G394" s="131">
        <v>40</v>
      </c>
      <c r="H394" s="132">
        <v>0.39215686274509803</v>
      </c>
    </row>
    <row r="395" spans="1:8" x14ac:dyDescent="0.25">
      <c r="A395" s="131" t="s">
        <v>725</v>
      </c>
      <c r="B395" s="131" t="s">
        <v>456</v>
      </c>
      <c r="C395" s="131" t="s">
        <v>233</v>
      </c>
      <c r="D395" s="131" t="s">
        <v>828</v>
      </c>
      <c r="E395" s="131" t="s">
        <v>1272</v>
      </c>
      <c r="F395" s="131">
        <v>136</v>
      </c>
      <c r="G395" s="131">
        <v>44</v>
      </c>
      <c r="H395" s="132">
        <v>0.3235294117647059</v>
      </c>
    </row>
    <row r="396" spans="1:8" x14ac:dyDescent="0.25">
      <c r="A396" s="131" t="s">
        <v>725</v>
      </c>
      <c r="B396" s="131" t="s">
        <v>456</v>
      </c>
      <c r="C396" s="131" t="s">
        <v>233</v>
      </c>
      <c r="D396" s="131" t="s">
        <v>813</v>
      </c>
      <c r="E396" s="131" t="s">
        <v>1273</v>
      </c>
      <c r="F396" s="131">
        <v>261</v>
      </c>
      <c r="G396" s="131">
        <v>86</v>
      </c>
      <c r="H396" s="132">
        <v>0.32950191570881227</v>
      </c>
    </row>
    <row r="397" spans="1:8" x14ac:dyDescent="0.25">
      <c r="A397" s="131" t="s">
        <v>727</v>
      </c>
      <c r="B397" s="131" t="s">
        <v>457</v>
      </c>
      <c r="C397" s="131" t="s">
        <v>232</v>
      </c>
      <c r="D397" s="131" t="s">
        <v>821</v>
      </c>
      <c r="E397" s="131" t="s">
        <v>1274</v>
      </c>
      <c r="F397" s="131">
        <v>19</v>
      </c>
      <c r="G397" s="131">
        <v>11</v>
      </c>
      <c r="H397" s="132">
        <v>0.57894736842105265</v>
      </c>
    </row>
    <row r="398" spans="1:8" x14ac:dyDescent="0.25">
      <c r="A398" s="131" t="s">
        <v>727</v>
      </c>
      <c r="B398" s="131" t="s">
        <v>457</v>
      </c>
      <c r="C398" s="131" t="s">
        <v>232</v>
      </c>
      <c r="D398" s="131" t="s">
        <v>805</v>
      </c>
      <c r="E398" s="131" t="s">
        <v>1275</v>
      </c>
      <c r="F398" s="131">
        <v>91</v>
      </c>
      <c r="G398" s="131">
        <v>33</v>
      </c>
      <c r="H398" s="132">
        <v>0.36263736263736263</v>
      </c>
    </row>
    <row r="399" spans="1:8" x14ac:dyDescent="0.25">
      <c r="A399" s="131" t="s">
        <v>727</v>
      </c>
      <c r="B399" s="131" t="s">
        <v>457</v>
      </c>
      <c r="C399" s="131" t="s">
        <v>232</v>
      </c>
      <c r="D399" s="131" t="s">
        <v>813</v>
      </c>
      <c r="E399" s="131" t="s">
        <v>1276</v>
      </c>
      <c r="F399" s="131">
        <v>55</v>
      </c>
      <c r="G399" s="131">
        <v>21</v>
      </c>
      <c r="H399" s="132">
        <v>0.38181818181818183</v>
      </c>
    </row>
    <row r="400" spans="1:8" x14ac:dyDescent="0.25">
      <c r="A400" s="131" t="s">
        <v>723</v>
      </c>
      <c r="B400" s="131" t="s">
        <v>458</v>
      </c>
      <c r="C400" s="131" t="s">
        <v>231</v>
      </c>
      <c r="D400" s="131" t="s">
        <v>821</v>
      </c>
      <c r="E400" s="131" t="s">
        <v>1277</v>
      </c>
      <c r="F400" s="131">
        <v>130</v>
      </c>
      <c r="G400" s="131">
        <v>15</v>
      </c>
      <c r="H400" s="132">
        <v>0.11538461538461539</v>
      </c>
    </row>
    <row r="401" spans="1:8" x14ac:dyDescent="0.25">
      <c r="A401" s="131" t="s">
        <v>723</v>
      </c>
      <c r="B401" s="131" t="s">
        <v>458</v>
      </c>
      <c r="C401" s="131" t="s">
        <v>231</v>
      </c>
      <c r="D401" s="131" t="s">
        <v>805</v>
      </c>
      <c r="E401" s="131" t="s">
        <v>1278</v>
      </c>
      <c r="F401" s="131">
        <v>203</v>
      </c>
      <c r="G401" s="131">
        <v>21</v>
      </c>
      <c r="H401" s="132">
        <v>0.10344827586206896</v>
      </c>
    </row>
    <row r="402" spans="1:8" x14ac:dyDescent="0.25">
      <c r="A402" s="131" t="s">
        <v>723</v>
      </c>
      <c r="B402" s="131" t="s">
        <v>458</v>
      </c>
      <c r="C402" s="131" t="s">
        <v>231</v>
      </c>
      <c r="D402" s="131" t="s">
        <v>813</v>
      </c>
      <c r="E402" s="131" t="s">
        <v>1279</v>
      </c>
      <c r="F402" s="131">
        <v>344</v>
      </c>
      <c r="G402" s="131">
        <v>30</v>
      </c>
      <c r="H402" s="132">
        <v>8.7209302325581398E-2</v>
      </c>
    </row>
    <row r="403" spans="1:8" x14ac:dyDescent="0.25">
      <c r="A403" s="131" t="s">
        <v>728</v>
      </c>
      <c r="B403" s="131" t="s">
        <v>459</v>
      </c>
      <c r="C403" s="131" t="s">
        <v>230</v>
      </c>
      <c r="D403" s="131" t="s">
        <v>813</v>
      </c>
      <c r="E403" s="131" t="s">
        <v>1280</v>
      </c>
      <c r="F403" s="131">
        <v>72</v>
      </c>
      <c r="G403" s="131">
        <v>49</v>
      </c>
      <c r="H403" s="132">
        <v>0.68055555555555558</v>
      </c>
    </row>
    <row r="404" spans="1:8" x14ac:dyDescent="0.25">
      <c r="A404" s="131" t="s">
        <v>725</v>
      </c>
      <c r="B404" s="131" t="s">
        <v>460</v>
      </c>
      <c r="C404" s="131" t="s">
        <v>229</v>
      </c>
      <c r="D404" s="131" t="s">
        <v>805</v>
      </c>
      <c r="E404" s="131" t="s">
        <v>1281</v>
      </c>
      <c r="F404" s="131">
        <v>210</v>
      </c>
      <c r="G404" s="131">
        <v>86</v>
      </c>
      <c r="H404" s="132">
        <v>0.40952380952380951</v>
      </c>
    </row>
    <row r="405" spans="1:8" x14ac:dyDescent="0.25">
      <c r="A405" s="131" t="s">
        <v>726</v>
      </c>
      <c r="B405" s="131" t="s">
        <v>461</v>
      </c>
      <c r="C405" s="131" t="s">
        <v>228</v>
      </c>
      <c r="D405" s="131" t="s">
        <v>821</v>
      </c>
      <c r="E405" s="131" t="s">
        <v>1282</v>
      </c>
      <c r="F405" s="131">
        <v>163</v>
      </c>
      <c r="G405" s="131">
        <v>54</v>
      </c>
      <c r="H405" s="132">
        <v>0.33128834355828218</v>
      </c>
    </row>
    <row r="406" spans="1:8" x14ac:dyDescent="0.25">
      <c r="A406" s="131" t="s">
        <v>726</v>
      </c>
      <c r="B406" s="131" t="s">
        <v>461</v>
      </c>
      <c r="C406" s="131" t="s">
        <v>228</v>
      </c>
      <c r="D406" s="131" t="s">
        <v>1283</v>
      </c>
      <c r="E406" s="131" t="s">
        <v>1284</v>
      </c>
      <c r="F406" s="131">
        <v>295</v>
      </c>
      <c r="G406" s="131">
        <v>119</v>
      </c>
      <c r="H406" s="132">
        <v>0.4033898305084746</v>
      </c>
    </row>
    <row r="407" spans="1:8" x14ac:dyDescent="0.25">
      <c r="A407" s="131" t="s">
        <v>726</v>
      </c>
      <c r="B407" s="131" t="s">
        <v>461</v>
      </c>
      <c r="C407" s="131" t="s">
        <v>228</v>
      </c>
      <c r="D407" s="131" t="s">
        <v>805</v>
      </c>
      <c r="E407" s="131" t="s">
        <v>1244</v>
      </c>
      <c r="F407" s="131">
        <v>440</v>
      </c>
      <c r="G407" s="131">
        <v>177</v>
      </c>
      <c r="H407" s="132">
        <v>0.40227272727272728</v>
      </c>
    </row>
    <row r="408" spans="1:8" x14ac:dyDescent="0.25">
      <c r="A408" s="131" t="s">
        <v>723</v>
      </c>
      <c r="B408" s="131" t="s">
        <v>462</v>
      </c>
      <c r="C408" s="131" t="s">
        <v>227</v>
      </c>
      <c r="D408" s="131" t="s">
        <v>805</v>
      </c>
      <c r="E408" s="131" t="s">
        <v>1285</v>
      </c>
      <c r="F408" s="131">
        <v>159</v>
      </c>
      <c r="G408" s="131">
        <v>51</v>
      </c>
      <c r="H408" s="132">
        <v>0.32075471698113206</v>
      </c>
    </row>
    <row r="409" spans="1:8" x14ac:dyDescent="0.25">
      <c r="A409" s="131" t="s">
        <v>728</v>
      </c>
      <c r="B409" s="131" t="s">
        <v>463</v>
      </c>
      <c r="C409" s="131" t="s">
        <v>226</v>
      </c>
      <c r="D409" s="131" t="s">
        <v>821</v>
      </c>
      <c r="E409" s="131" t="s">
        <v>1286</v>
      </c>
      <c r="F409" s="131">
        <v>24</v>
      </c>
      <c r="G409" s="131">
        <v>10</v>
      </c>
      <c r="H409" s="132">
        <v>0.41666666666666669</v>
      </c>
    </row>
    <row r="410" spans="1:8" x14ac:dyDescent="0.25">
      <c r="A410" s="131" t="s">
        <v>728</v>
      </c>
      <c r="B410" s="131" t="s">
        <v>463</v>
      </c>
      <c r="C410" s="131" t="s">
        <v>226</v>
      </c>
      <c r="D410" s="131" t="s">
        <v>819</v>
      </c>
      <c r="E410" s="131" t="s">
        <v>1287</v>
      </c>
      <c r="F410" s="131">
        <v>106</v>
      </c>
      <c r="G410" s="131">
        <v>60</v>
      </c>
      <c r="H410" s="132">
        <v>0.56603773584905659</v>
      </c>
    </row>
    <row r="411" spans="1:8" x14ac:dyDescent="0.25">
      <c r="A411" s="131" t="s">
        <v>726</v>
      </c>
      <c r="B411" s="131" t="s">
        <v>464</v>
      </c>
      <c r="C411" s="131" t="s">
        <v>225</v>
      </c>
      <c r="D411" s="131" t="s">
        <v>803</v>
      </c>
      <c r="E411" s="131" t="s">
        <v>1288</v>
      </c>
      <c r="F411" s="131">
        <v>45</v>
      </c>
      <c r="G411" s="131">
        <v>19</v>
      </c>
      <c r="H411" s="132">
        <v>0.42222222222222222</v>
      </c>
    </row>
    <row r="412" spans="1:8" x14ac:dyDescent="0.25">
      <c r="A412" s="131" t="s">
        <v>726</v>
      </c>
      <c r="B412" s="131" t="s">
        <v>464</v>
      </c>
      <c r="C412" s="131" t="s">
        <v>225</v>
      </c>
      <c r="D412" s="131" t="s">
        <v>805</v>
      </c>
      <c r="E412" s="131" t="s">
        <v>1289</v>
      </c>
      <c r="F412" s="131">
        <v>209</v>
      </c>
      <c r="G412" s="131">
        <v>98</v>
      </c>
      <c r="H412" s="132">
        <v>0.46889952153110048</v>
      </c>
    </row>
    <row r="413" spans="1:8" x14ac:dyDescent="0.25">
      <c r="A413" s="131" t="s">
        <v>725</v>
      </c>
      <c r="B413" s="131" t="s">
        <v>465</v>
      </c>
      <c r="C413" s="131" t="s">
        <v>2</v>
      </c>
      <c r="D413" s="131" t="s">
        <v>805</v>
      </c>
      <c r="E413" s="131" t="s">
        <v>1290</v>
      </c>
      <c r="F413" s="131">
        <v>201</v>
      </c>
      <c r="G413" s="131">
        <v>108</v>
      </c>
      <c r="H413" s="132">
        <v>0.53731343283582089</v>
      </c>
    </row>
    <row r="414" spans="1:8" x14ac:dyDescent="0.25">
      <c r="A414" s="131" t="s">
        <v>725</v>
      </c>
      <c r="B414" s="131" t="s">
        <v>466</v>
      </c>
      <c r="C414" s="131" t="s">
        <v>224</v>
      </c>
      <c r="D414" s="131" t="s">
        <v>821</v>
      </c>
      <c r="E414" s="131" t="s">
        <v>1291</v>
      </c>
      <c r="F414" s="131">
        <v>274</v>
      </c>
      <c r="G414" s="131">
        <v>108</v>
      </c>
      <c r="H414" s="132">
        <v>0.39416058394160586</v>
      </c>
    </row>
    <row r="415" spans="1:8" x14ac:dyDescent="0.25">
      <c r="A415" s="131" t="s">
        <v>725</v>
      </c>
      <c r="B415" s="131" t="s">
        <v>466</v>
      </c>
      <c r="C415" s="131" t="s">
        <v>224</v>
      </c>
      <c r="D415" s="131" t="s">
        <v>805</v>
      </c>
      <c r="E415" s="131" t="s">
        <v>1292</v>
      </c>
      <c r="F415" s="131">
        <v>109</v>
      </c>
      <c r="G415" s="131">
        <v>51</v>
      </c>
      <c r="H415" s="132">
        <v>0.46788990825688076</v>
      </c>
    </row>
    <row r="416" spans="1:8" x14ac:dyDescent="0.25">
      <c r="A416" s="131" t="s">
        <v>725</v>
      </c>
      <c r="B416" s="131" t="s">
        <v>466</v>
      </c>
      <c r="C416" s="131" t="s">
        <v>224</v>
      </c>
      <c r="D416" s="131" t="s">
        <v>819</v>
      </c>
      <c r="E416" s="131" t="s">
        <v>1293</v>
      </c>
      <c r="F416" s="131">
        <v>246</v>
      </c>
      <c r="G416" s="131">
        <v>97</v>
      </c>
      <c r="H416" s="132">
        <v>0.39430894308943087</v>
      </c>
    </row>
    <row r="417" spans="1:8" x14ac:dyDescent="0.25">
      <c r="A417" s="131" t="s">
        <v>725</v>
      </c>
      <c r="B417" s="131" t="s">
        <v>466</v>
      </c>
      <c r="C417" s="131" t="s">
        <v>224</v>
      </c>
      <c r="D417" s="131" t="s">
        <v>807</v>
      </c>
      <c r="E417" s="131" t="s">
        <v>945</v>
      </c>
      <c r="F417" s="131">
        <v>101</v>
      </c>
      <c r="G417" s="131">
        <v>27</v>
      </c>
      <c r="H417" s="132">
        <v>0.26732673267326734</v>
      </c>
    </row>
    <row r="418" spans="1:8" x14ac:dyDescent="0.25">
      <c r="A418" s="131" t="s">
        <v>726</v>
      </c>
      <c r="B418" s="131" t="s">
        <v>467</v>
      </c>
      <c r="C418" s="131" t="s">
        <v>223</v>
      </c>
      <c r="D418" s="131" t="s">
        <v>875</v>
      </c>
      <c r="E418" s="131" t="s">
        <v>1294</v>
      </c>
      <c r="F418" s="131">
        <v>39</v>
      </c>
      <c r="G418" s="131">
        <v>15</v>
      </c>
      <c r="H418" s="132">
        <v>0.38461538461538464</v>
      </c>
    </row>
    <row r="419" spans="1:8" x14ac:dyDescent="0.25">
      <c r="A419" s="131" t="s">
        <v>726</v>
      </c>
      <c r="B419" s="131" t="s">
        <v>467</v>
      </c>
      <c r="C419" s="131" t="s">
        <v>223</v>
      </c>
      <c r="D419" s="131" t="s">
        <v>813</v>
      </c>
      <c r="E419" s="131" t="s">
        <v>1295</v>
      </c>
      <c r="F419" s="131">
        <v>140</v>
      </c>
      <c r="G419" s="131">
        <v>61</v>
      </c>
      <c r="H419" s="132">
        <v>0.43571428571428572</v>
      </c>
    </row>
    <row r="420" spans="1:8" x14ac:dyDescent="0.25">
      <c r="A420" s="131" t="s">
        <v>725</v>
      </c>
      <c r="B420" s="131" t="s">
        <v>468</v>
      </c>
      <c r="C420" s="131" t="s">
        <v>222</v>
      </c>
      <c r="D420" s="131" t="s">
        <v>821</v>
      </c>
      <c r="E420" s="131" t="s">
        <v>1296</v>
      </c>
      <c r="F420" s="131">
        <v>115</v>
      </c>
      <c r="G420" s="131">
        <v>32</v>
      </c>
      <c r="H420" s="132">
        <v>0.27826086956521739</v>
      </c>
    </row>
    <row r="421" spans="1:8" x14ac:dyDescent="0.25">
      <c r="A421" s="131" t="s">
        <v>725</v>
      </c>
      <c r="B421" s="131" t="s">
        <v>468</v>
      </c>
      <c r="C421" s="131" t="s">
        <v>222</v>
      </c>
      <c r="D421" s="131" t="s">
        <v>805</v>
      </c>
      <c r="E421" s="131" t="s">
        <v>1297</v>
      </c>
      <c r="F421" s="131">
        <v>200</v>
      </c>
      <c r="G421" s="131">
        <v>46</v>
      </c>
      <c r="H421" s="132">
        <v>0.23</v>
      </c>
    </row>
    <row r="422" spans="1:8" x14ac:dyDescent="0.25">
      <c r="A422" s="131" t="s">
        <v>723</v>
      </c>
      <c r="B422" s="131" t="s">
        <v>469</v>
      </c>
      <c r="C422" s="131" t="s">
        <v>221</v>
      </c>
      <c r="D422" s="131" t="s">
        <v>805</v>
      </c>
      <c r="E422" s="131" t="s">
        <v>1298</v>
      </c>
      <c r="F422" s="131">
        <v>209</v>
      </c>
      <c r="G422" s="131">
        <v>81</v>
      </c>
      <c r="H422" s="132">
        <v>0.38755980861244022</v>
      </c>
    </row>
    <row r="423" spans="1:8" x14ac:dyDescent="0.25">
      <c r="A423" s="131" t="s">
        <v>732</v>
      </c>
      <c r="B423" s="131" t="s">
        <v>470</v>
      </c>
      <c r="C423" s="131" t="s">
        <v>220</v>
      </c>
      <c r="D423" s="131" t="s">
        <v>821</v>
      </c>
      <c r="E423" s="131" t="s">
        <v>1299</v>
      </c>
      <c r="F423" s="131">
        <v>36</v>
      </c>
      <c r="G423" s="131">
        <v>11</v>
      </c>
      <c r="H423" s="132">
        <v>0.30555555555555558</v>
      </c>
    </row>
    <row r="424" spans="1:8" x14ac:dyDescent="0.25">
      <c r="A424" s="131" t="s">
        <v>732</v>
      </c>
      <c r="B424" s="131" t="s">
        <v>470</v>
      </c>
      <c r="C424" s="131" t="s">
        <v>220</v>
      </c>
      <c r="D424" s="131" t="s">
        <v>805</v>
      </c>
      <c r="E424" s="131" t="s">
        <v>1300</v>
      </c>
      <c r="F424" s="131">
        <v>192</v>
      </c>
      <c r="G424" s="131">
        <v>79</v>
      </c>
      <c r="H424" s="132">
        <v>0.41145833333333331</v>
      </c>
    </row>
    <row r="425" spans="1:8" x14ac:dyDescent="0.25">
      <c r="A425" s="131" t="s">
        <v>732</v>
      </c>
      <c r="B425" s="131" t="s">
        <v>470</v>
      </c>
      <c r="C425" s="131" t="s">
        <v>220</v>
      </c>
      <c r="D425" s="131" t="s">
        <v>1301</v>
      </c>
      <c r="E425" s="131" t="s">
        <v>1302</v>
      </c>
      <c r="F425" s="131">
        <v>137</v>
      </c>
      <c r="G425" s="131">
        <v>65</v>
      </c>
      <c r="H425" s="132">
        <v>0.47445255474452552</v>
      </c>
    </row>
    <row r="426" spans="1:8" x14ac:dyDescent="0.25">
      <c r="A426" s="131" t="s">
        <v>730</v>
      </c>
      <c r="B426" s="131" t="s">
        <v>471</v>
      </c>
      <c r="C426" s="131" t="s">
        <v>219</v>
      </c>
      <c r="D426" s="131" t="s">
        <v>813</v>
      </c>
      <c r="E426" s="131" t="s">
        <v>1303</v>
      </c>
      <c r="F426" s="131">
        <v>151</v>
      </c>
      <c r="G426" s="131">
        <v>56</v>
      </c>
      <c r="H426" s="132">
        <v>0.37086092715231789</v>
      </c>
    </row>
    <row r="427" spans="1:8" x14ac:dyDescent="0.25">
      <c r="A427" s="131" t="s">
        <v>726</v>
      </c>
      <c r="B427" s="131" t="s">
        <v>472</v>
      </c>
      <c r="C427" s="131" t="s">
        <v>218</v>
      </c>
      <c r="D427" s="131" t="s">
        <v>813</v>
      </c>
      <c r="E427" s="131" t="s">
        <v>1304</v>
      </c>
      <c r="F427" s="131">
        <v>83</v>
      </c>
      <c r="G427" s="131">
        <v>64</v>
      </c>
      <c r="H427" s="132">
        <v>0.77108433734939763</v>
      </c>
    </row>
    <row r="428" spans="1:8" x14ac:dyDescent="0.25">
      <c r="A428" s="131" t="s">
        <v>725</v>
      </c>
      <c r="B428" s="131" t="s">
        <v>473</v>
      </c>
      <c r="C428" s="131" t="s">
        <v>217</v>
      </c>
      <c r="D428" s="131" t="s">
        <v>821</v>
      </c>
      <c r="E428" s="131" t="s">
        <v>1305</v>
      </c>
      <c r="F428" s="131">
        <v>195</v>
      </c>
      <c r="G428" s="131">
        <v>127</v>
      </c>
      <c r="H428" s="132">
        <v>0.6512820512820513</v>
      </c>
    </row>
    <row r="429" spans="1:8" x14ac:dyDescent="0.25">
      <c r="A429" s="131" t="s">
        <v>725</v>
      </c>
      <c r="B429" s="131" t="s">
        <v>473</v>
      </c>
      <c r="C429" s="131" t="s">
        <v>217</v>
      </c>
      <c r="D429" s="131" t="s">
        <v>859</v>
      </c>
      <c r="E429" s="131" t="s">
        <v>1306</v>
      </c>
      <c r="F429" s="131">
        <v>316</v>
      </c>
      <c r="G429" s="131">
        <v>215</v>
      </c>
      <c r="H429" s="132">
        <v>0.680379746835443</v>
      </c>
    </row>
    <row r="430" spans="1:8" x14ac:dyDescent="0.25">
      <c r="A430" s="131" t="s">
        <v>726</v>
      </c>
      <c r="B430" s="131" t="s">
        <v>474</v>
      </c>
      <c r="C430" s="131" t="s">
        <v>216</v>
      </c>
      <c r="D430" s="131" t="s">
        <v>821</v>
      </c>
      <c r="E430" s="131" t="s">
        <v>1307</v>
      </c>
      <c r="F430" s="131">
        <v>116</v>
      </c>
      <c r="G430" s="131">
        <v>50</v>
      </c>
      <c r="H430" s="132">
        <v>0.43103448275862066</v>
      </c>
    </row>
    <row r="431" spans="1:8" x14ac:dyDescent="0.25">
      <c r="A431" s="131" t="s">
        <v>726</v>
      </c>
      <c r="B431" s="131" t="s">
        <v>474</v>
      </c>
      <c r="C431" s="131" t="s">
        <v>216</v>
      </c>
      <c r="D431" s="131" t="s">
        <v>813</v>
      </c>
      <c r="E431" s="131" t="s">
        <v>1308</v>
      </c>
      <c r="F431" s="131">
        <v>201</v>
      </c>
      <c r="G431" s="131">
        <v>93</v>
      </c>
      <c r="H431" s="132">
        <v>0.46268656716417911</v>
      </c>
    </row>
    <row r="432" spans="1:8" x14ac:dyDescent="0.25">
      <c r="A432" s="131" t="s">
        <v>726</v>
      </c>
      <c r="B432" s="131" t="s">
        <v>474</v>
      </c>
      <c r="C432" s="131" t="s">
        <v>216</v>
      </c>
      <c r="D432" s="131" t="s">
        <v>819</v>
      </c>
      <c r="E432" s="131" t="s">
        <v>1309</v>
      </c>
      <c r="F432" s="131">
        <v>290</v>
      </c>
      <c r="G432" s="131">
        <v>122</v>
      </c>
      <c r="H432" s="132">
        <v>0.4206896551724138</v>
      </c>
    </row>
    <row r="433" spans="1:8" x14ac:dyDescent="0.25">
      <c r="A433" s="131" t="s">
        <v>728</v>
      </c>
      <c r="B433" s="131" t="s">
        <v>476</v>
      </c>
      <c r="C433" s="131" t="s">
        <v>215</v>
      </c>
      <c r="D433" s="131" t="s">
        <v>875</v>
      </c>
      <c r="E433" s="131" t="s">
        <v>1310</v>
      </c>
      <c r="F433" s="131">
        <v>17</v>
      </c>
      <c r="G433" s="131">
        <v>3</v>
      </c>
      <c r="H433" s="132">
        <v>0.17647058823529413</v>
      </c>
    </row>
    <row r="434" spans="1:8" x14ac:dyDescent="0.25">
      <c r="A434" s="131" t="s">
        <v>728</v>
      </c>
      <c r="B434" s="131" t="s">
        <v>476</v>
      </c>
      <c r="C434" s="131" t="s">
        <v>215</v>
      </c>
      <c r="D434" s="131" t="s">
        <v>805</v>
      </c>
      <c r="E434" s="131" t="s">
        <v>1311</v>
      </c>
      <c r="F434" s="131">
        <v>116</v>
      </c>
      <c r="G434" s="131">
        <v>39</v>
      </c>
      <c r="H434" s="132">
        <v>0.33620689655172414</v>
      </c>
    </row>
    <row r="435" spans="1:8" x14ac:dyDescent="0.25">
      <c r="A435" s="131" t="s">
        <v>727</v>
      </c>
      <c r="B435" s="131" t="s">
        <v>477</v>
      </c>
      <c r="C435" s="131" t="s">
        <v>214</v>
      </c>
      <c r="D435" s="131" t="s">
        <v>821</v>
      </c>
      <c r="E435" s="131" t="s">
        <v>1312</v>
      </c>
      <c r="F435" s="131">
        <v>98</v>
      </c>
      <c r="G435" s="131">
        <v>55</v>
      </c>
      <c r="H435" s="132">
        <v>0.56122448979591832</v>
      </c>
    </row>
    <row r="436" spans="1:8" x14ac:dyDescent="0.25">
      <c r="A436" s="131" t="s">
        <v>727</v>
      </c>
      <c r="B436" s="131" t="s">
        <v>477</v>
      </c>
      <c r="C436" s="131" t="s">
        <v>214</v>
      </c>
      <c r="D436" s="131" t="s">
        <v>805</v>
      </c>
      <c r="E436" s="131" t="s">
        <v>1313</v>
      </c>
      <c r="F436" s="131">
        <v>140</v>
      </c>
      <c r="G436" s="131">
        <v>74</v>
      </c>
      <c r="H436" s="132">
        <v>0.52857142857142858</v>
      </c>
    </row>
    <row r="437" spans="1:8" x14ac:dyDescent="0.25">
      <c r="A437" s="131" t="s">
        <v>730</v>
      </c>
      <c r="B437" s="131" t="s">
        <v>478</v>
      </c>
      <c r="C437" s="131" t="s">
        <v>213</v>
      </c>
      <c r="D437" s="131" t="s">
        <v>821</v>
      </c>
      <c r="E437" s="131" t="s">
        <v>1314</v>
      </c>
      <c r="F437" s="131">
        <v>43</v>
      </c>
      <c r="G437" s="131">
        <v>8</v>
      </c>
      <c r="H437" s="132">
        <v>0.18604651162790697</v>
      </c>
    </row>
    <row r="438" spans="1:8" x14ac:dyDescent="0.25">
      <c r="A438" s="131" t="s">
        <v>730</v>
      </c>
      <c r="B438" s="131" t="s">
        <v>478</v>
      </c>
      <c r="C438" s="131" t="s">
        <v>213</v>
      </c>
      <c r="D438" s="131" t="s">
        <v>813</v>
      </c>
      <c r="E438" s="131" t="s">
        <v>1315</v>
      </c>
      <c r="F438" s="131">
        <v>197</v>
      </c>
      <c r="G438" s="131">
        <v>39</v>
      </c>
      <c r="H438" s="132">
        <v>0.19796954314720813</v>
      </c>
    </row>
    <row r="439" spans="1:8" x14ac:dyDescent="0.25">
      <c r="A439" s="131" t="s">
        <v>727</v>
      </c>
      <c r="B439" s="131" t="s">
        <v>479</v>
      </c>
      <c r="C439" s="131" t="s">
        <v>212</v>
      </c>
      <c r="D439" s="131" t="s">
        <v>821</v>
      </c>
      <c r="E439" s="131" t="s">
        <v>1316</v>
      </c>
      <c r="F439" s="131">
        <v>168</v>
      </c>
      <c r="G439" s="131">
        <v>42</v>
      </c>
      <c r="H439" s="132">
        <v>0.25</v>
      </c>
    </row>
    <row r="440" spans="1:8" x14ac:dyDescent="0.25">
      <c r="A440" s="131" t="s">
        <v>727</v>
      </c>
      <c r="B440" s="131" t="s">
        <v>479</v>
      </c>
      <c r="C440" s="131" t="s">
        <v>212</v>
      </c>
      <c r="D440" s="131" t="s">
        <v>805</v>
      </c>
      <c r="E440" s="131" t="s">
        <v>1317</v>
      </c>
      <c r="F440" s="131">
        <v>160</v>
      </c>
      <c r="G440" s="131">
        <v>26</v>
      </c>
      <c r="H440" s="132">
        <v>0.16250000000000001</v>
      </c>
    </row>
    <row r="441" spans="1:8" x14ac:dyDescent="0.25">
      <c r="A441" s="131" t="s">
        <v>732</v>
      </c>
      <c r="B441" s="131" t="s">
        <v>480</v>
      </c>
      <c r="C441" s="131" t="s">
        <v>211</v>
      </c>
      <c r="D441" s="131" t="s">
        <v>805</v>
      </c>
      <c r="E441" s="131" t="s">
        <v>1318</v>
      </c>
      <c r="F441" s="131">
        <v>363</v>
      </c>
      <c r="G441" s="131">
        <v>205</v>
      </c>
      <c r="H441" s="132">
        <v>0.56473829201101933</v>
      </c>
    </row>
    <row r="442" spans="1:8" x14ac:dyDescent="0.25">
      <c r="A442" s="131" t="s">
        <v>725</v>
      </c>
      <c r="B442" s="131" t="s">
        <v>481</v>
      </c>
      <c r="C442" s="131" t="s">
        <v>210</v>
      </c>
      <c r="D442" s="131" t="s">
        <v>805</v>
      </c>
      <c r="E442" s="131" t="s">
        <v>1319</v>
      </c>
      <c r="F442" s="131">
        <v>74</v>
      </c>
      <c r="G442" s="131">
        <v>32</v>
      </c>
      <c r="H442" s="132">
        <v>0.43243243243243246</v>
      </c>
    </row>
    <row r="443" spans="1:8" x14ac:dyDescent="0.25">
      <c r="A443" s="131" t="s">
        <v>725</v>
      </c>
      <c r="B443" s="131" t="s">
        <v>481</v>
      </c>
      <c r="C443" s="131" t="s">
        <v>210</v>
      </c>
      <c r="D443" s="131" t="s">
        <v>813</v>
      </c>
      <c r="E443" s="131" t="s">
        <v>1320</v>
      </c>
      <c r="F443" s="131">
        <v>122</v>
      </c>
      <c r="G443" s="131">
        <v>46</v>
      </c>
      <c r="H443" s="132">
        <v>0.37704918032786883</v>
      </c>
    </row>
    <row r="444" spans="1:8" x14ac:dyDescent="0.25">
      <c r="A444" s="131" t="s">
        <v>725</v>
      </c>
      <c r="B444" s="131" t="s">
        <v>482</v>
      </c>
      <c r="C444" s="131" t="s">
        <v>209</v>
      </c>
      <c r="D444" s="131" t="s">
        <v>805</v>
      </c>
      <c r="E444" s="131" t="s">
        <v>1321</v>
      </c>
      <c r="F444" s="131">
        <v>346</v>
      </c>
      <c r="G444" s="131">
        <v>102</v>
      </c>
      <c r="H444" s="132">
        <v>0.2947976878612717</v>
      </c>
    </row>
    <row r="445" spans="1:8" x14ac:dyDescent="0.25">
      <c r="A445" s="131" t="s">
        <v>728</v>
      </c>
      <c r="B445" s="131" t="s">
        <v>483</v>
      </c>
      <c r="C445" s="131" t="s">
        <v>208</v>
      </c>
      <c r="D445" s="131" t="s">
        <v>821</v>
      </c>
      <c r="E445" s="131" t="s">
        <v>1322</v>
      </c>
      <c r="F445" s="131">
        <v>200</v>
      </c>
      <c r="G445" s="131">
        <v>80</v>
      </c>
      <c r="H445" s="132">
        <v>0.4</v>
      </c>
    </row>
    <row r="446" spans="1:8" x14ac:dyDescent="0.25">
      <c r="A446" s="131" t="s">
        <v>728</v>
      </c>
      <c r="B446" s="131" t="s">
        <v>483</v>
      </c>
      <c r="C446" s="131" t="s">
        <v>208</v>
      </c>
      <c r="D446" s="131" t="s">
        <v>819</v>
      </c>
      <c r="E446" s="131" t="s">
        <v>1323</v>
      </c>
      <c r="F446" s="131">
        <v>368</v>
      </c>
      <c r="G446" s="131">
        <v>140</v>
      </c>
      <c r="H446" s="132">
        <v>0.38043478260869568</v>
      </c>
    </row>
    <row r="447" spans="1:8" x14ac:dyDescent="0.25">
      <c r="A447" s="131" t="s">
        <v>725</v>
      </c>
      <c r="B447" s="131" t="s">
        <v>484</v>
      </c>
      <c r="C447" s="131" t="s">
        <v>207</v>
      </c>
      <c r="D447" s="131" t="s">
        <v>805</v>
      </c>
      <c r="E447" s="131" t="s">
        <v>853</v>
      </c>
      <c r="F447" s="131">
        <v>196</v>
      </c>
      <c r="G447" s="131">
        <v>86</v>
      </c>
      <c r="H447" s="132">
        <v>0.43877551020408162</v>
      </c>
    </row>
    <row r="448" spans="1:8" x14ac:dyDescent="0.25">
      <c r="A448" s="131" t="s">
        <v>725</v>
      </c>
      <c r="B448" s="131" t="s">
        <v>484</v>
      </c>
      <c r="C448" s="131" t="s">
        <v>207</v>
      </c>
      <c r="D448" s="131" t="s">
        <v>819</v>
      </c>
      <c r="E448" s="131" t="s">
        <v>1244</v>
      </c>
      <c r="F448" s="131">
        <v>398</v>
      </c>
      <c r="G448" s="131">
        <v>174</v>
      </c>
      <c r="H448" s="132">
        <v>0.43718592964824121</v>
      </c>
    </row>
    <row r="449" spans="1:8" x14ac:dyDescent="0.25">
      <c r="A449" s="131" t="s">
        <v>723</v>
      </c>
      <c r="B449" s="131" t="s">
        <v>485</v>
      </c>
      <c r="C449" s="131" t="s">
        <v>206</v>
      </c>
      <c r="D449" s="131" t="s">
        <v>805</v>
      </c>
      <c r="E449" s="131" t="s">
        <v>1324</v>
      </c>
      <c r="F449" s="131">
        <v>380</v>
      </c>
      <c r="G449" s="131">
        <v>131</v>
      </c>
      <c r="H449" s="132">
        <v>0.34473684210526317</v>
      </c>
    </row>
    <row r="450" spans="1:8" x14ac:dyDescent="0.25">
      <c r="A450" s="131" t="s">
        <v>723</v>
      </c>
      <c r="B450" s="131" t="s">
        <v>485</v>
      </c>
      <c r="C450" s="131" t="s">
        <v>206</v>
      </c>
      <c r="D450" s="131" t="s">
        <v>813</v>
      </c>
      <c r="E450" s="131" t="s">
        <v>1325</v>
      </c>
      <c r="F450" s="131">
        <v>300</v>
      </c>
      <c r="G450" s="131">
        <v>121</v>
      </c>
      <c r="H450" s="132">
        <v>0.40333333333333332</v>
      </c>
    </row>
    <row r="451" spans="1:8" x14ac:dyDescent="0.25">
      <c r="A451" s="131" t="s">
        <v>723</v>
      </c>
      <c r="B451" s="131" t="s">
        <v>485</v>
      </c>
      <c r="C451" s="131" t="s">
        <v>206</v>
      </c>
      <c r="D451" s="131" t="s">
        <v>819</v>
      </c>
      <c r="E451" s="131" t="s">
        <v>1212</v>
      </c>
      <c r="F451" s="131">
        <v>380</v>
      </c>
      <c r="G451" s="131">
        <v>94</v>
      </c>
      <c r="H451" s="132">
        <v>0.24736842105263157</v>
      </c>
    </row>
    <row r="452" spans="1:8" x14ac:dyDescent="0.25">
      <c r="A452" s="131" t="s">
        <v>723</v>
      </c>
      <c r="B452" s="131" t="s">
        <v>485</v>
      </c>
      <c r="C452" s="131" t="s">
        <v>206</v>
      </c>
      <c r="D452" s="131" t="s">
        <v>965</v>
      </c>
      <c r="E452" s="131" t="s">
        <v>1326</v>
      </c>
      <c r="F452" s="131">
        <v>298</v>
      </c>
      <c r="G452" s="131">
        <v>86</v>
      </c>
      <c r="H452" s="132">
        <v>0.28859060402684567</v>
      </c>
    </row>
    <row r="453" spans="1:8" x14ac:dyDescent="0.25">
      <c r="A453" s="131" t="s">
        <v>723</v>
      </c>
      <c r="B453" s="131" t="s">
        <v>485</v>
      </c>
      <c r="C453" s="131" t="s">
        <v>206</v>
      </c>
      <c r="D453" s="131" t="s">
        <v>807</v>
      </c>
      <c r="E453" s="131" t="s">
        <v>1046</v>
      </c>
      <c r="F453" s="131">
        <v>249</v>
      </c>
      <c r="G453" s="131">
        <v>82</v>
      </c>
      <c r="H453" s="132">
        <v>0.32931726907630521</v>
      </c>
    </row>
    <row r="454" spans="1:8" x14ac:dyDescent="0.25">
      <c r="A454" s="131" t="s">
        <v>723</v>
      </c>
      <c r="B454" s="131" t="s">
        <v>486</v>
      </c>
      <c r="C454" s="131" t="s">
        <v>205</v>
      </c>
      <c r="D454" s="131" t="s">
        <v>828</v>
      </c>
      <c r="E454" s="131" t="s">
        <v>1327</v>
      </c>
      <c r="F454" s="131">
        <v>138</v>
      </c>
      <c r="G454" s="131">
        <v>48</v>
      </c>
      <c r="H454" s="132">
        <v>0.34782608695652173</v>
      </c>
    </row>
    <row r="455" spans="1:8" x14ac:dyDescent="0.25">
      <c r="A455" s="131" t="s">
        <v>723</v>
      </c>
      <c r="B455" s="131" t="s">
        <v>486</v>
      </c>
      <c r="C455" s="131" t="s">
        <v>205</v>
      </c>
      <c r="D455" s="131" t="s">
        <v>813</v>
      </c>
      <c r="E455" s="131" t="s">
        <v>1328</v>
      </c>
      <c r="F455" s="131">
        <v>210</v>
      </c>
      <c r="G455" s="131">
        <v>63</v>
      </c>
      <c r="H455" s="132">
        <v>0.3</v>
      </c>
    </row>
    <row r="456" spans="1:8" x14ac:dyDescent="0.25">
      <c r="A456" s="131" t="s">
        <v>730</v>
      </c>
      <c r="B456" s="131" t="s">
        <v>487</v>
      </c>
      <c r="C456" s="131" t="s">
        <v>204</v>
      </c>
      <c r="D456" s="131" t="s">
        <v>1329</v>
      </c>
      <c r="E456" s="131" t="s">
        <v>1330</v>
      </c>
      <c r="F456" s="131">
        <v>425</v>
      </c>
      <c r="G456" s="131">
        <v>153</v>
      </c>
      <c r="H456" s="132">
        <v>0.36</v>
      </c>
    </row>
    <row r="457" spans="1:8" x14ac:dyDescent="0.25">
      <c r="A457" s="131" t="s">
        <v>730</v>
      </c>
      <c r="B457" s="131" t="s">
        <v>487</v>
      </c>
      <c r="C457" s="131" t="s">
        <v>204</v>
      </c>
      <c r="D457" s="131" t="s">
        <v>1331</v>
      </c>
      <c r="E457" s="131" t="s">
        <v>1332</v>
      </c>
      <c r="F457" s="131">
        <v>377</v>
      </c>
      <c r="G457" s="131">
        <v>187</v>
      </c>
      <c r="H457" s="132">
        <v>0.49602122015915118</v>
      </c>
    </row>
    <row r="458" spans="1:8" x14ac:dyDescent="0.25">
      <c r="A458" s="131" t="s">
        <v>730</v>
      </c>
      <c r="B458" s="131" t="s">
        <v>487</v>
      </c>
      <c r="C458" s="131" t="s">
        <v>204</v>
      </c>
      <c r="D458" s="131" t="s">
        <v>1283</v>
      </c>
      <c r="E458" s="131" t="s">
        <v>1333</v>
      </c>
      <c r="F458" s="131">
        <v>236</v>
      </c>
      <c r="G458" s="131">
        <v>171</v>
      </c>
      <c r="H458" s="132">
        <v>0.72457627118644063</v>
      </c>
    </row>
    <row r="459" spans="1:8" x14ac:dyDescent="0.25">
      <c r="A459" s="131" t="s">
        <v>730</v>
      </c>
      <c r="B459" s="131" t="s">
        <v>487</v>
      </c>
      <c r="C459" s="131" t="s">
        <v>204</v>
      </c>
      <c r="D459" s="131" t="s">
        <v>1334</v>
      </c>
      <c r="E459" s="131" t="s">
        <v>1335</v>
      </c>
      <c r="F459" s="131">
        <v>157</v>
      </c>
      <c r="G459" s="131">
        <v>114</v>
      </c>
      <c r="H459" s="132">
        <v>0.72611464968152861</v>
      </c>
    </row>
    <row r="460" spans="1:8" x14ac:dyDescent="0.25">
      <c r="A460" s="131" t="s">
        <v>730</v>
      </c>
      <c r="B460" s="131" t="s">
        <v>487</v>
      </c>
      <c r="C460" s="131" t="s">
        <v>204</v>
      </c>
      <c r="D460" s="131" t="s">
        <v>881</v>
      </c>
      <c r="E460" s="131" t="s">
        <v>1336</v>
      </c>
      <c r="F460" s="131">
        <v>369</v>
      </c>
      <c r="G460" s="131">
        <v>187</v>
      </c>
      <c r="H460" s="132">
        <v>0.50677506775067749</v>
      </c>
    </row>
    <row r="461" spans="1:8" x14ac:dyDescent="0.25">
      <c r="A461" s="131" t="s">
        <v>730</v>
      </c>
      <c r="B461" s="131" t="s">
        <v>487</v>
      </c>
      <c r="C461" s="131" t="s">
        <v>204</v>
      </c>
      <c r="D461" s="131" t="s">
        <v>1098</v>
      </c>
      <c r="E461" s="131" t="s">
        <v>1337</v>
      </c>
      <c r="F461" s="131">
        <v>322</v>
      </c>
      <c r="G461" s="131">
        <v>86</v>
      </c>
      <c r="H461" s="132">
        <v>0.26708074534161491</v>
      </c>
    </row>
    <row r="462" spans="1:8" x14ac:dyDescent="0.25">
      <c r="A462" s="131" t="s">
        <v>730</v>
      </c>
      <c r="B462" s="131" t="s">
        <v>487</v>
      </c>
      <c r="C462" s="131" t="s">
        <v>204</v>
      </c>
      <c r="D462" s="131" t="s">
        <v>813</v>
      </c>
      <c r="E462" s="131" t="s">
        <v>915</v>
      </c>
      <c r="F462" s="131">
        <v>203</v>
      </c>
      <c r="G462" s="131">
        <v>59</v>
      </c>
      <c r="H462" s="132">
        <v>0.29064039408866993</v>
      </c>
    </row>
    <row r="463" spans="1:8" x14ac:dyDescent="0.25">
      <c r="A463" s="131" t="s">
        <v>730</v>
      </c>
      <c r="B463" s="131" t="s">
        <v>487</v>
      </c>
      <c r="C463" s="131" t="s">
        <v>204</v>
      </c>
      <c r="D463" s="131" t="s">
        <v>819</v>
      </c>
      <c r="E463" s="131" t="s">
        <v>892</v>
      </c>
      <c r="F463" s="131">
        <v>355</v>
      </c>
      <c r="G463" s="131">
        <v>148</v>
      </c>
      <c r="H463" s="132">
        <v>0.41690140845070423</v>
      </c>
    </row>
    <row r="464" spans="1:8" x14ac:dyDescent="0.25">
      <c r="A464" s="131" t="s">
        <v>730</v>
      </c>
      <c r="B464" s="131" t="s">
        <v>487</v>
      </c>
      <c r="C464" s="131" t="s">
        <v>204</v>
      </c>
      <c r="D464" s="131" t="s">
        <v>1338</v>
      </c>
      <c r="E464" s="131" t="s">
        <v>1339</v>
      </c>
      <c r="F464" s="131">
        <v>398</v>
      </c>
      <c r="G464" s="131">
        <v>165</v>
      </c>
      <c r="H464" s="132">
        <v>0.41457286432160806</v>
      </c>
    </row>
    <row r="465" spans="1:8" x14ac:dyDescent="0.25">
      <c r="A465" s="131" t="s">
        <v>730</v>
      </c>
      <c r="B465" s="131" t="s">
        <v>487</v>
      </c>
      <c r="C465" s="131" t="s">
        <v>204</v>
      </c>
      <c r="D465" s="131" t="s">
        <v>807</v>
      </c>
      <c r="E465" s="131" t="s">
        <v>1340</v>
      </c>
      <c r="F465" s="131">
        <v>298</v>
      </c>
      <c r="G465" s="131">
        <v>144</v>
      </c>
      <c r="H465" s="132">
        <v>0.48322147651006714</v>
      </c>
    </row>
    <row r="466" spans="1:8" x14ac:dyDescent="0.25">
      <c r="A466" s="131" t="s">
        <v>730</v>
      </c>
      <c r="B466" s="131" t="s">
        <v>487</v>
      </c>
      <c r="C466" s="131" t="s">
        <v>204</v>
      </c>
      <c r="D466" s="131" t="s">
        <v>1053</v>
      </c>
      <c r="E466" s="131" t="s">
        <v>1341</v>
      </c>
      <c r="F466" s="131">
        <v>268</v>
      </c>
      <c r="G466" s="131">
        <v>183</v>
      </c>
      <c r="H466" s="132">
        <v>0.68283582089552242</v>
      </c>
    </row>
    <row r="467" spans="1:8" x14ac:dyDescent="0.25">
      <c r="A467" s="131" t="s">
        <v>730</v>
      </c>
      <c r="B467" s="131" t="s">
        <v>487</v>
      </c>
      <c r="C467" s="131" t="s">
        <v>204</v>
      </c>
      <c r="D467" s="131" t="s">
        <v>859</v>
      </c>
      <c r="E467" s="131" t="s">
        <v>1342</v>
      </c>
      <c r="F467" s="131">
        <v>215</v>
      </c>
      <c r="G467" s="131">
        <v>80</v>
      </c>
      <c r="H467" s="132">
        <v>0.37209302325581395</v>
      </c>
    </row>
    <row r="468" spans="1:8" x14ac:dyDescent="0.25">
      <c r="A468" s="131" t="s">
        <v>730</v>
      </c>
      <c r="B468" s="131" t="s">
        <v>487</v>
      </c>
      <c r="C468" s="131" t="s">
        <v>204</v>
      </c>
      <c r="D468" s="131" t="s">
        <v>861</v>
      </c>
      <c r="E468" s="131" t="s">
        <v>1343</v>
      </c>
      <c r="F468" s="131">
        <v>421</v>
      </c>
      <c r="G468" s="131">
        <v>58</v>
      </c>
      <c r="H468" s="132">
        <v>0.13776722090261281</v>
      </c>
    </row>
    <row r="469" spans="1:8" x14ac:dyDescent="0.25">
      <c r="A469" s="131" t="s">
        <v>730</v>
      </c>
      <c r="B469" s="131" t="s">
        <v>487</v>
      </c>
      <c r="C469" s="131" t="s">
        <v>204</v>
      </c>
      <c r="D469" s="131" t="s">
        <v>952</v>
      </c>
      <c r="E469" s="131" t="s">
        <v>902</v>
      </c>
      <c r="F469" s="131">
        <v>354</v>
      </c>
      <c r="G469" s="131">
        <v>176</v>
      </c>
      <c r="H469" s="132">
        <v>0.49717514124293788</v>
      </c>
    </row>
    <row r="470" spans="1:8" x14ac:dyDescent="0.25">
      <c r="A470" s="131" t="s">
        <v>730</v>
      </c>
      <c r="B470" s="131" t="s">
        <v>487</v>
      </c>
      <c r="C470" s="131" t="s">
        <v>204</v>
      </c>
      <c r="D470" s="131" t="s">
        <v>1344</v>
      </c>
      <c r="E470" s="131" t="s">
        <v>1345</v>
      </c>
      <c r="F470" s="131">
        <v>189</v>
      </c>
      <c r="G470" s="131">
        <v>35</v>
      </c>
      <c r="H470" s="132">
        <v>0.18518518518518517</v>
      </c>
    </row>
    <row r="471" spans="1:8" x14ac:dyDescent="0.25">
      <c r="A471" s="131" t="s">
        <v>730</v>
      </c>
      <c r="B471" s="131" t="s">
        <v>487</v>
      </c>
      <c r="C471" s="131" t="s">
        <v>204</v>
      </c>
      <c r="D471" s="131" t="s">
        <v>364</v>
      </c>
      <c r="E471" s="131" t="s">
        <v>1346</v>
      </c>
      <c r="F471" s="131">
        <v>176</v>
      </c>
      <c r="G471" s="131">
        <v>98</v>
      </c>
      <c r="H471" s="132">
        <v>0.55681818181818177</v>
      </c>
    </row>
    <row r="472" spans="1:8" x14ac:dyDescent="0.25">
      <c r="A472" s="131" t="s">
        <v>730</v>
      </c>
      <c r="B472" s="131" t="s">
        <v>487</v>
      </c>
      <c r="C472" s="131" t="s">
        <v>204</v>
      </c>
      <c r="D472" s="131" t="s">
        <v>1102</v>
      </c>
      <c r="E472" s="131" t="s">
        <v>1347</v>
      </c>
      <c r="F472" s="131">
        <v>443</v>
      </c>
      <c r="G472" s="131">
        <v>64</v>
      </c>
      <c r="H472" s="132">
        <v>0.14446952595936793</v>
      </c>
    </row>
    <row r="473" spans="1:8" x14ac:dyDescent="0.25">
      <c r="A473" s="131" t="s">
        <v>730</v>
      </c>
      <c r="B473" s="131" t="s">
        <v>487</v>
      </c>
      <c r="C473" s="131" t="s">
        <v>204</v>
      </c>
      <c r="D473" s="131" t="s">
        <v>844</v>
      </c>
      <c r="E473" s="131" t="s">
        <v>901</v>
      </c>
      <c r="F473" s="131">
        <v>279</v>
      </c>
      <c r="G473" s="131">
        <v>197</v>
      </c>
      <c r="H473" s="132">
        <v>0.70609318996415771</v>
      </c>
    </row>
    <row r="474" spans="1:8" x14ac:dyDescent="0.25">
      <c r="A474" s="131" t="s">
        <v>730</v>
      </c>
      <c r="B474" s="131" t="s">
        <v>487</v>
      </c>
      <c r="C474" s="131" t="s">
        <v>204</v>
      </c>
      <c r="D474" s="131" t="s">
        <v>1348</v>
      </c>
      <c r="E474" s="131" t="s">
        <v>1349</v>
      </c>
      <c r="F474" s="131">
        <v>484</v>
      </c>
      <c r="G474" s="131">
        <v>202</v>
      </c>
      <c r="H474" s="132">
        <v>0.41735537190082644</v>
      </c>
    </row>
    <row r="475" spans="1:8" x14ac:dyDescent="0.25">
      <c r="A475" s="131" t="s">
        <v>730</v>
      </c>
      <c r="B475" s="131" t="s">
        <v>487</v>
      </c>
      <c r="C475" s="131" t="s">
        <v>204</v>
      </c>
      <c r="D475" s="131" t="s">
        <v>1350</v>
      </c>
      <c r="E475" s="131" t="s">
        <v>1351</v>
      </c>
      <c r="F475" s="131">
        <v>361</v>
      </c>
      <c r="G475" s="131">
        <v>35</v>
      </c>
      <c r="H475" s="132">
        <v>9.6952908587257622E-2</v>
      </c>
    </row>
    <row r="476" spans="1:8" x14ac:dyDescent="0.25">
      <c r="A476" s="131" t="s">
        <v>730</v>
      </c>
      <c r="B476" s="131" t="s">
        <v>487</v>
      </c>
      <c r="C476" s="131" t="s">
        <v>204</v>
      </c>
      <c r="D476" s="131" t="s">
        <v>1352</v>
      </c>
      <c r="E476" s="131" t="s">
        <v>1353</v>
      </c>
      <c r="F476" s="131">
        <v>399</v>
      </c>
      <c r="G476" s="131">
        <v>91</v>
      </c>
      <c r="H476" s="132">
        <v>0.22807017543859648</v>
      </c>
    </row>
    <row r="477" spans="1:8" x14ac:dyDescent="0.25">
      <c r="A477" s="131" t="s">
        <v>725</v>
      </c>
      <c r="B477" s="131" t="s">
        <v>488</v>
      </c>
      <c r="C477" s="131" t="s">
        <v>203</v>
      </c>
      <c r="D477" s="131" t="s">
        <v>821</v>
      </c>
      <c r="E477" s="131" t="s">
        <v>1354</v>
      </c>
      <c r="F477" s="131">
        <v>83</v>
      </c>
      <c r="G477" s="131">
        <v>36</v>
      </c>
      <c r="H477" s="132">
        <v>0.43373493975903615</v>
      </c>
    </row>
    <row r="478" spans="1:8" x14ac:dyDescent="0.25">
      <c r="A478" s="131" t="s">
        <v>725</v>
      </c>
      <c r="B478" s="131" t="s">
        <v>488</v>
      </c>
      <c r="C478" s="131" t="s">
        <v>203</v>
      </c>
      <c r="D478" s="131" t="s">
        <v>805</v>
      </c>
      <c r="E478" s="131" t="s">
        <v>1355</v>
      </c>
      <c r="F478" s="131">
        <v>327</v>
      </c>
      <c r="G478" s="131">
        <v>148</v>
      </c>
      <c r="H478" s="132">
        <v>0.45259938837920488</v>
      </c>
    </row>
    <row r="479" spans="1:8" x14ac:dyDescent="0.25">
      <c r="A479" s="131" t="s">
        <v>725</v>
      </c>
      <c r="B479" s="131" t="s">
        <v>488</v>
      </c>
      <c r="C479" s="131" t="s">
        <v>203</v>
      </c>
      <c r="D479" s="131" t="s">
        <v>807</v>
      </c>
      <c r="E479" s="131" t="s">
        <v>1356</v>
      </c>
      <c r="F479" s="131">
        <v>67</v>
      </c>
      <c r="G479" s="131">
        <v>33</v>
      </c>
      <c r="H479" s="132">
        <v>0.4925373134328358</v>
      </c>
    </row>
    <row r="480" spans="1:8" x14ac:dyDescent="0.25">
      <c r="A480" s="131" t="s">
        <v>730</v>
      </c>
      <c r="B480" s="131" t="s">
        <v>489</v>
      </c>
      <c r="C480" s="131" t="s">
        <v>202</v>
      </c>
      <c r="D480" s="131" t="s">
        <v>805</v>
      </c>
      <c r="E480" s="131" t="s">
        <v>1357</v>
      </c>
      <c r="F480" s="131">
        <v>233</v>
      </c>
      <c r="G480" s="131">
        <v>91</v>
      </c>
      <c r="H480" s="132">
        <v>0.3905579399141631</v>
      </c>
    </row>
    <row r="481" spans="1:8" x14ac:dyDescent="0.25">
      <c r="A481" s="131" t="s">
        <v>726</v>
      </c>
      <c r="B481" s="131" t="s">
        <v>490</v>
      </c>
      <c r="C481" s="131" t="s">
        <v>201</v>
      </c>
      <c r="D481" s="131" t="s">
        <v>821</v>
      </c>
      <c r="E481" s="131" t="s">
        <v>1358</v>
      </c>
      <c r="F481" s="131">
        <v>145</v>
      </c>
      <c r="G481" s="131">
        <v>54</v>
      </c>
      <c r="H481" s="132">
        <v>0.3724137931034483</v>
      </c>
    </row>
    <row r="482" spans="1:8" x14ac:dyDescent="0.25">
      <c r="A482" s="131" t="s">
        <v>726</v>
      </c>
      <c r="B482" s="131" t="s">
        <v>490</v>
      </c>
      <c r="C482" s="131" t="s">
        <v>201</v>
      </c>
      <c r="D482" s="131" t="s">
        <v>805</v>
      </c>
      <c r="E482" s="131" t="s">
        <v>1359</v>
      </c>
      <c r="F482" s="131">
        <v>142</v>
      </c>
      <c r="G482" s="131">
        <v>54</v>
      </c>
      <c r="H482" s="132">
        <v>0.38028169014084506</v>
      </c>
    </row>
    <row r="483" spans="1:8" x14ac:dyDescent="0.25">
      <c r="A483" s="131" t="s">
        <v>725</v>
      </c>
      <c r="B483" s="131" t="s">
        <v>491</v>
      </c>
      <c r="C483" s="131" t="s">
        <v>200</v>
      </c>
      <c r="D483" s="131" t="s">
        <v>875</v>
      </c>
      <c r="E483" s="131" t="s">
        <v>1360</v>
      </c>
      <c r="F483" s="131">
        <v>20</v>
      </c>
      <c r="G483" s="131">
        <v>4</v>
      </c>
      <c r="H483" s="132">
        <v>0.2</v>
      </c>
    </row>
    <row r="484" spans="1:8" x14ac:dyDescent="0.25">
      <c r="A484" s="131" t="s">
        <v>725</v>
      </c>
      <c r="B484" s="131" t="s">
        <v>491</v>
      </c>
      <c r="C484" s="131" t="s">
        <v>200</v>
      </c>
      <c r="D484" s="131" t="s">
        <v>805</v>
      </c>
      <c r="E484" s="131" t="s">
        <v>1361</v>
      </c>
      <c r="F484" s="131">
        <v>176</v>
      </c>
      <c r="G484" s="131">
        <v>30</v>
      </c>
      <c r="H484" s="132">
        <v>0.17045454545454544</v>
      </c>
    </row>
    <row r="485" spans="1:8" x14ac:dyDescent="0.25">
      <c r="A485" s="131" t="s">
        <v>728</v>
      </c>
      <c r="B485" s="131" t="s">
        <v>492</v>
      </c>
      <c r="C485" s="131" t="s">
        <v>199</v>
      </c>
      <c r="D485" s="131" t="s">
        <v>821</v>
      </c>
      <c r="E485" s="131" t="s">
        <v>1362</v>
      </c>
      <c r="F485" s="131">
        <v>168</v>
      </c>
      <c r="G485" s="131">
        <v>79</v>
      </c>
      <c r="H485" s="132">
        <v>0.47023809523809523</v>
      </c>
    </row>
    <row r="486" spans="1:8" x14ac:dyDescent="0.25">
      <c r="A486" s="131" t="s">
        <v>728</v>
      </c>
      <c r="B486" s="131" t="s">
        <v>492</v>
      </c>
      <c r="C486" s="131" t="s">
        <v>199</v>
      </c>
      <c r="D486" s="131" t="s">
        <v>811</v>
      </c>
      <c r="E486" s="131" t="s">
        <v>1363</v>
      </c>
      <c r="F486" s="131">
        <v>353</v>
      </c>
      <c r="G486" s="131">
        <v>188</v>
      </c>
      <c r="H486" s="132">
        <v>0.53257790368271951</v>
      </c>
    </row>
    <row r="487" spans="1:8" x14ac:dyDescent="0.25">
      <c r="A487" s="131" t="s">
        <v>725</v>
      </c>
      <c r="B487" s="131" t="s">
        <v>493</v>
      </c>
      <c r="C487" s="131" t="s">
        <v>198</v>
      </c>
      <c r="D487" s="131" t="s">
        <v>805</v>
      </c>
      <c r="E487" s="131" t="s">
        <v>1364</v>
      </c>
      <c r="F487" s="131">
        <v>248</v>
      </c>
      <c r="G487" s="131">
        <v>54</v>
      </c>
      <c r="H487" s="132">
        <v>0.21774193548387097</v>
      </c>
    </row>
    <row r="488" spans="1:8" x14ac:dyDescent="0.25">
      <c r="A488" s="131" t="s">
        <v>725</v>
      </c>
      <c r="B488" s="131" t="s">
        <v>493</v>
      </c>
      <c r="C488" s="131" t="s">
        <v>198</v>
      </c>
      <c r="D488" s="131" t="s">
        <v>813</v>
      </c>
      <c r="E488" s="131" t="s">
        <v>1365</v>
      </c>
      <c r="F488" s="131">
        <v>127</v>
      </c>
      <c r="G488" s="131">
        <v>35</v>
      </c>
      <c r="H488" s="132">
        <v>0.27559055118110237</v>
      </c>
    </row>
    <row r="489" spans="1:8" x14ac:dyDescent="0.25">
      <c r="A489" s="131" t="s">
        <v>725</v>
      </c>
      <c r="B489" s="131" t="s">
        <v>493</v>
      </c>
      <c r="C489" s="131" t="s">
        <v>198</v>
      </c>
      <c r="D489" s="131" t="s">
        <v>1366</v>
      </c>
      <c r="E489" s="131" t="s">
        <v>1367</v>
      </c>
      <c r="F489" s="131">
        <v>26</v>
      </c>
      <c r="G489" s="131">
        <v>2</v>
      </c>
      <c r="H489" s="132">
        <v>7.6923076923076927E-2</v>
      </c>
    </row>
    <row r="490" spans="1:8" x14ac:dyDescent="0.25">
      <c r="A490" s="131" t="s">
        <v>725</v>
      </c>
      <c r="B490" s="131" t="s">
        <v>493</v>
      </c>
      <c r="C490" s="131" t="s">
        <v>198</v>
      </c>
      <c r="D490" s="131" t="s">
        <v>819</v>
      </c>
      <c r="E490" s="131" t="s">
        <v>1368</v>
      </c>
      <c r="F490" s="131">
        <v>16</v>
      </c>
      <c r="G490" s="131">
        <v>0</v>
      </c>
      <c r="H490" s="132">
        <v>0</v>
      </c>
    </row>
    <row r="491" spans="1:8" x14ac:dyDescent="0.25">
      <c r="A491" s="131" t="s">
        <v>725</v>
      </c>
      <c r="B491" s="131" t="s">
        <v>493</v>
      </c>
      <c r="C491" s="131" t="s">
        <v>198</v>
      </c>
      <c r="D491" s="131" t="s">
        <v>1369</v>
      </c>
      <c r="E491" s="131" t="s">
        <v>1370</v>
      </c>
      <c r="F491" s="131">
        <v>28</v>
      </c>
      <c r="G491" s="131">
        <v>0</v>
      </c>
      <c r="H491" s="132">
        <v>0</v>
      </c>
    </row>
    <row r="492" spans="1:8" x14ac:dyDescent="0.25">
      <c r="A492" s="131" t="s">
        <v>723</v>
      </c>
      <c r="B492" s="131" t="s">
        <v>494</v>
      </c>
      <c r="C492" s="131" t="s">
        <v>197</v>
      </c>
      <c r="D492" s="131" t="s">
        <v>821</v>
      </c>
      <c r="E492" s="131" t="s">
        <v>1371</v>
      </c>
      <c r="F492" s="131">
        <v>539</v>
      </c>
      <c r="G492" s="131">
        <v>124</v>
      </c>
      <c r="H492" s="132">
        <v>0.23005565862708721</v>
      </c>
    </row>
    <row r="493" spans="1:8" x14ac:dyDescent="0.25">
      <c r="A493" s="131" t="s">
        <v>723</v>
      </c>
      <c r="B493" s="131" t="s">
        <v>494</v>
      </c>
      <c r="C493" s="131" t="s">
        <v>197</v>
      </c>
      <c r="D493" s="131" t="s">
        <v>811</v>
      </c>
      <c r="E493" s="131" t="s">
        <v>1372</v>
      </c>
      <c r="F493" s="131">
        <v>550</v>
      </c>
      <c r="G493" s="131">
        <v>49</v>
      </c>
      <c r="H493" s="132">
        <v>8.9090909090909096E-2</v>
      </c>
    </row>
    <row r="494" spans="1:8" x14ac:dyDescent="0.25">
      <c r="A494" s="131" t="s">
        <v>723</v>
      </c>
      <c r="B494" s="131" t="s">
        <v>494</v>
      </c>
      <c r="C494" s="131" t="s">
        <v>197</v>
      </c>
      <c r="D494" s="131" t="s">
        <v>881</v>
      </c>
      <c r="E494" s="131" t="s">
        <v>1373</v>
      </c>
      <c r="F494" s="131">
        <v>506</v>
      </c>
      <c r="G494" s="131">
        <v>117</v>
      </c>
      <c r="H494" s="132">
        <v>0.23122529644268774</v>
      </c>
    </row>
    <row r="495" spans="1:8" x14ac:dyDescent="0.25">
      <c r="A495" s="131" t="s">
        <v>723</v>
      </c>
      <c r="B495" s="131" t="s">
        <v>494</v>
      </c>
      <c r="C495" s="131" t="s">
        <v>197</v>
      </c>
      <c r="D495" s="131" t="s">
        <v>819</v>
      </c>
      <c r="E495" s="131" t="s">
        <v>1374</v>
      </c>
      <c r="F495" s="131">
        <v>474</v>
      </c>
      <c r="G495" s="131">
        <v>142</v>
      </c>
      <c r="H495" s="132">
        <v>0.29957805907172996</v>
      </c>
    </row>
    <row r="496" spans="1:8" x14ac:dyDescent="0.25">
      <c r="A496" s="131" t="s">
        <v>723</v>
      </c>
      <c r="B496" s="131" t="s">
        <v>494</v>
      </c>
      <c r="C496" s="131" t="s">
        <v>197</v>
      </c>
      <c r="D496" s="131" t="s">
        <v>1338</v>
      </c>
      <c r="E496" s="131" t="s">
        <v>1375</v>
      </c>
      <c r="F496" s="131">
        <v>567</v>
      </c>
      <c r="G496" s="131">
        <v>162</v>
      </c>
      <c r="H496" s="132">
        <v>0.2857142857142857</v>
      </c>
    </row>
    <row r="497" spans="1:8" x14ac:dyDescent="0.25">
      <c r="A497" s="131" t="s">
        <v>723</v>
      </c>
      <c r="B497" s="131" t="s">
        <v>494</v>
      </c>
      <c r="C497" s="131" t="s">
        <v>197</v>
      </c>
      <c r="D497" s="131" t="s">
        <v>1139</v>
      </c>
      <c r="E497" s="131" t="s">
        <v>1376</v>
      </c>
      <c r="F497" s="131">
        <v>571</v>
      </c>
      <c r="G497" s="131">
        <v>145</v>
      </c>
      <c r="H497" s="132">
        <v>0.25394045534150611</v>
      </c>
    </row>
    <row r="498" spans="1:8" x14ac:dyDescent="0.25">
      <c r="A498" s="131" t="s">
        <v>729</v>
      </c>
      <c r="B498" s="131" t="s">
        <v>495</v>
      </c>
      <c r="C498" s="131" t="s">
        <v>196</v>
      </c>
      <c r="D498" s="131" t="s">
        <v>821</v>
      </c>
      <c r="E498" s="131" t="s">
        <v>1377</v>
      </c>
      <c r="F498" s="131">
        <v>152</v>
      </c>
      <c r="G498" s="131">
        <v>101</v>
      </c>
      <c r="H498" s="132">
        <v>0.66447368421052633</v>
      </c>
    </row>
    <row r="499" spans="1:8" x14ac:dyDescent="0.25">
      <c r="A499" s="131" t="s">
        <v>729</v>
      </c>
      <c r="B499" s="131" t="s">
        <v>495</v>
      </c>
      <c r="C499" s="131" t="s">
        <v>196</v>
      </c>
      <c r="D499" s="131" t="s">
        <v>813</v>
      </c>
      <c r="E499" s="131" t="s">
        <v>1378</v>
      </c>
      <c r="F499" s="131">
        <v>384</v>
      </c>
      <c r="G499" s="131">
        <v>269</v>
      </c>
      <c r="H499" s="132">
        <v>0.70052083333333337</v>
      </c>
    </row>
    <row r="500" spans="1:8" x14ac:dyDescent="0.25">
      <c r="A500" s="131" t="s">
        <v>729</v>
      </c>
      <c r="B500" s="131" t="s">
        <v>495</v>
      </c>
      <c r="C500" s="131" t="s">
        <v>196</v>
      </c>
      <c r="D500" s="131" t="s">
        <v>840</v>
      </c>
      <c r="E500" s="131" t="s">
        <v>1379</v>
      </c>
      <c r="F500" s="131">
        <v>272</v>
      </c>
      <c r="G500" s="131">
        <v>185</v>
      </c>
      <c r="H500" s="132">
        <v>0.68014705882352944</v>
      </c>
    </row>
    <row r="501" spans="1:8" x14ac:dyDescent="0.25">
      <c r="A501" s="131" t="s">
        <v>729</v>
      </c>
      <c r="B501" s="131" t="s">
        <v>496</v>
      </c>
      <c r="C501" s="131" t="s">
        <v>195</v>
      </c>
      <c r="D501" s="131" t="s">
        <v>805</v>
      </c>
      <c r="E501" s="131" t="s">
        <v>1380</v>
      </c>
      <c r="F501" s="131">
        <v>134</v>
      </c>
      <c r="G501" s="131">
        <v>55</v>
      </c>
      <c r="H501" s="132">
        <v>0.41044776119402987</v>
      </c>
    </row>
    <row r="502" spans="1:8" x14ac:dyDescent="0.25">
      <c r="A502" s="131" t="s">
        <v>727</v>
      </c>
      <c r="B502" s="131" t="s">
        <v>497</v>
      </c>
      <c r="C502" s="131" t="s">
        <v>194</v>
      </c>
      <c r="D502" s="131" t="s">
        <v>821</v>
      </c>
      <c r="E502" s="131" t="s">
        <v>1381</v>
      </c>
      <c r="F502" s="131">
        <v>38</v>
      </c>
      <c r="G502" s="131">
        <v>16</v>
      </c>
      <c r="H502" s="132">
        <v>0.42105263157894735</v>
      </c>
    </row>
    <row r="503" spans="1:8" x14ac:dyDescent="0.25">
      <c r="A503" s="131" t="s">
        <v>727</v>
      </c>
      <c r="B503" s="131" t="s">
        <v>497</v>
      </c>
      <c r="C503" s="131" t="s">
        <v>194</v>
      </c>
      <c r="D503" s="131" t="s">
        <v>805</v>
      </c>
      <c r="E503" s="131" t="s">
        <v>1382</v>
      </c>
      <c r="F503" s="131">
        <v>143</v>
      </c>
      <c r="G503" s="131">
        <v>67</v>
      </c>
      <c r="H503" s="132">
        <v>0.46853146853146854</v>
      </c>
    </row>
    <row r="504" spans="1:8" x14ac:dyDescent="0.25">
      <c r="A504" s="131" t="s">
        <v>727</v>
      </c>
      <c r="B504" s="131" t="s">
        <v>497</v>
      </c>
      <c r="C504" s="131" t="s">
        <v>194</v>
      </c>
      <c r="D504" s="131" t="s">
        <v>813</v>
      </c>
      <c r="E504" s="131" t="s">
        <v>1383</v>
      </c>
      <c r="F504" s="131">
        <v>29</v>
      </c>
      <c r="G504" s="131">
        <v>15</v>
      </c>
      <c r="H504" s="132">
        <v>0.51724137931034486</v>
      </c>
    </row>
    <row r="505" spans="1:8" x14ac:dyDescent="0.25">
      <c r="A505" s="131" t="s">
        <v>723</v>
      </c>
      <c r="B505" s="131" t="s">
        <v>498</v>
      </c>
      <c r="C505" s="131" t="s">
        <v>193</v>
      </c>
      <c r="D505" s="131" t="s">
        <v>821</v>
      </c>
      <c r="E505" s="131" t="s">
        <v>1384</v>
      </c>
      <c r="F505" s="131">
        <v>133</v>
      </c>
      <c r="G505" s="131">
        <v>53</v>
      </c>
      <c r="H505" s="132">
        <v>0.39849624060150374</v>
      </c>
    </row>
    <row r="506" spans="1:8" x14ac:dyDescent="0.25">
      <c r="A506" s="131" t="s">
        <v>723</v>
      </c>
      <c r="B506" s="131" t="s">
        <v>498</v>
      </c>
      <c r="C506" s="131" t="s">
        <v>193</v>
      </c>
      <c r="D506" s="131" t="s">
        <v>819</v>
      </c>
      <c r="E506" s="131" t="s">
        <v>1385</v>
      </c>
      <c r="F506" s="131">
        <v>382</v>
      </c>
      <c r="G506" s="131">
        <v>204</v>
      </c>
      <c r="H506" s="132">
        <v>0.53403141361256545</v>
      </c>
    </row>
    <row r="507" spans="1:8" x14ac:dyDescent="0.25">
      <c r="A507" s="131" t="s">
        <v>723</v>
      </c>
      <c r="B507" s="131" t="s">
        <v>498</v>
      </c>
      <c r="C507" s="131" t="s">
        <v>193</v>
      </c>
      <c r="D507" s="131" t="s">
        <v>859</v>
      </c>
      <c r="E507" s="131" t="s">
        <v>1386</v>
      </c>
      <c r="F507" s="131">
        <v>207</v>
      </c>
      <c r="G507" s="131">
        <v>98</v>
      </c>
      <c r="H507" s="132">
        <v>0.47342995169082125</v>
      </c>
    </row>
    <row r="508" spans="1:8" x14ac:dyDescent="0.25">
      <c r="A508" s="131" t="s">
        <v>725</v>
      </c>
      <c r="B508" s="131" t="s">
        <v>499</v>
      </c>
      <c r="C508" s="131" t="s">
        <v>192</v>
      </c>
      <c r="D508" s="131" t="s">
        <v>821</v>
      </c>
      <c r="E508" s="131" t="s">
        <v>1387</v>
      </c>
      <c r="F508" s="131">
        <v>50</v>
      </c>
      <c r="G508" s="131">
        <v>20</v>
      </c>
      <c r="H508" s="132">
        <v>0.4</v>
      </c>
    </row>
    <row r="509" spans="1:8" x14ac:dyDescent="0.25">
      <c r="A509" s="131" t="s">
        <v>725</v>
      </c>
      <c r="B509" s="131" t="s">
        <v>499</v>
      </c>
      <c r="C509" s="131" t="s">
        <v>192</v>
      </c>
      <c r="D509" s="131" t="s">
        <v>813</v>
      </c>
      <c r="E509" s="131" t="s">
        <v>1388</v>
      </c>
      <c r="F509" s="131">
        <v>220</v>
      </c>
      <c r="G509" s="131">
        <v>82</v>
      </c>
      <c r="H509" s="132">
        <v>0.37272727272727274</v>
      </c>
    </row>
    <row r="510" spans="1:8" x14ac:dyDescent="0.25">
      <c r="A510" s="131" t="s">
        <v>726</v>
      </c>
      <c r="B510" s="131" t="s">
        <v>500</v>
      </c>
      <c r="C510" s="131" t="s">
        <v>191</v>
      </c>
      <c r="D510" s="131" t="s">
        <v>1128</v>
      </c>
      <c r="E510" s="131" t="s">
        <v>1389</v>
      </c>
      <c r="F510" s="131">
        <v>22</v>
      </c>
      <c r="G510" s="131">
        <v>15</v>
      </c>
      <c r="H510" s="132">
        <v>0.68181818181818177</v>
      </c>
    </row>
    <row r="511" spans="1:8" x14ac:dyDescent="0.25">
      <c r="A511" s="131" t="s">
        <v>726</v>
      </c>
      <c r="B511" s="131" t="s">
        <v>500</v>
      </c>
      <c r="C511" s="131" t="s">
        <v>191</v>
      </c>
      <c r="D511" s="131" t="s">
        <v>805</v>
      </c>
      <c r="E511" s="131" t="s">
        <v>1390</v>
      </c>
      <c r="F511" s="131">
        <v>116</v>
      </c>
      <c r="G511" s="131">
        <v>80</v>
      </c>
      <c r="H511" s="132">
        <v>0.68965517241379315</v>
      </c>
    </row>
    <row r="512" spans="1:8" x14ac:dyDescent="0.25">
      <c r="A512" s="131" t="s">
        <v>728</v>
      </c>
      <c r="B512" s="131" t="s">
        <v>501</v>
      </c>
      <c r="C512" s="131" t="s">
        <v>190</v>
      </c>
      <c r="D512" s="131" t="s">
        <v>821</v>
      </c>
      <c r="E512" s="131" t="s">
        <v>1391</v>
      </c>
      <c r="F512" s="131">
        <v>14</v>
      </c>
      <c r="G512" s="131">
        <v>10</v>
      </c>
      <c r="H512" s="132">
        <v>0.7142857142857143</v>
      </c>
    </row>
    <row r="513" spans="1:8" x14ac:dyDescent="0.25">
      <c r="A513" s="131" t="s">
        <v>728</v>
      </c>
      <c r="B513" s="131" t="s">
        <v>501</v>
      </c>
      <c r="C513" s="131" t="s">
        <v>190</v>
      </c>
      <c r="D513" s="131" t="s">
        <v>805</v>
      </c>
      <c r="E513" s="131" t="s">
        <v>1392</v>
      </c>
      <c r="F513" s="131">
        <v>79</v>
      </c>
      <c r="G513" s="131">
        <v>36</v>
      </c>
      <c r="H513" s="132">
        <v>0.45569620253164556</v>
      </c>
    </row>
    <row r="514" spans="1:8" x14ac:dyDescent="0.25">
      <c r="A514" s="131" t="s">
        <v>727</v>
      </c>
      <c r="B514" s="131" t="s">
        <v>502</v>
      </c>
      <c r="C514" s="131" t="s">
        <v>189</v>
      </c>
      <c r="D514" s="131" t="s">
        <v>852</v>
      </c>
      <c r="E514" s="131" t="s">
        <v>1393</v>
      </c>
      <c r="F514" s="131">
        <v>285</v>
      </c>
      <c r="G514" s="131">
        <v>82</v>
      </c>
      <c r="H514" s="132">
        <v>0.28771929824561404</v>
      </c>
    </row>
    <row r="515" spans="1:8" x14ac:dyDescent="0.25">
      <c r="A515" s="131" t="s">
        <v>727</v>
      </c>
      <c r="B515" s="131" t="s">
        <v>504</v>
      </c>
      <c r="C515" s="131" t="s">
        <v>188</v>
      </c>
      <c r="D515" s="131" t="s">
        <v>821</v>
      </c>
      <c r="E515" s="131" t="s">
        <v>1394</v>
      </c>
      <c r="F515" s="131">
        <v>173</v>
      </c>
      <c r="G515" s="131">
        <v>71</v>
      </c>
      <c r="H515" s="132">
        <v>0.41040462427745666</v>
      </c>
    </row>
    <row r="516" spans="1:8" x14ac:dyDescent="0.25">
      <c r="A516" s="131" t="s">
        <v>727</v>
      </c>
      <c r="B516" s="131" t="s">
        <v>504</v>
      </c>
      <c r="C516" s="131" t="s">
        <v>188</v>
      </c>
      <c r="D516" s="131" t="s">
        <v>813</v>
      </c>
      <c r="E516" s="131" t="s">
        <v>1395</v>
      </c>
      <c r="F516" s="131">
        <v>216</v>
      </c>
      <c r="G516" s="131">
        <v>136</v>
      </c>
      <c r="H516" s="132">
        <v>0.62962962962962965</v>
      </c>
    </row>
    <row r="517" spans="1:8" x14ac:dyDescent="0.25">
      <c r="A517" s="131" t="s">
        <v>727</v>
      </c>
      <c r="B517" s="131" t="s">
        <v>504</v>
      </c>
      <c r="C517" s="131" t="s">
        <v>188</v>
      </c>
      <c r="D517" s="131" t="s">
        <v>819</v>
      </c>
      <c r="E517" s="131" t="s">
        <v>914</v>
      </c>
      <c r="F517" s="131">
        <v>231</v>
      </c>
      <c r="G517" s="131">
        <v>78</v>
      </c>
      <c r="H517" s="132">
        <v>0.33766233766233766</v>
      </c>
    </row>
    <row r="518" spans="1:8" x14ac:dyDescent="0.25">
      <c r="A518" s="131" t="s">
        <v>727</v>
      </c>
      <c r="B518" s="131" t="s">
        <v>504</v>
      </c>
      <c r="C518" s="131" t="s">
        <v>188</v>
      </c>
      <c r="D518" s="131" t="s">
        <v>1396</v>
      </c>
      <c r="E518" s="131" t="s">
        <v>1397</v>
      </c>
      <c r="F518" s="131">
        <v>333</v>
      </c>
      <c r="G518" s="131">
        <v>89</v>
      </c>
      <c r="H518" s="132">
        <v>0.26726726726726729</v>
      </c>
    </row>
    <row r="519" spans="1:8" x14ac:dyDescent="0.25">
      <c r="A519" s="131" t="s">
        <v>726</v>
      </c>
      <c r="B519" s="131" t="s">
        <v>505</v>
      </c>
      <c r="C519" s="131" t="s">
        <v>187</v>
      </c>
      <c r="D519" s="131" t="s">
        <v>813</v>
      </c>
      <c r="E519" s="131" t="s">
        <v>1398</v>
      </c>
      <c r="F519" s="131">
        <v>211</v>
      </c>
      <c r="G519" s="131">
        <v>108</v>
      </c>
      <c r="H519" s="132">
        <v>0.51184834123222744</v>
      </c>
    </row>
    <row r="520" spans="1:8" x14ac:dyDescent="0.25">
      <c r="A520" s="131" t="s">
        <v>726</v>
      </c>
      <c r="B520" s="131" t="s">
        <v>506</v>
      </c>
      <c r="C520" s="131" t="s">
        <v>186</v>
      </c>
      <c r="D520" s="131" t="s">
        <v>821</v>
      </c>
      <c r="E520" s="131" t="s">
        <v>1399</v>
      </c>
      <c r="F520" s="131">
        <v>243</v>
      </c>
      <c r="G520" s="131">
        <v>102</v>
      </c>
      <c r="H520" s="132">
        <v>0.41975308641975306</v>
      </c>
    </row>
    <row r="521" spans="1:8" x14ac:dyDescent="0.25">
      <c r="A521" s="131" t="s">
        <v>726</v>
      </c>
      <c r="B521" s="131" t="s">
        <v>506</v>
      </c>
      <c r="C521" s="131" t="s">
        <v>186</v>
      </c>
      <c r="D521" s="131" t="s">
        <v>813</v>
      </c>
      <c r="E521" s="131" t="s">
        <v>1400</v>
      </c>
      <c r="F521" s="131">
        <v>204</v>
      </c>
      <c r="G521" s="131">
        <v>96</v>
      </c>
      <c r="H521" s="132">
        <v>0.47058823529411764</v>
      </c>
    </row>
    <row r="522" spans="1:8" x14ac:dyDescent="0.25">
      <c r="A522" s="131" t="s">
        <v>726</v>
      </c>
      <c r="B522" s="131" t="s">
        <v>506</v>
      </c>
      <c r="C522" s="131" t="s">
        <v>186</v>
      </c>
      <c r="D522" s="131" t="s">
        <v>819</v>
      </c>
      <c r="E522" s="131" t="s">
        <v>1401</v>
      </c>
      <c r="F522" s="131">
        <v>892</v>
      </c>
      <c r="G522" s="131">
        <v>345</v>
      </c>
      <c r="H522" s="132">
        <v>0.3867713004484305</v>
      </c>
    </row>
    <row r="523" spans="1:8" x14ac:dyDescent="0.25">
      <c r="A523" s="131" t="s">
        <v>730</v>
      </c>
      <c r="B523" s="131" t="s">
        <v>507</v>
      </c>
      <c r="C523" s="131" t="s">
        <v>185</v>
      </c>
      <c r="D523" s="131" t="s">
        <v>852</v>
      </c>
      <c r="E523" s="131" t="s">
        <v>1402</v>
      </c>
      <c r="F523" s="131">
        <v>121</v>
      </c>
      <c r="G523" s="131">
        <v>62</v>
      </c>
      <c r="H523" s="132">
        <v>0.51239669421487599</v>
      </c>
    </row>
    <row r="524" spans="1:8" x14ac:dyDescent="0.25">
      <c r="A524" s="131" t="s">
        <v>730</v>
      </c>
      <c r="B524" s="131" t="s">
        <v>507</v>
      </c>
      <c r="C524" s="131" t="s">
        <v>185</v>
      </c>
      <c r="D524" s="131" t="s">
        <v>805</v>
      </c>
      <c r="E524" s="131" t="s">
        <v>1403</v>
      </c>
      <c r="F524" s="131">
        <v>138</v>
      </c>
      <c r="G524" s="131">
        <v>59</v>
      </c>
      <c r="H524" s="132">
        <v>0.42753623188405798</v>
      </c>
    </row>
    <row r="525" spans="1:8" x14ac:dyDescent="0.25">
      <c r="A525" s="131" t="s">
        <v>730</v>
      </c>
      <c r="B525" s="131" t="s">
        <v>508</v>
      </c>
      <c r="C525" s="131" t="s">
        <v>184</v>
      </c>
      <c r="D525" s="131" t="s">
        <v>821</v>
      </c>
      <c r="E525" s="131" t="s">
        <v>1404</v>
      </c>
      <c r="F525" s="131">
        <v>320</v>
      </c>
      <c r="G525" s="131">
        <v>95</v>
      </c>
      <c r="H525" s="132">
        <v>0.296875</v>
      </c>
    </row>
    <row r="526" spans="1:8" x14ac:dyDescent="0.25">
      <c r="A526" s="131" t="s">
        <v>730</v>
      </c>
      <c r="B526" s="131" t="s">
        <v>508</v>
      </c>
      <c r="C526" s="131" t="s">
        <v>184</v>
      </c>
      <c r="D526" s="131" t="s">
        <v>888</v>
      </c>
      <c r="E526" s="131" t="s">
        <v>1405</v>
      </c>
      <c r="F526" s="131">
        <v>498</v>
      </c>
      <c r="G526" s="131">
        <v>90</v>
      </c>
      <c r="H526" s="132">
        <v>0.18072289156626506</v>
      </c>
    </row>
    <row r="527" spans="1:8" x14ac:dyDescent="0.25">
      <c r="A527" s="131" t="s">
        <v>730</v>
      </c>
      <c r="B527" s="131" t="s">
        <v>508</v>
      </c>
      <c r="C527" s="131" t="s">
        <v>184</v>
      </c>
      <c r="D527" s="131" t="s">
        <v>805</v>
      </c>
      <c r="E527" s="131" t="s">
        <v>1406</v>
      </c>
      <c r="F527" s="131">
        <v>375</v>
      </c>
      <c r="G527" s="131">
        <v>94</v>
      </c>
      <c r="H527" s="132">
        <v>0.25066666666666665</v>
      </c>
    </row>
    <row r="528" spans="1:8" x14ac:dyDescent="0.25">
      <c r="A528" s="131" t="s">
        <v>730</v>
      </c>
      <c r="B528" s="131" t="s">
        <v>508</v>
      </c>
      <c r="C528" s="131" t="s">
        <v>184</v>
      </c>
      <c r="D528" s="131" t="s">
        <v>813</v>
      </c>
      <c r="E528" s="131" t="s">
        <v>1407</v>
      </c>
      <c r="F528" s="131">
        <v>469</v>
      </c>
      <c r="G528" s="131">
        <v>60</v>
      </c>
      <c r="H528" s="132">
        <v>0.1279317697228145</v>
      </c>
    </row>
    <row r="529" spans="1:8" x14ac:dyDescent="0.25">
      <c r="A529" s="131" t="s">
        <v>730</v>
      </c>
      <c r="B529" s="131" t="s">
        <v>508</v>
      </c>
      <c r="C529" s="131" t="s">
        <v>184</v>
      </c>
      <c r="D529" s="131" t="s">
        <v>819</v>
      </c>
      <c r="E529" s="131" t="s">
        <v>1408</v>
      </c>
      <c r="F529" s="131">
        <v>373</v>
      </c>
      <c r="G529" s="131">
        <v>127</v>
      </c>
      <c r="H529" s="132">
        <v>0.34048257372654156</v>
      </c>
    </row>
    <row r="530" spans="1:8" x14ac:dyDescent="0.25">
      <c r="A530" s="131" t="s">
        <v>730</v>
      </c>
      <c r="B530" s="131" t="s">
        <v>508</v>
      </c>
      <c r="C530" s="131" t="s">
        <v>184</v>
      </c>
      <c r="D530" s="131" t="s">
        <v>807</v>
      </c>
      <c r="E530" s="131" t="s">
        <v>1409</v>
      </c>
      <c r="F530" s="131">
        <v>401</v>
      </c>
      <c r="G530" s="131">
        <v>92</v>
      </c>
      <c r="H530" s="132">
        <v>0.22942643391521197</v>
      </c>
    </row>
    <row r="531" spans="1:8" x14ac:dyDescent="0.25">
      <c r="A531" s="131" t="s">
        <v>730</v>
      </c>
      <c r="B531" s="131" t="s">
        <v>508</v>
      </c>
      <c r="C531" s="131" t="s">
        <v>184</v>
      </c>
      <c r="D531" s="131" t="s">
        <v>859</v>
      </c>
      <c r="E531" s="131" t="s">
        <v>1410</v>
      </c>
      <c r="F531" s="131">
        <v>264</v>
      </c>
      <c r="G531" s="131">
        <v>56</v>
      </c>
      <c r="H531" s="132">
        <v>0.21212121212121213</v>
      </c>
    </row>
    <row r="532" spans="1:8" x14ac:dyDescent="0.25">
      <c r="A532" s="131" t="s">
        <v>730</v>
      </c>
      <c r="B532" s="131" t="s">
        <v>508</v>
      </c>
      <c r="C532" s="131" t="s">
        <v>184</v>
      </c>
      <c r="D532" s="131" t="s">
        <v>840</v>
      </c>
      <c r="E532" s="131" t="s">
        <v>1411</v>
      </c>
      <c r="F532" s="131">
        <v>418</v>
      </c>
      <c r="G532" s="131">
        <v>150</v>
      </c>
      <c r="H532" s="132">
        <v>0.35885167464114831</v>
      </c>
    </row>
    <row r="533" spans="1:8" x14ac:dyDescent="0.25">
      <c r="A533" s="131" t="s">
        <v>730</v>
      </c>
      <c r="B533" s="131" t="s">
        <v>508</v>
      </c>
      <c r="C533" s="131" t="s">
        <v>184</v>
      </c>
      <c r="D533" s="131" t="s">
        <v>952</v>
      </c>
      <c r="E533" s="131" t="s">
        <v>1412</v>
      </c>
      <c r="F533" s="131">
        <v>454</v>
      </c>
      <c r="G533" s="131">
        <v>46</v>
      </c>
      <c r="H533" s="132">
        <v>0.1013215859030837</v>
      </c>
    </row>
    <row r="534" spans="1:8" x14ac:dyDescent="0.25">
      <c r="A534" s="131" t="s">
        <v>730</v>
      </c>
      <c r="B534" s="131" t="s">
        <v>509</v>
      </c>
      <c r="C534" s="131" t="s">
        <v>183</v>
      </c>
      <c r="D534" s="131" t="s">
        <v>805</v>
      </c>
      <c r="E534" s="131" t="s">
        <v>1413</v>
      </c>
      <c r="F534" s="131">
        <v>281</v>
      </c>
      <c r="G534" s="131">
        <v>25</v>
      </c>
      <c r="H534" s="132">
        <v>8.8967971530249115E-2</v>
      </c>
    </row>
    <row r="535" spans="1:8" x14ac:dyDescent="0.25">
      <c r="A535" s="131" t="s">
        <v>726</v>
      </c>
      <c r="B535" s="131" t="s">
        <v>510</v>
      </c>
      <c r="C535" s="131" t="s">
        <v>182</v>
      </c>
      <c r="D535" s="131" t="s">
        <v>805</v>
      </c>
      <c r="E535" s="131" t="s">
        <v>1414</v>
      </c>
      <c r="F535" s="131">
        <v>285</v>
      </c>
      <c r="G535" s="131">
        <v>88</v>
      </c>
      <c r="H535" s="132">
        <v>0.30877192982456142</v>
      </c>
    </row>
    <row r="536" spans="1:8" x14ac:dyDescent="0.25">
      <c r="A536" s="131" t="s">
        <v>730</v>
      </c>
      <c r="B536" s="131" t="s">
        <v>511</v>
      </c>
      <c r="C536" s="131" t="s">
        <v>181</v>
      </c>
      <c r="D536" s="131" t="s">
        <v>803</v>
      </c>
      <c r="E536" s="131" t="s">
        <v>1415</v>
      </c>
      <c r="F536" s="131">
        <v>47</v>
      </c>
      <c r="G536" s="131">
        <v>19</v>
      </c>
      <c r="H536" s="132">
        <v>0.40425531914893614</v>
      </c>
    </row>
    <row r="537" spans="1:8" x14ac:dyDescent="0.25">
      <c r="A537" s="131" t="s">
        <v>730</v>
      </c>
      <c r="B537" s="131" t="s">
        <v>511</v>
      </c>
      <c r="C537" s="131" t="s">
        <v>181</v>
      </c>
      <c r="D537" s="131" t="s">
        <v>805</v>
      </c>
      <c r="E537" s="131" t="s">
        <v>1416</v>
      </c>
      <c r="F537" s="131">
        <v>143</v>
      </c>
      <c r="G537" s="131">
        <v>42</v>
      </c>
      <c r="H537" s="132">
        <v>0.2937062937062937</v>
      </c>
    </row>
    <row r="538" spans="1:8" x14ac:dyDescent="0.25">
      <c r="A538" s="131" t="s">
        <v>734</v>
      </c>
      <c r="B538" s="131" t="s">
        <v>512</v>
      </c>
      <c r="C538" s="131" t="s">
        <v>180</v>
      </c>
      <c r="D538" s="131" t="s">
        <v>1110</v>
      </c>
      <c r="E538" s="131" t="s">
        <v>1417</v>
      </c>
      <c r="F538" s="131">
        <v>338</v>
      </c>
      <c r="G538" s="131">
        <v>114</v>
      </c>
      <c r="H538" s="132">
        <v>0.33727810650887574</v>
      </c>
    </row>
    <row r="539" spans="1:8" x14ac:dyDescent="0.25">
      <c r="A539" s="131" t="s">
        <v>728</v>
      </c>
      <c r="B539" s="131" t="s">
        <v>513</v>
      </c>
      <c r="C539" s="131" t="s">
        <v>179</v>
      </c>
      <c r="D539" s="131" t="s">
        <v>805</v>
      </c>
      <c r="E539" s="131" t="s">
        <v>1418</v>
      </c>
      <c r="F539" s="131">
        <v>36</v>
      </c>
      <c r="G539" s="131">
        <v>28</v>
      </c>
      <c r="H539" s="132">
        <v>0.77777777777777779</v>
      </c>
    </row>
    <row r="540" spans="1:8" x14ac:dyDescent="0.25">
      <c r="A540" s="131" t="s">
        <v>723</v>
      </c>
      <c r="B540" s="131" t="s">
        <v>514</v>
      </c>
      <c r="C540" s="131" t="s">
        <v>178</v>
      </c>
      <c r="D540" s="131" t="s">
        <v>811</v>
      </c>
      <c r="E540" s="131" t="s">
        <v>1419</v>
      </c>
      <c r="F540" s="131">
        <v>195</v>
      </c>
      <c r="G540" s="131">
        <v>57</v>
      </c>
      <c r="H540" s="132">
        <v>0.29230769230769232</v>
      </c>
    </row>
    <row r="541" spans="1:8" x14ac:dyDescent="0.25">
      <c r="A541" s="131" t="s">
        <v>723</v>
      </c>
      <c r="B541" s="131" t="s">
        <v>514</v>
      </c>
      <c r="C541" s="131" t="s">
        <v>178</v>
      </c>
      <c r="D541" s="131" t="s">
        <v>881</v>
      </c>
      <c r="E541" s="131" t="s">
        <v>1420</v>
      </c>
      <c r="F541" s="131">
        <v>38</v>
      </c>
      <c r="G541" s="131">
        <v>13</v>
      </c>
      <c r="H541" s="132">
        <v>0.34210526315789475</v>
      </c>
    </row>
    <row r="542" spans="1:8" x14ac:dyDescent="0.25">
      <c r="A542" s="131" t="s">
        <v>723</v>
      </c>
      <c r="B542" s="131" t="s">
        <v>515</v>
      </c>
      <c r="C542" s="131" t="s">
        <v>177</v>
      </c>
      <c r="D542" s="131" t="s">
        <v>805</v>
      </c>
      <c r="E542" s="131" t="s">
        <v>1421</v>
      </c>
      <c r="F542" s="131">
        <v>304</v>
      </c>
      <c r="G542" s="131">
        <v>75</v>
      </c>
      <c r="H542" s="132">
        <v>0.24671052631578946</v>
      </c>
    </row>
    <row r="543" spans="1:8" x14ac:dyDescent="0.25">
      <c r="A543" s="131" t="s">
        <v>726</v>
      </c>
      <c r="B543" s="131" t="s">
        <v>516</v>
      </c>
      <c r="C543" s="131" t="s">
        <v>176</v>
      </c>
      <c r="D543" s="131" t="s">
        <v>819</v>
      </c>
      <c r="E543" s="131" t="s">
        <v>1422</v>
      </c>
      <c r="F543" s="131">
        <v>178</v>
      </c>
      <c r="G543" s="131">
        <v>91</v>
      </c>
      <c r="H543" s="132">
        <v>0.5112359550561798</v>
      </c>
    </row>
    <row r="544" spans="1:8" x14ac:dyDescent="0.25">
      <c r="A544" s="131" t="s">
        <v>728</v>
      </c>
      <c r="B544" s="131" t="s">
        <v>517</v>
      </c>
      <c r="C544" s="131" t="s">
        <v>175</v>
      </c>
      <c r="D544" s="131" t="s">
        <v>805</v>
      </c>
      <c r="E544" s="131" t="s">
        <v>1423</v>
      </c>
      <c r="F544" s="131">
        <v>320</v>
      </c>
      <c r="G544" s="131">
        <v>103</v>
      </c>
      <c r="H544" s="132">
        <v>0.32187500000000002</v>
      </c>
    </row>
    <row r="545" spans="1:8" x14ac:dyDescent="0.25">
      <c r="A545" s="131" t="s">
        <v>727</v>
      </c>
      <c r="B545" s="131" t="s">
        <v>518</v>
      </c>
      <c r="C545" s="131" t="s">
        <v>174</v>
      </c>
      <c r="D545" s="131" t="s">
        <v>828</v>
      </c>
      <c r="E545" s="131" t="s">
        <v>1424</v>
      </c>
      <c r="F545" s="131">
        <v>55</v>
      </c>
      <c r="G545" s="131">
        <v>34</v>
      </c>
      <c r="H545" s="132">
        <v>0.61818181818181817</v>
      </c>
    </row>
    <row r="546" spans="1:8" x14ac:dyDescent="0.25">
      <c r="A546" s="131" t="s">
        <v>727</v>
      </c>
      <c r="B546" s="131" t="s">
        <v>518</v>
      </c>
      <c r="C546" s="131" t="s">
        <v>174</v>
      </c>
      <c r="D546" s="131" t="s">
        <v>805</v>
      </c>
      <c r="E546" s="131" t="s">
        <v>1425</v>
      </c>
      <c r="F546" s="131">
        <v>64</v>
      </c>
      <c r="G546" s="131">
        <v>37</v>
      </c>
      <c r="H546" s="132">
        <v>0.578125</v>
      </c>
    </row>
    <row r="547" spans="1:8" x14ac:dyDescent="0.25">
      <c r="A547" s="131" t="s">
        <v>727</v>
      </c>
      <c r="B547" s="131" t="s">
        <v>518</v>
      </c>
      <c r="C547" s="131" t="s">
        <v>174</v>
      </c>
      <c r="D547" s="131" t="s">
        <v>813</v>
      </c>
      <c r="E547" s="131" t="s">
        <v>1426</v>
      </c>
      <c r="F547" s="131">
        <v>120</v>
      </c>
      <c r="G547" s="131">
        <v>70</v>
      </c>
      <c r="H547" s="132">
        <v>0.58333333333333337</v>
      </c>
    </row>
    <row r="548" spans="1:8" x14ac:dyDescent="0.25">
      <c r="A548" s="131" t="s">
        <v>734</v>
      </c>
      <c r="B548" s="131" t="s">
        <v>519</v>
      </c>
      <c r="C548" s="131" t="s">
        <v>173</v>
      </c>
      <c r="D548" s="131" t="s">
        <v>821</v>
      </c>
      <c r="E548" s="131" t="s">
        <v>1427</v>
      </c>
      <c r="F548" s="131">
        <v>98</v>
      </c>
      <c r="G548" s="131">
        <v>57</v>
      </c>
      <c r="H548" s="132">
        <v>0.58163265306122447</v>
      </c>
    </row>
    <row r="549" spans="1:8" x14ac:dyDescent="0.25">
      <c r="A549" s="131" t="s">
        <v>734</v>
      </c>
      <c r="B549" s="131" t="s">
        <v>519</v>
      </c>
      <c r="C549" s="131" t="s">
        <v>173</v>
      </c>
      <c r="D549" s="131" t="s">
        <v>805</v>
      </c>
      <c r="E549" s="131" t="s">
        <v>1428</v>
      </c>
      <c r="F549" s="131">
        <v>135</v>
      </c>
      <c r="G549" s="131">
        <v>85</v>
      </c>
      <c r="H549" s="132">
        <v>0.62962962962962965</v>
      </c>
    </row>
    <row r="550" spans="1:8" x14ac:dyDescent="0.25">
      <c r="A550" s="131" t="s">
        <v>734</v>
      </c>
      <c r="B550" s="131" t="s">
        <v>519</v>
      </c>
      <c r="C550" s="131" t="s">
        <v>173</v>
      </c>
      <c r="D550" s="131" t="s">
        <v>813</v>
      </c>
      <c r="E550" s="131" t="s">
        <v>1429</v>
      </c>
      <c r="F550" s="131">
        <v>249</v>
      </c>
      <c r="G550" s="131">
        <v>157</v>
      </c>
      <c r="H550" s="132">
        <v>0.63052208835341361</v>
      </c>
    </row>
    <row r="551" spans="1:8" x14ac:dyDescent="0.25">
      <c r="A551" s="131" t="s">
        <v>732</v>
      </c>
      <c r="B551" s="131" t="s">
        <v>520</v>
      </c>
      <c r="C551" s="131" t="s">
        <v>172</v>
      </c>
      <c r="D551" s="131" t="s">
        <v>821</v>
      </c>
      <c r="E551" s="131" t="s">
        <v>1430</v>
      </c>
      <c r="F551" s="131">
        <v>57</v>
      </c>
      <c r="G551" s="131">
        <v>24</v>
      </c>
      <c r="H551" s="132">
        <v>0.42105263157894735</v>
      </c>
    </row>
    <row r="552" spans="1:8" x14ac:dyDescent="0.25">
      <c r="A552" s="131" t="s">
        <v>732</v>
      </c>
      <c r="B552" s="131" t="s">
        <v>520</v>
      </c>
      <c r="C552" s="131" t="s">
        <v>172</v>
      </c>
      <c r="D552" s="131" t="s">
        <v>362</v>
      </c>
      <c r="E552" s="131" t="s">
        <v>1431</v>
      </c>
      <c r="F552" s="131">
        <v>154</v>
      </c>
      <c r="G552" s="131">
        <v>49</v>
      </c>
      <c r="H552" s="132">
        <v>0.31818181818181818</v>
      </c>
    </row>
    <row r="553" spans="1:8" x14ac:dyDescent="0.25">
      <c r="A553" s="131" t="s">
        <v>732</v>
      </c>
      <c r="B553" s="131" t="s">
        <v>520</v>
      </c>
      <c r="C553" s="131" t="s">
        <v>172</v>
      </c>
      <c r="D553" s="131" t="s">
        <v>819</v>
      </c>
      <c r="E553" s="131" t="s">
        <v>1432</v>
      </c>
      <c r="F553" s="131">
        <v>103</v>
      </c>
      <c r="G553" s="131">
        <v>22</v>
      </c>
      <c r="H553" s="132">
        <v>0.21359223300970873</v>
      </c>
    </row>
    <row r="554" spans="1:8" x14ac:dyDescent="0.25">
      <c r="A554" s="131" t="s">
        <v>727</v>
      </c>
      <c r="B554" s="131" t="s">
        <v>521</v>
      </c>
      <c r="C554" s="131" t="s">
        <v>171</v>
      </c>
      <c r="D554" s="131" t="s">
        <v>819</v>
      </c>
      <c r="E554" s="131" t="s">
        <v>1433</v>
      </c>
      <c r="F554" s="131">
        <v>112</v>
      </c>
      <c r="G554" s="131">
        <v>36</v>
      </c>
      <c r="H554" s="132">
        <v>0.32142857142857145</v>
      </c>
    </row>
    <row r="555" spans="1:8" x14ac:dyDescent="0.25">
      <c r="A555" s="131" t="s">
        <v>730</v>
      </c>
      <c r="B555" s="131" t="s">
        <v>522</v>
      </c>
      <c r="C555" s="131" t="s">
        <v>170</v>
      </c>
      <c r="D555" s="131" t="s">
        <v>821</v>
      </c>
      <c r="E555" s="131" t="s">
        <v>1434</v>
      </c>
      <c r="F555" s="131">
        <v>340</v>
      </c>
      <c r="G555" s="131">
        <v>128</v>
      </c>
      <c r="H555" s="132">
        <v>0.37647058823529411</v>
      </c>
    </row>
    <row r="556" spans="1:8" x14ac:dyDescent="0.25">
      <c r="A556" s="131" t="s">
        <v>730</v>
      </c>
      <c r="B556" s="131" t="s">
        <v>522</v>
      </c>
      <c r="C556" s="131" t="s">
        <v>170</v>
      </c>
      <c r="D556" s="131" t="s">
        <v>1435</v>
      </c>
      <c r="E556" s="131" t="s">
        <v>1436</v>
      </c>
      <c r="F556" s="131">
        <v>125</v>
      </c>
      <c r="G556" s="131">
        <v>51</v>
      </c>
      <c r="H556" s="132">
        <v>0.40799999999999997</v>
      </c>
    </row>
    <row r="557" spans="1:8" x14ac:dyDescent="0.25">
      <c r="A557" s="131" t="s">
        <v>730</v>
      </c>
      <c r="B557" s="131" t="s">
        <v>522</v>
      </c>
      <c r="C557" s="131" t="s">
        <v>170</v>
      </c>
      <c r="D557" s="131" t="s">
        <v>859</v>
      </c>
      <c r="E557" s="131" t="s">
        <v>1437</v>
      </c>
      <c r="F557" s="131">
        <v>151</v>
      </c>
      <c r="G557" s="131">
        <v>44</v>
      </c>
      <c r="H557" s="132">
        <v>0.29139072847682118</v>
      </c>
    </row>
    <row r="558" spans="1:8" x14ac:dyDescent="0.25">
      <c r="A558" s="131" t="s">
        <v>730</v>
      </c>
      <c r="B558" s="131" t="s">
        <v>522</v>
      </c>
      <c r="C558" s="131" t="s">
        <v>170</v>
      </c>
      <c r="D558" s="131" t="s">
        <v>1438</v>
      </c>
      <c r="E558" s="131" t="s">
        <v>1439</v>
      </c>
      <c r="F558" s="131">
        <v>310</v>
      </c>
      <c r="G558" s="131">
        <v>118</v>
      </c>
      <c r="H558" s="132">
        <v>0.38064516129032255</v>
      </c>
    </row>
    <row r="559" spans="1:8" x14ac:dyDescent="0.25">
      <c r="A559" s="131" t="s">
        <v>725</v>
      </c>
      <c r="B559" s="131" t="s">
        <v>523</v>
      </c>
      <c r="C559" s="131" t="s">
        <v>169</v>
      </c>
      <c r="D559" s="131" t="s">
        <v>819</v>
      </c>
      <c r="E559" s="131" t="s">
        <v>1440</v>
      </c>
      <c r="F559" s="131">
        <v>246</v>
      </c>
      <c r="G559" s="131">
        <v>152</v>
      </c>
      <c r="H559" s="132">
        <v>0.61788617886178865</v>
      </c>
    </row>
    <row r="560" spans="1:8" x14ac:dyDescent="0.25">
      <c r="A560" s="131" t="s">
        <v>725</v>
      </c>
      <c r="B560" s="131" t="s">
        <v>523</v>
      </c>
      <c r="C560" s="131" t="s">
        <v>169</v>
      </c>
      <c r="D560" s="131" t="s">
        <v>1139</v>
      </c>
      <c r="E560" s="131" t="s">
        <v>1441</v>
      </c>
      <c r="F560" s="131">
        <v>257</v>
      </c>
      <c r="G560" s="131">
        <v>150</v>
      </c>
      <c r="H560" s="132">
        <v>0.58365758754863817</v>
      </c>
    </row>
    <row r="561" spans="1:8" x14ac:dyDescent="0.25">
      <c r="A561" s="131" t="s">
        <v>725</v>
      </c>
      <c r="B561" s="131" t="s">
        <v>523</v>
      </c>
      <c r="C561" s="131" t="s">
        <v>169</v>
      </c>
      <c r="D561" s="131" t="s">
        <v>859</v>
      </c>
      <c r="E561" s="131" t="s">
        <v>1442</v>
      </c>
      <c r="F561" s="131">
        <v>267</v>
      </c>
      <c r="G561" s="131">
        <v>121</v>
      </c>
      <c r="H561" s="132">
        <v>0.45318352059925093</v>
      </c>
    </row>
    <row r="562" spans="1:8" x14ac:dyDescent="0.25">
      <c r="A562" s="131" t="s">
        <v>725</v>
      </c>
      <c r="B562" s="131" t="s">
        <v>523</v>
      </c>
      <c r="C562" s="131" t="s">
        <v>169</v>
      </c>
      <c r="D562" s="131" t="s">
        <v>1102</v>
      </c>
      <c r="E562" s="131" t="s">
        <v>1443</v>
      </c>
      <c r="F562" s="131">
        <v>234</v>
      </c>
      <c r="G562" s="131">
        <v>129</v>
      </c>
      <c r="H562" s="132">
        <v>0.55128205128205132</v>
      </c>
    </row>
    <row r="563" spans="1:8" x14ac:dyDescent="0.25">
      <c r="A563" s="131" t="s">
        <v>725</v>
      </c>
      <c r="B563" s="131" t="s">
        <v>523</v>
      </c>
      <c r="C563" s="131" t="s">
        <v>169</v>
      </c>
      <c r="D563" s="131" t="s">
        <v>1444</v>
      </c>
      <c r="E563" s="131" t="s">
        <v>1445</v>
      </c>
      <c r="F563" s="131">
        <v>811</v>
      </c>
      <c r="G563" s="131">
        <v>490</v>
      </c>
      <c r="H563" s="132">
        <v>0.60419235511713931</v>
      </c>
    </row>
    <row r="564" spans="1:8" x14ac:dyDescent="0.25">
      <c r="A564" s="131" t="s">
        <v>725</v>
      </c>
      <c r="B564" s="131" t="s">
        <v>523</v>
      </c>
      <c r="C564" s="131" t="s">
        <v>169</v>
      </c>
      <c r="D564" s="131" t="s">
        <v>844</v>
      </c>
      <c r="E564" s="131" t="s">
        <v>1446</v>
      </c>
      <c r="F564" s="131">
        <v>173</v>
      </c>
      <c r="G564" s="131">
        <v>114</v>
      </c>
      <c r="H564" s="132">
        <v>0.65895953757225434</v>
      </c>
    </row>
    <row r="565" spans="1:8" x14ac:dyDescent="0.25">
      <c r="A565" s="131" t="s">
        <v>725</v>
      </c>
      <c r="B565" s="131" t="s">
        <v>523</v>
      </c>
      <c r="C565" s="131" t="s">
        <v>169</v>
      </c>
      <c r="D565" s="131" t="s">
        <v>1447</v>
      </c>
      <c r="E565" s="131" t="s">
        <v>1448</v>
      </c>
      <c r="F565" s="131">
        <v>256</v>
      </c>
      <c r="G565" s="131">
        <v>146</v>
      </c>
      <c r="H565" s="132">
        <v>0.5703125</v>
      </c>
    </row>
    <row r="566" spans="1:8" x14ac:dyDescent="0.25">
      <c r="A566" s="131" t="s">
        <v>723</v>
      </c>
      <c r="B566" s="131" t="s">
        <v>524</v>
      </c>
      <c r="C566" s="131" t="s">
        <v>168</v>
      </c>
      <c r="D566" s="131" t="s">
        <v>805</v>
      </c>
      <c r="E566" s="131" t="s">
        <v>1449</v>
      </c>
      <c r="F566" s="131">
        <v>231</v>
      </c>
      <c r="G566" s="131">
        <v>67</v>
      </c>
      <c r="H566" s="132">
        <v>0.29004329004329005</v>
      </c>
    </row>
    <row r="567" spans="1:8" x14ac:dyDescent="0.25">
      <c r="A567" s="131" t="s">
        <v>725</v>
      </c>
      <c r="B567" s="131" t="s">
        <v>525</v>
      </c>
      <c r="C567" s="131" t="s">
        <v>167</v>
      </c>
      <c r="D567" s="131" t="s">
        <v>819</v>
      </c>
      <c r="E567" s="131" t="s">
        <v>1450</v>
      </c>
      <c r="F567" s="131">
        <v>228</v>
      </c>
      <c r="G567" s="131">
        <v>165</v>
      </c>
      <c r="H567" s="132">
        <v>0.72368421052631582</v>
      </c>
    </row>
    <row r="568" spans="1:8" x14ac:dyDescent="0.25">
      <c r="A568" s="131" t="s">
        <v>725</v>
      </c>
      <c r="B568" s="131" t="s">
        <v>525</v>
      </c>
      <c r="C568" s="131" t="s">
        <v>167</v>
      </c>
      <c r="D568" s="131" t="s">
        <v>807</v>
      </c>
      <c r="E568" s="131" t="s">
        <v>975</v>
      </c>
      <c r="F568" s="131">
        <v>242</v>
      </c>
      <c r="G568" s="131">
        <v>141</v>
      </c>
      <c r="H568" s="132">
        <v>0.5826446280991735</v>
      </c>
    </row>
    <row r="569" spans="1:8" x14ac:dyDescent="0.25">
      <c r="A569" s="131" t="s">
        <v>725</v>
      </c>
      <c r="B569" s="131" t="s">
        <v>525</v>
      </c>
      <c r="C569" s="131" t="s">
        <v>167</v>
      </c>
      <c r="D569" s="131" t="s">
        <v>859</v>
      </c>
      <c r="E569" s="131" t="s">
        <v>1042</v>
      </c>
      <c r="F569" s="131">
        <v>292</v>
      </c>
      <c r="G569" s="131">
        <v>113</v>
      </c>
      <c r="H569" s="132">
        <v>0.38698630136986301</v>
      </c>
    </row>
    <row r="570" spans="1:8" x14ac:dyDescent="0.25">
      <c r="A570" s="131" t="s">
        <v>725</v>
      </c>
      <c r="B570" s="131" t="s">
        <v>525</v>
      </c>
      <c r="C570" s="131" t="s">
        <v>167</v>
      </c>
      <c r="D570" s="131" t="s">
        <v>840</v>
      </c>
      <c r="E570" s="131" t="s">
        <v>1451</v>
      </c>
      <c r="F570" s="131">
        <v>621</v>
      </c>
      <c r="G570" s="131">
        <v>351</v>
      </c>
      <c r="H570" s="132">
        <v>0.56521739130434778</v>
      </c>
    </row>
    <row r="571" spans="1:8" x14ac:dyDescent="0.25">
      <c r="A571" s="131" t="s">
        <v>725</v>
      </c>
      <c r="B571" s="131" t="s">
        <v>525</v>
      </c>
      <c r="C571" s="131" t="s">
        <v>167</v>
      </c>
      <c r="D571" s="131" t="s">
        <v>844</v>
      </c>
      <c r="E571" s="131" t="s">
        <v>1026</v>
      </c>
      <c r="F571" s="131">
        <v>298</v>
      </c>
      <c r="G571" s="131">
        <v>184</v>
      </c>
      <c r="H571" s="132">
        <v>0.6174496644295302</v>
      </c>
    </row>
    <row r="572" spans="1:8" x14ac:dyDescent="0.25">
      <c r="A572" s="131" t="s">
        <v>727</v>
      </c>
      <c r="B572" s="131" t="s">
        <v>526</v>
      </c>
      <c r="C572" s="131" t="s">
        <v>166</v>
      </c>
      <c r="D572" s="131" t="s">
        <v>821</v>
      </c>
      <c r="E572" s="131" t="s">
        <v>1452</v>
      </c>
      <c r="F572" s="131">
        <v>125</v>
      </c>
      <c r="G572" s="131">
        <v>39</v>
      </c>
      <c r="H572" s="132">
        <v>0.312</v>
      </c>
    </row>
    <row r="573" spans="1:8" x14ac:dyDescent="0.25">
      <c r="A573" s="131" t="s">
        <v>727</v>
      </c>
      <c r="B573" s="131" t="s">
        <v>526</v>
      </c>
      <c r="C573" s="131" t="s">
        <v>166</v>
      </c>
      <c r="D573" s="131" t="s">
        <v>805</v>
      </c>
      <c r="E573" s="131" t="s">
        <v>1453</v>
      </c>
      <c r="F573" s="131">
        <v>350</v>
      </c>
      <c r="G573" s="131">
        <v>105</v>
      </c>
      <c r="H573" s="132">
        <v>0.3</v>
      </c>
    </row>
    <row r="574" spans="1:8" x14ac:dyDescent="0.25">
      <c r="A574" s="131" t="s">
        <v>727</v>
      </c>
      <c r="B574" s="131" t="s">
        <v>526</v>
      </c>
      <c r="C574" s="131" t="s">
        <v>166</v>
      </c>
      <c r="D574" s="131" t="s">
        <v>813</v>
      </c>
      <c r="E574" s="131" t="s">
        <v>1454</v>
      </c>
      <c r="F574" s="131">
        <v>174</v>
      </c>
      <c r="G574" s="131">
        <v>63</v>
      </c>
      <c r="H574" s="132">
        <v>0.36206896551724138</v>
      </c>
    </row>
    <row r="575" spans="1:8" x14ac:dyDescent="0.25">
      <c r="A575" s="131" t="s">
        <v>729</v>
      </c>
      <c r="B575" s="131" t="s">
        <v>527</v>
      </c>
      <c r="C575" s="131" t="s">
        <v>165</v>
      </c>
      <c r="D575" s="131" t="s">
        <v>821</v>
      </c>
      <c r="E575" s="131" t="s">
        <v>1455</v>
      </c>
      <c r="F575" s="131">
        <v>84</v>
      </c>
      <c r="G575" s="131">
        <v>25</v>
      </c>
      <c r="H575" s="132">
        <v>0.29761904761904762</v>
      </c>
    </row>
    <row r="576" spans="1:8" x14ac:dyDescent="0.25">
      <c r="A576" s="131" t="s">
        <v>729</v>
      </c>
      <c r="B576" s="131" t="s">
        <v>527</v>
      </c>
      <c r="C576" s="131" t="s">
        <v>165</v>
      </c>
      <c r="D576" s="131" t="s">
        <v>805</v>
      </c>
      <c r="E576" s="131" t="s">
        <v>1456</v>
      </c>
      <c r="F576" s="131">
        <v>344</v>
      </c>
      <c r="G576" s="131">
        <v>87</v>
      </c>
      <c r="H576" s="132">
        <v>0.25290697674418605</v>
      </c>
    </row>
    <row r="577" spans="1:8" x14ac:dyDescent="0.25">
      <c r="A577" s="131" t="s">
        <v>723</v>
      </c>
      <c r="B577" s="131" t="s">
        <v>528</v>
      </c>
      <c r="C577" s="131" t="s">
        <v>164</v>
      </c>
      <c r="D577" s="131" t="s">
        <v>805</v>
      </c>
      <c r="E577" s="131" t="s">
        <v>1457</v>
      </c>
      <c r="F577" s="131">
        <v>145</v>
      </c>
      <c r="G577" s="131">
        <v>63</v>
      </c>
      <c r="H577" s="132">
        <v>0.43448275862068964</v>
      </c>
    </row>
    <row r="578" spans="1:8" x14ac:dyDescent="0.25">
      <c r="A578" s="131" t="s">
        <v>730</v>
      </c>
      <c r="B578" s="131" t="s">
        <v>529</v>
      </c>
      <c r="C578" s="131" t="s">
        <v>163</v>
      </c>
      <c r="D578" s="131" t="s">
        <v>1458</v>
      </c>
      <c r="E578" s="131" t="s">
        <v>1459</v>
      </c>
      <c r="F578" s="131">
        <v>36</v>
      </c>
      <c r="G578" s="131">
        <v>14</v>
      </c>
      <c r="H578" s="132">
        <v>0.3888888888888889</v>
      </c>
    </row>
    <row r="579" spans="1:8" x14ac:dyDescent="0.25">
      <c r="A579" s="131" t="s">
        <v>730</v>
      </c>
      <c r="B579" s="131" t="s">
        <v>529</v>
      </c>
      <c r="C579" s="131" t="s">
        <v>163</v>
      </c>
      <c r="D579" s="131" t="s">
        <v>813</v>
      </c>
      <c r="E579" s="131" t="s">
        <v>1460</v>
      </c>
      <c r="F579" s="131">
        <v>151</v>
      </c>
      <c r="G579" s="131">
        <v>73</v>
      </c>
      <c r="H579" s="132">
        <v>0.48344370860927155</v>
      </c>
    </row>
    <row r="580" spans="1:8" x14ac:dyDescent="0.25">
      <c r="A580" s="131" t="s">
        <v>730</v>
      </c>
      <c r="B580" s="131" t="s">
        <v>530</v>
      </c>
      <c r="C580" s="131" t="s">
        <v>162</v>
      </c>
      <c r="D580" s="131" t="s">
        <v>821</v>
      </c>
      <c r="E580" s="131" t="s">
        <v>1461</v>
      </c>
      <c r="F580" s="131">
        <v>210</v>
      </c>
      <c r="G580" s="131">
        <v>63</v>
      </c>
      <c r="H580" s="132">
        <v>0.3</v>
      </c>
    </row>
    <row r="581" spans="1:8" x14ac:dyDescent="0.25">
      <c r="A581" s="131" t="s">
        <v>730</v>
      </c>
      <c r="B581" s="131" t="s">
        <v>530</v>
      </c>
      <c r="C581" s="131" t="s">
        <v>162</v>
      </c>
      <c r="D581" s="131" t="s">
        <v>805</v>
      </c>
      <c r="E581" s="131" t="s">
        <v>1462</v>
      </c>
      <c r="F581" s="131">
        <v>229</v>
      </c>
      <c r="G581" s="131">
        <v>62</v>
      </c>
      <c r="H581" s="132">
        <v>0.27074235807860264</v>
      </c>
    </row>
    <row r="582" spans="1:8" x14ac:dyDescent="0.25">
      <c r="A582" s="131" t="s">
        <v>730</v>
      </c>
      <c r="B582" s="131" t="s">
        <v>530</v>
      </c>
      <c r="C582" s="131" t="s">
        <v>162</v>
      </c>
      <c r="D582" s="131" t="s">
        <v>813</v>
      </c>
      <c r="E582" s="131" t="s">
        <v>1463</v>
      </c>
      <c r="F582" s="131">
        <v>209</v>
      </c>
      <c r="G582" s="131">
        <v>63</v>
      </c>
      <c r="H582" s="132">
        <v>0.30143540669856461</v>
      </c>
    </row>
    <row r="583" spans="1:8" x14ac:dyDescent="0.25">
      <c r="A583" s="131" t="s">
        <v>726</v>
      </c>
      <c r="B583" s="131" t="s">
        <v>531</v>
      </c>
      <c r="C583" s="131" t="s">
        <v>161</v>
      </c>
      <c r="D583" s="131" t="s">
        <v>821</v>
      </c>
      <c r="E583" s="131" t="s">
        <v>1464</v>
      </c>
      <c r="F583" s="131">
        <v>55</v>
      </c>
      <c r="G583" s="131">
        <v>22</v>
      </c>
      <c r="H583" s="132">
        <v>0.4</v>
      </c>
    </row>
    <row r="584" spans="1:8" x14ac:dyDescent="0.25">
      <c r="A584" s="131" t="s">
        <v>726</v>
      </c>
      <c r="B584" s="131" t="s">
        <v>531</v>
      </c>
      <c r="C584" s="131" t="s">
        <v>161</v>
      </c>
      <c r="D584" s="131" t="s">
        <v>805</v>
      </c>
      <c r="E584" s="131" t="s">
        <v>1465</v>
      </c>
      <c r="F584" s="131">
        <v>264</v>
      </c>
      <c r="G584" s="131">
        <v>109</v>
      </c>
      <c r="H584" s="132">
        <v>0.4128787878787879</v>
      </c>
    </row>
    <row r="585" spans="1:8" x14ac:dyDescent="0.25">
      <c r="A585" s="131" t="s">
        <v>732</v>
      </c>
      <c r="B585" s="131" t="s">
        <v>532</v>
      </c>
      <c r="C585" s="131" t="s">
        <v>160</v>
      </c>
      <c r="D585" s="131" t="s">
        <v>821</v>
      </c>
      <c r="E585" s="131" t="s">
        <v>1466</v>
      </c>
      <c r="F585" s="131">
        <v>68</v>
      </c>
      <c r="G585" s="131">
        <v>28</v>
      </c>
      <c r="H585" s="132">
        <v>0.41176470588235292</v>
      </c>
    </row>
    <row r="586" spans="1:8" x14ac:dyDescent="0.25">
      <c r="A586" s="131" t="s">
        <v>732</v>
      </c>
      <c r="B586" s="131" t="s">
        <v>532</v>
      </c>
      <c r="C586" s="131" t="s">
        <v>160</v>
      </c>
      <c r="D586" s="131" t="s">
        <v>819</v>
      </c>
      <c r="E586" s="131" t="s">
        <v>1467</v>
      </c>
      <c r="F586" s="131">
        <v>156</v>
      </c>
      <c r="G586" s="131">
        <v>57</v>
      </c>
      <c r="H586" s="132">
        <v>0.36538461538461536</v>
      </c>
    </row>
    <row r="587" spans="1:8" x14ac:dyDescent="0.25">
      <c r="A587" s="131" t="s">
        <v>732</v>
      </c>
      <c r="B587" s="131" t="s">
        <v>532</v>
      </c>
      <c r="C587" s="131" t="s">
        <v>160</v>
      </c>
      <c r="D587" s="131" t="s">
        <v>807</v>
      </c>
      <c r="E587" s="131" t="s">
        <v>1468</v>
      </c>
      <c r="F587" s="131">
        <v>127</v>
      </c>
      <c r="G587" s="131">
        <v>49</v>
      </c>
      <c r="H587" s="132">
        <v>0.38582677165354329</v>
      </c>
    </row>
    <row r="588" spans="1:8" x14ac:dyDescent="0.25">
      <c r="A588" s="131" t="s">
        <v>725</v>
      </c>
      <c r="B588" s="131" t="s">
        <v>533</v>
      </c>
      <c r="C588" s="131" t="s">
        <v>159</v>
      </c>
      <c r="D588" s="131" t="s">
        <v>821</v>
      </c>
      <c r="E588" s="131" t="s">
        <v>1469</v>
      </c>
      <c r="F588" s="131">
        <v>35</v>
      </c>
      <c r="G588" s="131">
        <v>9</v>
      </c>
      <c r="H588" s="132">
        <v>0.25714285714285712</v>
      </c>
    </row>
    <row r="589" spans="1:8" x14ac:dyDescent="0.25">
      <c r="A589" s="131" t="s">
        <v>725</v>
      </c>
      <c r="B589" s="131" t="s">
        <v>533</v>
      </c>
      <c r="C589" s="131" t="s">
        <v>159</v>
      </c>
      <c r="D589" s="131" t="s">
        <v>805</v>
      </c>
      <c r="E589" s="131" t="s">
        <v>1470</v>
      </c>
      <c r="F589" s="131">
        <v>176</v>
      </c>
      <c r="G589" s="131">
        <v>70</v>
      </c>
      <c r="H589" s="132">
        <v>0.39772727272727271</v>
      </c>
    </row>
    <row r="590" spans="1:8" x14ac:dyDescent="0.25">
      <c r="A590" s="131" t="s">
        <v>730</v>
      </c>
      <c r="B590" s="131" t="s">
        <v>534</v>
      </c>
      <c r="C590" s="131" t="s">
        <v>158</v>
      </c>
      <c r="D590" s="131" t="s">
        <v>821</v>
      </c>
      <c r="E590" s="131" t="s">
        <v>1471</v>
      </c>
      <c r="F590" s="131">
        <v>143</v>
      </c>
      <c r="G590" s="131">
        <v>43</v>
      </c>
      <c r="H590" s="132">
        <v>0.30069930069930068</v>
      </c>
    </row>
    <row r="591" spans="1:8" x14ac:dyDescent="0.25">
      <c r="A591" s="131" t="s">
        <v>730</v>
      </c>
      <c r="B591" s="131" t="s">
        <v>534</v>
      </c>
      <c r="C591" s="131" t="s">
        <v>158</v>
      </c>
      <c r="D591" s="131" t="s">
        <v>805</v>
      </c>
      <c r="E591" s="131" t="s">
        <v>1472</v>
      </c>
      <c r="F591" s="131">
        <v>190</v>
      </c>
      <c r="G591" s="131">
        <v>73</v>
      </c>
      <c r="H591" s="132">
        <v>0.38421052631578945</v>
      </c>
    </row>
    <row r="592" spans="1:8" x14ac:dyDescent="0.25">
      <c r="A592" s="131" t="s">
        <v>730</v>
      </c>
      <c r="B592" s="131" t="s">
        <v>534</v>
      </c>
      <c r="C592" s="131" t="s">
        <v>158</v>
      </c>
      <c r="D592" s="131" t="s">
        <v>813</v>
      </c>
      <c r="E592" s="131" t="s">
        <v>1473</v>
      </c>
      <c r="F592" s="131">
        <v>57</v>
      </c>
      <c r="G592" s="131">
        <v>27</v>
      </c>
      <c r="H592" s="132">
        <v>0.47368421052631576</v>
      </c>
    </row>
    <row r="593" spans="1:8" x14ac:dyDescent="0.25">
      <c r="A593" s="131" t="s">
        <v>729</v>
      </c>
      <c r="B593" s="131" t="s">
        <v>535</v>
      </c>
      <c r="C593" s="131" t="s">
        <v>157</v>
      </c>
      <c r="D593" s="131" t="s">
        <v>805</v>
      </c>
      <c r="E593" s="131" t="s">
        <v>1474</v>
      </c>
      <c r="F593" s="131">
        <v>154</v>
      </c>
      <c r="G593" s="131">
        <v>77</v>
      </c>
      <c r="H593" s="132">
        <v>0.5</v>
      </c>
    </row>
    <row r="594" spans="1:8" x14ac:dyDescent="0.25">
      <c r="A594" s="131" t="s">
        <v>726</v>
      </c>
      <c r="B594" s="131" t="s">
        <v>536</v>
      </c>
      <c r="C594" s="131" t="s">
        <v>156</v>
      </c>
      <c r="D594" s="131" t="s">
        <v>813</v>
      </c>
      <c r="E594" s="131" t="s">
        <v>1475</v>
      </c>
      <c r="F594" s="131">
        <v>92</v>
      </c>
      <c r="G594" s="131">
        <v>53</v>
      </c>
      <c r="H594" s="132">
        <v>0.57608695652173914</v>
      </c>
    </row>
    <row r="595" spans="1:8" x14ac:dyDescent="0.25">
      <c r="A595" s="131" t="s">
        <v>729</v>
      </c>
      <c r="B595" s="131" t="s">
        <v>537</v>
      </c>
      <c r="C595" s="131" t="s">
        <v>155</v>
      </c>
      <c r="D595" s="131" t="s">
        <v>805</v>
      </c>
      <c r="E595" s="131" t="s">
        <v>1476</v>
      </c>
      <c r="F595" s="131">
        <v>93</v>
      </c>
      <c r="G595" s="131">
        <v>40</v>
      </c>
      <c r="H595" s="132">
        <v>0.43010752688172044</v>
      </c>
    </row>
    <row r="596" spans="1:8" x14ac:dyDescent="0.25">
      <c r="A596" s="131" t="s">
        <v>729</v>
      </c>
      <c r="B596" s="131" t="s">
        <v>538</v>
      </c>
      <c r="C596" s="131" t="s">
        <v>154</v>
      </c>
      <c r="D596" s="131" t="s">
        <v>805</v>
      </c>
      <c r="E596" s="131" t="s">
        <v>1166</v>
      </c>
      <c r="F596" s="131">
        <v>84</v>
      </c>
      <c r="G596" s="131">
        <v>57</v>
      </c>
      <c r="H596" s="132">
        <v>0.6785714285714286</v>
      </c>
    </row>
    <row r="597" spans="1:8" x14ac:dyDescent="0.25">
      <c r="A597" s="131" t="s">
        <v>726</v>
      </c>
      <c r="B597" s="131" t="s">
        <v>539</v>
      </c>
      <c r="C597" s="131" t="s">
        <v>153</v>
      </c>
      <c r="D597" s="131" t="s">
        <v>807</v>
      </c>
      <c r="E597" s="131" t="s">
        <v>1477</v>
      </c>
      <c r="F597" s="131">
        <v>255</v>
      </c>
      <c r="G597" s="131">
        <v>119</v>
      </c>
      <c r="H597" s="132">
        <v>0.46666666666666667</v>
      </c>
    </row>
    <row r="598" spans="1:8" x14ac:dyDescent="0.25">
      <c r="A598" s="131" t="s">
        <v>729</v>
      </c>
      <c r="B598" s="131" t="s">
        <v>540</v>
      </c>
      <c r="C598" s="131" t="s">
        <v>152</v>
      </c>
      <c r="D598" s="131" t="s">
        <v>821</v>
      </c>
      <c r="E598" s="131" t="s">
        <v>1478</v>
      </c>
      <c r="F598" s="131">
        <v>153</v>
      </c>
      <c r="G598" s="131">
        <v>87</v>
      </c>
      <c r="H598" s="132">
        <v>0.56862745098039214</v>
      </c>
    </row>
    <row r="599" spans="1:8" x14ac:dyDescent="0.25">
      <c r="A599" s="131" t="s">
        <v>729</v>
      </c>
      <c r="B599" s="131" t="s">
        <v>540</v>
      </c>
      <c r="C599" s="131" t="s">
        <v>152</v>
      </c>
      <c r="D599" s="131" t="s">
        <v>805</v>
      </c>
      <c r="E599" s="131" t="s">
        <v>1479</v>
      </c>
      <c r="F599" s="131">
        <v>196</v>
      </c>
      <c r="G599" s="131">
        <v>118</v>
      </c>
      <c r="H599" s="132">
        <v>0.60204081632653061</v>
      </c>
    </row>
    <row r="600" spans="1:8" x14ac:dyDescent="0.25">
      <c r="A600" s="131" t="s">
        <v>729</v>
      </c>
      <c r="B600" s="131" t="s">
        <v>540</v>
      </c>
      <c r="C600" s="131" t="s">
        <v>152</v>
      </c>
      <c r="D600" s="131" t="s">
        <v>813</v>
      </c>
      <c r="E600" s="131" t="s">
        <v>915</v>
      </c>
      <c r="F600" s="131">
        <v>214</v>
      </c>
      <c r="G600" s="131">
        <v>89</v>
      </c>
      <c r="H600" s="132">
        <v>0.41588785046728971</v>
      </c>
    </row>
    <row r="601" spans="1:8" x14ac:dyDescent="0.25">
      <c r="A601" s="131" t="s">
        <v>729</v>
      </c>
      <c r="B601" s="131" t="s">
        <v>540</v>
      </c>
      <c r="C601" s="131" t="s">
        <v>152</v>
      </c>
      <c r="D601" s="131" t="s">
        <v>807</v>
      </c>
      <c r="E601" s="131" t="s">
        <v>1480</v>
      </c>
      <c r="F601" s="131">
        <v>92</v>
      </c>
      <c r="G601" s="131">
        <v>45</v>
      </c>
      <c r="H601" s="132">
        <v>0.4891304347826087</v>
      </c>
    </row>
    <row r="602" spans="1:8" x14ac:dyDescent="0.25">
      <c r="A602" s="131" t="s">
        <v>729</v>
      </c>
      <c r="B602" s="131" t="s">
        <v>540</v>
      </c>
      <c r="C602" s="131" t="s">
        <v>152</v>
      </c>
      <c r="D602" s="131" t="s">
        <v>840</v>
      </c>
      <c r="E602" s="131" t="s">
        <v>1020</v>
      </c>
      <c r="F602" s="131">
        <v>200</v>
      </c>
      <c r="G602" s="131">
        <v>141</v>
      </c>
      <c r="H602" s="132">
        <v>0.70499999999999996</v>
      </c>
    </row>
    <row r="603" spans="1:8" x14ac:dyDescent="0.25">
      <c r="A603" s="131" t="s">
        <v>730</v>
      </c>
      <c r="B603" s="131" t="s">
        <v>541</v>
      </c>
      <c r="C603" s="131" t="s">
        <v>151</v>
      </c>
      <c r="D603" s="131" t="s">
        <v>821</v>
      </c>
      <c r="E603" s="131" t="s">
        <v>1481</v>
      </c>
      <c r="F603" s="131">
        <v>224</v>
      </c>
      <c r="G603" s="131">
        <v>31</v>
      </c>
      <c r="H603" s="132">
        <v>0.13839285714285715</v>
      </c>
    </row>
    <row r="604" spans="1:8" x14ac:dyDescent="0.25">
      <c r="A604" s="131" t="s">
        <v>730</v>
      </c>
      <c r="B604" s="131" t="s">
        <v>541</v>
      </c>
      <c r="C604" s="131" t="s">
        <v>151</v>
      </c>
      <c r="D604" s="131" t="s">
        <v>805</v>
      </c>
      <c r="E604" s="131" t="s">
        <v>874</v>
      </c>
      <c r="F604" s="131">
        <v>355</v>
      </c>
      <c r="G604" s="131">
        <v>58</v>
      </c>
      <c r="H604" s="132">
        <v>0.16338028169014085</v>
      </c>
    </row>
    <row r="605" spans="1:8" x14ac:dyDescent="0.25">
      <c r="A605" s="131" t="s">
        <v>726</v>
      </c>
      <c r="B605" s="131" t="s">
        <v>542</v>
      </c>
      <c r="C605" s="131" t="s">
        <v>150</v>
      </c>
      <c r="D605" s="131" t="s">
        <v>803</v>
      </c>
      <c r="E605" s="131" t="s">
        <v>1482</v>
      </c>
      <c r="F605" s="131">
        <v>25</v>
      </c>
      <c r="G605" s="131">
        <v>11</v>
      </c>
      <c r="H605" s="132">
        <v>0.44</v>
      </c>
    </row>
    <row r="606" spans="1:8" x14ac:dyDescent="0.25">
      <c r="A606" s="131" t="s">
        <v>726</v>
      </c>
      <c r="B606" s="131" t="s">
        <v>542</v>
      </c>
      <c r="C606" s="131" t="s">
        <v>150</v>
      </c>
      <c r="D606" s="131" t="s">
        <v>805</v>
      </c>
      <c r="E606" s="131" t="s">
        <v>1483</v>
      </c>
      <c r="F606" s="131">
        <v>99</v>
      </c>
      <c r="G606" s="131">
        <v>42</v>
      </c>
      <c r="H606" s="132">
        <v>0.42424242424242425</v>
      </c>
    </row>
    <row r="607" spans="1:8" x14ac:dyDescent="0.25">
      <c r="A607" s="131" t="s">
        <v>734</v>
      </c>
      <c r="B607" s="131" t="s">
        <v>543</v>
      </c>
      <c r="C607" s="131" t="s">
        <v>149</v>
      </c>
      <c r="D607" s="131" t="s">
        <v>852</v>
      </c>
      <c r="E607" s="131" t="s">
        <v>914</v>
      </c>
      <c r="F607" s="131">
        <v>255</v>
      </c>
      <c r="G607" s="131">
        <v>178</v>
      </c>
      <c r="H607" s="132">
        <v>0.69803921568627447</v>
      </c>
    </row>
    <row r="608" spans="1:8" x14ac:dyDescent="0.25">
      <c r="A608" s="131" t="s">
        <v>734</v>
      </c>
      <c r="B608" s="131" t="s">
        <v>543</v>
      </c>
      <c r="C608" s="131" t="s">
        <v>149</v>
      </c>
      <c r="D608" s="131" t="s">
        <v>813</v>
      </c>
      <c r="E608" s="131" t="s">
        <v>993</v>
      </c>
      <c r="F608" s="131">
        <v>304</v>
      </c>
      <c r="G608" s="131">
        <v>120</v>
      </c>
      <c r="H608" s="132">
        <v>0.39473684210526316</v>
      </c>
    </row>
    <row r="609" spans="1:8" x14ac:dyDescent="0.25">
      <c r="A609" s="131" t="s">
        <v>734</v>
      </c>
      <c r="B609" s="131" t="s">
        <v>543</v>
      </c>
      <c r="C609" s="131" t="s">
        <v>149</v>
      </c>
      <c r="D609" s="131" t="s">
        <v>819</v>
      </c>
      <c r="E609" s="131" t="s">
        <v>1042</v>
      </c>
      <c r="F609" s="131">
        <v>426</v>
      </c>
      <c r="G609" s="131">
        <v>275</v>
      </c>
      <c r="H609" s="132">
        <v>0.64553990610328638</v>
      </c>
    </row>
    <row r="610" spans="1:8" x14ac:dyDescent="0.25">
      <c r="A610" s="131" t="s">
        <v>734</v>
      </c>
      <c r="B610" s="131" t="s">
        <v>543</v>
      </c>
      <c r="C610" s="131" t="s">
        <v>149</v>
      </c>
      <c r="D610" s="131" t="s">
        <v>859</v>
      </c>
      <c r="E610" s="131" t="s">
        <v>981</v>
      </c>
      <c r="F610" s="131">
        <v>390</v>
      </c>
      <c r="G610" s="131">
        <v>182</v>
      </c>
      <c r="H610" s="132">
        <v>0.46666666666666667</v>
      </c>
    </row>
    <row r="611" spans="1:8" x14ac:dyDescent="0.25">
      <c r="A611" s="131" t="s">
        <v>734</v>
      </c>
      <c r="B611" s="131" t="s">
        <v>543</v>
      </c>
      <c r="C611" s="131" t="s">
        <v>149</v>
      </c>
      <c r="D611" s="131" t="s">
        <v>840</v>
      </c>
      <c r="E611" s="131" t="s">
        <v>1104</v>
      </c>
      <c r="F611" s="131">
        <v>402</v>
      </c>
      <c r="G611" s="131">
        <v>210</v>
      </c>
      <c r="H611" s="132">
        <v>0.52238805970149249</v>
      </c>
    </row>
    <row r="612" spans="1:8" x14ac:dyDescent="0.25">
      <c r="A612" s="131" t="s">
        <v>734</v>
      </c>
      <c r="B612" s="131" t="s">
        <v>543</v>
      </c>
      <c r="C612" s="131" t="s">
        <v>149</v>
      </c>
      <c r="D612" s="131" t="s">
        <v>1484</v>
      </c>
      <c r="E612" s="131" t="s">
        <v>1485</v>
      </c>
      <c r="F612" s="131">
        <v>254</v>
      </c>
      <c r="G612" s="131">
        <v>60</v>
      </c>
      <c r="H612" s="132">
        <v>0.23622047244094488</v>
      </c>
    </row>
    <row r="613" spans="1:8" x14ac:dyDescent="0.25">
      <c r="A613" s="131" t="s">
        <v>725</v>
      </c>
      <c r="B613" s="131" t="s">
        <v>544</v>
      </c>
      <c r="C613" s="131" t="s">
        <v>148</v>
      </c>
      <c r="D613" s="131" t="s">
        <v>803</v>
      </c>
      <c r="E613" s="131" t="s">
        <v>1486</v>
      </c>
      <c r="F613" s="131">
        <v>55</v>
      </c>
      <c r="G613" s="131">
        <v>19</v>
      </c>
      <c r="H613" s="132">
        <v>0.34545454545454546</v>
      </c>
    </row>
    <row r="614" spans="1:8" x14ac:dyDescent="0.25">
      <c r="A614" s="131" t="s">
        <v>725</v>
      </c>
      <c r="B614" s="131" t="s">
        <v>544</v>
      </c>
      <c r="C614" s="131" t="s">
        <v>148</v>
      </c>
      <c r="D614" s="131" t="s">
        <v>805</v>
      </c>
      <c r="E614" s="131" t="s">
        <v>1487</v>
      </c>
      <c r="F614" s="131">
        <v>195</v>
      </c>
      <c r="G614" s="131">
        <v>78</v>
      </c>
      <c r="H614" s="132">
        <v>0.4</v>
      </c>
    </row>
    <row r="615" spans="1:8" x14ac:dyDescent="0.25">
      <c r="A615" s="131" t="s">
        <v>723</v>
      </c>
      <c r="B615" s="131" t="s">
        <v>545</v>
      </c>
      <c r="C615" s="131" t="s">
        <v>147</v>
      </c>
      <c r="D615" s="131" t="s">
        <v>828</v>
      </c>
      <c r="E615" s="131" t="s">
        <v>1488</v>
      </c>
      <c r="F615" s="131">
        <v>224</v>
      </c>
      <c r="G615" s="131">
        <v>80</v>
      </c>
      <c r="H615" s="132">
        <v>0.35714285714285715</v>
      </c>
    </row>
    <row r="616" spans="1:8" x14ac:dyDescent="0.25">
      <c r="A616" s="131" t="s">
        <v>723</v>
      </c>
      <c r="B616" s="131" t="s">
        <v>545</v>
      </c>
      <c r="C616" s="131" t="s">
        <v>147</v>
      </c>
      <c r="D616" s="131" t="s">
        <v>805</v>
      </c>
      <c r="E616" s="131" t="s">
        <v>1332</v>
      </c>
      <c r="F616" s="131">
        <v>414</v>
      </c>
      <c r="G616" s="131">
        <v>145</v>
      </c>
      <c r="H616" s="132">
        <v>0.35024154589371981</v>
      </c>
    </row>
    <row r="617" spans="1:8" x14ac:dyDescent="0.25">
      <c r="A617" s="131" t="s">
        <v>728</v>
      </c>
      <c r="B617" s="131" t="s">
        <v>546</v>
      </c>
      <c r="C617" s="131" t="s">
        <v>146</v>
      </c>
      <c r="D617" s="131" t="s">
        <v>875</v>
      </c>
      <c r="E617" s="131" t="s">
        <v>1489</v>
      </c>
      <c r="F617" s="131">
        <v>34</v>
      </c>
      <c r="G617" s="131">
        <v>14</v>
      </c>
      <c r="H617" s="132">
        <v>0.41176470588235292</v>
      </c>
    </row>
    <row r="618" spans="1:8" x14ac:dyDescent="0.25">
      <c r="A618" s="131" t="s">
        <v>728</v>
      </c>
      <c r="B618" s="131" t="s">
        <v>546</v>
      </c>
      <c r="C618" s="131" t="s">
        <v>146</v>
      </c>
      <c r="D618" s="131" t="s">
        <v>805</v>
      </c>
      <c r="E618" s="131" t="s">
        <v>1490</v>
      </c>
      <c r="F618" s="131">
        <v>179</v>
      </c>
      <c r="G618" s="131">
        <v>86</v>
      </c>
      <c r="H618" s="132">
        <v>0.48044692737430167</v>
      </c>
    </row>
    <row r="619" spans="1:8" x14ac:dyDescent="0.25">
      <c r="A619" s="131" t="s">
        <v>732</v>
      </c>
      <c r="B619" s="131" t="s">
        <v>547</v>
      </c>
      <c r="C619" s="131" t="s">
        <v>145</v>
      </c>
      <c r="D619" s="131" t="s">
        <v>821</v>
      </c>
      <c r="E619" s="131" t="s">
        <v>1491</v>
      </c>
      <c r="F619" s="131">
        <v>135</v>
      </c>
      <c r="G619" s="131">
        <v>51</v>
      </c>
      <c r="H619" s="132">
        <v>0.37777777777777777</v>
      </c>
    </row>
    <row r="620" spans="1:8" x14ac:dyDescent="0.25">
      <c r="A620" s="131" t="s">
        <v>732</v>
      </c>
      <c r="B620" s="131" t="s">
        <v>547</v>
      </c>
      <c r="C620" s="131" t="s">
        <v>145</v>
      </c>
      <c r="D620" s="131" t="s">
        <v>813</v>
      </c>
      <c r="E620" s="131" t="s">
        <v>1492</v>
      </c>
      <c r="F620" s="131">
        <v>246</v>
      </c>
      <c r="G620" s="131">
        <v>94</v>
      </c>
      <c r="H620" s="132">
        <v>0.38211382113821141</v>
      </c>
    </row>
    <row r="621" spans="1:8" x14ac:dyDescent="0.25">
      <c r="A621" s="131" t="s">
        <v>729</v>
      </c>
      <c r="B621" s="131" t="s">
        <v>548</v>
      </c>
      <c r="C621" s="131" t="s">
        <v>144</v>
      </c>
      <c r="D621" s="131" t="s">
        <v>803</v>
      </c>
      <c r="E621" s="131" t="s">
        <v>1493</v>
      </c>
      <c r="F621" s="131">
        <v>38</v>
      </c>
      <c r="G621" s="131">
        <v>17</v>
      </c>
      <c r="H621" s="132">
        <v>0.44736842105263158</v>
      </c>
    </row>
    <row r="622" spans="1:8" x14ac:dyDescent="0.25">
      <c r="A622" s="131" t="s">
        <v>729</v>
      </c>
      <c r="B622" s="131" t="s">
        <v>548</v>
      </c>
      <c r="C622" s="131" t="s">
        <v>144</v>
      </c>
      <c r="D622" s="131" t="s">
        <v>805</v>
      </c>
      <c r="E622" s="131" t="s">
        <v>1395</v>
      </c>
      <c r="F622" s="131">
        <v>192</v>
      </c>
      <c r="G622" s="131">
        <v>86</v>
      </c>
      <c r="H622" s="132">
        <v>0.44791666666666669</v>
      </c>
    </row>
    <row r="623" spans="1:8" x14ac:dyDescent="0.25">
      <c r="A623" s="131" t="s">
        <v>723</v>
      </c>
      <c r="B623" s="131" t="s">
        <v>549</v>
      </c>
      <c r="C623" s="131" t="s">
        <v>143</v>
      </c>
      <c r="D623" s="131" t="s">
        <v>828</v>
      </c>
      <c r="E623" s="131" t="s">
        <v>1494</v>
      </c>
      <c r="F623" s="131">
        <v>436</v>
      </c>
      <c r="G623" s="131">
        <v>244</v>
      </c>
      <c r="H623" s="132">
        <v>0.55963302752293576</v>
      </c>
    </row>
    <row r="624" spans="1:8" x14ac:dyDescent="0.25">
      <c r="A624" s="131" t="s">
        <v>723</v>
      </c>
      <c r="B624" s="131" t="s">
        <v>549</v>
      </c>
      <c r="C624" s="131" t="s">
        <v>143</v>
      </c>
      <c r="D624" s="131" t="s">
        <v>1495</v>
      </c>
      <c r="E624" s="131" t="s">
        <v>1496</v>
      </c>
      <c r="F624" s="131">
        <v>223</v>
      </c>
      <c r="G624" s="131">
        <v>124</v>
      </c>
      <c r="H624" s="132">
        <v>0.55605381165919288</v>
      </c>
    </row>
    <row r="625" spans="1:8" x14ac:dyDescent="0.25">
      <c r="A625" s="131" t="s">
        <v>723</v>
      </c>
      <c r="B625" s="131" t="s">
        <v>549</v>
      </c>
      <c r="C625" s="131" t="s">
        <v>143</v>
      </c>
      <c r="D625" s="131" t="s">
        <v>1338</v>
      </c>
      <c r="E625" s="131" t="s">
        <v>1497</v>
      </c>
      <c r="F625" s="131">
        <v>189</v>
      </c>
      <c r="G625" s="131">
        <v>136</v>
      </c>
      <c r="H625" s="132">
        <v>0.71957671957671954</v>
      </c>
    </row>
    <row r="626" spans="1:8" x14ac:dyDescent="0.25">
      <c r="A626" s="131" t="s">
        <v>723</v>
      </c>
      <c r="B626" s="131" t="s">
        <v>549</v>
      </c>
      <c r="C626" s="131" t="s">
        <v>143</v>
      </c>
      <c r="D626" s="131" t="s">
        <v>859</v>
      </c>
      <c r="E626" s="131" t="s">
        <v>1498</v>
      </c>
      <c r="F626" s="131">
        <v>198</v>
      </c>
      <c r="G626" s="131">
        <v>99</v>
      </c>
      <c r="H626" s="132">
        <v>0.5</v>
      </c>
    </row>
    <row r="627" spans="1:8" x14ac:dyDescent="0.25">
      <c r="A627" s="131" t="s">
        <v>723</v>
      </c>
      <c r="B627" s="131" t="s">
        <v>549</v>
      </c>
      <c r="C627" s="131" t="s">
        <v>143</v>
      </c>
      <c r="D627" s="131" t="s">
        <v>1499</v>
      </c>
      <c r="E627" s="131" t="s">
        <v>1500</v>
      </c>
      <c r="F627" s="131">
        <v>235</v>
      </c>
      <c r="G627" s="131">
        <v>119</v>
      </c>
      <c r="H627" s="132">
        <v>0.50638297872340421</v>
      </c>
    </row>
    <row r="628" spans="1:8" x14ac:dyDescent="0.25">
      <c r="A628" s="131" t="s">
        <v>725</v>
      </c>
      <c r="B628" s="131" t="s">
        <v>550</v>
      </c>
      <c r="C628" s="131" t="s">
        <v>142</v>
      </c>
      <c r="D628" s="131" t="s">
        <v>821</v>
      </c>
      <c r="E628" s="131" t="s">
        <v>1501</v>
      </c>
      <c r="F628" s="131">
        <v>171</v>
      </c>
      <c r="G628" s="131">
        <v>76</v>
      </c>
      <c r="H628" s="132">
        <v>0.44444444444444442</v>
      </c>
    </row>
    <row r="629" spans="1:8" x14ac:dyDescent="0.25">
      <c r="A629" s="131" t="s">
        <v>725</v>
      </c>
      <c r="B629" s="131" t="s">
        <v>550</v>
      </c>
      <c r="C629" s="131" t="s">
        <v>142</v>
      </c>
      <c r="D629" s="131" t="s">
        <v>805</v>
      </c>
      <c r="E629" s="131" t="s">
        <v>1502</v>
      </c>
      <c r="F629" s="131">
        <v>68</v>
      </c>
      <c r="G629" s="131">
        <v>29</v>
      </c>
      <c r="H629" s="132">
        <v>0.4264705882352941</v>
      </c>
    </row>
    <row r="630" spans="1:8" x14ac:dyDescent="0.25">
      <c r="A630" s="131" t="s">
        <v>725</v>
      </c>
      <c r="B630" s="131" t="s">
        <v>550</v>
      </c>
      <c r="C630" s="131" t="s">
        <v>142</v>
      </c>
      <c r="D630" s="131" t="s">
        <v>813</v>
      </c>
      <c r="E630" s="131" t="s">
        <v>1503</v>
      </c>
      <c r="F630" s="131">
        <v>86</v>
      </c>
      <c r="G630" s="131">
        <v>38</v>
      </c>
      <c r="H630" s="132">
        <v>0.44186046511627908</v>
      </c>
    </row>
    <row r="631" spans="1:8" x14ac:dyDescent="0.25">
      <c r="A631" s="131" t="s">
        <v>734</v>
      </c>
      <c r="B631" s="131" t="s">
        <v>551</v>
      </c>
      <c r="C631" s="131" t="s">
        <v>141</v>
      </c>
      <c r="D631" s="131" t="s">
        <v>803</v>
      </c>
      <c r="E631" s="131" t="s">
        <v>1504</v>
      </c>
      <c r="F631" s="131">
        <v>59</v>
      </c>
      <c r="G631" s="131">
        <v>25</v>
      </c>
      <c r="H631" s="132">
        <v>0.42372881355932202</v>
      </c>
    </row>
    <row r="632" spans="1:8" x14ac:dyDescent="0.25">
      <c r="A632" s="131" t="s">
        <v>734</v>
      </c>
      <c r="B632" s="131" t="s">
        <v>551</v>
      </c>
      <c r="C632" s="131" t="s">
        <v>141</v>
      </c>
      <c r="D632" s="131" t="s">
        <v>819</v>
      </c>
      <c r="E632" s="131" t="s">
        <v>1284</v>
      </c>
      <c r="F632" s="131">
        <v>289</v>
      </c>
      <c r="G632" s="131">
        <v>94</v>
      </c>
      <c r="H632" s="132">
        <v>0.32525951557093424</v>
      </c>
    </row>
    <row r="633" spans="1:8" x14ac:dyDescent="0.25">
      <c r="A633" s="131" t="s">
        <v>732</v>
      </c>
      <c r="B633" s="131" t="s">
        <v>552</v>
      </c>
      <c r="C633" s="131" t="s">
        <v>681</v>
      </c>
      <c r="D633" s="131" t="s">
        <v>828</v>
      </c>
      <c r="E633" s="131" t="s">
        <v>1505</v>
      </c>
      <c r="F633" s="131">
        <v>81</v>
      </c>
      <c r="G633" s="131">
        <v>39</v>
      </c>
      <c r="H633" s="132">
        <v>0.48148148148148145</v>
      </c>
    </row>
    <row r="634" spans="1:8" x14ac:dyDescent="0.25">
      <c r="A634" s="131" t="s">
        <v>732</v>
      </c>
      <c r="B634" s="131" t="s">
        <v>552</v>
      </c>
      <c r="C634" s="131" t="s">
        <v>681</v>
      </c>
      <c r="D634" s="131" t="s">
        <v>805</v>
      </c>
      <c r="E634" s="131" t="s">
        <v>1506</v>
      </c>
      <c r="F634" s="131">
        <v>113</v>
      </c>
      <c r="G634" s="131">
        <v>42</v>
      </c>
      <c r="H634" s="132">
        <v>0.37168141592920356</v>
      </c>
    </row>
    <row r="635" spans="1:8" x14ac:dyDescent="0.25">
      <c r="A635" s="131" t="s">
        <v>732</v>
      </c>
      <c r="B635" s="131" t="s">
        <v>552</v>
      </c>
      <c r="C635" s="131" t="s">
        <v>681</v>
      </c>
      <c r="D635" s="131" t="s">
        <v>819</v>
      </c>
      <c r="E635" s="131" t="s">
        <v>1507</v>
      </c>
      <c r="F635" s="131">
        <v>153</v>
      </c>
      <c r="G635" s="131">
        <v>51</v>
      </c>
      <c r="H635" s="132">
        <v>0.33333333333333331</v>
      </c>
    </row>
    <row r="636" spans="1:8" x14ac:dyDescent="0.25">
      <c r="A636" s="131" t="s">
        <v>732</v>
      </c>
      <c r="B636" s="131" t="s">
        <v>552</v>
      </c>
      <c r="C636" s="131" t="s">
        <v>681</v>
      </c>
      <c r="D636" s="131" t="s">
        <v>807</v>
      </c>
      <c r="E636" s="131" t="s">
        <v>1508</v>
      </c>
      <c r="F636" s="131">
        <v>135</v>
      </c>
      <c r="G636" s="131">
        <v>60</v>
      </c>
      <c r="H636" s="132">
        <v>0.44444444444444442</v>
      </c>
    </row>
    <row r="637" spans="1:8" x14ac:dyDescent="0.25">
      <c r="A637" s="131" t="s">
        <v>729</v>
      </c>
      <c r="B637" s="131" t="s">
        <v>554</v>
      </c>
      <c r="C637" s="131" t="s">
        <v>140</v>
      </c>
      <c r="D637" s="131" t="s">
        <v>819</v>
      </c>
      <c r="E637" s="131" t="s">
        <v>1509</v>
      </c>
      <c r="F637" s="131">
        <v>258</v>
      </c>
      <c r="G637" s="131">
        <v>96</v>
      </c>
      <c r="H637" s="132">
        <v>0.37209302325581395</v>
      </c>
    </row>
    <row r="638" spans="1:8" x14ac:dyDescent="0.25">
      <c r="A638" s="131" t="s">
        <v>730</v>
      </c>
      <c r="B638" s="131" t="s">
        <v>555</v>
      </c>
      <c r="C638" s="131" t="s">
        <v>139</v>
      </c>
      <c r="D638" s="131" t="s">
        <v>821</v>
      </c>
      <c r="E638" s="131" t="s">
        <v>1510</v>
      </c>
      <c r="F638" s="131">
        <v>52</v>
      </c>
      <c r="G638" s="131">
        <v>24</v>
      </c>
      <c r="H638" s="132">
        <v>0.46153846153846156</v>
      </c>
    </row>
    <row r="639" spans="1:8" x14ac:dyDescent="0.25">
      <c r="A639" s="131" t="s">
        <v>730</v>
      </c>
      <c r="B639" s="131" t="s">
        <v>555</v>
      </c>
      <c r="C639" s="131" t="s">
        <v>139</v>
      </c>
      <c r="D639" s="131" t="s">
        <v>819</v>
      </c>
      <c r="E639" s="131" t="s">
        <v>1511</v>
      </c>
      <c r="F639" s="131">
        <v>176</v>
      </c>
      <c r="G639" s="131">
        <v>44</v>
      </c>
      <c r="H639" s="132">
        <v>0.25</v>
      </c>
    </row>
    <row r="640" spans="1:8" x14ac:dyDescent="0.25">
      <c r="A640" s="131" t="s">
        <v>728</v>
      </c>
      <c r="B640" s="131" t="s">
        <v>556</v>
      </c>
      <c r="C640" s="131" t="s">
        <v>138</v>
      </c>
      <c r="D640" s="131" t="s">
        <v>821</v>
      </c>
      <c r="E640" s="131" t="s">
        <v>1512</v>
      </c>
      <c r="F640" s="131">
        <v>43</v>
      </c>
      <c r="G640" s="131">
        <v>26</v>
      </c>
      <c r="H640" s="132">
        <v>0.60465116279069764</v>
      </c>
    </row>
    <row r="641" spans="1:8" x14ac:dyDescent="0.25">
      <c r="A641" s="131" t="s">
        <v>728</v>
      </c>
      <c r="B641" s="131" t="s">
        <v>556</v>
      </c>
      <c r="C641" s="131" t="s">
        <v>138</v>
      </c>
      <c r="D641" s="131" t="s">
        <v>813</v>
      </c>
      <c r="E641" s="131" t="s">
        <v>1513</v>
      </c>
      <c r="F641" s="131">
        <v>105</v>
      </c>
      <c r="G641" s="131">
        <v>68</v>
      </c>
      <c r="H641" s="132">
        <v>0.64761904761904765</v>
      </c>
    </row>
    <row r="642" spans="1:8" x14ac:dyDescent="0.25">
      <c r="A642" s="131" t="s">
        <v>723</v>
      </c>
      <c r="B642" s="131" t="s">
        <v>557</v>
      </c>
      <c r="C642" s="131" t="s">
        <v>137</v>
      </c>
      <c r="D642" s="131" t="s">
        <v>821</v>
      </c>
      <c r="E642" s="131" t="s">
        <v>1514</v>
      </c>
      <c r="F642" s="131">
        <v>143</v>
      </c>
      <c r="G642" s="131">
        <v>13</v>
      </c>
      <c r="H642" s="132">
        <v>9.0909090909090912E-2</v>
      </c>
    </row>
    <row r="643" spans="1:8" x14ac:dyDescent="0.25">
      <c r="A643" s="131" t="s">
        <v>723</v>
      </c>
      <c r="B643" s="131" t="s">
        <v>557</v>
      </c>
      <c r="C643" s="131" t="s">
        <v>137</v>
      </c>
      <c r="D643" s="131" t="s">
        <v>811</v>
      </c>
      <c r="E643" s="131" t="s">
        <v>1515</v>
      </c>
      <c r="F643" s="131">
        <v>316</v>
      </c>
      <c r="G643" s="131">
        <v>43</v>
      </c>
      <c r="H643" s="132">
        <v>0.13607594936708861</v>
      </c>
    </row>
    <row r="644" spans="1:8" x14ac:dyDescent="0.25">
      <c r="A644" s="131" t="s">
        <v>723</v>
      </c>
      <c r="B644" s="131" t="s">
        <v>557</v>
      </c>
      <c r="C644" s="131" t="s">
        <v>137</v>
      </c>
      <c r="D644" s="131" t="s">
        <v>813</v>
      </c>
      <c r="E644" s="131" t="s">
        <v>1516</v>
      </c>
      <c r="F644" s="131">
        <v>367</v>
      </c>
      <c r="G644" s="131">
        <v>22</v>
      </c>
      <c r="H644" s="132">
        <v>5.9945504087193457E-2</v>
      </c>
    </row>
    <row r="645" spans="1:8" x14ac:dyDescent="0.25">
      <c r="A645" s="131" t="s">
        <v>734</v>
      </c>
      <c r="B645" s="131" t="s">
        <v>558</v>
      </c>
      <c r="C645" s="131" t="s">
        <v>136</v>
      </c>
      <c r="D645" s="131" t="s">
        <v>805</v>
      </c>
      <c r="E645" s="131" t="s">
        <v>1517</v>
      </c>
      <c r="F645" s="131">
        <v>436</v>
      </c>
      <c r="G645" s="131">
        <v>99</v>
      </c>
      <c r="H645" s="132">
        <v>0.22706422018348624</v>
      </c>
    </row>
    <row r="646" spans="1:8" x14ac:dyDescent="0.25">
      <c r="A646" s="131" t="s">
        <v>734</v>
      </c>
      <c r="B646" s="131" t="s">
        <v>558</v>
      </c>
      <c r="C646" s="131" t="s">
        <v>136</v>
      </c>
      <c r="D646" s="131" t="s">
        <v>813</v>
      </c>
      <c r="E646" s="131" t="s">
        <v>1518</v>
      </c>
      <c r="F646" s="131">
        <v>129</v>
      </c>
      <c r="G646" s="131">
        <v>34</v>
      </c>
      <c r="H646" s="132">
        <v>0.26356589147286824</v>
      </c>
    </row>
    <row r="647" spans="1:8" x14ac:dyDescent="0.25">
      <c r="A647" s="131" t="s">
        <v>734</v>
      </c>
      <c r="B647" s="131" t="s">
        <v>558</v>
      </c>
      <c r="C647" s="131" t="s">
        <v>136</v>
      </c>
      <c r="D647" s="131" t="s">
        <v>819</v>
      </c>
      <c r="E647" s="131" t="s">
        <v>1519</v>
      </c>
      <c r="F647" s="131">
        <v>339</v>
      </c>
      <c r="G647" s="131">
        <v>37</v>
      </c>
      <c r="H647" s="132">
        <v>0.10914454277286136</v>
      </c>
    </row>
    <row r="648" spans="1:8" x14ac:dyDescent="0.25">
      <c r="A648" s="131" t="s">
        <v>734</v>
      </c>
      <c r="B648" s="131" t="s">
        <v>558</v>
      </c>
      <c r="C648" s="131" t="s">
        <v>136</v>
      </c>
      <c r="D648" s="131" t="s">
        <v>807</v>
      </c>
      <c r="E648" s="131" t="s">
        <v>1520</v>
      </c>
      <c r="F648" s="131">
        <v>186</v>
      </c>
      <c r="G648" s="131">
        <v>60</v>
      </c>
      <c r="H648" s="132">
        <v>0.32258064516129031</v>
      </c>
    </row>
    <row r="649" spans="1:8" x14ac:dyDescent="0.25">
      <c r="A649" s="131" t="s">
        <v>734</v>
      </c>
      <c r="B649" s="131" t="s">
        <v>558</v>
      </c>
      <c r="C649" s="131" t="s">
        <v>136</v>
      </c>
      <c r="D649" s="131" t="s">
        <v>859</v>
      </c>
      <c r="E649" s="131" t="s">
        <v>905</v>
      </c>
      <c r="F649" s="131">
        <v>296</v>
      </c>
      <c r="G649" s="131">
        <v>104</v>
      </c>
      <c r="H649" s="132">
        <v>0.35135135135135137</v>
      </c>
    </row>
    <row r="650" spans="1:8" x14ac:dyDescent="0.25">
      <c r="A650" s="131" t="s">
        <v>725</v>
      </c>
      <c r="B650" s="131" t="s">
        <v>559</v>
      </c>
      <c r="C650" s="131" t="s">
        <v>135</v>
      </c>
      <c r="D650" s="131" t="s">
        <v>813</v>
      </c>
      <c r="E650" s="131" t="s">
        <v>1521</v>
      </c>
      <c r="F650" s="131">
        <v>181</v>
      </c>
      <c r="G650" s="131">
        <v>70</v>
      </c>
      <c r="H650" s="132">
        <v>0.38674033149171272</v>
      </c>
    </row>
    <row r="651" spans="1:8" x14ac:dyDescent="0.25">
      <c r="A651" s="131" t="s">
        <v>725</v>
      </c>
      <c r="B651" s="131" t="s">
        <v>561</v>
      </c>
      <c r="C651" s="131" t="s">
        <v>134</v>
      </c>
      <c r="D651" s="131" t="s">
        <v>805</v>
      </c>
      <c r="E651" s="131" t="s">
        <v>1522</v>
      </c>
      <c r="F651" s="131">
        <v>231</v>
      </c>
      <c r="G651" s="131">
        <v>99</v>
      </c>
      <c r="H651" s="132">
        <v>0.42857142857142855</v>
      </c>
    </row>
    <row r="652" spans="1:8" x14ac:dyDescent="0.25">
      <c r="A652" s="131" t="s">
        <v>723</v>
      </c>
      <c r="B652" s="131" t="s">
        <v>562</v>
      </c>
      <c r="C652" s="131" t="s">
        <v>133</v>
      </c>
      <c r="D652" s="131" t="s">
        <v>821</v>
      </c>
      <c r="E652" s="131" t="s">
        <v>1523</v>
      </c>
      <c r="F652" s="131">
        <v>276</v>
      </c>
      <c r="G652" s="131">
        <v>63</v>
      </c>
      <c r="H652" s="132">
        <v>0.22826086956521738</v>
      </c>
    </row>
    <row r="653" spans="1:8" x14ac:dyDescent="0.25">
      <c r="A653" s="131" t="s">
        <v>723</v>
      </c>
      <c r="B653" s="131" t="s">
        <v>562</v>
      </c>
      <c r="C653" s="131" t="s">
        <v>133</v>
      </c>
      <c r="D653" s="131" t="s">
        <v>1334</v>
      </c>
      <c r="E653" s="131" t="s">
        <v>1524</v>
      </c>
      <c r="F653" s="131">
        <v>730</v>
      </c>
      <c r="G653" s="131">
        <v>157</v>
      </c>
      <c r="H653" s="132">
        <v>0.21506849315068494</v>
      </c>
    </row>
    <row r="654" spans="1:8" x14ac:dyDescent="0.25">
      <c r="A654" s="131" t="s">
        <v>723</v>
      </c>
      <c r="B654" s="131" t="s">
        <v>562</v>
      </c>
      <c r="C654" s="131" t="s">
        <v>133</v>
      </c>
      <c r="D654" s="131" t="s">
        <v>813</v>
      </c>
      <c r="E654" s="131" t="s">
        <v>1525</v>
      </c>
      <c r="F654" s="131">
        <v>489</v>
      </c>
      <c r="G654" s="131">
        <v>102</v>
      </c>
      <c r="H654" s="132">
        <v>0.20858895705521471</v>
      </c>
    </row>
    <row r="655" spans="1:8" x14ac:dyDescent="0.25">
      <c r="A655" s="131" t="s">
        <v>727</v>
      </c>
      <c r="B655" s="131" t="s">
        <v>564</v>
      </c>
      <c r="C655" s="131" t="s">
        <v>682</v>
      </c>
      <c r="D655" s="131" t="s">
        <v>821</v>
      </c>
      <c r="E655" s="131" t="s">
        <v>1526</v>
      </c>
      <c r="F655" s="131">
        <v>70</v>
      </c>
      <c r="G655" s="131">
        <v>40</v>
      </c>
      <c r="H655" s="132">
        <v>0.5714285714285714</v>
      </c>
    </row>
    <row r="656" spans="1:8" x14ac:dyDescent="0.25">
      <c r="A656" s="131" t="s">
        <v>727</v>
      </c>
      <c r="B656" s="131" t="s">
        <v>564</v>
      </c>
      <c r="C656" s="131" t="s">
        <v>682</v>
      </c>
      <c r="D656" s="131" t="s">
        <v>805</v>
      </c>
      <c r="E656" s="131" t="s">
        <v>1527</v>
      </c>
      <c r="F656" s="131">
        <v>107</v>
      </c>
      <c r="G656" s="131">
        <v>45</v>
      </c>
      <c r="H656" s="132">
        <v>0.42056074766355139</v>
      </c>
    </row>
    <row r="657" spans="1:8" x14ac:dyDescent="0.25">
      <c r="A657" s="131" t="s">
        <v>727</v>
      </c>
      <c r="B657" s="131" t="s">
        <v>564</v>
      </c>
      <c r="C657" s="131" t="s">
        <v>682</v>
      </c>
      <c r="D657" s="131" t="s">
        <v>813</v>
      </c>
      <c r="E657" s="131" t="s">
        <v>1528</v>
      </c>
      <c r="F657" s="131">
        <v>221</v>
      </c>
      <c r="G657" s="131">
        <v>118</v>
      </c>
      <c r="H657" s="132">
        <v>0.5339366515837104</v>
      </c>
    </row>
    <row r="658" spans="1:8" x14ac:dyDescent="0.25">
      <c r="A658" s="131" t="s">
        <v>732</v>
      </c>
      <c r="B658" s="131" t="s">
        <v>565</v>
      </c>
      <c r="C658" s="131" t="s">
        <v>132</v>
      </c>
      <c r="D658" s="131" t="s">
        <v>821</v>
      </c>
      <c r="E658" s="131" t="s">
        <v>1529</v>
      </c>
      <c r="F658" s="131">
        <v>173</v>
      </c>
      <c r="G658" s="131">
        <v>110</v>
      </c>
      <c r="H658" s="132">
        <v>0.63583815028901736</v>
      </c>
    </row>
    <row r="659" spans="1:8" x14ac:dyDescent="0.25">
      <c r="A659" s="131" t="s">
        <v>732</v>
      </c>
      <c r="B659" s="131" t="s">
        <v>565</v>
      </c>
      <c r="C659" s="131" t="s">
        <v>132</v>
      </c>
      <c r="D659" s="131" t="s">
        <v>888</v>
      </c>
      <c r="E659" s="131" t="s">
        <v>1530</v>
      </c>
      <c r="F659" s="131">
        <v>359</v>
      </c>
      <c r="G659" s="131">
        <v>253</v>
      </c>
      <c r="H659" s="132">
        <v>0.70473537604456826</v>
      </c>
    </row>
    <row r="660" spans="1:8" x14ac:dyDescent="0.25">
      <c r="A660" s="131" t="s">
        <v>723</v>
      </c>
      <c r="B660" s="131" t="s">
        <v>566</v>
      </c>
      <c r="C660" s="131" t="s">
        <v>131</v>
      </c>
      <c r="D660" s="131" t="s">
        <v>805</v>
      </c>
      <c r="E660" s="131" t="s">
        <v>1531</v>
      </c>
      <c r="F660" s="131">
        <v>262</v>
      </c>
      <c r="G660" s="131">
        <v>75</v>
      </c>
      <c r="H660" s="132">
        <v>0.2862595419847328</v>
      </c>
    </row>
    <row r="661" spans="1:8" x14ac:dyDescent="0.25">
      <c r="A661" s="131" t="s">
        <v>723</v>
      </c>
      <c r="B661" s="131" t="s">
        <v>566</v>
      </c>
      <c r="C661" s="131" t="s">
        <v>131</v>
      </c>
      <c r="D661" s="131" t="s">
        <v>813</v>
      </c>
      <c r="E661" s="131" t="s">
        <v>1532</v>
      </c>
      <c r="F661" s="131">
        <v>62</v>
      </c>
      <c r="G661" s="131">
        <v>18</v>
      </c>
      <c r="H661" s="132">
        <v>0.29032258064516131</v>
      </c>
    </row>
    <row r="662" spans="1:8" x14ac:dyDescent="0.25">
      <c r="A662" s="131" t="s">
        <v>728</v>
      </c>
      <c r="B662" s="131" t="s">
        <v>567</v>
      </c>
      <c r="C662" s="131" t="s">
        <v>130</v>
      </c>
      <c r="D662" s="131" t="s">
        <v>821</v>
      </c>
      <c r="E662" s="131" t="s">
        <v>1533</v>
      </c>
      <c r="F662" s="131">
        <v>178</v>
      </c>
      <c r="G662" s="131">
        <v>78</v>
      </c>
      <c r="H662" s="132">
        <v>0.43820224719101125</v>
      </c>
    </row>
    <row r="663" spans="1:8" x14ac:dyDescent="0.25">
      <c r="A663" s="131" t="s">
        <v>728</v>
      </c>
      <c r="B663" s="131" t="s">
        <v>567</v>
      </c>
      <c r="C663" s="131" t="s">
        <v>130</v>
      </c>
      <c r="D663" s="131" t="s">
        <v>805</v>
      </c>
      <c r="E663" s="131" t="s">
        <v>1534</v>
      </c>
      <c r="F663" s="131">
        <v>300</v>
      </c>
      <c r="G663" s="131">
        <v>120</v>
      </c>
      <c r="H663" s="132">
        <v>0.4</v>
      </c>
    </row>
    <row r="664" spans="1:8" x14ac:dyDescent="0.25">
      <c r="A664" s="131" t="s">
        <v>730</v>
      </c>
      <c r="B664" s="131" t="s">
        <v>568</v>
      </c>
      <c r="C664" s="131" t="s">
        <v>129</v>
      </c>
      <c r="D664" s="131" t="s">
        <v>805</v>
      </c>
      <c r="E664" s="131" t="s">
        <v>1535</v>
      </c>
      <c r="F664" s="131">
        <v>57</v>
      </c>
      <c r="G664" s="131">
        <v>41</v>
      </c>
      <c r="H664" s="132">
        <v>0.7192982456140351</v>
      </c>
    </row>
    <row r="665" spans="1:8" x14ac:dyDescent="0.25">
      <c r="A665" s="131" t="s">
        <v>726</v>
      </c>
      <c r="B665" s="131" t="s">
        <v>569</v>
      </c>
      <c r="C665" s="131" t="s">
        <v>128</v>
      </c>
      <c r="D665" s="131" t="s">
        <v>1334</v>
      </c>
      <c r="E665" s="131" t="s">
        <v>1536</v>
      </c>
      <c r="F665" s="131">
        <v>72</v>
      </c>
      <c r="G665" s="131">
        <v>56</v>
      </c>
      <c r="H665" s="132">
        <v>0.77777777777777779</v>
      </c>
    </row>
    <row r="666" spans="1:8" x14ac:dyDescent="0.25">
      <c r="A666" s="131" t="s">
        <v>725</v>
      </c>
      <c r="B666" s="131" t="s">
        <v>570</v>
      </c>
      <c r="C666" s="131" t="s">
        <v>127</v>
      </c>
      <c r="D666" s="131" t="s">
        <v>821</v>
      </c>
      <c r="E666" s="131" t="s">
        <v>1537</v>
      </c>
      <c r="F666" s="131">
        <v>142</v>
      </c>
      <c r="G666" s="131">
        <v>48</v>
      </c>
      <c r="H666" s="132">
        <v>0.3380281690140845</v>
      </c>
    </row>
    <row r="667" spans="1:8" x14ac:dyDescent="0.25">
      <c r="A667" s="131" t="s">
        <v>725</v>
      </c>
      <c r="B667" s="131" t="s">
        <v>570</v>
      </c>
      <c r="C667" s="131" t="s">
        <v>127</v>
      </c>
      <c r="D667" s="131" t="s">
        <v>805</v>
      </c>
      <c r="E667" s="131" t="s">
        <v>915</v>
      </c>
      <c r="F667" s="131">
        <v>264</v>
      </c>
      <c r="G667" s="131">
        <v>95</v>
      </c>
      <c r="H667" s="132">
        <v>0.35984848484848486</v>
      </c>
    </row>
    <row r="668" spans="1:8" x14ac:dyDescent="0.25">
      <c r="A668" s="131" t="s">
        <v>729</v>
      </c>
      <c r="B668" s="131" t="s">
        <v>571</v>
      </c>
      <c r="C668" s="131" t="s">
        <v>126</v>
      </c>
      <c r="D668" s="131" t="s">
        <v>821</v>
      </c>
      <c r="E668" s="131" t="s">
        <v>1538</v>
      </c>
      <c r="F668" s="131">
        <v>161</v>
      </c>
      <c r="G668" s="131">
        <v>72</v>
      </c>
      <c r="H668" s="132">
        <v>0.44720496894409939</v>
      </c>
    </row>
    <row r="669" spans="1:8" x14ac:dyDescent="0.25">
      <c r="A669" s="131" t="s">
        <v>729</v>
      </c>
      <c r="B669" s="131" t="s">
        <v>571</v>
      </c>
      <c r="C669" s="131" t="s">
        <v>126</v>
      </c>
      <c r="D669" s="131" t="s">
        <v>364</v>
      </c>
      <c r="E669" s="131" t="s">
        <v>1539</v>
      </c>
      <c r="F669" s="131">
        <v>775</v>
      </c>
      <c r="G669" s="131">
        <v>388</v>
      </c>
      <c r="H669" s="132">
        <v>0.50064516129032255</v>
      </c>
    </row>
    <row r="670" spans="1:8" x14ac:dyDescent="0.25">
      <c r="A670" s="131" t="s">
        <v>729</v>
      </c>
      <c r="B670" s="131" t="s">
        <v>572</v>
      </c>
      <c r="C670" s="131" t="s">
        <v>125</v>
      </c>
      <c r="D670" s="131" t="s">
        <v>821</v>
      </c>
      <c r="E670" s="131" t="s">
        <v>1540</v>
      </c>
      <c r="F670" s="131">
        <v>347</v>
      </c>
      <c r="G670" s="131">
        <v>175</v>
      </c>
      <c r="H670" s="132">
        <v>0.50432276657060515</v>
      </c>
    </row>
    <row r="671" spans="1:8" x14ac:dyDescent="0.25">
      <c r="A671" s="131" t="s">
        <v>729</v>
      </c>
      <c r="B671" s="131" t="s">
        <v>572</v>
      </c>
      <c r="C671" s="131" t="s">
        <v>125</v>
      </c>
      <c r="D671" s="131" t="s">
        <v>733</v>
      </c>
      <c r="E671" s="131" t="s">
        <v>1099</v>
      </c>
      <c r="F671" s="131">
        <v>205</v>
      </c>
      <c r="G671" s="131">
        <v>47</v>
      </c>
      <c r="H671" s="132">
        <v>0.22926829268292684</v>
      </c>
    </row>
    <row r="672" spans="1:8" x14ac:dyDescent="0.25">
      <c r="A672" s="131" t="s">
        <v>729</v>
      </c>
      <c r="B672" s="131" t="s">
        <v>572</v>
      </c>
      <c r="C672" s="131" t="s">
        <v>125</v>
      </c>
      <c r="D672" s="131" t="s">
        <v>819</v>
      </c>
      <c r="E672" s="131" t="s">
        <v>1541</v>
      </c>
      <c r="F672" s="131">
        <v>628</v>
      </c>
      <c r="G672" s="131">
        <v>313</v>
      </c>
      <c r="H672" s="132">
        <v>0.49840764331210191</v>
      </c>
    </row>
    <row r="673" spans="1:8" x14ac:dyDescent="0.25">
      <c r="A673" s="131" t="s">
        <v>729</v>
      </c>
      <c r="B673" s="131" t="s">
        <v>572</v>
      </c>
      <c r="C673" s="131" t="s">
        <v>125</v>
      </c>
      <c r="D673" s="131" t="s">
        <v>1265</v>
      </c>
      <c r="E673" s="131" t="s">
        <v>1542</v>
      </c>
      <c r="F673" s="131">
        <v>185</v>
      </c>
      <c r="G673" s="131">
        <v>130</v>
      </c>
      <c r="H673" s="132">
        <v>0.70270270270270274</v>
      </c>
    </row>
    <row r="674" spans="1:8" x14ac:dyDescent="0.25">
      <c r="A674" s="131" t="s">
        <v>729</v>
      </c>
      <c r="B674" s="131" t="s">
        <v>572</v>
      </c>
      <c r="C674" s="131" t="s">
        <v>125</v>
      </c>
      <c r="D674" s="131" t="s">
        <v>844</v>
      </c>
      <c r="E674" s="131" t="s">
        <v>1342</v>
      </c>
      <c r="F674" s="131">
        <v>195</v>
      </c>
      <c r="G674" s="131">
        <v>100</v>
      </c>
      <c r="H674" s="132">
        <v>0.51282051282051277</v>
      </c>
    </row>
    <row r="675" spans="1:8" x14ac:dyDescent="0.25">
      <c r="A675" s="131" t="s">
        <v>729</v>
      </c>
      <c r="B675" s="131" t="s">
        <v>572</v>
      </c>
      <c r="C675" s="131" t="s">
        <v>125</v>
      </c>
      <c r="D675" s="131" t="s">
        <v>1301</v>
      </c>
      <c r="E675" s="131" t="s">
        <v>1543</v>
      </c>
      <c r="F675" s="131">
        <v>124</v>
      </c>
      <c r="G675" s="131">
        <v>68</v>
      </c>
      <c r="H675" s="132">
        <v>0.54838709677419351</v>
      </c>
    </row>
    <row r="676" spans="1:8" x14ac:dyDescent="0.25">
      <c r="A676" s="131" t="s">
        <v>729</v>
      </c>
      <c r="B676" s="131" t="s">
        <v>572</v>
      </c>
      <c r="C676" s="131" t="s">
        <v>125</v>
      </c>
      <c r="D676" s="131" t="s">
        <v>976</v>
      </c>
      <c r="E676" s="131" t="s">
        <v>1109</v>
      </c>
      <c r="F676" s="131">
        <v>262</v>
      </c>
      <c r="G676" s="131">
        <v>161</v>
      </c>
      <c r="H676" s="132">
        <v>0.6145038167938931</v>
      </c>
    </row>
    <row r="677" spans="1:8" x14ac:dyDescent="0.25">
      <c r="A677" s="131" t="s">
        <v>723</v>
      </c>
      <c r="B677" s="131" t="s">
        <v>573</v>
      </c>
      <c r="C677" s="131" t="s">
        <v>124</v>
      </c>
      <c r="D677" s="131" t="s">
        <v>821</v>
      </c>
      <c r="E677" s="131" t="s">
        <v>1544</v>
      </c>
      <c r="F677" s="131">
        <v>49</v>
      </c>
      <c r="G677" s="131">
        <v>23</v>
      </c>
      <c r="H677" s="132">
        <v>0.46938775510204084</v>
      </c>
    </row>
    <row r="678" spans="1:8" x14ac:dyDescent="0.25">
      <c r="A678" s="131" t="s">
        <v>723</v>
      </c>
      <c r="B678" s="131" t="s">
        <v>573</v>
      </c>
      <c r="C678" s="131" t="s">
        <v>124</v>
      </c>
      <c r="D678" s="131" t="s">
        <v>1545</v>
      </c>
      <c r="E678" s="131" t="s">
        <v>1546</v>
      </c>
      <c r="F678" s="131">
        <v>217</v>
      </c>
      <c r="G678" s="131">
        <v>84</v>
      </c>
      <c r="H678" s="132">
        <v>0.38709677419354838</v>
      </c>
    </row>
    <row r="679" spans="1:8" x14ac:dyDescent="0.25">
      <c r="A679" s="131" t="s">
        <v>728</v>
      </c>
      <c r="B679" s="131" t="s">
        <v>574</v>
      </c>
      <c r="C679" s="131" t="s">
        <v>123</v>
      </c>
      <c r="D679" s="131" t="s">
        <v>813</v>
      </c>
      <c r="E679" s="131" t="s">
        <v>1547</v>
      </c>
      <c r="F679" s="131">
        <v>113</v>
      </c>
      <c r="G679" s="131">
        <v>62</v>
      </c>
      <c r="H679" s="132">
        <v>0.54867256637168138</v>
      </c>
    </row>
    <row r="680" spans="1:8" x14ac:dyDescent="0.25">
      <c r="A680" s="131" t="s">
        <v>723</v>
      </c>
      <c r="B680" s="131" t="s">
        <v>678</v>
      </c>
      <c r="C680" s="131" t="s">
        <v>3</v>
      </c>
      <c r="D680" s="131" t="s">
        <v>821</v>
      </c>
      <c r="E680" s="131" t="s">
        <v>1548</v>
      </c>
      <c r="F680" s="131">
        <v>94</v>
      </c>
      <c r="G680" s="131">
        <v>18</v>
      </c>
      <c r="H680" s="132">
        <v>0.19148936170212766</v>
      </c>
    </row>
    <row r="681" spans="1:8" x14ac:dyDescent="0.25">
      <c r="A681" s="131" t="s">
        <v>723</v>
      </c>
      <c r="B681" s="131" t="s">
        <v>678</v>
      </c>
      <c r="C681" s="131" t="s">
        <v>3</v>
      </c>
      <c r="D681" s="131" t="s">
        <v>805</v>
      </c>
      <c r="E681" s="131" t="s">
        <v>1549</v>
      </c>
      <c r="F681" s="131">
        <v>184</v>
      </c>
      <c r="G681" s="131">
        <v>48</v>
      </c>
      <c r="H681" s="132">
        <v>0.2608695652173913</v>
      </c>
    </row>
    <row r="682" spans="1:8" x14ac:dyDescent="0.25">
      <c r="A682" s="131" t="s">
        <v>723</v>
      </c>
      <c r="B682" s="131" t="s">
        <v>678</v>
      </c>
      <c r="C682" s="131" t="s">
        <v>3</v>
      </c>
      <c r="D682" s="131" t="s">
        <v>813</v>
      </c>
      <c r="E682" s="131" t="s">
        <v>1106</v>
      </c>
      <c r="F682" s="131">
        <v>189</v>
      </c>
      <c r="G682" s="131">
        <v>56</v>
      </c>
      <c r="H682" s="132">
        <v>0.29629629629629628</v>
      </c>
    </row>
    <row r="683" spans="1:8" x14ac:dyDescent="0.25">
      <c r="A683" s="131" t="s">
        <v>729</v>
      </c>
      <c r="B683" s="131" t="s">
        <v>576</v>
      </c>
      <c r="C683" s="131" t="s">
        <v>122</v>
      </c>
      <c r="D683" s="131" t="s">
        <v>819</v>
      </c>
      <c r="E683" s="131" t="s">
        <v>1550</v>
      </c>
      <c r="F683" s="131">
        <v>318</v>
      </c>
      <c r="G683" s="131">
        <v>144</v>
      </c>
      <c r="H683" s="132">
        <v>0.45283018867924529</v>
      </c>
    </row>
    <row r="684" spans="1:8" x14ac:dyDescent="0.25">
      <c r="A684" s="131" t="s">
        <v>723</v>
      </c>
      <c r="B684" s="131" t="s">
        <v>577</v>
      </c>
      <c r="C684" s="131" t="s">
        <v>121</v>
      </c>
      <c r="D684" s="131" t="s">
        <v>813</v>
      </c>
      <c r="E684" s="131" t="s">
        <v>915</v>
      </c>
      <c r="F684" s="131">
        <v>203</v>
      </c>
      <c r="G684" s="131">
        <v>34</v>
      </c>
      <c r="H684" s="132">
        <v>0.16748768472906403</v>
      </c>
    </row>
    <row r="685" spans="1:8" x14ac:dyDescent="0.25">
      <c r="A685" s="131" t="s">
        <v>723</v>
      </c>
      <c r="B685" s="131" t="s">
        <v>577</v>
      </c>
      <c r="C685" s="131" t="s">
        <v>121</v>
      </c>
      <c r="D685" s="131" t="s">
        <v>819</v>
      </c>
      <c r="E685" s="131" t="s">
        <v>981</v>
      </c>
      <c r="F685" s="131">
        <v>285</v>
      </c>
      <c r="G685" s="131">
        <v>49</v>
      </c>
      <c r="H685" s="132">
        <v>0.17192982456140352</v>
      </c>
    </row>
    <row r="686" spans="1:8" x14ac:dyDescent="0.25">
      <c r="A686" s="131" t="s">
        <v>723</v>
      </c>
      <c r="B686" s="131" t="s">
        <v>577</v>
      </c>
      <c r="C686" s="131" t="s">
        <v>121</v>
      </c>
      <c r="D686" s="131" t="s">
        <v>859</v>
      </c>
      <c r="E686" s="131" t="s">
        <v>1551</v>
      </c>
      <c r="F686" s="131">
        <v>557</v>
      </c>
      <c r="G686" s="131">
        <v>107</v>
      </c>
      <c r="H686" s="132">
        <v>0.19210053859964094</v>
      </c>
    </row>
    <row r="687" spans="1:8" x14ac:dyDescent="0.25">
      <c r="A687" s="131" t="s">
        <v>723</v>
      </c>
      <c r="B687" s="131" t="s">
        <v>578</v>
      </c>
      <c r="C687" s="131" t="s">
        <v>120</v>
      </c>
      <c r="D687" s="131" t="s">
        <v>821</v>
      </c>
      <c r="E687" s="131" t="s">
        <v>1552</v>
      </c>
      <c r="F687" s="131">
        <v>124</v>
      </c>
      <c r="G687" s="131">
        <v>95</v>
      </c>
      <c r="H687" s="132">
        <v>0.7661290322580645</v>
      </c>
    </row>
    <row r="688" spans="1:8" x14ac:dyDescent="0.25">
      <c r="A688" s="131" t="s">
        <v>723</v>
      </c>
      <c r="B688" s="131" t="s">
        <v>578</v>
      </c>
      <c r="C688" s="131" t="s">
        <v>120</v>
      </c>
      <c r="D688" s="131" t="s">
        <v>811</v>
      </c>
      <c r="E688" s="131" t="s">
        <v>1553</v>
      </c>
      <c r="F688" s="131">
        <v>572</v>
      </c>
      <c r="G688" s="131">
        <v>423</v>
      </c>
      <c r="H688" s="132">
        <v>0.73951048951048948</v>
      </c>
    </row>
    <row r="689" spans="1:8" x14ac:dyDescent="0.25">
      <c r="A689" s="131" t="s">
        <v>734</v>
      </c>
      <c r="B689" s="131" t="s">
        <v>579</v>
      </c>
      <c r="C689" s="131" t="s">
        <v>119</v>
      </c>
      <c r="D689" s="131" t="s">
        <v>1331</v>
      </c>
      <c r="E689" s="131" t="s">
        <v>1554</v>
      </c>
      <c r="F689" s="131">
        <v>273</v>
      </c>
      <c r="G689" s="131">
        <v>47</v>
      </c>
      <c r="H689" s="132">
        <v>0.17216117216117216</v>
      </c>
    </row>
    <row r="690" spans="1:8" x14ac:dyDescent="0.25">
      <c r="A690" s="131" t="s">
        <v>734</v>
      </c>
      <c r="B690" s="131" t="s">
        <v>579</v>
      </c>
      <c r="C690" s="131" t="s">
        <v>119</v>
      </c>
      <c r="D690" s="131" t="s">
        <v>852</v>
      </c>
      <c r="E690" s="131" t="s">
        <v>1555</v>
      </c>
      <c r="F690" s="131">
        <v>338</v>
      </c>
      <c r="G690" s="131">
        <v>36</v>
      </c>
      <c r="H690" s="132">
        <v>0.10650887573964497</v>
      </c>
    </row>
    <row r="691" spans="1:8" x14ac:dyDescent="0.25">
      <c r="A691" s="131" t="s">
        <v>734</v>
      </c>
      <c r="B691" s="131" t="s">
        <v>579</v>
      </c>
      <c r="C691" s="131" t="s">
        <v>119</v>
      </c>
      <c r="D691" s="131" t="s">
        <v>888</v>
      </c>
      <c r="E691" s="131" t="s">
        <v>1556</v>
      </c>
      <c r="F691" s="131">
        <v>564</v>
      </c>
      <c r="G691" s="131">
        <v>14</v>
      </c>
      <c r="H691" s="132">
        <v>2.4822695035460994E-2</v>
      </c>
    </row>
    <row r="692" spans="1:8" x14ac:dyDescent="0.25">
      <c r="A692" s="131" t="s">
        <v>734</v>
      </c>
      <c r="B692" s="131" t="s">
        <v>579</v>
      </c>
      <c r="C692" s="131" t="s">
        <v>119</v>
      </c>
      <c r="D692" s="131" t="s">
        <v>805</v>
      </c>
      <c r="E692" s="131" t="s">
        <v>1557</v>
      </c>
      <c r="F692" s="131">
        <v>568</v>
      </c>
      <c r="G692" s="131">
        <v>33</v>
      </c>
      <c r="H692" s="132">
        <v>5.8098591549295774E-2</v>
      </c>
    </row>
    <row r="693" spans="1:8" x14ac:dyDescent="0.25">
      <c r="A693" s="131" t="s">
        <v>734</v>
      </c>
      <c r="B693" s="131" t="s">
        <v>579</v>
      </c>
      <c r="C693" s="131" t="s">
        <v>119</v>
      </c>
      <c r="D693" s="131" t="s">
        <v>1334</v>
      </c>
      <c r="E693" s="131" t="s">
        <v>1558</v>
      </c>
      <c r="F693" s="131">
        <v>564</v>
      </c>
      <c r="G693" s="131">
        <v>110</v>
      </c>
      <c r="H693" s="132">
        <v>0.19503546099290781</v>
      </c>
    </row>
    <row r="694" spans="1:8" x14ac:dyDescent="0.25">
      <c r="A694" s="131" t="s">
        <v>723</v>
      </c>
      <c r="B694" s="131" t="s">
        <v>580</v>
      </c>
      <c r="C694" s="131" t="s">
        <v>118</v>
      </c>
      <c r="D694" s="131" t="s">
        <v>805</v>
      </c>
      <c r="E694" s="131" t="s">
        <v>1559</v>
      </c>
      <c r="F694" s="131">
        <v>283</v>
      </c>
      <c r="G694" s="131">
        <v>107</v>
      </c>
      <c r="H694" s="132">
        <v>0.37809187279151946</v>
      </c>
    </row>
    <row r="695" spans="1:8" x14ac:dyDescent="0.25">
      <c r="A695" s="131" t="s">
        <v>728</v>
      </c>
      <c r="B695" s="131" t="s">
        <v>581</v>
      </c>
      <c r="C695" s="131" t="s">
        <v>117</v>
      </c>
      <c r="D695" s="131" t="s">
        <v>805</v>
      </c>
      <c r="E695" s="131" t="s">
        <v>1560</v>
      </c>
      <c r="F695" s="131">
        <v>226</v>
      </c>
      <c r="G695" s="131">
        <v>128</v>
      </c>
      <c r="H695" s="132">
        <v>0.5663716814159292</v>
      </c>
    </row>
    <row r="696" spans="1:8" x14ac:dyDescent="0.25">
      <c r="A696" s="131" t="s">
        <v>732</v>
      </c>
      <c r="B696" s="131" t="s">
        <v>582</v>
      </c>
      <c r="C696" s="131" t="s">
        <v>116</v>
      </c>
      <c r="D696" s="131" t="s">
        <v>805</v>
      </c>
      <c r="E696" s="131" t="s">
        <v>1561</v>
      </c>
      <c r="F696" s="131">
        <v>324</v>
      </c>
      <c r="G696" s="131">
        <v>324</v>
      </c>
      <c r="H696" s="132">
        <v>1</v>
      </c>
    </row>
    <row r="697" spans="1:8" x14ac:dyDescent="0.25">
      <c r="A697" s="131" t="s">
        <v>728</v>
      </c>
      <c r="B697" s="131" t="s">
        <v>679</v>
      </c>
      <c r="C697" s="131" t="s">
        <v>115</v>
      </c>
      <c r="D697" s="131" t="s">
        <v>805</v>
      </c>
      <c r="E697" s="131" t="s">
        <v>1562</v>
      </c>
      <c r="F697" s="131">
        <v>156</v>
      </c>
      <c r="G697" s="131">
        <v>65</v>
      </c>
      <c r="H697" s="132">
        <v>0.41666666666666669</v>
      </c>
    </row>
    <row r="698" spans="1:8" x14ac:dyDescent="0.25">
      <c r="A698" s="131" t="s">
        <v>726</v>
      </c>
      <c r="B698" s="131" t="s">
        <v>585</v>
      </c>
      <c r="C698" s="131" t="s">
        <v>114</v>
      </c>
      <c r="D698" s="131" t="s">
        <v>813</v>
      </c>
      <c r="E698" s="131" t="s">
        <v>1563</v>
      </c>
      <c r="F698" s="131">
        <v>416</v>
      </c>
      <c r="G698" s="131">
        <v>257</v>
      </c>
      <c r="H698" s="132">
        <v>0.61778846153846156</v>
      </c>
    </row>
    <row r="699" spans="1:8" x14ac:dyDescent="0.25">
      <c r="A699" s="131" t="s">
        <v>727</v>
      </c>
      <c r="B699" s="131" t="s">
        <v>586</v>
      </c>
      <c r="C699" s="131" t="s">
        <v>113</v>
      </c>
      <c r="D699" s="131" t="s">
        <v>821</v>
      </c>
      <c r="E699" s="131" t="s">
        <v>1564</v>
      </c>
      <c r="F699" s="131">
        <v>102</v>
      </c>
      <c r="G699" s="131">
        <v>34</v>
      </c>
      <c r="H699" s="132">
        <v>0.33333333333333331</v>
      </c>
    </row>
    <row r="700" spans="1:8" x14ac:dyDescent="0.25">
      <c r="A700" s="131" t="s">
        <v>727</v>
      </c>
      <c r="B700" s="131" t="s">
        <v>586</v>
      </c>
      <c r="C700" s="131" t="s">
        <v>113</v>
      </c>
      <c r="D700" s="131" t="s">
        <v>805</v>
      </c>
      <c r="E700" s="131" t="s">
        <v>1565</v>
      </c>
      <c r="F700" s="131">
        <v>74</v>
      </c>
      <c r="G700" s="131">
        <v>20</v>
      </c>
      <c r="H700" s="132">
        <v>0.27027027027027029</v>
      </c>
    </row>
    <row r="701" spans="1:8" x14ac:dyDescent="0.25">
      <c r="A701" s="131" t="s">
        <v>732</v>
      </c>
      <c r="B701" s="131" t="s">
        <v>587</v>
      </c>
      <c r="C701" s="131" t="s">
        <v>112</v>
      </c>
      <c r="D701" s="131" t="s">
        <v>875</v>
      </c>
      <c r="E701" s="131" t="s">
        <v>1566</v>
      </c>
      <c r="F701" s="131">
        <v>21</v>
      </c>
      <c r="G701" s="131">
        <v>9</v>
      </c>
      <c r="H701" s="132">
        <v>0.42857142857142855</v>
      </c>
    </row>
    <row r="702" spans="1:8" x14ac:dyDescent="0.25">
      <c r="A702" s="131" t="s">
        <v>732</v>
      </c>
      <c r="B702" s="131" t="s">
        <v>587</v>
      </c>
      <c r="C702" s="131" t="s">
        <v>112</v>
      </c>
      <c r="D702" s="131" t="s">
        <v>813</v>
      </c>
      <c r="E702" s="131" t="s">
        <v>1567</v>
      </c>
      <c r="F702" s="131">
        <v>143</v>
      </c>
      <c r="G702" s="131">
        <v>62</v>
      </c>
      <c r="H702" s="132">
        <v>0.43356643356643354</v>
      </c>
    </row>
    <row r="703" spans="1:8" x14ac:dyDescent="0.25">
      <c r="A703" s="131" t="s">
        <v>726</v>
      </c>
      <c r="B703" s="131" t="s">
        <v>676</v>
      </c>
      <c r="C703" s="131" t="s">
        <v>111</v>
      </c>
      <c r="D703" s="131" t="s">
        <v>875</v>
      </c>
      <c r="E703" s="131" t="s">
        <v>1568</v>
      </c>
      <c r="F703" s="131">
        <v>47</v>
      </c>
      <c r="G703" s="131">
        <v>14</v>
      </c>
      <c r="H703" s="132">
        <v>0.2978723404255319</v>
      </c>
    </row>
    <row r="704" spans="1:8" x14ac:dyDescent="0.25">
      <c r="A704" s="131" t="s">
        <v>726</v>
      </c>
      <c r="B704" s="131" t="s">
        <v>676</v>
      </c>
      <c r="C704" s="131" t="s">
        <v>111</v>
      </c>
      <c r="D704" s="131" t="s">
        <v>813</v>
      </c>
      <c r="E704" s="131" t="s">
        <v>1569</v>
      </c>
      <c r="F704" s="131">
        <v>95</v>
      </c>
      <c r="G704" s="131">
        <v>40</v>
      </c>
      <c r="H704" s="132">
        <v>0.42105263157894735</v>
      </c>
    </row>
    <row r="705" spans="1:8" x14ac:dyDescent="0.25">
      <c r="A705" s="131" t="s">
        <v>726</v>
      </c>
      <c r="B705" s="131" t="s">
        <v>676</v>
      </c>
      <c r="C705" s="131" t="s">
        <v>111</v>
      </c>
      <c r="D705" s="131" t="s">
        <v>819</v>
      </c>
      <c r="E705" s="131" t="s">
        <v>1570</v>
      </c>
      <c r="F705" s="131">
        <v>166</v>
      </c>
      <c r="G705" s="131">
        <v>75</v>
      </c>
      <c r="H705" s="132">
        <v>0.45180722891566266</v>
      </c>
    </row>
    <row r="706" spans="1:8" x14ac:dyDescent="0.25">
      <c r="A706" s="131" t="s">
        <v>727</v>
      </c>
      <c r="B706" s="131" t="s">
        <v>588</v>
      </c>
      <c r="C706" s="131" t="s">
        <v>110</v>
      </c>
      <c r="D706" s="131" t="s">
        <v>821</v>
      </c>
      <c r="E706" s="131" t="s">
        <v>1571</v>
      </c>
      <c r="F706" s="131">
        <v>69</v>
      </c>
      <c r="G706" s="131">
        <v>33</v>
      </c>
      <c r="H706" s="132">
        <v>0.47826086956521741</v>
      </c>
    </row>
    <row r="707" spans="1:8" x14ac:dyDescent="0.25">
      <c r="A707" s="131" t="s">
        <v>727</v>
      </c>
      <c r="B707" s="131" t="s">
        <v>588</v>
      </c>
      <c r="C707" s="131" t="s">
        <v>110</v>
      </c>
      <c r="D707" s="131" t="s">
        <v>805</v>
      </c>
      <c r="E707" s="131" t="s">
        <v>1572</v>
      </c>
      <c r="F707" s="131">
        <v>329</v>
      </c>
      <c r="G707" s="131">
        <v>149</v>
      </c>
      <c r="H707" s="132">
        <v>0.45288753799392095</v>
      </c>
    </row>
    <row r="708" spans="1:8" x14ac:dyDescent="0.25">
      <c r="A708" s="131" t="s">
        <v>723</v>
      </c>
      <c r="B708" s="131" t="s">
        <v>589</v>
      </c>
      <c r="C708" s="131" t="s">
        <v>109</v>
      </c>
      <c r="D708" s="131" t="s">
        <v>821</v>
      </c>
      <c r="E708" s="131" t="s">
        <v>1573</v>
      </c>
      <c r="F708" s="131">
        <v>162</v>
      </c>
      <c r="G708" s="131">
        <v>38</v>
      </c>
      <c r="H708" s="132">
        <v>0.23456790123456789</v>
      </c>
    </row>
    <row r="709" spans="1:8" x14ac:dyDescent="0.25">
      <c r="A709" s="131" t="s">
        <v>723</v>
      </c>
      <c r="B709" s="131" t="s">
        <v>589</v>
      </c>
      <c r="C709" s="131" t="s">
        <v>109</v>
      </c>
      <c r="D709" s="131" t="s">
        <v>805</v>
      </c>
      <c r="E709" s="131" t="s">
        <v>1574</v>
      </c>
      <c r="F709" s="131">
        <v>308</v>
      </c>
      <c r="G709" s="131">
        <v>80</v>
      </c>
      <c r="H709" s="132">
        <v>0.25974025974025972</v>
      </c>
    </row>
    <row r="710" spans="1:8" x14ac:dyDescent="0.25">
      <c r="A710" s="131" t="s">
        <v>725</v>
      </c>
      <c r="B710" s="131" t="s">
        <v>590</v>
      </c>
      <c r="C710" s="131" t="s">
        <v>108</v>
      </c>
      <c r="D710" s="131" t="s">
        <v>813</v>
      </c>
      <c r="E710" s="131" t="s">
        <v>1575</v>
      </c>
      <c r="F710" s="131">
        <v>157</v>
      </c>
      <c r="G710" s="131">
        <v>89</v>
      </c>
      <c r="H710" s="132">
        <v>0.56687898089171973</v>
      </c>
    </row>
    <row r="711" spans="1:8" x14ac:dyDescent="0.25">
      <c r="A711" s="131" t="s">
        <v>728</v>
      </c>
      <c r="B711" s="131" t="s">
        <v>591</v>
      </c>
      <c r="C711" s="131" t="s">
        <v>107</v>
      </c>
      <c r="D711" s="131" t="s">
        <v>805</v>
      </c>
      <c r="E711" s="131" t="s">
        <v>1576</v>
      </c>
      <c r="F711" s="131">
        <v>81</v>
      </c>
      <c r="G711" s="131">
        <v>55</v>
      </c>
      <c r="H711" s="132">
        <v>0.67901234567901236</v>
      </c>
    </row>
    <row r="712" spans="1:8" x14ac:dyDescent="0.25">
      <c r="A712" s="131" t="s">
        <v>725</v>
      </c>
      <c r="B712" s="131" t="s">
        <v>592</v>
      </c>
      <c r="C712" s="131" t="s">
        <v>106</v>
      </c>
      <c r="D712" s="131" t="s">
        <v>821</v>
      </c>
      <c r="E712" s="131" t="s">
        <v>1577</v>
      </c>
      <c r="F712" s="131">
        <v>51</v>
      </c>
      <c r="G712" s="131">
        <v>12</v>
      </c>
      <c r="H712" s="132">
        <v>0.23529411764705882</v>
      </c>
    </row>
    <row r="713" spans="1:8" x14ac:dyDescent="0.25">
      <c r="A713" s="131" t="s">
        <v>725</v>
      </c>
      <c r="B713" s="131" t="s">
        <v>592</v>
      </c>
      <c r="C713" s="131" t="s">
        <v>106</v>
      </c>
      <c r="D713" s="131" t="s">
        <v>819</v>
      </c>
      <c r="E713" s="131" t="s">
        <v>1578</v>
      </c>
      <c r="F713" s="131">
        <v>184</v>
      </c>
      <c r="G713" s="131">
        <v>55</v>
      </c>
      <c r="H713" s="132">
        <v>0.29891304347826086</v>
      </c>
    </row>
    <row r="714" spans="1:8" x14ac:dyDescent="0.25">
      <c r="A714" s="131" t="s">
        <v>723</v>
      </c>
      <c r="B714" s="131" t="s">
        <v>593</v>
      </c>
      <c r="C714" s="131" t="s">
        <v>105</v>
      </c>
      <c r="D714" s="131" t="s">
        <v>821</v>
      </c>
      <c r="E714" s="131" t="s">
        <v>1579</v>
      </c>
      <c r="F714" s="131">
        <v>214</v>
      </c>
      <c r="G714" s="131">
        <v>135</v>
      </c>
      <c r="H714" s="132">
        <v>0.63084112149532712</v>
      </c>
    </row>
    <row r="715" spans="1:8" x14ac:dyDescent="0.25">
      <c r="A715" s="131" t="s">
        <v>723</v>
      </c>
      <c r="B715" s="131" t="s">
        <v>593</v>
      </c>
      <c r="C715" s="131" t="s">
        <v>105</v>
      </c>
      <c r="D715" s="131" t="s">
        <v>813</v>
      </c>
      <c r="E715" s="131" t="s">
        <v>1580</v>
      </c>
      <c r="F715" s="131">
        <v>353</v>
      </c>
      <c r="G715" s="131">
        <v>218</v>
      </c>
      <c r="H715" s="132">
        <v>0.61756373937677056</v>
      </c>
    </row>
    <row r="716" spans="1:8" x14ac:dyDescent="0.25">
      <c r="A716" s="131" t="s">
        <v>728</v>
      </c>
      <c r="B716" s="131" t="s">
        <v>594</v>
      </c>
      <c r="C716" s="131" t="s">
        <v>104</v>
      </c>
      <c r="D716" s="131" t="s">
        <v>803</v>
      </c>
      <c r="E716" s="131" t="s">
        <v>1581</v>
      </c>
      <c r="F716" s="131">
        <v>123</v>
      </c>
      <c r="G716" s="131">
        <v>83</v>
      </c>
      <c r="H716" s="132">
        <v>0.67479674796747968</v>
      </c>
    </row>
    <row r="717" spans="1:8" x14ac:dyDescent="0.25">
      <c r="A717" s="131" t="s">
        <v>728</v>
      </c>
      <c r="B717" s="131" t="s">
        <v>594</v>
      </c>
      <c r="C717" s="131" t="s">
        <v>104</v>
      </c>
      <c r="D717" s="131" t="s">
        <v>821</v>
      </c>
      <c r="E717" s="131" t="s">
        <v>1582</v>
      </c>
      <c r="F717" s="131">
        <v>65</v>
      </c>
      <c r="G717" s="131">
        <v>27</v>
      </c>
      <c r="H717" s="132">
        <v>0.41538461538461541</v>
      </c>
    </row>
    <row r="718" spans="1:8" x14ac:dyDescent="0.25">
      <c r="A718" s="131" t="s">
        <v>727</v>
      </c>
      <c r="B718" s="131" t="s">
        <v>595</v>
      </c>
      <c r="C718" s="131" t="s">
        <v>103</v>
      </c>
      <c r="D718" s="131" t="s">
        <v>803</v>
      </c>
      <c r="E718" s="131" t="s">
        <v>1583</v>
      </c>
      <c r="F718" s="131">
        <v>48</v>
      </c>
      <c r="G718" s="131">
        <v>12</v>
      </c>
      <c r="H718" s="132">
        <v>0.25</v>
      </c>
    </row>
    <row r="719" spans="1:8" x14ac:dyDescent="0.25">
      <c r="A719" s="131" t="s">
        <v>727</v>
      </c>
      <c r="B719" s="131" t="s">
        <v>595</v>
      </c>
      <c r="C719" s="131" t="s">
        <v>103</v>
      </c>
      <c r="D719" s="131" t="s">
        <v>813</v>
      </c>
      <c r="E719" s="131" t="s">
        <v>1584</v>
      </c>
      <c r="F719" s="131">
        <v>60</v>
      </c>
      <c r="G719" s="131">
        <v>28</v>
      </c>
      <c r="H719" s="132">
        <v>0.46666666666666667</v>
      </c>
    </row>
    <row r="720" spans="1:8" x14ac:dyDescent="0.25">
      <c r="A720" s="131" t="s">
        <v>727</v>
      </c>
      <c r="B720" s="131" t="s">
        <v>596</v>
      </c>
      <c r="C720" s="131" t="s">
        <v>102</v>
      </c>
      <c r="D720" s="131" t="s">
        <v>805</v>
      </c>
      <c r="E720" s="131" t="s">
        <v>1585</v>
      </c>
      <c r="F720" s="131">
        <v>223</v>
      </c>
      <c r="G720" s="131">
        <v>80</v>
      </c>
      <c r="H720" s="132">
        <v>0.35874439461883406</v>
      </c>
    </row>
    <row r="721" spans="1:8" x14ac:dyDescent="0.25">
      <c r="A721" s="131" t="s">
        <v>727</v>
      </c>
      <c r="B721" s="131" t="s">
        <v>596</v>
      </c>
      <c r="C721" s="131" t="s">
        <v>102</v>
      </c>
      <c r="D721" s="131" t="s">
        <v>813</v>
      </c>
      <c r="E721" s="131" t="s">
        <v>1586</v>
      </c>
      <c r="F721" s="131">
        <v>135</v>
      </c>
      <c r="G721" s="131">
        <v>57</v>
      </c>
      <c r="H721" s="132">
        <v>0.42222222222222222</v>
      </c>
    </row>
    <row r="722" spans="1:8" x14ac:dyDescent="0.25">
      <c r="A722" s="131" t="s">
        <v>727</v>
      </c>
      <c r="B722" s="131" t="s">
        <v>596</v>
      </c>
      <c r="C722" s="131" t="s">
        <v>102</v>
      </c>
      <c r="D722" s="131" t="s">
        <v>819</v>
      </c>
      <c r="E722" s="131" t="s">
        <v>1587</v>
      </c>
      <c r="F722" s="131">
        <v>358</v>
      </c>
      <c r="G722" s="131">
        <v>112</v>
      </c>
      <c r="H722" s="132">
        <v>0.31284916201117319</v>
      </c>
    </row>
    <row r="723" spans="1:8" x14ac:dyDescent="0.25">
      <c r="A723" s="131" t="s">
        <v>729</v>
      </c>
      <c r="B723" s="131" t="s">
        <v>597</v>
      </c>
      <c r="C723" s="131" t="s">
        <v>101</v>
      </c>
      <c r="D723" s="131" t="s">
        <v>819</v>
      </c>
      <c r="E723" s="131" t="s">
        <v>1588</v>
      </c>
      <c r="F723" s="131">
        <v>96</v>
      </c>
      <c r="G723" s="131">
        <v>58</v>
      </c>
      <c r="H723" s="132">
        <v>0.60416666666666663</v>
      </c>
    </row>
    <row r="724" spans="1:8" x14ac:dyDescent="0.25">
      <c r="A724" s="131" t="s">
        <v>725</v>
      </c>
      <c r="B724" s="131" t="s">
        <v>598</v>
      </c>
      <c r="C724" s="131" t="s">
        <v>712</v>
      </c>
      <c r="D724" s="131" t="s">
        <v>821</v>
      </c>
      <c r="E724" s="131" t="s">
        <v>1589</v>
      </c>
      <c r="F724" s="131">
        <v>49</v>
      </c>
      <c r="G724" s="131">
        <v>18</v>
      </c>
      <c r="H724" s="132">
        <v>0.36734693877551022</v>
      </c>
    </row>
    <row r="725" spans="1:8" x14ac:dyDescent="0.25">
      <c r="A725" s="131" t="s">
        <v>725</v>
      </c>
      <c r="B725" s="131" t="s">
        <v>598</v>
      </c>
      <c r="C725" s="131" t="s">
        <v>712</v>
      </c>
      <c r="D725" s="131" t="s">
        <v>805</v>
      </c>
      <c r="E725" s="131" t="s">
        <v>1590</v>
      </c>
      <c r="F725" s="131">
        <v>215</v>
      </c>
      <c r="G725" s="131">
        <v>81</v>
      </c>
      <c r="H725" s="132">
        <v>0.37674418604651161</v>
      </c>
    </row>
    <row r="726" spans="1:8" x14ac:dyDescent="0.25">
      <c r="A726" s="131" t="s">
        <v>725</v>
      </c>
      <c r="B726" s="131" t="s">
        <v>598</v>
      </c>
      <c r="C726" s="131" t="s">
        <v>712</v>
      </c>
      <c r="D726" s="131" t="s">
        <v>813</v>
      </c>
      <c r="E726" s="131" t="s">
        <v>1591</v>
      </c>
      <c r="F726" s="131">
        <v>37</v>
      </c>
      <c r="G726" s="131">
        <v>12</v>
      </c>
      <c r="H726" s="132">
        <v>0.32432432432432434</v>
      </c>
    </row>
    <row r="727" spans="1:8" x14ac:dyDescent="0.25">
      <c r="A727" s="131" t="s">
        <v>727</v>
      </c>
      <c r="B727" s="131" t="s">
        <v>599</v>
      </c>
      <c r="C727" s="131" t="s">
        <v>100</v>
      </c>
      <c r="D727" s="131" t="s">
        <v>821</v>
      </c>
      <c r="E727" s="131" t="s">
        <v>1592</v>
      </c>
      <c r="F727" s="131">
        <v>171</v>
      </c>
      <c r="G727" s="131">
        <v>70</v>
      </c>
      <c r="H727" s="132">
        <v>0.40935672514619881</v>
      </c>
    </row>
    <row r="728" spans="1:8" x14ac:dyDescent="0.25">
      <c r="A728" s="131" t="s">
        <v>727</v>
      </c>
      <c r="B728" s="131" t="s">
        <v>599</v>
      </c>
      <c r="C728" s="131" t="s">
        <v>100</v>
      </c>
      <c r="D728" s="131" t="s">
        <v>807</v>
      </c>
      <c r="E728" s="131" t="s">
        <v>853</v>
      </c>
      <c r="F728" s="131">
        <v>314</v>
      </c>
      <c r="G728" s="131">
        <v>147</v>
      </c>
      <c r="H728" s="132">
        <v>0.46815286624203822</v>
      </c>
    </row>
    <row r="729" spans="1:8" x14ac:dyDescent="0.25">
      <c r="A729" s="131" t="s">
        <v>726</v>
      </c>
      <c r="B729" s="131" t="s">
        <v>600</v>
      </c>
      <c r="C729" s="131" t="s">
        <v>99</v>
      </c>
      <c r="D729" s="131" t="s">
        <v>821</v>
      </c>
      <c r="E729" s="131" t="s">
        <v>1593</v>
      </c>
      <c r="F729" s="131">
        <v>161</v>
      </c>
      <c r="G729" s="131">
        <v>90</v>
      </c>
      <c r="H729" s="132">
        <v>0.55900621118012417</v>
      </c>
    </row>
    <row r="730" spans="1:8" x14ac:dyDescent="0.25">
      <c r="A730" s="131" t="s">
        <v>726</v>
      </c>
      <c r="B730" s="131" t="s">
        <v>600</v>
      </c>
      <c r="C730" s="131" t="s">
        <v>99</v>
      </c>
      <c r="D730" s="131" t="s">
        <v>805</v>
      </c>
      <c r="E730" s="131" t="s">
        <v>1594</v>
      </c>
      <c r="F730" s="131">
        <v>311</v>
      </c>
      <c r="G730" s="131">
        <v>178</v>
      </c>
      <c r="H730" s="132">
        <v>0.57234726688102899</v>
      </c>
    </row>
    <row r="731" spans="1:8" x14ac:dyDescent="0.25">
      <c r="A731" s="131" t="s">
        <v>727</v>
      </c>
      <c r="B731" s="131" t="s">
        <v>601</v>
      </c>
      <c r="C731" s="131" t="s">
        <v>98</v>
      </c>
      <c r="D731" s="131" t="s">
        <v>821</v>
      </c>
      <c r="E731" s="131" t="s">
        <v>1595</v>
      </c>
      <c r="F731" s="131">
        <v>112</v>
      </c>
      <c r="G731" s="131">
        <v>59</v>
      </c>
      <c r="H731" s="132">
        <v>0.5267857142857143</v>
      </c>
    </row>
    <row r="732" spans="1:8" x14ac:dyDescent="0.25">
      <c r="A732" s="131" t="s">
        <v>727</v>
      </c>
      <c r="B732" s="131" t="s">
        <v>601</v>
      </c>
      <c r="C732" s="131" t="s">
        <v>98</v>
      </c>
      <c r="D732" s="131" t="s">
        <v>813</v>
      </c>
      <c r="E732" s="131" t="s">
        <v>1596</v>
      </c>
      <c r="F732" s="131">
        <v>192</v>
      </c>
      <c r="G732" s="131">
        <v>91</v>
      </c>
      <c r="H732" s="132">
        <v>0.47395833333333331</v>
      </c>
    </row>
    <row r="733" spans="1:8" x14ac:dyDescent="0.25">
      <c r="A733" s="131" t="s">
        <v>726</v>
      </c>
      <c r="B733" s="131" t="s">
        <v>602</v>
      </c>
      <c r="C733" s="131" t="s">
        <v>97</v>
      </c>
      <c r="D733" s="131" t="s">
        <v>805</v>
      </c>
      <c r="E733" s="131" t="s">
        <v>1597</v>
      </c>
      <c r="F733" s="131">
        <v>182</v>
      </c>
      <c r="G733" s="131">
        <v>98</v>
      </c>
      <c r="H733" s="132">
        <v>0.53846153846153844</v>
      </c>
    </row>
    <row r="734" spans="1:8" x14ac:dyDescent="0.25">
      <c r="A734" s="131" t="s">
        <v>729</v>
      </c>
      <c r="B734" s="131" t="s">
        <v>603</v>
      </c>
      <c r="C734" s="131" t="s">
        <v>96</v>
      </c>
      <c r="D734" s="131" t="s">
        <v>805</v>
      </c>
      <c r="E734" s="131" t="s">
        <v>1598</v>
      </c>
      <c r="F734" s="131">
        <v>244</v>
      </c>
      <c r="G734" s="131">
        <v>89</v>
      </c>
      <c r="H734" s="132">
        <v>0.36475409836065575</v>
      </c>
    </row>
    <row r="735" spans="1:8" x14ac:dyDescent="0.25">
      <c r="A735" s="131" t="s">
        <v>727</v>
      </c>
      <c r="B735" s="131" t="s">
        <v>604</v>
      </c>
      <c r="C735" s="131" t="s">
        <v>95</v>
      </c>
      <c r="D735" s="131" t="s">
        <v>821</v>
      </c>
      <c r="E735" s="131" t="s">
        <v>1599</v>
      </c>
      <c r="F735" s="131">
        <v>221</v>
      </c>
      <c r="G735" s="131">
        <v>87</v>
      </c>
      <c r="H735" s="132">
        <v>0.39366515837104071</v>
      </c>
    </row>
    <row r="736" spans="1:8" x14ac:dyDescent="0.25">
      <c r="A736" s="131" t="s">
        <v>727</v>
      </c>
      <c r="B736" s="131" t="s">
        <v>604</v>
      </c>
      <c r="C736" s="131" t="s">
        <v>95</v>
      </c>
      <c r="D736" s="131" t="s">
        <v>805</v>
      </c>
      <c r="E736" s="131" t="s">
        <v>1600</v>
      </c>
      <c r="F736" s="131">
        <v>450</v>
      </c>
      <c r="G736" s="131">
        <v>196</v>
      </c>
      <c r="H736" s="132">
        <v>0.43555555555555553</v>
      </c>
    </row>
    <row r="737" spans="1:8" x14ac:dyDescent="0.25">
      <c r="A737" s="131" t="s">
        <v>728</v>
      </c>
      <c r="B737" s="131" t="s">
        <v>680</v>
      </c>
      <c r="C737" s="131" t="s">
        <v>94</v>
      </c>
      <c r="D737" s="131" t="s">
        <v>821</v>
      </c>
      <c r="E737" s="131" t="s">
        <v>1601</v>
      </c>
      <c r="F737" s="131">
        <v>217</v>
      </c>
      <c r="G737" s="131">
        <v>87</v>
      </c>
      <c r="H737" s="132">
        <v>0.4009216589861751</v>
      </c>
    </row>
    <row r="738" spans="1:8" x14ac:dyDescent="0.25">
      <c r="A738" s="131" t="s">
        <v>727</v>
      </c>
      <c r="B738" s="131" t="s">
        <v>605</v>
      </c>
      <c r="C738" s="131" t="s">
        <v>93</v>
      </c>
      <c r="D738" s="131" t="s">
        <v>821</v>
      </c>
      <c r="E738" s="131" t="s">
        <v>1602</v>
      </c>
      <c r="F738" s="131">
        <v>389</v>
      </c>
      <c r="G738" s="131">
        <v>235</v>
      </c>
      <c r="H738" s="132">
        <v>0.60411311053984573</v>
      </c>
    </row>
    <row r="739" spans="1:8" x14ac:dyDescent="0.25">
      <c r="A739" s="131" t="s">
        <v>727</v>
      </c>
      <c r="B739" s="131" t="s">
        <v>605</v>
      </c>
      <c r="C739" s="131" t="s">
        <v>93</v>
      </c>
      <c r="D739" s="131" t="s">
        <v>1603</v>
      </c>
      <c r="E739" s="131" t="s">
        <v>1604</v>
      </c>
      <c r="F739" s="131">
        <v>444</v>
      </c>
      <c r="G739" s="131">
        <v>321</v>
      </c>
      <c r="H739" s="132">
        <v>0.72297297297297303</v>
      </c>
    </row>
    <row r="740" spans="1:8" x14ac:dyDescent="0.25">
      <c r="A740" s="131" t="s">
        <v>727</v>
      </c>
      <c r="B740" s="131" t="s">
        <v>605</v>
      </c>
      <c r="C740" s="131" t="s">
        <v>93</v>
      </c>
      <c r="D740" s="131" t="s">
        <v>959</v>
      </c>
      <c r="E740" s="131" t="s">
        <v>1605</v>
      </c>
      <c r="F740" s="131">
        <v>325</v>
      </c>
      <c r="G740" s="131">
        <v>211</v>
      </c>
      <c r="H740" s="132">
        <v>0.64923076923076928</v>
      </c>
    </row>
    <row r="741" spans="1:8" x14ac:dyDescent="0.25">
      <c r="A741" s="131" t="s">
        <v>727</v>
      </c>
      <c r="B741" s="131" t="s">
        <v>605</v>
      </c>
      <c r="C741" s="131" t="s">
        <v>93</v>
      </c>
      <c r="D741" s="131" t="s">
        <v>813</v>
      </c>
      <c r="E741" s="131" t="s">
        <v>826</v>
      </c>
      <c r="F741" s="131">
        <v>356</v>
      </c>
      <c r="G741" s="131">
        <v>292</v>
      </c>
      <c r="H741" s="132">
        <v>0.8202247191011236</v>
      </c>
    </row>
    <row r="742" spans="1:8" x14ac:dyDescent="0.25">
      <c r="A742" s="131" t="s">
        <v>727</v>
      </c>
      <c r="B742" s="131" t="s">
        <v>605</v>
      </c>
      <c r="C742" s="131" t="s">
        <v>93</v>
      </c>
      <c r="D742" s="131" t="s">
        <v>364</v>
      </c>
      <c r="E742" s="131" t="s">
        <v>1606</v>
      </c>
      <c r="F742" s="131">
        <v>552</v>
      </c>
      <c r="G742" s="131">
        <v>258</v>
      </c>
      <c r="H742" s="132">
        <v>0.46739130434782611</v>
      </c>
    </row>
    <row r="743" spans="1:8" x14ac:dyDescent="0.25">
      <c r="A743" s="131" t="s">
        <v>727</v>
      </c>
      <c r="B743" s="131" t="s">
        <v>605</v>
      </c>
      <c r="C743" s="131" t="s">
        <v>93</v>
      </c>
      <c r="D743" s="131" t="s">
        <v>976</v>
      </c>
      <c r="E743" s="131" t="s">
        <v>1607</v>
      </c>
      <c r="F743" s="131">
        <v>241</v>
      </c>
      <c r="G743" s="131">
        <v>161</v>
      </c>
      <c r="H743" s="132">
        <v>0.66804979253112029</v>
      </c>
    </row>
    <row r="744" spans="1:8" x14ac:dyDescent="0.25">
      <c r="A744" s="131" t="s">
        <v>727</v>
      </c>
      <c r="B744" s="131" t="s">
        <v>605</v>
      </c>
      <c r="C744" s="131" t="s">
        <v>93</v>
      </c>
      <c r="D744" s="131" t="s">
        <v>978</v>
      </c>
      <c r="E744" s="131" t="s">
        <v>1212</v>
      </c>
      <c r="F744" s="131">
        <v>641</v>
      </c>
      <c r="G744" s="131">
        <v>314</v>
      </c>
      <c r="H744" s="132">
        <v>0.48985959438377535</v>
      </c>
    </row>
    <row r="745" spans="1:8" x14ac:dyDescent="0.25">
      <c r="A745" s="131" t="s">
        <v>727</v>
      </c>
      <c r="B745" s="131" t="s">
        <v>605</v>
      </c>
      <c r="C745" s="131" t="s">
        <v>93</v>
      </c>
      <c r="D745" s="131" t="s">
        <v>1608</v>
      </c>
      <c r="E745" s="131" t="s">
        <v>1609</v>
      </c>
      <c r="F745" s="131">
        <v>530</v>
      </c>
      <c r="G745" s="131">
        <v>378</v>
      </c>
      <c r="H745" s="132">
        <v>0.71320754716981127</v>
      </c>
    </row>
    <row r="746" spans="1:8" x14ac:dyDescent="0.25">
      <c r="A746" s="131" t="s">
        <v>727</v>
      </c>
      <c r="B746" s="131" t="s">
        <v>605</v>
      </c>
      <c r="C746" s="131" t="s">
        <v>93</v>
      </c>
      <c r="D746" s="131" t="s">
        <v>1610</v>
      </c>
      <c r="E746" s="131" t="s">
        <v>1541</v>
      </c>
      <c r="F746" s="131">
        <v>601</v>
      </c>
      <c r="G746" s="131">
        <v>30</v>
      </c>
      <c r="H746" s="132">
        <v>4.9916805324459232E-2</v>
      </c>
    </row>
    <row r="747" spans="1:8" x14ac:dyDescent="0.25">
      <c r="A747" s="131" t="s">
        <v>727</v>
      </c>
      <c r="B747" s="131" t="s">
        <v>605</v>
      </c>
      <c r="C747" s="131" t="s">
        <v>93</v>
      </c>
      <c r="D747" s="131" t="s">
        <v>1611</v>
      </c>
      <c r="E747" s="131" t="s">
        <v>1612</v>
      </c>
      <c r="F747" s="131">
        <v>515</v>
      </c>
      <c r="G747" s="131">
        <v>284</v>
      </c>
      <c r="H747" s="132">
        <v>0.55145631067961165</v>
      </c>
    </row>
    <row r="748" spans="1:8" x14ac:dyDescent="0.25">
      <c r="A748" s="131" t="s">
        <v>727</v>
      </c>
      <c r="B748" s="131" t="s">
        <v>605</v>
      </c>
      <c r="C748" s="131" t="s">
        <v>93</v>
      </c>
      <c r="D748" s="131" t="s">
        <v>1613</v>
      </c>
      <c r="E748" s="131" t="s">
        <v>1614</v>
      </c>
      <c r="F748" s="131">
        <v>529</v>
      </c>
      <c r="G748" s="131">
        <v>363</v>
      </c>
      <c r="H748" s="132">
        <v>0.68620037807183365</v>
      </c>
    </row>
    <row r="749" spans="1:8" x14ac:dyDescent="0.25">
      <c r="A749" s="131" t="s">
        <v>727</v>
      </c>
      <c r="B749" s="131" t="s">
        <v>605</v>
      </c>
      <c r="C749" s="131" t="s">
        <v>93</v>
      </c>
      <c r="D749" s="131" t="s">
        <v>1107</v>
      </c>
      <c r="E749" s="131" t="s">
        <v>1615</v>
      </c>
      <c r="F749" s="131">
        <v>152</v>
      </c>
      <c r="G749" s="131">
        <v>51</v>
      </c>
      <c r="H749" s="132">
        <v>0.33552631578947367</v>
      </c>
    </row>
    <row r="750" spans="1:8" x14ac:dyDescent="0.25">
      <c r="A750" s="131" t="s">
        <v>727</v>
      </c>
      <c r="B750" s="131" t="s">
        <v>605</v>
      </c>
      <c r="C750" s="131" t="s">
        <v>93</v>
      </c>
      <c r="D750" s="131" t="s">
        <v>986</v>
      </c>
      <c r="E750" s="131" t="s">
        <v>1616</v>
      </c>
      <c r="F750" s="131">
        <v>220</v>
      </c>
      <c r="G750" s="131">
        <v>8</v>
      </c>
      <c r="H750" s="132">
        <v>3.6363636363636362E-2</v>
      </c>
    </row>
    <row r="751" spans="1:8" x14ac:dyDescent="0.25">
      <c r="A751" s="131" t="s">
        <v>727</v>
      </c>
      <c r="B751" s="131" t="s">
        <v>605</v>
      </c>
      <c r="C751" s="131" t="s">
        <v>93</v>
      </c>
      <c r="D751" s="131" t="s">
        <v>1617</v>
      </c>
      <c r="E751" s="131" t="s">
        <v>1618</v>
      </c>
      <c r="F751" s="131">
        <v>510</v>
      </c>
      <c r="G751" s="131">
        <v>394</v>
      </c>
      <c r="H751" s="132">
        <v>0.77254901960784317</v>
      </c>
    </row>
    <row r="752" spans="1:8" x14ac:dyDescent="0.25">
      <c r="A752" s="131" t="s">
        <v>727</v>
      </c>
      <c r="B752" s="131" t="s">
        <v>605</v>
      </c>
      <c r="C752" s="131" t="s">
        <v>93</v>
      </c>
      <c r="D752" s="131" t="s">
        <v>1155</v>
      </c>
      <c r="E752" s="131" t="s">
        <v>928</v>
      </c>
      <c r="F752" s="131">
        <v>246</v>
      </c>
      <c r="G752" s="131">
        <v>80</v>
      </c>
      <c r="H752" s="132">
        <v>0.32520325203252032</v>
      </c>
    </row>
    <row r="753" spans="1:8" x14ac:dyDescent="0.25">
      <c r="A753" s="131" t="s">
        <v>727</v>
      </c>
      <c r="B753" s="131" t="s">
        <v>605</v>
      </c>
      <c r="C753" s="131" t="s">
        <v>93</v>
      </c>
      <c r="D753" s="131" t="s">
        <v>1619</v>
      </c>
      <c r="E753" s="131" t="s">
        <v>1620</v>
      </c>
      <c r="F753" s="131">
        <v>388</v>
      </c>
      <c r="G753" s="131">
        <v>225</v>
      </c>
      <c r="H753" s="132">
        <v>0.57989690721649489</v>
      </c>
    </row>
    <row r="754" spans="1:8" x14ac:dyDescent="0.25">
      <c r="A754" s="131" t="s">
        <v>728</v>
      </c>
      <c r="B754" s="131" t="s">
        <v>607</v>
      </c>
      <c r="C754" s="131" t="s">
        <v>92</v>
      </c>
      <c r="D754" s="131" t="s">
        <v>828</v>
      </c>
      <c r="E754" s="131" t="s">
        <v>1621</v>
      </c>
      <c r="F754" s="131">
        <v>184</v>
      </c>
      <c r="G754" s="131">
        <v>85</v>
      </c>
      <c r="H754" s="132">
        <v>0.46195652173913043</v>
      </c>
    </row>
    <row r="755" spans="1:8" x14ac:dyDescent="0.25">
      <c r="A755" s="131" t="s">
        <v>728</v>
      </c>
      <c r="B755" s="131" t="s">
        <v>607</v>
      </c>
      <c r="C755" s="131" t="s">
        <v>92</v>
      </c>
      <c r="D755" s="131" t="s">
        <v>819</v>
      </c>
      <c r="E755" s="131" t="s">
        <v>1622</v>
      </c>
      <c r="F755" s="131">
        <v>200</v>
      </c>
      <c r="G755" s="131">
        <v>96</v>
      </c>
      <c r="H755" s="132">
        <v>0.48</v>
      </c>
    </row>
    <row r="756" spans="1:8" x14ac:dyDescent="0.25">
      <c r="A756" s="131" t="s">
        <v>730</v>
      </c>
      <c r="B756" s="131" t="s">
        <v>608</v>
      </c>
      <c r="C756" s="131" t="s">
        <v>91</v>
      </c>
      <c r="D756" s="131" t="s">
        <v>821</v>
      </c>
      <c r="E756" s="131" t="s">
        <v>1623</v>
      </c>
      <c r="F756" s="131">
        <v>126</v>
      </c>
      <c r="G756" s="131">
        <v>13</v>
      </c>
      <c r="H756" s="132">
        <v>0.10317460317460317</v>
      </c>
    </row>
    <row r="757" spans="1:8" x14ac:dyDescent="0.25">
      <c r="A757" s="131" t="s">
        <v>730</v>
      </c>
      <c r="B757" s="131" t="s">
        <v>608</v>
      </c>
      <c r="C757" s="131" t="s">
        <v>91</v>
      </c>
      <c r="D757" s="131" t="s">
        <v>805</v>
      </c>
      <c r="E757" s="131" t="s">
        <v>1005</v>
      </c>
      <c r="F757" s="131">
        <v>301</v>
      </c>
      <c r="G757" s="131">
        <v>32</v>
      </c>
      <c r="H757" s="132">
        <v>0.10631229235880399</v>
      </c>
    </row>
    <row r="758" spans="1:8" x14ac:dyDescent="0.25">
      <c r="A758" s="131" t="s">
        <v>730</v>
      </c>
      <c r="B758" s="131" t="s">
        <v>608</v>
      </c>
      <c r="C758" s="131" t="s">
        <v>91</v>
      </c>
      <c r="D758" s="131" t="s">
        <v>819</v>
      </c>
      <c r="E758" s="131" t="s">
        <v>1624</v>
      </c>
      <c r="F758" s="131">
        <v>228</v>
      </c>
      <c r="G758" s="131">
        <v>24</v>
      </c>
      <c r="H758" s="132">
        <v>0.10526315789473684</v>
      </c>
    </row>
    <row r="759" spans="1:8" x14ac:dyDescent="0.25">
      <c r="A759" s="131" t="s">
        <v>723</v>
      </c>
      <c r="B759" s="131" t="s">
        <v>609</v>
      </c>
      <c r="C759" s="131" t="s">
        <v>90</v>
      </c>
      <c r="D759" s="131" t="s">
        <v>805</v>
      </c>
      <c r="E759" s="131" t="s">
        <v>1625</v>
      </c>
      <c r="F759" s="131">
        <v>109</v>
      </c>
      <c r="G759" s="131">
        <v>35</v>
      </c>
      <c r="H759" s="132">
        <v>0.32110091743119268</v>
      </c>
    </row>
    <row r="760" spans="1:8" x14ac:dyDescent="0.25">
      <c r="A760" s="131" t="s">
        <v>723</v>
      </c>
      <c r="B760" s="131" t="s">
        <v>609</v>
      </c>
      <c r="C760" s="131" t="s">
        <v>90</v>
      </c>
      <c r="D760" s="131" t="s">
        <v>813</v>
      </c>
      <c r="E760" s="131" t="s">
        <v>1626</v>
      </c>
      <c r="F760" s="131">
        <v>103</v>
      </c>
      <c r="G760" s="131">
        <v>44</v>
      </c>
      <c r="H760" s="132">
        <v>0.42718446601941745</v>
      </c>
    </row>
    <row r="761" spans="1:8" x14ac:dyDescent="0.25">
      <c r="A761" s="131" t="s">
        <v>728</v>
      </c>
      <c r="B761" s="131" t="s">
        <v>610</v>
      </c>
      <c r="C761" s="131" t="s">
        <v>89</v>
      </c>
      <c r="D761" s="131" t="s">
        <v>813</v>
      </c>
      <c r="E761" s="131" t="s">
        <v>1627</v>
      </c>
      <c r="F761" s="131">
        <v>268</v>
      </c>
      <c r="G761" s="131">
        <v>100</v>
      </c>
      <c r="H761" s="132">
        <v>0.37313432835820898</v>
      </c>
    </row>
    <row r="762" spans="1:8" x14ac:dyDescent="0.25">
      <c r="A762" s="131" t="s">
        <v>728</v>
      </c>
      <c r="B762" s="131" t="s">
        <v>611</v>
      </c>
      <c r="C762" s="131" t="s">
        <v>88</v>
      </c>
      <c r="D762" s="131" t="s">
        <v>828</v>
      </c>
      <c r="E762" s="131" t="s">
        <v>1628</v>
      </c>
      <c r="F762" s="131">
        <v>165</v>
      </c>
      <c r="G762" s="131">
        <v>70</v>
      </c>
      <c r="H762" s="132">
        <v>0.42424242424242425</v>
      </c>
    </row>
    <row r="763" spans="1:8" x14ac:dyDescent="0.25">
      <c r="A763" s="131" t="s">
        <v>728</v>
      </c>
      <c r="B763" s="131" t="s">
        <v>611</v>
      </c>
      <c r="C763" s="131" t="s">
        <v>88</v>
      </c>
      <c r="D763" s="131" t="s">
        <v>805</v>
      </c>
      <c r="E763" s="131" t="s">
        <v>1629</v>
      </c>
      <c r="F763" s="131">
        <v>133</v>
      </c>
      <c r="G763" s="131">
        <v>58</v>
      </c>
      <c r="H763" s="132">
        <v>0.43609022556390975</v>
      </c>
    </row>
    <row r="764" spans="1:8" x14ac:dyDescent="0.25">
      <c r="A764" s="131" t="s">
        <v>726</v>
      </c>
      <c r="B764" s="131" t="s">
        <v>612</v>
      </c>
      <c r="C764" s="131" t="s">
        <v>87</v>
      </c>
      <c r="D764" s="131" t="s">
        <v>805</v>
      </c>
      <c r="E764" s="131" t="s">
        <v>1630</v>
      </c>
      <c r="F764" s="131">
        <v>54</v>
      </c>
      <c r="G764" s="131">
        <v>31</v>
      </c>
      <c r="H764" s="132">
        <v>0.57407407407407407</v>
      </c>
    </row>
    <row r="765" spans="1:8" x14ac:dyDescent="0.25">
      <c r="A765" s="131" t="s">
        <v>725</v>
      </c>
      <c r="B765" s="131" t="s">
        <v>613</v>
      </c>
      <c r="C765" s="131" t="s">
        <v>86</v>
      </c>
      <c r="D765" s="131" t="s">
        <v>821</v>
      </c>
      <c r="E765" s="131" t="s">
        <v>1631</v>
      </c>
      <c r="F765" s="131">
        <v>218</v>
      </c>
      <c r="G765" s="131">
        <v>133</v>
      </c>
      <c r="H765" s="132">
        <v>0.61009174311926606</v>
      </c>
    </row>
    <row r="766" spans="1:8" x14ac:dyDescent="0.25">
      <c r="A766" s="131" t="s">
        <v>725</v>
      </c>
      <c r="B766" s="131" t="s">
        <v>613</v>
      </c>
      <c r="C766" s="131" t="s">
        <v>86</v>
      </c>
      <c r="D766" s="131" t="s">
        <v>1019</v>
      </c>
      <c r="E766" s="131" t="s">
        <v>1632</v>
      </c>
      <c r="F766" s="131">
        <v>435</v>
      </c>
      <c r="G766" s="131">
        <v>295</v>
      </c>
      <c r="H766" s="132">
        <v>0.67816091954022983</v>
      </c>
    </row>
    <row r="767" spans="1:8" x14ac:dyDescent="0.25">
      <c r="A767" s="131" t="s">
        <v>727</v>
      </c>
      <c r="B767" s="131" t="s">
        <v>677</v>
      </c>
      <c r="C767" s="131" t="s">
        <v>85</v>
      </c>
      <c r="D767" s="131" t="s">
        <v>1545</v>
      </c>
      <c r="E767" s="131" t="s">
        <v>1633</v>
      </c>
      <c r="F767" s="131">
        <v>219</v>
      </c>
      <c r="G767" s="131">
        <v>84</v>
      </c>
      <c r="H767" s="132">
        <v>0.38356164383561642</v>
      </c>
    </row>
    <row r="768" spans="1:8" x14ac:dyDescent="0.25">
      <c r="A768" s="131" t="s">
        <v>732</v>
      </c>
      <c r="B768" s="131" t="s">
        <v>614</v>
      </c>
      <c r="C768" s="131" t="s">
        <v>84</v>
      </c>
      <c r="D768" s="131" t="s">
        <v>821</v>
      </c>
      <c r="E768" s="131" t="s">
        <v>1634</v>
      </c>
      <c r="F768" s="131">
        <v>34</v>
      </c>
      <c r="G768" s="131">
        <v>13</v>
      </c>
      <c r="H768" s="132">
        <v>0.38235294117647056</v>
      </c>
    </row>
    <row r="769" spans="1:8" x14ac:dyDescent="0.25">
      <c r="A769" s="131" t="s">
        <v>732</v>
      </c>
      <c r="B769" s="131" t="s">
        <v>614</v>
      </c>
      <c r="C769" s="131" t="s">
        <v>84</v>
      </c>
      <c r="D769" s="131" t="s">
        <v>813</v>
      </c>
      <c r="E769" s="131" t="s">
        <v>1635</v>
      </c>
      <c r="F769" s="131">
        <v>152</v>
      </c>
      <c r="G769" s="131">
        <v>64</v>
      </c>
      <c r="H769" s="132">
        <v>0.42105263157894735</v>
      </c>
    </row>
    <row r="770" spans="1:8" x14ac:dyDescent="0.25">
      <c r="A770" s="131" t="s">
        <v>723</v>
      </c>
      <c r="B770" s="131" t="s">
        <v>615</v>
      </c>
      <c r="C770" s="131" t="s">
        <v>83</v>
      </c>
      <c r="D770" s="131" t="s">
        <v>805</v>
      </c>
      <c r="E770" s="131" t="s">
        <v>1636</v>
      </c>
      <c r="F770" s="131">
        <v>305</v>
      </c>
      <c r="G770" s="131">
        <v>124</v>
      </c>
      <c r="H770" s="132">
        <v>0.40655737704918032</v>
      </c>
    </row>
    <row r="771" spans="1:8" x14ac:dyDescent="0.25">
      <c r="A771" s="131" t="s">
        <v>723</v>
      </c>
      <c r="B771" s="131" t="s">
        <v>615</v>
      </c>
      <c r="C771" s="131" t="s">
        <v>83</v>
      </c>
      <c r="D771" s="131" t="s">
        <v>813</v>
      </c>
      <c r="E771" s="131" t="s">
        <v>1637</v>
      </c>
      <c r="F771" s="131">
        <v>313</v>
      </c>
      <c r="G771" s="131">
        <v>106</v>
      </c>
      <c r="H771" s="132">
        <v>0.33865814696485624</v>
      </c>
    </row>
    <row r="772" spans="1:8" x14ac:dyDescent="0.25">
      <c r="A772" s="131" t="s">
        <v>723</v>
      </c>
      <c r="B772" s="131" t="s">
        <v>615</v>
      </c>
      <c r="C772" s="131" t="s">
        <v>83</v>
      </c>
      <c r="D772" s="131" t="s">
        <v>733</v>
      </c>
      <c r="E772" s="131" t="s">
        <v>1638</v>
      </c>
      <c r="F772" s="131">
        <v>278</v>
      </c>
      <c r="G772" s="131">
        <v>115</v>
      </c>
      <c r="H772" s="132">
        <v>0.41366906474820142</v>
      </c>
    </row>
    <row r="773" spans="1:8" x14ac:dyDescent="0.25">
      <c r="A773" s="131" t="s">
        <v>723</v>
      </c>
      <c r="B773" s="131" t="s">
        <v>615</v>
      </c>
      <c r="C773" s="131" t="s">
        <v>83</v>
      </c>
      <c r="D773" s="131" t="s">
        <v>883</v>
      </c>
      <c r="E773" s="131" t="s">
        <v>1639</v>
      </c>
      <c r="F773" s="131">
        <v>360</v>
      </c>
      <c r="G773" s="131">
        <v>117</v>
      </c>
      <c r="H773" s="132">
        <v>0.32500000000000001</v>
      </c>
    </row>
    <row r="774" spans="1:8" x14ac:dyDescent="0.25">
      <c r="A774" s="131" t="s">
        <v>723</v>
      </c>
      <c r="B774" s="131" t="s">
        <v>615</v>
      </c>
      <c r="C774" s="131" t="s">
        <v>83</v>
      </c>
      <c r="D774" s="131" t="s">
        <v>819</v>
      </c>
      <c r="E774" s="131" t="s">
        <v>1640</v>
      </c>
      <c r="F774" s="131">
        <v>174</v>
      </c>
      <c r="G774" s="131">
        <v>65</v>
      </c>
      <c r="H774" s="132">
        <v>0.37356321839080459</v>
      </c>
    </row>
    <row r="775" spans="1:8" x14ac:dyDescent="0.25">
      <c r="A775" s="131" t="s">
        <v>723</v>
      </c>
      <c r="B775" s="131" t="s">
        <v>615</v>
      </c>
      <c r="C775" s="131" t="s">
        <v>83</v>
      </c>
      <c r="D775" s="131" t="s">
        <v>807</v>
      </c>
      <c r="E775" s="131" t="s">
        <v>1641</v>
      </c>
      <c r="F775" s="131">
        <v>217</v>
      </c>
      <c r="G775" s="131">
        <v>41</v>
      </c>
      <c r="H775" s="132">
        <v>0.1889400921658986</v>
      </c>
    </row>
    <row r="776" spans="1:8" x14ac:dyDescent="0.25">
      <c r="A776" s="131" t="s">
        <v>723</v>
      </c>
      <c r="B776" s="131" t="s">
        <v>615</v>
      </c>
      <c r="C776" s="131" t="s">
        <v>83</v>
      </c>
      <c r="D776" s="131" t="s">
        <v>1642</v>
      </c>
      <c r="E776" s="131" t="s">
        <v>1643</v>
      </c>
      <c r="F776" s="131">
        <v>604</v>
      </c>
      <c r="G776" s="131">
        <v>208</v>
      </c>
      <c r="H776" s="132">
        <v>0.3443708609271523</v>
      </c>
    </row>
    <row r="777" spans="1:8" x14ac:dyDescent="0.25">
      <c r="A777" s="131" t="s">
        <v>723</v>
      </c>
      <c r="B777" s="131" t="s">
        <v>615</v>
      </c>
      <c r="C777" s="131" t="s">
        <v>83</v>
      </c>
      <c r="D777" s="131" t="s">
        <v>859</v>
      </c>
      <c r="E777" s="131" t="s">
        <v>1644</v>
      </c>
      <c r="F777" s="131">
        <v>395</v>
      </c>
      <c r="G777" s="131">
        <v>166</v>
      </c>
      <c r="H777" s="132">
        <v>0.42025316455696204</v>
      </c>
    </row>
    <row r="778" spans="1:8" x14ac:dyDescent="0.25">
      <c r="A778" s="131" t="s">
        <v>723</v>
      </c>
      <c r="B778" s="131" t="s">
        <v>615</v>
      </c>
      <c r="C778" s="131" t="s">
        <v>83</v>
      </c>
      <c r="D778" s="131" t="s">
        <v>840</v>
      </c>
      <c r="E778" s="131" t="s">
        <v>1645</v>
      </c>
      <c r="F778" s="131">
        <v>463</v>
      </c>
      <c r="G778" s="131">
        <v>129</v>
      </c>
      <c r="H778" s="132">
        <v>0.27861771058315332</v>
      </c>
    </row>
    <row r="779" spans="1:8" x14ac:dyDescent="0.25">
      <c r="A779" s="131" t="s">
        <v>728</v>
      </c>
      <c r="B779" s="131" t="s">
        <v>616</v>
      </c>
      <c r="C779" s="131" t="s">
        <v>82</v>
      </c>
      <c r="D779" s="131" t="s">
        <v>821</v>
      </c>
      <c r="E779" s="131" t="s">
        <v>1646</v>
      </c>
      <c r="F779" s="131">
        <v>154</v>
      </c>
      <c r="G779" s="131">
        <v>71</v>
      </c>
      <c r="H779" s="132">
        <v>0.46103896103896103</v>
      </c>
    </row>
    <row r="780" spans="1:8" x14ac:dyDescent="0.25">
      <c r="A780" s="131" t="s">
        <v>728</v>
      </c>
      <c r="B780" s="131" t="s">
        <v>616</v>
      </c>
      <c r="C780" s="131" t="s">
        <v>82</v>
      </c>
      <c r="D780" s="131" t="s">
        <v>888</v>
      </c>
      <c r="E780" s="131" t="s">
        <v>1647</v>
      </c>
      <c r="F780" s="131">
        <v>272</v>
      </c>
      <c r="G780" s="131">
        <v>116</v>
      </c>
      <c r="H780" s="132">
        <v>0.4264705882352941</v>
      </c>
    </row>
    <row r="781" spans="1:8" x14ac:dyDescent="0.25">
      <c r="A781" s="131" t="s">
        <v>728</v>
      </c>
      <c r="B781" s="131" t="s">
        <v>616</v>
      </c>
      <c r="C781" s="131" t="s">
        <v>82</v>
      </c>
      <c r="D781" s="131" t="s">
        <v>1110</v>
      </c>
      <c r="E781" s="131" t="s">
        <v>1648</v>
      </c>
      <c r="F781" s="131">
        <v>151</v>
      </c>
      <c r="G781" s="131">
        <v>86</v>
      </c>
      <c r="H781" s="132">
        <v>0.56953642384105962</v>
      </c>
    </row>
    <row r="782" spans="1:8" x14ac:dyDescent="0.25">
      <c r="A782" s="131" t="s">
        <v>728</v>
      </c>
      <c r="B782" s="131" t="s">
        <v>616</v>
      </c>
      <c r="C782" s="131" t="s">
        <v>82</v>
      </c>
      <c r="D782" s="131" t="s">
        <v>1139</v>
      </c>
      <c r="E782" s="131" t="s">
        <v>915</v>
      </c>
      <c r="F782" s="131">
        <v>273</v>
      </c>
      <c r="G782" s="131">
        <v>129</v>
      </c>
      <c r="H782" s="132">
        <v>0.47252747252747251</v>
      </c>
    </row>
    <row r="783" spans="1:8" x14ac:dyDescent="0.25">
      <c r="A783" s="131" t="s">
        <v>728</v>
      </c>
      <c r="B783" s="131" t="s">
        <v>617</v>
      </c>
      <c r="C783" s="131" t="s">
        <v>81</v>
      </c>
      <c r="D783" s="131" t="s">
        <v>821</v>
      </c>
      <c r="E783" s="131" t="s">
        <v>1649</v>
      </c>
      <c r="F783" s="131">
        <v>173</v>
      </c>
      <c r="G783" s="131">
        <v>64</v>
      </c>
      <c r="H783" s="132">
        <v>0.36994219653179189</v>
      </c>
    </row>
    <row r="784" spans="1:8" x14ac:dyDescent="0.25">
      <c r="A784" s="131" t="s">
        <v>728</v>
      </c>
      <c r="B784" s="131" t="s">
        <v>617</v>
      </c>
      <c r="C784" s="131" t="s">
        <v>81</v>
      </c>
      <c r="D784" s="131" t="s">
        <v>805</v>
      </c>
      <c r="E784" s="131" t="s">
        <v>1650</v>
      </c>
      <c r="F784" s="131">
        <v>354</v>
      </c>
      <c r="G784" s="131">
        <v>119</v>
      </c>
      <c r="H784" s="132">
        <v>0.33615819209039549</v>
      </c>
    </row>
    <row r="785" spans="1:8" x14ac:dyDescent="0.25">
      <c r="A785" s="131" t="s">
        <v>730</v>
      </c>
      <c r="B785" s="131" t="s">
        <v>618</v>
      </c>
      <c r="C785" s="131" t="s">
        <v>80</v>
      </c>
      <c r="D785" s="131" t="s">
        <v>805</v>
      </c>
      <c r="E785" s="131" t="s">
        <v>1651</v>
      </c>
      <c r="F785" s="131">
        <v>167</v>
      </c>
      <c r="G785" s="131">
        <v>56</v>
      </c>
      <c r="H785" s="132">
        <v>0.33532934131736525</v>
      </c>
    </row>
    <row r="786" spans="1:8" x14ac:dyDescent="0.25">
      <c r="A786" s="131" t="s">
        <v>726</v>
      </c>
      <c r="B786" s="131" t="s">
        <v>619</v>
      </c>
      <c r="C786" s="131" t="s">
        <v>79</v>
      </c>
      <c r="D786" s="131" t="s">
        <v>875</v>
      </c>
      <c r="E786" s="131" t="s">
        <v>1652</v>
      </c>
      <c r="F786" s="131">
        <v>14</v>
      </c>
      <c r="G786" s="131">
        <v>5</v>
      </c>
      <c r="H786" s="132">
        <v>0.35714285714285715</v>
      </c>
    </row>
    <row r="787" spans="1:8" x14ac:dyDescent="0.25">
      <c r="A787" s="131" t="s">
        <v>726</v>
      </c>
      <c r="B787" s="131" t="s">
        <v>619</v>
      </c>
      <c r="C787" s="131" t="s">
        <v>79</v>
      </c>
      <c r="D787" s="131" t="s">
        <v>805</v>
      </c>
      <c r="E787" s="131" t="s">
        <v>1653</v>
      </c>
      <c r="F787" s="131">
        <v>89</v>
      </c>
      <c r="G787" s="131">
        <v>41</v>
      </c>
      <c r="H787" s="132">
        <v>0.4606741573033708</v>
      </c>
    </row>
    <row r="788" spans="1:8" x14ac:dyDescent="0.25">
      <c r="A788" s="131" t="s">
        <v>732</v>
      </c>
      <c r="B788" s="131" t="s">
        <v>620</v>
      </c>
      <c r="C788" s="131" t="s">
        <v>78</v>
      </c>
      <c r="D788" s="131" t="s">
        <v>821</v>
      </c>
      <c r="E788" s="131" t="s">
        <v>1654</v>
      </c>
      <c r="F788" s="131">
        <v>41</v>
      </c>
      <c r="G788" s="131">
        <v>26</v>
      </c>
      <c r="H788" s="132">
        <v>0.63414634146341464</v>
      </c>
    </row>
    <row r="789" spans="1:8" x14ac:dyDescent="0.25">
      <c r="A789" s="131" t="s">
        <v>732</v>
      </c>
      <c r="B789" s="131" t="s">
        <v>620</v>
      </c>
      <c r="C789" s="131" t="s">
        <v>78</v>
      </c>
      <c r="D789" s="131" t="s">
        <v>813</v>
      </c>
      <c r="E789" s="131" t="s">
        <v>1655</v>
      </c>
      <c r="F789" s="131">
        <v>210</v>
      </c>
      <c r="G789" s="131">
        <v>106</v>
      </c>
      <c r="H789" s="132">
        <v>0.50476190476190474</v>
      </c>
    </row>
    <row r="790" spans="1:8" x14ac:dyDescent="0.25">
      <c r="A790" s="131" t="s">
        <v>728</v>
      </c>
      <c r="B790" s="131" t="s">
        <v>621</v>
      </c>
      <c r="C790" s="131" t="s">
        <v>77</v>
      </c>
      <c r="D790" s="131" t="s">
        <v>821</v>
      </c>
      <c r="E790" s="131" t="s">
        <v>1656</v>
      </c>
      <c r="F790" s="131">
        <v>385</v>
      </c>
      <c r="G790" s="131">
        <v>305</v>
      </c>
      <c r="H790" s="132">
        <v>0.79220779220779225</v>
      </c>
    </row>
    <row r="791" spans="1:8" x14ac:dyDescent="0.25">
      <c r="A791" s="131" t="s">
        <v>728</v>
      </c>
      <c r="B791" s="131" t="s">
        <v>621</v>
      </c>
      <c r="C791" s="131" t="s">
        <v>77</v>
      </c>
      <c r="D791" s="131" t="s">
        <v>813</v>
      </c>
      <c r="E791" s="131" t="s">
        <v>1657</v>
      </c>
      <c r="F791" s="131">
        <v>788</v>
      </c>
      <c r="G791" s="131">
        <v>616</v>
      </c>
      <c r="H791" s="132">
        <v>0.78172588832487311</v>
      </c>
    </row>
    <row r="792" spans="1:8" x14ac:dyDescent="0.25">
      <c r="A792" s="131" t="s">
        <v>728</v>
      </c>
      <c r="B792" s="131" t="s">
        <v>622</v>
      </c>
      <c r="C792" s="131" t="s">
        <v>76</v>
      </c>
      <c r="D792" s="131" t="s">
        <v>805</v>
      </c>
      <c r="E792" s="131" t="s">
        <v>1658</v>
      </c>
      <c r="F792" s="131">
        <v>49</v>
      </c>
      <c r="G792" s="131">
        <v>25</v>
      </c>
      <c r="H792" s="132">
        <v>0.51020408163265307</v>
      </c>
    </row>
    <row r="793" spans="1:8" x14ac:dyDescent="0.25">
      <c r="A793" s="131" t="s">
        <v>723</v>
      </c>
      <c r="B793" s="131" t="s">
        <v>623</v>
      </c>
      <c r="C793" s="131" t="s">
        <v>75</v>
      </c>
      <c r="D793" s="131" t="s">
        <v>803</v>
      </c>
      <c r="E793" s="131" t="s">
        <v>1659</v>
      </c>
      <c r="F793" s="131">
        <v>68</v>
      </c>
      <c r="G793" s="131">
        <v>27</v>
      </c>
      <c r="H793" s="132">
        <v>0.39705882352941174</v>
      </c>
    </row>
    <row r="794" spans="1:8" x14ac:dyDescent="0.25">
      <c r="A794" s="131" t="s">
        <v>723</v>
      </c>
      <c r="B794" s="131" t="s">
        <v>623</v>
      </c>
      <c r="C794" s="131" t="s">
        <v>75</v>
      </c>
      <c r="D794" s="131" t="s">
        <v>852</v>
      </c>
      <c r="E794" s="131" t="s">
        <v>1660</v>
      </c>
      <c r="F794" s="131">
        <v>125</v>
      </c>
      <c r="G794" s="131">
        <v>55</v>
      </c>
      <c r="H794" s="132">
        <v>0.44</v>
      </c>
    </row>
    <row r="795" spans="1:8" x14ac:dyDescent="0.25">
      <c r="A795" s="131" t="s">
        <v>723</v>
      </c>
      <c r="B795" s="131" t="s">
        <v>623</v>
      </c>
      <c r="C795" s="131" t="s">
        <v>75</v>
      </c>
      <c r="D795" s="131" t="s">
        <v>805</v>
      </c>
      <c r="E795" s="131" t="s">
        <v>1661</v>
      </c>
      <c r="F795" s="131">
        <v>179</v>
      </c>
      <c r="G795" s="131">
        <v>74</v>
      </c>
      <c r="H795" s="132">
        <v>0.41340782122905029</v>
      </c>
    </row>
    <row r="796" spans="1:8" x14ac:dyDescent="0.25">
      <c r="A796" s="131" t="s">
        <v>725</v>
      </c>
      <c r="B796" s="131" t="s">
        <v>624</v>
      </c>
      <c r="C796" s="131" t="s">
        <v>74</v>
      </c>
      <c r="D796" s="131" t="s">
        <v>821</v>
      </c>
      <c r="E796" s="131" t="s">
        <v>1662</v>
      </c>
      <c r="F796" s="131">
        <v>66</v>
      </c>
      <c r="G796" s="131">
        <v>21</v>
      </c>
      <c r="H796" s="132">
        <v>0.31818181818181818</v>
      </c>
    </row>
    <row r="797" spans="1:8" x14ac:dyDescent="0.25">
      <c r="A797" s="131" t="s">
        <v>725</v>
      </c>
      <c r="B797" s="131" t="s">
        <v>624</v>
      </c>
      <c r="C797" s="131" t="s">
        <v>74</v>
      </c>
      <c r="D797" s="131" t="s">
        <v>805</v>
      </c>
      <c r="E797" s="131" t="s">
        <v>1225</v>
      </c>
      <c r="F797" s="131">
        <v>171</v>
      </c>
      <c r="G797" s="131">
        <v>60</v>
      </c>
      <c r="H797" s="132">
        <v>0.35087719298245612</v>
      </c>
    </row>
    <row r="798" spans="1:8" x14ac:dyDescent="0.25">
      <c r="A798" s="131" t="s">
        <v>725</v>
      </c>
      <c r="B798" s="131" t="s">
        <v>624</v>
      </c>
      <c r="C798" s="131" t="s">
        <v>74</v>
      </c>
      <c r="D798" s="131" t="s">
        <v>813</v>
      </c>
      <c r="E798" s="131" t="s">
        <v>1663</v>
      </c>
      <c r="F798" s="131">
        <v>117</v>
      </c>
      <c r="G798" s="131">
        <v>46</v>
      </c>
      <c r="H798" s="132">
        <v>0.39316239316239315</v>
      </c>
    </row>
    <row r="799" spans="1:8" x14ac:dyDescent="0.25">
      <c r="A799" s="131" t="s">
        <v>730</v>
      </c>
      <c r="B799" s="131" t="s">
        <v>625</v>
      </c>
      <c r="C799" s="131" t="s">
        <v>73</v>
      </c>
      <c r="D799" s="131" t="s">
        <v>821</v>
      </c>
      <c r="E799" s="131" t="s">
        <v>1664</v>
      </c>
      <c r="F799" s="131">
        <v>147</v>
      </c>
      <c r="G799" s="131">
        <v>37</v>
      </c>
      <c r="H799" s="132">
        <v>0.25170068027210885</v>
      </c>
    </row>
    <row r="800" spans="1:8" x14ac:dyDescent="0.25">
      <c r="A800" s="131" t="s">
        <v>730</v>
      </c>
      <c r="B800" s="131" t="s">
        <v>625</v>
      </c>
      <c r="C800" s="131" t="s">
        <v>73</v>
      </c>
      <c r="D800" s="131" t="s">
        <v>805</v>
      </c>
      <c r="E800" s="131" t="s">
        <v>1665</v>
      </c>
      <c r="F800" s="131">
        <v>252</v>
      </c>
      <c r="G800" s="131">
        <v>68</v>
      </c>
      <c r="H800" s="132">
        <v>0.26984126984126983</v>
      </c>
    </row>
    <row r="801" spans="1:8" x14ac:dyDescent="0.25">
      <c r="A801" s="131" t="s">
        <v>726</v>
      </c>
      <c r="B801" s="131" t="s">
        <v>626</v>
      </c>
      <c r="C801" s="131" t="s">
        <v>72</v>
      </c>
      <c r="D801" s="131" t="s">
        <v>821</v>
      </c>
      <c r="E801" s="131" t="s">
        <v>1666</v>
      </c>
      <c r="F801" s="131">
        <v>61</v>
      </c>
      <c r="G801" s="131">
        <v>8</v>
      </c>
      <c r="H801" s="132">
        <v>0.13114754098360656</v>
      </c>
    </row>
    <row r="802" spans="1:8" x14ac:dyDescent="0.25">
      <c r="A802" s="131" t="s">
        <v>726</v>
      </c>
      <c r="B802" s="131" t="s">
        <v>626</v>
      </c>
      <c r="C802" s="131" t="s">
        <v>72</v>
      </c>
      <c r="D802" s="131" t="s">
        <v>805</v>
      </c>
      <c r="E802" s="131" t="s">
        <v>1667</v>
      </c>
      <c r="F802" s="131">
        <v>319</v>
      </c>
      <c r="G802" s="131">
        <v>38</v>
      </c>
      <c r="H802" s="132">
        <v>0.11912225705329153</v>
      </c>
    </row>
    <row r="803" spans="1:8" x14ac:dyDescent="0.25">
      <c r="A803" s="131" t="s">
        <v>726</v>
      </c>
      <c r="B803" s="131" t="s">
        <v>627</v>
      </c>
      <c r="C803" s="131" t="s">
        <v>71</v>
      </c>
      <c r="D803" s="131" t="s">
        <v>821</v>
      </c>
      <c r="E803" s="131" t="s">
        <v>1668</v>
      </c>
      <c r="F803" s="131">
        <v>62</v>
      </c>
      <c r="G803" s="131">
        <v>20</v>
      </c>
      <c r="H803" s="132">
        <v>0.32258064516129031</v>
      </c>
    </row>
    <row r="804" spans="1:8" x14ac:dyDescent="0.25">
      <c r="A804" s="131" t="s">
        <v>726</v>
      </c>
      <c r="B804" s="131" t="s">
        <v>627</v>
      </c>
      <c r="C804" s="131" t="s">
        <v>71</v>
      </c>
      <c r="D804" s="131" t="s">
        <v>1098</v>
      </c>
      <c r="E804" s="131" t="s">
        <v>1669</v>
      </c>
      <c r="F804" s="131">
        <v>239</v>
      </c>
      <c r="G804" s="131">
        <v>69</v>
      </c>
      <c r="H804" s="132">
        <v>0.28870292887029286</v>
      </c>
    </row>
    <row r="805" spans="1:8" x14ac:dyDescent="0.25">
      <c r="A805" s="131" t="s">
        <v>729</v>
      </c>
      <c r="B805" s="131" t="s">
        <v>628</v>
      </c>
      <c r="C805" s="131" t="s">
        <v>70</v>
      </c>
      <c r="D805" s="131" t="s">
        <v>807</v>
      </c>
      <c r="E805" s="131" t="s">
        <v>1670</v>
      </c>
      <c r="F805" s="131">
        <v>99</v>
      </c>
      <c r="G805" s="131">
        <v>63</v>
      </c>
      <c r="H805" s="132">
        <v>0.63636363636363635</v>
      </c>
    </row>
    <row r="806" spans="1:8" x14ac:dyDescent="0.25">
      <c r="A806" s="131" t="s">
        <v>725</v>
      </c>
      <c r="B806" s="131" t="s">
        <v>629</v>
      </c>
      <c r="C806" s="131" t="s">
        <v>69</v>
      </c>
      <c r="D806" s="131" t="s">
        <v>803</v>
      </c>
      <c r="E806" s="131" t="s">
        <v>1671</v>
      </c>
      <c r="F806" s="131">
        <v>29</v>
      </c>
      <c r="G806" s="131">
        <v>14</v>
      </c>
      <c r="H806" s="132">
        <v>0.48275862068965519</v>
      </c>
    </row>
    <row r="807" spans="1:8" x14ac:dyDescent="0.25">
      <c r="A807" s="131" t="s">
        <v>725</v>
      </c>
      <c r="B807" s="131" t="s">
        <v>629</v>
      </c>
      <c r="C807" s="131" t="s">
        <v>69</v>
      </c>
      <c r="D807" s="131" t="s">
        <v>813</v>
      </c>
      <c r="E807" s="131" t="s">
        <v>1672</v>
      </c>
      <c r="F807" s="131">
        <v>127</v>
      </c>
      <c r="G807" s="131">
        <v>58</v>
      </c>
      <c r="H807" s="132">
        <v>0.45669291338582679</v>
      </c>
    </row>
    <row r="808" spans="1:8" x14ac:dyDescent="0.25">
      <c r="A808" s="131" t="s">
        <v>732</v>
      </c>
      <c r="B808" s="131" t="s">
        <v>630</v>
      </c>
      <c r="C808" s="131" t="s">
        <v>68</v>
      </c>
      <c r="D808" s="131" t="s">
        <v>805</v>
      </c>
      <c r="E808" s="131" t="s">
        <v>1673</v>
      </c>
      <c r="F808" s="131">
        <v>124</v>
      </c>
      <c r="G808" s="131">
        <v>47</v>
      </c>
      <c r="H808" s="132">
        <v>0.37903225806451613</v>
      </c>
    </row>
    <row r="809" spans="1:8" x14ac:dyDescent="0.25">
      <c r="A809" s="131" t="s">
        <v>723</v>
      </c>
      <c r="B809" s="131" t="s">
        <v>631</v>
      </c>
      <c r="C809" s="131" t="s">
        <v>67</v>
      </c>
      <c r="D809" s="131" t="s">
        <v>813</v>
      </c>
      <c r="E809" s="131" t="s">
        <v>1674</v>
      </c>
      <c r="F809" s="131">
        <v>138</v>
      </c>
      <c r="G809" s="131">
        <v>78</v>
      </c>
      <c r="H809" s="132">
        <v>0.56521739130434778</v>
      </c>
    </row>
    <row r="810" spans="1:8" x14ac:dyDescent="0.25">
      <c r="A810" s="131" t="s">
        <v>728</v>
      </c>
      <c r="B810" s="131" t="s">
        <v>632</v>
      </c>
      <c r="C810" s="131" t="s">
        <v>66</v>
      </c>
      <c r="D810" s="131" t="s">
        <v>805</v>
      </c>
      <c r="E810" s="131" t="s">
        <v>1675</v>
      </c>
      <c r="F810" s="131">
        <v>33</v>
      </c>
      <c r="G810" s="131">
        <v>18</v>
      </c>
      <c r="H810" s="132">
        <v>0.54545454545454541</v>
      </c>
    </row>
    <row r="811" spans="1:8" x14ac:dyDescent="0.25">
      <c r="A811" s="131" t="s">
        <v>726</v>
      </c>
      <c r="B811" s="131" t="s">
        <v>633</v>
      </c>
      <c r="C811" s="131" t="s">
        <v>65</v>
      </c>
      <c r="D811" s="131" t="s">
        <v>821</v>
      </c>
      <c r="E811" s="131" t="s">
        <v>1676</v>
      </c>
      <c r="F811" s="131">
        <v>52</v>
      </c>
      <c r="G811" s="131">
        <v>8</v>
      </c>
      <c r="H811" s="132">
        <v>0.15384615384615385</v>
      </c>
    </row>
    <row r="812" spans="1:8" x14ac:dyDescent="0.25">
      <c r="A812" s="131" t="s">
        <v>726</v>
      </c>
      <c r="B812" s="131" t="s">
        <v>633</v>
      </c>
      <c r="C812" s="131" t="s">
        <v>65</v>
      </c>
      <c r="D812" s="131" t="s">
        <v>805</v>
      </c>
      <c r="E812" s="131" t="s">
        <v>1677</v>
      </c>
      <c r="F812" s="131">
        <v>284</v>
      </c>
      <c r="G812" s="131">
        <v>56</v>
      </c>
      <c r="H812" s="132">
        <v>0.19718309859154928</v>
      </c>
    </row>
    <row r="813" spans="1:8" x14ac:dyDescent="0.25">
      <c r="A813" s="131" t="s">
        <v>725</v>
      </c>
      <c r="B813" s="131" t="s">
        <v>674</v>
      </c>
      <c r="C813" s="131" t="s">
        <v>64</v>
      </c>
      <c r="D813" s="131" t="s">
        <v>1128</v>
      </c>
      <c r="E813" s="131" t="s">
        <v>1678</v>
      </c>
      <c r="F813" s="131">
        <v>80</v>
      </c>
      <c r="G813" s="131">
        <v>21</v>
      </c>
      <c r="H813" s="132">
        <v>0.26250000000000001</v>
      </c>
    </row>
    <row r="814" spans="1:8" x14ac:dyDescent="0.25">
      <c r="A814" s="131" t="s">
        <v>725</v>
      </c>
      <c r="B814" s="131" t="s">
        <v>674</v>
      </c>
      <c r="C814" s="131" t="s">
        <v>64</v>
      </c>
      <c r="D814" s="131" t="s">
        <v>805</v>
      </c>
      <c r="E814" s="131" t="s">
        <v>1679</v>
      </c>
      <c r="F814" s="131">
        <v>201</v>
      </c>
      <c r="G814" s="131">
        <v>59</v>
      </c>
      <c r="H814" s="132">
        <v>0.29353233830845771</v>
      </c>
    </row>
    <row r="815" spans="1:8" x14ac:dyDescent="0.25">
      <c r="A815" s="131" t="s">
        <v>725</v>
      </c>
      <c r="B815" s="131" t="s">
        <v>674</v>
      </c>
      <c r="C815" s="131" t="s">
        <v>64</v>
      </c>
      <c r="D815" s="131" t="s">
        <v>813</v>
      </c>
      <c r="E815" s="131" t="s">
        <v>1680</v>
      </c>
      <c r="F815" s="131">
        <v>116</v>
      </c>
      <c r="G815" s="131">
        <v>35</v>
      </c>
      <c r="H815" s="132">
        <v>0.30172413793103448</v>
      </c>
    </row>
    <row r="816" spans="1:8" x14ac:dyDescent="0.25">
      <c r="A816" s="131" t="s">
        <v>723</v>
      </c>
      <c r="B816" s="131" t="s">
        <v>634</v>
      </c>
      <c r="C816" s="131" t="s">
        <v>63</v>
      </c>
      <c r="D816" s="131" t="s">
        <v>813</v>
      </c>
      <c r="E816" s="131" t="s">
        <v>1681</v>
      </c>
      <c r="F816" s="131">
        <v>168</v>
      </c>
      <c r="G816" s="131">
        <v>46</v>
      </c>
      <c r="H816" s="132">
        <v>0.27380952380952384</v>
      </c>
    </row>
    <row r="817" spans="1:8" x14ac:dyDescent="0.25">
      <c r="A817" s="131" t="s">
        <v>723</v>
      </c>
      <c r="B817" s="131" t="s">
        <v>634</v>
      </c>
      <c r="C817" s="131" t="s">
        <v>63</v>
      </c>
      <c r="D817" s="131" t="s">
        <v>819</v>
      </c>
      <c r="E817" s="131" t="s">
        <v>1682</v>
      </c>
      <c r="F817" s="131">
        <v>54</v>
      </c>
      <c r="G817" s="131">
        <v>11</v>
      </c>
      <c r="H817" s="132">
        <v>0.20370370370370369</v>
      </c>
    </row>
    <row r="818" spans="1:8" x14ac:dyDescent="0.25">
      <c r="A818" s="131" t="s">
        <v>723</v>
      </c>
      <c r="B818" s="131" t="s">
        <v>635</v>
      </c>
      <c r="C818" s="131" t="s">
        <v>62</v>
      </c>
      <c r="D818" s="131" t="s">
        <v>821</v>
      </c>
      <c r="E818" s="131" t="s">
        <v>1683</v>
      </c>
      <c r="F818" s="131">
        <v>338</v>
      </c>
      <c r="G818" s="131">
        <v>125</v>
      </c>
      <c r="H818" s="132">
        <v>0.36982248520710059</v>
      </c>
    </row>
    <row r="819" spans="1:8" x14ac:dyDescent="0.25">
      <c r="A819" s="131" t="s">
        <v>723</v>
      </c>
      <c r="B819" s="131" t="s">
        <v>635</v>
      </c>
      <c r="C819" s="131" t="s">
        <v>62</v>
      </c>
      <c r="D819" s="131" t="s">
        <v>813</v>
      </c>
      <c r="E819" s="131" t="s">
        <v>1684</v>
      </c>
      <c r="F819" s="131">
        <v>317</v>
      </c>
      <c r="G819" s="131">
        <v>174</v>
      </c>
      <c r="H819" s="132">
        <v>0.54889589905362779</v>
      </c>
    </row>
    <row r="820" spans="1:8" x14ac:dyDescent="0.25">
      <c r="A820" s="131" t="s">
        <v>723</v>
      </c>
      <c r="B820" s="131" t="s">
        <v>635</v>
      </c>
      <c r="C820" s="131" t="s">
        <v>62</v>
      </c>
      <c r="D820" s="131" t="s">
        <v>819</v>
      </c>
      <c r="E820" s="131" t="s">
        <v>1685</v>
      </c>
      <c r="F820" s="131">
        <v>316</v>
      </c>
      <c r="G820" s="131">
        <v>145</v>
      </c>
      <c r="H820" s="132">
        <v>0.45886075949367089</v>
      </c>
    </row>
    <row r="821" spans="1:8" x14ac:dyDescent="0.25">
      <c r="A821" s="131" t="s">
        <v>723</v>
      </c>
      <c r="B821" s="131" t="s">
        <v>635</v>
      </c>
      <c r="C821" s="131" t="s">
        <v>62</v>
      </c>
      <c r="D821" s="131" t="s">
        <v>363</v>
      </c>
      <c r="E821" s="131" t="s">
        <v>1686</v>
      </c>
      <c r="F821" s="131">
        <v>220</v>
      </c>
      <c r="G821" s="131">
        <v>92</v>
      </c>
      <c r="H821" s="132">
        <v>0.41818181818181815</v>
      </c>
    </row>
    <row r="822" spans="1:8" x14ac:dyDescent="0.25">
      <c r="A822" s="131" t="s">
        <v>723</v>
      </c>
      <c r="B822" s="131" t="s">
        <v>635</v>
      </c>
      <c r="C822" s="131" t="s">
        <v>62</v>
      </c>
      <c r="D822" s="131" t="s">
        <v>863</v>
      </c>
      <c r="E822" s="131" t="s">
        <v>1687</v>
      </c>
      <c r="F822" s="131">
        <v>237</v>
      </c>
      <c r="G822" s="131">
        <v>75</v>
      </c>
      <c r="H822" s="132">
        <v>0.31645569620253167</v>
      </c>
    </row>
    <row r="823" spans="1:8" x14ac:dyDescent="0.25">
      <c r="A823" s="131" t="s">
        <v>723</v>
      </c>
      <c r="B823" s="131" t="s">
        <v>635</v>
      </c>
      <c r="C823" s="131" t="s">
        <v>62</v>
      </c>
      <c r="D823" s="131" t="s">
        <v>1022</v>
      </c>
      <c r="E823" s="131" t="s">
        <v>1688</v>
      </c>
      <c r="F823" s="131">
        <v>315</v>
      </c>
      <c r="G823" s="131">
        <v>48</v>
      </c>
      <c r="H823" s="132">
        <v>0.15238095238095239</v>
      </c>
    </row>
    <row r="824" spans="1:8" x14ac:dyDescent="0.25">
      <c r="A824" s="131" t="s">
        <v>729</v>
      </c>
      <c r="B824" s="131" t="s">
        <v>636</v>
      </c>
      <c r="C824" s="131" t="s">
        <v>743</v>
      </c>
      <c r="D824" s="131" t="s">
        <v>813</v>
      </c>
      <c r="E824" s="131" t="s">
        <v>1689</v>
      </c>
      <c r="F824" s="131">
        <v>256</v>
      </c>
      <c r="G824" s="131">
        <v>119</v>
      </c>
      <c r="H824" s="132">
        <v>0.46484375</v>
      </c>
    </row>
    <row r="825" spans="1:8" x14ac:dyDescent="0.25">
      <c r="A825" s="131" t="s">
        <v>729</v>
      </c>
      <c r="B825" s="131" t="s">
        <v>636</v>
      </c>
      <c r="C825" s="131" t="s">
        <v>743</v>
      </c>
      <c r="D825" s="131" t="s">
        <v>819</v>
      </c>
      <c r="E825" s="131" t="s">
        <v>1690</v>
      </c>
      <c r="F825" s="131">
        <v>108</v>
      </c>
      <c r="G825" s="131">
        <v>78</v>
      </c>
      <c r="H825" s="132">
        <v>0.72222222222222221</v>
      </c>
    </row>
    <row r="826" spans="1:8" x14ac:dyDescent="0.25">
      <c r="A826" s="131" t="s">
        <v>723</v>
      </c>
      <c r="B826" s="131" t="s">
        <v>637</v>
      </c>
      <c r="C826" s="131" t="s">
        <v>61</v>
      </c>
      <c r="D826" s="131" t="s">
        <v>959</v>
      </c>
      <c r="E826" s="131" t="s">
        <v>1691</v>
      </c>
      <c r="F826" s="131">
        <v>61</v>
      </c>
      <c r="G826" s="131">
        <v>7</v>
      </c>
      <c r="H826" s="132">
        <v>0.11475409836065574</v>
      </c>
    </row>
    <row r="827" spans="1:8" x14ac:dyDescent="0.25">
      <c r="A827" s="131" t="s">
        <v>723</v>
      </c>
      <c r="B827" s="131" t="s">
        <v>637</v>
      </c>
      <c r="C827" s="131" t="s">
        <v>61</v>
      </c>
      <c r="D827" s="131" t="s">
        <v>805</v>
      </c>
      <c r="E827" s="131" t="s">
        <v>1692</v>
      </c>
      <c r="F827" s="131">
        <v>355</v>
      </c>
      <c r="G827" s="131">
        <v>40</v>
      </c>
      <c r="H827" s="132">
        <v>0.11267605633802817</v>
      </c>
    </row>
    <row r="828" spans="1:8" x14ac:dyDescent="0.25">
      <c r="A828" s="131" t="s">
        <v>726</v>
      </c>
      <c r="B828" s="131" t="s">
        <v>638</v>
      </c>
      <c r="C828" s="131" t="s">
        <v>60</v>
      </c>
      <c r="D828" s="131" t="s">
        <v>828</v>
      </c>
      <c r="E828" s="131" t="s">
        <v>1693</v>
      </c>
      <c r="F828" s="131">
        <v>53</v>
      </c>
      <c r="G828" s="131">
        <v>27</v>
      </c>
      <c r="H828" s="132">
        <v>0.50943396226415094</v>
      </c>
    </row>
    <row r="829" spans="1:8" x14ac:dyDescent="0.25">
      <c r="A829" s="131" t="s">
        <v>726</v>
      </c>
      <c r="B829" s="131" t="s">
        <v>638</v>
      </c>
      <c r="C829" s="131" t="s">
        <v>60</v>
      </c>
      <c r="D829" s="131" t="s">
        <v>805</v>
      </c>
      <c r="E829" s="131" t="s">
        <v>1694</v>
      </c>
      <c r="F829" s="131">
        <v>93</v>
      </c>
      <c r="G829" s="131">
        <v>57</v>
      </c>
      <c r="H829" s="132">
        <v>0.61290322580645162</v>
      </c>
    </row>
    <row r="830" spans="1:8" x14ac:dyDescent="0.25">
      <c r="A830" s="131" t="s">
        <v>730</v>
      </c>
      <c r="B830" s="131" t="s">
        <v>639</v>
      </c>
      <c r="C830" s="131" t="s">
        <v>59</v>
      </c>
      <c r="D830" s="131" t="s">
        <v>821</v>
      </c>
      <c r="E830" s="131" t="s">
        <v>1695</v>
      </c>
      <c r="F830" s="131">
        <v>103</v>
      </c>
      <c r="G830" s="131">
        <v>47</v>
      </c>
      <c r="H830" s="132">
        <v>0.4563106796116505</v>
      </c>
    </row>
    <row r="831" spans="1:8" x14ac:dyDescent="0.25">
      <c r="A831" s="131" t="s">
        <v>730</v>
      </c>
      <c r="B831" s="131" t="s">
        <v>639</v>
      </c>
      <c r="C831" s="131" t="s">
        <v>59</v>
      </c>
      <c r="D831" s="131" t="s">
        <v>805</v>
      </c>
      <c r="E831" s="131" t="s">
        <v>1696</v>
      </c>
      <c r="F831" s="131">
        <v>323</v>
      </c>
      <c r="G831" s="131">
        <v>147</v>
      </c>
      <c r="H831" s="132">
        <v>0.45510835913312692</v>
      </c>
    </row>
    <row r="832" spans="1:8" x14ac:dyDescent="0.25">
      <c r="A832" s="131" t="s">
        <v>730</v>
      </c>
      <c r="B832" s="131" t="s">
        <v>639</v>
      </c>
      <c r="C832" s="131" t="s">
        <v>59</v>
      </c>
      <c r="D832" s="131" t="s">
        <v>1110</v>
      </c>
      <c r="E832" s="131" t="s">
        <v>1697</v>
      </c>
      <c r="F832" s="131">
        <v>206</v>
      </c>
      <c r="G832" s="131">
        <v>98</v>
      </c>
      <c r="H832" s="132">
        <v>0.47572815533980584</v>
      </c>
    </row>
    <row r="833" spans="1:8" x14ac:dyDescent="0.25">
      <c r="A833" s="131" t="s">
        <v>729</v>
      </c>
      <c r="B833" s="131" t="s">
        <v>640</v>
      </c>
      <c r="C833" s="131" t="s">
        <v>58</v>
      </c>
      <c r="D833" s="131" t="s">
        <v>805</v>
      </c>
      <c r="E833" s="131" t="s">
        <v>1698</v>
      </c>
      <c r="F833" s="131">
        <v>219</v>
      </c>
      <c r="G833" s="131">
        <v>104</v>
      </c>
      <c r="H833" s="132">
        <v>0.47488584474885842</v>
      </c>
    </row>
    <row r="834" spans="1:8" x14ac:dyDescent="0.25">
      <c r="A834" s="131" t="s">
        <v>728</v>
      </c>
      <c r="B834" s="131" t="s">
        <v>641</v>
      </c>
      <c r="C834" s="131" t="s">
        <v>57</v>
      </c>
      <c r="D834" s="131" t="s">
        <v>828</v>
      </c>
      <c r="E834" s="131" t="s">
        <v>1699</v>
      </c>
      <c r="F834" s="131">
        <v>138</v>
      </c>
      <c r="G834" s="131">
        <v>82</v>
      </c>
      <c r="H834" s="132">
        <v>0.59420289855072461</v>
      </c>
    </row>
    <row r="835" spans="1:8" x14ac:dyDescent="0.25">
      <c r="A835" s="131" t="s">
        <v>728</v>
      </c>
      <c r="B835" s="131" t="s">
        <v>641</v>
      </c>
      <c r="C835" s="131" t="s">
        <v>57</v>
      </c>
      <c r="D835" s="131" t="s">
        <v>805</v>
      </c>
      <c r="E835" s="131" t="s">
        <v>1700</v>
      </c>
      <c r="F835" s="131">
        <v>96</v>
      </c>
      <c r="G835" s="131">
        <v>42</v>
      </c>
      <c r="H835" s="132">
        <v>0.4375</v>
      </c>
    </row>
    <row r="836" spans="1:8" x14ac:dyDescent="0.25">
      <c r="A836" s="131" t="s">
        <v>728</v>
      </c>
      <c r="B836" s="131" t="s">
        <v>641</v>
      </c>
      <c r="C836" s="131" t="s">
        <v>57</v>
      </c>
      <c r="D836" s="131" t="s">
        <v>819</v>
      </c>
      <c r="E836" s="131" t="s">
        <v>1701</v>
      </c>
      <c r="F836" s="131">
        <v>114</v>
      </c>
      <c r="G836" s="131">
        <v>61</v>
      </c>
      <c r="H836" s="132">
        <v>0.53508771929824561</v>
      </c>
    </row>
    <row r="837" spans="1:8" x14ac:dyDescent="0.25">
      <c r="A837" s="131" t="s">
        <v>729</v>
      </c>
      <c r="B837" s="131" t="s">
        <v>642</v>
      </c>
      <c r="C837" s="131" t="s">
        <v>56</v>
      </c>
      <c r="D837" s="131" t="s">
        <v>821</v>
      </c>
      <c r="E837" s="131" t="s">
        <v>1702</v>
      </c>
      <c r="F837" s="131">
        <v>43</v>
      </c>
      <c r="G837" s="131">
        <v>33</v>
      </c>
      <c r="H837" s="132">
        <v>0.76744186046511631</v>
      </c>
    </row>
    <row r="838" spans="1:8" x14ac:dyDescent="0.25">
      <c r="A838" s="131" t="s">
        <v>729</v>
      </c>
      <c r="B838" s="131" t="s">
        <v>642</v>
      </c>
      <c r="C838" s="131" t="s">
        <v>56</v>
      </c>
      <c r="D838" s="131" t="s">
        <v>813</v>
      </c>
      <c r="E838" s="131" t="s">
        <v>1703</v>
      </c>
      <c r="F838" s="131">
        <v>168</v>
      </c>
      <c r="G838" s="131">
        <v>98</v>
      </c>
      <c r="H838" s="132">
        <v>0.58333333333333337</v>
      </c>
    </row>
    <row r="839" spans="1:8" x14ac:dyDescent="0.25">
      <c r="A839" s="131" t="s">
        <v>725</v>
      </c>
      <c r="B839" s="131" t="s">
        <v>643</v>
      </c>
      <c r="C839" s="131" t="s">
        <v>55</v>
      </c>
      <c r="D839" s="131" t="s">
        <v>805</v>
      </c>
      <c r="E839" s="131" t="s">
        <v>1704</v>
      </c>
      <c r="F839" s="131">
        <v>158</v>
      </c>
      <c r="G839" s="131">
        <v>28</v>
      </c>
      <c r="H839" s="132">
        <v>0.17721518987341772</v>
      </c>
    </row>
    <row r="840" spans="1:8" x14ac:dyDescent="0.25">
      <c r="A840" s="131" t="s">
        <v>725</v>
      </c>
      <c r="B840" s="131" t="s">
        <v>643</v>
      </c>
      <c r="C840" s="131" t="s">
        <v>55</v>
      </c>
      <c r="D840" s="131" t="s">
        <v>819</v>
      </c>
      <c r="E840" s="131" t="s">
        <v>1705</v>
      </c>
      <c r="F840" s="131">
        <v>113</v>
      </c>
      <c r="G840" s="131">
        <v>30</v>
      </c>
      <c r="H840" s="132">
        <v>0.26548672566371684</v>
      </c>
    </row>
    <row r="841" spans="1:8" x14ac:dyDescent="0.25">
      <c r="A841" s="131" t="s">
        <v>725</v>
      </c>
      <c r="B841" s="131" t="s">
        <v>643</v>
      </c>
      <c r="C841" s="131" t="s">
        <v>55</v>
      </c>
      <c r="D841" s="131" t="s">
        <v>807</v>
      </c>
      <c r="E841" s="131" t="s">
        <v>1706</v>
      </c>
      <c r="F841" s="131">
        <v>18</v>
      </c>
      <c r="G841" s="131">
        <v>0</v>
      </c>
      <c r="H841" s="132">
        <v>0</v>
      </c>
    </row>
    <row r="842" spans="1:8" x14ac:dyDescent="0.25">
      <c r="A842" s="131" t="s">
        <v>725</v>
      </c>
      <c r="B842" s="131" t="s">
        <v>643</v>
      </c>
      <c r="C842" s="131" t="s">
        <v>55</v>
      </c>
      <c r="D842" s="131" t="s">
        <v>859</v>
      </c>
      <c r="E842" s="131" t="s">
        <v>1707</v>
      </c>
      <c r="F842" s="131">
        <v>19</v>
      </c>
      <c r="G842" s="131">
        <v>0</v>
      </c>
      <c r="H842" s="132">
        <v>0</v>
      </c>
    </row>
    <row r="843" spans="1:8" x14ac:dyDescent="0.25">
      <c r="A843" s="131" t="s">
        <v>725</v>
      </c>
      <c r="B843" s="131" t="s">
        <v>643</v>
      </c>
      <c r="C843" s="131" t="s">
        <v>55</v>
      </c>
      <c r="D843" s="131" t="s">
        <v>840</v>
      </c>
      <c r="E843" s="131" t="s">
        <v>1708</v>
      </c>
      <c r="F843" s="131">
        <v>14</v>
      </c>
      <c r="G843" s="131">
        <v>0</v>
      </c>
      <c r="H843" s="132">
        <v>0</v>
      </c>
    </row>
    <row r="844" spans="1:8" x14ac:dyDescent="0.25">
      <c r="A844" s="131" t="s">
        <v>725</v>
      </c>
      <c r="B844" s="131" t="s">
        <v>643</v>
      </c>
      <c r="C844" s="131" t="s">
        <v>55</v>
      </c>
      <c r="D844" s="131" t="s">
        <v>952</v>
      </c>
      <c r="E844" s="131" t="s">
        <v>1709</v>
      </c>
      <c r="F844" s="131">
        <v>16</v>
      </c>
      <c r="G844" s="131">
        <v>0</v>
      </c>
      <c r="H844" s="132">
        <v>0</v>
      </c>
    </row>
    <row r="845" spans="1:8" x14ac:dyDescent="0.25">
      <c r="A845" s="131" t="s">
        <v>730</v>
      </c>
      <c r="B845" s="131" t="s">
        <v>644</v>
      </c>
      <c r="C845" s="131" t="s">
        <v>54</v>
      </c>
      <c r="D845" s="131" t="s">
        <v>821</v>
      </c>
      <c r="E845" s="131" t="s">
        <v>1710</v>
      </c>
      <c r="F845" s="131">
        <v>130</v>
      </c>
      <c r="G845" s="131">
        <v>63</v>
      </c>
      <c r="H845" s="132">
        <v>0.48461538461538461</v>
      </c>
    </row>
    <row r="846" spans="1:8" x14ac:dyDescent="0.25">
      <c r="A846" s="131" t="s">
        <v>730</v>
      </c>
      <c r="B846" s="131" t="s">
        <v>644</v>
      </c>
      <c r="C846" s="131" t="s">
        <v>54</v>
      </c>
      <c r="D846" s="131" t="s">
        <v>805</v>
      </c>
      <c r="E846" s="131" t="s">
        <v>1711</v>
      </c>
      <c r="F846" s="131">
        <v>334</v>
      </c>
      <c r="G846" s="131">
        <v>183</v>
      </c>
      <c r="H846" s="132">
        <v>0.54790419161676651</v>
      </c>
    </row>
    <row r="847" spans="1:8" x14ac:dyDescent="0.25">
      <c r="A847" s="131" t="s">
        <v>730</v>
      </c>
      <c r="B847" s="131" t="s">
        <v>644</v>
      </c>
      <c r="C847" s="131" t="s">
        <v>54</v>
      </c>
      <c r="D847" s="131" t="s">
        <v>813</v>
      </c>
      <c r="E847" s="131" t="s">
        <v>1712</v>
      </c>
      <c r="F847" s="131">
        <v>218</v>
      </c>
      <c r="G847" s="131">
        <v>118</v>
      </c>
      <c r="H847" s="132">
        <v>0.54128440366972475</v>
      </c>
    </row>
    <row r="848" spans="1:8" x14ac:dyDescent="0.25">
      <c r="A848" s="131" t="s">
        <v>725</v>
      </c>
      <c r="B848" s="131" t="s">
        <v>645</v>
      </c>
      <c r="C848" s="131" t="s">
        <v>53</v>
      </c>
      <c r="D848" s="131" t="s">
        <v>1713</v>
      </c>
      <c r="E848" s="131" t="s">
        <v>1714</v>
      </c>
      <c r="F848" s="131">
        <v>2</v>
      </c>
      <c r="G848" s="131">
        <v>2</v>
      </c>
      <c r="H848" s="132">
        <v>1</v>
      </c>
    </row>
    <row r="849" spans="1:8" x14ac:dyDescent="0.25">
      <c r="A849" s="131" t="s">
        <v>725</v>
      </c>
      <c r="B849" s="131" t="s">
        <v>645</v>
      </c>
      <c r="C849" s="131" t="s">
        <v>53</v>
      </c>
      <c r="D849" s="131" t="s">
        <v>1715</v>
      </c>
      <c r="E849" s="131" t="s">
        <v>1716</v>
      </c>
      <c r="F849" s="131">
        <v>174</v>
      </c>
      <c r="G849" s="131">
        <v>125</v>
      </c>
      <c r="H849" s="132">
        <v>0.7183908045977011</v>
      </c>
    </row>
    <row r="850" spans="1:8" x14ac:dyDescent="0.25">
      <c r="A850" s="131" t="s">
        <v>725</v>
      </c>
      <c r="B850" s="131" t="s">
        <v>645</v>
      </c>
      <c r="C850" s="131" t="s">
        <v>53</v>
      </c>
      <c r="D850" s="131" t="s">
        <v>1717</v>
      </c>
      <c r="E850" s="131" t="s">
        <v>1718</v>
      </c>
      <c r="F850" s="131">
        <v>178</v>
      </c>
      <c r="G850" s="131">
        <v>150</v>
      </c>
      <c r="H850" s="132">
        <v>0.84269662921348309</v>
      </c>
    </row>
    <row r="851" spans="1:8" x14ac:dyDescent="0.25">
      <c r="A851" s="131" t="s">
        <v>725</v>
      </c>
      <c r="B851" s="131" t="s">
        <v>645</v>
      </c>
      <c r="C851" s="131" t="s">
        <v>53</v>
      </c>
      <c r="D851" s="131" t="s">
        <v>1719</v>
      </c>
      <c r="E851" s="131" t="s">
        <v>1720</v>
      </c>
      <c r="F851" s="131">
        <v>287</v>
      </c>
      <c r="G851" s="131">
        <v>160</v>
      </c>
      <c r="H851" s="132">
        <v>0.55749128919860624</v>
      </c>
    </row>
    <row r="852" spans="1:8" x14ac:dyDescent="0.25">
      <c r="A852" s="131" t="s">
        <v>725</v>
      </c>
      <c r="B852" s="131" t="s">
        <v>645</v>
      </c>
      <c r="C852" s="131" t="s">
        <v>53</v>
      </c>
      <c r="D852" s="131" t="s">
        <v>828</v>
      </c>
      <c r="E852" s="131" t="s">
        <v>1721</v>
      </c>
      <c r="F852" s="131">
        <v>180</v>
      </c>
      <c r="G852" s="131">
        <v>160</v>
      </c>
      <c r="H852" s="132">
        <v>0.88888888888888884</v>
      </c>
    </row>
    <row r="853" spans="1:8" x14ac:dyDescent="0.25">
      <c r="A853" s="131" t="s">
        <v>725</v>
      </c>
      <c r="B853" s="131" t="s">
        <v>645</v>
      </c>
      <c r="C853" s="131" t="s">
        <v>53</v>
      </c>
      <c r="D853" s="131" t="s">
        <v>819</v>
      </c>
      <c r="E853" s="131" t="s">
        <v>1722</v>
      </c>
      <c r="F853" s="131">
        <v>314</v>
      </c>
      <c r="G853" s="131">
        <v>186</v>
      </c>
      <c r="H853" s="132">
        <v>0.59235668789808915</v>
      </c>
    </row>
    <row r="854" spans="1:8" x14ac:dyDescent="0.25">
      <c r="A854" s="131" t="s">
        <v>725</v>
      </c>
      <c r="B854" s="131" t="s">
        <v>645</v>
      </c>
      <c r="C854" s="131" t="s">
        <v>53</v>
      </c>
      <c r="D854" s="131" t="s">
        <v>807</v>
      </c>
      <c r="E854" s="131" t="s">
        <v>1723</v>
      </c>
      <c r="F854" s="131">
        <v>360</v>
      </c>
      <c r="G854" s="131">
        <v>256</v>
      </c>
      <c r="H854" s="132">
        <v>0.71111111111111114</v>
      </c>
    </row>
    <row r="855" spans="1:8" x14ac:dyDescent="0.25">
      <c r="A855" s="131" t="s">
        <v>725</v>
      </c>
      <c r="B855" s="131" t="s">
        <v>645</v>
      </c>
      <c r="C855" s="131" t="s">
        <v>53</v>
      </c>
      <c r="D855" s="131" t="s">
        <v>952</v>
      </c>
      <c r="E855" s="131" t="s">
        <v>1724</v>
      </c>
      <c r="F855" s="131">
        <v>287</v>
      </c>
      <c r="G855" s="131">
        <v>264</v>
      </c>
      <c r="H855" s="132">
        <v>0.91986062717770034</v>
      </c>
    </row>
    <row r="856" spans="1:8" x14ac:dyDescent="0.25">
      <c r="A856" s="131" t="s">
        <v>725</v>
      </c>
      <c r="B856" s="131" t="s">
        <v>645</v>
      </c>
      <c r="C856" s="131" t="s">
        <v>53</v>
      </c>
      <c r="D856" s="131" t="s">
        <v>927</v>
      </c>
      <c r="E856" s="131" t="s">
        <v>1212</v>
      </c>
      <c r="F856" s="131">
        <v>392</v>
      </c>
      <c r="G856" s="131">
        <v>354</v>
      </c>
      <c r="H856" s="132">
        <v>0.90306122448979587</v>
      </c>
    </row>
    <row r="857" spans="1:8" x14ac:dyDescent="0.25">
      <c r="A857" s="131" t="s">
        <v>725</v>
      </c>
      <c r="B857" s="131" t="s">
        <v>645</v>
      </c>
      <c r="C857" s="131" t="s">
        <v>53</v>
      </c>
      <c r="D857" s="131" t="s">
        <v>1076</v>
      </c>
      <c r="E857" s="131" t="s">
        <v>1382</v>
      </c>
      <c r="F857" s="131">
        <v>295</v>
      </c>
      <c r="G857" s="131">
        <v>131</v>
      </c>
      <c r="H857" s="132">
        <v>0.44406779661016949</v>
      </c>
    </row>
    <row r="858" spans="1:8" x14ac:dyDescent="0.25">
      <c r="A858" s="131" t="s">
        <v>725</v>
      </c>
      <c r="B858" s="131" t="s">
        <v>645</v>
      </c>
      <c r="C858" s="131" t="s">
        <v>53</v>
      </c>
      <c r="D858" s="131" t="s">
        <v>1103</v>
      </c>
      <c r="E858" s="131" t="s">
        <v>1725</v>
      </c>
      <c r="F858" s="131">
        <v>467</v>
      </c>
      <c r="G858" s="131">
        <v>342</v>
      </c>
      <c r="H858" s="132">
        <v>0.73233404710920769</v>
      </c>
    </row>
    <row r="859" spans="1:8" x14ac:dyDescent="0.25">
      <c r="A859" s="131" t="s">
        <v>725</v>
      </c>
      <c r="B859" s="131" t="s">
        <v>645</v>
      </c>
      <c r="C859" s="131" t="s">
        <v>53</v>
      </c>
      <c r="D859" s="131" t="s">
        <v>1105</v>
      </c>
      <c r="E859" s="131" t="s">
        <v>915</v>
      </c>
      <c r="F859" s="131">
        <v>369</v>
      </c>
      <c r="G859" s="131">
        <v>327</v>
      </c>
      <c r="H859" s="132">
        <v>0.88617886178861793</v>
      </c>
    </row>
    <row r="860" spans="1:8" x14ac:dyDescent="0.25">
      <c r="A860" s="131" t="s">
        <v>725</v>
      </c>
      <c r="B860" s="131" t="s">
        <v>645</v>
      </c>
      <c r="C860" s="131" t="s">
        <v>53</v>
      </c>
      <c r="D860" s="131" t="s">
        <v>1726</v>
      </c>
      <c r="E860" s="131" t="s">
        <v>1727</v>
      </c>
      <c r="F860" s="131">
        <v>421</v>
      </c>
      <c r="G860" s="131">
        <v>280</v>
      </c>
      <c r="H860" s="132">
        <v>0.66508313539192399</v>
      </c>
    </row>
    <row r="861" spans="1:8" x14ac:dyDescent="0.25">
      <c r="A861" s="131" t="s">
        <v>725</v>
      </c>
      <c r="B861" s="131" t="s">
        <v>645</v>
      </c>
      <c r="C861" s="131" t="s">
        <v>53</v>
      </c>
      <c r="D861" s="131" t="s">
        <v>1077</v>
      </c>
      <c r="E861" s="131" t="s">
        <v>1728</v>
      </c>
      <c r="F861" s="131">
        <v>265</v>
      </c>
      <c r="G861" s="131">
        <v>233</v>
      </c>
      <c r="H861" s="132">
        <v>0.87924528301886795</v>
      </c>
    </row>
    <row r="862" spans="1:8" x14ac:dyDescent="0.25">
      <c r="A862" s="131" t="s">
        <v>725</v>
      </c>
      <c r="B862" s="131" t="s">
        <v>645</v>
      </c>
      <c r="C862" s="131" t="s">
        <v>53</v>
      </c>
      <c r="D862" s="131" t="s">
        <v>1729</v>
      </c>
      <c r="E862" s="131" t="s">
        <v>1315</v>
      </c>
      <c r="F862" s="131">
        <v>449</v>
      </c>
      <c r="G862" s="131">
        <v>404</v>
      </c>
      <c r="H862" s="132">
        <v>0.89977728285077951</v>
      </c>
    </row>
    <row r="863" spans="1:8" x14ac:dyDescent="0.25">
      <c r="A863" s="131" t="s">
        <v>725</v>
      </c>
      <c r="B863" s="131" t="s">
        <v>645</v>
      </c>
      <c r="C863" s="131" t="s">
        <v>53</v>
      </c>
      <c r="D863" s="131" t="s">
        <v>1730</v>
      </c>
      <c r="E863" s="131" t="s">
        <v>1731</v>
      </c>
      <c r="F863" s="131">
        <v>425</v>
      </c>
      <c r="G863" s="131">
        <v>204</v>
      </c>
      <c r="H863" s="132">
        <v>0.48</v>
      </c>
    </row>
    <row r="864" spans="1:8" x14ac:dyDescent="0.25">
      <c r="A864" s="131" t="s">
        <v>723</v>
      </c>
      <c r="B864" s="131" t="s">
        <v>646</v>
      </c>
      <c r="C864" s="131" t="s">
        <v>52</v>
      </c>
      <c r="D864" s="131" t="s">
        <v>828</v>
      </c>
      <c r="E864" s="131" t="s">
        <v>1732</v>
      </c>
      <c r="F864" s="131">
        <v>414</v>
      </c>
      <c r="G864" s="131">
        <v>100</v>
      </c>
      <c r="H864" s="132">
        <v>0.24154589371980675</v>
      </c>
    </row>
    <row r="865" spans="1:8" x14ac:dyDescent="0.25">
      <c r="A865" s="131" t="s">
        <v>723</v>
      </c>
      <c r="B865" s="131" t="s">
        <v>646</v>
      </c>
      <c r="C865" s="131" t="s">
        <v>52</v>
      </c>
      <c r="D865" s="131" t="s">
        <v>805</v>
      </c>
      <c r="E865" s="131" t="s">
        <v>1733</v>
      </c>
      <c r="F865" s="131">
        <v>584</v>
      </c>
      <c r="G865" s="131">
        <v>83</v>
      </c>
      <c r="H865" s="132">
        <v>0.14212328767123289</v>
      </c>
    </row>
    <row r="866" spans="1:8" x14ac:dyDescent="0.25">
      <c r="A866" s="131" t="s">
        <v>723</v>
      </c>
      <c r="B866" s="131" t="s">
        <v>646</v>
      </c>
      <c r="C866" s="131" t="s">
        <v>52</v>
      </c>
      <c r="D866" s="131" t="s">
        <v>813</v>
      </c>
      <c r="E866" s="131" t="s">
        <v>1734</v>
      </c>
      <c r="F866" s="131">
        <v>481</v>
      </c>
      <c r="G866" s="131">
        <v>53</v>
      </c>
      <c r="H866" s="132">
        <v>0.11018711018711019</v>
      </c>
    </row>
    <row r="867" spans="1:8" x14ac:dyDescent="0.25">
      <c r="A867" s="131" t="s">
        <v>723</v>
      </c>
      <c r="B867" s="131" t="s">
        <v>646</v>
      </c>
      <c r="C867" s="131" t="s">
        <v>52</v>
      </c>
      <c r="D867" s="131" t="s">
        <v>1110</v>
      </c>
      <c r="E867" s="131" t="s">
        <v>1735</v>
      </c>
      <c r="F867" s="131">
        <v>520</v>
      </c>
      <c r="G867" s="131">
        <v>100</v>
      </c>
      <c r="H867" s="132">
        <v>0.19230769230769232</v>
      </c>
    </row>
    <row r="868" spans="1:8" x14ac:dyDescent="0.25">
      <c r="A868" s="131" t="s">
        <v>723</v>
      </c>
      <c r="B868" s="131" t="s">
        <v>646</v>
      </c>
      <c r="C868" s="131" t="s">
        <v>52</v>
      </c>
      <c r="D868" s="131" t="s">
        <v>819</v>
      </c>
      <c r="E868" s="131" t="s">
        <v>1736</v>
      </c>
      <c r="F868" s="131">
        <v>480</v>
      </c>
      <c r="G868" s="131">
        <v>85</v>
      </c>
      <c r="H868" s="132">
        <v>0.17708333333333334</v>
      </c>
    </row>
    <row r="869" spans="1:8" x14ac:dyDescent="0.25">
      <c r="A869" s="131" t="s">
        <v>723</v>
      </c>
      <c r="B869" s="131" t="s">
        <v>646</v>
      </c>
      <c r="C869" s="131" t="s">
        <v>52</v>
      </c>
      <c r="D869" s="131" t="s">
        <v>807</v>
      </c>
      <c r="E869" s="131" t="s">
        <v>1737</v>
      </c>
      <c r="F869" s="131">
        <v>556</v>
      </c>
      <c r="G869" s="131">
        <v>23</v>
      </c>
      <c r="H869" s="132">
        <v>4.1366906474820143E-2</v>
      </c>
    </row>
    <row r="870" spans="1:8" x14ac:dyDescent="0.25">
      <c r="A870" s="131" t="s">
        <v>723</v>
      </c>
      <c r="B870" s="131" t="s">
        <v>646</v>
      </c>
      <c r="C870" s="131" t="s">
        <v>52</v>
      </c>
      <c r="D870" s="131" t="s">
        <v>1053</v>
      </c>
      <c r="E870" s="131" t="s">
        <v>1738</v>
      </c>
      <c r="F870" s="131">
        <v>564</v>
      </c>
      <c r="G870" s="131">
        <v>150</v>
      </c>
      <c r="H870" s="132">
        <v>0.26595744680851063</v>
      </c>
    </row>
    <row r="871" spans="1:8" x14ac:dyDescent="0.25">
      <c r="A871" s="131" t="s">
        <v>723</v>
      </c>
      <c r="B871" s="131" t="s">
        <v>646</v>
      </c>
      <c r="C871" s="131" t="s">
        <v>52</v>
      </c>
      <c r="D871" s="131" t="s">
        <v>859</v>
      </c>
      <c r="E871" s="131" t="s">
        <v>1739</v>
      </c>
      <c r="F871" s="131">
        <v>564</v>
      </c>
      <c r="G871" s="131">
        <v>85</v>
      </c>
      <c r="H871" s="132">
        <v>0.15070921985815602</v>
      </c>
    </row>
    <row r="872" spans="1:8" x14ac:dyDescent="0.25">
      <c r="A872" s="131" t="s">
        <v>723</v>
      </c>
      <c r="B872" s="131" t="s">
        <v>646</v>
      </c>
      <c r="C872" s="131" t="s">
        <v>52</v>
      </c>
      <c r="D872" s="131" t="s">
        <v>840</v>
      </c>
      <c r="E872" s="131" t="s">
        <v>1740</v>
      </c>
      <c r="F872" s="131">
        <v>606</v>
      </c>
      <c r="G872" s="131">
        <v>29</v>
      </c>
      <c r="H872" s="132">
        <v>4.7854785478547858E-2</v>
      </c>
    </row>
    <row r="873" spans="1:8" x14ac:dyDescent="0.25">
      <c r="A873" s="131" t="s">
        <v>723</v>
      </c>
      <c r="B873" s="131" t="s">
        <v>646</v>
      </c>
      <c r="C873" s="131" t="s">
        <v>52</v>
      </c>
      <c r="D873" s="131" t="s">
        <v>952</v>
      </c>
      <c r="E873" s="131" t="s">
        <v>1741</v>
      </c>
      <c r="F873" s="131">
        <v>460</v>
      </c>
      <c r="G873" s="131">
        <v>114</v>
      </c>
      <c r="H873" s="132">
        <v>0.24782608695652175</v>
      </c>
    </row>
    <row r="874" spans="1:8" x14ac:dyDescent="0.25">
      <c r="A874" s="131" t="s">
        <v>723</v>
      </c>
      <c r="B874" s="131" t="s">
        <v>646</v>
      </c>
      <c r="C874" s="131" t="s">
        <v>52</v>
      </c>
      <c r="D874" s="131" t="s">
        <v>364</v>
      </c>
      <c r="E874" s="131" t="s">
        <v>1742</v>
      </c>
      <c r="F874" s="131">
        <v>393</v>
      </c>
      <c r="G874" s="131">
        <v>62</v>
      </c>
      <c r="H874" s="132">
        <v>0.15776081424936386</v>
      </c>
    </row>
    <row r="875" spans="1:8" x14ac:dyDescent="0.25">
      <c r="A875" s="131" t="s">
        <v>725</v>
      </c>
      <c r="B875" s="131" t="s">
        <v>647</v>
      </c>
      <c r="C875" s="131" t="s">
        <v>51</v>
      </c>
      <c r="D875" s="131" t="s">
        <v>821</v>
      </c>
      <c r="E875" s="131" t="s">
        <v>1743</v>
      </c>
      <c r="F875" s="131">
        <v>352</v>
      </c>
      <c r="G875" s="131">
        <v>84</v>
      </c>
      <c r="H875" s="132">
        <v>0.23863636363636365</v>
      </c>
    </row>
    <row r="876" spans="1:8" x14ac:dyDescent="0.25">
      <c r="A876" s="131" t="s">
        <v>725</v>
      </c>
      <c r="B876" s="131" t="s">
        <v>647</v>
      </c>
      <c r="C876" s="131" t="s">
        <v>51</v>
      </c>
      <c r="D876" s="131" t="s">
        <v>819</v>
      </c>
      <c r="E876" s="131" t="s">
        <v>1744</v>
      </c>
      <c r="F876" s="131">
        <v>194</v>
      </c>
      <c r="G876" s="131">
        <v>57</v>
      </c>
      <c r="H876" s="132">
        <v>0.29381443298969073</v>
      </c>
    </row>
    <row r="877" spans="1:8" x14ac:dyDescent="0.25">
      <c r="A877" s="131" t="s">
        <v>725</v>
      </c>
      <c r="B877" s="131" t="s">
        <v>647</v>
      </c>
      <c r="C877" s="131" t="s">
        <v>51</v>
      </c>
      <c r="D877" s="131" t="s">
        <v>807</v>
      </c>
      <c r="E877" s="131" t="s">
        <v>1745</v>
      </c>
      <c r="F877" s="131">
        <v>107</v>
      </c>
      <c r="G877" s="131">
        <v>34</v>
      </c>
      <c r="H877" s="132">
        <v>0.31775700934579437</v>
      </c>
    </row>
    <row r="878" spans="1:8" x14ac:dyDescent="0.25">
      <c r="A878" s="131" t="s">
        <v>725</v>
      </c>
      <c r="B878" s="131" t="s">
        <v>647</v>
      </c>
      <c r="C878" s="131" t="s">
        <v>51</v>
      </c>
      <c r="D878" s="131" t="s">
        <v>859</v>
      </c>
      <c r="E878" s="131" t="s">
        <v>857</v>
      </c>
      <c r="F878" s="131">
        <v>127</v>
      </c>
      <c r="G878" s="131">
        <v>31</v>
      </c>
      <c r="H878" s="132">
        <v>0.24409448818897639</v>
      </c>
    </row>
    <row r="879" spans="1:8" x14ac:dyDescent="0.25">
      <c r="A879" s="131" t="s">
        <v>725</v>
      </c>
      <c r="B879" s="131" t="s">
        <v>647</v>
      </c>
      <c r="C879" s="131" t="s">
        <v>51</v>
      </c>
      <c r="D879" s="131" t="s">
        <v>840</v>
      </c>
      <c r="E879" s="131" t="s">
        <v>1746</v>
      </c>
      <c r="F879" s="131">
        <v>171</v>
      </c>
      <c r="G879" s="131">
        <v>29</v>
      </c>
      <c r="H879" s="132">
        <v>0.16959064327485379</v>
      </c>
    </row>
    <row r="880" spans="1:8" x14ac:dyDescent="0.25">
      <c r="A880" s="131" t="s">
        <v>729</v>
      </c>
      <c r="B880" s="131" t="s">
        <v>648</v>
      </c>
      <c r="C880" s="131" t="s">
        <v>50</v>
      </c>
      <c r="D880" s="131" t="s">
        <v>813</v>
      </c>
      <c r="E880" s="131" t="s">
        <v>1747</v>
      </c>
      <c r="F880" s="131">
        <v>281</v>
      </c>
      <c r="G880" s="131">
        <v>155</v>
      </c>
      <c r="H880" s="132">
        <v>0.55160142348754448</v>
      </c>
    </row>
    <row r="881" spans="1:8" x14ac:dyDescent="0.25">
      <c r="A881" s="131" t="s">
        <v>728</v>
      </c>
      <c r="B881" s="131" t="s">
        <v>649</v>
      </c>
      <c r="C881" s="131" t="s">
        <v>49</v>
      </c>
      <c r="D881" s="131" t="s">
        <v>821</v>
      </c>
      <c r="E881" s="131" t="s">
        <v>1748</v>
      </c>
      <c r="F881" s="131">
        <v>231</v>
      </c>
      <c r="G881" s="131">
        <v>132</v>
      </c>
      <c r="H881" s="132">
        <v>0.5714285714285714</v>
      </c>
    </row>
    <row r="882" spans="1:8" x14ac:dyDescent="0.25">
      <c r="A882" s="131" t="s">
        <v>728</v>
      </c>
      <c r="B882" s="131" t="s">
        <v>649</v>
      </c>
      <c r="C882" s="131" t="s">
        <v>49</v>
      </c>
      <c r="D882" s="131" t="s">
        <v>811</v>
      </c>
      <c r="E882" s="131" t="s">
        <v>1749</v>
      </c>
      <c r="F882" s="131">
        <v>80</v>
      </c>
      <c r="G882" s="131">
        <v>33</v>
      </c>
      <c r="H882" s="132">
        <v>0.41249999999999998</v>
      </c>
    </row>
    <row r="883" spans="1:8" x14ac:dyDescent="0.25">
      <c r="A883" s="131" t="s">
        <v>728</v>
      </c>
      <c r="B883" s="131" t="s">
        <v>649</v>
      </c>
      <c r="C883" s="131" t="s">
        <v>49</v>
      </c>
      <c r="D883" s="131" t="s">
        <v>859</v>
      </c>
      <c r="E883" s="131" t="s">
        <v>1557</v>
      </c>
      <c r="F883" s="131">
        <v>98</v>
      </c>
      <c r="G883" s="131">
        <v>57</v>
      </c>
      <c r="H883" s="132">
        <v>0.58163265306122447</v>
      </c>
    </row>
    <row r="884" spans="1:8" x14ac:dyDescent="0.25">
      <c r="A884" s="131" t="s">
        <v>728</v>
      </c>
      <c r="B884" s="131" t="s">
        <v>649</v>
      </c>
      <c r="C884" s="131" t="s">
        <v>49</v>
      </c>
      <c r="D884" s="131" t="s">
        <v>364</v>
      </c>
      <c r="E884" s="131" t="s">
        <v>1750</v>
      </c>
      <c r="F884" s="131">
        <v>303</v>
      </c>
      <c r="G884" s="131">
        <v>173</v>
      </c>
      <c r="H884" s="132">
        <v>0.57095709570957098</v>
      </c>
    </row>
    <row r="885" spans="1:8" x14ac:dyDescent="0.25">
      <c r="A885" s="131" t="s">
        <v>728</v>
      </c>
      <c r="B885" s="131" t="s">
        <v>650</v>
      </c>
      <c r="C885" s="131" t="s">
        <v>48</v>
      </c>
      <c r="D885" s="131" t="s">
        <v>852</v>
      </c>
      <c r="E885" s="131" t="s">
        <v>1751</v>
      </c>
      <c r="F885" s="131">
        <v>46</v>
      </c>
      <c r="G885" s="131">
        <v>20</v>
      </c>
      <c r="H885" s="132">
        <v>0.43478260869565216</v>
      </c>
    </row>
    <row r="886" spans="1:8" x14ac:dyDescent="0.25">
      <c r="A886" s="131" t="s">
        <v>728</v>
      </c>
      <c r="B886" s="131" t="s">
        <v>650</v>
      </c>
      <c r="C886" s="131" t="s">
        <v>48</v>
      </c>
      <c r="D886" s="131" t="s">
        <v>813</v>
      </c>
      <c r="E886" s="131" t="s">
        <v>1752</v>
      </c>
      <c r="F886" s="131">
        <v>72</v>
      </c>
      <c r="G886" s="131">
        <v>33</v>
      </c>
      <c r="H886" s="132">
        <v>0.45833333333333331</v>
      </c>
    </row>
    <row r="887" spans="1:8" x14ac:dyDescent="0.25">
      <c r="A887" s="131" t="s">
        <v>730</v>
      </c>
      <c r="B887" s="131" t="s">
        <v>651</v>
      </c>
      <c r="C887" s="131" t="s">
        <v>47</v>
      </c>
      <c r="D887" s="131" t="s">
        <v>821</v>
      </c>
      <c r="E887" s="131" t="s">
        <v>1753</v>
      </c>
      <c r="F887" s="131">
        <v>128</v>
      </c>
      <c r="G887" s="131">
        <v>35</v>
      </c>
      <c r="H887" s="132">
        <v>0.2734375</v>
      </c>
    </row>
    <row r="888" spans="1:8" x14ac:dyDescent="0.25">
      <c r="A888" s="131" t="s">
        <v>730</v>
      </c>
      <c r="B888" s="131" t="s">
        <v>651</v>
      </c>
      <c r="C888" s="131" t="s">
        <v>47</v>
      </c>
      <c r="D888" s="131" t="s">
        <v>805</v>
      </c>
      <c r="E888" s="131" t="s">
        <v>975</v>
      </c>
      <c r="F888" s="131">
        <v>198</v>
      </c>
      <c r="G888" s="131">
        <v>56</v>
      </c>
      <c r="H888" s="132">
        <v>0.28282828282828282</v>
      </c>
    </row>
    <row r="889" spans="1:8" x14ac:dyDescent="0.25">
      <c r="A889" s="131" t="s">
        <v>729</v>
      </c>
      <c r="B889" s="131" t="s">
        <v>652</v>
      </c>
      <c r="C889" s="131" t="s">
        <v>46</v>
      </c>
      <c r="D889" s="131" t="s">
        <v>821</v>
      </c>
      <c r="E889" s="131" t="s">
        <v>1754</v>
      </c>
      <c r="F889" s="131">
        <v>75</v>
      </c>
      <c r="G889" s="131">
        <v>39</v>
      </c>
      <c r="H889" s="132">
        <v>0.52</v>
      </c>
    </row>
    <row r="890" spans="1:8" x14ac:dyDescent="0.25">
      <c r="A890" s="131" t="s">
        <v>729</v>
      </c>
      <c r="B890" s="131" t="s">
        <v>652</v>
      </c>
      <c r="C890" s="131" t="s">
        <v>46</v>
      </c>
      <c r="D890" s="131" t="s">
        <v>805</v>
      </c>
      <c r="E890" s="131" t="s">
        <v>1755</v>
      </c>
      <c r="F890" s="131">
        <v>327</v>
      </c>
      <c r="G890" s="131">
        <v>151</v>
      </c>
      <c r="H890" s="132">
        <v>0.46177370030581039</v>
      </c>
    </row>
    <row r="891" spans="1:8" x14ac:dyDescent="0.25">
      <c r="A891" s="131" t="s">
        <v>732</v>
      </c>
      <c r="B891" s="131" t="s">
        <v>653</v>
      </c>
      <c r="C891" s="131" t="s">
        <v>45</v>
      </c>
      <c r="D891" s="131" t="s">
        <v>805</v>
      </c>
      <c r="E891" s="131" t="s">
        <v>1756</v>
      </c>
      <c r="F891" s="131">
        <v>121</v>
      </c>
      <c r="G891" s="131">
        <v>66</v>
      </c>
      <c r="H891" s="132">
        <v>0.54545454545454541</v>
      </c>
    </row>
    <row r="892" spans="1:8" x14ac:dyDescent="0.25">
      <c r="A892" s="131" t="s">
        <v>732</v>
      </c>
      <c r="B892" s="131" t="s">
        <v>654</v>
      </c>
      <c r="C892" s="131" t="s">
        <v>44</v>
      </c>
      <c r="D892" s="131" t="s">
        <v>821</v>
      </c>
      <c r="E892" s="131" t="s">
        <v>1757</v>
      </c>
      <c r="F892" s="131">
        <v>190</v>
      </c>
      <c r="G892" s="131">
        <v>76</v>
      </c>
      <c r="H892" s="132">
        <v>0.4</v>
      </c>
    </row>
    <row r="893" spans="1:8" x14ac:dyDescent="0.25">
      <c r="A893" s="131" t="s">
        <v>732</v>
      </c>
      <c r="B893" s="131" t="s">
        <v>654</v>
      </c>
      <c r="C893" s="131" t="s">
        <v>44</v>
      </c>
      <c r="D893" s="131" t="s">
        <v>819</v>
      </c>
      <c r="E893" s="131" t="s">
        <v>1758</v>
      </c>
      <c r="F893" s="131">
        <v>330</v>
      </c>
      <c r="G893" s="131">
        <v>164</v>
      </c>
      <c r="H893" s="132">
        <v>0.49696969696969695</v>
      </c>
    </row>
    <row r="894" spans="1:8" x14ac:dyDescent="0.25">
      <c r="A894" s="131" t="s">
        <v>723</v>
      </c>
      <c r="B894" s="131" t="s">
        <v>655</v>
      </c>
      <c r="C894" s="131" t="s">
        <v>43</v>
      </c>
      <c r="D894" s="131" t="s">
        <v>813</v>
      </c>
      <c r="E894" s="131" t="s">
        <v>1759</v>
      </c>
      <c r="F894" s="131">
        <v>442</v>
      </c>
      <c r="G894" s="131">
        <v>267</v>
      </c>
      <c r="H894" s="132">
        <v>0.60407239819004521</v>
      </c>
    </row>
    <row r="895" spans="1:8" x14ac:dyDescent="0.25">
      <c r="A895" s="131" t="s">
        <v>723</v>
      </c>
      <c r="B895" s="131" t="s">
        <v>655</v>
      </c>
      <c r="C895" s="131" t="s">
        <v>43</v>
      </c>
      <c r="D895" s="131" t="s">
        <v>819</v>
      </c>
      <c r="E895" s="131" t="s">
        <v>1760</v>
      </c>
      <c r="F895" s="131">
        <v>432</v>
      </c>
      <c r="G895" s="131">
        <v>323</v>
      </c>
      <c r="H895" s="132">
        <v>0.74768518518518523</v>
      </c>
    </row>
    <row r="896" spans="1:8" x14ac:dyDescent="0.25">
      <c r="A896" s="131" t="s">
        <v>723</v>
      </c>
      <c r="B896" s="131" t="s">
        <v>655</v>
      </c>
      <c r="C896" s="131" t="s">
        <v>43</v>
      </c>
      <c r="D896" s="131" t="s">
        <v>807</v>
      </c>
      <c r="E896" s="131" t="s">
        <v>1761</v>
      </c>
      <c r="F896" s="131">
        <v>479</v>
      </c>
      <c r="G896" s="131">
        <v>157</v>
      </c>
      <c r="H896" s="132">
        <v>0.3277661795407098</v>
      </c>
    </row>
    <row r="897" spans="1:8" x14ac:dyDescent="0.25">
      <c r="A897" s="131" t="s">
        <v>723</v>
      </c>
      <c r="B897" s="131" t="s">
        <v>655</v>
      </c>
      <c r="C897" s="131" t="s">
        <v>43</v>
      </c>
      <c r="D897" s="131" t="s">
        <v>859</v>
      </c>
      <c r="E897" s="131" t="s">
        <v>1762</v>
      </c>
      <c r="F897" s="131">
        <v>467</v>
      </c>
      <c r="G897" s="131">
        <v>135</v>
      </c>
      <c r="H897" s="132">
        <v>0.28907922912205569</v>
      </c>
    </row>
    <row r="898" spans="1:8" x14ac:dyDescent="0.25">
      <c r="A898" s="131" t="s">
        <v>723</v>
      </c>
      <c r="B898" s="131" t="s">
        <v>655</v>
      </c>
      <c r="C898" s="131" t="s">
        <v>43</v>
      </c>
      <c r="D898" s="131" t="s">
        <v>861</v>
      </c>
      <c r="E898" s="131" t="s">
        <v>1763</v>
      </c>
      <c r="F898" s="131">
        <v>497</v>
      </c>
      <c r="G898" s="131">
        <v>292</v>
      </c>
      <c r="H898" s="132">
        <v>0.58752515090543256</v>
      </c>
    </row>
    <row r="899" spans="1:8" x14ac:dyDescent="0.25">
      <c r="A899" s="131" t="s">
        <v>723</v>
      </c>
      <c r="B899" s="131" t="s">
        <v>655</v>
      </c>
      <c r="C899" s="131" t="s">
        <v>43</v>
      </c>
      <c r="D899" s="131" t="s">
        <v>1438</v>
      </c>
      <c r="E899" s="131" t="s">
        <v>1764</v>
      </c>
      <c r="F899" s="131">
        <v>613</v>
      </c>
      <c r="G899" s="131">
        <v>125</v>
      </c>
      <c r="H899" s="132">
        <v>0.2039151712887439</v>
      </c>
    </row>
    <row r="900" spans="1:8" x14ac:dyDescent="0.25">
      <c r="A900" s="131" t="s">
        <v>723</v>
      </c>
      <c r="B900" s="131" t="s">
        <v>655</v>
      </c>
      <c r="C900" s="131" t="s">
        <v>43</v>
      </c>
      <c r="D900" s="131" t="s">
        <v>364</v>
      </c>
      <c r="E900" s="131" t="s">
        <v>1765</v>
      </c>
      <c r="F900" s="131">
        <v>467</v>
      </c>
      <c r="G900" s="131">
        <v>152</v>
      </c>
      <c r="H900" s="132">
        <v>0.32548179871520344</v>
      </c>
    </row>
    <row r="901" spans="1:8" x14ac:dyDescent="0.25">
      <c r="A901" s="131" t="s">
        <v>723</v>
      </c>
      <c r="B901" s="131" t="s">
        <v>655</v>
      </c>
      <c r="C901" s="131" t="s">
        <v>43</v>
      </c>
      <c r="D901" s="131" t="s">
        <v>1766</v>
      </c>
      <c r="E901" s="131" t="s">
        <v>1767</v>
      </c>
      <c r="F901" s="131">
        <v>579</v>
      </c>
      <c r="G901" s="131">
        <v>138</v>
      </c>
      <c r="H901" s="132">
        <v>0.23834196891191708</v>
      </c>
    </row>
    <row r="902" spans="1:8" x14ac:dyDescent="0.25">
      <c r="A902" s="131" t="s">
        <v>732</v>
      </c>
      <c r="B902" s="131" t="s">
        <v>656</v>
      </c>
      <c r="C902" s="131" t="s">
        <v>42</v>
      </c>
      <c r="D902" s="131" t="s">
        <v>821</v>
      </c>
      <c r="E902" s="131" t="s">
        <v>1768</v>
      </c>
      <c r="F902" s="131">
        <v>324</v>
      </c>
      <c r="G902" s="131">
        <v>97</v>
      </c>
      <c r="H902" s="132">
        <v>0.29938271604938271</v>
      </c>
    </row>
    <row r="903" spans="1:8" x14ac:dyDescent="0.25">
      <c r="A903" s="131" t="s">
        <v>732</v>
      </c>
      <c r="B903" s="131" t="s">
        <v>656</v>
      </c>
      <c r="C903" s="131" t="s">
        <v>42</v>
      </c>
      <c r="D903" s="131" t="s">
        <v>813</v>
      </c>
      <c r="E903" s="131" t="s">
        <v>1769</v>
      </c>
      <c r="F903" s="131">
        <v>229</v>
      </c>
      <c r="G903" s="131">
        <v>90</v>
      </c>
      <c r="H903" s="132">
        <v>0.3930131004366812</v>
      </c>
    </row>
    <row r="904" spans="1:8" x14ac:dyDescent="0.25">
      <c r="A904" s="131" t="s">
        <v>732</v>
      </c>
      <c r="B904" s="131" t="s">
        <v>656</v>
      </c>
      <c r="C904" s="131" t="s">
        <v>42</v>
      </c>
      <c r="D904" s="131" t="s">
        <v>819</v>
      </c>
      <c r="E904" s="131" t="s">
        <v>1770</v>
      </c>
      <c r="F904" s="131">
        <v>213</v>
      </c>
      <c r="G904" s="131">
        <v>97</v>
      </c>
      <c r="H904" s="132">
        <v>0.45539906103286387</v>
      </c>
    </row>
    <row r="905" spans="1:8" x14ac:dyDescent="0.25">
      <c r="A905" s="131" t="s">
        <v>732</v>
      </c>
      <c r="B905" s="131" t="s">
        <v>656</v>
      </c>
      <c r="C905" s="131" t="s">
        <v>42</v>
      </c>
      <c r="D905" s="131" t="s">
        <v>807</v>
      </c>
      <c r="E905" s="131" t="s">
        <v>1771</v>
      </c>
      <c r="F905" s="131">
        <v>210</v>
      </c>
      <c r="G905" s="131">
        <v>38</v>
      </c>
      <c r="H905" s="132">
        <v>0.18095238095238095</v>
      </c>
    </row>
    <row r="906" spans="1:8" x14ac:dyDescent="0.25">
      <c r="A906" s="131" t="s">
        <v>732</v>
      </c>
      <c r="B906" s="131" t="s">
        <v>656</v>
      </c>
      <c r="C906" s="131" t="s">
        <v>42</v>
      </c>
      <c r="D906" s="131" t="s">
        <v>859</v>
      </c>
      <c r="E906" s="131" t="s">
        <v>1772</v>
      </c>
      <c r="F906" s="131">
        <v>170</v>
      </c>
      <c r="G906" s="131">
        <v>48</v>
      </c>
      <c r="H906" s="132">
        <v>0.28235294117647058</v>
      </c>
    </row>
    <row r="907" spans="1:8" x14ac:dyDescent="0.25">
      <c r="A907" s="131" t="s">
        <v>732</v>
      </c>
      <c r="B907" s="131" t="s">
        <v>656</v>
      </c>
      <c r="C907" s="131" t="s">
        <v>42</v>
      </c>
      <c r="D907" s="131" t="s">
        <v>861</v>
      </c>
      <c r="E907" s="131" t="s">
        <v>1773</v>
      </c>
      <c r="F907" s="131">
        <v>279</v>
      </c>
      <c r="G907" s="131">
        <v>22</v>
      </c>
      <c r="H907" s="132">
        <v>7.8853046594982074E-2</v>
      </c>
    </row>
    <row r="908" spans="1:8" x14ac:dyDescent="0.25">
      <c r="A908" s="131" t="s">
        <v>726</v>
      </c>
      <c r="B908" s="131" t="s">
        <v>657</v>
      </c>
      <c r="C908" s="131" t="s">
        <v>41</v>
      </c>
      <c r="D908" s="131" t="s">
        <v>875</v>
      </c>
      <c r="E908" s="131" t="s">
        <v>1774</v>
      </c>
      <c r="F908" s="131">
        <v>24</v>
      </c>
      <c r="G908" s="131">
        <v>10</v>
      </c>
      <c r="H908" s="132">
        <v>0.41666666666666669</v>
      </c>
    </row>
    <row r="909" spans="1:8" x14ac:dyDescent="0.25">
      <c r="A909" s="131" t="s">
        <v>726</v>
      </c>
      <c r="B909" s="131" t="s">
        <v>657</v>
      </c>
      <c r="C909" s="131" t="s">
        <v>41</v>
      </c>
      <c r="D909" s="131" t="s">
        <v>805</v>
      </c>
      <c r="E909" s="131" t="s">
        <v>1775</v>
      </c>
      <c r="F909" s="131">
        <v>83</v>
      </c>
      <c r="G909" s="131">
        <v>48</v>
      </c>
      <c r="H909" s="132">
        <v>0.57831325301204817</v>
      </c>
    </row>
    <row r="910" spans="1:8" x14ac:dyDescent="0.25">
      <c r="A910" s="131" t="s">
        <v>734</v>
      </c>
      <c r="B910" s="131" t="s">
        <v>658</v>
      </c>
      <c r="C910" s="131" t="s">
        <v>40</v>
      </c>
      <c r="D910" s="131" t="s">
        <v>821</v>
      </c>
      <c r="E910" s="131" t="s">
        <v>1776</v>
      </c>
      <c r="F910" s="131">
        <v>93</v>
      </c>
      <c r="G910" s="131">
        <v>58</v>
      </c>
      <c r="H910" s="132">
        <v>0.62365591397849462</v>
      </c>
    </row>
    <row r="911" spans="1:8" x14ac:dyDescent="0.25">
      <c r="A911" s="131" t="s">
        <v>734</v>
      </c>
      <c r="B911" s="131" t="s">
        <v>658</v>
      </c>
      <c r="C911" s="131" t="s">
        <v>40</v>
      </c>
      <c r="D911" s="131" t="s">
        <v>805</v>
      </c>
      <c r="E911" s="131" t="s">
        <v>1777</v>
      </c>
      <c r="F911" s="131">
        <v>539</v>
      </c>
      <c r="G911" s="131">
        <v>335</v>
      </c>
      <c r="H911" s="132">
        <v>0.62152133580705005</v>
      </c>
    </row>
    <row r="912" spans="1:8" x14ac:dyDescent="0.25">
      <c r="A912" s="131" t="s">
        <v>727</v>
      </c>
      <c r="B912" s="131" t="s">
        <v>659</v>
      </c>
      <c r="C912" s="131" t="s">
        <v>39</v>
      </c>
      <c r="D912" s="131" t="s">
        <v>805</v>
      </c>
      <c r="E912" s="131" t="s">
        <v>1778</v>
      </c>
      <c r="F912" s="131">
        <v>382</v>
      </c>
      <c r="G912" s="131">
        <v>102</v>
      </c>
      <c r="H912" s="132">
        <v>0.26701570680628273</v>
      </c>
    </row>
    <row r="913" spans="1:8" x14ac:dyDescent="0.25">
      <c r="A913" s="131" t="s">
        <v>725</v>
      </c>
      <c r="B913" s="131" t="s">
        <v>660</v>
      </c>
      <c r="C913" s="131" t="s">
        <v>38</v>
      </c>
      <c r="D913" s="131" t="s">
        <v>821</v>
      </c>
      <c r="E913" s="131" t="s">
        <v>1779</v>
      </c>
      <c r="F913" s="131">
        <v>74</v>
      </c>
      <c r="G913" s="131">
        <v>24</v>
      </c>
      <c r="H913" s="132">
        <v>0.32432432432432434</v>
      </c>
    </row>
    <row r="914" spans="1:8" x14ac:dyDescent="0.25">
      <c r="A914" s="131" t="s">
        <v>725</v>
      </c>
      <c r="B914" s="131" t="s">
        <v>660</v>
      </c>
      <c r="C914" s="131" t="s">
        <v>38</v>
      </c>
      <c r="D914" s="131" t="s">
        <v>807</v>
      </c>
      <c r="E914" s="131" t="s">
        <v>1780</v>
      </c>
      <c r="F914" s="131">
        <v>331</v>
      </c>
      <c r="G914" s="131">
        <v>113</v>
      </c>
      <c r="H914" s="132">
        <v>0.34138972809667673</v>
      </c>
    </row>
    <row r="915" spans="1:8" x14ac:dyDescent="0.25">
      <c r="A915" s="131" t="s">
        <v>727</v>
      </c>
      <c r="B915" s="131" t="s">
        <v>661</v>
      </c>
      <c r="C915" s="131" t="s">
        <v>37</v>
      </c>
      <c r="D915" s="131" t="s">
        <v>821</v>
      </c>
      <c r="E915" s="131" t="s">
        <v>1781</v>
      </c>
      <c r="F915" s="131">
        <v>46</v>
      </c>
      <c r="G915" s="131">
        <v>30</v>
      </c>
      <c r="H915" s="132">
        <v>0.65217391304347827</v>
      </c>
    </row>
    <row r="916" spans="1:8" x14ac:dyDescent="0.25">
      <c r="A916" s="131" t="s">
        <v>727</v>
      </c>
      <c r="B916" s="131" t="s">
        <v>661</v>
      </c>
      <c r="C916" s="131" t="s">
        <v>37</v>
      </c>
      <c r="D916" s="131" t="s">
        <v>805</v>
      </c>
      <c r="E916" s="131" t="s">
        <v>1782</v>
      </c>
      <c r="F916" s="131">
        <v>197</v>
      </c>
      <c r="G916" s="131">
        <v>92</v>
      </c>
      <c r="H916" s="132">
        <v>0.46700507614213199</v>
      </c>
    </row>
    <row r="917" spans="1:8" x14ac:dyDescent="0.25">
      <c r="A917" s="131" t="s">
        <v>727</v>
      </c>
      <c r="B917" s="131" t="s">
        <v>662</v>
      </c>
      <c r="C917" s="131" t="s">
        <v>36</v>
      </c>
      <c r="D917" s="131" t="s">
        <v>821</v>
      </c>
      <c r="E917" s="131" t="s">
        <v>1783</v>
      </c>
      <c r="F917" s="131">
        <v>67</v>
      </c>
      <c r="G917" s="131">
        <v>37</v>
      </c>
      <c r="H917" s="132">
        <v>0.55223880597014929</v>
      </c>
    </row>
    <row r="918" spans="1:8" x14ac:dyDescent="0.25">
      <c r="A918" s="131" t="s">
        <v>727</v>
      </c>
      <c r="B918" s="131" t="s">
        <v>662</v>
      </c>
      <c r="C918" s="131" t="s">
        <v>36</v>
      </c>
      <c r="D918" s="131" t="s">
        <v>805</v>
      </c>
      <c r="E918" s="131" t="s">
        <v>1784</v>
      </c>
      <c r="F918" s="131">
        <v>224</v>
      </c>
      <c r="G918" s="131">
        <v>135</v>
      </c>
      <c r="H918" s="132">
        <v>0.6026785714285714</v>
      </c>
    </row>
    <row r="919" spans="1:8" x14ac:dyDescent="0.25">
      <c r="A919" s="131" t="s">
        <v>727</v>
      </c>
      <c r="B919" s="131" t="s">
        <v>662</v>
      </c>
      <c r="C919" s="131" t="s">
        <v>36</v>
      </c>
      <c r="D919" s="131" t="s">
        <v>813</v>
      </c>
      <c r="E919" s="131" t="s">
        <v>1785</v>
      </c>
      <c r="F919" s="131">
        <v>51</v>
      </c>
      <c r="G919" s="131">
        <v>38</v>
      </c>
      <c r="H919" s="132">
        <v>0.74509803921568629</v>
      </c>
    </row>
    <row r="920" spans="1:8" x14ac:dyDescent="0.25">
      <c r="A920" s="131" t="s">
        <v>727</v>
      </c>
      <c r="B920" s="131" t="s">
        <v>663</v>
      </c>
      <c r="C920" s="131" t="s">
        <v>35</v>
      </c>
      <c r="D920" s="131" t="s">
        <v>805</v>
      </c>
      <c r="E920" s="131" t="s">
        <v>860</v>
      </c>
      <c r="F920" s="131">
        <v>259</v>
      </c>
      <c r="G920" s="131">
        <v>95</v>
      </c>
      <c r="H920" s="132">
        <v>0.36679536679536678</v>
      </c>
    </row>
    <row r="921" spans="1:8" x14ac:dyDescent="0.25">
      <c r="A921" s="131" t="s">
        <v>727</v>
      </c>
      <c r="B921" s="131" t="s">
        <v>664</v>
      </c>
      <c r="C921" s="131" t="s">
        <v>34</v>
      </c>
      <c r="D921" s="131" t="s">
        <v>805</v>
      </c>
      <c r="E921" s="131" t="s">
        <v>1786</v>
      </c>
      <c r="F921" s="131">
        <v>88</v>
      </c>
      <c r="G921" s="131">
        <v>56</v>
      </c>
      <c r="H921" s="132">
        <v>0.63636363636363635</v>
      </c>
    </row>
    <row r="922" spans="1:8" x14ac:dyDescent="0.25">
      <c r="A922" s="131" t="s">
        <v>730</v>
      </c>
      <c r="B922" s="131" t="s">
        <v>665</v>
      </c>
      <c r="C922" s="131" t="s">
        <v>33</v>
      </c>
      <c r="D922" s="131" t="s">
        <v>1715</v>
      </c>
      <c r="E922" s="131" t="s">
        <v>1787</v>
      </c>
      <c r="F922" s="131">
        <v>527</v>
      </c>
      <c r="G922" s="131">
        <v>134</v>
      </c>
      <c r="H922" s="132">
        <v>0.25426944971537002</v>
      </c>
    </row>
    <row r="923" spans="1:8" x14ac:dyDescent="0.25">
      <c r="A923" s="131" t="s">
        <v>734</v>
      </c>
      <c r="B923" s="131" t="s">
        <v>666</v>
      </c>
      <c r="C923" s="131" t="s">
        <v>32</v>
      </c>
      <c r="D923" s="131" t="s">
        <v>805</v>
      </c>
      <c r="E923" s="131" t="s">
        <v>1788</v>
      </c>
      <c r="F923" s="131">
        <v>429</v>
      </c>
      <c r="G923" s="131">
        <v>142</v>
      </c>
      <c r="H923" s="132">
        <v>0.33100233100233101</v>
      </c>
    </row>
    <row r="924" spans="1:8" x14ac:dyDescent="0.25">
      <c r="A924" s="131" t="s">
        <v>729</v>
      </c>
      <c r="B924" s="131" t="s">
        <v>667</v>
      </c>
      <c r="C924" s="131" t="s">
        <v>31</v>
      </c>
      <c r="D924" s="131" t="s">
        <v>803</v>
      </c>
      <c r="E924" s="131" t="s">
        <v>1789</v>
      </c>
      <c r="F924" s="131">
        <v>36</v>
      </c>
      <c r="G924" s="131">
        <v>24</v>
      </c>
      <c r="H924" s="132">
        <v>0.66666666666666663</v>
      </c>
    </row>
    <row r="925" spans="1:8" x14ac:dyDescent="0.25">
      <c r="A925" s="131" t="s">
        <v>729</v>
      </c>
      <c r="B925" s="131" t="s">
        <v>667</v>
      </c>
      <c r="C925" s="131" t="s">
        <v>31</v>
      </c>
      <c r="D925" s="131" t="s">
        <v>811</v>
      </c>
      <c r="E925" s="131" t="s">
        <v>1790</v>
      </c>
      <c r="F925" s="131">
        <v>122</v>
      </c>
      <c r="G925" s="131">
        <v>72</v>
      </c>
      <c r="H925" s="132">
        <v>0.5901639344262295</v>
      </c>
    </row>
    <row r="926" spans="1:8" x14ac:dyDescent="0.25">
      <c r="A926" s="131" t="s">
        <v>723</v>
      </c>
      <c r="B926" s="131" t="s">
        <v>668</v>
      </c>
      <c r="C926" s="131" t="s">
        <v>30</v>
      </c>
      <c r="D926" s="131" t="s">
        <v>821</v>
      </c>
      <c r="E926" s="131" t="s">
        <v>1791</v>
      </c>
      <c r="F926" s="131">
        <v>385</v>
      </c>
      <c r="G926" s="131">
        <v>120</v>
      </c>
      <c r="H926" s="132">
        <v>0.31168831168831168</v>
      </c>
    </row>
    <row r="927" spans="1:8" x14ac:dyDescent="0.25">
      <c r="A927" s="131" t="s">
        <v>723</v>
      </c>
      <c r="B927" s="131" t="s">
        <v>668</v>
      </c>
      <c r="C927" s="131" t="s">
        <v>30</v>
      </c>
      <c r="D927" s="131" t="s">
        <v>807</v>
      </c>
      <c r="E927" s="131" t="s">
        <v>1792</v>
      </c>
      <c r="F927" s="131">
        <v>347</v>
      </c>
      <c r="G927" s="131">
        <v>110</v>
      </c>
      <c r="H927" s="132">
        <v>0.31700288184438041</v>
      </c>
    </row>
    <row r="928" spans="1:8" x14ac:dyDescent="0.25">
      <c r="A928" s="131" t="s">
        <v>726</v>
      </c>
      <c r="B928" s="131" t="s">
        <v>669</v>
      </c>
      <c r="C928" s="131" t="s">
        <v>29</v>
      </c>
      <c r="D928" s="131" t="s">
        <v>875</v>
      </c>
      <c r="E928" s="131" t="s">
        <v>1793</v>
      </c>
      <c r="F928" s="131">
        <v>80</v>
      </c>
      <c r="G928" s="131">
        <v>35</v>
      </c>
      <c r="H928" s="132">
        <v>0.4375</v>
      </c>
    </row>
    <row r="929" spans="1:8" x14ac:dyDescent="0.25">
      <c r="A929" s="131" t="s">
        <v>726</v>
      </c>
      <c r="B929" s="131" t="s">
        <v>669</v>
      </c>
      <c r="C929" s="131" t="s">
        <v>29</v>
      </c>
      <c r="D929" s="131" t="s">
        <v>805</v>
      </c>
      <c r="E929" s="131" t="s">
        <v>1794</v>
      </c>
      <c r="F929" s="131">
        <v>127</v>
      </c>
      <c r="G929" s="131">
        <v>50</v>
      </c>
      <c r="H929" s="132">
        <v>0.39370078740157483</v>
      </c>
    </row>
    <row r="930" spans="1:8" x14ac:dyDescent="0.25">
      <c r="A930" s="131" t="s">
        <v>727</v>
      </c>
      <c r="B930" s="131" t="s">
        <v>670</v>
      </c>
      <c r="C930" s="131" t="s">
        <v>28</v>
      </c>
      <c r="D930" s="131" t="s">
        <v>805</v>
      </c>
      <c r="E930" s="131" t="s">
        <v>1795</v>
      </c>
      <c r="F930" s="131">
        <v>47</v>
      </c>
      <c r="G930" s="131">
        <v>13</v>
      </c>
      <c r="H930" s="132">
        <v>0.27659574468085107</v>
      </c>
    </row>
    <row r="931" spans="1:8" x14ac:dyDescent="0.25">
      <c r="A931" s="131" t="s">
        <v>727</v>
      </c>
      <c r="B931" s="131" t="s">
        <v>670</v>
      </c>
      <c r="C931" s="131" t="s">
        <v>28</v>
      </c>
      <c r="D931" s="131" t="s">
        <v>813</v>
      </c>
      <c r="E931" s="131" t="s">
        <v>1796</v>
      </c>
      <c r="F931" s="131">
        <v>194</v>
      </c>
      <c r="G931" s="131">
        <v>64</v>
      </c>
      <c r="H931" s="132">
        <v>0.32989690721649484</v>
      </c>
    </row>
    <row r="932" spans="1:8" x14ac:dyDescent="0.25">
      <c r="A932" s="131" t="s">
        <v>723</v>
      </c>
      <c r="B932" s="131" t="s">
        <v>671</v>
      </c>
      <c r="C932" s="131" t="s">
        <v>27</v>
      </c>
      <c r="D932" s="131" t="s">
        <v>1458</v>
      </c>
      <c r="E932" s="131" t="s">
        <v>1797</v>
      </c>
      <c r="F932" s="131">
        <v>1</v>
      </c>
      <c r="G932" s="131">
        <v>0</v>
      </c>
      <c r="H932" s="132">
        <v>0</v>
      </c>
    </row>
    <row r="933" spans="1:8" x14ac:dyDescent="0.25">
      <c r="A933" s="131" t="s">
        <v>723</v>
      </c>
      <c r="B933" s="131" t="s">
        <v>671</v>
      </c>
      <c r="C933" s="131" t="s">
        <v>27</v>
      </c>
      <c r="D933" s="131" t="s">
        <v>805</v>
      </c>
      <c r="E933" s="131" t="s">
        <v>1798</v>
      </c>
      <c r="F933" s="131">
        <v>76</v>
      </c>
      <c r="G933" s="131">
        <v>16</v>
      </c>
      <c r="H933" s="132">
        <v>0.21052631578947367</v>
      </c>
    </row>
    <row r="934" spans="1:8" x14ac:dyDescent="0.25">
      <c r="A934" s="131" t="s">
        <v>723</v>
      </c>
      <c r="B934" s="131" t="s">
        <v>671</v>
      </c>
      <c r="C934" s="131" t="s">
        <v>27</v>
      </c>
      <c r="D934" s="131" t="s">
        <v>813</v>
      </c>
      <c r="E934" s="131" t="s">
        <v>1799</v>
      </c>
      <c r="F934" s="131">
        <v>275</v>
      </c>
      <c r="G934" s="131">
        <v>61</v>
      </c>
      <c r="H934" s="132">
        <v>0.22181818181818183</v>
      </c>
    </row>
    <row r="935" spans="1:8" x14ac:dyDescent="0.25">
      <c r="A935" s="131" t="s">
        <v>723</v>
      </c>
      <c r="B935" s="131" t="s">
        <v>671</v>
      </c>
      <c r="C935" s="131" t="s">
        <v>27</v>
      </c>
      <c r="D935" s="131" t="s">
        <v>819</v>
      </c>
      <c r="E935" s="131" t="s">
        <v>1800</v>
      </c>
      <c r="F935" s="131">
        <v>100</v>
      </c>
      <c r="G935" s="131">
        <v>18</v>
      </c>
      <c r="H935" s="132">
        <v>0.18</v>
      </c>
    </row>
    <row r="936" spans="1:8" x14ac:dyDescent="0.25">
      <c r="F936" s="131">
        <f>SUM(F3:F935)</f>
        <v>218501</v>
      </c>
      <c r="G936" s="131">
        <f>SUM(G3:G935)</f>
        <v>97129</v>
      </c>
      <c r="H936" s="133">
        <f>G936/F936</f>
        <v>0.44452428135340344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Calculation</vt:lpstr>
      <vt:lpstr>StartupfileInput</vt:lpstr>
      <vt:lpstr>ActiveDistricts</vt:lpstr>
      <vt:lpstr>Constants</vt:lpstr>
      <vt:lpstr>lunch1920_g1to6</vt:lpstr>
      <vt:lpstr>lunch1920_g1to6</vt:lpstr>
      <vt:lpstr>Calculation!Print_Titles</vt:lpstr>
      <vt:lpstr>Summary!Print_Titles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Parker, John [IDOM]</cp:lastModifiedBy>
  <cp:lastPrinted>2019-03-13T20:16:40Z</cp:lastPrinted>
  <dcterms:created xsi:type="dcterms:W3CDTF">2000-04-26T20:39:19Z</dcterms:created>
  <dcterms:modified xsi:type="dcterms:W3CDTF">2020-07-07T13:09:53Z</dcterms:modified>
</cp:coreProperties>
</file>