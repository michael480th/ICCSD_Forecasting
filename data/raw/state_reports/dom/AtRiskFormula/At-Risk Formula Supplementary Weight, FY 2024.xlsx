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DATA\DE - SupplementaryWeightingAtRiskFormula\"/>
    </mc:Choice>
  </mc:AlternateContent>
  <xr:revisionPtr revIDLastSave="0" documentId="13_ncr:1_{FBE2C318-DC11-40C3-B047-A90A19234133}" xr6:coauthVersionLast="36" xr6:coauthVersionMax="36" xr10:uidLastSave="{00000000-0000-0000-0000-000000000000}"/>
  <bookViews>
    <workbookView xWindow="23775" yWindow="180" windowWidth="11100" windowHeight="6345" xr2:uid="{00000000-000D-0000-FFFF-FFFF00000000}"/>
  </bookViews>
  <sheets>
    <sheet name="Summary" sheetId="4" r:id="rId1"/>
    <sheet name="Calculation" sheetId="1" r:id="rId2"/>
    <sheet name="StartupfileInput" sheetId="10" r:id="rId3"/>
    <sheet name="ActiveDistricts" sheetId="15" r:id="rId4"/>
    <sheet name="Constants" sheetId="13" r:id="rId5"/>
    <sheet name="fr2223g1to6dst_cep" sheetId="17" r:id="rId6"/>
  </sheets>
  <definedNames>
    <definedName name="C_I_Prorate">#REF!</definedName>
    <definedName name="DistrictName">#REF!</definedName>
    <definedName name="fr2021g1to6dst_cep">#REF!</definedName>
    <definedName name="fr2122kto6dst_cep2">fr2223g1to6dst_cep!$E$1:$I$328</definedName>
    <definedName name="frl1819_g1to6cep">#REF!</definedName>
    <definedName name="lunch1920_g1to6">#REF!</definedName>
    <definedName name="_xlnm.Print_Titles" localSheetId="1">Calculation!$1:$3</definedName>
    <definedName name="_xlnm.Print_Titles" localSheetId="0">Summary!$1:$2</definedName>
  </definedNames>
  <calcPr calcId="191029"/>
</workbook>
</file>

<file path=xl/calcChain.xml><?xml version="1.0" encoding="utf-8"?>
<calcChain xmlns="http://schemas.openxmlformats.org/spreadsheetml/2006/main">
  <c r="A4" i="4" l="1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" i="4"/>
  <c r="I14" i="1"/>
  <c r="I22" i="1"/>
  <c r="I78" i="1"/>
  <c r="I86" i="1"/>
  <c r="I142" i="1"/>
  <c r="I150" i="1"/>
  <c r="I197" i="1"/>
  <c r="I198" i="1"/>
  <c r="I229" i="1"/>
  <c r="I230" i="1"/>
  <c r="I261" i="1"/>
  <c r="I262" i="1"/>
  <c r="I293" i="1"/>
  <c r="I294" i="1"/>
  <c r="I325" i="1"/>
  <c r="I326" i="1"/>
  <c r="D32" i="1"/>
  <c r="D33" i="1"/>
  <c r="D64" i="1"/>
  <c r="D65" i="1"/>
  <c r="D96" i="1"/>
  <c r="D97" i="1"/>
  <c r="D128" i="1"/>
  <c r="D129" i="1"/>
  <c r="D160" i="1"/>
  <c r="D161" i="1"/>
  <c r="D192" i="1"/>
  <c r="D193" i="1"/>
  <c r="D224" i="1"/>
  <c r="D225" i="1"/>
  <c r="D256" i="1"/>
  <c r="D257" i="1"/>
  <c r="D288" i="1"/>
  <c r="D289" i="1"/>
  <c r="D320" i="1"/>
  <c r="D321" i="1"/>
  <c r="A5" i="1"/>
  <c r="D5" i="1" s="1"/>
  <c r="A6" i="1"/>
  <c r="D6" i="1" s="1"/>
  <c r="A7" i="1"/>
  <c r="D7" i="1" s="1"/>
  <c r="A8" i="1"/>
  <c r="I8" i="1" s="1"/>
  <c r="A9" i="1"/>
  <c r="I9" i="1" s="1"/>
  <c r="A10" i="1"/>
  <c r="I10" i="1" s="1"/>
  <c r="A11" i="1"/>
  <c r="D11" i="1" s="1"/>
  <c r="A12" i="1"/>
  <c r="D12" i="1" s="1"/>
  <c r="A13" i="1"/>
  <c r="D13" i="1" s="1"/>
  <c r="A14" i="1"/>
  <c r="D14" i="1" s="1"/>
  <c r="A15" i="1"/>
  <c r="D15" i="1" s="1"/>
  <c r="A16" i="1"/>
  <c r="I16" i="1" s="1"/>
  <c r="A17" i="1"/>
  <c r="I17" i="1" s="1"/>
  <c r="A18" i="1"/>
  <c r="I18" i="1" s="1"/>
  <c r="A19" i="1"/>
  <c r="D19" i="1" s="1"/>
  <c r="A20" i="1"/>
  <c r="D20" i="1" s="1"/>
  <c r="A21" i="1"/>
  <c r="D21" i="1" s="1"/>
  <c r="A22" i="1"/>
  <c r="D22" i="1" s="1"/>
  <c r="A23" i="1"/>
  <c r="D23" i="1" s="1"/>
  <c r="A24" i="1"/>
  <c r="I24" i="1" s="1"/>
  <c r="A25" i="1"/>
  <c r="I25" i="1" s="1"/>
  <c r="A26" i="1"/>
  <c r="I26" i="1" s="1"/>
  <c r="A27" i="1"/>
  <c r="D27" i="1" s="1"/>
  <c r="A28" i="1"/>
  <c r="D28" i="1" s="1"/>
  <c r="A29" i="1"/>
  <c r="D29" i="1" s="1"/>
  <c r="A30" i="1"/>
  <c r="D30" i="1" s="1"/>
  <c r="A31" i="1"/>
  <c r="D31" i="1" s="1"/>
  <c r="A32" i="1"/>
  <c r="I32" i="1" s="1"/>
  <c r="A33" i="1"/>
  <c r="I33" i="1" s="1"/>
  <c r="A34" i="1"/>
  <c r="I34" i="1" s="1"/>
  <c r="A35" i="1"/>
  <c r="D35" i="1" s="1"/>
  <c r="A36" i="1"/>
  <c r="D36" i="1" s="1"/>
  <c r="A37" i="1"/>
  <c r="D37" i="1" s="1"/>
  <c r="A38" i="1"/>
  <c r="D38" i="1" s="1"/>
  <c r="A39" i="1"/>
  <c r="D39" i="1" s="1"/>
  <c r="A40" i="1"/>
  <c r="I40" i="1" s="1"/>
  <c r="A41" i="1"/>
  <c r="I41" i="1" s="1"/>
  <c r="A42" i="1"/>
  <c r="I42" i="1" s="1"/>
  <c r="A43" i="1"/>
  <c r="D43" i="1" s="1"/>
  <c r="A44" i="1"/>
  <c r="D44" i="1" s="1"/>
  <c r="A45" i="1"/>
  <c r="D45" i="1" s="1"/>
  <c r="A46" i="1"/>
  <c r="D46" i="1" s="1"/>
  <c r="A47" i="1"/>
  <c r="D47" i="1" s="1"/>
  <c r="A48" i="1"/>
  <c r="I48" i="1" s="1"/>
  <c r="A49" i="1"/>
  <c r="I49" i="1" s="1"/>
  <c r="A50" i="1"/>
  <c r="I50" i="1" s="1"/>
  <c r="A51" i="1"/>
  <c r="D51" i="1" s="1"/>
  <c r="A52" i="1"/>
  <c r="D52" i="1" s="1"/>
  <c r="A53" i="1"/>
  <c r="D53" i="1" s="1"/>
  <c r="A54" i="1"/>
  <c r="D54" i="1" s="1"/>
  <c r="A55" i="1"/>
  <c r="D55" i="1" s="1"/>
  <c r="A56" i="1"/>
  <c r="I56" i="1" s="1"/>
  <c r="A57" i="1"/>
  <c r="I57" i="1" s="1"/>
  <c r="A58" i="1"/>
  <c r="I58" i="1" s="1"/>
  <c r="A59" i="1"/>
  <c r="D59" i="1" s="1"/>
  <c r="A60" i="1"/>
  <c r="D60" i="1" s="1"/>
  <c r="A61" i="1"/>
  <c r="D61" i="1" s="1"/>
  <c r="A62" i="1"/>
  <c r="D62" i="1" s="1"/>
  <c r="A63" i="1"/>
  <c r="D63" i="1" s="1"/>
  <c r="A64" i="1"/>
  <c r="I64" i="1" s="1"/>
  <c r="A65" i="1"/>
  <c r="I65" i="1" s="1"/>
  <c r="A66" i="1"/>
  <c r="I66" i="1" s="1"/>
  <c r="A67" i="1"/>
  <c r="D67" i="1" s="1"/>
  <c r="A68" i="1"/>
  <c r="D68" i="1" s="1"/>
  <c r="A69" i="1"/>
  <c r="D69" i="1" s="1"/>
  <c r="A70" i="1"/>
  <c r="D70" i="1" s="1"/>
  <c r="A71" i="1"/>
  <c r="D71" i="1" s="1"/>
  <c r="A72" i="1"/>
  <c r="I72" i="1" s="1"/>
  <c r="A73" i="1"/>
  <c r="I73" i="1" s="1"/>
  <c r="A74" i="1"/>
  <c r="I74" i="1" s="1"/>
  <c r="A75" i="1"/>
  <c r="D75" i="1" s="1"/>
  <c r="A76" i="1"/>
  <c r="D76" i="1" s="1"/>
  <c r="A77" i="1"/>
  <c r="D77" i="1" s="1"/>
  <c r="A78" i="1"/>
  <c r="D78" i="1" s="1"/>
  <c r="A79" i="1"/>
  <c r="D79" i="1" s="1"/>
  <c r="A80" i="1"/>
  <c r="I80" i="1" s="1"/>
  <c r="A81" i="1"/>
  <c r="I81" i="1" s="1"/>
  <c r="A82" i="1"/>
  <c r="I82" i="1" s="1"/>
  <c r="A83" i="1"/>
  <c r="D83" i="1" s="1"/>
  <c r="A84" i="1"/>
  <c r="D84" i="1" s="1"/>
  <c r="A85" i="1"/>
  <c r="D85" i="1" s="1"/>
  <c r="A86" i="1"/>
  <c r="D86" i="1" s="1"/>
  <c r="A87" i="1"/>
  <c r="D87" i="1" s="1"/>
  <c r="A88" i="1"/>
  <c r="I88" i="1" s="1"/>
  <c r="A89" i="1"/>
  <c r="I89" i="1" s="1"/>
  <c r="A90" i="1"/>
  <c r="I90" i="1" s="1"/>
  <c r="A91" i="1"/>
  <c r="D91" i="1" s="1"/>
  <c r="A92" i="1"/>
  <c r="D92" i="1" s="1"/>
  <c r="A93" i="1"/>
  <c r="D93" i="1" s="1"/>
  <c r="A94" i="1"/>
  <c r="D94" i="1" s="1"/>
  <c r="A95" i="1"/>
  <c r="D95" i="1" s="1"/>
  <c r="A96" i="1"/>
  <c r="I96" i="1" s="1"/>
  <c r="A97" i="1"/>
  <c r="I97" i="1" s="1"/>
  <c r="A98" i="1"/>
  <c r="I98" i="1" s="1"/>
  <c r="A99" i="1"/>
  <c r="D99" i="1" s="1"/>
  <c r="A100" i="1"/>
  <c r="D100" i="1" s="1"/>
  <c r="A101" i="1"/>
  <c r="D101" i="1" s="1"/>
  <c r="A102" i="1"/>
  <c r="D102" i="1" s="1"/>
  <c r="A103" i="1"/>
  <c r="D103" i="1" s="1"/>
  <c r="A104" i="1"/>
  <c r="I104" i="1" s="1"/>
  <c r="A105" i="1"/>
  <c r="I105" i="1" s="1"/>
  <c r="A106" i="1"/>
  <c r="I106" i="1" s="1"/>
  <c r="A107" i="1"/>
  <c r="D107" i="1" s="1"/>
  <c r="A108" i="1"/>
  <c r="D108" i="1" s="1"/>
  <c r="A109" i="1"/>
  <c r="D109" i="1" s="1"/>
  <c r="A110" i="1"/>
  <c r="D110" i="1" s="1"/>
  <c r="A111" i="1"/>
  <c r="D111" i="1" s="1"/>
  <c r="A112" i="1"/>
  <c r="I112" i="1" s="1"/>
  <c r="A113" i="1"/>
  <c r="I113" i="1" s="1"/>
  <c r="A114" i="1"/>
  <c r="I114" i="1" s="1"/>
  <c r="A115" i="1"/>
  <c r="D115" i="1" s="1"/>
  <c r="A116" i="1"/>
  <c r="D116" i="1" s="1"/>
  <c r="A117" i="1"/>
  <c r="D117" i="1" s="1"/>
  <c r="A118" i="1"/>
  <c r="D118" i="1" s="1"/>
  <c r="A119" i="1"/>
  <c r="D119" i="1" s="1"/>
  <c r="A120" i="1"/>
  <c r="I120" i="1" s="1"/>
  <c r="A121" i="1"/>
  <c r="I121" i="1" s="1"/>
  <c r="A122" i="1"/>
  <c r="I122" i="1" s="1"/>
  <c r="A123" i="1"/>
  <c r="D123" i="1" s="1"/>
  <c r="A124" i="1"/>
  <c r="D124" i="1" s="1"/>
  <c r="A125" i="1"/>
  <c r="D125" i="1" s="1"/>
  <c r="A126" i="1"/>
  <c r="D126" i="1" s="1"/>
  <c r="A127" i="1"/>
  <c r="D127" i="1" s="1"/>
  <c r="A128" i="1"/>
  <c r="I128" i="1" s="1"/>
  <c r="A129" i="1"/>
  <c r="I129" i="1" s="1"/>
  <c r="A130" i="1"/>
  <c r="I130" i="1" s="1"/>
  <c r="A131" i="1"/>
  <c r="D131" i="1" s="1"/>
  <c r="A132" i="1"/>
  <c r="D132" i="1" s="1"/>
  <c r="A133" i="1"/>
  <c r="D133" i="1" s="1"/>
  <c r="A134" i="1"/>
  <c r="D134" i="1" s="1"/>
  <c r="A135" i="1"/>
  <c r="D135" i="1" s="1"/>
  <c r="A136" i="1"/>
  <c r="I136" i="1" s="1"/>
  <c r="A137" i="1"/>
  <c r="I137" i="1" s="1"/>
  <c r="A138" i="1"/>
  <c r="I138" i="1" s="1"/>
  <c r="A139" i="1"/>
  <c r="D139" i="1" s="1"/>
  <c r="A140" i="1"/>
  <c r="D140" i="1" s="1"/>
  <c r="A141" i="1"/>
  <c r="D141" i="1" s="1"/>
  <c r="A142" i="1"/>
  <c r="D142" i="1" s="1"/>
  <c r="A143" i="1"/>
  <c r="D143" i="1" s="1"/>
  <c r="A144" i="1"/>
  <c r="I144" i="1" s="1"/>
  <c r="A145" i="1"/>
  <c r="I145" i="1" s="1"/>
  <c r="A146" i="1"/>
  <c r="I146" i="1" s="1"/>
  <c r="A147" i="1"/>
  <c r="D147" i="1" s="1"/>
  <c r="A148" i="1"/>
  <c r="D148" i="1" s="1"/>
  <c r="A149" i="1"/>
  <c r="D149" i="1" s="1"/>
  <c r="A150" i="1"/>
  <c r="D150" i="1" s="1"/>
  <c r="A151" i="1"/>
  <c r="D151" i="1" s="1"/>
  <c r="A152" i="1"/>
  <c r="I152" i="1" s="1"/>
  <c r="A153" i="1"/>
  <c r="I153" i="1" s="1"/>
  <c r="A154" i="1"/>
  <c r="I154" i="1" s="1"/>
  <c r="A155" i="1"/>
  <c r="D155" i="1" s="1"/>
  <c r="A156" i="1"/>
  <c r="D156" i="1" s="1"/>
  <c r="A157" i="1"/>
  <c r="D157" i="1" s="1"/>
  <c r="A158" i="1"/>
  <c r="D158" i="1" s="1"/>
  <c r="A159" i="1"/>
  <c r="D159" i="1" s="1"/>
  <c r="A160" i="1"/>
  <c r="I160" i="1" s="1"/>
  <c r="A161" i="1"/>
  <c r="I161" i="1" s="1"/>
  <c r="A162" i="1"/>
  <c r="I162" i="1" s="1"/>
  <c r="A163" i="1"/>
  <c r="D163" i="1" s="1"/>
  <c r="A164" i="1"/>
  <c r="D164" i="1" s="1"/>
  <c r="A165" i="1"/>
  <c r="D165" i="1" s="1"/>
  <c r="A166" i="1"/>
  <c r="D166" i="1" s="1"/>
  <c r="A167" i="1"/>
  <c r="D167" i="1" s="1"/>
  <c r="A168" i="1"/>
  <c r="I168" i="1" s="1"/>
  <c r="A169" i="1"/>
  <c r="I169" i="1" s="1"/>
  <c r="A170" i="1"/>
  <c r="I170" i="1" s="1"/>
  <c r="A171" i="1"/>
  <c r="D171" i="1" s="1"/>
  <c r="A172" i="1"/>
  <c r="D172" i="1" s="1"/>
  <c r="A173" i="1"/>
  <c r="D173" i="1" s="1"/>
  <c r="A174" i="1"/>
  <c r="D174" i="1" s="1"/>
  <c r="A175" i="1"/>
  <c r="D175" i="1" s="1"/>
  <c r="A176" i="1"/>
  <c r="I176" i="1" s="1"/>
  <c r="A177" i="1"/>
  <c r="I177" i="1" s="1"/>
  <c r="A178" i="1"/>
  <c r="I178" i="1" s="1"/>
  <c r="A179" i="1"/>
  <c r="D179" i="1" s="1"/>
  <c r="A180" i="1"/>
  <c r="D180" i="1" s="1"/>
  <c r="A181" i="1"/>
  <c r="D181" i="1" s="1"/>
  <c r="A182" i="1"/>
  <c r="D182" i="1" s="1"/>
  <c r="A183" i="1"/>
  <c r="D183" i="1" s="1"/>
  <c r="A184" i="1"/>
  <c r="I184" i="1" s="1"/>
  <c r="A185" i="1"/>
  <c r="I185" i="1" s="1"/>
  <c r="A186" i="1"/>
  <c r="I186" i="1" s="1"/>
  <c r="A187" i="1"/>
  <c r="D187" i="1" s="1"/>
  <c r="A188" i="1"/>
  <c r="D188" i="1" s="1"/>
  <c r="A189" i="1"/>
  <c r="D189" i="1" s="1"/>
  <c r="A190" i="1"/>
  <c r="D190" i="1" s="1"/>
  <c r="A191" i="1"/>
  <c r="D191" i="1" s="1"/>
  <c r="A192" i="1"/>
  <c r="I192" i="1" s="1"/>
  <c r="A193" i="1"/>
  <c r="I193" i="1" s="1"/>
  <c r="A194" i="1"/>
  <c r="I194" i="1" s="1"/>
  <c r="A195" i="1"/>
  <c r="D195" i="1" s="1"/>
  <c r="A196" i="1"/>
  <c r="D196" i="1" s="1"/>
  <c r="A197" i="1"/>
  <c r="D197" i="1" s="1"/>
  <c r="A198" i="1"/>
  <c r="D198" i="1" s="1"/>
  <c r="A199" i="1"/>
  <c r="D199" i="1" s="1"/>
  <c r="A200" i="1"/>
  <c r="I200" i="1" s="1"/>
  <c r="A201" i="1"/>
  <c r="I201" i="1" s="1"/>
  <c r="A202" i="1"/>
  <c r="I202" i="1" s="1"/>
  <c r="A203" i="1"/>
  <c r="D203" i="1" s="1"/>
  <c r="A204" i="1"/>
  <c r="D204" i="1" s="1"/>
  <c r="A205" i="1"/>
  <c r="D205" i="1" s="1"/>
  <c r="A206" i="1"/>
  <c r="D206" i="1" s="1"/>
  <c r="A207" i="1"/>
  <c r="D207" i="1" s="1"/>
  <c r="A208" i="1"/>
  <c r="I208" i="1" s="1"/>
  <c r="A209" i="1"/>
  <c r="I209" i="1" s="1"/>
  <c r="A210" i="1"/>
  <c r="I210" i="1" s="1"/>
  <c r="A211" i="1"/>
  <c r="D211" i="1" s="1"/>
  <c r="A212" i="1"/>
  <c r="D212" i="1" s="1"/>
  <c r="A213" i="1"/>
  <c r="D213" i="1" s="1"/>
  <c r="A214" i="1"/>
  <c r="D214" i="1" s="1"/>
  <c r="A215" i="1"/>
  <c r="D215" i="1" s="1"/>
  <c r="A216" i="1"/>
  <c r="I216" i="1" s="1"/>
  <c r="A217" i="1"/>
  <c r="I217" i="1" s="1"/>
  <c r="A218" i="1"/>
  <c r="I218" i="1" s="1"/>
  <c r="A219" i="1"/>
  <c r="D219" i="1" s="1"/>
  <c r="A220" i="1"/>
  <c r="D220" i="1" s="1"/>
  <c r="A221" i="1"/>
  <c r="D221" i="1" s="1"/>
  <c r="A222" i="1"/>
  <c r="D222" i="1" s="1"/>
  <c r="A223" i="1"/>
  <c r="D223" i="1" s="1"/>
  <c r="A224" i="1"/>
  <c r="I224" i="1" s="1"/>
  <c r="A225" i="1"/>
  <c r="I225" i="1" s="1"/>
  <c r="A226" i="1"/>
  <c r="I226" i="1" s="1"/>
  <c r="A227" i="1"/>
  <c r="D227" i="1" s="1"/>
  <c r="A228" i="1"/>
  <c r="D228" i="1" s="1"/>
  <c r="A229" i="1"/>
  <c r="D229" i="1" s="1"/>
  <c r="A230" i="1"/>
  <c r="D230" i="1" s="1"/>
  <c r="A231" i="1"/>
  <c r="D231" i="1" s="1"/>
  <c r="A232" i="1"/>
  <c r="I232" i="1" s="1"/>
  <c r="A233" i="1"/>
  <c r="I233" i="1" s="1"/>
  <c r="A234" i="1"/>
  <c r="I234" i="1" s="1"/>
  <c r="A235" i="1"/>
  <c r="D235" i="1" s="1"/>
  <c r="A236" i="1"/>
  <c r="D236" i="1" s="1"/>
  <c r="A237" i="1"/>
  <c r="D237" i="1" s="1"/>
  <c r="A238" i="1"/>
  <c r="D238" i="1" s="1"/>
  <c r="A239" i="1"/>
  <c r="D239" i="1" s="1"/>
  <c r="A240" i="1"/>
  <c r="I240" i="1" s="1"/>
  <c r="A241" i="1"/>
  <c r="I241" i="1" s="1"/>
  <c r="A242" i="1"/>
  <c r="I242" i="1" s="1"/>
  <c r="A243" i="1"/>
  <c r="D243" i="1" s="1"/>
  <c r="A244" i="1"/>
  <c r="D244" i="1" s="1"/>
  <c r="A245" i="1"/>
  <c r="D245" i="1" s="1"/>
  <c r="A246" i="1"/>
  <c r="D246" i="1" s="1"/>
  <c r="A247" i="1"/>
  <c r="D247" i="1" s="1"/>
  <c r="A248" i="1"/>
  <c r="I248" i="1" s="1"/>
  <c r="A249" i="1"/>
  <c r="I249" i="1" s="1"/>
  <c r="A250" i="1"/>
  <c r="I250" i="1" s="1"/>
  <c r="A251" i="1"/>
  <c r="D251" i="1" s="1"/>
  <c r="A252" i="1"/>
  <c r="D252" i="1" s="1"/>
  <c r="A253" i="1"/>
  <c r="D253" i="1" s="1"/>
  <c r="A254" i="1"/>
  <c r="D254" i="1" s="1"/>
  <c r="A255" i="1"/>
  <c r="D255" i="1" s="1"/>
  <c r="A256" i="1"/>
  <c r="I256" i="1" s="1"/>
  <c r="A257" i="1"/>
  <c r="I257" i="1" s="1"/>
  <c r="A258" i="1"/>
  <c r="I258" i="1" s="1"/>
  <c r="A259" i="1"/>
  <c r="D259" i="1" s="1"/>
  <c r="A260" i="1"/>
  <c r="D260" i="1" s="1"/>
  <c r="A261" i="1"/>
  <c r="D261" i="1" s="1"/>
  <c r="A262" i="1"/>
  <c r="D262" i="1" s="1"/>
  <c r="A263" i="1"/>
  <c r="D263" i="1" s="1"/>
  <c r="A264" i="1"/>
  <c r="I264" i="1" s="1"/>
  <c r="A265" i="1"/>
  <c r="I265" i="1" s="1"/>
  <c r="A266" i="1"/>
  <c r="I266" i="1" s="1"/>
  <c r="A267" i="1"/>
  <c r="D267" i="1" s="1"/>
  <c r="A268" i="1"/>
  <c r="D268" i="1" s="1"/>
  <c r="A269" i="1"/>
  <c r="D269" i="1" s="1"/>
  <c r="A270" i="1"/>
  <c r="D270" i="1" s="1"/>
  <c r="A271" i="1"/>
  <c r="D271" i="1" s="1"/>
  <c r="A272" i="1"/>
  <c r="I272" i="1" s="1"/>
  <c r="A273" i="1"/>
  <c r="I273" i="1" s="1"/>
  <c r="A274" i="1"/>
  <c r="I274" i="1" s="1"/>
  <c r="A275" i="1"/>
  <c r="D275" i="1" s="1"/>
  <c r="A276" i="1"/>
  <c r="D276" i="1" s="1"/>
  <c r="A277" i="1"/>
  <c r="D277" i="1" s="1"/>
  <c r="A278" i="1"/>
  <c r="D278" i="1" s="1"/>
  <c r="A279" i="1"/>
  <c r="D279" i="1" s="1"/>
  <c r="A280" i="1"/>
  <c r="I280" i="1" s="1"/>
  <c r="A281" i="1"/>
  <c r="I281" i="1" s="1"/>
  <c r="A282" i="1"/>
  <c r="I282" i="1" s="1"/>
  <c r="A283" i="1"/>
  <c r="D283" i="1" s="1"/>
  <c r="A284" i="1"/>
  <c r="D284" i="1" s="1"/>
  <c r="A285" i="1"/>
  <c r="D285" i="1" s="1"/>
  <c r="A286" i="1"/>
  <c r="D286" i="1" s="1"/>
  <c r="A287" i="1"/>
  <c r="D287" i="1" s="1"/>
  <c r="A288" i="1"/>
  <c r="I288" i="1" s="1"/>
  <c r="A289" i="1"/>
  <c r="I289" i="1" s="1"/>
  <c r="A290" i="1"/>
  <c r="I290" i="1" s="1"/>
  <c r="A291" i="1"/>
  <c r="D291" i="1" s="1"/>
  <c r="A292" i="1"/>
  <c r="D292" i="1" s="1"/>
  <c r="A293" i="1"/>
  <c r="D293" i="1" s="1"/>
  <c r="A294" i="1"/>
  <c r="D294" i="1" s="1"/>
  <c r="A295" i="1"/>
  <c r="D295" i="1" s="1"/>
  <c r="A296" i="1"/>
  <c r="I296" i="1" s="1"/>
  <c r="A297" i="1"/>
  <c r="I297" i="1" s="1"/>
  <c r="A298" i="1"/>
  <c r="I298" i="1" s="1"/>
  <c r="A299" i="1"/>
  <c r="D299" i="1" s="1"/>
  <c r="A300" i="1"/>
  <c r="D300" i="1" s="1"/>
  <c r="A301" i="1"/>
  <c r="D301" i="1" s="1"/>
  <c r="A302" i="1"/>
  <c r="D302" i="1" s="1"/>
  <c r="A303" i="1"/>
  <c r="D303" i="1" s="1"/>
  <c r="A304" i="1"/>
  <c r="I304" i="1" s="1"/>
  <c r="A305" i="1"/>
  <c r="I305" i="1" s="1"/>
  <c r="A306" i="1"/>
  <c r="I306" i="1" s="1"/>
  <c r="A307" i="1"/>
  <c r="D307" i="1" s="1"/>
  <c r="A308" i="1"/>
  <c r="D308" i="1" s="1"/>
  <c r="A309" i="1"/>
  <c r="D309" i="1" s="1"/>
  <c r="A310" i="1"/>
  <c r="D310" i="1" s="1"/>
  <c r="A311" i="1"/>
  <c r="D311" i="1" s="1"/>
  <c r="A312" i="1"/>
  <c r="I312" i="1" s="1"/>
  <c r="A313" i="1"/>
  <c r="I313" i="1" s="1"/>
  <c r="A314" i="1"/>
  <c r="I314" i="1" s="1"/>
  <c r="A315" i="1"/>
  <c r="D315" i="1" s="1"/>
  <c r="A316" i="1"/>
  <c r="D316" i="1" s="1"/>
  <c r="A317" i="1"/>
  <c r="D317" i="1" s="1"/>
  <c r="A318" i="1"/>
  <c r="D318" i="1" s="1"/>
  <c r="A319" i="1"/>
  <c r="D319" i="1" s="1"/>
  <c r="A320" i="1"/>
  <c r="I320" i="1" s="1"/>
  <c r="A321" i="1"/>
  <c r="I321" i="1" s="1"/>
  <c r="A322" i="1"/>
  <c r="I322" i="1" s="1"/>
  <c r="A323" i="1"/>
  <c r="D323" i="1" s="1"/>
  <c r="A324" i="1"/>
  <c r="D324" i="1" s="1"/>
  <c r="A325" i="1"/>
  <c r="D325" i="1" s="1"/>
  <c r="A326" i="1"/>
  <c r="D326" i="1" s="1"/>
  <c r="A327" i="1"/>
  <c r="D327" i="1" s="1"/>
  <c r="A328" i="1"/>
  <c r="I328" i="1" s="1"/>
  <c r="A4" i="1"/>
  <c r="I4" i="1" s="1"/>
  <c r="D313" i="1" l="1"/>
  <c r="D281" i="1"/>
  <c r="D249" i="1"/>
  <c r="D217" i="1"/>
  <c r="D185" i="1"/>
  <c r="D153" i="1"/>
  <c r="D121" i="1"/>
  <c r="D89" i="1"/>
  <c r="D57" i="1"/>
  <c r="D25" i="1"/>
  <c r="I318" i="1"/>
  <c r="I286" i="1"/>
  <c r="I254" i="1"/>
  <c r="I222" i="1"/>
  <c r="I190" i="1"/>
  <c r="I134" i="1"/>
  <c r="I70" i="1"/>
  <c r="I6" i="1"/>
  <c r="D312" i="1"/>
  <c r="D280" i="1"/>
  <c r="D248" i="1"/>
  <c r="D216" i="1"/>
  <c r="D184" i="1"/>
  <c r="D152" i="1"/>
  <c r="D120" i="1"/>
  <c r="D88" i="1"/>
  <c r="D56" i="1"/>
  <c r="D24" i="1"/>
  <c r="I317" i="1"/>
  <c r="I285" i="1"/>
  <c r="I253" i="1"/>
  <c r="I221" i="1"/>
  <c r="I189" i="1"/>
  <c r="I126" i="1"/>
  <c r="I62" i="1"/>
  <c r="D305" i="1"/>
  <c r="D273" i="1"/>
  <c r="D241" i="1"/>
  <c r="D209" i="1"/>
  <c r="D177" i="1"/>
  <c r="D145" i="1"/>
  <c r="D113" i="1"/>
  <c r="D81" i="1"/>
  <c r="D49" i="1"/>
  <c r="D17" i="1"/>
  <c r="I310" i="1"/>
  <c r="I278" i="1"/>
  <c r="I246" i="1"/>
  <c r="I214" i="1"/>
  <c r="I182" i="1"/>
  <c r="I118" i="1"/>
  <c r="I54" i="1"/>
  <c r="D304" i="1"/>
  <c r="D272" i="1"/>
  <c r="D240" i="1"/>
  <c r="D208" i="1"/>
  <c r="D176" i="1"/>
  <c r="D144" i="1"/>
  <c r="D112" i="1"/>
  <c r="D80" i="1"/>
  <c r="D48" i="1"/>
  <c r="D16" i="1"/>
  <c r="I309" i="1"/>
  <c r="I277" i="1"/>
  <c r="I245" i="1"/>
  <c r="I213" i="1"/>
  <c r="I174" i="1"/>
  <c r="I110" i="1"/>
  <c r="I46" i="1"/>
  <c r="D4" i="1"/>
  <c r="D297" i="1"/>
  <c r="D265" i="1"/>
  <c r="D233" i="1"/>
  <c r="D201" i="1"/>
  <c r="D169" i="1"/>
  <c r="D137" i="1"/>
  <c r="D105" i="1"/>
  <c r="D73" i="1"/>
  <c r="D41" i="1"/>
  <c r="D9" i="1"/>
  <c r="I302" i="1"/>
  <c r="I270" i="1"/>
  <c r="I238" i="1"/>
  <c r="I206" i="1"/>
  <c r="I166" i="1"/>
  <c r="I102" i="1"/>
  <c r="I38" i="1"/>
  <c r="D328" i="1"/>
  <c r="D296" i="1"/>
  <c r="D264" i="1"/>
  <c r="D232" i="1"/>
  <c r="D200" i="1"/>
  <c r="D168" i="1"/>
  <c r="D136" i="1"/>
  <c r="D104" i="1"/>
  <c r="D72" i="1"/>
  <c r="D40" i="1"/>
  <c r="D8" i="1"/>
  <c r="I301" i="1"/>
  <c r="I269" i="1"/>
  <c r="I237" i="1"/>
  <c r="I205" i="1"/>
  <c r="I158" i="1"/>
  <c r="I94" i="1"/>
  <c r="I30" i="1"/>
  <c r="D322" i="1"/>
  <c r="D314" i="1"/>
  <c r="D306" i="1"/>
  <c r="D298" i="1"/>
  <c r="D290" i="1"/>
  <c r="D282" i="1"/>
  <c r="D274" i="1"/>
  <c r="D266" i="1"/>
  <c r="D258" i="1"/>
  <c r="D250" i="1"/>
  <c r="D242" i="1"/>
  <c r="D234" i="1"/>
  <c r="D226" i="1"/>
  <c r="D218" i="1"/>
  <c r="D210" i="1"/>
  <c r="D202" i="1"/>
  <c r="D194" i="1"/>
  <c r="D186" i="1"/>
  <c r="D178" i="1"/>
  <c r="D170" i="1"/>
  <c r="D162" i="1"/>
  <c r="D154" i="1"/>
  <c r="D146" i="1"/>
  <c r="D138" i="1"/>
  <c r="D130" i="1"/>
  <c r="D122" i="1"/>
  <c r="D114" i="1"/>
  <c r="D106" i="1"/>
  <c r="D98" i="1"/>
  <c r="D90" i="1"/>
  <c r="D82" i="1"/>
  <c r="D74" i="1"/>
  <c r="D66" i="1"/>
  <c r="D58" i="1"/>
  <c r="D50" i="1"/>
  <c r="D42" i="1"/>
  <c r="D34" i="1"/>
  <c r="D26" i="1"/>
  <c r="D18" i="1"/>
  <c r="D10" i="1"/>
  <c r="I327" i="1"/>
  <c r="I319" i="1"/>
  <c r="I311" i="1"/>
  <c r="I303" i="1"/>
  <c r="I295" i="1"/>
  <c r="I287" i="1"/>
  <c r="I279" i="1"/>
  <c r="I271" i="1"/>
  <c r="I263" i="1"/>
  <c r="I255" i="1"/>
  <c r="I247" i="1"/>
  <c r="I239" i="1"/>
  <c r="I231" i="1"/>
  <c r="I223" i="1"/>
  <c r="I215" i="1"/>
  <c r="I207" i="1"/>
  <c r="I199" i="1"/>
  <c r="I191" i="1"/>
  <c r="I183" i="1"/>
  <c r="I175" i="1"/>
  <c r="I167" i="1"/>
  <c r="I159" i="1"/>
  <c r="I151" i="1"/>
  <c r="I143" i="1"/>
  <c r="I135" i="1"/>
  <c r="I127" i="1"/>
  <c r="I119" i="1"/>
  <c r="I111" i="1"/>
  <c r="I103" i="1"/>
  <c r="I95" i="1"/>
  <c r="I87" i="1"/>
  <c r="I79" i="1"/>
  <c r="I71" i="1"/>
  <c r="I63" i="1"/>
  <c r="I55" i="1"/>
  <c r="I47" i="1"/>
  <c r="I39" i="1"/>
  <c r="I31" i="1"/>
  <c r="I23" i="1"/>
  <c r="I15" i="1"/>
  <c r="I7" i="1"/>
  <c r="I181" i="1"/>
  <c r="I173" i="1"/>
  <c r="I165" i="1"/>
  <c r="I157" i="1"/>
  <c r="I149" i="1"/>
  <c r="I141" i="1"/>
  <c r="I133" i="1"/>
  <c r="I125" i="1"/>
  <c r="I117" i="1"/>
  <c r="I109" i="1"/>
  <c r="I101" i="1"/>
  <c r="I93" i="1"/>
  <c r="I85" i="1"/>
  <c r="I77" i="1"/>
  <c r="I69" i="1"/>
  <c r="I61" i="1"/>
  <c r="I53" i="1"/>
  <c r="I45" i="1"/>
  <c r="I37" i="1"/>
  <c r="I29" i="1"/>
  <c r="I21" i="1"/>
  <c r="I13" i="1"/>
  <c r="I5" i="1"/>
  <c r="I324" i="1"/>
  <c r="I316" i="1"/>
  <c r="I308" i="1"/>
  <c r="I300" i="1"/>
  <c r="I292" i="1"/>
  <c r="I284" i="1"/>
  <c r="I276" i="1"/>
  <c r="I268" i="1"/>
  <c r="I260" i="1"/>
  <c r="I252" i="1"/>
  <c r="I244" i="1"/>
  <c r="I236" i="1"/>
  <c r="I228" i="1"/>
  <c r="I220" i="1"/>
  <c r="I212" i="1"/>
  <c r="I204" i="1"/>
  <c r="I196" i="1"/>
  <c r="I188" i="1"/>
  <c r="I180" i="1"/>
  <c r="I172" i="1"/>
  <c r="I164" i="1"/>
  <c r="I156" i="1"/>
  <c r="I148" i="1"/>
  <c r="I140" i="1"/>
  <c r="I132" i="1"/>
  <c r="I124" i="1"/>
  <c r="I116" i="1"/>
  <c r="I108" i="1"/>
  <c r="I100" i="1"/>
  <c r="I92" i="1"/>
  <c r="I84" i="1"/>
  <c r="I76" i="1"/>
  <c r="I68" i="1"/>
  <c r="I60" i="1"/>
  <c r="I52" i="1"/>
  <c r="I44" i="1"/>
  <c r="I36" i="1"/>
  <c r="I28" i="1"/>
  <c r="I20" i="1"/>
  <c r="I12" i="1"/>
  <c r="I323" i="1"/>
  <c r="I315" i="1"/>
  <c r="I307" i="1"/>
  <c r="I299" i="1"/>
  <c r="I291" i="1"/>
  <c r="I283" i="1"/>
  <c r="I275" i="1"/>
  <c r="I267" i="1"/>
  <c r="I259" i="1"/>
  <c r="I251" i="1"/>
  <c r="I243" i="1"/>
  <c r="I235" i="1"/>
  <c r="I227" i="1"/>
  <c r="I219" i="1"/>
  <c r="I211" i="1"/>
  <c r="I203" i="1"/>
  <c r="I195" i="1"/>
  <c r="I187" i="1"/>
  <c r="I179" i="1"/>
  <c r="I171" i="1"/>
  <c r="I163" i="1"/>
  <c r="I155" i="1"/>
  <c r="I147" i="1"/>
  <c r="I139" i="1"/>
  <c r="I131" i="1"/>
  <c r="I123" i="1"/>
  <c r="I115" i="1"/>
  <c r="I107" i="1"/>
  <c r="I99" i="1"/>
  <c r="I91" i="1"/>
  <c r="I83" i="1"/>
  <c r="I75" i="1"/>
  <c r="I67" i="1"/>
  <c r="I59" i="1"/>
  <c r="I51" i="1"/>
  <c r="I43" i="1"/>
  <c r="I35" i="1"/>
  <c r="I27" i="1"/>
  <c r="I19" i="1"/>
  <c r="I11" i="1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2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2" i="15"/>
  <c r="D329" i="1" l="1"/>
  <c r="J326" i="15"/>
  <c r="AR52" i="13" l="1"/>
  <c r="AR53" i="13" s="1"/>
  <c r="AR54" i="13" s="1"/>
  <c r="AR55" i="13" s="1"/>
  <c r="AR56" i="13" s="1"/>
  <c r="AR57" i="13" s="1"/>
  <c r="AR58" i="13" s="1"/>
  <c r="AR59" i="13" s="1"/>
  <c r="AM52" i="13"/>
  <c r="AM53" i="13"/>
  <c r="AM54" i="13"/>
  <c r="AM55" i="13"/>
  <c r="AM56" i="13"/>
  <c r="AM57" i="13"/>
  <c r="AM58" i="13"/>
  <c r="AM59" i="13"/>
  <c r="AI52" i="13"/>
  <c r="AI53" i="13"/>
  <c r="AI54" i="13"/>
  <c r="AI55" i="13"/>
  <c r="AI56" i="13"/>
  <c r="AI57" i="13" s="1"/>
  <c r="AI58" i="13" s="1"/>
  <c r="AI59" i="13" s="1"/>
  <c r="AE53" i="13"/>
  <c r="AE54" i="13"/>
  <c r="AE55" i="13"/>
  <c r="AE56" i="13"/>
  <c r="AE57" i="13"/>
  <c r="AE58" i="13"/>
  <c r="AE59" i="13"/>
  <c r="AE52" i="13"/>
  <c r="AS52" i="13"/>
  <c r="AT52" i="13"/>
  <c r="AA52" i="13"/>
  <c r="AB52" i="13" s="1"/>
  <c r="AA53" i="13" s="1"/>
  <c r="AB53" i="13" s="1"/>
  <c r="AA54" i="13" s="1"/>
  <c r="AB54" i="13" s="1"/>
  <c r="AA55" i="13" s="1"/>
  <c r="AB55" i="13" s="1"/>
  <c r="AA56" i="13" s="1"/>
  <c r="AB56" i="13" s="1"/>
  <c r="AA57" i="13" s="1"/>
  <c r="AB57" i="13" s="1"/>
  <c r="AA58" i="13" s="1"/>
  <c r="AB58" i="13" s="1"/>
  <c r="AA59" i="13" s="1"/>
  <c r="AB59" i="13" s="1"/>
  <c r="Y52" i="13"/>
  <c r="Z52" i="13" s="1"/>
  <c r="Y53" i="13" s="1"/>
  <c r="Z53" i="13" s="1"/>
  <c r="Y54" i="13" s="1"/>
  <c r="Z54" i="13" s="1"/>
  <c r="Y55" i="13" s="1"/>
  <c r="Z55" i="13" s="1"/>
  <c r="Y56" i="13" s="1"/>
  <c r="Z56" i="13" s="1"/>
  <c r="Y57" i="13" s="1"/>
  <c r="Z57" i="13" s="1"/>
  <c r="Y58" i="13" s="1"/>
  <c r="Z58" i="13" s="1"/>
  <c r="Y59" i="13" s="1"/>
  <c r="Z59" i="13" s="1"/>
  <c r="W52" i="13"/>
  <c r="X52" i="13" s="1"/>
  <c r="W53" i="13" s="1"/>
  <c r="X53" i="13" s="1"/>
  <c r="W54" i="13" s="1"/>
  <c r="X54" i="13" s="1"/>
  <c r="W55" i="13" s="1"/>
  <c r="X55" i="13" s="1"/>
  <c r="W56" i="13" s="1"/>
  <c r="X56" i="13" s="1"/>
  <c r="W57" i="13" s="1"/>
  <c r="X57" i="13" s="1"/>
  <c r="W58" i="13" s="1"/>
  <c r="X58" i="13" s="1"/>
  <c r="W59" i="13" s="1"/>
  <c r="X59" i="13" s="1"/>
  <c r="U52" i="13"/>
  <c r="V52" i="13" s="1"/>
  <c r="U53" i="13" s="1"/>
  <c r="V53" i="13" s="1"/>
  <c r="U54" i="13" s="1"/>
  <c r="V54" i="13" s="1"/>
  <c r="U55" i="13" s="1"/>
  <c r="V55" i="13" s="1"/>
  <c r="U56" i="13" s="1"/>
  <c r="V56" i="13" s="1"/>
  <c r="U57" i="13" s="1"/>
  <c r="V57" i="13" s="1"/>
  <c r="U58" i="13" s="1"/>
  <c r="V58" i="13" s="1"/>
  <c r="U59" i="13" s="1"/>
  <c r="V59" i="13" s="1"/>
  <c r="S52" i="13"/>
  <c r="T52" i="13" s="1"/>
  <c r="P52" i="13"/>
  <c r="Q52" i="13" s="1"/>
  <c r="R52" i="13" s="1"/>
  <c r="P53" i="13"/>
  <c r="P54" i="13"/>
  <c r="P55" i="13"/>
  <c r="P56" i="13"/>
  <c r="P57" i="13"/>
  <c r="P58" i="13"/>
  <c r="P59" i="13"/>
  <c r="M52" i="13"/>
  <c r="N52" i="13" s="1"/>
  <c r="O52" i="13" s="1"/>
  <c r="M53" i="13"/>
  <c r="M54" i="13"/>
  <c r="M55" i="13"/>
  <c r="M56" i="13"/>
  <c r="M57" i="13"/>
  <c r="M58" i="13"/>
  <c r="M59" i="13"/>
  <c r="J52" i="13"/>
  <c r="K52" i="13" s="1"/>
  <c r="L52" i="13" s="1"/>
  <c r="J53" i="13"/>
  <c r="J54" i="13"/>
  <c r="J55" i="13"/>
  <c r="J56" i="13"/>
  <c r="J57" i="13"/>
  <c r="J58" i="13"/>
  <c r="J59" i="13"/>
  <c r="G52" i="13"/>
  <c r="H52" i="13" s="1"/>
  <c r="I52" i="13" s="1"/>
  <c r="G53" i="13"/>
  <c r="G54" i="13"/>
  <c r="G55" i="13"/>
  <c r="G56" i="13"/>
  <c r="G57" i="13"/>
  <c r="G58" i="13"/>
  <c r="G59" i="13"/>
  <c r="C52" i="13"/>
  <c r="E52" i="13" s="1"/>
  <c r="H329" i="17"/>
  <c r="G329" i="17"/>
  <c r="I328" i="17"/>
  <c r="I327" i="17"/>
  <c r="I326" i="17"/>
  <c r="I325" i="17"/>
  <c r="I324" i="17"/>
  <c r="I323" i="17"/>
  <c r="I322" i="17"/>
  <c r="I321" i="17"/>
  <c r="I320" i="17"/>
  <c r="I319" i="17"/>
  <c r="I318" i="17"/>
  <c r="I317" i="17"/>
  <c r="I316" i="17"/>
  <c r="I315" i="17"/>
  <c r="I314" i="17"/>
  <c r="I313" i="17"/>
  <c r="I312" i="17"/>
  <c r="I311" i="17"/>
  <c r="I310" i="17"/>
  <c r="I309" i="17"/>
  <c r="I308" i="17"/>
  <c r="I307" i="17"/>
  <c r="I306" i="17"/>
  <c r="I305" i="17"/>
  <c r="I304" i="17"/>
  <c r="I303" i="17"/>
  <c r="I302" i="17"/>
  <c r="I301" i="17"/>
  <c r="I300" i="17"/>
  <c r="I299" i="17"/>
  <c r="I298" i="17"/>
  <c r="I297" i="17"/>
  <c r="I296" i="17"/>
  <c r="I295" i="17"/>
  <c r="I294" i="17"/>
  <c r="I293" i="17"/>
  <c r="I292" i="17"/>
  <c r="I291" i="17"/>
  <c r="I290" i="17"/>
  <c r="I289" i="17"/>
  <c r="I288" i="17"/>
  <c r="I287" i="17"/>
  <c r="I286" i="17"/>
  <c r="I285" i="17"/>
  <c r="I284" i="17"/>
  <c r="I283" i="17"/>
  <c r="I282" i="17"/>
  <c r="I281" i="17"/>
  <c r="I280" i="17"/>
  <c r="I279" i="17"/>
  <c r="I278" i="17"/>
  <c r="I277" i="17"/>
  <c r="I276" i="17"/>
  <c r="I275" i="17"/>
  <c r="I274" i="17"/>
  <c r="I273" i="17"/>
  <c r="I272" i="17"/>
  <c r="I271" i="17"/>
  <c r="I270" i="17"/>
  <c r="I269" i="17"/>
  <c r="I268" i="17"/>
  <c r="I267" i="17"/>
  <c r="I266" i="17"/>
  <c r="I265" i="17"/>
  <c r="I264" i="17"/>
  <c r="I263" i="17"/>
  <c r="I262" i="17"/>
  <c r="I261" i="17"/>
  <c r="I260" i="17"/>
  <c r="I259" i="17"/>
  <c r="I258" i="17"/>
  <c r="I257" i="17"/>
  <c r="I256" i="17"/>
  <c r="I255" i="17"/>
  <c r="I254" i="17"/>
  <c r="I253" i="17"/>
  <c r="I252" i="17"/>
  <c r="I251" i="17"/>
  <c r="I250" i="17"/>
  <c r="I249" i="17"/>
  <c r="I248" i="17"/>
  <c r="I247" i="17"/>
  <c r="I246" i="17"/>
  <c r="I245" i="17"/>
  <c r="I244" i="17"/>
  <c r="I243" i="17"/>
  <c r="I242" i="17"/>
  <c r="I241" i="17"/>
  <c r="I240" i="17"/>
  <c r="I239" i="17"/>
  <c r="I238" i="17"/>
  <c r="I237" i="17"/>
  <c r="I236" i="17"/>
  <c r="I235" i="17"/>
  <c r="I234" i="17"/>
  <c r="I233" i="17"/>
  <c r="I232" i="17"/>
  <c r="I231" i="17"/>
  <c r="I230" i="17"/>
  <c r="I229" i="17"/>
  <c r="I228" i="17"/>
  <c r="I227" i="17"/>
  <c r="I226" i="17"/>
  <c r="I225" i="17"/>
  <c r="I224" i="17"/>
  <c r="I223" i="17"/>
  <c r="I222" i="17"/>
  <c r="I221" i="17"/>
  <c r="I220" i="17"/>
  <c r="I219" i="17"/>
  <c r="I218" i="17"/>
  <c r="I217" i="17"/>
  <c r="I216" i="17"/>
  <c r="I215" i="17"/>
  <c r="I214" i="17"/>
  <c r="I213" i="17"/>
  <c r="I212" i="17"/>
  <c r="I211" i="17"/>
  <c r="I210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I2" i="17"/>
  <c r="I329" i="17" l="1"/>
  <c r="E330" i="1"/>
  <c r="N53" i="13"/>
  <c r="O53" i="13" s="1"/>
  <c r="N54" i="13" s="1"/>
  <c r="O54" i="13" s="1"/>
  <c r="N55" i="13" s="1"/>
  <c r="O55" i="13" s="1"/>
  <c r="N56" i="13" s="1"/>
  <c r="O56" i="13" s="1"/>
  <c r="N57" i="13" s="1"/>
  <c r="O57" i="13" s="1"/>
  <c r="N58" i="13" s="1"/>
  <c r="O58" i="13" s="1"/>
  <c r="N59" i="13" s="1"/>
  <c r="O59" i="13" s="1"/>
  <c r="H53" i="13"/>
  <c r="I53" i="13" s="1"/>
  <c r="H54" i="13" s="1"/>
  <c r="I54" i="13" s="1"/>
  <c r="H55" i="13" s="1"/>
  <c r="I55" i="13" s="1"/>
  <c r="H56" i="13" s="1"/>
  <c r="I56" i="13" s="1"/>
  <c r="H57" i="13" s="1"/>
  <c r="I57" i="13" s="1"/>
  <c r="H58" i="13" s="1"/>
  <c r="I58" i="13" s="1"/>
  <c r="H59" i="13" s="1"/>
  <c r="I59" i="13" s="1"/>
  <c r="K53" i="13"/>
  <c r="L53" i="13" s="1"/>
  <c r="K54" i="13" s="1"/>
  <c r="L54" i="13" s="1"/>
  <c r="K55" i="13" s="1"/>
  <c r="L55" i="13" s="1"/>
  <c r="K56" i="13" s="1"/>
  <c r="L56" i="13" s="1"/>
  <c r="K57" i="13" s="1"/>
  <c r="L57" i="13" s="1"/>
  <c r="K58" i="13" s="1"/>
  <c r="L58" i="13" s="1"/>
  <c r="K59" i="13" s="1"/>
  <c r="L59" i="13" s="1"/>
  <c r="Q53" i="13"/>
  <c r="R53" i="13" s="1"/>
  <c r="Q54" i="13" s="1"/>
  <c r="R54" i="13" s="1"/>
  <c r="Q55" i="13" s="1"/>
  <c r="R55" i="13" s="1"/>
  <c r="Q56" i="13" s="1"/>
  <c r="R56" i="13" s="1"/>
  <c r="Q57" i="13" s="1"/>
  <c r="R57" i="13" s="1"/>
  <c r="Q58" i="13" s="1"/>
  <c r="R58" i="13" s="1"/>
  <c r="Q59" i="13" s="1"/>
  <c r="R59" i="13" s="1"/>
  <c r="AH52" i="13"/>
  <c r="S53" i="13"/>
  <c r="T53" i="13" s="1"/>
  <c r="AO52" i="13"/>
  <c r="AT53" i="13"/>
  <c r="C53" i="13"/>
  <c r="E53" i="13" s="1"/>
  <c r="AD52" i="13"/>
  <c r="AS53" i="13" s="1"/>
  <c r="F52" i="13"/>
  <c r="AF52" i="13" s="1"/>
  <c r="F53" i="13" l="1"/>
  <c r="AF53" i="13" s="1"/>
  <c r="AT54" i="13"/>
  <c r="AD53" i="13"/>
  <c r="AS54" i="13" s="1"/>
  <c r="C54" i="13"/>
  <c r="E54" i="13" s="1"/>
  <c r="S54" i="13"/>
  <c r="T54" i="13" s="1"/>
  <c r="AH53" i="13"/>
  <c r="AO53" i="13"/>
  <c r="S55" i="13" l="1"/>
  <c r="T55" i="13" s="1"/>
  <c r="AO54" i="13"/>
  <c r="AH54" i="13"/>
  <c r="AT55" i="13"/>
  <c r="AD54" i="13"/>
  <c r="AS55" i="13" s="1"/>
  <c r="F54" i="13"/>
  <c r="AF54" i="13" s="1"/>
  <c r="C55" i="13"/>
  <c r="E55" i="13" s="1"/>
  <c r="AT56" i="13" l="1"/>
  <c r="F55" i="13"/>
  <c r="AF55" i="13" s="1"/>
  <c r="AD55" i="13"/>
  <c r="AS56" i="13" s="1"/>
  <c r="C56" i="13"/>
  <c r="E56" i="13" s="1"/>
  <c r="C57" i="13" s="1"/>
  <c r="E57" i="13" s="1"/>
  <c r="S56" i="13"/>
  <c r="T56" i="13" s="1"/>
  <c r="AO55" i="13"/>
  <c r="AH55" i="13"/>
  <c r="C3" i="1"/>
  <c r="S57" i="13" l="1"/>
  <c r="T57" i="13" s="1"/>
  <c r="AO56" i="13"/>
  <c r="AH56" i="13"/>
  <c r="AT58" i="13"/>
  <c r="AD57" i="13"/>
  <c r="AS58" i="13" s="1"/>
  <c r="F57" i="13"/>
  <c r="AF57" i="13" s="1"/>
  <c r="AT57" i="13"/>
  <c r="AD56" i="13"/>
  <c r="AS57" i="13" s="1"/>
  <c r="F56" i="13"/>
  <c r="AF56" i="13" s="1"/>
  <c r="C58" i="13"/>
  <c r="E58" i="13" s="1"/>
  <c r="J320" i="15"/>
  <c r="J314" i="15"/>
  <c r="J308" i="15"/>
  <c r="J302" i="15"/>
  <c r="J296" i="15"/>
  <c r="J290" i="15"/>
  <c r="J284" i="15"/>
  <c r="J278" i="15"/>
  <c r="J272" i="15"/>
  <c r="J266" i="15"/>
  <c r="J260" i="15"/>
  <c r="J254" i="15"/>
  <c r="J248" i="15"/>
  <c r="J242" i="15"/>
  <c r="J236" i="15"/>
  <c r="J230" i="15"/>
  <c r="J224" i="15"/>
  <c r="J218" i="15"/>
  <c r="J212" i="15"/>
  <c r="J206" i="15"/>
  <c r="J200" i="15"/>
  <c r="J194" i="15"/>
  <c r="J188" i="15"/>
  <c r="J182" i="15"/>
  <c r="J176" i="15"/>
  <c r="J170" i="15"/>
  <c r="J164" i="15"/>
  <c r="J158" i="15"/>
  <c r="J152" i="15"/>
  <c r="J146" i="15"/>
  <c r="J140" i="15"/>
  <c r="J134" i="15"/>
  <c r="J128" i="15"/>
  <c r="J122" i="15"/>
  <c r="J116" i="15"/>
  <c r="J110" i="15"/>
  <c r="J104" i="15"/>
  <c r="J98" i="15"/>
  <c r="J92" i="15"/>
  <c r="J86" i="15"/>
  <c r="J80" i="15"/>
  <c r="J74" i="15"/>
  <c r="J68" i="15"/>
  <c r="J62" i="15"/>
  <c r="J56" i="15"/>
  <c r="J50" i="15"/>
  <c r="J44" i="15"/>
  <c r="J38" i="15"/>
  <c r="J32" i="15"/>
  <c r="J26" i="15"/>
  <c r="J20" i="15"/>
  <c r="J14" i="15"/>
  <c r="J8" i="15"/>
  <c r="J325" i="15"/>
  <c r="J319" i="15"/>
  <c r="J313" i="15"/>
  <c r="J307" i="15"/>
  <c r="J301" i="15"/>
  <c r="J295" i="15"/>
  <c r="J289" i="15"/>
  <c r="J283" i="15"/>
  <c r="J277" i="15"/>
  <c r="J271" i="15"/>
  <c r="J265" i="15"/>
  <c r="J259" i="15"/>
  <c r="J253" i="15"/>
  <c r="J247" i="15"/>
  <c r="J241" i="15"/>
  <c r="J235" i="15"/>
  <c r="J229" i="15"/>
  <c r="J223" i="15"/>
  <c r="J217" i="15"/>
  <c r="J211" i="15"/>
  <c r="J205" i="15"/>
  <c r="J199" i="15"/>
  <c r="J193" i="15"/>
  <c r="J187" i="15"/>
  <c r="J181" i="15"/>
  <c r="J175" i="15"/>
  <c r="J169" i="15"/>
  <c r="J163" i="15"/>
  <c r="J157" i="15"/>
  <c r="J151" i="15"/>
  <c r="J145" i="15"/>
  <c r="J139" i="15"/>
  <c r="J133" i="15"/>
  <c r="J127" i="15"/>
  <c r="J121" i="15"/>
  <c r="J115" i="15"/>
  <c r="J109" i="15"/>
  <c r="J103" i="15"/>
  <c r="J97" i="15"/>
  <c r="J91" i="15"/>
  <c r="J85" i="15"/>
  <c r="J79" i="15"/>
  <c r="J73" i="15"/>
  <c r="J67" i="15"/>
  <c r="J61" i="15"/>
  <c r="J55" i="15"/>
  <c r="J49" i="15"/>
  <c r="J43" i="15"/>
  <c r="J37" i="15"/>
  <c r="J31" i="15"/>
  <c r="J25" i="15"/>
  <c r="J19" i="15"/>
  <c r="J13" i="15"/>
  <c r="J7" i="15"/>
  <c r="J324" i="15"/>
  <c r="J318" i="15"/>
  <c r="J312" i="15"/>
  <c r="J306" i="15"/>
  <c r="J300" i="15"/>
  <c r="J294" i="15"/>
  <c r="J288" i="15"/>
  <c r="J282" i="15"/>
  <c r="J276" i="15"/>
  <c r="J270" i="15"/>
  <c r="J264" i="15"/>
  <c r="J258" i="15"/>
  <c r="J252" i="15"/>
  <c r="J246" i="15"/>
  <c r="J240" i="15"/>
  <c r="J234" i="15"/>
  <c r="J228" i="15"/>
  <c r="J222" i="15"/>
  <c r="J216" i="15"/>
  <c r="J210" i="15"/>
  <c r="J204" i="15"/>
  <c r="J198" i="15"/>
  <c r="J192" i="15"/>
  <c r="J186" i="15"/>
  <c r="J180" i="15"/>
  <c r="J174" i="15"/>
  <c r="J168" i="15"/>
  <c r="J162" i="15"/>
  <c r="J156" i="15"/>
  <c r="J150" i="15"/>
  <c r="J144" i="15"/>
  <c r="J138" i="15"/>
  <c r="J132" i="15"/>
  <c r="J126" i="15"/>
  <c r="J120" i="15"/>
  <c r="J114" i="15"/>
  <c r="J108" i="15"/>
  <c r="J102" i="15"/>
  <c r="J96" i="15"/>
  <c r="J90" i="15"/>
  <c r="J84" i="15"/>
  <c r="J78" i="15"/>
  <c r="J72" i="15"/>
  <c r="J66" i="15"/>
  <c r="J60" i="15"/>
  <c r="J54" i="15"/>
  <c r="J48" i="15"/>
  <c r="J42" i="15"/>
  <c r="J36" i="15"/>
  <c r="J30" i="15"/>
  <c r="J24" i="15"/>
  <c r="J18" i="15"/>
  <c r="J12" i="15"/>
  <c r="J6" i="15"/>
  <c r="J323" i="15"/>
  <c r="J317" i="15"/>
  <c r="J311" i="15"/>
  <c r="J305" i="15"/>
  <c r="J299" i="15"/>
  <c r="J293" i="15"/>
  <c r="J287" i="15"/>
  <c r="J281" i="15"/>
  <c r="J275" i="15"/>
  <c r="J269" i="15"/>
  <c r="J263" i="15"/>
  <c r="J257" i="15"/>
  <c r="J251" i="15"/>
  <c r="J245" i="15"/>
  <c r="J239" i="15"/>
  <c r="J233" i="15"/>
  <c r="J227" i="15"/>
  <c r="J221" i="15"/>
  <c r="J215" i="15"/>
  <c r="J209" i="15"/>
  <c r="J203" i="15"/>
  <c r="J197" i="15"/>
  <c r="J191" i="15"/>
  <c r="J185" i="15"/>
  <c r="J179" i="15"/>
  <c r="J173" i="15"/>
  <c r="J167" i="15"/>
  <c r="J161" i="15"/>
  <c r="J155" i="15"/>
  <c r="J149" i="15"/>
  <c r="J143" i="15"/>
  <c r="J137" i="15"/>
  <c r="J131" i="15"/>
  <c r="J125" i="15"/>
  <c r="J119" i="15"/>
  <c r="J113" i="15"/>
  <c r="J107" i="15"/>
  <c r="J101" i="15"/>
  <c r="J95" i="15"/>
  <c r="J89" i="15"/>
  <c r="J83" i="15"/>
  <c r="J77" i="15"/>
  <c r="J71" i="15"/>
  <c r="J65" i="15"/>
  <c r="J59" i="15"/>
  <c r="J53" i="15"/>
  <c r="J47" i="15"/>
  <c r="J41" i="15"/>
  <c r="J35" i="15"/>
  <c r="J29" i="15"/>
  <c r="J23" i="15"/>
  <c r="J17" i="15"/>
  <c r="J11" i="15"/>
  <c r="J5" i="15"/>
  <c r="J322" i="15"/>
  <c r="J316" i="15"/>
  <c r="J310" i="15"/>
  <c r="J304" i="15"/>
  <c r="J298" i="15"/>
  <c r="J292" i="15"/>
  <c r="J286" i="15"/>
  <c r="J280" i="15"/>
  <c r="J274" i="15"/>
  <c r="J268" i="15"/>
  <c r="J262" i="15"/>
  <c r="J256" i="15"/>
  <c r="J250" i="15"/>
  <c r="J244" i="15"/>
  <c r="J238" i="15"/>
  <c r="J232" i="15"/>
  <c r="J226" i="15"/>
  <c r="J220" i="15"/>
  <c r="J214" i="15"/>
  <c r="J208" i="15"/>
  <c r="J202" i="15"/>
  <c r="J196" i="15"/>
  <c r="J190" i="15"/>
  <c r="J184" i="15"/>
  <c r="J178" i="15"/>
  <c r="J172" i="15"/>
  <c r="J166" i="15"/>
  <c r="J160" i="15"/>
  <c r="J154" i="15"/>
  <c r="J148" i="15"/>
  <c r="J142" i="15"/>
  <c r="J136" i="15"/>
  <c r="J130" i="15"/>
  <c r="J124" i="15"/>
  <c r="J118" i="15"/>
  <c r="J112" i="15"/>
  <c r="J106" i="15"/>
  <c r="J100" i="15"/>
  <c r="J94" i="15"/>
  <c r="J88" i="15"/>
  <c r="J82" i="15"/>
  <c r="J76" i="15"/>
  <c r="J70" i="15"/>
  <c r="J64" i="15"/>
  <c r="J58" i="15"/>
  <c r="J52" i="15"/>
  <c r="J46" i="15"/>
  <c r="J40" i="15"/>
  <c r="J34" i="15"/>
  <c r="J28" i="15"/>
  <c r="J22" i="15"/>
  <c r="J16" i="15"/>
  <c r="J10" i="15"/>
  <c r="J4" i="15"/>
  <c r="J321" i="15"/>
  <c r="J315" i="15"/>
  <c r="J309" i="15"/>
  <c r="J303" i="15"/>
  <c r="J297" i="15"/>
  <c r="J291" i="15"/>
  <c r="J285" i="15"/>
  <c r="J279" i="15"/>
  <c r="J273" i="15"/>
  <c r="J267" i="15"/>
  <c r="J261" i="15"/>
  <c r="J255" i="15"/>
  <c r="J249" i="15"/>
  <c r="J243" i="15"/>
  <c r="J237" i="15"/>
  <c r="J231" i="15"/>
  <c r="J225" i="15"/>
  <c r="J219" i="15"/>
  <c r="J213" i="15"/>
  <c r="J207" i="15"/>
  <c r="J201" i="15"/>
  <c r="J195" i="15"/>
  <c r="J189" i="15"/>
  <c r="J183" i="15"/>
  <c r="J177" i="15"/>
  <c r="J171" i="15"/>
  <c r="J165" i="15"/>
  <c r="J159" i="15"/>
  <c r="J153" i="15"/>
  <c r="J147" i="15"/>
  <c r="J141" i="15"/>
  <c r="J135" i="15"/>
  <c r="J129" i="15"/>
  <c r="J123" i="15"/>
  <c r="J117" i="15"/>
  <c r="J111" i="15"/>
  <c r="J105" i="15"/>
  <c r="J99" i="15"/>
  <c r="J93" i="15"/>
  <c r="J87" i="15"/>
  <c r="J81" i="15"/>
  <c r="J75" i="15"/>
  <c r="J69" i="15"/>
  <c r="J63" i="15"/>
  <c r="J57" i="15"/>
  <c r="J51" i="15"/>
  <c r="J45" i="15"/>
  <c r="J39" i="15"/>
  <c r="J33" i="15"/>
  <c r="J27" i="15"/>
  <c r="J21" i="15"/>
  <c r="J15" i="15"/>
  <c r="J9" i="15"/>
  <c r="J3" i="15"/>
  <c r="J2" i="15"/>
  <c r="S58" i="13" l="1"/>
  <c r="T58" i="13" s="1"/>
  <c r="AH57" i="13"/>
  <c r="AO57" i="13"/>
  <c r="F58" i="13"/>
  <c r="AF58" i="13" s="1"/>
  <c r="AT59" i="13"/>
  <c r="AD58" i="13"/>
  <c r="AS59" i="13" s="1"/>
  <c r="C59" i="13"/>
  <c r="E59" i="13" s="1"/>
  <c r="AD59" i="13" l="1"/>
  <c r="F59" i="13"/>
  <c r="AF59" i="13" s="1"/>
  <c r="S59" i="13"/>
  <c r="T59" i="13" s="1"/>
  <c r="AH58" i="13"/>
  <c r="AO58" i="13"/>
  <c r="E316" i="1"/>
  <c r="C316" i="1"/>
  <c r="B316" i="1"/>
  <c r="E292" i="1"/>
  <c r="B292" i="1"/>
  <c r="C292" i="1"/>
  <c r="E268" i="1"/>
  <c r="C268" i="1"/>
  <c r="B268" i="1"/>
  <c r="E244" i="1"/>
  <c r="C244" i="1"/>
  <c r="B244" i="1"/>
  <c r="E220" i="1"/>
  <c r="B220" i="1"/>
  <c r="C220" i="1"/>
  <c r="E196" i="1"/>
  <c r="C196" i="1"/>
  <c r="B196" i="1"/>
  <c r="E172" i="1"/>
  <c r="C172" i="1"/>
  <c r="B172" i="1"/>
  <c r="E148" i="1"/>
  <c r="C148" i="1"/>
  <c r="B148" i="1"/>
  <c r="E124" i="1"/>
  <c r="C124" i="1"/>
  <c r="B124" i="1"/>
  <c r="E94" i="1"/>
  <c r="C94" i="1"/>
  <c r="B94" i="1"/>
  <c r="E70" i="1"/>
  <c r="C70" i="1"/>
  <c r="B70" i="1"/>
  <c r="E52" i="1"/>
  <c r="C52" i="1"/>
  <c r="B52" i="1"/>
  <c r="E34" i="1"/>
  <c r="C34" i="1"/>
  <c r="B34" i="1"/>
  <c r="E28" i="1"/>
  <c r="C28" i="1"/>
  <c r="B28" i="1"/>
  <c r="E327" i="1"/>
  <c r="B327" i="1"/>
  <c r="C327" i="1"/>
  <c r="E303" i="1"/>
  <c r="C303" i="1"/>
  <c r="B303" i="1"/>
  <c r="E273" i="1"/>
  <c r="C273" i="1"/>
  <c r="B273" i="1"/>
  <c r="E249" i="1"/>
  <c r="B249" i="1"/>
  <c r="C249" i="1"/>
  <c r="E231" i="1"/>
  <c r="C231" i="1"/>
  <c r="B231" i="1"/>
  <c r="E213" i="1"/>
  <c r="B213" i="1"/>
  <c r="C213" i="1"/>
  <c r="E201" i="1"/>
  <c r="C201" i="1"/>
  <c r="B201" i="1"/>
  <c r="E189" i="1"/>
  <c r="C189" i="1"/>
  <c r="B189" i="1"/>
  <c r="E177" i="1"/>
  <c r="C177" i="1"/>
  <c r="B177" i="1"/>
  <c r="E165" i="1"/>
  <c r="C165" i="1"/>
  <c r="B165" i="1"/>
  <c r="E153" i="1"/>
  <c r="C153" i="1"/>
  <c r="B153" i="1"/>
  <c r="E141" i="1"/>
  <c r="C141" i="1"/>
  <c r="B141" i="1"/>
  <c r="E129" i="1"/>
  <c r="C129" i="1"/>
  <c r="B129" i="1"/>
  <c r="E117" i="1"/>
  <c r="C117" i="1"/>
  <c r="B117" i="1"/>
  <c r="E105" i="1"/>
  <c r="C105" i="1"/>
  <c r="B105" i="1"/>
  <c r="E93" i="1"/>
  <c r="C93" i="1"/>
  <c r="B93" i="1"/>
  <c r="E81" i="1"/>
  <c r="C81" i="1"/>
  <c r="B81" i="1"/>
  <c r="E69" i="1"/>
  <c r="C69" i="1"/>
  <c r="B69" i="1"/>
  <c r="E57" i="1"/>
  <c r="C57" i="1"/>
  <c r="B57" i="1"/>
  <c r="E51" i="1"/>
  <c r="C51" i="1"/>
  <c r="B51" i="1"/>
  <c r="E39" i="1"/>
  <c r="C39" i="1"/>
  <c r="B39" i="1"/>
  <c r="E27" i="1"/>
  <c r="C27" i="1"/>
  <c r="B27" i="1"/>
  <c r="E9" i="1"/>
  <c r="C9" i="1"/>
  <c r="B9" i="1"/>
  <c r="C326" i="1"/>
  <c r="E326" i="1"/>
  <c r="B326" i="1"/>
  <c r="C320" i="1"/>
  <c r="B320" i="1"/>
  <c r="E320" i="1"/>
  <c r="E314" i="1"/>
  <c r="C314" i="1"/>
  <c r="B314" i="1"/>
  <c r="C308" i="1"/>
  <c r="E308" i="1"/>
  <c r="B308" i="1"/>
  <c r="C302" i="1"/>
  <c r="B302" i="1"/>
  <c r="E302" i="1"/>
  <c r="C296" i="1"/>
  <c r="E296" i="1"/>
  <c r="B296" i="1"/>
  <c r="C290" i="1"/>
  <c r="B290" i="1"/>
  <c r="E290" i="1"/>
  <c r="C284" i="1"/>
  <c r="B284" i="1"/>
  <c r="E284" i="1"/>
  <c r="E278" i="1"/>
  <c r="C278" i="1"/>
  <c r="B278" i="1"/>
  <c r="C272" i="1"/>
  <c r="E272" i="1"/>
  <c r="B272" i="1"/>
  <c r="C266" i="1"/>
  <c r="E266" i="1"/>
  <c r="B266" i="1"/>
  <c r="C260" i="1"/>
  <c r="E260" i="1"/>
  <c r="B260" i="1"/>
  <c r="C254" i="1"/>
  <c r="E254" i="1"/>
  <c r="B254" i="1"/>
  <c r="C248" i="1"/>
  <c r="E248" i="1"/>
  <c r="B248" i="1"/>
  <c r="E242" i="1"/>
  <c r="C242" i="1"/>
  <c r="B242" i="1"/>
  <c r="C236" i="1"/>
  <c r="B236" i="1"/>
  <c r="E236" i="1"/>
  <c r="C230" i="1"/>
  <c r="E230" i="1"/>
  <c r="B230" i="1"/>
  <c r="C224" i="1"/>
  <c r="E224" i="1"/>
  <c r="B224" i="1"/>
  <c r="C218" i="1"/>
  <c r="E218" i="1"/>
  <c r="B218" i="1"/>
  <c r="C212" i="1"/>
  <c r="E212" i="1"/>
  <c r="B212" i="1"/>
  <c r="E206" i="1"/>
  <c r="C206" i="1"/>
  <c r="B206" i="1"/>
  <c r="C200" i="1"/>
  <c r="B200" i="1"/>
  <c r="E200" i="1"/>
  <c r="C194" i="1"/>
  <c r="E194" i="1"/>
  <c r="B194" i="1"/>
  <c r="C188" i="1"/>
  <c r="E188" i="1"/>
  <c r="B188" i="1"/>
  <c r="C182" i="1"/>
  <c r="B182" i="1"/>
  <c r="E182" i="1"/>
  <c r="C176" i="1"/>
  <c r="E176" i="1"/>
  <c r="B176" i="1"/>
  <c r="C170" i="1"/>
  <c r="E170" i="1"/>
  <c r="B170" i="1"/>
  <c r="C164" i="1"/>
  <c r="E164" i="1"/>
  <c r="B164" i="1"/>
  <c r="C158" i="1"/>
  <c r="E158" i="1"/>
  <c r="B158" i="1"/>
  <c r="C152" i="1"/>
  <c r="B152" i="1"/>
  <c r="E152" i="1"/>
  <c r="C146" i="1"/>
  <c r="E146" i="1"/>
  <c r="B146" i="1"/>
  <c r="C140" i="1"/>
  <c r="B140" i="1"/>
  <c r="E140" i="1"/>
  <c r="C134" i="1"/>
  <c r="E134" i="1"/>
  <c r="B134" i="1"/>
  <c r="C128" i="1"/>
  <c r="B128" i="1"/>
  <c r="E128" i="1"/>
  <c r="C122" i="1"/>
  <c r="E122" i="1"/>
  <c r="B122" i="1"/>
  <c r="C116" i="1"/>
  <c r="E116" i="1"/>
  <c r="B116" i="1"/>
  <c r="C110" i="1"/>
  <c r="B110" i="1"/>
  <c r="E110" i="1"/>
  <c r="C104" i="1"/>
  <c r="B104" i="1"/>
  <c r="E104" i="1"/>
  <c r="C98" i="1"/>
  <c r="E98" i="1"/>
  <c r="B98" i="1"/>
  <c r="C92" i="1"/>
  <c r="E92" i="1"/>
  <c r="B92" i="1"/>
  <c r="C86" i="1"/>
  <c r="E86" i="1"/>
  <c r="B86" i="1"/>
  <c r="C80" i="1"/>
  <c r="E80" i="1"/>
  <c r="B80" i="1"/>
  <c r="C74" i="1"/>
  <c r="E74" i="1"/>
  <c r="B74" i="1"/>
  <c r="C68" i="1"/>
  <c r="B68" i="1"/>
  <c r="E68" i="1"/>
  <c r="C62" i="1"/>
  <c r="E62" i="1"/>
  <c r="B62" i="1"/>
  <c r="C56" i="1"/>
  <c r="E56" i="1"/>
  <c r="B56" i="1"/>
  <c r="C50" i="1"/>
  <c r="E50" i="1"/>
  <c r="B50" i="1"/>
  <c r="C44" i="1"/>
  <c r="E44" i="1"/>
  <c r="B44" i="1"/>
  <c r="C38" i="1"/>
  <c r="E38" i="1"/>
  <c r="B38" i="1"/>
  <c r="C32" i="1"/>
  <c r="E32" i="1"/>
  <c r="B32" i="1"/>
  <c r="C26" i="1"/>
  <c r="E26" i="1"/>
  <c r="B26" i="1"/>
  <c r="C20" i="1"/>
  <c r="B20" i="1"/>
  <c r="E20" i="1"/>
  <c r="C14" i="1"/>
  <c r="E14" i="1"/>
  <c r="B14" i="1"/>
  <c r="C8" i="1"/>
  <c r="E8" i="1"/>
  <c r="B8" i="1"/>
  <c r="E328" i="1"/>
  <c r="B328" i="1"/>
  <c r="C328" i="1"/>
  <c r="E304" i="1"/>
  <c r="C304" i="1"/>
  <c r="B304" i="1"/>
  <c r="E274" i="1"/>
  <c r="C274" i="1"/>
  <c r="B274" i="1"/>
  <c r="E250" i="1"/>
  <c r="C250" i="1"/>
  <c r="B250" i="1"/>
  <c r="E226" i="1"/>
  <c r="B226" i="1"/>
  <c r="C226" i="1"/>
  <c r="E202" i="1"/>
  <c r="C202" i="1"/>
  <c r="B202" i="1"/>
  <c r="E178" i="1"/>
  <c r="C178" i="1"/>
  <c r="B178" i="1"/>
  <c r="E154" i="1"/>
  <c r="C154" i="1"/>
  <c r="B154" i="1"/>
  <c r="E130" i="1"/>
  <c r="C130" i="1"/>
  <c r="B130" i="1"/>
  <c r="E106" i="1"/>
  <c r="C106" i="1"/>
  <c r="B106" i="1"/>
  <c r="E82" i="1"/>
  <c r="C82" i="1"/>
  <c r="B82" i="1"/>
  <c r="E58" i="1"/>
  <c r="C58" i="1"/>
  <c r="B58" i="1"/>
  <c r="E40" i="1"/>
  <c r="C40" i="1"/>
  <c r="B40" i="1"/>
  <c r="E16" i="1"/>
  <c r="C16" i="1"/>
  <c r="B16" i="1"/>
  <c r="E315" i="1"/>
  <c r="B315" i="1"/>
  <c r="C315" i="1"/>
  <c r="E285" i="1"/>
  <c r="B285" i="1"/>
  <c r="C285" i="1"/>
  <c r="E261" i="1"/>
  <c r="B261" i="1"/>
  <c r="C261" i="1"/>
  <c r="E243" i="1"/>
  <c r="C243" i="1"/>
  <c r="B243" i="1"/>
  <c r="E219" i="1"/>
  <c r="B219" i="1"/>
  <c r="C219" i="1"/>
  <c r="E207" i="1"/>
  <c r="C207" i="1"/>
  <c r="B207" i="1"/>
  <c r="E195" i="1"/>
  <c r="C195" i="1"/>
  <c r="B195" i="1"/>
  <c r="E183" i="1"/>
  <c r="C183" i="1"/>
  <c r="B183" i="1"/>
  <c r="E171" i="1"/>
  <c r="C171" i="1"/>
  <c r="B171" i="1"/>
  <c r="E159" i="1"/>
  <c r="C159" i="1"/>
  <c r="B159" i="1"/>
  <c r="E147" i="1"/>
  <c r="C147" i="1"/>
  <c r="B147" i="1"/>
  <c r="E135" i="1"/>
  <c r="C135" i="1"/>
  <c r="B135" i="1"/>
  <c r="E123" i="1"/>
  <c r="C123" i="1"/>
  <c r="B123" i="1"/>
  <c r="E111" i="1"/>
  <c r="C111" i="1"/>
  <c r="B111" i="1"/>
  <c r="E99" i="1"/>
  <c r="C99" i="1"/>
  <c r="B99" i="1"/>
  <c r="E87" i="1"/>
  <c r="C87" i="1"/>
  <c r="B87" i="1"/>
  <c r="E75" i="1"/>
  <c r="C75" i="1"/>
  <c r="B75" i="1"/>
  <c r="E63" i="1"/>
  <c r="C63" i="1"/>
  <c r="B63" i="1"/>
  <c r="E45" i="1"/>
  <c r="C45" i="1"/>
  <c r="B45" i="1"/>
  <c r="E33" i="1"/>
  <c r="C33" i="1"/>
  <c r="B33" i="1"/>
  <c r="E21" i="1"/>
  <c r="C21" i="1"/>
  <c r="B21" i="1"/>
  <c r="E15" i="1"/>
  <c r="C15" i="1"/>
  <c r="B15" i="1"/>
  <c r="E4" i="1"/>
  <c r="B4" i="1"/>
  <c r="C4" i="1"/>
  <c r="E325" i="1"/>
  <c r="C325" i="1"/>
  <c r="B325" i="1"/>
  <c r="E319" i="1"/>
  <c r="B319" i="1"/>
  <c r="C319" i="1"/>
  <c r="E313" i="1"/>
  <c r="C313" i="1"/>
  <c r="B313" i="1"/>
  <c r="E307" i="1"/>
  <c r="C307" i="1"/>
  <c r="B307" i="1"/>
  <c r="E301" i="1"/>
  <c r="B301" i="1"/>
  <c r="C301" i="1"/>
  <c r="E295" i="1"/>
  <c r="C295" i="1"/>
  <c r="B295" i="1"/>
  <c r="E289" i="1"/>
  <c r="C289" i="1"/>
  <c r="B289" i="1"/>
  <c r="E283" i="1"/>
  <c r="B283" i="1"/>
  <c r="C283" i="1"/>
  <c r="E277" i="1"/>
  <c r="C277" i="1"/>
  <c r="B277" i="1"/>
  <c r="E271" i="1"/>
  <c r="C271" i="1"/>
  <c r="B271" i="1"/>
  <c r="E265" i="1"/>
  <c r="C265" i="1"/>
  <c r="B265" i="1"/>
  <c r="E259" i="1"/>
  <c r="C259" i="1"/>
  <c r="B259" i="1"/>
  <c r="E253" i="1"/>
  <c r="C253" i="1"/>
  <c r="B253" i="1"/>
  <c r="E247" i="1"/>
  <c r="B247" i="1"/>
  <c r="C247" i="1"/>
  <c r="E241" i="1"/>
  <c r="B241" i="1"/>
  <c r="C241" i="1"/>
  <c r="E235" i="1"/>
  <c r="C235" i="1"/>
  <c r="B235" i="1"/>
  <c r="E229" i="1"/>
  <c r="C229" i="1"/>
  <c r="B229" i="1"/>
  <c r="E223" i="1"/>
  <c r="C223" i="1"/>
  <c r="B223" i="1"/>
  <c r="E217" i="1"/>
  <c r="C217" i="1"/>
  <c r="B217" i="1"/>
  <c r="E211" i="1"/>
  <c r="B211" i="1"/>
  <c r="C211" i="1"/>
  <c r="E205" i="1"/>
  <c r="B205" i="1"/>
  <c r="C205" i="1"/>
  <c r="E199" i="1"/>
  <c r="C199" i="1"/>
  <c r="B199" i="1"/>
  <c r="E193" i="1"/>
  <c r="C193" i="1"/>
  <c r="B193" i="1"/>
  <c r="E187" i="1"/>
  <c r="C187" i="1"/>
  <c r="B187" i="1"/>
  <c r="C181" i="1"/>
  <c r="E181" i="1"/>
  <c r="B181" i="1"/>
  <c r="C175" i="1"/>
  <c r="E175" i="1"/>
  <c r="B175" i="1"/>
  <c r="C169" i="1"/>
  <c r="E169" i="1"/>
  <c r="B169" i="1"/>
  <c r="C163" i="1"/>
  <c r="E163" i="1"/>
  <c r="B163" i="1"/>
  <c r="C157" i="1"/>
  <c r="E157" i="1"/>
  <c r="B157" i="1"/>
  <c r="C151" i="1"/>
  <c r="E151" i="1"/>
  <c r="B151" i="1"/>
  <c r="C145" i="1"/>
  <c r="E145" i="1"/>
  <c r="B145" i="1"/>
  <c r="C139" i="1"/>
  <c r="E139" i="1"/>
  <c r="B139" i="1"/>
  <c r="C133" i="1"/>
  <c r="E133" i="1"/>
  <c r="B133" i="1"/>
  <c r="C127" i="1"/>
  <c r="E127" i="1"/>
  <c r="B127" i="1"/>
  <c r="C121" i="1"/>
  <c r="E121" i="1"/>
  <c r="B121" i="1"/>
  <c r="C115" i="1"/>
  <c r="E115" i="1"/>
  <c r="B115" i="1"/>
  <c r="C109" i="1"/>
  <c r="E109" i="1"/>
  <c r="B109" i="1"/>
  <c r="C103" i="1"/>
  <c r="E103" i="1"/>
  <c r="B103" i="1"/>
  <c r="C97" i="1"/>
  <c r="E97" i="1"/>
  <c r="B97" i="1"/>
  <c r="C91" i="1"/>
  <c r="E91" i="1"/>
  <c r="B91" i="1"/>
  <c r="C85" i="1"/>
  <c r="E85" i="1"/>
  <c r="B85" i="1"/>
  <c r="C79" i="1"/>
  <c r="E79" i="1"/>
  <c r="B79" i="1"/>
  <c r="C73" i="1"/>
  <c r="E73" i="1"/>
  <c r="B73" i="1"/>
  <c r="C67" i="1"/>
  <c r="E67" i="1"/>
  <c r="B67" i="1"/>
  <c r="C61" i="1"/>
  <c r="E61" i="1"/>
  <c r="B61" i="1"/>
  <c r="C55" i="1"/>
  <c r="E55" i="1"/>
  <c r="B55" i="1"/>
  <c r="C49" i="1"/>
  <c r="E49" i="1"/>
  <c r="B49" i="1"/>
  <c r="C43" i="1"/>
  <c r="E43" i="1"/>
  <c r="B43" i="1"/>
  <c r="C37" i="1"/>
  <c r="E37" i="1"/>
  <c r="B37" i="1"/>
  <c r="C31" i="1"/>
  <c r="E31" i="1"/>
  <c r="B31" i="1"/>
  <c r="C25" i="1"/>
  <c r="E25" i="1"/>
  <c r="B25" i="1"/>
  <c r="C19" i="1"/>
  <c r="E19" i="1"/>
  <c r="B19" i="1"/>
  <c r="C13" i="1"/>
  <c r="E13" i="1"/>
  <c r="B13" i="1"/>
  <c r="C7" i="1"/>
  <c r="E7" i="1"/>
  <c r="B7" i="1"/>
  <c r="E322" i="1"/>
  <c r="B322" i="1"/>
  <c r="C322" i="1"/>
  <c r="E298" i="1"/>
  <c r="B298" i="1"/>
  <c r="C298" i="1"/>
  <c r="E280" i="1"/>
  <c r="C280" i="1"/>
  <c r="B280" i="1"/>
  <c r="E256" i="1"/>
  <c r="B256" i="1"/>
  <c r="C256" i="1"/>
  <c r="E232" i="1"/>
  <c r="C232" i="1"/>
  <c r="B232" i="1"/>
  <c r="E208" i="1"/>
  <c r="C208" i="1"/>
  <c r="B208" i="1"/>
  <c r="E184" i="1"/>
  <c r="C184" i="1"/>
  <c r="B184" i="1"/>
  <c r="E166" i="1"/>
  <c r="C166" i="1"/>
  <c r="B166" i="1"/>
  <c r="E142" i="1"/>
  <c r="C142" i="1"/>
  <c r="B142" i="1"/>
  <c r="E118" i="1"/>
  <c r="C118" i="1"/>
  <c r="B118" i="1"/>
  <c r="E100" i="1"/>
  <c r="C100" i="1"/>
  <c r="B100" i="1"/>
  <c r="E76" i="1"/>
  <c r="C76" i="1"/>
  <c r="B76" i="1"/>
  <c r="E46" i="1"/>
  <c r="C46" i="1"/>
  <c r="B46" i="1"/>
  <c r="E10" i="1"/>
  <c r="C10" i="1"/>
  <c r="B10" i="1"/>
  <c r="E309" i="1"/>
  <c r="B309" i="1"/>
  <c r="C309" i="1"/>
  <c r="E291" i="1"/>
  <c r="B291" i="1"/>
  <c r="C291" i="1"/>
  <c r="E267" i="1"/>
  <c r="C267" i="1"/>
  <c r="B267" i="1"/>
  <c r="E237" i="1"/>
  <c r="C237" i="1"/>
  <c r="B237" i="1"/>
  <c r="E324" i="1"/>
  <c r="C324" i="1"/>
  <c r="B324" i="1"/>
  <c r="E306" i="1"/>
  <c r="C306" i="1"/>
  <c r="B306" i="1"/>
  <c r="E288" i="1"/>
  <c r="C288" i="1"/>
  <c r="B288" i="1"/>
  <c r="E276" i="1"/>
  <c r="B276" i="1"/>
  <c r="C276" i="1"/>
  <c r="E264" i="1"/>
  <c r="C264" i="1"/>
  <c r="B264" i="1"/>
  <c r="E252" i="1"/>
  <c r="C252" i="1"/>
  <c r="B252" i="1"/>
  <c r="E240" i="1"/>
  <c r="B240" i="1"/>
  <c r="C240" i="1"/>
  <c r="E228" i="1"/>
  <c r="C228" i="1"/>
  <c r="B228" i="1"/>
  <c r="E210" i="1"/>
  <c r="C210" i="1"/>
  <c r="B210" i="1"/>
  <c r="E198" i="1"/>
  <c r="C198" i="1"/>
  <c r="B198" i="1"/>
  <c r="E186" i="1"/>
  <c r="C186" i="1"/>
  <c r="B186" i="1"/>
  <c r="C168" i="1"/>
  <c r="E168" i="1"/>
  <c r="B168" i="1"/>
  <c r="C156" i="1"/>
  <c r="E156" i="1"/>
  <c r="B156" i="1"/>
  <c r="C144" i="1"/>
  <c r="E144" i="1"/>
  <c r="B144" i="1"/>
  <c r="C132" i="1"/>
  <c r="E132" i="1"/>
  <c r="B132" i="1"/>
  <c r="C126" i="1"/>
  <c r="E126" i="1"/>
  <c r="B126" i="1"/>
  <c r="C120" i="1"/>
  <c r="E120" i="1"/>
  <c r="B120" i="1"/>
  <c r="C114" i="1"/>
  <c r="E114" i="1"/>
  <c r="B114" i="1"/>
  <c r="C108" i="1"/>
  <c r="E108" i="1"/>
  <c r="B108" i="1"/>
  <c r="C102" i="1"/>
  <c r="E102" i="1"/>
  <c r="B102" i="1"/>
  <c r="C96" i="1"/>
  <c r="E96" i="1"/>
  <c r="B96" i="1"/>
  <c r="C84" i="1"/>
  <c r="E84" i="1"/>
  <c r="B84" i="1"/>
  <c r="C78" i="1"/>
  <c r="E78" i="1"/>
  <c r="B78" i="1"/>
  <c r="C72" i="1"/>
  <c r="E72" i="1"/>
  <c r="B72" i="1"/>
  <c r="C66" i="1"/>
  <c r="E66" i="1"/>
  <c r="B66" i="1"/>
  <c r="C60" i="1"/>
  <c r="E60" i="1"/>
  <c r="B60" i="1"/>
  <c r="C54" i="1"/>
  <c r="E54" i="1"/>
  <c r="B54" i="1"/>
  <c r="C48" i="1"/>
  <c r="E48" i="1"/>
  <c r="B48" i="1"/>
  <c r="C42" i="1"/>
  <c r="E42" i="1"/>
  <c r="B42" i="1"/>
  <c r="C36" i="1"/>
  <c r="E36" i="1"/>
  <c r="B36" i="1"/>
  <c r="C30" i="1"/>
  <c r="E30" i="1"/>
  <c r="B30" i="1"/>
  <c r="C24" i="1"/>
  <c r="E24" i="1"/>
  <c r="B24" i="1"/>
  <c r="C18" i="1"/>
  <c r="E18" i="1"/>
  <c r="B18" i="1"/>
  <c r="C12" i="1"/>
  <c r="E12" i="1"/>
  <c r="B12" i="1"/>
  <c r="C6" i="1"/>
  <c r="E6" i="1"/>
  <c r="B6" i="1"/>
  <c r="E310" i="1"/>
  <c r="C310" i="1"/>
  <c r="B310" i="1"/>
  <c r="E286" i="1"/>
  <c r="B286" i="1"/>
  <c r="C286" i="1"/>
  <c r="E262" i="1"/>
  <c r="B262" i="1"/>
  <c r="C262" i="1"/>
  <c r="E238" i="1"/>
  <c r="C238" i="1"/>
  <c r="B238" i="1"/>
  <c r="E214" i="1"/>
  <c r="C214" i="1"/>
  <c r="B214" i="1"/>
  <c r="E190" i="1"/>
  <c r="B190" i="1"/>
  <c r="C190" i="1"/>
  <c r="E160" i="1"/>
  <c r="C160" i="1"/>
  <c r="B160" i="1"/>
  <c r="E136" i="1"/>
  <c r="C136" i="1"/>
  <c r="B136" i="1"/>
  <c r="E112" i="1"/>
  <c r="C112" i="1"/>
  <c r="B112" i="1"/>
  <c r="E88" i="1"/>
  <c r="C88" i="1"/>
  <c r="B88" i="1"/>
  <c r="E64" i="1"/>
  <c r="C64" i="1"/>
  <c r="B64" i="1"/>
  <c r="E22" i="1"/>
  <c r="C22" i="1"/>
  <c r="B22" i="1"/>
  <c r="E321" i="1"/>
  <c r="B321" i="1"/>
  <c r="C321" i="1"/>
  <c r="E297" i="1"/>
  <c r="B297" i="1"/>
  <c r="C297" i="1"/>
  <c r="E279" i="1"/>
  <c r="C279" i="1"/>
  <c r="B279" i="1"/>
  <c r="E255" i="1"/>
  <c r="B255" i="1"/>
  <c r="C255" i="1"/>
  <c r="E225" i="1"/>
  <c r="C225" i="1"/>
  <c r="B225" i="1"/>
  <c r="E318" i="1"/>
  <c r="C318" i="1"/>
  <c r="B318" i="1"/>
  <c r="E312" i="1"/>
  <c r="B312" i="1"/>
  <c r="C312" i="1"/>
  <c r="E300" i="1"/>
  <c r="B300" i="1"/>
  <c r="C300" i="1"/>
  <c r="E294" i="1"/>
  <c r="C294" i="1"/>
  <c r="B294" i="1"/>
  <c r="E282" i="1"/>
  <c r="C282" i="1"/>
  <c r="B282" i="1"/>
  <c r="E270" i="1"/>
  <c r="C270" i="1"/>
  <c r="B270" i="1"/>
  <c r="E258" i="1"/>
  <c r="C258" i="1"/>
  <c r="B258" i="1"/>
  <c r="E246" i="1"/>
  <c r="C246" i="1"/>
  <c r="B246" i="1"/>
  <c r="E234" i="1"/>
  <c r="C234" i="1"/>
  <c r="B234" i="1"/>
  <c r="E222" i="1"/>
  <c r="C222" i="1"/>
  <c r="B222" i="1"/>
  <c r="E216" i="1"/>
  <c r="C216" i="1"/>
  <c r="B216" i="1"/>
  <c r="E204" i="1"/>
  <c r="B204" i="1"/>
  <c r="C204" i="1"/>
  <c r="E192" i="1"/>
  <c r="C192" i="1"/>
  <c r="B192" i="1"/>
  <c r="C180" i="1"/>
  <c r="E180" i="1"/>
  <c r="B180" i="1"/>
  <c r="C174" i="1"/>
  <c r="E174" i="1"/>
  <c r="B174" i="1"/>
  <c r="C162" i="1"/>
  <c r="E162" i="1"/>
  <c r="B162" i="1"/>
  <c r="C150" i="1"/>
  <c r="E150" i="1"/>
  <c r="B150" i="1"/>
  <c r="C138" i="1"/>
  <c r="E138" i="1"/>
  <c r="B138" i="1"/>
  <c r="C90" i="1"/>
  <c r="E90" i="1"/>
  <c r="B90" i="1"/>
  <c r="E323" i="1"/>
  <c r="C323" i="1"/>
  <c r="B323" i="1"/>
  <c r="E317" i="1"/>
  <c r="C317" i="1"/>
  <c r="B317" i="1"/>
  <c r="E311" i="1"/>
  <c r="C311" i="1"/>
  <c r="B311" i="1"/>
  <c r="E305" i="1"/>
  <c r="B305" i="1"/>
  <c r="C305" i="1"/>
  <c r="E299" i="1"/>
  <c r="C299" i="1"/>
  <c r="B299" i="1"/>
  <c r="E293" i="1"/>
  <c r="C293" i="1"/>
  <c r="B293" i="1"/>
  <c r="E287" i="1"/>
  <c r="C287" i="1"/>
  <c r="B287" i="1"/>
  <c r="E281" i="1"/>
  <c r="B281" i="1"/>
  <c r="C281" i="1"/>
  <c r="E275" i="1"/>
  <c r="B275" i="1"/>
  <c r="C275" i="1"/>
  <c r="E269" i="1"/>
  <c r="B269" i="1"/>
  <c r="C269" i="1"/>
  <c r="E263" i="1"/>
  <c r="B263" i="1"/>
  <c r="C263" i="1"/>
  <c r="E257" i="1"/>
  <c r="B257" i="1"/>
  <c r="C257" i="1"/>
  <c r="E251" i="1"/>
  <c r="B251" i="1"/>
  <c r="C251" i="1"/>
  <c r="E245" i="1"/>
  <c r="B245" i="1"/>
  <c r="C245" i="1"/>
  <c r="E239" i="1"/>
  <c r="B239" i="1"/>
  <c r="C239" i="1"/>
  <c r="E233" i="1"/>
  <c r="B233" i="1"/>
  <c r="C233" i="1"/>
  <c r="E227" i="1"/>
  <c r="B227" i="1"/>
  <c r="C227" i="1"/>
  <c r="E221" i="1"/>
  <c r="B221" i="1"/>
  <c r="C221" i="1"/>
  <c r="E215" i="1"/>
  <c r="B215" i="1"/>
  <c r="C215" i="1"/>
  <c r="E209" i="1"/>
  <c r="B209" i="1"/>
  <c r="C209" i="1"/>
  <c r="E203" i="1"/>
  <c r="B203" i="1"/>
  <c r="C203" i="1"/>
  <c r="E197" i="1"/>
  <c r="B197" i="1"/>
  <c r="C197" i="1"/>
  <c r="E191" i="1"/>
  <c r="B191" i="1"/>
  <c r="C191" i="1"/>
  <c r="E185" i="1"/>
  <c r="B185" i="1"/>
  <c r="C185" i="1"/>
  <c r="E179" i="1"/>
  <c r="B179" i="1"/>
  <c r="C179" i="1"/>
  <c r="E173" i="1"/>
  <c r="B173" i="1"/>
  <c r="C173" i="1"/>
  <c r="E167" i="1"/>
  <c r="C167" i="1"/>
  <c r="B167" i="1"/>
  <c r="E161" i="1"/>
  <c r="B161" i="1"/>
  <c r="C161" i="1"/>
  <c r="E155" i="1"/>
  <c r="B155" i="1"/>
  <c r="C155" i="1"/>
  <c r="E149" i="1"/>
  <c r="B149" i="1"/>
  <c r="C149" i="1"/>
  <c r="E143" i="1"/>
  <c r="B143" i="1"/>
  <c r="C143" i="1"/>
  <c r="E137" i="1"/>
  <c r="B137" i="1"/>
  <c r="C137" i="1"/>
  <c r="E131" i="1"/>
  <c r="C131" i="1"/>
  <c r="B131" i="1"/>
  <c r="E125" i="1"/>
  <c r="B125" i="1"/>
  <c r="C125" i="1"/>
  <c r="E119" i="1"/>
  <c r="B119" i="1"/>
  <c r="C119" i="1"/>
  <c r="E113" i="1"/>
  <c r="B113" i="1"/>
  <c r="C113" i="1"/>
  <c r="E107" i="1"/>
  <c r="B107" i="1"/>
  <c r="C107" i="1"/>
  <c r="E101" i="1"/>
  <c r="B101" i="1"/>
  <c r="C101" i="1"/>
  <c r="E95" i="1"/>
  <c r="C95" i="1"/>
  <c r="B95" i="1"/>
  <c r="E89" i="1"/>
  <c r="B89" i="1"/>
  <c r="C89" i="1"/>
  <c r="E83" i="1"/>
  <c r="B83" i="1"/>
  <c r="C83" i="1"/>
  <c r="E77" i="1"/>
  <c r="B77" i="1"/>
  <c r="C77" i="1"/>
  <c r="E71" i="1"/>
  <c r="B71" i="1"/>
  <c r="C71" i="1"/>
  <c r="E65" i="1"/>
  <c r="B65" i="1"/>
  <c r="C65" i="1"/>
  <c r="E59" i="1"/>
  <c r="C59" i="1"/>
  <c r="B59" i="1"/>
  <c r="E53" i="1"/>
  <c r="B53" i="1"/>
  <c r="C53" i="1"/>
  <c r="E47" i="1"/>
  <c r="B47" i="1"/>
  <c r="C47" i="1"/>
  <c r="E41" i="1"/>
  <c r="B41" i="1"/>
  <c r="C41" i="1"/>
  <c r="E35" i="1"/>
  <c r="B35" i="1"/>
  <c r="C35" i="1"/>
  <c r="E29" i="1"/>
  <c r="B29" i="1"/>
  <c r="C29" i="1"/>
  <c r="E23" i="1"/>
  <c r="C23" i="1"/>
  <c r="B23" i="1"/>
  <c r="E17" i="1"/>
  <c r="B17" i="1"/>
  <c r="C17" i="1"/>
  <c r="E11" i="1"/>
  <c r="B11" i="1"/>
  <c r="C11" i="1"/>
  <c r="E5" i="1"/>
  <c r="B5" i="1"/>
  <c r="C5" i="1"/>
  <c r="G2" i="4"/>
  <c r="A1" i="4"/>
  <c r="R1" i="1"/>
  <c r="S1" i="1"/>
  <c r="S2" i="1" s="1"/>
  <c r="T1" i="1"/>
  <c r="Q1" i="1"/>
  <c r="Q2" i="1" s="1"/>
  <c r="P50" i="13"/>
  <c r="P51" i="13"/>
  <c r="M50" i="13"/>
  <c r="M51" i="13"/>
  <c r="J50" i="13"/>
  <c r="J51" i="13"/>
  <c r="G50" i="13"/>
  <c r="G51" i="13"/>
  <c r="P49" i="13"/>
  <c r="M49" i="13"/>
  <c r="J49" i="13"/>
  <c r="G49" i="13"/>
  <c r="AM51" i="13"/>
  <c r="AM50" i="13"/>
  <c r="AM49" i="13"/>
  <c r="AM48" i="13"/>
  <c r="AQ47" i="13"/>
  <c r="AM47" i="13"/>
  <c r="P47" i="13"/>
  <c r="M47" i="13"/>
  <c r="J47" i="13"/>
  <c r="G47" i="13"/>
  <c r="AM46" i="13"/>
  <c r="AI46" i="13"/>
  <c r="AI47" i="13" s="1"/>
  <c r="AI48" i="13" s="1"/>
  <c r="AI49" i="13" s="1"/>
  <c r="AI50" i="13" s="1"/>
  <c r="AI51" i="13" s="1"/>
  <c r="P46" i="13"/>
  <c r="M46" i="13"/>
  <c r="J46" i="13"/>
  <c r="G46" i="13"/>
  <c r="AM45" i="13"/>
  <c r="P45" i="13"/>
  <c r="Q45" i="13" s="1"/>
  <c r="R45" i="13" s="1"/>
  <c r="Q46" i="13" s="1"/>
  <c r="R46" i="13" s="1"/>
  <c r="Q47" i="13" s="1"/>
  <c r="R47" i="13" s="1"/>
  <c r="Q48" i="13" s="1"/>
  <c r="R48" i="13" s="1"/>
  <c r="Q49" i="13" s="1"/>
  <c r="R49" i="13" s="1"/>
  <c r="M45" i="13"/>
  <c r="J45" i="13"/>
  <c r="G45" i="13"/>
  <c r="AM44" i="13"/>
  <c r="M44" i="13"/>
  <c r="J44" i="13"/>
  <c r="G44" i="13"/>
  <c r="AM43" i="13"/>
  <c r="M43" i="13"/>
  <c r="J43" i="13"/>
  <c r="G43" i="13"/>
  <c r="AM42" i="13"/>
  <c r="M42" i="13"/>
  <c r="J42" i="13"/>
  <c r="G42" i="13"/>
  <c r="AM41" i="13"/>
  <c r="M41" i="13"/>
  <c r="J41" i="13"/>
  <c r="G41" i="13"/>
  <c r="AM40" i="13"/>
  <c r="AA40" i="13"/>
  <c r="AB40" i="13" s="1"/>
  <c r="AA41" i="13" s="1"/>
  <c r="AB41" i="13" s="1"/>
  <c r="AA42" i="13" s="1"/>
  <c r="AB42" i="13" s="1"/>
  <c r="AA43" i="13" s="1"/>
  <c r="AB43" i="13" s="1"/>
  <c r="AA44" i="13" s="1"/>
  <c r="AB44" i="13" s="1"/>
  <c r="AA45" i="13" s="1"/>
  <c r="AB45" i="13" s="1"/>
  <c r="AA46" i="13" s="1"/>
  <c r="AB46" i="13" s="1"/>
  <c r="AA47" i="13" s="1"/>
  <c r="AB47" i="13" s="1"/>
  <c r="AA48" i="13" s="1"/>
  <c r="AB48" i="13" s="1"/>
  <c r="AA49" i="13" s="1"/>
  <c r="AB49" i="13" s="1"/>
  <c r="AA50" i="13" s="1"/>
  <c r="AB50" i="13" s="1"/>
  <c r="AA51" i="13" s="1"/>
  <c r="AB51" i="13" s="1"/>
  <c r="Z40" i="13"/>
  <c r="Y41" i="13" s="1"/>
  <c r="Z41" i="13" s="1"/>
  <c r="Y42" i="13" s="1"/>
  <c r="Z42" i="13" s="1"/>
  <c r="Y43" i="13" s="1"/>
  <c r="Z43" i="13" s="1"/>
  <c r="Y44" i="13" s="1"/>
  <c r="Z44" i="13" s="1"/>
  <c r="Y45" i="13" s="1"/>
  <c r="Z45" i="13" s="1"/>
  <c r="Y46" i="13" s="1"/>
  <c r="Z46" i="13" s="1"/>
  <c r="Y47" i="13" s="1"/>
  <c r="Z47" i="13" s="1"/>
  <c r="Y48" i="13" s="1"/>
  <c r="Z48" i="13" s="1"/>
  <c r="Y49" i="13" s="1"/>
  <c r="Z49" i="13" s="1"/>
  <c r="Y50" i="13" s="1"/>
  <c r="Z50" i="13" s="1"/>
  <c r="Y51" i="13" s="1"/>
  <c r="Z51" i="13" s="1"/>
  <c r="Y40" i="13"/>
  <c r="M40" i="13"/>
  <c r="N40" i="13" s="1"/>
  <c r="O40" i="13" s="1"/>
  <c r="N41" i="13" s="1"/>
  <c r="O41" i="13" s="1"/>
  <c r="N42" i="13" s="1"/>
  <c r="O42" i="13" s="1"/>
  <c r="L40" i="13"/>
  <c r="K41" i="13" s="1"/>
  <c r="L41" i="13" s="1"/>
  <c r="K42" i="13" s="1"/>
  <c r="L42" i="13" s="1"/>
  <c r="K43" i="13" s="1"/>
  <c r="L43" i="13" s="1"/>
  <c r="K44" i="13" s="1"/>
  <c r="L44" i="13" s="1"/>
  <c r="K45" i="13" s="1"/>
  <c r="L45" i="13" s="1"/>
  <c r="K46" i="13" s="1"/>
  <c r="L46" i="13" s="1"/>
  <c r="K47" i="13" s="1"/>
  <c r="L47" i="13" s="1"/>
  <c r="K48" i="13" s="1"/>
  <c r="L48" i="13" s="1"/>
  <c r="K49" i="13" s="1"/>
  <c r="L49" i="13" s="1"/>
  <c r="K50" i="13" s="1"/>
  <c r="L50" i="13" s="1"/>
  <c r="K40" i="13"/>
  <c r="J40" i="13"/>
  <c r="H40" i="13"/>
  <c r="I40" i="13" s="1"/>
  <c r="G40" i="13"/>
  <c r="AM39" i="13"/>
  <c r="AM38" i="13"/>
  <c r="AM37" i="13"/>
  <c r="AM36" i="13"/>
  <c r="AM35" i="13"/>
  <c r="AM34" i="13"/>
  <c r="AM33" i="13"/>
  <c r="AM32" i="13"/>
  <c r="AM31" i="13"/>
  <c r="AM30" i="13"/>
  <c r="AR29" i="13"/>
  <c r="AR30" i="13" s="1"/>
  <c r="AR31" i="13" s="1"/>
  <c r="AR32" i="13" s="1"/>
  <c r="AR33" i="13" s="1"/>
  <c r="AR34" i="13" s="1"/>
  <c r="AR35" i="13" s="1"/>
  <c r="AR36" i="13" s="1"/>
  <c r="AR37" i="13" s="1"/>
  <c r="AR38" i="13" s="1"/>
  <c r="AR39" i="13" s="1"/>
  <c r="AR40" i="13" s="1"/>
  <c r="AR41" i="13" s="1"/>
  <c r="AR42" i="13" s="1"/>
  <c r="AR43" i="13" s="1"/>
  <c r="AR44" i="13" s="1"/>
  <c r="AR45" i="13" s="1"/>
  <c r="AR46" i="13" s="1"/>
  <c r="AR47" i="13" s="1"/>
  <c r="AR48" i="13" s="1"/>
  <c r="AR49" i="13" s="1"/>
  <c r="AR50" i="13" s="1"/>
  <c r="AR51" i="13" s="1"/>
  <c r="AM29" i="13"/>
  <c r="AM28" i="13"/>
  <c r="AM27" i="13"/>
  <c r="AM26" i="13"/>
  <c r="AM25" i="13"/>
  <c r="AM24" i="13"/>
  <c r="AM23" i="13"/>
  <c r="AM22" i="13"/>
  <c r="X22" i="13"/>
  <c r="W23" i="13" s="1"/>
  <c r="X23" i="13" s="1"/>
  <c r="W24" i="13" s="1"/>
  <c r="X24" i="13" s="1"/>
  <c r="W25" i="13" s="1"/>
  <c r="X25" i="13" s="1"/>
  <c r="W26" i="13" s="1"/>
  <c r="X26" i="13" s="1"/>
  <c r="W27" i="13" s="1"/>
  <c r="X27" i="13" s="1"/>
  <c r="W28" i="13" s="1"/>
  <c r="X28" i="13" s="1"/>
  <c r="W29" i="13" s="1"/>
  <c r="X29" i="13" s="1"/>
  <c r="W30" i="13" s="1"/>
  <c r="X30" i="13" s="1"/>
  <c r="W31" i="13" s="1"/>
  <c r="X31" i="13" s="1"/>
  <c r="W32" i="13" s="1"/>
  <c r="X32" i="13" s="1"/>
  <c r="W33" i="13" s="1"/>
  <c r="X33" i="13" s="1"/>
  <c r="W34" i="13" s="1"/>
  <c r="X34" i="13" s="1"/>
  <c r="W35" i="13" s="1"/>
  <c r="X35" i="13" s="1"/>
  <c r="W36" i="13" s="1"/>
  <c r="X36" i="13" s="1"/>
  <c r="W37" i="13" s="1"/>
  <c r="X37" i="13" s="1"/>
  <c r="W38" i="13" s="1"/>
  <c r="X38" i="13" s="1"/>
  <c r="W39" i="13" s="1"/>
  <c r="X39" i="13" s="1"/>
  <c r="W40" i="13" s="1"/>
  <c r="X40" i="13" s="1"/>
  <c r="W41" i="13" s="1"/>
  <c r="X41" i="13" s="1"/>
  <c r="W42" i="13" s="1"/>
  <c r="X42" i="13" s="1"/>
  <c r="W43" i="13" s="1"/>
  <c r="X43" i="13" s="1"/>
  <c r="W44" i="13" s="1"/>
  <c r="X44" i="13" s="1"/>
  <c r="W45" i="13" s="1"/>
  <c r="X45" i="13" s="1"/>
  <c r="W46" i="13" s="1"/>
  <c r="X46" i="13" s="1"/>
  <c r="W47" i="13" s="1"/>
  <c r="X47" i="13" s="1"/>
  <c r="W48" i="13" s="1"/>
  <c r="X48" i="13" s="1"/>
  <c r="W49" i="13" s="1"/>
  <c r="X49" i="13" s="1"/>
  <c r="W50" i="13" s="1"/>
  <c r="X50" i="13" s="1"/>
  <c r="W51" i="13" s="1"/>
  <c r="X51" i="13" s="1"/>
  <c r="W22" i="13"/>
  <c r="U22" i="13"/>
  <c r="V22" i="13" s="1"/>
  <c r="U23" i="13" s="1"/>
  <c r="V23" i="13" s="1"/>
  <c r="U24" i="13" s="1"/>
  <c r="V24" i="13" s="1"/>
  <c r="U25" i="13" s="1"/>
  <c r="V25" i="13" s="1"/>
  <c r="U26" i="13" s="1"/>
  <c r="V26" i="13" s="1"/>
  <c r="U27" i="13" s="1"/>
  <c r="V27" i="13" s="1"/>
  <c r="U28" i="13" s="1"/>
  <c r="V28" i="13" s="1"/>
  <c r="U29" i="13" s="1"/>
  <c r="V29" i="13" s="1"/>
  <c r="U30" i="13" s="1"/>
  <c r="V30" i="13" s="1"/>
  <c r="U31" i="13" s="1"/>
  <c r="V31" i="13" s="1"/>
  <c r="U32" i="13" s="1"/>
  <c r="V32" i="13" s="1"/>
  <c r="U33" i="13" s="1"/>
  <c r="V33" i="13" s="1"/>
  <c r="U34" i="13" s="1"/>
  <c r="V34" i="13" s="1"/>
  <c r="U35" i="13" s="1"/>
  <c r="V35" i="13" s="1"/>
  <c r="U36" i="13" s="1"/>
  <c r="V36" i="13" s="1"/>
  <c r="U37" i="13" s="1"/>
  <c r="V37" i="13" s="1"/>
  <c r="U38" i="13" s="1"/>
  <c r="V38" i="13" s="1"/>
  <c r="U39" i="13" s="1"/>
  <c r="V39" i="13" s="1"/>
  <c r="U40" i="13" s="1"/>
  <c r="V40" i="13" s="1"/>
  <c r="U41" i="13" s="1"/>
  <c r="V41" i="13" s="1"/>
  <c r="U42" i="13" s="1"/>
  <c r="V42" i="13" s="1"/>
  <c r="U43" i="13" s="1"/>
  <c r="V43" i="13" s="1"/>
  <c r="U44" i="13" s="1"/>
  <c r="V44" i="13" s="1"/>
  <c r="U45" i="13" s="1"/>
  <c r="V45" i="13" s="1"/>
  <c r="U46" i="13" s="1"/>
  <c r="V46" i="13" s="1"/>
  <c r="U47" i="13" s="1"/>
  <c r="V47" i="13" s="1"/>
  <c r="U48" i="13" s="1"/>
  <c r="V48" i="13" s="1"/>
  <c r="U49" i="13" s="1"/>
  <c r="V49" i="13" s="1"/>
  <c r="U50" i="13" s="1"/>
  <c r="V50" i="13" s="1"/>
  <c r="U51" i="13" s="1"/>
  <c r="V51" i="13" s="1"/>
  <c r="T22" i="13"/>
  <c r="S22" i="13"/>
  <c r="AO21" i="13"/>
  <c r="AM21" i="13"/>
  <c r="AH21" i="13"/>
  <c r="AM20" i="13"/>
  <c r="AM19" i="13"/>
  <c r="AM18" i="13"/>
  <c r="AM17" i="13"/>
  <c r="AM16" i="13"/>
  <c r="AM15" i="13"/>
  <c r="AM14" i="13"/>
  <c r="AM13" i="13"/>
  <c r="AM12" i="13"/>
  <c r="S12" i="13"/>
  <c r="T12" i="13" s="1"/>
  <c r="AO12" i="13" s="1"/>
  <c r="AO11" i="13"/>
  <c r="AM11" i="13"/>
  <c r="AH11" i="13"/>
  <c r="AO10" i="13"/>
  <c r="AM10" i="13"/>
  <c r="AH10" i="13"/>
  <c r="AO9" i="13"/>
  <c r="AM9" i="13"/>
  <c r="AH9" i="13"/>
  <c r="AO8" i="13"/>
  <c r="AM8" i="13"/>
  <c r="AH8" i="13"/>
  <c r="AO7" i="13"/>
  <c r="AM7" i="13"/>
  <c r="AH7" i="13"/>
  <c r="AO6" i="13"/>
  <c r="AM6" i="13"/>
  <c r="AH6" i="13"/>
  <c r="AO5" i="13"/>
  <c r="AM5" i="13"/>
  <c r="AH5" i="13"/>
  <c r="AM4" i="13"/>
  <c r="AF4" i="13"/>
  <c r="AT3" i="13"/>
  <c r="AM3" i="13"/>
  <c r="AF3" i="13"/>
  <c r="C3" i="13"/>
  <c r="E3" i="13" s="1"/>
  <c r="AM2" i="13"/>
  <c r="AF2" i="13"/>
  <c r="AD2" i="13"/>
  <c r="AS3" i="13" s="1"/>
  <c r="AH59" i="13" l="1"/>
  <c r="AO59" i="13"/>
  <c r="H41" i="13"/>
  <c r="I41" i="13" s="1"/>
  <c r="H42" i="13" s="1"/>
  <c r="I42" i="13" s="1"/>
  <c r="H43" i="13" s="1"/>
  <c r="I43" i="13" s="1"/>
  <c r="H44" i="13" s="1"/>
  <c r="I44" i="13" s="1"/>
  <c r="H45" i="13" s="1"/>
  <c r="I45" i="13" s="1"/>
  <c r="H46" i="13" s="1"/>
  <c r="I46" i="13" s="1"/>
  <c r="H47" i="13" s="1"/>
  <c r="I47" i="13" s="1"/>
  <c r="H48" i="13" s="1"/>
  <c r="I48" i="13" s="1"/>
  <c r="H49" i="13" s="1"/>
  <c r="I49" i="13" s="1"/>
  <c r="H50" i="13" s="1"/>
  <c r="I50" i="13" s="1"/>
  <c r="H51" i="13" s="1"/>
  <c r="I51" i="13" s="1"/>
  <c r="N43" i="13"/>
  <c r="O43" i="13" s="1"/>
  <c r="N44" i="13" s="1"/>
  <c r="O44" i="13" s="1"/>
  <c r="N45" i="13" s="1"/>
  <c r="O45" i="13" s="1"/>
  <c r="N46" i="13" s="1"/>
  <c r="O46" i="13" s="1"/>
  <c r="N47" i="13" s="1"/>
  <c r="O47" i="13" s="1"/>
  <c r="N48" i="13" s="1"/>
  <c r="O48" i="13" s="1"/>
  <c r="N49" i="13" s="1"/>
  <c r="O49" i="13" s="1"/>
  <c r="Q50" i="13"/>
  <c r="R50" i="13" s="1"/>
  <c r="Q51" i="13" s="1"/>
  <c r="R51" i="13" s="1"/>
  <c r="N50" i="13"/>
  <c r="O50" i="13" s="1"/>
  <c r="N51" i="13" s="1"/>
  <c r="O51" i="13" s="1"/>
  <c r="K51" i="13"/>
  <c r="L51" i="13" s="1"/>
  <c r="AT4" i="13"/>
  <c r="C4" i="13"/>
  <c r="E4" i="13" s="1"/>
  <c r="AD3" i="13"/>
  <c r="AS4" i="13" s="1"/>
  <c r="AH12" i="13"/>
  <c r="S13" i="13"/>
  <c r="T13" i="13" s="1"/>
  <c r="S23" i="13"/>
  <c r="T23" i="13" s="1"/>
  <c r="AH22" i="13"/>
  <c r="AO22" i="13"/>
  <c r="AD4" i="13" l="1"/>
  <c r="AS5" i="13" s="1"/>
  <c r="AT5" i="13"/>
  <c r="C5" i="13"/>
  <c r="E5" i="13" s="1"/>
  <c r="S24" i="13"/>
  <c r="T24" i="13" s="1"/>
  <c r="AH23" i="13"/>
  <c r="AO23" i="13"/>
  <c r="AO13" i="13"/>
  <c r="S14" i="13"/>
  <c r="T14" i="13" s="1"/>
  <c r="AH13" i="13"/>
  <c r="AT6" i="13" l="1"/>
  <c r="AD5" i="13"/>
  <c r="AS6" i="13" s="1"/>
  <c r="C6" i="13"/>
  <c r="E6" i="13" s="1"/>
  <c r="F5" i="13"/>
  <c r="AF5" i="13" s="1"/>
  <c r="AO14" i="13"/>
  <c r="S15" i="13"/>
  <c r="T15" i="13" s="1"/>
  <c r="AH14" i="13"/>
  <c r="S25" i="13"/>
  <c r="T25" i="13" s="1"/>
  <c r="AH24" i="13"/>
  <c r="AO24" i="13"/>
  <c r="C7" i="13" l="1"/>
  <c r="AT7" i="13"/>
  <c r="E7" i="13"/>
  <c r="AD6" i="13"/>
  <c r="AS7" i="13" s="1"/>
  <c r="F6" i="13"/>
  <c r="AF6" i="13" s="1"/>
  <c r="S26" i="13"/>
  <c r="T26" i="13" s="1"/>
  <c r="AH25" i="13"/>
  <c r="AO25" i="13"/>
  <c r="AO15" i="13"/>
  <c r="S16" i="13"/>
  <c r="T16" i="13" s="1"/>
  <c r="AH15" i="13"/>
  <c r="AT8" i="13" l="1"/>
  <c r="AD7" i="13"/>
  <c r="AS8" i="13" s="1"/>
  <c r="C8" i="13"/>
  <c r="E8" i="13" s="1"/>
  <c r="F7" i="13"/>
  <c r="AF7" i="13" s="1"/>
  <c r="AO16" i="13"/>
  <c r="S17" i="13"/>
  <c r="T17" i="13" s="1"/>
  <c r="AH16" i="13"/>
  <c r="S27" i="13"/>
  <c r="T27" i="13" s="1"/>
  <c r="AH26" i="13"/>
  <c r="AO26" i="13"/>
  <c r="S18" i="13" l="1"/>
  <c r="T18" i="13" s="1"/>
  <c r="AO17" i="13"/>
  <c r="AH17" i="13"/>
  <c r="C9" i="13"/>
  <c r="E9" i="13" s="1"/>
  <c r="F8" i="13"/>
  <c r="AF8" i="13" s="1"/>
  <c r="AT9" i="13"/>
  <c r="AD8" i="13"/>
  <c r="AS9" i="13" s="1"/>
  <c r="S28" i="13"/>
  <c r="T28" i="13" s="1"/>
  <c r="AH27" i="13"/>
  <c r="AO27" i="13"/>
  <c r="AT10" i="13" l="1"/>
  <c r="AD9" i="13"/>
  <c r="AS10" i="13" s="1"/>
  <c r="F9" i="13"/>
  <c r="AF9" i="13" s="1"/>
  <c r="C10" i="13"/>
  <c r="E10" i="13" s="1"/>
  <c r="AO28" i="13"/>
  <c r="S29" i="13"/>
  <c r="T29" i="13" s="1"/>
  <c r="AH28" i="13"/>
  <c r="S19" i="13"/>
  <c r="T19" i="13" s="1"/>
  <c r="AO18" i="13"/>
  <c r="AH18" i="13"/>
  <c r="AO29" i="13" l="1"/>
  <c r="AH29" i="13"/>
  <c r="S30" i="13"/>
  <c r="T30" i="13" s="1"/>
  <c r="C11" i="13"/>
  <c r="E11" i="13" s="1"/>
  <c r="F10" i="13"/>
  <c r="AF10" i="13" s="1"/>
  <c r="AT11" i="13"/>
  <c r="AD10" i="13"/>
  <c r="AS11" i="13" s="1"/>
  <c r="AH19" i="13"/>
  <c r="S20" i="13"/>
  <c r="T20" i="13" s="1"/>
  <c r="AO19" i="13"/>
  <c r="AD11" i="13" l="1"/>
  <c r="AS12" i="13" s="1"/>
  <c r="C12" i="13"/>
  <c r="E12" i="13" s="1"/>
  <c r="F11" i="13"/>
  <c r="AF11" i="13" s="1"/>
  <c r="AT12" i="13"/>
  <c r="AO30" i="13"/>
  <c r="S31" i="13"/>
  <c r="T31" i="13" s="1"/>
  <c r="AH30" i="13"/>
  <c r="AH20" i="13"/>
  <c r="S21" i="13"/>
  <c r="AO20" i="13"/>
  <c r="AD12" i="13" l="1"/>
  <c r="AS13" i="13" s="1"/>
  <c r="C13" i="13"/>
  <c r="E13" i="13" s="1"/>
  <c r="AT13" i="13"/>
  <c r="F12" i="13"/>
  <c r="AF12" i="13" s="1"/>
  <c r="AH31" i="13"/>
  <c r="AO31" i="13"/>
  <c r="S32" i="13"/>
  <c r="T32" i="13" s="1"/>
  <c r="F13" i="13" l="1"/>
  <c r="AF13" i="13" s="1"/>
  <c r="AD13" i="13"/>
  <c r="AS14" i="13" s="1"/>
  <c r="C14" i="13"/>
  <c r="E14" i="13" s="1"/>
  <c r="AT14" i="13"/>
  <c r="AO32" i="13"/>
  <c r="AH32" i="13"/>
  <c r="S33" i="13"/>
  <c r="T33" i="13" s="1"/>
  <c r="F14" i="13" l="1"/>
  <c r="AF14" i="13" s="1"/>
  <c r="AD14" i="13"/>
  <c r="AS15" i="13" s="1"/>
  <c r="C15" i="13"/>
  <c r="E15" i="13" s="1"/>
  <c r="AT15" i="13"/>
  <c r="S34" i="13"/>
  <c r="T34" i="13" s="1"/>
  <c r="AO33" i="13"/>
  <c r="AH33" i="13"/>
  <c r="AH34" i="13" l="1"/>
  <c r="AO34" i="13"/>
  <c r="S35" i="13"/>
  <c r="T35" i="13" s="1"/>
  <c r="F15" i="13"/>
  <c r="AF15" i="13" s="1"/>
  <c r="AD15" i="13"/>
  <c r="AS16" i="13" s="1"/>
  <c r="C16" i="13"/>
  <c r="E16" i="13" s="1"/>
  <c r="AT16" i="13"/>
  <c r="AT17" i="13" l="1"/>
  <c r="F16" i="13"/>
  <c r="AF16" i="13" s="1"/>
  <c r="AD16" i="13"/>
  <c r="AS17" i="13" s="1"/>
  <c r="C17" i="13"/>
  <c r="E17" i="13" s="1"/>
  <c r="AH35" i="13"/>
  <c r="AO35" i="13"/>
  <c r="S36" i="13"/>
  <c r="T36" i="13" s="1"/>
  <c r="AO36" i="13" l="1"/>
  <c r="AH36" i="13"/>
  <c r="S37" i="13"/>
  <c r="T37" i="13" s="1"/>
  <c r="F17" i="13"/>
  <c r="AF17" i="13" s="1"/>
  <c r="AD17" i="13"/>
  <c r="AS18" i="13" s="1"/>
  <c r="AT18" i="13"/>
  <c r="C18" i="13"/>
  <c r="E18" i="13" s="1"/>
  <c r="F18" i="13" l="1"/>
  <c r="AF18" i="13" s="1"/>
  <c r="AT19" i="13"/>
  <c r="C19" i="13"/>
  <c r="E19" i="13" s="1"/>
  <c r="AD18" i="13"/>
  <c r="AS19" i="13" s="1"/>
  <c r="S38" i="13"/>
  <c r="T38" i="13" s="1"/>
  <c r="AO37" i="13"/>
  <c r="AH37" i="13"/>
  <c r="F19" i="13" l="1"/>
  <c r="AF19" i="13" s="1"/>
  <c r="AT20" i="13"/>
  <c r="C20" i="13"/>
  <c r="E20" i="13" s="1"/>
  <c r="AD19" i="13"/>
  <c r="AS20" i="13" s="1"/>
  <c r="AH38" i="13"/>
  <c r="AO38" i="13"/>
  <c r="S39" i="13"/>
  <c r="T39" i="13" s="1"/>
  <c r="AT21" i="13" l="1"/>
  <c r="F20" i="13"/>
  <c r="AF20" i="13" s="1"/>
  <c r="C21" i="13"/>
  <c r="E21" i="13" s="1"/>
  <c r="AD20" i="13"/>
  <c r="AS21" i="13" s="1"/>
  <c r="S40" i="13"/>
  <c r="T40" i="13" s="1"/>
  <c r="AH39" i="13"/>
  <c r="AO39" i="13"/>
  <c r="AT22" i="13" l="1"/>
  <c r="F21" i="13"/>
  <c r="AF21" i="13" s="1"/>
  <c r="AD21" i="13"/>
  <c r="AS22" i="13" s="1"/>
  <c r="C22" i="13"/>
  <c r="E22" i="13" s="1"/>
  <c r="S41" i="13"/>
  <c r="T41" i="13" s="1"/>
  <c r="AO40" i="13"/>
  <c r="AH40" i="13"/>
  <c r="AT23" i="13" l="1"/>
  <c r="C23" i="13"/>
  <c r="E23" i="13" s="1"/>
  <c r="F22" i="13"/>
  <c r="AF22" i="13" s="1"/>
  <c r="AD22" i="13"/>
  <c r="AS23" i="13" s="1"/>
  <c r="AH41" i="13"/>
  <c r="S42" i="13"/>
  <c r="T42" i="13" s="1"/>
  <c r="AO41" i="13"/>
  <c r="AT24" i="13" l="1"/>
  <c r="C24" i="13"/>
  <c r="E24" i="13" s="1"/>
  <c r="AD23" i="13"/>
  <c r="AS24" i="13" s="1"/>
  <c r="F23" i="13"/>
  <c r="AF23" i="13" s="1"/>
  <c r="S43" i="13"/>
  <c r="T43" i="13" s="1"/>
  <c r="AO42" i="13"/>
  <c r="AH42" i="13"/>
  <c r="AT25" i="13" l="1"/>
  <c r="C25" i="13"/>
  <c r="E25" i="13" s="1"/>
  <c r="AD24" i="13"/>
  <c r="AS25" i="13" s="1"/>
  <c r="F24" i="13"/>
  <c r="AF24" i="13" s="1"/>
  <c r="AH43" i="13"/>
  <c r="AO43" i="13"/>
  <c r="S44" i="13"/>
  <c r="T44" i="13" s="1"/>
  <c r="AT26" i="13" l="1"/>
  <c r="C26" i="13"/>
  <c r="E26" i="13" s="1"/>
  <c r="AD25" i="13"/>
  <c r="AS26" i="13" s="1"/>
  <c r="F25" i="13"/>
  <c r="AF25" i="13" s="1"/>
  <c r="AH44" i="13"/>
  <c r="S45" i="13"/>
  <c r="T45" i="13" s="1"/>
  <c r="AO44" i="13"/>
  <c r="S46" i="13" l="1"/>
  <c r="T46" i="13" s="1"/>
  <c r="AO45" i="13"/>
  <c r="AH45" i="13"/>
  <c r="F26" i="13"/>
  <c r="AF26" i="13" s="1"/>
  <c r="AT27" i="13"/>
  <c r="C27" i="13"/>
  <c r="E27" i="13" s="1"/>
  <c r="AD26" i="13"/>
  <c r="AS27" i="13" s="1"/>
  <c r="F27" i="13" l="1"/>
  <c r="AF27" i="13" s="1"/>
  <c r="AT28" i="13"/>
  <c r="C28" i="13"/>
  <c r="E28" i="13" s="1"/>
  <c r="AD27" i="13"/>
  <c r="AS28" i="13" s="1"/>
  <c r="AH46" i="13"/>
  <c r="AO46" i="13"/>
  <c r="S47" i="13"/>
  <c r="T47" i="13" s="1"/>
  <c r="F28" i="13" l="1"/>
  <c r="AF28" i="13" s="1"/>
  <c r="AD28" i="13"/>
  <c r="AS29" i="13" s="1"/>
  <c r="C29" i="13"/>
  <c r="E29" i="13" s="1"/>
  <c r="AT29" i="13"/>
  <c r="S48" i="13"/>
  <c r="T48" i="13" s="1"/>
  <c r="AH47" i="13"/>
  <c r="AO47" i="13"/>
  <c r="F29" i="13" l="1"/>
  <c r="AF29" i="13" s="1"/>
  <c r="AT30" i="13"/>
  <c r="C30" i="13"/>
  <c r="E30" i="13" s="1"/>
  <c r="AD29" i="13"/>
  <c r="AS30" i="13" s="1"/>
  <c r="AO48" i="13"/>
  <c r="S49" i="13"/>
  <c r="T49" i="13" s="1"/>
  <c r="AH48" i="13"/>
  <c r="C31" i="13" l="1"/>
  <c r="AD30" i="13"/>
  <c r="AS31" i="13" s="1"/>
  <c r="AT31" i="13"/>
  <c r="E31" i="13"/>
  <c r="F30" i="13"/>
  <c r="AF30" i="13" s="1"/>
  <c r="S50" i="13"/>
  <c r="T50" i="13" s="1"/>
  <c r="AH49" i="13"/>
  <c r="AO49" i="13"/>
  <c r="AT32" i="13" l="1"/>
  <c r="C32" i="13"/>
  <c r="E32" i="13" s="1"/>
  <c r="AD31" i="13"/>
  <c r="AS32" i="13" s="1"/>
  <c r="F31" i="13"/>
  <c r="AF31" i="13" s="1"/>
  <c r="AO50" i="13"/>
  <c r="AH50" i="13"/>
  <c r="S51" i="13"/>
  <c r="T51" i="13" s="1"/>
  <c r="AH51" i="13" l="1"/>
  <c r="AO51" i="13"/>
  <c r="AT33" i="13"/>
  <c r="C33" i="13"/>
  <c r="AD32" i="13"/>
  <c r="AS33" i="13" s="1"/>
  <c r="E33" i="13"/>
  <c r="F32" i="13"/>
  <c r="AF32" i="13" s="1"/>
  <c r="AD33" i="13" l="1"/>
  <c r="AS34" i="13" s="1"/>
  <c r="F33" i="13"/>
  <c r="AF33" i="13" s="1"/>
  <c r="AT34" i="13"/>
  <c r="C34" i="13"/>
  <c r="E34" i="13" s="1"/>
  <c r="F34" i="13" l="1"/>
  <c r="AF34" i="13" s="1"/>
  <c r="AT35" i="13"/>
  <c r="C35" i="13"/>
  <c r="E35" i="13" s="1"/>
  <c r="AD34" i="13"/>
  <c r="AS35" i="13" s="1"/>
  <c r="F35" i="13" l="1"/>
  <c r="AF35" i="13" s="1"/>
  <c r="AT36" i="13"/>
  <c r="C36" i="13"/>
  <c r="E36" i="13" s="1"/>
  <c r="AD35" i="13"/>
  <c r="AS36" i="13" s="1"/>
  <c r="AT37" i="13" l="1"/>
  <c r="C37" i="13"/>
  <c r="AD36" i="13"/>
  <c r="AS37" i="13" s="1"/>
  <c r="E37" i="13"/>
  <c r="F36" i="13"/>
  <c r="AF36" i="13" s="1"/>
  <c r="AD37" i="13" l="1"/>
  <c r="AS38" i="13" s="1"/>
  <c r="F37" i="13"/>
  <c r="AF37" i="13" s="1"/>
  <c r="AT38" i="13"/>
  <c r="C38" i="13"/>
  <c r="E38" i="13" s="1"/>
  <c r="F38" i="13" l="1"/>
  <c r="AF38" i="13" s="1"/>
  <c r="C39" i="13"/>
  <c r="E39" i="13" s="1"/>
  <c r="AD38" i="13"/>
  <c r="AS39" i="13" s="1"/>
  <c r="AT39" i="13"/>
  <c r="F39" i="13" l="1"/>
  <c r="AF39" i="13" s="1"/>
  <c r="AT40" i="13"/>
  <c r="C40" i="13"/>
  <c r="E40" i="13" s="1"/>
  <c r="AD39" i="13"/>
  <c r="AS40" i="13" s="1"/>
  <c r="C41" i="13" l="1"/>
  <c r="AD40" i="13"/>
  <c r="AS41" i="13" s="1"/>
  <c r="F40" i="13"/>
  <c r="AF40" i="13" s="1"/>
  <c r="AT41" i="13"/>
  <c r="E41" i="13"/>
  <c r="AT42" i="13" l="1"/>
  <c r="F41" i="13"/>
  <c r="AF41" i="13" s="1"/>
  <c r="C42" i="13"/>
  <c r="E42" i="13" s="1"/>
  <c r="AD41" i="13"/>
  <c r="AS42" i="13" s="1"/>
  <c r="C43" i="13" l="1"/>
  <c r="E43" i="13" s="1"/>
  <c r="AD42" i="13"/>
  <c r="F42" i="13"/>
  <c r="AF42" i="13" s="1"/>
  <c r="AT43" i="13"/>
  <c r="AT44" i="13" l="1"/>
  <c r="C44" i="13"/>
  <c r="E44" i="13" s="1"/>
  <c r="F43" i="13"/>
  <c r="AF43" i="13" s="1"/>
  <c r="AD43" i="13"/>
  <c r="AS44" i="13" s="1"/>
  <c r="AP43" i="13"/>
  <c r="AS43" i="13"/>
  <c r="AT45" i="13" l="1"/>
  <c r="C45" i="13"/>
  <c r="E45" i="13" s="1"/>
  <c r="F44" i="13"/>
  <c r="AF44" i="13" s="1"/>
  <c r="AD44" i="13"/>
  <c r="AS45" i="13" s="1"/>
  <c r="AP44" i="13" l="1"/>
  <c r="C46" i="13"/>
  <c r="E46" i="13" s="1"/>
  <c r="F45" i="13"/>
  <c r="AF45" i="13" s="1"/>
  <c r="AD45" i="13"/>
  <c r="AS46" i="13" s="1"/>
  <c r="AT46" i="13"/>
  <c r="C47" i="13" l="1"/>
  <c r="E47" i="13" s="1"/>
  <c r="F46" i="13"/>
  <c r="AF46" i="13" s="1"/>
  <c r="AD46" i="13"/>
  <c r="AS47" i="13" s="1"/>
  <c r="AT47" i="13"/>
  <c r="AP45" i="13"/>
  <c r="AP46" i="13" l="1"/>
  <c r="AD47" i="13"/>
  <c r="AS48" i="13" s="1"/>
  <c r="C48" i="13"/>
  <c r="E48" i="13" s="1"/>
  <c r="F47" i="13"/>
  <c r="AF47" i="13" s="1"/>
  <c r="AT48" i="13"/>
  <c r="AD48" i="13" l="1"/>
  <c r="AS49" i="13" s="1"/>
  <c r="AT49" i="13"/>
  <c r="C49" i="13"/>
  <c r="F48" i="13"/>
  <c r="AF48" i="13" s="1"/>
  <c r="AP47" i="13"/>
  <c r="E49" i="13" l="1"/>
  <c r="AT50" i="13"/>
  <c r="AD49" i="13"/>
  <c r="AP49" i="13" s="1"/>
  <c r="F49" i="13"/>
  <c r="AF49" i="13" s="1"/>
  <c r="AP48" i="13"/>
  <c r="C50" i="13" l="1"/>
  <c r="AS50" i="13"/>
  <c r="E50" i="13" l="1"/>
  <c r="AT51" i="13"/>
  <c r="AD50" i="13"/>
  <c r="AS51" i="13" s="1"/>
  <c r="AP50" i="13" l="1"/>
  <c r="C51" i="13"/>
  <c r="F50" i="13"/>
  <c r="AF50" i="13" s="1"/>
  <c r="E51" i="13" l="1"/>
  <c r="R2" i="1"/>
  <c r="AD51" i="13"/>
  <c r="AP51" i="13" s="1"/>
  <c r="AL52" i="13" s="1"/>
  <c r="AP52" i="13" s="1"/>
  <c r="AL53" i="13" s="1"/>
  <c r="AP53" i="13" s="1"/>
  <c r="AL54" i="13" s="1"/>
  <c r="AP54" i="13" s="1"/>
  <c r="AL55" i="13" s="1"/>
  <c r="AP55" i="13" s="1"/>
  <c r="AL56" i="13" s="1"/>
  <c r="AP56" i="13" s="1"/>
  <c r="AL57" i="13" s="1"/>
  <c r="AP57" i="13" s="1"/>
  <c r="AL58" i="13" s="1"/>
  <c r="AP58" i="13" s="1"/>
  <c r="AL59" i="13" s="1"/>
  <c r="AP59" i="13" s="1"/>
  <c r="F51" i="13"/>
  <c r="AF51" i="13" s="1"/>
  <c r="P2" i="1" l="1"/>
  <c r="T2" i="1"/>
  <c r="F327" i="1"/>
  <c r="F324" i="1"/>
  <c r="F312" i="1"/>
  <c r="F328" i="1"/>
  <c r="B3" i="4"/>
  <c r="G4" i="1" l="1"/>
  <c r="F4" i="1"/>
  <c r="J286" i="1"/>
  <c r="J312" i="1"/>
  <c r="J31" i="1"/>
  <c r="J139" i="1"/>
  <c r="J50" i="1"/>
  <c r="J22" i="1"/>
  <c r="J58" i="1"/>
  <c r="J94" i="1"/>
  <c r="J130" i="1"/>
  <c r="J148" i="1"/>
  <c r="J166" i="1"/>
  <c r="J184" i="1"/>
  <c r="J202" i="1"/>
  <c r="J238" i="1"/>
  <c r="J322" i="1"/>
  <c r="J14" i="1"/>
  <c r="J32" i="1"/>
  <c r="J68" i="1"/>
  <c r="J86" i="1"/>
  <c r="J40" i="1"/>
  <c r="J76" i="1"/>
  <c r="J112" i="1"/>
  <c r="J220" i="1"/>
  <c r="J20" i="1"/>
  <c r="J38" i="1"/>
  <c r="J56" i="1"/>
  <c r="J74" i="1"/>
  <c r="J10" i="1"/>
  <c r="J28" i="1"/>
  <c r="J46" i="1"/>
  <c r="J64" i="1"/>
  <c r="J82" i="1"/>
  <c r="J100" i="1"/>
  <c r="J118" i="1"/>
  <c r="J136" i="1"/>
  <c r="J154" i="1"/>
  <c r="J172" i="1"/>
  <c r="J250" i="1"/>
  <c r="J276" i="1"/>
  <c r="J8" i="1"/>
  <c r="J26" i="1"/>
  <c r="J44" i="1"/>
  <c r="J62" i="1"/>
  <c r="J80" i="1"/>
  <c r="J16" i="1"/>
  <c r="J34" i="1"/>
  <c r="J52" i="1"/>
  <c r="J70" i="1"/>
  <c r="J88" i="1"/>
  <c r="J106" i="1"/>
  <c r="J124" i="1"/>
  <c r="J142" i="1"/>
  <c r="J160" i="1"/>
  <c r="J178" i="1"/>
  <c r="J228" i="1"/>
  <c r="J264" i="1"/>
  <c r="J300" i="1"/>
  <c r="J49" i="1"/>
  <c r="J103" i="1"/>
  <c r="J157" i="1"/>
  <c r="J256" i="1"/>
  <c r="J274" i="1"/>
  <c r="J292" i="1"/>
  <c r="J310" i="1"/>
  <c r="J328" i="1"/>
  <c r="J17" i="1"/>
  <c r="J35" i="1"/>
  <c r="J53" i="1"/>
  <c r="J71" i="1"/>
  <c r="J89" i="1"/>
  <c r="J107" i="1"/>
  <c r="J125" i="1"/>
  <c r="J143" i="1"/>
  <c r="J161" i="1"/>
  <c r="J179" i="1"/>
  <c r="J197" i="1"/>
  <c r="J215" i="1"/>
  <c r="J233" i="1"/>
  <c r="J251" i="1"/>
  <c r="J269" i="1"/>
  <c r="J287" i="1"/>
  <c r="J305" i="1"/>
  <c r="J323" i="1"/>
  <c r="J12" i="1"/>
  <c r="J30" i="1"/>
  <c r="J48" i="1"/>
  <c r="J66" i="1"/>
  <c r="J84" i="1"/>
  <c r="J102" i="1"/>
  <c r="J120" i="1"/>
  <c r="J138" i="1"/>
  <c r="J156" i="1"/>
  <c r="J174" i="1"/>
  <c r="J192" i="1"/>
  <c r="J210" i="1"/>
  <c r="J246" i="1"/>
  <c r="J282" i="1"/>
  <c r="J318" i="1"/>
  <c r="J92" i="1"/>
  <c r="J110" i="1"/>
  <c r="J128" i="1"/>
  <c r="J146" i="1"/>
  <c r="J164" i="1"/>
  <c r="J182" i="1"/>
  <c r="J200" i="1"/>
  <c r="J218" i="1"/>
  <c r="J236" i="1"/>
  <c r="J254" i="1"/>
  <c r="J272" i="1"/>
  <c r="J290" i="1"/>
  <c r="J308" i="1"/>
  <c r="J326" i="1"/>
  <c r="J21" i="1"/>
  <c r="J39" i="1"/>
  <c r="J57" i="1"/>
  <c r="J75" i="1"/>
  <c r="J93" i="1"/>
  <c r="J111" i="1"/>
  <c r="J129" i="1"/>
  <c r="J147" i="1"/>
  <c r="J165" i="1"/>
  <c r="J183" i="1"/>
  <c r="J201" i="1"/>
  <c r="J219" i="1"/>
  <c r="J237" i="1"/>
  <c r="J255" i="1"/>
  <c r="J273" i="1"/>
  <c r="J291" i="1"/>
  <c r="J309" i="1"/>
  <c r="J327" i="1"/>
  <c r="J217" i="1"/>
  <c r="J271" i="1"/>
  <c r="J4" i="1"/>
  <c r="G3" i="4" s="1"/>
  <c r="J43" i="1"/>
  <c r="J97" i="1"/>
  <c r="J151" i="1"/>
  <c r="J211" i="1"/>
  <c r="J265" i="1"/>
  <c r="J325" i="1"/>
  <c r="J55" i="1"/>
  <c r="J109" i="1"/>
  <c r="J163" i="1"/>
  <c r="J223" i="1"/>
  <c r="J277" i="1"/>
  <c r="J205" i="1"/>
  <c r="J108" i="1"/>
  <c r="J198" i="1"/>
  <c r="J216" i="1"/>
  <c r="J252" i="1"/>
  <c r="J288" i="1"/>
  <c r="J67" i="1"/>
  <c r="J175" i="1"/>
  <c r="J190" i="1"/>
  <c r="J208" i="1"/>
  <c r="J226" i="1"/>
  <c r="J244" i="1"/>
  <c r="J262" i="1"/>
  <c r="J280" i="1"/>
  <c r="J298" i="1"/>
  <c r="J316" i="1"/>
  <c r="J5" i="1"/>
  <c r="J23" i="1"/>
  <c r="J41" i="1"/>
  <c r="J59" i="1"/>
  <c r="J77" i="1"/>
  <c r="J95" i="1"/>
  <c r="J113" i="1"/>
  <c r="J131" i="1"/>
  <c r="J149" i="1"/>
  <c r="J167" i="1"/>
  <c r="J185" i="1"/>
  <c r="J203" i="1"/>
  <c r="J221" i="1"/>
  <c r="J239" i="1"/>
  <c r="J257" i="1"/>
  <c r="J275" i="1"/>
  <c r="J293" i="1"/>
  <c r="J311" i="1"/>
  <c r="J18" i="1"/>
  <c r="J36" i="1"/>
  <c r="J54" i="1"/>
  <c r="J72" i="1"/>
  <c r="J90" i="1"/>
  <c r="J126" i="1"/>
  <c r="J144" i="1"/>
  <c r="J162" i="1"/>
  <c r="J180" i="1"/>
  <c r="J234" i="1"/>
  <c r="J270" i="1"/>
  <c r="J306" i="1"/>
  <c r="J324" i="1"/>
  <c r="J98" i="1"/>
  <c r="J116" i="1"/>
  <c r="J134" i="1"/>
  <c r="J152" i="1"/>
  <c r="J170" i="1"/>
  <c r="J188" i="1"/>
  <c r="J206" i="1"/>
  <c r="J224" i="1"/>
  <c r="J242" i="1"/>
  <c r="J260" i="1"/>
  <c r="J278" i="1"/>
  <c r="J296" i="1"/>
  <c r="J314" i="1"/>
  <c r="J9" i="1"/>
  <c r="J27" i="1"/>
  <c r="J45" i="1"/>
  <c r="J63" i="1"/>
  <c r="J81" i="1"/>
  <c r="J99" i="1"/>
  <c r="J117" i="1"/>
  <c r="J135" i="1"/>
  <c r="J153" i="1"/>
  <c r="J171" i="1"/>
  <c r="J189" i="1"/>
  <c r="J207" i="1"/>
  <c r="J225" i="1"/>
  <c r="J243" i="1"/>
  <c r="J261" i="1"/>
  <c r="J279" i="1"/>
  <c r="J297" i="1"/>
  <c r="J315" i="1"/>
  <c r="J7" i="1"/>
  <c r="J121" i="1"/>
  <c r="J235" i="1"/>
  <c r="J289" i="1"/>
  <c r="J13" i="1"/>
  <c r="J61" i="1"/>
  <c r="J115" i="1"/>
  <c r="J169" i="1"/>
  <c r="J229" i="1"/>
  <c r="J283" i="1"/>
  <c r="J19" i="1"/>
  <c r="J73" i="1"/>
  <c r="J127" i="1"/>
  <c r="J181" i="1"/>
  <c r="J196" i="1"/>
  <c r="J214" i="1"/>
  <c r="J232" i="1"/>
  <c r="J268" i="1"/>
  <c r="J304" i="1"/>
  <c r="J11" i="1"/>
  <c r="J29" i="1"/>
  <c r="J47" i="1"/>
  <c r="J65" i="1"/>
  <c r="J83" i="1"/>
  <c r="J101" i="1"/>
  <c r="J119" i="1"/>
  <c r="J137" i="1"/>
  <c r="J155" i="1"/>
  <c r="J173" i="1"/>
  <c r="J191" i="1"/>
  <c r="J209" i="1"/>
  <c r="J227" i="1"/>
  <c r="J245" i="1"/>
  <c r="J263" i="1"/>
  <c r="J281" i="1"/>
  <c r="J299" i="1"/>
  <c r="J317" i="1"/>
  <c r="J6" i="1"/>
  <c r="J24" i="1"/>
  <c r="J42" i="1"/>
  <c r="J60" i="1"/>
  <c r="J78" i="1"/>
  <c r="J96" i="1"/>
  <c r="J114" i="1"/>
  <c r="J132" i="1"/>
  <c r="J150" i="1"/>
  <c r="J168" i="1"/>
  <c r="J186" i="1"/>
  <c r="J204" i="1"/>
  <c r="J222" i="1"/>
  <c r="J240" i="1"/>
  <c r="J258" i="1"/>
  <c r="J294" i="1"/>
  <c r="J104" i="1"/>
  <c r="J122" i="1"/>
  <c r="J140" i="1"/>
  <c r="J158" i="1"/>
  <c r="J176" i="1"/>
  <c r="J194" i="1"/>
  <c r="J212" i="1"/>
  <c r="J230" i="1"/>
  <c r="J248" i="1"/>
  <c r="J266" i="1"/>
  <c r="J284" i="1"/>
  <c r="J302" i="1"/>
  <c r="J320" i="1"/>
  <c r="J15" i="1"/>
  <c r="J33" i="1"/>
  <c r="J51" i="1"/>
  <c r="J69" i="1"/>
  <c r="J87" i="1"/>
  <c r="J105" i="1"/>
  <c r="J123" i="1"/>
  <c r="J141" i="1"/>
  <c r="J159" i="1"/>
  <c r="J177" i="1"/>
  <c r="J195" i="1"/>
  <c r="J213" i="1"/>
  <c r="J231" i="1"/>
  <c r="J249" i="1"/>
  <c r="J267" i="1"/>
  <c r="J285" i="1"/>
  <c r="J303" i="1"/>
  <c r="J321" i="1"/>
  <c r="J85" i="1"/>
  <c r="J193" i="1"/>
  <c r="J253" i="1"/>
  <c r="J307" i="1"/>
  <c r="J25" i="1"/>
  <c r="J79" i="1"/>
  <c r="J133" i="1"/>
  <c r="J187" i="1"/>
  <c r="J247" i="1"/>
  <c r="J301" i="1"/>
  <c r="J37" i="1"/>
  <c r="J91" i="1"/>
  <c r="J145" i="1"/>
  <c r="J199" i="1"/>
  <c r="J241" i="1"/>
  <c r="J259" i="1"/>
  <c r="J295" i="1"/>
  <c r="J313" i="1"/>
  <c r="J319" i="1"/>
  <c r="D330" i="1"/>
  <c r="F330" i="1" s="1"/>
  <c r="G322" i="1"/>
  <c r="H4" i="1" l="1"/>
  <c r="G38" i="4"/>
  <c r="G48" i="4"/>
  <c r="G52" i="4"/>
  <c r="G56" i="4"/>
  <c r="G63" i="4"/>
  <c r="G64" i="4"/>
  <c r="G68" i="4"/>
  <c r="G80" i="4"/>
  <c r="G84" i="4"/>
  <c r="G86" i="4"/>
  <c r="G88" i="4"/>
  <c r="G91" i="4"/>
  <c r="G96" i="4"/>
  <c r="G99" i="4"/>
  <c r="G100" i="4"/>
  <c r="G102" i="4"/>
  <c r="G104" i="4"/>
  <c r="G106" i="4"/>
  <c r="G111" i="4"/>
  <c r="G112" i="4"/>
  <c r="G116" i="4"/>
  <c r="G117" i="4"/>
  <c r="G121" i="4"/>
  <c r="G123" i="4"/>
  <c r="G126" i="4"/>
  <c r="G128" i="4"/>
  <c r="G135" i="4"/>
  <c r="G137" i="4"/>
  <c r="G142" i="4"/>
  <c r="G144" i="4"/>
  <c r="G147" i="4"/>
  <c r="G152" i="4"/>
  <c r="G154" i="4"/>
  <c r="G158" i="4"/>
  <c r="G159" i="4"/>
  <c r="G160" i="4"/>
  <c r="G164" i="4"/>
  <c r="G166" i="4"/>
  <c r="G168" i="4"/>
  <c r="G170" i="4"/>
  <c r="G171" i="4"/>
  <c r="G172" i="4"/>
  <c r="G176" i="4"/>
  <c r="G177" i="4"/>
  <c r="G180" i="4"/>
  <c r="G183" i="4"/>
  <c r="G190" i="4"/>
  <c r="G192" i="4"/>
  <c r="G195" i="4"/>
  <c r="G196" i="4"/>
  <c r="G200" i="4"/>
  <c r="G202" i="4"/>
  <c r="G206" i="4"/>
  <c r="G207" i="4"/>
  <c r="G208" i="4"/>
  <c r="G209" i="4"/>
  <c r="G212" i="4"/>
  <c r="G213" i="4"/>
  <c r="G214" i="4"/>
  <c r="G215" i="4"/>
  <c r="G216" i="4"/>
  <c r="G217" i="4"/>
  <c r="G218" i="4"/>
  <c r="G219" i="4"/>
  <c r="G220" i="4"/>
  <c r="G221" i="4"/>
  <c r="G224" i="4"/>
  <c r="G225" i="4"/>
  <c r="G226" i="4"/>
  <c r="G229" i="4"/>
  <c r="G230" i="4"/>
  <c r="G231" i="4"/>
  <c r="G232" i="4"/>
  <c r="G233" i="4"/>
  <c r="G234" i="4"/>
  <c r="G237" i="4"/>
  <c r="G238" i="4"/>
  <c r="G240" i="4"/>
  <c r="G243" i="4"/>
  <c r="G244" i="4"/>
  <c r="G246" i="4"/>
  <c r="G248" i="4"/>
  <c r="G249" i="4"/>
  <c r="G250" i="4"/>
  <c r="G255" i="4"/>
  <c r="G256" i="4"/>
  <c r="G258" i="4"/>
  <c r="G261" i="4"/>
  <c r="G262" i="4"/>
  <c r="G264" i="4"/>
  <c r="G265" i="4"/>
  <c r="G266" i="4"/>
  <c r="G267" i="4"/>
  <c r="G268" i="4"/>
  <c r="G269" i="4"/>
  <c r="G272" i="4"/>
  <c r="G273" i="4"/>
  <c r="G274" i="4"/>
  <c r="G278" i="4"/>
  <c r="G279" i="4"/>
  <c r="G280" i="4"/>
  <c r="G281" i="4"/>
  <c r="G282" i="4"/>
  <c r="G284" i="4"/>
  <c r="G285" i="4"/>
  <c r="G286" i="4"/>
  <c r="G287" i="4"/>
  <c r="G288" i="4"/>
  <c r="G291" i="4"/>
  <c r="G292" i="4"/>
  <c r="G294" i="4"/>
  <c r="G297" i="4"/>
  <c r="G298" i="4"/>
  <c r="G299" i="4"/>
  <c r="G302" i="4"/>
  <c r="G303" i="4"/>
  <c r="G304" i="4"/>
  <c r="G307" i="4"/>
  <c r="G309" i="4"/>
  <c r="G310" i="4"/>
  <c r="G312" i="4"/>
  <c r="G313" i="4"/>
  <c r="G314" i="4"/>
  <c r="G315" i="4"/>
  <c r="G316" i="4"/>
  <c r="G318" i="4"/>
  <c r="G319" i="4"/>
  <c r="G320" i="4"/>
  <c r="G321" i="4"/>
  <c r="G322" i="4"/>
  <c r="G324" i="4"/>
  <c r="G327" i="4"/>
  <c r="G22" i="4"/>
  <c r="G30" i="4"/>
  <c r="J1" i="1"/>
  <c r="I1" i="1"/>
  <c r="G60" i="4"/>
  <c r="G71" i="4"/>
  <c r="G72" i="4"/>
  <c r="G76" i="4"/>
  <c r="G79" i="4"/>
  <c r="G83" i="4"/>
  <c r="G90" i="4"/>
  <c r="G94" i="4"/>
  <c r="G95" i="4"/>
  <c r="G107" i="4"/>
  <c r="G110" i="4"/>
  <c r="G119" i="4"/>
  <c r="G115" i="4"/>
  <c r="G127" i="4"/>
  <c r="G132" i="4"/>
  <c r="G133" i="4"/>
  <c r="G138" i="4"/>
  <c r="G139" i="4"/>
  <c r="G143" i="4"/>
  <c r="G148" i="4"/>
  <c r="G150" i="4"/>
  <c r="G155" i="4"/>
  <c r="G163" i="4"/>
  <c r="G175" i="4"/>
  <c r="G181" i="4"/>
  <c r="G186" i="4"/>
  <c r="G187" i="4"/>
  <c r="G191" i="4"/>
  <c r="G198" i="4"/>
  <c r="G203" i="4"/>
  <c r="G204" i="4"/>
  <c r="G210" i="4"/>
  <c r="G211" i="4"/>
  <c r="G222" i="4"/>
  <c r="G223" i="4"/>
  <c r="G227" i="4"/>
  <c r="G228" i="4"/>
  <c r="G235" i="4"/>
  <c r="G236" i="4"/>
  <c r="G239" i="4"/>
  <c r="G241" i="4"/>
  <c r="G242" i="4"/>
  <c r="G245" i="4"/>
  <c r="G247" i="4"/>
  <c r="G251" i="4"/>
  <c r="G252" i="4"/>
  <c r="G253" i="4"/>
  <c r="G254" i="4"/>
  <c r="G257" i="4"/>
  <c r="G259" i="4"/>
  <c r="G260" i="4"/>
  <c r="G263" i="4"/>
  <c r="G270" i="4"/>
  <c r="G271" i="4"/>
  <c r="G275" i="4"/>
  <c r="G276" i="4"/>
  <c r="G277" i="4"/>
  <c r="G283" i="4"/>
  <c r="G289" i="4"/>
  <c r="G290" i="4"/>
  <c r="G293" i="4"/>
  <c r="G295" i="4"/>
  <c r="G296" i="4"/>
  <c r="G300" i="4"/>
  <c r="G301" i="4"/>
  <c r="G305" i="4"/>
  <c r="G306" i="4"/>
  <c r="G308" i="4"/>
  <c r="G311" i="4"/>
  <c r="G317" i="4"/>
  <c r="G323" i="4"/>
  <c r="G325" i="4"/>
  <c r="G326" i="4"/>
  <c r="B32" i="4" l="1"/>
  <c r="B28" i="4"/>
  <c r="B24" i="4"/>
  <c r="B20" i="4"/>
  <c r="B16" i="4"/>
  <c r="B12" i="4"/>
  <c r="B8" i="4"/>
  <c r="B4" i="4"/>
  <c r="B326" i="4"/>
  <c r="B322" i="4"/>
  <c r="B318" i="4"/>
  <c r="B314" i="4"/>
  <c r="B310" i="4"/>
  <c r="B306" i="4"/>
  <c r="B302" i="4"/>
  <c r="B298" i="4"/>
  <c r="B294" i="4"/>
  <c r="B290" i="4"/>
  <c r="B286" i="4"/>
  <c r="B282" i="4"/>
  <c r="B278" i="4"/>
  <c r="B274" i="4"/>
  <c r="B270" i="4"/>
  <c r="B266" i="4"/>
  <c r="B262" i="4"/>
  <c r="B258" i="4"/>
  <c r="B254" i="4"/>
  <c r="B250" i="4"/>
  <c r="B246" i="4"/>
  <c r="B242" i="4"/>
  <c r="B238" i="4"/>
  <c r="B234" i="4"/>
  <c r="B230" i="4"/>
  <c r="B226" i="4"/>
  <c r="B222" i="4"/>
  <c r="B218" i="4"/>
  <c r="B214" i="4"/>
  <c r="B210" i="4"/>
  <c r="B206" i="4"/>
  <c r="B202" i="4"/>
  <c r="B198" i="4"/>
  <c r="B194" i="4"/>
  <c r="B190" i="4"/>
  <c r="B186" i="4"/>
  <c r="B182" i="4"/>
  <c r="B178" i="4"/>
  <c r="B174" i="4"/>
  <c r="B170" i="4"/>
  <c r="B166" i="4"/>
  <c r="B162" i="4"/>
  <c r="B158" i="4"/>
  <c r="B154" i="4"/>
  <c r="B150" i="4"/>
  <c r="B146" i="4"/>
  <c r="B142" i="4"/>
  <c r="B138" i="4"/>
  <c r="B134" i="4"/>
  <c r="B130" i="4"/>
  <c r="B126" i="4"/>
  <c r="B122" i="4"/>
  <c r="B118" i="4"/>
  <c r="B114" i="4"/>
  <c r="B110" i="4"/>
  <c r="B106" i="4"/>
  <c r="B102" i="4"/>
  <c r="B98" i="4"/>
  <c r="B94" i="4"/>
  <c r="B90" i="4"/>
  <c r="B86" i="4"/>
  <c r="B82" i="4"/>
  <c r="B78" i="4"/>
  <c r="B74" i="4"/>
  <c r="B70" i="4"/>
  <c r="B66" i="4"/>
  <c r="B62" i="4"/>
  <c r="B58" i="4"/>
  <c r="B54" i="4"/>
  <c r="B50" i="4"/>
  <c r="B46" i="4"/>
  <c r="B42" i="4"/>
  <c r="B38" i="4"/>
  <c r="B31" i="4"/>
  <c r="B27" i="4"/>
  <c r="B23" i="4"/>
  <c r="B19" i="4"/>
  <c r="B15" i="4"/>
  <c r="B11" i="4"/>
  <c r="B7" i="4"/>
  <c r="B325" i="4"/>
  <c r="D321" i="4"/>
  <c r="B321" i="4"/>
  <c r="B317" i="4"/>
  <c r="B313" i="4"/>
  <c r="B309" i="4"/>
  <c r="B305" i="4"/>
  <c r="B301" i="4"/>
  <c r="B297" i="4"/>
  <c r="B293" i="4"/>
  <c r="B289" i="4"/>
  <c r="B285" i="4"/>
  <c r="B281" i="4"/>
  <c r="B277" i="4"/>
  <c r="B273" i="4"/>
  <c r="B269" i="4"/>
  <c r="B265" i="4"/>
  <c r="B261" i="4"/>
  <c r="B257" i="4"/>
  <c r="B253" i="4"/>
  <c r="B249" i="4"/>
  <c r="B245" i="4"/>
  <c r="B241" i="4"/>
  <c r="B237" i="4"/>
  <c r="B233" i="4"/>
  <c r="B229" i="4"/>
  <c r="B225" i="4"/>
  <c r="B221" i="4"/>
  <c r="B217" i="4"/>
  <c r="B213" i="4"/>
  <c r="B209" i="4"/>
  <c r="B205" i="4"/>
  <c r="B201" i="4"/>
  <c r="B197" i="4"/>
  <c r="B193" i="4"/>
  <c r="B189" i="4"/>
  <c r="B185" i="4"/>
  <c r="B181" i="4"/>
  <c r="B177" i="4"/>
  <c r="B173" i="4"/>
  <c r="B169" i="4"/>
  <c r="B165" i="4"/>
  <c r="B161" i="4"/>
  <c r="B157" i="4"/>
  <c r="B153" i="4"/>
  <c r="B149" i="4"/>
  <c r="B145" i="4"/>
  <c r="B141" i="4"/>
  <c r="B137" i="4"/>
  <c r="B133" i="4"/>
  <c r="B129" i="4"/>
  <c r="B125" i="4"/>
  <c r="B121" i="4"/>
  <c r="B117" i="4"/>
  <c r="B113" i="4"/>
  <c r="B109" i="4"/>
  <c r="B105" i="4"/>
  <c r="B101" i="4"/>
  <c r="B97" i="4"/>
  <c r="B93" i="4"/>
  <c r="B89" i="4"/>
  <c r="B85" i="4"/>
  <c r="B81" i="4"/>
  <c r="B77" i="4"/>
  <c r="B73" i="4"/>
  <c r="B69" i="4"/>
  <c r="B65" i="4"/>
  <c r="B61" i="4"/>
  <c r="B57" i="4"/>
  <c r="B53" i="4"/>
  <c r="B49" i="4"/>
  <c r="B45" i="4"/>
  <c r="B41" i="4"/>
  <c r="B37" i="4"/>
  <c r="B34" i="4"/>
  <c r="B30" i="4"/>
  <c r="B26" i="4"/>
  <c r="B22" i="4"/>
  <c r="B18" i="4"/>
  <c r="B14" i="4"/>
  <c r="B10" i="4"/>
  <c r="B6" i="4"/>
  <c r="B324" i="4"/>
  <c r="B320" i="4"/>
  <c r="B316" i="4"/>
  <c r="B312" i="4"/>
  <c r="B308" i="4"/>
  <c r="B304" i="4"/>
  <c r="B300" i="4"/>
  <c r="B296" i="4"/>
  <c r="B292" i="4"/>
  <c r="B288" i="4"/>
  <c r="B284" i="4"/>
  <c r="B280" i="4"/>
  <c r="B276" i="4"/>
  <c r="B272" i="4"/>
  <c r="B268" i="4"/>
  <c r="B264" i="4"/>
  <c r="B260" i="4"/>
  <c r="B256" i="4"/>
  <c r="B252" i="4"/>
  <c r="B248" i="4"/>
  <c r="B244" i="4"/>
  <c r="B240" i="4"/>
  <c r="B236" i="4"/>
  <c r="B232" i="4"/>
  <c r="B228" i="4"/>
  <c r="B224" i="4"/>
  <c r="B220" i="4"/>
  <c r="B216" i="4"/>
  <c r="B212" i="4"/>
  <c r="B208" i="4"/>
  <c r="B204" i="4"/>
  <c r="B200" i="4"/>
  <c r="B196" i="4"/>
  <c r="B192" i="4"/>
  <c r="B188" i="4"/>
  <c r="B184" i="4"/>
  <c r="B180" i="4"/>
  <c r="B176" i="4"/>
  <c r="B172" i="4"/>
  <c r="B168" i="4"/>
  <c r="B164" i="4"/>
  <c r="B160" i="4"/>
  <c r="B156" i="4"/>
  <c r="B152" i="4"/>
  <c r="B148" i="4"/>
  <c r="B144" i="4"/>
  <c r="B140" i="4"/>
  <c r="B136" i="4"/>
  <c r="B132" i="4"/>
  <c r="B128" i="4"/>
  <c r="B124" i="4"/>
  <c r="B120" i="4"/>
  <c r="B116" i="4"/>
  <c r="B112" i="4"/>
  <c r="B108" i="4"/>
  <c r="B104" i="4"/>
  <c r="B100" i="4"/>
  <c r="B96" i="4"/>
  <c r="B92" i="4"/>
  <c r="B88" i="4"/>
  <c r="B84" i="4"/>
  <c r="B80" i="4"/>
  <c r="B76" i="4"/>
  <c r="B72" i="4"/>
  <c r="B68" i="4"/>
  <c r="B64" i="4"/>
  <c r="B60" i="4"/>
  <c r="B56" i="4"/>
  <c r="B52" i="4"/>
  <c r="B48" i="4"/>
  <c r="B44" i="4"/>
  <c r="B40" i="4"/>
  <c r="B36" i="4"/>
  <c r="B33" i="4"/>
  <c r="B29" i="4"/>
  <c r="B25" i="4"/>
  <c r="B21" i="4"/>
  <c r="B17" i="4"/>
  <c r="B13" i="4"/>
  <c r="B9" i="4"/>
  <c r="B5" i="4"/>
  <c r="B327" i="4"/>
  <c r="B323" i="4"/>
  <c r="B319" i="4"/>
  <c r="B315" i="4"/>
  <c r="B311" i="4"/>
  <c r="B307" i="4"/>
  <c r="B303" i="4"/>
  <c r="B299" i="4"/>
  <c r="B295" i="4"/>
  <c r="B291" i="4"/>
  <c r="B287" i="4"/>
  <c r="B283" i="4"/>
  <c r="B279" i="4"/>
  <c r="B275" i="4"/>
  <c r="B271" i="4"/>
  <c r="B267" i="4"/>
  <c r="B263" i="4"/>
  <c r="B259" i="4"/>
  <c r="B255" i="4"/>
  <c r="B251" i="4"/>
  <c r="B247" i="4"/>
  <c r="B243" i="4"/>
  <c r="B239" i="4"/>
  <c r="B235" i="4"/>
  <c r="B231" i="4"/>
  <c r="B227" i="4"/>
  <c r="B223" i="4"/>
  <c r="B219" i="4"/>
  <c r="B215" i="4"/>
  <c r="B211" i="4"/>
  <c r="B207" i="4"/>
  <c r="B203" i="4"/>
  <c r="B199" i="4"/>
  <c r="B195" i="4"/>
  <c r="B191" i="4"/>
  <c r="B187" i="4"/>
  <c r="B183" i="4"/>
  <c r="B179" i="4"/>
  <c r="B175" i="4"/>
  <c r="B171" i="4"/>
  <c r="B167" i="4"/>
  <c r="B163" i="4"/>
  <c r="B159" i="4"/>
  <c r="B155" i="4"/>
  <c r="B151" i="4"/>
  <c r="B147" i="4"/>
  <c r="B143" i="4"/>
  <c r="B139" i="4"/>
  <c r="B135" i="4"/>
  <c r="B131" i="4"/>
  <c r="B127" i="4"/>
  <c r="B123" i="4"/>
  <c r="B119" i="4"/>
  <c r="B115" i="4"/>
  <c r="B111" i="4"/>
  <c r="B107" i="4"/>
  <c r="B103" i="4"/>
  <c r="B99" i="4"/>
  <c r="B95" i="4"/>
  <c r="B91" i="4"/>
  <c r="B87" i="4"/>
  <c r="B83" i="4"/>
  <c r="B79" i="4"/>
  <c r="B75" i="4"/>
  <c r="B71" i="4"/>
  <c r="B67" i="4"/>
  <c r="B63" i="4"/>
  <c r="B59" i="4"/>
  <c r="B55" i="4"/>
  <c r="B51" i="4"/>
  <c r="B47" i="4"/>
  <c r="B43" i="4"/>
  <c r="B39" i="4"/>
  <c r="B35" i="4"/>
  <c r="G5" i="4"/>
  <c r="G199" i="4"/>
  <c r="G194" i="4"/>
  <c r="G188" i="4"/>
  <c r="G184" i="4"/>
  <c r="G179" i="4"/>
  <c r="G173" i="4"/>
  <c r="G167" i="4"/>
  <c r="G162" i="4"/>
  <c r="G156" i="4"/>
  <c r="G151" i="4"/>
  <c r="G146" i="4"/>
  <c r="G140" i="4"/>
  <c r="G136" i="4"/>
  <c r="G131" i="4"/>
  <c r="G124" i="4"/>
  <c r="G120" i="4"/>
  <c r="G114" i="4"/>
  <c r="G108" i="4"/>
  <c r="G103" i="4"/>
  <c r="G98" i="4"/>
  <c r="G92" i="4"/>
  <c r="G87" i="4"/>
  <c r="G82" i="4"/>
  <c r="G75" i="4"/>
  <c r="G67" i="4"/>
  <c r="G59" i="4"/>
  <c r="G44" i="4"/>
  <c r="G14" i="4"/>
  <c r="G205" i="4"/>
  <c r="G201" i="4"/>
  <c r="G197" i="4"/>
  <c r="G193" i="4"/>
  <c r="G189" i="4"/>
  <c r="G185" i="4"/>
  <c r="G182" i="4"/>
  <c r="G178" i="4"/>
  <c r="G174" i="4"/>
  <c r="G169" i="4"/>
  <c r="G165" i="4"/>
  <c r="G161" i="4"/>
  <c r="G157" i="4"/>
  <c r="G153" i="4"/>
  <c r="G149" i="4"/>
  <c r="G145" i="4"/>
  <c r="G141" i="4"/>
  <c r="G130" i="4"/>
  <c r="G134" i="4"/>
  <c r="G129" i="4"/>
  <c r="G125" i="4"/>
  <c r="G122" i="4"/>
  <c r="G118" i="4"/>
  <c r="G113" i="4"/>
  <c r="G109" i="4"/>
  <c r="G105" i="4"/>
  <c r="G101" i="4"/>
  <c r="G97" i="4"/>
  <c r="G93" i="4"/>
  <c r="G89" i="4"/>
  <c r="G85" i="4"/>
  <c r="G81" i="4"/>
  <c r="G77" i="4"/>
  <c r="G73" i="4"/>
  <c r="G69" i="4"/>
  <c r="G65" i="4"/>
  <c r="G61" i="4"/>
  <c r="G57" i="4"/>
  <c r="G53" i="4"/>
  <c r="G49" i="4"/>
  <c r="G45" i="4"/>
  <c r="G40" i="4"/>
  <c r="G33" i="4"/>
  <c r="G23" i="4"/>
  <c r="G17" i="4"/>
  <c r="G7" i="4"/>
  <c r="G55" i="4"/>
  <c r="G51" i="4"/>
  <c r="G47" i="4"/>
  <c r="G43" i="4"/>
  <c r="G37" i="4"/>
  <c r="G29" i="4"/>
  <c r="G21" i="4"/>
  <c r="G13" i="4"/>
  <c r="G78" i="4"/>
  <c r="G74" i="4"/>
  <c r="G70" i="4"/>
  <c r="G66" i="4"/>
  <c r="G62" i="4"/>
  <c r="G58" i="4"/>
  <c r="G54" i="4"/>
  <c r="G50" i="4"/>
  <c r="G46" i="4"/>
  <c r="G42" i="4"/>
  <c r="G34" i="4"/>
  <c r="G26" i="4"/>
  <c r="G18" i="4"/>
  <c r="G9" i="4"/>
  <c r="G39" i="4"/>
  <c r="G35" i="4"/>
  <c r="G31" i="4"/>
  <c r="G27" i="4"/>
  <c r="G24" i="4"/>
  <c r="G19" i="4"/>
  <c r="G15" i="4"/>
  <c r="G10" i="4"/>
  <c r="G41" i="4"/>
  <c r="G36" i="4"/>
  <c r="G32" i="4"/>
  <c r="G28" i="4"/>
  <c r="G25" i="4"/>
  <c r="G20" i="4"/>
  <c r="G16" i="4"/>
  <c r="G11" i="4"/>
  <c r="G4" i="4"/>
  <c r="G12" i="4"/>
  <c r="G8" i="4"/>
  <c r="G6" i="4"/>
  <c r="G32" i="1"/>
  <c r="D31" i="4" s="1"/>
  <c r="G33" i="1"/>
  <c r="D32" i="4" s="1"/>
  <c r="G34" i="1"/>
  <c r="D33" i="4" s="1"/>
  <c r="G35" i="1"/>
  <c r="D34" i="4" s="1"/>
  <c r="G36" i="1"/>
  <c r="D35" i="4" s="1"/>
  <c r="G37" i="1"/>
  <c r="D36" i="4" s="1"/>
  <c r="G38" i="1"/>
  <c r="D37" i="4" s="1"/>
  <c r="G39" i="1"/>
  <c r="D38" i="4" s="1"/>
  <c r="G40" i="1"/>
  <c r="D39" i="4" s="1"/>
  <c r="G41" i="1"/>
  <c r="G42" i="1"/>
  <c r="G43" i="1"/>
  <c r="D42" i="4" s="1"/>
  <c r="G44" i="1"/>
  <c r="D43" i="4" s="1"/>
  <c r="G45" i="1"/>
  <c r="D44" i="4" s="1"/>
  <c r="G46" i="1"/>
  <c r="D45" i="4" s="1"/>
  <c r="G47" i="1"/>
  <c r="D46" i="4" s="1"/>
  <c r="G48" i="1"/>
  <c r="D47" i="4" s="1"/>
  <c r="G49" i="1"/>
  <c r="D48" i="4" s="1"/>
  <c r="G50" i="1"/>
  <c r="D49" i="4" s="1"/>
  <c r="G51" i="1"/>
  <c r="D50" i="4" s="1"/>
  <c r="G52" i="1"/>
  <c r="D51" i="4" s="1"/>
  <c r="G53" i="1"/>
  <c r="D52" i="4" s="1"/>
  <c r="G54" i="1"/>
  <c r="D53" i="4" s="1"/>
  <c r="G55" i="1"/>
  <c r="D54" i="4" s="1"/>
  <c r="G56" i="1"/>
  <c r="D55" i="4" s="1"/>
  <c r="G57" i="1"/>
  <c r="D56" i="4" s="1"/>
  <c r="G58" i="1"/>
  <c r="D57" i="4" s="1"/>
  <c r="G59" i="1"/>
  <c r="D58" i="4" s="1"/>
  <c r="G60" i="1"/>
  <c r="D59" i="4" s="1"/>
  <c r="G61" i="1"/>
  <c r="D60" i="4" s="1"/>
  <c r="G62" i="1"/>
  <c r="D61" i="4" s="1"/>
  <c r="G63" i="1"/>
  <c r="D62" i="4" s="1"/>
  <c r="G64" i="1"/>
  <c r="D63" i="4" s="1"/>
  <c r="G65" i="1"/>
  <c r="D64" i="4" s="1"/>
  <c r="G66" i="1"/>
  <c r="D65" i="4" s="1"/>
  <c r="G67" i="1"/>
  <c r="D66" i="4" s="1"/>
  <c r="G68" i="1"/>
  <c r="D67" i="4" s="1"/>
  <c r="G69" i="1"/>
  <c r="D68" i="4" s="1"/>
  <c r="G70" i="1"/>
  <c r="D69" i="4" s="1"/>
  <c r="G71" i="1"/>
  <c r="D70" i="4" s="1"/>
  <c r="G72" i="1"/>
  <c r="D71" i="4" s="1"/>
  <c r="G73" i="1"/>
  <c r="D72" i="4" s="1"/>
  <c r="G74" i="1"/>
  <c r="D73" i="4" s="1"/>
  <c r="G75" i="1"/>
  <c r="D74" i="4" s="1"/>
  <c r="G76" i="1"/>
  <c r="D75" i="4" s="1"/>
  <c r="G77" i="1"/>
  <c r="D76" i="4" s="1"/>
  <c r="G78" i="1"/>
  <c r="D77" i="4" s="1"/>
  <c r="G79" i="1"/>
  <c r="D78" i="4" s="1"/>
  <c r="G80" i="1"/>
  <c r="D79" i="4" s="1"/>
  <c r="G81" i="1"/>
  <c r="D80" i="4" s="1"/>
  <c r="G82" i="1"/>
  <c r="D81" i="4" s="1"/>
  <c r="G83" i="1"/>
  <c r="D82" i="4" s="1"/>
  <c r="G84" i="1"/>
  <c r="D83" i="4" s="1"/>
  <c r="G85" i="1"/>
  <c r="D84" i="4" s="1"/>
  <c r="G86" i="1"/>
  <c r="D85" i="4" s="1"/>
  <c r="G87" i="1"/>
  <c r="D86" i="4" s="1"/>
  <c r="G88" i="1"/>
  <c r="D87" i="4" s="1"/>
  <c r="G89" i="1"/>
  <c r="D88" i="4" s="1"/>
  <c r="G90" i="1"/>
  <c r="D89" i="4" s="1"/>
  <c r="G91" i="1"/>
  <c r="D90" i="4" s="1"/>
  <c r="G92" i="1"/>
  <c r="D91" i="4" s="1"/>
  <c r="G93" i="1"/>
  <c r="D92" i="4" s="1"/>
  <c r="G94" i="1"/>
  <c r="D93" i="4" s="1"/>
  <c r="G95" i="1"/>
  <c r="D94" i="4" s="1"/>
  <c r="G96" i="1"/>
  <c r="D95" i="4" s="1"/>
  <c r="G97" i="1"/>
  <c r="D96" i="4" s="1"/>
  <c r="G98" i="1"/>
  <c r="D97" i="4" s="1"/>
  <c r="G99" i="1"/>
  <c r="D98" i="4" s="1"/>
  <c r="G100" i="1"/>
  <c r="D99" i="4" s="1"/>
  <c r="G101" i="1"/>
  <c r="D100" i="4" s="1"/>
  <c r="G102" i="1"/>
  <c r="D101" i="4" s="1"/>
  <c r="G103" i="1"/>
  <c r="D102" i="4" s="1"/>
  <c r="G104" i="1"/>
  <c r="D103" i="4" s="1"/>
  <c r="G105" i="1"/>
  <c r="D104" i="4" s="1"/>
  <c r="G106" i="1"/>
  <c r="D105" i="4" s="1"/>
  <c r="G107" i="1"/>
  <c r="D106" i="4" s="1"/>
  <c r="G108" i="1"/>
  <c r="D107" i="4" s="1"/>
  <c r="G109" i="1"/>
  <c r="D108" i="4" s="1"/>
  <c r="G110" i="1"/>
  <c r="D109" i="4" s="1"/>
  <c r="G111" i="1"/>
  <c r="D110" i="4" s="1"/>
  <c r="G112" i="1"/>
  <c r="D111" i="4" s="1"/>
  <c r="G113" i="1"/>
  <c r="D112" i="4" s="1"/>
  <c r="G114" i="1"/>
  <c r="D113" i="4" s="1"/>
  <c r="G115" i="1"/>
  <c r="D114" i="4" s="1"/>
  <c r="G116" i="1"/>
  <c r="G117" i="1"/>
  <c r="G118" i="1"/>
  <c r="G119" i="1"/>
  <c r="G120" i="1"/>
  <c r="G121" i="1"/>
  <c r="G122" i="1"/>
  <c r="G123" i="1"/>
  <c r="G124" i="1"/>
  <c r="G125" i="1"/>
  <c r="D124" i="4" s="1"/>
  <c r="G126" i="1"/>
  <c r="D125" i="4" s="1"/>
  <c r="G127" i="1"/>
  <c r="D126" i="4" s="1"/>
  <c r="G128" i="1"/>
  <c r="D127" i="4" s="1"/>
  <c r="G129" i="1"/>
  <c r="D128" i="4" s="1"/>
  <c r="G130" i="1"/>
  <c r="D129" i="4" s="1"/>
  <c r="G131" i="1"/>
  <c r="G132" i="1"/>
  <c r="G133" i="1"/>
  <c r="G134" i="1"/>
  <c r="G135" i="1"/>
  <c r="G136" i="1"/>
  <c r="G137" i="1"/>
  <c r="G138" i="1"/>
  <c r="G139" i="1"/>
  <c r="D138" i="4" s="1"/>
  <c r="G140" i="1"/>
  <c r="D139" i="4" s="1"/>
  <c r="G141" i="1"/>
  <c r="D140" i="4" s="1"/>
  <c r="G142" i="1"/>
  <c r="D141" i="4" s="1"/>
  <c r="G143" i="1"/>
  <c r="D142" i="4" s="1"/>
  <c r="G144" i="1"/>
  <c r="D143" i="4" s="1"/>
  <c r="G145" i="1"/>
  <c r="D144" i="4" s="1"/>
  <c r="G146" i="1"/>
  <c r="D145" i="4" s="1"/>
  <c r="G147" i="1"/>
  <c r="D146" i="4" s="1"/>
  <c r="G148" i="1"/>
  <c r="D147" i="4" s="1"/>
  <c r="G149" i="1"/>
  <c r="D148" i="4" s="1"/>
  <c r="G150" i="1"/>
  <c r="D149" i="4" s="1"/>
  <c r="G151" i="1"/>
  <c r="D150" i="4" s="1"/>
  <c r="G152" i="1"/>
  <c r="D151" i="4" s="1"/>
  <c r="G153" i="1"/>
  <c r="D152" i="4" s="1"/>
  <c r="G154" i="1"/>
  <c r="D153" i="4" s="1"/>
  <c r="G155" i="1"/>
  <c r="D154" i="4" s="1"/>
  <c r="G156" i="1"/>
  <c r="D155" i="4" s="1"/>
  <c r="G157" i="1"/>
  <c r="D156" i="4" s="1"/>
  <c r="G158" i="1"/>
  <c r="D157" i="4" s="1"/>
  <c r="G159" i="1"/>
  <c r="D158" i="4" s="1"/>
  <c r="G160" i="1"/>
  <c r="D159" i="4" s="1"/>
  <c r="G161" i="1"/>
  <c r="D160" i="4" s="1"/>
  <c r="G162" i="1"/>
  <c r="D161" i="4" s="1"/>
  <c r="G163" i="1"/>
  <c r="D162" i="4" s="1"/>
  <c r="G164" i="1"/>
  <c r="D163" i="4" s="1"/>
  <c r="G165" i="1"/>
  <c r="D164" i="4" s="1"/>
  <c r="G166" i="1"/>
  <c r="D165" i="4" s="1"/>
  <c r="G167" i="1"/>
  <c r="D166" i="4" s="1"/>
  <c r="G168" i="1"/>
  <c r="D167" i="4" s="1"/>
  <c r="G169" i="1"/>
  <c r="D168" i="4" s="1"/>
  <c r="G170" i="1"/>
  <c r="D169" i="4" s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D185" i="4" s="1"/>
  <c r="G187" i="1"/>
  <c r="D186" i="4" s="1"/>
  <c r="G188" i="1"/>
  <c r="D187" i="4" s="1"/>
  <c r="G189" i="1"/>
  <c r="D188" i="4" s="1"/>
  <c r="G190" i="1"/>
  <c r="D189" i="4" s="1"/>
  <c r="G191" i="1"/>
  <c r="D190" i="4" s="1"/>
  <c r="G192" i="1"/>
  <c r="D191" i="4" s="1"/>
  <c r="G193" i="1"/>
  <c r="D192" i="4" s="1"/>
  <c r="G194" i="1"/>
  <c r="D193" i="4" s="1"/>
  <c r="G195" i="1"/>
  <c r="D194" i="4" s="1"/>
  <c r="G196" i="1"/>
  <c r="D195" i="4" s="1"/>
  <c r="G197" i="1"/>
  <c r="D196" i="4" s="1"/>
  <c r="G198" i="1"/>
  <c r="D197" i="4" s="1"/>
  <c r="G199" i="1"/>
  <c r="D198" i="4" s="1"/>
  <c r="G200" i="1"/>
  <c r="D199" i="4" s="1"/>
  <c r="G201" i="1"/>
  <c r="D200" i="4" s="1"/>
  <c r="G202" i="1"/>
  <c r="D201" i="4" s="1"/>
  <c r="G203" i="1"/>
  <c r="D202" i="4" s="1"/>
  <c r="G204" i="1"/>
  <c r="D203" i="4" s="1"/>
  <c r="G205" i="1"/>
  <c r="D204" i="4" s="1"/>
  <c r="G206" i="1"/>
  <c r="D205" i="4" s="1"/>
  <c r="G207" i="1"/>
  <c r="D206" i="4" s="1"/>
  <c r="G208" i="1"/>
  <c r="D207" i="4" s="1"/>
  <c r="G209" i="1"/>
  <c r="D208" i="4" s="1"/>
  <c r="G210" i="1"/>
  <c r="D209" i="4" s="1"/>
  <c r="G211" i="1"/>
  <c r="D210" i="4" s="1"/>
  <c r="G212" i="1"/>
  <c r="D211" i="4" s="1"/>
  <c r="G213" i="1"/>
  <c r="D212" i="4" s="1"/>
  <c r="G214" i="1"/>
  <c r="D213" i="4" s="1"/>
  <c r="G215" i="1"/>
  <c r="D214" i="4" s="1"/>
  <c r="G216" i="1"/>
  <c r="D215" i="4" s="1"/>
  <c r="G217" i="1"/>
  <c r="D216" i="4" s="1"/>
  <c r="G218" i="1"/>
  <c r="D217" i="4" s="1"/>
  <c r="G219" i="1"/>
  <c r="D218" i="4" s="1"/>
  <c r="G220" i="1"/>
  <c r="D219" i="4" s="1"/>
  <c r="G221" i="1"/>
  <c r="D220" i="4" s="1"/>
  <c r="G222" i="1"/>
  <c r="D221" i="4" s="1"/>
  <c r="G223" i="1"/>
  <c r="D222" i="4" s="1"/>
  <c r="G224" i="1"/>
  <c r="D223" i="4" s="1"/>
  <c r="G225" i="1"/>
  <c r="D224" i="4" s="1"/>
  <c r="G226" i="1"/>
  <c r="D225" i="4" s="1"/>
  <c r="G227" i="1"/>
  <c r="D226" i="4" s="1"/>
  <c r="G228" i="1"/>
  <c r="D227" i="4" s="1"/>
  <c r="G229" i="1"/>
  <c r="G230" i="1"/>
  <c r="G231" i="1"/>
  <c r="G232" i="1"/>
  <c r="D231" i="4" s="1"/>
  <c r="G233" i="1"/>
  <c r="D232" i="4" s="1"/>
  <c r="G234" i="1"/>
  <c r="D233" i="4" s="1"/>
  <c r="G235" i="1"/>
  <c r="D234" i="4" s="1"/>
  <c r="G236" i="1"/>
  <c r="D235" i="4" s="1"/>
  <c r="G237" i="1"/>
  <c r="D236" i="4" s="1"/>
  <c r="G238" i="1"/>
  <c r="D237" i="4" s="1"/>
  <c r="G239" i="1"/>
  <c r="D238" i="4" s="1"/>
  <c r="G240" i="1"/>
  <c r="D239" i="4" s="1"/>
  <c r="G241" i="1"/>
  <c r="D240" i="4" s="1"/>
  <c r="G242" i="1"/>
  <c r="D241" i="4" s="1"/>
  <c r="G243" i="1"/>
  <c r="D242" i="4" s="1"/>
  <c r="G244" i="1"/>
  <c r="D243" i="4" s="1"/>
  <c r="G245" i="1"/>
  <c r="D244" i="4" s="1"/>
  <c r="G246" i="1"/>
  <c r="D245" i="4" s="1"/>
  <c r="G247" i="1"/>
  <c r="D246" i="4" s="1"/>
  <c r="G248" i="1"/>
  <c r="D247" i="4" s="1"/>
  <c r="G249" i="1"/>
  <c r="D248" i="4" s="1"/>
  <c r="G250" i="1"/>
  <c r="D249" i="4" s="1"/>
  <c r="G251" i="1"/>
  <c r="D250" i="4" s="1"/>
  <c r="G252" i="1"/>
  <c r="D251" i="4" s="1"/>
  <c r="G253" i="1"/>
  <c r="D252" i="4" s="1"/>
  <c r="G254" i="1"/>
  <c r="D253" i="4" s="1"/>
  <c r="G255" i="1"/>
  <c r="D254" i="4" s="1"/>
  <c r="G256" i="1"/>
  <c r="D255" i="4" s="1"/>
  <c r="G257" i="1"/>
  <c r="D256" i="4" s="1"/>
  <c r="G258" i="1"/>
  <c r="D257" i="4" s="1"/>
  <c r="G259" i="1"/>
  <c r="D258" i="4" s="1"/>
  <c r="G260" i="1"/>
  <c r="D259" i="4" s="1"/>
  <c r="G261" i="1"/>
  <c r="D260" i="4" s="1"/>
  <c r="G262" i="1"/>
  <c r="D261" i="4" s="1"/>
  <c r="G263" i="1"/>
  <c r="D262" i="4" s="1"/>
  <c r="G264" i="1"/>
  <c r="D263" i="4" s="1"/>
  <c r="G265" i="1"/>
  <c r="D264" i="4" s="1"/>
  <c r="G266" i="1"/>
  <c r="D265" i="4" s="1"/>
  <c r="G267" i="1"/>
  <c r="D266" i="4" s="1"/>
  <c r="G268" i="1"/>
  <c r="D267" i="4" s="1"/>
  <c r="G269" i="1"/>
  <c r="D268" i="4" s="1"/>
  <c r="G270" i="1"/>
  <c r="D269" i="4" s="1"/>
  <c r="G271" i="1"/>
  <c r="D270" i="4" s="1"/>
  <c r="G272" i="1"/>
  <c r="D271" i="4" s="1"/>
  <c r="G273" i="1"/>
  <c r="D272" i="4" s="1"/>
  <c r="G274" i="1"/>
  <c r="D273" i="4" s="1"/>
  <c r="G275" i="1"/>
  <c r="D274" i="4" s="1"/>
  <c r="G276" i="1"/>
  <c r="D275" i="4" s="1"/>
  <c r="G277" i="1"/>
  <c r="D276" i="4" s="1"/>
  <c r="G278" i="1"/>
  <c r="D277" i="4" s="1"/>
  <c r="G279" i="1"/>
  <c r="D278" i="4" s="1"/>
  <c r="G280" i="1"/>
  <c r="D279" i="4" s="1"/>
  <c r="G281" i="1"/>
  <c r="D280" i="4" s="1"/>
  <c r="G282" i="1"/>
  <c r="D281" i="4" s="1"/>
  <c r="G283" i="1"/>
  <c r="D282" i="4" s="1"/>
  <c r="G284" i="1"/>
  <c r="D283" i="4" s="1"/>
  <c r="G285" i="1"/>
  <c r="D284" i="4" s="1"/>
  <c r="G286" i="1"/>
  <c r="D285" i="4" s="1"/>
  <c r="G287" i="1"/>
  <c r="D286" i="4" s="1"/>
  <c r="G288" i="1"/>
  <c r="D287" i="4" s="1"/>
  <c r="G289" i="1"/>
  <c r="D288" i="4" s="1"/>
  <c r="G290" i="1"/>
  <c r="D289" i="4" s="1"/>
  <c r="G291" i="1"/>
  <c r="D290" i="4" s="1"/>
  <c r="G292" i="1"/>
  <c r="D291" i="4" s="1"/>
  <c r="G293" i="1"/>
  <c r="D292" i="4" s="1"/>
  <c r="G294" i="1"/>
  <c r="D293" i="4" s="1"/>
  <c r="G295" i="1"/>
  <c r="D294" i="4" s="1"/>
  <c r="G296" i="1"/>
  <c r="D295" i="4" s="1"/>
  <c r="G297" i="1"/>
  <c r="D296" i="4" s="1"/>
  <c r="G298" i="1"/>
  <c r="D297" i="4" s="1"/>
  <c r="G299" i="1"/>
  <c r="D298" i="4" s="1"/>
  <c r="G300" i="1"/>
  <c r="D299" i="4" s="1"/>
  <c r="G301" i="1"/>
  <c r="D300" i="4" s="1"/>
  <c r="G302" i="1"/>
  <c r="D301" i="4" s="1"/>
  <c r="G303" i="1"/>
  <c r="D302" i="4" s="1"/>
  <c r="G304" i="1"/>
  <c r="D303" i="4" s="1"/>
  <c r="G305" i="1"/>
  <c r="D304" i="4" s="1"/>
  <c r="G306" i="1"/>
  <c r="D305" i="4" s="1"/>
  <c r="G307" i="1"/>
  <c r="D306" i="4" s="1"/>
  <c r="G308" i="1"/>
  <c r="D307" i="4" s="1"/>
  <c r="G309" i="1"/>
  <c r="D308" i="4" s="1"/>
  <c r="G310" i="1"/>
  <c r="D309" i="4" s="1"/>
  <c r="G311" i="1"/>
  <c r="D310" i="4" s="1"/>
  <c r="G312" i="1"/>
  <c r="D311" i="4" s="1"/>
  <c r="G313" i="1"/>
  <c r="D312" i="4" s="1"/>
  <c r="G314" i="1"/>
  <c r="D313" i="4" s="1"/>
  <c r="G315" i="1"/>
  <c r="D314" i="4" s="1"/>
  <c r="G316" i="1"/>
  <c r="D315" i="4" s="1"/>
  <c r="G317" i="1"/>
  <c r="D316" i="4" s="1"/>
  <c r="G318" i="1"/>
  <c r="D317" i="4" s="1"/>
  <c r="G319" i="1"/>
  <c r="D318" i="4" s="1"/>
  <c r="G320" i="1"/>
  <c r="D319" i="4" s="1"/>
  <c r="G321" i="1"/>
  <c r="D320" i="4" s="1"/>
  <c r="G323" i="1"/>
  <c r="D322" i="4" s="1"/>
  <c r="G324" i="1"/>
  <c r="D323" i="4" s="1"/>
  <c r="G325" i="1"/>
  <c r="D324" i="4" s="1"/>
  <c r="G326" i="1"/>
  <c r="D325" i="4" s="1"/>
  <c r="G327" i="1"/>
  <c r="D326" i="4" s="1"/>
  <c r="G328" i="1"/>
  <c r="D327" i="4" s="1"/>
  <c r="G5" i="1"/>
  <c r="G6" i="1"/>
  <c r="G7" i="1"/>
  <c r="G8" i="1"/>
  <c r="D7" i="4" s="1"/>
  <c r="G9" i="1"/>
  <c r="D8" i="4" s="1"/>
  <c r="G10" i="1"/>
  <c r="D9" i="4" s="1"/>
  <c r="G11" i="1"/>
  <c r="D10" i="4" s="1"/>
  <c r="G12" i="1"/>
  <c r="D11" i="4" s="1"/>
  <c r="G13" i="1"/>
  <c r="D12" i="4" s="1"/>
  <c r="G14" i="1"/>
  <c r="D13" i="4" s="1"/>
  <c r="G15" i="1"/>
  <c r="D14" i="4" s="1"/>
  <c r="G16" i="1"/>
  <c r="D15" i="4" s="1"/>
  <c r="G17" i="1"/>
  <c r="D16" i="4" s="1"/>
  <c r="G18" i="1"/>
  <c r="D17" i="4" s="1"/>
  <c r="G19" i="1"/>
  <c r="D18" i="4" s="1"/>
  <c r="G20" i="1"/>
  <c r="D19" i="4" s="1"/>
  <c r="G21" i="1"/>
  <c r="D20" i="4" s="1"/>
  <c r="G22" i="1"/>
  <c r="D21" i="4" s="1"/>
  <c r="G23" i="1"/>
  <c r="D22" i="4" s="1"/>
  <c r="G24" i="1"/>
  <c r="G25" i="1"/>
  <c r="G26" i="1"/>
  <c r="G27" i="1"/>
  <c r="D26" i="4" s="1"/>
  <c r="G28" i="1"/>
  <c r="D27" i="4" s="1"/>
  <c r="G29" i="1"/>
  <c r="D28" i="4" s="1"/>
  <c r="G30" i="1"/>
  <c r="D29" i="4" s="1"/>
  <c r="G31" i="1"/>
  <c r="D30" i="4" s="1"/>
  <c r="F25" i="1"/>
  <c r="D170" i="4" l="1"/>
  <c r="D115" i="4"/>
  <c r="D230" i="4"/>
  <c r="D182" i="4"/>
  <c r="D176" i="4"/>
  <c r="D134" i="4"/>
  <c r="D122" i="4"/>
  <c r="D116" i="4"/>
  <c r="D132" i="4"/>
  <c r="D120" i="4"/>
  <c r="D183" i="4"/>
  <c r="D229" i="4"/>
  <c r="D181" i="4"/>
  <c r="D175" i="4"/>
  <c r="D133" i="4"/>
  <c r="D121" i="4"/>
  <c r="D25" i="4"/>
  <c r="D180" i="4"/>
  <c r="D174" i="4"/>
  <c r="D6" i="4"/>
  <c r="D179" i="4"/>
  <c r="D173" i="4"/>
  <c r="D137" i="4"/>
  <c r="D131" i="4"/>
  <c r="D119" i="4"/>
  <c r="D41" i="4"/>
  <c r="D228" i="4"/>
  <c r="D177" i="4"/>
  <c r="D171" i="4"/>
  <c r="D135" i="4"/>
  <c r="D123" i="4"/>
  <c r="D117" i="4"/>
  <c r="D5" i="4"/>
  <c r="D23" i="4"/>
  <c r="D24" i="4"/>
  <c r="D130" i="4"/>
  <c r="D40" i="4"/>
  <c r="D184" i="4"/>
  <c r="D178" i="4"/>
  <c r="D172" i="4"/>
  <c r="D136" i="4"/>
  <c r="D118" i="4"/>
  <c r="D4" i="4"/>
  <c r="D3" i="4"/>
  <c r="G330" i="1"/>
  <c r="H330" i="1" s="1"/>
  <c r="F7" i="1" l="1"/>
  <c r="F11" i="1"/>
  <c r="C10" i="4" s="1"/>
  <c r="F15" i="1"/>
  <c r="C14" i="4" s="1"/>
  <c r="F19" i="1"/>
  <c r="C18" i="4" s="1"/>
  <c r="F23" i="1"/>
  <c r="C22" i="4" s="1"/>
  <c r="F27" i="1"/>
  <c r="C26" i="4" s="1"/>
  <c r="F31" i="1"/>
  <c r="C30" i="4" s="1"/>
  <c r="F35" i="1"/>
  <c r="C34" i="4" s="1"/>
  <c r="F39" i="1"/>
  <c r="C38" i="4" s="1"/>
  <c r="F43" i="1"/>
  <c r="C42" i="4" s="1"/>
  <c r="F47" i="1"/>
  <c r="C46" i="4" s="1"/>
  <c r="F51" i="1"/>
  <c r="C50" i="4" s="1"/>
  <c r="F55" i="1"/>
  <c r="C54" i="4" s="1"/>
  <c r="F59" i="1"/>
  <c r="C58" i="4" s="1"/>
  <c r="F63" i="1"/>
  <c r="C62" i="4" s="1"/>
  <c r="F67" i="1"/>
  <c r="C66" i="4" s="1"/>
  <c r="F71" i="1"/>
  <c r="C70" i="4" s="1"/>
  <c r="F75" i="1"/>
  <c r="C74" i="4" s="1"/>
  <c r="F79" i="1"/>
  <c r="C78" i="4" s="1"/>
  <c r="F83" i="1"/>
  <c r="C82" i="4" s="1"/>
  <c r="F87" i="1"/>
  <c r="C86" i="4" s="1"/>
  <c r="F91" i="1"/>
  <c r="C90" i="4" s="1"/>
  <c r="F95" i="1"/>
  <c r="C94" i="4" s="1"/>
  <c r="F99" i="1"/>
  <c r="C98" i="4" s="1"/>
  <c r="F103" i="1"/>
  <c r="C102" i="4" s="1"/>
  <c r="F107" i="1"/>
  <c r="C106" i="4" s="1"/>
  <c r="F111" i="1"/>
  <c r="C110" i="4" s="1"/>
  <c r="F115" i="1"/>
  <c r="C114" i="4" s="1"/>
  <c r="F119" i="1"/>
  <c r="F123" i="1"/>
  <c r="F127" i="1"/>
  <c r="C126" i="4" s="1"/>
  <c r="F131" i="1"/>
  <c r="F135" i="1"/>
  <c r="F139" i="1"/>
  <c r="C138" i="4" s="1"/>
  <c r="F143" i="1"/>
  <c r="C142" i="4" s="1"/>
  <c r="F147" i="1"/>
  <c r="C146" i="4" s="1"/>
  <c r="F151" i="1"/>
  <c r="C150" i="4" s="1"/>
  <c r="F155" i="1"/>
  <c r="C154" i="4" s="1"/>
  <c r="F159" i="1"/>
  <c r="C158" i="4" s="1"/>
  <c r="F163" i="1"/>
  <c r="C162" i="4" s="1"/>
  <c r="F167" i="1"/>
  <c r="C166" i="4" s="1"/>
  <c r="F171" i="1"/>
  <c r="F175" i="1"/>
  <c r="F179" i="1"/>
  <c r="F183" i="1"/>
  <c r="F187" i="1"/>
  <c r="C186" i="4" s="1"/>
  <c r="F191" i="1"/>
  <c r="C190" i="4" s="1"/>
  <c r="F195" i="1"/>
  <c r="C194" i="4" s="1"/>
  <c r="F199" i="1"/>
  <c r="C198" i="4" s="1"/>
  <c r="F203" i="1"/>
  <c r="C202" i="4" s="1"/>
  <c r="F207" i="1"/>
  <c r="C206" i="4" s="1"/>
  <c r="F211" i="1"/>
  <c r="C210" i="4" s="1"/>
  <c r="F215" i="1"/>
  <c r="C214" i="4" s="1"/>
  <c r="F219" i="1"/>
  <c r="C218" i="4" s="1"/>
  <c r="F223" i="1"/>
  <c r="C222" i="4" s="1"/>
  <c r="F227" i="1"/>
  <c r="C226" i="4" s="1"/>
  <c r="F231" i="1"/>
  <c r="F235" i="1"/>
  <c r="C234" i="4" s="1"/>
  <c r="F239" i="1"/>
  <c r="C238" i="4" s="1"/>
  <c r="F243" i="1"/>
  <c r="C242" i="4" s="1"/>
  <c r="F247" i="1"/>
  <c r="C246" i="4" s="1"/>
  <c r="F251" i="1"/>
  <c r="C250" i="4" s="1"/>
  <c r="F255" i="1"/>
  <c r="C254" i="4" s="1"/>
  <c r="F259" i="1"/>
  <c r="C258" i="4" s="1"/>
  <c r="F263" i="1"/>
  <c r="C262" i="4" s="1"/>
  <c r="F267" i="1"/>
  <c r="C266" i="4" s="1"/>
  <c r="F271" i="1"/>
  <c r="C270" i="4" s="1"/>
  <c r="F275" i="1"/>
  <c r="C274" i="4" s="1"/>
  <c r="F279" i="1"/>
  <c r="C278" i="4" s="1"/>
  <c r="F283" i="1"/>
  <c r="C282" i="4" s="1"/>
  <c r="F287" i="1"/>
  <c r="C286" i="4" s="1"/>
  <c r="F291" i="1"/>
  <c r="C290" i="4" s="1"/>
  <c r="F295" i="1"/>
  <c r="C294" i="4" s="1"/>
  <c r="F299" i="1"/>
  <c r="C298" i="4" s="1"/>
  <c r="F303" i="1"/>
  <c r="C302" i="4" s="1"/>
  <c r="F307" i="1"/>
  <c r="C306" i="4" s="1"/>
  <c r="F311" i="1"/>
  <c r="C310" i="4" s="1"/>
  <c r="F315" i="1"/>
  <c r="C314" i="4" s="1"/>
  <c r="F319" i="1"/>
  <c r="C318" i="4" s="1"/>
  <c r="F323" i="1"/>
  <c r="C322" i="4" s="1"/>
  <c r="C326" i="4"/>
  <c r="F9" i="1"/>
  <c r="C8" i="4" s="1"/>
  <c r="F8" i="1"/>
  <c r="C7" i="4" s="1"/>
  <c r="F12" i="1"/>
  <c r="C11" i="4" s="1"/>
  <c r="F16" i="1"/>
  <c r="C15" i="4" s="1"/>
  <c r="F20" i="1"/>
  <c r="C19" i="4" s="1"/>
  <c r="F24" i="1"/>
  <c r="C24" i="4" s="1"/>
  <c r="F28" i="1"/>
  <c r="C27" i="4" s="1"/>
  <c r="F32" i="1"/>
  <c r="C31" i="4" s="1"/>
  <c r="F36" i="1"/>
  <c r="C35" i="4" s="1"/>
  <c r="F40" i="1"/>
  <c r="C39" i="4" s="1"/>
  <c r="F44" i="1"/>
  <c r="C43" i="4" s="1"/>
  <c r="F48" i="1"/>
  <c r="C47" i="4" s="1"/>
  <c r="F52" i="1"/>
  <c r="C51" i="4" s="1"/>
  <c r="F56" i="1"/>
  <c r="C55" i="4" s="1"/>
  <c r="F60" i="1"/>
  <c r="C59" i="4" s="1"/>
  <c r="F64" i="1"/>
  <c r="C63" i="4" s="1"/>
  <c r="F68" i="1"/>
  <c r="C67" i="4" s="1"/>
  <c r="F72" i="1"/>
  <c r="C71" i="4" s="1"/>
  <c r="F76" i="1"/>
  <c r="C75" i="4" s="1"/>
  <c r="F80" i="1"/>
  <c r="C79" i="4" s="1"/>
  <c r="F84" i="1"/>
  <c r="C83" i="4" s="1"/>
  <c r="F88" i="1"/>
  <c r="C87" i="4" s="1"/>
  <c r="F92" i="1"/>
  <c r="C91" i="4" s="1"/>
  <c r="F96" i="1"/>
  <c r="C95" i="4" s="1"/>
  <c r="F100" i="1"/>
  <c r="C99" i="4" s="1"/>
  <c r="F104" i="1"/>
  <c r="C103" i="4" s="1"/>
  <c r="F108" i="1"/>
  <c r="C107" i="4" s="1"/>
  <c r="F112" i="1"/>
  <c r="C111" i="4" s="1"/>
  <c r="F116" i="1"/>
  <c r="F120" i="1"/>
  <c r="F124" i="1"/>
  <c r="F128" i="1"/>
  <c r="C127" i="4" s="1"/>
  <c r="F132" i="1"/>
  <c r="F136" i="1"/>
  <c r="F140" i="1"/>
  <c r="C139" i="4" s="1"/>
  <c r="F144" i="1"/>
  <c r="C143" i="4" s="1"/>
  <c r="F148" i="1"/>
  <c r="C147" i="4" s="1"/>
  <c r="F152" i="1"/>
  <c r="C151" i="4" s="1"/>
  <c r="F156" i="1"/>
  <c r="C155" i="4" s="1"/>
  <c r="F160" i="1"/>
  <c r="C159" i="4" s="1"/>
  <c r="F164" i="1"/>
  <c r="C163" i="4" s="1"/>
  <c r="F168" i="1"/>
  <c r="C167" i="4" s="1"/>
  <c r="F172" i="1"/>
  <c r="F176" i="1"/>
  <c r="F180" i="1"/>
  <c r="F184" i="1"/>
  <c r="F188" i="1"/>
  <c r="C187" i="4" s="1"/>
  <c r="F192" i="1"/>
  <c r="C191" i="4" s="1"/>
  <c r="F196" i="1"/>
  <c r="C195" i="4" s="1"/>
  <c r="F200" i="1"/>
  <c r="C199" i="4" s="1"/>
  <c r="F204" i="1"/>
  <c r="C203" i="4" s="1"/>
  <c r="F208" i="1"/>
  <c r="C207" i="4" s="1"/>
  <c r="F212" i="1"/>
  <c r="C211" i="4" s="1"/>
  <c r="F216" i="1"/>
  <c r="C215" i="4" s="1"/>
  <c r="F220" i="1"/>
  <c r="C219" i="4" s="1"/>
  <c r="F224" i="1"/>
  <c r="C223" i="4" s="1"/>
  <c r="F228" i="1"/>
  <c r="C227" i="4" s="1"/>
  <c r="F232" i="1"/>
  <c r="C231" i="4" s="1"/>
  <c r="F236" i="1"/>
  <c r="C235" i="4" s="1"/>
  <c r="F240" i="1"/>
  <c r="C239" i="4" s="1"/>
  <c r="F244" i="1"/>
  <c r="C243" i="4" s="1"/>
  <c r="F248" i="1"/>
  <c r="C247" i="4" s="1"/>
  <c r="F252" i="1"/>
  <c r="C251" i="4" s="1"/>
  <c r="F256" i="1"/>
  <c r="C255" i="4" s="1"/>
  <c r="F260" i="1"/>
  <c r="C259" i="4" s="1"/>
  <c r="F264" i="1"/>
  <c r="C263" i="4" s="1"/>
  <c r="F268" i="1"/>
  <c r="C267" i="4" s="1"/>
  <c r="F272" i="1"/>
  <c r="C271" i="4" s="1"/>
  <c r="F276" i="1"/>
  <c r="C275" i="4" s="1"/>
  <c r="F280" i="1"/>
  <c r="C279" i="4" s="1"/>
  <c r="F284" i="1"/>
  <c r="C283" i="4" s="1"/>
  <c r="F288" i="1"/>
  <c r="C287" i="4" s="1"/>
  <c r="F292" i="1"/>
  <c r="C291" i="4" s="1"/>
  <c r="F296" i="1"/>
  <c r="C295" i="4" s="1"/>
  <c r="F304" i="1"/>
  <c r="C303" i="4" s="1"/>
  <c r="F308" i="1"/>
  <c r="C307" i="4" s="1"/>
  <c r="C311" i="4"/>
  <c r="F316" i="1"/>
  <c r="C315" i="4" s="1"/>
  <c r="F320" i="1"/>
  <c r="C319" i="4" s="1"/>
  <c r="C323" i="4"/>
  <c r="C327" i="4"/>
  <c r="F5" i="1"/>
  <c r="F13" i="1"/>
  <c r="C12" i="4" s="1"/>
  <c r="F14" i="1"/>
  <c r="C13" i="4" s="1"/>
  <c r="F22" i="1"/>
  <c r="C21" i="4" s="1"/>
  <c r="F30" i="1"/>
  <c r="C29" i="4" s="1"/>
  <c r="F38" i="1"/>
  <c r="C37" i="4" s="1"/>
  <c r="F46" i="1"/>
  <c r="C45" i="4" s="1"/>
  <c r="F54" i="1"/>
  <c r="C53" i="4" s="1"/>
  <c r="F62" i="1"/>
  <c r="C61" i="4" s="1"/>
  <c r="F70" i="1"/>
  <c r="C69" i="4" s="1"/>
  <c r="F78" i="1"/>
  <c r="C77" i="4" s="1"/>
  <c r="F86" i="1"/>
  <c r="C85" i="4" s="1"/>
  <c r="F94" i="1"/>
  <c r="C93" i="4" s="1"/>
  <c r="F102" i="1"/>
  <c r="C101" i="4" s="1"/>
  <c r="F110" i="1"/>
  <c r="C109" i="4" s="1"/>
  <c r="F118" i="1"/>
  <c r="F126" i="1"/>
  <c r="C125" i="4" s="1"/>
  <c r="F134" i="1"/>
  <c r="F142" i="1"/>
  <c r="C141" i="4" s="1"/>
  <c r="F150" i="1"/>
  <c r="C149" i="4" s="1"/>
  <c r="F158" i="1"/>
  <c r="C157" i="4" s="1"/>
  <c r="F166" i="1"/>
  <c r="C165" i="4" s="1"/>
  <c r="F174" i="1"/>
  <c r="F182" i="1"/>
  <c r="F190" i="1"/>
  <c r="C189" i="4" s="1"/>
  <c r="F198" i="1"/>
  <c r="C197" i="4" s="1"/>
  <c r="F206" i="1"/>
  <c r="C205" i="4" s="1"/>
  <c r="F214" i="1"/>
  <c r="C213" i="4" s="1"/>
  <c r="F222" i="1"/>
  <c r="C221" i="4" s="1"/>
  <c r="F230" i="1"/>
  <c r="F238" i="1"/>
  <c r="C237" i="4" s="1"/>
  <c r="F246" i="1"/>
  <c r="C245" i="4" s="1"/>
  <c r="F254" i="1"/>
  <c r="C253" i="4" s="1"/>
  <c r="F262" i="1"/>
  <c r="C261" i="4" s="1"/>
  <c r="F270" i="1"/>
  <c r="C269" i="4" s="1"/>
  <c r="F278" i="1"/>
  <c r="C277" i="4" s="1"/>
  <c r="F286" i="1"/>
  <c r="C285" i="4" s="1"/>
  <c r="F294" i="1"/>
  <c r="C293" i="4" s="1"/>
  <c r="F302" i="1"/>
  <c r="C301" i="4" s="1"/>
  <c r="F310" i="1"/>
  <c r="C309" i="4" s="1"/>
  <c r="F318" i="1"/>
  <c r="C317" i="4" s="1"/>
  <c r="F326" i="1"/>
  <c r="C325" i="4" s="1"/>
  <c r="F290" i="1"/>
  <c r="C289" i="4" s="1"/>
  <c r="F306" i="1"/>
  <c r="C305" i="4" s="1"/>
  <c r="F322" i="1"/>
  <c r="C321" i="4" s="1"/>
  <c r="F10" i="1"/>
  <c r="C9" i="4" s="1"/>
  <c r="F37" i="1"/>
  <c r="C36" i="4" s="1"/>
  <c r="F53" i="1"/>
  <c r="C52" i="4" s="1"/>
  <c r="F69" i="1"/>
  <c r="C68" i="4" s="1"/>
  <c r="F85" i="1"/>
  <c r="C84" i="4" s="1"/>
  <c r="F101" i="1"/>
  <c r="C100" i="4" s="1"/>
  <c r="F117" i="1"/>
  <c r="F133" i="1"/>
  <c r="F149" i="1"/>
  <c r="C148" i="4" s="1"/>
  <c r="F165" i="1"/>
  <c r="C164" i="4" s="1"/>
  <c r="F181" i="1"/>
  <c r="F197" i="1"/>
  <c r="C196" i="4" s="1"/>
  <c r="F213" i="1"/>
  <c r="C212" i="4" s="1"/>
  <c r="F229" i="1"/>
  <c r="F245" i="1"/>
  <c r="C244" i="4" s="1"/>
  <c r="F261" i="1"/>
  <c r="C260" i="4" s="1"/>
  <c r="F277" i="1"/>
  <c r="C276" i="4" s="1"/>
  <c r="F293" i="1"/>
  <c r="C292" i="4" s="1"/>
  <c r="F309" i="1"/>
  <c r="C308" i="4" s="1"/>
  <c r="F325" i="1"/>
  <c r="C324" i="4" s="1"/>
  <c r="F17" i="1"/>
  <c r="C16" i="4" s="1"/>
  <c r="F33" i="1"/>
  <c r="C32" i="4" s="1"/>
  <c r="F41" i="1"/>
  <c r="F49" i="1"/>
  <c r="C48" i="4" s="1"/>
  <c r="F57" i="1"/>
  <c r="C56" i="4" s="1"/>
  <c r="F65" i="1"/>
  <c r="C64" i="4" s="1"/>
  <c r="F73" i="1"/>
  <c r="C72" i="4" s="1"/>
  <c r="F81" i="1"/>
  <c r="C80" i="4" s="1"/>
  <c r="F89" i="1"/>
  <c r="C88" i="4" s="1"/>
  <c r="F97" i="1"/>
  <c r="C96" i="4" s="1"/>
  <c r="F105" i="1"/>
  <c r="C104" i="4" s="1"/>
  <c r="F113" i="1"/>
  <c r="C112" i="4" s="1"/>
  <c r="F121" i="1"/>
  <c r="F129" i="1"/>
  <c r="C128" i="4" s="1"/>
  <c r="F137" i="1"/>
  <c r="F145" i="1"/>
  <c r="C144" i="4" s="1"/>
  <c r="F153" i="1"/>
  <c r="C152" i="4" s="1"/>
  <c r="F161" i="1"/>
  <c r="C160" i="4" s="1"/>
  <c r="F169" i="1"/>
  <c r="C168" i="4" s="1"/>
  <c r="F177" i="1"/>
  <c r="F185" i="1"/>
  <c r="F193" i="1"/>
  <c r="C192" i="4" s="1"/>
  <c r="F201" i="1"/>
  <c r="C200" i="4" s="1"/>
  <c r="F209" i="1"/>
  <c r="C208" i="4" s="1"/>
  <c r="F217" i="1"/>
  <c r="C216" i="4" s="1"/>
  <c r="F225" i="1"/>
  <c r="C224" i="4" s="1"/>
  <c r="F233" i="1"/>
  <c r="C232" i="4" s="1"/>
  <c r="F241" i="1"/>
  <c r="C240" i="4" s="1"/>
  <c r="F249" i="1"/>
  <c r="C248" i="4" s="1"/>
  <c r="F257" i="1"/>
  <c r="C256" i="4" s="1"/>
  <c r="F265" i="1"/>
  <c r="C264" i="4" s="1"/>
  <c r="F273" i="1"/>
  <c r="C272" i="4" s="1"/>
  <c r="F281" i="1"/>
  <c r="C280" i="4" s="1"/>
  <c r="F289" i="1"/>
  <c r="C288" i="4" s="1"/>
  <c r="F297" i="1"/>
  <c r="C296" i="4" s="1"/>
  <c r="F305" i="1"/>
  <c r="C304" i="4" s="1"/>
  <c r="F313" i="1"/>
  <c r="C312" i="4" s="1"/>
  <c r="F321" i="1"/>
  <c r="C320" i="4" s="1"/>
  <c r="F6" i="1"/>
  <c r="C3" i="4" s="1"/>
  <c r="E3" i="4" s="1"/>
  <c r="H3" i="4" s="1"/>
  <c r="F18" i="1"/>
  <c r="C17" i="4" s="1"/>
  <c r="F26" i="1"/>
  <c r="F34" i="1"/>
  <c r="C33" i="4" s="1"/>
  <c r="F42" i="1"/>
  <c r="F50" i="1"/>
  <c r="C49" i="4" s="1"/>
  <c r="F58" i="1"/>
  <c r="C57" i="4" s="1"/>
  <c r="F66" i="1"/>
  <c r="C65" i="4" s="1"/>
  <c r="F74" i="1"/>
  <c r="C73" i="4" s="1"/>
  <c r="F82" i="1"/>
  <c r="C81" i="4" s="1"/>
  <c r="F90" i="1"/>
  <c r="C89" i="4" s="1"/>
  <c r="F98" i="1"/>
  <c r="C97" i="4" s="1"/>
  <c r="F106" i="1"/>
  <c r="C105" i="4" s="1"/>
  <c r="F114" i="1"/>
  <c r="C113" i="4" s="1"/>
  <c r="F122" i="1"/>
  <c r="F130" i="1"/>
  <c r="C129" i="4" s="1"/>
  <c r="F138" i="1"/>
  <c r="F146" i="1"/>
  <c r="C145" i="4" s="1"/>
  <c r="F154" i="1"/>
  <c r="C153" i="4" s="1"/>
  <c r="F162" i="1"/>
  <c r="C161" i="4" s="1"/>
  <c r="F170" i="1"/>
  <c r="C169" i="4" s="1"/>
  <c r="F178" i="1"/>
  <c r="F186" i="1"/>
  <c r="C185" i="4" s="1"/>
  <c r="F194" i="1"/>
  <c r="C193" i="4" s="1"/>
  <c r="F202" i="1"/>
  <c r="C201" i="4" s="1"/>
  <c r="F210" i="1"/>
  <c r="C209" i="4" s="1"/>
  <c r="F218" i="1"/>
  <c r="C217" i="4" s="1"/>
  <c r="F226" i="1"/>
  <c r="C225" i="4" s="1"/>
  <c r="F234" i="1"/>
  <c r="C233" i="4" s="1"/>
  <c r="F242" i="1"/>
  <c r="C241" i="4" s="1"/>
  <c r="F250" i="1"/>
  <c r="C249" i="4" s="1"/>
  <c r="F258" i="1"/>
  <c r="C257" i="4" s="1"/>
  <c r="F266" i="1"/>
  <c r="C265" i="4" s="1"/>
  <c r="F274" i="1"/>
  <c r="C273" i="4" s="1"/>
  <c r="F282" i="1"/>
  <c r="C281" i="4" s="1"/>
  <c r="F298" i="1"/>
  <c r="C297" i="4" s="1"/>
  <c r="F314" i="1"/>
  <c r="C313" i="4" s="1"/>
  <c r="F21" i="1"/>
  <c r="C20" i="4" s="1"/>
  <c r="F29" i="1"/>
  <c r="C28" i="4" s="1"/>
  <c r="F45" i="1"/>
  <c r="C44" i="4" s="1"/>
  <c r="F61" i="1"/>
  <c r="C60" i="4" s="1"/>
  <c r="F77" i="1"/>
  <c r="C76" i="4" s="1"/>
  <c r="F93" i="1"/>
  <c r="C92" i="4" s="1"/>
  <c r="F109" i="1"/>
  <c r="C108" i="4" s="1"/>
  <c r="F125" i="1"/>
  <c r="C124" i="4" s="1"/>
  <c r="F141" i="1"/>
  <c r="C140" i="4" s="1"/>
  <c r="F157" i="1"/>
  <c r="C156" i="4" s="1"/>
  <c r="F173" i="1"/>
  <c r="F189" i="1"/>
  <c r="C188" i="4" s="1"/>
  <c r="F205" i="1"/>
  <c r="C204" i="4" s="1"/>
  <c r="F221" i="1"/>
  <c r="C220" i="4" s="1"/>
  <c r="F237" i="1"/>
  <c r="C236" i="4" s="1"/>
  <c r="F253" i="1"/>
  <c r="C252" i="4" s="1"/>
  <c r="F269" i="1"/>
  <c r="C268" i="4" s="1"/>
  <c r="F285" i="1"/>
  <c r="C284" i="4" s="1"/>
  <c r="F301" i="1"/>
  <c r="C300" i="4" s="1"/>
  <c r="F317" i="1"/>
  <c r="C316" i="4" s="1"/>
  <c r="C174" i="4" l="1"/>
  <c r="C230" i="4"/>
  <c r="C134" i="4"/>
  <c r="C130" i="4"/>
  <c r="C182" i="4"/>
  <c r="C117" i="4"/>
  <c r="C6" i="4"/>
  <c r="C183" i="4"/>
  <c r="C178" i="4"/>
  <c r="C115" i="4"/>
  <c r="C40" i="4"/>
  <c r="C229" i="4"/>
  <c r="C133" i="4"/>
  <c r="C122" i="4"/>
  <c r="C170" i="4"/>
  <c r="C181" i="4"/>
  <c r="C118" i="4"/>
  <c r="C172" i="4"/>
  <c r="C173" i="4"/>
  <c r="C176" i="4"/>
  <c r="C119" i="4"/>
  <c r="C120" i="4"/>
  <c r="C228" i="4"/>
  <c r="C135" i="4"/>
  <c r="C23" i="4"/>
  <c r="C25" i="4"/>
  <c r="C137" i="4"/>
  <c r="C41" i="4"/>
  <c r="C116" i="4"/>
  <c r="C179" i="4"/>
  <c r="C131" i="4"/>
  <c r="C177" i="4"/>
  <c r="C184" i="4"/>
  <c r="C136" i="4"/>
  <c r="C175" i="4"/>
  <c r="C4" i="4"/>
  <c r="C121" i="4"/>
  <c r="C180" i="4"/>
  <c r="C132" i="4"/>
  <c r="C171" i="4"/>
  <c r="C123" i="4"/>
  <c r="C5" i="4"/>
  <c r="F300" i="1"/>
  <c r="C299" i="4" s="1"/>
  <c r="K15" i="1"/>
  <c r="K37" i="1"/>
  <c r="K51" i="1"/>
  <c r="K57" i="1"/>
  <c r="K79" i="1"/>
  <c r="K101" i="1"/>
  <c r="K130" i="1"/>
  <c r="K144" i="1"/>
  <c r="K146" i="1"/>
  <c r="K147" i="1"/>
  <c r="K162" i="1"/>
  <c r="K165" i="1"/>
  <c r="K178" i="1"/>
  <c r="K184" i="1"/>
  <c r="K189" i="1"/>
  <c r="K194" i="1"/>
  <c r="K199" i="1"/>
  <c r="K210" i="1"/>
  <c r="K226" i="1"/>
  <c r="K242" i="1"/>
  <c r="K258" i="1"/>
  <c r="H302" i="1"/>
  <c r="K108" i="1"/>
  <c r="F329" i="1" l="1"/>
  <c r="K302" i="1"/>
  <c r="K116" i="1"/>
  <c r="K45" i="1"/>
  <c r="K13" i="1"/>
  <c r="K97" i="1"/>
  <c r="K33" i="1"/>
  <c r="K233" i="1"/>
  <c r="K212" i="1"/>
  <c r="K191" i="1"/>
  <c r="K127" i="1"/>
  <c r="K105" i="1"/>
  <c r="K237" i="1"/>
  <c r="K221" i="1"/>
  <c r="M4" i="1"/>
  <c r="K4" i="1"/>
  <c r="K55" i="1"/>
  <c r="E284" i="4"/>
  <c r="E252" i="4"/>
  <c r="H252" i="4" s="1"/>
  <c r="K192" i="1"/>
  <c r="E323" i="4"/>
  <c r="H323" i="4" s="1"/>
  <c r="E317" i="4"/>
  <c r="E254" i="4"/>
  <c r="E306" i="4"/>
  <c r="K248" i="1"/>
  <c r="K220" i="1"/>
  <c r="K124" i="1"/>
  <c r="K103" i="1"/>
  <c r="K99" i="1"/>
  <c r="K83" i="1"/>
  <c r="K81" i="1"/>
  <c r="K75" i="1"/>
  <c r="K53" i="1"/>
  <c r="K19" i="1"/>
  <c r="K11" i="1"/>
  <c r="K50" i="1"/>
  <c r="K216" i="1"/>
  <c r="K206" i="1"/>
  <c r="E319" i="4"/>
  <c r="H319" i="4" s="1"/>
  <c r="E305" i="4"/>
  <c r="E296" i="4"/>
  <c r="E292" i="4"/>
  <c r="E276" i="4"/>
  <c r="H276" i="4" s="1"/>
  <c r="E270" i="4"/>
  <c r="E260" i="4"/>
  <c r="E256" i="4"/>
  <c r="H256" i="4" s="1"/>
  <c r="K239" i="1"/>
  <c r="K235" i="1"/>
  <c r="K217" i="1"/>
  <c r="K213" i="1"/>
  <c r="K201" i="1"/>
  <c r="K197" i="1"/>
  <c r="K195" i="1"/>
  <c r="K193" i="1"/>
  <c r="K177" i="1"/>
  <c r="K175" i="1"/>
  <c r="K171" i="1"/>
  <c r="K157" i="1"/>
  <c r="K155" i="1"/>
  <c r="K153" i="1"/>
  <c r="K151" i="1"/>
  <c r="K149" i="1"/>
  <c r="K133" i="1"/>
  <c r="K129" i="1"/>
  <c r="K70" i="1"/>
  <c r="K104" i="1"/>
  <c r="K68" i="1"/>
  <c r="K64" i="1"/>
  <c r="K44" i="1"/>
  <c r="K6" i="1"/>
  <c r="K52" i="1"/>
  <c r="K132" i="1"/>
  <c r="K268" i="1"/>
  <c r="K260" i="1"/>
  <c r="K204" i="1"/>
  <c r="K200" i="1"/>
  <c r="K196" i="1"/>
  <c r="K172" i="1"/>
  <c r="K152" i="1"/>
  <c r="K128" i="1"/>
  <c r="K111" i="1"/>
  <c r="K109" i="1"/>
  <c r="K107" i="1"/>
  <c r="K95" i="1"/>
  <c r="K89" i="1"/>
  <c r="K87" i="1"/>
  <c r="K85" i="1"/>
  <c r="K67" i="1"/>
  <c r="K65" i="1"/>
  <c r="K61" i="1"/>
  <c r="K47" i="1"/>
  <c r="K43" i="1"/>
  <c r="K29" i="1"/>
  <c r="K25" i="1"/>
  <c r="K23" i="1"/>
  <c r="K21" i="1"/>
  <c r="K205" i="1"/>
  <c r="K183" i="1"/>
  <c r="K114" i="1"/>
  <c r="K96" i="1"/>
  <c r="K86" i="1"/>
  <c r="K22" i="1"/>
  <c r="K18" i="1"/>
  <c r="E304" i="4"/>
  <c r="H304" i="4" s="1"/>
  <c r="K224" i="1"/>
  <c r="K271" i="1"/>
  <c r="K236" i="1"/>
  <c r="K160" i="1"/>
  <c r="K100" i="1"/>
  <c r="K10" i="1"/>
  <c r="K277" i="1"/>
  <c r="K14" i="1"/>
  <c r="K30" i="1"/>
  <c r="K78" i="1"/>
  <c r="K190" i="1"/>
  <c r="K238" i="1"/>
  <c r="K286" i="1"/>
  <c r="K249" i="1"/>
  <c r="K245" i="1"/>
  <c r="K243" i="1"/>
  <c r="K215" i="1"/>
  <c r="K211" i="1"/>
  <c r="K207" i="1"/>
  <c r="K203" i="1"/>
  <c r="K185" i="1"/>
  <c r="K181" i="1"/>
  <c r="K179" i="1"/>
  <c r="K173" i="1"/>
  <c r="K161" i="1"/>
  <c r="K143" i="1"/>
  <c r="K139" i="1"/>
  <c r="K131" i="1"/>
  <c r="K121" i="1"/>
  <c r="K119" i="1"/>
  <c r="K117" i="1"/>
  <c r="K76" i="1"/>
  <c r="K88" i="1"/>
  <c r="K32" i="1"/>
  <c r="K110" i="1"/>
  <c r="K98" i="1"/>
  <c r="K94" i="1"/>
  <c r="K82" i="1"/>
  <c r="K66" i="1"/>
  <c r="K62" i="1"/>
  <c r="K56" i="1"/>
  <c r="K46" i="1"/>
  <c r="K40" i="1"/>
  <c r="K36" i="1"/>
  <c r="K34" i="1"/>
  <c r="K12" i="1"/>
  <c r="K296" i="1"/>
  <c r="K292" i="1"/>
  <c r="K288" i="1"/>
  <c r="K254" i="1"/>
  <c r="K228" i="1"/>
  <c r="K222" i="1"/>
  <c r="K174" i="1"/>
  <c r="K164" i="1"/>
  <c r="K158" i="1"/>
  <c r="K142" i="1"/>
  <c r="K140" i="1"/>
  <c r="K136" i="1"/>
  <c r="K126" i="1"/>
  <c r="K223" i="1"/>
  <c r="K253" i="1"/>
  <c r="K306" i="1"/>
  <c r="K297" i="1"/>
  <c r="K5" i="1"/>
  <c r="K176" i="1"/>
  <c r="K74" i="1"/>
  <c r="K72" i="1"/>
  <c r="K318" i="1"/>
  <c r="K322" i="1"/>
  <c r="K324" i="1"/>
  <c r="K320" i="1"/>
  <c r="K310" i="1"/>
  <c r="K202" i="1"/>
  <c r="K186" i="1"/>
  <c r="K285" i="1"/>
  <c r="K273" i="1"/>
  <c r="K115" i="1"/>
  <c r="K294" i="1"/>
  <c r="K278" i="1"/>
  <c r="K264" i="1"/>
  <c r="K244" i="1"/>
  <c r="K232" i="1"/>
  <c r="K230" i="1"/>
  <c r="K214" i="1"/>
  <c r="K198" i="1"/>
  <c r="K182" i="1"/>
  <c r="K168" i="1"/>
  <c r="K156" i="1"/>
  <c r="K113" i="1"/>
  <c r="K91" i="1"/>
  <c r="K31" i="1"/>
  <c r="E327" i="4"/>
  <c r="K328" i="1"/>
  <c r="E325" i="4"/>
  <c r="K326" i="1"/>
  <c r="E311" i="4"/>
  <c r="K312" i="1"/>
  <c r="K304" i="1"/>
  <c r="K321" i="1"/>
  <c r="K313" i="1"/>
  <c r="K311" i="1"/>
  <c r="K309" i="1"/>
  <c r="H300" i="1"/>
  <c r="M300" i="1" s="1"/>
  <c r="K299" i="1"/>
  <c r="E298" i="4"/>
  <c r="K289" i="1"/>
  <c r="K279" i="1"/>
  <c r="E278" i="4"/>
  <c r="K269" i="1"/>
  <c r="E268" i="4"/>
  <c r="H268" i="4" s="1"/>
  <c r="H251" i="1"/>
  <c r="M251" i="1" s="1"/>
  <c r="E250" i="4"/>
  <c r="H249" i="1"/>
  <c r="M249" i="1" s="1"/>
  <c r="H247" i="1"/>
  <c r="M247" i="1" s="1"/>
  <c r="E246" i="4"/>
  <c r="H245" i="1"/>
  <c r="M245" i="1" s="1"/>
  <c r="H243" i="1"/>
  <c r="M243" i="1" s="1"/>
  <c r="E242" i="4"/>
  <c r="H241" i="1"/>
  <c r="M241" i="1" s="1"/>
  <c r="E240" i="4"/>
  <c r="H239" i="1"/>
  <c r="M239" i="1" s="1"/>
  <c r="H237" i="1"/>
  <c r="M237" i="1" s="1"/>
  <c r="H235" i="1"/>
  <c r="M235" i="1" s="1"/>
  <c r="E234" i="4"/>
  <c r="H234" i="4" s="1"/>
  <c r="H233" i="1"/>
  <c r="M233" i="1" s="1"/>
  <c r="E232" i="4"/>
  <c r="H231" i="1"/>
  <c r="M231" i="1" s="1"/>
  <c r="E230" i="4"/>
  <c r="H229" i="1"/>
  <c r="M229" i="1" s="1"/>
  <c r="H227" i="1"/>
  <c r="M227" i="1" s="1"/>
  <c r="H225" i="1"/>
  <c r="M225" i="1" s="1"/>
  <c r="E224" i="4"/>
  <c r="H223" i="1"/>
  <c r="M223" i="1" s="1"/>
  <c r="E222" i="4"/>
  <c r="H222" i="4" s="1"/>
  <c r="H221" i="1"/>
  <c r="M221" i="1" s="1"/>
  <c r="E220" i="4"/>
  <c r="H219" i="1"/>
  <c r="M219" i="1" s="1"/>
  <c r="E218" i="4"/>
  <c r="H217" i="1"/>
  <c r="M217" i="1" s="1"/>
  <c r="H215" i="1"/>
  <c r="M215" i="1" s="1"/>
  <c r="H213" i="1"/>
  <c r="M213" i="1" s="1"/>
  <c r="E212" i="4"/>
  <c r="H212" i="4" s="1"/>
  <c r="H211" i="1"/>
  <c r="M211" i="1" s="1"/>
  <c r="E210" i="4"/>
  <c r="H209" i="1"/>
  <c r="M209" i="1" s="1"/>
  <c r="E208" i="4"/>
  <c r="H207" i="1"/>
  <c r="M207" i="1" s="1"/>
  <c r="E206" i="4"/>
  <c r="H205" i="1"/>
  <c r="M205" i="1" s="1"/>
  <c r="E204" i="4"/>
  <c r="H203" i="1"/>
  <c r="M203" i="1" s="1"/>
  <c r="H201" i="1"/>
  <c r="M201" i="1" s="1"/>
  <c r="E200" i="4"/>
  <c r="H199" i="1"/>
  <c r="M199" i="1" s="1"/>
  <c r="L199" i="1" s="1"/>
  <c r="E198" i="4"/>
  <c r="H197" i="1"/>
  <c r="M197" i="1" s="1"/>
  <c r="H195" i="1"/>
  <c r="M195" i="1" s="1"/>
  <c r="E194" i="4"/>
  <c r="H193" i="1"/>
  <c r="M193" i="1" s="1"/>
  <c r="H191" i="1"/>
  <c r="M191" i="1" s="1"/>
  <c r="H189" i="1"/>
  <c r="M189" i="1" s="1"/>
  <c r="L189" i="1" s="1"/>
  <c r="E188" i="4"/>
  <c r="H187" i="1"/>
  <c r="M187" i="1" s="1"/>
  <c r="E186" i="4"/>
  <c r="H185" i="1"/>
  <c r="M185" i="1" s="1"/>
  <c r="E184" i="4"/>
  <c r="H183" i="1"/>
  <c r="M183" i="1" s="1"/>
  <c r="E182" i="4"/>
  <c r="H181" i="1"/>
  <c r="M181" i="1" s="1"/>
  <c r="E180" i="4"/>
  <c r="H179" i="1"/>
  <c r="M179" i="1" s="1"/>
  <c r="E178" i="4"/>
  <c r="H178" i="4" s="1"/>
  <c r="H177" i="1"/>
  <c r="M177" i="1" s="1"/>
  <c r="E176" i="4"/>
  <c r="H175" i="1"/>
  <c r="M175" i="1" s="1"/>
  <c r="H173" i="1"/>
  <c r="M173" i="1" s="1"/>
  <c r="H171" i="1"/>
  <c r="M171" i="1" s="1"/>
  <c r="H169" i="1"/>
  <c r="M169" i="1" s="1"/>
  <c r="H167" i="1"/>
  <c r="M167" i="1" s="1"/>
  <c r="E166" i="4"/>
  <c r="H165" i="1"/>
  <c r="M165" i="1" s="1"/>
  <c r="L165" i="1" s="1"/>
  <c r="H163" i="1"/>
  <c r="M163" i="1" s="1"/>
  <c r="H161" i="1"/>
  <c r="M161" i="1" s="1"/>
  <c r="H159" i="1"/>
  <c r="M159" i="1" s="1"/>
  <c r="E158" i="4"/>
  <c r="H157" i="1"/>
  <c r="M157" i="1" s="1"/>
  <c r="H155" i="1"/>
  <c r="M155" i="1" s="1"/>
  <c r="E154" i="4"/>
  <c r="H153" i="1"/>
  <c r="M153" i="1" s="1"/>
  <c r="H151" i="1"/>
  <c r="M151" i="1" s="1"/>
  <c r="E150" i="4"/>
  <c r="H150" i="4" s="1"/>
  <c r="H149" i="1"/>
  <c r="M149" i="1" s="1"/>
  <c r="E148" i="4"/>
  <c r="H147" i="1"/>
  <c r="M147" i="1" s="1"/>
  <c r="L147" i="1" s="1"/>
  <c r="H145" i="1"/>
  <c r="M145" i="1" s="1"/>
  <c r="H143" i="1"/>
  <c r="M143" i="1" s="1"/>
  <c r="E142" i="4"/>
  <c r="H141" i="1"/>
  <c r="M141" i="1" s="1"/>
  <c r="E140" i="4"/>
  <c r="H139" i="1"/>
  <c r="M139" i="1" s="1"/>
  <c r="E138" i="4"/>
  <c r="H137" i="1"/>
  <c r="M137" i="1" s="1"/>
  <c r="E136" i="4"/>
  <c r="H135" i="1"/>
  <c r="M135" i="1" s="1"/>
  <c r="E134" i="4"/>
  <c r="H134" i="4" s="1"/>
  <c r="H133" i="1"/>
  <c r="M133" i="1" s="1"/>
  <c r="H131" i="1"/>
  <c r="M131" i="1" s="1"/>
  <c r="E130" i="4"/>
  <c r="H129" i="1"/>
  <c r="M129" i="1" s="1"/>
  <c r="H127" i="1"/>
  <c r="M127" i="1" s="1"/>
  <c r="E126" i="4"/>
  <c r="H125" i="1"/>
  <c r="M125" i="1" s="1"/>
  <c r="H123" i="1"/>
  <c r="M123" i="1" s="1"/>
  <c r="E122" i="4"/>
  <c r="H121" i="1"/>
  <c r="M121" i="1" s="1"/>
  <c r="H119" i="1"/>
  <c r="M119" i="1" s="1"/>
  <c r="E118" i="4"/>
  <c r="H117" i="1"/>
  <c r="M117" i="1" s="1"/>
  <c r="H115" i="1"/>
  <c r="M115" i="1" s="1"/>
  <c r="E114" i="4"/>
  <c r="H113" i="1"/>
  <c r="M113" i="1" s="1"/>
  <c r="H111" i="1"/>
  <c r="M111" i="1" s="1"/>
  <c r="H109" i="1"/>
  <c r="M109" i="1" s="1"/>
  <c r="H107" i="1"/>
  <c r="M107" i="1" s="1"/>
  <c r="E106" i="4"/>
  <c r="H105" i="1"/>
  <c r="M105" i="1" s="1"/>
  <c r="H103" i="1"/>
  <c r="M103" i="1" s="1"/>
  <c r="E102" i="4"/>
  <c r="H102" i="4" s="1"/>
  <c r="H101" i="1"/>
  <c r="M101" i="1" s="1"/>
  <c r="L101" i="1" s="1"/>
  <c r="H99" i="1"/>
  <c r="M99" i="1" s="1"/>
  <c r="H97" i="1"/>
  <c r="M97" i="1" s="1"/>
  <c r="E96" i="4"/>
  <c r="H95" i="1"/>
  <c r="M95" i="1" s="1"/>
  <c r="H93" i="1"/>
  <c r="M93" i="1" s="1"/>
  <c r="H91" i="1"/>
  <c r="M91" i="1" s="1"/>
  <c r="H89" i="1"/>
  <c r="M89" i="1" s="1"/>
  <c r="H87" i="1"/>
  <c r="M87" i="1" s="1"/>
  <c r="H85" i="1"/>
  <c r="M85" i="1" s="1"/>
  <c r="H83" i="1"/>
  <c r="M83" i="1" s="1"/>
  <c r="H81" i="1"/>
  <c r="M81" i="1" s="1"/>
  <c r="H79" i="1"/>
  <c r="M79" i="1" s="1"/>
  <c r="L79" i="1" s="1"/>
  <c r="H77" i="1"/>
  <c r="M77" i="1" s="1"/>
  <c r="H75" i="1"/>
  <c r="M75" i="1" s="1"/>
  <c r="H73" i="1"/>
  <c r="M73" i="1" s="1"/>
  <c r="H71" i="1"/>
  <c r="M71" i="1" s="1"/>
  <c r="H69" i="1"/>
  <c r="M69" i="1" s="1"/>
  <c r="H67" i="1"/>
  <c r="M67" i="1" s="1"/>
  <c r="E66" i="4"/>
  <c r="H65" i="1"/>
  <c r="M65" i="1" s="1"/>
  <c r="H63" i="1"/>
  <c r="M63" i="1" s="1"/>
  <c r="H61" i="1"/>
  <c r="M61" i="1" s="1"/>
  <c r="H59" i="1"/>
  <c r="M59" i="1" s="1"/>
  <c r="H57" i="1"/>
  <c r="M57" i="1" s="1"/>
  <c r="L57" i="1" s="1"/>
  <c r="H55" i="1"/>
  <c r="M55" i="1" s="1"/>
  <c r="H53" i="1"/>
  <c r="M53" i="1" s="1"/>
  <c r="H51" i="1"/>
  <c r="M51" i="1" s="1"/>
  <c r="L51" i="1" s="1"/>
  <c r="H49" i="1"/>
  <c r="M49" i="1" s="1"/>
  <c r="H47" i="1"/>
  <c r="M47" i="1" s="1"/>
  <c r="E46" i="4"/>
  <c r="H46" i="4" s="1"/>
  <c r="H45" i="1"/>
  <c r="M45" i="1" s="1"/>
  <c r="H43" i="1"/>
  <c r="M43" i="1" s="1"/>
  <c r="E42" i="4"/>
  <c r="H42" i="4" s="1"/>
  <c r="H41" i="1"/>
  <c r="M41" i="1" s="1"/>
  <c r="H39" i="1"/>
  <c r="M39" i="1" s="1"/>
  <c r="H37" i="1"/>
  <c r="M37" i="1" s="1"/>
  <c r="L37" i="1" s="1"/>
  <c r="H35" i="1"/>
  <c r="M35" i="1" s="1"/>
  <c r="H33" i="1"/>
  <c r="M33" i="1" s="1"/>
  <c r="H31" i="1"/>
  <c r="M31" i="1" s="1"/>
  <c r="H29" i="1"/>
  <c r="M29" i="1" s="1"/>
  <c r="H27" i="1"/>
  <c r="M27" i="1" s="1"/>
  <c r="H25" i="1"/>
  <c r="M25" i="1" s="1"/>
  <c r="E24" i="4"/>
  <c r="H24" i="4" s="1"/>
  <c r="H23" i="1"/>
  <c r="M23" i="1" s="1"/>
  <c r="E22" i="4"/>
  <c r="H21" i="1"/>
  <c r="M21" i="1" s="1"/>
  <c r="H19" i="1"/>
  <c r="M19" i="1" s="1"/>
  <c r="H17" i="1"/>
  <c r="M17" i="1" s="1"/>
  <c r="H15" i="1"/>
  <c r="M15" i="1" s="1"/>
  <c r="L15" i="1" s="1"/>
  <c r="H13" i="1"/>
  <c r="M13" i="1" s="1"/>
  <c r="H11" i="1"/>
  <c r="M11" i="1" s="1"/>
  <c r="H9" i="1"/>
  <c r="M9" i="1" s="1"/>
  <c r="H7" i="1"/>
  <c r="M7" i="1" s="1"/>
  <c r="H5" i="1"/>
  <c r="M5" i="1" s="1"/>
  <c r="K26" i="1"/>
  <c r="K42" i="1"/>
  <c r="K58" i="1"/>
  <c r="K90" i="1"/>
  <c r="K106" i="1"/>
  <c r="K122" i="1"/>
  <c r="K138" i="1"/>
  <c r="K154" i="1"/>
  <c r="K170" i="1"/>
  <c r="K218" i="1"/>
  <c r="K234" i="1"/>
  <c r="K250" i="1"/>
  <c r="K266" i="1"/>
  <c r="K314" i="1"/>
  <c r="K167" i="1"/>
  <c r="K145" i="1"/>
  <c r="K39" i="1"/>
  <c r="K316" i="1"/>
  <c r="K229" i="1"/>
  <c r="K80" i="1"/>
  <c r="K16" i="1"/>
  <c r="K276" i="1"/>
  <c r="K148" i="1"/>
  <c r="K63" i="1"/>
  <c r="K41" i="1"/>
  <c r="K20" i="1"/>
  <c r="H298" i="1"/>
  <c r="M298" i="1" s="1"/>
  <c r="H296" i="1"/>
  <c r="M296" i="1" s="1"/>
  <c r="H294" i="1"/>
  <c r="M294" i="1" s="1"/>
  <c r="H292" i="1"/>
  <c r="M292" i="1" s="1"/>
  <c r="H290" i="1"/>
  <c r="M290" i="1" s="1"/>
  <c r="H288" i="1"/>
  <c r="M288" i="1" s="1"/>
  <c r="H286" i="1"/>
  <c r="M286" i="1" s="1"/>
  <c r="H284" i="1"/>
  <c r="M284" i="1" s="1"/>
  <c r="H282" i="1"/>
  <c r="M282" i="1" s="1"/>
  <c r="H280" i="1"/>
  <c r="M280" i="1" s="1"/>
  <c r="H278" i="1"/>
  <c r="M278" i="1" s="1"/>
  <c r="H276" i="1"/>
  <c r="M276" i="1" s="1"/>
  <c r="H274" i="1"/>
  <c r="M274" i="1" s="1"/>
  <c r="H272" i="1"/>
  <c r="M272" i="1" s="1"/>
  <c r="H270" i="1"/>
  <c r="M270" i="1" s="1"/>
  <c r="H268" i="1"/>
  <c r="M268" i="1" s="1"/>
  <c r="H266" i="1"/>
  <c r="M266" i="1" s="1"/>
  <c r="H264" i="1"/>
  <c r="M264" i="1" s="1"/>
  <c r="H262" i="1"/>
  <c r="M262" i="1" s="1"/>
  <c r="H260" i="1"/>
  <c r="M260" i="1" s="1"/>
  <c r="H258" i="1"/>
  <c r="M258" i="1" s="1"/>
  <c r="L258" i="1" s="1"/>
  <c r="H256" i="1"/>
  <c r="M256" i="1" s="1"/>
  <c r="H254" i="1"/>
  <c r="M254" i="1" s="1"/>
  <c r="H252" i="1"/>
  <c r="M252" i="1" s="1"/>
  <c r="H250" i="1"/>
  <c r="M250" i="1" s="1"/>
  <c r="H248" i="1"/>
  <c r="M248" i="1" s="1"/>
  <c r="H246" i="1"/>
  <c r="M246" i="1" s="1"/>
  <c r="H244" i="1"/>
  <c r="M244" i="1" s="1"/>
  <c r="H242" i="1"/>
  <c r="M242" i="1" s="1"/>
  <c r="L242" i="1" s="1"/>
  <c r="H240" i="1"/>
  <c r="M240" i="1" s="1"/>
  <c r="H238" i="1"/>
  <c r="M238" i="1" s="1"/>
  <c r="H236" i="1"/>
  <c r="M236" i="1" s="1"/>
  <c r="H234" i="1"/>
  <c r="M234" i="1" s="1"/>
  <c r="H232" i="1"/>
  <c r="M232" i="1" s="1"/>
  <c r="H230" i="1"/>
  <c r="M230" i="1" s="1"/>
  <c r="H228" i="1"/>
  <c r="M228" i="1" s="1"/>
  <c r="H226" i="1"/>
  <c r="M226" i="1" s="1"/>
  <c r="L226" i="1" s="1"/>
  <c r="H224" i="1"/>
  <c r="M224" i="1" s="1"/>
  <c r="H222" i="1"/>
  <c r="M222" i="1" s="1"/>
  <c r="H220" i="1"/>
  <c r="M220" i="1" s="1"/>
  <c r="H218" i="1"/>
  <c r="M218" i="1" s="1"/>
  <c r="H216" i="1"/>
  <c r="M216" i="1" s="1"/>
  <c r="H214" i="1"/>
  <c r="M214" i="1" s="1"/>
  <c r="H212" i="1"/>
  <c r="M212" i="1" s="1"/>
  <c r="H210" i="1"/>
  <c r="M210" i="1" s="1"/>
  <c r="L210" i="1" s="1"/>
  <c r="H208" i="1"/>
  <c r="M208" i="1" s="1"/>
  <c r="H206" i="1"/>
  <c r="M206" i="1" s="1"/>
  <c r="H204" i="1"/>
  <c r="M204" i="1" s="1"/>
  <c r="H202" i="1"/>
  <c r="M202" i="1" s="1"/>
  <c r="H200" i="1"/>
  <c r="M200" i="1" s="1"/>
  <c r="H198" i="1"/>
  <c r="M198" i="1" s="1"/>
  <c r="H196" i="1"/>
  <c r="M196" i="1" s="1"/>
  <c r="H194" i="1"/>
  <c r="M194" i="1" s="1"/>
  <c r="L194" i="1" s="1"/>
  <c r="H192" i="1"/>
  <c r="M192" i="1" s="1"/>
  <c r="H190" i="1"/>
  <c r="M190" i="1" s="1"/>
  <c r="H188" i="1"/>
  <c r="M188" i="1" s="1"/>
  <c r="H186" i="1"/>
  <c r="M186" i="1" s="1"/>
  <c r="H184" i="1"/>
  <c r="M184" i="1" s="1"/>
  <c r="L184" i="1" s="1"/>
  <c r="H182" i="1"/>
  <c r="M182" i="1" s="1"/>
  <c r="H180" i="1"/>
  <c r="M180" i="1" s="1"/>
  <c r="H178" i="1"/>
  <c r="M178" i="1" s="1"/>
  <c r="L178" i="1" s="1"/>
  <c r="H176" i="1"/>
  <c r="M176" i="1" s="1"/>
  <c r="H174" i="1"/>
  <c r="M174" i="1" s="1"/>
  <c r="H172" i="1"/>
  <c r="M172" i="1" s="1"/>
  <c r="H170" i="1"/>
  <c r="M170" i="1" s="1"/>
  <c r="H168" i="1"/>
  <c r="M168" i="1" s="1"/>
  <c r="H166" i="1"/>
  <c r="M166" i="1" s="1"/>
  <c r="H164" i="1"/>
  <c r="M164" i="1" s="1"/>
  <c r="H162" i="1"/>
  <c r="M162" i="1" s="1"/>
  <c r="L162" i="1" s="1"/>
  <c r="H160" i="1"/>
  <c r="M160" i="1" s="1"/>
  <c r="H158" i="1"/>
  <c r="M158" i="1" s="1"/>
  <c r="H156" i="1"/>
  <c r="M156" i="1" s="1"/>
  <c r="H154" i="1"/>
  <c r="M154" i="1" s="1"/>
  <c r="H152" i="1"/>
  <c r="M152" i="1" s="1"/>
  <c r="H150" i="1"/>
  <c r="M150" i="1" s="1"/>
  <c r="H148" i="1"/>
  <c r="M148" i="1" s="1"/>
  <c r="H146" i="1"/>
  <c r="M146" i="1" s="1"/>
  <c r="L146" i="1" s="1"/>
  <c r="H144" i="1"/>
  <c r="M144" i="1" s="1"/>
  <c r="L144" i="1" s="1"/>
  <c r="H142" i="1"/>
  <c r="M142" i="1" s="1"/>
  <c r="H140" i="1"/>
  <c r="M140" i="1" s="1"/>
  <c r="H138" i="1"/>
  <c r="M138" i="1" s="1"/>
  <c r="H136" i="1"/>
  <c r="M136" i="1" s="1"/>
  <c r="H134" i="1"/>
  <c r="M134" i="1" s="1"/>
  <c r="H132" i="1"/>
  <c r="M132" i="1" s="1"/>
  <c r="H130" i="1"/>
  <c r="M130" i="1" s="1"/>
  <c r="L130" i="1" s="1"/>
  <c r="H128" i="1"/>
  <c r="M128" i="1" s="1"/>
  <c r="H126" i="1"/>
  <c r="M126" i="1" s="1"/>
  <c r="H124" i="1"/>
  <c r="M124" i="1" s="1"/>
  <c r="H122" i="1"/>
  <c r="M122" i="1" s="1"/>
  <c r="H120" i="1"/>
  <c r="M120" i="1" s="1"/>
  <c r="H118" i="1"/>
  <c r="M118" i="1" s="1"/>
  <c r="H116" i="1"/>
  <c r="M116" i="1" s="1"/>
  <c r="H114" i="1"/>
  <c r="M114" i="1" s="1"/>
  <c r="H112" i="1"/>
  <c r="M112" i="1" s="1"/>
  <c r="H110" i="1"/>
  <c r="M110" i="1" s="1"/>
  <c r="H108" i="1"/>
  <c r="M108" i="1" s="1"/>
  <c r="L108" i="1" s="1"/>
  <c r="H106" i="1"/>
  <c r="M106" i="1" s="1"/>
  <c r="H104" i="1"/>
  <c r="M104" i="1" s="1"/>
  <c r="E103" i="4"/>
  <c r="H103" i="4" s="1"/>
  <c r="H102" i="1"/>
  <c r="M102" i="1" s="1"/>
  <c r="E101" i="4"/>
  <c r="H100" i="1"/>
  <c r="M100" i="1" s="1"/>
  <c r="H98" i="1"/>
  <c r="M98" i="1" s="1"/>
  <c r="H96" i="1"/>
  <c r="M96" i="1" s="1"/>
  <c r="E95" i="4"/>
  <c r="H94" i="1"/>
  <c r="M94" i="1" s="1"/>
  <c r="E93" i="4"/>
  <c r="H92" i="1"/>
  <c r="M92" i="1" s="1"/>
  <c r="E91" i="4"/>
  <c r="H90" i="1"/>
  <c r="M90" i="1" s="1"/>
  <c r="E89" i="4"/>
  <c r="H88" i="1"/>
  <c r="M88" i="1" s="1"/>
  <c r="E87" i="4"/>
  <c r="H86" i="1"/>
  <c r="M86" i="1" s="1"/>
  <c r="E85" i="4"/>
  <c r="H84" i="1"/>
  <c r="M84" i="1" s="1"/>
  <c r="E83" i="4"/>
  <c r="H82" i="1"/>
  <c r="M82" i="1" s="1"/>
  <c r="E81" i="4"/>
  <c r="H80" i="1"/>
  <c r="M80" i="1" s="1"/>
  <c r="E79" i="4"/>
  <c r="H78" i="1"/>
  <c r="M78" i="1" s="1"/>
  <c r="E77" i="4"/>
  <c r="H76" i="1"/>
  <c r="M76" i="1" s="1"/>
  <c r="E75" i="4"/>
  <c r="H74" i="1"/>
  <c r="M74" i="1" s="1"/>
  <c r="E73" i="4"/>
  <c r="H72" i="1"/>
  <c r="M72" i="1" s="1"/>
  <c r="E71" i="4"/>
  <c r="H70" i="1"/>
  <c r="M70" i="1" s="1"/>
  <c r="H68" i="1"/>
  <c r="M68" i="1" s="1"/>
  <c r="H66" i="1"/>
  <c r="M66" i="1" s="1"/>
  <c r="H64" i="1"/>
  <c r="M64" i="1" s="1"/>
  <c r="H62" i="1"/>
  <c r="M62" i="1" s="1"/>
  <c r="H60" i="1"/>
  <c r="M60" i="1" s="1"/>
  <c r="H58" i="1"/>
  <c r="M58" i="1" s="1"/>
  <c r="E57" i="4"/>
  <c r="H56" i="1"/>
  <c r="M56" i="1" s="1"/>
  <c r="E55" i="4"/>
  <c r="H54" i="1"/>
  <c r="M54" i="1" s="1"/>
  <c r="H52" i="1"/>
  <c r="M52" i="1" s="1"/>
  <c r="H50" i="1"/>
  <c r="M50" i="1" s="1"/>
  <c r="E49" i="4"/>
  <c r="H48" i="1"/>
  <c r="M48" i="1" s="1"/>
  <c r="E47" i="4"/>
  <c r="H46" i="1"/>
  <c r="M46" i="1" s="1"/>
  <c r="H44" i="1"/>
  <c r="M44" i="1" s="1"/>
  <c r="H42" i="1"/>
  <c r="M42" i="1" s="1"/>
  <c r="H40" i="1"/>
  <c r="M40" i="1" s="1"/>
  <c r="H38" i="1"/>
  <c r="M38" i="1" s="1"/>
  <c r="H36" i="1"/>
  <c r="M36" i="1" s="1"/>
  <c r="E35" i="4"/>
  <c r="H34" i="1"/>
  <c r="M34" i="1" s="1"/>
  <c r="E33" i="4"/>
  <c r="H32" i="1"/>
  <c r="M32" i="1" s="1"/>
  <c r="E31" i="4"/>
  <c r="H30" i="1"/>
  <c r="M30" i="1" s="1"/>
  <c r="E29" i="4"/>
  <c r="H28" i="1"/>
  <c r="M28" i="1" s="1"/>
  <c r="E27" i="4"/>
  <c r="H27" i="4" s="1"/>
  <c r="H26" i="1"/>
  <c r="M26" i="1" s="1"/>
  <c r="H24" i="1"/>
  <c r="M24" i="1" s="1"/>
  <c r="H22" i="1"/>
  <c r="M22" i="1" s="1"/>
  <c r="H20" i="1"/>
  <c r="M20" i="1" s="1"/>
  <c r="E19" i="4"/>
  <c r="H18" i="1"/>
  <c r="M18" i="1" s="1"/>
  <c r="E17" i="4"/>
  <c r="H16" i="1"/>
  <c r="M16" i="1" s="1"/>
  <c r="E15" i="4"/>
  <c r="H14" i="1"/>
  <c r="M14" i="1" s="1"/>
  <c r="H12" i="1"/>
  <c r="M12" i="1" s="1"/>
  <c r="H10" i="1"/>
  <c r="M10" i="1" s="1"/>
  <c r="H8" i="1"/>
  <c r="M8" i="1" s="1"/>
  <c r="H6" i="1"/>
  <c r="M6" i="1" s="1"/>
  <c r="K241" i="1"/>
  <c r="K141" i="1"/>
  <c r="K272" i="1"/>
  <c r="K93" i="1"/>
  <c r="K60" i="1"/>
  <c r="K187" i="1"/>
  <c r="K84" i="1"/>
  <c r="K188" i="1"/>
  <c r="K208" i="1"/>
  <c r="K59" i="1"/>
  <c r="K17" i="1"/>
  <c r="K123" i="1"/>
  <c r="K169" i="1"/>
  <c r="K282" i="1"/>
  <c r="K298" i="1"/>
  <c r="K251" i="1"/>
  <c r="K247" i="1"/>
  <c r="K270" i="1"/>
  <c r="K274" i="1"/>
  <c r="K290" i="1"/>
  <c r="K225" i="1"/>
  <c r="K284" i="1"/>
  <c r="K256" i="1"/>
  <c r="K125" i="1"/>
  <c r="K120" i="1"/>
  <c r="K77" i="1"/>
  <c r="K35" i="1"/>
  <c r="K8" i="1"/>
  <c r="K219" i="1"/>
  <c r="K69" i="1"/>
  <c r="K27" i="1"/>
  <c r="K24" i="1"/>
  <c r="K159" i="1"/>
  <c r="K137" i="1"/>
  <c r="H328" i="1"/>
  <c r="M328" i="1" s="1"/>
  <c r="H326" i="1"/>
  <c r="M326" i="1" s="1"/>
  <c r="H324" i="1"/>
  <c r="M324" i="1" s="1"/>
  <c r="H322" i="1"/>
  <c r="M322" i="1" s="1"/>
  <c r="H320" i="1"/>
  <c r="M320" i="1" s="1"/>
  <c r="H318" i="1"/>
  <c r="M318" i="1" s="1"/>
  <c r="H316" i="1"/>
  <c r="M316" i="1" s="1"/>
  <c r="H314" i="1"/>
  <c r="M314" i="1" s="1"/>
  <c r="H312" i="1"/>
  <c r="M312" i="1" s="1"/>
  <c r="H310" i="1"/>
  <c r="M310" i="1" s="1"/>
  <c r="H308" i="1"/>
  <c r="M308" i="1" s="1"/>
  <c r="H306" i="1"/>
  <c r="M306" i="1" s="1"/>
  <c r="H304" i="1"/>
  <c r="M304" i="1" s="1"/>
  <c r="G329" i="1"/>
  <c r="K38" i="1"/>
  <c r="K54" i="1"/>
  <c r="K102" i="1"/>
  <c r="K118" i="1"/>
  <c r="K134" i="1"/>
  <c r="K150" i="1"/>
  <c r="K166" i="1"/>
  <c r="K246" i="1"/>
  <c r="K262" i="1"/>
  <c r="K227" i="1"/>
  <c r="K71" i="1"/>
  <c r="K252" i="1"/>
  <c r="K7" i="1"/>
  <c r="K48" i="1"/>
  <c r="K135" i="1"/>
  <c r="K231" i="1"/>
  <c r="K308" i="1"/>
  <c r="K49" i="1"/>
  <c r="K163" i="1"/>
  <c r="K180" i="1"/>
  <c r="K209" i="1"/>
  <c r="K112" i="1"/>
  <c r="K73" i="1"/>
  <c r="K240" i="1"/>
  <c r="K28" i="1"/>
  <c r="K325" i="1"/>
  <c r="K300" i="1"/>
  <c r="K283" i="1"/>
  <c r="K280" i="1"/>
  <c r="K92" i="1"/>
  <c r="K9" i="1"/>
  <c r="M302" i="1"/>
  <c r="E321" i="4"/>
  <c r="E313" i="4"/>
  <c r="E309" i="4"/>
  <c r="E315" i="4"/>
  <c r="E307" i="4"/>
  <c r="H327" i="1"/>
  <c r="M327" i="1" s="1"/>
  <c r="K327" i="1"/>
  <c r="H325" i="1"/>
  <c r="M325" i="1" s="1"/>
  <c r="H323" i="1"/>
  <c r="M323" i="1" s="1"/>
  <c r="K323" i="1"/>
  <c r="H321" i="1"/>
  <c r="M321" i="1" s="1"/>
  <c r="H319" i="1"/>
  <c r="M319" i="1" s="1"/>
  <c r="H317" i="1"/>
  <c r="M317" i="1" s="1"/>
  <c r="K317" i="1"/>
  <c r="H315" i="1"/>
  <c r="M315" i="1" s="1"/>
  <c r="K315" i="1"/>
  <c r="H313" i="1"/>
  <c r="M313" i="1" s="1"/>
  <c r="H311" i="1"/>
  <c r="M311" i="1" s="1"/>
  <c r="H309" i="1"/>
  <c r="M309" i="1" s="1"/>
  <c r="H307" i="1"/>
  <c r="M307" i="1" s="1"/>
  <c r="K307" i="1"/>
  <c r="H305" i="1"/>
  <c r="M305" i="1" s="1"/>
  <c r="K305" i="1"/>
  <c r="H303" i="1"/>
  <c r="M303" i="1" s="1"/>
  <c r="K303" i="1"/>
  <c r="H301" i="1"/>
  <c r="M301" i="1" s="1"/>
  <c r="K301" i="1"/>
  <c r="H299" i="1"/>
  <c r="M299" i="1" s="1"/>
  <c r="H297" i="1"/>
  <c r="M297" i="1" s="1"/>
  <c r="H295" i="1"/>
  <c r="M295" i="1" s="1"/>
  <c r="K295" i="1"/>
  <c r="H293" i="1"/>
  <c r="M293" i="1" s="1"/>
  <c r="K293" i="1"/>
  <c r="H291" i="1"/>
  <c r="M291" i="1" s="1"/>
  <c r="K291" i="1"/>
  <c r="H289" i="1"/>
  <c r="M289" i="1" s="1"/>
  <c r="H287" i="1"/>
  <c r="M287" i="1" s="1"/>
  <c r="K287" i="1"/>
  <c r="H285" i="1"/>
  <c r="M285" i="1" s="1"/>
  <c r="H283" i="1"/>
  <c r="M283" i="1" s="1"/>
  <c r="E282" i="4"/>
  <c r="H281" i="1"/>
  <c r="M281" i="1" s="1"/>
  <c r="K281" i="1"/>
  <c r="H279" i="1"/>
  <c r="M279" i="1" s="1"/>
  <c r="H277" i="1"/>
  <c r="M277" i="1" s="1"/>
  <c r="H275" i="1"/>
  <c r="M275" i="1" s="1"/>
  <c r="K275" i="1"/>
  <c r="H273" i="1"/>
  <c r="M273" i="1" s="1"/>
  <c r="E272" i="4"/>
  <c r="H271" i="1"/>
  <c r="M271" i="1" s="1"/>
  <c r="H269" i="1"/>
  <c r="M269" i="1" s="1"/>
  <c r="H267" i="1"/>
  <c r="M267" i="1" s="1"/>
  <c r="E266" i="4"/>
  <c r="K267" i="1"/>
  <c r="H265" i="1"/>
  <c r="M265" i="1" s="1"/>
  <c r="E264" i="4"/>
  <c r="H264" i="4" s="1"/>
  <c r="K265" i="1"/>
  <c r="H263" i="1"/>
  <c r="M263" i="1" s="1"/>
  <c r="K263" i="1"/>
  <c r="E262" i="4"/>
  <c r="H261" i="1"/>
  <c r="M261" i="1" s="1"/>
  <c r="K261" i="1"/>
  <c r="H259" i="1"/>
  <c r="M259" i="1" s="1"/>
  <c r="K259" i="1"/>
  <c r="H257" i="1"/>
  <c r="M257" i="1" s="1"/>
  <c r="K257" i="1"/>
  <c r="H255" i="1"/>
  <c r="M255" i="1" s="1"/>
  <c r="K255" i="1"/>
  <c r="H253" i="1"/>
  <c r="M253" i="1" s="1"/>
  <c r="K319" i="1"/>
  <c r="L302" i="1" l="1"/>
  <c r="L233" i="1"/>
  <c r="L221" i="1"/>
  <c r="L116" i="1"/>
  <c r="M330" i="1"/>
  <c r="L45" i="1"/>
  <c r="L127" i="1"/>
  <c r="L13" i="1"/>
  <c r="L97" i="1"/>
  <c r="L105" i="1"/>
  <c r="L212" i="1"/>
  <c r="L55" i="1"/>
  <c r="L237" i="1"/>
  <c r="L33" i="1"/>
  <c r="L115" i="1"/>
  <c r="L191" i="1"/>
  <c r="L11" i="1"/>
  <c r="H329" i="1"/>
  <c r="L19" i="1"/>
  <c r="L83" i="1"/>
  <c r="H176" i="4"/>
  <c r="E318" i="4"/>
  <c r="H318" i="4" s="1"/>
  <c r="E60" i="4"/>
  <c r="H60" i="4" s="1"/>
  <c r="E68" i="4"/>
  <c r="H68" i="4" s="1"/>
  <c r="E108" i="4"/>
  <c r="H108" i="4" s="1"/>
  <c r="E116" i="4"/>
  <c r="H116" i="4" s="1"/>
  <c r="E144" i="4"/>
  <c r="H144" i="4" s="1"/>
  <c r="E152" i="4"/>
  <c r="H152" i="4" s="1"/>
  <c r="E288" i="4"/>
  <c r="H288" i="4" s="1"/>
  <c r="E51" i="4"/>
  <c r="H51" i="4" s="1"/>
  <c r="L21" i="1"/>
  <c r="L53" i="1"/>
  <c r="L85" i="1"/>
  <c r="L121" i="1"/>
  <c r="L129" i="1"/>
  <c r="L153" i="1"/>
  <c r="L161" i="1"/>
  <c r="L173" i="1"/>
  <c r="L185" i="1"/>
  <c r="L197" i="1"/>
  <c r="L217" i="1"/>
  <c r="E164" i="4"/>
  <c r="H164" i="4" s="1"/>
  <c r="E244" i="4"/>
  <c r="H244" i="4" s="1"/>
  <c r="L156" i="1"/>
  <c r="L192" i="1"/>
  <c r="L220" i="1"/>
  <c r="L264" i="1"/>
  <c r="H22" i="4"/>
  <c r="E38" i="4"/>
  <c r="H38" i="4" s="1"/>
  <c r="E162" i="4"/>
  <c r="H162" i="4" s="1"/>
  <c r="E174" i="4"/>
  <c r="H174" i="4" s="1"/>
  <c r="E202" i="4"/>
  <c r="H202" i="4" s="1"/>
  <c r="E214" i="4"/>
  <c r="H214" i="4" s="1"/>
  <c r="H218" i="4"/>
  <c r="H230" i="4"/>
  <c r="L4" i="1"/>
  <c r="E25" i="4"/>
  <c r="H25" i="4" s="1"/>
  <c r="E37" i="4"/>
  <c r="H37" i="4" s="1"/>
  <c r="E97" i="4"/>
  <c r="H97" i="4" s="1"/>
  <c r="E113" i="4"/>
  <c r="H113" i="4" s="1"/>
  <c r="E117" i="4"/>
  <c r="H117" i="4" s="1"/>
  <c r="E125" i="4"/>
  <c r="H125" i="4" s="1"/>
  <c r="E137" i="4"/>
  <c r="H137" i="4" s="1"/>
  <c r="E145" i="4"/>
  <c r="H145" i="4" s="1"/>
  <c r="E149" i="4"/>
  <c r="H149" i="4" s="1"/>
  <c r="E161" i="4"/>
  <c r="H161" i="4" s="1"/>
  <c r="E169" i="4"/>
  <c r="H169" i="4" s="1"/>
  <c r="E173" i="4"/>
  <c r="H173" i="4" s="1"/>
  <c r="E241" i="4"/>
  <c r="H241" i="4" s="1"/>
  <c r="E249" i="4"/>
  <c r="H249" i="4" s="1"/>
  <c r="E261" i="4"/>
  <c r="H261" i="4" s="1"/>
  <c r="H47" i="4"/>
  <c r="E310" i="4"/>
  <c r="H310" i="4" s="1"/>
  <c r="E303" i="4"/>
  <c r="H303" i="4" s="1"/>
  <c r="E280" i="4"/>
  <c r="H280" i="4" s="1"/>
  <c r="L50" i="1"/>
  <c r="E124" i="4"/>
  <c r="H124" i="4" s="1"/>
  <c r="E192" i="4"/>
  <c r="H192" i="4" s="1"/>
  <c r="E228" i="4"/>
  <c r="H228" i="4" s="1"/>
  <c r="E236" i="4"/>
  <c r="H236" i="4" s="1"/>
  <c r="H87" i="4"/>
  <c r="E99" i="4"/>
  <c r="H99" i="4" s="1"/>
  <c r="E53" i="4"/>
  <c r="H53" i="4" s="1"/>
  <c r="E61" i="4"/>
  <c r="H61" i="4" s="1"/>
  <c r="E274" i="4"/>
  <c r="H274" i="4" s="1"/>
  <c r="E120" i="4"/>
  <c r="H120" i="4" s="1"/>
  <c r="E160" i="4"/>
  <c r="H160" i="4" s="1"/>
  <c r="E172" i="4"/>
  <c r="H172" i="4" s="1"/>
  <c r="E294" i="4"/>
  <c r="H294" i="4" s="1"/>
  <c r="L20" i="1"/>
  <c r="L248" i="1"/>
  <c r="L276" i="1"/>
  <c r="E6" i="4"/>
  <c r="H6" i="4" s="1"/>
  <c r="E14" i="4"/>
  <c r="H14" i="4" s="1"/>
  <c r="E26" i="4"/>
  <c r="H26" i="4" s="1"/>
  <c r="E62" i="4"/>
  <c r="H62" i="4" s="1"/>
  <c r="E70" i="4"/>
  <c r="H70" i="4" s="1"/>
  <c r="E98" i="4"/>
  <c r="H98" i="4" s="1"/>
  <c r="H106" i="4"/>
  <c r="E110" i="4"/>
  <c r="H110" i="4" s="1"/>
  <c r="H118" i="4"/>
  <c r="H138" i="4"/>
  <c r="E146" i="4"/>
  <c r="H146" i="4" s="1"/>
  <c r="E190" i="4"/>
  <c r="H190" i="4" s="1"/>
  <c r="H194" i="4"/>
  <c r="E226" i="4"/>
  <c r="H226" i="4" s="1"/>
  <c r="H250" i="4"/>
  <c r="E290" i="4"/>
  <c r="H290" i="4" s="1"/>
  <c r="E9" i="4"/>
  <c r="H9" i="4" s="1"/>
  <c r="E41" i="4"/>
  <c r="H41" i="4" s="1"/>
  <c r="E65" i="4"/>
  <c r="H65" i="4" s="1"/>
  <c r="E129" i="4"/>
  <c r="H129" i="4" s="1"/>
  <c r="E153" i="4"/>
  <c r="H153" i="4" s="1"/>
  <c r="E185" i="4"/>
  <c r="H185" i="4" s="1"/>
  <c r="E197" i="4"/>
  <c r="H197" i="4" s="1"/>
  <c r="E205" i="4"/>
  <c r="H205" i="4" s="1"/>
  <c r="E213" i="4"/>
  <c r="H213" i="4" s="1"/>
  <c r="E221" i="4"/>
  <c r="H221" i="4" s="1"/>
  <c r="E225" i="4"/>
  <c r="H225" i="4" s="1"/>
  <c r="E233" i="4"/>
  <c r="H233" i="4" s="1"/>
  <c r="E269" i="4"/>
  <c r="H269" i="4" s="1"/>
  <c r="E277" i="4"/>
  <c r="H277" i="4" s="1"/>
  <c r="E285" i="4"/>
  <c r="H285" i="4" s="1"/>
  <c r="E289" i="4"/>
  <c r="H289" i="4" s="1"/>
  <c r="L99" i="1"/>
  <c r="L14" i="1"/>
  <c r="L46" i="1"/>
  <c r="L82" i="1"/>
  <c r="L86" i="1"/>
  <c r="L238" i="1"/>
  <c r="L254" i="1"/>
  <c r="E40" i="4"/>
  <c r="H40" i="4" s="1"/>
  <c r="E128" i="4"/>
  <c r="H128" i="4" s="1"/>
  <c r="E156" i="4"/>
  <c r="H156" i="4" s="1"/>
  <c r="E168" i="4"/>
  <c r="H168" i="4" s="1"/>
  <c r="E196" i="4"/>
  <c r="H196" i="4" s="1"/>
  <c r="E216" i="4"/>
  <c r="H216" i="4" s="1"/>
  <c r="H224" i="4"/>
  <c r="E248" i="4"/>
  <c r="H248" i="4" s="1"/>
  <c r="E316" i="4"/>
  <c r="H316" i="4" s="1"/>
  <c r="E258" i="4"/>
  <c r="H258" i="4" s="1"/>
  <c r="E59" i="4"/>
  <c r="H59" i="4" s="1"/>
  <c r="E67" i="4"/>
  <c r="H67" i="4" s="1"/>
  <c r="H95" i="4"/>
  <c r="E111" i="4"/>
  <c r="H111" i="4" s="1"/>
  <c r="E147" i="4"/>
  <c r="H147" i="4" s="1"/>
  <c r="E159" i="4"/>
  <c r="H159" i="4" s="1"/>
  <c r="E239" i="4"/>
  <c r="H239" i="4" s="1"/>
  <c r="E28" i="4"/>
  <c r="H28" i="4" s="1"/>
  <c r="E32" i="4"/>
  <c r="H32" i="4" s="1"/>
  <c r="E48" i="4"/>
  <c r="H48" i="4" s="1"/>
  <c r="E56" i="4"/>
  <c r="H56" i="4" s="1"/>
  <c r="E76" i="4"/>
  <c r="H76" i="4" s="1"/>
  <c r="E84" i="4"/>
  <c r="H84" i="4" s="1"/>
  <c r="E92" i="4"/>
  <c r="H92" i="4" s="1"/>
  <c r="E104" i="4"/>
  <c r="H104" i="4" s="1"/>
  <c r="E132" i="4"/>
  <c r="H132" i="4" s="1"/>
  <c r="H136" i="4"/>
  <c r="H140" i="4"/>
  <c r="H180" i="4"/>
  <c r="H208" i="4"/>
  <c r="E23" i="4"/>
  <c r="H23" i="4" s="1"/>
  <c r="H31" i="4"/>
  <c r="H35" i="4"/>
  <c r="H55" i="4"/>
  <c r="H91" i="4"/>
  <c r="E171" i="4"/>
  <c r="H171" i="4" s="1"/>
  <c r="L36" i="1"/>
  <c r="L76" i="1"/>
  <c r="L104" i="1"/>
  <c r="L124" i="1"/>
  <c r="L172" i="1"/>
  <c r="L216" i="1"/>
  <c r="L260" i="1"/>
  <c r="L292" i="1"/>
  <c r="L81" i="1"/>
  <c r="L149" i="1"/>
  <c r="L157" i="1"/>
  <c r="L193" i="1"/>
  <c r="L213" i="1"/>
  <c r="L42" i="1"/>
  <c r="L122" i="1"/>
  <c r="L182" i="1"/>
  <c r="L218" i="1"/>
  <c r="L294" i="1"/>
  <c r="L75" i="1"/>
  <c r="L87" i="1"/>
  <c r="L103" i="1"/>
  <c r="L139" i="1"/>
  <c r="L155" i="1"/>
  <c r="L179" i="1"/>
  <c r="L207" i="1"/>
  <c r="L239" i="1"/>
  <c r="E43" i="4"/>
  <c r="H43" i="4" s="1"/>
  <c r="E131" i="4"/>
  <c r="H131" i="4" s="1"/>
  <c r="E155" i="4"/>
  <c r="H155" i="4" s="1"/>
  <c r="E207" i="4"/>
  <c r="H207" i="4" s="1"/>
  <c r="E227" i="4"/>
  <c r="H227" i="4" s="1"/>
  <c r="E235" i="4"/>
  <c r="H235" i="4" s="1"/>
  <c r="E271" i="4"/>
  <c r="H271" i="4" s="1"/>
  <c r="E279" i="4"/>
  <c r="H279" i="4" s="1"/>
  <c r="E64" i="4"/>
  <c r="H64" i="4" s="1"/>
  <c r="E112" i="4"/>
  <c r="H112" i="4" s="1"/>
  <c r="E11" i="4"/>
  <c r="H11" i="4" s="1"/>
  <c r="E187" i="4"/>
  <c r="H187" i="4" s="1"/>
  <c r="E199" i="4"/>
  <c r="H199" i="4" s="1"/>
  <c r="E215" i="4"/>
  <c r="H215" i="4" s="1"/>
  <c r="E291" i="4"/>
  <c r="H291" i="4" s="1"/>
  <c r="L113" i="1"/>
  <c r="E301" i="4"/>
  <c r="H301" i="4" s="1"/>
  <c r="L23" i="1"/>
  <c r="H260" i="4"/>
  <c r="H307" i="4"/>
  <c r="L206" i="1"/>
  <c r="H210" i="4"/>
  <c r="E39" i="4"/>
  <c r="H39" i="4" s="1"/>
  <c r="E63" i="4"/>
  <c r="H63" i="4" s="1"/>
  <c r="H71" i="4"/>
  <c r="H75" i="4"/>
  <c r="E107" i="4"/>
  <c r="H107" i="4" s="1"/>
  <c r="E119" i="4"/>
  <c r="H119" i="4" s="1"/>
  <c r="E127" i="4"/>
  <c r="H127" i="4" s="1"/>
  <c r="E139" i="4"/>
  <c r="H139" i="4" s="1"/>
  <c r="E151" i="4"/>
  <c r="H151" i="4" s="1"/>
  <c r="E163" i="4"/>
  <c r="H163" i="4" s="1"/>
  <c r="E175" i="4"/>
  <c r="H175" i="4" s="1"/>
  <c r="E179" i="4"/>
  <c r="H179" i="4" s="1"/>
  <c r="E183" i="4"/>
  <c r="H183" i="4" s="1"/>
  <c r="E211" i="4"/>
  <c r="H211" i="4" s="1"/>
  <c r="E219" i="4"/>
  <c r="H219" i="4" s="1"/>
  <c r="E231" i="4"/>
  <c r="H231" i="4" s="1"/>
  <c r="E243" i="4"/>
  <c r="H243" i="4" s="1"/>
  <c r="E251" i="4"/>
  <c r="H251" i="4" s="1"/>
  <c r="E259" i="4"/>
  <c r="H259" i="4" s="1"/>
  <c r="E263" i="4"/>
  <c r="H263" i="4" s="1"/>
  <c r="E275" i="4"/>
  <c r="H275" i="4" s="1"/>
  <c r="E287" i="4"/>
  <c r="H287" i="4" s="1"/>
  <c r="E295" i="4"/>
  <c r="H295" i="4" s="1"/>
  <c r="L47" i="1"/>
  <c r="L107" i="1"/>
  <c r="L151" i="1"/>
  <c r="L171" i="1"/>
  <c r="L175" i="1"/>
  <c r="L195" i="1"/>
  <c r="L235" i="1"/>
  <c r="H327" i="4"/>
  <c r="E300" i="4"/>
  <c r="H300" i="4" s="1"/>
  <c r="L70" i="1"/>
  <c r="H66" i="4"/>
  <c r="H315" i="4"/>
  <c r="H272" i="4"/>
  <c r="L44" i="1"/>
  <c r="L64" i="1"/>
  <c r="L128" i="1"/>
  <c r="L132" i="1"/>
  <c r="L196" i="1"/>
  <c r="L200" i="1"/>
  <c r="L224" i="1"/>
  <c r="L268" i="1"/>
  <c r="E4" i="4"/>
  <c r="H4" i="4" s="1"/>
  <c r="E12" i="4"/>
  <c r="H12" i="4" s="1"/>
  <c r="E20" i="4"/>
  <c r="H20" i="4" s="1"/>
  <c r="E36" i="4"/>
  <c r="H36" i="4" s="1"/>
  <c r="E52" i="4"/>
  <c r="H52" i="4" s="1"/>
  <c r="E72" i="4"/>
  <c r="H72" i="4" s="1"/>
  <c r="E80" i="4"/>
  <c r="H80" i="4" s="1"/>
  <c r="E88" i="4"/>
  <c r="H88" i="4" s="1"/>
  <c r="H96" i="4"/>
  <c r="H148" i="4"/>
  <c r="H184" i="4"/>
  <c r="H204" i="4"/>
  <c r="H220" i="4"/>
  <c r="H240" i="4"/>
  <c r="E314" i="4"/>
  <c r="H314" i="4" s="1"/>
  <c r="E326" i="4"/>
  <c r="H326" i="4" s="1"/>
  <c r="L5" i="1"/>
  <c r="L6" i="1"/>
  <c r="H284" i="4"/>
  <c r="E69" i="4"/>
  <c r="H69" i="4" s="1"/>
  <c r="E181" i="4"/>
  <c r="H181" i="4" s="1"/>
  <c r="E193" i="4"/>
  <c r="H193" i="4" s="1"/>
  <c r="E217" i="4"/>
  <c r="H217" i="4" s="1"/>
  <c r="E229" i="4"/>
  <c r="H229" i="4" s="1"/>
  <c r="E257" i="4"/>
  <c r="H257" i="4" s="1"/>
  <c r="E273" i="4"/>
  <c r="H273" i="4" s="1"/>
  <c r="E281" i="4"/>
  <c r="H281" i="4" s="1"/>
  <c r="E293" i="4"/>
  <c r="H293" i="4" s="1"/>
  <c r="L52" i="1"/>
  <c r="L68" i="1"/>
  <c r="L152" i="1"/>
  <c r="L204" i="1"/>
  <c r="E135" i="4"/>
  <c r="H135" i="4" s="1"/>
  <c r="E302" i="4"/>
  <c r="H302" i="4" s="1"/>
  <c r="E322" i="4"/>
  <c r="H322" i="4" s="1"/>
  <c r="E21" i="4"/>
  <c r="H21" i="4" s="1"/>
  <c r="E45" i="4"/>
  <c r="H45" i="4" s="1"/>
  <c r="E109" i="4"/>
  <c r="H109" i="4" s="1"/>
  <c r="E157" i="4"/>
  <c r="H157" i="4" s="1"/>
  <c r="E165" i="4"/>
  <c r="H165" i="4" s="1"/>
  <c r="E177" i="4"/>
  <c r="H177" i="4" s="1"/>
  <c r="E245" i="4"/>
  <c r="H245" i="4" s="1"/>
  <c r="L25" i="1"/>
  <c r="L61" i="1"/>
  <c r="L109" i="1"/>
  <c r="L133" i="1"/>
  <c r="L177" i="1"/>
  <c r="L201" i="1"/>
  <c r="L205" i="1"/>
  <c r="E286" i="4"/>
  <c r="H286" i="4" s="1"/>
  <c r="E30" i="4"/>
  <c r="H30" i="4" s="1"/>
  <c r="E5" i="4"/>
  <c r="H5" i="4" s="1"/>
  <c r="E13" i="4"/>
  <c r="H13" i="4" s="1"/>
  <c r="E209" i="4"/>
  <c r="H209" i="4" s="1"/>
  <c r="L29" i="1"/>
  <c r="L89" i="1"/>
  <c r="L271" i="1"/>
  <c r="L22" i="1"/>
  <c r="E10" i="4"/>
  <c r="H10" i="4" s="1"/>
  <c r="E34" i="4"/>
  <c r="H34" i="4" s="1"/>
  <c r="E50" i="4"/>
  <c r="H50" i="4" s="1"/>
  <c r="E58" i="4"/>
  <c r="H58" i="4" s="1"/>
  <c r="H186" i="4"/>
  <c r="H206" i="4"/>
  <c r="E238" i="4"/>
  <c r="H238" i="4" s="1"/>
  <c r="E105" i="4"/>
  <c r="H105" i="4" s="1"/>
  <c r="E201" i="4"/>
  <c r="H201" i="4" s="1"/>
  <c r="L65" i="1"/>
  <c r="H292" i="4"/>
  <c r="H311" i="4"/>
  <c r="L18" i="1"/>
  <c r="L114" i="1"/>
  <c r="E18" i="4"/>
  <c r="H18" i="4" s="1"/>
  <c r="E78" i="4"/>
  <c r="H78" i="4" s="1"/>
  <c r="E86" i="4"/>
  <c r="H86" i="4" s="1"/>
  <c r="E94" i="4"/>
  <c r="H94" i="4" s="1"/>
  <c r="H126" i="4"/>
  <c r="H158" i="4"/>
  <c r="H296" i="4"/>
  <c r="E7" i="4"/>
  <c r="H7" i="4" s="1"/>
  <c r="H15" i="4"/>
  <c r="H79" i="4"/>
  <c r="H83" i="4"/>
  <c r="E115" i="4"/>
  <c r="H115" i="4" s="1"/>
  <c r="E123" i="4"/>
  <c r="H123" i="4" s="1"/>
  <c r="E143" i="4"/>
  <c r="H143" i="4" s="1"/>
  <c r="E167" i="4"/>
  <c r="H167" i="4" s="1"/>
  <c r="E191" i="4"/>
  <c r="H191" i="4" s="1"/>
  <c r="E195" i="4"/>
  <c r="H195" i="4" s="1"/>
  <c r="E203" i="4"/>
  <c r="H203" i="4" s="1"/>
  <c r="E223" i="4"/>
  <c r="H223" i="4" s="1"/>
  <c r="E247" i="4"/>
  <c r="H247" i="4" s="1"/>
  <c r="E255" i="4"/>
  <c r="H255" i="4" s="1"/>
  <c r="E267" i="4"/>
  <c r="H267" i="4" s="1"/>
  <c r="E283" i="4"/>
  <c r="H283" i="4" s="1"/>
  <c r="L43" i="1"/>
  <c r="L67" i="1"/>
  <c r="L95" i="1"/>
  <c r="L111" i="1"/>
  <c r="L131" i="1"/>
  <c r="L183" i="1"/>
  <c r="E308" i="4"/>
  <c r="H308" i="4" s="1"/>
  <c r="E312" i="4"/>
  <c r="H312" i="4" s="1"/>
  <c r="E324" i="4"/>
  <c r="H324" i="4" s="1"/>
  <c r="L56" i="1"/>
  <c r="L88" i="1"/>
  <c r="L96" i="1"/>
  <c r="L140" i="1"/>
  <c r="L236" i="1"/>
  <c r="L288" i="1"/>
  <c r="E8" i="4"/>
  <c r="H8" i="4" s="1"/>
  <c r="E16" i="4"/>
  <c r="H16" i="4" s="1"/>
  <c r="E44" i="4"/>
  <c r="H44" i="4" s="1"/>
  <c r="E100" i="4"/>
  <c r="H100" i="4" s="1"/>
  <c r="H188" i="4"/>
  <c r="H200" i="4"/>
  <c r="H232" i="4"/>
  <c r="L277" i="1"/>
  <c r="L35" i="1"/>
  <c r="E121" i="4"/>
  <c r="H121" i="4" s="1"/>
  <c r="E133" i="4"/>
  <c r="H133" i="4" s="1"/>
  <c r="E141" i="4"/>
  <c r="H141" i="4" s="1"/>
  <c r="E189" i="4"/>
  <c r="H189" i="4" s="1"/>
  <c r="E237" i="4"/>
  <c r="H237" i="4" s="1"/>
  <c r="E253" i="4"/>
  <c r="H253" i="4" s="1"/>
  <c r="E265" i="4"/>
  <c r="H265" i="4" s="1"/>
  <c r="E297" i="4"/>
  <c r="H297" i="4" s="1"/>
  <c r="L117" i="1"/>
  <c r="L245" i="1"/>
  <c r="D328" i="4"/>
  <c r="E320" i="4"/>
  <c r="H320" i="4" s="1"/>
  <c r="L253" i="1"/>
  <c r="H142" i="4"/>
  <c r="L324" i="1"/>
  <c r="L34" i="1"/>
  <c r="L94" i="1"/>
  <c r="L174" i="1"/>
  <c r="L186" i="1"/>
  <c r="L190" i="1"/>
  <c r="E54" i="4"/>
  <c r="H54" i="4" s="1"/>
  <c r="E74" i="4"/>
  <c r="H74" i="4" s="1"/>
  <c r="E82" i="4"/>
  <c r="H82" i="4" s="1"/>
  <c r="E90" i="4"/>
  <c r="H90" i="4" s="1"/>
  <c r="H114" i="4"/>
  <c r="H122" i="4"/>
  <c r="E170" i="4"/>
  <c r="H170" i="4" s="1"/>
  <c r="L203" i="1"/>
  <c r="L243" i="1"/>
  <c r="L312" i="1"/>
  <c r="L320" i="1"/>
  <c r="L328" i="1"/>
  <c r="L12" i="1"/>
  <c r="L32" i="1"/>
  <c r="L100" i="1"/>
  <c r="L136" i="1"/>
  <c r="L160" i="1"/>
  <c r="L164" i="1"/>
  <c r="L119" i="1"/>
  <c r="L10" i="1"/>
  <c r="L215" i="1"/>
  <c r="H17" i="4"/>
  <c r="L310" i="1"/>
  <c r="L318" i="1"/>
  <c r="L181" i="1"/>
  <c r="L249" i="1"/>
  <c r="L30" i="1"/>
  <c r="L62" i="1"/>
  <c r="L78" i="1"/>
  <c r="L98" i="1"/>
  <c r="L142" i="1"/>
  <c r="L202" i="1"/>
  <c r="L214" i="1"/>
  <c r="L222" i="1"/>
  <c r="L286" i="1"/>
  <c r="L326" i="1"/>
  <c r="L273" i="1"/>
  <c r="L297" i="1"/>
  <c r="L322" i="1"/>
  <c r="L31" i="1"/>
  <c r="L143" i="1"/>
  <c r="L211" i="1"/>
  <c r="L223" i="1"/>
  <c r="L66" i="1"/>
  <c r="L110" i="1"/>
  <c r="L126" i="1"/>
  <c r="L158" i="1"/>
  <c r="L40" i="1"/>
  <c r="L228" i="1"/>
  <c r="L296" i="1"/>
  <c r="L39" i="1"/>
  <c r="L285" i="1"/>
  <c r="L306" i="1"/>
  <c r="L282" i="1"/>
  <c r="L230" i="1"/>
  <c r="L314" i="1"/>
  <c r="L145" i="1"/>
  <c r="L63" i="1"/>
  <c r="L91" i="1"/>
  <c r="L159" i="1"/>
  <c r="L167" i="1"/>
  <c r="L219" i="1"/>
  <c r="L278" i="1"/>
  <c r="E299" i="4"/>
  <c r="H299" i="4" s="1"/>
  <c r="H313" i="4"/>
  <c r="L187" i="1"/>
  <c r="L16" i="1"/>
  <c r="L72" i="1"/>
  <c r="L168" i="1"/>
  <c r="L176" i="1"/>
  <c r="L26" i="1"/>
  <c r="L27" i="1"/>
  <c r="L148" i="1"/>
  <c r="L244" i="1"/>
  <c r="L227" i="1"/>
  <c r="L229" i="1"/>
  <c r="L299" i="1"/>
  <c r="L279" i="1"/>
  <c r="L7" i="1"/>
  <c r="L123" i="1"/>
  <c r="L59" i="1"/>
  <c r="L38" i="1"/>
  <c r="L54" i="1"/>
  <c r="L74" i="1"/>
  <c r="L106" i="1"/>
  <c r="L134" i="1"/>
  <c r="L150" i="1"/>
  <c r="L170" i="1"/>
  <c r="L198" i="1"/>
  <c r="L262" i="1"/>
  <c r="L266" i="1"/>
  <c r="L290" i="1"/>
  <c r="L80" i="1"/>
  <c r="L313" i="1"/>
  <c r="L309" i="1"/>
  <c r="L272" i="1"/>
  <c r="L8" i="1"/>
  <c r="L28" i="1"/>
  <c r="L60" i="1"/>
  <c r="L188" i="1"/>
  <c r="L208" i="1"/>
  <c r="L232" i="1"/>
  <c r="H29" i="4"/>
  <c r="H33" i="4"/>
  <c r="H81" i="4"/>
  <c r="L9" i="1"/>
  <c r="L137" i="1"/>
  <c r="L141" i="1"/>
  <c r="L241" i="1"/>
  <c r="L300" i="1"/>
  <c r="L304" i="1"/>
  <c r="L84" i="1"/>
  <c r="L17" i="1"/>
  <c r="L41" i="1"/>
  <c r="L138" i="1"/>
  <c r="L125" i="1"/>
  <c r="L180" i="1"/>
  <c r="H93" i="4"/>
  <c r="L234" i="1"/>
  <c r="L289" i="1"/>
  <c r="H85" i="4"/>
  <c r="L274" i="1"/>
  <c r="L154" i="1"/>
  <c r="L92" i="1"/>
  <c r="L49" i="1"/>
  <c r="L77" i="1"/>
  <c r="L269" i="1"/>
  <c r="L311" i="1"/>
  <c r="L321" i="1"/>
  <c r="L246" i="1"/>
  <c r="L118" i="1"/>
  <c r="H77" i="4"/>
  <c r="L250" i="1"/>
  <c r="L90" i="1"/>
  <c r="L58" i="1"/>
  <c r="L209" i="1"/>
  <c r="L316" i="1"/>
  <c r="L163" i="1"/>
  <c r="L69" i="1"/>
  <c r="L93" i="1"/>
  <c r="L270" i="1"/>
  <c r="H73" i="4"/>
  <c r="L112" i="1"/>
  <c r="L48" i="1"/>
  <c r="L135" i="1"/>
  <c r="L73" i="1"/>
  <c r="H89" i="4"/>
  <c r="L24" i="1"/>
  <c r="H19" i="4"/>
  <c r="H49" i="4"/>
  <c r="H57" i="4"/>
  <c r="H305" i="4"/>
  <c r="L166" i="1"/>
  <c r="L102" i="1"/>
  <c r="L298" i="1"/>
  <c r="L252" i="1"/>
  <c r="L169" i="1"/>
  <c r="L71" i="1"/>
  <c r="H101" i="4"/>
  <c r="L225" i="1"/>
  <c r="L257" i="1"/>
  <c r="L265" i="1"/>
  <c r="L323" i="1"/>
  <c r="L261" i="1"/>
  <c r="L293" i="1"/>
  <c r="L305" i="1"/>
  <c r="L259" i="1"/>
  <c r="L267" i="1"/>
  <c r="L281" i="1"/>
  <c r="L303" i="1"/>
  <c r="L240" i="1"/>
  <c r="L120" i="1"/>
  <c r="L247" i="1"/>
  <c r="L275" i="1"/>
  <c r="L291" i="1"/>
  <c r="L325" i="1"/>
  <c r="L308" i="1"/>
  <c r="L301" i="1"/>
  <c r="L255" i="1"/>
  <c r="L295" i="1"/>
  <c r="L307" i="1"/>
  <c r="L317" i="1"/>
  <c r="L327" i="1"/>
  <c r="H317" i="4"/>
  <c r="L280" i="1"/>
  <c r="L231" i="1"/>
  <c r="L251" i="1"/>
  <c r="L319" i="1"/>
  <c r="L263" i="1"/>
  <c r="L287" i="1"/>
  <c r="L315" i="1"/>
  <c r="L283" i="1"/>
  <c r="L256" i="1"/>
  <c r="L284" i="1"/>
  <c r="H325" i="4"/>
  <c r="K330" i="1"/>
  <c r="H309" i="4"/>
  <c r="H321" i="4"/>
  <c r="H246" i="4"/>
  <c r="H182" i="4"/>
  <c r="H130" i="4"/>
  <c r="H154" i="4"/>
  <c r="H242" i="4"/>
  <c r="H166" i="4"/>
  <c r="H198" i="4"/>
  <c r="H266" i="4"/>
  <c r="H270" i="4"/>
  <c r="H262" i="4"/>
  <c r="H278" i="4"/>
  <c r="H254" i="4"/>
  <c r="H282" i="4"/>
  <c r="H298" i="4"/>
  <c r="H306" i="4"/>
  <c r="C328" i="4"/>
  <c r="M332" i="1" l="1"/>
  <c r="M333" i="1"/>
  <c r="L330" i="1"/>
  <c r="H328" i="4"/>
  <c r="E3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Parker, John </author>
  </authors>
  <commentList>
    <comment ref="J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Change this calc back to SCPP + SPG if the legislature does not do the extra funding again.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Parker, John [LEGIS]</author>
    <author>Parker, John [IDOM]</author>
  </authors>
  <commentList>
    <comment ref="B21" authorId="0" shapeId="0" xr:uid="{00000000-0006-0000-0500-000001000000}">
      <text>
        <r>
          <rPr>
            <sz val="9"/>
            <color indexed="81"/>
            <rFont val="Tahoma"/>
            <family val="2"/>
          </rPr>
          <t>DoM has it at 0.04211
This has been changed.  When performing the calculation the CPP was less so had to adjust so it made sense</t>
        </r>
      </text>
    </comment>
    <comment ref="AL47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Change to 750 if PTRP continues</t>
        </r>
      </text>
    </comment>
  </commentList>
</comments>
</file>

<file path=xl/sharedStrings.xml><?xml version="1.0" encoding="utf-8"?>
<sst xmlns="http://schemas.openxmlformats.org/spreadsheetml/2006/main" count="5986" uniqueCount="1280">
  <si>
    <t>BCLUW</t>
  </si>
  <si>
    <t>CAL</t>
  </si>
  <si>
    <t>GMG</t>
  </si>
  <si>
    <t>PCM</t>
  </si>
  <si>
    <t>Enrollment</t>
  </si>
  <si>
    <t>Meals</t>
  </si>
  <si>
    <t>Free &amp; Red.</t>
  </si>
  <si>
    <t>Suppl Wght</t>
  </si>
  <si>
    <t>DCPP</t>
  </si>
  <si>
    <t xml:space="preserve">Dollars </t>
  </si>
  <si>
    <t>Generated</t>
  </si>
  <si>
    <t>Dollars</t>
  </si>
  <si>
    <t>Total</t>
  </si>
  <si>
    <t>NOTES:</t>
  </si>
  <si>
    <t>3) Supplementary Weighting Subtotal - Free &amp; reduced meals weighting plus enrollment weighting.</t>
  </si>
  <si>
    <t>AGWSR</t>
  </si>
  <si>
    <t>Percent 1-6</t>
  </si>
  <si>
    <t>Line 3.10</t>
  </si>
  <si>
    <t>5) Dollars Generated total - total supplementary weighting multiplied by district cost per pupil.</t>
  </si>
  <si>
    <t xml:space="preserve">4) District Cost Per Pupil </t>
  </si>
  <si>
    <t>CAM</t>
  </si>
  <si>
    <t>HLV</t>
  </si>
  <si>
    <t>At-Risk Weighting</t>
  </si>
  <si>
    <t xml:space="preserve">Total </t>
  </si>
  <si>
    <t>AHSTW</t>
  </si>
  <si>
    <t>Woodward-Granger</t>
  </si>
  <si>
    <t>Woodbury Central</t>
  </si>
  <si>
    <t>Woodbine</t>
  </si>
  <si>
    <t>Winterset</t>
  </si>
  <si>
    <t>Winfield-Mt Union</t>
  </si>
  <si>
    <t>Wilton</t>
  </si>
  <si>
    <t>Williamsburg</t>
  </si>
  <si>
    <t>Whiting</t>
  </si>
  <si>
    <t>Westwood</t>
  </si>
  <si>
    <t>West Sioux</t>
  </si>
  <si>
    <t>West Monona</t>
  </si>
  <si>
    <t>West Marshall</t>
  </si>
  <si>
    <t>West Lyon</t>
  </si>
  <si>
    <t>West Liberty</t>
  </si>
  <si>
    <t>West Harrison</t>
  </si>
  <si>
    <t>West Des Moines</t>
  </si>
  <si>
    <t>West Central</t>
  </si>
  <si>
    <t>West Branch</t>
  </si>
  <si>
    <t>West Bend-Mallard</t>
  </si>
  <si>
    <t>Webster City</t>
  </si>
  <si>
    <t>Wayne</t>
  </si>
  <si>
    <t>Waverly-Shell Rock</t>
  </si>
  <si>
    <t>Waukee</t>
  </si>
  <si>
    <t>Waterloo</t>
  </si>
  <si>
    <t>Washington</t>
  </si>
  <si>
    <t>Wapsie Valley</t>
  </si>
  <si>
    <t>Wapello</t>
  </si>
  <si>
    <t>East Sac County</t>
  </si>
  <si>
    <t>Waco</t>
  </si>
  <si>
    <t>Vinton-Shellsburg</t>
  </si>
  <si>
    <t>Villisca</t>
  </si>
  <si>
    <t>Van Meter</t>
  </si>
  <si>
    <t>Urbandale</t>
  </si>
  <si>
    <t>United</t>
  </si>
  <si>
    <t>Union</t>
  </si>
  <si>
    <t>Underwood</t>
  </si>
  <si>
    <t>Twin Rivers</t>
  </si>
  <si>
    <t>Twin Cedars</t>
  </si>
  <si>
    <t>Turkey Valley</t>
  </si>
  <si>
    <t>Tripoli</t>
  </si>
  <si>
    <t>Tri-County</t>
  </si>
  <si>
    <t>Tri-Center</t>
  </si>
  <si>
    <t>Treynor</t>
  </si>
  <si>
    <t>Tipton</t>
  </si>
  <si>
    <t>Sumner-Fredericksburg</t>
  </si>
  <si>
    <t>West Central Valley</t>
  </si>
  <si>
    <t>Stratford</t>
  </si>
  <si>
    <t>Storm Lake</t>
  </si>
  <si>
    <t>Starmont</t>
  </si>
  <si>
    <t>Stanton</t>
  </si>
  <si>
    <t>Springville</t>
  </si>
  <si>
    <t>Spirit Lake</t>
  </si>
  <si>
    <t>Spencer</t>
  </si>
  <si>
    <t>Southeast Polk</t>
  </si>
  <si>
    <t>South Winneshiek</t>
  </si>
  <si>
    <t>South O'Brien</t>
  </si>
  <si>
    <t>South Tama County</t>
  </si>
  <si>
    <t>South Page</t>
  </si>
  <si>
    <t>South Hamilton</t>
  </si>
  <si>
    <t>Southeast Warren</t>
  </si>
  <si>
    <t>Solon</t>
  </si>
  <si>
    <t>South Central Calhoun</t>
  </si>
  <si>
    <t>Sioux City</t>
  </si>
  <si>
    <t>Sioux Central</t>
  </si>
  <si>
    <t>Sioux Center</t>
  </si>
  <si>
    <t>Sigourney</t>
  </si>
  <si>
    <t>Sidney</t>
  </si>
  <si>
    <t>Sibley-Ocheyedan</t>
  </si>
  <si>
    <t>Shenandoah</t>
  </si>
  <si>
    <t>Sheldon</t>
  </si>
  <si>
    <t>Seymour</t>
  </si>
  <si>
    <t>Sergeant Bluff-Luton</t>
  </si>
  <si>
    <t>Schleswig</t>
  </si>
  <si>
    <t>Schaller-Crestland</t>
  </si>
  <si>
    <t>Saydel</t>
  </si>
  <si>
    <t>St Ansgar</t>
  </si>
  <si>
    <t>Ruthven-Ayrshire</t>
  </si>
  <si>
    <t>Roland-Story</t>
  </si>
  <si>
    <t>Rock Valley</t>
  </si>
  <si>
    <t>Riverside</t>
  </si>
  <si>
    <t>Riceville</t>
  </si>
  <si>
    <t>Remsen-Union</t>
  </si>
  <si>
    <t>Red Oak</t>
  </si>
  <si>
    <t>Postville</t>
  </si>
  <si>
    <t>Pocahontas Area</t>
  </si>
  <si>
    <t>Pleasantville</t>
  </si>
  <si>
    <t>Pleasant Valley</t>
  </si>
  <si>
    <t>Perry</t>
  </si>
  <si>
    <t>Pella</t>
  </si>
  <si>
    <t>Pekin</t>
  </si>
  <si>
    <t>Paton-Churdan</t>
  </si>
  <si>
    <t>Panorama</t>
  </si>
  <si>
    <t>Ottumwa</t>
  </si>
  <si>
    <t>Oskaloosa</t>
  </si>
  <si>
    <t>Osage</t>
  </si>
  <si>
    <t>Orient-Macksburg</t>
  </si>
  <si>
    <t>Okoboji</t>
  </si>
  <si>
    <t>Ogden</t>
  </si>
  <si>
    <t>Oelwein</t>
  </si>
  <si>
    <t>Norwalk</t>
  </si>
  <si>
    <t>Northwood-Kensett</t>
  </si>
  <si>
    <t>North Scott</t>
  </si>
  <si>
    <t>North Polk</t>
  </si>
  <si>
    <t>North Kossuth</t>
  </si>
  <si>
    <t>North Linn</t>
  </si>
  <si>
    <t>North Mahaska</t>
  </si>
  <si>
    <t>Northeast</t>
  </si>
  <si>
    <t>Central Springs</t>
  </si>
  <si>
    <t>Newton</t>
  </si>
  <si>
    <t>New London</t>
  </si>
  <si>
    <t>New Hampton</t>
  </si>
  <si>
    <t>Newell-Fonda</t>
  </si>
  <si>
    <t>Nevada</t>
  </si>
  <si>
    <t>Nashua-Plainfield</t>
  </si>
  <si>
    <t>Muscatine</t>
  </si>
  <si>
    <t>Murray</t>
  </si>
  <si>
    <t>Mount Vernon</t>
  </si>
  <si>
    <t>Mount Pleasant</t>
  </si>
  <si>
    <t>Mount Ayr</t>
  </si>
  <si>
    <t>Moulton-Udell</t>
  </si>
  <si>
    <t>Morning Sun</t>
  </si>
  <si>
    <t>Mormon Trail</t>
  </si>
  <si>
    <t>Moravia</t>
  </si>
  <si>
    <t>Monticello</t>
  </si>
  <si>
    <t>Montezuma</t>
  </si>
  <si>
    <t>Missouri Valley</t>
  </si>
  <si>
    <t>Mid-Prairie</t>
  </si>
  <si>
    <t>Midland</t>
  </si>
  <si>
    <t>Melcher-Dallas</t>
  </si>
  <si>
    <t>Mediapolis</t>
  </si>
  <si>
    <t>Mason City</t>
  </si>
  <si>
    <t>Martensdale-St Marys</t>
  </si>
  <si>
    <t>Marshalltown</t>
  </si>
  <si>
    <t>Maquoketa Valley</t>
  </si>
  <si>
    <t>Maquoketa</t>
  </si>
  <si>
    <t>Maple Valley-Anthon Oto</t>
  </si>
  <si>
    <t>East Mills</t>
  </si>
  <si>
    <t>Madrid</t>
  </si>
  <si>
    <t>Lynnville-Sully</t>
  </si>
  <si>
    <t>Louisa-Muscatine</t>
  </si>
  <si>
    <t>Lone Tree</t>
  </si>
  <si>
    <t>Logan-Magnolia</t>
  </si>
  <si>
    <t>Lisbon</t>
  </si>
  <si>
    <t>Linn-Mar</t>
  </si>
  <si>
    <t>North Cedar</t>
  </si>
  <si>
    <t>Lewis Central</t>
  </si>
  <si>
    <t>Lenox</t>
  </si>
  <si>
    <t>Le Mars</t>
  </si>
  <si>
    <t>Lawton-Bronson</t>
  </si>
  <si>
    <t>Laurens-Marathon</t>
  </si>
  <si>
    <t>Lamoni</t>
  </si>
  <si>
    <t>Lake Mills</t>
  </si>
  <si>
    <t>Knoxville</t>
  </si>
  <si>
    <t>Kingsley-Pierson</t>
  </si>
  <si>
    <t>Keota</t>
  </si>
  <si>
    <t>Keokuk</t>
  </si>
  <si>
    <t>Johnston</t>
  </si>
  <si>
    <t>Jesup</t>
  </si>
  <si>
    <t>Greene County</t>
  </si>
  <si>
    <t>IKM-Manning</t>
  </si>
  <si>
    <t>Iowa Valley</t>
  </si>
  <si>
    <t>Iowa Falls</t>
  </si>
  <si>
    <t>Iowa City</t>
  </si>
  <si>
    <t>Interstate 35</t>
  </si>
  <si>
    <t>Indianola</t>
  </si>
  <si>
    <t>Independence</t>
  </si>
  <si>
    <t>Humboldt</t>
  </si>
  <si>
    <t>Hudson</t>
  </si>
  <si>
    <t>Hubbard-Radcliffe</t>
  </si>
  <si>
    <t>Howard-Winneshiek</t>
  </si>
  <si>
    <t>Hinton</t>
  </si>
  <si>
    <t>Highland</t>
  </si>
  <si>
    <t>Hartley-Melvin-Sanborn</t>
  </si>
  <si>
    <t>Harris-Lake Park</t>
  </si>
  <si>
    <t>Harlan</t>
  </si>
  <si>
    <t>Hampton-Dumont</t>
  </si>
  <si>
    <t>Hamburg</t>
  </si>
  <si>
    <t>Clayton Ridge</t>
  </si>
  <si>
    <t>Guthrie Center</t>
  </si>
  <si>
    <t>Grundy Center</t>
  </si>
  <si>
    <t>Griswold</t>
  </si>
  <si>
    <t>Grinnell-Newburg</t>
  </si>
  <si>
    <t>Nodaway Valley</t>
  </si>
  <si>
    <t>Graettinger-Terril</t>
  </si>
  <si>
    <t>Glidden-Ralston</t>
  </si>
  <si>
    <t>Glenwood</t>
  </si>
  <si>
    <t>Gladbrook-Reinbeck</t>
  </si>
  <si>
    <t>Gilmore City-Bradgate</t>
  </si>
  <si>
    <t>Gilbert</t>
  </si>
  <si>
    <t>George-Little Rock</t>
  </si>
  <si>
    <t>Garner-Hayfield-Ventura</t>
  </si>
  <si>
    <t>Galva-Holstein</t>
  </si>
  <si>
    <t>Fremont-Mills</t>
  </si>
  <si>
    <t>Fort Madison</t>
  </si>
  <si>
    <t>Fort Dodge</t>
  </si>
  <si>
    <t>Forest City</t>
  </si>
  <si>
    <t>Fairfield</t>
  </si>
  <si>
    <t>Essex</t>
  </si>
  <si>
    <t>English Valleys</t>
  </si>
  <si>
    <t>Emmetsburg</t>
  </si>
  <si>
    <t>Eldora-New Providence</t>
  </si>
  <si>
    <t>Edgewood-Colesburg</t>
  </si>
  <si>
    <t>River Valley</t>
  </si>
  <si>
    <t>Eastern Allamakee</t>
  </si>
  <si>
    <t>East Union</t>
  </si>
  <si>
    <t>East Marshall</t>
  </si>
  <si>
    <t>Easton Valley</t>
  </si>
  <si>
    <t>East Buchanan</t>
  </si>
  <si>
    <t>Earlham</t>
  </si>
  <si>
    <t>Eagle Grove</t>
  </si>
  <si>
    <t>Durant</t>
  </si>
  <si>
    <t>Boyer Valley</t>
  </si>
  <si>
    <t>Dunkerton</t>
  </si>
  <si>
    <t>Dubuque</t>
  </si>
  <si>
    <t>Dike-New Hartford</t>
  </si>
  <si>
    <t>Diagonal</t>
  </si>
  <si>
    <t>Denver</t>
  </si>
  <si>
    <t>Denison</t>
  </si>
  <si>
    <t>Delwood</t>
  </si>
  <si>
    <t>Davis County</t>
  </si>
  <si>
    <t>Davenport</t>
  </si>
  <si>
    <t>Danville</t>
  </si>
  <si>
    <t>Dallas Center-Grimes</t>
  </si>
  <si>
    <t>Creston</t>
  </si>
  <si>
    <t>Council Bluffs</t>
  </si>
  <si>
    <t>Corning</t>
  </si>
  <si>
    <t>Coon Rapids-Bayard</t>
  </si>
  <si>
    <t>Columbus</t>
  </si>
  <si>
    <t>Collins-Maxwell</t>
  </si>
  <si>
    <t>Colfax-Mingo</t>
  </si>
  <si>
    <t>Clinton</t>
  </si>
  <si>
    <t>Clear Lake</t>
  </si>
  <si>
    <t>Clay Central-Everly</t>
  </si>
  <si>
    <t>Clarksville</t>
  </si>
  <si>
    <t>Clarke</t>
  </si>
  <si>
    <t>Clarion-Goldfield-Dows</t>
  </si>
  <si>
    <t>Clarinda</t>
  </si>
  <si>
    <t>Cherokee</t>
  </si>
  <si>
    <t>Charter Oak-Ute</t>
  </si>
  <si>
    <t>Charles City</t>
  </si>
  <si>
    <t>Chariton</t>
  </si>
  <si>
    <t>Central Lyon</t>
  </si>
  <si>
    <t>Central Decatur</t>
  </si>
  <si>
    <t>Central City</t>
  </si>
  <si>
    <t>Central Lee</t>
  </si>
  <si>
    <t>Centerville</t>
  </si>
  <si>
    <t>Center Point-Urbana</t>
  </si>
  <si>
    <t>Cedar Rapids</t>
  </si>
  <si>
    <t>Cedar Falls</t>
  </si>
  <si>
    <t>Carroll</t>
  </si>
  <si>
    <t>Carlisle</t>
  </si>
  <si>
    <t>Cardinal</t>
  </si>
  <si>
    <t>Camanche</t>
  </si>
  <si>
    <t>Calamus-Wheatland</t>
  </si>
  <si>
    <t>Burlington</t>
  </si>
  <si>
    <t>North Iowa</t>
  </si>
  <si>
    <t>Brooklyn-Guernsey-Malcom</t>
  </si>
  <si>
    <t>West Hancock</t>
  </si>
  <si>
    <t>Boyden-Hull</t>
  </si>
  <si>
    <t>Boone</t>
  </si>
  <si>
    <t>Bondurant-Farrar</t>
  </si>
  <si>
    <t>Bettendorf</t>
  </si>
  <si>
    <t>Benton</t>
  </si>
  <si>
    <t>Bennett</t>
  </si>
  <si>
    <t>Belmond-Klemme</t>
  </si>
  <si>
    <t>Bellevue</t>
  </si>
  <si>
    <t>Belle Plaine</t>
  </si>
  <si>
    <t>Bedford</t>
  </si>
  <si>
    <t>Baxter</t>
  </si>
  <si>
    <t>Ballard</t>
  </si>
  <si>
    <t>Audubon</t>
  </si>
  <si>
    <t>Atlantic</t>
  </si>
  <si>
    <t>Ar-We-Va</t>
  </si>
  <si>
    <t>North Union</t>
  </si>
  <si>
    <t>Aplington-Parkersburg</t>
  </si>
  <si>
    <t>Ankeny</t>
  </si>
  <si>
    <t>Andrew</t>
  </si>
  <si>
    <t>Anamosa</t>
  </si>
  <si>
    <t>Ames</t>
  </si>
  <si>
    <t>North Butler</t>
  </si>
  <si>
    <t>Allamakee</t>
  </si>
  <si>
    <t>Algona</t>
  </si>
  <si>
    <t>Alden</t>
  </si>
  <si>
    <t>Alburnett</t>
  </si>
  <si>
    <t>Albia</t>
  </si>
  <si>
    <t>Albert City-Truesdale</t>
  </si>
  <si>
    <t>Adair-Casey</t>
  </si>
  <si>
    <t>Dist</t>
  </si>
  <si>
    <t>DistrictNumber</t>
  </si>
  <si>
    <t>0009</t>
  </si>
  <si>
    <t>0018</t>
  </si>
  <si>
    <t>0027</t>
  </si>
  <si>
    <t>0063</t>
  </si>
  <si>
    <t>0072</t>
  </si>
  <si>
    <t>0081</t>
  </si>
  <si>
    <t>0099</t>
  </si>
  <si>
    <t>0108</t>
  </si>
  <si>
    <t>0126</t>
  </si>
  <si>
    <t>0135</t>
  </si>
  <si>
    <t>0153</t>
  </si>
  <si>
    <t>0171</t>
  </si>
  <si>
    <t>0225</t>
  </si>
  <si>
    <t>0234</t>
  </si>
  <si>
    <t>0243</t>
  </si>
  <si>
    <t>0261</t>
  </si>
  <si>
    <t>0279</t>
  </si>
  <si>
    <t>0333</t>
  </si>
  <si>
    <t>0355</t>
  </si>
  <si>
    <t>0387</t>
  </si>
  <si>
    <t>0414</t>
  </si>
  <si>
    <t>0441</t>
  </si>
  <si>
    <t>0472</t>
  </si>
  <si>
    <t>0513</t>
  </si>
  <si>
    <t>0540</t>
  </si>
  <si>
    <t>0549</t>
  </si>
  <si>
    <t>0576</t>
  </si>
  <si>
    <t>0585</t>
  </si>
  <si>
    <t>0594</t>
  </si>
  <si>
    <t>0603</t>
  </si>
  <si>
    <t>0609</t>
  </si>
  <si>
    <t>0621</t>
  </si>
  <si>
    <t>0657</t>
  </si>
  <si>
    <t>0720</t>
  </si>
  <si>
    <t>0729</t>
  </si>
  <si>
    <t>0747</t>
  </si>
  <si>
    <t>0819</t>
  </si>
  <si>
    <t>0846</t>
  </si>
  <si>
    <t>0873</t>
  </si>
  <si>
    <t>0882</t>
  </si>
  <si>
    <t>0914</t>
  </si>
  <si>
    <t>0916</t>
  </si>
  <si>
    <t>0918</t>
  </si>
  <si>
    <t>0936</t>
  </si>
  <si>
    <t>0977</t>
  </si>
  <si>
    <t>0981</t>
  </si>
  <si>
    <t>0999</t>
  </si>
  <si>
    <t>1044</t>
  </si>
  <si>
    <t>1053</t>
  </si>
  <si>
    <t>1062</t>
  </si>
  <si>
    <t>1071</t>
  </si>
  <si>
    <t>1079</t>
  </si>
  <si>
    <t>1080</t>
  </si>
  <si>
    <t>1082</t>
  </si>
  <si>
    <t>1089</t>
  </si>
  <si>
    <t>1093</t>
  </si>
  <si>
    <t>1095</t>
  </si>
  <si>
    <t>1107</t>
  </si>
  <si>
    <t>1116</t>
  </si>
  <si>
    <t>1134</t>
  </si>
  <si>
    <t>1152</t>
  </si>
  <si>
    <t>1197</t>
  </si>
  <si>
    <t>1206</t>
  </si>
  <si>
    <t>1211</t>
  </si>
  <si>
    <t>1215</t>
  </si>
  <si>
    <t>1218</t>
  </si>
  <si>
    <t>1221</t>
  </si>
  <si>
    <t>1233</t>
  </si>
  <si>
    <t>1278</t>
  </si>
  <si>
    <t>1332</t>
  </si>
  <si>
    <t>1337</t>
  </si>
  <si>
    <t>1350</t>
  </si>
  <si>
    <t>1359</t>
  </si>
  <si>
    <t>1368</t>
  </si>
  <si>
    <t>1413</t>
  </si>
  <si>
    <t>1431</t>
  </si>
  <si>
    <t>1476</t>
  </si>
  <si>
    <t>1503</t>
  </si>
  <si>
    <t>1576</t>
  </si>
  <si>
    <t>1602</t>
  </si>
  <si>
    <t>1611</t>
  </si>
  <si>
    <t>1619</t>
  </si>
  <si>
    <t>1638</t>
  </si>
  <si>
    <t>1675</t>
  </si>
  <si>
    <t>1701</t>
  </si>
  <si>
    <t>1719</t>
  </si>
  <si>
    <t>1737</t>
  </si>
  <si>
    <t>1782</t>
  </si>
  <si>
    <t>1791</t>
  </si>
  <si>
    <t>1863</t>
  </si>
  <si>
    <t>1908</t>
  </si>
  <si>
    <t>1917</t>
  </si>
  <si>
    <t>1926</t>
  </si>
  <si>
    <t>1935</t>
  </si>
  <si>
    <t>1944</t>
  </si>
  <si>
    <t>1953</t>
  </si>
  <si>
    <t>1963</t>
  </si>
  <si>
    <t>1965</t>
  </si>
  <si>
    <t>1970</t>
  </si>
  <si>
    <t>1972</t>
  </si>
  <si>
    <t>1975</t>
  </si>
  <si>
    <t>1989</t>
  </si>
  <si>
    <t>2007</t>
  </si>
  <si>
    <t>2088</t>
  </si>
  <si>
    <t>2097</t>
  </si>
  <si>
    <t>2113</t>
  </si>
  <si>
    <t>2124</t>
  </si>
  <si>
    <t>2151</t>
  </si>
  <si>
    <t>2169</t>
  </si>
  <si>
    <t>2295</t>
  </si>
  <si>
    <t>2313</t>
  </si>
  <si>
    <t>2322</t>
  </si>
  <si>
    <t>2369</t>
  </si>
  <si>
    <t>2376</t>
  </si>
  <si>
    <t>2403</t>
  </si>
  <si>
    <t>2457</t>
  </si>
  <si>
    <t>2466</t>
  </si>
  <si>
    <t>2493</t>
  </si>
  <si>
    <t>2502</t>
  </si>
  <si>
    <t>2511</t>
  </si>
  <si>
    <t>2520</t>
  </si>
  <si>
    <t>2556</t>
  </si>
  <si>
    <t>2673</t>
  </si>
  <si>
    <t>2682</t>
  </si>
  <si>
    <t>2709</t>
  </si>
  <si>
    <t>2718</t>
  </si>
  <si>
    <t>2727</t>
  </si>
  <si>
    <t>2754</t>
  </si>
  <si>
    <t>2763</t>
  </si>
  <si>
    <t>2766</t>
  </si>
  <si>
    <t>2772</t>
  </si>
  <si>
    <t>2781</t>
  </si>
  <si>
    <t>2826</t>
  </si>
  <si>
    <t>2846</t>
  </si>
  <si>
    <t>2862</t>
  </si>
  <si>
    <t>2977</t>
  </si>
  <si>
    <t>2988</t>
  </si>
  <si>
    <t>3029</t>
  </si>
  <si>
    <t>3033</t>
  </si>
  <si>
    <t>3042</t>
  </si>
  <si>
    <t>3060</t>
  </si>
  <si>
    <t>3105</t>
  </si>
  <si>
    <t>3114</t>
  </si>
  <si>
    <t>3119</t>
  </si>
  <si>
    <t>3141</t>
  </si>
  <si>
    <t>3150</t>
  </si>
  <si>
    <t>3154</t>
  </si>
  <si>
    <t>3168</t>
  </si>
  <si>
    <t>3186</t>
  </si>
  <si>
    <t>3195</t>
  </si>
  <si>
    <t>3204</t>
  </si>
  <si>
    <t>3231</t>
  </si>
  <si>
    <t>3312</t>
  </si>
  <si>
    <t>3330</t>
  </si>
  <si>
    <t>3348</t>
  </si>
  <si>
    <t>3375</t>
  </si>
  <si>
    <t>3420</t>
  </si>
  <si>
    <t>3465</t>
  </si>
  <si>
    <t>3537</t>
  </si>
  <si>
    <t>3555</t>
  </si>
  <si>
    <t>3582</t>
  </si>
  <si>
    <t>3600</t>
  </si>
  <si>
    <t>3609</t>
  </si>
  <si>
    <t>3645</t>
  </si>
  <si>
    <t>3691</t>
  </si>
  <si>
    <t>3715</t>
  </si>
  <si>
    <t>3744</t>
  </si>
  <si>
    <t>3798</t>
  </si>
  <si>
    <t>3816</t>
  </si>
  <si>
    <t>3841</t>
  </si>
  <si>
    <t>3897</t>
  </si>
  <si>
    <t>3906</t>
  </si>
  <si>
    <t>3942</t>
  </si>
  <si>
    <t>3978</t>
  </si>
  <si>
    <t>4023</t>
  </si>
  <si>
    <t>4033</t>
  </si>
  <si>
    <t>4041</t>
  </si>
  <si>
    <t>4043</t>
  </si>
  <si>
    <t>4068</t>
  </si>
  <si>
    <t>4086</t>
  </si>
  <si>
    <t>4104</t>
  </si>
  <si>
    <t>4122</t>
  </si>
  <si>
    <t>4131</t>
  </si>
  <si>
    <t>4149</t>
  </si>
  <si>
    <t>4203</t>
  </si>
  <si>
    <t>4212</t>
  </si>
  <si>
    <t>4269</t>
  </si>
  <si>
    <t>4271</t>
  </si>
  <si>
    <t>4356</t>
  </si>
  <si>
    <t>4419</t>
  </si>
  <si>
    <t>4437</t>
  </si>
  <si>
    <t>4446</t>
  </si>
  <si>
    <t>4491</t>
  </si>
  <si>
    <t>4505</t>
  </si>
  <si>
    <t>4509</t>
  </si>
  <si>
    <t>4518</t>
  </si>
  <si>
    <t>4527</t>
  </si>
  <si>
    <t>4536</t>
  </si>
  <si>
    <t>4554</t>
  </si>
  <si>
    <t>4572</t>
  </si>
  <si>
    <t>4581</t>
  </si>
  <si>
    <t>4599</t>
  </si>
  <si>
    <t>4617</t>
  </si>
  <si>
    <t>4644</t>
  </si>
  <si>
    <t>4662</t>
  </si>
  <si>
    <t>4689</t>
  </si>
  <si>
    <t>4725</t>
  </si>
  <si>
    <t>4772</t>
  </si>
  <si>
    <t>4773</t>
  </si>
  <si>
    <t>4774</t>
  </si>
  <si>
    <t>4775</t>
  </si>
  <si>
    <t>4776</t>
  </si>
  <si>
    <t>4777</t>
  </si>
  <si>
    <t>4778</t>
  </si>
  <si>
    <t>4779</t>
  </si>
  <si>
    <t>4784</t>
  </si>
  <si>
    <t>4785</t>
  </si>
  <si>
    <t>4788</t>
  </si>
  <si>
    <t>4797</t>
  </si>
  <si>
    <t>4824</t>
  </si>
  <si>
    <t>4860</t>
  </si>
  <si>
    <t>4869</t>
  </si>
  <si>
    <t>4878</t>
  </si>
  <si>
    <t>4890</t>
  </si>
  <si>
    <t>4905</t>
  </si>
  <si>
    <t>4978</t>
  </si>
  <si>
    <t>4995</t>
  </si>
  <si>
    <t>5013</t>
  </si>
  <si>
    <t>5049</t>
  </si>
  <si>
    <t>5121</t>
  </si>
  <si>
    <t>5139</t>
  </si>
  <si>
    <t>5157</t>
  </si>
  <si>
    <t>5163</t>
  </si>
  <si>
    <t>5166</t>
  </si>
  <si>
    <t>5184</t>
  </si>
  <si>
    <t>5250</t>
  </si>
  <si>
    <t>5256</t>
  </si>
  <si>
    <t>5283</t>
  </si>
  <si>
    <t>5310</t>
  </si>
  <si>
    <t>5319</t>
  </si>
  <si>
    <t>5323</t>
  </si>
  <si>
    <t>5463</t>
  </si>
  <si>
    <t>5486</t>
  </si>
  <si>
    <t>5508</t>
  </si>
  <si>
    <t>5607</t>
  </si>
  <si>
    <t>5643</t>
  </si>
  <si>
    <t>5697</t>
  </si>
  <si>
    <t>5724</t>
  </si>
  <si>
    <t>5751</t>
  </si>
  <si>
    <t>5805</t>
  </si>
  <si>
    <t>5823</t>
  </si>
  <si>
    <t>5832</t>
  </si>
  <si>
    <t>5877</t>
  </si>
  <si>
    <t>5895</t>
  </si>
  <si>
    <t>5922</t>
  </si>
  <si>
    <t>5949</t>
  </si>
  <si>
    <t>5976</t>
  </si>
  <si>
    <t>5994</t>
  </si>
  <si>
    <t>6003</t>
  </si>
  <si>
    <t>6012</t>
  </si>
  <si>
    <t>6030</t>
  </si>
  <si>
    <t>6039</t>
  </si>
  <si>
    <t>6048</t>
  </si>
  <si>
    <t>6091</t>
  </si>
  <si>
    <t>6093</t>
  </si>
  <si>
    <t>6094</t>
  </si>
  <si>
    <t>6095</t>
  </si>
  <si>
    <t>6096</t>
  </si>
  <si>
    <t>6097</t>
  </si>
  <si>
    <t>6098</t>
  </si>
  <si>
    <t>6100</t>
  </si>
  <si>
    <t>6101</t>
  </si>
  <si>
    <t>6102</t>
  </si>
  <si>
    <t>6120</t>
  </si>
  <si>
    <t>6138</t>
  </si>
  <si>
    <t>6165</t>
  </si>
  <si>
    <t>6175</t>
  </si>
  <si>
    <t>6219</t>
  </si>
  <si>
    <t>6246</t>
  </si>
  <si>
    <t>6264</t>
  </si>
  <si>
    <t>6273</t>
  </si>
  <si>
    <t>6408</t>
  </si>
  <si>
    <t>6453</t>
  </si>
  <si>
    <t>6460</t>
  </si>
  <si>
    <t>6462</t>
  </si>
  <si>
    <t>6471</t>
  </si>
  <si>
    <t>6509</t>
  </si>
  <si>
    <t>6512</t>
  </si>
  <si>
    <t>6516</t>
  </si>
  <si>
    <t>6534</t>
  </si>
  <si>
    <t>6561</t>
  </si>
  <si>
    <t>6579</t>
  </si>
  <si>
    <t>6592</t>
  </si>
  <si>
    <t>6615</t>
  </si>
  <si>
    <t>6651</t>
  </si>
  <si>
    <t>6660</t>
  </si>
  <si>
    <t>6700</t>
  </si>
  <si>
    <t>6741</t>
  </si>
  <si>
    <t>6759</t>
  </si>
  <si>
    <t>6762</t>
  </si>
  <si>
    <t>6768</t>
  </si>
  <si>
    <t>6795</t>
  </si>
  <si>
    <t>6822</t>
  </si>
  <si>
    <t>6840</t>
  </si>
  <si>
    <t>6854</t>
  </si>
  <si>
    <t>6867</t>
  </si>
  <si>
    <t>6921</t>
  </si>
  <si>
    <t>6930</t>
  </si>
  <si>
    <t>6937</t>
  </si>
  <si>
    <t>6943</t>
  </si>
  <si>
    <t>6950</t>
  </si>
  <si>
    <t>6957</t>
  </si>
  <si>
    <t>6961</t>
  </si>
  <si>
    <t>6969</t>
  </si>
  <si>
    <t>6975</t>
  </si>
  <si>
    <t>6983</t>
  </si>
  <si>
    <t>6985</t>
  </si>
  <si>
    <t>6987</t>
  </si>
  <si>
    <t>6990</t>
  </si>
  <si>
    <t>6992</t>
  </si>
  <si>
    <t>7002</t>
  </si>
  <si>
    <t>7029</t>
  </si>
  <si>
    <t>7038</t>
  </si>
  <si>
    <t>7047</t>
  </si>
  <si>
    <t>7056</t>
  </si>
  <si>
    <t>7092</t>
  </si>
  <si>
    <t>7098</t>
  </si>
  <si>
    <t>7110</t>
  </si>
  <si>
    <t>1) Supplementary Weighting Free/Reduced Meals - Percent free &amp; reduced meals in grades 1-6 multiplied by budget enrollment multiplied by 0.00642 weighting.</t>
  </si>
  <si>
    <t>2) Supplementary Weighting Enrollment - Budget enrollment multiplied by 0.00204 weighting.</t>
  </si>
  <si>
    <t>6536</t>
  </si>
  <si>
    <t>1968</t>
  </si>
  <si>
    <t>5510</t>
  </si>
  <si>
    <t>6099</t>
  </si>
  <si>
    <t>5160</t>
  </si>
  <si>
    <t>6035</t>
  </si>
  <si>
    <t>North Fayette Valley</t>
  </si>
  <si>
    <t>Odebolt Arthur Battle Creek Ida Grove</t>
  </si>
  <si>
    <t>Alta-Aurelia</t>
  </si>
  <si>
    <t>Adel-Desoto-Minburn</t>
  </si>
  <si>
    <t>Akron-Westfield</t>
  </si>
  <si>
    <t>Central Clayton</t>
  </si>
  <si>
    <t>Central De Witt</t>
  </si>
  <si>
    <t>Clear Creek-Amana</t>
  </si>
  <si>
    <t>College Community</t>
  </si>
  <si>
    <t>Colo-Nesco</t>
  </si>
  <si>
    <t>Decorah</t>
  </si>
  <si>
    <t>Des Moines</t>
  </si>
  <si>
    <t>Eddyville-Blakesburg-Fremont</t>
  </si>
  <si>
    <t>Estherville-Lincoln Central</t>
  </si>
  <si>
    <t>Exira-Elk Horn-Kimballton</t>
  </si>
  <si>
    <t>Janesville</t>
  </si>
  <si>
    <t>MFL Mar Mac</t>
  </si>
  <si>
    <t>Manson-Northwest Webster</t>
  </si>
  <si>
    <t>Marcus-Meriden Cleghorn</t>
  </si>
  <si>
    <t>Marion</t>
  </si>
  <si>
    <t>Moc-Floyd Valley</t>
  </si>
  <si>
    <t>North Tama</t>
  </si>
  <si>
    <t>Olin</t>
  </si>
  <si>
    <t>Rudd-Rockford-Marble Rock</t>
  </si>
  <si>
    <t>South Tama</t>
  </si>
  <si>
    <t>West Burlington</t>
  </si>
  <si>
    <t>West Delaware Co</t>
  </si>
  <si>
    <t>West Fork</t>
  </si>
  <si>
    <t>Western Dubuque Co</t>
  </si>
  <si>
    <t>SCPP</t>
  </si>
  <si>
    <t>Fiscal Year</t>
  </si>
  <si>
    <t>FiscalYear</t>
  </si>
  <si>
    <t>AEA</t>
  </si>
  <si>
    <t>DistSub1</t>
  </si>
  <si>
    <t>DistSub2</t>
  </si>
  <si>
    <t>Label</t>
  </si>
  <si>
    <t>11</t>
  </si>
  <si>
    <t/>
  </si>
  <si>
    <t>07</t>
  </si>
  <si>
    <t>13</t>
  </si>
  <si>
    <t>12</t>
  </si>
  <si>
    <t>05</t>
  </si>
  <si>
    <t>15</t>
  </si>
  <si>
    <t>10</t>
  </si>
  <si>
    <t>6417</t>
  </si>
  <si>
    <t>01</t>
  </si>
  <si>
    <t>09</t>
  </si>
  <si>
    <t>1854</t>
  </si>
  <si>
    <t>0216</t>
  </si>
  <si>
    <t>Van Buren County</t>
  </si>
  <si>
    <t>SPG</t>
  </si>
  <si>
    <t>CPP</t>
  </si>
  <si>
    <t>Additional_Dollar</t>
  </si>
  <si>
    <t>SCPP_SPED</t>
  </si>
  <si>
    <t>TS_SPG</t>
  </si>
  <si>
    <t>TS_CPP</t>
  </si>
  <si>
    <t>TS_SCPP</t>
  </si>
  <si>
    <t>PD_SPG</t>
  </si>
  <si>
    <t>PD_CPP</t>
  </si>
  <si>
    <t>PD_SCPP</t>
  </si>
  <si>
    <t>EI_SPG</t>
  </si>
  <si>
    <t>EI_CPP</t>
  </si>
  <si>
    <t>EI_SCPP</t>
  </si>
  <si>
    <t>TL_SPG</t>
  </si>
  <si>
    <t>TL_CPP</t>
  </si>
  <si>
    <t>TL_SCPP</t>
  </si>
  <si>
    <t>AEA_SPED_CPP</t>
  </si>
  <si>
    <t>AEA_SPED_SCPP</t>
  </si>
  <si>
    <t>AEAMED_CPP</t>
  </si>
  <si>
    <t>AEAMED_SCPP</t>
  </si>
  <si>
    <t>AEAED_CPP</t>
  </si>
  <si>
    <t>AEAED_SCPP</t>
  </si>
  <si>
    <t>TS_AEA_CPP</t>
  </si>
  <si>
    <t>TS_AEA_SCPP</t>
  </si>
  <si>
    <t>PD_AEA_CPP</t>
  </si>
  <si>
    <t>PD_AEA_SCPP</t>
  </si>
  <si>
    <t>RPFL</t>
  </si>
  <si>
    <t>RPFL_CPP</t>
  </si>
  <si>
    <t>RPSPEDFL</t>
  </si>
  <si>
    <t>RPSPED_CPP</t>
  </si>
  <si>
    <t>AEA_SPED_FL</t>
  </si>
  <si>
    <t>AEASPED_CPP</t>
  </si>
  <si>
    <t>Budg_Adj</t>
  </si>
  <si>
    <t>ULR</t>
  </si>
  <si>
    <t>MIN_AID</t>
  </si>
  <si>
    <t>PT_SCPP</t>
  </si>
  <si>
    <t>PT_PCT</t>
  </si>
  <si>
    <t>SMAAPTLR</t>
  </si>
  <si>
    <t>AEA_SPED_FL_CPP</t>
  </si>
  <si>
    <t>PTRP_PP</t>
  </si>
  <si>
    <t>StateTaxableValuation_PP</t>
  </si>
  <si>
    <t>TAG_PP</t>
  </si>
  <si>
    <t>PY_RPFL</t>
  </si>
  <si>
    <t>PY_SCPP</t>
  </si>
  <si>
    <t>L833</t>
  </si>
  <si>
    <t>ISL_StateAidPortion</t>
  </si>
  <si>
    <t>ISL_ProrataRed</t>
  </si>
  <si>
    <t>Dollars Generated</t>
  </si>
  <si>
    <t>Subtotal Line 3.10</t>
  </si>
  <si>
    <t>Free/Red.
Lunch</t>
  </si>
  <si>
    <t>Oct. 15</t>
  </si>
  <si>
    <t># Eligible for Free or Reduced Lunch</t>
  </si>
  <si>
    <t>FRL %</t>
  </si>
  <si>
    <t>Central Rivers AEA</t>
  </si>
  <si>
    <t>42</t>
  </si>
  <si>
    <t>Heartland AEA</t>
  </si>
  <si>
    <t>39</t>
  </si>
  <si>
    <t>25</t>
  </si>
  <si>
    <t>Northwest AEA</t>
  </si>
  <si>
    <t>75</t>
  </si>
  <si>
    <t>Prairie Lakes AEA</t>
  </si>
  <si>
    <t>Great Prairie AEA</t>
  </si>
  <si>
    <t>68</t>
  </si>
  <si>
    <t>Grant Wood AEA</t>
  </si>
  <si>
    <t>57</t>
  </si>
  <si>
    <t>55</t>
  </si>
  <si>
    <t>Keystone AEA</t>
  </si>
  <si>
    <t>03</t>
  </si>
  <si>
    <t>85</t>
  </si>
  <si>
    <t>53</t>
  </si>
  <si>
    <t>Mississippi Bend AEA</t>
  </si>
  <si>
    <t>49</t>
  </si>
  <si>
    <t>77</t>
  </si>
  <si>
    <t>32</t>
  </si>
  <si>
    <t>24</t>
  </si>
  <si>
    <t>Green Hills AEA</t>
  </si>
  <si>
    <t>78</t>
  </si>
  <si>
    <t>50</t>
  </si>
  <si>
    <t>38</t>
  </si>
  <si>
    <t>87</t>
  </si>
  <si>
    <t>06</t>
  </si>
  <si>
    <t>99</t>
  </si>
  <si>
    <t>16</t>
  </si>
  <si>
    <t>82</t>
  </si>
  <si>
    <t>90</t>
  </si>
  <si>
    <t>08</t>
  </si>
  <si>
    <t>84</t>
  </si>
  <si>
    <t>41</t>
  </si>
  <si>
    <t>79</t>
  </si>
  <si>
    <t>95</t>
  </si>
  <si>
    <t>29</t>
  </si>
  <si>
    <t>35</t>
  </si>
  <si>
    <t>23</t>
  </si>
  <si>
    <t>91</t>
  </si>
  <si>
    <t>14</t>
  </si>
  <si>
    <t>04</t>
  </si>
  <si>
    <t>56</t>
  </si>
  <si>
    <t>22</t>
  </si>
  <si>
    <t>27</t>
  </si>
  <si>
    <t>60</t>
  </si>
  <si>
    <t>59</t>
  </si>
  <si>
    <t>34</t>
  </si>
  <si>
    <t>18</t>
  </si>
  <si>
    <t>73</t>
  </si>
  <si>
    <t>20</t>
  </si>
  <si>
    <t>21</t>
  </si>
  <si>
    <t>52</t>
  </si>
  <si>
    <t>17</t>
  </si>
  <si>
    <t>58</t>
  </si>
  <si>
    <t>02</t>
  </si>
  <si>
    <t>88</t>
  </si>
  <si>
    <t>26</t>
  </si>
  <si>
    <t>96</t>
  </si>
  <si>
    <t>80</t>
  </si>
  <si>
    <t>31</t>
  </si>
  <si>
    <t>43</t>
  </si>
  <si>
    <t>61</t>
  </si>
  <si>
    <t>64</t>
  </si>
  <si>
    <t>97</t>
  </si>
  <si>
    <t>28</t>
  </si>
  <si>
    <t>74</t>
  </si>
  <si>
    <t>48</t>
  </si>
  <si>
    <t>83</t>
  </si>
  <si>
    <t>51</t>
  </si>
  <si>
    <t>94</t>
  </si>
  <si>
    <t>36</t>
  </si>
  <si>
    <t>47</t>
  </si>
  <si>
    <t>46</t>
  </si>
  <si>
    <t>65</t>
  </si>
  <si>
    <t>86</t>
  </si>
  <si>
    <t>30</t>
  </si>
  <si>
    <t>71</t>
  </si>
  <si>
    <t>92</t>
  </si>
  <si>
    <t>45</t>
  </si>
  <si>
    <t>37</t>
  </si>
  <si>
    <t>54</t>
  </si>
  <si>
    <t>63</t>
  </si>
  <si>
    <t>76</t>
  </si>
  <si>
    <t>67</t>
  </si>
  <si>
    <t>93</t>
  </si>
  <si>
    <t>44</t>
  </si>
  <si>
    <t>70</t>
  </si>
  <si>
    <t>19</t>
  </si>
  <si>
    <t>98</t>
  </si>
  <si>
    <t>33</t>
  </si>
  <si>
    <t>62</t>
  </si>
  <si>
    <t>66</t>
  </si>
  <si>
    <t>69</t>
  </si>
  <si>
    <t>81</t>
  </si>
  <si>
    <t>72</t>
  </si>
  <si>
    <t>40</t>
  </si>
  <si>
    <t>89</t>
  </si>
  <si>
    <t>aea</t>
  </si>
  <si>
    <t>aea_name</t>
  </si>
  <si>
    <t>county</t>
  </si>
  <si>
    <t>Co_Name</t>
  </si>
  <si>
    <t>district</t>
  </si>
  <si>
    <t>dstName</t>
  </si>
  <si>
    <t>Enroll_g1to6</t>
  </si>
  <si>
    <t>FRL_g1to6</t>
  </si>
  <si>
    <t>%FRL</t>
  </si>
  <si>
    <t>Hardin</t>
  </si>
  <si>
    <t>AGWSR Comm School District</t>
  </si>
  <si>
    <t>Guthrie</t>
  </si>
  <si>
    <t>Adair-Casey Comm School District</t>
  </si>
  <si>
    <t>Dallas</t>
  </si>
  <si>
    <t>Adel DeSoto Minburn Comm School District</t>
  </si>
  <si>
    <t>Plymouth</t>
  </si>
  <si>
    <t>Akron Westfield Comm School District</t>
  </si>
  <si>
    <t>Buena Vista</t>
  </si>
  <si>
    <t>Albert City-Truesdale Comm School District</t>
  </si>
  <si>
    <t>Monroe</t>
  </si>
  <si>
    <t>Albia Comm School District</t>
  </si>
  <si>
    <t>Linn</t>
  </si>
  <si>
    <t>Alburnett Comm School District</t>
  </si>
  <si>
    <t>Alden Comm School District</t>
  </si>
  <si>
    <t>Kossuth</t>
  </si>
  <si>
    <t>Algona Comm School District</t>
  </si>
  <si>
    <t>Allamakee Comm School District</t>
  </si>
  <si>
    <t>Butler</t>
  </si>
  <si>
    <t>North Butler Comm School District</t>
  </si>
  <si>
    <t>Alta-Aurelia Comm School District</t>
  </si>
  <si>
    <t>Story</t>
  </si>
  <si>
    <t>Ames Comm School District</t>
  </si>
  <si>
    <t>Jones</t>
  </si>
  <si>
    <t>Anamosa Comm School District</t>
  </si>
  <si>
    <t>Jackson</t>
  </si>
  <si>
    <t>Andrew Comm School District</t>
  </si>
  <si>
    <t>Polk</t>
  </si>
  <si>
    <t>Ankeny Comm School District</t>
  </si>
  <si>
    <t>Aplington-Parkersburg Comm School District</t>
  </si>
  <si>
    <t>Emmet</t>
  </si>
  <si>
    <t>North Union Comm School District</t>
  </si>
  <si>
    <t>Crawford</t>
  </si>
  <si>
    <t>Ar-We-Va Comm School District</t>
  </si>
  <si>
    <t>Cass</t>
  </si>
  <si>
    <t>Atlantic Comm School District</t>
  </si>
  <si>
    <t>Audubon Comm School District</t>
  </si>
  <si>
    <t>Pottawattamie</t>
  </si>
  <si>
    <t>AHSTW Comm School District</t>
  </si>
  <si>
    <t>Ballard Comm School District</t>
  </si>
  <si>
    <t>Jasper</t>
  </si>
  <si>
    <t>Baxter Comm School District</t>
  </si>
  <si>
    <t>Grundy</t>
  </si>
  <si>
    <t>BCLUW Comm School District</t>
  </si>
  <si>
    <t>Taylor</t>
  </si>
  <si>
    <t>Bedford Comm School District</t>
  </si>
  <si>
    <t>Belle Plaine Comm School District</t>
  </si>
  <si>
    <t>Bellevue Comm School District</t>
  </si>
  <si>
    <t>Wright</t>
  </si>
  <si>
    <t>Belmond-Klemme Comm School District</t>
  </si>
  <si>
    <t>Cedar</t>
  </si>
  <si>
    <t>Bennett Comm School District</t>
  </si>
  <si>
    <t>Benton Comm School District</t>
  </si>
  <si>
    <t>Scott</t>
  </si>
  <si>
    <t>Bettendorf Comm School District</t>
  </si>
  <si>
    <t>Eddyville-Blakesburg- Fremont CSD</t>
  </si>
  <si>
    <t>Bondurant-Farrar Comm School District</t>
  </si>
  <si>
    <t>Boone Comm School District</t>
  </si>
  <si>
    <t>Sioux</t>
  </si>
  <si>
    <t>Boyden-Hull Comm School District</t>
  </si>
  <si>
    <t>Hancock</t>
  </si>
  <si>
    <t>West Hancock Comm School District</t>
  </si>
  <si>
    <t>Poweshiek</t>
  </si>
  <si>
    <t>Brooklyn-Guernsey-Malcom Comm School District</t>
  </si>
  <si>
    <t>Winnebago</t>
  </si>
  <si>
    <t>North Iowa Comm School District</t>
  </si>
  <si>
    <t>Burlington Comm School District</t>
  </si>
  <si>
    <t>CAM Comm School District</t>
  </si>
  <si>
    <t>Franklin</t>
  </si>
  <si>
    <t>CAL Comm School District</t>
  </si>
  <si>
    <t>Calamus-Wheatland Comm School District</t>
  </si>
  <si>
    <t>Camanche Comm School District</t>
  </si>
  <si>
    <t>Cardinal Comm School District</t>
  </si>
  <si>
    <t>Warren</t>
  </si>
  <si>
    <t>Carlisle Comm School District</t>
  </si>
  <si>
    <t>Carroll Comm School District</t>
  </si>
  <si>
    <t>Black Hawk</t>
  </si>
  <si>
    <t>Cedar Falls Comm School District</t>
  </si>
  <si>
    <t>Cedar Rapids Comm School District</t>
  </si>
  <si>
    <t>Center Point-Urbana Comm School District</t>
  </si>
  <si>
    <t>Appanoose</t>
  </si>
  <si>
    <t>Centerville Comm School District</t>
  </si>
  <si>
    <t>Lee</t>
  </si>
  <si>
    <t>Central Lee Comm School District</t>
  </si>
  <si>
    <t>Clayton</t>
  </si>
  <si>
    <t>Central Comm School District</t>
  </si>
  <si>
    <t>Central DeWitt School District</t>
  </si>
  <si>
    <t>Central City Comm School District</t>
  </si>
  <si>
    <t>Decatur</t>
  </si>
  <si>
    <t>Central Decatur Comm School District</t>
  </si>
  <si>
    <t>Lyon</t>
  </si>
  <si>
    <t>Central Lyon Comm School District</t>
  </si>
  <si>
    <t>Lucas</t>
  </si>
  <si>
    <t>Chariton Comm School District</t>
  </si>
  <si>
    <t>Floyd</t>
  </si>
  <si>
    <t>Charles City Comm School District</t>
  </si>
  <si>
    <t>Charter Oak-Ute Comm School District</t>
  </si>
  <si>
    <t>Cherokee Comm School District</t>
  </si>
  <si>
    <t>Page</t>
  </si>
  <si>
    <t>Clarinda Comm School District</t>
  </si>
  <si>
    <t>Clarion-Goldfield-Dows Comm School District</t>
  </si>
  <si>
    <t>Clarke Comm School District</t>
  </si>
  <si>
    <t>Clarksville Comm School District</t>
  </si>
  <si>
    <t>Clay</t>
  </si>
  <si>
    <t>Clay Central-Everly Comm School District</t>
  </si>
  <si>
    <t>Johnson</t>
  </si>
  <si>
    <t>Clear Creek Amana Comm School District</t>
  </si>
  <si>
    <t>Cerro Gordo</t>
  </si>
  <si>
    <t>Clear Lake Comm School District</t>
  </si>
  <si>
    <t>Clinton Comm School District</t>
  </si>
  <si>
    <t>Colfax-Mingo Comm School District</t>
  </si>
  <si>
    <t>College Comm School District</t>
  </si>
  <si>
    <t>Collins-Maxwell Comm School District</t>
  </si>
  <si>
    <t>Colo-NESCO  Comm School District</t>
  </si>
  <si>
    <t>Louisa</t>
  </si>
  <si>
    <t>Columbus Comm School District</t>
  </si>
  <si>
    <t>Coon Rapids-Bayard Comm School District</t>
  </si>
  <si>
    <t>Adams</t>
  </si>
  <si>
    <t>Corning Comm School District</t>
  </si>
  <si>
    <t>Council Bluffs Comm School District</t>
  </si>
  <si>
    <t>Creston Comm School District</t>
  </si>
  <si>
    <t>Dallas Center-Grimes Comm School District</t>
  </si>
  <si>
    <t>Danville  Comm School District</t>
  </si>
  <si>
    <t>Davenport Comm School District</t>
  </si>
  <si>
    <t>Davis</t>
  </si>
  <si>
    <t>Davis County Comm School District</t>
  </si>
  <si>
    <t>Winneshiek</t>
  </si>
  <si>
    <t>Decorah Community School District</t>
  </si>
  <si>
    <t>Delwood Comm School District</t>
  </si>
  <si>
    <t>Denison Comm School District</t>
  </si>
  <si>
    <t>Bremer</t>
  </si>
  <si>
    <t>Denver Comm School District</t>
  </si>
  <si>
    <t>Des Moines Independent Comm School District</t>
  </si>
  <si>
    <t>Ringgold</t>
  </si>
  <si>
    <t>Diagonal Comm School District</t>
  </si>
  <si>
    <t>Dike-New Hartford Comm School District</t>
  </si>
  <si>
    <t>Dubuque Comm School District</t>
  </si>
  <si>
    <t>Dunkerton Comm School District</t>
  </si>
  <si>
    <t>Harrison</t>
  </si>
  <si>
    <t>Boyer Valley Comm School District</t>
  </si>
  <si>
    <t>Durant Comm School District</t>
  </si>
  <si>
    <t>Eagle Grove Comm School District</t>
  </si>
  <si>
    <t>Madison</t>
  </si>
  <si>
    <t>Earlham Comm School District</t>
  </si>
  <si>
    <t>Buchanan</t>
  </si>
  <si>
    <t>East Buchanan Comm School District</t>
  </si>
  <si>
    <t>Easton Valley Comm School District</t>
  </si>
  <si>
    <t>Marshall</t>
  </si>
  <si>
    <t>East Marshall Comm School District</t>
  </si>
  <si>
    <t>East Union Comm School District</t>
  </si>
  <si>
    <t>Eastern Allamakee Comm School District</t>
  </si>
  <si>
    <t>Woodbury</t>
  </si>
  <si>
    <t>River Valley Comm School District</t>
  </si>
  <si>
    <t>Edgewood-Colesburg Comm School District</t>
  </si>
  <si>
    <t>Eldora-New Providence Comm School District</t>
  </si>
  <si>
    <t>Palo Alto</t>
  </si>
  <si>
    <t>Emmetsburg Comm School District</t>
  </si>
  <si>
    <t>Iowa</t>
  </si>
  <si>
    <t>English Valleys Comm School District</t>
  </si>
  <si>
    <t>Essex Comm School District</t>
  </si>
  <si>
    <t>Estherville Lincoln Central Com Sch Dist</t>
  </si>
  <si>
    <t>Shelby</t>
  </si>
  <si>
    <t>Exira-Elk Horn- Kimballton Comm Sch Dist</t>
  </si>
  <si>
    <t>Jefferson</t>
  </si>
  <si>
    <t>Fairfield Comm School District</t>
  </si>
  <si>
    <t>Forest City Comm School District</t>
  </si>
  <si>
    <t>Webster</t>
  </si>
  <si>
    <t>Fort Dodge Comm School District</t>
  </si>
  <si>
    <t>Fort Madison Comm School District</t>
  </si>
  <si>
    <t>Fremont</t>
  </si>
  <si>
    <t>Fremont-Mills Comm School District</t>
  </si>
  <si>
    <t>Ida</t>
  </si>
  <si>
    <t>Galva-Holstein Comm School District</t>
  </si>
  <si>
    <t>Garner-Hayfield-Ventura Comm School District</t>
  </si>
  <si>
    <t>George-Little Rock Comm School District</t>
  </si>
  <si>
    <t>Gilbert Comm School District</t>
  </si>
  <si>
    <t>Gilmore City-Bradgate Comm School District</t>
  </si>
  <si>
    <t>Gladbrook-Reinbeck Comm School District</t>
  </si>
  <si>
    <t>Mills</t>
  </si>
  <si>
    <t>Glenwood Comm School District</t>
  </si>
  <si>
    <t>Glidden-Ralston Comm School District</t>
  </si>
  <si>
    <t>Graettinger-Terril Comm School District</t>
  </si>
  <si>
    <t>Adair</t>
  </si>
  <si>
    <t>Nodaway Valley Comm School District</t>
  </si>
  <si>
    <t>Tama</t>
  </si>
  <si>
    <t>GMG Comm School District</t>
  </si>
  <si>
    <t>Grinnell-Newburg Comm School District</t>
  </si>
  <si>
    <t>Griswold Comm School District</t>
  </si>
  <si>
    <t>Grundy Center Comm School District</t>
  </si>
  <si>
    <t>Guthrie Center Comm School District</t>
  </si>
  <si>
    <t>Clayton Ridge Comm School District</t>
  </si>
  <si>
    <t>H-L-V Comm School District</t>
  </si>
  <si>
    <t>Hamburg Comm School District</t>
  </si>
  <si>
    <t>Hampton-Dumont Comm School District</t>
  </si>
  <si>
    <t>Harlan Comm School District</t>
  </si>
  <si>
    <t>Dickinson</t>
  </si>
  <si>
    <t>Harris-Lake Park Comm School District</t>
  </si>
  <si>
    <t>O'Brien</t>
  </si>
  <si>
    <t>Hartley-Melvin-Sanborn Comm School District</t>
  </si>
  <si>
    <t>Highland  Comm School District</t>
  </si>
  <si>
    <t>Hinton Comm School District</t>
  </si>
  <si>
    <t>Howard</t>
  </si>
  <si>
    <t>Howard-Winneshiek Comm School District</t>
  </si>
  <si>
    <t>Hubbard-Radcliffe Comm School District</t>
  </si>
  <si>
    <t>Hudson Comm School District</t>
  </si>
  <si>
    <t>Humboldt Comm School District</t>
  </si>
  <si>
    <t>Independence Comm School District</t>
  </si>
  <si>
    <t>Indianola Comm School District</t>
  </si>
  <si>
    <t>Interstate 35 Comm School District</t>
  </si>
  <si>
    <t>Iowa City Comm School District</t>
  </si>
  <si>
    <t>Iowa Falls Comm School District</t>
  </si>
  <si>
    <t>Iowa Valley Comm School District</t>
  </si>
  <si>
    <t>IKM-Manning Comm School District</t>
  </si>
  <si>
    <t>Janesville Consolidated School District</t>
  </si>
  <si>
    <t>Greene</t>
  </si>
  <si>
    <t>Greene County Comm School District</t>
  </si>
  <si>
    <t>Jesup Comm School District</t>
  </si>
  <si>
    <t>Johnston Comm School District</t>
  </si>
  <si>
    <t>Keokuk Comm School District</t>
  </si>
  <si>
    <t>Keota Comm School District</t>
  </si>
  <si>
    <t>Kingsley-Pierson Comm School District</t>
  </si>
  <si>
    <t>Knoxville Comm School District</t>
  </si>
  <si>
    <t>Lake Mills Comm School District</t>
  </si>
  <si>
    <t>Lamoni Comm School District</t>
  </si>
  <si>
    <t>Pocahontas</t>
  </si>
  <si>
    <t>Laurens-Marathon Comm School District</t>
  </si>
  <si>
    <t>Lawton-Bronson Comm School District</t>
  </si>
  <si>
    <t>Le Mars Comm School District</t>
  </si>
  <si>
    <t>Lenox Comm School District</t>
  </si>
  <si>
    <t>Lewis Central Comm School District</t>
  </si>
  <si>
    <t>North Cedar Comm School District</t>
  </si>
  <si>
    <t>Linn-Mar Comm School District</t>
  </si>
  <si>
    <t>Lisbon Comm School District</t>
  </si>
  <si>
    <t>Logan-Magnolia Comm School District</t>
  </si>
  <si>
    <t>Lone Tree Comm School District</t>
  </si>
  <si>
    <t>Louisa-Muscatine Comm School District</t>
  </si>
  <si>
    <t>LuVerne Comm School District</t>
  </si>
  <si>
    <t>Lynnville-Sully Comm School District</t>
  </si>
  <si>
    <t>Madrid Comm School District</t>
  </si>
  <si>
    <t>East Mills Comm School District</t>
  </si>
  <si>
    <t>Calhoun</t>
  </si>
  <si>
    <t>Manson Northwest Webster Comm School District</t>
  </si>
  <si>
    <t>Monona</t>
  </si>
  <si>
    <t>Maple Valley-Anthon Oto Comm School District</t>
  </si>
  <si>
    <t>Maquoketa Comm School District</t>
  </si>
  <si>
    <t>Delaware</t>
  </si>
  <si>
    <t>Maquoketa Valley Comm School District</t>
  </si>
  <si>
    <t>Marcus-Meriden-Cleghorn Comm School District</t>
  </si>
  <si>
    <t>Marion Independent School District</t>
  </si>
  <si>
    <t>Marshalltown Comm School District</t>
  </si>
  <si>
    <t>Martensdale-St Marys Comm School District</t>
  </si>
  <si>
    <t>Mason City Comm School District</t>
  </si>
  <si>
    <t>MOC-Floyd Valley Comm School District</t>
  </si>
  <si>
    <t>Mediapolis Comm School District</t>
  </si>
  <si>
    <t>Melcher-Dallas Comm School District</t>
  </si>
  <si>
    <t>Midland Comm School District</t>
  </si>
  <si>
    <t>Mid-Prairie Comm School District</t>
  </si>
  <si>
    <t>Missouri Valley Comm School District</t>
  </si>
  <si>
    <t>MFL MarMac Comm School District</t>
  </si>
  <si>
    <t>Montezuma Comm School District</t>
  </si>
  <si>
    <t>Monticello Comm School District</t>
  </si>
  <si>
    <t>Moravia Comm School District</t>
  </si>
  <si>
    <t>Mormon Trail Comm School District</t>
  </si>
  <si>
    <t>Morning Sun Comm School District</t>
  </si>
  <si>
    <t>Moulton-Udell Comm School District</t>
  </si>
  <si>
    <t>Mount Ayr Comm School District</t>
  </si>
  <si>
    <t>Henry</t>
  </si>
  <si>
    <t>Mount Pleasant Comm School District</t>
  </si>
  <si>
    <t>Mount Vernon Comm School District</t>
  </si>
  <si>
    <t>Murray Comm School District</t>
  </si>
  <si>
    <t>Muscatine Comm School District</t>
  </si>
  <si>
    <t>Chickasaw</t>
  </si>
  <si>
    <t>Nashua-Plainfield Comm School District</t>
  </si>
  <si>
    <t>Nevada Comm School District</t>
  </si>
  <si>
    <t>Newell-Fonda Comm School District</t>
  </si>
  <si>
    <t>New Hampton Comm School District</t>
  </si>
  <si>
    <t>New London Comm School District</t>
  </si>
  <si>
    <t>Newton Comm School District</t>
  </si>
  <si>
    <t>Worth</t>
  </si>
  <si>
    <t>Central Springs Comm School District</t>
  </si>
  <si>
    <t>Northeast Comm School District</t>
  </si>
  <si>
    <t>Fayette</t>
  </si>
  <si>
    <t>North Fayette Valley Comm School District</t>
  </si>
  <si>
    <t>Mahaska</t>
  </si>
  <si>
    <t>North Mahaska Comm School District</t>
  </si>
  <si>
    <t>North Linn Comm School District</t>
  </si>
  <si>
    <t>North Kossuth Comm School District</t>
  </si>
  <si>
    <t>North Polk Comm School District</t>
  </si>
  <si>
    <t>North Scott Comm School District</t>
  </si>
  <si>
    <t>North Tama County Comm School District</t>
  </si>
  <si>
    <t>Northwood-Kensett Comm School District</t>
  </si>
  <si>
    <t>Norwalk Comm School District</t>
  </si>
  <si>
    <t>Odebolt Arthur Battle Creek Ida Grove Comm School District</t>
  </si>
  <si>
    <t>Oelwein Comm School District</t>
  </si>
  <si>
    <t>Ogden Comm School District</t>
  </si>
  <si>
    <t>Okoboji Comm School District</t>
  </si>
  <si>
    <t>Olin Consolidated School District</t>
  </si>
  <si>
    <t>Orient-Macksburg Comm School District</t>
  </si>
  <si>
    <t>Mitchell</t>
  </si>
  <si>
    <t>Osage Comm School District</t>
  </si>
  <si>
    <t>Oskaloosa Comm School District</t>
  </si>
  <si>
    <t>Ottumwa Comm School District</t>
  </si>
  <si>
    <t>Panorama Comm School District</t>
  </si>
  <si>
    <t>Paton-Churdan Comm School District</t>
  </si>
  <si>
    <t>PCM Comm School District</t>
  </si>
  <si>
    <t>Pekin Comm School District</t>
  </si>
  <si>
    <t>Pella Comm School District</t>
  </si>
  <si>
    <t>Perry Comm School District</t>
  </si>
  <si>
    <t>Pleasant Valley Comm School District</t>
  </si>
  <si>
    <t>Pleasantville Comm School District</t>
  </si>
  <si>
    <t>Pocahontas Area Comm School District</t>
  </si>
  <si>
    <t>Postville Comm School District</t>
  </si>
  <si>
    <t>Prairie Valley Comm School District</t>
  </si>
  <si>
    <t>Montgomery</t>
  </si>
  <si>
    <t>Red Oak Comm School District</t>
  </si>
  <si>
    <t>Remsen-Union Comm School District</t>
  </si>
  <si>
    <t>Riceville Comm School District</t>
  </si>
  <si>
    <t>Riverside Comm School District</t>
  </si>
  <si>
    <t>Rock Valley Comm School District</t>
  </si>
  <si>
    <t>Roland-Story Comm School District</t>
  </si>
  <si>
    <t>Rudd-Rockford-Marble Rk Comm School District</t>
  </si>
  <si>
    <t>Ruthven-Ayrshire Comm School District</t>
  </si>
  <si>
    <t>St Ansgar Comm School District</t>
  </si>
  <si>
    <t>Saydel Comm School District</t>
  </si>
  <si>
    <t>Sac</t>
  </si>
  <si>
    <t>Schaller-Crestland Comm School District</t>
  </si>
  <si>
    <t>Schleswig Comm School District</t>
  </si>
  <si>
    <t>Sergeant Bluff-Luton Comm School District</t>
  </si>
  <si>
    <t>Seymour Comm School District</t>
  </si>
  <si>
    <t>West Fork Comm School District</t>
  </si>
  <si>
    <t>Sheldon Comm School District</t>
  </si>
  <si>
    <t>Shenandoah Comm School District</t>
  </si>
  <si>
    <t>Osceola</t>
  </si>
  <si>
    <t>Sibley-Ocheyedan Comm School District</t>
  </si>
  <si>
    <t>Sidney Comm School District</t>
  </si>
  <si>
    <t>Sigourney Comm School District</t>
  </si>
  <si>
    <t>Sioux Center Comm School District</t>
  </si>
  <si>
    <t>Sioux Central Comm School District</t>
  </si>
  <si>
    <t>Sioux City Comm School District</t>
  </si>
  <si>
    <t>South Central Calhoun Comm School District</t>
  </si>
  <si>
    <t>Solon Comm School District</t>
  </si>
  <si>
    <t>Southeast Warren Comm School District</t>
  </si>
  <si>
    <t>Hamilton</t>
  </si>
  <si>
    <t>South Hamilton Comm School District</t>
  </si>
  <si>
    <t>Southeast Webster Grand Comm School District</t>
  </si>
  <si>
    <t>South Page Comm School District</t>
  </si>
  <si>
    <t>South O'Brien  Comm School District</t>
  </si>
  <si>
    <t>South Winneshiek Comm School District</t>
  </si>
  <si>
    <t>Southeast Polk Comm School District</t>
  </si>
  <si>
    <t>Spencer Comm School District</t>
  </si>
  <si>
    <t>Spirit Lake Comm School District</t>
  </si>
  <si>
    <t>Springville Comm School District</t>
  </si>
  <si>
    <t>Stanton Comm School District</t>
  </si>
  <si>
    <t>Starmont Comm School District</t>
  </si>
  <si>
    <t>Storm Lake Comm School District</t>
  </si>
  <si>
    <t>Stratford Comm School District</t>
  </si>
  <si>
    <t>West Central Valley Comm School District</t>
  </si>
  <si>
    <t>Sumner-Fredericksburg Comm School District</t>
  </si>
  <si>
    <t>Tipton Comm School District</t>
  </si>
  <si>
    <t>Treynor Comm School District</t>
  </si>
  <si>
    <t>Tri-Center Comm School District</t>
  </si>
  <si>
    <t>Tri-County Comm School District</t>
  </si>
  <si>
    <t>Tripoli Comm School District</t>
  </si>
  <si>
    <t>Turkey Valley Comm School District</t>
  </si>
  <si>
    <t>Twin Cedars Comm School District</t>
  </si>
  <si>
    <t>Twin Rivers Comm School District</t>
  </si>
  <si>
    <t>Underwood Comm School District</t>
  </si>
  <si>
    <t>Union Comm School District</t>
  </si>
  <si>
    <t>United Comm School District</t>
  </si>
  <si>
    <t>Urbandale Comm School District</t>
  </si>
  <si>
    <t>Van Buren</t>
  </si>
  <si>
    <t>Van Buren County Comm School District</t>
  </si>
  <si>
    <t>Van Meter Comm School District</t>
  </si>
  <si>
    <t>Villisca Comm School District</t>
  </si>
  <si>
    <t>Vinton-Shellsburg Comm School District</t>
  </si>
  <si>
    <t>Waco Comm School District</t>
  </si>
  <si>
    <t>East Sac County Comm School District</t>
  </si>
  <si>
    <t>Wapello Comm School District</t>
  </si>
  <si>
    <t>Wapsie Valley Comm School District</t>
  </si>
  <si>
    <t>Washington Comm School District</t>
  </si>
  <si>
    <t>Waterloo Comm School District</t>
  </si>
  <si>
    <t>Waukee Comm School District</t>
  </si>
  <si>
    <t>Waverly-Shell Rock Comm School District</t>
  </si>
  <si>
    <t>Wayne Comm School District</t>
  </si>
  <si>
    <t>Webster City Comm School District</t>
  </si>
  <si>
    <t>West Bend-Mallard Comm School District</t>
  </si>
  <si>
    <t>West Branch Comm School District</t>
  </si>
  <si>
    <t>West Burlington Ind School District</t>
  </si>
  <si>
    <t>West Central Comm School District</t>
  </si>
  <si>
    <t>West Delaware County Comm School District</t>
  </si>
  <si>
    <t>West Des Moines Comm School District</t>
  </si>
  <si>
    <t>Western Dubuque Comm School District</t>
  </si>
  <si>
    <t>West Harrison Comm School District</t>
  </si>
  <si>
    <t>West Liberty Comm School District</t>
  </si>
  <si>
    <t>West Lyon Comm School District</t>
  </si>
  <si>
    <t>West Marshall Comm School District</t>
  </si>
  <si>
    <t>West Monona Comm School District</t>
  </si>
  <si>
    <t>West Sioux Comm School District</t>
  </si>
  <si>
    <t>Westwood Comm School District</t>
  </si>
  <si>
    <t>Whiting Comm School District</t>
  </si>
  <si>
    <t>Williamsburg Comm School District</t>
  </si>
  <si>
    <t>Wilton Comm School District</t>
  </si>
  <si>
    <t>Winfield-Mt Union Comm School District</t>
  </si>
  <si>
    <t>Winterset Comm School District</t>
  </si>
  <si>
    <t>Woodbine Comm School District</t>
  </si>
  <si>
    <t>Woodbury Central Comm School District</t>
  </si>
  <si>
    <t>Woodward-Granger Comm School District</t>
  </si>
  <si>
    <t>state aid portion 88.4%</t>
  </si>
  <si>
    <t>property tax portion 11.6%</t>
  </si>
  <si>
    <t>The calculated for the Fee and Reduced lunch is always off by 20-30 students due to using the statewide number and comparing it to district by district.</t>
  </si>
  <si>
    <t>FY 2024 - calculated</t>
  </si>
  <si>
    <t>12/19 - Only pasted in Enrollment - Did not account for mergers</t>
  </si>
  <si>
    <t>STILL PRELIMINARY - Jay daid on 12/16/2022 There are still rounding issues.</t>
  </si>
  <si>
    <t>Southeast Valley</t>
  </si>
  <si>
    <t>NAME</t>
  </si>
  <si>
    <t>x249</t>
  </si>
  <si>
    <t>Double Check Reorgs Did prelim but check against SAS Calculation for them</t>
  </si>
  <si>
    <t>x272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</si>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</sst>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5" formatCode="0.00000"/>
    <numFmt numFmtId="166" formatCode="0.000"/>
    <numFmt numFmtId="167" formatCode="#,##0.0"/>
    <numFmt numFmtId="168" formatCode="#,##0.000"/>
    <numFmt numFmtId="169" formatCode="0.0"/>
    <numFmt numFmtId="170" formatCode="0.0000"/>
    <numFmt numFmtId="171" formatCode="_(* #,##0_);_(* \(#,##0\);_(* &quot;-&quot;??_);_(@_)"/>
    <numFmt numFmtId="172" formatCode="0.0%"/>
    <numFmt numFmtId="173" formatCode="#,##0;[Red]\(#,##0\)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Courier New"/>
      <family val="3"/>
    </font>
    <font>
      <sz val="10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ourier New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color indexed="12"/>
      <name val="Times New Roman"/>
      <family val="1"/>
    </font>
    <font>
      <sz val="9"/>
      <color indexed="81"/>
      <name val="Tahoma"/>
      <family val="2"/>
    </font>
    <font>
      <sz val="8"/>
      <color theme="1"/>
      <name val="Courier New"/>
      <family val="2"/>
    </font>
    <font>
      <sz val="12"/>
      <color theme="1"/>
      <name val="Calibri"/>
      <family val="2"/>
    </font>
    <font>
      <sz val="8"/>
      <color theme="0"/>
      <name val="Courier New"/>
      <family val="2"/>
    </font>
    <font>
      <sz val="12"/>
      <color theme="0"/>
      <name val="Calibri"/>
      <family val="2"/>
    </font>
    <font>
      <sz val="8"/>
      <color rgb="FF9C0006"/>
      <name val="Courier New"/>
      <family val="2"/>
    </font>
    <font>
      <sz val="12"/>
      <color rgb="FF9C0006"/>
      <name val="Calibri"/>
      <family val="2"/>
    </font>
    <font>
      <b/>
      <sz val="8"/>
      <color rgb="FFFA7D00"/>
      <name val="Courier New"/>
      <family val="2"/>
    </font>
    <font>
      <b/>
      <sz val="12"/>
      <color rgb="FFFA7D00"/>
      <name val="Calibri"/>
      <family val="2"/>
    </font>
    <font>
      <b/>
      <sz val="8"/>
      <color theme="0"/>
      <name val="Courier New"/>
      <family val="2"/>
    </font>
    <font>
      <b/>
      <sz val="12"/>
      <color theme="0"/>
      <name val="Calibri"/>
      <family val="2"/>
    </font>
    <font>
      <i/>
      <sz val="8"/>
      <color rgb="FF7F7F7F"/>
      <name val="Courier New"/>
      <family val="2"/>
    </font>
    <font>
      <i/>
      <sz val="12"/>
      <color rgb="FF7F7F7F"/>
      <name val="Calibri"/>
      <family val="2"/>
    </font>
    <font>
      <sz val="8"/>
      <color rgb="FF006100"/>
      <name val="Courier New"/>
      <family val="2"/>
    </font>
    <font>
      <sz val="12"/>
      <color rgb="FF006100"/>
      <name val="Calibri"/>
      <family val="2"/>
    </font>
    <font>
      <b/>
      <sz val="15"/>
      <color theme="3"/>
      <name val="Courier New"/>
      <family val="2"/>
    </font>
    <font>
      <b/>
      <sz val="15"/>
      <color theme="3"/>
      <name val="Calibri"/>
      <family val="2"/>
    </font>
    <font>
      <b/>
      <sz val="13"/>
      <color theme="3"/>
      <name val="Courier New"/>
      <family val="2"/>
    </font>
    <font>
      <b/>
      <sz val="13"/>
      <color theme="3"/>
      <name val="Calibri"/>
      <family val="2"/>
    </font>
    <font>
      <b/>
      <sz val="11"/>
      <color theme="3"/>
      <name val="Courier New"/>
      <family val="2"/>
    </font>
    <font>
      <b/>
      <sz val="11"/>
      <color theme="3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8"/>
      <color rgb="FF3F3F76"/>
      <name val="Courier New"/>
      <family val="2"/>
    </font>
    <font>
      <sz val="12"/>
      <color rgb="FF3F3F76"/>
      <name val="Calibri"/>
      <family val="2"/>
    </font>
    <font>
      <sz val="8"/>
      <color rgb="FFFA7D00"/>
      <name val="Courier New"/>
      <family val="2"/>
    </font>
    <font>
      <sz val="12"/>
      <color rgb="FFFA7D00"/>
      <name val="Calibri"/>
      <family val="2"/>
    </font>
    <font>
      <sz val="8"/>
      <color rgb="FF9C6500"/>
      <name val="Courier New"/>
      <family val="2"/>
    </font>
    <font>
      <sz val="12"/>
      <color rgb="FF9C6500"/>
      <name val="Calibri"/>
      <family val="2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b/>
      <sz val="8"/>
      <color rgb="FF3F3F3F"/>
      <name val="Courier New"/>
      <family val="2"/>
    </font>
    <font>
      <b/>
      <sz val="12"/>
      <color rgb="FF3F3F3F"/>
      <name val="Calibri"/>
      <family val="2"/>
    </font>
    <font>
      <b/>
      <sz val="8"/>
      <color theme="1"/>
      <name val="Courier New"/>
      <family val="2"/>
    </font>
    <font>
      <b/>
      <sz val="12"/>
      <color theme="1"/>
      <name val="Calibri"/>
      <family val="2"/>
    </font>
    <font>
      <sz val="8"/>
      <color rgb="FFFF0000"/>
      <name val="Courier New"/>
      <family val="2"/>
    </font>
    <font>
      <sz val="12"/>
      <color rgb="FFFF0000"/>
      <name val="Calibri"/>
      <family val="2"/>
    </font>
    <font>
      <b/>
      <sz val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67">
    <xf numFmtId="0" fontId="0" fillId="0" borderId="0"/>
    <xf numFmtId="9" fontId="15" fillId="0" borderId="0" applyFont="0" applyFill="0" applyBorder="0" applyAlignment="0" applyProtection="0"/>
    <xf numFmtId="0" fontId="10" fillId="0" borderId="0"/>
    <xf numFmtId="0" fontId="9" fillId="0" borderId="0"/>
    <xf numFmtId="0" fontId="8" fillId="0" borderId="0"/>
    <xf numFmtId="0" fontId="13" fillId="0" borderId="0"/>
    <xf numFmtId="0" fontId="32" fillId="0" borderId="0"/>
    <xf numFmtId="0" fontId="13" fillId="0" borderId="0"/>
    <xf numFmtId="43" fontId="12" fillId="0" borderId="0" applyFont="0" applyFill="0" applyBorder="0" applyAlignment="0" applyProtection="0"/>
    <xf numFmtId="0" fontId="33" fillId="0" borderId="0"/>
    <xf numFmtId="0" fontId="12" fillId="0" borderId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37" fillId="12" borderId="0" applyNumberFormat="0" applyBorder="0" applyAlignment="0" applyProtection="0"/>
    <xf numFmtId="0" fontId="3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37" fillId="16" borderId="0" applyNumberFormat="0" applyBorder="0" applyAlignment="0" applyProtection="0"/>
    <xf numFmtId="0" fontId="38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7" fillId="20" borderId="0" applyNumberFormat="0" applyBorder="0" applyAlignment="0" applyProtection="0"/>
    <xf numFmtId="0" fontId="38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37" fillId="24" borderId="0" applyNumberFormat="0" applyBorder="0" applyAlignment="0" applyProtection="0"/>
    <xf numFmtId="0" fontId="38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37" fillId="28" borderId="0" applyNumberFormat="0" applyBorder="0" applyAlignment="0" applyProtection="0"/>
    <xf numFmtId="0" fontId="38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37" fillId="32" borderId="0" applyNumberFormat="0" applyBorder="0" applyAlignment="0" applyProtection="0"/>
    <xf numFmtId="0" fontId="38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7" fillId="13" borderId="0" applyNumberFormat="0" applyBorder="0" applyAlignment="0" applyProtection="0"/>
    <xf numFmtId="0" fontId="3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37" fillId="17" borderId="0" applyNumberFormat="0" applyBorder="0" applyAlignment="0" applyProtection="0"/>
    <xf numFmtId="0" fontId="3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37" fillId="21" borderId="0" applyNumberFormat="0" applyBorder="0" applyAlignment="0" applyProtection="0"/>
    <xf numFmtId="0" fontId="3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37" fillId="25" borderId="0" applyNumberFormat="0" applyBorder="0" applyAlignment="0" applyProtection="0"/>
    <xf numFmtId="0" fontId="3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37" fillId="29" borderId="0" applyNumberFormat="0" applyBorder="0" applyAlignment="0" applyProtection="0"/>
    <xf numFmtId="0" fontId="38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37" fillId="33" borderId="0" applyNumberFormat="0" applyBorder="0" applyAlignment="0" applyProtection="0"/>
    <xf numFmtId="0" fontId="38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31" fillId="14" borderId="0" applyNumberFormat="0" applyBorder="0" applyAlignment="0" applyProtection="0"/>
    <xf numFmtId="0" fontId="39" fillId="14" borderId="0" applyNumberFormat="0" applyBorder="0" applyAlignment="0" applyProtection="0"/>
    <xf numFmtId="0" fontId="40" fillId="14" borderId="0" applyNumberFormat="0" applyBorder="0" applyAlignment="0" applyProtection="0"/>
    <xf numFmtId="0" fontId="31" fillId="18" borderId="0" applyNumberFormat="0" applyBorder="0" applyAlignment="0" applyProtection="0"/>
    <xf numFmtId="0" fontId="39" fillId="18" borderId="0" applyNumberFormat="0" applyBorder="0" applyAlignment="0" applyProtection="0"/>
    <xf numFmtId="0" fontId="40" fillId="18" borderId="0" applyNumberFormat="0" applyBorder="0" applyAlignment="0" applyProtection="0"/>
    <xf numFmtId="0" fontId="31" fillId="22" borderId="0" applyNumberFormat="0" applyBorder="0" applyAlignment="0" applyProtection="0"/>
    <xf numFmtId="0" fontId="39" fillId="22" borderId="0" applyNumberFormat="0" applyBorder="0" applyAlignment="0" applyProtection="0"/>
    <xf numFmtId="0" fontId="40" fillId="22" borderId="0" applyNumberFormat="0" applyBorder="0" applyAlignment="0" applyProtection="0"/>
    <xf numFmtId="0" fontId="31" fillId="26" borderId="0" applyNumberFormat="0" applyBorder="0" applyAlignment="0" applyProtection="0"/>
    <xf numFmtId="0" fontId="39" fillId="26" borderId="0" applyNumberFormat="0" applyBorder="0" applyAlignment="0" applyProtection="0"/>
    <xf numFmtId="0" fontId="40" fillId="26" borderId="0" applyNumberFormat="0" applyBorder="0" applyAlignment="0" applyProtection="0"/>
    <xf numFmtId="0" fontId="31" fillId="30" borderId="0" applyNumberFormat="0" applyBorder="0" applyAlignment="0" applyProtection="0"/>
    <xf numFmtId="0" fontId="39" fillId="30" borderId="0" applyNumberFormat="0" applyBorder="0" applyAlignment="0" applyProtection="0"/>
    <xf numFmtId="0" fontId="40" fillId="30" borderId="0" applyNumberFormat="0" applyBorder="0" applyAlignment="0" applyProtection="0"/>
    <xf numFmtId="0" fontId="31" fillId="34" borderId="0" applyNumberFormat="0" applyBorder="0" applyAlignment="0" applyProtection="0"/>
    <xf numFmtId="0" fontId="39" fillId="34" borderId="0" applyNumberFormat="0" applyBorder="0" applyAlignment="0" applyProtection="0"/>
    <xf numFmtId="0" fontId="40" fillId="34" borderId="0" applyNumberFormat="0" applyBorder="0" applyAlignment="0" applyProtection="0"/>
    <xf numFmtId="0" fontId="31" fillId="11" borderId="0" applyNumberFormat="0" applyBorder="0" applyAlignment="0" applyProtection="0"/>
    <xf numFmtId="0" fontId="39" fillId="11" borderId="0" applyNumberFormat="0" applyBorder="0" applyAlignment="0" applyProtection="0"/>
    <xf numFmtId="0" fontId="40" fillId="11" borderId="0" applyNumberFormat="0" applyBorder="0" applyAlignment="0" applyProtection="0"/>
    <xf numFmtId="0" fontId="31" fillId="15" borderId="0" applyNumberFormat="0" applyBorder="0" applyAlignment="0" applyProtection="0"/>
    <xf numFmtId="0" fontId="39" fillId="15" borderId="0" applyNumberFormat="0" applyBorder="0" applyAlignment="0" applyProtection="0"/>
    <xf numFmtId="0" fontId="40" fillId="15" borderId="0" applyNumberFormat="0" applyBorder="0" applyAlignment="0" applyProtection="0"/>
    <xf numFmtId="0" fontId="31" fillId="19" borderId="0" applyNumberFormat="0" applyBorder="0" applyAlignment="0" applyProtection="0"/>
    <xf numFmtId="0" fontId="39" fillId="19" borderId="0" applyNumberFormat="0" applyBorder="0" applyAlignment="0" applyProtection="0"/>
    <xf numFmtId="0" fontId="40" fillId="19" borderId="0" applyNumberFormat="0" applyBorder="0" applyAlignment="0" applyProtection="0"/>
    <xf numFmtId="0" fontId="31" fillId="23" borderId="0" applyNumberFormat="0" applyBorder="0" applyAlignment="0" applyProtection="0"/>
    <xf numFmtId="0" fontId="39" fillId="23" borderId="0" applyNumberFormat="0" applyBorder="0" applyAlignment="0" applyProtection="0"/>
    <xf numFmtId="0" fontId="40" fillId="23" borderId="0" applyNumberFormat="0" applyBorder="0" applyAlignment="0" applyProtection="0"/>
    <xf numFmtId="0" fontId="31" fillId="27" borderId="0" applyNumberFormat="0" applyBorder="0" applyAlignment="0" applyProtection="0"/>
    <xf numFmtId="0" fontId="39" fillId="27" borderId="0" applyNumberFormat="0" applyBorder="0" applyAlignment="0" applyProtection="0"/>
    <xf numFmtId="0" fontId="40" fillId="27" borderId="0" applyNumberFormat="0" applyBorder="0" applyAlignment="0" applyProtection="0"/>
    <xf numFmtId="0" fontId="31" fillId="31" borderId="0" applyNumberFormat="0" applyBorder="0" applyAlignment="0" applyProtection="0"/>
    <xf numFmtId="0" fontId="39" fillId="31" borderId="0" applyNumberFormat="0" applyBorder="0" applyAlignment="0" applyProtection="0"/>
    <xf numFmtId="0" fontId="40" fillId="31" borderId="0" applyNumberFormat="0" applyBorder="0" applyAlignment="0" applyProtection="0"/>
    <xf numFmtId="0" fontId="22" fillId="5" borderId="0" applyNumberFormat="0" applyBorder="0" applyAlignment="0" applyProtection="0"/>
    <xf numFmtId="0" fontId="41" fillId="5" borderId="0" applyNumberFormat="0" applyBorder="0" applyAlignment="0" applyProtection="0"/>
    <xf numFmtId="0" fontId="42" fillId="5" borderId="0" applyNumberFormat="0" applyBorder="0" applyAlignment="0" applyProtection="0"/>
    <xf numFmtId="0" fontId="26" fillId="8" borderId="5" applyNumberFormat="0" applyAlignment="0" applyProtection="0"/>
    <xf numFmtId="0" fontId="43" fillId="8" borderId="5" applyNumberFormat="0" applyAlignment="0" applyProtection="0"/>
    <xf numFmtId="0" fontId="44" fillId="8" borderId="5" applyNumberFormat="0" applyAlignment="0" applyProtection="0"/>
    <xf numFmtId="0" fontId="28" fillId="9" borderId="8" applyNumberFormat="0" applyAlignment="0" applyProtection="0"/>
    <xf numFmtId="0" fontId="45" fillId="9" borderId="8" applyNumberFormat="0" applyAlignment="0" applyProtection="0"/>
    <xf numFmtId="0" fontId="46" fillId="9" borderId="8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49" fillId="4" borderId="0" applyNumberFormat="0" applyBorder="0" applyAlignment="0" applyProtection="0"/>
    <xf numFmtId="0" fontId="50" fillId="4" borderId="0" applyNumberFormat="0" applyBorder="0" applyAlignment="0" applyProtection="0"/>
    <xf numFmtId="0" fontId="18" fillId="0" borderId="2" applyNumberFormat="0" applyFill="0" applyAlignment="0" applyProtection="0"/>
    <xf numFmtId="0" fontId="51" fillId="0" borderId="2" applyNumberFormat="0" applyFill="0" applyAlignment="0" applyProtection="0"/>
    <xf numFmtId="0" fontId="52" fillId="0" borderId="2" applyNumberFormat="0" applyFill="0" applyAlignment="0" applyProtection="0"/>
    <xf numFmtId="0" fontId="19" fillId="0" borderId="3" applyNumberFormat="0" applyFill="0" applyAlignment="0" applyProtection="0"/>
    <xf numFmtId="0" fontId="53" fillId="0" borderId="3" applyNumberFormat="0" applyFill="0" applyAlignment="0" applyProtection="0"/>
    <xf numFmtId="0" fontId="54" fillId="0" borderId="3" applyNumberFormat="0" applyFill="0" applyAlignment="0" applyProtection="0"/>
    <xf numFmtId="0" fontId="20" fillId="0" borderId="4" applyNumberFormat="0" applyFill="0" applyAlignment="0" applyProtection="0"/>
    <xf numFmtId="0" fontId="55" fillId="0" borderId="4" applyNumberFormat="0" applyFill="0" applyAlignment="0" applyProtection="0"/>
    <xf numFmtId="0" fontId="56" fillId="0" borderId="4" applyNumberFormat="0" applyFill="0" applyAlignment="0" applyProtection="0"/>
    <xf numFmtId="0" fontId="20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4" fillId="7" borderId="5" applyNumberFormat="0" applyAlignment="0" applyProtection="0"/>
    <xf numFmtId="0" fontId="59" fillId="7" borderId="5" applyNumberFormat="0" applyAlignment="0" applyProtection="0"/>
    <xf numFmtId="0" fontId="60" fillId="7" borderId="5" applyNumberFormat="0" applyAlignment="0" applyProtection="0"/>
    <xf numFmtId="0" fontId="27" fillId="0" borderId="7" applyNumberFormat="0" applyFill="0" applyAlignment="0" applyProtection="0"/>
    <xf numFmtId="0" fontId="61" fillId="0" borderId="7" applyNumberFormat="0" applyFill="0" applyAlignment="0" applyProtection="0"/>
    <xf numFmtId="0" fontId="62" fillId="0" borderId="7" applyNumberFormat="0" applyFill="0" applyAlignment="0" applyProtection="0"/>
    <xf numFmtId="0" fontId="23" fillId="6" borderId="0" applyNumberFormat="0" applyBorder="0" applyAlignment="0" applyProtection="0"/>
    <xf numFmtId="0" fontId="63" fillId="6" borderId="0" applyNumberFormat="0" applyBorder="0" applyAlignment="0" applyProtection="0"/>
    <xf numFmtId="0" fontId="64" fillId="6" borderId="0" applyNumberFormat="0" applyBorder="0" applyAlignment="0" applyProtection="0"/>
    <xf numFmtId="0" fontId="65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66" fillId="0" borderId="0">
      <alignment vertical="top"/>
    </xf>
    <xf numFmtId="0" fontId="7" fillId="0" borderId="0"/>
    <xf numFmtId="0" fontId="13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34" fillId="0" borderId="0"/>
    <xf numFmtId="0" fontId="7" fillId="0" borderId="0" applyNumberFormat="0" applyFill="0" applyBorder="0" applyAlignment="0" applyProtection="0"/>
    <xf numFmtId="0" fontId="7" fillId="0" borderId="0"/>
    <xf numFmtId="0" fontId="65" fillId="0" borderId="0"/>
    <xf numFmtId="0" fontId="66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66" fillId="0" borderId="0">
      <alignment vertical="top"/>
    </xf>
    <xf numFmtId="0" fontId="66" fillId="0" borderId="0">
      <alignment vertical="top"/>
    </xf>
    <xf numFmtId="0" fontId="66" fillId="0" borderId="0">
      <alignment vertical="top"/>
    </xf>
    <xf numFmtId="0" fontId="66" fillId="0" borderId="0">
      <alignment vertical="top"/>
    </xf>
    <xf numFmtId="0" fontId="13" fillId="0" borderId="0"/>
    <xf numFmtId="0" fontId="66" fillId="0" borderId="0">
      <alignment vertical="top"/>
    </xf>
    <xf numFmtId="0" fontId="65" fillId="0" borderId="0"/>
    <xf numFmtId="0" fontId="13" fillId="0" borderId="0"/>
    <xf numFmtId="0" fontId="3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65" fillId="0" borderId="0"/>
    <xf numFmtId="0" fontId="13" fillId="0" borderId="0"/>
    <xf numFmtId="0" fontId="7" fillId="10" borderId="9" applyNumberFormat="0" applyFont="0" applyAlignment="0" applyProtection="0"/>
    <xf numFmtId="0" fontId="7" fillId="10" borderId="9" applyNumberFormat="0" applyFont="0" applyAlignment="0" applyProtection="0"/>
    <xf numFmtId="0" fontId="7" fillId="10" borderId="9" applyNumberFormat="0" applyFont="0" applyAlignment="0" applyProtection="0"/>
    <xf numFmtId="0" fontId="37" fillId="10" borderId="9" applyNumberFormat="0" applyFont="0" applyAlignment="0" applyProtection="0"/>
    <xf numFmtId="0" fontId="38" fillId="10" borderId="9" applyNumberFormat="0" applyFont="0" applyAlignment="0" applyProtection="0"/>
    <xf numFmtId="0" fontId="7" fillId="10" borderId="9" applyNumberFormat="0" applyFont="0" applyAlignment="0" applyProtection="0"/>
    <xf numFmtId="0" fontId="7" fillId="10" borderId="9" applyNumberFormat="0" applyFont="0" applyAlignment="0" applyProtection="0"/>
    <xf numFmtId="0" fontId="7" fillId="10" borderId="9" applyNumberFormat="0" applyFont="0" applyAlignment="0" applyProtection="0"/>
    <xf numFmtId="0" fontId="7" fillId="10" borderId="9" applyNumberFormat="0" applyFont="0" applyAlignment="0" applyProtection="0"/>
    <xf numFmtId="0" fontId="25" fillId="8" borderId="6" applyNumberFormat="0" applyAlignment="0" applyProtection="0"/>
    <xf numFmtId="0" fontId="67" fillId="8" borderId="6" applyNumberFormat="0" applyAlignment="0" applyProtection="0"/>
    <xf numFmtId="0" fontId="68" fillId="8" borderId="6" applyNumberForma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6" fillId="0" borderId="10" applyNumberFormat="0" applyFill="0" applyAlignment="0" applyProtection="0"/>
    <xf numFmtId="0" fontId="69" fillId="0" borderId="10" applyNumberFormat="0" applyFill="0" applyAlignment="0" applyProtection="0"/>
    <xf numFmtId="0" fontId="70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0" fontId="4" fillId="0" borderId="0"/>
  </cellStyleXfs>
  <cellXfs count="145">
    <xf numFmtId="0" fontId="0" fillId="0" borderId="0" xfId="0"/>
    <xf numFmtId="164" fontId="12" fillId="0" borderId="0" xfId="0" applyNumberFormat="1" applyFont="1"/>
    <xf numFmtId="49" fontId="12" fillId="0" borderId="0" xfId="0" applyNumberFormat="1" applyFont="1"/>
    <xf numFmtId="167" fontId="12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12" fillId="0" borderId="0" xfId="0" applyFont="1"/>
    <xf numFmtId="166" fontId="12" fillId="0" borderId="0" xfId="0" applyNumberFormat="1" applyFont="1"/>
    <xf numFmtId="3" fontId="12" fillId="0" borderId="0" xfId="0" applyNumberFormat="1" applyFont="1"/>
    <xf numFmtId="167" fontId="12" fillId="0" borderId="0" xfId="0" applyNumberFormat="1" applyFont="1"/>
    <xf numFmtId="1" fontId="12" fillId="0" borderId="0" xfId="0" applyNumberFormat="1" applyFont="1"/>
    <xf numFmtId="10" fontId="12" fillId="0" borderId="0" xfId="0" applyNumberFormat="1" applyFont="1" applyAlignment="1">
      <alignment horizontal="right"/>
    </xf>
    <xf numFmtId="167" fontId="0" fillId="0" borderId="0" xfId="0" quotePrefix="1" applyNumberFormat="1"/>
    <xf numFmtId="167" fontId="0" fillId="0" borderId="0" xfId="0" applyNumberFormat="1"/>
    <xf numFmtId="10" fontId="0" fillId="0" borderId="0" xfId="0" applyNumberFormat="1"/>
    <xf numFmtId="167" fontId="12" fillId="0" borderId="0" xfId="0" quotePrefix="1" applyNumberFormat="1" applyFont="1" applyAlignment="1">
      <alignment horizontal="center"/>
    </xf>
    <xf numFmtId="0" fontId="12" fillId="0" borderId="0" xfId="0" applyFont="1" applyFill="1"/>
    <xf numFmtId="166" fontId="12" fillId="0" borderId="0" xfId="0" applyNumberFormat="1" applyFont="1" applyFill="1"/>
    <xf numFmtId="3" fontId="12" fillId="0" borderId="0" xfId="0" applyNumberFormat="1" applyFont="1" applyFill="1"/>
    <xf numFmtId="10" fontId="0" fillId="0" borderId="0" xfId="1" applyNumberFormat="1" applyFont="1"/>
    <xf numFmtId="1" fontId="12" fillId="0" borderId="0" xfId="0" applyNumberFormat="1" applyFont="1" applyFill="1" applyAlignment="1">
      <alignment horizontal="center"/>
    </xf>
    <xf numFmtId="166" fontId="11" fillId="0" borderId="0" xfId="0" applyNumberFormat="1" applyFont="1" applyBorder="1" applyProtection="1">
      <protection hidden="1"/>
    </xf>
    <xf numFmtId="2" fontId="11" fillId="0" borderId="0" xfId="0" applyNumberFormat="1" applyFont="1" applyBorder="1" applyProtection="1">
      <protection hidden="1"/>
    </xf>
    <xf numFmtId="10" fontId="12" fillId="2" borderId="0" xfId="0" applyNumberFormat="1" applyFont="1" applyFill="1" applyAlignment="1">
      <alignment horizontal="center"/>
    </xf>
    <xf numFmtId="0" fontId="13" fillId="0" borderId="0" xfId="0" applyFont="1"/>
    <xf numFmtId="0" fontId="12" fillId="0" borderId="0" xfId="0" applyNumberFormat="1" applyFont="1"/>
    <xf numFmtId="0" fontId="13" fillId="0" borderId="0" xfId="5" applyFont="1"/>
    <xf numFmtId="0" fontId="13" fillId="35" borderId="0" xfId="5" applyFont="1" applyFill="1"/>
    <xf numFmtId="2" fontId="13" fillId="35" borderId="0" xfId="5" applyNumberFormat="1" applyFont="1" applyFill="1"/>
    <xf numFmtId="2" fontId="13" fillId="0" borderId="0" xfId="5" applyNumberFormat="1" applyFont="1"/>
    <xf numFmtId="0" fontId="13" fillId="0" borderId="0" xfId="5"/>
    <xf numFmtId="0" fontId="13" fillId="35" borderId="0" xfId="5" applyFill="1"/>
    <xf numFmtId="0" fontId="32" fillId="35" borderId="0" xfId="6" applyFill="1"/>
    <xf numFmtId="0" fontId="32" fillId="0" borderId="0" xfId="6"/>
    <xf numFmtId="165" fontId="13" fillId="0" borderId="0" xfId="5" applyNumberFormat="1"/>
    <xf numFmtId="2" fontId="13" fillId="0" borderId="0" xfId="5" applyNumberFormat="1"/>
    <xf numFmtId="166" fontId="13" fillId="0" borderId="0" xfId="5" applyNumberFormat="1"/>
    <xf numFmtId="1" fontId="13" fillId="0" borderId="0" xfId="5" applyNumberFormat="1"/>
    <xf numFmtId="1" fontId="13" fillId="0" borderId="0" xfId="5" applyNumberFormat="1" applyFill="1"/>
    <xf numFmtId="2" fontId="13" fillId="0" borderId="0" xfId="5" applyNumberFormat="1" applyFill="1"/>
    <xf numFmtId="165" fontId="13" fillId="3" borderId="0" xfId="5" applyNumberFormat="1" applyFill="1"/>
    <xf numFmtId="2" fontId="13" fillId="0" borderId="0" xfId="5" applyNumberFormat="1" applyBorder="1"/>
    <xf numFmtId="0" fontId="13" fillId="0" borderId="0" xfId="5" applyBorder="1"/>
    <xf numFmtId="2" fontId="13" fillId="0" borderId="0" xfId="5" applyNumberFormat="1" applyFill="1" applyBorder="1"/>
    <xf numFmtId="1" fontId="13" fillId="35" borderId="0" xfId="5" applyNumberFormat="1" applyFill="1"/>
    <xf numFmtId="3" fontId="13" fillId="0" borderId="0" xfId="5" applyNumberFormat="1"/>
    <xf numFmtId="0" fontId="13" fillId="0" borderId="0" xfId="5" applyFont="1" applyFill="1" applyBorder="1"/>
    <xf numFmtId="165" fontId="13" fillId="0" borderId="0" xfId="5" applyNumberFormat="1" applyFill="1" applyBorder="1"/>
    <xf numFmtId="0" fontId="13" fillId="0" borderId="0" xfId="5" applyFill="1" applyBorder="1"/>
    <xf numFmtId="166" fontId="13" fillId="0" borderId="0" xfId="5" applyNumberFormat="1" applyFill="1" applyBorder="1"/>
    <xf numFmtId="1" fontId="13" fillId="0" borderId="0" xfId="5" applyNumberFormat="1" applyFill="1" applyBorder="1"/>
    <xf numFmtId="3" fontId="13" fillId="0" borderId="0" xfId="5" applyNumberFormat="1" applyFill="1" applyBorder="1"/>
    <xf numFmtId="0" fontId="32" fillId="0" borderId="0" xfId="6" applyFill="1" applyBorder="1"/>
    <xf numFmtId="170" fontId="32" fillId="0" borderId="0" xfId="6" applyNumberFormat="1" applyFill="1" applyBorder="1"/>
    <xf numFmtId="0" fontId="13" fillId="0" borderId="11" xfId="5" applyFont="1" applyFill="1" applyBorder="1"/>
    <xf numFmtId="165" fontId="13" fillId="0" borderId="11" xfId="5" applyNumberFormat="1" applyFill="1" applyBorder="1"/>
    <xf numFmtId="0" fontId="13" fillId="0" borderId="11" xfId="5" applyFill="1" applyBorder="1"/>
    <xf numFmtId="2" fontId="13" fillId="0" borderId="11" xfId="5" applyNumberFormat="1" applyFill="1" applyBorder="1"/>
    <xf numFmtId="166" fontId="13" fillId="0" borderId="11" xfId="5" applyNumberFormat="1" applyFill="1" applyBorder="1"/>
    <xf numFmtId="1" fontId="13" fillId="0" borderId="11" xfId="5" applyNumberFormat="1" applyFill="1" applyBorder="1"/>
    <xf numFmtId="3" fontId="13" fillId="0" borderId="11" xfId="5" applyNumberFormat="1" applyFill="1" applyBorder="1"/>
    <xf numFmtId="0" fontId="32" fillId="0" borderId="11" xfId="6" applyFill="1" applyBorder="1"/>
    <xf numFmtId="170" fontId="32" fillId="0" borderId="11" xfId="6" applyNumberFormat="1" applyFill="1" applyBorder="1"/>
    <xf numFmtId="0" fontId="13" fillId="0" borderId="12" xfId="5" applyFont="1" applyBorder="1"/>
    <xf numFmtId="165" fontId="13" fillId="36" borderId="12" xfId="5" applyNumberFormat="1" applyFill="1" applyBorder="1"/>
    <xf numFmtId="0" fontId="13" fillId="0" borderId="12" xfId="5" applyBorder="1"/>
    <xf numFmtId="2" fontId="13" fillId="0" borderId="12" xfId="5" applyNumberFormat="1" applyBorder="1"/>
    <xf numFmtId="166" fontId="13" fillId="0" borderId="12" xfId="5" applyNumberFormat="1" applyBorder="1"/>
    <xf numFmtId="1" fontId="13" fillId="0" borderId="12" xfId="5" applyNumberFormat="1" applyBorder="1"/>
    <xf numFmtId="1" fontId="13" fillId="0" borderId="12" xfId="5" applyNumberFormat="1" applyFill="1" applyBorder="1"/>
    <xf numFmtId="165" fontId="13" fillId="37" borderId="12" xfId="5" applyNumberFormat="1" applyFill="1" applyBorder="1"/>
    <xf numFmtId="3" fontId="13" fillId="37" borderId="12" xfId="5" applyNumberFormat="1" applyFill="1" applyBorder="1"/>
    <xf numFmtId="0" fontId="32" fillId="0" borderId="12" xfId="6" applyBorder="1"/>
    <xf numFmtId="0" fontId="32" fillId="37" borderId="12" xfId="6" applyFill="1" applyBorder="1"/>
    <xf numFmtId="0" fontId="13" fillId="0" borderId="0" xfId="5" applyFont="1" applyBorder="1"/>
    <xf numFmtId="165" fontId="13" fillId="36" borderId="0" xfId="5" applyNumberFormat="1" applyFill="1" applyBorder="1"/>
    <xf numFmtId="166" fontId="13" fillId="0" borderId="0" xfId="5" applyNumberFormat="1" applyBorder="1"/>
    <xf numFmtId="1" fontId="13" fillId="0" borderId="0" xfId="5" applyNumberFormat="1" applyBorder="1"/>
    <xf numFmtId="0" fontId="32" fillId="0" borderId="0" xfId="6" applyBorder="1"/>
    <xf numFmtId="2" fontId="32" fillId="0" borderId="0" xfId="6" applyNumberFormat="1"/>
    <xf numFmtId="2" fontId="13" fillId="0" borderId="0" xfId="7" applyNumberFormat="1" applyFill="1" applyBorder="1"/>
    <xf numFmtId="2" fontId="32" fillId="0" borderId="0" xfId="6" applyNumberFormat="1" applyFill="1" applyBorder="1"/>
    <xf numFmtId="2" fontId="32" fillId="0" borderId="0" xfId="6" applyNumberFormat="1" applyFill="1"/>
    <xf numFmtId="2" fontId="13" fillId="0" borderId="0" xfId="7" applyNumberFormat="1"/>
    <xf numFmtId="169" fontId="13" fillId="0" borderId="0" xfId="7" applyNumberFormat="1" applyFill="1" applyBorder="1"/>
    <xf numFmtId="166" fontId="32" fillId="0" borderId="0" xfId="6" applyNumberFormat="1" applyFill="1" applyBorder="1"/>
    <xf numFmtId="1" fontId="32" fillId="0" borderId="0" xfId="6" applyNumberFormat="1"/>
    <xf numFmtId="171" fontId="0" fillId="0" borderId="0" xfId="8" applyNumberFormat="1" applyFont="1"/>
    <xf numFmtId="2" fontId="13" fillId="0" borderId="0" xfId="7" applyNumberFormat="1" applyFill="1"/>
    <xf numFmtId="171" fontId="32" fillId="0" borderId="0" xfId="6" applyNumberFormat="1"/>
    <xf numFmtId="0" fontId="12" fillId="0" borderId="0" xfId="6" applyFont="1"/>
    <xf numFmtId="172" fontId="33" fillId="0" borderId="0" xfId="9" applyNumberFormat="1"/>
    <xf numFmtId="9" fontId="32" fillId="0" borderId="0" xfId="6" applyNumberFormat="1"/>
    <xf numFmtId="49" fontId="34" fillId="0" borderId="13" xfId="10" applyNumberFormat="1" applyFont="1" applyFill="1" applyBorder="1" applyProtection="1"/>
    <xf numFmtId="49" fontId="34" fillId="0" borderId="13" xfId="6" applyNumberFormat="1" applyFont="1" applyFill="1" applyBorder="1"/>
    <xf numFmtId="49" fontId="34" fillId="0" borderId="0" xfId="6" applyNumberFormat="1" applyFont="1" applyFill="1" applyBorder="1"/>
    <xf numFmtId="173" fontId="35" fillId="0" borderId="13" xfId="6" applyNumberFormat="1" applyFont="1" applyBorder="1" applyProtection="1">
      <protection hidden="1"/>
    </xf>
    <xf numFmtId="0" fontId="34" fillId="0" borderId="13" xfId="6" applyNumberFormat="1" applyFont="1" applyFill="1" applyBorder="1" applyProtection="1"/>
    <xf numFmtId="0" fontId="34" fillId="0" borderId="0" xfId="6" applyNumberFormat="1" applyFont="1" applyFill="1" applyBorder="1" applyProtection="1"/>
    <xf numFmtId="0" fontId="13" fillId="0" borderId="0" xfId="7" applyFill="1" applyBorder="1"/>
    <xf numFmtId="49" fontId="34" fillId="0" borderId="13" xfId="6" applyNumberFormat="1" applyFont="1" applyFill="1" applyBorder="1" applyProtection="1"/>
    <xf numFmtId="49" fontId="34" fillId="0" borderId="0" xfId="6" applyNumberFormat="1" applyFont="1" applyFill="1" applyBorder="1" applyProtection="1"/>
    <xf numFmtId="0" fontId="12" fillId="3" borderId="0" xfId="0" applyNumberFormat="1" applyFont="1" applyFill="1"/>
    <xf numFmtId="10" fontId="12" fillId="0" borderId="0" xfId="1" applyNumberFormat="1" applyFont="1"/>
    <xf numFmtId="3" fontId="12" fillId="0" borderId="0" xfId="1" applyNumberFormat="1" applyFont="1"/>
    <xf numFmtId="1" fontId="0" fillId="0" borderId="0" xfId="0" applyNumberFormat="1" applyFill="1"/>
    <xf numFmtId="3" fontId="11" fillId="0" borderId="0" xfId="0" applyNumberFormat="1" applyFont="1" applyBorder="1" applyAlignment="1" applyProtection="1">
      <alignment horizontal="center"/>
      <protection hidden="1"/>
    </xf>
    <xf numFmtId="3" fontId="14" fillId="0" borderId="0" xfId="0" applyNumberFormat="1" applyFont="1" applyBorder="1" applyAlignment="1" applyProtection="1">
      <alignment horizontal="center"/>
      <protection hidden="1"/>
    </xf>
    <xf numFmtId="49" fontId="11" fillId="0" borderId="0" xfId="0" applyNumberFormat="1" applyFont="1" applyBorder="1" applyProtection="1">
      <protection hidden="1"/>
    </xf>
    <xf numFmtId="164" fontId="11" fillId="0" borderId="0" xfId="0" applyNumberFormat="1" applyFont="1" applyBorder="1" applyProtection="1">
      <protection hidden="1"/>
    </xf>
    <xf numFmtId="0" fontId="11" fillId="0" borderId="0" xfId="0" applyFont="1" applyBorder="1" applyProtection="1">
      <protection hidden="1"/>
    </xf>
    <xf numFmtId="3" fontId="11" fillId="0" borderId="0" xfId="0" applyNumberFormat="1" applyFont="1" applyBorder="1" applyProtection="1">
      <protection hidden="1"/>
    </xf>
    <xf numFmtId="166" fontId="11" fillId="0" borderId="13" xfId="0" applyNumberFormat="1" applyFont="1" applyBorder="1" applyAlignment="1" applyProtection="1">
      <alignment horizontal="center" wrapText="1"/>
      <protection hidden="1"/>
    </xf>
    <xf numFmtId="3" fontId="11" fillId="0" borderId="13" xfId="0" quotePrefix="1" applyNumberFormat="1" applyFont="1" applyBorder="1" applyAlignment="1" applyProtection="1">
      <alignment horizontal="center" wrapText="1"/>
      <protection hidden="1"/>
    </xf>
    <xf numFmtId="3" fontId="11" fillId="0" borderId="13" xfId="0" applyNumberFormat="1" applyFont="1" applyBorder="1" applyAlignment="1" applyProtection="1">
      <alignment horizontal="center" wrapText="1"/>
      <protection hidden="1"/>
    </xf>
    <xf numFmtId="166" fontId="73" fillId="0" borderId="0" xfId="0" applyNumberFormat="1" applyFont="1" applyBorder="1" applyAlignment="1" applyProtection="1">
      <alignment horizontal="center"/>
      <protection hidden="1"/>
    </xf>
    <xf numFmtId="166" fontId="11" fillId="38" borderId="13" xfId="0" applyNumberFormat="1" applyFont="1" applyFill="1" applyBorder="1" applyAlignment="1" applyProtection="1">
      <alignment horizontal="center" wrapText="1"/>
      <protection hidden="1"/>
    </xf>
    <xf numFmtId="164" fontId="11" fillId="0" borderId="13" xfId="0" applyNumberFormat="1" applyFont="1" applyBorder="1" applyProtection="1">
      <protection hidden="1"/>
    </xf>
    <xf numFmtId="0" fontId="11" fillId="0" borderId="13" xfId="0" applyFont="1" applyBorder="1" applyProtection="1">
      <protection hidden="1"/>
    </xf>
    <xf numFmtId="166" fontId="11" fillId="38" borderId="13" xfId="0" applyNumberFormat="1" applyFont="1" applyFill="1" applyBorder="1" applyProtection="1">
      <protection hidden="1"/>
    </xf>
    <xf numFmtId="3" fontId="11" fillId="0" borderId="13" xfId="0" applyNumberFormat="1" applyFont="1" applyBorder="1" applyProtection="1">
      <protection hidden="1"/>
    </xf>
    <xf numFmtId="168" fontId="73" fillId="38" borderId="0" xfId="0" applyNumberFormat="1" applyFont="1" applyFill="1" applyBorder="1" applyProtection="1">
      <protection hidden="1"/>
    </xf>
    <xf numFmtId="3" fontId="73" fillId="0" borderId="0" xfId="0" applyNumberFormat="1" applyFont="1" applyBorder="1" applyProtection="1">
      <protection hidden="1"/>
    </xf>
    <xf numFmtId="168" fontId="73" fillId="0" borderId="1" xfId="0" applyNumberFormat="1" applyFont="1" applyBorder="1" applyProtection="1">
      <protection hidden="1"/>
    </xf>
    <xf numFmtId="3" fontId="73" fillId="0" borderId="1" xfId="0" applyNumberFormat="1" applyFont="1" applyBorder="1" applyProtection="1">
      <protection hidden="1"/>
    </xf>
    <xf numFmtId="49" fontId="0" fillId="0" borderId="0" xfId="0" applyNumberFormat="1"/>
    <xf numFmtId="0" fontId="6" fillId="0" borderId="0" xfId="263"/>
    <xf numFmtId="0" fontId="0" fillId="0" borderId="0" xfId="0" applyFill="1"/>
    <xf numFmtId="3" fontId="0" fillId="0" borderId="0" xfId="0" applyNumberFormat="1"/>
    <xf numFmtId="0" fontId="4" fillId="0" borderId="0" xfId="266"/>
    <xf numFmtId="2" fontId="4" fillId="0" borderId="0" xfId="266" applyNumberFormat="1"/>
    <xf numFmtId="0" fontId="3" fillId="0" borderId="0" xfId="263" applyFont="1"/>
    <xf numFmtId="0" fontId="2" fillId="37" borderId="0" xfId="266" applyFont="1" applyFill="1"/>
    <xf numFmtId="0" fontId="4" fillId="37" borderId="0" xfId="266" applyFill="1"/>
    <xf numFmtId="0" fontId="1" fillId="37" borderId="0" xfId="266" quotePrefix="1" applyFont="1" applyFill="1"/>
    <xf numFmtId="0" fontId="13" fillId="0" borderId="0" xfId="0" applyFont="1" applyFill="1"/>
    <xf numFmtId="49" fontId="11" fillId="0" borderId="0" xfId="0" applyNumberFormat="1" applyFont="1" applyFill="1" applyBorder="1" applyProtection="1">
      <protection hidden="1"/>
    </xf>
    <xf numFmtId="164" fontId="11" fillId="0" borderId="0" xfId="0" applyNumberFormat="1" applyFont="1" applyBorder="1" applyAlignment="1" applyProtection="1">
      <alignment wrapText="1"/>
      <protection hidden="1"/>
    </xf>
    <xf numFmtId="0" fontId="0" fillId="0" borderId="0" xfId="0" applyBorder="1" applyAlignment="1" applyProtection="1">
      <alignment wrapText="1"/>
      <protection hidden="1"/>
    </xf>
    <xf numFmtId="49" fontId="14" fillId="0" borderId="14" xfId="0" applyNumberFormat="1" applyFont="1" applyBorder="1" applyAlignment="1" applyProtection="1">
      <alignment horizontal="center" vertical="center"/>
      <protection hidden="1"/>
    </xf>
    <xf numFmtId="49" fontId="14" fillId="0" borderId="15" xfId="0" applyNumberFormat="1" applyFont="1" applyBorder="1" applyAlignment="1" applyProtection="1">
      <alignment horizontal="center" vertical="center"/>
      <protection hidden="1"/>
    </xf>
    <xf numFmtId="166" fontId="73" fillId="0" borderId="0" xfId="0" applyNumberFormat="1" applyFont="1" applyBorder="1" applyAlignment="1" applyProtection="1">
      <alignment horizontal="center"/>
      <protection hidden="1"/>
    </xf>
    <xf numFmtId="0" fontId="74" fillId="0" borderId="0" xfId="0" applyNumberFormat="1" applyFont="1" applyFill="1" applyBorder="1" applyAlignment="1" applyProtection="1">
      <alignment horizontal="center" wrapText="1"/>
      <protection hidden="1"/>
    </xf>
    <xf numFmtId="168" fontId="11" fillId="0" borderId="13" xfId="0" applyNumberFormat="1" applyFont="1" applyBorder="1" applyProtection="1">
      <protection hidden="1"/>
    </xf>
  </cellXfs>
  <cellStyles count="267">
    <cellStyle name="20% - Accent1 2" xfId="11" xr:uid="{00000000-0005-0000-0000-000000000000}"/>
    <cellStyle name="20% - Accent1 2 2" xfId="12" xr:uid="{00000000-0005-0000-0000-000001000000}"/>
    <cellStyle name="20% - Accent1 2 3" xfId="13" xr:uid="{00000000-0005-0000-0000-000002000000}"/>
    <cellStyle name="20% - Accent1 2 4" xfId="14" xr:uid="{00000000-0005-0000-0000-000003000000}"/>
    <cellStyle name="20% - Accent1 3" xfId="15" xr:uid="{00000000-0005-0000-0000-000004000000}"/>
    <cellStyle name="20% - Accent1 4" xfId="16" xr:uid="{00000000-0005-0000-0000-000005000000}"/>
    <cellStyle name="20% - Accent1 4 2" xfId="17" xr:uid="{00000000-0005-0000-0000-000006000000}"/>
    <cellStyle name="20% - Accent1 5" xfId="18" xr:uid="{00000000-0005-0000-0000-000007000000}"/>
    <cellStyle name="20% - Accent2 2" xfId="19" xr:uid="{00000000-0005-0000-0000-000008000000}"/>
    <cellStyle name="20% - Accent2 2 2" xfId="20" xr:uid="{00000000-0005-0000-0000-000009000000}"/>
    <cellStyle name="20% - Accent2 2 3" xfId="21" xr:uid="{00000000-0005-0000-0000-00000A000000}"/>
    <cellStyle name="20% - Accent2 2 4" xfId="22" xr:uid="{00000000-0005-0000-0000-00000B000000}"/>
    <cellStyle name="20% - Accent2 3" xfId="23" xr:uid="{00000000-0005-0000-0000-00000C000000}"/>
    <cellStyle name="20% - Accent2 4" xfId="24" xr:uid="{00000000-0005-0000-0000-00000D000000}"/>
    <cellStyle name="20% - Accent2 4 2" xfId="25" xr:uid="{00000000-0005-0000-0000-00000E000000}"/>
    <cellStyle name="20% - Accent2 5" xfId="26" xr:uid="{00000000-0005-0000-0000-00000F000000}"/>
    <cellStyle name="20% - Accent3 2" xfId="27" xr:uid="{00000000-0005-0000-0000-000010000000}"/>
    <cellStyle name="20% - Accent3 2 2" xfId="28" xr:uid="{00000000-0005-0000-0000-000011000000}"/>
    <cellStyle name="20% - Accent3 2 3" xfId="29" xr:uid="{00000000-0005-0000-0000-000012000000}"/>
    <cellStyle name="20% - Accent3 2 4" xfId="30" xr:uid="{00000000-0005-0000-0000-000013000000}"/>
    <cellStyle name="20% - Accent3 3" xfId="31" xr:uid="{00000000-0005-0000-0000-000014000000}"/>
    <cellStyle name="20% - Accent3 4" xfId="32" xr:uid="{00000000-0005-0000-0000-000015000000}"/>
    <cellStyle name="20% - Accent3 4 2" xfId="33" xr:uid="{00000000-0005-0000-0000-000016000000}"/>
    <cellStyle name="20% - Accent3 5" xfId="34" xr:uid="{00000000-0005-0000-0000-000017000000}"/>
    <cellStyle name="20% - Accent4 2" xfId="35" xr:uid="{00000000-0005-0000-0000-000018000000}"/>
    <cellStyle name="20% - Accent4 2 2" xfId="36" xr:uid="{00000000-0005-0000-0000-000019000000}"/>
    <cellStyle name="20% - Accent4 2 3" xfId="37" xr:uid="{00000000-0005-0000-0000-00001A000000}"/>
    <cellStyle name="20% - Accent4 2 4" xfId="38" xr:uid="{00000000-0005-0000-0000-00001B000000}"/>
    <cellStyle name="20% - Accent4 3" xfId="39" xr:uid="{00000000-0005-0000-0000-00001C000000}"/>
    <cellStyle name="20% - Accent4 4" xfId="40" xr:uid="{00000000-0005-0000-0000-00001D000000}"/>
    <cellStyle name="20% - Accent4 4 2" xfId="41" xr:uid="{00000000-0005-0000-0000-00001E000000}"/>
    <cellStyle name="20% - Accent4 5" xfId="42" xr:uid="{00000000-0005-0000-0000-00001F000000}"/>
    <cellStyle name="20% - Accent5 2" xfId="43" xr:uid="{00000000-0005-0000-0000-000020000000}"/>
    <cellStyle name="20% - Accent5 2 2" xfId="44" xr:uid="{00000000-0005-0000-0000-000021000000}"/>
    <cellStyle name="20% - Accent5 2 3" xfId="45" xr:uid="{00000000-0005-0000-0000-000022000000}"/>
    <cellStyle name="20% - Accent5 2 4" xfId="46" xr:uid="{00000000-0005-0000-0000-000023000000}"/>
    <cellStyle name="20% - Accent5 3" xfId="47" xr:uid="{00000000-0005-0000-0000-000024000000}"/>
    <cellStyle name="20% - Accent5 4" xfId="48" xr:uid="{00000000-0005-0000-0000-000025000000}"/>
    <cellStyle name="20% - Accent5 4 2" xfId="49" xr:uid="{00000000-0005-0000-0000-000026000000}"/>
    <cellStyle name="20% - Accent5 5" xfId="50" xr:uid="{00000000-0005-0000-0000-000027000000}"/>
    <cellStyle name="20% - Accent6 2" xfId="51" xr:uid="{00000000-0005-0000-0000-000028000000}"/>
    <cellStyle name="20% - Accent6 2 2" xfId="52" xr:uid="{00000000-0005-0000-0000-000029000000}"/>
    <cellStyle name="20% - Accent6 2 3" xfId="53" xr:uid="{00000000-0005-0000-0000-00002A000000}"/>
    <cellStyle name="20% - Accent6 2 4" xfId="54" xr:uid="{00000000-0005-0000-0000-00002B000000}"/>
    <cellStyle name="20% - Accent6 3" xfId="55" xr:uid="{00000000-0005-0000-0000-00002C000000}"/>
    <cellStyle name="20% - Accent6 4" xfId="56" xr:uid="{00000000-0005-0000-0000-00002D000000}"/>
    <cellStyle name="20% - Accent6 4 2" xfId="57" xr:uid="{00000000-0005-0000-0000-00002E000000}"/>
    <cellStyle name="20% - Accent6 5" xfId="58" xr:uid="{00000000-0005-0000-0000-00002F000000}"/>
    <cellStyle name="40% - Accent1 2" xfId="59" xr:uid="{00000000-0005-0000-0000-000030000000}"/>
    <cellStyle name="40% - Accent1 2 2" xfId="60" xr:uid="{00000000-0005-0000-0000-000031000000}"/>
    <cellStyle name="40% - Accent1 2 3" xfId="61" xr:uid="{00000000-0005-0000-0000-000032000000}"/>
    <cellStyle name="40% - Accent1 2 4" xfId="62" xr:uid="{00000000-0005-0000-0000-000033000000}"/>
    <cellStyle name="40% - Accent1 3" xfId="63" xr:uid="{00000000-0005-0000-0000-000034000000}"/>
    <cellStyle name="40% - Accent1 4" xfId="64" xr:uid="{00000000-0005-0000-0000-000035000000}"/>
    <cellStyle name="40% - Accent1 4 2" xfId="65" xr:uid="{00000000-0005-0000-0000-000036000000}"/>
    <cellStyle name="40% - Accent1 5" xfId="66" xr:uid="{00000000-0005-0000-0000-000037000000}"/>
    <cellStyle name="40% - Accent2 2" xfId="67" xr:uid="{00000000-0005-0000-0000-000038000000}"/>
    <cellStyle name="40% - Accent2 2 2" xfId="68" xr:uid="{00000000-0005-0000-0000-000039000000}"/>
    <cellStyle name="40% - Accent2 2 3" xfId="69" xr:uid="{00000000-0005-0000-0000-00003A000000}"/>
    <cellStyle name="40% - Accent2 2 4" xfId="70" xr:uid="{00000000-0005-0000-0000-00003B000000}"/>
    <cellStyle name="40% - Accent2 3" xfId="71" xr:uid="{00000000-0005-0000-0000-00003C000000}"/>
    <cellStyle name="40% - Accent2 4" xfId="72" xr:uid="{00000000-0005-0000-0000-00003D000000}"/>
    <cellStyle name="40% - Accent2 4 2" xfId="73" xr:uid="{00000000-0005-0000-0000-00003E000000}"/>
    <cellStyle name="40% - Accent2 5" xfId="74" xr:uid="{00000000-0005-0000-0000-00003F000000}"/>
    <cellStyle name="40% - Accent3 2" xfId="75" xr:uid="{00000000-0005-0000-0000-000040000000}"/>
    <cellStyle name="40% - Accent3 2 2" xfId="76" xr:uid="{00000000-0005-0000-0000-000041000000}"/>
    <cellStyle name="40% - Accent3 2 3" xfId="77" xr:uid="{00000000-0005-0000-0000-000042000000}"/>
    <cellStyle name="40% - Accent3 2 4" xfId="78" xr:uid="{00000000-0005-0000-0000-000043000000}"/>
    <cellStyle name="40% - Accent3 3" xfId="79" xr:uid="{00000000-0005-0000-0000-000044000000}"/>
    <cellStyle name="40% - Accent3 4" xfId="80" xr:uid="{00000000-0005-0000-0000-000045000000}"/>
    <cellStyle name="40% - Accent3 4 2" xfId="81" xr:uid="{00000000-0005-0000-0000-000046000000}"/>
    <cellStyle name="40% - Accent3 5" xfId="82" xr:uid="{00000000-0005-0000-0000-000047000000}"/>
    <cellStyle name="40% - Accent4 2" xfId="83" xr:uid="{00000000-0005-0000-0000-000048000000}"/>
    <cellStyle name="40% - Accent4 2 2" xfId="84" xr:uid="{00000000-0005-0000-0000-000049000000}"/>
    <cellStyle name="40% - Accent4 2 3" xfId="85" xr:uid="{00000000-0005-0000-0000-00004A000000}"/>
    <cellStyle name="40% - Accent4 2 4" xfId="86" xr:uid="{00000000-0005-0000-0000-00004B000000}"/>
    <cellStyle name="40% - Accent4 3" xfId="87" xr:uid="{00000000-0005-0000-0000-00004C000000}"/>
    <cellStyle name="40% - Accent4 4" xfId="88" xr:uid="{00000000-0005-0000-0000-00004D000000}"/>
    <cellStyle name="40% - Accent4 4 2" xfId="89" xr:uid="{00000000-0005-0000-0000-00004E000000}"/>
    <cellStyle name="40% - Accent4 5" xfId="90" xr:uid="{00000000-0005-0000-0000-00004F000000}"/>
    <cellStyle name="40% - Accent5 2" xfId="91" xr:uid="{00000000-0005-0000-0000-000050000000}"/>
    <cellStyle name="40% - Accent5 2 2" xfId="92" xr:uid="{00000000-0005-0000-0000-000051000000}"/>
    <cellStyle name="40% - Accent5 2 3" xfId="93" xr:uid="{00000000-0005-0000-0000-000052000000}"/>
    <cellStyle name="40% - Accent5 2 4" xfId="94" xr:uid="{00000000-0005-0000-0000-000053000000}"/>
    <cellStyle name="40% - Accent5 3" xfId="95" xr:uid="{00000000-0005-0000-0000-000054000000}"/>
    <cellStyle name="40% - Accent5 4" xfId="96" xr:uid="{00000000-0005-0000-0000-000055000000}"/>
    <cellStyle name="40% - Accent5 4 2" xfId="97" xr:uid="{00000000-0005-0000-0000-000056000000}"/>
    <cellStyle name="40% - Accent5 5" xfId="98" xr:uid="{00000000-0005-0000-0000-000057000000}"/>
    <cellStyle name="40% - Accent6 2" xfId="99" xr:uid="{00000000-0005-0000-0000-000058000000}"/>
    <cellStyle name="40% - Accent6 2 2" xfId="100" xr:uid="{00000000-0005-0000-0000-000059000000}"/>
    <cellStyle name="40% - Accent6 2 3" xfId="101" xr:uid="{00000000-0005-0000-0000-00005A000000}"/>
    <cellStyle name="40% - Accent6 2 4" xfId="102" xr:uid="{00000000-0005-0000-0000-00005B000000}"/>
    <cellStyle name="40% - Accent6 3" xfId="103" xr:uid="{00000000-0005-0000-0000-00005C000000}"/>
    <cellStyle name="40% - Accent6 4" xfId="104" xr:uid="{00000000-0005-0000-0000-00005D000000}"/>
    <cellStyle name="40% - Accent6 4 2" xfId="105" xr:uid="{00000000-0005-0000-0000-00005E000000}"/>
    <cellStyle name="40% - Accent6 5" xfId="106" xr:uid="{00000000-0005-0000-0000-00005F000000}"/>
    <cellStyle name="60% - Accent1 2" xfId="107" xr:uid="{00000000-0005-0000-0000-000060000000}"/>
    <cellStyle name="60% - Accent1 2 2" xfId="108" xr:uid="{00000000-0005-0000-0000-000061000000}"/>
    <cellStyle name="60% - Accent1 3" xfId="109" xr:uid="{00000000-0005-0000-0000-000062000000}"/>
    <cellStyle name="60% - Accent2 2" xfId="110" xr:uid="{00000000-0005-0000-0000-000063000000}"/>
    <cellStyle name="60% - Accent2 2 2" xfId="111" xr:uid="{00000000-0005-0000-0000-000064000000}"/>
    <cellStyle name="60% - Accent2 3" xfId="112" xr:uid="{00000000-0005-0000-0000-000065000000}"/>
    <cellStyle name="60% - Accent3 2" xfId="113" xr:uid="{00000000-0005-0000-0000-000066000000}"/>
    <cellStyle name="60% - Accent3 2 2" xfId="114" xr:uid="{00000000-0005-0000-0000-000067000000}"/>
    <cellStyle name="60% - Accent3 3" xfId="115" xr:uid="{00000000-0005-0000-0000-000068000000}"/>
    <cellStyle name="60% - Accent4 2" xfId="116" xr:uid="{00000000-0005-0000-0000-000069000000}"/>
    <cellStyle name="60% - Accent4 2 2" xfId="117" xr:uid="{00000000-0005-0000-0000-00006A000000}"/>
    <cellStyle name="60% - Accent4 3" xfId="118" xr:uid="{00000000-0005-0000-0000-00006B000000}"/>
    <cellStyle name="60% - Accent5 2" xfId="119" xr:uid="{00000000-0005-0000-0000-00006C000000}"/>
    <cellStyle name="60% - Accent5 2 2" xfId="120" xr:uid="{00000000-0005-0000-0000-00006D000000}"/>
    <cellStyle name="60% - Accent5 3" xfId="121" xr:uid="{00000000-0005-0000-0000-00006E000000}"/>
    <cellStyle name="60% - Accent6 2" xfId="122" xr:uid="{00000000-0005-0000-0000-00006F000000}"/>
    <cellStyle name="60% - Accent6 2 2" xfId="123" xr:uid="{00000000-0005-0000-0000-000070000000}"/>
    <cellStyle name="60% - Accent6 3" xfId="124" xr:uid="{00000000-0005-0000-0000-000071000000}"/>
    <cellStyle name="Accent1 2" xfId="125" xr:uid="{00000000-0005-0000-0000-000072000000}"/>
    <cellStyle name="Accent1 2 2" xfId="126" xr:uid="{00000000-0005-0000-0000-000073000000}"/>
    <cellStyle name="Accent1 3" xfId="127" xr:uid="{00000000-0005-0000-0000-000074000000}"/>
    <cellStyle name="Accent2 2" xfId="128" xr:uid="{00000000-0005-0000-0000-000075000000}"/>
    <cellStyle name="Accent2 2 2" xfId="129" xr:uid="{00000000-0005-0000-0000-000076000000}"/>
    <cellStyle name="Accent2 3" xfId="130" xr:uid="{00000000-0005-0000-0000-000077000000}"/>
    <cellStyle name="Accent3 2" xfId="131" xr:uid="{00000000-0005-0000-0000-000078000000}"/>
    <cellStyle name="Accent3 2 2" xfId="132" xr:uid="{00000000-0005-0000-0000-000079000000}"/>
    <cellStyle name="Accent3 3" xfId="133" xr:uid="{00000000-0005-0000-0000-00007A000000}"/>
    <cellStyle name="Accent4 2" xfId="134" xr:uid="{00000000-0005-0000-0000-00007B000000}"/>
    <cellStyle name="Accent4 2 2" xfId="135" xr:uid="{00000000-0005-0000-0000-00007C000000}"/>
    <cellStyle name="Accent4 3" xfId="136" xr:uid="{00000000-0005-0000-0000-00007D000000}"/>
    <cellStyle name="Accent5 2" xfId="137" xr:uid="{00000000-0005-0000-0000-00007E000000}"/>
    <cellStyle name="Accent5 2 2" xfId="138" xr:uid="{00000000-0005-0000-0000-00007F000000}"/>
    <cellStyle name="Accent5 3" xfId="139" xr:uid="{00000000-0005-0000-0000-000080000000}"/>
    <cellStyle name="Accent6 2" xfId="140" xr:uid="{00000000-0005-0000-0000-000081000000}"/>
    <cellStyle name="Accent6 2 2" xfId="141" xr:uid="{00000000-0005-0000-0000-000082000000}"/>
    <cellStyle name="Accent6 3" xfId="142" xr:uid="{00000000-0005-0000-0000-000083000000}"/>
    <cellStyle name="Bad 2" xfId="143" xr:uid="{00000000-0005-0000-0000-000084000000}"/>
    <cellStyle name="Bad 2 2" xfId="144" xr:uid="{00000000-0005-0000-0000-000085000000}"/>
    <cellStyle name="Bad 3" xfId="145" xr:uid="{00000000-0005-0000-0000-000086000000}"/>
    <cellStyle name="Calculation 2" xfId="146" xr:uid="{00000000-0005-0000-0000-000087000000}"/>
    <cellStyle name="Calculation 2 2" xfId="147" xr:uid="{00000000-0005-0000-0000-000088000000}"/>
    <cellStyle name="Calculation 3" xfId="148" xr:uid="{00000000-0005-0000-0000-000089000000}"/>
    <cellStyle name="Check Cell 2" xfId="149" xr:uid="{00000000-0005-0000-0000-00008A000000}"/>
    <cellStyle name="Check Cell 2 2" xfId="150" xr:uid="{00000000-0005-0000-0000-00008B000000}"/>
    <cellStyle name="Check Cell 3" xfId="151" xr:uid="{00000000-0005-0000-0000-00008C000000}"/>
    <cellStyle name="Comma 2" xfId="8" xr:uid="{00000000-0005-0000-0000-00008D000000}"/>
    <cellStyle name="Comma 2 2" xfId="152" xr:uid="{00000000-0005-0000-0000-00008E000000}"/>
    <cellStyle name="Comma 2 2 2" xfId="153" xr:uid="{00000000-0005-0000-0000-00008F000000}"/>
    <cellStyle name="Comma 2 2 3" xfId="154" xr:uid="{00000000-0005-0000-0000-000090000000}"/>
    <cellStyle name="Comma 2 3" xfId="155" xr:uid="{00000000-0005-0000-0000-000091000000}"/>
    <cellStyle name="Comma 3" xfId="156" xr:uid="{00000000-0005-0000-0000-000092000000}"/>
    <cellStyle name="Currency 2" xfId="157" xr:uid="{00000000-0005-0000-0000-000093000000}"/>
    <cellStyle name="Currency 3" xfId="158" xr:uid="{00000000-0005-0000-0000-000094000000}"/>
    <cellStyle name="Explanatory Text 2" xfId="159" xr:uid="{00000000-0005-0000-0000-000095000000}"/>
    <cellStyle name="Explanatory Text 2 2" xfId="160" xr:uid="{00000000-0005-0000-0000-000096000000}"/>
    <cellStyle name="Explanatory Text 3" xfId="161" xr:uid="{00000000-0005-0000-0000-000097000000}"/>
    <cellStyle name="Good 2" xfId="162" xr:uid="{00000000-0005-0000-0000-000098000000}"/>
    <cellStyle name="Good 2 2" xfId="163" xr:uid="{00000000-0005-0000-0000-000099000000}"/>
    <cellStyle name="Good 3" xfId="164" xr:uid="{00000000-0005-0000-0000-00009A000000}"/>
    <cellStyle name="Heading 1 2" xfId="165" xr:uid="{00000000-0005-0000-0000-00009B000000}"/>
    <cellStyle name="Heading 1 2 2" xfId="166" xr:uid="{00000000-0005-0000-0000-00009C000000}"/>
    <cellStyle name="Heading 1 3" xfId="167" xr:uid="{00000000-0005-0000-0000-00009D000000}"/>
    <cellStyle name="Heading 2 2" xfId="168" xr:uid="{00000000-0005-0000-0000-00009E000000}"/>
    <cellStyle name="Heading 2 2 2" xfId="169" xr:uid="{00000000-0005-0000-0000-00009F000000}"/>
    <cellStyle name="Heading 2 3" xfId="170" xr:uid="{00000000-0005-0000-0000-0000A0000000}"/>
    <cellStyle name="Heading 3 2" xfId="171" xr:uid="{00000000-0005-0000-0000-0000A1000000}"/>
    <cellStyle name="Heading 3 2 2" xfId="172" xr:uid="{00000000-0005-0000-0000-0000A2000000}"/>
    <cellStyle name="Heading 3 3" xfId="173" xr:uid="{00000000-0005-0000-0000-0000A3000000}"/>
    <cellStyle name="Heading 4 2" xfId="174" xr:uid="{00000000-0005-0000-0000-0000A4000000}"/>
    <cellStyle name="Heading 4 2 2" xfId="175" xr:uid="{00000000-0005-0000-0000-0000A5000000}"/>
    <cellStyle name="Heading 4 3" xfId="176" xr:uid="{00000000-0005-0000-0000-0000A6000000}"/>
    <cellStyle name="Hyperlink 2" xfId="177" xr:uid="{00000000-0005-0000-0000-0000A7000000}"/>
    <cellStyle name="Hyperlink 3" xfId="178" xr:uid="{00000000-0005-0000-0000-0000A8000000}"/>
    <cellStyle name="Input 2" xfId="179" xr:uid="{00000000-0005-0000-0000-0000A9000000}"/>
    <cellStyle name="Input 2 2" xfId="180" xr:uid="{00000000-0005-0000-0000-0000AA000000}"/>
    <cellStyle name="Input 3" xfId="181" xr:uid="{00000000-0005-0000-0000-0000AB000000}"/>
    <cellStyle name="Linked Cell 2" xfId="182" xr:uid="{00000000-0005-0000-0000-0000AC000000}"/>
    <cellStyle name="Linked Cell 2 2" xfId="183" xr:uid="{00000000-0005-0000-0000-0000AD000000}"/>
    <cellStyle name="Linked Cell 3" xfId="184" xr:uid="{00000000-0005-0000-0000-0000AE000000}"/>
    <cellStyle name="Neutral 2" xfId="185" xr:uid="{00000000-0005-0000-0000-0000AF000000}"/>
    <cellStyle name="Neutral 2 2" xfId="186" xr:uid="{00000000-0005-0000-0000-0000B0000000}"/>
    <cellStyle name="Neutral 3" xfId="187" xr:uid="{00000000-0005-0000-0000-0000B1000000}"/>
    <cellStyle name="Normal" xfId="0" builtinId="0"/>
    <cellStyle name="Normal 10" xfId="188" xr:uid="{00000000-0005-0000-0000-0000B3000000}"/>
    <cellStyle name="Normal 11" xfId="189" xr:uid="{00000000-0005-0000-0000-0000B4000000}"/>
    <cellStyle name="Normal 11 2" xfId="190" xr:uid="{00000000-0005-0000-0000-0000B5000000}"/>
    <cellStyle name="Normal 11 3" xfId="191" xr:uid="{00000000-0005-0000-0000-0000B6000000}"/>
    <cellStyle name="Normal 11 4" xfId="192" xr:uid="{00000000-0005-0000-0000-0000B7000000}"/>
    <cellStyle name="Normal 12" xfId="193" xr:uid="{00000000-0005-0000-0000-0000B8000000}"/>
    <cellStyle name="Normal 12 2" xfId="194" xr:uid="{00000000-0005-0000-0000-0000B9000000}"/>
    <cellStyle name="Normal 13" xfId="195" xr:uid="{00000000-0005-0000-0000-0000BA000000}"/>
    <cellStyle name="Normal 13 2" xfId="196" xr:uid="{00000000-0005-0000-0000-0000BB000000}"/>
    <cellStyle name="Normal 14" xfId="7" xr:uid="{00000000-0005-0000-0000-0000BC000000}"/>
    <cellStyle name="Normal 14 2" xfId="197" xr:uid="{00000000-0005-0000-0000-0000BD000000}"/>
    <cellStyle name="Normal 15" xfId="198" xr:uid="{00000000-0005-0000-0000-0000BE000000}"/>
    <cellStyle name="Normal 16" xfId="263" xr:uid="{5BFBF527-A55F-4EAE-A08A-AB9FABA43293}"/>
    <cellStyle name="Normal 17" xfId="265" xr:uid="{E2DE70F2-A6FC-49BC-86E1-FA7F4E11F83A}"/>
    <cellStyle name="Normal 18" xfId="266" xr:uid="{0E375970-978F-4842-B03D-DBDCBD70B1C1}"/>
    <cellStyle name="Normal 2" xfId="2" xr:uid="{00000000-0005-0000-0000-0000BF000000}"/>
    <cellStyle name="Normal 2 2" xfId="10" xr:uid="{00000000-0005-0000-0000-0000C0000000}"/>
    <cellStyle name="Normal 2 2 2" xfId="199" xr:uid="{00000000-0005-0000-0000-0000C1000000}"/>
    <cellStyle name="Normal 2 3" xfId="200" xr:uid="{00000000-0005-0000-0000-0000C2000000}"/>
    <cellStyle name="Normal 2 3 2" xfId="201" xr:uid="{00000000-0005-0000-0000-0000C3000000}"/>
    <cellStyle name="Normal 2 3 3" xfId="202" xr:uid="{00000000-0005-0000-0000-0000C4000000}"/>
    <cellStyle name="Normal 2 3 4" xfId="203" xr:uid="{00000000-0005-0000-0000-0000C5000000}"/>
    <cellStyle name="Normal 2 4" xfId="204" xr:uid="{00000000-0005-0000-0000-0000C6000000}"/>
    <cellStyle name="Normal 2 5" xfId="205" xr:uid="{00000000-0005-0000-0000-0000C7000000}"/>
    <cellStyle name="Normal 2 6" xfId="206" xr:uid="{00000000-0005-0000-0000-0000C8000000}"/>
    <cellStyle name="Normal 3" xfId="3" xr:uid="{00000000-0005-0000-0000-0000C9000000}"/>
    <cellStyle name="Normal 3 2" xfId="207" xr:uid="{00000000-0005-0000-0000-0000CA000000}"/>
    <cellStyle name="Normal 3 2 2" xfId="208" xr:uid="{00000000-0005-0000-0000-0000CB000000}"/>
    <cellStyle name="Normal 3 3" xfId="209" xr:uid="{00000000-0005-0000-0000-0000CC000000}"/>
    <cellStyle name="Normal 3 3 2" xfId="210" xr:uid="{00000000-0005-0000-0000-0000CD000000}"/>
    <cellStyle name="Normal 3 3 3" xfId="211" xr:uid="{00000000-0005-0000-0000-0000CE000000}"/>
    <cellStyle name="Normal 3 4" xfId="212" xr:uid="{00000000-0005-0000-0000-0000CF000000}"/>
    <cellStyle name="Normal 3 4 2" xfId="213" xr:uid="{00000000-0005-0000-0000-0000D0000000}"/>
    <cellStyle name="Normal 3 4 3" xfId="214" xr:uid="{00000000-0005-0000-0000-0000D1000000}"/>
    <cellStyle name="Normal 3 5" xfId="215" xr:uid="{00000000-0005-0000-0000-0000D2000000}"/>
    <cellStyle name="Normal 3 6" xfId="216" xr:uid="{00000000-0005-0000-0000-0000D3000000}"/>
    <cellStyle name="Normal 3 7" xfId="217" xr:uid="{00000000-0005-0000-0000-0000D4000000}"/>
    <cellStyle name="Normal 4" xfId="4" xr:uid="{00000000-0005-0000-0000-0000D5000000}"/>
    <cellStyle name="Normal 4 2" xfId="218" xr:uid="{00000000-0005-0000-0000-0000D6000000}"/>
    <cellStyle name="Normal 4 3" xfId="219" xr:uid="{00000000-0005-0000-0000-0000D7000000}"/>
    <cellStyle name="Normal 5" xfId="6" xr:uid="{00000000-0005-0000-0000-0000D8000000}"/>
    <cellStyle name="Normal 5 2" xfId="220" xr:uid="{00000000-0005-0000-0000-0000D9000000}"/>
    <cellStyle name="Normal 5 2 2" xfId="221" xr:uid="{00000000-0005-0000-0000-0000DA000000}"/>
    <cellStyle name="Normal 5 2 3" xfId="222" xr:uid="{00000000-0005-0000-0000-0000DB000000}"/>
    <cellStyle name="Normal 5 2 4" xfId="223" xr:uid="{00000000-0005-0000-0000-0000DC000000}"/>
    <cellStyle name="Normal 5 2 5" xfId="224" xr:uid="{00000000-0005-0000-0000-0000DD000000}"/>
    <cellStyle name="Normal 5 3" xfId="225" xr:uid="{00000000-0005-0000-0000-0000DE000000}"/>
    <cellStyle name="Normal 5 4" xfId="226" xr:uid="{00000000-0005-0000-0000-0000DF000000}"/>
    <cellStyle name="Normal 5 5" xfId="227" xr:uid="{00000000-0005-0000-0000-0000E0000000}"/>
    <cellStyle name="Normal 6" xfId="228" xr:uid="{00000000-0005-0000-0000-0000E1000000}"/>
    <cellStyle name="Normal 7" xfId="229" xr:uid="{00000000-0005-0000-0000-0000E2000000}"/>
    <cellStyle name="Normal 7 2" xfId="230" xr:uid="{00000000-0005-0000-0000-0000E3000000}"/>
    <cellStyle name="Normal 7 2 2" xfId="231" xr:uid="{00000000-0005-0000-0000-0000E4000000}"/>
    <cellStyle name="Normal 7 3" xfId="232" xr:uid="{00000000-0005-0000-0000-0000E5000000}"/>
    <cellStyle name="Normal 7 4" xfId="233" xr:uid="{00000000-0005-0000-0000-0000E6000000}"/>
    <cellStyle name="Normal 8" xfId="234" xr:uid="{00000000-0005-0000-0000-0000E7000000}"/>
    <cellStyle name="Normal 8 2" xfId="235" xr:uid="{00000000-0005-0000-0000-0000E8000000}"/>
    <cellStyle name="Normal 8 3" xfId="236" xr:uid="{00000000-0005-0000-0000-0000E9000000}"/>
    <cellStyle name="Normal 8 4" xfId="237" xr:uid="{00000000-0005-0000-0000-0000EA000000}"/>
    <cellStyle name="Normal 9" xfId="5" xr:uid="{00000000-0005-0000-0000-0000EB000000}"/>
    <cellStyle name="Normal 9 2" xfId="238" xr:uid="{00000000-0005-0000-0000-0000EC000000}"/>
    <cellStyle name="Note 2" xfId="239" xr:uid="{00000000-0005-0000-0000-0000ED000000}"/>
    <cellStyle name="Note 2 2" xfId="240" xr:uid="{00000000-0005-0000-0000-0000EE000000}"/>
    <cellStyle name="Note 2 3" xfId="241" xr:uid="{00000000-0005-0000-0000-0000EF000000}"/>
    <cellStyle name="Note 2 4" xfId="242" xr:uid="{00000000-0005-0000-0000-0000F0000000}"/>
    <cellStyle name="Note 3" xfId="243" xr:uid="{00000000-0005-0000-0000-0000F1000000}"/>
    <cellStyle name="Note 4" xfId="244" xr:uid="{00000000-0005-0000-0000-0000F2000000}"/>
    <cellStyle name="Note 4 2" xfId="245" xr:uid="{00000000-0005-0000-0000-0000F3000000}"/>
    <cellStyle name="Note 4 3" xfId="246" xr:uid="{00000000-0005-0000-0000-0000F4000000}"/>
    <cellStyle name="Note 5" xfId="247" xr:uid="{00000000-0005-0000-0000-0000F5000000}"/>
    <cellStyle name="Output 2" xfId="248" xr:uid="{00000000-0005-0000-0000-0000F6000000}"/>
    <cellStyle name="Output 2 2" xfId="249" xr:uid="{00000000-0005-0000-0000-0000F7000000}"/>
    <cellStyle name="Output 3" xfId="250" xr:uid="{00000000-0005-0000-0000-0000F8000000}"/>
    <cellStyle name="Percent" xfId="1" builtinId="5"/>
    <cellStyle name="Percent 2" xfId="9" xr:uid="{00000000-0005-0000-0000-0000FA000000}"/>
    <cellStyle name="Percent 2 2" xfId="251" xr:uid="{00000000-0005-0000-0000-0000FB000000}"/>
    <cellStyle name="Percent 3" xfId="252" xr:uid="{00000000-0005-0000-0000-0000FC000000}"/>
    <cellStyle name="Percent 4" xfId="253" xr:uid="{00000000-0005-0000-0000-0000FD000000}"/>
    <cellStyle name="Percent 5" xfId="254" xr:uid="{00000000-0005-0000-0000-0000FE000000}"/>
    <cellStyle name="Percent 5 2" xfId="255" xr:uid="{00000000-0005-0000-0000-0000FF000000}"/>
    <cellStyle name="Percent 6" xfId="256" xr:uid="{00000000-0005-0000-0000-000000010000}"/>
    <cellStyle name="Percent 7" xfId="264" xr:uid="{D1844A69-02E7-4386-AC8A-249055D9A079}"/>
    <cellStyle name="Total 2" xfId="257" xr:uid="{00000000-0005-0000-0000-000001010000}"/>
    <cellStyle name="Total 2 2" xfId="258" xr:uid="{00000000-0005-0000-0000-000002010000}"/>
    <cellStyle name="Total 3" xfId="259" xr:uid="{00000000-0005-0000-0000-000003010000}"/>
    <cellStyle name="Warning Text 2" xfId="260" xr:uid="{00000000-0005-0000-0000-000004010000}"/>
    <cellStyle name="Warning Text 2 2" xfId="261" xr:uid="{00000000-0005-0000-0000-000005010000}"/>
    <cellStyle name="Warning Text 3" xfId="262" xr:uid="{00000000-0005-0000-0000-000006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6"/>
  <sheetViews>
    <sheetView tabSelected="1" workbookViewId="0">
      <pane xSplit="2" ySplit="2" topLeftCell="C299" activePane="bottomRight" state="frozen"/>
      <selection pane="topRight" activeCell="C1" sqref="C1"/>
      <selection pane="bottomLeft" activeCell="A4" sqref="A4"/>
      <selection pane="bottomRight" activeCell="B327" sqref="B3:B327"/>
    </sheetView>
  </sheetViews>
  <sheetFormatPr defaultRowHeight="12" x14ac:dyDescent="0.2"/>
  <cols>
    <col min="1" max="1" width="5.85546875" style="110" customWidth="1"/>
    <col min="2" max="2" width="32.42578125" style="111" customWidth="1"/>
    <col min="3" max="4" width="9.42578125" style="22" customWidth="1"/>
    <col min="5" max="5" width="9.28515625" style="22" customWidth="1"/>
    <col min="6" max="6" width="1.42578125" style="22" customWidth="1"/>
    <col min="7" max="7" width="11" style="112" customWidth="1"/>
    <col min="8" max="8" width="12.5703125" style="112" customWidth="1"/>
    <col min="9" max="16384" width="9.140625" style="111"/>
  </cols>
  <sheetData>
    <row r="1" spans="1:19" s="109" customFormat="1" ht="29.25" customHeight="1" x14ac:dyDescent="0.2">
      <c r="A1" s="143" t="str">
        <f>CONCATENATE("FY ",Calculation!$P$1," At-Risk Supplementary Weighting Formula")</f>
        <v>FY 2024 At-Risk Supplementary Weighting Formula</v>
      </c>
      <c r="B1" s="143"/>
      <c r="C1" s="142" t="s">
        <v>22</v>
      </c>
      <c r="D1" s="142"/>
      <c r="E1" s="142"/>
      <c r="F1" s="116"/>
      <c r="G1" s="107"/>
      <c r="H1" s="108"/>
      <c r="L1" s="137"/>
      <c r="M1" s="137"/>
      <c r="N1" s="137"/>
      <c r="O1" s="137"/>
      <c r="P1" s="137"/>
      <c r="Q1" s="137"/>
      <c r="R1" s="137"/>
      <c r="S1" s="137"/>
    </row>
    <row r="2" spans="1:19" s="109" customFormat="1" ht="42" customHeight="1" x14ac:dyDescent="0.2">
      <c r="A2" s="140" t="s">
        <v>1279</v>
      </c>
      <c r="B2" s="141"/>
      <c r="C2" s="113" t="s">
        <v>749</v>
      </c>
      <c r="D2" s="113" t="s">
        <v>4</v>
      </c>
      <c r="E2" s="113" t="s">
        <v>748</v>
      </c>
      <c r="F2" s="117"/>
      <c r="G2" s="114" t="str">
        <f>CONCATENATE("FY ",Calculation!$P$1,
" District Cost
Per Pupil")</f>
        <v>FY 2024 District Cost
Per Pupil</v>
      </c>
      <c r="H2" s="115" t="s">
        <v>747</v>
      </c>
    </row>
    <row r="3" spans="1:19" x14ac:dyDescent="0.2">
      <c r="A3" s="118" t="str">
        <f>StartupfileInput!C2</f>
        <v>0009</v>
      </c>
      <c r="B3" s="119" t="str">
        <f>INDEX(Calculation!$A$4:$M$328,MATCH(Summary!$A3,Calculation!$A$4:$A$328,0),3)</f>
        <v>AGWSR</v>
      </c>
      <c r="C3" s="144">
        <f>INDEX(Calculation!$A$4:$M$328,MATCH(Summary!$A3,Calculation!$A$4:$A$328,0),6)</f>
        <v>1.7589999999999999</v>
      </c>
      <c r="D3" s="144">
        <f>INDEX(Calculation!$A$4:$M$328,MATCH(Summary!$A3,Calculation!$A$4:$A$328,0),7)</f>
        <v>1.4</v>
      </c>
      <c r="E3" s="144">
        <f>SUM(C3:D3)</f>
        <v>3.1589999999999998</v>
      </c>
      <c r="F3" s="120"/>
      <c r="G3" s="121">
        <f>INDEX(Calculation!$A$4:$M$328,MATCH(Summary!$A3,Calculation!$A$4:$A$328,0),10)</f>
        <v>7710</v>
      </c>
      <c r="H3" s="121">
        <f>ROUND(E3*G3,0)</f>
        <v>24356</v>
      </c>
    </row>
    <row r="4" spans="1:19" x14ac:dyDescent="0.2">
      <c r="A4" s="118" t="str">
        <f>StartupfileInput!C3</f>
        <v>0441</v>
      </c>
      <c r="B4" s="119" t="str">
        <f>INDEX(Calculation!$A$4:$M$328,MATCH(Summary!$A4,Calculation!$A$4:$A$328,0),3)</f>
        <v>AHSTW</v>
      </c>
      <c r="C4" s="144">
        <f>INDEX(Calculation!$A$4:$M$328,MATCH(Summary!$A4,Calculation!$A$4:$A$328,0),6)</f>
        <v>2.1560000000000001</v>
      </c>
      <c r="D4" s="144">
        <f>INDEX(Calculation!$A$4:$M$328,MATCH(Summary!$A4,Calculation!$A$4:$A$328,0),7)</f>
        <v>1.617</v>
      </c>
      <c r="E4" s="144">
        <f t="shared" ref="E4:E67" si="0">SUM(C4:D4)</f>
        <v>3.7730000000000001</v>
      </c>
      <c r="F4" s="120"/>
      <c r="G4" s="121">
        <f>INDEX(Calculation!$A$4:$M$328,MATCH(Summary!$A4,Calculation!$A$4:$A$328,0),10)</f>
        <v>7645</v>
      </c>
      <c r="H4" s="121">
        <f t="shared" ref="H4:H67" si="1">ROUND(E4*G4,0)</f>
        <v>28845</v>
      </c>
    </row>
    <row r="5" spans="1:19" x14ac:dyDescent="0.2">
      <c r="A5" s="118" t="str">
        <f>StartupfileInput!C4</f>
        <v>0018</v>
      </c>
      <c r="B5" s="119" t="str">
        <f>INDEX(Calculation!$A$4:$M$328,MATCH(Summary!$A5,Calculation!$A$4:$A$328,0),3)</f>
        <v>Adair-Casey</v>
      </c>
      <c r="C5" s="144">
        <f>INDEX(Calculation!$A$4:$M$328,MATCH(Summary!$A5,Calculation!$A$4:$A$328,0),6)</f>
        <v>1.0129999999999999</v>
      </c>
      <c r="D5" s="144">
        <f>INDEX(Calculation!$A$4:$M$328,MATCH(Summary!$A5,Calculation!$A$4:$A$328,0),7)</f>
        <v>0.625</v>
      </c>
      <c r="E5" s="144">
        <f t="shared" si="0"/>
        <v>1.6379999999999999</v>
      </c>
      <c r="F5" s="120"/>
      <c r="G5" s="121">
        <f>INDEX(Calculation!$A$4:$M$328,MATCH(Summary!$A5,Calculation!$A$4:$A$328,0),10)</f>
        <v>7635</v>
      </c>
      <c r="H5" s="121">
        <f t="shared" si="1"/>
        <v>12506</v>
      </c>
    </row>
    <row r="6" spans="1:19" x14ac:dyDescent="0.2">
      <c r="A6" s="118" t="str">
        <f>StartupfileInput!C5</f>
        <v>0027</v>
      </c>
      <c r="B6" s="119" t="str">
        <f>INDEX(Calculation!$A$4:$M$328,MATCH(Summary!$A6,Calculation!$A$4:$A$328,0),3)</f>
        <v>Adel-Desoto-Minburn</v>
      </c>
      <c r="C6" s="144">
        <f>INDEX(Calculation!$A$4:$M$328,MATCH(Summary!$A6,Calculation!$A$4:$A$328,0),6)</f>
        <v>2.5169999999999999</v>
      </c>
      <c r="D6" s="144">
        <f>INDEX(Calculation!$A$4:$M$328,MATCH(Summary!$A6,Calculation!$A$4:$A$328,0),7)</f>
        <v>4.3470000000000004</v>
      </c>
      <c r="E6" s="144">
        <f t="shared" si="0"/>
        <v>6.8640000000000008</v>
      </c>
      <c r="F6" s="120"/>
      <c r="G6" s="121">
        <f>INDEX(Calculation!$A$4:$M$328,MATCH(Summary!$A6,Calculation!$A$4:$A$328,0),10)</f>
        <v>7635</v>
      </c>
      <c r="H6" s="121">
        <f t="shared" si="1"/>
        <v>52407</v>
      </c>
    </row>
    <row r="7" spans="1:19" x14ac:dyDescent="0.2">
      <c r="A7" s="118" t="str">
        <f>StartupfileInput!C6</f>
        <v>0063</v>
      </c>
      <c r="B7" s="119" t="str">
        <f>INDEX(Calculation!$A$4:$M$328,MATCH(Summary!$A7,Calculation!$A$4:$A$328,0),3)</f>
        <v>Akron-Westfield</v>
      </c>
      <c r="C7" s="144">
        <f>INDEX(Calculation!$A$4:$M$328,MATCH(Summary!$A7,Calculation!$A$4:$A$328,0),6)</f>
        <v>1.4139999999999999</v>
      </c>
      <c r="D7" s="144">
        <f>INDEX(Calculation!$A$4:$M$328,MATCH(Summary!$A7,Calculation!$A$4:$A$328,0),7)</f>
        <v>1.133</v>
      </c>
      <c r="E7" s="144">
        <f t="shared" si="0"/>
        <v>2.5469999999999997</v>
      </c>
      <c r="F7" s="120"/>
      <c r="G7" s="121">
        <f>INDEX(Calculation!$A$4:$M$328,MATCH(Summary!$A7,Calculation!$A$4:$A$328,0),10)</f>
        <v>7651</v>
      </c>
      <c r="H7" s="121">
        <f t="shared" si="1"/>
        <v>19487</v>
      </c>
    </row>
    <row r="8" spans="1:19" x14ac:dyDescent="0.2">
      <c r="A8" s="118" t="str">
        <f>StartupfileInput!C7</f>
        <v>0072</v>
      </c>
      <c r="B8" s="119" t="str">
        <f>INDEX(Calculation!$A$4:$M$328,MATCH(Summary!$A8,Calculation!$A$4:$A$328,0),3)</f>
        <v>Albert City-Truesdale</v>
      </c>
      <c r="C8" s="144">
        <f>INDEX(Calculation!$A$4:$M$328,MATCH(Summary!$A8,Calculation!$A$4:$A$328,0),6)</f>
        <v>0.71399999999999997</v>
      </c>
      <c r="D8" s="144">
        <f>INDEX(Calculation!$A$4:$M$328,MATCH(Summary!$A8,Calculation!$A$4:$A$328,0),7)</f>
        <v>0.42799999999999999</v>
      </c>
      <c r="E8" s="144">
        <f t="shared" si="0"/>
        <v>1.1419999999999999</v>
      </c>
      <c r="F8" s="120"/>
      <c r="G8" s="121">
        <f>INDEX(Calculation!$A$4:$M$328,MATCH(Summary!$A8,Calculation!$A$4:$A$328,0),10)</f>
        <v>7681</v>
      </c>
      <c r="H8" s="121">
        <f t="shared" si="1"/>
        <v>8772</v>
      </c>
    </row>
    <row r="9" spans="1:19" x14ac:dyDescent="0.2">
      <c r="A9" s="118" t="str">
        <f>StartupfileInput!C8</f>
        <v>0081</v>
      </c>
      <c r="B9" s="119" t="str">
        <f>INDEX(Calculation!$A$4:$M$328,MATCH(Summary!$A9,Calculation!$A$4:$A$328,0),3)</f>
        <v>Albia</v>
      </c>
      <c r="C9" s="144">
        <f>INDEX(Calculation!$A$4:$M$328,MATCH(Summary!$A9,Calculation!$A$4:$A$328,0),6)</f>
        <v>3.0289999999999999</v>
      </c>
      <c r="D9" s="144">
        <f>INDEX(Calculation!$A$4:$M$328,MATCH(Summary!$A9,Calculation!$A$4:$A$328,0),7)</f>
        <v>2.2429999999999999</v>
      </c>
      <c r="E9" s="144">
        <f t="shared" si="0"/>
        <v>5.2720000000000002</v>
      </c>
      <c r="F9" s="120"/>
      <c r="G9" s="121">
        <f>INDEX(Calculation!$A$4:$M$328,MATCH(Summary!$A9,Calculation!$A$4:$A$328,0),10)</f>
        <v>7635</v>
      </c>
      <c r="H9" s="121">
        <f t="shared" si="1"/>
        <v>40252</v>
      </c>
    </row>
    <row r="10" spans="1:19" x14ac:dyDescent="0.2">
      <c r="A10" s="118" t="str">
        <f>StartupfileInput!C9</f>
        <v>0099</v>
      </c>
      <c r="B10" s="119" t="str">
        <f>INDEX(Calculation!$A$4:$M$328,MATCH(Summary!$A10,Calculation!$A$4:$A$328,0),3)</f>
        <v>Alburnett</v>
      </c>
      <c r="C10" s="144">
        <f>INDEX(Calculation!$A$4:$M$328,MATCH(Summary!$A10,Calculation!$A$4:$A$328,0),6)</f>
        <v>0.78200000000000003</v>
      </c>
      <c r="D10" s="144">
        <f>INDEX(Calculation!$A$4:$M$328,MATCH(Summary!$A10,Calculation!$A$4:$A$328,0),7)</f>
        <v>1.0740000000000001</v>
      </c>
      <c r="E10" s="144">
        <f t="shared" si="0"/>
        <v>1.8560000000000001</v>
      </c>
      <c r="F10" s="120"/>
      <c r="G10" s="121">
        <f>INDEX(Calculation!$A$4:$M$328,MATCH(Summary!$A10,Calculation!$A$4:$A$328,0),10)</f>
        <v>7635</v>
      </c>
      <c r="H10" s="121">
        <f t="shared" si="1"/>
        <v>14171</v>
      </c>
    </row>
    <row r="11" spans="1:19" x14ac:dyDescent="0.2">
      <c r="A11" s="118" t="str">
        <f>StartupfileInput!C10</f>
        <v>0108</v>
      </c>
      <c r="B11" s="119" t="str">
        <f>INDEX(Calculation!$A$4:$M$328,MATCH(Summary!$A11,Calculation!$A$4:$A$328,0),3)</f>
        <v>Alden</v>
      </c>
      <c r="C11" s="144">
        <f>INDEX(Calculation!$A$4:$M$328,MATCH(Summary!$A11,Calculation!$A$4:$A$328,0),6)</f>
        <v>0.72799999999999998</v>
      </c>
      <c r="D11" s="144">
        <f>INDEX(Calculation!$A$4:$M$328,MATCH(Summary!$A11,Calculation!$A$4:$A$328,0),7)</f>
        <v>0.55800000000000005</v>
      </c>
      <c r="E11" s="144">
        <f t="shared" si="0"/>
        <v>1.286</v>
      </c>
      <c r="F11" s="120"/>
      <c r="G11" s="121">
        <f>INDEX(Calculation!$A$4:$M$328,MATCH(Summary!$A11,Calculation!$A$4:$A$328,0),10)</f>
        <v>7635</v>
      </c>
      <c r="H11" s="121">
        <f t="shared" si="1"/>
        <v>9819</v>
      </c>
    </row>
    <row r="12" spans="1:19" x14ac:dyDescent="0.2">
      <c r="A12" s="118" t="str">
        <f>StartupfileInput!C11</f>
        <v>0126</v>
      </c>
      <c r="B12" s="119" t="str">
        <f>INDEX(Calculation!$A$4:$M$328,MATCH(Summary!$A12,Calculation!$A$4:$A$328,0),3)</f>
        <v>Algona</v>
      </c>
      <c r="C12" s="144">
        <f>INDEX(Calculation!$A$4:$M$328,MATCH(Summary!$A12,Calculation!$A$4:$A$328,0),6)</f>
        <v>3.5030000000000001</v>
      </c>
      <c r="D12" s="144">
        <f>INDEX(Calculation!$A$4:$M$328,MATCH(Summary!$A12,Calculation!$A$4:$A$328,0),7)</f>
        <v>2.9510000000000001</v>
      </c>
      <c r="E12" s="144">
        <f>SUM(C12:D12)</f>
        <v>6.4540000000000006</v>
      </c>
      <c r="F12" s="120"/>
      <c r="G12" s="121">
        <f>INDEX(Calculation!$A$4:$M$328,MATCH(Summary!$A12,Calculation!$A$4:$A$328,0),10)</f>
        <v>7649</v>
      </c>
      <c r="H12" s="121">
        <f>ROUND(E12*G12,0)</f>
        <v>49367</v>
      </c>
    </row>
    <row r="13" spans="1:19" x14ac:dyDescent="0.2">
      <c r="A13" s="118" t="str">
        <f>StartupfileInput!C12</f>
        <v>0135</v>
      </c>
      <c r="B13" s="119" t="str">
        <f>INDEX(Calculation!$A$4:$M$328,MATCH(Summary!$A13,Calculation!$A$4:$A$328,0),3)</f>
        <v>Allamakee</v>
      </c>
      <c r="C13" s="144">
        <f>INDEX(Calculation!$A$4:$M$328,MATCH(Summary!$A13,Calculation!$A$4:$A$328,0),6)</f>
        <v>2.9630000000000001</v>
      </c>
      <c r="D13" s="144">
        <f>INDEX(Calculation!$A$4:$M$328,MATCH(Summary!$A13,Calculation!$A$4:$A$328,0),7)</f>
        <v>2.218</v>
      </c>
      <c r="E13" s="144">
        <f t="shared" si="0"/>
        <v>5.181</v>
      </c>
      <c r="F13" s="120"/>
      <c r="G13" s="121">
        <f>INDEX(Calculation!$A$4:$M$328,MATCH(Summary!$A13,Calculation!$A$4:$A$328,0),10)</f>
        <v>7682</v>
      </c>
      <c r="H13" s="121">
        <f t="shared" si="1"/>
        <v>39800</v>
      </c>
    </row>
    <row r="14" spans="1:19" x14ac:dyDescent="0.2">
      <c r="A14" s="118" t="str">
        <f>StartupfileInput!C13</f>
        <v>0171</v>
      </c>
      <c r="B14" s="119" t="str">
        <f>INDEX(Calculation!$A$4:$M$328,MATCH(Summary!$A14,Calculation!$A$4:$A$328,0),3)</f>
        <v>Alta-Aurelia</v>
      </c>
      <c r="C14" s="144">
        <f>INDEX(Calculation!$A$4:$M$328,MATCH(Summary!$A14,Calculation!$A$4:$A$328,0),6)</f>
        <v>2.484</v>
      </c>
      <c r="D14" s="144">
        <f>INDEX(Calculation!$A$4:$M$328,MATCH(Summary!$A14,Calculation!$A$4:$A$328,0),7)</f>
        <v>1.7809999999999999</v>
      </c>
      <c r="E14" s="144">
        <f t="shared" si="0"/>
        <v>4.2649999999999997</v>
      </c>
      <c r="F14" s="120"/>
      <c r="G14" s="121">
        <f>INDEX(Calculation!$A$4:$M$328,MATCH(Summary!$A14,Calculation!$A$4:$A$328,0),10)</f>
        <v>7635</v>
      </c>
      <c r="H14" s="121">
        <f t="shared" si="1"/>
        <v>32563</v>
      </c>
    </row>
    <row r="15" spans="1:19" x14ac:dyDescent="0.2">
      <c r="A15" s="118" t="str">
        <f>StartupfileInput!C14</f>
        <v>0225</v>
      </c>
      <c r="B15" s="119" t="str">
        <f>INDEX(Calculation!$A$4:$M$328,MATCH(Summary!$A15,Calculation!$A$4:$A$328,0),3)</f>
        <v>Ames</v>
      </c>
      <c r="C15" s="144">
        <f>INDEX(Calculation!$A$4:$M$328,MATCH(Summary!$A15,Calculation!$A$4:$A$328,0),6)</f>
        <v>9.6750000000000007</v>
      </c>
      <c r="D15" s="144">
        <f>INDEX(Calculation!$A$4:$M$328,MATCH(Summary!$A15,Calculation!$A$4:$A$328,0),7)</f>
        <v>9.0570000000000004</v>
      </c>
      <c r="E15" s="144">
        <f t="shared" si="0"/>
        <v>18.731999999999999</v>
      </c>
      <c r="F15" s="120"/>
      <c r="G15" s="121">
        <f>INDEX(Calculation!$A$4:$M$328,MATCH(Summary!$A15,Calculation!$A$4:$A$328,0),10)</f>
        <v>7690</v>
      </c>
      <c r="H15" s="121">
        <f t="shared" si="1"/>
        <v>144049</v>
      </c>
    </row>
    <row r="16" spans="1:19" x14ac:dyDescent="0.2">
      <c r="A16" s="118" t="str">
        <f>StartupfileInput!C15</f>
        <v>0234</v>
      </c>
      <c r="B16" s="119" t="str">
        <f>INDEX(Calculation!$A$4:$M$328,MATCH(Summary!$A16,Calculation!$A$4:$A$328,0),3)</f>
        <v>Anamosa</v>
      </c>
      <c r="C16" s="144">
        <f>INDEX(Calculation!$A$4:$M$328,MATCH(Summary!$A16,Calculation!$A$4:$A$328,0),6)</f>
        <v>3.3650000000000002</v>
      </c>
      <c r="D16" s="144">
        <f>INDEX(Calculation!$A$4:$M$328,MATCH(Summary!$A16,Calculation!$A$4:$A$328,0),7)</f>
        <v>2.5619999999999998</v>
      </c>
      <c r="E16" s="144">
        <f t="shared" si="0"/>
        <v>5.9269999999999996</v>
      </c>
      <c r="F16" s="120"/>
      <c r="G16" s="121">
        <f>INDEX(Calculation!$A$4:$M$328,MATCH(Summary!$A16,Calculation!$A$4:$A$328,0),10)</f>
        <v>7635</v>
      </c>
      <c r="H16" s="121">
        <f t="shared" si="1"/>
        <v>45253</v>
      </c>
    </row>
    <row r="17" spans="1:8" x14ac:dyDescent="0.2">
      <c r="A17" s="118" t="str">
        <f>StartupfileInput!C16</f>
        <v>0243</v>
      </c>
      <c r="B17" s="119" t="str">
        <f>INDEX(Calculation!$A$4:$M$328,MATCH(Summary!$A17,Calculation!$A$4:$A$328,0),3)</f>
        <v>Andrew</v>
      </c>
      <c r="C17" s="144">
        <f>INDEX(Calculation!$A$4:$M$328,MATCH(Summary!$A17,Calculation!$A$4:$A$328,0),6)</f>
        <v>0.49399999999999999</v>
      </c>
      <c r="D17" s="144">
        <f>INDEX(Calculation!$A$4:$M$328,MATCH(Summary!$A17,Calculation!$A$4:$A$328,0),7)</f>
        <v>0.47499999999999998</v>
      </c>
      <c r="E17" s="144">
        <f t="shared" si="0"/>
        <v>0.96899999999999997</v>
      </c>
      <c r="F17" s="120"/>
      <c r="G17" s="121">
        <f>INDEX(Calculation!$A$4:$M$328,MATCH(Summary!$A17,Calculation!$A$4:$A$328,0),10)</f>
        <v>7665</v>
      </c>
      <c r="H17" s="121">
        <f t="shared" si="1"/>
        <v>7427</v>
      </c>
    </row>
    <row r="18" spans="1:8" x14ac:dyDescent="0.2">
      <c r="A18" s="118" t="str">
        <f>StartupfileInput!C17</f>
        <v>0261</v>
      </c>
      <c r="B18" s="119" t="str">
        <f>INDEX(Calculation!$A$4:$M$328,MATCH(Summary!$A18,Calculation!$A$4:$A$328,0),3)</f>
        <v>Ankeny</v>
      </c>
      <c r="C18" s="144">
        <f>INDEX(Calculation!$A$4:$M$328,MATCH(Summary!$A18,Calculation!$A$4:$A$328,0),6)</f>
        <v>16.096</v>
      </c>
      <c r="D18" s="144">
        <f>INDEX(Calculation!$A$4:$M$328,MATCH(Summary!$A18,Calculation!$A$4:$A$328,0),7)</f>
        <v>25.85</v>
      </c>
      <c r="E18" s="144">
        <f t="shared" si="0"/>
        <v>41.945999999999998</v>
      </c>
      <c r="F18" s="120"/>
      <c r="G18" s="121">
        <f>INDEX(Calculation!$A$4:$M$328,MATCH(Summary!$A18,Calculation!$A$4:$A$328,0),10)</f>
        <v>7635</v>
      </c>
      <c r="H18" s="121">
        <f t="shared" si="1"/>
        <v>320258</v>
      </c>
    </row>
    <row r="19" spans="1:8" x14ac:dyDescent="0.2">
      <c r="A19" s="118" t="str">
        <f>StartupfileInput!C18</f>
        <v>0279</v>
      </c>
      <c r="B19" s="119" t="str">
        <f>INDEX(Calculation!$A$4:$M$328,MATCH(Summary!$A19,Calculation!$A$4:$A$328,0),3)</f>
        <v>Aplington-Parkersburg</v>
      </c>
      <c r="C19" s="144">
        <f>INDEX(Calculation!$A$4:$M$328,MATCH(Summary!$A19,Calculation!$A$4:$A$328,0),6)</f>
        <v>1.548</v>
      </c>
      <c r="D19" s="144">
        <f>INDEX(Calculation!$A$4:$M$328,MATCH(Summary!$A19,Calculation!$A$4:$A$328,0),7)</f>
        <v>1.659</v>
      </c>
      <c r="E19" s="144">
        <f t="shared" si="0"/>
        <v>3.2069999999999999</v>
      </c>
      <c r="F19" s="120"/>
      <c r="G19" s="121">
        <f>INDEX(Calculation!$A$4:$M$328,MATCH(Summary!$A19,Calculation!$A$4:$A$328,0),10)</f>
        <v>7635</v>
      </c>
      <c r="H19" s="121">
        <f t="shared" si="1"/>
        <v>24485</v>
      </c>
    </row>
    <row r="20" spans="1:8" x14ac:dyDescent="0.2">
      <c r="A20" s="118" t="str">
        <f>StartupfileInput!C19</f>
        <v>0355</v>
      </c>
      <c r="B20" s="119" t="str">
        <f>INDEX(Calculation!$A$4:$M$328,MATCH(Summary!$A20,Calculation!$A$4:$A$328,0),3)</f>
        <v>Ar-We-Va</v>
      </c>
      <c r="C20" s="144">
        <f>INDEX(Calculation!$A$4:$M$328,MATCH(Summary!$A20,Calculation!$A$4:$A$328,0),6)</f>
        <v>0.83</v>
      </c>
      <c r="D20" s="144">
        <f>INDEX(Calculation!$A$4:$M$328,MATCH(Summary!$A20,Calculation!$A$4:$A$328,0),7)</f>
        <v>0.56299999999999994</v>
      </c>
      <c r="E20" s="144">
        <f t="shared" si="0"/>
        <v>1.3929999999999998</v>
      </c>
      <c r="F20" s="120"/>
      <c r="G20" s="121">
        <f>INDEX(Calculation!$A$4:$M$328,MATCH(Summary!$A20,Calculation!$A$4:$A$328,0),10)</f>
        <v>7635</v>
      </c>
      <c r="H20" s="121">
        <f t="shared" si="1"/>
        <v>10636</v>
      </c>
    </row>
    <row r="21" spans="1:8" x14ac:dyDescent="0.2">
      <c r="A21" s="118" t="str">
        <f>StartupfileInput!C20</f>
        <v>0387</v>
      </c>
      <c r="B21" s="119" t="str">
        <f>INDEX(Calculation!$A$4:$M$328,MATCH(Summary!$A21,Calculation!$A$4:$A$328,0),3)</f>
        <v>Atlantic</v>
      </c>
      <c r="C21" s="144">
        <f>INDEX(Calculation!$A$4:$M$328,MATCH(Summary!$A21,Calculation!$A$4:$A$328,0),6)</f>
        <v>3.6880000000000002</v>
      </c>
      <c r="D21" s="144">
        <f>INDEX(Calculation!$A$4:$M$328,MATCH(Summary!$A21,Calculation!$A$4:$A$328,0),7)</f>
        <v>2.86</v>
      </c>
      <c r="E21" s="144">
        <f t="shared" si="0"/>
        <v>6.548</v>
      </c>
      <c r="F21" s="120"/>
      <c r="G21" s="121">
        <f>INDEX(Calculation!$A$4:$M$328,MATCH(Summary!$A21,Calculation!$A$4:$A$328,0),10)</f>
        <v>7635</v>
      </c>
      <c r="H21" s="121">
        <f t="shared" si="1"/>
        <v>49994</v>
      </c>
    </row>
    <row r="22" spans="1:8" x14ac:dyDescent="0.2">
      <c r="A22" s="118" t="str">
        <f>StartupfileInput!C21</f>
        <v>0414</v>
      </c>
      <c r="B22" s="119" t="str">
        <f>INDEX(Calculation!$A$4:$M$328,MATCH(Summary!$A22,Calculation!$A$4:$A$328,0),3)</f>
        <v>Audubon</v>
      </c>
      <c r="C22" s="144">
        <f>INDEX(Calculation!$A$4:$M$328,MATCH(Summary!$A22,Calculation!$A$4:$A$328,0),6)</f>
        <v>1.363</v>
      </c>
      <c r="D22" s="144">
        <f>INDEX(Calculation!$A$4:$M$328,MATCH(Summary!$A22,Calculation!$A$4:$A$328,0),7)</f>
        <v>1.042</v>
      </c>
      <c r="E22" s="144">
        <f t="shared" si="0"/>
        <v>2.4050000000000002</v>
      </c>
      <c r="F22" s="120"/>
      <c r="G22" s="121">
        <f>INDEX(Calculation!$A$4:$M$328,MATCH(Summary!$A22,Calculation!$A$4:$A$328,0),10)</f>
        <v>7679</v>
      </c>
      <c r="H22" s="121">
        <f t="shared" si="1"/>
        <v>18468</v>
      </c>
    </row>
    <row r="23" spans="1:8" x14ac:dyDescent="0.2">
      <c r="A23" s="118" t="str">
        <f>StartupfileInput!C22</f>
        <v>0540</v>
      </c>
      <c r="B23" s="119" t="str">
        <f>INDEX(Calculation!$A$4:$M$328,MATCH(Summary!$A23,Calculation!$A$4:$A$328,0),3)</f>
        <v>BCLUW</v>
      </c>
      <c r="C23" s="144">
        <f>INDEX(Calculation!$A$4:$M$328,MATCH(Summary!$A23,Calculation!$A$4:$A$328,0),6)</f>
        <v>1.4970000000000001</v>
      </c>
      <c r="D23" s="144">
        <f>INDEX(Calculation!$A$4:$M$328,MATCH(Summary!$A23,Calculation!$A$4:$A$328,0),7)</f>
        <v>0.94199999999999995</v>
      </c>
      <c r="E23" s="144">
        <f t="shared" si="0"/>
        <v>2.4390000000000001</v>
      </c>
      <c r="F23" s="120"/>
      <c r="G23" s="121">
        <f>INDEX(Calculation!$A$4:$M$328,MATCH(Summary!$A23,Calculation!$A$4:$A$328,0),10)</f>
        <v>7681</v>
      </c>
      <c r="H23" s="121">
        <f t="shared" si="1"/>
        <v>18734</v>
      </c>
    </row>
    <row r="24" spans="1:8" x14ac:dyDescent="0.2">
      <c r="A24" s="118" t="str">
        <f>StartupfileInput!C23</f>
        <v>0472</v>
      </c>
      <c r="B24" s="119" t="str">
        <f>INDEX(Calculation!$A$4:$M$328,MATCH(Summary!$A24,Calculation!$A$4:$A$328,0),3)</f>
        <v>Ballard</v>
      </c>
      <c r="C24" s="144">
        <f>INDEX(Calculation!$A$4:$M$328,MATCH(Summary!$A24,Calculation!$A$4:$A$328,0),6)</f>
        <v>1.93</v>
      </c>
      <c r="D24" s="144">
        <f>INDEX(Calculation!$A$4:$M$328,MATCH(Summary!$A24,Calculation!$A$4:$A$328,0),7)</f>
        <v>3.589</v>
      </c>
      <c r="E24" s="144">
        <f t="shared" si="0"/>
        <v>5.5190000000000001</v>
      </c>
      <c r="F24" s="120"/>
      <c r="G24" s="121">
        <f>INDEX(Calculation!$A$4:$M$328,MATCH(Summary!$A24,Calculation!$A$4:$A$328,0),10)</f>
        <v>7635</v>
      </c>
      <c r="H24" s="121">
        <f t="shared" si="1"/>
        <v>42138</v>
      </c>
    </row>
    <row r="25" spans="1:8" x14ac:dyDescent="0.2">
      <c r="A25" s="118" t="str">
        <f>StartupfileInput!C24</f>
        <v>0513</v>
      </c>
      <c r="B25" s="119" t="str">
        <f>INDEX(Calculation!$A$4:$M$328,MATCH(Summary!$A25,Calculation!$A$4:$A$328,0),3)</f>
        <v>Baxter</v>
      </c>
      <c r="C25" s="144">
        <f>INDEX(Calculation!$A$4:$M$328,MATCH(Summary!$A25,Calculation!$A$4:$A$328,0),6)</f>
        <v>0.64300000000000002</v>
      </c>
      <c r="D25" s="144">
        <f>INDEX(Calculation!$A$4:$M$328,MATCH(Summary!$A25,Calculation!$A$4:$A$328,0),7)</f>
        <v>0.73599999999999999</v>
      </c>
      <c r="E25" s="144">
        <f t="shared" si="0"/>
        <v>1.379</v>
      </c>
      <c r="F25" s="120"/>
      <c r="G25" s="121">
        <f>INDEX(Calculation!$A$4:$M$328,MATCH(Summary!$A25,Calculation!$A$4:$A$328,0),10)</f>
        <v>7635</v>
      </c>
      <c r="H25" s="121">
        <f t="shared" si="1"/>
        <v>10529</v>
      </c>
    </row>
    <row r="26" spans="1:8" x14ac:dyDescent="0.2">
      <c r="A26" s="118" t="str">
        <f>StartupfileInput!C25</f>
        <v>0549</v>
      </c>
      <c r="B26" s="119" t="str">
        <f>INDEX(Calculation!$A$4:$M$328,MATCH(Summary!$A26,Calculation!$A$4:$A$328,0),3)</f>
        <v>Bedford</v>
      </c>
      <c r="C26" s="144">
        <f>INDEX(Calculation!$A$4:$M$328,MATCH(Summary!$A26,Calculation!$A$4:$A$328,0),6)</f>
        <v>1.2030000000000001</v>
      </c>
      <c r="D26" s="144">
        <f>INDEX(Calculation!$A$4:$M$328,MATCH(Summary!$A26,Calculation!$A$4:$A$328,0),7)</f>
        <v>1.024</v>
      </c>
      <c r="E26" s="144">
        <f t="shared" si="0"/>
        <v>2.2270000000000003</v>
      </c>
      <c r="F26" s="120"/>
      <c r="G26" s="121">
        <f>INDEX(Calculation!$A$4:$M$328,MATCH(Summary!$A26,Calculation!$A$4:$A$328,0),10)</f>
        <v>7635</v>
      </c>
      <c r="H26" s="121">
        <f t="shared" si="1"/>
        <v>17003</v>
      </c>
    </row>
    <row r="27" spans="1:8" x14ac:dyDescent="0.2">
      <c r="A27" s="118" t="str">
        <f>StartupfileInput!C26</f>
        <v>0576</v>
      </c>
      <c r="B27" s="119" t="str">
        <f>INDEX(Calculation!$A$4:$M$328,MATCH(Summary!$A27,Calculation!$A$4:$A$328,0),3)</f>
        <v>Belle Plaine</v>
      </c>
      <c r="C27" s="144">
        <f>INDEX(Calculation!$A$4:$M$328,MATCH(Summary!$A27,Calculation!$A$4:$A$328,0),6)</f>
        <v>1.407</v>
      </c>
      <c r="D27" s="144">
        <f>INDEX(Calculation!$A$4:$M$328,MATCH(Summary!$A27,Calculation!$A$4:$A$328,0),7)</f>
        <v>0.96399999999999997</v>
      </c>
      <c r="E27" s="144">
        <f t="shared" si="0"/>
        <v>2.371</v>
      </c>
      <c r="F27" s="120"/>
      <c r="G27" s="121">
        <f>INDEX(Calculation!$A$4:$M$328,MATCH(Summary!$A27,Calculation!$A$4:$A$328,0),10)</f>
        <v>7635</v>
      </c>
      <c r="H27" s="121">
        <f t="shared" si="1"/>
        <v>18103</v>
      </c>
    </row>
    <row r="28" spans="1:8" x14ac:dyDescent="0.2">
      <c r="A28" s="118" t="str">
        <f>StartupfileInput!C27</f>
        <v>0585</v>
      </c>
      <c r="B28" s="119" t="str">
        <f>INDEX(Calculation!$A$4:$M$328,MATCH(Summary!$A28,Calculation!$A$4:$A$328,0),3)</f>
        <v>Bellevue</v>
      </c>
      <c r="C28" s="144">
        <f>INDEX(Calculation!$A$4:$M$328,MATCH(Summary!$A28,Calculation!$A$4:$A$328,0),6)</f>
        <v>0.93899999999999995</v>
      </c>
      <c r="D28" s="144">
        <f>INDEX(Calculation!$A$4:$M$328,MATCH(Summary!$A28,Calculation!$A$4:$A$328,0),7)</f>
        <v>1.2889999999999999</v>
      </c>
      <c r="E28" s="144">
        <f t="shared" si="0"/>
        <v>2.2279999999999998</v>
      </c>
      <c r="F28" s="120"/>
      <c r="G28" s="121">
        <f>INDEX(Calculation!$A$4:$M$328,MATCH(Summary!$A28,Calculation!$A$4:$A$328,0),10)</f>
        <v>7657</v>
      </c>
      <c r="H28" s="121">
        <f t="shared" si="1"/>
        <v>17060</v>
      </c>
    </row>
    <row r="29" spans="1:8" x14ac:dyDescent="0.2">
      <c r="A29" s="118" t="str">
        <f>StartupfileInput!C28</f>
        <v>0594</v>
      </c>
      <c r="B29" s="119" t="str">
        <f>INDEX(Calculation!$A$4:$M$328,MATCH(Summary!$A29,Calculation!$A$4:$A$328,0),3)</f>
        <v>Belmond-Klemme</v>
      </c>
      <c r="C29" s="144">
        <f>INDEX(Calculation!$A$4:$M$328,MATCH(Summary!$A29,Calculation!$A$4:$A$328,0),6)</f>
        <v>2.6629999999999998</v>
      </c>
      <c r="D29" s="144">
        <f>INDEX(Calculation!$A$4:$M$328,MATCH(Summary!$A29,Calculation!$A$4:$A$328,0),7)</f>
        <v>1.51</v>
      </c>
      <c r="E29" s="144">
        <f t="shared" si="0"/>
        <v>4.173</v>
      </c>
      <c r="F29" s="120"/>
      <c r="G29" s="121">
        <f>INDEX(Calculation!$A$4:$M$328,MATCH(Summary!$A29,Calculation!$A$4:$A$328,0),10)</f>
        <v>7635</v>
      </c>
      <c r="H29" s="121">
        <f t="shared" si="1"/>
        <v>31861</v>
      </c>
    </row>
    <row r="30" spans="1:8" x14ac:dyDescent="0.2">
      <c r="A30" s="118" t="str">
        <f>StartupfileInput!C29</f>
        <v>0603</v>
      </c>
      <c r="B30" s="119" t="str">
        <f>INDEX(Calculation!$A$4:$M$328,MATCH(Summary!$A30,Calculation!$A$4:$A$328,0),3)</f>
        <v>Bennett</v>
      </c>
      <c r="C30" s="144">
        <f>INDEX(Calculation!$A$4:$M$328,MATCH(Summary!$A30,Calculation!$A$4:$A$328,0),6)</f>
        <v>0.58199999999999996</v>
      </c>
      <c r="D30" s="144">
        <f>INDEX(Calculation!$A$4:$M$328,MATCH(Summary!$A30,Calculation!$A$4:$A$328,0),7)</f>
        <v>0.35699999999999998</v>
      </c>
      <c r="E30" s="144">
        <f t="shared" si="0"/>
        <v>0.93899999999999995</v>
      </c>
      <c r="F30" s="120"/>
      <c r="G30" s="121">
        <f>INDEX(Calculation!$A$4:$M$328,MATCH(Summary!$A30,Calculation!$A$4:$A$328,0),10)</f>
        <v>7731</v>
      </c>
      <c r="H30" s="121">
        <f t="shared" si="1"/>
        <v>7259</v>
      </c>
    </row>
    <row r="31" spans="1:8" x14ac:dyDescent="0.2">
      <c r="A31" s="118" t="str">
        <f>StartupfileInput!C30</f>
        <v>0609</v>
      </c>
      <c r="B31" s="119" t="str">
        <f>INDEX(Calculation!$A$4:$M$328,MATCH(Summary!$A31,Calculation!$A$4:$A$328,0),3)</f>
        <v>Benton</v>
      </c>
      <c r="C31" s="144">
        <f>INDEX(Calculation!$A$4:$M$328,MATCH(Summary!$A31,Calculation!$A$4:$A$328,0),6)</f>
        <v>2.3759999999999999</v>
      </c>
      <c r="D31" s="144">
        <f>INDEX(Calculation!$A$4:$M$328,MATCH(Summary!$A31,Calculation!$A$4:$A$328,0),7)</f>
        <v>3.137</v>
      </c>
      <c r="E31" s="144">
        <f t="shared" si="0"/>
        <v>5.5129999999999999</v>
      </c>
      <c r="F31" s="120"/>
      <c r="G31" s="121">
        <f>INDEX(Calculation!$A$4:$M$328,MATCH(Summary!$A31,Calculation!$A$4:$A$328,0),10)</f>
        <v>7665</v>
      </c>
      <c r="H31" s="121">
        <f t="shared" si="1"/>
        <v>42257</v>
      </c>
    </row>
    <row r="32" spans="1:8" x14ac:dyDescent="0.2">
      <c r="A32" s="118" t="str">
        <f>StartupfileInput!C31</f>
        <v>0621</v>
      </c>
      <c r="B32" s="119" t="str">
        <f>INDEX(Calculation!$A$4:$M$328,MATCH(Summary!$A32,Calculation!$A$4:$A$328,0),3)</f>
        <v>Bettendorf</v>
      </c>
      <c r="C32" s="144">
        <f>INDEX(Calculation!$A$4:$M$328,MATCH(Summary!$A32,Calculation!$A$4:$A$328,0),6)</f>
        <v>9.2910000000000004</v>
      </c>
      <c r="D32" s="144">
        <f>INDEX(Calculation!$A$4:$M$328,MATCH(Summary!$A32,Calculation!$A$4:$A$328,0),7)</f>
        <v>8.1950000000000003</v>
      </c>
      <c r="E32" s="144">
        <f t="shared" si="0"/>
        <v>17.486000000000001</v>
      </c>
      <c r="F32" s="120"/>
      <c r="G32" s="121">
        <f>INDEX(Calculation!$A$4:$M$328,MATCH(Summary!$A32,Calculation!$A$4:$A$328,0),10)</f>
        <v>7674</v>
      </c>
      <c r="H32" s="121">
        <f t="shared" si="1"/>
        <v>134188</v>
      </c>
    </row>
    <row r="33" spans="1:8" x14ac:dyDescent="0.2">
      <c r="A33" s="118" t="str">
        <f>StartupfileInput!C32</f>
        <v>0720</v>
      </c>
      <c r="B33" s="119" t="str">
        <f>INDEX(Calculation!$A$4:$M$328,MATCH(Summary!$A33,Calculation!$A$4:$A$328,0),3)</f>
        <v>Bondurant-Farrar</v>
      </c>
      <c r="C33" s="144">
        <f>INDEX(Calculation!$A$4:$M$328,MATCH(Summary!$A33,Calculation!$A$4:$A$328,0),6)</f>
        <v>3.202</v>
      </c>
      <c r="D33" s="144">
        <f>INDEX(Calculation!$A$4:$M$328,MATCH(Summary!$A33,Calculation!$A$4:$A$328,0),7)</f>
        <v>5.13</v>
      </c>
      <c r="E33" s="144">
        <f t="shared" si="0"/>
        <v>8.3320000000000007</v>
      </c>
      <c r="F33" s="120"/>
      <c r="G33" s="121">
        <f>INDEX(Calculation!$A$4:$M$328,MATCH(Summary!$A33,Calculation!$A$4:$A$328,0),10)</f>
        <v>7635</v>
      </c>
      <c r="H33" s="121">
        <f t="shared" si="1"/>
        <v>63615</v>
      </c>
    </row>
    <row r="34" spans="1:8" x14ac:dyDescent="0.2">
      <c r="A34" s="118" t="str">
        <f>StartupfileInput!C33</f>
        <v>0729</v>
      </c>
      <c r="B34" s="119" t="str">
        <f>INDEX(Calculation!$A$4:$M$328,MATCH(Summary!$A34,Calculation!$A$4:$A$328,0),3)</f>
        <v>Boone</v>
      </c>
      <c r="C34" s="144">
        <f>INDEX(Calculation!$A$4:$M$328,MATCH(Summary!$A34,Calculation!$A$4:$A$328,0),6)</f>
        <v>5.4909999999999997</v>
      </c>
      <c r="D34" s="144">
        <f>INDEX(Calculation!$A$4:$M$328,MATCH(Summary!$A34,Calculation!$A$4:$A$328,0),7)</f>
        <v>4.157</v>
      </c>
      <c r="E34" s="144">
        <f t="shared" si="0"/>
        <v>9.6479999999999997</v>
      </c>
      <c r="F34" s="120"/>
      <c r="G34" s="121">
        <f>INDEX(Calculation!$A$4:$M$328,MATCH(Summary!$A34,Calculation!$A$4:$A$328,0),10)</f>
        <v>7635</v>
      </c>
      <c r="H34" s="121">
        <f t="shared" si="1"/>
        <v>73662</v>
      </c>
    </row>
    <row r="35" spans="1:8" x14ac:dyDescent="0.2">
      <c r="A35" s="118" t="str">
        <f>StartupfileInput!C34</f>
        <v>0747</v>
      </c>
      <c r="B35" s="119" t="str">
        <f>INDEX(Calculation!$A$4:$M$328,MATCH(Summary!$A35,Calculation!$A$4:$A$328,0),3)</f>
        <v>Boyden-Hull</v>
      </c>
      <c r="C35" s="144">
        <f>INDEX(Calculation!$A$4:$M$328,MATCH(Summary!$A35,Calculation!$A$4:$A$328,0),6)</f>
        <v>1.5289999999999999</v>
      </c>
      <c r="D35" s="144">
        <f>INDEX(Calculation!$A$4:$M$328,MATCH(Summary!$A35,Calculation!$A$4:$A$328,0),7)</f>
        <v>1.1599999999999999</v>
      </c>
      <c r="E35" s="144">
        <f t="shared" si="0"/>
        <v>2.6890000000000001</v>
      </c>
      <c r="F35" s="120"/>
      <c r="G35" s="121">
        <f>INDEX(Calculation!$A$4:$M$328,MATCH(Summary!$A35,Calculation!$A$4:$A$328,0),10)</f>
        <v>7635</v>
      </c>
      <c r="H35" s="121">
        <f t="shared" si="1"/>
        <v>20531</v>
      </c>
    </row>
    <row r="36" spans="1:8" x14ac:dyDescent="0.2">
      <c r="A36" s="118" t="str">
        <f>StartupfileInput!C35</f>
        <v>1917</v>
      </c>
      <c r="B36" s="119" t="str">
        <f>INDEX(Calculation!$A$4:$M$328,MATCH(Summary!$A36,Calculation!$A$4:$A$328,0),3)</f>
        <v>Boyer Valley</v>
      </c>
      <c r="C36" s="144">
        <f>INDEX(Calculation!$A$4:$M$328,MATCH(Summary!$A36,Calculation!$A$4:$A$328,0),6)</f>
        <v>0.96399999999999997</v>
      </c>
      <c r="D36" s="144">
        <f>INDEX(Calculation!$A$4:$M$328,MATCH(Summary!$A36,Calculation!$A$4:$A$328,0),7)</f>
        <v>0.77400000000000002</v>
      </c>
      <c r="E36" s="144">
        <f t="shared" si="0"/>
        <v>1.738</v>
      </c>
      <c r="F36" s="120"/>
      <c r="G36" s="121">
        <f>INDEX(Calculation!$A$4:$M$328,MATCH(Summary!$A36,Calculation!$A$4:$A$328,0),10)</f>
        <v>7635</v>
      </c>
      <c r="H36" s="121">
        <f t="shared" si="1"/>
        <v>13270</v>
      </c>
    </row>
    <row r="37" spans="1:8" x14ac:dyDescent="0.2">
      <c r="A37" s="118" t="str">
        <f>StartupfileInput!C36</f>
        <v>0846</v>
      </c>
      <c r="B37" s="119" t="str">
        <f>INDEX(Calculation!$A$4:$M$328,MATCH(Summary!$A37,Calculation!$A$4:$A$328,0),3)</f>
        <v>Brooklyn-Guernsey-Malcom</v>
      </c>
      <c r="C37" s="144">
        <f>INDEX(Calculation!$A$4:$M$328,MATCH(Summary!$A37,Calculation!$A$4:$A$328,0),6)</f>
        <v>1.149</v>
      </c>
      <c r="D37" s="144">
        <f>INDEX(Calculation!$A$4:$M$328,MATCH(Summary!$A37,Calculation!$A$4:$A$328,0),7)</f>
        <v>1.05</v>
      </c>
      <c r="E37" s="144">
        <f t="shared" si="0"/>
        <v>2.1989999999999998</v>
      </c>
      <c r="F37" s="120"/>
      <c r="G37" s="121">
        <f>INDEX(Calculation!$A$4:$M$328,MATCH(Summary!$A37,Calculation!$A$4:$A$328,0),10)</f>
        <v>7635</v>
      </c>
      <c r="H37" s="121">
        <f t="shared" si="1"/>
        <v>16789</v>
      </c>
    </row>
    <row r="38" spans="1:8" x14ac:dyDescent="0.2">
      <c r="A38" s="118" t="str">
        <f>StartupfileInput!C37</f>
        <v>0882</v>
      </c>
      <c r="B38" s="119" t="str">
        <f>INDEX(Calculation!$A$4:$M$328,MATCH(Summary!$A38,Calculation!$A$4:$A$328,0),3)</f>
        <v>Burlington</v>
      </c>
      <c r="C38" s="144">
        <f>INDEX(Calculation!$A$4:$M$328,MATCH(Summary!$A38,Calculation!$A$4:$A$328,0),6)</f>
        <v>17.215</v>
      </c>
      <c r="D38" s="144">
        <f>INDEX(Calculation!$A$4:$M$328,MATCH(Summary!$A38,Calculation!$A$4:$A$328,0),7)</f>
        <v>7.875</v>
      </c>
      <c r="E38" s="144">
        <f t="shared" si="0"/>
        <v>25.09</v>
      </c>
      <c r="F38" s="120"/>
      <c r="G38" s="121">
        <f>INDEX(Calculation!$A$4:$M$328,MATCH(Summary!$A38,Calculation!$A$4:$A$328,0),10)</f>
        <v>7635</v>
      </c>
      <c r="H38" s="121">
        <f t="shared" si="1"/>
        <v>191562</v>
      </c>
    </row>
    <row r="39" spans="1:8" x14ac:dyDescent="0.2">
      <c r="A39" s="118" t="str">
        <f>StartupfileInput!C38</f>
        <v>0916</v>
      </c>
      <c r="B39" s="119" t="str">
        <f>INDEX(Calculation!$A$4:$M$328,MATCH(Summary!$A39,Calculation!$A$4:$A$328,0),3)</f>
        <v>CAL</v>
      </c>
      <c r="C39" s="144">
        <f>INDEX(Calculation!$A$4:$M$328,MATCH(Summary!$A39,Calculation!$A$4:$A$328,0),6)</f>
        <v>1.129</v>
      </c>
      <c r="D39" s="144">
        <f>INDEX(Calculation!$A$4:$M$328,MATCH(Summary!$A39,Calculation!$A$4:$A$328,0),7)</f>
        <v>0.57299999999999995</v>
      </c>
      <c r="E39" s="144">
        <f t="shared" si="0"/>
        <v>1.702</v>
      </c>
      <c r="F39" s="120"/>
      <c r="G39" s="121">
        <f>INDEX(Calculation!$A$4:$M$328,MATCH(Summary!$A39,Calculation!$A$4:$A$328,0),10)</f>
        <v>7770</v>
      </c>
      <c r="H39" s="121">
        <f t="shared" si="1"/>
        <v>13225</v>
      </c>
    </row>
    <row r="40" spans="1:8" x14ac:dyDescent="0.2">
      <c r="A40" s="118" t="str">
        <f>StartupfileInput!C39</f>
        <v>0914</v>
      </c>
      <c r="B40" s="119" t="str">
        <f>INDEX(Calculation!$A$4:$M$328,MATCH(Summary!$A40,Calculation!$A$4:$A$328,0),3)</f>
        <v>CAM</v>
      </c>
      <c r="C40" s="144">
        <f>INDEX(Calculation!$A$4:$M$328,MATCH(Summary!$A40,Calculation!$A$4:$A$328,0),6)</f>
        <v>1.373</v>
      </c>
      <c r="D40" s="144">
        <f>INDEX(Calculation!$A$4:$M$328,MATCH(Summary!$A40,Calculation!$A$4:$A$328,0),7)</f>
        <v>0.94599999999999995</v>
      </c>
      <c r="E40" s="144">
        <f t="shared" si="0"/>
        <v>2.319</v>
      </c>
      <c r="F40" s="120"/>
      <c r="G40" s="121">
        <f>INDEX(Calculation!$A$4:$M$328,MATCH(Summary!$A40,Calculation!$A$4:$A$328,0),10)</f>
        <v>7650</v>
      </c>
      <c r="H40" s="121">
        <f t="shared" si="1"/>
        <v>17740</v>
      </c>
    </row>
    <row r="41" spans="1:8" x14ac:dyDescent="0.2">
      <c r="A41" s="118" t="str">
        <f>StartupfileInput!C40</f>
        <v>0918</v>
      </c>
      <c r="B41" s="119" t="str">
        <f>INDEX(Calculation!$A$4:$M$328,MATCH(Summary!$A41,Calculation!$A$4:$A$328,0),3)</f>
        <v>Calamus-Wheatland</v>
      </c>
      <c r="C41" s="144">
        <f>INDEX(Calculation!$A$4:$M$328,MATCH(Summary!$A41,Calculation!$A$4:$A$328,0),6)</f>
        <v>0.94499999999999995</v>
      </c>
      <c r="D41" s="144">
        <f>INDEX(Calculation!$A$4:$M$328,MATCH(Summary!$A41,Calculation!$A$4:$A$328,0),7)</f>
        <v>0.77800000000000002</v>
      </c>
      <c r="E41" s="144">
        <f t="shared" si="0"/>
        <v>1.7229999999999999</v>
      </c>
      <c r="F41" s="120"/>
      <c r="G41" s="121">
        <f>INDEX(Calculation!$A$4:$M$328,MATCH(Summary!$A41,Calculation!$A$4:$A$328,0),10)</f>
        <v>7659</v>
      </c>
      <c r="H41" s="121">
        <f t="shared" si="1"/>
        <v>13196</v>
      </c>
    </row>
    <row r="42" spans="1:8" x14ac:dyDescent="0.2">
      <c r="A42" s="118" t="str">
        <f>StartupfileInput!C41</f>
        <v>0936</v>
      </c>
      <c r="B42" s="119" t="str">
        <f>INDEX(Calculation!$A$4:$M$328,MATCH(Summary!$A42,Calculation!$A$4:$A$328,0),3)</f>
        <v>Camanche</v>
      </c>
      <c r="C42" s="144">
        <f>INDEX(Calculation!$A$4:$M$328,MATCH(Summary!$A42,Calculation!$A$4:$A$328,0),6)</f>
        <v>2.355</v>
      </c>
      <c r="D42" s="144">
        <f>INDEX(Calculation!$A$4:$M$328,MATCH(Summary!$A42,Calculation!$A$4:$A$328,0),7)</f>
        <v>1.7430000000000001</v>
      </c>
      <c r="E42" s="144">
        <f t="shared" si="0"/>
        <v>4.0979999999999999</v>
      </c>
      <c r="F42" s="120"/>
      <c r="G42" s="121">
        <f>INDEX(Calculation!$A$4:$M$328,MATCH(Summary!$A42,Calculation!$A$4:$A$328,0),10)</f>
        <v>7635</v>
      </c>
      <c r="H42" s="121">
        <f t="shared" si="1"/>
        <v>31288</v>
      </c>
    </row>
    <row r="43" spans="1:8" x14ac:dyDescent="0.2">
      <c r="A43" s="118" t="str">
        <f>StartupfileInput!C42</f>
        <v>0977</v>
      </c>
      <c r="B43" s="119" t="str">
        <f>INDEX(Calculation!$A$4:$M$328,MATCH(Summary!$A43,Calculation!$A$4:$A$328,0),3)</f>
        <v>Cardinal</v>
      </c>
      <c r="C43" s="144">
        <f>INDEX(Calculation!$A$4:$M$328,MATCH(Summary!$A43,Calculation!$A$4:$A$328,0),6)</f>
        <v>1.9550000000000001</v>
      </c>
      <c r="D43" s="144">
        <f>INDEX(Calculation!$A$4:$M$328,MATCH(Summary!$A43,Calculation!$A$4:$A$328,0),7)</f>
        <v>1.17</v>
      </c>
      <c r="E43" s="144">
        <f t="shared" si="0"/>
        <v>3.125</v>
      </c>
      <c r="F43" s="120"/>
      <c r="G43" s="121">
        <f>INDEX(Calculation!$A$4:$M$328,MATCH(Summary!$A43,Calculation!$A$4:$A$328,0),10)</f>
        <v>7635</v>
      </c>
      <c r="H43" s="121">
        <f t="shared" si="1"/>
        <v>23859</v>
      </c>
    </row>
    <row r="44" spans="1:8" x14ac:dyDescent="0.2">
      <c r="A44" s="118" t="str">
        <f>StartupfileInput!C43</f>
        <v>0981</v>
      </c>
      <c r="B44" s="119" t="str">
        <f>INDEX(Calculation!$A$4:$M$328,MATCH(Summary!$A44,Calculation!$A$4:$A$328,0),3)</f>
        <v>Carlisle</v>
      </c>
      <c r="C44" s="144">
        <f>INDEX(Calculation!$A$4:$M$328,MATCH(Summary!$A44,Calculation!$A$4:$A$328,0),6)</f>
        <v>4.4770000000000003</v>
      </c>
      <c r="D44" s="144">
        <f>INDEX(Calculation!$A$4:$M$328,MATCH(Summary!$A44,Calculation!$A$4:$A$328,0),7)</f>
        <v>4.1020000000000003</v>
      </c>
      <c r="E44" s="144">
        <f t="shared" si="0"/>
        <v>8.5790000000000006</v>
      </c>
      <c r="F44" s="120"/>
      <c r="G44" s="121">
        <f>INDEX(Calculation!$A$4:$M$328,MATCH(Summary!$A44,Calculation!$A$4:$A$328,0),10)</f>
        <v>7635</v>
      </c>
      <c r="H44" s="121">
        <f t="shared" si="1"/>
        <v>65501</v>
      </c>
    </row>
    <row r="45" spans="1:8" x14ac:dyDescent="0.2">
      <c r="A45" s="118" t="str">
        <f>StartupfileInput!C44</f>
        <v>0999</v>
      </c>
      <c r="B45" s="119" t="str">
        <f>INDEX(Calculation!$A$4:$M$328,MATCH(Summary!$A45,Calculation!$A$4:$A$328,0),3)</f>
        <v>Carroll</v>
      </c>
      <c r="C45" s="144">
        <f>INDEX(Calculation!$A$4:$M$328,MATCH(Summary!$A45,Calculation!$A$4:$A$328,0),6)</f>
        <v>4.4850000000000003</v>
      </c>
      <c r="D45" s="144">
        <f>INDEX(Calculation!$A$4:$M$328,MATCH(Summary!$A45,Calculation!$A$4:$A$328,0),7)</f>
        <v>3.355</v>
      </c>
      <c r="E45" s="144">
        <f t="shared" si="0"/>
        <v>7.84</v>
      </c>
      <c r="F45" s="120"/>
      <c r="G45" s="121">
        <f>INDEX(Calculation!$A$4:$M$328,MATCH(Summary!$A45,Calculation!$A$4:$A$328,0),10)</f>
        <v>7635</v>
      </c>
      <c r="H45" s="121">
        <f t="shared" si="1"/>
        <v>59858</v>
      </c>
    </row>
    <row r="46" spans="1:8" x14ac:dyDescent="0.2">
      <c r="A46" s="118" t="str">
        <f>StartupfileInput!C45</f>
        <v>1044</v>
      </c>
      <c r="B46" s="119" t="str">
        <f>INDEX(Calculation!$A$4:$M$328,MATCH(Summary!$A46,Calculation!$A$4:$A$328,0),3)</f>
        <v>Cedar Falls</v>
      </c>
      <c r="C46" s="144">
        <f>INDEX(Calculation!$A$4:$M$328,MATCH(Summary!$A46,Calculation!$A$4:$A$328,0),6)</f>
        <v>10.183</v>
      </c>
      <c r="D46" s="144">
        <f>INDEX(Calculation!$A$4:$M$328,MATCH(Summary!$A46,Calculation!$A$4:$A$328,0),7)</f>
        <v>11.260999999999999</v>
      </c>
      <c r="E46" s="144">
        <f t="shared" si="0"/>
        <v>21.443999999999999</v>
      </c>
      <c r="F46" s="120"/>
      <c r="G46" s="121">
        <f>INDEX(Calculation!$A$4:$M$328,MATCH(Summary!$A46,Calculation!$A$4:$A$328,0),10)</f>
        <v>7635</v>
      </c>
      <c r="H46" s="121">
        <f t="shared" si="1"/>
        <v>163725</v>
      </c>
    </row>
    <row r="47" spans="1:8" x14ac:dyDescent="0.2">
      <c r="A47" s="118" t="str">
        <f>StartupfileInput!C46</f>
        <v>1053</v>
      </c>
      <c r="B47" s="119" t="str">
        <f>INDEX(Calculation!$A$4:$M$328,MATCH(Summary!$A47,Calculation!$A$4:$A$328,0),3)</f>
        <v>Cedar Rapids</v>
      </c>
      <c r="C47" s="144">
        <f>INDEX(Calculation!$A$4:$M$328,MATCH(Summary!$A47,Calculation!$A$4:$A$328,0),6)</f>
        <v>63.158000000000001</v>
      </c>
      <c r="D47" s="144">
        <f>INDEX(Calculation!$A$4:$M$328,MATCH(Summary!$A47,Calculation!$A$4:$A$328,0),7)</f>
        <v>32.557000000000002</v>
      </c>
      <c r="E47" s="144">
        <f t="shared" si="0"/>
        <v>95.715000000000003</v>
      </c>
      <c r="F47" s="120"/>
      <c r="G47" s="121">
        <f>INDEX(Calculation!$A$4:$M$328,MATCH(Summary!$A47,Calculation!$A$4:$A$328,0),10)</f>
        <v>7635</v>
      </c>
      <c r="H47" s="121">
        <f t="shared" si="1"/>
        <v>730784</v>
      </c>
    </row>
    <row r="48" spans="1:8" x14ac:dyDescent="0.2">
      <c r="A48" s="118" t="str">
        <f>StartupfileInput!C47</f>
        <v>1062</v>
      </c>
      <c r="B48" s="119" t="str">
        <f>INDEX(Calculation!$A$4:$M$328,MATCH(Summary!$A48,Calculation!$A$4:$A$328,0),3)</f>
        <v>Center Point-Urbana</v>
      </c>
      <c r="C48" s="144">
        <f>INDEX(Calculation!$A$4:$M$328,MATCH(Summary!$A48,Calculation!$A$4:$A$328,0),6)</f>
        <v>1.581</v>
      </c>
      <c r="D48" s="144">
        <f>INDEX(Calculation!$A$4:$M$328,MATCH(Summary!$A48,Calculation!$A$4:$A$328,0),7)</f>
        <v>2.452</v>
      </c>
      <c r="E48" s="144">
        <f t="shared" si="0"/>
        <v>4.0329999999999995</v>
      </c>
      <c r="F48" s="120"/>
      <c r="G48" s="121">
        <f>INDEX(Calculation!$A$4:$M$328,MATCH(Summary!$A48,Calculation!$A$4:$A$328,0),10)</f>
        <v>7635</v>
      </c>
      <c r="H48" s="121">
        <f t="shared" si="1"/>
        <v>30792</v>
      </c>
    </row>
    <row r="49" spans="1:8" x14ac:dyDescent="0.2">
      <c r="A49" s="118" t="str">
        <f>StartupfileInput!C48</f>
        <v>1071</v>
      </c>
      <c r="B49" s="119" t="str">
        <f>INDEX(Calculation!$A$4:$M$328,MATCH(Summary!$A49,Calculation!$A$4:$A$328,0),3)</f>
        <v>Centerville</v>
      </c>
      <c r="C49" s="144">
        <f>INDEX(Calculation!$A$4:$M$328,MATCH(Summary!$A49,Calculation!$A$4:$A$328,0),6)</f>
        <v>4.4329999999999998</v>
      </c>
      <c r="D49" s="144">
        <f>INDEX(Calculation!$A$4:$M$328,MATCH(Summary!$A49,Calculation!$A$4:$A$328,0),7)</f>
        <v>2.7170000000000001</v>
      </c>
      <c r="E49" s="144">
        <f t="shared" si="0"/>
        <v>7.15</v>
      </c>
      <c r="F49" s="120"/>
      <c r="G49" s="121">
        <f>INDEX(Calculation!$A$4:$M$328,MATCH(Summary!$A49,Calculation!$A$4:$A$328,0),10)</f>
        <v>7659</v>
      </c>
      <c r="H49" s="121">
        <f t="shared" si="1"/>
        <v>54762</v>
      </c>
    </row>
    <row r="50" spans="1:8" x14ac:dyDescent="0.2">
      <c r="A50" s="118" t="str">
        <f>StartupfileInput!C49</f>
        <v>1089</v>
      </c>
      <c r="B50" s="119" t="str">
        <f>INDEX(Calculation!$A$4:$M$328,MATCH(Summary!$A50,Calculation!$A$4:$A$328,0),3)</f>
        <v>Central City</v>
      </c>
      <c r="C50" s="144">
        <f>INDEX(Calculation!$A$4:$M$328,MATCH(Summary!$A50,Calculation!$A$4:$A$328,0),6)</f>
        <v>0.97199999999999998</v>
      </c>
      <c r="D50" s="144">
        <f>INDEX(Calculation!$A$4:$M$328,MATCH(Summary!$A50,Calculation!$A$4:$A$328,0),7)</f>
        <v>0.88600000000000001</v>
      </c>
      <c r="E50" s="144">
        <f t="shared" si="0"/>
        <v>1.8580000000000001</v>
      </c>
      <c r="F50" s="120"/>
      <c r="G50" s="121">
        <f>INDEX(Calculation!$A$4:$M$328,MATCH(Summary!$A50,Calculation!$A$4:$A$328,0),10)</f>
        <v>7661</v>
      </c>
      <c r="H50" s="121">
        <f t="shared" si="1"/>
        <v>14234</v>
      </c>
    </row>
    <row r="51" spans="1:8" x14ac:dyDescent="0.2">
      <c r="A51" s="118" t="str">
        <f>StartupfileInput!C50</f>
        <v>1080</v>
      </c>
      <c r="B51" s="119" t="str">
        <f>INDEX(Calculation!$A$4:$M$328,MATCH(Summary!$A51,Calculation!$A$4:$A$328,0),3)</f>
        <v>Central Clayton</v>
      </c>
      <c r="C51" s="144">
        <f>INDEX(Calculation!$A$4:$M$328,MATCH(Summary!$A51,Calculation!$A$4:$A$328,0),6)</f>
        <v>1.4179999999999999</v>
      </c>
      <c r="D51" s="144">
        <f>INDEX(Calculation!$A$4:$M$328,MATCH(Summary!$A51,Calculation!$A$4:$A$328,0),7)</f>
        <v>0.92100000000000004</v>
      </c>
      <c r="E51" s="144">
        <f t="shared" si="0"/>
        <v>2.339</v>
      </c>
      <c r="F51" s="120"/>
      <c r="G51" s="121">
        <f>INDEX(Calculation!$A$4:$M$328,MATCH(Summary!$A51,Calculation!$A$4:$A$328,0),10)</f>
        <v>7635</v>
      </c>
      <c r="H51" s="121">
        <f t="shared" si="1"/>
        <v>17858</v>
      </c>
    </row>
    <row r="52" spans="1:8" x14ac:dyDescent="0.2">
      <c r="A52" s="118" t="str">
        <f>StartupfileInput!C51</f>
        <v>1082</v>
      </c>
      <c r="B52" s="119" t="str">
        <f>INDEX(Calculation!$A$4:$M$328,MATCH(Summary!$A52,Calculation!$A$4:$A$328,0),3)</f>
        <v>Central De Witt</v>
      </c>
      <c r="C52" s="144">
        <f>INDEX(Calculation!$A$4:$M$328,MATCH(Summary!$A52,Calculation!$A$4:$A$328,0),6)</f>
        <v>3.2549999999999999</v>
      </c>
      <c r="D52" s="144">
        <f>INDEX(Calculation!$A$4:$M$328,MATCH(Summary!$A52,Calculation!$A$4:$A$328,0),7)</f>
        <v>2.964</v>
      </c>
      <c r="E52" s="144">
        <f t="shared" si="0"/>
        <v>6.2189999999999994</v>
      </c>
      <c r="F52" s="120"/>
      <c r="G52" s="121">
        <f>INDEX(Calculation!$A$4:$M$328,MATCH(Summary!$A52,Calculation!$A$4:$A$328,0),10)</f>
        <v>7635</v>
      </c>
      <c r="H52" s="121">
        <f t="shared" si="1"/>
        <v>47482</v>
      </c>
    </row>
    <row r="53" spans="1:8" x14ac:dyDescent="0.2">
      <c r="A53" s="118" t="str">
        <f>StartupfileInput!C52</f>
        <v>1093</v>
      </c>
      <c r="B53" s="119" t="str">
        <f>INDEX(Calculation!$A$4:$M$328,MATCH(Summary!$A53,Calculation!$A$4:$A$328,0),3)</f>
        <v>Central Decatur</v>
      </c>
      <c r="C53" s="144">
        <f>INDEX(Calculation!$A$4:$M$328,MATCH(Summary!$A53,Calculation!$A$4:$A$328,0),6)</f>
        <v>2.88</v>
      </c>
      <c r="D53" s="144">
        <f>INDEX(Calculation!$A$4:$M$328,MATCH(Summary!$A53,Calculation!$A$4:$A$328,0),7)</f>
        <v>1.3109999999999999</v>
      </c>
      <c r="E53" s="144">
        <f t="shared" si="0"/>
        <v>4.1909999999999998</v>
      </c>
      <c r="F53" s="120"/>
      <c r="G53" s="121">
        <f>INDEX(Calculation!$A$4:$M$328,MATCH(Summary!$A53,Calculation!$A$4:$A$328,0),10)</f>
        <v>7635</v>
      </c>
      <c r="H53" s="121">
        <f t="shared" si="1"/>
        <v>31998</v>
      </c>
    </row>
    <row r="54" spans="1:8" x14ac:dyDescent="0.2">
      <c r="A54" s="118" t="str">
        <f>StartupfileInput!C53</f>
        <v>1079</v>
      </c>
      <c r="B54" s="119" t="str">
        <f>INDEX(Calculation!$A$4:$M$328,MATCH(Summary!$A54,Calculation!$A$4:$A$328,0),3)</f>
        <v>Central Lee</v>
      </c>
      <c r="C54" s="144">
        <f>INDEX(Calculation!$A$4:$M$328,MATCH(Summary!$A54,Calculation!$A$4:$A$328,0),6)</f>
        <v>2.012</v>
      </c>
      <c r="D54" s="144">
        <f>INDEX(Calculation!$A$4:$M$328,MATCH(Summary!$A54,Calculation!$A$4:$A$328,0),7)</f>
        <v>1.6379999999999999</v>
      </c>
      <c r="E54" s="144">
        <f t="shared" si="0"/>
        <v>3.65</v>
      </c>
      <c r="F54" s="120"/>
      <c r="G54" s="121">
        <f>INDEX(Calculation!$A$4:$M$328,MATCH(Summary!$A54,Calculation!$A$4:$A$328,0),10)</f>
        <v>7635</v>
      </c>
      <c r="H54" s="121">
        <f t="shared" si="1"/>
        <v>27868</v>
      </c>
    </row>
    <row r="55" spans="1:8" x14ac:dyDescent="0.2">
      <c r="A55" s="118" t="str">
        <f>StartupfileInput!C54</f>
        <v>1095</v>
      </c>
      <c r="B55" s="119" t="str">
        <f>INDEX(Calculation!$A$4:$M$328,MATCH(Summary!$A55,Calculation!$A$4:$A$328,0),3)</f>
        <v>Central Lyon</v>
      </c>
      <c r="C55" s="144">
        <f>INDEX(Calculation!$A$4:$M$328,MATCH(Summary!$A55,Calculation!$A$4:$A$328,0),6)</f>
        <v>1.5449999999999999</v>
      </c>
      <c r="D55" s="144">
        <f>INDEX(Calculation!$A$4:$M$328,MATCH(Summary!$A55,Calculation!$A$4:$A$328,0),7)</f>
        <v>1.5609999999999999</v>
      </c>
      <c r="E55" s="144">
        <f t="shared" si="0"/>
        <v>3.1059999999999999</v>
      </c>
      <c r="F55" s="120"/>
      <c r="G55" s="121">
        <f>INDEX(Calculation!$A$4:$M$328,MATCH(Summary!$A55,Calculation!$A$4:$A$328,0),10)</f>
        <v>7635</v>
      </c>
      <c r="H55" s="121">
        <f t="shared" si="1"/>
        <v>23714</v>
      </c>
    </row>
    <row r="56" spans="1:8" x14ac:dyDescent="0.2">
      <c r="A56" s="118" t="str">
        <f>StartupfileInput!C55</f>
        <v>4772</v>
      </c>
      <c r="B56" s="119" t="str">
        <f>INDEX(Calculation!$A$4:$M$328,MATCH(Summary!$A56,Calculation!$A$4:$A$328,0),3)</f>
        <v>Central Springs</v>
      </c>
      <c r="C56" s="144">
        <f>INDEX(Calculation!$A$4:$M$328,MATCH(Summary!$A56,Calculation!$A$4:$A$328,0),6)</f>
        <v>2.1150000000000002</v>
      </c>
      <c r="D56" s="144">
        <f>INDEX(Calculation!$A$4:$M$328,MATCH(Summary!$A56,Calculation!$A$4:$A$328,0),7)</f>
        <v>1.643</v>
      </c>
      <c r="E56" s="144">
        <f t="shared" si="0"/>
        <v>3.758</v>
      </c>
      <c r="F56" s="120"/>
      <c r="G56" s="121">
        <f>INDEX(Calculation!$A$4:$M$328,MATCH(Summary!$A56,Calculation!$A$4:$A$328,0),10)</f>
        <v>7635</v>
      </c>
      <c r="H56" s="121">
        <f t="shared" si="1"/>
        <v>28692</v>
      </c>
    </row>
    <row r="57" spans="1:8" x14ac:dyDescent="0.2">
      <c r="A57" s="118" t="str">
        <f>StartupfileInput!C56</f>
        <v>1107</v>
      </c>
      <c r="B57" s="119" t="str">
        <f>INDEX(Calculation!$A$4:$M$328,MATCH(Summary!$A57,Calculation!$A$4:$A$328,0),3)</f>
        <v>Chariton</v>
      </c>
      <c r="C57" s="144">
        <f>INDEX(Calculation!$A$4:$M$328,MATCH(Summary!$A57,Calculation!$A$4:$A$328,0),6)</f>
        <v>4.4710000000000001</v>
      </c>
      <c r="D57" s="144">
        <f>INDEX(Calculation!$A$4:$M$328,MATCH(Summary!$A57,Calculation!$A$4:$A$328,0),7)</f>
        <v>2.593</v>
      </c>
      <c r="E57" s="144">
        <f t="shared" si="0"/>
        <v>7.0640000000000001</v>
      </c>
      <c r="F57" s="120"/>
      <c r="G57" s="121">
        <f>INDEX(Calculation!$A$4:$M$328,MATCH(Summary!$A57,Calculation!$A$4:$A$328,0),10)</f>
        <v>7635</v>
      </c>
      <c r="H57" s="121">
        <f t="shared" si="1"/>
        <v>53934</v>
      </c>
    </row>
    <row r="58" spans="1:8" x14ac:dyDescent="0.2">
      <c r="A58" s="118" t="str">
        <f>StartupfileInput!C57</f>
        <v>1116</v>
      </c>
      <c r="B58" s="119" t="str">
        <f>INDEX(Calculation!$A$4:$M$328,MATCH(Summary!$A58,Calculation!$A$4:$A$328,0),3)</f>
        <v>Charles City</v>
      </c>
      <c r="C58" s="144">
        <f>INDEX(Calculation!$A$4:$M$328,MATCH(Summary!$A58,Calculation!$A$4:$A$328,0),6)</f>
        <v>5.7320000000000002</v>
      </c>
      <c r="D58" s="144">
        <f>INDEX(Calculation!$A$4:$M$328,MATCH(Summary!$A58,Calculation!$A$4:$A$328,0),7)</f>
        <v>3.0390000000000001</v>
      </c>
      <c r="E58" s="144">
        <f t="shared" si="0"/>
        <v>8.7710000000000008</v>
      </c>
      <c r="F58" s="120"/>
      <c r="G58" s="121">
        <f>INDEX(Calculation!$A$4:$M$328,MATCH(Summary!$A58,Calculation!$A$4:$A$328,0),10)</f>
        <v>7660</v>
      </c>
      <c r="H58" s="121">
        <f t="shared" si="1"/>
        <v>67186</v>
      </c>
    </row>
    <row r="59" spans="1:8" x14ac:dyDescent="0.2">
      <c r="A59" s="118" t="str">
        <f>StartupfileInput!C58</f>
        <v>1134</v>
      </c>
      <c r="B59" s="119" t="str">
        <f>INDEX(Calculation!$A$4:$M$328,MATCH(Summary!$A59,Calculation!$A$4:$A$328,0),3)</f>
        <v>Charter Oak-Ute</v>
      </c>
      <c r="C59" s="144">
        <f>INDEX(Calculation!$A$4:$M$328,MATCH(Summary!$A59,Calculation!$A$4:$A$328,0),6)</f>
        <v>1.1240000000000001</v>
      </c>
      <c r="D59" s="144">
        <f>INDEX(Calculation!$A$4:$M$328,MATCH(Summary!$A59,Calculation!$A$4:$A$328,0),7)</f>
        <v>0.58599999999999997</v>
      </c>
      <c r="E59" s="144">
        <f t="shared" si="0"/>
        <v>1.71</v>
      </c>
      <c r="F59" s="120"/>
      <c r="G59" s="121">
        <f>INDEX(Calculation!$A$4:$M$328,MATCH(Summary!$A59,Calculation!$A$4:$A$328,0),10)</f>
        <v>7635</v>
      </c>
      <c r="H59" s="121">
        <f t="shared" si="1"/>
        <v>13056</v>
      </c>
    </row>
    <row r="60" spans="1:8" x14ac:dyDescent="0.2">
      <c r="A60" s="118" t="str">
        <f>StartupfileInput!C59</f>
        <v>1152</v>
      </c>
      <c r="B60" s="119" t="str">
        <f>INDEX(Calculation!$A$4:$M$328,MATCH(Summary!$A60,Calculation!$A$4:$A$328,0),3)</f>
        <v>Cherokee</v>
      </c>
      <c r="C60" s="144">
        <f>INDEX(Calculation!$A$4:$M$328,MATCH(Summary!$A60,Calculation!$A$4:$A$328,0),6)</f>
        <v>2.9940000000000002</v>
      </c>
      <c r="D60" s="144">
        <f>INDEX(Calculation!$A$4:$M$328,MATCH(Summary!$A60,Calculation!$A$4:$A$328,0),7)</f>
        <v>2.1120000000000001</v>
      </c>
      <c r="E60" s="144">
        <f t="shared" si="0"/>
        <v>5.1059999999999999</v>
      </c>
      <c r="F60" s="120"/>
      <c r="G60" s="121">
        <f>INDEX(Calculation!$A$4:$M$328,MATCH(Summary!$A60,Calculation!$A$4:$A$328,0),10)</f>
        <v>7651</v>
      </c>
      <c r="H60" s="121">
        <f t="shared" si="1"/>
        <v>39066</v>
      </c>
    </row>
    <row r="61" spans="1:8" x14ac:dyDescent="0.2">
      <c r="A61" s="118" t="str">
        <f>StartupfileInput!C60</f>
        <v>1197</v>
      </c>
      <c r="B61" s="119" t="str">
        <f>INDEX(Calculation!$A$4:$M$328,MATCH(Summary!$A61,Calculation!$A$4:$A$328,0),3)</f>
        <v>Clarinda</v>
      </c>
      <c r="C61" s="144">
        <f>INDEX(Calculation!$A$4:$M$328,MATCH(Summary!$A61,Calculation!$A$4:$A$328,0),6)</f>
        <v>2.802</v>
      </c>
      <c r="D61" s="144">
        <f>INDEX(Calculation!$A$4:$M$328,MATCH(Summary!$A61,Calculation!$A$4:$A$328,0),7)</f>
        <v>2.0179999999999998</v>
      </c>
      <c r="E61" s="144">
        <f t="shared" si="0"/>
        <v>4.82</v>
      </c>
      <c r="F61" s="120"/>
      <c r="G61" s="121">
        <f>INDEX(Calculation!$A$4:$M$328,MATCH(Summary!$A61,Calculation!$A$4:$A$328,0),10)</f>
        <v>7635</v>
      </c>
      <c r="H61" s="121">
        <f t="shared" si="1"/>
        <v>36801</v>
      </c>
    </row>
    <row r="62" spans="1:8" x14ac:dyDescent="0.2">
      <c r="A62" s="118" t="str">
        <f>StartupfileInput!C61</f>
        <v>1206</v>
      </c>
      <c r="B62" s="119" t="str">
        <f>INDEX(Calculation!$A$4:$M$328,MATCH(Summary!$A62,Calculation!$A$4:$A$328,0),3)</f>
        <v>Clarion-Goldfield-Dows</v>
      </c>
      <c r="C62" s="144">
        <f>INDEX(Calculation!$A$4:$M$328,MATCH(Summary!$A62,Calculation!$A$4:$A$328,0),6)</f>
        <v>3.742</v>
      </c>
      <c r="D62" s="144">
        <f>INDEX(Calculation!$A$4:$M$328,MATCH(Summary!$A62,Calculation!$A$4:$A$328,0),7)</f>
        <v>2.0630000000000002</v>
      </c>
      <c r="E62" s="144">
        <f t="shared" si="0"/>
        <v>5.8049999999999997</v>
      </c>
      <c r="F62" s="120"/>
      <c r="G62" s="121">
        <f>INDEX(Calculation!$A$4:$M$328,MATCH(Summary!$A62,Calculation!$A$4:$A$328,0),10)</f>
        <v>7635</v>
      </c>
      <c r="H62" s="121">
        <f t="shared" si="1"/>
        <v>44321</v>
      </c>
    </row>
    <row r="63" spans="1:8" x14ac:dyDescent="0.2">
      <c r="A63" s="118" t="str">
        <f>StartupfileInput!C62</f>
        <v>1211</v>
      </c>
      <c r="B63" s="119" t="str">
        <f>INDEX(Calculation!$A$4:$M$328,MATCH(Summary!$A63,Calculation!$A$4:$A$328,0),3)</f>
        <v>Clarke</v>
      </c>
      <c r="C63" s="144">
        <f>INDEX(Calculation!$A$4:$M$328,MATCH(Summary!$A63,Calculation!$A$4:$A$328,0),6)</f>
        <v>5.5919999999999996</v>
      </c>
      <c r="D63" s="144">
        <f>INDEX(Calculation!$A$4:$M$328,MATCH(Summary!$A63,Calculation!$A$4:$A$328,0),7)</f>
        <v>2.9430000000000001</v>
      </c>
      <c r="E63" s="144">
        <f t="shared" si="0"/>
        <v>8.5350000000000001</v>
      </c>
      <c r="F63" s="120"/>
      <c r="G63" s="121">
        <f>INDEX(Calculation!$A$4:$M$328,MATCH(Summary!$A63,Calculation!$A$4:$A$328,0),10)</f>
        <v>7635</v>
      </c>
      <c r="H63" s="121">
        <f t="shared" si="1"/>
        <v>65165</v>
      </c>
    </row>
    <row r="64" spans="1:8" x14ac:dyDescent="0.2">
      <c r="A64" s="118" t="str">
        <f>StartupfileInput!C63</f>
        <v>1215</v>
      </c>
      <c r="B64" s="119" t="str">
        <f>INDEX(Calculation!$A$4:$M$328,MATCH(Summary!$A64,Calculation!$A$4:$A$328,0),3)</f>
        <v>Clarksville</v>
      </c>
      <c r="C64" s="144">
        <f>INDEX(Calculation!$A$4:$M$328,MATCH(Summary!$A64,Calculation!$A$4:$A$328,0),6)</f>
        <v>0.61899999999999999</v>
      </c>
      <c r="D64" s="144">
        <f>INDEX(Calculation!$A$4:$M$328,MATCH(Summary!$A64,Calculation!$A$4:$A$328,0),7)</f>
        <v>0.59</v>
      </c>
      <c r="E64" s="144">
        <f t="shared" si="0"/>
        <v>1.2090000000000001</v>
      </c>
      <c r="F64" s="120"/>
      <c r="G64" s="121">
        <f>INDEX(Calculation!$A$4:$M$328,MATCH(Summary!$A64,Calculation!$A$4:$A$328,0),10)</f>
        <v>7635</v>
      </c>
      <c r="H64" s="121">
        <f t="shared" si="1"/>
        <v>9231</v>
      </c>
    </row>
    <row r="65" spans="1:8" x14ac:dyDescent="0.2">
      <c r="A65" s="118" t="str">
        <f>StartupfileInput!C64</f>
        <v>1218</v>
      </c>
      <c r="B65" s="119" t="str">
        <f>INDEX(Calculation!$A$4:$M$328,MATCH(Summary!$A65,Calculation!$A$4:$A$328,0),3)</f>
        <v>Clay Central-Everly</v>
      </c>
      <c r="C65" s="144">
        <f>INDEX(Calculation!$A$4:$M$328,MATCH(Summary!$A65,Calculation!$A$4:$A$328,0),6)</f>
        <v>1.3879999999999999</v>
      </c>
      <c r="D65" s="144">
        <f>INDEX(Calculation!$A$4:$M$328,MATCH(Summary!$A65,Calculation!$A$4:$A$328,0),7)</f>
        <v>0.59199999999999997</v>
      </c>
      <c r="E65" s="144">
        <f t="shared" si="0"/>
        <v>1.98</v>
      </c>
      <c r="F65" s="120"/>
      <c r="G65" s="121">
        <f>INDEX(Calculation!$A$4:$M$328,MATCH(Summary!$A65,Calculation!$A$4:$A$328,0),10)</f>
        <v>7728</v>
      </c>
      <c r="H65" s="121">
        <f t="shared" si="1"/>
        <v>15301</v>
      </c>
    </row>
    <row r="66" spans="1:8" x14ac:dyDescent="0.2">
      <c r="A66" s="118" t="str">
        <f>StartupfileInput!C65</f>
        <v>2763</v>
      </c>
      <c r="B66" s="119" t="str">
        <f>INDEX(Calculation!$A$4:$M$328,MATCH(Summary!$A66,Calculation!$A$4:$A$328,0),3)</f>
        <v>Clayton Ridge</v>
      </c>
      <c r="C66" s="144">
        <f>INDEX(Calculation!$A$4:$M$328,MATCH(Summary!$A66,Calculation!$A$4:$A$328,0),6)</f>
        <v>1.867</v>
      </c>
      <c r="D66" s="144">
        <f>INDEX(Calculation!$A$4:$M$328,MATCH(Summary!$A66,Calculation!$A$4:$A$328,0),7)</f>
        <v>1.3089999999999999</v>
      </c>
      <c r="E66" s="144">
        <f t="shared" si="0"/>
        <v>3.1760000000000002</v>
      </c>
      <c r="F66" s="120"/>
      <c r="G66" s="121">
        <f>INDEX(Calculation!$A$4:$M$328,MATCH(Summary!$A66,Calculation!$A$4:$A$328,0),10)</f>
        <v>7692</v>
      </c>
      <c r="H66" s="121">
        <f t="shared" si="1"/>
        <v>24430</v>
      </c>
    </row>
    <row r="67" spans="1:8" x14ac:dyDescent="0.2">
      <c r="A67" s="118" t="str">
        <f>StartupfileInput!C66</f>
        <v>1221</v>
      </c>
      <c r="B67" s="119" t="str">
        <f>INDEX(Calculation!$A$4:$M$328,MATCH(Summary!$A67,Calculation!$A$4:$A$328,0),3)</f>
        <v>Clear Creek-Amana</v>
      </c>
      <c r="C67" s="144">
        <f>INDEX(Calculation!$A$4:$M$328,MATCH(Summary!$A67,Calculation!$A$4:$A$328,0),6)</f>
        <v>5.1269999999999998</v>
      </c>
      <c r="D67" s="144">
        <f>INDEX(Calculation!$A$4:$M$328,MATCH(Summary!$A67,Calculation!$A$4:$A$328,0),7)</f>
        <v>5.9930000000000003</v>
      </c>
      <c r="E67" s="144">
        <f t="shared" si="0"/>
        <v>11.120000000000001</v>
      </c>
      <c r="F67" s="120"/>
      <c r="G67" s="121">
        <f>INDEX(Calculation!$A$4:$M$328,MATCH(Summary!$A67,Calculation!$A$4:$A$328,0),10)</f>
        <v>7636</v>
      </c>
      <c r="H67" s="121">
        <f t="shared" si="1"/>
        <v>84912</v>
      </c>
    </row>
    <row r="68" spans="1:8" x14ac:dyDescent="0.2">
      <c r="A68" s="118" t="str">
        <f>StartupfileInput!C67</f>
        <v>1233</v>
      </c>
      <c r="B68" s="119" t="str">
        <f>INDEX(Calculation!$A$4:$M$328,MATCH(Summary!$A68,Calculation!$A$4:$A$328,0),3)</f>
        <v>Clear Lake</v>
      </c>
      <c r="C68" s="144">
        <f>INDEX(Calculation!$A$4:$M$328,MATCH(Summary!$A68,Calculation!$A$4:$A$328,0),6)</f>
        <v>2.327</v>
      </c>
      <c r="D68" s="144">
        <f>INDEX(Calculation!$A$4:$M$328,MATCH(Summary!$A68,Calculation!$A$4:$A$328,0),7)</f>
        <v>2.3929999999999998</v>
      </c>
      <c r="E68" s="144">
        <f t="shared" ref="E68:E131" si="2">SUM(C68:D68)</f>
        <v>4.72</v>
      </c>
      <c r="F68" s="120"/>
      <c r="G68" s="121">
        <f>INDEX(Calculation!$A$4:$M$328,MATCH(Summary!$A68,Calculation!$A$4:$A$328,0),10)</f>
        <v>7635</v>
      </c>
      <c r="H68" s="121">
        <f t="shared" ref="H68:H129" si="3">ROUND(E68*G68,0)</f>
        <v>36037</v>
      </c>
    </row>
    <row r="69" spans="1:8" x14ac:dyDescent="0.2">
      <c r="A69" s="118" t="str">
        <f>StartupfileInput!C68</f>
        <v>1278</v>
      </c>
      <c r="B69" s="119" t="str">
        <f>INDEX(Calculation!$A$4:$M$328,MATCH(Summary!$A69,Calculation!$A$4:$A$328,0),3)</f>
        <v>Clinton</v>
      </c>
      <c r="C69" s="144">
        <f>INDEX(Calculation!$A$4:$M$328,MATCH(Summary!$A69,Calculation!$A$4:$A$328,0),6)</f>
        <v>14.279</v>
      </c>
      <c r="D69" s="144">
        <f>INDEX(Calculation!$A$4:$M$328,MATCH(Summary!$A69,Calculation!$A$4:$A$328,0),7)</f>
        <v>7.3529999999999998</v>
      </c>
      <c r="E69" s="144">
        <f t="shared" si="2"/>
        <v>21.631999999999998</v>
      </c>
      <c r="F69" s="120"/>
      <c r="G69" s="121">
        <f>INDEX(Calculation!$A$4:$M$328,MATCH(Summary!$A69,Calculation!$A$4:$A$328,0),10)</f>
        <v>7646</v>
      </c>
      <c r="H69" s="121">
        <f t="shared" si="3"/>
        <v>165398</v>
      </c>
    </row>
    <row r="70" spans="1:8" x14ac:dyDescent="0.2">
      <c r="A70" s="118" t="str">
        <f>StartupfileInput!C69</f>
        <v>1332</v>
      </c>
      <c r="B70" s="119" t="str">
        <f>INDEX(Calculation!$A$4:$M$328,MATCH(Summary!$A70,Calculation!$A$4:$A$328,0),3)</f>
        <v>Colfax-Mingo</v>
      </c>
      <c r="C70" s="144">
        <f>INDEX(Calculation!$A$4:$M$328,MATCH(Summary!$A70,Calculation!$A$4:$A$328,0),6)</f>
        <v>1.972</v>
      </c>
      <c r="D70" s="144">
        <f>INDEX(Calculation!$A$4:$M$328,MATCH(Summary!$A70,Calculation!$A$4:$A$328,0),7)</f>
        <v>1.4430000000000001</v>
      </c>
      <c r="E70" s="144">
        <f t="shared" si="2"/>
        <v>3.415</v>
      </c>
      <c r="F70" s="120"/>
      <c r="G70" s="121">
        <f>INDEX(Calculation!$A$4:$M$328,MATCH(Summary!$A70,Calculation!$A$4:$A$328,0),10)</f>
        <v>7635</v>
      </c>
      <c r="H70" s="121">
        <f t="shared" si="3"/>
        <v>26074</v>
      </c>
    </row>
    <row r="71" spans="1:8" x14ac:dyDescent="0.2">
      <c r="A71" s="118" t="str">
        <f>StartupfileInput!C70</f>
        <v>1337</v>
      </c>
      <c r="B71" s="119" t="str">
        <f>INDEX(Calculation!$A$4:$M$328,MATCH(Summary!$A71,Calculation!$A$4:$A$328,0),3)</f>
        <v>College Community</v>
      </c>
      <c r="C71" s="144">
        <f>INDEX(Calculation!$A$4:$M$328,MATCH(Summary!$A71,Calculation!$A$4:$A$328,0),6)</f>
        <v>12.494999999999999</v>
      </c>
      <c r="D71" s="144">
        <f>INDEX(Calculation!$A$4:$M$328,MATCH(Summary!$A71,Calculation!$A$4:$A$328,0),7)</f>
        <v>10.502000000000001</v>
      </c>
      <c r="E71" s="144">
        <f t="shared" si="2"/>
        <v>22.997</v>
      </c>
      <c r="F71" s="120"/>
      <c r="G71" s="121">
        <f>INDEX(Calculation!$A$4:$M$328,MATCH(Summary!$A71,Calculation!$A$4:$A$328,0),10)</f>
        <v>7635</v>
      </c>
      <c r="H71" s="121">
        <f t="shared" si="3"/>
        <v>175582</v>
      </c>
    </row>
    <row r="72" spans="1:8" x14ac:dyDescent="0.2">
      <c r="A72" s="118" t="str">
        <f>StartupfileInput!C71</f>
        <v>1350</v>
      </c>
      <c r="B72" s="119" t="str">
        <f>INDEX(Calculation!$A$4:$M$328,MATCH(Summary!$A72,Calculation!$A$4:$A$328,0),3)</f>
        <v>Collins-Maxwell</v>
      </c>
      <c r="C72" s="144">
        <f>INDEX(Calculation!$A$4:$M$328,MATCH(Summary!$A72,Calculation!$A$4:$A$328,0),6)</f>
        <v>1.3149999999999999</v>
      </c>
      <c r="D72" s="144">
        <f>INDEX(Calculation!$A$4:$M$328,MATCH(Summary!$A72,Calculation!$A$4:$A$328,0),7)</f>
        <v>0.94599999999999995</v>
      </c>
      <c r="E72" s="144">
        <f t="shared" si="2"/>
        <v>2.2610000000000001</v>
      </c>
      <c r="F72" s="120"/>
      <c r="G72" s="121">
        <f>INDEX(Calculation!$A$4:$M$328,MATCH(Summary!$A72,Calculation!$A$4:$A$328,0),10)</f>
        <v>7635</v>
      </c>
      <c r="H72" s="121">
        <f t="shared" si="3"/>
        <v>17263</v>
      </c>
    </row>
    <row r="73" spans="1:8" x14ac:dyDescent="0.2">
      <c r="A73" s="118" t="str">
        <f>StartupfileInput!C72</f>
        <v>1359</v>
      </c>
      <c r="B73" s="119" t="str">
        <f>INDEX(Calculation!$A$4:$M$328,MATCH(Summary!$A73,Calculation!$A$4:$A$328,0),3)</f>
        <v>Colo-Nesco</v>
      </c>
      <c r="C73" s="144">
        <f>INDEX(Calculation!$A$4:$M$328,MATCH(Summary!$A73,Calculation!$A$4:$A$328,0),6)</f>
        <v>1.292</v>
      </c>
      <c r="D73" s="144">
        <f>INDEX(Calculation!$A$4:$M$328,MATCH(Summary!$A73,Calculation!$A$4:$A$328,0),7)</f>
        <v>0.92400000000000004</v>
      </c>
      <c r="E73" s="144">
        <f t="shared" si="2"/>
        <v>2.2160000000000002</v>
      </c>
      <c r="F73" s="120"/>
      <c r="G73" s="121">
        <f>INDEX(Calculation!$A$4:$M$328,MATCH(Summary!$A73,Calculation!$A$4:$A$328,0),10)</f>
        <v>7635</v>
      </c>
      <c r="H73" s="121">
        <f t="shared" si="3"/>
        <v>16919</v>
      </c>
    </row>
    <row r="74" spans="1:8" x14ac:dyDescent="0.2">
      <c r="A74" s="118" t="str">
        <f>StartupfileInput!C73</f>
        <v>1368</v>
      </c>
      <c r="B74" s="119" t="str">
        <f>INDEX(Calculation!$A$4:$M$328,MATCH(Summary!$A74,Calculation!$A$4:$A$328,0),3)</f>
        <v>Columbus</v>
      </c>
      <c r="C74" s="144">
        <f>INDEX(Calculation!$A$4:$M$328,MATCH(Summary!$A74,Calculation!$A$4:$A$328,0),6)</f>
        <v>3.1869999999999998</v>
      </c>
      <c r="D74" s="144">
        <f>INDEX(Calculation!$A$4:$M$328,MATCH(Summary!$A74,Calculation!$A$4:$A$328,0),7)</f>
        <v>1.5129999999999999</v>
      </c>
      <c r="E74" s="144">
        <f t="shared" si="2"/>
        <v>4.6999999999999993</v>
      </c>
      <c r="F74" s="120"/>
      <c r="G74" s="121">
        <f>INDEX(Calculation!$A$4:$M$328,MATCH(Summary!$A74,Calculation!$A$4:$A$328,0),10)</f>
        <v>7635</v>
      </c>
      <c r="H74" s="121">
        <f t="shared" si="3"/>
        <v>35885</v>
      </c>
    </row>
    <row r="75" spans="1:8" x14ac:dyDescent="0.2">
      <c r="A75" s="118" t="str">
        <f>StartupfileInput!C74</f>
        <v>1413</v>
      </c>
      <c r="B75" s="119" t="str">
        <f>INDEX(Calculation!$A$4:$M$328,MATCH(Summary!$A75,Calculation!$A$4:$A$328,0),3)</f>
        <v>Coon Rapids-Bayard</v>
      </c>
      <c r="C75" s="144">
        <f>INDEX(Calculation!$A$4:$M$328,MATCH(Summary!$A75,Calculation!$A$4:$A$328,0),6)</f>
        <v>1.3140000000000001</v>
      </c>
      <c r="D75" s="144">
        <f>INDEX(Calculation!$A$4:$M$328,MATCH(Summary!$A75,Calculation!$A$4:$A$328,0),7)</f>
        <v>0.86699999999999999</v>
      </c>
      <c r="E75" s="144">
        <f t="shared" si="2"/>
        <v>2.181</v>
      </c>
      <c r="F75" s="120"/>
      <c r="G75" s="121">
        <f>INDEX(Calculation!$A$4:$M$328,MATCH(Summary!$A75,Calculation!$A$4:$A$328,0),10)</f>
        <v>7747</v>
      </c>
      <c r="H75" s="121">
        <f t="shared" si="3"/>
        <v>16896</v>
      </c>
    </row>
    <row r="76" spans="1:8" x14ac:dyDescent="0.2">
      <c r="A76" s="118" t="str">
        <f>StartupfileInput!C75</f>
        <v>1431</v>
      </c>
      <c r="B76" s="119" t="str">
        <f>INDEX(Calculation!$A$4:$M$328,MATCH(Summary!$A76,Calculation!$A$4:$A$328,0),3)</f>
        <v>Corning</v>
      </c>
      <c r="C76" s="144">
        <f>INDEX(Calculation!$A$4:$M$328,MATCH(Summary!$A76,Calculation!$A$4:$A$328,0),6)</f>
        <v>1.046</v>
      </c>
      <c r="D76" s="144">
        <f>INDEX(Calculation!$A$4:$M$328,MATCH(Summary!$A76,Calculation!$A$4:$A$328,0),7)</f>
        <v>0.77900000000000003</v>
      </c>
      <c r="E76" s="144">
        <f t="shared" si="2"/>
        <v>1.8250000000000002</v>
      </c>
      <c r="F76" s="120"/>
      <c r="G76" s="121">
        <f>INDEX(Calculation!$A$4:$M$328,MATCH(Summary!$A76,Calculation!$A$4:$A$328,0),10)</f>
        <v>7647</v>
      </c>
      <c r="H76" s="121">
        <f t="shared" si="3"/>
        <v>13956</v>
      </c>
    </row>
    <row r="77" spans="1:8" x14ac:dyDescent="0.2">
      <c r="A77" s="118" t="str">
        <f>StartupfileInput!C76</f>
        <v>1476</v>
      </c>
      <c r="B77" s="119" t="str">
        <f>INDEX(Calculation!$A$4:$M$328,MATCH(Summary!$A77,Calculation!$A$4:$A$328,0),3)</f>
        <v>Council Bluffs</v>
      </c>
      <c r="C77" s="144">
        <f>INDEX(Calculation!$A$4:$M$328,MATCH(Summary!$A77,Calculation!$A$4:$A$328,0),6)</f>
        <v>36.298999999999999</v>
      </c>
      <c r="D77" s="144">
        <f>INDEX(Calculation!$A$4:$M$328,MATCH(Summary!$A77,Calculation!$A$4:$A$328,0),7)</f>
        <v>17.763999999999999</v>
      </c>
      <c r="E77" s="144">
        <f t="shared" si="2"/>
        <v>54.063000000000002</v>
      </c>
      <c r="F77" s="120"/>
      <c r="G77" s="121">
        <f>INDEX(Calculation!$A$4:$M$328,MATCH(Summary!$A77,Calculation!$A$4:$A$328,0),10)</f>
        <v>7669</v>
      </c>
      <c r="H77" s="121">
        <f t="shared" si="3"/>
        <v>414609</v>
      </c>
    </row>
    <row r="78" spans="1:8" x14ac:dyDescent="0.2">
      <c r="A78" s="118" t="str">
        <f>StartupfileInput!C77</f>
        <v>1503</v>
      </c>
      <c r="B78" s="119" t="str">
        <f>INDEX(Calculation!$A$4:$M$328,MATCH(Summary!$A78,Calculation!$A$4:$A$328,0),3)</f>
        <v>Creston</v>
      </c>
      <c r="C78" s="144">
        <f>INDEX(Calculation!$A$4:$M$328,MATCH(Summary!$A78,Calculation!$A$4:$A$328,0),6)</f>
        <v>5.0739999999999998</v>
      </c>
      <c r="D78" s="144">
        <f>INDEX(Calculation!$A$4:$M$328,MATCH(Summary!$A78,Calculation!$A$4:$A$328,0),7)</f>
        <v>2.85</v>
      </c>
      <c r="E78" s="144">
        <f t="shared" si="2"/>
        <v>7.9239999999999995</v>
      </c>
      <c r="F78" s="120"/>
      <c r="G78" s="121">
        <f>INDEX(Calculation!$A$4:$M$328,MATCH(Summary!$A78,Calculation!$A$4:$A$328,0),10)</f>
        <v>7635</v>
      </c>
      <c r="H78" s="121">
        <f t="shared" si="3"/>
        <v>60500</v>
      </c>
    </row>
    <row r="79" spans="1:8" x14ac:dyDescent="0.2">
      <c r="A79" s="118" t="str">
        <f>StartupfileInput!C78</f>
        <v>1576</v>
      </c>
      <c r="B79" s="119" t="str">
        <f>INDEX(Calculation!$A$4:$M$328,MATCH(Summary!$A79,Calculation!$A$4:$A$328,0),3)</f>
        <v>Dallas Center-Grimes</v>
      </c>
      <c r="C79" s="144">
        <f>INDEX(Calculation!$A$4:$M$328,MATCH(Summary!$A79,Calculation!$A$4:$A$328,0),6)</f>
        <v>3.9340000000000002</v>
      </c>
      <c r="D79" s="144">
        <f>INDEX(Calculation!$A$4:$M$328,MATCH(Summary!$A79,Calculation!$A$4:$A$328,0),7)</f>
        <v>7.0949999999999998</v>
      </c>
      <c r="E79" s="144">
        <f t="shared" si="2"/>
        <v>11.029</v>
      </c>
      <c r="F79" s="120"/>
      <c r="G79" s="121">
        <f>INDEX(Calculation!$A$4:$M$328,MATCH(Summary!$A79,Calculation!$A$4:$A$328,0),10)</f>
        <v>7635</v>
      </c>
      <c r="H79" s="121">
        <f t="shared" si="3"/>
        <v>84206</v>
      </c>
    </row>
    <row r="80" spans="1:8" x14ac:dyDescent="0.2">
      <c r="A80" s="118" t="str">
        <f>StartupfileInput!C79</f>
        <v>1602</v>
      </c>
      <c r="B80" s="119" t="str">
        <f>INDEX(Calculation!$A$4:$M$328,MATCH(Summary!$A80,Calculation!$A$4:$A$328,0),3)</f>
        <v>Danville</v>
      </c>
      <c r="C80" s="144">
        <f>INDEX(Calculation!$A$4:$M$328,MATCH(Summary!$A80,Calculation!$A$4:$A$328,0),6)</f>
        <v>1.0720000000000001</v>
      </c>
      <c r="D80" s="144">
        <f>INDEX(Calculation!$A$4:$M$328,MATCH(Summary!$A80,Calculation!$A$4:$A$328,0),7)</f>
        <v>0.88200000000000001</v>
      </c>
      <c r="E80" s="144">
        <f t="shared" si="2"/>
        <v>1.9540000000000002</v>
      </c>
      <c r="F80" s="120"/>
      <c r="G80" s="121">
        <f>INDEX(Calculation!$A$4:$M$328,MATCH(Summary!$A80,Calculation!$A$4:$A$328,0),10)</f>
        <v>7635</v>
      </c>
      <c r="H80" s="121">
        <f t="shared" si="3"/>
        <v>14919</v>
      </c>
    </row>
    <row r="81" spans="1:8" x14ac:dyDescent="0.2">
      <c r="A81" s="118" t="str">
        <f>StartupfileInput!C80</f>
        <v>1611</v>
      </c>
      <c r="B81" s="119" t="str">
        <f>INDEX(Calculation!$A$4:$M$328,MATCH(Summary!$A81,Calculation!$A$4:$A$328,0),3)</f>
        <v>Davenport</v>
      </c>
      <c r="C81" s="144">
        <f>INDEX(Calculation!$A$4:$M$328,MATCH(Summary!$A81,Calculation!$A$4:$A$328,0),6)</f>
        <v>52.470999999999997</v>
      </c>
      <c r="D81" s="144">
        <f>INDEX(Calculation!$A$4:$M$328,MATCH(Summary!$A81,Calculation!$A$4:$A$328,0),7)</f>
        <v>28.896000000000001</v>
      </c>
      <c r="E81" s="144">
        <f t="shared" si="2"/>
        <v>81.36699999999999</v>
      </c>
      <c r="F81" s="120"/>
      <c r="G81" s="121">
        <f>INDEX(Calculation!$A$4:$M$328,MATCH(Summary!$A81,Calculation!$A$4:$A$328,0),10)</f>
        <v>7635</v>
      </c>
      <c r="H81" s="121">
        <f t="shared" si="3"/>
        <v>621237</v>
      </c>
    </row>
    <row r="82" spans="1:8" x14ac:dyDescent="0.2">
      <c r="A82" s="118" t="str">
        <f>StartupfileInput!C81</f>
        <v>1619</v>
      </c>
      <c r="B82" s="119" t="str">
        <f>INDEX(Calculation!$A$4:$M$328,MATCH(Summary!$A82,Calculation!$A$4:$A$328,0),3)</f>
        <v>Davis County</v>
      </c>
      <c r="C82" s="144">
        <f>INDEX(Calculation!$A$4:$M$328,MATCH(Summary!$A82,Calculation!$A$4:$A$328,0),6)</f>
        <v>3.4870000000000001</v>
      </c>
      <c r="D82" s="144">
        <f>INDEX(Calculation!$A$4:$M$328,MATCH(Summary!$A82,Calculation!$A$4:$A$328,0),7)</f>
        <v>2.343</v>
      </c>
      <c r="E82" s="144">
        <f t="shared" si="2"/>
        <v>5.83</v>
      </c>
      <c r="F82" s="120"/>
      <c r="G82" s="121">
        <f>INDEX(Calculation!$A$4:$M$328,MATCH(Summary!$A82,Calculation!$A$4:$A$328,0),10)</f>
        <v>7635</v>
      </c>
      <c r="H82" s="121">
        <f t="shared" si="3"/>
        <v>44512</v>
      </c>
    </row>
    <row r="83" spans="1:8" x14ac:dyDescent="0.2">
      <c r="A83" s="118" t="str">
        <f>StartupfileInput!C82</f>
        <v>1638</v>
      </c>
      <c r="B83" s="119" t="str">
        <f>INDEX(Calculation!$A$4:$M$328,MATCH(Summary!$A83,Calculation!$A$4:$A$328,0),3)</f>
        <v>Decorah</v>
      </c>
      <c r="C83" s="144">
        <f>INDEX(Calculation!$A$4:$M$328,MATCH(Summary!$A83,Calculation!$A$4:$A$328,0),6)</f>
        <v>2.8220000000000001</v>
      </c>
      <c r="D83" s="144">
        <f>INDEX(Calculation!$A$4:$M$328,MATCH(Summary!$A83,Calculation!$A$4:$A$328,0),7)</f>
        <v>3.1059999999999999</v>
      </c>
      <c r="E83" s="144">
        <f t="shared" si="2"/>
        <v>5.9279999999999999</v>
      </c>
      <c r="F83" s="120"/>
      <c r="G83" s="121">
        <f>INDEX(Calculation!$A$4:$M$328,MATCH(Summary!$A83,Calculation!$A$4:$A$328,0),10)</f>
        <v>7635</v>
      </c>
      <c r="H83" s="121">
        <f t="shared" si="3"/>
        <v>45260</v>
      </c>
    </row>
    <row r="84" spans="1:8" x14ac:dyDescent="0.2">
      <c r="A84" s="118" t="str">
        <f>StartupfileInput!C83</f>
        <v>1675</v>
      </c>
      <c r="B84" s="119" t="str">
        <f>INDEX(Calculation!$A$4:$M$328,MATCH(Summary!$A84,Calculation!$A$4:$A$328,0),3)</f>
        <v>Delwood</v>
      </c>
      <c r="C84" s="144">
        <f>INDEX(Calculation!$A$4:$M$328,MATCH(Summary!$A84,Calculation!$A$4:$A$328,0),6)</f>
        <v>0.502</v>
      </c>
      <c r="D84" s="144">
        <f>INDEX(Calculation!$A$4:$M$328,MATCH(Summary!$A84,Calculation!$A$4:$A$328,0),7)</f>
        <v>0.40799999999999997</v>
      </c>
      <c r="E84" s="144">
        <f t="shared" si="2"/>
        <v>0.90999999999999992</v>
      </c>
      <c r="F84" s="120"/>
      <c r="G84" s="121">
        <f>INDEX(Calculation!$A$4:$M$328,MATCH(Summary!$A84,Calculation!$A$4:$A$328,0),10)</f>
        <v>7775</v>
      </c>
      <c r="H84" s="121">
        <f t="shared" si="3"/>
        <v>7075</v>
      </c>
    </row>
    <row r="85" spans="1:8" x14ac:dyDescent="0.2">
      <c r="A85" s="118" t="str">
        <f>StartupfileInput!C84</f>
        <v>1701</v>
      </c>
      <c r="B85" s="119" t="str">
        <f>INDEX(Calculation!$A$4:$M$328,MATCH(Summary!$A85,Calculation!$A$4:$A$328,0),3)</f>
        <v>Denison</v>
      </c>
      <c r="C85" s="144">
        <f>INDEX(Calculation!$A$4:$M$328,MATCH(Summary!$A85,Calculation!$A$4:$A$328,0),6)</f>
        <v>8.8819999999999997</v>
      </c>
      <c r="D85" s="144">
        <f>INDEX(Calculation!$A$4:$M$328,MATCH(Summary!$A85,Calculation!$A$4:$A$328,0),7)</f>
        <v>4.1340000000000003</v>
      </c>
      <c r="E85" s="144">
        <f t="shared" si="2"/>
        <v>13.016</v>
      </c>
      <c r="F85" s="120"/>
      <c r="G85" s="121">
        <f>INDEX(Calculation!$A$4:$M$328,MATCH(Summary!$A85,Calculation!$A$4:$A$328,0),10)</f>
        <v>7635</v>
      </c>
      <c r="H85" s="121">
        <f t="shared" si="3"/>
        <v>99377</v>
      </c>
    </row>
    <row r="86" spans="1:8" x14ac:dyDescent="0.2">
      <c r="A86" s="118" t="str">
        <f>StartupfileInput!C85</f>
        <v>1719</v>
      </c>
      <c r="B86" s="119" t="str">
        <f>INDEX(Calculation!$A$4:$M$328,MATCH(Summary!$A86,Calculation!$A$4:$A$328,0),3)</f>
        <v>Denver</v>
      </c>
      <c r="C86" s="144">
        <f>INDEX(Calculation!$A$4:$M$328,MATCH(Summary!$A86,Calculation!$A$4:$A$328,0),6)</f>
        <v>0.76600000000000001</v>
      </c>
      <c r="D86" s="144">
        <f>INDEX(Calculation!$A$4:$M$328,MATCH(Summary!$A86,Calculation!$A$4:$A$328,0),7)</f>
        <v>1.76</v>
      </c>
      <c r="E86" s="144">
        <f t="shared" si="2"/>
        <v>2.5259999999999998</v>
      </c>
      <c r="F86" s="120"/>
      <c r="G86" s="121">
        <f>INDEX(Calculation!$A$4:$M$328,MATCH(Summary!$A86,Calculation!$A$4:$A$328,0),10)</f>
        <v>7635</v>
      </c>
      <c r="H86" s="121">
        <f t="shared" si="3"/>
        <v>19286</v>
      </c>
    </row>
    <row r="87" spans="1:8" x14ac:dyDescent="0.2">
      <c r="A87" s="118" t="str">
        <f>StartupfileInput!C86</f>
        <v>1737</v>
      </c>
      <c r="B87" s="119" t="str">
        <f>INDEX(Calculation!$A$4:$M$328,MATCH(Summary!$A87,Calculation!$A$4:$A$328,0),3)</f>
        <v>Des Moines</v>
      </c>
      <c r="C87" s="144">
        <f>INDEX(Calculation!$A$4:$M$328,MATCH(Summary!$A87,Calculation!$A$4:$A$328,0),6)</f>
        <v>156.678</v>
      </c>
      <c r="D87" s="144">
        <f>INDEX(Calculation!$A$4:$M$328,MATCH(Summary!$A87,Calculation!$A$4:$A$328,0),7)</f>
        <v>62.779000000000003</v>
      </c>
      <c r="E87" s="144">
        <f t="shared" si="2"/>
        <v>219.45699999999999</v>
      </c>
      <c r="F87" s="120"/>
      <c r="G87" s="121">
        <f>INDEX(Calculation!$A$4:$M$328,MATCH(Summary!$A87,Calculation!$A$4:$A$328,0),10)</f>
        <v>7668</v>
      </c>
      <c r="H87" s="121">
        <f t="shared" si="3"/>
        <v>1682796</v>
      </c>
    </row>
    <row r="88" spans="1:8" x14ac:dyDescent="0.2">
      <c r="A88" s="118" t="str">
        <f>StartupfileInput!C87</f>
        <v>1782</v>
      </c>
      <c r="B88" s="119" t="str">
        <f>INDEX(Calculation!$A$4:$M$328,MATCH(Summary!$A88,Calculation!$A$4:$A$328,0),3)</f>
        <v>Diagonal</v>
      </c>
      <c r="C88" s="144">
        <f>INDEX(Calculation!$A$4:$M$328,MATCH(Summary!$A88,Calculation!$A$4:$A$328,0),6)</f>
        <v>0.33600000000000002</v>
      </c>
      <c r="D88" s="144">
        <f>INDEX(Calculation!$A$4:$M$328,MATCH(Summary!$A88,Calculation!$A$4:$A$328,0),7)</f>
        <v>0.22800000000000001</v>
      </c>
      <c r="E88" s="144">
        <f t="shared" si="2"/>
        <v>0.56400000000000006</v>
      </c>
      <c r="F88" s="120"/>
      <c r="G88" s="121">
        <f>INDEX(Calculation!$A$4:$M$328,MATCH(Summary!$A88,Calculation!$A$4:$A$328,0),10)</f>
        <v>7635</v>
      </c>
      <c r="H88" s="121">
        <f t="shared" si="3"/>
        <v>4306</v>
      </c>
    </row>
    <row r="89" spans="1:8" x14ac:dyDescent="0.2">
      <c r="A89" s="118" t="str">
        <f>StartupfileInput!C88</f>
        <v>1791</v>
      </c>
      <c r="B89" s="119" t="str">
        <f>INDEX(Calculation!$A$4:$M$328,MATCH(Summary!$A89,Calculation!$A$4:$A$328,0),3)</f>
        <v>Dike-New Hartford</v>
      </c>
      <c r="C89" s="144">
        <f>INDEX(Calculation!$A$4:$M$328,MATCH(Summary!$A89,Calculation!$A$4:$A$328,0),6)</f>
        <v>1.002</v>
      </c>
      <c r="D89" s="144">
        <f>INDEX(Calculation!$A$4:$M$328,MATCH(Summary!$A89,Calculation!$A$4:$A$328,0),7)</f>
        <v>1.7869999999999999</v>
      </c>
      <c r="E89" s="144">
        <f t="shared" si="2"/>
        <v>2.7889999999999997</v>
      </c>
      <c r="F89" s="120"/>
      <c r="G89" s="121">
        <f>INDEX(Calculation!$A$4:$M$328,MATCH(Summary!$A89,Calculation!$A$4:$A$328,0),10)</f>
        <v>7635</v>
      </c>
      <c r="H89" s="121">
        <f t="shared" si="3"/>
        <v>21294</v>
      </c>
    </row>
    <row r="90" spans="1:8" x14ac:dyDescent="0.2">
      <c r="A90" s="118" t="str">
        <f>StartupfileInput!C89</f>
        <v>1863</v>
      </c>
      <c r="B90" s="119" t="str">
        <f>INDEX(Calculation!$A$4:$M$328,MATCH(Summary!$A90,Calculation!$A$4:$A$328,0),3)</f>
        <v>Dubuque</v>
      </c>
      <c r="C90" s="144">
        <f>INDEX(Calculation!$A$4:$M$328,MATCH(Summary!$A90,Calculation!$A$4:$A$328,0),6)</f>
        <v>28.564</v>
      </c>
      <c r="D90" s="144">
        <f>INDEX(Calculation!$A$4:$M$328,MATCH(Summary!$A90,Calculation!$A$4:$A$328,0),7)</f>
        <v>20.530999999999999</v>
      </c>
      <c r="E90" s="144">
        <f t="shared" si="2"/>
        <v>49.094999999999999</v>
      </c>
      <c r="F90" s="120"/>
      <c r="G90" s="121">
        <f>INDEX(Calculation!$A$4:$M$328,MATCH(Summary!$A90,Calculation!$A$4:$A$328,0),10)</f>
        <v>7635</v>
      </c>
      <c r="H90" s="121">
        <f t="shared" si="3"/>
        <v>374840</v>
      </c>
    </row>
    <row r="91" spans="1:8" x14ac:dyDescent="0.2">
      <c r="A91" s="118" t="str">
        <f>StartupfileInput!C90</f>
        <v>1908</v>
      </c>
      <c r="B91" s="119" t="str">
        <f>INDEX(Calculation!$A$4:$M$328,MATCH(Summary!$A91,Calculation!$A$4:$A$328,0),3)</f>
        <v>Dunkerton</v>
      </c>
      <c r="C91" s="144">
        <f>INDEX(Calculation!$A$4:$M$328,MATCH(Summary!$A91,Calculation!$A$4:$A$328,0),6)</f>
        <v>1.115</v>
      </c>
      <c r="D91" s="144">
        <f>INDEX(Calculation!$A$4:$M$328,MATCH(Summary!$A91,Calculation!$A$4:$A$328,0),7)</f>
        <v>0.747</v>
      </c>
      <c r="E91" s="144">
        <f t="shared" si="2"/>
        <v>1.8620000000000001</v>
      </c>
      <c r="F91" s="120"/>
      <c r="G91" s="121">
        <f>INDEX(Calculation!$A$4:$M$328,MATCH(Summary!$A91,Calculation!$A$4:$A$328,0),10)</f>
        <v>7635</v>
      </c>
      <c r="H91" s="121">
        <f t="shared" si="3"/>
        <v>14216</v>
      </c>
    </row>
    <row r="92" spans="1:8" x14ac:dyDescent="0.2">
      <c r="A92" s="118" t="str">
        <f>StartupfileInput!C91</f>
        <v>1926</v>
      </c>
      <c r="B92" s="119" t="str">
        <f>INDEX(Calculation!$A$4:$M$328,MATCH(Summary!$A92,Calculation!$A$4:$A$328,0),3)</f>
        <v>Durant</v>
      </c>
      <c r="C92" s="144">
        <f>INDEX(Calculation!$A$4:$M$328,MATCH(Summary!$A92,Calculation!$A$4:$A$328,0),6)</f>
        <v>0.999</v>
      </c>
      <c r="D92" s="144">
        <f>INDEX(Calculation!$A$4:$M$328,MATCH(Summary!$A92,Calculation!$A$4:$A$328,0),7)</f>
        <v>1.0269999999999999</v>
      </c>
      <c r="E92" s="144">
        <f t="shared" si="2"/>
        <v>2.0259999999999998</v>
      </c>
      <c r="F92" s="120"/>
      <c r="G92" s="121">
        <f>INDEX(Calculation!$A$4:$M$328,MATCH(Summary!$A92,Calculation!$A$4:$A$328,0),10)</f>
        <v>7646</v>
      </c>
      <c r="H92" s="121">
        <f t="shared" si="3"/>
        <v>15491</v>
      </c>
    </row>
    <row r="93" spans="1:8" x14ac:dyDescent="0.2">
      <c r="A93" s="118" t="str">
        <f>StartupfileInput!C92</f>
        <v>1944</v>
      </c>
      <c r="B93" s="119" t="str">
        <f>INDEX(Calculation!$A$4:$M$328,MATCH(Summary!$A93,Calculation!$A$4:$A$328,0),3)</f>
        <v>Eagle Grove</v>
      </c>
      <c r="C93" s="144">
        <f>INDEX(Calculation!$A$4:$M$328,MATCH(Summary!$A93,Calculation!$A$4:$A$328,0),6)</f>
        <v>4.2919999999999998</v>
      </c>
      <c r="D93" s="144">
        <f>INDEX(Calculation!$A$4:$M$328,MATCH(Summary!$A93,Calculation!$A$4:$A$328,0),7)</f>
        <v>1.9419999999999999</v>
      </c>
      <c r="E93" s="144">
        <f t="shared" si="2"/>
        <v>6.234</v>
      </c>
      <c r="F93" s="120"/>
      <c r="G93" s="121">
        <f>INDEX(Calculation!$A$4:$M$328,MATCH(Summary!$A93,Calculation!$A$4:$A$328,0),10)</f>
        <v>7718</v>
      </c>
      <c r="H93" s="121">
        <f t="shared" si="3"/>
        <v>48114</v>
      </c>
    </row>
    <row r="94" spans="1:8" x14ac:dyDescent="0.2">
      <c r="A94" s="118" t="str">
        <f>StartupfileInput!C93</f>
        <v>1953</v>
      </c>
      <c r="B94" s="119" t="str">
        <f>INDEX(Calculation!$A$4:$M$328,MATCH(Summary!$A94,Calculation!$A$4:$A$328,0),3)</f>
        <v>Earlham</v>
      </c>
      <c r="C94" s="144">
        <f>INDEX(Calculation!$A$4:$M$328,MATCH(Summary!$A94,Calculation!$A$4:$A$328,0),6)</f>
        <v>0.87</v>
      </c>
      <c r="D94" s="144">
        <f>INDEX(Calculation!$A$4:$M$328,MATCH(Summary!$A94,Calculation!$A$4:$A$328,0),7)</f>
        <v>1.147</v>
      </c>
      <c r="E94" s="144">
        <f t="shared" si="2"/>
        <v>2.0169999999999999</v>
      </c>
      <c r="F94" s="120"/>
      <c r="G94" s="121">
        <f>INDEX(Calculation!$A$4:$M$328,MATCH(Summary!$A94,Calculation!$A$4:$A$328,0),10)</f>
        <v>7635</v>
      </c>
      <c r="H94" s="121">
        <f t="shared" si="3"/>
        <v>15400</v>
      </c>
    </row>
    <row r="95" spans="1:8" x14ac:dyDescent="0.2">
      <c r="A95" s="118" t="str">
        <f>StartupfileInput!C94</f>
        <v>1963</v>
      </c>
      <c r="B95" s="119" t="str">
        <f>INDEX(Calculation!$A$4:$M$328,MATCH(Summary!$A95,Calculation!$A$4:$A$328,0),3)</f>
        <v>East Buchanan</v>
      </c>
      <c r="C95" s="144">
        <f>INDEX(Calculation!$A$4:$M$328,MATCH(Summary!$A95,Calculation!$A$4:$A$328,0),6)</f>
        <v>1.022</v>
      </c>
      <c r="D95" s="144">
        <f>INDEX(Calculation!$A$4:$M$328,MATCH(Summary!$A95,Calculation!$A$4:$A$328,0),7)</f>
        <v>1.105</v>
      </c>
      <c r="E95" s="144">
        <f t="shared" si="2"/>
        <v>2.1269999999999998</v>
      </c>
      <c r="F95" s="120"/>
      <c r="G95" s="121">
        <f>INDEX(Calculation!$A$4:$M$328,MATCH(Summary!$A95,Calculation!$A$4:$A$328,0),10)</f>
        <v>7635</v>
      </c>
      <c r="H95" s="121">
        <f t="shared" si="3"/>
        <v>16240</v>
      </c>
    </row>
    <row r="96" spans="1:8" x14ac:dyDescent="0.2">
      <c r="A96" s="118" t="str">
        <f>StartupfileInput!C95</f>
        <v>3582</v>
      </c>
      <c r="B96" s="119" t="str">
        <f>INDEX(Calculation!$A$4:$M$328,MATCH(Summary!$A96,Calculation!$A$4:$A$328,0),3)</f>
        <v>East Marshall</v>
      </c>
      <c r="C96" s="144">
        <f>INDEX(Calculation!$A$4:$M$328,MATCH(Summary!$A96,Calculation!$A$4:$A$328,0),6)</f>
        <v>1.3979999999999999</v>
      </c>
      <c r="D96" s="144">
        <f>INDEX(Calculation!$A$4:$M$328,MATCH(Summary!$A96,Calculation!$A$4:$A$328,0),7)</f>
        <v>1.071</v>
      </c>
      <c r="E96" s="144">
        <f t="shared" si="2"/>
        <v>2.4689999999999999</v>
      </c>
      <c r="F96" s="120"/>
      <c r="G96" s="121">
        <f>INDEX(Calculation!$A$4:$M$328,MATCH(Summary!$A96,Calculation!$A$4:$A$328,0),10)</f>
        <v>7684</v>
      </c>
      <c r="H96" s="121">
        <f t="shared" si="3"/>
        <v>18972</v>
      </c>
    </row>
    <row r="97" spans="1:8" x14ac:dyDescent="0.2">
      <c r="A97" s="118" t="str">
        <f>StartupfileInput!C96</f>
        <v>3978</v>
      </c>
      <c r="B97" s="119" t="str">
        <f>INDEX(Calculation!$A$4:$M$328,MATCH(Summary!$A97,Calculation!$A$4:$A$328,0),3)</f>
        <v>East Mills</v>
      </c>
      <c r="C97" s="144">
        <f>INDEX(Calculation!$A$4:$M$328,MATCH(Summary!$A97,Calculation!$A$4:$A$328,0),6)</f>
        <v>1.7350000000000001</v>
      </c>
      <c r="D97" s="144">
        <f>INDEX(Calculation!$A$4:$M$328,MATCH(Summary!$A97,Calculation!$A$4:$A$328,0),7)</f>
        <v>1.0780000000000001</v>
      </c>
      <c r="E97" s="144">
        <f t="shared" si="2"/>
        <v>2.8130000000000002</v>
      </c>
      <c r="F97" s="120"/>
      <c r="G97" s="121">
        <f>INDEX(Calculation!$A$4:$M$328,MATCH(Summary!$A97,Calculation!$A$4:$A$328,0),10)</f>
        <v>7664</v>
      </c>
      <c r="H97" s="121">
        <f t="shared" si="3"/>
        <v>21559</v>
      </c>
    </row>
    <row r="98" spans="1:8" x14ac:dyDescent="0.2">
      <c r="A98" s="118" t="str">
        <f>StartupfileInput!C97</f>
        <v>6741</v>
      </c>
      <c r="B98" s="119" t="str">
        <f>INDEX(Calculation!$A$4:$M$328,MATCH(Summary!$A98,Calculation!$A$4:$A$328,0),3)</f>
        <v>East Sac County</v>
      </c>
      <c r="C98" s="144">
        <f>INDEX(Calculation!$A$4:$M$328,MATCH(Summary!$A98,Calculation!$A$4:$A$328,0),6)</f>
        <v>2.149</v>
      </c>
      <c r="D98" s="144">
        <f>INDEX(Calculation!$A$4:$M$328,MATCH(Summary!$A98,Calculation!$A$4:$A$328,0),7)</f>
        <v>1.704</v>
      </c>
      <c r="E98" s="144">
        <f t="shared" si="2"/>
        <v>3.8529999999999998</v>
      </c>
      <c r="F98" s="120"/>
      <c r="G98" s="121">
        <f>INDEX(Calculation!$A$4:$M$328,MATCH(Summary!$A98,Calculation!$A$4:$A$328,0),10)</f>
        <v>7635</v>
      </c>
      <c r="H98" s="121">
        <f t="shared" si="3"/>
        <v>29418</v>
      </c>
    </row>
    <row r="99" spans="1:8" x14ac:dyDescent="0.2">
      <c r="A99" s="118" t="str">
        <f>StartupfileInput!C98</f>
        <v>1970</v>
      </c>
      <c r="B99" s="119" t="str">
        <f>INDEX(Calculation!$A$4:$M$328,MATCH(Summary!$A99,Calculation!$A$4:$A$328,0),3)</f>
        <v>East Union</v>
      </c>
      <c r="C99" s="144">
        <f>INDEX(Calculation!$A$4:$M$328,MATCH(Summary!$A99,Calculation!$A$4:$A$328,0),6)</f>
        <v>1.881</v>
      </c>
      <c r="D99" s="144">
        <f>INDEX(Calculation!$A$4:$M$328,MATCH(Summary!$A99,Calculation!$A$4:$A$328,0),7)</f>
        <v>0.96399999999999997</v>
      </c>
      <c r="E99" s="144">
        <f t="shared" si="2"/>
        <v>2.8449999999999998</v>
      </c>
      <c r="F99" s="120"/>
      <c r="G99" s="121">
        <f>INDEX(Calculation!$A$4:$M$328,MATCH(Summary!$A99,Calculation!$A$4:$A$328,0),10)</f>
        <v>7635</v>
      </c>
      <c r="H99" s="121">
        <f t="shared" si="3"/>
        <v>21722</v>
      </c>
    </row>
    <row r="100" spans="1:8" x14ac:dyDescent="0.2">
      <c r="A100" s="118" t="str">
        <f>StartupfileInput!C99</f>
        <v>1972</v>
      </c>
      <c r="B100" s="119" t="str">
        <f>INDEX(Calculation!$A$4:$M$328,MATCH(Summary!$A100,Calculation!$A$4:$A$328,0),3)</f>
        <v>Eastern Allamakee</v>
      </c>
      <c r="C100" s="144">
        <f>INDEX(Calculation!$A$4:$M$328,MATCH(Summary!$A100,Calculation!$A$4:$A$328,0),6)</f>
        <v>1.048</v>
      </c>
      <c r="D100" s="144">
        <f>INDEX(Calculation!$A$4:$M$328,MATCH(Summary!$A100,Calculation!$A$4:$A$328,0),7)</f>
        <v>0.67600000000000005</v>
      </c>
      <c r="E100" s="144">
        <f t="shared" si="2"/>
        <v>1.7240000000000002</v>
      </c>
      <c r="F100" s="120"/>
      <c r="G100" s="121">
        <f>INDEX(Calculation!$A$4:$M$328,MATCH(Summary!$A100,Calculation!$A$4:$A$328,0),10)</f>
        <v>7635</v>
      </c>
      <c r="H100" s="121">
        <f t="shared" si="3"/>
        <v>13163</v>
      </c>
    </row>
    <row r="101" spans="1:8" x14ac:dyDescent="0.2">
      <c r="A101" s="118" t="str">
        <f>StartupfileInput!C100</f>
        <v>1965</v>
      </c>
      <c r="B101" s="119" t="str">
        <f>INDEX(Calculation!$A$4:$M$328,MATCH(Summary!$A101,Calculation!$A$4:$A$328,0),3)</f>
        <v>Easton Valley</v>
      </c>
      <c r="C101" s="144">
        <f>INDEX(Calculation!$A$4:$M$328,MATCH(Summary!$A101,Calculation!$A$4:$A$328,0),6)</f>
        <v>1.379</v>
      </c>
      <c r="D101" s="144">
        <f>INDEX(Calculation!$A$4:$M$328,MATCH(Summary!$A101,Calculation!$A$4:$A$328,0),7)</f>
        <v>1.121</v>
      </c>
      <c r="E101" s="144">
        <f t="shared" si="2"/>
        <v>2.5</v>
      </c>
      <c r="F101" s="120"/>
      <c r="G101" s="121">
        <f>INDEX(Calculation!$A$4:$M$328,MATCH(Summary!$A101,Calculation!$A$4:$A$328,0),10)</f>
        <v>7635</v>
      </c>
      <c r="H101" s="121">
        <f t="shared" si="3"/>
        <v>19088</v>
      </c>
    </row>
    <row r="102" spans="1:8" x14ac:dyDescent="0.2">
      <c r="A102" s="118" t="str">
        <f>StartupfileInput!C101</f>
        <v>0657</v>
      </c>
      <c r="B102" s="119" t="str">
        <f>INDEX(Calculation!$A$4:$M$328,MATCH(Summary!$A102,Calculation!$A$4:$A$328,0),3)</f>
        <v>Eddyville-Blakesburg-Fremont</v>
      </c>
      <c r="C102" s="144">
        <f>INDEX(Calculation!$A$4:$M$328,MATCH(Summary!$A102,Calculation!$A$4:$A$328,0),6)</f>
        <v>2.0529999999999999</v>
      </c>
      <c r="D102" s="144">
        <f>INDEX(Calculation!$A$4:$M$328,MATCH(Summary!$A102,Calculation!$A$4:$A$328,0),7)</f>
        <v>1.7050000000000001</v>
      </c>
      <c r="E102" s="144">
        <f t="shared" si="2"/>
        <v>3.758</v>
      </c>
      <c r="F102" s="120"/>
      <c r="G102" s="121">
        <f>INDEX(Calculation!$A$4:$M$328,MATCH(Summary!$A102,Calculation!$A$4:$A$328,0),10)</f>
        <v>7635</v>
      </c>
      <c r="H102" s="121">
        <f t="shared" si="3"/>
        <v>28692</v>
      </c>
    </row>
    <row r="103" spans="1:8" x14ac:dyDescent="0.2">
      <c r="A103" s="118" t="str">
        <f>StartupfileInput!C102</f>
        <v>1989</v>
      </c>
      <c r="B103" s="119" t="str">
        <f>INDEX(Calculation!$A$4:$M$328,MATCH(Summary!$A103,Calculation!$A$4:$A$328,0),3)</f>
        <v>Edgewood-Colesburg</v>
      </c>
      <c r="C103" s="144">
        <f>INDEX(Calculation!$A$4:$M$328,MATCH(Summary!$A103,Calculation!$A$4:$A$328,0),6)</f>
        <v>0.93</v>
      </c>
      <c r="D103" s="144">
        <f>INDEX(Calculation!$A$4:$M$328,MATCH(Summary!$A103,Calculation!$A$4:$A$328,0),7)</f>
        <v>0.81799999999999995</v>
      </c>
      <c r="E103" s="144">
        <f t="shared" si="2"/>
        <v>1.748</v>
      </c>
      <c r="F103" s="120"/>
      <c r="G103" s="121">
        <f>INDEX(Calculation!$A$4:$M$328,MATCH(Summary!$A103,Calculation!$A$4:$A$328,0),10)</f>
        <v>7635</v>
      </c>
      <c r="H103" s="121">
        <f t="shared" si="3"/>
        <v>13346</v>
      </c>
    </row>
    <row r="104" spans="1:8" x14ac:dyDescent="0.2">
      <c r="A104" s="118" t="str">
        <f>StartupfileInput!C103</f>
        <v>2007</v>
      </c>
      <c r="B104" s="119" t="str">
        <f>INDEX(Calculation!$A$4:$M$328,MATCH(Summary!$A104,Calculation!$A$4:$A$328,0),3)</f>
        <v>Eldora-New Providence</v>
      </c>
      <c r="C104" s="144">
        <f>INDEX(Calculation!$A$4:$M$328,MATCH(Summary!$A104,Calculation!$A$4:$A$328,0),6)</f>
        <v>1.764</v>
      </c>
      <c r="D104" s="144">
        <f>INDEX(Calculation!$A$4:$M$328,MATCH(Summary!$A104,Calculation!$A$4:$A$328,0),7)</f>
        <v>1.1439999999999999</v>
      </c>
      <c r="E104" s="144">
        <f t="shared" si="2"/>
        <v>2.9079999999999999</v>
      </c>
      <c r="F104" s="120"/>
      <c r="G104" s="121">
        <f>INDEX(Calculation!$A$4:$M$328,MATCH(Summary!$A104,Calculation!$A$4:$A$328,0),10)</f>
        <v>7635</v>
      </c>
      <c r="H104" s="121">
        <f t="shared" si="3"/>
        <v>22203</v>
      </c>
    </row>
    <row r="105" spans="1:8" x14ac:dyDescent="0.2">
      <c r="A105" s="118" t="str">
        <f>StartupfileInput!C104</f>
        <v>2088</v>
      </c>
      <c r="B105" s="119" t="str">
        <f>INDEX(Calculation!$A$4:$M$328,MATCH(Summary!$A105,Calculation!$A$4:$A$328,0),3)</f>
        <v>Emmetsburg</v>
      </c>
      <c r="C105" s="144">
        <f>INDEX(Calculation!$A$4:$M$328,MATCH(Summary!$A105,Calculation!$A$4:$A$328,0),6)</f>
        <v>1.7470000000000001</v>
      </c>
      <c r="D105" s="144">
        <f>INDEX(Calculation!$A$4:$M$328,MATCH(Summary!$A105,Calculation!$A$4:$A$328,0),7)</f>
        <v>1.357</v>
      </c>
      <c r="E105" s="144">
        <f t="shared" si="2"/>
        <v>3.1040000000000001</v>
      </c>
      <c r="F105" s="120"/>
      <c r="G105" s="121">
        <f>INDEX(Calculation!$A$4:$M$328,MATCH(Summary!$A105,Calculation!$A$4:$A$328,0),10)</f>
        <v>7723</v>
      </c>
      <c r="H105" s="121">
        <f t="shared" si="3"/>
        <v>23972</v>
      </c>
    </row>
    <row r="106" spans="1:8" x14ac:dyDescent="0.2">
      <c r="A106" s="118" t="str">
        <f>StartupfileInput!C105</f>
        <v>2097</v>
      </c>
      <c r="B106" s="119" t="str">
        <f>INDEX(Calculation!$A$4:$M$328,MATCH(Summary!$A106,Calculation!$A$4:$A$328,0),3)</f>
        <v>English Valleys</v>
      </c>
      <c r="C106" s="144">
        <f>INDEX(Calculation!$A$4:$M$328,MATCH(Summary!$A106,Calculation!$A$4:$A$328,0),6)</f>
        <v>1.276</v>
      </c>
      <c r="D106" s="144">
        <f>INDEX(Calculation!$A$4:$M$328,MATCH(Summary!$A106,Calculation!$A$4:$A$328,0),7)</f>
        <v>0.94199999999999995</v>
      </c>
      <c r="E106" s="144">
        <f t="shared" si="2"/>
        <v>2.218</v>
      </c>
      <c r="F106" s="120"/>
      <c r="G106" s="121">
        <f>INDEX(Calculation!$A$4:$M$328,MATCH(Summary!$A106,Calculation!$A$4:$A$328,0),10)</f>
        <v>7673</v>
      </c>
      <c r="H106" s="121">
        <f t="shared" si="3"/>
        <v>17019</v>
      </c>
    </row>
    <row r="107" spans="1:8" x14ac:dyDescent="0.2">
      <c r="A107" s="118" t="str">
        <f>StartupfileInput!C106</f>
        <v>2113</v>
      </c>
      <c r="B107" s="119" t="str">
        <f>INDEX(Calculation!$A$4:$M$328,MATCH(Summary!$A107,Calculation!$A$4:$A$328,0),3)</f>
        <v>Essex</v>
      </c>
      <c r="C107" s="144">
        <f>INDEX(Calculation!$A$4:$M$328,MATCH(Summary!$A107,Calculation!$A$4:$A$328,0),6)</f>
        <v>0.78200000000000003</v>
      </c>
      <c r="D107" s="144">
        <f>INDEX(Calculation!$A$4:$M$328,MATCH(Summary!$A107,Calculation!$A$4:$A$328,0),7)</f>
        <v>0.378</v>
      </c>
      <c r="E107" s="144">
        <f t="shared" si="2"/>
        <v>1.1600000000000001</v>
      </c>
      <c r="F107" s="120"/>
      <c r="G107" s="121">
        <f>INDEX(Calculation!$A$4:$M$328,MATCH(Summary!$A107,Calculation!$A$4:$A$328,0),10)</f>
        <v>7635</v>
      </c>
      <c r="H107" s="121">
        <f t="shared" si="3"/>
        <v>8857</v>
      </c>
    </row>
    <row r="108" spans="1:8" x14ac:dyDescent="0.2">
      <c r="A108" s="118" t="str">
        <f>StartupfileInput!C107</f>
        <v>2124</v>
      </c>
      <c r="B108" s="119" t="str">
        <f>INDEX(Calculation!$A$4:$M$328,MATCH(Summary!$A108,Calculation!$A$4:$A$328,0),3)</f>
        <v>Estherville-Lincoln Central</v>
      </c>
      <c r="C108" s="144">
        <f>INDEX(Calculation!$A$4:$M$328,MATCH(Summary!$A108,Calculation!$A$4:$A$328,0),6)</f>
        <v>4.3529999999999998</v>
      </c>
      <c r="D108" s="144">
        <f>INDEX(Calculation!$A$4:$M$328,MATCH(Summary!$A108,Calculation!$A$4:$A$328,0),7)</f>
        <v>2.452</v>
      </c>
      <c r="E108" s="144">
        <f t="shared" si="2"/>
        <v>6.8049999999999997</v>
      </c>
      <c r="F108" s="120"/>
      <c r="G108" s="121">
        <f>INDEX(Calculation!$A$4:$M$328,MATCH(Summary!$A108,Calculation!$A$4:$A$328,0),10)</f>
        <v>7635</v>
      </c>
      <c r="H108" s="121">
        <f t="shared" si="3"/>
        <v>51956</v>
      </c>
    </row>
    <row r="109" spans="1:8" x14ac:dyDescent="0.2">
      <c r="A109" s="118" t="str">
        <f>StartupfileInput!C108</f>
        <v>2151</v>
      </c>
      <c r="B109" s="119" t="str">
        <f>INDEX(Calculation!$A$4:$M$328,MATCH(Summary!$A109,Calculation!$A$4:$A$328,0),3)</f>
        <v>Exira-Elk Horn-Kimballton</v>
      </c>
      <c r="C109" s="144">
        <f>INDEX(Calculation!$A$4:$M$328,MATCH(Summary!$A109,Calculation!$A$4:$A$328,0),6)</f>
        <v>1.4330000000000001</v>
      </c>
      <c r="D109" s="144">
        <f>INDEX(Calculation!$A$4:$M$328,MATCH(Summary!$A109,Calculation!$A$4:$A$328,0),7)</f>
        <v>0.87</v>
      </c>
      <c r="E109" s="144">
        <f t="shared" si="2"/>
        <v>2.3029999999999999</v>
      </c>
      <c r="F109" s="120"/>
      <c r="G109" s="121">
        <f>INDEX(Calculation!$A$4:$M$328,MATCH(Summary!$A109,Calculation!$A$4:$A$328,0),10)</f>
        <v>7684</v>
      </c>
      <c r="H109" s="121">
        <f t="shared" si="3"/>
        <v>17696</v>
      </c>
    </row>
    <row r="110" spans="1:8" x14ac:dyDescent="0.2">
      <c r="A110" s="118" t="str">
        <f>StartupfileInput!C109</f>
        <v>2169</v>
      </c>
      <c r="B110" s="119" t="str">
        <f>INDEX(Calculation!$A$4:$M$328,MATCH(Summary!$A110,Calculation!$A$4:$A$328,0),3)</f>
        <v>Fairfield</v>
      </c>
      <c r="C110" s="144">
        <f>INDEX(Calculation!$A$4:$M$328,MATCH(Summary!$A110,Calculation!$A$4:$A$328,0),6)</f>
        <v>5.4210000000000003</v>
      </c>
      <c r="D110" s="144">
        <f>INDEX(Calculation!$A$4:$M$328,MATCH(Summary!$A110,Calculation!$A$4:$A$328,0),7)</f>
        <v>3.1989999999999998</v>
      </c>
      <c r="E110" s="144">
        <f t="shared" si="2"/>
        <v>8.620000000000001</v>
      </c>
      <c r="F110" s="120"/>
      <c r="G110" s="121">
        <f>INDEX(Calculation!$A$4:$M$328,MATCH(Summary!$A110,Calculation!$A$4:$A$328,0),10)</f>
        <v>7635</v>
      </c>
      <c r="H110" s="121">
        <f t="shared" si="3"/>
        <v>65814</v>
      </c>
    </row>
    <row r="111" spans="1:8" x14ac:dyDescent="0.2">
      <c r="A111" s="118" t="str">
        <f>StartupfileInput!C110</f>
        <v>2295</v>
      </c>
      <c r="B111" s="119" t="str">
        <f>INDEX(Calculation!$A$4:$M$328,MATCH(Summary!$A111,Calculation!$A$4:$A$328,0),3)</f>
        <v>Forest City</v>
      </c>
      <c r="C111" s="144">
        <f>INDEX(Calculation!$A$4:$M$328,MATCH(Summary!$A111,Calculation!$A$4:$A$328,0),6)</f>
        <v>2.794</v>
      </c>
      <c r="D111" s="144">
        <f>INDEX(Calculation!$A$4:$M$328,MATCH(Summary!$A111,Calculation!$A$4:$A$328,0),7)</f>
        <v>2.153</v>
      </c>
      <c r="E111" s="144">
        <f t="shared" si="2"/>
        <v>4.9470000000000001</v>
      </c>
      <c r="F111" s="120"/>
      <c r="G111" s="121">
        <f>INDEX(Calculation!$A$4:$M$328,MATCH(Summary!$A111,Calculation!$A$4:$A$328,0),10)</f>
        <v>7635</v>
      </c>
      <c r="H111" s="121">
        <f t="shared" si="3"/>
        <v>37770</v>
      </c>
    </row>
    <row r="112" spans="1:8" x14ac:dyDescent="0.2">
      <c r="A112" s="118" t="str">
        <f>StartupfileInput!C111</f>
        <v>2313</v>
      </c>
      <c r="B112" s="119" t="str">
        <f>INDEX(Calculation!$A$4:$M$328,MATCH(Summary!$A112,Calculation!$A$4:$A$328,0),3)</f>
        <v>Fort Dodge</v>
      </c>
      <c r="C112" s="144">
        <f>INDEX(Calculation!$A$4:$M$328,MATCH(Summary!$A112,Calculation!$A$4:$A$328,0),6)</f>
        <v>14.848000000000001</v>
      </c>
      <c r="D112" s="144">
        <f>INDEX(Calculation!$A$4:$M$328,MATCH(Summary!$A112,Calculation!$A$4:$A$328,0),7)</f>
        <v>7.2640000000000002</v>
      </c>
      <c r="E112" s="144">
        <f t="shared" si="2"/>
        <v>22.112000000000002</v>
      </c>
      <c r="F112" s="120"/>
      <c r="G112" s="121">
        <f>INDEX(Calculation!$A$4:$M$328,MATCH(Summary!$A112,Calculation!$A$4:$A$328,0),10)</f>
        <v>7635</v>
      </c>
      <c r="H112" s="121">
        <f t="shared" si="3"/>
        <v>168825</v>
      </c>
    </row>
    <row r="113" spans="1:8" x14ac:dyDescent="0.2">
      <c r="A113" s="118" t="str">
        <f>StartupfileInput!C112</f>
        <v>2322</v>
      </c>
      <c r="B113" s="119" t="str">
        <f>INDEX(Calculation!$A$4:$M$328,MATCH(Summary!$A113,Calculation!$A$4:$A$328,0),3)</f>
        <v>Fort Madison</v>
      </c>
      <c r="C113" s="144">
        <f>INDEX(Calculation!$A$4:$M$328,MATCH(Summary!$A113,Calculation!$A$4:$A$328,0),6)</f>
        <v>8.0739999999999998</v>
      </c>
      <c r="D113" s="144">
        <f>INDEX(Calculation!$A$4:$M$328,MATCH(Summary!$A113,Calculation!$A$4:$A$328,0),7)</f>
        <v>4.2880000000000003</v>
      </c>
      <c r="E113" s="144">
        <f t="shared" si="2"/>
        <v>12.362</v>
      </c>
      <c r="F113" s="120"/>
      <c r="G113" s="121">
        <f>INDEX(Calculation!$A$4:$M$328,MATCH(Summary!$A113,Calculation!$A$4:$A$328,0),10)</f>
        <v>7635</v>
      </c>
      <c r="H113" s="121">
        <f t="shared" si="3"/>
        <v>94384</v>
      </c>
    </row>
    <row r="114" spans="1:8" x14ac:dyDescent="0.2">
      <c r="A114" s="118" t="str">
        <f>StartupfileInput!C113</f>
        <v>2369</v>
      </c>
      <c r="B114" s="119" t="str">
        <f>INDEX(Calculation!$A$4:$M$328,MATCH(Summary!$A114,Calculation!$A$4:$A$328,0),3)</f>
        <v>Fremont-Mills</v>
      </c>
      <c r="C114" s="144">
        <f>INDEX(Calculation!$A$4:$M$328,MATCH(Summary!$A114,Calculation!$A$4:$A$328,0),6)</f>
        <v>1.0840000000000001</v>
      </c>
      <c r="D114" s="144">
        <f>INDEX(Calculation!$A$4:$M$328,MATCH(Summary!$A114,Calculation!$A$4:$A$328,0),7)</f>
        <v>0.88500000000000001</v>
      </c>
      <c r="E114" s="144">
        <f t="shared" si="2"/>
        <v>1.9690000000000001</v>
      </c>
      <c r="F114" s="120"/>
      <c r="G114" s="121">
        <f>INDEX(Calculation!$A$4:$M$328,MATCH(Summary!$A114,Calculation!$A$4:$A$328,0),10)</f>
        <v>7635</v>
      </c>
      <c r="H114" s="121">
        <f t="shared" si="3"/>
        <v>15033</v>
      </c>
    </row>
    <row r="115" spans="1:8" x14ac:dyDescent="0.2">
      <c r="A115" s="118" t="str">
        <f>StartupfileInput!C114</f>
        <v>2682</v>
      </c>
      <c r="B115" s="119" t="str">
        <f>INDEX(Calculation!$A$4:$M$328,MATCH(Summary!$A115,Calculation!$A$4:$A$328,0),3)</f>
        <v>GMG</v>
      </c>
      <c r="C115" s="144">
        <f>INDEX(Calculation!$A$4:$M$328,MATCH(Summary!$A115,Calculation!$A$4:$A$328,0),6)</f>
        <v>0.73599999999999999</v>
      </c>
      <c r="D115" s="144">
        <f>INDEX(Calculation!$A$4:$M$328,MATCH(Summary!$A115,Calculation!$A$4:$A$328,0),7)</f>
        <v>0.51900000000000002</v>
      </c>
      <c r="E115" s="144">
        <f t="shared" si="2"/>
        <v>1.2549999999999999</v>
      </c>
      <c r="F115" s="120"/>
      <c r="G115" s="121">
        <f>INDEX(Calculation!$A$4:$M$328,MATCH(Summary!$A115,Calculation!$A$4:$A$328,0),10)</f>
        <v>7635</v>
      </c>
      <c r="H115" s="121">
        <f t="shared" si="3"/>
        <v>9582</v>
      </c>
    </row>
    <row r="116" spans="1:8" x14ac:dyDescent="0.2">
      <c r="A116" s="118" t="str">
        <f>StartupfileInput!C115</f>
        <v>2376</v>
      </c>
      <c r="B116" s="119" t="str">
        <f>INDEX(Calculation!$A$4:$M$328,MATCH(Summary!$A116,Calculation!$A$4:$A$328,0),3)</f>
        <v>Galva-Holstein</v>
      </c>
      <c r="C116" s="144">
        <f>INDEX(Calculation!$A$4:$M$328,MATCH(Summary!$A116,Calculation!$A$4:$A$328,0),6)</f>
        <v>1.0649999999999999</v>
      </c>
      <c r="D116" s="144">
        <f>INDEX(Calculation!$A$4:$M$328,MATCH(Summary!$A116,Calculation!$A$4:$A$328,0),7)</f>
        <v>0.94699999999999995</v>
      </c>
      <c r="E116" s="144">
        <f t="shared" si="2"/>
        <v>2.012</v>
      </c>
      <c r="F116" s="120"/>
      <c r="G116" s="121">
        <f>INDEX(Calculation!$A$4:$M$328,MATCH(Summary!$A116,Calculation!$A$4:$A$328,0),10)</f>
        <v>7635</v>
      </c>
      <c r="H116" s="121">
        <f t="shared" si="3"/>
        <v>15362</v>
      </c>
    </row>
    <row r="117" spans="1:8" x14ac:dyDescent="0.2">
      <c r="A117" s="118" t="str">
        <f>StartupfileInput!C116</f>
        <v>2403</v>
      </c>
      <c r="B117" s="119" t="str">
        <f>INDEX(Calculation!$A$4:$M$328,MATCH(Summary!$A117,Calculation!$A$4:$A$328,0),3)</f>
        <v>Garner-Hayfield-Ventura</v>
      </c>
      <c r="C117" s="144">
        <f>INDEX(Calculation!$A$4:$M$328,MATCH(Summary!$A117,Calculation!$A$4:$A$328,0),6)</f>
        <v>1.4470000000000001</v>
      </c>
      <c r="D117" s="144">
        <f>INDEX(Calculation!$A$4:$M$328,MATCH(Summary!$A117,Calculation!$A$4:$A$328,0),7)</f>
        <v>1.734</v>
      </c>
      <c r="E117" s="144">
        <f t="shared" si="2"/>
        <v>3.181</v>
      </c>
      <c r="F117" s="120"/>
      <c r="G117" s="121">
        <f>INDEX(Calculation!$A$4:$M$328,MATCH(Summary!$A117,Calculation!$A$4:$A$328,0),10)</f>
        <v>7635</v>
      </c>
      <c r="H117" s="121">
        <f t="shared" si="3"/>
        <v>24287</v>
      </c>
    </row>
    <row r="118" spans="1:8" x14ac:dyDescent="0.2">
      <c r="A118" s="118" t="str">
        <f>StartupfileInput!C117</f>
        <v>2457</v>
      </c>
      <c r="B118" s="119" t="str">
        <f>INDEX(Calculation!$A$4:$M$328,MATCH(Summary!$A118,Calculation!$A$4:$A$328,0),3)</f>
        <v>George-Little Rock</v>
      </c>
      <c r="C118" s="144">
        <f>INDEX(Calculation!$A$4:$M$328,MATCH(Summary!$A118,Calculation!$A$4:$A$328,0),6)</f>
        <v>1.393</v>
      </c>
      <c r="D118" s="144">
        <f>INDEX(Calculation!$A$4:$M$328,MATCH(Summary!$A118,Calculation!$A$4:$A$328,0),7)</f>
        <v>0.92800000000000005</v>
      </c>
      <c r="E118" s="144">
        <f t="shared" si="2"/>
        <v>2.3210000000000002</v>
      </c>
      <c r="F118" s="120"/>
      <c r="G118" s="121">
        <f>INDEX(Calculation!$A$4:$M$328,MATCH(Summary!$A118,Calculation!$A$4:$A$328,0),10)</f>
        <v>7635</v>
      </c>
      <c r="H118" s="121">
        <f t="shared" si="3"/>
        <v>17721</v>
      </c>
    </row>
    <row r="119" spans="1:8" x14ac:dyDescent="0.2">
      <c r="A119" s="118" t="str">
        <f>StartupfileInput!C118</f>
        <v>2466</v>
      </c>
      <c r="B119" s="119" t="str">
        <f>INDEX(Calculation!$A$4:$M$328,MATCH(Summary!$A119,Calculation!$A$4:$A$328,0),3)</f>
        <v>Gilbert</v>
      </c>
      <c r="C119" s="144">
        <f>INDEX(Calculation!$A$4:$M$328,MATCH(Summary!$A119,Calculation!$A$4:$A$328,0),6)</f>
        <v>1.0109999999999999</v>
      </c>
      <c r="D119" s="144">
        <f>INDEX(Calculation!$A$4:$M$328,MATCH(Summary!$A119,Calculation!$A$4:$A$328,0),7)</f>
        <v>3.2370000000000001</v>
      </c>
      <c r="E119" s="144">
        <f t="shared" si="2"/>
        <v>4.2480000000000002</v>
      </c>
      <c r="F119" s="120"/>
      <c r="G119" s="121">
        <f>INDEX(Calculation!$A$4:$M$328,MATCH(Summary!$A119,Calculation!$A$4:$A$328,0),10)</f>
        <v>7635</v>
      </c>
      <c r="H119" s="121">
        <f t="shared" si="3"/>
        <v>32433</v>
      </c>
    </row>
    <row r="120" spans="1:8" x14ac:dyDescent="0.2">
      <c r="A120" s="118" t="str">
        <f>StartupfileInput!C119</f>
        <v>2493</v>
      </c>
      <c r="B120" s="119" t="str">
        <f>INDEX(Calculation!$A$4:$M$328,MATCH(Summary!$A120,Calculation!$A$4:$A$328,0),3)</f>
        <v>Gilmore City-Bradgate</v>
      </c>
      <c r="C120" s="144">
        <f>INDEX(Calculation!$A$4:$M$328,MATCH(Summary!$A120,Calculation!$A$4:$A$328,0),6)</f>
        <v>0.8</v>
      </c>
      <c r="D120" s="144">
        <f>INDEX(Calculation!$A$4:$M$328,MATCH(Summary!$A120,Calculation!$A$4:$A$328,0),7)</f>
        <v>0.35499999999999998</v>
      </c>
      <c r="E120" s="144">
        <f t="shared" si="2"/>
        <v>1.155</v>
      </c>
      <c r="F120" s="120"/>
      <c r="G120" s="121">
        <f>INDEX(Calculation!$A$4:$M$328,MATCH(Summary!$A120,Calculation!$A$4:$A$328,0),10)</f>
        <v>7767</v>
      </c>
      <c r="H120" s="121">
        <f t="shared" si="3"/>
        <v>8971</v>
      </c>
    </row>
    <row r="121" spans="1:8" x14ac:dyDescent="0.2">
      <c r="A121" s="118" t="str">
        <f>StartupfileInput!C120</f>
        <v>2502</v>
      </c>
      <c r="B121" s="119" t="str">
        <f>INDEX(Calculation!$A$4:$M$328,MATCH(Summary!$A121,Calculation!$A$4:$A$328,0),3)</f>
        <v>Gladbrook-Reinbeck</v>
      </c>
      <c r="C121" s="144">
        <f>INDEX(Calculation!$A$4:$M$328,MATCH(Summary!$A121,Calculation!$A$4:$A$328,0),6)</f>
        <v>1.2749999999999999</v>
      </c>
      <c r="D121" s="144">
        <f>INDEX(Calculation!$A$4:$M$328,MATCH(Summary!$A121,Calculation!$A$4:$A$328,0),7)</f>
        <v>1.2589999999999999</v>
      </c>
      <c r="E121" s="144">
        <f t="shared" si="2"/>
        <v>2.5339999999999998</v>
      </c>
      <c r="F121" s="120"/>
      <c r="G121" s="121">
        <f>INDEX(Calculation!$A$4:$M$328,MATCH(Summary!$A121,Calculation!$A$4:$A$328,0),10)</f>
        <v>7700</v>
      </c>
      <c r="H121" s="121">
        <f t="shared" si="3"/>
        <v>19512</v>
      </c>
    </row>
    <row r="122" spans="1:8" x14ac:dyDescent="0.2">
      <c r="A122" s="118" t="str">
        <f>StartupfileInput!C121</f>
        <v>2511</v>
      </c>
      <c r="B122" s="119" t="str">
        <f>INDEX(Calculation!$A$4:$M$328,MATCH(Summary!$A122,Calculation!$A$4:$A$328,0),3)</f>
        <v>Glenwood</v>
      </c>
      <c r="C122" s="144">
        <f>INDEX(Calculation!$A$4:$M$328,MATCH(Summary!$A122,Calculation!$A$4:$A$328,0),6)</f>
        <v>4.726</v>
      </c>
      <c r="D122" s="144">
        <f>INDEX(Calculation!$A$4:$M$328,MATCH(Summary!$A122,Calculation!$A$4:$A$328,0),7)</f>
        <v>3.915</v>
      </c>
      <c r="E122" s="144">
        <f t="shared" si="2"/>
        <v>8.641</v>
      </c>
      <c r="F122" s="120"/>
      <c r="G122" s="121">
        <f>INDEX(Calculation!$A$4:$M$328,MATCH(Summary!$A122,Calculation!$A$4:$A$328,0),10)</f>
        <v>7635</v>
      </c>
      <c r="H122" s="121">
        <f t="shared" si="3"/>
        <v>65974</v>
      </c>
    </row>
    <row r="123" spans="1:8" x14ac:dyDescent="0.2">
      <c r="A123" s="118" t="str">
        <f>StartupfileInput!C122</f>
        <v>2520</v>
      </c>
      <c r="B123" s="119" t="str">
        <f>INDEX(Calculation!$A$4:$M$328,MATCH(Summary!$A123,Calculation!$A$4:$A$328,0),3)</f>
        <v>Glidden-Ralston</v>
      </c>
      <c r="C123" s="144">
        <f>INDEX(Calculation!$A$4:$M$328,MATCH(Summary!$A123,Calculation!$A$4:$A$328,0),6)</f>
        <v>0.626</v>
      </c>
      <c r="D123" s="144">
        <f>INDEX(Calculation!$A$4:$M$328,MATCH(Summary!$A123,Calculation!$A$4:$A$328,0),7)</f>
        <v>0.60399999999999998</v>
      </c>
      <c r="E123" s="144">
        <f t="shared" si="2"/>
        <v>1.23</v>
      </c>
      <c r="F123" s="120"/>
      <c r="G123" s="121">
        <f>INDEX(Calculation!$A$4:$M$328,MATCH(Summary!$A123,Calculation!$A$4:$A$328,0),10)</f>
        <v>7635</v>
      </c>
      <c r="H123" s="121">
        <f t="shared" si="3"/>
        <v>9391</v>
      </c>
    </row>
    <row r="124" spans="1:8" x14ac:dyDescent="0.2">
      <c r="A124" s="118" t="str">
        <f>StartupfileInput!C123</f>
        <v>2556</v>
      </c>
      <c r="B124" s="119" t="str">
        <f>INDEX(Calculation!$A$4:$M$328,MATCH(Summary!$A124,Calculation!$A$4:$A$328,0),3)</f>
        <v>Graettinger-Terril</v>
      </c>
      <c r="C124" s="144">
        <f>INDEX(Calculation!$A$4:$M$328,MATCH(Summary!$A124,Calculation!$A$4:$A$328,0),6)</f>
        <v>1.448</v>
      </c>
      <c r="D124" s="144">
        <f>INDEX(Calculation!$A$4:$M$328,MATCH(Summary!$A124,Calculation!$A$4:$A$328,0),7)</f>
        <v>0.77100000000000002</v>
      </c>
      <c r="E124" s="144">
        <f t="shared" si="2"/>
        <v>2.2189999999999999</v>
      </c>
      <c r="F124" s="120"/>
      <c r="G124" s="121">
        <f>INDEX(Calculation!$A$4:$M$328,MATCH(Summary!$A124,Calculation!$A$4:$A$328,0),10)</f>
        <v>7635</v>
      </c>
      <c r="H124" s="121">
        <f t="shared" si="3"/>
        <v>16942</v>
      </c>
    </row>
    <row r="125" spans="1:8" x14ac:dyDescent="0.2">
      <c r="A125" s="118" t="str">
        <f>StartupfileInput!C124</f>
        <v>3195</v>
      </c>
      <c r="B125" s="119" t="str">
        <f>INDEX(Calculation!$A$4:$M$328,MATCH(Summary!$A125,Calculation!$A$4:$A$328,0),3)</f>
        <v>Greene County</v>
      </c>
      <c r="C125" s="144">
        <f>INDEX(Calculation!$A$4:$M$328,MATCH(Summary!$A125,Calculation!$A$4:$A$328,0),6)</f>
        <v>3.8860000000000001</v>
      </c>
      <c r="D125" s="144">
        <f>INDEX(Calculation!$A$4:$M$328,MATCH(Summary!$A125,Calculation!$A$4:$A$328,0),7)</f>
        <v>2.4169999999999998</v>
      </c>
      <c r="E125" s="144">
        <f t="shared" si="2"/>
        <v>6.3029999999999999</v>
      </c>
      <c r="F125" s="120"/>
      <c r="G125" s="121">
        <f>INDEX(Calculation!$A$4:$M$328,MATCH(Summary!$A125,Calculation!$A$4:$A$328,0),10)</f>
        <v>7674</v>
      </c>
      <c r="H125" s="121">
        <f t="shared" si="3"/>
        <v>48369</v>
      </c>
    </row>
    <row r="126" spans="1:8" x14ac:dyDescent="0.2">
      <c r="A126" s="118" t="str">
        <f>StartupfileInput!C125</f>
        <v>2709</v>
      </c>
      <c r="B126" s="119" t="str">
        <f>INDEX(Calculation!$A$4:$M$328,MATCH(Summary!$A126,Calculation!$A$4:$A$328,0),3)</f>
        <v>Grinnell-Newburg</v>
      </c>
      <c r="C126" s="144">
        <f>INDEX(Calculation!$A$4:$M$328,MATCH(Summary!$A126,Calculation!$A$4:$A$328,0),6)</f>
        <v>3.3290000000000002</v>
      </c>
      <c r="D126" s="144">
        <f>INDEX(Calculation!$A$4:$M$328,MATCH(Summary!$A126,Calculation!$A$4:$A$328,0),7)</f>
        <v>3.0569999999999999</v>
      </c>
      <c r="E126" s="144">
        <f t="shared" si="2"/>
        <v>6.3860000000000001</v>
      </c>
      <c r="F126" s="120"/>
      <c r="G126" s="121">
        <f>INDEX(Calculation!$A$4:$M$328,MATCH(Summary!$A126,Calculation!$A$4:$A$328,0),10)</f>
        <v>7635</v>
      </c>
      <c r="H126" s="121">
        <f t="shared" si="3"/>
        <v>48757</v>
      </c>
    </row>
    <row r="127" spans="1:8" x14ac:dyDescent="0.2">
      <c r="A127" s="118" t="str">
        <f>StartupfileInput!C126</f>
        <v>2718</v>
      </c>
      <c r="B127" s="119" t="str">
        <f>INDEX(Calculation!$A$4:$M$328,MATCH(Summary!$A127,Calculation!$A$4:$A$328,0),3)</f>
        <v>Griswold</v>
      </c>
      <c r="C127" s="144">
        <f>INDEX(Calculation!$A$4:$M$328,MATCH(Summary!$A127,Calculation!$A$4:$A$328,0),6)</f>
        <v>1.331</v>
      </c>
      <c r="D127" s="144">
        <f>INDEX(Calculation!$A$4:$M$328,MATCH(Summary!$A127,Calculation!$A$4:$A$328,0),7)</f>
        <v>0.91400000000000003</v>
      </c>
      <c r="E127" s="144">
        <f t="shared" si="2"/>
        <v>2.2450000000000001</v>
      </c>
      <c r="F127" s="120"/>
      <c r="G127" s="121">
        <f>INDEX(Calculation!$A$4:$M$328,MATCH(Summary!$A127,Calculation!$A$4:$A$328,0),10)</f>
        <v>7665</v>
      </c>
      <c r="H127" s="121">
        <f t="shared" si="3"/>
        <v>17208</v>
      </c>
    </row>
    <row r="128" spans="1:8" x14ac:dyDescent="0.2">
      <c r="A128" s="118" t="str">
        <f>StartupfileInput!C127</f>
        <v>2727</v>
      </c>
      <c r="B128" s="119" t="str">
        <f>INDEX(Calculation!$A$4:$M$328,MATCH(Summary!$A128,Calculation!$A$4:$A$328,0),3)</f>
        <v>Grundy Center</v>
      </c>
      <c r="C128" s="144">
        <f>INDEX(Calculation!$A$4:$M$328,MATCH(Summary!$A128,Calculation!$A$4:$A$328,0),6)</f>
        <v>1.286</v>
      </c>
      <c r="D128" s="144">
        <f>INDEX(Calculation!$A$4:$M$328,MATCH(Summary!$A128,Calculation!$A$4:$A$328,0),7)</f>
        <v>1.3859999999999999</v>
      </c>
      <c r="E128" s="144">
        <f t="shared" si="2"/>
        <v>2.6719999999999997</v>
      </c>
      <c r="F128" s="120"/>
      <c r="G128" s="121">
        <f>INDEX(Calculation!$A$4:$M$328,MATCH(Summary!$A128,Calculation!$A$4:$A$328,0),10)</f>
        <v>7635</v>
      </c>
      <c r="H128" s="121">
        <f t="shared" si="3"/>
        <v>20401</v>
      </c>
    </row>
    <row r="129" spans="1:8" x14ac:dyDescent="0.2">
      <c r="A129" s="118" t="str">
        <f>StartupfileInput!C128</f>
        <v>2754</v>
      </c>
      <c r="B129" s="119" t="str">
        <f>INDEX(Calculation!$A$4:$M$328,MATCH(Summary!$A129,Calculation!$A$4:$A$328,0),3)</f>
        <v>Guthrie Center</v>
      </c>
      <c r="C129" s="144">
        <f>INDEX(Calculation!$A$4:$M$328,MATCH(Summary!$A129,Calculation!$A$4:$A$328,0),6)</f>
        <v>0.84199999999999997</v>
      </c>
      <c r="D129" s="144">
        <f>INDEX(Calculation!$A$4:$M$328,MATCH(Summary!$A129,Calculation!$A$4:$A$328,0),7)</f>
        <v>0.81599999999999995</v>
      </c>
      <c r="E129" s="144">
        <f t="shared" si="2"/>
        <v>1.6579999999999999</v>
      </c>
      <c r="F129" s="120"/>
      <c r="G129" s="121">
        <f>INDEX(Calculation!$A$4:$M$328,MATCH(Summary!$A129,Calculation!$A$4:$A$328,0),10)</f>
        <v>7635</v>
      </c>
      <c r="H129" s="121">
        <f t="shared" si="3"/>
        <v>12659</v>
      </c>
    </row>
    <row r="130" spans="1:8" x14ac:dyDescent="0.2">
      <c r="A130" s="118" t="str">
        <f>StartupfileInput!C129</f>
        <v>2766</v>
      </c>
      <c r="B130" s="119" t="str">
        <f>INDEX(Calculation!$A$4:$M$328,MATCH(Summary!$A130,Calculation!$A$4:$A$328,0),3)</f>
        <v>HLV</v>
      </c>
      <c r="C130" s="144">
        <f>INDEX(Calculation!$A$4:$M$328,MATCH(Summary!$A130,Calculation!$A$4:$A$328,0),6)</f>
        <v>0.58599999999999997</v>
      </c>
      <c r="D130" s="144">
        <f>INDEX(Calculation!$A$4:$M$328,MATCH(Summary!$A130,Calculation!$A$4:$A$328,0),7)</f>
        <v>0.63900000000000001</v>
      </c>
      <c r="E130" s="144">
        <f t="shared" si="2"/>
        <v>1.2250000000000001</v>
      </c>
      <c r="F130" s="120"/>
      <c r="G130" s="121">
        <f>INDEX(Calculation!$A$4:$M$328,MATCH(Summary!$A130,Calculation!$A$4:$A$328,0),10)</f>
        <v>7700</v>
      </c>
      <c r="H130" s="121">
        <f t="shared" ref="H130:H193" si="4">ROUND(E130*G130,0)</f>
        <v>9433</v>
      </c>
    </row>
    <row r="131" spans="1:8" x14ac:dyDescent="0.2">
      <c r="A131" s="118" t="str">
        <f>StartupfileInput!C130</f>
        <v>2772</v>
      </c>
      <c r="B131" s="119" t="str">
        <f>INDEX(Calculation!$A$4:$M$328,MATCH(Summary!$A131,Calculation!$A$4:$A$328,0),3)</f>
        <v>Hamburg</v>
      </c>
      <c r="C131" s="144">
        <f>INDEX(Calculation!$A$4:$M$328,MATCH(Summary!$A131,Calculation!$A$4:$A$328,0),6)</f>
        <v>0.998</v>
      </c>
      <c r="D131" s="144">
        <f>INDEX(Calculation!$A$4:$M$328,MATCH(Summary!$A131,Calculation!$A$4:$A$328,0),7)</f>
        <v>0.46100000000000002</v>
      </c>
      <c r="E131" s="144">
        <f t="shared" si="2"/>
        <v>1.4590000000000001</v>
      </c>
      <c r="F131" s="120"/>
      <c r="G131" s="121">
        <f>INDEX(Calculation!$A$4:$M$328,MATCH(Summary!$A131,Calculation!$A$4:$A$328,0),10)</f>
        <v>7741</v>
      </c>
      <c r="H131" s="121">
        <f>ROUND(E131*G131,0)</f>
        <v>11294</v>
      </c>
    </row>
    <row r="132" spans="1:8" x14ac:dyDescent="0.2">
      <c r="A132" s="118" t="str">
        <f>StartupfileInput!C131</f>
        <v>2781</v>
      </c>
      <c r="B132" s="119" t="str">
        <f>INDEX(Calculation!$A$4:$M$328,MATCH(Summary!$A132,Calculation!$A$4:$A$328,0),3)</f>
        <v>Hampton-Dumont</v>
      </c>
      <c r="C132" s="144">
        <f>INDEX(Calculation!$A$4:$M$328,MATCH(Summary!$A132,Calculation!$A$4:$A$328,0),6)</f>
        <v>4.1440000000000001</v>
      </c>
      <c r="D132" s="144">
        <f>INDEX(Calculation!$A$4:$M$328,MATCH(Summary!$A132,Calculation!$A$4:$A$328,0),7)</f>
        <v>2.2839999999999998</v>
      </c>
      <c r="E132" s="144">
        <f t="shared" ref="E132:E195" si="5">SUM(C132:D132)</f>
        <v>6.4279999999999999</v>
      </c>
      <c r="F132" s="120"/>
      <c r="G132" s="121">
        <f>INDEX(Calculation!$A$4:$M$328,MATCH(Summary!$A132,Calculation!$A$4:$A$328,0),10)</f>
        <v>7635</v>
      </c>
      <c r="H132" s="121">
        <f t="shared" si="4"/>
        <v>49078</v>
      </c>
    </row>
    <row r="133" spans="1:8" x14ac:dyDescent="0.2">
      <c r="A133" s="118" t="str">
        <f>StartupfileInput!C132</f>
        <v>2826</v>
      </c>
      <c r="B133" s="119" t="str">
        <f>INDEX(Calculation!$A$4:$M$328,MATCH(Summary!$A133,Calculation!$A$4:$A$328,0),3)</f>
        <v>Harlan</v>
      </c>
      <c r="C133" s="144">
        <f>INDEX(Calculation!$A$4:$M$328,MATCH(Summary!$A133,Calculation!$A$4:$A$328,0),6)</f>
        <v>3.9470000000000001</v>
      </c>
      <c r="D133" s="144">
        <f>INDEX(Calculation!$A$4:$M$328,MATCH(Summary!$A133,Calculation!$A$4:$A$328,0),7)</f>
        <v>2.806</v>
      </c>
      <c r="E133" s="144">
        <f t="shared" si="5"/>
        <v>6.7530000000000001</v>
      </c>
      <c r="F133" s="120"/>
      <c r="G133" s="121">
        <f>INDEX(Calculation!$A$4:$M$328,MATCH(Summary!$A133,Calculation!$A$4:$A$328,0),10)</f>
        <v>7640</v>
      </c>
      <c r="H133" s="121">
        <f t="shared" si="4"/>
        <v>51593</v>
      </c>
    </row>
    <row r="134" spans="1:8" x14ac:dyDescent="0.2">
      <c r="A134" s="118" t="str">
        <f>StartupfileInput!C133</f>
        <v>2846</v>
      </c>
      <c r="B134" s="119" t="str">
        <f>INDEX(Calculation!$A$4:$M$328,MATCH(Summary!$A134,Calculation!$A$4:$A$328,0),3)</f>
        <v>Harris-Lake Park</v>
      </c>
      <c r="C134" s="144">
        <f>INDEX(Calculation!$A$4:$M$328,MATCH(Summary!$A134,Calculation!$A$4:$A$328,0),6)</f>
        <v>0.68300000000000005</v>
      </c>
      <c r="D134" s="144">
        <f>INDEX(Calculation!$A$4:$M$328,MATCH(Summary!$A134,Calculation!$A$4:$A$328,0),7)</f>
        <v>0.6</v>
      </c>
      <c r="E134" s="144">
        <f t="shared" si="5"/>
        <v>1.2829999999999999</v>
      </c>
      <c r="F134" s="120"/>
      <c r="G134" s="121">
        <f>INDEX(Calculation!$A$4:$M$328,MATCH(Summary!$A134,Calculation!$A$4:$A$328,0),10)</f>
        <v>7671</v>
      </c>
      <c r="H134" s="121">
        <f t="shared" si="4"/>
        <v>9842</v>
      </c>
    </row>
    <row r="135" spans="1:8" x14ac:dyDescent="0.2">
      <c r="A135" s="118" t="str">
        <f>StartupfileInput!C134</f>
        <v>2862</v>
      </c>
      <c r="B135" s="119" t="str">
        <f>INDEX(Calculation!$A$4:$M$328,MATCH(Summary!$A135,Calculation!$A$4:$A$328,0),3)</f>
        <v>Hartley-Melvin-Sanborn</v>
      </c>
      <c r="C135" s="144">
        <f>INDEX(Calculation!$A$4:$M$328,MATCH(Summary!$A135,Calculation!$A$4:$A$328,0),6)</f>
        <v>2.2469999999999999</v>
      </c>
      <c r="D135" s="144">
        <f>INDEX(Calculation!$A$4:$M$328,MATCH(Summary!$A135,Calculation!$A$4:$A$328,0),7)</f>
        <v>1.3089999999999999</v>
      </c>
      <c r="E135" s="144">
        <f t="shared" si="5"/>
        <v>3.556</v>
      </c>
      <c r="F135" s="120"/>
      <c r="G135" s="121">
        <f>INDEX(Calculation!$A$4:$M$328,MATCH(Summary!$A135,Calculation!$A$4:$A$328,0),10)</f>
        <v>7647</v>
      </c>
      <c r="H135" s="121">
        <f t="shared" si="4"/>
        <v>27193</v>
      </c>
    </row>
    <row r="136" spans="1:8" x14ac:dyDescent="0.2">
      <c r="A136" s="118" t="str">
        <f>StartupfileInput!C135</f>
        <v>2977</v>
      </c>
      <c r="B136" s="119" t="str">
        <f>INDEX(Calculation!$A$4:$M$328,MATCH(Summary!$A136,Calculation!$A$4:$A$328,0),3)</f>
        <v>Highland</v>
      </c>
      <c r="C136" s="144">
        <f>INDEX(Calculation!$A$4:$M$328,MATCH(Summary!$A136,Calculation!$A$4:$A$328,0),6)</f>
        <v>0.79800000000000004</v>
      </c>
      <c r="D136" s="144">
        <f>INDEX(Calculation!$A$4:$M$328,MATCH(Summary!$A136,Calculation!$A$4:$A$328,0),7)</f>
        <v>1.1890000000000001</v>
      </c>
      <c r="E136" s="144">
        <f t="shared" si="5"/>
        <v>1.9870000000000001</v>
      </c>
      <c r="F136" s="120"/>
      <c r="G136" s="121">
        <f>INDEX(Calculation!$A$4:$M$328,MATCH(Summary!$A136,Calculation!$A$4:$A$328,0),10)</f>
        <v>7635</v>
      </c>
      <c r="H136" s="121">
        <f t="shared" si="4"/>
        <v>15171</v>
      </c>
    </row>
    <row r="137" spans="1:8" x14ac:dyDescent="0.2">
      <c r="A137" s="118" t="str">
        <f>StartupfileInput!C136</f>
        <v>2988</v>
      </c>
      <c r="B137" s="119" t="str">
        <f>INDEX(Calculation!$A$4:$M$328,MATCH(Summary!$A137,Calculation!$A$4:$A$328,0),3)</f>
        <v>Hinton</v>
      </c>
      <c r="C137" s="144">
        <f>INDEX(Calculation!$A$4:$M$328,MATCH(Summary!$A137,Calculation!$A$4:$A$328,0),6)</f>
        <v>0.628</v>
      </c>
      <c r="D137" s="144">
        <f>INDEX(Calculation!$A$4:$M$328,MATCH(Summary!$A137,Calculation!$A$4:$A$328,0),7)</f>
        <v>1.1359999999999999</v>
      </c>
      <c r="E137" s="144">
        <f t="shared" si="5"/>
        <v>1.7639999999999998</v>
      </c>
      <c r="F137" s="120"/>
      <c r="G137" s="121">
        <f>INDEX(Calculation!$A$4:$M$328,MATCH(Summary!$A137,Calculation!$A$4:$A$328,0),10)</f>
        <v>7635</v>
      </c>
      <c r="H137" s="121">
        <f t="shared" si="4"/>
        <v>13468</v>
      </c>
    </row>
    <row r="138" spans="1:8" x14ac:dyDescent="0.2">
      <c r="A138" s="118" t="str">
        <f>StartupfileInput!C137</f>
        <v>3029</v>
      </c>
      <c r="B138" s="119" t="str">
        <f>INDEX(Calculation!$A$4:$M$328,MATCH(Summary!$A138,Calculation!$A$4:$A$328,0),3)</f>
        <v>Howard-Winneshiek</v>
      </c>
      <c r="C138" s="144">
        <f>INDEX(Calculation!$A$4:$M$328,MATCH(Summary!$A138,Calculation!$A$4:$A$328,0),6)</f>
        <v>3.9830000000000001</v>
      </c>
      <c r="D138" s="144">
        <f>INDEX(Calculation!$A$4:$M$328,MATCH(Summary!$A138,Calculation!$A$4:$A$328,0),7)</f>
        <v>2.3490000000000002</v>
      </c>
      <c r="E138" s="144">
        <f t="shared" si="5"/>
        <v>6.3320000000000007</v>
      </c>
      <c r="F138" s="120"/>
      <c r="G138" s="121">
        <f>INDEX(Calculation!$A$4:$M$328,MATCH(Summary!$A138,Calculation!$A$4:$A$328,0),10)</f>
        <v>7723</v>
      </c>
      <c r="H138" s="121">
        <f t="shared" si="4"/>
        <v>48902</v>
      </c>
    </row>
    <row r="139" spans="1:8" x14ac:dyDescent="0.2">
      <c r="A139" s="118" t="str">
        <f>StartupfileInput!C138</f>
        <v>3033</v>
      </c>
      <c r="B139" s="119" t="str">
        <f>INDEX(Calculation!$A$4:$M$328,MATCH(Summary!$A139,Calculation!$A$4:$A$328,0),3)</f>
        <v>Hubbard-Radcliffe</v>
      </c>
      <c r="C139" s="144">
        <f>INDEX(Calculation!$A$4:$M$328,MATCH(Summary!$A139,Calculation!$A$4:$A$328,0),6)</f>
        <v>0.95</v>
      </c>
      <c r="D139" s="144">
        <f>INDEX(Calculation!$A$4:$M$328,MATCH(Summary!$A139,Calculation!$A$4:$A$328,0),7)</f>
        <v>0.84</v>
      </c>
      <c r="E139" s="144">
        <f t="shared" si="5"/>
        <v>1.79</v>
      </c>
      <c r="F139" s="120"/>
      <c r="G139" s="121">
        <f>INDEX(Calculation!$A$4:$M$328,MATCH(Summary!$A139,Calculation!$A$4:$A$328,0),10)</f>
        <v>7712</v>
      </c>
      <c r="H139" s="121">
        <f t="shared" si="4"/>
        <v>13804</v>
      </c>
    </row>
    <row r="140" spans="1:8" x14ac:dyDescent="0.2">
      <c r="A140" s="118" t="str">
        <f>StartupfileInput!C139</f>
        <v>3042</v>
      </c>
      <c r="B140" s="119" t="str">
        <f>INDEX(Calculation!$A$4:$M$328,MATCH(Summary!$A140,Calculation!$A$4:$A$328,0),3)</f>
        <v>Hudson</v>
      </c>
      <c r="C140" s="144">
        <f>INDEX(Calculation!$A$4:$M$328,MATCH(Summary!$A140,Calculation!$A$4:$A$328,0),6)</f>
        <v>1.135</v>
      </c>
      <c r="D140" s="144">
        <f>INDEX(Calculation!$A$4:$M$328,MATCH(Summary!$A140,Calculation!$A$4:$A$328,0),7)</f>
        <v>1.458</v>
      </c>
      <c r="E140" s="144">
        <f t="shared" si="5"/>
        <v>2.593</v>
      </c>
      <c r="F140" s="120"/>
      <c r="G140" s="121">
        <f>INDEX(Calculation!$A$4:$M$328,MATCH(Summary!$A140,Calculation!$A$4:$A$328,0),10)</f>
        <v>7775</v>
      </c>
      <c r="H140" s="121">
        <f t="shared" si="4"/>
        <v>20161</v>
      </c>
    </row>
    <row r="141" spans="1:8" x14ac:dyDescent="0.2">
      <c r="A141" s="118" t="str">
        <f>StartupfileInput!C140</f>
        <v>3060</v>
      </c>
      <c r="B141" s="119" t="str">
        <f>INDEX(Calculation!$A$4:$M$328,MATCH(Summary!$A141,Calculation!$A$4:$A$328,0),3)</f>
        <v>Humboldt</v>
      </c>
      <c r="C141" s="144">
        <f>INDEX(Calculation!$A$4:$M$328,MATCH(Summary!$A141,Calculation!$A$4:$A$328,0),6)</f>
        <v>3.4319999999999999</v>
      </c>
      <c r="D141" s="144">
        <f>INDEX(Calculation!$A$4:$M$328,MATCH(Summary!$A141,Calculation!$A$4:$A$328,0),7)</f>
        <v>2.5430000000000001</v>
      </c>
      <c r="E141" s="144">
        <f t="shared" si="5"/>
        <v>5.9749999999999996</v>
      </c>
      <c r="F141" s="120"/>
      <c r="G141" s="121">
        <f>INDEX(Calculation!$A$4:$M$328,MATCH(Summary!$A141,Calculation!$A$4:$A$328,0),10)</f>
        <v>7635</v>
      </c>
      <c r="H141" s="121">
        <f t="shared" si="4"/>
        <v>45619</v>
      </c>
    </row>
    <row r="142" spans="1:8" x14ac:dyDescent="0.2">
      <c r="A142" s="118" t="str">
        <f>StartupfileInput!C141</f>
        <v>3168</v>
      </c>
      <c r="B142" s="119" t="str">
        <f>INDEX(Calculation!$A$4:$M$328,MATCH(Summary!$A142,Calculation!$A$4:$A$328,0),3)</f>
        <v>IKM-Manning</v>
      </c>
      <c r="C142" s="144">
        <f>INDEX(Calculation!$A$4:$M$328,MATCH(Summary!$A142,Calculation!$A$4:$A$328,0),6)</f>
        <v>1.5840000000000001</v>
      </c>
      <c r="D142" s="144">
        <f>INDEX(Calculation!$A$4:$M$328,MATCH(Summary!$A142,Calculation!$A$4:$A$328,0),7)</f>
        <v>1.359</v>
      </c>
      <c r="E142" s="144">
        <f t="shared" si="5"/>
        <v>2.9430000000000001</v>
      </c>
      <c r="F142" s="120"/>
      <c r="G142" s="121">
        <f>INDEX(Calculation!$A$4:$M$328,MATCH(Summary!$A142,Calculation!$A$4:$A$328,0),10)</f>
        <v>7701</v>
      </c>
      <c r="H142" s="121">
        <f t="shared" si="4"/>
        <v>22664</v>
      </c>
    </row>
    <row r="143" spans="1:8" x14ac:dyDescent="0.2">
      <c r="A143" s="118" t="str">
        <f>StartupfileInput!C142</f>
        <v>3105</v>
      </c>
      <c r="B143" s="119" t="str">
        <f>INDEX(Calculation!$A$4:$M$328,MATCH(Summary!$A143,Calculation!$A$4:$A$328,0),3)</f>
        <v>Independence</v>
      </c>
      <c r="C143" s="144">
        <f>INDEX(Calculation!$A$4:$M$328,MATCH(Summary!$A143,Calculation!$A$4:$A$328,0),6)</f>
        <v>3.476</v>
      </c>
      <c r="D143" s="144">
        <f>INDEX(Calculation!$A$4:$M$328,MATCH(Summary!$A143,Calculation!$A$4:$A$328,0),7)</f>
        <v>2.823</v>
      </c>
      <c r="E143" s="144">
        <f t="shared" si="5"/>
        <v>6.2989999999999995</v>
      </c>
      <c r="F143" s="120"/>
      <c r="G143" s="121">
        <f>INDEX(Calculation!$A$4:$M$328,MATCH(Summary!$A143,Calculation!$A$4:$A$328,0),10)</f>
        <v>7635</v>
      </c>
      <c r="H143" s="121">
        <f t="shared" si="4"/>
        <v>48093</v>
      </c>
    </row>
    <row r="144" spans="1:8" x14ac:dyDescent="0.2">
      <c r="A144" s="118" t="str">
        <f>StartupfileInput!C143</f>
        <v>3114</v>
      </c>
      <c r="B144" s="119" t="str">
        <f>INDEX(Calculation!$A$4:$M$328,MATCH(Summary!$A144,Calculation!$A$4:$A$328,0),3)</f>
        <v>Indianola</v>
      </c>
      <c r="C144" s="144">
        <f>INDEX(Calculation!$A$4:$M$328,MATCH(Summary!$A144,Calculation!$A$4:$A$328,0),6)</f>
        <v>6.992</v>
      </c>
      <c r="D144" s="144">
        <f>INDEX(Calculation!$A$4:$M$328,MATCH(Summary!$A144,Calculation!$A$4:$A$328,0),7)</f>
        <v>7.0110000000000001</v>
      </c>
      <c r="E144" s="144">
        <f t="shared" si="5"/>
        <v>14.003</v>
      </c>
      <c r="F144" s="120"/>
      <c r="G144" s="121">
        <f>INDEX(Calculation!$A$4:$M$328,MATCH(Summary!$A144,Calculation!$A$4:$A$328,0),10)</f>
        <v>7635</v>
      </c>
      <c r="H144" s="121">
        <f t="shared" si="4"/>
        <v>106913</v>
      </c>
    </row>
    <row r="145" spans="1:8" x14ac:dyDescent="0.2">
      <c r="A145" s="118" t="str">
        <f>StartupfileInput!C144</f>
        <v>3119</v>
      </c>
      <c r="B145" s="119" t="str">
        <f>INDEX(Calculation!$A$4:$M$328,MATCH(Summary!$A145,Calculation!$A$4:$A$328,0),3)</f>
        <v>Interstate 35</v>
      </c>
      <c r="C145" s="144">
        <f>INDEX(Calculation!$A$4:$M$328,MATCH(Summary!$A145,Calculation!$A$4:$A$328,0),6)</f>
        <v>1.4350000000000001</v>
      </c>
      <c r="D145" s="144">
        <f>INDEX(Calculation!$A$4:$M$328,MATCH(Summary!$A145,Calculation!$A$4:$A$328,0),7)</f>
        <v>1.7110000000000001</v>
      </c>
      <c r="E145" s="144">
        <f t="shared" si="5"/>
        <v>3.1459999999999999</v>
      </c>
      <c r="F145" s="120"/>
      <c r="G145" s="121">
        <f>INDEX(Calculation!$A$4:$M$328,MATCH(Summary!$A145,Calculation!$A$4:$A$328,0),10)</f>
        <v>7635</v>
      </c>
      <c r="H145" s="121">
        <f t="shared" si="4"/>
        <v>24020</v>
      </c>
    </row>
    <row r="146" spans="1:8" x14ac:dyDescent="0.2">
      <c r="A146" s="118" t="str">
        <f>StartupfileInput!C145</f>
        <v>3141</v>
      </c>
      <c r="B146" s="119" t="str">
        <f>INDEX(Calculation!$A$4:$M$328,MATCH(Summary!$A146,Calculation!$A$4:$A$328,0),3)</f>
        <v>Iowa City</v>
      </c>
      <c r="C146" s="144">
        <f>INDEX(Calculation!$A$4:$M$328,MATCH(Summary!$A146,Calculation!$A$4:$A$328,0),6)</f>
        <v>40.177999999999997</v>
      </c>
      <c r="D146" s="144">
        <f>INDEX(Calculation!$A$4:$M$328,MATCH(Summary!$A146,Calculation!$A$4:$A$328,0),7)</f>
        <v>29.457000000000001</v>
      </c>
      <c r="E146" s="144">
        <f t="shared" si="5"/>
        <v>69.634999999999991</v>
      </c>
      <c r="F146" s="120"/>
      <c r="G146" s="121">
        <f>INDEX(Calculation!$A$4:$M$328,MATCH(Summary!$A146,Calculation!$A$4:$A$328,0),10)</f>
        <v>7635</v>
      </c>
      <c r="H146" s="121">
        <f t="shared" si="4"/>
        <v>531663</v>
      </c>
    </row>
    <row r="147" spans="1:8" x14ac:dyDescent="0.2">
      <c r="A147" s="118" t="str">
        <f>StartupfileInput!C146</f>
        <v>3150</v>
      </c>
      <c r="B147" s="119" t="str">
        <f>INDEX(Calculation!$A$4:$M$328,MATCH(Summary!$A147,Calculation!$A$4:$A$328,0),3)</f>
        <v>Iowa Falls</v>
      </c>
      <c r="C147" s="144">
        <f>INDEX(Calculation!$A$4:$M$328,MATCH(Summary!$A147,Calculation!$A$4:$A$328,0),6)</f>
        <v>2.7850000000000001</v>
      </c>
      <c r="D147" s="144">
        <f>INDEX(Calculation!$A$4:$M$328,MATCH(Summary!$A147,Calculation!$A$4:$A$328,0),7)</f>
        <v>2.0449999999999999</v>
      </c>
      <c r="E147" s="144">
        <f t="shared" si="5"/>
        <v>4.83</v>
      </c>
      <c r="F147" s="120"/>
      <c r="G147" s="121">
        <f>INDEX(Calculation!$A$4:$M$328,MATCH(Summary!$A147,Calculation!$A$4:$A$328,0),10)</f>
        <v>7635</v>
      </c>
      <c r="H147" s="121">
        <f t="shared" si="4"/>
        <v>36877</v>
      </c>
    </row>
    <row r="148" spans="1:8" x14ac:dyDescent="0.2">
      <c r="A148" s="118" t="str">
        <f>StartupfileInput!C147</f>
        <v>3154</v>
      </c>
      <c r="B148" s="119" t="str">
        <f>INDEX(Calculation!$A$4:$M$328,MATCH(Summary!$A148,Calculation!$A$4:$A$328,0),3)</f>
        <v>Iowa Valley</v>
      </c>
      <c r="C148" s="144">
        <f>INDEX(Calculation!$A$4:$M$328,MATCH(Summary!$A148,Calculation!$A$4:$A$328,0),6)</f>
        <v>1.3460000000000001</v>
      </c>
      <c r="D148" s="144">
        <f>INDEX(Calculation!$A$4:$M$328,MATCH(Summary!$A148,Calculation!$A$4:$A$328,0),7)</f>
        <v>1.02</v>
      </c>
      <c r="E148" s="144">
        <f t="shared" si="5"/>
        <v>2.3660000000000001</v>
      </c>
      <c r="F148" s="120"/>
      <c r="G148" s="121">
        <f>INDEX(Calculation!$A$4:$M$328,MATCH(Summary!$A148,Calculation!$A$4:$A$328,0),10)</f>
        <v>7635</v>
      </c>
      <c r="H148" s="121">
        <f t="shared" si="4"/>
        <v>18064</v>
      </c>
    </row>
    <row r="149" spans="1:8" x14ac:dyDescent="0.2">
      <c r="A149" s="118" t="str">
        <f>StartupfileInput!C148</f>
        <v>3186</v>
      </c>
      <c r="B149" s="119" t="str">
        <f>INDEX(Calculation!$A$4:$M$328,MATCH(Summary!$A149,Calculation!$A$4:$A$328,0),3)</f>
        <v>Janesville</v>
      </c>
      <c r="C149" s="144">
        <f>INDEX(Calculation!$A$4:$M$328,MATCH(Summary!$A149,Calculation!$A$4:$A$328,0),6)</f>
        <v>0.57699999999999996</v>
      </c>
      <c r="D149" s="144">
        <f>INDEX(Calculation!$A$4:$M$328,MATCH(Summary!$A149,Calculation!$A$4:$A$328,0),7)</f>
        <v>0.89900000000000002</v>
      </c>
      <c r="E149" s="144">
        <f t="shared" si="5"/>
        <v>1.476</v>
      </c>
      <c r="F149" s="120"/>
      <c r="G149" s="121">
        <f>INDEX(Calculation!$A$4:$M$328,MATCH(Summary!$A149,Calculation!$A$4:$A$328,0),10)</f>
        <v>7675</v>
      </c>
      <c r="H149" s="121">
        <f t="shared" si="4"/>
        <v>11328</v>
      </c>
    </row>
    <row r="150" spans="1:8" x14ac:dyDescent="0.2">
      <c r="A150" s="118" t="str">
        <f>StartupfileInput!C149</f>
        <v>3204</v>
      </c>
      <c r="B150" s="119" t="str">
        <f>INDEX(Calculation!$A$4:$M$328,MATCH(Summary!$A150,Calculation!$A$4:$A$328,0),3)</f>
        <v>Jesup</v>
      </c>
      <c r="C150" s="144">
        <f>INDEX(Calculation!$A$4:$M$328,MATCH(Summary!$A150,Calculation!$A$4:$A$328,0),6)</f>
        <v>1.2070000000000001</v>
      </c>
      <c r="D150" s="144">
        <f>INDEX(Calculation!$A$4:$M$328,MATCH(Summary!$A150,Calculation!$A$4:$A$328,0),7)</f>
        <v>1.8240000000000001</v>
      </c>
      <c r="E150" s="144">
        <f t="shared" si="5"/>
        <v>3.0310000000000001</v>
      </c>
      <c r="F150" s="120"/>
      <c r="G150" s="121">
        <f>INDEX(Calculation!$A$4:$M$328,MATCH(Summary!$A150,Calculation!$A$4:$A$328,0),10)</f>
        <v>7635</v>
      </c>
      <c r="H150" s="121">
        <f t="shared" si="4"/>
        <v>23142</v>
      </c>
    </row>
    <row r="151" spans="1:8" x14ac:dyDescent="0.2">
      <c r="A151" s="118" t="str">
        <f>StartupfileInput!C150</f>
        <v>3231</v>
      </c>
      <c r="B151" s="119" t="str">
        <f>INDEX(Calculation!$A$4:$M$328,MATCH(Summary!$A151,Calculation!$A$4:$A$328,0),3)</f>
        <v>Johnston</v>
      </c>
      <c r="C151" s="144">
        <f>INDEX(Calculation!$A$4:$M$328,MATCH(Summary!$A151,Calculation!$A$4:$A$328,0),6)</f>
        <v>13.061999999999999</v>
      </c>
      <c r="D151" s="144">
        <f>INDEX(Calculation!$A$4:$M$328,MATCH(Summary!$A151,Calculation!$A$4:$A$328,0),7)</f>
        <v>14.249000000000001</v>
      </c>
      <c r="E151" s="144">
        <f t="shared" si="5"/>
        <v>27.311</v>
      </c>
      <c r="F151" s="120"/>
      <c r="G151" s="121">
        <f>INDEX(Calculation!$A$4:$M$328,MATCH(Summary!$A151,Calculation!$A$4:$A$328,0),10)</f>
        <v>7635</v>
      </c>
      <c r="H151" s="121">
        <f t="shared" si="4"/>
        <v>208519</v>
      </c>
    </row>
    <row r="152" spans="1:8" x14ac:dyDescent="0.2">
      <c r="A152" s="118" t="str">
        <f>StartupfileInput!C151</f>
        <v>3312</v>
      </c>
      <c r="B152" s="119" t="str">
        <f>INDEX(Calculation!$A$4:$M$328,MATCH(Summary!$A152,Calculation!$A$4:$A$328,0),3)</f>
        <v>Keokuk</v>
      </c>
      <c r="C152" s="144">
        <f>INDEX(Calculation!$A$4:$M$328,MATCH(Summary!$A152,Calculation!$A$4:$A$328,0),6)</f>
        <v>7.734</v>
      </c>
      <c r="D152" s="144">
        <f>INDEX(Calculation!$A$4:$M$328,MATCH(Summary!$A152,Calculation!$A$4:$A$328,0),7)</f>
        <v>3.774</v>
      </c>
      <c r="E152" s="144">
        <f t="shared" si="5"/>
        <v>11.507999999999999</v>
      </c>
      <c r="F152" s="120"/>
      <c r="G152" s="121">
        <f>INDEX(Calculation!$A$4:$M$328,MATCH(Summary!$A152,Calculation!$A$4:$A$328,0),10)</f>
        <v>7635</v>
      </c>
      <c r="H152" s="121">
        <f t="shared" si="4"/>
        <v>87864</v>
      </c>
    </row>
    <row r="153" spans="1:8" x14ac:dyDescent="0.2">
      <c r="A153" s="118" t="str">
        <f>StartupfileInput!C152</f>
        <v>3330</v>
      </c>
      <c r="B153" s="119" t="str">
        <f>INDEX(Calculation!$A$4:$M$328,MATCH(Summary!$A153,Calculation!$A$4:$A$328,0),3)</f>
        <v>Keota</v>
      </c>
      <c r="C153" s="144">
        <f>INDEX(Calculation!$A$4:$M$328,MATCH(Summary!$A153,Calculation!$A$4:$A$328,0),6)</f>
        <v>0.93600000000000005</v>
      </c>
      <c r="D153" s="144">
        <f>INDEX(Calculation!$A$4:$M$328,MATCH(Summary!$A153,Calculation!$A$4:$A$328,0),7)</f>
        <v>0.73599999999999999</v>
      </c>
      <c r="E153" s="144">
        <f t="shared" si="5"/>
        <v>1.6720000000000002</v>
      </c>
      <c r="F153" s="120"/>
      <c r="G153" s="121">
        <f>INDEX(Calculation!$A$4:$M$328,MATCH(Summary!$A153,Calculation!$A$4:$A$328,0),10)</f>
        <v>7644</v>
      </c>
      <c r="H153" s="121">
        <f t="shared" si="4"/>
        <v>12781</v>
      </c>
    </row>
    <row r="154" spans="1:8" x14ac:dyDescent="0.2">
      <c r="A154" s="118" t="str">
        <f>StartupfileInput!C153</f>
        <v>3348</v>
      </c>
      <c r="B154" s="119" t="str">
        <f>INDEX(Calculation!$A$4:$M$328,MATCH(Summary!$A154,Calculation!$A$4:$A$328,0),3)</f>
        <v>Kingsley-Pierson</v>
      </c>
      <c r="C154" s="144">
        <f>INDEX(Calculation!$A$4:$M$328,MATCH(Summary!$A154,Calculation!$A$4:$A$328,0),6)</f>
        <v>1.1739999999999999</v>
      </c>
      <c r="D154" s="144">
        <f>INDEX(Calculation!$A$4:$M$328,MATCH(Summary!$A154,Calculation!$A$4:$A$328,0),7)</f>
        <v>0.96099999999999997</v>
      </c>
      <c r="E154" s="144">
        <f t="shared" si="5"/>
        <v>2.1349999999999998</v>
      </c>
      <c r="F154" s="120"/>
      <c r="G154" s="121">
        <f>INDEX(Calculation!$A$4:$M$328,MATCH(Summary!$A154,Calculation!$A$4:$A$328,0),10)</f>
        <v>7703</v>
      </c>
      <c r="H154" s="121">
        <f t="shared" si="4"/>
        <v>16446</v>
      </c>
    </row>
    <row r="155" spans="1:8" x14ac:dyDescent="0.2">
      <c r="A155" s="118" t="str">
        <f>StartupfileInput!C154</f>
        <v>3375</v>
      </c>
      <c r="B155" s="119" t="str">
        <f>INDEX(Calculation!$A$4:$M$328,MATCH(Summary!$A155,Calculation!$A$4:$A$328,0),3)</f>
        <v>Knoxville</v>
      </c>
      <c r="C155" s="144">
        <f>INDEX(Calculation!$A$4:$M$328,MATCH(Summary!$A155,Calculation!$A$4:$A$328,0),6)</f>
        <v>6.2569999999999997</v>
      </c>
      <c r="D155" s="144">
        <f>INDEX(Calculation!$A$4:$M$328,MATCH(Summary!$A155,Calculation!$A$4:$A$328,0),7)</f>
        <v>3.593</v>
      </c>
      <c r="E155" s="144">
        <f t="shared" si="5"/>
        <v>9.85</v>
      </c>
      <c r="F155" s="120"/>
      <c r="G155" s="121">
        <f>INDEX(Calculation!$A$4:$M$328,MATCH(Summary!$A155,Calculation!$A$4:$A$328,0),10)</f>
        <v>7635</v>
      </c>
      <c r="H155" s="121">
        <f t="shared" si="4"/>
        <v>75205</v>
      </c>
    </row>
    <row r="156" spans="1:8" x14ac:dyDescent="0.2">
      <c r="A156" s="118" t="str">
        <f>StartupfileInput!C155</f>
        <v>3420</v>
      </c>
      <c r="B156" s="119" t="str">
        <f>INDEX(Calculation!$A$4:$M$328,MATCH(Summary!$A156,Calculation!$A$4:$A$328,0),3)</f>
        <v>Lake Mills</v>
      </c>
      <c r="C156" s="144">
        <f>INDEX(Calculation!$A$4:$M$328,MATCH(Summary!$A156,Calculation!$A$4:$A$328,0),6)</f>
        <v>1.139</v>
      </c>
      <c r="D156" s="144">
        <f>INDEX(Calculation!$A$4:$M$328,MATCH(Summary!$A156,Calculation!$A$4:$A$328,0),7)</f>
        <v>1.153</v>
      </c>
      <c r="E156" s="144">
        <f t="shared" si="5"/>
        <v>2.2919999999999998</v>
      </c>
      <c r="F156" s="120"/>
      <c r="G156" s="121">
        <f>INDEX(Calculation!$A$4:$M$328,MATCH(Summary!$A156,Calculation!$A$4:$A$328,0),10)</f>
        <v>7635</v>
      </c>
      <c r="H156" s="121">
        <f t="shared" si="4"/>
        <v>17499</v>
      </c>
    </row>
    <row r="157" spans="1:8" x14ac:dyDescent="0.2">
      <c r="A157" s="118" t="str">
        <f>StartupfileInput!C156</f>
        <v>3465</v>
      </c>
      <c r="B157" s="119" t="str">
        <f>INDEX(Calculation!$A$4:$M$328,MATCH(Summary!$A157,Calculation!$A$4:$A$328,0),3)</f>
        <v>Lamoni</v>
      </c>
      <c r="C157" s="144">
        <f>INDEX(Calculation!$A$4:$M$328,MATCH(Summary!$A157,Calculation!$A$4:$A$328,0),6)</f>
        <v>1.3859999999999999</v>
      </c>
      <c r="D157" s="144">
        <f>INDEX(Calculation!$A$4:$M$328,MATCH(Summary!$A157,Calculation!$A$4:$A$328,0),7)</f>
        <v>0.68700000000000006</v>
      </c>
      <c r="E157" s="144">
        <f t="shared" si="5"/>
        <v>2.073</v>
      </c>
      <c r="F157" s="120"/>
      <c r="G157" s="121">
        <f>INDEX(Calculation!$A$4:$M$328,MATCH(Summary!$A157,Calculation!$A$4:$A$328,0),10)</f>
        <v>7635</v>
      </c>
      <c r="H157" s="121">
        <f t="shared" si="4"/>
        <v>15827</v>
      </c>
    </row>
    <row r="158" spans="1:8" x14ac:dyDescent="0.2">
      <c r="A158" s="118" t="str">
        <f>StartupfileInput!C157</f>
        <v>3537</v>
      </c>
      <c r="B158" s="119" t="str">
        <f>INDEX(Calculation!$A$4:$M$328,MATCH(Summary!$A158,Calculation!$A$4:$A$328,0),3)</f>
        <v>Laurens-Marathon</v>
      </c>
      <c r="C158" s="144">
        <f>INDEX(Calculation!$A$4:$M$328,MATCH(Summary!$A158,Calculation!$A$4:$A$328,0),6)</f>
        <v>1.254</v>
      </c>
      <c r="D158" s="144">
        <f>INDEX(Calculation!$A$4:$M$328,MATCH(Summary!$A158,Calculation!$A$4:$A$328,0),7)</f>
        <v>0.61099999999999999</v>
      </c>
      <c r="E158" s="144">
        <f t="shared" si="5"/>
        <v>1.865</v>
      </c>
      <c r="F158" s="120"/>
      <c r="G158" s="121">
        <f>INDEX(Calculation!$A$4:$M$328,MATCH(Summary!$A158,Calculation!$A$4:$A$328,0),10)</f>
        <v>7635</v>
      </c>
      <c r="H158" s="121">
        <f t="shared" si="4"/>
        <v>14239</v>
      </c>
    </row>
    <row r="159" spans="1:8" x14ac:dyDescent="0.2">
      <c r="A159" s="118" t="str">
        <f>StartupfileInput!C158</f>
        <v>3555</v>
      </c>
      <c r="B159" s="119" t="str">
        <f>INDEX(Calculation!$A$4:$M$328,MATCH(Summary!$A159,Calculation!$A$4:$A$328,0),3)</f>
        <v>Lawton-Bronson</v>
      </c>
      <c r="C159" s="144">
        <f>INDEX(Calculation!$A$4:$M$328,MATCH(Summary!$A159,Calculation!$A$4:$A$328,0),6)</f>
        <v>0.89</v>
      </c>
      <c r="D159" s="144">
        <f>INDEX(Calculation!$A$4:$M$328,MATCH(Summary!$A159,Calculation!$A$4:$A$328,0),7)</f>
        <v>1.2470000000000001</v>
      </c>
      <c r="E159" s="144">
        <f t="shared" si="5"/>
        <v>2.137</v>
      </c>
      <c r="F159" s="120"/>
      <c r="G159" s="121">
        <f>INDEX(Calculation!$A$4:$M$328,MATCH(Summary!$A159,Calculation!$A$4:$A$328,0),10)</f>
        <v>7635</v>
      </c>
      <c r="H159" s="121">
        <f t="shared" si="4"/>
        <v>16316</v>
      </c>
    </row>
    <row r="160" spans="1:8" x14ac:dyDescent="0.2">
      <c r="A160" s="118" t="str">
        <f>StartupfileInput!C159</f>
        <v>3600</v>
      </c>
      <c r="B160" s="119" t="str">
        <f>INDEX(Calculation!$A$4:$M$328,MATCH(Summary!$A160,Calculation!$A$4:$A$328,0),3)</f>
        <v>Le Mars</v>
      </c>
      <c r="C160" s="144">
        <f>INDEX(Calculation!$A$4:$M$328,MATCH(Summary!$A160,Calculation!$A$4:$A$328,0),6)</f>
        <v>6.1310000000000002</v>
      </c>
      <c r="D160" s="144">
        <f>INDEX(Calculation!$A$4:$M$328,MATCH(Summary!$A160,Calculation!$A$4:$A$328,0),7)</f>
        <v>4.5599999999999996</v>
      </c>
      <c r="E160" s="144">
        <f t="shared" si="5"/>
        <v>10.690999999999999</v>
      </c>
      <c r="F160" s="120"/>
      <c r="G160" s="121">
        <f>INDEX(Calculation!$A$4:$M$328,MATCH(Summary!$A160,Calculation!$A$4:$A$328,0),10)</f>
        <v>7635</v>
      </c>
      <c r="H160" s="121">
        <f t="shared" si="4"/>
        <v>81626</v>
      </c>
    </row>
    <row r="161" spans="1:8" x14ac:dyDescent="0.2">
      <c r="A161" s="118" t="str">
        <f>StartupfileInput!C160</f>
        <v>3609</v>
      </c>
      <c r="B161" s="119" t="str">
        <f>INDEX(Calculation!$A$4:$M$328,MATCH(Summary!$A161,Calculation!$A$4:$A$328,0),3)</f>
        <v>Lenox</v>
      </c>
      <c r="C161" s="144">
        <f>INDEX(Calculation!$A$4:$M$328,MATCH(Summary!$A161,Calculation!$A$4:$A$328,0),6)</f>
        <v>1.6819999999999999</v>
      </c>
      <c r="D161" s="144">
        <f>INDEX(Calculation!$A$4:$M$328,MATCH(Summary!$A161,Calculation!$A$4:$A$328,0),7)</f>
        <v>0.91900000000000004</v>
      </c>
      <c r="E161" s="144">
        <f t="shared" si="5"/>
        <v>2.601</v>
      </c>
      <c r="F161" s="120"/>
      <c r="G161" s="121">
        <f>INDEX(Calculation!$A$4:$M$328,MATCH(Summary!$A161,Calculation!$A$4:$A$328,0),10)</f>
        <v>7635</v>
      </c>
      <c r="H161" s="121">
        <f t="shared" si="4"/>
        <v>19859</v>
      </c>
    </row>
    <row r="162" spans="1:8" x14ac:dyDescent="0.2">
      <c r="A162" s="118" t="str">
        <f>StartupfileInput!C161</f>
        <v>3645</v>
      </c>
      <c r="B162" s="119" t="str">
        <f>INDEX(Calculation!$A$4:$M$328,MATCH(Summary!$A162,Calculation!$A$4:$A$328,0),3)</f>
        <v>Lewis Central</v>
      </c>
      <c r="C162" s="144">
        <f>INDEX(Calculation!$A$4:$M$328,MATCH(Summary!$A162,Calculation!$A$4:$A$328,0),6)</f>
        <v>6.8719999999999999</v>
      </c>
      <c r="D162" s="144">
        <f>INDEX(Calculation!$A$4:$M$328,MATCH(Summary!$A162,Calculation!$A$4:$A$328,0),7)</f>
        <v>5.4169999999999998</v>
      </c>
      <c r="E162" s="144">
        <f t="shared" si="5"/>
        <v>12.289</v>
      </c>
      <c r="F162" s="120"/>
      <c r="G162" s="121">
        <f>INDEX(Calculation!$A$4:$M$328,MATCH(Summary!$A162,Calculation!$A$4:$A$328,0),10)</f>
        <v>7635</v>
      </c>
      <c r="H162" s="121">
        <f t="shared" si="4"/>
        <v>93827</v>
      </c>
    </row>
    <row r="163" spans="1:8" x14ac:dyDescent="0.2">
      <c r="A163" s="118" t="str">
        <f>StartupfileInput!C162</f>
        <v>3715</v>
      </c>
      <c r="B163" s="119" t="str">
        <f>INDEX(Calculation!$A$4:$M$328,MATCH(Summary!$A163,Calculation!$A$4:$A$328,0),3)</f>
        <v>Linn-Mar</v>
      </c>
      <c r="C163" s="144">
        <f>INDEX(Calculation!$A$4:$M$328,MATCH(Summary!$A163,Calculation!$A$4:$A$328,0),6)</f>
        <v>12.143000000000001</v>
      </c>
      <c r="D163" s="144">
        <f>INDEX(Calculation!$A$4:$M$328,MATCH(Summary!$A163,Calculation!$A$4:$A$328,0),7)</f>
        <v>15.678000000000001</v>
      </c>
      <c r="E163" s="144">
        <f t="shared" si="5"/>
        <v>27.821000000000002</v>
      </c>
      <c r="F163" s="120"/>
      <c r="G163" s="121">
        <f>INDEX(Calculation!$A$4:$M$328,MATCH(Summary!$A163,Calculation!$A$4:$A$328,0),10)</f>
        <v>7635</v>
      </c>
      <c r="H163" s="121">
        <f t="shared" si="4"/>
        <v>212413</v>
      </c>
    </row>
    <row r="164" spans="1:8" x14ac:dyDescent="0.2">
      <c r="A164" s="118" t="str">
        <f>StartupfileInput!C163</f>
        <v>3744</v>
      </c>
      <c r="B164" s="119" t="str">
        <f>INDEX(Calculation!$A$4:$M$328,MATCH(Summary!$A164,Calculation!$A$4:$A$328,0),3)</f>
        <v>Lisbon</v>
      </c>
      <c r="C164" s="144">
        <f>INDEX(Calculation!$A$4:$M$328,MATCH(Summary!$A164,Calculation!$A$4:$A$328,0),6)</f>
        <v>1.04</v>
      </c>
      <c r="D164" s="144">
        <f>INDEX(Calculation!$A$4:$M$328,MATCH(Summary!$A164,Calculation!$A$4:$A$328,0),7)</f>
        <v>1.369</v>
      </c>
      <c r="E164" s="144">
        <f t="shared" si="5"/>
        <v>2.4089999999999998</v>
      </c>
      <c r="F164" s="120"/>
      <c r="G164" s="121">
        <f>INDEX(Calculation!$A$4:$M$328,MATCH(Summary!$A164,Calculation!$A$4:$A$328,0),10)</f>
        <v>7635</v>
      </c>
      <c r="H164" s="121">
        <f t="shared" si="4"/>
        <v>18393</v>
      </c>
    </row>
    <row r="165" spans="1:8" x14ac:dyDescent="0.2">
      <c r="A165" s="118" t="str">
        <f>StartupfileInput!C164</f>
        <v>3798</v>
      </c>
      <c r="B165" s="119" t="str">
        <f>INDEX(Calculation!$A$4:$M$328,MATCH(Summary!$A165,Calculation!$A$4:$A$328,0),3)</f>
        <v>Logan-Magnolia</v>
      </c>
      <c r="C165" s="144">
        <f>INDEX(Calculation!$A$4:$M$328,MATCH(Summary!$A165,Calculation!$A$4:$A$328,0),6)</f>
        <v>1.373</v>
      </c>
      <c r="D165" s="144">
        <f>INDEX(Calculation!$A$4:$M$328,MATCH(Summary!$A165,Calculation!$A$4:$A$328,0),7)</f>
        <v>1.23</v>
      </c>
      <c r="E165" s="144">
        <f t="shared" si="5"/>
        <v>2.6029999999999998</v>
      </c>
      <c r="F165" s="120"/>
      <c r="G165" s="121">
        <f>INDEX(Calculation!$A$4:$M$328,MATCH(Summary!$A165,Calculation!$A$4:$A$328,0),10)</f>
        <v>7635</v>
      </c>
      <c r="H165" s="121">
        <f t="shared" si="4"/>
        <v>19874</v>
      </c>
    </row>
    <row r="166" spans="1:8" x14ac:dyDescent="0.2">
      <c r="A166" s="118" t="str">
        <f>StartupfileInput!C165</f>
        <v>3816</v>
      </c>
      <c r="B166" s="119" t="str">
        <f>INDEX(Calculation!$A$4:$M$328,MATCH(Summary!$A166,Calculation!$A$4:$A$328,0),3)</f>
        <v>Lone Tree</v>
      </c>
      <c r="C166" s="144">
        <f>INDEX(Calculation!$A$4:$M$328,MATCH(Summary!$A166,Calculation!$A$4:$A$328,0),6)</f>
        <v>0.61699999999999999</v>
      </c>
      <c r="D166" s="144">
        <f>INDEX(Calculation!$A$4:$M$328,MATCH(Summary!$A166,Calculation!$A$4:$A$328,0),7)</f>
        <v>0.64600000000000002</v>
      </c>
      <c r="E166" s="144">
        <f t="shared" si="5"/>
        <v>1.2629999999999999</v>
      </c>
      <c r="F166" s="120"/>
      <c r="G166" s="121">
        <f>INDEX(Calculation!$A$4:$M$328,MATCH(Summary!$A166,Calculation!$A$4:$A$328,0),10)</f>
        <v>7635</v>
      </c>
      <c r="H166" s="121">
        <f t="shared" si="4"/>
        <v>9643</v>
      </c>
    </row>
    <row r="167" spans="1:8" x14ac:dyDescent="0.2">
      <c r="A167" s="118" t="str">
        <f>StartupfileInput!C166</f>
        <v>3841</v>
      </c>
      <c r="B167" s="119" t="str">
        <f>INDEX(Calculation!$A$4:$M$328,MATCH(Summary!$A167,Calculation!$A$4:$A$328,0),3)</f>
        <v>Louisa-Muscatine</v>
      </c>
      <c r="C167" s="144">
        <f>INDEX(Calculation!$A$4:$M$328,MATCH(Summary!$A167,Calculation!$A$4:$A$328,0),6)</f>
        <v>1.5409999999999999</v>
      </c>
      <c r="D167" s="144">
        <f>INDEX(Calculation!$A$4:$M$328,MATCH(Summary!$A167,Calculation!$A$4:$A$328,0),7)</f>
        <v>1.4019999999999999</v>
      </c>
      <c r="E167" s="144">
        <f t="shared" si="5"/>
        <v>2.9429999999999996</v>
      </c>
      <c r="F167" s="120"/>
      <c r="G167" s="121">
        <f>INDEX(Calculation!$A$4:$M$328,MATCH(Summary!$A167,Calculation!$A$4:$A$328,0),10)</f>
        <v>7635</v>
      </c>
      <c r="H167" s="121">
        <f t="shared" si="4"/>
        <v>22470</v>
      </c>
    </row>
    <row r="168" spans="1:8" x14ac:dyDescent="0.2">
      <c r="A168" s="118" t="str">
        <f>StartupfileInput!C167</f>
        <v>3906</v>
      </c>
      <c r="B168" s="119" t="str">
        <f>INDEX(Calculation!$A$4:$M$328,MATCH(Summary!$A168,Calculation!$A$4:$A$328,0),3)</f>
        <v>Lynnville-Sully</v>
      </c>
      <c r="C168" s="144">
        <f>INDEX(Calculation!$A$4:$M$328,MATCH(Summary!$A168,Calculation!$A$4:$A$328,0),6)</f>
        <v>0.68600000000000005</v>
      </c>
      <c r="D168" s="144">
        <f>INDEX(Calculation!$A$4:$M$328,MATCH(Summary!$A168,Calculation!$A$4:$A$328,0),7)</f>
        <v>0.91800000000000004</v>
      </c>
      <c r="E168" s="144">
        <f t="shared" si="5"/>
        <v>1.6040000000000001</v>
      </c>
      <c r="F168" s="120"/>
      <c r="G168" s="121">
        <f>INDEX(Calculation!$A$4:$M$328,MATCH(Summary!$A168,Calculation!$A$4:$A$328,0),10)</f>
        <v>7635</v>
      </c>
      <c r="H168" s="121">
        <f t="shared" si="4"/>
        <v>12247</v>
      </c>
    </row>
    <row r="169" spans="1:8" x14ac:dyDescent="0.2">
      <c r="A169" s="118" t="str">
        <f>StartupfileInput!C168</f>
        <v>4419</v>
      </c>
      <c r="B169" s="119" t="str">
        <f>INDEX(Calculation!$A$4:$M$328,MATCH(Summary!$A169,Calculation!$A$4:$A$328,0),3)</f>
        <v>MFL Mar Mac</v>
      </c>
      <c r="C169" s="144">
        <f>INDEX(Calculation!$A$4:$M$328,MATCH(Summary!$A169,Calculation!$A$4:$A$328,0),6)</f>
        <v>1.881</v>
      </c>
      <c r="D169" s="144">
        <f>INDEX(Calculation!$A$4:$M$328,MATCH(Summary!$A169,Calculation!$A$4:$A$328,0),7)</f>
        <v>1.645</v>
      </c>
      <c r="E169" s="144">
        <f t="shared" si="5"/>
        <v>3.5259999999999998</v>
      </c>
      <c r="F169" s="120"/>
      <c r="G169" s="121">
        <f>INDEX(Calculation!$A$4:$M$328,MATCH(Summary!$A169,Calculation!$A$4:$A$328,0),10)</f>
        <v>7637</v>
      </c>
      <c r="H169" s="121">
        <f t="shared" si="4"/>
        <v>26928</v>
      </c>
    </row>
    <row r="170" spans="1:8" x14ac:dyDescent="0.2">
      <c r="A170" s="118" t="str">
        <f>StartupfileInput!C169</f>
        <v>3942</v>
      </c>
      <c r="B170" s="119" t="str">
        <f>INDEX(Calculation!$A$4:$M$328,MATCH(Summary!$A170,Calculation!$A$4:$A$328,0),3)</f>
        <v>Madrid</v>
      </c>
      <c r="C170" s="144">
        <f>INDEX(Calculation!$A$4:$M$328,MATCH(Summary!$A170,Calculation!$A$4:$A$328,0),6)</f>
        <v>1.1519999999999999</v>
      </c>
      <c r="D170" s="144">
        <f>INDEX(Calculation!$A$4:$M$328,MATCH(Summary!$A170,Calculation!$A$4:$A$328,0),7)</f>
        <v>1.367</v>
      </c>
      <c r="E170" s="144">
        <f t="shared" si="5"/>
        <v>2.5190000000000001</v>
      </c>
      <c r="F170" s="120"/>
      <c r="G170" s="121">
        <f>INDEX(Calculation!$A$4:$M$328,MATCH(Summary!$A170,Calculation!$A$4:$A$328,0),10)</f>
        <v>7635</v>
      </c>
      <c r="H170" s="121">
        <f t="shared" si="4"/>
        <v>19233</v>
      </c>
    </row>
    <row r="171" spans="1:8" x14ac:dyDescent="0.2">
      <c r="A171" s="118" t="str">
        <f>StartupfileInput!C170</f>
        <v>4023</v>
      </c>
      <c r="B171" s="119" t="str">
        <f>INDEX(Calculation!$A$4:$M$328,MATCH(Summary!$A171,Calculation!$A$4:$A$328,0),3)</f>
        <v>Manson-Northwest Webster</v>
      </c>
      <c r="C171" s="144">
        <f>INDEX(Calculation!$A$4:$M$328,MATCH(Summary!$A171,Calculation!$A$4:$A$328,0),6)</f>
        <v>1.1259999999999999</v>
      </c>
      <c r="D171" s="144">
        <f>INDEX(Calculation!$A$4:$M$328,MATCH(Summary!$A171,Calculation!$A$4:$A$328,0),7)</f>
        <v>1.337</v>
      </c>
      <c r="E171" s="144">
        <f t="shared" si="5"/>
        <v>2.4630000000000001</v>
      </c>
      <c r="F171" s="120"/>
      <c r="G171" s="121">
        <f>INDEX(Calculation!$A$4:$M$328,MATCH(Summary!$A171,Calculation!$A$4:$A$328,0),10)</f>
        <v>7660</v>
      </c>
      <c r="H171" s="121">
        <f t="shared" si="4"/>
        <v>18867</v>
      </c>
    </row>
    <row r="172" spans="1:8" x14ac:dyDescent="0.2">
      <c r="A172" s="118" t="str">
        <f>StartupfileInput!C171</f>
        <v>4033</v>
      </c>
      <c r="B172" s="119" t="str">
        <f>INDEX(Calculation!$A$4:$M$328,MATCH(Summary!$A172,Calculation!$A$4:$A$328,0),3)</f>
        <v>Maple Valley-Anthon Oto</v>
      </c>
      <c r="C172" s="144">
        <f>INDEX(Calculation!$A$4:$M$328,MATCH(Summary!$A172,Calculation!$A$4:$A$328,0),6)</f>
        <v>2.1890000000000001</v>
      </c>
      <c r="D172" s="144">
        <f>INDEX(Calculation!$A$4:$M$328,MATCH(Summary!$A172,Calculation!$A$4:$A$328,0),7)</f>
        <v>1.2110000000000001</v>
      </c>
      <c r="E172" s="144">
        <f t="shared" si="5"/>
        <v>3.4000000000000004</v>
      </c>
      <c r="F172" s="120"/>
      <c r="G172" s="121">
        <f>INDEX(Calculation!$A$4:$M$328,MATCH(Summary!$A172,Calculation!$A$4:$A$328,0),10)</f>
        <v>7707</v>
      </c>
      <c r="H172" s="121">
        <f t="shared" si="4"/>
        <v>26204</v>
      </c>
    </row>
    <row r="173" spans="1:8" x14ac:dyDescent="0.2">
      <c r="A173" s="118" t="str">
        <f>StartupfileInput!C172</f>
        <v>4041</v>
      </c>
      <c r="B173" s="119" t="str">
        <f>INDEX(Calculation!$A$4:$M$328,MATCH(Summary!$A173,Calculation!$A$4:$A$328,0),3)</f>
        <v>Maquoketa</v>
      </c>
      <c r="C173" s="144">
        <f>INDEX(Calculation!$A$4:$M$328,MATCH(Summary!$A173,Calculation!$A$4:$A$328,0),6)</f>
        <v>4.5830000000000002</v>
      </c>
      <c r="D173" s="144">
        <f>INDEX(Calculation!$A$4:$M$328,MATCH(Summary!$A173,Calculation!$A$4:$A$328,0),7)</f>
        <v>2.448</v>
      </c>
      <c r="E173" s="144">
        <f t="shared" si="5"/>
        <v>7.0310000000000006</v>
      </c>
      <c r="F173" s="120"/>
      <c r="G173" s="121">
        <f>INDEX(Calculation!$A$4:$M$328,MATCH(Summary!$A173,Calculation!$A$4:$A$328,0),10)</f>
        <v>7635</v>
      </c>
      <c r="H173" s="121">
        <f t="shared" si="4"/>
        <v>53682</v>
      </c>
    </row>
    <row r="174" spans="1:8" x14ac:dyDescent="0.2">
      <c r="A174" s="118" t="str">
        <f>StartupfileInput!C173</f>
        <v>4043</v>
      </c>
      <c r="B174" s="119" t="str">
        <f>INDEX(Calculation!$A$4:$M$328,MATCH(Summary!$A174,Calculation!$A$4:$A$328,0),3)</f>
        <v>Maquoketa Valley</v>
      </c>
      <c r="C174" s="144">
        <f>INDEX(Calculation!$A$4:$M$328,MATCH(Summary!$A174,Calculation!$A$4:$A$328,0),6)</f>
        <v>1.1459999999999999</v>
      </c>
      <c r="D174" s="144">
        <f>INDEX(Calculation!$A$4:$M$328,MATCH(Summary!$A174,Calculation!$A$4:$A$328,0),7)</f>
        <v>1.353</v>
      </c>
      <c r="E174" s="144">
        <f t="shared" si="5"/>
        <v>2.4989999999999997</v>
      </c>
      <c r="F174" s="120"/>
      <c r="G174" s="121">
        <f>INDEX(Calculation!$A$4:$M$328,MATCH(Summary!$A174,Calculation!$A$4:$A$328,0),10)</f>
        <v>7635</v>
      </c>
      <c r="H174" s="121">
        <f t="shared" si="4"/>
        <v>19080</v>
      </c>
    </row>
    <row r="175" spans="1:8" x14ac:dyDescent="0.2">
      <c r="A175" s="118" t="str">
        <f>StartupfileInput!C174</f>
        <v>4068</v>
      </c>
      <c r="B175" s="119" t="str">
        <f>INDEX(Calculation!$A$4:$M$328,MATCH(Summary!$A175,Calculation!$A$4:$A$328,0),3)</f>
        <v>Marcus-Meriden Cleghorn</v>
      </c>
      <c r="C175" s="144">
        <f>INDEX(Calculation!$A$4:$M$328,MATCH(Summary!$A175,Calculation!$A$4:$A$328,0),6)</f>
        <v>0.82399999999999995</v>
      </c>
      <c r="D175" s="144">
        <f>INDEX(Calculation!$A$4:$M$328,MATCH(Summary!$A175,Calculation!$A$4:$A$328,0),7)</f>
        <v>0.94899999999999995</v>
      </c>
      <c r="E175" s="144">
        <f t="shared" si="5"/>
        <v>1.7729999999999999</v>
      </c>
      <c r="F175" s="120"/>
      <c r="G175" s="121">
        <f>INDEX(Calculation!$A$4:$M$328,MATCH(Summary!$A175,Calculation!$A$4:$A$328,0),10)</f>
        <v>7635</v>
      </c>
      <c r="H175" s="121">
        <f t="shared" si="4"/>
        <v>13537</v>
      </c>
    </row>
    <row r="176" spans="1:8" x14ac:dyDescent="0.2">
      <c r="A176" s="118" t="str">
        <f>StartupfileInput!C175</f>
        <v>4086</v>
      </c>
      <c r="B176" s="119" t="str">
        <f>INDEX(Calculation!$A$4:$M$328,MATCH(Summary!$A176,Calculation!$A$4:$A$328,0),3)</f>
        <v>Marion</v>
      </c>
      <c r="C176" s="144">
        <f>INDEX(Calculation!$A$4:$M$328,MATCH(Summary!$A176,Calculation!$A$4:$A$328,0),6)</f>
        <v>5.2480000000000002</v>
      </c>
      <c r="D176" s="144">
        <f>INDEX(Calculation!$A$4:$M$328,MATCH(Summary!$A176,Calculation!$A$4:$A$328,0),7)</f>
        <v>3.6669999999999998</v>
      </c>
      <c r="E176" s="144">
        <f t="shared" si="5"/>
        <v>8.9149999999999991</v>
      </c>
      <c r="F176" s="120"/>
      <c r="G176" s="121">
        <f>INDEX(Calculation!$A$4:$M$328,MATCH(Summary!$A176,Calculation!$A$4:$A$328,0),10)</f>
        <v>7702</v>
      </c>
      <c r="H176" s="121">
        <f t="shared" si="4"/>
        <v>68663</v>
      </c>
    </row>
    <row r="177" spans="1:8" x14ac:dyDescent="0.2">
      <c r="A177" s="118" t="str">
        <f>StartupfileInput!C176</f>
        <v>4104</v>
      </c>
      <c r="B177" s="119" t="str">
        <f>INDEX(Calculation!$A$4:$M$328,MATCH(Summary!$A177,Calculation!$A$4:$A$328,0),3)</f>
        <v>Marshalltown</v>
      </c>
      <c r="C177" s="144">
        <f>INDEX(Calculation!$A$4:$M$328,MATCH(Summary!$A177,Calculation!$A$4:$A$328,0),6)</f>
        <v>27.582000000000001</v>
      </c>
      <c r="D177" s="144">
        <f>INDEX(Calculation!$A$4:$M$328,MATCH(Summary!$A177,Calculation!$A$4:$A$328,0),7)</f>
        <v>10.965</v>
      </c>
      <c r="E177" s="144">
        <f t="shared" si="5"/>
        <v>38.546999999999997</v>
      </c>
      <c r="F177" s="120"/>
      <c r="G177" s="121">
        <f>INDEX(Calculation!$A$4:$M$328,MATCH(Summary!$A177,Calculation!$A$4:$A$328,0),10)</f>
        <v>7641</v>
      </c>
      <c r="H177" s="121">
        <f t="shared" si="4"/>
        <v>294538</v>
      </c>
    </row>
    <row r="178" spans="1:8" x14ac:dyDescent="0.2">
      <c r="A178" s="118" t="str">
        <f>StartupfileInput!C177</f>
        <v>4122</v>
      </c>
      <c r="B178" s="119" t="str">
        <f>INDEX(Calculation!$A$4:$M$328,MATCH(Summary!$A178,Calculation!$A$4:$A$328,0),3)</f>
        <v>Martensdale-St Marys</v>
      </c>
      <c r="C178" s="144">
        <f>INDEX(Calculation!$A$4:$M$328,MATCH(Summary!$A178,Calculation!$A$4:$A$328,0),6)</f>
        <v>0.56699999999999995</v>
      </c>
      <c r="D178" s="144">
        <f>INDEX(Calculation!$A$4:$M$328,MATCH(Summary!$A178,Calculation!$A$4:$A$328,0),7)</f>
        <v>1.0429999999999999</v>
      </c>
      <c r="E178" s="144">
        <f t="shared" si="5"/>
        <v>1.6099999999999999</v>
      </c>
      <c r="F178" s="120"/>
      <c r="G178" s="121">
        <f>INDEX(Calculation!$A$4:$M$328,MATCH(Summary!$A178,Calculation!$A$4:$A$328,0),10)</f>
        <v>7635</v>
      </c>
      <c r="H178" s="121">
        <f t="shared" si="4"/>
        <v>12292</v>
      </c>
    </row>
    <row r="179" spans="1:8" x14ac:dyDescent="0.2">
      <c r="A179" s="118" t="str">
        <f>StartupfileInput!C178</f>
        <v>4131</v>
      </c>
      <c r="B179" s="119" t="str">
        <f>INDEX(Calculation!$A$4:$M$328,MATCH(Summary!$A179,Calculation!$A$4:$A$328,0),3)</f>
        <v>Mason City</v>
      </c>
      <c r="C179" s="144">
        <f>INDEX(Calculation!$A$4:$M$328,MATCH(Summary!$A179,Calculation!$A$4:$A$328,0),6)</f>
        <v>13.467000000000001</v>
      </c>
      <c r="D179" s="144">
        <f>INDEX(Calculation!$A$4:$M$328,MATCH(Summary!$A179,Calculation!$A$4:$A$328,0),7)</f>
        <v>6.9450000000000003</v>
      </c>
      <c r="E179" s="144">
        <f t="shared" si="5"/>
        <v>20.411999999999999</v>
      </c>
      <c r="F179" s="120"/>
      <c r="G179" s="121">
        <f>INDEX(Calculation!$A$4:$M$328,MATCH(Summary!$A179,Calculation!$A$4:$A$328,0),10)</f>
        <v>7672</v>
      </c>
      <c r="H179" s="121">
        <f t="shared" si="4"/>
        <v>156601</v>
      </c>
    </row>
    <row r="180" spans="1:8" x14ac:dyDescent="0.2">
      <c r="A180" s="118" t="str">
        <f>StartupfileInput!C179</f>
        <v>4203</v>
      </c>
      <c r="B180" s="119" t="str">
        <f>INDEX(Calculation!$A$4:$M$328,MATCH(Summary!$A180,Calculation!$A$4:$A$328,0),3)</f>
        <v>Mediapolis</v>
      </c>
      <c r="C180" s="144">
        <f>INDEX(Calculation!$A$4:$M$328,MATCH(Summary!$A180,Calculation!$A$4:$A$328,0),6)</f>
        <v>1.877</v>
      </c>
      <c r="D180" s="144">
        <f>INDEX(Calculation!$A$4:$M$328,MATCH(Summary!$A180,Calculation!$A$4:$A$328,0),7)</f>
        <v>1.786</v>
      </c>
      <c r="E180" s="144">
        <f t="shared" si="5"/>
        <v>3.6630000000000003</v>
      </c>
      <c r="F180" s="120"/>
      <c r="G180" s="121">
        <f>INDEX(Calculation!$A$4:$M$328,MATCH(Summary!$A180,Calculation!$A$4:$A$328,0),10)</f>
        <v>7635</v>
      </c>
      <c r="H180" s="121">
        <f t="shared" si="4"/>
        <v>27967</v>
      </c>
    </row>
    <row r="181" spans="1:8" x14ac:dyDescent="0.2">
      <c r="A181" s="118" t="str">
        <f>StartupfileInput!C180</f>
        <v>4212</v>
      </c>
      <c r="B181" s="119" t="str">
        <f>INDEX(Calculation!$A$4:$M$328,MATCH(Summary!$A181,Calculation!$A$4:$A$328,0),3)</f>
        <v>Melcher-Dallas</v>
      </c>
      <c r="C181" s="144">
        <f>INDEX(Calculation!$A$4:$M$328,MATCH(Summary!$A181,Calculation!$A$4:$A$328,0),6)</f>
        <v>0.63900000000000001</v>
      </c>
      <c r="D181" s="144">
        <f>INDEX(Calculation!$A$4:$M$328,MATCH(Summary!$A181,Calculation!$A$4:$A$328,0),7)</f>
        <v>0.628</v>
      </c>
      <c r="E181" s="144">
        <f t="shared" si="5"/>
        <v>1.2669999999999999</v>
      </c>
      <c r="F181" s="120"/>
      <c r="G181" s="121">
        <f>INDEX(Calculation!$A$4:$M$328,MATCH(Summary!$A181,Calculation!$A$4:$A$328,0),10)</f>
        <v>7635</v>
      </c>
      <c r="H181" s="121">
        <f t="shared" si="4"/>
        <v>9674</v>
      </c>
    </row>
    <row r="182" spans="1:8" x14ac:dyDescent="0.2">
      <c r="A182" s="118" t="str">
        <f>StartupfileInput!C181</f>
        <v>4271</v>
      </c>
      <c r="B182" s="119" t="str">
        <f>INDEX(Calculation!$A$4:$M$328,MATCH(Summary!$A182,Calculation!$A$4:$A$328,0),3)</f>
        <v>Mid-Prairie</v>
      </c>
      <c r="C182" s="144">
        <f>INDEX(Calculation!$A$4:$M$328,MATCH(Summary!$A182,Calculation!$A$4:$A$328,0),6)</f>
        <v>2.09</v>
      </c>
      <c r="D182" s="144">
        <f>INDEX(Calculation!$A$4:$M$328,MATCH(Summary!$A182,Calculation!$A$4:$A$328,0),7)</f>
        <v>2.5049999999999999</v>
      </c>
      <c r="E182" s="144">
        <f t="shared" si="5"/>
        <v>4.5949999999999998</v>
      </c>
      <c r="F182" s="120"/>
      <c r="G182" s="121">
        <f>INDEX(Calculation!$A$4:$M$328,MATCH(Summary!$A182,Calculation!$A$4:$A$328,0),10)</f>
        <v>7635</v>
      </c>
      <c r="H182" s="121">
        <f t="shared" si="4"/>
        <v>35083</v>
      </c>
    </row>
    <row r="183" spans="1:8" x14ac:dyDescent="0.2">
      <c r="A183" s="118" t="str">
        <f>StartupfileInput!C182</f>
        <v>4269</v>
      </c>
      <c r="B183" s="119" t="str">
        <f>INDEX(Calculation!$A$4:$M$328,MATCH(Summary!$A183,Calculation!$A$4:$A$328,0),3)</f>
        <v>Midland</v>
      </c>
      <c r="C183" s="144">
        <f>INDEX(Calculation!$A$4:$M$328,MATCH(Summary!$A183,Calculation!$A$4:$A$328,0),6)</f>
        <v>1.7090000000000001</v>
      </c>
      <c r="D183" s="144">
        <f>INDEX(Calculation!$A$4:$M$328,MATCH(Summary!$A183,Calculation!$A$4:$A$328,0),7)</f>
        <v>1.024</v>
      </c>
      <c r="E183" s="144">
        <f t="shared" si="5"/>
        <v>2.7330000000000001</v>
      </c>
      <c r="F183" s="120"/>
      <c r="G183" s="121">
        <f>INDEX(Calculation!$A$4:$M$328,MATCH(Summary!$A183,Calculation!$A$4:$A$328,0),10)</f>
        <v>7689</v>
      </c>
      <c r="H183" s="121">
        <f t="shared" si="4"/>
        <v>21014</v>
      </c>
    </row>
    <row r="184" spans="1:8" x14ac:dyDescent="0.2">
      <c r="A184" s="118" t="str">
        <f>StartupfileInput!C183</f>
        <v>4356</v>
      </c>
      <c r="B184" s="119" t="str">
        <f>INDEX(Calculation!$A$4:$M$328,MATCH(Summary!$A184,Calculation!$A$4:$A$328,0),3)</f>
        <v>Missouri Valley</v>
      </c>
      <c r="C184" s="144">
        <f>INDEX(Calculation!$A$4:$M$328,MATCH(Summary!$A184,Calculation!$A$4:$A$328,0),6)</f>
        <v>2.1640000000000001</v>
      </c>
      <c r="D184" s="144">
        <f>INDEX(Calculation!$A$4:$M$328,MATCH(Summary!$A184,Calculation!$A$4:$A$328,0),7)</f>
        <v>1.556</v>
      </c>
      <c r="E184" s="144">
        <f t="shared" si="5"/>
        <v>3.72</v>
      </c>
      <c r="F184" s="120"/>
      <c r="G184" s="121">
        <f>INDEX(Calculation!$A$4:$M$328,MATCH(Summary!$A184,Calculation!$A$4:$A$328,0),10)</f>
        <v>7635</v>
      </c>
      <c r="H184" s="121">
        <f t="shared" si="4"/>
        <v>28402</v>
      </c>
    </row>
    <row r="185" spans="1:8" x14ac:dyDescent="0.2">
      <c r="A185" s="118" t="str">
        <f>StartupfileInput!C184</f>
        <v>4149</v>
      </c>
      <c r="B185" s="119" t="str">
        <f>INDEX(Calculation!$A$4:$M$328,MATCH(Summary!$A185,Calculation!$A$4:$A$328,0),3)</f>
        <v>Moc-Floyd Valley</v>
      </c>
      <c r="C185" s="144">
        <f>INDEX(Calculation!$A$4:$M$328,MATCH(Summary!$A185,Calculation!$A$4:$A$328,0),6)</f>
        <v>2.7610000000000001</v>
      </c>
      <c r="D185" s="144">
        <f>INDEX(Calculation!$A$4:$M$328,MATCH(Summary!$A185,Calculation!$A$4:$A$328,0),7)</f>
        <v>3.093</v>
      </c>
      <c r="E185" s="144">
        <f t="shared" si="5"/>
        <v>5.8540000000000001</v>
      </c>
      <c r="F185" s="120"/>
      <c r="G185" s="121">
        <f>INDEX(Calculation!$A$4:$M$328,MATCH(Summary!$A185,Calculation!$A$4:$A$328,0),10)</f>
        <v>7640</v>
      </c>
      <c r="H185" s="121">
        <f t="shared" si="4"/>
        <v>44725</v>
      </c>
    </row>
    <row r="186" spans="1:8" x14ac:dyDescent="0.2">
      <c r="A186" s="118" t="str">
        <f>StartupfileInput!C185</f>
        <v>4437</v>
      </c>
      <c r="B186" s="119" t="str">
        <f>INDEX(Calculation!$A$4:$M$328,MATCH(Summary!$A186,Calculation!$A$4:$A$328,0),3)</f>
        <v>Montezuma</v>
      </c>
      <c r="C186" s="144">
        <f>INDEX(Calculation!$A$4:$M$328,MATCH(Summary!$A186,Calculation!$A$4:$A$328,0),6)</f>
        <v>0.999</v>
      </c>
      <c r="D186" s="144">
        <f>INDEX(Calculation!$A$4:$M$328,MATCH(Summary!$A186,Calculation!$A$4:$A$328,0),7)</f>
        <v>0.95699999999999996</v>
      </c>
      <c r="E186" s="144">
        <f t="shared" si="5"/>
        <v>1.956</v>
      </c>
      <c r="F186" s="120"/>
      <c r="G186" s="121">
        <f>INDEX(Calculation!$A$4:$M$328,MATCH(Summary!$A186,Calculation!$A$4:$A$328,0),10)</f>
        <v>7635</v>
      </c>
      <c r="H186" s="121">
        <f t="shared" si="4"/>
        <v>14934</v>
      </c>
    </row>
    <row r="187" spans="1:8" x14ac:dyDescent="0.2">
      <c r="A187" s="118" t="str">
        <f>StartupfileInput!C186</f>
        <v>4446</v>
      </c>
      <c r="B187" s="119" t="str">
        <f>INDEX(Calculation!$A$4:$M$328,MATCH(Summary!$A187,Calculation!$A$4:$A$328,0),3)</f>
        <v>Monticello</v>
      </c>
      <c r="C187" s="144">
        <f>INDEX(Calculation!$A$4:$M$328,MATCH(Summary!$A187,Calculation!$A$4:$A$328,0),6)</f>
        <v>2.3199999999999998</v>
      </c>
      <c r="D187" s="144">
        <f>INDEX(Calculation!$A$4:$M$328,MATCH(Summary!$A187,Calculation!$A$4:$A$328,0),7)</f>
        <v>1.9770000000000001</v>
      </c>
      <c r="E187" s="144">
        <f t="shared" si="5"/>
        <v>4.2969999999999997</v>
      </c>
      <c r="F187" s="120"/>
      <c r="G187" s="121">
        <f>INDEX(Calculation!$A$4:$M$328,MATCH(Summary!$A187,Calculation!$A$4:$A$328,0),10)</f>
        <v>7635</v>
      </c>
      <c r="H187" s="121">
        <f t="shared" si="4"/>
        <v>32808</v>
      </c>
    </row>
    <row r="188" spans="1:8" x14ac:dyDescent="0.2">
      <c r="A188" s="118" t="str">
        <f>StartupfileInput!C187</f>
        <v>4491</v>
      </c>
      <c r="B188" s="119" t="str">
        <f>INDEX(Calculation!$A$4:$M$328,MATCH(Summary!$A188,Calculation!$A$4:$A$328,0),3)</f>
        <v>Moravia</v>
      </c>
      <c r="C188" s="144">
        <f>INDEX(Calculation!$A$4:$M$328,MATCH(Summary!$A188,Calculation!$A$4:$A$328,0),6)</f>
        <v>1.2310000000000001</v>
      </c>
      <c r="D188" s="144">
        <f>INDEX(Calculation!$A$4:$M$328,MATCH(Summary!$A188,Calculation!$A$4:$A$328,0),7)</f>
        <v>0.70499999999999996</v>
      </c>
      <c r="E188" s="144">
        <f t="shared" si="5"/>
        <v>1.9359999999999999</v>
      </c>
      <c r="F188" s="120"/>
      <c r="G188" s="121">
        <f>INDEX(Calculation!$A$4:$M$328,MATCH(Summary!$A188,Calculation!$A$4:$A$328,0),10)</f>
        <v>7635</v>
      </c>
      <c r="H188" s="121">
        <f t="shared" si="4"/>
        <v>14781</v>
      </c>
    </row>
    <row r="189" spans="1:8" x14ac:dyDescent="0.2">
      <c r="A189" s="118" t="str">
        <f>StartupfileInput!C188</f>
        <v>4505</v>
      </c>
      <c r="B189" s="119" t="str">
        <f>INDEX(Calculation!$A$4:$M$328,MATCH(Summary!$A189,Calculation!$A$4:$A$328,0),3)</f>
        <v>Mormon Trail</v>
      </c>
      <c r="C189" s="144">
        <f>INDEX(Calculation!$A$4:$M$328,MATCH(Summary!$A189,Calculation!$A$4:$A$328,0),6)</f>
        <v>0.84899999999999998</v>
      </c>
      <c r="D189" s="144">
        <f>INDEX(Calculation!$A$4:$M$328,MATCH(Summary!$A189,Calculation!$A$4:$A$328,0),7)</f>
        <v>0.432</v>
      </c>
      <c r="E189" s="144">
        <f t="shared" si="5"/>
        <v>1.2809999999999999</v>
      </c>
      <c r="F189" s="120"/>
      <c r="G189" s="121">
        <f>INDEX(Calculation!$A$4:$M$328,MATCH(Summary!$A189,Calculation!$A$4:$A$328,0),10)</f>
        <v>7674</v>
      </c>
      <c r="H189" s="121">
        <f t="shared" si="4"/>
        <v>9830</v>
      </c>
    </row>
    <row r="190" spans="1:8" x14ac:dyDescent="0.2">
      <c r="A190" s="118" t="str">
        <f>StartupfileInput!C189</f>
        <v>4509</v>
      </c>
      <c r="B190" s="119" t="str">
        <f>INDEX(Calculation!$A$4:$M$328,MATCH(Summary!$A190,Calculation!$A$4:$A$328,0),3)</f>
        <v>Morning Sun</v>
      </c>
      <c r="C190" s="144">
        <f>INDEX(Calculation!$A$4:$M$328,MATCH(Summary!$A190,Calculation!$A$4:$A$328,0),6)</f>
        <v>0.49299999999999999</v>
      </c>
      <c r="D190" s="144">
        <f>INDEX(Calculation!$A$4:$M$328,MATCH(Summary!$A190,Calculation!$A$4:$A$328,0),7)</f>
        <v>0.39600000000000002</v>
      </c>
      <c r="E190" s="144">
        <f t="shared" si="5"/>
        <v>0.88900000000000001</v>
      </c>
      <c r="F190" s="120"/>
      <c r="G190" s="121">
        <f>INDEX(Calculation!$A$4:$M$328,MATCH(Summary!$A190,Calculation!$A$4:$A$328,0),10)</f>
        <v>7635</v>
      </c>
      <c r="H190" s="121">
        <f t="shared" si="4"/>
        <v>6788</v>
      </c>
    </row>
    <row r="191" spans="1:8" x14ac:dyDescent="0.2">
      <c r="A191" s="118" t="str">
        <f>StartupfileInput!C190</f>
        <v>4518</v>
      </c>
      <c r="B191" s="119" t="str">
        <f>INDEX(Calculation!$A$4:$M$328,MATCH(Summary!$A191,Calculation!$A$4:$A$328,0),3)</f>
        <v>Moulton-Udell</v>
      </c>
      <c r="C191" s="144">
        <f>INDEX(Calculation!$A$4:$M$328,MATCH(Summary!$A191,Calculation!$A$4:$A$328,0),6)</f>
        <v>0.74</v>
      </c>
      <c r="D191" s="144">
        <f>INDEX(Calculation!$A$4:$M$328,MATCH(Summary!$A191,Calculation!$A$4:$A$328,0),7)</f>
        <v>0.377</v>
      </c>
      <c r="E191" s="144">
        <f t="shared" si="5"/>
        <v>1.117</v>
      </c>
      <c r="F191" s="120"/>
      <c r="G191" s="121">
        <f>INDEX(Calculation!$A$4:$M$328,MATCH(Summary!$A191,Calculation!$A$4:$A$328,0),10)</f>
        <v>7635</v>
      </c>
      <c r="H191" s="121">
        <f t="shared" si="4"/>
        <v>8528</v>
      </c>
    </row>
    <row r="192" spans="1:8" x14ac:dyDescent="0.2">
      <c r="A192" s="118" t="str">
        <f>StartupfileInput!C191</f>
        <v>4527</v>
      </c>
      <c r="B192" s="119" t="str">
        <f>INDEX(Calculation!$A$4:$M$328,MATCH(Summary!$A192,Calculation!$A$4:$A$328,0),3)</f>
        <v>Mount Ayr</v>
      </c>
      <c r="C192" s="144">
        <f>INDEX(Calculation!$A$4:$M$328,MATCH(Summary!$A192,Calculation!$A$4:$A$328,0),6)</f>
        <v>1.8109999999999999</v>
      </c>
      <c r="D192" s="144">
        <f>INDEX(Calculation!$A$4:$M$328,MATCH(Summary!$A192,Calculation!$A$4:$A$328,0),7)</f>
        <v>1.2210000000000001</v>
      </c>
      <c r="E192" s="144">
        <f t="shared" si="5"/>
        <v>3.032</v>
      </c>
      <c r="F192" s="120"/>
      <c r="G192" s="121">
        <f>INDEX(Calculation!$A$4:$M$328,MATCH(Summary!$A192,Calculation!$A$4:$A$328,0),10)</f>
        <v>7635</v>
      </c>
      <c r="H192" s="121">
        <f t="shared" si="4"/>
        <v>23149</v>
      </c>
    </row>
    <row r="193" spans="1:8" x14ac:dyDescent="0.2">
      <c r="A193" s="118" t="str">
        <f>StartupfileInput!C192</f>
        <v>4536</v>
      </c>
      <c r="B193" s="119" t="str">
        <f>INDEX(Calculation!$A$4:$M$328,MATCH(Summary!$A193,Calculation!$A$4:$A$328,0),3)</f>
        <v>Mount Pleasant</v>
      </c>
      <c r="C193" s="144">
        <f>INDEX(Calculation!$A$4:$M$328,MATCH(Summary!$A193,Calculation!$A$4:$A$328,0),6)</f>
        <v>5.8330000000000002</v>
      </c>
      <c r="D193" s="144">
        <f>INDEX(Calculation!$A$4:$M$328,MATCH(Summary!$A193,Calculation!$A$4:$A$328,0),7)</f>
        <v>3.6549999999999998</v>
      </c>
      <c r="E193" s="144">
        <f t="shared" si="5"/>
        <v>9.4879999999999995</v>
      </c>
      <c r="F193" s="120"/>
      <c r="G193" s="121">
        <f>INDEX(Calculation!$A$4:$M$328,MATCH(Summary!$A193,Calculation!$A$4:$A$328,0),10)</f>
        <v>7635</v>
      </c>
      <c r="H193" s="121">
        <f t="shared" si="4"/>
        <v>72441</v>
      </c>
    </row>
    <row r="194" spans="1:8" x14ac:dyDescent="0.2">
      <c r="A194" s="118" t="str">
        <f>StartupfileInput!C193</f>
        <v>4554</v>
      </c>
      <c r="B194" s="119" t="str">
        <f>INDEX(Calculation!$A$4:$M$328,MATCH(Summary!$A194,Calculation!$A$4:$A$328,0),3)</f>
        <v>Mount Vernon</v>
      </c>
      <c r="C194" s="144">
        <f>INDEX(Calculation!$A$4:$M$328,MATCH(Summary!$A194,Calculation!$A$4:$A$328,0),6)</f>
        <v>1.4239999999999999</v>
      </c>
      <c r="D194" s="144">
        <f>INDEX(Calculation!$A$4:$M$328,MATCH(Summary!$A194,Calculation!$A$4:$A$328,0),7)</f>
        <v>2.2669999999999999</v>
      </c>
      <c r="E194" s="144">
        <f t="shared" si="5"/>
        <v>3.6909999999999998</v>
      </c>
      <c r="F194" s="120"/>
      <c r="G194" s="121">
        <f>INDEX(Calculation!$A$4:$M$328,MATCH(Summary!$A194,Calculation!$A$4:$A$328,0),10)</f>
        <v>7635</v>
      </c>
      <c r="H194" s="121">
        <f t="shared" ref="H194:H256" si="6">ROUND(E194*G194,0)</f>
        <v>28181</v>
      </c>
    </row>
    <row r="195" spans="1:8" x14ac:dyDescent="0.2">
      <c r="A195" s="118" t="str">
        <f>StartupfileInput!C194</f>
        <v>4572</v>
      </c>
      <c r="B195" s="119" t="str">
        <f>INDEX(Calculation!$A$4:$M$328,MATCH(Summary!$A195,Calculation!$A$4:$A$328,0),3)</f>
        <v>Murray</v>
      </c>
      <c r="C195" s="144">
        <f>INDEX(Calculation!$A$4:$M$328,MATCH(Summary!$A195,Calculation!$A$4:$A$328,0),6)</f>
        <v>0.63700000000000001</v>
      </c>
      <c r="D195" s="144">
        <f>INDEX(Calculation!$A$4:$M$328,MATCH(Summary!$A195,Calculation!$A$4:$A$328,0),7)</f>
        <v>0.45200000000000001</v>
      </c>
      <c r="E195" s="144">
        <f t="shared" si="5"/>
        <v>1.089</v>
      </c>
      <c r="F195" s="120"/>
      <c r="G195" s="121">
        <f>INDEX(Calculation!$A$4:$M$328,MATCH(Summary!$A195,Calculation!$A$4:$A$328,0),10)</f>
        <v>7635</v>
      </c>
      <c r="H195" s="121">
        <f t="shared" si="6"/>
        <v>8315</v>
      </c>
    </row>
    <row r="196" spans="1:8" x14ac:dyDescent="0.2">
      <c r="A196" s="118" t="str">
        <f>StartupfileInput!C195</f>
        <v>4581</v>
      </c>
      <c r="B196" s="119" t="str">
        <f>INDEX(Calculation!$A$4:$M$328,MATCH(Summary!$A196,Calculation!$A$4:$A$328,0),3)</f>
        <v>Muscatine</v>
      </c>
      <c r="C196" s="144">
        <f>INDEX(Calculation!$A$4:$M$328,MATCH(Summary!$A196,Calculation!$A$4:$A$328,0),6)</f>
        <v>16.484000000000002</v>
      </c>
      <c r="D196" s="144">
        <f>INDEX(Calculation!$A$4:$M$328,MATCH(Summary!$A196,Calculation!$A$4:$A$328,0),7)</f>
        <v>9.3330000000000002</v>
      </c>
      <c r="E196" s="144">
        <f t="shared" ref="E196:E259" si="7">SUM(C196:D196)</f>
        <v>25.817</v>
      </c>
      <c r="F196" s="120"/>
      <c r="G196" s="121">
        <f>INDEX(Calculation!$A$4:$M$328,MATCH(Summary!$A196,Calculation!$A$4:$A$328,0),10)</f>
        <v>7635</v>
      </c>
      <c r="H196" s="121">
        <f t="shared" si="6"/>
        <v>197113</v>
      </c>
    </row>
    <row r="197" spans="1:8" x14ac:dyDescent="0.2">
      <c r="A197" s="118" t="str">
        <f>StartupfileInput!C196</f>
        <v>4599</v>
      </c>
      <c r="B197" s="119" t="str">
        <f>INDEX(Calculation!$A$4:$M$328,MATCH(Summary!$A197,Calculation!$A$4:$A$328,0),3)</f>
        <v>Nashua-Plainfield</v>
      </c>
      <c r="C197" s="144">
        <f>INDEX(Calculation!$A$4:$M$328,MATCH(Summary!$A197,Calculation!$A$4:$A$328,0),6)</f>
        <v>1.284</v>
      </c>
      <c r="D197" s="144">
        <f>INDEX(Calculation!$A$4:$M$328,MATCH(Summary!$A197,Calculation!$A$4:$A$328,0),7)</f>
        <v>1.2090000000000001</v>
      </c>
      <c r="E197" s="144">
        <f t="shared" si="7"/>
        <v>2.4930000000000003</v>
      </c>
      <c r="F197" s="120"/>
      <c r="G197" s="121">
        <f>INDEX(Calculation!$A$4:$M$328,MATCH(Summary!$A197,Calculation!$A$4:$A$328,0),10)</f>
        <v>7712</v>
      </c>
      <c r="H197" s="121">
        <f t="shared" si="6"/>
        <v>19226</v>
      </c>
    </row>
    <row r="198" spans="1:8" x14ac:dyDescent="0.2">
      <c r="A198" s="118" t="str">
        <f>StartupfileInput!C197</f>
        <v>4617</v>
      </c>
      <c r="B198" s="119" t="str">
        <f>INDEX(Calculation!$A$4:$M$328,MATCH(Summary!$A198,Calculation!$A$4:$A$328,0),3)</f>
        <v>Nevada</v>
      </c>
      <c r="C198" s="144">
        <f>INDEX(Calculation!$A$4:$M$328,MATCH(Summary!$A198,Calculation!$A$4:$A$328,0),6)</f>
        <v>3.1120000000000001</v>
      </c>
      <c r="D198" s="144">
        <f>INDEX(Calculation!$A$4:$M$328,MATCH(Summary!$A198,Calculation!$A$4:$A$328,0),7)</f>
        <v>2.855</v>
      </c>
      <c r="E198" s="144">
        <f t="shared" si="7"/>
        <v>5.9670000000000005</v>
      </c>
      <c r="F198" s="120"/>
      <c r="G198" s="121">
        <f>INDEX(Calculation!$A$4:$M$328,MATCH(Summary!$A198,Calculation!$A$4:$A$328,0),10)</f>
        <v>7635</v>
      </c>
      <c r="H198" s="121">
        <f t="shared" si="6"/>
        <v>45558</v>
      </c>
    </row>
    <row r="199" spans="1:8" x14ac:dyDescent="0.2">
      <c r="A199" s="118" t="str">
        <f>StartupfileInput!C198</f>
        <v>4662</v>
      </c>
      <c r="B199" s="119" t="str">
        <f>INDEX(Calculation!$A$4:$M$328,MATCH(Summary!$A199,Calculation!$A$4:$A$328,0),3)</f>
        <v>New Hampton</v>
      </c>
      <c r="C199" s="144">
        <f>INDEX(Calculation!$A$4:$M$328,MATCH(Summary!$A199,Calculation!$A$4:$A$328,0),6)</f>
        <v>2.1480000000000001</v>
      </c>
      <c r="D199" s="144">
        <f>INDEX(Calculation!$A$4:$M$328,MATCH(Summary!$A199,Calculation!$A$4:$A$328,0),7)</f>
        <v>1.897</v>
      </c>
      <c r="E199" s="144">
        <f t="shared" si="7"/>
        <v>4.0449999999999999</v>
      </c>
      <c r="F199" s="120"/>
      <c r="G199" s="121">
        <f>INDEX(Calculation!$A$4:$M$328,MATCH(Summary!$A199,Calculation!$A$4:$A$328,0),10)</f>
        <v>7635</v>
      </c>
      <c r="H199" s="121">
        <f t="shared" si="6"/>
        <v>30884</v>
      </c>
    </row>
    <row r="200" spans="1:8" x14ac:dyDescent="0.2">
      <c r="A200" s="118" t="str">
        <f>StartupfileInput!C199</f>
        <v>4689</v>
      </c>
      <c r="B200" s="119" t="str">
        <f>INDEX(Calculation!$A$4:$M$328,MATCH(Summary!$A200,Calculation!$A$4:$A$328,0),3)</f>
        <v>New London</v>
      </c>
      <c r="C200" s="144">
        <f>INDEX(Calculation!$A$4:$M$328,MATCH(Summary!$A200,Calculation!$A$4:$A$328,0),6)</f>
        <v>1.5649999999999999</v>
      </c>
      <c r="D200" s="144">
        <f>INDEX(Calculation!$A$4:$M$328,MATCH(Summary!$A200,Calculation!$A$4:$A$328,0),7)</f>
        <v>1.1060000000000001</v>
      </c>
      <c r="E200" s="144">
        <f t="shared" si="7"/>
        <v>2.6710000000000003</v>
      </c>
      <c r="F200" s="120"/>
      <c r="G200" s="121">
        <f>INDEX(Calculation!$A$4:$M$328,MATCH(Summary!$A200,Calculation!$A$4:$A$328,0),10)</f>
        <v>7635</v>
      </c>
      <c r="H200" s="121">
        <f t="shared" si="6"/>
        <v>20393</v>
      </c>
    </row>
    <row r="201" spans="1:8" x14ac:dyDescent="0.2">
      <c r="A201" s="118" t="str">
        <f>StartupfileInput!C200</f>
        <v>4644</v>
      </c>
      <c r="B201" s="119" t="str">
        <f>INDEX(Calculation!$A$4:$M$328,MATCH(Summary!$A201,Calculation!$A$4:$A$328,0),3)</f>
        <v>Newell-Fonda</v>
      </c>
      <c r="C201" s="144">
        <f>INDEX(Calculation!$A$4:$M$328,MATCH(Summary!$A201,Calculation!$A$4:$A$328,0),6)</f>
        <v>1.54</v>
      </c>
      <c r="D201" s="144">
        <f>INDEX(Calculation!$A$4:$M$328,MATCH(Summary!$A201,Calculation!$A$4:$A$328,0),7)</f>
        <v>1.012</v>
      </c>
      <c r="E201" s="144">
        <f t="shared" si="7"/>
        <v>2.552</v>
      </c>
      <c r="F201" s="120"/>
      <c r="G201" s="121">
        <f>INDEX(Calculation!$A$4:$M$328,MATCH(Summary!$A201,Calculation!$A$4:$A$328,0),10)</f>
        <v>7689</v>
      </c>
      <c r="H201" s="121">
        <f t="shared" si="6"/>
        <v>19622</v>
      </c>
    </row>
    <row r="202" spans="1:8" x14ac:dyDescent="0.2">
      <c r="A202" s="118" t="str">
        <f>StartupfileInput!C201</f>
        <v>4725</v>
      </c>
      <c r="B202" s="119" t="str">
        <f>INDEX(Calculation!$A$4:$M$328,MATCH(Summary!$A202,Calculation!$A$4:$A$328,0),3)</f>
        <v>Newton</v>
      </c>
      <c r="C202" s="144">
        <f>INDEX(Calculation!$A$4:$M$328,MATCH(Summary!$A202,Calculation!$A$4:$A$328,0),6)</f>
        <v>11.377000000000001</v>
      </c>
      <c r="D202" s="144">
        <f>INDEX(Calculation!$A$4:$M$328,MATCH(Summary!$A202,Calculation!$A$4:$A$328,0),7)</f>
        <v>6.0339999999999998</v>
      </c>
      <c r="E202" s="144">
        <f t="shared" si="7"/>
        <v>17.411000000000001</v>
      </c>
      <c r="F202" s="120"/>
      <c r="G202" s="121">
        <f>INDEX(Calculation!$A$4:$M$328,MATCH(Summary!$A202,Calculation!$A$4:$A$328,0),10)</f>
        <v>7635</v>
      </c>
      <c r="H202" s="121">
        <f t="shared" si="6"/>
        <v>132933</v>
      </c>
    </row>
    <row r="203" spans="1:8" x14ac:dyDescent="0.2">
      <c r="A203" s="118" t="str">
        <f>StartupfileInput!C202</f>
        <v>2673</v>
      </c>
      <c r="B203" s="119" t="str">
        <f>INDEX(Calculation!$A$4:$M$328,MATCH(Summary!$A203,Calculation!$A$4:$A$328,0),3)</f>
        <v>Nodaway Valley</v>
      </c>
      <c r="C203" s="144">
        <f>INDEX(Calculation!$A$4:$M$328,MATCH(Summary!$A203,Calculation!$A$4:$A$328,0),6)</f>
        <v>1.8580000000000001</v>
      </c>
      <c r="D203" s="144">
        <f>INDEX(Calculation!$A$4:$M$328,MATCH(Summary!$A203,Calculation!$A$4:$A$328,0),7)</f>
        <v>1.278</v>
      </c>
      <c r="E203" s="144">
        <f t="shared" si="7"/>
        <v>3.1360000000000001</v>
      </c>
      <c r="F203" s="120"/>
      <c r="G203" s="121">
        <f>INDEX(Calculation!$A$4:$M$328,MATCH(Summary!$A203,Calculation!$A$4:$A$328,0),10)</f>
        <v>7637</v>
      </c>
      <c r="H203" s="121">
        <f t="shared" si="6"/>
        <v>23950</v>
      </c>
    </row>
    <row r="204" spans="1:8" x14ac:dyDescent="0.2">
      <c r="A204" s="118" t="str">
        <f>StartupfileInput!C203</f>
        <v>0153</v>
      </c>
      <c r="B204" s="119" t="str">
        <f>INDEX(Calculation!$A$4:$M$328,MATCH(Summary!$A204,Calculation!$A$4:$A$328,0),3)</f>
        <v>North Butler</v>
      </c>
      <c r="C204" s="144">
        <f>INDEX(Calculation!$A$4:$M$328,MATCH(Summary!$A204,Calculation!$A$4:$A$328,0),6)</f>
        <v>1.0289999999999999</v>
      </c>
      <c r="D204" s="144">
        <f>INDEX(Calculation!$A$4:$M$328,MATCH(Summary!$A204,Calculation!$A$4:$A$328,0),7)</f>
        <v>1.095</v>
      </c>
      <c r="E204" s="144">
        <f t="shared" si="7"/>
        <v>2.1239999999999997</v>
      </c>
      <c r="F204" s="120"/>
      <c r="G204" s="121">
        <f>INDEX(Calculation!$A$4:$M$328,MATCH(Summary!$A204,Calculation!$A$4:$A$328,0),10)</f>
        <v>7687</v>
      </c>
      <c r="H204" s="121">
        <f t="shared" si="6"/>
        <v>16327</v>
      </c>
    </row>
    <row r="205" spans="1:8" x14ac:dyDescent="0.2">
      <c r="A205" s="118" t="str">
        <f>StartupfileInput!C204</f>
        <v>3691</v>
      </c>
      <c r="B205" s="119" t="str">
        <f>INDEX(Calculation!$A$4:$M$328,MATCH(Summary!$A205,Calculation!$A$4:$A$328,0),3)</f>
        <v>North Cedar</v>
      </c>
      <c r="C205" s="144">
        <f>INDEX(Calculation!$A$4:$M$328,MATCH(Summary!$A205,Calculation!$A$4:$A$328,0),6)</f>
        <v>2.1230000000000002</v>
      </c>
      <c r="D205" s="144">
        <f>INDEX(Calculation!$A$4:$M$328,MATCH(Summary!$A205,Calculation!$A$4:$A$328,0),7)</f>
        <v>1.4810000000000001</v>
      </c>
      <c r="E205" s="144">
        <f t="shared" si="7"/>
        <v>3.6040000000000001</v>
      </c>
      <c r="F205" s="120"/>
      <c r="G205" s="121">
        <f>INDEX(Calculation!$A$4:$M$328,MATCH(Summary!$A205,Calculation!$A$4:$A$328,0),10)</f>
        <v>7641</v>
      </c>
      <c r="H205" s="121">
        <f t="shared" si="6"/>
        <v>27538</v>
      </c>
    </row>
    <row r="206" spans="1:8" x14ac:dyDescent="0.2">
      <c r="A206" s="118" t="str">
        <f>StartupfileInput!C205</f>
        <v>4774</v>
      </c>
      <c r="B206" s="119" t="str">
        <f>INDEX(Calculation!$A$4:$M$328,MATCH(Summary!$A206,Calculation!$A$4:$A$328,0),3)</f>
        <v>North Fayette Valley</v>
      </c>
      <c r="C206" s="144">
        <f>INDEX(Calculation!$A$4:$M$328,MATCH(Summary!$A206,Calculation!$A$4:$A$328,0),6)</f>
        <v>3.048</v>
      </c>
      <c r="D206" s="144">
        <f>INDEX(Calculation!$A$4:$M$328,MATCH(Summary!$A206,Calculation!$A$4:$A$328,0),7)</f>
        <v>2.3220000000000001</v>
      </c>
      <c r="E206" s="144">
        <f t="shared" si="7"/>
        <v>5.37</v>
      </c>
      <c r="F206" s="120"/>
      <c r="G206" s="121">
        <f>INDEX(Calculation!$A$4:$M$328,MATCH(Summary!$A206,Calculation!$A$4:$A$328,0),10)</f>
        <v>7689</v>
      </c>
      <c r="H206" s="121">
        <f t="shared" si="6"/>
        <v>41290</v>
      </c>
    </row>
    <row r="207" spans="1:8" x14ac:dyDescent="0.2">
      <c r="A207" s="118" t="str">
        <f>StartupfileInput!C206</f>
        <v>0873</v>
      </c>
      <c r="B207" s="119" t="str">
        <f>INDEX(Calculation!$A$4:$M$328,MATCH(Summary!$A207,Calculation!$A$4:$A$328,0),3)</f>
        <v>North Iowa</v>
      </c>
      <c r="C207" s="144">
        <f>INDEX(Calculation!$A$4:$M$328,MATCH(Summary!$A207,Calculation!$A$4:$A$328,0),6)</f>
        <v>1.4670000000000001</v>
      </c>
      <c r="D207" s="144">
        <f>INDEX(Calculation!$A$4:$M$328,MATCH(Summary!$A207,Calculation!$A$4:$A$328,0),7)</f>
        <v>0.98599999999999999</v>
      </c>
      <c r="E207" s="144">
        <f t="shared" si="7"/>
        <v>2.4530000000000003</v>
      </c>
      <c r="F207" s="120"/>
      <c r="G207" s="121">
        <f>INDEX(Calculation!$A$4:$M$328,MATCH(Summary!$A207,Calculation!$A$4:$A$328,0),10)</f>
        <v>7709</v>
      </c>
      <c r="H207" s="121">
        <f t="shared" si="6"/>
        <v>18910</v>
      </c>
    </row>
    <row r="208" spans="1:8" x14ac:dyDescent="0.2">
      <c r="A208" s="118" t="str">
        <f>StartupfileInput!C207</f>
        <v>4778</v>
      </c>
      <c r="B208" s="119" t="str">
        <f>INDEX(Calculation!$A$4:$M$328,MATCH(Summary!$A208,Calculation!$A$4:$A$328,0),3)</f>
        <v>North Kossuth</v>
      </c>
      <c r="C208" s="144">
        <f>INDEX(Calculation!$A$4:$M$328,MATCH(Summary!$A208,Calculation!$A$4:$A$328,0),6)</f>
        <v>0.92800000000000005</v>
      </c>
      <c r="D208" s="144">
        <f>INDEX(Calculation!$A$4:$M$328,MATCH(Summary!$A208,Calculation!$A$4:$A$328,0),7)</f>
        <v>0.48199999999999998</v>
      </c>
      <c r="E208" s="144">
        <f t="shared" si="7"/>
        <v>1.4100000000000001</v>
      </c>
      <c r="F208" s="120"/>
      <c r="G208" s="121">
        <f>INDEX(Calculation!$A$4:$M$328,MATCH(Summary!$A208,Calculation!$A$4:$A$328,0),10)</f>
        <v>7637</v>
      </c>
      <c r="H208" s="121">
        <f t="shared" si="6"/>
        <v>10768</v>
      </c>
    </row>
    <row r="209" spans="1:8" x14ac:dyDescent="0.2">
      <c r="A209" s="118" t="str">
        <f>StartupfileInput!C208</f>
        <v>4777</v>
      </c>
      <c r="B209" s="119" t="str">
        <f>INDEX(Calculation!$A$4:$M$328,MATCH(Summary!$A209,Calculation!$A$4:$A$328,0),3)</f>
        <v>North Linn</v>
      </c>
      <c r="C209" s="144">
        <f>INDEX(Calculation!$A$4:$M$328,MATCH(Summary!$A209,Calculation!$A$4:$A$328,0),6)</f>
        <v>0.86899999999999999</v>
      </c>
      <c r="D209" s="144">
        <f>INDEX(Calculation!$A$4:$M$328,MATCH(Summary!$A209,Calculation!$A$4:$A$328,0),7)</f>
        <v>1.1359999999999999</v>
      </c>
      <c r="E209" s="144">
        <f t="shared" si="7"/>
        <v>2.0049999999999999</v>
      </c>
      <c r="F209" s="120"/>
      <c r="G209" s="121">
        <f>INDEX(Calculation!$A$4:$M$328,MATCH(Summary!$A209,Calculation!$A$4:$A$328,0),10)</f>
        <v>7649</v>
      </c>
      <c r="H209" s="121">
        <f t="shared" si="6"/>
        <v>15336</v>
      </c>
    </row>
    <row r="210" spans="1:8" x14ac:dyDescent="0.2">
      <c r="A210" s="118" t="str">
        <f>StartupfileInput!C209</f>
        <v>4776</v>
      </c>
      <c r="B210" s="119" t="str">
        <f>INDEX(Calculation!$A$4:$M$328,MATCH(Summary!$A210,Calculation!$A$4:$A$328,0),3)</f>
        <v>North Mahaska</v>
      </c>
      <c r="C210" s="144">
        <f>INDEX(Calculation!$A$4:$M$328,MATCH(Summary!$A210,Calculation!$A$4:$A$328,0),6)</f>
        <v>1.0489999999999999</v>
      </c>
      <c r="D210" s="144">
        <f>INDEX(Calculation!$A$4:$M$328,MATCH(Summary!$A210,Calculation!$A$4:$A$328,0),7)</f>
        <v>0.997</v>
      </c>
      <c r="E210" s="144">
        <f t="shared" si="7"/>
        <v>2.0459999999999998</v>
      </c>
      <c r="F210" s="120"/>
      <c r="G210" s="121">
        <f>INDEX(Calculation!$A$4:$M$328,MATCH(Summary!$A210,Calculation!$A$4:$A$328,0),10)</f>
        <v>7767</v>
      </c>
      <c r="H210" s="121">
        <f t="shared" si="6"/>
        <v>15891</v>
      </c>
    </row>
    <row r="211" spans="1:8" x14ac:dyDescent="0.2">
      <c r="A211" s="118" t="str">
        <f>StartupfileInput!C210</f>
        <v>4779</v>
      </c>
      <c r="B211" s="119" t="str">
        <f>INDEX(Calculation!$A$4:$M$328,MATCH(Summary!$A211,Calculation!$A$4:$A$328,0),3)</f>
        <v>North Polk</v>
      </c>
      <c r="C211" s="144">
        <f>INDEX(Calculation!$A$4:$M$328,MATCH(Summary!$A211,Calculation!$A$4:$A$328,0),6)</f>
        <v>1.3839999999999999</v>
      </c>
      <c r="D211" s="144">
        <f>INDEX(Calculation!$A$4:$M$328,MATCH(Summary!$A211,Calculation!$A$4:$A$328,0),7)</f>
        <v>4.2699999999999996</v>
      </c>
      <c r="E211" s="144">
        <f t="shared" si="7"/>
        <v>5.6539999999999999</v>
      </c>
      <c r="F211" s="120"/>
      <c r="G211" s="121">
        <f>INDEX(Calculation!$A$4:$M$328,MATCH(Summary!$A211,Calculation!$A$4:$A$328,0),10)</f>
        <v>7635</v>
      </c>
      <c r="H211" s="121">
        <f t="shared" si="6"/>
        <v>43168</v>
      </c>
    </row>
    <row r="212" spans="1:8" x14ac:dyDescent="0.2">
      <c r="A212" s="118" t="str">
        <f>StartupfileInput!C211</f>
        <v>4784</v>
      </c>
      <c r="B212" s="119" t="str">
        <f>INDEX(Calculation!$A$4:$M$328,MATCH(Summary!$A212,Calculation!$A$4:$A$328,0),3)</f>
        <v>North Scott</v>
      </c>
      <c r="C212" s="144">
        <f>INDEX(Calculation!$A$4:$M$328,MATCH(Summary!$A212,Calculation!$A$4:$A$328,0),6)</f>
        <v>5.3840000000000003</v>
      </c>
      <c r="D212" s="144">
        <f>INDEX(Calculation!$A$4:$M$328,MATCH(Summary!$A212,Calculation!$A$4:$A$328,0),7)</f>
        <v>6.319</v>
      </c>
      <c r="E212" s="144">
        <f t="shared" si="7"/>
        <v>11.702999999999999</v>
      </c>
      <c r="F212" s="120"/>
      <c r="G212" s="121">
        <f>INDEX(Calculation!$A$4:$M$328,MATCH(Summary!$A212,Calculation!$A$4:$A$328,0),10)</f>
        <v>7635</v>
      </c>
      <c r="H212" s="121">
        <f t="shared" si="6"/>
        <v>89352</v>
      </c>
    </row>
    <row r="213" spans="1:8" x14ac:dyDescent="0.2">
      <c r="A213" s="118" t="str">
        <f>StartupfileInput!C212</f>
        <v>4785</v>
      </c>
      <c r="B213" s="119" t="str">
        <f>INDEX(Calculation!$A$4:$M$328,MATCH(Summary!$A213,Calculation!$A$4:$A$328,0),3)</f>
        <v>North Tama</v>
      </c>
      <c r="C213" s="144">
        <f>INDEX(Calculation!$A$4:$M$328,MATCH(Summary!$A213,Calculation!$A$4:$A$328,0),6)</f>
        <v>1.1719999999999999</v>
      </c>
      <c r="D213" s="144">
        <f>INDEX(Calculation!$A$4:$M$328,MATCH(Summary!$A213,Calculation!$A$4:$A$328,0),7)</f>
        <v>0.92400000000000004</v>
      </c>
      <c r="E213" s="144">
        <f t="shared" si="7"/>
        <v>2.0960000000000001</v>
      </c>
      <c r="F213" s="120"/>
      <c r="G213" s="121">
        <f>INDEX(Calculation!$A$4:$M$328,MATCH(Summary!$A213,Calculation!$A$4:$A$328,0),10)</f>
        <v>7635</v>
      </c>
      <c r="H213" s="121">
        <f t="shared" si="6"/>
        <v>16003</v>
      </c>
    </row>
    <row r="214" spans="1:8" x14ac:dyDescent="0.2">
      <c r="A214" s="118" t="str">
        <f>StartupfileInput!C213</f>
        <v>0333</v>
      </c>
      <c r="B214" s="119" t="str">
        <f>INDEX(Calculation!$A$4:$M$328,MATCH(Summary!$A214,Calculation!$A$4:$A$328,0),3)</f>
        <v>North Union</v>
      </c>
      <c r="C214" s="144">
        <f>INDEX(Calculation!$A$4:$M$328,MATCH(Summary!$A214,Calculation!$A$4:$A$328,0),6)</f>
        <v>1.4179999999999999</v>
      </c>
      <c r="D214" s="144">
        <f>INDEX(Calculation!$A$4:$M$328,MATCH(Summary!$A214,Calculation!$A$4:$A$328,0),7)</f>
        <v>0.82</v>
      </c>
      <c r="E214" s="144">
        <f t="shared" si="7"/>
        <v>2.238</v>
      </c>
      <c r="F214" s="120"/>
      <c r="G214" s="121">
        <f>INDEX(Calculation!$A$4:$M$328,MATCH(Summary!$A214,Calculation!$A$4:$A$328,0),10)</f>
        <v>7670</v>
      </c>
      <c r="H214" s="121">
        <f t="shared" si="6"/>
        <v>17165</v>
      </c>
    </row>
    <row r="215" spans="1:8" x14ac:dyDescent="0.2">
      <c r="A215" s="118" t="str">
        <f>StartupfileInput!C214</f>
        <v>4773</v>
      </c>
      <c r="B215" s="119" t="str">
        <f>INDEX(Calculation!$A$4:$M$328,MATCH(Summary!$A215,Calculation!$A$4:$A$328,0),3)</f>
        <v>Northeast</v>
      </c>
      <c r="C215" s="144">
        <f>INDEX(Calculation!$A$4:$M$328,MATCH(Summary!$A215,Calculation!$A$4:$A$328,0),6)</f>
        <v>0.997</v>
      </c>
      <c r="D215" s="144">
        <f>INDEX(Calculation!$A$4:$M$328,MATCH(Summary!$A215,Calculation!$A$4:$A$328,0),7)</f>
        <v>1.075</v>
      </c>
      <c r="E215" s="144">
        <f t="shared" si="7"/>
        <v>2.0720000000000001</v>
      </c>
      <c r="F215" s="120"/>
      <c r="G215" s="121">
        <f>INDEX(Calculation!$A$4:$M$328,MATCH(Summary!$A215,Calculation!$A$4:$A$328,0),10)</f>
        <v>7720</v>
      </c>
      <c r="H215" s="121">
        <f t="shared" si="6"/>
        <v>15996</v>
      </c>
    </row>
    <row r="216" spans="1:8" x14ac:dyDescent="0.2">
      <c r="A216" s="118" t="str">
        <f>StartupfileInput!C215</f>
        <v>4788</v>
      </c>
      <c r="B216" s="119" t="str">
        <f>INDEX(Calculation!$A$4:$M$328,MATCH(Summary!$A216,Calculation!$A$4:$A$328,0),3)</f>
        <v>Northwood-Kensett</v>
      </c>
      <c r="C216" s="144">
        <f>INDEX(Calculation!$A$4:$M$328,MATCH(Summary!$A216,Calculation!$A$4:$A$328,0),6)</f>
        <v>1.254</v>
      </c>
      <c r="D216" s="144">
        <f>INDEX(Calculation!$A$4:$M$328,MATCH(Summary!$A216,Calculation!$A$4:$A$328,0),7)</f>
        <v>1.042</v>
      </c>
      <c r="E216" s="144">
        <f t="shared" si="7"/>
        <v>2.2960000000000003</v>
      </c>
      <c r="F216" s="120"/>
      <c r="G216" s="121">
        <f>INDEX(Calculation!$A$4:$M$328,MATCH(Summary!$A216,Calculation!$A$4:$A$328,0),10)</f>
        <v>7726</v>
      </c>
      <c r="H216" s="121">
        <f t="shared" si="6"/>
        <v>17739</v>
      </c>
    </row>
    <row r="217" spans="1:8" x14ac:dyDescent="0.2">
      <c r="A217" s="118" t="str">
        <f>StartupfileInput!C216</f>
        <v>4797</v>
      </c>
      <c r="B217" s="119" t="str">
        <f>INDEX(Calculation!$A$4:$M$328,MATCH(Summary!$A217,Calculation!$A$4:$A$328,0),3)</f>
        <v>Norwalk</v>
      </c>
      <c r="C217" s="144">
        <f>INDEX(Calculation!$A$4:$M$328,MATCH(Summary!$A217,Calculation!$A$4:$A$328,0),6)</f>
        <v>4.8220000000000001</v>
      </c>
      <c r="D217" s="144">
        <f>INDEX(Calculation!$A$4:$M$328,MATCH(Summary!$A217,Calculation!$A$4:$A$328,0),7)</f>
        <v>6.9880000000000004</v>
      </c>
      <c r="E217" s="144">
        <f t="shared" si="7"/>
        <v>11.81</v>
      </c>
      <c r="F217" s="120"/>
      <c r="G217" s="121">
        <f>INDEX(Calculation!$A$4:$M$328,MATCH(Summary!$A217,Calculation!$A$4:$A$328,0),10)</f>
        <v>7635</v>
      </c>
      <c r="H217" s="121">
        <f t="shared" si="6"/>
        <v>90169</v>
      </c>
    </row>
    <row r="218" spans="1:8" x14ac:dyDescent="0.2">
      <c r="A218" s="118" t="str">
        <f>StartupfileInput!C217</f>
        <v>4860</v>
      </c>
      <c r="B218" s="119" t="str">
        <f>INDEX(Calculation!$A$4:$M$328,MATCH(Summary!$A218,Calculation!$A$4:$A$328,0),3)</f>
        <v>Odebolt Arthur Battle Creek Ida Grove</v>
      </c>
      <c r="C218" s="144">
        <f>INDEX(Calculation!$A$4:$M$328,MATCH(Summary!$A218,Calculation!$A$4:$A$328,0),6)</f>
        <v>3.0110000000000001</v>
      </c>
      <c r="D218" s="144">
        <f>INDEX(Calculation!$A$4:$M$328,MATCH(Summary!$A218,Calculation!$A$4:$A$328,0),7)</f>
        <v>1.887</v>
      </c>
      <c r="E218" s="144">
        <f t="shared" si="7"/>
        <v>4.8979999999999997</v>
      </c>
      <c r="F218" s="120"/>
      <c r="G218" s="121">
        <f>INDEX(Calculation!$A$4:$M$328,MATCH(Summary!$A218,Calculation!$A$4:$A$328,0),10)</f>
        <v>7635</v>
      </c>
      <c r="H218" s="121">
        <f t="shared" si="6"/>
        <v>37396</v>
      </c>
    </row>
    <row r="219" spans="1:8" x14ac:dyDescent="0.2">
      <c r="A219" s="118" t="str">
        <f>StartupfileInput!C218</f>
        <v>4869</v>
      </c>
      <c r="B219" s="119" t="str">
        <f>INDEX(Calculation!$A$4:$M$328,MATCH(Summary!$A219,Calculation!$A$4:$A$328,0),3)</f>
        <v>Oelwein</v>
      </c>
      <c r="C219" s="144">
        <f>INDEX(Calculation!$A$4:$M$328,MATCH(Summary!$A219,Calculation!$A$4:$A$328,0),6)</f>
        <v>5.34</v>
      </c>
      <c r="D219" s="144">
        <f>INDEX(Calculation!$A$4:$M$328,MATCH(Summary!$A219,Calculation!$A$4:$A$328,0),7)</f>
        <v>2.7050000000000001</v>
      </c>
      <c r="E219" s="144">
        <f t="shared" si="7"/>
        <v>8.0449999999999999</v>
      </c>
      <c r="F219" s="120"/>
      <c r="G219" s="121">
        <f>INDEX(Calculation!$A$4:$M$328,MATCH(Summary!$A219,Calculation!$A$4:$A$328,0),10)</f>
        <v>7641</v>
      </c>
      <c r="H219" s="121">
        <f t="shared" si="6"/>
        <v>61472</v>
      </c>
    </row>
    <row r="220" spans="1:8" x14ac:dyDescent="0.2">
      <c r="A220" s="118" t="str">
        <f>StartupfileInput!C219</f>
        <v>4878</v>
      </c>
      <c r="B220" s="119" t="str">
        <f>INDEX(Calculation!$A$4:$M$328,MATCH(Summary!$A220,Calculation!$A$4:$A$328,0),3)</f>
        <v>Ogden</v>
      </c>
      <c r="C220" s="144">
        <f>INDEX(Calculation!$A$4:$M$328,MATCH(Summary!$A220,Calculation!$A$4:$A$328,0),6)</f>
        <v>0.98799999999999999</v>
      </c>
      <c r="D220" s="144">
        <f>INDEX(Calculation!$A$4:$M$328,MATCH(Summary!$A220,Calculation!$A$4:$A$328,0),7)</f>
        <v>1.2030000000000001</v>
      </c>
      <c r="E220" s="144">
        <f t="shared" si="7"/>
        <v>2.1909999999999998</v>
      </c>
      <c r="F220" s="120"/>
      <c r="G220" s="121">
        <f>INDEX(Calculation!$A$4:$M$328,MATCH(Summary!$A220,Calculation!$A$4:$A$328,0),10)</f>
        <v>7635</v>
      </c>
      <c r="H220" s="121">
        <f t="shared" si="6"/>
        <v>16728</v>
      </c>
    </row>
    <row r="221" spans="1:8" x14ac:dyDescent="0.2">
      <c r="A221" s="118" t="str">
        <f>StartupfileInput!C220</f>
        <v>4890</v>
      </c>
      <c r="B221" s="119" t="str">
        <f>INDEX(Calculation!$A$4:$M$328,MATCH(Summary!$A221,Calculation!$A$4:$A$328,0),3)</f>
        <v>Okoboji</v>
      </c>
      <c r="C221" s="144">
        <f>INDEX(Calculation!$A$4:$M$328,MATCH(Summary!$A221,Calculation!$A$4:$A$328,0),6)</f>
        <v>2.7919999999999998</v>
      </c>
      <c r="D221" s="144">
        <f>INDEX(Calculation!$A$4:$M$328,MATCH(Summary!$A221,Calculation!$A$4:$A$328,0),7)</f>
        <v>2.1739999999999999</v>
      </c>
      <c r="E221" s="144">
        <f t="shared" si="7"/>
        <v>4.9659999999999993</v>
      </c>
      <c r="F221" s="120"/>
      <c r="G221" s="121">
        <f>INDEX(Calculation!$A$4:$M$328,MATCH(Summary!$A221,Calculation!$A$4:$A$328,0),10)</f>
        <v>7635</v>
      </c>
      <c r="H221" s="121">
        <f t="shared" si="6"/>
        <v>37915</v>
      </c>
    </row>
    <row r="222" spans="1:8" x14ac:dyDescent="0.2">
      <c r="A222" s="118" t="str">
        <f>StartupfileInput!C221</f>
        <v>4905</v>
      </c>
      <c r="B222" s="119" t="str">
        <f>INDEX(Calculation!$A$4:$M$328,MATCH(Summary!$A222,Calculation!$A$4:$A$328,0),3)</f>
        <v>Olin</v>
      </c>
      <c r="C222" s="144">
        <f>INDEX(Calculation!$A$4:$M$328,MATCH(Summary!$A222,Calculation!$A$4:$A$328,0),6)</f>
        <v>0.76</v>
      </c>
      <c r="D222" s="144">
        <f>INDEX(Calculation!$A$4:$M$328,MATCH(Summary!$A222,Calculation!$A$4:$A$328,0),7)</f>
        <v>0.44</v>
      </c>
      <c r="E222" s="144">
        <f t="shared" si="7"/>
        <v>1.2</v>
      </c>
      <c r="F222" s="120"/>
      <c r="G222" s="121">
        <f>INDEX(Calculation!$A$4:$M$328,MATCH(Summary!$A222,Calculation!$A$4:$A$328,0),10)</f>
        <v>7635</v>
      </c>
      <c r="H222" s="121">
        <f t="shared" si="6"/>
        <v>9162</v>
      </c>
    </row>
    <row r="223" spans="1:8" x14ac:dyDescent="0.2">
      <c r="A223" s="118" t="str">
        <f>StartupfileInput!C222</f>
        <v>4978</v>
      </c>
      <c r="B223" s="119" t="str">
        <f>INDEX(Calculation!$A$4:$M$328,MATCH(Summary!$A223,Calculation!$A$4:$A$328,0),3)</f>
        <v>Orient-Macksburg</v>
      </c>
      <c r="C223" s="144">
        <f>INDEX(Calculation!$A$4:$M$328,MATCH(Summary!$A223,Calculation!$A$4:$A$328,0),6)</f>
        <v>0.73399999999999999</v>
      </c>
      <c r="D223" s="144">
        <f>INDEX(Calculation!$A$4:$M$328,MATCH(Summary!$A223,Calculation!$A$4:$A$328,0),7)</f>
        <v>0.36299999999999999</v>
      </c>
      <c r="E223" s="144">
        <f t="shared" si="7"/>
        <v>1.097</v>
      </c>
      <c r="F223" s="120"/>
      <c r="G223" s="121">
        <f>INDEX(Calculation!$A$4:$M$328,MATCH(Summary!$A223,Calculation!$A$4:$A$328,0),10)</f>
        <v>7635</v>
      </c>
      <c r="H223" s="121">
        <f t="shared" si="6"/>
        <v>8376</v>
      </c>
    </row>
    <row r="224" spans="1:8" x14ac:dyDescent="0.2">
      <c r="A224" s="118" t="str">
        <f>StartupfileInput!C223</f>
        <v>4995</v>
      </c>
      <c r="B224" s="119" t="str">
        <f>INDEX(Calculation!$A$4:$M$328,MATCH(Summary!$A224,Calculation!$A$4:$A$328,0),3)</f>
        <v>Osage</v>
      </c>
      <c r="C224" s="144">
        <f>INDEX(Calculation!$A$4:$M$328,MATCH(Summary!$A224,Calculation!$A$4:$A$328,0),6)</f>
        <v>2.0019999999999998</v>
      </c>
      <c r="D224" s="144">
        <f>INDEX(Calculation!$A$4:$M$328,MATCH(Summary!$A224,Calculation!$A$4:$A$328,0),7)</f>
        <v>1.821</v>
      </c>
      <c r="E224" s="144">
        <f t="shared" si="7"/>
        <v>3.8229999999999995</v>
      </c>
      <c r="F224" s="120"/>
      <c r="G224" s="121">
        <f>INDEX(Calculation!$A$4:$M$328,MATCH(Summary!$A224,Calculation!$A$4:$A$328,0),10)</f>
        <v>7657</v>
      </c>
      <c r="H224" s="121">
        <f t="shared" si="6"/>
        <v>29273</v>
      </c>
    </row>
    <row r="225" spans="1:8" x14ac:dyDescent="0.2">
      <c r="A225" s="118" t="str">
        <f>StartupfileInput!C224</f>
        <v>5013</v>
      </c>
      <c r="B225" s="119" t="str">
        <f>INDEX(Calculation!$A$4:$M$328,MATCH(Summary!$A225,Calculation!$A$4:$A$328,0),3)</f>
        <v>Oskaloosa</v>
      </c>
      <c r="C225" s="144">
        <f>INDEX(Calculation!$A$4:$M$328,MATCH(Summary!$A225,Calculation!$A$4:$A$328,0),6)</f>
        <v>7.468</v>
      </c>
      <c r="D225" s="144">
        <f>INDEX(Calculation!$A$4:$M$328,MATCH(Summary!$A225,Calculation!$A$4:$A$328,0),7)</f>
        <v>4.5990000000000002</v>
      </c>
      <c r="E225" s="144">
        <f t="shared" si="7"/>
        <v>12.067</v>
      </c>
      <c r="F225" s="120"/>
      <c r="G225" s="121">
        <f>INDEX(Calculation!$A$4:$M$328,MATCH(Summary!$A225,Calculation!$A$4:$A$328,0),10)</f>
        <v>7635</v>
      </c>
      <c r="H225" s="121">
        <f t="shared" si="6"/>
        <v>92132</v>
      </c>
    </row>
    <row r="226" spans="1:8" x14ac:dyDescent="0.2">
      <c r="A226" s="118" t="str">
        <f>StartupfileInput!C225</f>
        <v>5049</v>
      </c>
      <c r="B226" s="119" t="str">
        <f>INDEX(Calculation!$A$4:$M$328,MATCH(Summary!$A226,Calculation!$A$4:$A$328,0),3)</f>
        <v>Ottumwa</v>
      </c>
      <c r="C226" s="144">
        <f>INDEX(Calculation!$A$4:$M$328,MATCH(Summary!$A226,Calculation!$A$4:$A$328,0),6)</f>
        <v>16.370999999999999</v>
      </c>
      <c r="D226" s="144">
        <f>INDEX(Calculation!$A$4:$M$328,MATCH(Summary!$A226,Calculation!$A$4:$A$328,0),7)</f>
        <v>10.337</v>
      </c>
      <c r="E226" s="144">
        <f t="shared" si="7"/>
        <v>26.707999999999998</v>
      </c>
      <c r="F226" s="120"/>
      <c r="G226" s="121">
        <f>INDEX(Calculation!$A$4:$M$328,MATCH(Summary!$A226,Calculation!$A$4:$A$328,0),10)</f>
        <v>7635</v>
      </c>
      <c r="H226" s="121">
        <f t="shared" si="6"/>
        <v>203916</v>
      </c>
    </row>
    <row r="227" spans="1:8" x14ac:dyDescent="0.2">
      <c r="A227" s="118" t="str">
        <f>StartupfileInput!C226</f>
        <v>5319</v>
      </c>
      <c r="B227" s="119" t="str">
        <f>INDEX(Calculation!$A$4:$M$328,MATCH(Summary!$A227,Calculation!$A$4:$A$328,0),3)</f>
        <v>PCM</v>
      </c>
      <c r="C227" s="144">
        <f>INDEX(Calculation!$A$4:$M$328,MATCH(Summary!$A227,Calculation!$A$4:$A$328,0),6)</f>
        <v>1.952</v>
      </c>
      <c r="D227" s="144">
        <f>INDEX(Calculation!$A$4:$M$328,MATCH(Summary!$A227,Calculation!$A$4:$A$328,0),7)</f>
        <v>2.105</v>
      </c>
      <c r="E227" s="144">
        <f t="shared" si="7"/>
        <v>4.0570000000000004</v>
      </c>
      <c r="F227" s="120"/>
      <c r="G227" s="121">
        <f>INDEX(Calculation!$A$4:$M$328,MATCH(Summary!$A227,Calculation!$A$4:$A$328,0),10)</f>
        <v>7635</v>
      </c>
      <c r="H227" s="121">
        <f t="shared" si="6"/>
        <v>30975</v>
      </c>
    </row>
    <row r="228" spans="1:8" x14ac:dyDescent="0.2">
      <c r="A228" s="118" t="str">
        <f>StartupfileInput!C227</f>
        <v>5121</v>
      </c>
      <c r="B228" s="119" t="str">
        <f>INDEX(Calculation!$A$4:$M$328,MATCH(Summary!$A228,Calculation!$A$4:$A$328,0),3)</f>
        <v>Panorama</v>
      </c>
      <c r="C228" s="144">
        <f>INDEX(Calculation!$A$4:$M$328,MATCH(Summary!$A228,Calculation!$A$4:$A$328,0),6)</f>
        <v>1.7430000000000001</v>
      </c>
      <c r="D228" s="144">
        <f>INDEX(Calculation!$A$4:$M$328,MATCH(Summary!$A228,Calculation!$A$4:$A$328,0),7)</f>
        <v>1.3120000000000001</v>
      </c>
      <c r="E228" s="144">
        <f t="shared" si="7"/>
        <v>3.0550000000000002</v>
      </c>
      <c r="F228" s="120"/>
      <c r="G228" s="121">
        <f>INDEX(Calculation!$A$4:$M$328,MATCH(Summary!$A228,Calculation!$A$4:$A$328,0),10)</f>
        <v>7635</v>
      </c>
      <c r="H228" s="121">
        <f t="shared" si="6"/>
        <v>23325</v>
      </c>
    </row>
    <row r="229" spans="1:8" x14ac:dyDescent="0.2">
      <c r="A229" s="118" t="str">
        <f>StartupfileInput!C228</f>
        <v>5139</v>
      </c>
      <c r="B229" s="119" t="str">
        <f>INDEX(Calculation!$A$4:$M$328,MATCH(Summary!$A229,Calculation!$A$4:$A$328,0),3)</f>
        <v>Paton-Churdan</v>
      </c>
      <c r="C229" s="144">
        <f>INDEX(Calculation!$A$4:$M$328,MATCH(Summary!$A229,Calculation!$A$4:$A$328,0),6)</f>
        <v>0.52200000000000002</v>
      </c>
      <c r="D229" s="144">
        <f>INDEX(Calculation!$A$4:$M$328,MATCH(Summary!$A229,Calculation!$A$4:$A$328,0),7)</f>
        <v>0.38100000000000001</v>
      </c>
      <c r="E229" s="144">
        <f t="shared" si="7"/>
        <v>0.90300000000000002</v>
      </c>
      <c r="F229" s="120"/>
      <c r="G229" s="121">
        <f>INDEX(Calculation!$A$4:$M$328,MATCH(Summary!$A229,Calculation!$A$4:$A$328,0),10)</f>
        <v>7767</v>
      </c>
      <c r="H229" s="121">
        <f t="shared" si="6"/>
        <v>7014</v>
      </c>
    </row>
    <row r="230" spans="1:8" x14ac:dyDescent="0.2">
      <c r="A230" s="118" t="str">
        <f>StartupfileInput!C229</f>
        <v>5163</v>
      </c>
      <c r="B230" s="119" t="str">
        <f>INDEX(Calculation!$A$4:$M$328,MATCH(Summary!$A230,Calculation!$A$4:$A$328,0),3)</f>
        <v>Pekin</v>
      </c>
      <c r="C230" s="144">
        <f>INDEX(Calculation!$A$4:$M$328,MATCH(Summary!$A230,Calculation!$A$4:$A$328,0),6)</f>
        <v>1.4259999999999999</v>
      </c>
      <c r="D230" s="144">
        <f>INDEX(Calculation!$A$4:$M$328,MATCH(Summary!$A230,Calculation!$A$4:$A$328,0),7)</f>
        <v>1.1200000000000001</v>
      </c>
      <c r="E230" s="144">
        <f t="shared" si="7"/>
        <v>2.5460000000000003</v>
      </c>
      <c r="F230" s="120"/>
      <c r="G230" s="121">
        <f>INDEX(Calculation!$A$4:$M$328,MATCH(Summary!$A230,Calculation!$A$4:$A$328,0),10)</f>
        <v>7635</v>
      </c>
      <c r="H230" s="121">
        <f t="shared" si="6"/>
        <v>19439</v>
      </c>
    </row>
    <row r="231" spans="1:8" x14ac:dyDescent="0.2">
      <c r="A231" s="118" t="str">
        <f>StartupfileInput!C230</f>
        <v>5166</v>
      </c>
      <c r="B231" s="119" t="str">
        <f>INDEX(Calculation!$A$4:$M$328,MATCH(Summary!$A231,Calculation!$A$4:$A$328,0),3)</f>
        <v>Pella</v>
      </c>
      <c r="C231" s="144">
        <f>INDEX(Calculation!$A$4:$M$328,MATCH(Summary!$A231,Calculation!$A$4:$A$328,0),6)</f>
        <v>2.73</v>
      </c>
      <c r="D231" s="144">
        <f>INDEX(Calculation!$A$4:$M$328,MATCH(Summary!$A231,Calculation!$A$4:$A$328,0),7)</f>
        <v>4.4470000000000001</v>
      </c>
      <c r="E231" s="144">
        <f t="shared" si="7"/>
        <v>7.1769999999999996</v>
      </c>
      <c r="F231" s="120"/>
      <c r="G231" s="121">
        <f>INDEX(Calculation!$A$4:$M$328,MATCH(Summary!$A231,Calculation!$A$4:$A$328,0),10)</f>
        <v>7635</v>
      </c>
      <c r="H231" s="121">
        <f t="shared" si="6"/>
        <v>54796</v>
      </c>
    </row>
    <row r="232" spans="1:8" x14ac:dyDescent="0.2">
      <c r="A232" s="118" t="str">
        <f>StartupfileInput!C231</f>
        <v>5184</v>
      </c>
      <c r="B232" s="119" t="str">
        <f>INDEX(Calculation!$A$4:$M$328,MATCH(Summary!$A232,Calculation!$A$4:$A$328,0),3)</f>
        <v>Perry</v>
      </c>
      <c r="C232" s="144">
        <f>INDEX(Calculation!$A$4:$M$328,MATCH(Summary!$A232,Calculation!$A$4:$A$328,0),6)</f>
        <v>7.2039999999999997</v>
      </c>
      <c r="D232" s="144">
        <f>INDEX(Calculation!$A$4:$M$328,MATCH(Summary!$A232,Calculation!$A$4:$A$328,0),7)</f>
        <v>3.782</v>
      </c>
      <c r="E232" s="144">
        <f t="shared" si="7"/>
        <v>10.986000000000001</v>
      </c>
      <c r="F232" s="120"/>
      <c r="G232" s="121">
        <f>INDEX(Calculation!$A$4:$M$328,MATCH(Summary!$A232,Calculation!$A$4:$A$328,0),10)</f>
        <v>7635</v>
      </c>
      <c r="H232" s="121">
        <f t="shared" si="6"/>
        <v>83878</v>
      </c>
    </row>
    <row r="233" spans="1:8" x14ac:dyDescent="0.2">
      <c r="A233" s="118" t="str">
        <f>StartupfileInput!C232</f>
        <v>5250</v>
      </c>
      <c r="B233" s="119" t="str">
        <f>INDEX(Calculation!$A$4:$M$328,MATCH(Summary!$A233,Calculation!$A$4:$A$328,0),3)</f>
        <v>Pleasant Valley</v>
      </c>
      <c r="C233" s="144">
        <f>INDEX(Calculation!$A$4:$M$328,MATCH(Summary!$A233,Calculation!$A$4:$A$328,0),6)</f>
        <v>3.94</v>
      </c>
      <c r="D233" s="144">
        <f>INDEX(Calculation!$A$4:$M$328,MATCH(Summary!$A233,Calculation!$A$4:$A$328,0),7)</f>
        <v>11.336</v>
      </c>
      <c r="E233" s="144">
        <f t="shared" si="7"/>
        <v>15.276</v>
      </c>
      <c r="F233" s="120"/>
      <c r="G233" s="121">
        <f>INDEX(Calculation!$A$4:$M$328,MATCH(Summary!$A233,Calculation!$A$4:$A$328,0),10)</f>
        <v>7733</v>
      </c>
      <c r="H233" s="121">
        <f t="shared" si="6"/>
        <v>118129</v>
      </c>
    </row>
    <row r="234" spans="1:8" x14ac:dyDescent="0.2">
      <c r="A234" s="118" t="str">
        <f>StartupfileInput!C233</f>
        <v>5256</v>
      </c>
      <c r="B234" s="119" t="str">
        <f>INDEX(Calculation!$A$4:$M$328,MATCH(Summary!$A234,Calculation!$A$4:$A$328,0),3)</f>
        <v>Pleasantville</v>
      </c>
      <c r="C234" s="144">
        <f>INDEX(Calculation!$A$4:$M$328,MATCH(Summary!$A234,Calculation!$A$4:$A$328,0),6)</f>
        <v>1.6870000000000001</v>
      </c>
      <c r="D234" s="144">
        <f>INDEX(Calculation!$A$4:$M$328,MATCH(Summary!$A234,Calculation!$A$4:$A$328,0),7)</f>
        <v>1.452</v>
      </c>
      <c r="E234" s="144">
        <f t="shared" si="7"/>
        <v>3.1390000000000002</v>
      </c>
      <c r="F234" s="120"/>
      <c r="G234" s="121">
        <f>INDEX(Calculation!$A$4:$M$328,MATCH(Summary!$A234,Calculation!$A$4:$A$328,0),10)</f>
        <v>7635</v>
      </c>
      <c r="H234" s="121">
        <f t="shared" si="6"/>
        <v>23966</v>
      </c>
    </row>
    <row r="235" spans="1:8" x14ac:dyDescent="0.2">
      <c r="A235" s="118" t="str">
        <f>StartupfileInput!C234</f>
        <v>5283</v>
      </c>
      <c r="B235" s="119" t="str">
        <f>INDEX(Calculation!$A$4:$M$328,MATCH(Summary!$A235,Calculation!$A$4:$A$328,0),3)</f>
        <v>Pocahontas Area</v>
      </c>
      <c r="C235" s="144">
        <f>INDEX(Calculation!$A$4:$M$328,MATCH(Summary!$A235,Calculation!$A$4:$A$328,0),6)</f>
        <v>2.573</v>
      </c>
      <c r="D235" s="144">
        <f>INDEX(Calculation!$A$4:$M$328,MATCH(Summary!$A235,Calculation!$A$4:$A$328,0),7)</f>
        <v>1.3660000000000001</v>
      </c>
      <c r="E235" s="144">
        <f t="shared" si="7"/>
        <v>3.9390000000000001</v>
      </c>
      <c r="F235" s="120"/>
      <c r="G235" s="121">
        <f>INDEX(Calculation!$A$4:$M$328,MATCH(Summary!$A235,Calculation!$A$4:$A$328,0),10)</f>
        <v>7735</v>
      </c>
      <c r="H235" s="121">
        <f t="shared" si="6"/>
        <v>30468</v>
      </c>
    </row>
    <row r="236" spans="1:8" x14ac:dyDescent="0.2">
      <c r="A236" s="118" t="str">
        <f>StartupfileInput!C235</f>
        <v>5310</v>
      </c>
      <c r="B236" s="119" t="str">
        <f>INDEX(Calculation!$A$4:$M$328,MATCH(Summary!$A236,Calculation!$A$4:$A$328,0),3)</f>
        <v>Postville</v>
      </c>
      <c r="C236" s="144">
        <f>INDEX(Calculation!$A$4:$M$328,MATCH(Summary!$A236,Calculation!$A$4:$A$328,0),6)</f>
        <v>3.43</v>
      </c>
      <c r="D236" s="144">
        <f>INDEX(Calculation!$A$4:$M$328,MATCH(Summary!$A236,Calculation!$A$4:$A$328,0),7)</f>
        <v>1.4139999999999999</v>
      </c>
      <c r="E236" s="144">
        <f t="shared" si="7"/>
        <v>4.8440000000000003</v>
      </c>
      <c r="F236" s="120"/>
      <c r="G236" s="121">
        <f>INDEX(Calculation!$A$4:$M$328,MATCH(Summary!$A236,Calculation!$A$4:$A$328,0),10)</f>
        <v>7635</v>
      </c>
      <c r="H236" s="121">
        <f t="shared" si="6"/>
        <v>36984</v>
      </c>
    </row>
    <row r="237" spans="1:8" x14ac:dyDescent="0.2">
      <c r="A237" s="118" t="str">
        <f>StartupfileInput!C236</f>
        <v>5463</v>
      </c>
      <c r="B237" s="119" t="str">
        <f>INDEX(Calculation!$A$4:$M$328,MATCH(Summary!$A237,Calculation!$A$4:$A$328,0),3)</f>
        <v>Red Oak</v>
      </c>
      <c r="C237" s="144">
        <f>INDEX(Calculation!$A$4:$M$328,MATCH(Summary!$A237,Calculation!$A$4:$A$328,0),6)</f>
        <v>3.98</v>
      </c>
      <c r="D237" s="144">
        <f>INDEX(Calculation!$A$4:$M$328,MATCH(Summary!$A237,Calculation!$A$4:$A$328,0),7)</f>
        <v>2.1110000000000002</v>
      </c>
      <c r="E237" s="144">
        <f t="shared" si="7"/>
        <v>6.0910000000000002</v>
      </c>
      <c r="F237" s="120"/>
      <c r="G237" s="121">
        <f>INDEX(Calculation!$A$4:$M$328,MATCH(Summary!$A237,Calculation!$A$4:$A$328,0),10)</f>
        <v>7635</v>
      </c>
      <c r="H237" s="121">
        <f t="shared" si="6"/>
        <v>46505</v>
      </c>
    </row>
    <row r="238" spans="1:8" x14ac:dyDescent="0.2">
      <c r="A238" s="118" t="str">
        <f>StartupfileInput!C237</f>
        <v>5486</v>
      </c>
      <c r="B238" s="119" t="str">
        <f>INDEX(Calculation!$A$4:$M$328,MATCH(Summary!$A238,Calculation!$A$4:$A$328,0),3)</f>
        <v>Remsen-Union</v>
      </c>
      <c r="C238" s="144">
        <f>INDEX(Calculation!$A$4:$M$328,MATCH(Summary!$A238,Calculation!$A$4:$A$328,0),6)</f>
        <v>0.77400000000000002</v>
      </c>
      <c r="D238" s="144">
        <f>INDEX(Calculation!$A$4:$M$328,MATCH(Summary!$A238,Calculation!$A$4:$A$328,0),7)</f>
        <v>0.68100000000000005</v>
      </c>
      <c r="E238" s="144">
        <f t="shared" si="7"/>
        <v>1.4550000000000001</v>
      </c>
      <c r="F238" s="120"/>
      <c r="G238" s="121">
        <f>INDEX(Calculation!$A$4:$M$328,MATCH(Summary!$A238,Calculation!$A$4:$A$328,0),10)</f>
        <v>7635</v>
      </c>
      <c r="H238" s="121">
        <f t="shared" si="6"/>
        <v>11109</v>
      </c>
    </row>
    <row r="239" spans="1:8" x14ac:dyDescent="0.2">
      <c r="A239" s="118" t="str">
        <f>StartupfileInput!C238</f>
        <v>5508</v>
      </c>
      <c r="B239" s="119" t="str">
        <f>INDEX(Calculation!$A$4:$M$328,MATCH(Summary!$A239,Calculation!$A$4:$A$328,0),3)</f>
        <v>Riceville</v>
      </c>
      <c r="C239" s="144">
        <f>INDEX(Calculation!$A$4:$M$328,MATCH(Summary!$A239,Calculation!$A$4:$A$328,0),6)</f>
        <v>1.083</v>
      </c>
      <c r="D239" s="144">
        <f>INDEX(Calculation!$A$4:$M$328,MATCH(Summary!$A239,Calculation!$A$4:$A$328,0),7)</f>
        <v>0.67600000000000005</v>
      </c>
      <c r="E239" s="144">
        <f t="shared" si="7"/>
        <v>1.7589999999999999</v>
      </c>
      <c r="F239" s="120"/>
      <c r="G239" s="121">
        <f>INDEX(Calculation!$A$4:$M$328,MATCH(Summary!$A239,Calculation!$A$4:$A$328,0),10)</f>
        <v>7635</v>
      </c>
      <c r="H239" s="121">
        <f t="shared" si="6"/>
        <v>13430</v>
      </c>
    </row>
    <row r="240" spans="1:8" x14ac:dyDescent="0.2">
      <c r="A240" s="118" t="str">
        <f>StartupfileInput!C239</f>
        <v>1975</v>
      </c>
      <c r="B240" s="119" t="str">
        <f>INDEX(Calculation!$A$4:$M$328,MATCH(Summary!$A240,Calculation!$A$4:$A$328,0),3)</f>
        <v>River Valley</v>
      </c>
      <c r="C240" s="144">
        <f>INDEX(Calculation!$A$4:$M$328,MATCH(Summary!$A240,Calculation!$A$4:$A$328,0),6)</f>
        <v>1.524</v>
      </c>
      <c r="D240" s="144">
        <f>INDEX(Calculation!$A$4:$M$328,MATCH(Summary!$A240,Calculation!$A$4:$A$328,0),7)</f>
        <v>0.76</v>
      </c>
      <c r="E240" s="144">
        <f t="shared" si="7"/>
        <v>2.2839999999999998</v>
      </c>
      <c r="F240" s="120"/>
      <c r="G240" s="121">
        <f>INDEX(Calculation!$A$4:$M$328,MATCH(Summary!$A240,Calculation!$A$4:$A$328,0),10)</f>
        <v>7635</v>
      </c>
      <c r="H240" s="121">
        <f t="shared" si="6"/>
        <v>17438</v>
      </c>
    </row>
    <row r="241" spans="1:8" x14ac:dyDescent="0.2">
      <c r="A241" s="118" t="str">
        <f>StartupfileInput!C240</f>
        <v>4824</v>
      </c>
      <c r="B241" s="119" t="str">
        <f>INDEX(Calculation!$A$4:$M$328,MATCH(Summary!$A241,Calculation!$A$4:$A$328,0),3)</f>
        <v>Riverside</v>
      </c>
      <c r="C241" s="144">
        <f>INDEX(Calculation!$A$4:$M$328,MATCH(Summary!$A241,Calculation!$A$4:$A$328,0),6)</f>
        <v>2.1960000000000002</v>
      </c>
      <c r="D241" s="144">
        <f>INDEX(Calculation!$A$4:$M$328,MATCH(Summary!$A241,Calculation!$A$4:$A$328,0),7)</f>
        <v>1.4610000000000001</v>
      </c>
      <c r="E241" s="144">
        <f t="shared" si="7"/>
        <v>3.657</v>
      </c>
      <c r="F241" s="120"/>
      <c r="G241" s="121">
        <f>INDEX(Calculation!$A$4:$M$328,MATCH(Summary!$A241,Calculation!$A$4:$A$328,0),10)</f>
        <v>7635</v>
      </c>
      <c r="H241" s="121">
        <f t="shared" si="6"/>
        <v>27921</v>
      </c>
    </row>
    <row r="242" spans="1:8" x14ac:dyDescent="0.2">
      <c r="A242" s="118" t="str">
        <f>StartupfileInput!C241</f>
        <v>5607</v>
      </c>
      <c r="B242" s="119" t="str">
        <f>INDEX(Calculation!$A$4:$M$328,MATCH(Summary!$A242,Calculation!$A$4:$A$328,0),3)</f>
        <v>Rock Valley</v>
      </c>
      <c r="C242" s="144">
        <f>INDEX(Calculation!$A$4:$M$328,MATCH(Summary!$A242,Calculation!$A$4:$A$328,0),6)</f>
        <v>2.665</v>
      </c>
      <c r="D242" s="144">
        <f>INDEX(Calculation!$A$4:$M$328,MATCH(Summary!$A242,Calculation!$A$4:$A$328,0),7)</f>
        <v>1.736</v>
      </c>
      <c r="E242" s="144">
        <f t="shared" si="7"/>
        <v>4.4009999999999998</v>
      </c>
      <c r="F242" s="120"/>
      <c r="G242" s="121">
        <f>INDEX(Calculation!$A$4:$M$328,MATCH(Summary!$A242,Calculation!$A$4:$A$328,0),10)</f>
        <v>7641</v>
      </c>
      <c r="H242" s="121">
        <f t="shared" si="6"/>
        <v>33628</v>
      </c>
    </row>
    <row r="243" spans="1:8" x14ac:dyDescent="0.2">
      <c r="A243" s="118" t="str">
        <f>StartupfileInput!C242</f>
        <v>5643</v>
      </c>
      <c r="B243" s="119" t="str">
        <f>INDEX(Calculation!$A$4:$M$328,MATCH(Summary!$A243,Calculation!$A$4:$A$328,0),3)</f>
        <v>Roland-Story</v>
      </c>
      <c r="C243" s="144">
        <f>INDEX(Calculation!$A$4:$M$328,MATCH(Summary!$A243,Calculation!$A$4:$A$328,0),6)</f>
        <v>1.4870000000000001</v>
      </c>
      <c r="D243" s="144">
        <f>INDEX(Calculation!$A$4:$M$328,MATCH(Summary!$A243,Calculation!$A$4:$A$328,0),7)</f>
        <v>2.0489999999999999</v>
      </c>
      <c r="E243" s="144">
        <f t="shared" si="7"/>
        <v>3.536</v>
      </c>
      <c r="F243" s="120"/>
      <c r="G243" s="121">
        <f>INDEX(Calculation!$A$4:$M$328,MATCH(Summary!$A243,Calculation!$A$4:$A$328,0),10)</f>
        <v>7635</v>
      </c>
      <c r="H243" s="121">
        <f t="shared" si="6"/>
        <v>26997</v>
      </c>
    </row>
    <row r="244" spans="1:8" x14ac:dyDescent="0.2">
      <c r="A244" s="118" t="str">
        <f>StartupfileInput!C243</f>
        <v>5697</v>
      </c>
      <c r="B244" s="119" t="str">
        <f>INDEX(Calculation!$A$4:$M$328,MATCH(Summary!$A244,Calculation!$A$4:$A$328,0),3)</f>
        <v>Rudd-Rockford-Marble Rock</v>
      </c>
      <c r="C244" s="144">
        <f>INDEX(Calculation!$A$4:$M$328,MATCH(Summary!$A244,Calculation!$A$4:$A$328,0),6)</f>
        <v>1.7010000000000001</v>
      </c>
      <c r="D244" s="144">
        <f>INDEX(Calculation!$A$4:$M$328,MATCH(Summary!$A244,Calculation!$A$4:$A$328,0),7)</f>
        <v>0.86899999999999999</v>
      </c>
      <c r="E244" s="144">
        <f t="shared" si="7"/>
        <v>2.5700000000000003</v>
      </c>
      <c r="F244" s="120"/>
      <c r="G244" s="121">
        <f>INDEX(Calculation!$A$4:$M$328,MATCH(Summary!$A244,Calculation!$A$4:$A$328,0),10)</f>
        <v>7635</v>
      </c>
      <c r="H244" s="121">
        <f t="shared" si="6"/>
        <v>19622</v>
      </c>
    </row>
    <row r="245" spans="1:8" x14ac:dyDescent="0.2">
      <c r="A245" s="118" t="str">
        <f>StartupfileInput!C244</f>
        <v>5724</v>
      </c>
      <c r="B245" s="119" t="str">
        <f>INDEX(Calculation!$A$4:$M$328,MATCH(Summary!$A245,Calculation!$A$4:$A$328,0),3)</f>
        <v>Ruthven-Ayrshire</v>
      </c>
      <c r="C245" s="144">
        <f>INDEX(Calculation!$A$4:$M$328,MATCH(Summary!$A245,Calculation!$A$4:$A$328,0),6)</f>
        <v>0.71299999999999997</v>
      </c>
      <c r="D245" s="144">
        <f>INDEX(Calculation!$A$4:$M$328,MATCH(Summary!$A245,Calculation!$A$4:$A$328,0),7)</f>
        <v>0.39400000000000002</v>
      </c>
      <c r="E245" s="144">
        <f t="shared" si="7"/>
        <v>1.107</v>
      </c>
      <c r="F245" s="120"/>
      <c r="G245" s="121">
        <f>INDEX(Calculation!$A$4:$M$328,MATCH(Summary!$A245,Calculation!$A$4:$A$328,0),10)</f>
        <v>7635</v>
      </c>
      <c r="H245" s="121">
        <f t="shared" si="6"/>
        <v>8452</v>
      </c>
    </row>
    <row r="246" spans="1:8" x14ac:dyDescent="0.2">
      <c r="A246" s="118" t="str">
        <f>StartupfileInput!C245</f>
        <v>5805</v>
      </c>
      <c r="B246" s="119" t="str">
        <f>INDEX(Calculation!$A$4:$M$328,MATCH(Summary!$A246,Calculation!$A$4:$A$328,0),3)</f>
        <v>Saydel</v>
      </c>
      <c r="C246" s="144">
        <f>INDEX(Calculation!$A$4:$M$328,MATCH(Summary!$A246,Calculation!$A$4:$A$328,0),6)</f>
        <v>4.3049999999999997</v>
      </c>
      <c r="D246" s="144">
        <f>INDEX(Calculation!$A$4:$M$328,MATCH(Summary!$A246,Calculation!$A$4:$A$328,0),7)</f>
        <v>2.177</v>
      </c>
      <c r="E246" s="144">
        <f t="shared" si="7"/>
        <v>6.4819999999999993</v>
      </c>
      <c r="F246" s="120"/>
      <c r="G246" s="121">
        <f>INDEX(Calculation!$A$4:$M$328,MATCH(Summary!$A246,Calculation!$A$4:$A$328,0),10)</f>
        <v>7668</v>
      </c>
      <c r="H246" s="121">
        <f t="shared" si="6"/>
        <v>49704</v>
      </c>
    </row>
    <row r="247" spans="1:8" x14ac:dyDescent="0.2">
      <c r="A247" s="118" t="str">
        <f>StartupfileInput!C246</f>
        <v>5823</v>
      </c>
      <c r="B247" s="119" t="str">
        <f>INDEX(Calculation!$A$4:$M$328,MATCH(Summary!$A247,Calculation!$A$4:$A$328,0),3)</f>
        <v>Schaller-Crestland</v>
      </c>
      <c r="C247" s="144">
        <f>INDEX(Calculation!$A$4:$M$328,MATCH(Summary!$A247,Calculation!$A$4:$A$328,0),6)</f>
        <v>1.18</v>
      </c>
      <c r="D247" s="144">
        <f>INDEX(Calculation!$A$4:$M$328,MATCH(Summary!$A247,Calculation!$A$4:$A$328,0),7)</f>
        <v>0.72599999999999998</v>
      </c>
      <c r="E247" s="144">
        <f t="shared" si="7"/>
        <v>1.9059999999999999</v>
      </c>
      <c r="F247" s="120"/>
      <c r="G247" s="121">
        <f>INDEX(Calculation!$A$4:$M$328,MATCH(Summary!$A247,Calculation!$A$4:$A$328,0),10)</f>
        <v>7667</v>
      </c>
      <c r="H247" s="121">
        <f t="shared" si="6"/>
        <v>14613</v>
      </c>
    </row>
    <row r="248" spans="1:8" x14ac:dyDescent="0.2">
      <c r="A248" s="118" t="str">
        <f>StartupfileInput!C247</f>
        <v>5832</v>
      </c>
      <c r="B248" s="119" t="str">
        <f>INDEX(Calculation!$A$4:$M$328,MATCH(Summary!$A248,Calculation!$A$4:$A$328,0),3)</f>
        <v>Schleswig</v>
      </c>
      <c r="C248" s="144">
        <f>INDEX(Calculation!$A$4:$M$328,MATCH(Summary!$A248,Calculation!$A$4:$A$328,0),6)</f>
        <v>0.64400000000000002</v>
      </c>
      <c r="D248" s="144">
        <f>INDEX(Calculation!$A$4:$M$328,MATCH(Summary!$A248,Calculation!$A$4:$A$328,0),7)</f>
        <v>0.441</v>
      </c>
      <c r="E248" s="144">
        <f t="shared" si="7"/>
        <v>1.085</v>
      </c>
      <c r="F248" s="120"/>
      <c r="G248" s="121">
        <f>INDEX(Calculation!$A$4:$M$328,MATCH(Summary!$A248,Calculation!$A$4:$A$328,0),10)</f>
        <v>7635</v>
      </c>
      <c r="H248" s="121">
        <f t="shared" si="6"/>
        <v>8284</v>
      </c>
    </row>
    <row r="249" spans="1:8" x14ac:dyDescent="0.2">
      <c r="A249" s="118" t="str">
        <f>StartupfileInput!C248</f>
        <v>5877</v>
      </c>
      <c r="B249" s="119" t="str">
        <f>INDEX(Calculation!$A$4:$M$328,MATCH(Summary!$A249,Calculation!$A$4:$A$328,0),3)</f>
        <v>Sergeant Bluff-Luton</v>
      </c>
      <c r="C249" s="144">
        <f>INDEX(Calculation!$A$4:$M$328,MATCH(Summary!$A249,Calculation!$A$4:$A$328,0),6)</f>
        <v>3.2229999999999999</v>
      </c>
      <c r="D249" s="144">
        <f>INDEX(Calculation!$A$4:$M$328,MATCH(Summary!$A249,Calculation!$A$4:$A$328,0),7)</f>
        <v>2.9039999999999999</v>
      </c>
      <c r="E249" s="144">
        <f t="shared" si="7"/>
        <v>6.1269999999999998</v>
      </c>
      <c r="F249" s="120"/>
      <c r="G249" s="121">
        <f>INDEX(Calculation!$A$4:$M$328,MATCH(Summary!$A249,Calculation!$A$4:$A$328,0),10)</f>
        <v>7635</v>
      </c>
      <c r="H249" s="121">
        <f t="shared" si="6"/>
        <v>46780</v>
      </c>
    </row>
    <row r="250" spans="1:8" x14ac:dyDescent="0.2">
      <c r="A250" s="118" t="str">
        <f>StartupfileInput!C249</f>
        <v>5895</v>
      </c>
      <c r="B250" s="119" t="str">
        <f>INDEX(Calculation!$A$4:$M$328,MATCH(Summary!$A250,Calculation!$A$4:$A$328,0),3)</f>
        <v>Seymour</v>
      </c>
      <c r="C250" s="144">
        <f>INDEX(Calculation!$A$4:$M$328,MATCH(Summary!$A250,Calculation!$A$4:$A$328,0),6)</f>
        <v>0.97299999999999998</v>
      </c>
      <c r="D250" s="144">
        <f>INDEX(Calculation!$A$4:$M$328,MATCH(Summary!$A250,Calculation!$A$4:$A$328,0),7)</f>
        <v>0.48299999999999998</v>
      </c>
      <c r="E250" s="144">
        <f t="shared" si="7"/>
        <v>1.456</v>
      </c>
      <c r="F250" s="120"/>
      <c r="G250" s="121">
        <f>INDEX(Calculation!$A$4:$M$328,MATCH(Summary!$A250,Calculation!$A$4:$A$328,0),10)</f>
        <v>7635</v>
      </c>
      <c r="H250" s="121">
        <f t="shared" si="6"/>
        <v>11117</v>
      </c>
    </row>
    <row r="251" spans="1:8" x14ac:dyDescent="0.2">
      <c r="A251" s="118" t="str">
        <f>StartupfileInput!C250</f>
        <v>5949</v>
      </c>
      <c r="B251" s="119" t="str">
        <f>INDEX(Calculation!$A$4:$M$328,MATCH(Summary!$A251,Calculation!$A$4:$A$328,0),3)</f>
        <v>Sheldon</v>
      </c>
      <c r="C251" s="144">
        <f>INDEX(Calculation!$A$4:$M$328,MATCH(Summary!$A251,Calculation!$A$4:$A$328,0),6)</f>
        <v>3.1720000000000002</v>
      </c>
      <c r="D251" s="144">
        <f>INDEX(Calculation!$A$4:$M$328,MATCH(Summary!$A251,Calculation!$A$4:$A$328,0),7)</f>
        <v>2.2490000000000001</v>
      </c>
      <c r="E251" s="144">
        <f t="shared" si="7"/>
        <v>5.4210000000000003</v>
      </c>
      <c r="F251" s="120"/>
      <c r="G251" s="121">
        <f>INDEX(Calculation!$A$4:$M$328,MATCH(Summary!$A251,Calculation!$A$4:$A$328,0),10)</f>
        <v>7635</v>
      </c>
      <c r="H251" s="121">
        <f t="shared" si="6"/>
        <v>41389</v>
      </c>
    </row>
    <row r="252" spans="1:8" x14ac:dyDescent="0.2">
      <c r="A252" s="118" t="str">
        <f>StartupfileInput!C251</f>
        <v>5976</v>
      </c>
      <c r="B252" s="119" t="str">
        <f>INDEX(Calculation!$A$4:$M$328,MATCH(Summary!$A252,Calculation!$A$4:$A$328,0),3)</f>
        <v>Shenandoah</v>
      </c>
      <c r="C252" s="144">
        <f>INDEX(Calculation!$A$4:$M$328,MATCH(Summary!$A252,Calculation!$A$4:$A$328,0),6)</f>
        <v>2.6230000000000002</v>
      </c>
      <c r="D252" s="144">
        <f>INDEX(Calculation!$A$4:$M$328,MATCH(Summary!$A252,Calculation!$A$4:$A$328,0),7)</f>
        <v>2.1429999999999998</v>
      </c>
      <c r="E252" s="144">
        <f t="shared" si="7"/>
        <v>4.766</v>
      </c>
      <c r="F252" s="120"/>
      <c r="G252" s="121">
        <f>INDEX(Calculation!$A$4:$M$328,MATCH(Summary!$A252,Calculation!$A$4:$A$328,0),10)</f>
        <v>7635</v>
      </c>
      <c r="H252" s="121">
        <f t="shared" si="6"/>
        <v>36388</v>
      </c>
    </row>
    <row r="253" spans="1:8" x14ac:dyDescent="0.2">
      <c r="A253" s="118" t="str">
        <f>StartupfileInput!C252</f>
        <v>5994</v>
      </c>
      <c r="B253" s="119" t="str">
        <f>INDEX(Calculation!$A$4:$M$328,MATCH(Summary!$A253,Calculation!$A$4:$A$328,0),3)</f>
        <v>Sibley-Ocheyedan</v>
      </c>
      <c r="C253" s="144">
        <f>INDEX(Calculation!$A$4:$M$328,MATCH(Summary!$A253,Calculation!$A$4:$A$328,0),6)</f>
        <v>2.395</v>
      </c>
      <c r="D253" s="144">
        <f>INDEX(Calculation!$A$4:$M$328,MATCH(Summary!$A253,Calculation!$A$4:$A$328,0),7)</f>
        <v>1.4059999999999999</v>
      </c>
      <c r="E253" s="144">
        <f t="shared" si="7"/>
        <v>3.8010000000000002</v>
      </c>
      <c r="F253" s="120"/>
      <c r="G253" s="121">
        <f>INDEX(Calculation!$A$4:$M$328,MATCH(Summary!$A253,Calculation!$A$4:$A$328,0),10)</f>
        <v>7635</v>
      </c>
      <c r="H253" s="121">
        <f t="shared" si="6"/>
        <v>29021</v>
      </c>
    </row>
    <row r="254" spans="1:8" x14ac:dyDescent="0.2">
      <c r="A254" s="118" t="str">
        <f>StartupfileInput!C253</f>
        <v>6003</v>
      </c>
      <c r="B254" s="119" t="str">
        <f>INDEX(Calculation!$A$4:$M$328,MATCH(Summary!$A254,Calculation!$A$4:$A$328,0),3)</f>
        <v>Sidney</v>
      </c>
      <c r="C254" s="144">
        <f>INDEX(Calculation!$A$4:$M$328,MATCH(Summary!$A254,Calculation!$A$4:$A$328,0),6)</f>
        <v>1.2989999999999999</v>
      </c>
      <c r="D254" s="144">
        <f>INDEX(Calculation!$A$4:$M$328,MATCH(Summary!$A254,Calculation!$A$4:$A$328,0),7)</f>
        <v>0.78700000000000003</v>
      </c>
      <c r="E254" s="144">
        <f t="shared" si="7"/>
        <v>2.0859999999999999</v>
      </c>
      <c r="F254" s="120"/>
      <c r="G254" s="121">
        <f>INDEX(Calculation!$A$4:$M$328,MATCH(Summary!$A254,Calculation!$A$4:$A$328,0),10)</f>
        <v>7635</v>
      </c>
      <c r="H254" s="121">
        <f t="shared" si="6"/>
        <v>15927</v>
      </c>
    </row>
    <row r="255" spans="1:8" x14ac:dyDescent="0.2">
      <c r="A255" s="118" t="str">
        <f>StartupfileInput!C254</f>
        <v>6012</v>
      </c>
      <c r="B255" s="119" t="str">
        <f>INDEX(Calculation!$A$4:$M$328,MATCH(Summary!$A255,Calculation!$A$4:$A$328,0),3)</f>
        <v>Sigourney</v>
      </c>
      <c r="C255" s="144">
        <f>INDEX(Calculation!$A$4:$M$328,MATCH(Summary!$A255,Calculation!$A$4:$A$328,0),6)</f>
        <v>1.41</v>
      </c>
      <c r="D255" s="144">
        <f>INDEX(Calculation!$A$4:$M$328,MATCH(Summary!$A255,Calculation!$A$4:$A$328,0),7)</f>
        <v>1.127</v>
      </c>
      <c r="E255" s="144">
        <f t="shared" si="7"/>
        <v>2.5369999999999999</v>
      </c>
      <c r="F255" s="120"/>
      <c r="G255" s="121">
        <f>INDEX(Calculation!$A$4:$M$328,MATCH(Summary!$A255,Calculation!$A$4:$A$328,0),10)</f>
        <v>7635</v>
      </c>
      <c r="H255" s="121">
        <f t="shared" si="6"/>
        <v>19370</v>
      </c>
    </row>
    <row r="256" spans="1:8" x14ac:dyDescent="0.2">
      <c r="A256" s="118" t="str">
        <f>StartupfileInput!C255</f>
        <v>6030</v>
      </c>
      <c r="B256" s="119" t="str">
        <f>INDEX(Calculation!$A$4:$M$328,MATCH(Summary!$A256,Calculation!$A$4:$A$328,0),3)</f>
        <v>Sioux Center</v>
      </c>
      <c r="C256" s="144">
        <f>INDEX(Calculation!$A$4:$M$328,MATCH(Summary!$A256,Calculation!$A$4:$A$328,0),6)</f>
        <v>4.2779999999999996</v>
      </c>
      <c r="D256" s="144">
        <f>INDEX(Calculation!$A$4:$M$328,MATCH(Summary!$A256,Calculation!$A$4:$A$328,0),7)</f>
        <v>3.0609999999999999</v>
      </c>
      <c r="E256" s="144">
        <f t="shared" si="7"/>
        <v>7.3389999999999995</v>
      </c>
      <c r="F256" s="120"/>
      <c r="G256" s="121">
        <f>INDEX(Calculation!$A$4:$M$328,MATCH(Summary!$A256,Calculation!$A$4:$A$328,0),10)</f>
        <v>7635</v>
      </c>
      <c r="H256" s="121">
        <f t="shared" si="6"/>
        <v>56033</v>
      </c>
    </row>
    <row r="257" spans="1:8" x14ac:dyDescent="0.2">
      <c r="A257" s="118" t="str">
        <f>StartupfileInput!C256</f>
        <v>6048</v>
      </c>
      <c r="B257" s="119" t="str">
        <f>INDEX(Calculation!$A$4:$M$328,MATCH(Summary!$A257,Calculation!$A$4:$A$328,0),3)</f>
        <v>Sioux Central</v>
      </c>
      <c r="C257" s="144">
        <f>INDEX(Calculation!$A$4:$M$328,MATCH(Summary!$A257,Calculation!$A$4:$A$328,0),6)</f>
        <v>1.0449999999999999</v>
      </c>
      <c r="D257" s="144">
        <f>INDEX(Calculation!$A$4:$M$328,MATCH(Summary!$A257,Calculation!$A$4:$A$328,0),7)</f>
        <v>0.9</v>
      </c>
      <c r="E257" s="144">
        <f t="shared" si="7"/>
        <v>1.9449999999999998</v>
      </c>
      <c r="F257" s="120"/>
      <c r="G257" s="121">
        <f>INDEX(Calculation!$A$4:$M$328,MATCH(Summary!$A257,Calculation!$A$4:$A$328,0),10)</f>
        <v>7635</v>
      </c>
      <c r="H257" s="121">
        <f t="shared" ref="H257:H318" si="8">ROUND(E257*G257,0)</f>
        <v>14850</v>
      </c>
    </row>
    <row r="258" spans="1:8" x14ac:dyDescent="0.2">
      <c r="A258" s="118" t="str">
        <f>StartupfileInput!C257</f>
        <v>6039</v>
      </c>
      <c r="B258" s="119" t="str">
        <f>INDEX(Calculation!$A$4:$M$328,MATCH(Summary!$A258,Calculation!$A$4:$A$328,0),3)</f>
        <v>Sioux City</v>
      </c>
      <c r="C258" s="144">
        <f>INDEX(Calculation!$A$4:$M$328,MATCH(Summary!$A258,Calculation!$A$4:$A$328,0),6)</f>
        <v>67.923000000000002</v>
      </c>
      <c r="D258" s="144">
        <f>INDEX(Calculation!$A$4:$M$328,MATCH(Summary!$A258,Calculation!$A$4:$A$328,0),7)</f>
        <v>30.273</v>
      </c>
      <c r="E258" s="144">
        <f t="shared" si="7"/>
        <v>98.195999999999998</v>
      </c>
      <c r="F258" s="120"/>
      <c r="G258" s="121">
        <f>INDEX(Calculation!$A$4:$M$328,MATCH(Summary!$A258,Calculation!$A$4:$A$328,0),10)</f>
        <v>7635</v>
      </c>
      <c r="H258" s="121">
        <f t="shared" si="8"/>
        <v>749726</v>
      </c>
    </row>
    <row r="259" spans="1:8" x14ac:dyDescent="0.2">
      <c r="A259" s="118" t="str">
        <f>StartupfileInput!C258</f>
        <v>6093</v>
      </c>
      <c r="B259" s="119" t="str">
        <f>INDEX(Calculation!$A$4:$M$328,MATCH(Summary!$A259,Calculation!$A$4:$A$328,0),3)</f>
        <v>Solon</v>
      </c>
      <c r="C259" s="144">
        <f>INDEX(Calculation!$A$4:$M$328,MATCH(Summary!$A259,Calculation!$A$4:$A$328,0),6)</f>
        <v>0.72</v>
      </c>
      <c r="D259" s="144">
        <f>INDEX(Calculation!$A$4:$M$328,MATCH(Summary!$A259,Calculation!$A$4:$A$328,0),7)</f>
        <v>2.9609999999999999</v>
      </c>
      <c r="E259" s="144">
        <f t="shared" si="7"/>
        <v>3.681</v>
      </c>
      <c r="F259" s="120"/>
      <c r="G259" s="121">
        <f>INDEX(Calculation!$A$4:$M$328,MATCH(Summary!$A259,Calculation!$A$4:$A$328,0),10)</f>
        <v>7635</v>
      </c>
      <c r="H259" s="121">
        <f t="shared" si="8"/>
        <v>28104</v>
      </c>
    </row>
    <row r="260" spans="1:8" x14ac:dyDescent="0.2">
      <c r="A260" s="118" t="str">
        <f>StartupfileInput!C259</f>
        <v>6091</v>
      </c>
      <c r="B260" s="119" t="str">
        <f>INDEX(Calculation!$A$4:$M$328,MATCH(Summary!$A260,Calculation!$A$4:$A$328,0),3)</f>
        <v>South Central Calhoun</v>
      </c>
      <c r="C260" s="144">
        <f>INDEX(Calculation!$A$4:$M$328,MATCH(Summary!$A260,Calculation!$A$4:$A$328,0),6)</f>
        <v>2.9649999999999999</v>
      </c>
      <c r="D260" s="144">
        <f>INDEX(Calculation!$A$4:$M$328,MATCH(Summary!$A260,Calculation!$A$4:$A$328,0),7)</f>
        <v>1.8939999999999999</v>
      </c>
      <c r="E260" s="144">
        <f t="shared" ref="E260:E323" si="9">SUM(C260:D260)</f>
        <v>4.859</v>
      </c>
      <c r="F260" s="120"/>
      <c r="G260" s="121">
        <f>INDEX(Calculation!$A$4:$M$328,MATCH(Summary!$A260,Calculation!$A$4:$A$328,0),10)</f>
        <v>7635</v>
      </c>
      <c r="H260" s="121">
        <f t="shared" si="8"/>
        <v>37098</v>
      </c>
    </row>
    <row r="261" spans="1:8" x14ac:dyDescent="0.2">
      <c r="A261" s="118" t="str">
        <f>StartupfileInput!C260</f>
        <v>6095</v>
      </c>
      <c r="B261" s="119" t="str">
        <f>INDEX(Calculation!$A$4:$M$328,MATCH(Summary!$A261,Calculation!$A$4:$A$328,0),3)</f>
        <v>South Hamilton</v>
      </c>
      <c r="C261" s="144">
        <f>INDEX(Calculation!$A$4:$M$328,MATCH(Summary!$A261,Calculation!$A$4:$A$328,0),6)</f>
        <v>1.248</v>
      </c>
      <c r="D261" s="144">
        <f>INDEX(Calculation!$A$4:$M$328,MATCH(Summary!$A261,Calculation!$A$4:$A$328,0),7)</f>
        <v>1.278</v>
      </c>
      <c r="E261" s="144">
        <f t="shared" si="9"/>
        <v>2.5259999999999998</v>
      </c>
      <c r="F261" s="120"/>
      <c r="G261" s="121">
        <f>INDEX(Calculation!$A$4:$M$328,MATCH(Summary!$A261,Calculation!$A$4:$A$328,0),10)</f>
        <v>7662</v>
      </c>
      <c r="H261" s="121">
        <f t="shared" si="8"/>
        <v>19354</v>
      </c>
    </row>
    <row r="262" spans="1:8" x14ac:dyDescent="0.2">
      <c r="A262" s="118" t="str">
        <f>StartupfileInput!C261</f>
        <v>5157</v>
      </c>
      <c r="B262" s="119" t="str">
        <f>INDEX(Calculation!$A$4:$M$328,MATCH(Summary!$A262,Calculation!$A$4:$A$328,0),3)</f>
        <v>South O'Brien</v>
      </c>
      <c r="C262" s="144">
        <f>INDEX(Calculation!$A$4:$M$328,MATCH(Summary!$A262,Calculation!$A$4:$A$328,0),6)</f>
        <v>1.363</v>
      </c>
      <c r="D262" s="144">
        <f>INDEX(Calculation!$A$4:$M$328,MATCH(Summary!$A262,Calculation!$A$4:$A$328,0),7)</f>
        <v>1.145</v>
      </c>
      <c r="E262" s="144">
        <f t="shared" si="9"/>
        <v>2.508</v>
      </c>
      <c r="F262" s="120"/>
      <c r="G262" s="121">
        <f>INDEX(Calculation!$A$4:$M$328,MATCH(Summary!$A262,Calculation!$A$4:$A$328,0),10)</f>
        <v>7653</v>
      </c>
      <c r="H262" s="121">
        <f t="shared" si="8"/>
        <v>19194</v>
      </c>
    </row>
    <row r="263" spans="1:8" x14ac:dyDescent="0.2">
      <c r="A263" s="118" t="str">
        <f>StartupfileInput!C262</f>
        <v>6097</v>
      </c>
      <c r="B263" s="119" t="str">
        <f>INDEX(Calculation!$A$4:$M$328,MATCH(Summary!$A263,Calculation!$A$4:$A$328,0),3)</f>
        <v>South Page</v>
      </c>
      <c r="C263" s="144">
        <f>INDEX(Calculation!$A$4:$M$328,MATCH(Summary!$A263,Calculation!$A$4:$A$328,0),6)</f>
        <v>0.96299999999999997</v>
      </c>
      <c r="D263" s="144">
        <f>INDEX(Calculation!$A$4:$M$328,MATCH(Summary!$A263,Calculation!$A$4:$A$328,0),7)</f>
        <v>0.39500000000000002</v>
      </c>
      <c r="E263" s="144">
        <f t="shared" si="9"/>
        <v>1.3580000000000001</v>
      </c>
      <c r="F263" s="120"/>
      <c r="G263" s="121">
        <f>INDEX(Calculation!$A$4:$M$328,MATCH(Summary!$A263,Calculation!$A$4:$A$328,0),10)</f>
        <v>7635</v>
      </c>
      <c r="H263" s="121">
        <f t="shared" si="8"/>
        <v>10368</v>
      </c>
    </row>
    <row r="264" spans="1:8" x14ac:dyDescent="0.2">
      <c r="A264" s="118" t="str">
        <f>StartupfileInput!C263</f>
        <v>6098</v>
      </c>
      <c r="B264" s="119" t="str">
        <f>INDEX(Calculation!$A$4:$M$328,MATCH(Summary!$A264,Calculation!$A$4:$A$328,0),3)</f>
        <v>South Tama</v>
      </c>
      <c r="C264" s="144">
        <f>INDEX(Calculation!$A$4:$M$328,MATCH(Summary!$A264,Calculation!$A$4:$A$328,0),6)</f>
        <v>6.0720000000000001</v>
      </c>
      <c r="D264" s="144">
        <f>INDEX(Calculation!$A$4:$M$328,MATCH(Summary!$A264,Calculation!$A$4:$A$328,0),7)</f>
        <v>2.9529999999999998</v>
      </c>
      <c r="E264" s="144">
        <f t="shared" si="9"/>
        <v>9.0250000000000004</v>
      </c>
      <c r="F264" s="120"/>
      <c r="G264" s="121">
        <f>INDEX(Calculation!$A$4:$M$328,MATCH(Summary!$A264,Calculation!$A$4:$A$328,0),10)</f>
        <v>7635</v>
      </c>
      <c r="H264" s="121">
        <f t="shared" si="8"/>
        <v>68906</v>
      </c>
    </row>
    <row r="265" spans="1:8" x14ac:dyDescent="0.2">
      <c r="A265" s="118" t="str">
        <f>StartupfileInput!C264</f>
        <v>6100</v>
      </c>
      <c r="B265" s="119" t="str">
        <f>INDEX(Calculation!$A$4:$M$328,MATCH(Summary!$A265,Calculation!$A$4:$A$328,0),3)</f>
        <v>South Winneshiek</v>
      </c>
      <c r="C265" s="144">
        <f>INDEX(Calculation!$A$4:$M$328,MATCH(Summary!$A265,Calculation!$A$4:$A$328,0),6)</f>
        <v>1.1060000000000001</v>
      </c>
      <c r="D265" s="144">
        <f>INDEX(Calculation!$A$4:$M$328,MATCH(Summary!$A265,Calculation!$A$4:$A$328,0),7)</f>
        <v>1.054</v>
      </c>
      <c r="E265" s="144">
        <f t="shared" si="9"/>
        <v>2.16</v>
      </c>
      <c r="F265" s="120"/>
      <c r="G265" s="121">
        <f>INDEX(Calculation!$A$4:$M$328,MATCH(Summary!$A265,Calculation!$A$4:$A$328,0),10)</f>
        <v>7635</v>
      </c>
      <c r="H265" s="121">
        <f t="shared" si="8"/>
        <v>16492</v>
      </c>
    </row>
    <row r="266" spans="1:8" x14ac:dyDescent="0.2">
      <c r="A266" s="118" t="str">
        <f>StartupfileInput!C265</f>
        <v>6101</v>
      </c>
      <c r="B266" s="119" t="str">
        <f>INDEX(Calculation!$A$4:$M$328,MATCH(Summary!$A266,Calculation!$A$4:$A$328,0),3)</f>
        <v>Southeast Polk</v>
      </c>
      <c r="C266" s="144">
        <f>INDEX(Calculation!$A$4:$M$328,MATCH(Summary!$A266,Calculation!$A$4:$A$328,0),6)</f>
        <v>17.78</v>
      </c>
      <c r="D266" s="144">
        <f>INDEX(Calculation!$A$4:$M$328,MATCH(Summary!$A266,Calculation!$A$4:$A$328,0),7)</f>
        <v>14.71</v>
      </c>
      <c r="E266" s="144">
        <f t="shared" si="9"/>
        <v>32.49</v>
      </c>
      <c r="F266" s="120"/>
      <c r="G266" s="121">
        <f>INDEX(Calculation!$A$4:$M$328,MATCH(Summary!$A266,Calculation!$A$4:$A$328,0),10)</f>
        <v>7635</v>
      </c>
      <c r="H266" s="121">
        <f t="shared" si="8"/>
        <v>248061</v>
      </c>
    </row>
    <row r="267" spans="1:8" x14ac:dyDescent="0.2">
      <c r="A267" s="118" t="str">
        <f>StartupfileInput!C266</f>
        <v>6096</v>
      </c>
      <c r="B267" s="119" t="str">
        <f>INDEX(Calculation!$A$4:$M$328,MATCH(Summary!$A267,Calculation!$A$4:$A$328,0),3)</f>
        <v>Southeast Valley</v>
      </c>
      <c r="C267" s="144">
        <f>INDEX(Calculation!$A$4:$M$328,MATCH(Summary!$A267,Calculation!$A$4:$A$328,0),6)</f>
        <v>3.145</v>
      </c>
      <c r="D267" s="144">
        <f>INDEX(Calculation!$A$4:$M$328,MATCH(Summary!$A267,Calculation!$A$4:$A$328,0),7)</f>
        <v>2.2309999999999999</v>
      </c>
      <c r="E267" s="144">
        <f t="shared" si="9"/>
        <v>5.3759999999999994</v>
      </c>
      <c r="F267" s="120"/>
      <c r="G267" s="121">
        <f>INDEX(Calculation!$A$4:$M$328,MATCH(Summary!$A267,Calculation!$A$4:$A$328,0),10)</f>
        <v>7724</v>
      </c>
      <c r="H267" s="121">
        <f t="shared" si="8"/>
        <v>41524</v>
      </c>
    </row>
    <row r="268" spans="1:8" x14ac:dyDescent="0.2">
      <c r="A268" s="118" t="str">
        <f>StartupfileInput!C267</f>
        <v>6094</v>
      </c>
      <c r="B268" s="119" t="str">
        <f>INDEX(Calculation!$A$4:$M$328,MATCH(Summary!$A268,Calculation!$A$4:$A$328,0),3)</f>
        <v>Southeast Warren</v>
      </c>
      <c r="C268" s="144">
        <f>INDEX(Calculation!$A$4:$M$328,MATCH(Summary!$A268,Calculation!$A$4:$A$328,0),6)</f>
        <v>1.143</v>
      </c>
      <c r="D268" s="144">
        <f>INDEX(Calculation!$A$4:$M$328,MATCH(Summary!$A268,Calculation!$A$4:$A$328,0),7)</f>
        <v>1.032</v>
      </c>
      <c r="E268" s="144">
        <f t="shared" si="9"/>
        <v>2.1749999999999998</v>
      </c>
      <c r="F268" s="120"/>
      <c r="G268" s="121">
        <f>INDEX(Calculation!$A$4:$M$328,MATCH(Summary!$A268,Calculation!$A$4:$A$328,0),10)</f>
        <v>7635</v>
      </c>
      <c r="H268" s="121">
        <f t="shared" si="8"/>
        <v>16606</v>
      </c>
    </row>
    <row r="269" spans="1:8" x14ac:dyDescent="0.2">
      <c r="A269" s="118" t="str">
        <f>StartupfileInput!C268</f>
        <v>6102</v>
      </c>
      <c r="B269" s="119" t="str">
        <f>INDEX(Calculation!$A$4:$M$328,MATCH(Summary!$A269,Calculation!$A$4:$A$328,0),3)</f>
        <v>Spencer</v>
      </c>
      <c r="C269" s="144">
        <f>INDEX(Calculation!$A$4:$M$328,MATCH(Summary!$A269,Calculation!$A$4:$A$328,0),6)</f>
        <v>6.4240000000000004</v>
      </c>
      <c r="D269" s="144">
        <f>INDEX(Calculation!$A$4:$M$328,MATCH(Summary!$A269,Calculation!$A$4:$A$328,0),7)</f>
        <v>4.1319999999999997</v>
      </c>
      <c r="E269" s="144">
        <f t="shared" si="9"/>
        <v>10.556000000000001</v>
      </c>
      <c r="F269" s="120"/>
      <c r="G269" s="121">
        <f>INDEX(Calculation!$A$4:$M$328,MATCH(Summary!$A269,Calculation!$A$4:$A$328,0),10)</f>
        <v>7635</v>
      </c>
      <c r="H269" s="121">
        <f t="shared" si="8"/>
        <v>80595</v>
      </c>
    </row>
    <row r="270" spans="1:8" x14ac:dyDescent="0.2">
      <c r="A270" s="118" t="str">
        <f>StartupfileInput!C269</f>
        <v>6120</v>
      </c>
      <c r="B270" s="119" t="str">
        <f>INDEX(Calculation!$A$4:$M$328,MATCH(Summary!$A270,Calculation!$A$4:$A$328,0),3)</f>
        <v>Spirit Lake</v>
      </c>
      <c r="C270" s="144">
        <f>INDEX(Calculation!$A$4:$M$328,MATCH(Summary!$A270,Calculation!$A$4:$A$328,0),6)</f>
        <v>2.1949999999999998</v>
      </c>
      <c r="D270" s="144">
        <f>INDEX(Calculation!$A$4:$M$328,MATCH(Summary!$A270,Calculation!$A$4:$A$328,0),7)</f>
        <v>2.383</v>
      </c>
      <c r="E270" s="144">
        <f t="shared" si="9"/>
        <v>4.5779999999999994</v>
      </c>
      <c r="F270" s="120"/>
      <c r="G270" s="121">
        <f>INDEX(Calculation!$A$4:$M$328,MATCH(Summary!$A270,Calculation!$A$4:$A$328,0),10)</f>
        <v>7635</v>
      </c>
      <c r="H270" s="121">
        <f t="shared" si="8"/>
        <v>34953</v>
      </c>
    </row>
    <row r="271" spans="1:8" x14ac:dyDescent="0.2">
      <c r="A271" s="118" t="str">
        <f>StartupfileInput!C270</f>
        <v>6138</v>
      </c>
      <c r="B271" s="119" t="str">
        <f>INDEX(Calculation!$A$4:$M$328,MATCH(Summary!$A271,Calculation!$A$4:$A$328,0),3)</f>
        <v>Springville</v>
      </c>
      <c r="C271" s="144">
        <f>INDEX(Calculation!$A$4:$M$328,MATCH(Summary!$A271,Calculation!$A$4:$A$328,0),6)</f>
        <v>0.66700000000000004</v>
      </c>
      <c r="D271" s="144">
        <f>INDEX(Calculation!$A$4:$M$328,MATCH(Summary!$A271,Calculation!$A$4:$A$328,0),7)</f>
        <v>0.83</v>
      </c>
      <c r="E271" s="144">
        <f t="shared" si="9"/>
        <v>1.4969999999999999</v>
      </c>
      <c r="F271" s="120"/>
      <c r="G271" s="121">
        <f>INDEX(Calculation!$A$4:$M$328,MATCH(Summary!$A271,Calculation!$A$4:$A$328,0),10)</f>
        <v>7642</v>
      </c>
      <c r="H271" s="121">
        <f t="shared" si="8"/>
        <v>11440</v>
      </c>
    </row>
    <row r="272" spans="1:8" x14ac:dyDescent="0.2">
      <c r="A272" s="118" t="str">
        <f>StartupfileInput!C271</f>
        <v>5751</v>
      </c>
      <c r="B272" s="119" t="str">
        <f>INDEX(Calculation!$A$4:$M$328,MATCH(Summary!$A272,Calculation!$A$4:$A$328,0),3)</f>
        <v>St Ansgar</v>
      </c>
      <c r="C272" s="144">
        <f>INDEX(Calculation!$A$4:$M$328,MATCH(Summary!$A272,Calculation!$A$4:$A$328,0),6)</f>
        <v>0.92300000000000004</v>
      </c>
      <c r="D272" s="144">
        <f>INDEX(Calculation!$A$4:$M$328,MATCH(Summary!$A272,Calculation!$A$4:$A$328,0),7)</f>
        <v>1.1639999999999999</v>
      </c>
      <c r="E272" s="144">
        <f t="shared" si="9"/>
        <v>2.0869999999999997</v>
      </c>
      <c r="F272" s="120"/>
      <c r="G272" s="121">
        <f>INDEX(Calculation!$A$4:$M$328,MATCH(Summary!$A272,Calculation!$A$4:$A$328,0),10)</f>
        <v>7635</v>
      </c>
      <c r="H272" s="121">
        <f t="shared" si="8"/>
        <v>15934</v>
      </c>
    </row>
    <row r="273" spans="1:8" x14ac:dyDescent="0.2">
      <c r="A273" s="118" t="str">
        <f>StartupfileInput!C272</f>
        <v>6165</v>
      </c>
      <c r="B273" s="119" t="str">
        <f>INDEX(Calculation!$A$4:$M$328,MATCH(Summary!$A273,Calculation!$A$4:$A$328,0),3)</f>
        <v>Stanton</v>
      </c>
      <c r="C273" s="144">
        <f>INDEX(Calculation!$A$4:$M$328,MATCH(Summary!$A273,Calculation!$A$4:$A$328,0),6)</f>
        <v>0.59799999999999998</v>
      </c>
      <c r="D273" s="144">
        <f>INDEX(Calculation!$A$4:$M$328,MATCH(Summary!$A273,Calculation!$A$4:$A$328,0),7)</f>
        <v>0.40200000000000002</v>
      </c>
      <c r="E273" s="144">
        <f t="shared" si="9"/>
        <v>1</v>
      </c>
      <c r="F273" s="120"/>
      <c r="G273" s="121">
        <f>INDEX(Calculation!$A$4:$M$328,MATCH(Summary!$A273,Calculation!$A$4:$A$328,0),10)</f>
        <v>7635</v>
      </c>
      <c r="H273" s="121">
        <f t="shared" si="8"/>
        <v>7635</v>
      </c>
    </row>
    <row r="274" spans="1:8" x14ac:dyDescent="0.2">
      <c r="A274" s="118" t="str">
        <f>StartupfileInput!C273</f>
        <v>6175</v>
      </c>
      <c r="B274" s="119" t="str">
        <f>INDEX(Calculation!$A$4:$M$328,MATCH(Summary!$A274,Calculation!$A$4:$A$328,0),3)</f>
        <v>Starmont</v>
      </c>
      <c r="C274" s="144">
        <f>INDEX(Calculation!$A$4:$M$328,MATCH(Summary!$A274,Calculation!$A$4:$A$328,0),6)</f>
        <v>1.508</v>
      </c>
      <c r="D274" s="144">
        <f>INDEX(Calculation!$A$4:$M$328,MATCH(Summary!$A274,Calculation!$A$4:$A$328,0),7)</f>
        <v>1.1930000000000001</v>
      </c>
      <c r="E274" s="144">
        <f t="shared" si="9"/>
        <v>2.7010000000000001</v>
      </c>
      <c r="F274" s="120"/>
      <c r="G274" s="121">
        <f>INDEX(Calculation!$A$4:$M$328,MATCH(Summary!$A274,Calculation!$A$4:$A$328,0),10)</f>
        <v>7635</v>
      </c>
      <c r="H274" s="121">
        <f t="shared" si="8"/>
        <v>20622</v>
      </c>
    </row>
    <row r="275" spans="1:8" x14ac:dyDescent="0.2">
      <c r="A275" s="118" t="str">
        <f>StartupfileInput!C274</f>
        <v>6219</v>
      </c>
      <c r="B275" s="119" t="str">
        <f>INDEX(Calculation!$A$4:$M$328,MATCH(Summary!$A275,Calculation!$A$4:$A$328,0),3)</f>
        <v>Storm Lake</v>
      </c>
      <c r="C275" s="144">
        <f>INDEX(Calculation!$A$4:$M$328,MATCH(Summary!$A275,Calculation!$A$4:$A$328,0),6)</f>
        <v>11.894</v>
      </c>
      <c r="D275" s="144">
        <f>INDEX(Calculation!$A$4:$M$328,MATCH(Summary!$A275,Calculation!$A$4:$A$328,0),7)</f>
        <v>5.165</v>
      </c>
      <c r="E275" s="144">
        <f t="shared" si="9"/>
        <v>17.059000000000001</v>
      </c>
      <c r="F275" s="120"/>
      <c r="G275" s="121">
        <f>INDEX(Calculation!$A$4:$M$328,MATCH(Summary!$A275,Calculation!$A$4:$A$328,0),10)</f>
        <v>7635</v>
      </c>
      <c r="H275" s="121">
        <f t="shared" si="8"/>
        <v>130245</v>
      </c>
    </row>
    <row r="276" spans="1:8" x14ac:dyDescent="0.2">
      <c r="A276" s="118" t="str">
        <f>StartupfileInput!C275</f>
        <v>6246</v>
      </c>
      <c r="B276" s="119" t="str">
        <f>INDEX(Calculation!$A$4:$M$328,MATCH(Summary!$A276,Calculation!$A$4:$A$328,0),3)</f>
        <v>Stratford</v>
      </c>
      <c r="C276" s="144">
        <f>INDEX(Calculation!$A$4:$M$328,MATCH(Summary!$A276,Calculation!$A$4:$A$328,0),6)</f>
        <v>0.45300000000000001</v>
      </c>
      <c r="D276" s="144">
        <f>INDEX(Calculation!$A$4:$M$328,MATCH(Summary!$A276,Calculation!$A$4:$A$328,0),7)</f>
        <v>0.27100000000000002</v>
      </c>
      <c r="E276" s="144">
        <f t="shared" si="9"/>
        <v>0.72399999999999998</v>
      </c>
      <c r="F276" s="120"/>
      <c r="G276" s="121">
        <f>INDEX(Calculation!$A$4:$M$328,MATCH(Summary!$A276,Calculation!$A$4:$A$328,0),10)</f>
        <v>7775</v>
      </c>
      <c r="H276" s="121">
        <f t="shared" si="8"/>
        <v>5629</v>
      </c>
    </row>
    <row r="277" spans="1:8" x14ac:dyDescent="0.2">
      <c r="A277" s="118" t="str">
        <f>StartupfileInput!C276</f>
        <v>6273</v>
      </c>
      <c r="B277" s="119" t="str">
        <f>INDEX(Calculation!$A$4:$M$328,MATCH(Summary!$A277,Calculation!$A$4:$A$328,0),3)</f>
        <v>Sumner-Fredericksburg</v>
      </c>
      <c r="C277" s="144">
        <f>INDEX(Calculation!$A$4:$M$328,MATCH(Summary!$A277,Calculation!$A$4:$A$328,0),6)</f>
        <v>2.1389999999999998</v>
      </c>
      <c r="D277" s="144">
        <f>INDEX(Calculation!$A$4:$M$328,MATCH(Summary!$A277,Calculation!$A$4:$A$328,0),7)</f>
        <v>1.57</v>
      </c>
      <c r="E277" s="144">
        <f t="shared" si="9"/>
        <v>3.7089999999999996</v>
      </c>
      <c r="F277" s="120"/>
      <c r="G277" s="121">
        <f>INDEX(Calculation!$A$4:$M$328,MATCH(Summary!$A277,Calculation!$A$4:$A$328,0),10)</f>
        <v>7635</v>
      </c>
      <c r="H277" s="121">
        <f t="shared" si="8"/>
        <v>28318</v>
      </c>
    </row>
    <row r="278" spans="1:8" x14ac:dyDescent="0.2">
      <c r="A278" s="118" t="str">
        <f>StartupfileInput!C277</f>
        <v>6408</v>
      </c>
      <c r="B278" s="119" t="str">
        <f>INDEX(Calculation!$A$4:$M$328,MATCH(Summary!$A278,Calculation!$A$4:$A$328,0),3)</f>
        <v>Tipton</v>
      </c>
      <c r="C278" s="144">
        <f>INDEX(Calculation!$A$4:$M$328,MATCH(Summary!$A278,Calculation!$A$4:$A$328,0),6)</f>
        <v>2.0070000000000001</v>
      </c>
      <c r="D278" s="144">
        <f>INDEX(Calculation!$A$4:$M$328,MATCH(Summary!$A278,Calculation!$A$4:$A$328,0),7)</f>
        <v>1.6910000000000001</v>
      </c>
      <c r="E278" s="144">
        <f t="shared" si="9"/>
        <v>3.6980000000000004</v>
      </c>
      <c r="F278" s="120"/>
      <c r="G278" s="121">
        <f>INDEX(Calculation!$A$4:$M$328,MATCH(Summary!$A278,Calculation!$A$4:$A$328,0),10)</f>
        <v>7651</v>
      </c>
      <c r="H278" s="121">
        <f t="shared" si="8"/>
        <v>28293</v>
      </c>
    </row>
    <row r="279" spans="1:8" x14ac:dyDescent="0.2">
      <c r="A279" s="118" t="str">
        <f>StartupfileInput!C278</f>
        <v>6453</v>
      </c>
      <c r="B279" s="119" t="str">
        <f>INDEX(Calculation!$A$4:$M$328,MATCH(Summary!$A279,Calculation!$A$4:$A$328,0),3)</f>
        <v>Treynor</v>
      </c>
      <c r="C279" s="144">
        <f>INDEX(Calculation!$A$4:$M$328,MATCH(Summary!$A279,Calculation!$A$4:$A$328,0),6)</f>
        <v>0.53</v>
      </c>
      <c r="D279" s="144">
        <f>INDEX(Calculation!$A$4:$M$328,MATCH(Summary!$A279,Calculation!$A$4:$A$328,0),7)</f>
        <v>1.173</v>
      </c>
      <c r="E279" s="144">
        <f t="shared" si="9"/>
        <v>1.7030000000000001</v>
      </c>
      <c r="F279" s="120"/>
      <c r="G279" s="121">
        <f>INDEX(Calculation!$A$4:$M$328,MATCH(Summary!$A279,Calculation!$A$4:$A$328,0),10)</f>
        <v>7635</v>
      </c>
      <c r="H279" s="121">
        <f t="shared" si="8"/>
        <v>13002</v>
      </c>
    </row>
    <row r="280" spans="1:8" x14ac:dyDescent="0.2">
      <c r="A280" s="118" t="str">
        <f>StartupfileInput!C279</f>
        <v>6460</v>
      </c>
      <c r="B280" s="119" t="str">
        <f>INDEX(Calculation!$A$4:$M$328,MATCH(Summary!$A280,Calculation!$A$4:$A$328,0),3)</f>
        <v>Tri-Center</v>
      </c>
      <c r="C280" s="144">
        <f>INDEX(Calculation!$A$4:$M$328,MATCH(Summary!$A280,Calculation!$A$4:$A$328,0),6)</f>
        <v>1.4319999999999999</v>
      </c>
      <c r="D280" s="144">
        <f>INDEX(Calculation!$A$4:$M$328,MATCH(Summary!$A280,Calculation!$A$4:$A$328,0),7)</f>
        <v>1.3380000000000001</v>
      </c>
      <c r="E280" s="144">
        <f t="shared" si="9"/>
        <v>2.77</v>
      </c>
      <c r="F280" s="120"/>
      <c r="G280" s="121">
        <f>INDEX(Calculation!$A$4:$M$328,MATCH(Summary!$A280,Calculation!$A$4:$A$328,0),10)</f>
        <v>7635</v>
      </c>
      <c r="H280" s="121">
        <f t="shared" si="8"/>
        <v>21149</v>
      </c>
    </row>
    <row r="281" spans="1:8" x14ac:dyDescent="0.2">
      <c r="A281" s="118" t="str">
        <f>StartupfileInput!C280</f>
        <v>6462</v>
      </c>
      <c r="B281" s="119" t="str">
        <f>INDEX(Calculation!$A$4:$M$328,MATCH(Summary!$A281,Calculation!$A$4:$A$328,0),3)</f>
        <v>Tri-County</v>
      </c>
      <c r="C281" s="144">
        <f>INDEX(Calculation!$A$4:$M$328,MATCH(Summary!$A281,Calculation!$A$4:$A$328,0),6)</f>
        <v>0.82899999999999996</v>
      </c>
      <c r="D281" s="144">
        <f>INDEX(Calculation!$A$4:$M$328,MATCH(Summary!$A281,Calculation!$A$4:$A$328,0),7)</f>
        <v>0.54200000000000004</v>
      </c>
      <c r="E281" s="144">
        <f t="shared" si="9"/>
        <v>1.371</v>
      </c>
      <c r="F281" s="120"/>
      <c r="G281" s="121">
        <f>INDEX(Calculation!$A$4:$M$328,MATCH(Summary!$A281,Calculation!$A$4:$A$328,0),10)</f>
        <v>7635</v>
      </c>
      <c r="H281" s="121">
        <f t="shared" si="8"/>
        <v>10468</v>
      </c>
    </row>
    <row r="282" spans="1:8" x14ac:dyDescent="0.2">
      <c r="A282" s="118" t="str">
        <f>StartupfileInput!C281</f>
        <v>6471</v>
      </c>
      <c r="B282" s="119" t="str">
        <f>INDEX(Calculation!$A$4:$M$328,MATCH(Summary!$A282,Calculation!$A$4:$A$328,0),3)</f>
        <v>Tripoli</v>
      </c>
      <c r="C282" s="144">
        <f>INDEX(Calculation!$A$4:$M$328,MATCH(Summary!$A282,Calculation!$A$4:$A$328,0),6)</f>
        <v>1.054</v>
      </c>
      <c r="D282" s="144">
        <f>INDEX(Calculation!$A$4:$M$328,MATCH(Summary!$A282,Calculation!$A$4:$A$328,0),7)</f>
        <v>0.77700000000000002</v>
      </c>
      <c r="E282" s="144">
        <f t="shared" si="9"/>
        <v>1.831</v>
      </c>
      <c r="F282" s="120"/>
      <c r="G282" s="121">
        <f>INDEX(Calculation!$A$4:$M$328,MATCH(Summary!$A282,Calculation!$A$4:$A$328,0),10)</f>
        <v>7639</v>
      </c>
      <c r="H282" s="121">
        <f t="shared" si="8"/>
        <v>13987</v>
      </c>
    </row>
    <row r="283" spans="1:8" x14ac:dyDescent="0.2">
      <c r="A283" s="118" t="str">
        <f>StartupfileInput!C282</f>
        <v>6509</v>
      </c>
      <c r="B283" s="119" t="str">
        <f>INDEX(Calculation!$A$4:$M$328,MATCH(Summary!$A283,Calculation!$A$4:$A$328,0),3)</f>
        <v>Turkey Valley</v>
      </c>
      <c r="C283" s="144">
        <f>INDEX(Calculation!$A$4:$M$328,MATCH(Summary!$A283,Calculation!$A$4:$A$328,0),6)</f>
        <v>0.97099999999999997</v>
      </c>
      <c r="D283" s="144">
        <f>INDEX(Calculation!$A$4:$M$328,MATCH(Summary!$A283,Calculation!$A$4:$A$328,0),7)</f>
        <v>0.72399999999999998</v>
      </c>
      <c r="E283" s="144">
        <f t="shared" si="9"/>
        <v>1.6949999999999998</v>
      </c>
      <c r="F283" s="120"/>
      <c r="G283" s="121">
        <f>INDEX(Calculation!$A$4:$M$328,MATCH(Summary!$A283,Calculation!$A$4:$A$328,0),10)</f>
        <v>7767</v>
      </c>
      <c r="H283" s="121">
        <f t="shared" si="8"/>
        <v>13165</v>
      </c>
    </row>
    <row r="284" spans="1:8" x14ac:dyDescent="0.2">
      <c r="A284" s="118" t="str">
        <f>StartupfileInput!C283</f>
        <v>6512</v>
      </c>
      <c r="B284" s="119" t="str">
        <f>INDEX(Calculation!$A$4:$M$328,MATCH(Summary!$A284,Calculation!$A$4:$A$328,0),3)</f>
        <v>Twin Cedars</v>
      </c>
      <c r="C284" s="144">
        <f>INDEX(Calculation!$A$4:$M$328,MATCH(Summary!$A284,Calculation!$A$4:$A$328,0),6)</f>
        <v>1.044</v>
      </c>
      <c r="D284" s="144">
        <f>INDEX(Calculation!$A$4:$M$328,MATCH(Summary!$A284,Calculation!$A$4:$A$328,0),7)</f>
        <v>0.65900000000000003</v>
      </c>
      <c r="E284" s="144">
        <f t="shared" si="9"/>
        <v>1.7030000000000001</v>
      </c>
      <c r="F284" s="120"/>
      <c r="G284" s="121">
        <f>INDEX(Calculation!$A$4:$M$328,MATCH(Summary!$A284,Calculation!$A$4:$A$328,0),10)</f>
        <v>7650</v>
      </c>
      <c r="H284" s="121">
        <f t="shared" si="8"/>
        <v>13028</v>
      </c>
    </row>
    <row r="285" spans="1:8" x14ac:dyDescent="0.2">
      <c r="A285" s="118" t="str">
        <f>StartupfileInput!C284</f>
        <v>6516</v>
      </c>
      <c r="B285" s="119" t="str">
        <f>INDEX(Calculation!$A$4:$M$328,MATCH(Summary!$A285,Calculation!$A$4:$A$328,0),3)</f>
        <v>Twin Rivers</v>
      </c>
      <c r="C285" s="144">
        <f>INDEX(Calculation!$A$4:$M$328,MATCH(Summary!$A285,Calculation!$A$4:$A$328,0),6)</f>
        <v>0.498</v>
      </c>
      <c r="D285" s="144">
        <f>INDEX(Calculation!$A$4:$M$328,MATCH(Summary!$A285,Calculation!$A$4:$A$328,0),7)</f>
        <v>0.32600000000000001</v>
      </c>
      <c r="E285" s="144">
        <f t="shared" si="9"/>
        <v>0.82400000000000007</v>
      </c>
      <c r="F285" s="120"/>
      <c r="G285" s="121">
        <f>INDEX(Calculation!$A$4:$M$328,MATCH(Summary!$A285,Calculation!$A$4:$A$328,0),10)</f>
        <v>7775</v>
      </c>
      <c r="H285" s="121">
        <f t="shared" si="8"/>
        <v>6407</v>
      </c>
    </row>
    <row r="286" spans="1:8" x14ac:dyDescent="0.2">
      <c r="A286" s="118" t="str">
        <f>StartupfileInput!C285</f>
        <v>6534</v>
      </c>
      <c r="B286" s="119" t="str">
        <f>INDEX(Calculation!$A$4:$M$328,MATCH(Summary!$A286,Calculation!$A$4:$A$328,0),3)</f>
        <v>Underwood</v>
      </c>
      <c r="C286" s="144">
        <f>INDEX(Calculation!$A$4:$M$328,MATCH(Summary!$A286,Calculation!$A$4:$A$328,0),6)</f>
        <v>0.746</v>
      </c>
      <c r="D286" s="144">
        <f>INDEX(Calculation!$A$4:$M$328,MATCH(Summary!$A286,Calculation!$A$4:$A$328,0),7)</f>
        <v>1.56</v>
      </c>
      <c r="E286" s="144">
        <f t="shared" si="9"/>
        <v>2.306</v>
      </c>
      <c r="F286" s="120"/>
      <c r="G286" s="121">
        <f>INDEX(Calculation!$A$4:$M$328,MATCH(Summary!$A286,Calculation!$A$4:$A$328,0),10)</f>
        <v>7635</v>
      </c>
      <c r="H286" s="121">
        <f t="shared" si="8"/>
        <v>17606</v>
      </c>
    </row>
    <row r="287" spans="1:8" x14ac:dyDescent="0.2">
      <c r="A287" s="118" t="str">
        <f>StartupfileInput!C286</f>
        <v>1935</v>
      </c>
      <c r="B287" s="119" t="str">
        <f>INDEX(Calculation!$A$4:$M$328,MATCH(Summary!$A287,Calculation!$A$4:$A$328,0),3)</f>
        <v>Union</v>
      </c>
      <c r="C287" s="144">
        <f>INDEX(Calculation!$A$4:$M$328,MATCH(Summary!$A287,Calculation!$A$4:$A$328,0),6)</f>
        <v>1.7569999999999999</v>
      </c>
      <c r="D287" s="144">
        <f>INDEX(Calculation!$A$4:$M$328,MATCH(Summary!$A287,Calculation!$A$4:$A$328,0),7)</f>
        <v>1.97</v>
      </c>
      <c r="E287" s="144">
        <f t="shared" si="9"/>
        <v>3.7269999999999999</v>
      </c>
      <c r="F287" s="120"/>
      <c r="G287" s="121">
        <f>INDEX(Calculation!$A$4:$M$328,MATCH(Summary!$A287,Calculation!$A$4:$A$328,0),10)</f>
        <v>7682</v>
      </c>
      <c r="H287" s="121">
        <f t="shared" si="8"/>
        <v>28631</v>
      </c>
    </row>
    <row r="288" spans="1:8" x14ac:dyDescent="0.2">
      <c r="A288" s="118" t="str">
        <f>StartupfileInput!C287</f>
        <v>6561</v>
      </c>
      <c r="B288" s="119" t="str">
        <f>INDEX(Calculation!$A$4:$M$328,MATCH(Summary!$A288,Calculation!$A$4:$A$328,0),3)</f>
        <v>United</v>
      </c>
      <c r="C288" s="144">
        <f>INDEX(Calculation!$A$4:$M$328,MATCH(Summary!$A288,Calculation!$A$4:$A$328,0),6)</f>
        <v>0.63600000000000001</v>
      </c>
      <c r="D288" s="144">
        <f>INDEX(Calculation!$A$4:$M$328,MATCH(Summary!$A288,Calculation!$A$4:$A$328,0),7)</f>
        <v>0.78700000000000003</v>
      </c>
      <c r="E288" s="144">
        <f t="shared" si="9"/>
        <v>1.423</v>
      </c>
      <c r="F288" s="120"/>
      <c r="G288" s="121">
        <f>INDEX(Calculation!$A$4:$M$328,MATCH(Summary!$A288,Calculation!$A$4:$A$328,0),10)</f>
        <v>7635</v>
      </c>
      <c r="H288" s="121">
        <f t="shared" si="8"/>
        <v>10865</v>
      </c>
    </row>
    <row r="289" spans="1:8" x14ac:dyDescent="0.2">
      <c r="A289" s="118" t="str">
        <f>StartupfileInput!C288</f>
        <v>6579</v>
      </c>
      <c r="B289" s="119" t="str">
        <f>INDEX(Calculation!$A$4:$M$328,MATCH(Summary!$A289,Calculation!$A$4:$A$328,0),3)</f>
        <v>Urbandale</v>
      </c>
      <c r="C289" s="144">
        <f>INDEX(Calculation!$A$4:$M$328,MATCH(Summary!$A289,Calculation!$A$4:$A$328,0),6)</f>
        <v>9.33</v>
      </c>
      <c r="D289" s="144">
        <f>INDEX(Calculation!$A$4:$M$328,MATCH(Summary!$A289,Calculation!$A$4:$A$328,0),7)</f>
        <v>7.0339999999999998</v>
      </c>
      <c r="E289" s="144">
        <f t="shared" si="9"/>
        <v>16.364000000000001</v>
      </c>
      <c r="F289" s="120"/>
      <c r="G289" s="121">
        <f>INDEX(Calculation!$A$4:$M$328,MATCH(Summary!$A289,Calculation!$A$4:$A$328,0),10)</f>
        <v>7635</v>
      </c>
      <c r="H289" s="121">
        <f t="shared" si="8"/>
        <v>124939</v>
      </c>
    </row>
    <row r="290" spans="1:8" x14ac:dyDescent="0.2">
      <c r="A290" s="118" t="str">
        <f>StartupfileInput!C289</f>
        <v>6592</v>
      </c>
      <c r="B290" s="119" t="str">
        <f>INDEX(Calculation!$A$4:$M$328,MATCH(Summary!$A290,Calculation!$A$4:$A$328,0),3)</f>
        <v>Van Buren County</v>
      </c>
      <c r="C290" s="144">
        <f>INDEX(Calculation!$A$4:$M$328,MATCH(Summary!$A290,Calculation!$A$4:$A$328,0),6)</f>
        <v>3.7669999999999999</v>
      </c>
      <c r="D290" s="144">
        <f>INDEX(Calculation!$A$4:$M$328,MATCH(Summary!$A290,Calculation!$A$4:$A$328,0),7)</f>
        <v>1.9730000000000001</v>
      </c>
      <c r="E290" s="144">
        <f t="shared" si="9"/>
        <v>5.74</v>
      </c>
      <c r="F290" s="120"/>
      <c r="G290" s="121">
        <f>INDEX(Calculation!$A$4:$M$328,MATCH(Summary!$A290,Calculation!$A$4:$A$328,0),10)</f>
        <v>7635</v>
      </c>
      <c r="H290" s="121">
        <f t="shared" si="8"/>
        <v>43825</v>
      </c>
    </row>
    <row r="291" spans="1:8" x14ac:dyDescent="0.2">
      <c r="A291" s="118" t="str">
        <f>StartupfileInput!C290</f>
        <v>6615</v>
      </c>
      <c r="B291" s="119" t="str">
        <f>INDEX(Calculation!$A$4:$M$328,MATCH(Summary!$A291,Calculation!$A$4:$A$328,0),3)</f>
        <v>Van Meter</v>
      </c>
      <c r="C291" s="144">
        <f>INDEX(Calculation!$A$4:$M$328,MATCH(Summary!$A291,Calculation!$A$4:$A$328,0),6)</f>
        <v>0.35299999999999998</v>
      </c>
      <c r="D291" s="144">
        <f>INDEX(Calculation!$A$4:$M$328,MATCH(Summary!$A291,Calculation!$A$4:$A$328,0),7)</f>
        <v>1.825</v>
      </c>
      <c r="E291" s="144">
        <f t="shared" si="9"/>
        <v>2.1779999999999999</v>
      </c>
      <c r="F291" s="120"/>
      <c r="G291" s="121">
        <f>INDEX(Calculation!$A$4:$M$328,MATCH(Summary!$A291,Calculation!$A$4:$A$328,0),10)</f>
        <v>7635</v>
      </c>
      <c r="H291" s="121">
        <f t="shared" si="8"/>
        <v>16629</v>
      </c>
    </row>
    <row r="292" spans="1:8" x14ac:dyDescent="0.2">
      <c r="A292" s="118" t="str">
        <f>StartupfileInput!C291</f>
        <v>6651</v>
      </c>
      <c r="B292" s="119" t="str">
        <f>INDEX(Calculation!$A$4:$M$328,MATCH(Summary!$A292,Calculation!$A$4:$A$328,0),3)</f>
        <v>Villisca</v>
      </c>
      <c r="C292" s="144">
        <f>INDEX(Calculation!$A$4:$M$328,MATCH(Summary!$A292,Calculation!$A$4:$A$328,0),6)</f>
        <v>1.2869999999999999</v>
      </c>
      <c r="D292" s="144">
        <f>INDEX(Calculation!$A$4:$M$328,MATCH(Summary!$A292,Calculation!$A$4:$A$328,0),7)</f>
        <v>0.63500000000000001</v>
      </c>
      <c r="E292" s="144">
        <f t="shared" si="9"/>
        <v>1.9219999999999999</v>
      </c>
      <c r="F292" s="120"/>
      <c r="G292" s="121">
        <f>INDEX(Calculation!$A$4:$M$328,MATCH(Summary!$A292,Calculation!$A$4:$A$328,0),10)</f>
        <v>7635</v>
      </c>
      <c r="H292" s="121">
        <f t="shared" si="8"/>
        <v>14674</v>
      </c>
    </row>
    <row r="293" spans="1:8" x14ac:dyDescent="0.2">
      <c r="A293" s="118" t="str">
        <f>StartupfileInput!C292</f>
        <v>6660</v>
      </c>
      <c r="B293" s="119" t="str">
        <f>INDEX(Calculation!$A$4:$M$328,MATCH(Summary!$A293,Calculation!$A$4:$A$328,0),3)</f>
        <v>Vinton-Shellsburg</v>
      </c>
      <c r="C293" s="144">
        <f>INDEX(Calculation!$A$4:$M$328,MATCH(Summary!$A293,Calculation!$A$4:$A$328,0),6)</f>
        <v>4.83</v>
      </c>
      <c r="D293" s="144">
        <f>INDEX(Calculation!$A$4:$M$328,MATCH(Summary!$A293,Calculation!$A$4:$A$328,0),7)</f>
        <v>3.3079999999999998</v>
      </c>
      <c r="E293" s="144">
        <f t="shared" si="9"/>
        <v>8.1379999999999999</v>
      </c>
      <c r="F293" s="120"/>
      <c r="G293" s="121">
        <f>INDEX(Calculation!$A$4:$M$328,MATCH(Summary!$A293,Calculation!$A$4:$A$328,0),10)</f>
        <v>7635</v>
      </c>
      <c r="H293" s="121">
        <f t="shared" si="8"/>
        <v>62134</v>
      </c>
    </row>
    <row r="294" spans="1:8" x14ac:dyDescent="0.2">
      <c r="A294" s="118" t="str">
        <f>StartupfileInput!C293</f>
        <v>6700</v>
      </c>
      <c r="B294" s="119" t="str">
        <f>INDEX(Calculation!$A$4:$M$328,MATCH(Summary!$A294,Calculation!$A$4:$A$328,0),3)</f>
        <v>Waco</v>
      </c>
      <c r="C294" s="144">
        <f>INDEX(Calculation!$A$4:$M$328,MATCH(Summary!$A294,Calculation!$A$4:$A$328,0),6)</f>
        <v>1.607</v>
      </c>
      <c r="D294" s="144">
        <f>INDEX(Calculation!$A$4:$M$328,MATCH(Summary!$A294,Calculation!$A$4:$A$328,0),7)</f>
        <v>0.998</v>
      </c>
      <c r="E294" s="144">
        <f t="shared" si="9"/>
        <v>2.605</v>
      </c>
      <c r="F294" s="120"/>
      <c r="G294" s="121">
        <f>INDEX(Calculation!$A$4:$M$328,MATCH(Summary!$A294,Calculation!$A$4:$A$328,0),10)</f>
        <v>7724</v>
      </c>
      <c r="H294" s="121">
        <f t="shared" si="8"/>
        <v>20121</v>
      </c>
    </row>
    <row r="295" spans="1:8" x14ac:dyDescent="0.2">
      <c r="A295" s="118" t="str">
        <f>StartupfileInput!C294</f>
        <v>6759</v>
      </c>
      <c r="B295" s="119" t="str">
        <f>INDEX(Calculation!$A$4:$M$328,MATCH(Summary!$A295,Calculation!$A$4:$A$328,0),3)</f>
        <v>Wapello</v>
      </c>
      <c r="C295" s="144">
        <f>INDEX(Calculation!$A$4:$M$328,MATCH(Summary!$A295,Calculation!$A$4:$A$328,0),6)</f>
        <v>1.331</v>
      </c>
      <c r="D295" s="144">
        <f>INDEX(Calculation!$A$4:$M$328,MATCH(Summary!$A295,Calculation!$A$4:$A$328,0),7)</f>
        <v>1.0900000000000001</v>
      </c>
      <c r="E295" s="144">
        <f t="shared" si="9"/>
        <v>2.4210000000000003</v>
      </c>
      <c r="F295" s="120"/>
      <c r="G295" s="121">
        <f>INDEX(Calculation!$A$4:$M$328,MATCH(Summary!$A295,Calculation!$A$4:$A$328,0),10)</f>
        <v>7635</v>
      </c>
      <c r="H295" s="121">
        <f t="shared" si="8"/>
        <v>18484</v>
      </c>
    </row>
    <row r="296" spans="1:8" x14ac:dyDescent="0.2">
      <c r="A296" s="118" t="str">
        <f>StartupfileInput!C295</f>
        <v>6762</v>
      </c>
      <c r="B296" s="119" t="str">
        <f>INDEX(Calculation!$A$4:$M$328,MATCH(Summary!$A296,Calculation!$A$4:$A$328,0),3)</f>
        <v>Wapsie Valley</v>
      </c>
      <c r="C296" s="144">
        <f>INDEX(Calculation!$A$4:$M$328,MATCH(Summary!$A296,Calculation!$A$4:$A$328,0),6)</f>
        <v>0.98199999999999998</v>
      </c>
      <c r="D296" s="144">
        <f>INDEX(Calculation!$A$4:$M$328,MATCH(Summary!$A296,Calculation!$A$4:$A$328,0),7)</f>
        <v>1.3420000000000001</v>
      </c>
      <c r="E296" s="144">
        <f t="shared" si="9"/>
        <v>2.3239999999999998</v>
      </c>
      <c r="F296" s="120"/>
      <c r="G296" s="121">
        <f>INDEX(Calculation!$A$4:$M$328,MATCH(Summary!$A296,Calculation!$A$4:$A$328,0),10)</f>
        <v>7646</v>
      </c>
      <c r="H296" s="121">
        <f t="shared" si="8"/>
        <v>17769</v>
      </c>
    </row>
    <row r="297" spans="1:8" x14ac:dyDescent="0.2">
      <c r="A297" s="118" t="str">
        <f>StartupfileInput!C296</f>
        <v>6768</v>
      </c>
      <c r="B297" s="119" t="str">
        <f>INDEX(Calculation!$A$4:$M$328,MATCH(Summary!$A297,Calculation!$A$4:$A$328,0),3)</f>
        <v>Washington</v>
      </c>
      <c r="C297" s="144">
        <f>INDEX(Calculation!$A$4:$M$328,MATCH(Summary!$A297,Calculation!$A$4:$A$328,0),6)</f>
        <v>5.5179999999999998</v>
      </c>
      <c r="D297" s="144">
        <f>INDEX(Calculation!$A$4:$M$328,MATCH(Summary!$A297,Calculation!$A$4:$A$328,0),7)</f>
        <v>3.3170000000000002</v>
      </c>
      <c r="E297" s="144">
        <f t="shared" si="9"/>
        <v>8.8350000000000009</v>
      </c>
      <c r="F297" s="120"/>
      <c r="G297" s="121">
        <f>INDEX(Calculation!$A$4:$M$328,MATCH(Summary!$A297,Calculation!$A$4:$A$328,0),10)</f>
        <v>7635</v>
      </c>
      <c r="H297" s="121">
        <f t="shared" si="8"/>
        <v>67455</v>
      </c>
    </row>
    <row r="298" spans="1:8" x14ac:dyDescent="0.2">
      <c r="A298" s="118" t="str">
        <f>StartupfileInput!C297</f>
        <v>6795</v>
      </c>
      <c r="B298" s="119" t="str">
        <f>INDEX(Calculation!$A$4:$M$328,MATCH(Summary!$A298,Calculation!$A$4:$A$328,0),3)</f>
        <v>Waterloo</v>
      </c>
      <c r="C298" s="144">
        <f>INDEX(Calculation!$A$4:$M$328,MATCH(Summary!$A298,Calculation!$A$4:$A$328,0),6)</f>
        <v>52.304000000000002</v>
      </c>
      <c r="D298" s="144">
        <f>INDEX(Calculation!$A$4:$M$328,MATCH(Summary!$A298,Calculation!$A$4:$A$328,0),7)</f>
        <v>21.771000000000001</v>
      </c>
      <c r="E298" s="144">
        <f t="shared" si="9"/>
        <v>74.075000000000003</v>
      </c>
      <c r="F298" s="120"/>
      <c r="G298" s="121">
        <f>INDEX(Calculation!$A$4:$M$328,MATCH(Summary!$A298,Calculation!$A$4:$A$328,0),10)</f>
        <v>7635</v>
      </c>
      <c r="H298" s="121">
        <f t="shared" si="8"/>
        <v>565563</v>
      </c>
    </row>
    <row r="299" spans="1:8" x14ac:dyDescent="0.2">
      <c r="A299" s="118" t="str">
        <f>StartupfileInput!C298</f>
        <v>6822</v>
      </c>
      <c r="B299" s="119" t="str">
        <f>INDEX(Calculation!$A$4:$M$328,MATCH(Summary!$A299,Calculation!$A$4:$A$328,0),3)</f>
        <v>Waukee</v>
      </c>
      <c r="C299" s="144">
        <f>INDEX(Calculation!$A$4:$M$328,MATCH(Summary!$A299,Calculation!$A$4:$A$328,0),6)</f>
        <v>15.481</v>
      </c>
      <c r="D299" s="144">
        <f>INDEX(Calculation!$A$4:$M$328,MATCH(Summary!$A299,Calculation!$A$4:$A$328,0),7)</f>
        <v>26.834</v>
      </c>
      <c r="E299" s="144">
        <f t="shared" si="9"/>
        <v>42.314999999999998</v>
      </c>
      <c r="F299" s="120"/>
      <c r="G299" s="121">
        <f>INDEX(Calculation!$A$4:$M$328,MATCH(Summary!$A299,Calculation!$A$4:$A$328,0),10)</f>
        <v>7635</v>
      </c>
      <c r="H299" s="121">
        <f t="shared" si="8"/>
        <v>323075</v>
      </c>
    </row>
    <row r="300" spans="1:8" x14ac:dyDescent="0.2">
      <c r="A300" s="118" t="str">
        <f>StartupfileInput!C299</f>
        <v>6840</v>
      </c>
      <c r="B300" s="119" t="str">
        <f>INDEX(Calculation!$A$4:$M$328,MATCH(Summary!$A300,Calculation!$A$4:$A$328,0),3)</f>
        <v>Waverly-Shell Rock</v>
      </c>
      <c r="C300" s="144">
        <f>INDEX(Calculation!$A$4:$M$328,MATCH(Summary!$A300,Calculation!$A$4:$A$328,0),6)</f>
        <v>3.6520000000000001</v>
      </c>
      <c r="D300" s="144">
        <f>INDEX(Calculation!$A$4:$M$328,MATCH(Summary!$A300,Calculation!$A$4:$A$328,0),7)</f>
        <v>4.484</v>
      </c>
      <c r="E300" s="144">
        <f t="shared" si="9"/>
        <v>8.1359999999999992</v>
      </c>
      <c r="F300" s="120"/>
      <c r="G300" s="121">
        <f>INDEX(Calculation!$A$4:$M$328,MATCH(Summary!$A300,Calculation!$A$4:$A$328,0),10)</f>
        <v>7635</v>
      </c>
      <c r="H300" s="121">
        <f t="shared" si="8"/>
        <v>62118</v>
      </c>
    </row>
    <row r="301" spans="1:8" x14ac:dyDescent="0.2">
      <c r="A301" s="118" t="str">
        <f>StartupfileInput!C300</f>
        <v>6854</v>
      </c>
      <c r="B301" s="119" t="str">
        <f>INDEX(Calculation!$A$4:$M$328,MATCH(Summary!$A301,Calculation!$A$4:$A$328,0),3)</f>
        <v>Wayne</v>
      </c>
      <c r="C301" s="144">
        <f>INDEX(Calculation!$A$4:$M$328,MATCH(Summary!$A301,Calculation!$A$4:$A$328,0),6)</f>
        <v>2.097</v>
      </c>
      <c r="D301" s="144">
        <f>INDEX(Calculation!$A$4:$M$328,MATCH(Summary!$A301,Calculation!$A$4:$A$328,0),7)</f>
        <v>1.1719999999999999</v>
      </c>
      <c r="E301" s="144">
        <f t="shared" si="9"/>
        <v>3.2690000000000001</v>
      </c>
      <c r="F301" s="120"/>
      <c r="G301" s="121">
        <f>INDEX(Calculation!$A$4:$M$328,MATCH(Summary!$A301,Calculation!$A$4:$A$328,0),10)</f>
        <v>7635</v>
      </c>
      <c r="H301" s="121">
        <f t="shared" si="8"/>
        <v>24959</v>
      </c>
    </row>
    <row r="302" spans="1:8" x14ac:dyDescent="0.2">
      <c r="A302" s="118" t="str">
        <f>StartupfileInput!C301</f>
        <v>6867</v>
      </c>
      <c r="B302" s="119" t="str">
        <f>INDEX(Calculation!$A$4:$M$328,MATCH(Summary!$A302,Calculation!$A$4:$A$328,0),3)</f>
        <v>Webster City</v>
      </c>
      <c r="C302" s="144">
        <f>INDEX(Calculation!$A$4:$M$328,MATCH(Summary!$A302,Calculation!$A$4:$A$328,0),6)</f>
        <v>5.9379999999999997</v>
      </c>
      <c r="D302" s="144">
        <f>INDEX(Calculation!$A$4:$M$328,MATCH(Summary!$A302,Calculation!$A$4:$A$328,0),7)</f>
        <v>3.528</v>
      </c>
      <c r="E302" s="144">
        <f t="shared" si="9"/>
        <v>9.4659999999999993</v>
      </c>
      <c r="F302" s="120"/>
      <c r="G302" s="121">
        <f>INDEX(Calculation!$A$4:$M$328,MATCH(Summary!$A302,Calculation!$A$4:$A$328,0),10)</f>
        <v>7635</v>
      </c>
      <c r="H302" s="121">
        <f t="shared" si="8"/>
        <v>72273</v>
      </c>
    </row>
    <row r="303" spans="1:8" x14ac:dyDescent="0.2">
      <c r="A303" s="118" t="str">
        <f>StartupfileInput!C302</f>
        <v>6921</v>
      </c>
      <c r="B303" s="119" t="str">
        <f>INDEX(Calculation!$A$4:$M$328,MATCH(Summary!$A303,Calculation!$A$4:$A$328,0),3)</f>
        <v>West Bend-Mallard</v>
      </c>
      <c r="C303" s="144">
        <f>INDEX(Calculation!$A$4:$M$328,MATCH(Summary!$A303,Calculation!$A$4:$A$328,0),6)</f>
        <v>0.98099999999999998</v>
      </c>
      <c r="D303" s="144">
        <f>INDEX(Calculation!$A$4:$M$328,MATCH(Summary!$A303,Calculation!$A$4:$A$328,0),7)</f>
        <v>0.66900000000000004</v>
      </c>
      <c r="E303" s="144">
        <f t="shared" si="9"/>
        <v>1.65</v>
      </c>
      <c r="F303" s="120"/>
      <c r="G303" s="121">
        <f>INDEX(Calculation!$A$4:$M$328,MATCH(Summary!$A303,Calculation!$A$4:$A$328,0),10)</f>
        <v>7652</v>
      </c>
      <c r="H303" s="121">
        <f t="shared" si="8"/>
        <v>12626</v>
      </c>
    </row>
    <row r="304" spans="1:8" x14ac:dyDescent="0.2">
      <c r="A304" s="118" t="str">
        <f>StartupfileInput!C303</f>
        <v>6930</v>
      </c>
      <c r="B304" s="119" t="str">
        <f>INDEX(Calculation!$A$4:$M$328,MATCH(Summary!$A304,Calculation!$A$4:$A$328,0),3)</f>
        <v>West Branch</v>
      </c>
      <c r="C304" s="144">
        <f>INDEX(Calculation!$A$4:$M$328,MATCH(Summary!$A304,Calculation!$A$4:$A$328,0),6)</f>
        <v>1.3839999999999999</v>
      </c>
      <c r="D304" s="144">
        <f>INDEX(Calculation!$A$4:$M$328,MATCH(Summary!$A304,Calculation!$A$4:$A$328,0),7)</f>
        <v>1.603</v>
      </c>
      <c r="E304" s="144">
        <f t="shared" si="9"/>
        <v>2.9870000000000001</v>
      </c>
      <c r="F304" s="120"/>
      <c r="G304" s="121">
        <f>INDEX(Calculation!$A$4:$M$328,MATCH(Summary!$A304,Calculation!$A$4:$A$328,0),10)</f>
        <v>7635</v>
      </c>
      <c r="H304" s="121">
        <f t="shared" si="8"/>
        <v>22806</v>
      </c>
    </row>
    <row r="305" spans="1:8" x14ac:dyDescent="0.2">
      <c r="A305" s="118" t="str">
        <f>StartupfileInput!C304</f>
        <v>6937</v>
      </c>
      <c r="B305" s="119" t="str">
        <f>INDEX(Calculation!$A$4:$M$328,MATCH(Summary!$A305,Calculation!$A$4:$A$328,0),3)</f>
        <v>West Burlington</v>
      </c>
      <c r="C305" s="144">
        <f>INDEX(Calculation!$A$4:$M$328,MATCH(Summary!$A305,Calculation!$A$4:$A$328,0),6)</f>
        <v>1.0649999999999999</v>
      </c>
      <c r="D305" s="144">
        <f>INDEX(Calculation!$A$4:$M$328,MATCH(Summary!$A305,Calculation!$A$4:$A$328,0),7)</f>
        <v>0.82599999999999996</v>
      </c>
      <c r="E305" s="144">
        <f t="shared" si="9"/>
        <v>1.891</v>
      </c>
      <c r="F305" s="120"/>
      <c r="G305" s="121">
        <f>INDEX(Calculation!$A$4:$M$328,MATCH(Summary!$A305,Calculation!$A$4:$A$328,0),10)</f>
        <v>7635</v>
      </c>
      <c r="H305" s="121">
        <f t="shared" si="8"/>
        <v>14438</v>
      </c>
    </row>
    <row r="306" spans="1:8" x14ac:dyDescent="0.2">
      <c r="A306" s="118" t="str">
        <f>StartupfileInput!C305</f>
        <v>6943</v>
      </c>
      <c r="B306" s="119" t="str">
        <f>INDEX(Calculation!$A$4:$M$328,MATCH(Summary!$A306,Calculation!$A$4:$A$328,0),3)</f>
        <v>West Central</v>
      </c>
      <c r="C306" s="144">
        <f>INDEX(Calculation!$A$4:$M$328,MATCH(Summary!$A306,Calculation!$A$4:$A$328,0),6)</f>
        <v>0.80500000000000005</v>
      </c>
      <c r="D306" s="144">
        <f>INDEX(Calculation!$A$4:$M$328,MATCH(Summary!$A306,Calculation!$A$4:$A$328,0),7)</f>
        <v>0.54700000000000004</v>
      </c>
      <c r="E306" s="144">
        <f t="shared" si="9"/>
        <v>1.3520000000000001</v>
      </c>
      <c r="F306" s="120"/>
      <c r="G306" s="121">
        <f>INDEX(Calculation!$A$4:$M$328,MATCH(Summary!$A306,Calculation!$A$4:$A$328,0),10)</f>
        <v>7635</v>
      </c>
      <c r="H306" s="121">
        <f t="shared" si="8"/>
        <v>10323</v>
      </c>
    </row>
    <row r="307" spans="1:8" x14ac:dyDescent="0.2">
      <c r="A307" s="118" t="str">
        <f>StartupfileInput!C306</f>
        <v>6264</v>
      </c>
      <c r="B307" s="119" t="str">
        <f>INDEX(Calculation!$A$4:$M$328,MATCH(Summary!$A307,Calculation!$A$4:$A$328,0),3)</f>
        <v>West Central Valley</v>
      </c>
      <c r="C307" s="144">
        <f>INDEX(Calculation!$A$4:$M$328,MATCH(Summary!$A307,Calculation!$A$4:$A$328,0),6)</f>
        <v>2.8260000000000001</v>
      </c>
      <c r="D307" s="144">
        <f>INDEX(Calculation!$A$4:$M$328,MATCH(Summary!$A307,Calculation!$A$4:$A$328,0),7)</f>
        <v>1.9319999999999999</v>
      </c>
      <c r="E307" s="144">
        <f t="shared" si="9"/>
        <v>4.758</v>
      </c>
      <c r="F307" s="120"/>
      <c r="G307" s="121">
        <f>INDEX(Calculation!$A$4:$M$328,MATCH(Summary!$A307,Calculation!$A$4:$A$328,0),10)</f>
        <v>7666</v>
      </c>
      <c r="H307" s="121">
        <f>ROUND(E307*G307,0)</f>
        <v>36475</v>
      </c>
    </row>
    <row r="308" spans="1:8" x14ac:dyDescent="0.2">
      <c r="A308" s="118" t="str">
        <f>StartupfileInput!C307</f>
        <v>6950</v>
      </c>
      <c r="B308" s="119" t="str">
        <f>INDEX(Calculation!$A$4:$M$328,MATCH(Summary!$A308,Calculation!$A$4:$A$328,0),3)</f>
        <v>West Delaware Co</v>
      </c>
      <c r="C308" s="144">
        <f>INDEX(Calculation!$A$4:$M$328,MATCH(Summary!$A308,Calculation!$A$4:$A$328,0),6)</f>
        <v>4.1550000000000002</v>
      </c>
      <c r="D308" s="144">
        <f>INDEX(Calculation!$A$4:$M$328,MATCH(Summary!$A308,Calculation!$A$4:$A$328,0),7)</f>
        <v>2.782</v>
      </c>
      <c r="E308" s="144">
        <f t="shared" si="9"/>
        <v>6.9370000000000003</v>
      </c>
      <c r="F308" s="120"/>
      <c r="G308" s="121">
        <f>INDEX(Calculation!$A$4:$M$328,MATCH(Summary!$A308,Calculation!$A$4:$A$328,0),10)</f>
        <v>7635</v>
      </c>
      <c r="H308" s="121">
        <f t="shared" si="8"/>
        <v>52964</v>
      </c>
    </row>
    <row r="309" spans="1:8" x14ac:dyDescent="0.2">
      <c r="A309" s="118" t="str">
        <f>StartupfileInput!C308</f>
        <v>6957</v>
      </c>
      <c r="B309" s="119" t="str">
        <f>INDEX(Calculation!$A$4:$M$328,MATCH(Summary!$A309,Calculation!$A$4:$A$328,0),3)</f>
        <v>West Des Moines</v>
      </c>
      <c r="C309" s="144">
        <f>INDEX(Calculation!$A$4:$M$328,MATCH(Summary!$A309,Calculation!$A$4:$A$328,0),6)</f>
        <v>22.059000000000001</v>
      </c>
      <c r="D309" s="144">
        <f>INDEX(Calculation!$A$4:$M$328,MATCH(Summary!$A309,Calculation!$A$4:$A$328,0),7)</f>
        <v>17.704000000000001</v>
      </c>
      <c r="E309" s="144">
        <f t="shared" si="9"/>
        <v>39.763000000000005</v>
      </c>
      <c r="F309" s="120"/>
      <c r="G309" s="121">
        <f>INDEX(Calculation!$A$4:$M$328,MATCH(Summary!$A309,Calculation!$A$4:$A$328,0),10)</f>
        <v>7635</v>
      </c>
      <c r="H309" s="121">
        <f t="shared" si="8"/>
        <v>303591</v>
      </c>
    </row>
    <row r="310" spans="1:8" x14ac:dyDescent="0.2">
      <c r="A310" s="118" t="str">
        <f>StartupfileInput!C309</f>
        <v>5922</v>
      </c>
      <c r="B310" s="119" t="str">
        <f>INDEX(Calculation!$A$4:$M$328,MATCH(Summary!$A310,Calculation!$A$4:$A$328,0),3)</f>
        <v>West Fork</v>
      </c>
      <c r="C310" s="144">
        <f>INDEX(Calculation!$A$4:$M$328,MATCH(Summary!$A310,Calculation!$A$4:$A$328,0),6)</f>
        <v>1.9730000000000001</v>
      </c>
      <c r="D310" s="144">
        <f>INDEX(Calculation!$A$4:$M$328,MATCH(Summary!$A310,Calculation!$A$4:$A$328,0),7)</f>
        <v>1.5580000000000001</v>
      </c>
      <c r="E310" s="144">
        <f t="shared" si="9"/>
        <v>3.5310000000000001</v>
      </c>
      <c r="F310" s="120"/>
      <c r="G310" s="121">
        <f>INDEX(Calculation!$A$4:$M$328,MATCH(Summary!$A310,Calculation!$A$4:$A$328,0),10)</f>
        <v>7656</v>
      </c>
      <c r="H310" s="121">
        <f t="shared" si="8"/>
        <v>27033</v>
      </c>
    </row>
    <row r="311" spans="1:8" x14ac:dyDescent="0.2">
      <c r="A311" s="118" t="str">
        <f>StartupfileInput!C310</f>
        <v>0819</v>
      </c>
      <c r="B311" s="119" t="str">
        <f>INDEX(Calculation!$A$4:$M$328,MATCH(Summary!$A311,Calculation!$A$4:$A$328,0),3)</f>
        <v>West Hancock</v>
      </c>
      <c r="C311" s="144">
        <f>INDEX(Calculation!$A$4:$M$328,MATCH(Summary!$A311,Calculation!$A$4:$A$328,0),6)</f>
        <v>1.466</v>
      </c>
      <c r="D311" s="144">
        <f>INDEX(Calculation!$A$4:$M$328,MATCH(Summary!$A311,Calculation!$A$4:$A$328,0),7)</f>
        <v>1.141</v>
      </c>
      <c r="E311" s="144">
        <f t="shared" si="9"/>
        <v>2.6070000000000002</v>
      </c>
      <c r="F311" s="120"/>
      <c r="G311" s="121">
        <f>INDEX(Calculation!$A$4:$M$328,MATCH(Summary!$A311,Calculation!$A$4:$A$328,0),10)</f>
        <v>7635</v>
      </c>
      <c r="H311" s="121">
        <f>ROUND(E311*G311,0)</f>
        <v>19904</v>
      </c>
    </row>
    <row r="312" spans="1:8" x14ac:dyDescent="0.2">
      <c r="A312" s="118" t="str">
        <f>StartupfileInput!C311</f>
        <v>6969</v>
      </c>
      <c r="B312" s="119" t="str">
        <f>INDEX(Calculation!$A$4:$M$328,MATCH(Summary!$A312,Calculation!$A$4:$A$328,0),3)</f>
        <v>West Harrison</v>
      </c>
      <c r="C312" s="144">
        <f>INDEX(Calculation!$A$4:$M$328,MATCH(Summary!$A312,Calculation!$A$4:$A$328,0),6)</f>
        <v>1.34</v>
      </c>
      <c r="D312" s="144">
        <f>INDEX(Calculation!$A$4:$M$328,MATCH(Summary!$A312,Calculation!$A$4:$A$328,0),7)</f>
        <v>0.72699999999999998</v>
      </c>
      <c r="E312" s="144">
        <f t="shared" si="9"/>
        <v>2.0670000000000002</v>
      </c>
      <c r="F312" s="120"/>
      <c r="G312" s="121">
        <f>INDEX(Calculation!$A$4:$M$328,MATCH(Summary!$A312,Calculation!$A$4:$A$328,0),10)</f>
        <v>7770</v>
      </c>
      <c r="H312" s="121">
        <f t="shared" si="8"/>
        <v>16061</v>
      </c>
    </row>
    <row r="313" spans="1:8" x14ac:dyDescent="0.2">
      <c r="A313" s="118" t="str">
        <f>StartupfileInput!C312</f>
        <v>6975</v>
      </c>
      <c r="B313" s="119" t="str">
        <f>INDEX(Calculation!$A$4:$M$328,MATCH(Summary!$A313,Calculation!$A$4:$A$328,0),3)</f>
        <v>West Liberty</v>
      </c>
      <c r="C313" s="144">
        <f>INDEX(Calculation!$A$4:$M$328,MATCH(Summary!$A313,Calculation!$A$4:$A$328,0),6)</f>
        <v>4.4000000000000004</v>
      </c>
      <c r="D313" s="144">
        <f>INDEX(Calculation!$A$4:$M$328,MATCH(Summary!$A313,Calculation!$A$4:$A$328,0),7)</f>
        <v>2.52</v>
      </c>
      <c r="E313" s="144">
        <f t="shared" si="9"/>
        <v>6.92</v>
      </c>
      <c r="F313" s="120"/>
      <c r="G313" s="121">
        <f>INDEX(Calculation!$A$4:$M$328,MATCH(Summary!$A313,Calculation!$A$4:$A$328,0),10)</f>
        <v>7635</v>
      </c>
      <c r="H313" s="121">
        <f t="shared" si="8"/>
        <v>52834</v>
      </c>
    </row>
    <row r="314" spans="1:8" x14ac:dyDescent="0.2">
      <c r="A314" s="118" t="str">
        <f>StartupfileInput!C313</f>
        <v>6983</v>
      </c>
      <c r="B314" s="119" t="str">
        <f>INDEX(Calculation!$A$4:$M$328,MATCH(Summary!$A314,Calculation!$A$4:$A$328,0),3)</f>
        <v>West Lyon</v>
      </c>
      <c r="C314" s="144">
        <f>INDEX(Calculation!$A$4:$M$328,MATCH(Summary!$A314,Calculation!$A$4:$A$328,0),6)</f>
        <v>1.752</v>
      </c>
      <c r="D314" s="144">
        <f>INDEX(Calculation!$A$4:$M$328,MATCH(Summary!$A314,Calculation!$A$4:$A$328,0),7)</f>
        <v>1.9139999999999999</v>
      </c>
      <c r="E314" s="144">
        <f t="shared" si="9"/>
        <v>3.6659999999999999</v>
      </c>
      <c r="F314" s="120"/>
      <c r="G314" s="121">
        <f>INDEX(Calculation!$A$4:$M$328,MATCH(Summary!$A314,Calculation!$A$4:$A$328,0),10)</f>
        <v>7635</v>
      </c>
      <c r="H314" s="121">
        <f t="shared" si="8"/>
        <v>27990</v>
      </c>
    </row>
    <row r="315" spans="1:8" x14ac:dyDescent="0.2">
      <c r="A315" s="118" t="str">
        <f>StartupfileInput!C314</f>
        <v>6985</v>
      </c>
      <c r="B315" s="119" t="str">
        <f>INDEX(Calculation!$A$4:$M$328,MATCH(Summary!$A315,Calculation!$A$4:$A$328,0),3)</f>
        <v>West Marshall</v>
      </c>
      <c r="C315" s="144">
        <f>INDEX(Calculation!$A$4:$M$328,MATCH(Summary!$A315,Calculation!$A$4:$A$328,0),6)</f>
        <v>1.5880000000000001</v>
      </c>
      <c r="D315" s="144">
        <f>INDEX(Calculation!$A$4:$M$328,MATCH(Summary!$A315,Calculation!$A$4:$A$328,0),7)</f>
        <v>1.605</v>
      </c>
      <c r="E315" s="144">
        <f t="shared" si="9"/>
        <v>3.1930000000000001</v>
      </c>
      <c r="F315" s="120"/>
      <c r="G315" s="121">
        <f>INDEX(Calculation!$A$4:$M$328,MATCH(Summary!$A315,Calculation!$A$4:$A$328,0),10)</f>
        <v>7635</v>
      </c>
      <c r="H315" s="121">
        <f t="shared" si="8"/>
        <v>24379</v>
      </c>
    </row>
    <row r="316" spans="1:8" x14ac:dyDescent="0.2">
      <c r="A316" s="118" t="str">
        <f>StartupfileInput!C315</f>
        <v>6987</v>
      </c>
      <c r="B316" s="119" t="str">
        <f>INDEX(Calculation!$A$4:$M$328,MATCH(Summary!$A316,Calculation!$A$4:$A$328,0),3)</f>
        <v>West Monona</v>
      </c>
      <c r="C316" s="144">
        <f>INDEX(Calculation!$A$4:$M$328,MATCH(Summary!$A316,Calculation!$A$4:$A$328,0),6)</f>
        <v>1.925</v>
      </c>
      <c r="D316" s="144">
        <f>INDEX(Calculation!$A$4:$M$328,MATCH(Summary!$A316,Calculation!$A$4:$A$328,0),7)</f>
        <v>1.228</v>
      </c>
      <c r="E316" s="144">
        <f t="shared" si="9"/>
        <v>3.153</v>
      </c>
      <c r="F316" s="120"/>
      <c r="G316" s="121">
        <f>INDEX(Calculation!$A$4:$M$328,MATCH(Summary!$A316,Calculation!$A$4:$A$328,0),10)</f>
        <v>7635</v>
      </c>
      <c r="H316" s="121">
        <f t="shared" si="8"/>
        <v>24073</v>
      </c>
    </row>
    <row r="317" spans="1:8" x14ac:dyDescent="0.2">
      <c r="A317" s="118" t="str">
        <f>StartupfileInput!C316</f>
        <v>6990</v>
      </c>
      <c r="B317" s="119" t="str">
        <f>INDEX(Calculation!$A$4:$M$328,MATCH(Summary!$A317,Calculation!$A$4:$A$328,0),3)</f>
        <v>West Sioux</v>
      </c>
      <c r="C317" s="144">
        <f>INDEX(Calculation!$A$4:$M$328,MATCH(Summary!$A317,Calculation!$A$4:$A$328,0),6)</f>
        <v>3.0590000000000002</v>
      </c>
      <c r="D317" s="144">
        <f>INDEX(Calculation!$A$4:$M$328,MATCH(Summary!$A317,Calculation!$A$4:$A$328,0),7)</f>
        <v>1.6220000000000001</v>
      </c>
      <c r="E317" s="144">
        <f t="shared" si="9"/>
        <v>4.681</v>
      </c>
      <c r="F317" s="120"/>
      <c r="G317" s="121">
        <f>INDEX(Calculation!$A$4:$M$328,MATCH(Summary!$A317,Calculation!$A$4:$A$328,0),10)</f>
        <v>7635</v>
      </c>
      <c r="H317" s="121">
        <f t="shared" si="8"/>
        <v>35739</v>
      </c>
    </row>
    <row r="318" spans="1:8" x14ac:dyDescent="0.2">
      <c r="A318" s="118" t="str">
        <f>StartupfileInput!C317</f>
        <v>6961</v>
      </c>
      <c r="B318" s="119" t="str">
        <f>INDEX(Calculation!$A$4:$M$328,MATCH(Summary!$A318,Calculation!$A$4:$A$328,0),3)</f>
        <v>Western Dubuque Co</v>
      </c>
      <c r="C318" s="144">
        <f>INDEX(Calculation!$A$4:$M$328,MATCH(Summary!$A318,Calculation!$A$4:$A$328,0),6)</f>
        <v>5.5179999999999998</v>
      </c>
      <c r="D318" s="144">
        <f>INDEX(Calculation!$A$4:$M$328,MATCH(Summary!$A318,Calculation!$A$4:$A$328,0),7)</f>
        <v>6.5279999999999996</v>
      </c>
      <c r="E318" s="144">
        <f t="shared" si="9"/>
        <v>12.045999999999999</v>
      </c>
      <c r="F318" s="120"/>
      <c r="G318" s="121">
        <f>INDEX(Calculation!$A$4:$M$328,MATCH(Summary!$A318,Calculation!$A$4:$A$328,0),10)</f>
        <v>7655</v>
      </c>
      <c r="H318" s="121">
        <f t="shared" si="8"/>
        <v>92212</v>
      </c>
    </row>
    <row r="319" spans="1:8" x14ac:dyDescent="0.2">
      <c r="A319" s="118" t="str">
        <f>StartupfileInput!C318</f>
        <v>6992</v>
      </c>
      <c r="B319" s="119" t="str">
        <f>INDEX(Calculation!$A$4:$M$328,MATCH(Summary!$A319,Calculation!$A$4:$A$328,0),3)</f>
        <v>Westwood</v>
      </c>
      <c r="C319" s="144">
        <f>INDEX(Calculation!$A$4:$M$328,MATCH(Summary!$A319,Calculation!$A$4:$A$328,0),6)</f>
        <v>1.3109999999999999</v>
      </c>
      <c r="D319" s="144">
        <f>INDEX(Calculation!$A$4:$M$328,MATCH(Summary!$A319,Calculation!$A$4:$A$328,0),7)</f>
        <v>1.085</v>
      </c>
      <c r="E319" s="144">
        <f t="shared" si="9"/>
        <v>2.3959999999999999</v>
      </c>
      <c r="F319" s="120"/>
      <c r="G319" s="121">
        <f>INDEX(Calculation!$A$4:$M$328,MATCH(Summary!$A319,Calculation!$A$4:$A$328,0),10)</f>
        <v>7635</v>
      </c>
      <c r="H319" s="121">
        <f t="shared" ref="H319:H327" si="10">ROUND(E319*G319,0)</f>
        <v>18293</v>
      </c>
    </row>
    <row r="320" spans="1:8" x14ac:dyDescent="0.2">
      <c r="A320" s="118" t="str">
        <f>StartupfileInput!C319</f>
        <v>7002</v>
      </c>
      <c r="B320" s="119" t="str">
        <f>INDEX(Calculation!$A$4:$M$328,MATCH(Summary!$A320,Calculation!$A$4:$A$328,0),3)</f>
        <v>Whiting</v>
      </c>
      <c r="C320" s="144">
        <f>INDEX(Calculation!$A$4:$M$328,MATCH(Summary!$A320,Calculation!$A$4:$A$328,0),6)</f>
        <v>0.628</v>
      </c>
      <c r="D320" s="144">
        <f>INDEX(Calculation!$A$4:$M$328,MATCH(Summary!$A320,Calculation!$A$4:$A$328,0),7)</f>
        <v>0.376</v>
      </c>
      <c r="E320" s="144">
        <f t="shared" si="9"/>
        <v>1.004</v>
      </c>
      <c r="F320" s="120"/>
      <c r="G320" s="121">
        <f>INDEX(Calculation!$A$4:$M$328,MATCH(Summary!$A320,Calculation!$A$4:$A$328,0),10)</f>
        <v>7635</v>
      </c>
      <c r="H320" s="121">
        <f t="shared" si="10"/>
        <v>7666</v>
      </c>
    </row>
    <row r="321" spans="1:8" x14ac:dyDescent="0.2">
      <c r="A321" s="118" t="str">
        <f>StartupfileInput!C320</f>
        <v>7029</v>
      </c>
      <c r="B321" s="119" t="str">
        <f>INDEX(Calculation!$A$4:$M$328,MATCH(Summary!$A321,Calculation!$A$4:$A$328,0),3)</f>
        <v>Williamsburg</v>
      </c>
      <c r="C321" s="144">
        <f>INDEX(Calculation!$A$4:$M$328,MATCH(Summary!$A321,Calculation!$A$4:$A$328,0),6)</f>
        <v>1.9330000000000001</v>
      </c>
      <c r="D321" s="144">
        <f>INDEX(Calculation!$A$4:$M$328,MATCH(Summary!$A321,Calculation!$A$4:$A$328,0),7)</f>
        <v>2.367</v>
      </c>
      <c r="E321" s="144">
        <f t="shared" si="9"/>
        <v>4.3</v>
      </c>
      <c r="F321" s="120"/>
      <c r="G321" s="121">
        <f>INDEX(Calculation!$A$4:$M$328,MATCH(Summary!$A321,Calculation!$A$4:$A$328,0),10)</f>
        <v>7635</v>
      </c>
      <c r="H321" s="121">
        <f t="shared" si="10"/>
        <v>32831</v>
      </c>
    </row>
    <row r="322" spans="1:8" x14ac:dyDescent="0.2">
      <c r="A322" s="118" t="str">
        <f>StartupfileInput!C321</f>
        <v>7038</v>
      </c>
      <c r="B322" s="119" t="str">
        <f>INDEX(Calculation!$A$4:$M$328,MATCH(Summary!$A322,Calculation!$A$4:$A$328,0),3)</f>
        <v>Wilton</v>
      </c>
      <c r="C322" s="144">
        <f>INDEX(Calculation!$A$4:$M$328,MATCH(Summary!$A322,Calculation!$A$4:$A$328,0),6)</f>
        <v>2.0880000000000001</v>
      </c>
      <c r="D322" s="144">
        <f>INDEX(Calculation!$A$4:$M$328,MATCH(Summary!$A322,Calculation!$A$4:$A$328,0),7)</f>
        <v>1.738</v>
      </c>
      <c r="E322" s="144">
        <f t="shared" si="9"/>
        <v>3.8260000000000001</v>
      </c>
      <c r="F322" s="120"/>
      <c r="G322" s="121">
        <f>INDEX(Calculation!$A$4:$M$328,MATCH(Summary!$A322,Calculation!$A$4:$A$328,0),10)</f>
        <v>7635</v>
      </c>
      <c r="H322" s="121">
        <f t="shared" si="10"/>
        <v>29212</v>
      </c>
    </row>
    <row r="323" spans="1:8" x14ac:dyDescent="0.2">
      <c r="A323" s="118" t="str">
        <f>StartupfileInput!C322</f>
        <v>7047</v>
      </c>
      <c r="B323" s="119" t="str">
        <f>INDEX(Calculation!$A$4:$M$328,MATCH(Summary!$A323,Calculation!$A$4:$A$328,0),3)</f>
        <v>Winfield-Mt Union</v>
      </c>
      <c r="C323" s="144">
        <f>INDEX(Calculation!$A$4:$M$328,MATCH(Summary!$A323,Calculation!$A$4:$A$328,0),6)</f>
        <v>0.995</v>
      </c>
      <c r="D323" s="144">
        <f>INDEX(Calculation!$A$4:$M$328,MATCH(Summary!$A323,Calculation!$A$4:$A$328,0),7)</f>
        <v>0.625</v>
      </c>
      <c r="E323" s="144">
        <f t="shared" si="9"/>
        <v>1.62</v>
      </c>
      <c r="F323" s="120"/>
      <c r="G323" s="121">
        <f>INDEX(Calculation!$A$4:$M$328,MATCH(Summary!$A323,Calculation!$A$4:$A$328,0),10)</f>
        <v>7635</v>
      </c>
      <c r="H323" s="121">
        <f t="shared" si="10"/>
        <v>12369</v>
      </c>
    </row>
    <row r="324" spans="1:8" x14ac:dyDescent="0.2">
      <c r="A324" s="118" t="str">
        <f>StartupfileInput!C323</f>
        <v>7056</v>
      </c>
      <c r="B324" s="119" t="str">
        <f>INDEX(Calculation!$A$4:$M$328,MATCH(Summary!$A324,Calculation!$A$4:$A$328,0),3)</f>
        <v>Winterset</v>
      </c>
      <c r="C324" s="144">
        <f>INDEX(Calculation!$A$4:$M$328,MATCH(Summary!$A324,Calculation!$A$4:$A$328,0),6)</f>
        <v>3.6659999999999999</v>
      </c>
      <c r="D324" s="144">
        <f>INDEX(Calculation!$A$4:$M$328,MATCH(Summary!$A324,Calculation!$A$4:$A$328,0),7)</f>
        <v>3.4009999999999998</v>
      </c>
      <c r="E324" s="144">
        <f t="shared" ref="E324:E327" si="11">SUM(C324:D324)</f>
        <v>7.0670000000000002</v>
      </c>
      <c r="F324" s="120"/>
      <c r="G324" s="121">
        <f>INDEX(Calculation!$A$4:$M$328,MATCH(Summary!$A324,Calculation!$A$4:$A$328,0),10)</f>
        <v>7635</v>
      </c>
      <c r="H324" s="121">
        <f t="shared" si="10"/>
        <v>53957</v>
      </c>
    </row>
    <row r="325" spans="1:8" x14ac:dyDescent="0.2">
      <c r="A325" s="118" t="str">
        <f>StartupfileInput!C324</f>
        <v>7092</v>
      </c>
      <c r="B325" s="119" t="str">
        <f>INDEX(Calculation!$A$4:$M$328,MATCH(Summary!$A325,Calculation!$A$4:$A$328,0),3)</f>
        <v>Woodbine</v>
      </c>
      <c r="C325" s="144">
        <f>INDEX(Calculation!$A$4:$M$328,MATCH(Summary!$A325,Calculation!$A$4:$A$328,0),6)</f>
        <v>1.163</v>
      </c>
      <c r="D325" s="144">
        <f>INDEX(Calculation!$A$4:$M$328,MATCH(Summary!$A325,Calculation!$A$4:$A$328,0),7)</f>
        <v>0.95099999999999996</v>
      </c>
      <c r="E325" s="144">
        <f t="shared" si="11"/>
        <v>2.1139999999999999</v>
      </c>
      <c r="F325" s="120"/>
      <c r="G325" s="121">
        <f>INDEX(Calculation!$A$4:$M$328,MATCH(Summary!$A325,Calculation!$A$4:$A$328,0),10)</f>
        <v>7635</v>
      </c>
      <c r="H325" s="121">
        <f t="shared" si="10"/>
        <v>16140</v>
      </c>
    </row>
    <row r="326" spans="1:8" x14ac:dyDescent="0.2">
      <c r="A326" s="118" t="str">
        <f>StartupfileInput!C325</f>
        <v>7098</v>
      </c>
      <c r="B326" s="119" t="str">
        <f>INDEX(Calculation!$A$4:$M$328,MATCH(Summary!$A326,Calculation!$A$4:$A$328,0),3)</f>
        <v>Woodbury Central</v>
      </c>
      <c r="C326" s="144">
        <f>INDEX(Calculation!$A$4:$M$328,MATCH(Summary!$A326,Calculation!$A$4:$A$328,0),6)</f>
        <v>1.1559999999999999</v>
      </c>
      <c r="D326" s="144">
        <f>INDEX(Calculation!$A$4:$M$328,MATCH(Summary!$A326,Calculation!$A$4:$A$328,0),7)</f>
        <v>1.054</v>
      </c>
      <c r="E326" s="144">
        <f t="shared" si="11"/>
        <v>2.21</v>
      </c>
      <c r="F326" s="120"/>
      <c r="G326" s="121">
        <f>INDEX(Calculation!$A$4:$M$328,MATCH(Summary!$A326,Calculation!$A$4:$A$328,0),10)</f>
        <v>7635</v>
      </c>
      <c r="H326" s="121">
        <f t="shared" si="10"/>
        <v>16873</v>
      </c>
    </row>
    <row r="327" spans="1:8" x14ac:dyDescent="0.2">
      <c r="A327" s="118" t="str">
        <f>StartupfileInput!C326</f>
        <v>7110</v>
      </c>
      <c r="B327" s="119" t="str">
        <f>INDEX(Calculation!$A$4:$M$328,MATCH(Summary!$A327,Calculation!$A$4:$A$328,0),3)</f>
        <v>Woodward-Granger</v>
      </c>
      <c r="C327" s="144">
        <f>INDEX(Calculation!$A$4:$M$328,MATCH(Summary!$A327,Calculation!$A$4:$A$328,0),6)</f>
        <v>1.5249999999999999</v>
      </c>
      <c r="D327" s="144">
        <f>INDEX(Calculation!$A$4:$M$328,MATCH(Summary!$A327,Calculation!$A$4:$A$328,0),7)</f>
        <v>2.1680000000000001</v>
      </c>
      <c r="E327" s="144">
        <f t="shared" si="11"/>
        <v>3.6930000000000001</v>
      </c>
      <c r="F327" s="120"/>
      <c r="G327" s="121">
        <f>INDEX(Calculation!$A$4:$M$328,MATCH(Summary!$A327,Calculation!$A$4:$A$328,0),10)</f>
        <v>7692</v>
      </c>
      <c r="H327" s="121">
        <f t="shared" si="10"/>
        <v>28407</v>
      </c>
    </row>
    <row r="328" spans="1:8" ht="12.75" thickBot="1" x14ac:dyDescent="0.25">
      <c r="A328" s="111"/>
      <c r="C328" s="124">
        <f>SUM(C3:C327)</f>
        <v>1422.6909999999989</v>
      </c>
      <c r="D328" s="124">
        <f>SUM(D3:D327)</f>
        <v>992.41200000000038</v>
      </c>
      <c r="E328" s="124">
        <f>SUM(E3:E327)</f>
        <v>2415.1030000000001</v>
      </c>
      <c r="F328" s="122"/>
      <c r="G328" s="123"/>
      <c r="H328" s="125">
        <f>SUM(H3:H327)</f>
        <v>18465688</v>
      </c>
    </row>
    <row r="329" spans="1:8" ht="12.75" thickTop="1" x14ac:dyDescent="0.2">
      <c r="H329" s="23"/>
    </row>
    <row r="330" spans="1:8" x14ac:dyDescent="0.2">
      <c r="A330" s="110" t="s">
        <v>13</v>
      </c>
    </row>
    <row r="331" spans="1:8" x14ac:dyDescent="0.2">
      <c r="A331" s="138" t="s">
        <v>642</v>
      </c>
      <c r="B331" s="139"/>
      <c r="C331" s="139"/>
      <c r="D331" s="139"/>
      <c r="E331" s="139"/>
      <c r="F331" s="139"/>
      <c r="G331" s="139"/>
      <c r="H331" s="139"/>
    </row>
    <row r="332" spans="1:8" x14ac:dyDescent="0.2">
      <c r="A332" s="139"/>
      <c r="B332" s="139"/>
      <c r="C332" s="139"/>
      <c r="D332" s="139"/>
      <c r="E332" s="139"/>
      <c r="F332" s="139"/>
      <c r="G332" s="139"/>
      <c r="H332" s="139"/>
    </row>
    <row r="333" spans="1:8" x14ac:dyDescent="0.2">
      <c r="A333" s="110" t="s">
        <v>643</v>
      </c>
    </row>
    <row r="334" spans="1:8" x14ac:dyDescent="0.2">
      <c r="A334" s="110" t="s">
        <v>14</v>
      </c>
    </row>
    <row r="335" spans="1:8" x14ac:dyDescent="0.2">
      <c r="A335" s="110" t="s">
        <v>19</v>
      </c>
    </row>
    <row r="336" spans="1:8" x14ac:dyDescent="0.2">
      <c r="A336" s="110" t="s">
        <v>18</v>
      </c>
    </row>
  </sheetData>
  <mergeCells count="4">
    <mergeCell ref="A331:H332"/>
    <mergeCell ref="A2:B2"/>
    <mergeCell ref="C1:E1"/>
    <mergeCell ref="A1:B1"/>
  </mergeCells>
  <phoneticPr fontId="0" type="noConversion"/>
  <pageMargins left="0.75" right="0.25" top="0.5" bottom="1" header="0.5" footer="0.5"/>
  <pageSetup orientation="portrait" r:id="rId1"/>
  <headerFooter alignWithMargins="0">
    <oddFooter xml:space="preserve">&amp;L&amp;8Prepared by Iowa Department of Management: March 13, 2019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7"/>
  <sheetViews>
    <sheetView workbookViewId="0">
      <pane xSplit="2" ySplit="3" topLeftCell="C303" activePane="bottomRight" state="frozen"/>
      <selection activeCell="I4" sqref="I4"/>
      <selection pane="topRight" activeCell="I4" sqref="I4"/>
      <selection pane="bottomLeft" activeCell="I4" sqref="I4"/>
      <selection pane="bottomRight" activeCell="Q2" sqref="Q2"/>
    </sheetView>
  </sheetViews>
  <sheetFormatPr defaultRowHeight="11.25" x14ac:dyDescent="0.2"/>
  <cols>
    <col min="1" max="1" width="15.140625" style="7" bestFit="1" customWidth="1"/>
    <col min="2" max="2" width="9.140625" style="1"/>
    <col min="3" max="3" width="43.42578125" style="7" bestFit="1" customWidth="1"/>
    <col min="4" max="4" width="11.28515625" style="10" bestFit="1" customWidth="1"/>
    <col min="5" max="5" width="11" style="12" customWidth="1"/>
    <col min="6" max="8" width="11" style="8" customWidth="1"/>
    <col min="9" max="10" width="11" style="11" customWidth="1"/>
    <col min="11" max="13" width="11" style="9" customWidth="1"/>
    <col min="14" max="14" width="9.140625" style="7"/>
    <col min="15" max="15" width="12" style="7" bestFit="1" customWidth="1"/>
    <col min="16" max="16" width="9.140625" style="7"/>
    <col min="17" max="17" width="7" style="7" customWidth="1"/>
    <col min="18" max="18" width="7.5703125" style="7" customWidth="1"/>
    <col min="19" max="19" width="18.85546875" style="7" customWidth="1"/>
    <col min="20" max="20" width="10.42578125" style="7" customWidth="1"/>
    <col min="21" max="16384" width="9.140625" style="7"/>
  </cols>
  <sheetData>
    <row r="1" spans="1:20" s="2" customFormat="1" x14ac:dyDescent="0.2">
      <c r="B1" s="1"/>
      <c r="D1" s="3" t="s">
        <v>750</v>
      </c>
      <c r="E1" s="3" t="s">
        <v>16</v>
      </c>
      <c r="F1" s="4" t="s">
        <v>7</v>
      </c>
      <c r="G1" s="4" t="s">
        <v>7</v>
      </c>
      <c r="H1" s="4" t="s">
        <v>7</v>
      </c>
      <c r="I1" s="21" t="str">
        <f>CONCATENATE("FY ",P1-1)</f>
        <v>FY 2023</v>
      </c>
      <c r="J1" s="21" t="str">
        <f>CONCATENATE("FY ",P1)</f>
        <v>FY 2024</v>
      </c>
      <c r="K1" s="5" t="s">
        <v>9</v>
      </c>
      <c r="L1" s="5" t="s">
        <v>11</v>
      </c>
      <c r="M1" s="5" t="s">
        <v>11</v>
      </c>
      <c r="O1" s="2" t="s">
        <v>680</v>
      </c>
      <c r="P1" s="103">
        <v>2024</v>
      </c>
      <c r="Q1" s="26" t="str">
        <f>Constants!B1</f>
        <v>SPG</v>
      </c>
      <c r="R1" s="26" t="str">
        <f>Constants!C1</f>
        <v>CPP</v>
      </c>
      <c r="S1" s="26" t="str">
        <f>Constants!D1</f>
        <v>Additional_Dollar</v>
      </c>
      <c r="T1" s="26" t="str">
        <f>Constants!E1</f>
        <v>SCPP</v>
      </c>
    </row>
    <row r="2" spans="1:20" s="2" customFormat="1" x14ac:dyDescent="0.2">
      <c r="B2" s="1"/>
      <c r="D2" s="3" t="s">
        <v>4</v>
      </c>
      <c r="E2" s="3" t="s">
        <v>6</v>
      </c>
      <c r="F2" s="4" t="s">
        <v>6</v>
      </c>
      <c r="G2" s="4" t="s">
        <v>4</v>
      </c>
      <c r="H2" s="4" t="s">
        <v>23</v>
      </c>
      <c r="I2" s="21" t="s">
        <v>8</v>
      </c>
      <c r="J2" s="21" t="s">
        <v>8</v>
      </c>
      <c r="K2" s="5" t="s">
        <v>10</v>
      </c>
      <c r="L2" s="5" t="s">
        <v>10</v>
      </c>
      <c r="M2" s="5" t="s">
        <v>10</v>
      </c>
      <c r="O2" s="2" t="s">
        <v>679</v>
      </c>
      <c r="P2" s="105">
        <f>INDEX(Constants!$A$2:$AW$100,MATCH(Calculation!$P$1,Constants!$A$2:$A$100,0),MATCH(Calculation!O$2,Constants!$A$1:$AW$1,0))</f>
        <v>7635</v>
      </c>
      <c r="Q2" s="104">
        <f>INDEX(Constants!$A$2:$AW$100,MATCH(Calculation!$P$1,Constants!$A$2:$A$100,0),MATCH(Calculation!Q$1,Constants!$A$1:$AW$1,0))</f>
        <v>0.03</v>
      </c>
      <c r="R2" s="105">
        <f>INDEX(Constants!$A$2:$AW$100,MATCH(Calculation!$P$1,Constants!$A$2:$A$100,0),MATCH(Calculation!R$1,Constants!$A$1:$AW$1,0))</f>
        <v>222</v>
      </c>
      <c r="S2" s="105">
        <f>INDEX(Constants!$A$2:$AW$100,MATCH(Calculation!$P$1,Constants!$A$2:$A$100,0),MATCH(Calculation!S$1,Constants!$A$1:$AW$1,0))</f>
        <v>0</v>
      </c>
      <c r="T2" s="105">
        <f>INDEX(Constants!$A$2:$AW$100,MATCH(Calculation!$P$1,Constants!$A$2:$A$100,0),MATCH(Calculation!T$1,Constants!$A$1:$AW$1,0))</f>
        <v>7635</v>
      </c>
    </row>
    <row r="3" spans="1:20" s="2" customFormat="1" x14ac:dyDescent="0.2">
      <c r="A3" s="2" t="s">
        <v>312</v>
      </c>
      <c r="B3" s="1" t="s">
        <v>313</v>
      </c>
      <c r="C3" s="26" t="str">
        <f>ActiveDistricts!G1</f>
        <v>Label</v>
      </c>
      <c r="D3" s="16"/>
      <c r="E3" s="3" t="s">
        <v>5</v>
      </c>
      <c r="F3" s="6">
        <v>6.4200000000000004E-3</v>
      </c>
      <c r="G3" s="6">
        <v>2.0400000000000001E-3</v>
      </c>
      <c r="H3" s="6" t="s">
        <v>17</v>
      </c>
      <c r="I3" s="21"/>
      <c r="J3" s="24"/>
      <c r="K3" s="5" t="s">
        <v>6</v>
      </c>
      <c r="L3" s="5" t="s">
        <v>4</v>
      </c>
      <c r="M3" s="5" t="s">
        <v>12</v>
      </c>
    </row>
    <row r="4" spans="1:20" ht="12.75" x14ac:dyDescent="0.2">
      <c r="A4" s="26" t="str">
        <f>StartupfileInput!C2</f>
        <v>0009</v>
      </c>
      <c r="B4" s="1" t="str">
        <f>INDEX(ActiveDistricts!$A$2:$J$326,MATCH(Calculation!$A4,ActiveDistricts!$C$2:$C$326,0),6)</f>
        <v>0009</v>
      </c>
      <c r="C4" s="1" t="str">
        <f>INDEX(ActiveDistricts!$A$2:$J$326,MATCH(Calculation!$A4,ActiveDistricts!$C$2:$C$326,0),7)</f>
        <v>AGWSR</v>
      </c>
      <c r="D4" s="14">
        <f>INDEX(StartupfileInput!$A$2:$I$326,MATCH(Calculation!$A4,StartupfileInput!$C$2:$C$326,0),8)</f>
        <v>686.4</v>
      </c>
      <c r="E4" s="20">
        <f>INDEX(ActiveDistricts!$A$2:$J$326,MATCH(Calculation!$A4,ActiveDistricts!$C$2:$C$326,0),10)</f>
        <v>0.39920948616600793</v>
      </c>
      <c r="F4" s="8">
        <f>ROUND(D4*E4*$F$3,3)</f>
        <v>1.7589999999999999</v>
      </c>
      <c r="G4" s="8">
        <f>ROUND(D4*$G$3,3)</f>
        <v>1.4</v>
      </c>
      <c r="H4" s="8">
        <f>SUM(F4:G4)</f>
        <v>3.1589999999999998</v>
      </c>
      <c r="I4">
        <f>INDEX(StartupfileInput!$A$2:$I$326,MATCH(Calculation!$A4,StartupfileInput!$C$2:$C$326,0),9)</f>
        <v>7488</v>
      </c>
      <c r="J4" s="106">
        <f>MAX(I4+$R$2,$T$2)</f>
        <v>7710</v>
      </c>
      <c r="K4" s="9">
        <f>ROUND(F4*J4,0)</f>
        <v>13562</v>
      </c>
      <c r="L4" s="9">
        <f>M4-K4</f>
        <v>10794</v>
      </c>
      <c r="M4" s="9">
        <f>ROUND(H4*J4,0)</f>
        <v>24356</v>
      </c>
    </row>
    <row r="5" spans="1:20" ht="12.75" x14ac:dyDescent="0.2">
      <c r="A5" s="26" t="str">
        <f>StartupfileInput!C3</f>
        <v>0441</v>
      </c>
      <c r="B5" s="1" t="str">
        <f>INDEX(ActiveDistricts!$A$2:$J$326,MATCH(Calculation!$A5,ActiveDistricts!$C$2:$C$326,0),6)</f>
        <v>0441</v>
      </c>
      <c r="C5" s="1" t="str">
        <f>INDEX(ActiveDistricts!$A$2:$J$326,MATCH(Calculation!$A5,ActiveDistricts!$C$2:$C$326,0),7)</f>
        <v>AHSTW</v>
      </c>
      <c r="D5" s="14">
        <f>INDEX(StartupfileInput!$A$2:$I$326,MATCH(Calculation!$A5,StartupfileInput!$C$2:$C$326,0),8)</f>
        <v>792.6</v>
      </c>
      <c r="E5" s="20">
        <f>INDEX(ActiveDistricts!$A$2:$J$326,MATCH(Calculation!$A5,ActiveDistricts!$C$2:$C$326,0),10)</f>
        <v>0.42378048780487804</v>
      </c>
      <c r="F5" s="8">
        <f t="shared" ref="F5:F68" si="0">ROUND(D5*E5*$F$3,3)</f>
        <v>2.1560000000000001</v>
      </c>
      <c r="G5" s="8">
        <f t="shared" ref="G5:G68" si="1">ROUND(D5*$G$3,3)</f>
        <v>1.617</v>
      </c>
      <c r="H5" s="8">
        <f t="shared" ref="H5:H67" si="2">SUM(F5:G5)</f>
        <v>3.7730000000000001</v>
      </c>
      <c r="I5">
        <f>INDEX(StartupfileInput!$A$2:$I$326,MATCH(Calculation!$A5,StartupfileInput!$C$2:$C$326,0),9)</f>
        <v>7423</v>
      </c>
      <c r="J5" s="106">
        <f t="shared" ref="J5:J68" si="3">MAX(I5+$R$2,$T$2)</f>
        <v>7645</v>
      </c>
      <c r="K5" s="9">
        <f t="shared" ref="K5:K67" si="4">ROUND(F5*J5,0)</f>
        <v>16483</v>
      </c>
      <c r="L5" s="9">
        <f t="shared" ref="L5:L68" si="5">M5-K5</f>
        <v>12362</v>
      </c>
      <c r="M5" s="9">
        <f t="shared" ref="M5:M68" si="6">ROUND(H5*J5,0)</f>
        <v>28845</v>
      </c>
    </row>
    <row r="6" spans="1:20" ht="12.75" x14ac:dyDescent="0.2">
      <c r="A6" s="26" t="str">
        <f>StartupfileInput!C4</f>
        <v>0018</v>
      </c>
      <c r="B6" s="1" t="str">
        <f>INDEX(ActiveDistricts!$A$2:$J$326,MATCH(Calculation!$A6,ActiveDistricts!$C$2:$C$326,0),6)</f>
        <v>0018</v>
      </c>
      <c r="C6" s="1" t="str">
        <f>INDEX(ActiveDistricts!$A$2:$J$326,MATCH(Calculation!$A6,ActiveDistricts!$C$2:$C$326,0),7)</f>
        <v>Adair-Casey</v>
      </c>
      <c r="D6" s="14">
        <f>INDEX(StartupfileInput!$A$2:$I$326,MATCH(Calculation!$A6,StartupfileInput!$C$2:$C$326,0),8)</f>
        <v>306.3</v>
      </c>
      <c r="E6" s="20">
        <f>INDEX(ActiveDistricts!$A$2:$J$326,MATCH(Calculation!$A6,ActiveDistricts!$C$2:$C$326,0),10)</f>
        <v>0.51515151515151514</v>
      </c>
      <c r="F6" s="8">
        <f t="shared" si="0"/>
        <v>1.0129999999999999</v>
      </c>
      <c r="G6" s="8">
        <f t="shared" si="1"/>
        <v>0.625</v>
      </c>
      <c r="H6" s="8">
        <f t="shared" si="2"/>
        <v>1.6379999999999999</v>
      </c>
      <c r="I6">
        <f>INDEX(StartupfileInput!$A$2:$I$326,MATCH(Calculation!$A6,StartupfileInput!$C$2:$C$326,0),9)</f>
        <v>7413</v>
      </c>
      <c r="J6" s="106">
        <f t="shared" si="3"/>
        <v>7635</v>
      </c>
      <c r="K6" s="9">
        <f t="shared" si="4"/>
        <v>7734</v>
      </c>
      <c r="L6" s="9">
        <f t="shared" si="5"/>
        <v>4772</v>
      </c>
      <c r="M6" s="9">
        <f t="shared" si="6"/>
        <v>12506</v>
      </c>
    </row>
    <row r="7" spans="1:20" ht="12.75" x14ac:dyDescent="0.2">
      <c r="A7" s="26" t="str">
        <f>StartupfileInput!C5</f>
        <v>0027</v>
      </c>
      <c r="B7" s="1" t="str">
        <f>INDEX(ActiveDistricts!$A$2:$J$326,MATCH(Calculation!$A7,ActiveDistricts!$C$2:$C$326,0),6)</f>
        <v>0027</v>
      </c>
      <c r="C7" s="1" t="str">
        <f>INDEX(ActiveDistricts!$A$2:$J$326,MATCH(Calculation!$A7,ActiveDistricts!$C$2:$C$326,0),7)</f>
        <v>Adel-Desoto-Minburn</v>
      </c>
      <c r="D7" s="14">
        <f>INDEX(StartupfileInput!$A$2:$I$326,MATCH(Calculation!$A7,StartupfileInput!$C$2:$C$326,0),8)</f>
        <v>2130.9</v>
      </c>
      <c r="E7" s="20">
        <f>INDEX(ActiveDistricts!$A$2:$J$326,MATCH(Calculation!$A7,ActiveDistricts!$C$2:$C$326,0),10)</f>
        <v>0.18395303326810175</v>
      </c>
      <c r="F7" s="8">
        <f t="shared" si="0"/>
        <v>2.5169999999999999</v>
      </c>
      <c r="G7" s="8">
        <f t="shared" si="1"/>
        <v>4.3470000000000004</v>
      </c>
      <c r="H7" s="8">
        <f t="shared" si="2"/>
        <v>6.8640000000000008</v>
      </c>
      <c r="I7">
        <f>INDEX(StartupfileInput!$A$2:$I$326,MATCH(Calculation!$A7,StartupfileInput!$C$2:$C$326,0),9)</f>
        <v>7413</v>
      </c>
      <c r="J7" s="106">
        <f t="shared" si="3"/>
        <v>7635</v>
      </c>
      <c r="K7" s="9">
        <f t="shared" si="4"/>
        <v>19217</v>
      </c>
      <c r="L7" s="9">
        <f t="shared" si="5"/>
        <v>33190</v>
      </c>
      <c r="M7" s="9">
        <f t="shared" si="6"/>
        <v>52407</v>
      </c>
    </row>
    <row r="8" spans="1:20" ht="12.75" x14ac:dyDescent="0.2">
      <c r="A8" s="26" t="str">
        <f>StartupfileInput!C6</f>
        <v>0063</v>
      </c>
      <c r="B8" s="1" t="str">
        <f>INDEX(ActiveDistricts!$A$2:$J$326,MATCH(Calculation!$A8,ActiveDistricts!$C$2:$C$326,0),6)</f>
        <v>0063</v>
      </c>
      <c r="C8" s="1" t="str">
        <f>INDEX(ActiveDistricts!$A$2:$J$326,MATCH(Calculation!$A8,ActiveDistricts!$C$2:$C$326,0),7)</f>
        <v>Akron-Westfield</v>
      </c>
      <c r="D8" s="14">
        <f>INDEX(StartupfileInput!$A$2:$I$326,MATCH(Calculation!$A8,StartupfileInput!$C$2:$C$326,0),8)</f>
        <v>555.20000000000005</v>
      </c>
      <c r="E8" s="20">
        <f>INDEX(ActiveDistricts!$A$2:$J$326,MATCH(Calculation!$A8,ActiveDistricts!$C$2:$C$326,0),10)</f>
        <v>0.39676113360323889</v>
      </c>
      <c r="F8" s="8">
        <f t="shared" si="0"/>
        <v>1.4139999999999999</v>
      </c>
      <c r="G8" s="8">
        <f t="shared" si="1"/>
        <v>1.133</v>
      </c>
      <c r="H8" s="8">
        <f t="shared" si="2"/>
        <v>2.5469999999999997</v>
      </c>
      <c r="I8">
        <f>INDEX(StartupfileInput!$A$2:$I$326,MATCH(Calculation!$A8,StartupfileInput!$C$2:$C$326,0),9)</f>
        <v>7429</v>
      </c>
      <c r="J8" s="106">
        <f t="shared" si="3"/>
        <v>7651</v>
      </c>
      <c r="K8" s="9">
        <f t="shared" si="4"/>
        <v>10819</v>
      </c>
      <c r="L8" s="9">
        <f t="shared" si="5"/>
        <v>8668</v>
      </c>
      <c r="M8" s="9">
        <f t="shared" si="6"/>
        <v>19487</v>
      </c>
    </row>
    <row r="9" spans="1:20" ht="12.75" x14ac:dyDescent="0.2">
      <c r="A9" s="26" t="str">
        <f>StartupfileInput!C7</f>
        <v>0072</v>
      </c>
      <c r="B9" s="1" t="str">
        <f>INDEX(ActiveDistricts!$A$2:$J$326,MATCH(Calculation!$A9,ActiveDistricts!$C$2:$C$326,0),6)</f>
        <v>0072</v>
      </c>
      <c r="C9" s="1" t="str">
        <f>INDEX(ActiveDistricts!$A$2:$J$326,MATCH(Calculation!$A9,ActiveDistricts!$C$2:$C$326,0),7)</f>
        <v>Albert City-Truesdale</v>
      </c>
      <c r="D9" s="14">
        <f>INDEX(StartupfileInput!$A$2:$I$326,MATCH(Calculation!$A9,StartupfileInput!$C$2:$C$326,0),8)</f>
        <v>209.6</v>
      </c>
      <c r="E9" s="20">
        <f>INDEX(ActiveDistricts!$A$2:$J$326,MATCH(Calculation!$A9,ActiveDistricts!$C$2:$C$326,0),10)</f>
        <v>0.53086419753086422</v>
      </c>
      <c r="F9" s="8">
        <f t="shared" si="0"/>
        <v>0.71399999999999997</v>
      </c>
      <c r="G9" s="8">
        <f t="shared" si="1"/>
        <v>0.42799999999999999</v>
      </c>
      <c r="H9" s="8">
        <f t="shared" si="2"/>
        <v>1.1419999999999999</v>
      </c>
      <c r="I9">
        <f>INDEX(StartupfileInput!$A$2:$I$326,MATCH(Calculation!$A9,StartupfileInput!$C$2:$C$326,0),9)</f>
        <v>7459</v>
      </c>
      <c r="J9" s="106">
        <f t="shared" si="3"/>
        <v>7681</v>
      </c>
      <c r="K9" s="9">
        <f t="shared" si="4"/>
        <v>5484</v>
      </c>
      <c r="L9" s="9">
        <f t="shared" si="5"/>
        <v>3288</v>
      </c>
      <c r="M9" s="9">
        <f t="shared" si="6"/>
        <v>8772</v>
      </c>
    </row>
    <row r="10" spans="1:20" ht="12.75" x14ac:dyDescent="0.2">
      <c r="A10" s="26" t="str">
        <f>StartupfileInput!C8</f>
        <v>0081</v>
      </c>
      <c r="B10" s="1" t="str">
        <f>INDEX(ActiveDistricts!$A$2:$J$326,MATCH(Calculation!$A10,ActiveDistricts!$C$2:$C$326,0),6)</f>
        <v>0081</v>
      </c>
      <c r="C10" s="1" t="str">
        <f>INDEX(ActiveDistricts!$A$2:$J$326,MATCH(Calculation!$A10,ActiveDistricts!$C$2:$C$326,0),7)</f>
        <v>Albia</v>
      </c>
      <c r="D10" s="14">
        <f>INDEX(StartupfileInput!$A$2:$I$326,MATCH(Calculation!$A10,StartupfileInput!$C$2:$C$326,0),8)</f>
        <v>1099.4000000000001</v>
      </c>
      <c r="E10" s="20">
        <f>INDEX(ActiveDistricts!$A$2:$J$326,MATCH(Calculation!$A10,ActiveDistricts!$C$2:$C$326,0),10)</f>
        <v>0.42921348314606744</v>
      </c>
      <c r="F10" s="8">
        <f t="shared" si="0"/>
        <v>3.0289999999999999</v>
      </c>
      <c r="G10" s="8">
        <f t="shared" si="1"/>
        <v>2.2429999999999999</v>
      </c>
      <c r="H10" s="8">
        <f t="shared" si="2"/>
        <v>5.2720000000000002</v>
      </c>
      <c r="I10">
        <f>INDEX(StartupfileInput!$A$2:$I$326,MATCH(Calculation!$A10,StartupfileInput!$C$2:$C$326,0),9)</f>
        <v>7413</v>
      </c>
      <c r="J10" s="106">
        <f t="shared" si="3"/>
        <v>7635</v>
      </c>
      <c r="K10" s="9">
        <f t="shared" si="4"/>
        <v>23126</v>
      </c>
      <c r="L10" s="9">
        <f t="shared" si="5"/>
        <v>17126</v>
      </c>
      <c r="M10" s="9">
        <f t="shared" si="6"/>
        <v>40252</v>
      </c>
    </row>
    <row r="11" spans="1:20" ht="12.75" x14ac:dyDescent="0.2">
      <c r="A11" s="26" t="str">
        <f>StartupfileInput!C9</f>
        <v>0099</v>
      </c>
      <c r="B11" s="1" t="str">
        <f>INDEX(ActiveDistricts!$A$2:$J$326,MATCH(Calculation!$A11,ActiveDistricts!$C$2:$C$326,0),6)</f>
        <v>0099</v>
      </c>
      <c r="C11" s="1" t="str">
        <f>INDEX(ActiveDistricts!$A$2:$J$326,MATCH(Calculation!$A11,ActiveDistricts!$C$2:$C$326,0),7)</f>
        <v>Alburnett</v>
      </c>
      <c r="D11" s="14">
        <f>INDEX(StartupfileInput!$A$2:$I$326,MATCH(Calculation!$A11,StartupfileInput!$C$2:$C$326,0),8)</f>
        <v>526.5</v>
      </c>
      <c r="E11" s="20">
        <f>INDEX(ActiveDistricts!$A$2:$J$326,MATCH(Calculation!$A11,ActiveDistricts!$C$2:$C$326,0),10)</f>
        <v>0.23148148148148148</v>
      </c>
      <c r="F11" s="8">
        <f t="shared" si="0"/>
        <v>0.78200000000000003</v>
      </c>
      <c r="G11" s="8">
        <f t="shared" si="1"/>
        <v>1.0740000000000001</v>
      </c>
      <c r="H11" s="8">
        <f t="shared" si="2"/>
        <v>1.8560000000000001</v>
      </c>
      <c r="I11">
        <f>INDEX(StartupfileInput!$A$2:$I$326,MATCH(Calculation!$A11,StartupfileInput!$C$2:$C$326,0),9)</f>
        <v>7413</v>
      </c>
      <c r="J11" s="106">
        <f t="shared" si="3"/>
        <v>7635</v>
      </c>
      <c r="K11" s="9">
        <f t="shared" si="4"/>
        <v>5971</v>
      </c>
      <c r="L11" s="9">
        <f t="shared" si="5"/>
        <v>8200</v>
      </c>
      <c r="M11" s="9">
        <f t="shared" si="6"/>
        <v>14171</v>
      </c>
    </row>
    <row r="12" spans="1:20" ht="12.75" x14ac:dyDescent="0.2">
      <c r="A12" s="26" t="str">
        <f>StartupfileInput!C10</f>
        <v>0108</v>
      </c>
      <c r="B12" s="1" t="str">
        <f>INDEX(ActiveDistricts!$A$2:$J$326,MATCH(Calculation!$A12,ActiveDistricts!$C$2:$C$326,0),6)</f>
        <v>0108</v>
      </c>
      <c r="C12" s="1" t="str">
        <f>INDEX(ActiveDistricts!$A$2:$J$326,MATCH(Calculation!$A12,ActiveDistricts!$C$2:$C$326,0),7)</f>
        <v>Alden</v>
      </c>
      <c r="D12" s="14">
        <f>INDEX(StartupfileInput!$A$2:$I$326,MATCH(Calculation!$A12,StartupfileInput!$C$2:$C$326,0),8)</f>
        <v>273.7</v>
      </c>
      <c r="E12" s="20">
        <f>INDEX(ActiveDistricts!$A$2:$J$326,MATCH(Calculation!$A12,ActiveDistricts!$C$2:$C$326,0),10)</f>
        <v>0.4144144144144144</v>
      </c>
      <c r="F12" s="8">
        <f t="shared" si="0"/>
        <v>0.72799999999999998</v>
      </c>
      <c r="G12" s="8">
        <f t="shared" si="1"/>
        <v>0.55800000000000005</v>
      </c>
      <c r="H12" s="8">
        <f t="shared" si="2"/>
        <v>1.286</v>
      </c>
      <c r="I12">
        <f>INDEX(StartupfileInput!$A$2:$I$326,MATCH(Calculation!$A12,StartupfileInput!$C$2:$C$326,0),9)</f>
        <v>7413</v>
      </c>
      <c r="J12" s="106">
        <f t="shared" si="3"/>
        <v>7635</v>
      </c>
      <c r="K12" s="9">
        <f t="shared" si="4"/>
        <v>5558</v>
      </c>
      <c r="L12" s="9">
        <f t="shared" si="5"/>
        <v>4261</v>
      </c>
      <c r="M12" s="9">
        <f t="shared" si="6"/>
        <v>9819</v>
      </c>
    </row>
    <row r="13" spans="1:20" ht="12.75" x14ac:dyDescent="0.2">
      <c r="A13" s="26" t="str">
        <f>StartupfileInput!C11</f>
        <v>0126</v>
      </c>
      <c r="B13" s="1" t="str">
        <f>INDEX(ActiveDistricts!$A$2:$J$326,MATCH(Calculation!$A13,ActiveDistricts!$C$2:$C$326,0),6)</f>
        <v>0126</v>
      </c>
      <c r="C13" s="1" t="str">
        <f>INDEX(ActiveDistricts!$A$2:$J$326,MATCH(Calculation!$A13,ActiveDistricts!$C$2:$C$326,0),7)</f>
        <v>Algona</v>
      </c>
      <c r="D13" s="14">
        <f>INDEX(StartupfileInput!$A$2:$I$326,MATCH(Calculation!$A13,StartupfileInput!$C$2:$C$326,0),8)</f>
        <v>1446.4</v>
      </c>
      <c r="E13" s="20">
        <f>INDEX(ActiveDistricts!$A$2:$J$326,MATCH(Calculation!$A13,ActiveDistricts!$C$2:$C$326,0),10)</f>
        <v>0.37720706260032105</v>
      </c>
      <c r="F13" s="8">
        <f t="shared" si="0"/>
        <v>3.5030000000000001</v>
      </c>
      <c r="G13" s="8">
        <f t="shared" si="1"/>
        <v>2.9510000000000001</v>
      </c>
      <c r="H13" s="8">
        <f t="shared" si="2"/>
        <v>6.4540000000000006</v>
      </c>
      <c r="I13">
        <f>INDEX(StartupfileInput!$A$2:$I$326,MATCH(Calculation!$A13,StartupfileInput!$C$2:$C$326,0),9)</f>
        <v>7427</v>
      </c>
      <c r="J13" s="106">
        <f t="shared" si="3"/>
        <v>7649</v>
      </c>
      <c r="K13" s="9">
        <f t="shared" si="4"/>
        <v>26794</v>
      </c>
      <c r="L13" s="9">
        <f t="shared" si="5"/>
        <v>22573</v>
      </c>
      <c r="M13" s="9">
        <f t="shared" si="6"/>
        <v>49367</v>
      </c>
    </row>
    <row r="14" spans="1:20" ht="12.75" x14ac:dyDescent="0.2">
      <c r="A14" s="26" t="str">
        <f>StartupfileInput!C12</f>
        <v>0135</v>
      </c>
      <c r="B14" s="1" t="str">
        <f>INDEX(ActiveDistricts!$A$2:$J$326,MATCH(Calculation!$A14,ActiveDistricts!$C$2:$C$326,0),6)</f>
        <v>0135</v>
      </c>
      <c r="C14" s="1" t="str">
        <f>INDEX(ActiveDistricts!$A$2:$J$326,MATCH(Calculation!$A14,ActiveDistricts!$C$2:$C$326,0),7)</f>
        <v>Allamakee</v>
      </c>
      <c r="D14" s="14">
        <f>INDEX(StartupfileInput!$A$2:$I$326,MATCH(Calculation!$A14,StartupfileInput!$C$2:$C$326,0),8)</f>
        <v>1087.4000000000001</v>
      </c>
      <c r="E14" s="20">
        <f>INDEX(ActiveDistricts!$A$2:$J$326,MATCH(Calculation!$A14,ActiveDistricts!$C$2:$C$326,0),10)</f>
        <v>0.42439024390243901</v>
      </c>
      <c r="F14" s="8">
        <f t="shared" si="0"/>
        <v>2.9630000000000001</v>
      </c>
      <c r="G14" s="8">
        <f t="shared" si="1"/>
        <v>2.218</v>
      </c>
      <c r="H14" s="8">
        <f t="shared" si="2"/>
        <v>5.181</v>
      </c>
      <c r="I14">
        <f>INDEX(StartupfileInput!$A$2:$I$326,MATCH(Calculation!$A14,StartupfileInput!$C$2:$C$326,0),9)</f>
        <v>7460</v>
      </c>
      <c r="J14" s="106">
        <f t="shared" si="3"/>
        <v>7682</v>
      </c>
      <c r="K14" s="9">
        <f t="shared" si="4"/>
        <v>22762</v>
      </c>
      <c r="L14" s="9">
        <f t="shared" si="5"/>
        <v>17038</v>
      </c>
      <c r="M14" s="9">
        <f t="shared" si="6"/>
        <v>39800</v>
      </c>
    </row>
    <row r="15" spans="1:20" ht="12.75" x14ac:dyDescent="0.2">
      <c r="A15" s="26" t="str">
        <f>StartupfileInput!C13</f>
        <v>0171</v>
      </c>
      <c r="B15" s="1" t="str">
        <f>INDEX(ActiveDistricts!$A$2:$J$326,MATCH(Calculation!$A15,ActiveDistricts!$C$2:$C$326,0),6)</f>
        <v>0171</v>
      </c>
      <c r="C15" s="1" t="str">
        <f>INDEX(ActiveDistricts!$A$2:$J$326,MATCH(Calculation!$A15,ActiveDistricts!$C$2:$C$326,0),7)</f>
        <v>Alta-Aurelia</v>
      </c>
      <c r="D15" s="14">
        <f>INDEX(StartupfileInput!$A$2:$I$326,MATCH(Calculation!$A15,StartupfileInput!$C$2:$C$326,0),8)</f>
        <v>872.8</v>
      </c>
      <c r="E15" s="20">
        <f>INDEX(ActiveDistricts!$A$2:$J$326,MATCH(Calculation!$A15,ActiveDistricts!$C$2:$C$326,0),10)</f>
        <v>0.44324324324324327</v>
      </c>
      <c r="F15" s="8">
        <f t="shared" si="0"/>
        <v>2.484</v>
      </c>
      <c r="G15" s="8">
        <f t="shared" si="1"/>
        <v>1.7809999999999999</v>
      </c>
      <c r="H15" s="8">
        <f t="shared" si="2"/>
        <v>4.2649999999999997</v>
      </c>
      <c r="I15">
        <f>INDEX(StartupfileInput!$A$2:$I$326,MATCH(Calculation!$A15,StartupfileInput!$C$2:$C$326,0),9)</f>
        <v>7413</v>
      </c>
      <c r="J15" s="106">
        <f t="shared" si="3"/>
        <v>7635</v>
      </c>
      <c r="K15" s="9">
        <f t="shared" si="4"/>
        <v>18965</v>
      </c>
      <c r="L15" s="9">
        <f t="shared" si="5"/>
        <v>13598</v>
      </c>
      <c r="M15" s="9">
        <f t="shared" si="6"/>
        <v>32563</v>
      </c>
    </row>
    <row r="16" spans="1:20" ht="12.75" x14ac:dyDescent="0.2">
      <c r="A16" s="26" t="str">
        <f>StartupfileInput!C14</f>
        <v>0225</v>
      </c>
      <c r="B16" s="1" t="str">
        <f>INDEX(ActiveDistricts!$A$2:$J$326,MATCH(Calculation!$A16,ActiveDistricts!$C$2:$C$326,0),6)</f>
        <v>0225</v>
      </c>
      <c r="C16" s="1" t="str">
        <f>INDEX(ActiveDistricts!$A$2:$J$326,MATCH(Calculation!$A16,ActiveDistricts!$C$2:$C$326,0),7)</f>
        <v>Ames</v>
      </c>
      <c r="D16" s="14">
        <f>INDEX(StartupfileInput!$A$2:$I$326,MATCH(Calculation!$A16,StartupfileInput!$C$2:$C$326,0),8)</f>
        <v>4439.6000000000004</v>
      </c>
      <c r="E16" s="20">
        <f>INDEX(ActiveDistricts!$A$2:$J$326,MATCH(Calculation!$A16,ActiveDistricts!$C$2:$C$326,0),10)</f>
        <v>0.3394589076059214</v>
      </c>
      <c r="F16" s="8">
        <f t="shared" si="0"/>
        <v>9.6750000000000007</v>
      </c>
      <c r="G16" s="8">
        <f t="shared" si="1"/>
        <v>9.0570000000000004</v>
      </c>
      <c r="H16" s="8">
        <f t="shared" si="2"/>
        <v>18.731999999999999</v>
      </c>
      <c r="I16">
        <f>INDEX(StartupfileInput!$A$2:$I$326,MATCH(Calculation!$A16,StartupfileInput!$C$2:$C$326,0),9)</f>
        <v>7468</v>
      </c>
      <c r="J16" s="106">
        <f t="shared" si="3"/>
        <v>7690</v>
      </c>
      <c r="K16" s="9">
        <f t="shared" si="4"/>
        <v>74401</v>
      </c>
      <c r="L16" s="9">
        <f t="shared" si="5"/>
        <v>69648</v>
      </c>
      <c r="M16" s="9">
        <f t="shared" si="6"/>
        <v>144049</v>
      </c>
    </row>
    <row r="17" spans="1:13" ht="12.75" x14ac:dyDescent="0.2">
      <c r="A17" s="26" t="str">
        <f>StartupfileInput!C15</f>
        <v>0234</v>
      </c>
      <c r="B17" s="1" t="str">
        <f>INDEX(ActiveDistricts!$A$2:$J$326,MATCH(Calculation!$A17,ActiveDistricts!$C$2:$C$326,0),6)</f>
        <v>0234</v>
      </c>
      <c r="C17" s="1" t="str">
        <f>INDEX(ActiveDistricts!$A$2:$J$326,MATCH(Calculation!$A17,ActiveDistricts!$C$2:$C$326,0),7)</f>
        <v>Anamosa</v>
      </c>
      <c r="D17" s="14">
        <f>INDEX(StartupfileInput!$A$2:$I$326,MATCH(Calculation!$A17,StartupfileInput!$C$2:$C$326,0),8)</f>
        <v>1256.0999999999999</v>
      </c>
      <c r="E17" s="20">
        <f>INDEX(ActiveDistricts!$A$2:$J$326,MATCH(Calculation!$A17,ActiveDistricts!$C$2:$C$326,0),10)</f>
        <v>0.41723356009070295</v>
      </c>
      <c r="F17" s="8">
        <f t="shared" si="0"/>
        <v>3.3650000000000002</v>
      </c>
      <c r="G17" s="8">
        <f t="shared" si="1"/>
        <v>2.5619999999999998</v>
      </c>
      <c r="H17" s="8">
        <f t="shared" si="2"/>
        <v>5.9269999999999996</v>
      </c>
      <c r="I17">
        <f>INDEX(StartupfileInput!$A$2:$I$326,MATCH(Calculation!$A17,StartupfileInput!$C$2:$C$326,0),9)</f>
        <v>7413</v>
      </c>
      <c r="J17" s="106">
        <f t="shared" si="3"/>
        <v>7635</v>
      </c>
      <c r="K17" s="9">
        <f t="shared" si="4"/>
        <v>25692</v>
      </c>
      <c r="L17" s="9">
        <f t="shared" si="5"/>
        <v>19561</v>
      </c>
      <c r="M17" s="9">
        <f t="shared" si="6"/>
        <v>45253</v>
      </c>
    </row>
    <row r="18" spans="1:13" ht="12.75" x14ac:dyDescent="0.2">
      <c r="A18" s="26" t="str">
        <f>StartupfileInput!C16</f>
        <v>0243</v>
      </c>
      <c r="B18" s="1" t="str">
        <f>INDEX(ActiveDistricts!$A$2:$J$326,MATCH(Calculation!$A18,ActiveDistricts!$C$2:$C$326,0),6)</f>
        <v>0243</v>
      </c>
      <c r="C18" s="1" t="str">
        <f>INDEX(ActiveDistricts!$A$2:$J$326,MATCH(Calculation!$A18,ActiveDistricts!$C$2:$C$326,0),7)</f>
        <v>Andrew</v>
      </c>
      <c r="D18" s="14">
        <f>INDEX(StartupfileInput!$A$2:$I$326,MATCH(Calculation!$A18,StartupfileInput!$C$2:$C$326,0),8)</f>
        <v>233</v>
      </c>
      <c r="E18" s="20">
        <f>INDEX(ActiveDistricts!$A$2:$J$326,MATCH(Calculation!$A18,ActiveDistricts!$C$2:$C$326,0),10)</f>
        <v>0.330188679245283</v>
      </c>
      <c r="F18" s="8">
        <f t="shared" si="0"/>
        <v>0.49399999999999999</v>
      </c>
      <c r="G18" s="8">
        <f t="shared" si="1"/>
        <v>0.47499999999999998</v>
      </c>
      <c r="H18" s="8">
        <f t="shared" si="2"/>
        <v>0.96899999999999997</v>
      </c>
      <c r="I18">
        <f>INDEX(StartupfileInput!$A$2:$I$326,MATCH(Calculation!$A18,StartupfileInput!$C$2:$C$326,0),9)</f>
        <v>7443</v>
      </c>
      <c r="J18" s="106">
        <f t="shared" si="3"/>
        <v>7665</v>
      </c>
      <c r="K18" s="9">
        <f t="shared" si="4"/>
        <v>3787</v>
      </c>
      <c r="L18" s="9">
        <f t="shared" si="5"/>
        <v>3640</v>
      </c>
      <c r="M18" s="9">
        <f t="shared" si="6"/>
        <v>7427</v>
      </c>
    </row>
    <row r="19" spans="1:13" ht="12.75" x14ac:dyDescent="0.2">
      <c r="A19" s="26" t="str">
        <f>StartupfileInput!C17</f>
        <v>0261</v>
      </c>
      <c r="B19" s="1" t="str">
        <f>INDEX(ActiveDistricts!$A$2:$J$326,MATCH(Calculation!$A19,ActiveDistricts!$C$2:$C$326,0),6)</f>
        <v>0261</v>
      </c>
      <c r="C19" s="1" t="str">
        <f>INDEX(ActiveDistricts!$A$2:$J$326,MATCH(Calculation!$A19,ActiveDistricts!$C$2:$C$326,0),7)</f>
        <v>Ankeny</v>
      </c>
      <c r="D19" s="14">
        <f>INDEX(StartupfileInput!$A$2:$I$326,MATCH(Calculation!$A19,StartupfileInput!$C$2:$C$326,0),8)</f>
        <v>12671.4</v>
      </c>
      <c r="E19" s="20">
        <f>INDEX(ActiveDistricts!$A$2:$J$326,MATCH(Calculation!$A19,ActiveDistricts!$C$2:$C$326,0),10)</f>
        <v>0.19785541335178139</v>
      </c>
      <c r="F19" s="8">
        <f t="shared" si="0"/>
        <v>16.096</v>
      </c>
      <c r="G19" s="8">
        <f t="shared" si="1"/>
        <v>25.85</v>
      </c>
      <c r="H19" s="8">
        <f t="shared" si="2"/>
        <v>41.945999999999998</v>
      </c>
      <c r="I19">
        <f>INDEX(StartupfileInput!$A$2:$I$326,MATCH(Calculation!$A19,StartupfileInput!$C$2:$C$326,0),9)</f>
        <v>7413</v>
      </c>
      <c r="J19" s="106">
        <f t="shared" si="3"/>
        <v>7635</v>
      </c>
      <c r="K19" s="9">
        <f t="shared" si="4"/>
        <v>122893</v>
      </c>
      <c r="L19" s="9">
        <f t="shared" si="5"/>
        <v>197365</v>
      </c>
      <c r="M19" s="9">
        <f t="shared" si="6"/>
        <v>320258</v>
      </c>
    </row>
    <row r="20" spans="1:13" ht="12.75" x14ac:dyDescent="0.2">
      <c r="A20" s="26" t="str">
        <f>StartupfileInput!C18</f>
        <v>0279</v>
      </c>
      <c r="B20" s="1" t="str">
        <f>INDEX(ActiveDistricts!$A$2:$J$326,MATCH(Calculation!$A20,ActiveDistricts!$C$2:$C$326,0),6)</f>
        <v>0279</v>
      </c>
      <c r="C20" s="1" t="str">
        <f>INDEX(ActiveDistricts!$A$2:$J$326,MATCH(Calculation!$A20,ActiveDistricts!$C$2:$C$326,0),7)</f>
        <v>Aplington-Parkersburg</v>
      </c>
      <c r="D20" s="14">
        <f>INDEX(StartupfileInput!$A$2:$I$326,MATCH(Calculation!$A20,StartupfileInput!$C$2:$C$326,0),8)</f>
        <v>813.2</v>
      </c>
      <c r="E20" s="20">
        <f>INDEX(ActiveDistricts!$A$2:$J$326,MATCH(Calculation!$A20,ActiveDistricts!$C$2:$C$326,0),10)</f>
        <v>0.29649595687331537</v>
      </c>
      <c r="F20" s="8">
        <f t="shared" si="0"/>
        <v>1.548</v>
      </c>
      <c r="G20" s="8">
        <f t="shared" si="1"/>
        <v>1.659</v>
      </c>
      <c r="H20" s="8">
        <f t="shared" si="2"/>
        <v>3.2069999999999999</v>
      </c>
      <c r="I20">
        <f>INDEX(StartupfileInput!$A$2:$I$326,MATCH(Calculation!$A20,StartupfileInput!$C$2:$C$326,0),9)</f>
        <v>7413</v>
      </c>
      <c r="J20" s="106">
        <f t="shared" si="3"/>
        <v>7635</v>
      </c>
      <c r="K20" s="9">
        <f t="shared" si="4"/>
        <v>11819</v>
      </c>
      <c r="L20" s="9">
        <f t="shared" si="5"/>
        <v>12666</v>
      </c>
      <c r="M20" s="9">
        <f t="shared" si="6"/>
        <v>24485</v>
      </c>
    </row>
    <row r="21" spans="1:13" ht="12.75" x14ac:dyDescent="0.2">
      <c r="A21" s="26" t="str">
        <f>StartupfileInput!C19</f>
        <v>0355</v>
      </c>
      <c r="B21" s="1" t="str">
        <f>INDEX(ActiveDistricts!$A$2:$J$326,MATCH(Calculation!$A21,ActiveDistricts!$C$2:$C$326,0),6)</f>
        <v>0355</v>
      </c>
      <c r="C21" s="1" t="str">
        <f>INDEX(ActiveDistricts!$A$2:$J$326,MATCH(Calculation!$A21,ActiveDistricts!$C$2:$C$326,0),7)</f>
        <v>Ar-We-Va</v>
      </c>
      <c r="D21" s="14">
        <f>INDEX(StartupfileInput!$A$2:$I$326,MATCH(Calculation!$A21,StartupfileInput!$C$2:$C$326,0),8)</f>
        <v>276.2</v>
      </c>
      <c r="E21" s="20">
        <f>INDEX(ActiveDistricts!$A$2:$J$326,MATCH(Calculation!$A21,ActiveDistricts!$C$2:$C$326,0),10)</f>
        <v>0.46788990825688076</v>
      </c>
      <c r="F21" s="8">
        <f t="shared" si="0"/>
        <v>0.83</v>
      </c>
      <c r="G21" s="8">
        <f t="shared" si="1"/>
        <v>0.56299999999999994</v>
      </c>
      <c r="H21" s="8">
        <f t="shared" si="2"/>
        <v>1.3929999999999998</v>
      </c>
      <c r="I21">
        <f>INDEX(StartupfileInput!$A$2:$I$326,MATCH(Calculation!$A21,StartupfileInput!$C$2:$C$326,0),9)</f>
        <v>7413</v>
      </c>
      <c r="J21" s="106">
        <f t="shared" si="3"/>
        <v>7635</v>
      </c>
      <c r="K21" s="9">
        <f t="shared" si="4"/>
        <v>6337</v>
      </c>
      <c r="L21" s="9">
        <f t="shared" si="5"/>
        <v>4299</v>
      </c>
      <c r="M21" s="9">
        <f t="shared" si="6"/>
        <v>10636</v>
      </c>
    </row>
    <row r="22" spans="1:13" ht="12.75" x14ac:dyDescent="0.2">
      <c r="A22" s="26" t="str">
        <f>StartupfileInput!C20</f>
        <v>0387</v>
      </c>
      <c r="B22" s="1" t="str">
        <f>INDEX(ActiveDistricts!$A$2:$J$326,MATCH(Calculation!$A22,ActiveDistricts!$C$2:$C$326,0),6)</f>
        <v>0387</v>
      </c>
      <c r="C22" s="1" t="str">
        <f>INDEX(ActiveDistricts!$A$2:$J$326,MATCH(Calculation!$A22,ActiveDistricts!$C$2:$C$326,0),7)</f>
        <v>Atlantic</v>
      </c>
      <c r="D22" s="14">
        <f>INDEX(StartupfileInput!$A$2:$I$326,MATCH(Calculation!$A22,StartupfileInput!$C$2:$C$326,0),8)</f>
        <v>1401.9</v>
      </c>
      <c r="E22" s="20">
        <f>INDEX(ActiveDistricts!$A$2:$J$326,MATCH(Calculation!$A22,ActiveDistricts!$C$2:$C$326,0),10)</f>
        <v>0.40978593272171254</v>
      </c>
      <c r="F22" s="8">
        <f t="shared" si="0"/>
        <v>3.6880000000000002</v>
      </c>
      <c r="G22" s="8">
        <f t="shared" si="1"/>
        <v>2.86</v>
      </c>
      <c r="H22" s="8">
        <f t="shared" si="2"/>
        <v>6.548</v>
      </c>
      <c r="I22">
        <f>INDEX(StartupfileInput!$A$2:$I$326,MATCH(Calculation!$A22,StartupfileInput!$C$2:$C$326,0),9)</f>
        <v>7413</v>
      </c>
      <c r="J22" s="106">
        <f t="shared" si="3"/>
        <v>7635</v>
      </c>
      <c r="K22" s="9">
        <f t="shared" si="4"/>
        <v>28158</v>
      </c>
      <c r="L22" s="9">
        <f t="shared" si="5"/>
        <v>21836</v>
      </c>
      <c r="M22" s="9">
        <f t="shared" si="6"/>
        <v>49994</v>
      </c>
    </row>
    <row r="23" spans="1:13" ht="12.75" x14ac:dyDescent="0.2">
      <c r="A23" s="26" t="str">
        <f>StartupfileInput!C21</f>
        <v>0414</v>
      </c>
      <c r="B23" s="1" t="str">
        <f>INDEX(ActiveDistricts!$A$2:$J$326,MATCH(Calculation!$A23,ActiveDistricts!$C$2:$C$326,0),6)</f>
        <v>0414</v>
      </c>
      <c r="C23" s="1" t="str">
        <f>INDEX(ActiveDistricts!$A$2:$J$326,MATCH(Calculation!$A23,ActiveDistricts!$C$2:$C$326,0),7)</f>
        <v>Audubon</v>
      </c>
      <c r="D23" s="14">
        <f>INDEX(StartupfileInput!$A$2:$I$326,MATCH(Calculation!$A23,StartupfileInput!$C$2:$C$326,0),8)</f>
        <v>510.6</v>
      </c>
      <c r="E23" s="20">
        <f>INDEX(ActiveDistricts!$A$2:$J$326,MATCH(Calculation!$A23,ActiveDistricts!$C$2:$C$326,0),10)</f>
        <v>0.41592920353982299</v>
      </c>
      <c r="F23" s="8">
        <f t="shared" si="0"/>
        <v>1.363</v>
      </c>
      <c r="G23" s="8">
        <f t="shared" si="1"/>
        <v>1.042</v>
      </c>
      <c r="H23" s="8">
        <f t="shared" si="2"/>
        <v>2.4050000000000002</v>
      </c>
      <c r="I23">
        <f>INDEX(StartupfileInput!$A$2:$I$326,MATCH(Calculation!$A23,StartupfileInput!$C$2:$C$326,0),9)</f>
        <v>7457</v>
      </c>
      <c r="J23" s="106">
        <f t="shared" si="3"/>
        <v>7679</v>
      </c>
      <c r="K23" s="9">
        <f t="shared" si="4"/>
        <v>10466</v>
      </c>
      <c r="L23" s="9">
        <f t="shared" si="5"/>
        <v>8002</v>
      </c>
      <c r="M23" s="9">
        <f t="shared" si="6"/>
        <v>18468</v>
      </c>
    </row>
    <row r="24" spans="1:13" ht="12.75" x14ac:dyDescent="0.2">
      <c r="A24" s="26" t="str">
        <f>StartupfileInput!C22</f>
        <v>0540</v>
      </c>
      <c r="B24" s="1" t="str">
        <f>INDEX(ActiveDistricts!$A$2:$J$326,MATCH(Calculation!$A24,ActiveDistricts!$C$2:$C$326,0),6)</f>
        <v>0540</v>
      </c>
      <c r="C24" s="1" t="str">
        <f>INDEX(ActiveDistricts!$A$2:$J$326,MATCH(Calculation!$A24,ActiveDistricts!$C$2:$C$326,0),7)</f>
        <v>BCLUW</v>
      </c>
      <c r="D24" s="14">
        <f>INDEX(StartupfileInput!$A$2:$I$326,MATCH(Calculation!$A24,StartupfileInput!$C$2:$C$326,0),8)</f>
        <v>461.6</v>
      </c>
      <c r="E24" s="20">
        <f>INDEX(ActiveDistricts!$A$2:$J$326,MATCH(Calculation!$A24,ActiveDistricts!$C$2:$C$326,0),10)</f>
        <v>0.50520833333333337</v>
      </c>
      <c r="F24" s="8">
        <f t="shared" si="0"/>
        <v>1.4970000000000001</v>
      </c>
      <c r="G24" s="8">
        <f t="shared" si="1"/>
        <v>0.94199999999999995</v>
      </c>
      <c r="H24" s="8">
        <f t="shared" si="2"/>
        <v>2.4390000000000001</v>
      </c>
      <c r="I24">
        <f>INDEX(StartupfileInput!$A$2:$I$326,MATCH(Calculation!$A24,StartupfileInput!$C$2:$C$326,0),9)</f>
        <v>7459</v>
      </c>
      <c r="J24" s="106">
        <f t="shared" si="3"/>
        <v>7681</v>
      </c>
      <c r="K24" s="9">
        <f t="shared" si="4"/>
        <v>11498</v>
      </c>
      <c r="L24" s="9">
        <f t="shared" si="5"/>
        <v>7236</v>
      </c>
      <c r="M24" s="9">
        <f t="shared" si="6"/>
        <v>18734</v>
      </c>
    </row>
    <row r="25" spans="1:13" ht="12.75" x14ac:dyDescent="0.2">
      <c r="A25" s="26" t="str">
        <f>StartupfileInput!C23</f>
        <v>0472</v>
      </c>
      <c r="B25" s="1" t="str">
        <f>INDEX(ActiveDistricts!$A$2:$J$326,MATCH(Calculation!$A25,ActiveDistricts!$C$2:$C$326,0),6)</f>
        <v>0472</v>
      </c>
      <c r="C25" s="1" t="str">
        <f>INDEX(ActiveDistricts!$A$2:$J$326,MATCH(Calculation!$A25,ActiveDistricts!$C$2:$C$326,0),7)</f>
        <v>Ballard</v>
      </c>
      <c r="D25" s="14">
        <f>INDEX(StartupfileInput!$A$2:$I$326,MATCH(Calculation!$A25,StartupfileInput!$C$2:$C$326,0),8)</f>
        <v>1759.2</v>
      </c>
      <c r="E25" s="20">
        <f>INDEX(ActiveDistricts!$A$2:$J$326,MATCH(Calculation!$A25,ActiveDistricts!$C$2:$C$326,0),10)</f>
        <v>0.1709090909090909</v>
      </c>
      <c r="F25" s="8">
        <f t="shared" si="0"/>
        <v>1.93</v>
      </c>
      <c r="G25" s="8">
        <f t="shared" si="1"/>
        <v>3.589</v>
      </c>
      <c r="H25" s="8">
        <f t="shared" si="2"/>
        <v>5.5190000000000001</v>
      </c>
      <c r="I25">
        <f>INDEX(StartupfileInput!$A$2:$I$326,MATCH(Calculation!$A25,StartupfileInput!$C$2:$C$326,0),9)</f>
        <v>7413</v>
      </c>
      <c r="J25" s="106">
        <f t="shared" si="3"/>
        <v>7635</v>
      </c>
      <c r="K25" s="9">
        <f t="shared" si="4"/>
        <v>14736</v>
      </c>
      <c r="L25" s="9">
        <f t="shared" si="5"/>
        <v>27402</v>
      </c>
      <c r="M25" s="9">
        <f t="shared" si="6"/>
        <v>42138</v>
      </c>
    </row>
    <row r="26" spans="1:13" ht="12.75" x14ac:dyDescent="0.2">
      <c r="A26" s="26" t="str">
        <f>StartupfileInput!C24</f>
        <v>0513</v>
      </c>
      <c r="B26" s="1" t="str">
        <f>INDEX(ActiveDistricts!$A$2:$J$326,MATCH(Calculation!$A26,ActiveDistricts!$C$2:$C$326,0),6)</f>
        <v>0513</v>
      </c>
      <c r="C26" s="1" t="str">
        <f>INDEX(ActiveDistricts!$A$2:$J$326,MATCH(Calculation!$A26,ActiveDistricts!$C$2:$C$326,0),7)</f>
        <v>Baxter</v>
      </c>
      <c r="D26" s="14">
        <f>INDEX(StartupfileInput!$A$2:$I$326,MATCH(Calculation!$A26,StartupfileInput!$C$2:$C$326,0),8)</f>
        <v>360.7</v>
      </c>
      <c r="E26" s="20">
        <f>INDEX(ActiveDistricts!$A$2:$J$326,MATCH(Calculation!$A26,ActiveDistricts!$C$2:$C$326,0),10)</f>
        <v>0.27751196172248804</v>
      </c>
      <c r="F26" s="8">
        <f t="shared" si="0"/>
        <v>0.64300000000000002</v>
      </c>
      <c r="G26" s="8">
        <f t="shared" si="1"/>
        <v>0.73599999999999999</v>
      </c>
      <c r="H26" s="8">
        <f t="shared" si="2"/>
        <v>1.379</v>
      </c>
      <c r="I26">
        <f>INDEX(StartupfileInput!$A$2:$I$326,MATCH(Calculation!$A26,StartupfileInput!$C$2:$C$326,0),9)</f>
        <v>7413</v>
      </c>
      <c r="J26" s="106">
        <f t="shared" si="3"/>
        <v>7635</v>
      </c>
      <c r="K26" s="9">
        <f t="shared" si="4"/>
        <v>4909</v>
      </c>
      <c r="L26" s="9">
        <f t="shared" si="5"/>
        <v>5620</v>
      </c>
      <c r="M26" s="9">
        <f t="shared" si="6"/>
        <v>10529</v>
      </c>
    </row>
    <row r="27" spans="1:13" ht="12.75" x14ac:dyDescent="0.2">
      <c r="A27" s="26" t="str">
        <f>StartupfileInput!C25</f>
        <v>0549</v>
      </c>
      <c r="B27" s="1" t="str">
        <f>INDEX(ActiveDistricts!$A$2:$J$326,MATCH(Calculation!$A27,ActiveDistricts!$C$2:$C$326,0),6)</f>
        <v>0549</v>
      </c>
      <c r="C27" s="1" t="str">
        <f>INDEX(ActiveDistricts!$A$2:$J$326,MATCH(Calculation!$A27,ActiveDistricts!$C$2:$C$326,0),7)</f>
        <v>Bedford</v>
      </c>
      <c r="D27" s="14">
        <f>INDEX(StartupfileInput!$A$2:$I$326,MATCH(Calculation!$A27,StartupfileInput!$C$2:$C$326,0),8)</f>
        <v>501.8</v>
      </c>
      <c r="E27" s="20">
        <f>INDEX(ActiveDistricts!$A$2:$J$326,MATCH(Calculation!$A27,ActiveDistricts!$C$2:$C$326,0),10)</f>
        <v>0.37349397590361444</v>
      </c>
      <c r="F27" s="8">
        <f t="shared" si="0"/>
        <v>1.2030000000000001</v>
      </c>
      <c r="G27" s="8">
        <f t="shared" si="1"/>
        <v>1.024</v>
      </c>
      <c r="H27" s="8">
        <f t="shared" si="2"/>
        <v>2.2270000000000003</v>
      </c>
      <c r="I27">
        <f>INDEX(StartupfileInput!$A$2:$I$326,MATCH(Calculation!$A27,StartupfileInput!$C$2:$C$326,0),9)</f>
        <v>7413</v>
      </c>
      <c r="J27" s="106">
        <f t="shared" si="3"/>
        <v>7635</v>
      </c>
      <c r="K27" s="9">
        <f t="shared" si="4"/>
        <v>9185</v>
      </c>
      <c r="L27" s="9">
        <f t="shared" si="5"/>
        <v>7818</v>
      </c>
      <c r="M27" s="9">
        <f t="shared" si="6"/>
        <v>17003</v>
      </c>
    </row>
    <row r="28" spans="1:13" ht="12.75" x14ac:dyDescent="0.2">
      <c r="A28" s="26" t="str">
        <f>StartupfileInput!C26</f>
        <v>0576</v>
      </c>
      <c r="B28" s="1" t="str">
        <f>INDEX(ActiveDistricts!$A$2:$J$326,MATCH(Calculation!$A28,ActiveDistricts!$C$2:$C$326,0),6)</f>
        <v>0576</v>
      </c>
      <c r="C28" s="1" t="str">
        <f>INDEX(ActiveDistricts!$A$2:$J$326,MATCH(Calculation!$A28,ActiveDistricts!$C$2:$C$326,0),7)</f>
        <v>Belle Plaine</v>
      </c>
      <c r="D28" s="14">
        <f>INDEX(StartupfileInput!$A$2:$I$326,MATCH(Calculation!$A28,StartupfileInput!$C$2:$C$326,0),8)</f>
        <v>472.7</v>
      </c>
      <c r="E28" s="20">
        <f>INDEX(ActiveDistricts!$A$2:$J$326,MATCH(Calculation!$A28,ActiveDistricts!$C$2:$C$326,0),10)</f>
        <v>0.46363636363636362</v>
      </c>
      <c r="F28" s="8">
        <f t="shared" si="0"/>
        <v>1.407</v>
      </c>
      <c r="G28" s="8">
        <f t="shared" si="1"/>
        <v>0.96399999999999997</v>
      </c>
      <c r="H28" s="8">
        <f t="shared" si="2"/>
        <v>2.371</v>
      </c>
      <c r="I28">
        <f>INDEX(StartupfileInput!$A$2:$I$326,MATCH(Calculation!$A28,StartupfileInput!$C$2:$C$326,0),9)</f>
        <v>7413</v>
      </c>
      <c r="J28" s="106">
        <f t="shared" si="3"/>
        <v>7635</v>
      </c>
      <c r="K28" s="9">
        <f t="shared" si="4"/>
        <v>10742</v>
      </c>
      <c r="L28" s="9">
        <f t="shared" si="5"/>
        <v>7361</v>
      </c>
      <c r="M28" s="9">
        <f t="shared" si="6"/>
        <v>18103</v>
      </c>
    </row>
    <row r="29" spans="1:13" ht="12.75" x14ac:dyDescent="0.2">
      <c r="A29" s="26" t="str">
        <f>StartupfileInput!C27</f>
        <v>0585</v>
      </c>
      <c r="B29" s="1" t="str">
        <f>INDEX(ActiveDistricts!$A$2:$J$326,MATCH(Calculation!$A29,ActiveDistricts!$C$2:$C$326,0),6)</f>
        <v>0585</v>
      </c>
      <c r="C29" s="1" t="str">
        <f>INDEX(ActiveDistricts!$A$2:$J$326,MATCH(Calculation!$A29,ActiveDistricts!$C$2:$C$326,0),7)</f>
        <v>Bellevue</v>
      </c>
      <c r="D29" s="14">
        <f>INDEX(StartupfileInput!$A$2:$I$326,MATCH(Calculation!$A29,StartupfileInput!$C$2:$C$326,0),8)</f>
        <v>631.70000000000005</v>
      </c>
      <c r="E29" s="20">
        <f>INDEX(ActiveDistricts!$A$2:$J$326,MATCH(Calculation!$A29,ActiveDistricts!$C$2:$C$326,0),10)</f>
        <v>0.23148148148148148</v>
      </c>
      <c r="F29" s="8">
        <f t="shared" si="0"/>
        <v>0.93899999999999995</v>
      </c>
      <c r="G29" s="8">
        <f t="shared" si="1"/>
        <v>1.2889999999999999</v>
      </c>
      <c r="H29" s="8">
        <f t="shared" si="2"/>
        <v>2.2279999999999998</v>
      </c>
      <c r="I29">
        <f>INDEX(StartupfileInput!$A$2:$I$326,MATCH(Calculation!$A29,StartupfileInput!$C$2:$C$326,0),9)</f>
        <v>7435</v>
      </c>
      <c r="J29" s="106">
        <f t="shared" si="3"/>
        <v>7657</v>
      </c>
      <c r="K29" s="9">
        <f t="shared" si="4"/>
        <v>7190</v>
      </c>
      <c r="L29" s="9">
        <f t="shared" si="5"/>
        <v>9870</v>
      </c>
      <c r="M29" s="9">
        <f t="shared" si="6"/>
        <v>17060</v>
      </c>
    </row>
    <row r="30" spans="1:13" ht="12.75" x14ac:dyDescent="0.2">
      <c r="A30" s="26" t="str">
        <f>StartupfileInput!C28</f>
        <v>0594</v>
      </c>
      <c r="B30" s="1" t="str">
        <f>INDEX(ActiveDistricts!$A$2:$J$326,MATCH(Calculation!$A30,ActiveDistricts!$C$2:$C$326,0),6)</f>
        <v>0594</v>
      </c>
      <c r="C30" s="1" t="str">
        <f>INDEX(ActiveDistricts!$A$2:$J$326,MATCH(Calculation!$A30,ActiveDistricts!$C$2:$C$326,0),7)</f>
        <v>Belmond-Klemme</v>
      </c>
      <c r="D30" s="14">
        <f>INDEX(StartupfileInput!$A$2:$I$326,MATCH(Calculation!$A30,StartupfileInput!$C$2:$C$326,0),8)</f>
        <v>740.1</v>
      </c>
      <c r="E30" s="20">
        <f>INDEX(ActiveDistricts!$A$2:$J$326,MATCH(Calculation!$A30,ActiveDistricts!$C$2:$C$326,0),10)</f>
        <v>0.56043956043956045</v>
      </c>
      <c r="F30" s="8">
        <f t="shared" si="0"/>
        <v>2.6629999999999998</v>
      </c>
      <c r="G30" s="8">
        <f t="shared" si="1"/>
        <v>1.51</v>
      </c>
      <c r="H30" s="8">
        <f t="shared" si="2"/>
        <v>4.173</v>
      </c>
      <c r="I30">
        <f>INDEX(StartupfileInput!$A$2:$I$326,MATCH(Calculation!$A30,StartupfileInput!$C$2:$C$326,0),9)</f>
        <v>7413</v>
      </c>
      <c r="J30" s="106">
        <f t="shared" si="3"/>
        <v>7635</v>
      </c>
      <c r="K30" s="9">
        <f t="shared" si="4"/>
        <v>20332</v>
      </c>
      <c r="L30" s="9">
        <f t="shared" si="5"/>
        <v>11529</v>
      </c>
      <c r="M30" s="9">
        <f t="shared" si="6"/>
        <v>31861</v>
      </c>
    </row>
    <row r="31" spans="1:13" ht="12.75" x14ac:dyDescent="0.2">
      <c r="A31" s="26" t="str">
        <f>StartupfileInput!C29</f>
        <v>0603</v>
      </c>
      <c r="B31" s="1" t="str">
        <f>INDEX(ActiveDistricts!$A$2:$J$326,MATCH(Calculation!$A31,ActiveDistricts!$C$2:$C$326,0),6)</f>
        <v>0603</v>
      </c>
      <c r="C31" s="1" t="str">
        <f>INDEX(ActiveDistricts!$A$2:$J$326,MATCH(Calculation!$A31,ActiveDistricts!$C$2:$C$326,0),7)</f>
        <v>Bennett</v>
      </c>
      <c r="D31" s="14">
        <f>INDEX(StartupfileInput!$A$2:$I$326,MATCH(Calculation!$A31,StartupfileInput!$C$2:$C$326,0),8)</f>
        <v>175.2</v>
      </c>
      <c r="E31" s="20">
        <f>INDEX(ActiveDistricts!$A$2:$J$326,MATCH(Calculation!$A31,ActiveDistricts!$C$2:$C$326,0),10)</f>
        <v>0.51724137931034486</v>
      </c>
      <c r="F31" s="8">
        <f t="shared" si="0"/>
        <v>0.58199999999999996</v>
      </c>
      <c r="G31" s="8">
        <f t="shared" si="1"/>
        <v>0.35699999999999998</v>
      </c>
      <c r="H31" s="8">
        <f t="shared" si="2"/>
        <v>0.93899999999999995</v>
      </c>
      <c r="I31">
        <f>INDEX(StartupfileInput!$A$2:$I$326,MATCH(Calculation!$A31,StartupfileInput!$C$2:$C$326,0),9)</f>
        <v>7509</v>
      </c>
      <c r="J31" s="106">
        <f t="shared" si="3"/>
        <v>7731</v>
      </c>
      <c r="K31" s="9">
        <f t="shared" si="4"/>
        <v>4499</v>
      </c>
      <c r="L31" s="9">
        <f t="shared" si="5"/>
        <v>2760</v>
      </c>
      <c r="M31" s="9">
        <f t="shared" si="6"/>
        <v>7259</v>
      </c>
    </row>
    <row r="32" spans="1:13" ht="12.75" x14ac:dyDescent="0.2">
      <c r="A32" s="26" t="str">
        <f>StartupfileInput!C30</f>
        <v>0609</v>
      </c>
      <c r="B32" s="1" t="str">
        <f>INDEX(ActiveDistricts!$A$2:$J$326,MATCH(Calculation!$A32,ActiveDistricts!$C$2:$C$326,0),6)</f>
        <v>0609</v>
      </c>
      <c r="C32" s="1" t="str">
        <f>INDEX(ActiveDistricts!$A$2:$J$326,MATCH(Calculation!$A32,ActiveDistricts!$C$2:$C$326,0),7)</f>
        <v>Benton</v>
      </c>
      <c r="D32" s="14">
        <f>INDEX(StartupfileInput!$A$2:$I$326,MATCH(Calculation!$A32,StartupfileInput!$C$2:$C$326,0),8)</f>
        <v>1537.7</v>
      </c>
      <c r="E32" s="20">
        <f>INDEX(ActiveDistricts!$A$2:$J$326,MATCH(Calculation!$A32,ActiveDistricts!$C$2:$C$326,0),10)</f>
        <v>0.24071322436849926</v>
      </c>
      <c r="F32" s="8">
        <f t="shared" si="0"/>
        <v>2.3759999999999999</v>
      </c>
      <c r="G32" s="8">
        <f t="shared" si="1"/>
        <v>3.137</v>
      </c>
      <c r="H32" s="8">
        <f t="shared" si="2"/>
        <v>5.5129999999999999</v>
      </c>
      <c r="I32">
        <f>INDEX(StartupfileInput!$A$2:$I$326,MATCH(Calculation!$A32,StartupfileInput!$C$2:$C$326,0),9)</f>
        <v>7443</v>
      </c>
      <c r="J32" s="106">
        <f t="shared" si="3"/>
        <v>7665</v>
      </c>
      <c r="K32" s="9">
        <f t="shared" si="4"/>
        <v>18212</v>
      </c>
      <c r="L32" s="9">
        <f t="shared" si="5"/>
        <v>24045</v>
      </c>
      <c r="M32" s="9">
        <f t="shared" si="6"/>
        <v>42257</v>
      </c>
    </row>
    <row r="33" spans="1:13" ht="12.75" x14ac:dyDescent="0.2">
      <c r="A33" s="26" t="str">
        <f>StartupfileInput!C31</f>
        <v>0621</v>
      </c>
      <c r="B33" s="1" t="str">
        <f>INDEX(ActiveDistricts!$A$2:$J$326,MATCH(Calculation!$A33,ActiveDistricts!$C$2:$C$326,0),6)</f>
        <v>0621</v>
      </c>
      <c r="C33" s="1" t="str">
        <f>INDEX(ActiveDistricts!$A$2:$J$326,MATCH(Calculation!$A33,ActiveDistricts!$C$2:$C$326,0),7)</f>
        <v>Bettendorf</v>
      </c>
      <c r="D33" s="14">
        <f>INDEX(StartupfileInput!$A$2:$I$326,MATCH(Calculation!$A33,StartupfileInput!$C$2:$C$326,0),8)</f>
        <v>4017.2</v>
      </c>
      <c r="E33" s="20">
        <f>INDEX(ActiveDistricts!$A$2:$J$326,MATCH(Calculation!$A33,ActiveDistricts!$C$2:$C$326,0),10)</f>
        <v>0.36023835319609965</v>
      </c>
      <c r="F33" s="8">
        <f t="shared" si="0"/>
        <v>9.2910000000000004</v>
      </c>
      <c r="G33" s="8">
        <f t="shared" si="1"/>
        <v>8.1950000000000003</v>
      </c>
      <c r="H33" s="8">
        <f t="shared" si="2"/>
        <v>17.486000000000001</v>
      </c>
      <c r="I33">
        <f>INDEX(StartupfileInput!$A$2:$I$326,MATCH(Calculation!$A33,StartupfileInput!$C$2:$C$326,0),9)</f>
        <v>7452</v>
      </c>
      <c r="J33" s="106">
        <f t="shared" si="3"/>
        <v>7674</v>
      </c>
      <c r="K33" s="9">
        <f t="shared" si="4"/>
        <v>71299</v>
      </c>
      <c r="L33" s="9">
        <f t="shared" si="5"/>
        <v>62889</v>
      </c>
      <c r="M33" s="9">
        <f t="shared" si="6"/>
        <v>134188</v>
      </c>
    </row>
    <row r="34" spans="1:13" ht="12.75" x14ac:dyDescent="0.2">
      <c r="A34" s="26" t="str">
        <f>StartupfileInput!C32</f>
        <v>0720</v>
      </c>
      <c r="B34" s="1" t="str">
        <f>INDEX(ActiveDistricts!$A$2:$J$326,MATCH(Calculation!$A34,ActiveDistricts!$C$2:$C$326,0),6)</f>
        <v>0720</v>
      </c>
      <c r="C34" s="1" t="str">
        <f>INDEX(ActiveDistricts!$A$2:$J$326,MATCH(Calculation!$A34,ActiveDistricts!$C$2:$C$326,0),7)</f>
        <v>Bondurant-Farrar</v>
      </c>
      <c r="D34" s="14">
        <f>INDEX(StartupfileInput!$A$2:$I$326,MATCH(Calculation!$A34,StartupfileInput!$C$2:$C$326,0),8)</f>
        <v>2514.9</v>
      </c>
      <c r="E34" s="20">
        <f>INDEX(ActiveDistricts!$A$2:$J$326,MATCH(Calculation!$A34,ActiveDistricts!$C$2:$C$326,0),10)</f>
        <v>0.19831223628691982</v>
      </c>
      <c r="F34" s="8">
        <f t="shared" si="0"/>
        <v>3.202</v>
      </c>
      <c r="G34" s="8">
        <f t="shared" si="1"/>
        <v>5.13</v>
      </c>
      <c r="H34" s="8">
        <f t="shared" si="2"/>
        <v>8.3320000000000007</v>
      </c>
      <c r="I34">
        <f>INDEX(StartupfileInput!$A$2:$I$326,MATCH(Calculation!$A34,StartupfileInput!$C$2:$C$326,0),9)</f>
        <v>7413</v>
      </c>
      <c r="J34" s="106">
        <f t="shared" si="3"/>
        <v>7635</v>
      </c>
      <c r="K34" s="9">
        <f t="shared" si="4"/>
        <v>24447</v>
      </c>
      <c r="L34" s="9">
        <f t="shared" si="5"/>
        <v>39168</v>
      </c>
      <c r="M34" s="9">
        <f t="shared" si="6"/>
        <v>63615</v>
      </c>
    </row>
    <row r="35" spans="1:13" ht="12.75" x14ac:dyDescent="0.2">
      <c r="A35" s="26" t="str">
        <f>StartupfileInput!C33</f>
        <v>0729</v>
      </c>
      <c r="B35" s="1" t="str">
        <f>INDEX(ActiveDistricts!$A$2:$J$326,MATCH(Calculation!$A35,ActiveDistricts!$C$2:$C$326,0),6)</f>
        <v>0729</v>
      </c>
      <c r="C35" s="1" t="str">
        <f>INDEX(ActiveDistricts!$A$2:$J$326,MATCH(Calculation!$A35,ActiveDistricts!$C$2:$C$326,0),7)</f>
        <v>Boone</v>
      </c>
      <c r="D35" s="14">
        <f>INDEX(StartupfileInput!$A$2:$I$326,MATCH(Calculation!$A35,StartupfileInput!$C$2:$C$326,0),8)</f>
        <v>2037.5</v>
      </c>
      <c r="E35" s="20">
        <f>INDEX(ActiveDistricts!$A$2:$J$326,MATCH(Calculation!$A35,ActiveDistricts!$C$2:$C$326,0),10)</f>
        <v>0.41975308641975306</v>
      </c>
      <c r="F35" s="8">
        <f t="shared" si="0"/>
        <v>5.4909999999999997</v>
      </c>
      <c r="G35" s="8">
        <f t="shared" si="1"/>
        <v>4.157</v>
      </c>
      <c r="H35" s="8">
        <f t="shared" si="2"/>
        <v>9.6479999999999997</v>
      </c>
      <c r="I35">
        <f>INDEX(StartupfileInput!$A$2:$I$326,MATCH(Calculation!$A35,StartupfileInput!$C$2:$C$326,0),9)</f>
        <v>7413</v>
      </c>
      <c r="J35" s="106">
        <f t="shared" si="3"/>
        <v>7635</v>
      </c>
      <c r="K35" s="9">
        <f t="shared" si="4"/>
        <v>41924</v>
      </c>
      <c r="L35" s="9">
        <f t="shared" si="5"/>
        <v>31738</v>
      </c>
      <c r="M35" s="9">
        <f t="shared" si="6"/>
        <v>73662</v>
      </c>
    </row>
    <row r="36" spans="1:13" ht="12.75" x14ac:dyDescent="0.2">
      <c r="A36" s="26" t="str">
        <f>StartupfileInput!C34</f>
        <v>0747</v>
      </c>
      <c r="B36" s="1" t="str">
        <f>INDEX(ActiveDistricts!$A$2:$J$326,MATCH(Calculation!$A36,ActiveDistricts!$C$2:$C$326,0),6)</f>
        <v>0747</v>
      </c>
      <c r="C36" s="1" t="str">
        <f>INDEX(ActiveDistricts!$A$2:$J$326,MATCH(Calculation!$A36,ActiveDistricts!$C$2:$C$326,0),7)</f>
        <v>Boyden-Hull</v>
      </c>
      <c r="D36" s="14">
        <f>INDEX(StartupfileInput!$A$2:$I$326,MATCH(Calculation!$A36,StartupfileInput!$C$2:$C$326,0),8)</f>
        <v>568.5</v>
      </c>
      <c r="E36" s="20">
        <f>INDEX(ActiveDistricts!$A$2:$J$326,MATCH(Calculation!$A36,ActiveDistricts!$C$2:$C$326,0),10)</f>
        <v>0.41891891891891891</v>
      </c>
      <c r="F36" s="8">
        <f t="shared" si="0"/>
        <v>1.5289999999999999</v>
      </c>
      <c r="G36" s="8">
        <f t="shared" si="1"/>
        <v>1.1599999999999999</v>
      </c>
      <c r="H36" s="8">
        <f t="shared" si="2"/>
        <v>2.6890000000000001</v>
      </c>
      <c r="I36">
        <f>INDEX(StartupfileInput!$A$2:$I$326,MATCH(Calculation!$A36,StartupfileInput!$C$2:$C$326,0),9)</f>
        <v>7413</v>
      </c>
      <c r="J36" s="106">
        <f t="shared" si="3"/>
        <v>7635</v>
      </c>
      <c r="K36" s="9">
        <f t="shared" si="4"/>
        <v>11674</v>
      </c>
      <c r="L36" s="9">
        <f t="shared" si="5"/>
        <v>8857</v>
      </c>
      <c r="M36" s="9">
        <f t="shared" si="6"/>
        <v>20531</v>
      </c>
    </row>
    <row r="37" spans="1:13" ht="12.75" x14ac:dyDescent="0.2">
      <c r="A37" s="26" t="str">
        <f>StartupfileInput!C35</f>
        <v>1917</v>
      </c>
      <c r="B37" s="1" t="str">
        <f>INDEX(ActiveDistricts!$A$2:$J$326,MATCH(Calculation!$A37,ActiveDistricts!$C$2:$C$326,0),6)</f>
        <v>1917</v>
      </c>
      <c r="C37" s="1" t="str">
        <f>INDEX(ActiveDistricts!$A$2:$J$326,MATCH(Calculation!$A37,ActiveDistricts!$C$2:$C$326,0),7)</f>
        <v>Boyer Valley</v>
      </c>
      <c r="D37" s="14">
        <f>INDEX(StartupfileInput!$A$2:$I$326,MATCH(Calculation!$A37,StartupfileInput!$C$2:$C$326,0),8)</f>
        <v>379.2</v>
      </c>
      <c r="E37" s="20">
        <f>INDEX(ActiveDistricts!$A$2:$J$326,MATCH(Calculation!$A37,ActiveDistricts!$C$2:$C$326,0),10)</f>
        <v>0.39610389610389612</v>
      </c>
      <c r="F37" s="8">
        <f t="shared" si="0"/>
        <v>0.96399999999999997</v>
      </c>
      <c r="G37" s="8">
        <f t="shared" si="1"/>
        <v>0.77400000000000002</v>
      </c>
      <c r="H37" s="8">
        <f t="shared" si="2"/>
        <v>1.738</v>
      </c>
      <c r="I37">
        <f>INDEX(StartupfileInput!$A$2:$I$326,MATCH(Calculation!$A37,StartupfileInput!$C$2:$C$326,0),9)</f>
        <v>7413</v>
      </c>
      <c r="J37" s="106">
        <f t="shared" si="3"/>
        <v>7635</v>
      </c>
      <c r="K37" s="9">
        <f t="shared" si="4"/>
        <v>7360</v>
      </c>
      <c r="L37" s="9">
        <f t="shared" si="5"/>
        <v>5910</v>
      </c>
      <c r="M37" s="9">
        <f t="shared" si="6"/>
        <v>13270</v>
      </c>
    </row>
    <row r="38" spans="1:13" ht="12.75" x14ac:dyDescent="0.2">
      <c r="A38" s="26" t="str">
        <f>StartupfileInput!C36</f>
        <v>0846</v>
      </c>
      <c r="B38" s="1" t="str">
        <f>INDEX(ActiveDistricts!$A$2:$J$326,MATCH(Calculation!$A38,ActiveDistricts!$C$2:$C$326,0),6)</f>
        <v>0846</v>
      </c>
      <c r="C38" s="1" t="str">
        <f>INDEX(ActiveDistricts!$A$2:$J$326,MATCH(Calculation!$A38,ActiveDistricts!$C$2:$C$326,0),7)</f>
        <v>Brooklyn-Guernsey-Malcom</v>
      </c>
      <c r="D38" s="14">
        <f>INDEX(StartupfileInput!$A$2:$I$326,MATCH(Calculation!$A38,StartupfileInput!$C$2:$C$326,0),8)</f>
        <v>514.70000000000005</v>
      </c>
      <c r="E38" s="20">
        <f>INDEX(ActiveDistricts!$A$2:$J$326,MATCH(Calculation!$A38,ActiveDistricts!$C$2:$C$326,0),10)</f>
        <v>0.34782608695652173</v>
      </c>
      <c r="F38" s="8">
        <f t="shared" si="0"/>
        <v>1.149</v>
      </c>
      <c r="G38" s="8">
        <f t="shared" si="1"/>
        <v>1.05</v>
      </c>
      <c r="H38" s="8">
        <f t="shared" si="2"/>
        <v>2.1989999999999998</v>
      </c>
      <c r="I38">
        <f>INDEX(StartupfileInput!$A$2:$I$326,MATCH(Calculation!$A38,StartupfileInput!$C$2:$C$326,0),9)</f>
        <v>7413</v>
      </c>
      <c r="J38" s="106">
        <f t="shared" si="3"/>
        <v>7635</v>
      </c>
      <c r="K38" s="9">
        <f t="shared" si="4"/>
        <v>8773</v>
      </c>
      <c r="L38" s="9">
        <f t="shared" si="5"/>
        <v>8016</v>
      </c>
      <c r="M38" s="9">
        <f t="shared" si="6"/>
        <v>16789</v>
      </c>
    </row>
    <row r="39" spans="1:13" ht="12.75" x14ac:dyDescent="0.2">
      <c r="A39" s="26" t="str">
        <f>StartupfileInput!C37</f>
        <v>0882</v>
      </c>
      <c r="B39" s="1" t="str">
        <f>INDEX(ActiveDistricts!$A$2:$J$326,MATCH(Calculation!$A39,ActiveDistricts!$C$2:$C$326,0),6)</f>
        <v>0882</v>
      </c>
      <c r="C39" s="1" t="str">
        <f>INDEX(ActiveDistricts!$A$2:$J$326,MATCH(Calculation!$A39,ActiveDistricts!$C$2:$C$326,0),7)</f>
        <v>Burlington</v>
      </c>
      <c r="D39" s="14">
        <f>INDEX(StartupfileInput!$A$2:$I$326,MATCH(Calculation!$A39,StartupfileInput!$C$2:$C$326,0),8)</f>
        <v>3860.2</v>
      </c>
      <c r="E39" s="20">
        <f>INDEX(ActiveDistricts!$A$2:$J$326,MATCH(Calculation!$A39,ActiveDistricts!$C$2:$C$326,0),10)</f>
        <v>0.69464544138929085</v>
      </c>
      <c r="F39" s="8">
        <f t="shared" si="0"/>
        <v>17.215</v>
      </c>
      <c r="G39" s="8">
        <f t="shared" si="1"/>
        <v>7.875</v>
      </c>
      <c r="H39" s="8">
        <f t="shared" si="2"/>
        <v>25.09</v>
      </c>
      <c r="I39">
        <f>INDEX(StartupfileInput!$A$2:$I$326,MATCH(Calculation!$A39,StartupfileInput!$C$2:$C$326,0),9)</f>
        <v>7413</v>
      </c>
      <c r="J39" s="106">
        <f t="shared" si="3"/>
        <v>7635</v>
      </c>
      <c r="K39" s="9">
        <f t="shared" si="4"/>
        <v>131437</v>
      </c>
      <c r="L39" s="9">
        <f t="shared" si="5"/>
        <v>60125</v>
      </c>
      <c r="M39" s="9">
        <f t="shared" si="6"/>
        <v>191562</v>
      </c>
    </row>
    <row r="40" spans="1:13" ht="12.75" x14ac:dyDescent="0.2">
      <c r="A40" s="26" t="str">
        <f>StartupfileInput!C38</f>
        <v>0916</v>
      </c>
      <c r="B40" s="1" t="str">
        <f>INDEX(ActiveDistricts!$A$2:$J$326,MATCH(Calculation!$A40,ActiveDistricts!$C$2:$C$326,0),6)</f>
        <v>0916</v>
      </c>
      <c r="C40" s="1" t="str">
        <f>INDEX(ActiveDistricts!$A$2:$J$326,MATCH(Calculation!$A40,ActiveDistricts!$C$2:$C$326,0),7)</f>
        <v>CAL</v>
      </c>
      <c r="D40" s="14">
        <f>INDEX(StartupfileInput!$A$2:$I$326,MATCH(Calculation!$A40,StartupfileInput!$C$2:$C$326,0),8)</f>
        <v>280.8</v>
      </c>
      <c r="E40" s="20">
        <f>INDEX(ActiveDistricts!$A$2:$J$326,MATCH(Calculation!$A40,ActiveDistricts!$C$2:$C$326,0),10)</f>
        <v>0.62608695652173918</v>
      </c>
      <c r="F40" s="8">
        <f t="shared" si="0"/>
        <v>1.129</v>
      </c>
      <c r="G40" s="8">
        <f t="shared" si="1"/>
        <v>0.57299999999999995</v>
      </c>
      <c r="H40" s="8">
        <f t="shared" si="2"/>
        <v>1.702</v>
      </c>
      <c r="I40">
        <f>INDEX(StartupfileInput!$A$2:$I$326,MATCH(Calculation!$A40,StartupfileInput!$C$2:$C$326,0),9)</f>
        <v>7548</v>
      </c>
      <c r="J40" s="106">
        <f t="shared" si="3"/>
        <v>7770</v>
      </c>
      <c r="K40" s="9">
        <f t="shared" si="4"/>
        <v>8772</v>
      </c>
      <c r="L40" s="9">
        <f t="shared" si="5"/>
        <v>4453</v>
      </c>
      <c r="M40" s="9">
        <f t="shared" si="6"/>
        <v>13225</v>
      </c>
    </row>
    <row r="41" spans="1:13" ht="12.75" x14ac:dyDescent="0.2">
      <c r="A41" s="26" t="str">
        <f>StartupfileInput!C39</f>
        <v>0914</v>
      </c>
      <c r="B41" s="1" t="str">
        <f>INDEX(ActiveDistricts!$A$2:$J$326,MATCH(Calculation!$A41,ActiveDistricts!$C$2:$C$326,0),6)</f>
        <v>0914</v>
      </c>
      <c r="C41" s="1" t="str">
        <f>INDEX(ActiveDistricts!$A$2:$J$326,MATCH(Calculation!$A41,ActiveDistricts!$C$2:$C$326,0),7)</f>
        <v>CAM</v>
      </c>
      <c r="D41" s="14">
        <f>INDEX(StartupfileInput!$A$2:$I$326,MATCH(Calculation!$A41,StartupfileInput!$C$2:$C$326,0),8)</f>
        <v>463.9</v>
      </c>
      <c r="E41" s="20">
        <f>INDEX(ActiveDistricts!$A$2:$J$326,MATCH(Calculation!$A41,ActiveDistricts!$C$2:$C$326,0),10)</f>
        <v>0.4609375</v>
      </c>
      <c r="F41" s="8">
        <f t="shared" si="0"/>
        <v>1.373</v>
      </c>
      <c r="G41" s="8">
        <f t="shared" si="1"/>
        <v>0.94599999999999995</v>
      </c>
      <c r="H41" s="8">
        <f t="shared" si="2"/>
        <v>2.319</v>
      </c>
      <c r="I41">
        <f>INDEX(StartupfileInput!$A$2:$I$326,MATCH(Calculation!$A41,StartupfileInput!$C$2:$C$326,0),9)</f>
        <v>7428</v>
      </c>
      <c r="J41" s="106">
        <f t="shared" si="3"/>
        <v>7650</v>
      </c>
      <c r="K41" s="9">
        <f t="shared" si="4"/>
        <v>10503</v>
      </c>
      <c r="L41" s="9">
        <f t="shared" si="5"/>
        <v>7237</v>
      </c>
      <c r="M41" s="9">
        <f t="shared" si="6"/>
        <v>17740</v>
      </c>
    </row>
    <row r="42" spans="1:13" ht="12.75" x14ac:dyDescent="0.2">
      <c r="A42" s="26" t="str">
        <f>StartupfileInput!C40</f>
        <v>0918</v>
      </c>
      <c r="B42" s="1" t="str">
        <f>INDEX(ActiveDistricts!$A$2:$J$326,MATCH(Calculation!$A42,ActiveDistricts!$C$2:$C$326,0),6)</f>
        <v>0918</v>
      </c>
      <c r="C42" s="1" t="str">
        <f>INDEX(ActiveDistricts!$A$2:$J$326,MATCH(Calculation!$A42,ActiveDistricts!$C$2:$C$326,0),7)</f>
        <v>Calamus-Wheatland</v>
      </c>
      <c r="D42" s="14">
        <f>INDEX(StartupfileInput!$A$2:$I$326,MATCH(Calculation!$A42,StartupfileInput!$C$2:$C$326,0),8)</f>
        <v>381.3</v>
      </c>
      <c r="E42" s="20">
        <f>INDEX(ActiveDistricts!$A$2:$J$326,MATCH(Calculation!$A42,ActiveDistricts!$C$2:$C$326,0),10)</f>
        <v>0.38596491228070173</v>
      </c>
      <c r="F42" s="8">
        <f t="shared" si="0"/>
        <v>0.94499999999999995</v>
      </c>
      <c r="G42" s="8">
        <f t="shared" si="1"/>
        <v>0.77800000000000002</v>
      </c>
      <c r="H42" s="8">
        <f t="shared" si="2"/>
        <v>1.7229999999999999</v>
      </c>
      <c r="I42">
        <f>INDEX(StartupfileInput!$A$2:$I$326,MATCH(Calculation!$A42,StartupfileInput!$C$2:$C$326,0),9)</f>
        <v>7437</v>
      </c>
      <c r="J42" s="106">
        <f t="shared" si="3"/>
        <v>7659</v>
      </c>
      <c r="K42" s="9">
        <f t="shared" si="4"/>
        <v>7238</v>
      </c>
      <c r="L42" s="9">
        <f t="shared" si="5"/>
        <v>5958</v>
      </c>
      <c r="M42" s="9">
        <f t="shared" si="6"/>
        <v>13196</v>
      </c>
    </row>
    <row r="43" spans="1:13" ht="12.75" x14ac:dyDescent="0.2">
      <c r="A43" s="26" t="str">
        <f>StartupfileInput!C41</f>
        <v>0936</v>
      </c>
      <c r="B43" s="1" t="str">
        <f>INDEX(ActiveDistricts!$A$2:$J$326,MATCH(Calculation!$A43,ActiveDistricts!$C$2:$C$326,0),6)</f>
        <v>0936</v>
      </c>
      <c r="C43" s="1" t="str">
        <f>INDEX(ActiveDistricts!$A$2:$J$326,MATCH(Calculation!$A43,ActiveDistricts!$C$2:$C$326,0),7)</f>
        <v>Camanche</v>
      </c>
      <c r="D43" s="14">
        <f>INDEX(StartupfileInput!$A$2:$I$326,MATCH(Calculation!$A43,StartupfileInput!$C$2:$C$326,0),8)</f>
        <v>854.3</v>
      </c>
      <c r="E43" s="20">
        <f>INDEX(ActiveDistricts!$A$2:$J$326,MATCH(Calculation!$A43,ActiveDistricts!$C$2:$C$326,0),10)</f>
        <v>0.42930591259640105</v>
      </c>
      <c r="F43" s="8">
        <f t="shared" si="0"/>
        <v>2.355</v>
      </c>
      <c r="G43" s="8">
        <f t="shared" si="1"/>
        <v>1.7430000000000001</v>
      </c>
      <c r="H43" s="8">
        <f t="shared" si="2"/>
        <v>4.0979999999999999</v>
      </c>
      <c r="I43">
        <f>INDEX(StartupfileInput!$A$2:$I$326,MATCH(Calculation!$A43,StartupfileInput!$C$2:$C$326,0),9)</f>
        <v>7413</v>
      </c>
      <c r="J43" s="106">
        <f t="shared" si="3"/>
        <v>7635</v>
      </c>
      <c r="K43" s="9">
        <f t="shared" si="4"/>
        <v>17980</v>
      </c>
      <c r="L43" s="9">
        <f t="shared" si="5"/>
        <v>13308</v>
      </c>
      <c r="M43" s="9">
        <f t="shared" si="6"/>
        <v>31288</v>
      </c>
    </row>
    <row r="44" spans="1:13" ht="12.75" x14ac:dyDescent="0.2">
      <c r="A44" s="26" t="str">
        <f>StartupfileInput!C42</f>
        <v>0977</v>
      </c>
      <c r="B44" s="1" t="str">
        <f>INDEX(ActiveDistricts!$A$2:$J$326,MATCH(Calculation!$A44,ActiveDistricts!$C$2:$C$326,0),6)</f>
        <v>0977</v>
      </c>
      <c r="C44" s="1" t="str">
        <f>INDEX(ActiveDistricts!$A$2:$J$326,MATCH(Calculation!$A44,ActiveDistricts!$C$2:$C$326,0),7)</f>
        <v>Cardinal</v>
      </c>
      <c r="D44" s="14">
        <f>INDEX(StartupfileInput!$A$2:$I$326,MATCH(Calculation!$A44,StartupfileInput!$C$2:$C$326,0),8)</f>
        <v>573.5</v>
      </c>
      <c r="E44" s="20">
        <f>INDEX(ActiveDistricts!$A$2:$J$326,MATCH(Calculation!$A44,ActiveDistricts!$C$2:$C$326,0),10)</f>
        <v>0.53091684434968012</v>
      </c>
      <c r="F44" s="8">
        <f t="shared" si="0"/>
        <v>1.9550000000000001</v>
      </c>
      <c r="G44" s="8">
        <f t="shared" si="1"/>
        <v>1.17</v>
      </c>
      <c r="H44" s="8">
        <f t="shared" si="2"/>
        <v>3.125</v>
      </c>
      <c r="I44">
        <f>INDEX(StartupfileInput!$A$2:$I$326,MATCH(Calculation!$A44,StartupfileInput!$C$2:$C$326,0),9)</f>
        <v>7413</v>
      </c>
      <c r="J44" s="106">
        <f t="shared" si="3"/>
        <v>7635</v>
      </c>
      <c r="K44" s="9">
        <f t="shared" si="4"/>
        <v>14926</v>
      </c>
      <c r="L44" s="9">
        <f t="shared" si="5"/>
        <v>8933</v>
      </c>
      <c r="M44" s="9">
        <f t="shared" si="6"/>
        <v>23859</v>
      </c>
    </row>
    <row r="45" spans="1:13" ht="12.75" x14ac:dyDescent="0.2">
      <c r="A45" s="26" t="str">
        <f>StartupfileInput!C43</f>
        <v>0981</v>
      </c>
      <c r="B45" s="1" t="str">
        <f>INDEX(ActiveDistricts!$A$2:$J$326,MATCH(Calculation!$A45,ActiveDistricts!$C$2:$C$326,0),6)</f>
        <v>0981</v>
      </c>
      <c r="C45" s="1" t="str">
        <f>INDEX(ActiveDistricts!$A$2:$J$326,MATCH(Calculation!$A45,ActiveDistricts!$C$2:$C$326,0),7)</f>
        <v>Carlisle</v>
      </c>
      <c r="D45" s="14">
        <f>INDEX(StartupfileInput!$A$2:$I$326,MATCH(Calculation!$A45,StartupfileInput!$C$2:$C$326,0),8)</f>
        <v>2011</v>
      </c>
      <c r="E45" s="20">
        <f>INDEX(ActiveDistricts!$A$2:$J$326,MATCH(Calculation!$A45,ActiveDistricts!$C$2:$C$326,0),10)</f>
        <v>0.34674922600619196</v>
      </c>
      <c r="F45" s="8">
        <f t="shared" si="0"/>
        <v>4.4770000000000003</v>
      </c>
      <c r="G45" s="8">
        <f t="shared" si="1"/>
        <v>4.1020000000000003</v>
      </c>
      <c r="H45" s="8">
        <f t="shared" si="2"/>
        <v>8.5790000000000006</v>
      </c>
      <c r="I45">
        <f>INDEX(StartupfileInput!$A$2:$I$326,MATCH(Calculation!$A45,StartupfileInput!$C$2:$C$326,0),9)</f>
        <v>7413</v>
      </c>
      <c r="J45" s="106">
        <f t="shared" si="3"/>
        <v>7635</v>
      </c>
      <c r="K45" s="9">
        <f t="shared" si="4"/>
        <v>34182</v>
      </c>
      <c r="L45" s="9">
        <f t="shared" si="5"/>
        <v>31319</v>
      </c>
      <c r="M45" s="9">
        <f t="shared" si="6"/>
        <v>65501</v>
      </c>
    </row>
    <row r="46" spans="1:13" ht="12.75" x14ac:dyDescent="0.2">
      <c r="A46" s="26" t="str">
        <f>StartupfileInput!C44</f>
        <v>0999</v>
      </c>
      <c r="B46" s="1" t="str">
        <f>INDEX(ActiveDistricts!$A$2:$J$326,MATCH(Calculation!$A46,ActiveDistricts!$C$2:$C$326,0),6)</f>
        <v>0999</v>
      </c>
      <c r="C46" s="1" t="str">
        <f>INDEX(ActiveDistricts!$A$2:$J$326,MATCH(Calculation!$A46,ActiveDistricts!$C$2:$C$326,0),7)</f>
        <v>Carroll</v>
      </c>
      <c r="D46" s="14">
        <f>INDEX(StartupfileInput!$A$2:$I$326,MATCH(Calculation!$A46,StartupfileInput!$C$2:$C$326,0),8)</f>
        <v>1644.7</v>
      </c>
      <c r="E46" s="20">
        <f>INDEX(ActiveDistricts!$A$2:$J$326,MATCH(Calculation!$A46,ActiveDistricts!$C$2:$C$326,0),10)</f>
        <v>0.4247787610619469</v>
      </c>
      <c r="F46" s="8">
        <f t="shared" si="0"/>
        <v>4.4850000000000003</v>
      </c>
      <c r="G46" s="8">
        <f t="shared" si="1"/>
        <v>3.355</v>
      </c>
      <c r="H46" s="8">
        <f t="shared" si="2"/>
        <v>7.84</v>
      </c>
      <c r="I46">
        <f>INDEX(StartupfileInput!$A$2:$I$326,MATCH(Calculation!$A46,StartupfileInput!$C$2:$C$326,0),9)</f>
        <v>7413</v>
      </c>
      <c r="J46" s="106">
        <f t="shared" si="3"/>
        <v>7635</v>
      </c>
      <c r="K46" s="9">
        <f t="shared" si="4"/>
        <v>34243</v>
      </c>
      <c r="L46" s="9">
        <f t="shared" si="5"/>
        <v>25615</v>
      </c>
      <c r="M46" s="9">
        <f t="shared" si="6"/>
        <v>59858</v>
      </c>
    </row>
    <row r="47" spans="1:13" ht="12.75" x14ac:dyDescent="0.2">
      <c r="A47" s="26" t="str">
        <f>StartupfileInput!C45</f>
        <v>1044</v>
      </c>
      <c r="B47" s="1" t="str">
        <f>INDEX(ActiveDistricts!$A$2:$J$326,MATCH(Calculation!$A47,ActiveDistricts!$C$2:$C$326,0),6)</f>
        <v>1044</v>
      </c>
      <c r="C47" s="1" t="str">
        <f>INDEX(ActiveDistricts!$A$2:$J$326,MATCH(Calculation!$A47,ActiveDistricts!$C$2:$C$326,0),7)</f>
        <v>Cedar Falls</v>
      </c>
      <c r="D47" s="14">
        <f>INDEX(StartupfileInput!$A$2:$I$326,MATCH(Calculation!$A47,StartupfileInput!$C$2:$C$326,0),8)</f>
        <v>5520.1</v>
      </c>
      <c r="E47" s="20">
        <f>INDEX(ActiveDistricts!$A$2:$J$326,MATCH(Calculation!$A47,ActiveDistricts!$C$2:$C$326,0),10)</f>
        <v>0.28735192969048529</v>
      </c>
      <c r="F47" s="8">
        <f t="shared" si="0"/>
        <v>10.183</v>
      </c>
      <c r="G47" s="8">
        <f t="shared" si="1"/>
        <v>11.260999999999999</v>
      </c>
      <c r="H47" s="8">
        <f t="shared" si="2"/>
        <v>21.443999999999999</v>
      </c>
      <c r="I47">
        <f>INDEX(StartupfileInput!$A$2:$I$326,MATCH(Calculation!$A47,StartupfileInput!$C$2:$C$326,0),9)</f>
        <v>7413</v>
      </c>
      <c r="J47" s="106">
        <f t="shared" si="3"/>
        <v>7635</v>
      </c>
      <c r="K47" s="9">
        <f t="shared" si="4"/>
        <v>77747</v>
      </c>
      <c r="L47" s="9">
        <f t="shared" si="5"/>
        <v>85978</v>
      </c>
      <c r="M47" s="9">
        <f t="shared" si="6"/>
        <v>163725</v>
      </c>
    </row>
    <row r="48" spans="1:13" ht="12.75" x14ac:dyDescent="0.2">
      <c r="A48" s="26" t="str">
        <f>StartupfileInput!C46</f>
        <v>1053</v>
      </c>
      <c r="B48" s="1" t="str">
        <f>INDEX(ActiveDistricts!$A$2:$J$326,MATCH(Calculation!$A48,ActiveDistricts!$C$2:$C$326,0),6)</f>
        <v>1053</v>
      </c>
      <c r="C48" s="1" t="str">
        <f>INDEX(ActiveDistricts!$A$2:$J$326,MATCH(Calculation!$A48,ActiveDistricts!$C$2:$C$326,0),7)</f>
        <v>Cedar Rapids</v>
      </c>
      <c r="D48" s="14">
        <f>INDEX(StartupfileInput!$A$2:$I$326,MATCH(Calculation!$A48,StartupfileInput!$C$2:$C$326,0),8)</f>
        <v>15959.3</v>
      </c>
      <c r="E48" s="20">
        <f>INDEX(ActiveDistricts!$A$2:$J$326,MATCH(Calculation!$A48,ActiveDistricts!$C$2:$C$326,0),10)</f>
        <v>0.61642768079800503</v>
      </c>
      <c r="F48" s="8">
        <f t="shared" si="0"/>
        <v>63.158000000000001</v>
      </c>
      <c r="G48" s="8">
        <f t="shared" si="1"/>
        <v>32.557000000000002</v>
      </c>
      <c r="H48" s="8">
        <f t="shared" si="2"/>
        <v>95.715000000000003</v>
      </c>
      <c r="I48">
        <f>INDEX(StartupfileInput!$A$2:$I$326,MATCH(Calculation!$A48,StartupfileInput!$C$2:$C$326,0),9)</f>
        <v>7413</v>
      </c>
      <c r="J48" s="106">
        <f t="shared" si="3"/>
        <v>7635</v>
      </c>
      <c r="K48" s="9">
        <f t="shared" si="4"/>
        <v>482211</v>
      </c>
      <c r="L48" s="9">
        <f t="shared" si="5"/>
        <v>248573</v>
      </c>
      <c r="M48" s="9">
        <f t="shared" si="6"/>
        <v>730784</v>
      </c>
    </row>
    <row r="49" spans="1:13" ht="12.75" x14ac:dyDescent="0.2">
      <c r="A49" s="26" t="str">
        <f>StartupfileInput!C47</f>
        <v>1062</v>
      </c>
      <c r="B49" s="1" t="str">
        <f>INDEX(ActiveDistricts!$A$2:$J$326,MATCH(Calculation!$A49,ActiveDistricts!$C$2:$C$326,0),6)</f>
        <v>1062</v>
      </c>
      <c r="C49" s="1" t="str">
        <f>INDEX(ActiveDistricts!$A$2:$J$326,MATCH(Calculation!$A49,ActiveDistricts!$C$2:$C$326,0),7)</f>
        <v>Center Point-Urbana</v>
      </c>
      <c r="D49" s="14">
        <f>INDEX(StartupfileInput!$A$2:$I$326,MATCH(Calculation!$A49,StartupfileInput!$C$2:$C$326,0),8)</f>
        <v>1201.9000000000001</v>
      </c>
      <c r="E49" s="20">
        <f>INDEX(ActiveDistricts!$A$2:$J$326,MATCH(Calculation!$A49,ActiveDistricts!$C$2:$C$326,0),10)</f>
        <v>0.2048611111111111</v>
      </c>
      <c r="F49" s="8">
        <f t="shared" si="0"/>
        <v>1.581</v>
      </c>
      <c r="G49" s="8">
        <f t="shared" si="1"/>
        <v>2.452</v>
      </c>
      <c r="H49" s="8">
        <f t="shared" si="2"/>
        <v>4.0329999999999995</v>
      </c>
      <c r="I49">
        <f>INDEX(StartupfileInput!$A$2:$I$326,MATCH(Calculation!$A49,StartupfileInput!$C$2:$C$326,0),9)</f>
        <v>7413</v>
      </c>
      <c r="J49" s="106">
        <f t="shared" si="3"/>
        <v>7635</v>
      </c>
      <c r="K49" s="9">
        <f t="shared" si="4"/>
        <v>12071</v>
      </c>
      <c r="L49" s="9">
        <f t="shared" si="5"/>
        <v>18721</v>
      </c>
      <c r="M49" s="9">
        <f t="shared" si="6"/>
        <v>30792</v>
      </c>
    </row>
    <row r="50" spans="1:13" ht="12.75" x14ac:dyDescent="0.2">
      <c r="A50" s="26" t="str">
        <f>StartupfileInput!C48</f>
        <v>1071</v>
      </c>
      <c r="B50" s="1" t="str">
        <f>INDEX(ActiveDistricts!$A$2:$J$326,MATCH(Calculation!$A50,ActiveDistricts!$C$2:$C$326,0),6)</f>
        <v>1071</v>
      </c>
      <c r="C50" s="1" t="str">
        <f>INDEX(ActiveDistricts!$A$2:$J$326,MATCH(Calculation!$A50,ActiveDistricts!$C$2:$C$326,0),7)</f>
        <v>Centerville</v>
      </c>
      <c r="D50" s="14">
        <f>INDEX(StartupfileInput!$A$2:$I$326,MATCH(Calculation!$A50,StartupfileInput!$C$2:$C$326,0),8)</f>
        <v>1331.8</v>
      </c>
      <c r="E50" s="20">
        <f>INDEX(ActiveDistricts!$A$2:$J$326,MATCH(Calculation!$A50,ActiveDistricts!$C$2:$C$326,0),10)</f>
        <v>0.51851851851851849</v>
      </c>
      <c r="F50" s="8">
        <f t="shared" si="0"/>
        <v>4.4329999999999998</v>
      </c>
      <c r="G50" s="8">
        <f t="shared" si="1"/>
        <v>2.7170000000000001</v>
      </c>
      <c r="H50" s="8">
        <f t="shared" si="2"/>
        <v>7.15</v>
      </c>
      <c r="I50">
        <f>INDEX(StartupfileInput!$A$2:$I$326,MATCH(Calculation!$A50,StartupfileInput!$C$2:$C$326,0),9)</f>
        <v>7437</v>
      </c>
      <c r="J50" s="106">
        <f t="shared" si="3"/>
        <v>7659</v>
      </c>
      <c r="K50" s="9">
        <f t="shared" si="4"/>
        <v>33952</v>
      </c>
      <c r="L50" s="9">
        <f t="shared" si="5"/>
        <v>20810</v>
      </c>
      <c r="M50" s="9">
        <f t="shared" si="6"/>
        <v>54762</v>
      </c>
    </row>
    <row r="51" spans="1:13" ht="12.75" x14ac:dyDescent="0.2">
      <c r="A51" s="26" t="str">
        <f>StartupfileInput!C49</f>
        <v>1089</v>
      </c>
      <c r="B51" s="1" t="str">
        <f>INDEX(ActiveDistricts!$A$2:$J$326,MATCH(Calculation!$A51,ActiveDistricts!$C$2:$C$326,0),6)</f>
        <v>1089</v>
      </c>
      <c r="C51" s="1" t="str">
        <f>INDEX(ActiveDistricts!$A$2:$J$326,MATCH(Calculation!$A51,ActiveDistricts!$C$2:$C$326,0),7)</f>
        <v>Central City</v>
      </c>
      <c r="D51" s="14">
        <f>INDEX(StartupfileInput!$A$2:$I$326,MATCH(Calculation!$A51,StartupfileInput!$C$2:$C$326,0),8)</f>
        <v>434.4</v>
      </c>
      <c r="E51" s="20">
        <f>INDEX(ActiveDistricts!$A$2:$J$326,MATCH(Calculation!$A51,ActiveDistricts!$C$2:$C$326,0),10)</f>
        <v>0.34848484848484851</v>
      </c>
      <c r="F51" s="8">
        <f t="shared" si="0"/>
        <v>0.97199999999999998</v>
      </c>
      <c r="G51" s="8">
        <f t="shared" si="1"/>
        <v>0.88600000000000001</v>
      </c>
      <c r="H51" s="8">
        <f t="shared" si="2"/>
        <v>1.8580000000000001</v>
      </c>
      <c r="I51">
        <f>INDEX(StartupfileInput!$A$2:$I$326,MATCH(Calculation!$A51,StartupfileInput!$C$2:$C$326,0),9)</f>
        <v>7439</v>
      </c>
      <c r="J51" s="106">
        <f t="shared" si="3"/>
        <v>7661</v>
      </c>
      <c r="K51" s="9">
        <f t="shared" si="4"/>
        <v>7446</v>
      </c>
      <c r="L51" s="9">
        <f t="shared" si="5"/>
        <v>6788</v>
      </c>
      <c r="M51" s="9">
        <f t="shared" si="6"/>
        <v>14234</v>
      </c>
    </row>
    <row r="52" spans="1:13" ht="12.75" x14ac:dyDescent="0.2">
      <c r="A52" s="26" t="str">
        <f>StartupfileInput!C50</f>
        <v>1080</v>
      </c>
      <c r="B52" s="1" t="str">
        <f>INDEX(ActiveDistricts!$A$2:$J$326,MATCH(Calculation!$A52,ActiveDistricts!$C$2:$C$326,0),6)</f>
        <v>1080</v>
      </c>
      <c r="C52" s="1" t="str">
        <f>INDEX(ActiveDistricts!$A$2:$J$326,MATCH(Calculation!$A52,ActiveDistricts!$C$2:$C$326,0),7)</f>
        <v>Central Clayton</v>
      </c>
      <c r="D52" s="14">
        <f>INDEX(StartupfileInput!$A$2:$I$326,MATCH(Calculation!$A52,StartupfileInput!$C$2:$C$326,0),8)</f>
        <v>451.7</v>
      </c>
      <c r="E52" s="20">
        <f>INDEX(ActiveDistricts!$A$2:$J$326,MATCH(Calculation!$A52,ActiveDistricts!$C$2:$C$326,0),10)</f>
        <v>0.4891304347826087</v>
      </c>
      <c r="F52" s="8">
        <f t="shared" si="0"/>
        <v>1.4179999999999999</v>
      </c>
      <c r="G52" s="8">
        <f t="shared" si="1"/>
        <v>0.92100000000000004</v>
      </c>
      <c r="H52" s="8">
        <f t="shared" si="2"/>
        <v>2.339</v>
      </c>
      <c r="I52">
        <f>INDEX(StartupfileInput!$A$2:$I$326,MATCH(Calculation!$A52,StartupfileInput!$C$2:$C$326,0),9)</f>
        <v>7413</v>
      </c>
      <c r="J52" s="106">
        <f t="shared" si="3"/>
        <v>7635</v>
      </c>
      <c r="K52" s="9">
        <f t="shared" si="4"/>
        <v>10826</v>
      </c>
      <c r="L52" s="9">
        <f t="shared" si="5"/>
        <v>7032</v>
      </c>
      <c r="M52" s="9">
        <f t="shared" si="6"/>
        <v>17858</v>
      </c>
    </row>
    <row r="53" spans="1:13" ht="12.75" x14ac:dyDescent="0.2">
      <c r="A53" s="26" t="str">
        <f>StartupfileInput!C51</f>
        <v>1082</v>
      </c>
      <c r="B53" s="1" t="str">
        <f>INDEX(ActiveDistricts!$A$2:$J$326,MATCH(Calculation!$A53,ActiveDistricts!$C$2:$C$326,0),6)</f>
        <v>1082</v>
      </c>
      <c r="C53" s="1" t="str">
        <f>INDEX(ActiveDistricts!$A$2:$J$326,MATCH(Calculation!$A53,ActiveDistricts!$C$2:$C$326,0),7)</f>
        <v>Central De Witt</v>
      </c>
      <c r="D53" s="14">
        <f>INDEX(StartupfileInput!$A$2:$I$326,MATCH(Calculation!$A53,StartupfileInput!$C$2:$C$326,0),8)</f>
        <v>1452.9</v>
      </c>
      <c r="E53" s="20">
        <f>INDEX(ActiveDistricts!$A$2:$J$326,MATCH(Calculation!$A53,ActiveDistricts!$C$2:$C$326,0),10)</f>
        <v>0.3489827856025039</v>
      </c>
      <c r="F53" s="8">
        <f t="shared" si="0"/>
        <v>3.2549999999999999</v>
      </c>
      <c r="G53" s="8">
        <f t="shared" si="1"/>
        <v>2.964</v>
      </c>
      <c r="H53" s="8">
        <f t="shared" si="2"/>
        <v>6.2189999999999994</v>
      </c>
      <c r="I53">
        <f>INDEX(StartupfileInput!$A$2:$I$326,MATCH(Calculation!$A53,StartupfileInput!$C$2:$C$326,0),9)</f>
        <v>7413</v>
      </c>
      <c r="J53" s="106">
        <f t="shared" si="3"/>
        <v>7635</v>
      </c>
      <c r="K53" s="9">
        <f t="shared" si="4"/>
        <v>24852</v>
      </c>
      <c r="L53" s="9">
        <f t="shared" si="5"/>
        <v>22630</v>
      </c>
      <c r="M53" s="9">
        <f t="shared" si="6"/>
        <v>47482</v>
      </c>
    </row>
    <row r="54" spans="1:13" ht="12.75" x14ac:dyDescent="0.2">
      <c r="A54" s="26" t="str">
        <f>StartupfileInput!C52</f>
        <v>1093</v>
      </c>
      <c r="B54" s="1" t="str">
        <f>INDEX(ActiveDistricts!$A$2:$J$326,MATCH(Calculation!$A54,ActiveDistricts!$C$2:$C$326,0),6)</f>
        <v>1093</v>
      </c>
      <c r="C54" s="1" t="str">
        <f>INDEX(ActiveDistricts!$A$2:$J$326,MATCH(Calculation!$A54,ActiveDistricts!$C$2:$C$326,0),7)</f>
        <v>Central Decatur</v>
      </c>
      <c r="D54" s="14">
        <f>INDEX(StartupfileInput!$A$2:$I$326,MATCH(Calculation!$A54,StartupfileInput!$C$2:$C$326,0),8)</f>
        <v>642.70000000000005</v>
      </c>
      <c r="E54" s="20">
        <f>INDEX(ActiveDistricts!$A$2:$J$326,MATCH(Calculation!$A54,ActiveDistricts!$C$2:$C$326,0),10)</f>
        <v>0.69795918367346943</v>
      </c>
      <c r="F54" s="8">
        <f t="shared" si="0"/>
        <v>2.88</v>
      </c>
      <c r="G54" s="8">
        <f t="shared" si="1"/>
        <v>1.3109999999999999</v>
      </c>
      <c r="H54" s="8">
        <f t="shared" si="2"/>
        <v>4.1909999999999998</v>
      </c>
      <c r="I54">
        <f>INDEX(StartupfileInput!$A$2:$I$326,MATCH(Calculation!$A54,StartupfileInput!$C$2:$C$326,0),9)</f>
        <v>7413</v>
      </c>
      <c r="J54" s="106">
        <f t="shared" si="3"/>
        <v>7635</v>
      </c>
      <c r="K54" s="9">
        <f t="shared" si="4"/>
        <v>21989</v>
      </c>
      <c r="L54" s="9">
        <f t="shared" si="5"/>
        <v>10009</v>
      </c>
      <c r="M54" s="9">
        <f t="shared" si="6"/>
        <v>31998</v>
      </c>
    </row>
    <row r="55" spans="1:13" ht="12.75" x14ac:dyDescent="0.2">
      <c r="A55" s="26" t="str">
        <f>StartupfileInput!C53</f>
        <v>1079</v>
      </c>
      <c r="B55" s="1" t="str">
        <f>INDEX(ActiveDistricts!$A$2:$J$326,MATCH(Calculation!$A55,ActiveDistricts!$C$2:$C$326,0),6)</f>
        <v>1079</v>
      </c>
      <c r="C55" s="1" t="str">
        <f>INDEX(ActiveDistricts!$A$2:$J$326,MATCH(Calculation!$A55,ActiveDistricts!$C$2:$C$326,0),7)</f>
        <v>Central Lee</v>
      </c>
      <c r="D55" s="14">
        <f>INDEX(StartupfileInput!$A$2:$I$326,MATCH(Calculation!$A55,StartupfileInput!$C$2:$C$326,0),8)</f>
        <v>803.1</v>
      </c>
      <c r="E55" s="20">
        <f>INDEX(ActiveDistricts!$A$2:$J$326,MATCH(Calculation!$A55,ActiveDistricts!$C$2:$C$326,0),10)</f>
        <v>0.3902439024390244</v>
      </c>
      <c r="F55" s="8">
        <f t="shared" si="0"/>
        <v>2.012</v>
      </c>
      <c r="G55" s="8">
        <f t="shared" si="1"/>
        <v>1.6379999999999999</v>
      </c>
      <c r="H55" s="8">
        <f t="shared" si="2"/>
        <v>3.65</v>
      </c>
      <c r="I55">
        <f>INDEX(StartupfileInput!$A$2:$I$326,MATCH(Calculation!$A55,StartupfileInput!$C$2:$C$326,0),9)</f>
        <v>7413</v>
      </c>
      <c r="J55" s="106">
        <f t="shared" si="3"/>
        <v>7635</v>
      </c>
      <c r="K55" s="9">
        <f t="shared" si="4"/>
        <v>15362</v>
      </c>
      <c r="L55" s="9">
        <f t="shared" si="5"/>
        <v>12506</v>
      </c>
      <c r="M55" s="9">
        <f t="shared" si="6"/>
        <v>27868</v>
      </c>
    </row>
    <row r="56" spans="1:13" ht="12.75" x14ac:dyDescent="0.2">
      <c r="A56" s="26" t="str">
        <f>StartupfileInput!C54</f>
        <v>1095</v>
      </c>
      <c r="B56" s="1" t="str">
        <f>INDEX(ActiveDistricts!$A$2:$J$326,MATCH(Calculation!$A56,ActiveDistricts!$C$2:$C$326,0),6)</f>
        <v>1095</v>
      </c>
      <c r="C56" s="1" t="str">
        <f>INDEX(ActiveDistricts!$A$2:$J$326,MATCH(Calculation!$A56,ActiveDistricts!$C$2:$C$326,0),7)</f>
        <v>Central Lyon</v>
      </c>
      <c r="D56" s="14">
        <f>INDEX(StartupfileInput!$A$2:$I$326,MATCH(Calculation!$A56,StartupfileInput!$C$2:$C$326,0),8)</f>
        <v>765.1</v>
      </c>
      <c r="E56" s="20">
        <f>INDEX(ActiveDistricts!$A$2:$J$326,MATCH(Calculation!$A56,ActiveDistricts!$C$2:$C$326,0),10)</f>
        <v>0.31456953642384106</v>
      </c>
      <c r="F56" s="8">
        <f t="shared" si="0"/>
        <v>1.5449999999999999</v>
      </c>
      <c r="G56" s="8">
        <f t="shared" si="1"/>
        <v>1.5609999999999999</v>
      </c>
      <c r="H56" s="8">
        <f t="shared" si="2"/>
        <v>3.1059999999999999</v>
      </c>
      <c r="I56">
        <f>INDEX(StartupfileInput!$A$2:$I$326,MATCH(Calculation!$A56,StartupfileInput!$C$2:$C$326,0),9)</f>
        <v>7413</v>
      </c>
      <c r="J56" s="106">
        <f t="shared" si="3"/>
        <v>7635</v>
      </c>
      <c r="K56" s="9">
        <f t="shared" si="4"/>
        <v>11796</v>
      </c>
      <c r="L56" s="9">
        <f t="shared" si="5"/>
        <v>11918</v>
      </c>
      <c r="M56" s="9">
        <f t="shared" si="6"/>
        <v>23714</v>
      </c>
    </row>
    <row r="57" spans="1:13" ht="12.75" x14ac:dyDescent="0.2">
      <c r="A57" s="26" t="str">
        <f>StartupfileInput!C55</f>
        <v>4772</v>
      </c>
      <c r="B57" s="1" t="str">
        <f>INDEX(ActiveDistricts!$A$2:$J$326,MATCH(Calculation!$A57,ActiveDistricts!$C$2:$C$326,0),6)</f>
        <v>4772</v>
      </c>
      <c r="C57" s="1" t="str">
        <f>INDEX(ActiveDistricts!$A$2:$J$326,MATCH(Calculation!$A57,ActiveDistricts!$C$2:$C$326,0),7)</f>
        <v>Central Springs</v>
      </c>
      <c r="D57" s="14">
        <f>INDEX(StartupfileInput!$A$2:$I$326,MATCH(Calculation!$A57,StartupfileInput!$C$2:$C$326,0),8)</f>
        <v>805.3</v>
      </c>
      <c r="E57" s="20">
        <f>INDEX(ActiveDistricts!$A$2:$J$326,MATCH(Calculation!$A57,ActiveDistricts!$C$2:$C$326,0),10)</f>
        <v>0.40909090909090912</v>
      </c>
      <c r="F57" s="8">
        <f t="shared" si="0"/>
        <v>2.1150000000000002</v>
      </c>
      <c r="G57" s="8">
        <f t="shared" si="1"/>
        <v>1.643</v>
      </c>
      <c r="H57" s="8">
        <f t="shared" si="2"/>
        <v>3.758</v>
      </c>
      <c r="I57">
        <f>INDEX(StartupfileInput!$A$2:$I$326,MATCH(Calculation!$A57,StartupfileInput!$C$2:$C$326,0),9)</f>
        <v>7413</v>
      </c>
      <c r="J57" s="106">
        <f t="shared" si="3"/>
        <v>7635</v>
      </c>
      <c r="K57" s="9">
        <f t="shared" si="4"/>
        <v>16148</v>
      </c>
      <c r="L57" s="9">
        <f t="shared" si="5"/>
        <v>12544</v>
      </c>
      <c r="M57" s="9">
        <f t="shared" si="6"/>
        <v>28692</v>
      </c>
    </row>
    <row r="58" spans="1:13" ht="12.75" x14ac:dyDescent="0.2">
      <c r="A58" s="26" t="str">
        <f>StartupfileInput!C56</f>
        <v>1107</v>
      </c>
      <c r="B58" s="1" t="str">
        <f>INDEX(ActiveDistricts!$A$2:$J$326,MATCH(Calculation!$A58,ActiveDistricts!$C$2:$C$326,0),6)</f>
        <v>1107</v>
      </c>
      <c r="C58" s="1" t="str">
        <f>INDEX(ActiveDistricts!$A$2:$J$326,MATCH(Calculation!$A58,ActiveDistricts!$C$2:$C$326,0),7)</f>
        <v>Chariton</v>
      </c>
      <c r="D58" s="14">
        <f>INDEX(StartupfileInput!$A$2:$I$326,MATCH(Calculation!$A58,StartupfileInput!$C$2:$C$326,0),8)</f>
        <v>1271.3</v>
      </c>
      <c r="E58" s="20">
        <f>INDEX(ActiveDistricts!$A$2:$J$326,MATCH(Calculation!$A58,ActiveDistricts!$C$2:$C$326,0),10)</f>
        <v>0.5478424015009381</v>
      </c>
      <c r="F58" s="8">
        <f t="shared" si="0"/>
        <v>4.4710000000000001</v>
      </c>
      <c r="G58" s="8">
        <f t="shared" si="1"/>
        <v>2.593</v>
      </c>
      <c r="H58" s="8">
        <f t="shared" si="2"/>
        <v>7.0640000000000001</v>
      </c>
      <c r="I58">
        <f>INDEX(StartupfileInput!$A$2:$I$326,MATCH(Calculation!$A58,StartupfileInput!$C$2:$C$326,0),9)</f>
        <v>7413</v>
      </c>
      <c r="J58" s="106">
        <f t="shared" si="3"/>
        <v>7635</v>
      </c>
      <c r="K58" s="9">
        <f t="shared" si="4"/>
        <v>34136</v>
      </c>
      <c r="L58" s="9">
        <f t="shared" si="5"/>
        <v>19798</v>
      </c>
      <c r="M58" s="9">
        <f t="shared" si="6"/>
        <v>53934</v>
      </c>
    </row>
    <row r="59" spans="1:13" ht="12.75" x14ac:dyDescent="0.2">
      <c r="A59" s="26" t="str">
        <f>StartupfileInput!C57</f>
        <v>1116</v>
      </c>
      <c r="B59" s="1" t="str">
        <f>INDEX(ActiveDistricts!$A$2:$J$326,MATCH(Calculation!$A59,ActiveDistricts!$C$2:$C$326,0),6)</f>
        <v>1116</v>
      </c>
      <c r="C59" s="1" t="str">
        <f>INDEX(ActiveDistricts!$A$2:$J$326,MATCH(Calculation!$A59,ActiveDistricts!$C$2:$C$326,0),7)</f>
        <v>Charles City</v>
      </c>
      <c r="D59" s="14">
        <f>INDEX(StartupfileInput!$A$2:$I$326,MATCH(Calculation!$A59,StartupfileInput!$C$2:$C$326,0),8)</f>
        <v>1489.8</v>
      </c>
      <c r="E59" s="20">
        <f>INDEX(ActiveDistricts!$A$2:$J$326,MATCH(Calculation!$A59,ActiveDistricts!$C$2:$C$326,0),10)</f>
        <v>0.59931506849315064</v>
      </c>
      <c r="F59" s="8">
        <f t="shared" si="0"/>
        <v>5.7320000000000002</v>
      </c>
      <c r="G59" s="8">
        <f t="shared" si="1"/>
        <v>3.0390000000000001</v>
      </c>
      <c r="H59" s="8">
        <f t="shared" si="2"/>
        <v>8.7710000000000008</v>
      </c>
      <c r="I59">
        <f>INDEX(StartupfileInput!$A$2:$I$326,MATCH(Calculation!$A59,StartupfileInput!$C$2:$C$326,0),9)</f>
        <v>7438</v>
      </c>
      <c r="J59" s="106">
        <f t="shared" si="3"/>
        <v>7660</v>
      </c>
      <c r="K59" s="9">
        <f t="shared" si="4"/>
        <v>43907</v>
      </c>
      <c r="L59" s="9">
        <f t="shared" si="5"/>
        <v>23279</v>
      </c>
      <c r="M59" s="9">
        <f t="shared" si="6"/>
        <v>67186</v>
      </c>
    </row>
    <row r="60" spans="1:13" ht="12.75" x14ac:dyDescent="0.2">
      <c r="A60" s="26" t="str">
        <f>StartupfileInput!C58</f>
        <v>1134</v>
      </c>
      <c r="B60" s="1" t="str">
        <f>INDEX(ActiveDistricts!$A$2:$J$326,MATCH(Calculation!$A60,ActiveDistricts!$C$2:$C$326,0),6)</f>
        <v>1134</v>
      </c>
      <c r="C60" s="1" t="str">
        <f>INDEX(ActiveDistricts!$A$2:$J$326,MATCH(Calculation!$A60,ActiveDistricts!$C$2:$C$326,0),7)</f>
        <v>Charter Oak-Ute</v>
      </c>
      <c r="D60" s="14">
        <f>INDEX(StartupfileInput!$A$2:$I$326,MATCH(Calculation!$A60,StartupfileInput!$C$2:$C$326,0),8)</f>
        <v>287.2</v>
      </c>
      <c r="E60" s="20">
        <f>INDEX(ActiveDistricts!$A$2:$J$326,MATCH(Calculation!$A60,ActiveDistricts!$C$2:$C$326,0),10)</f>
        <v>0.60952380952380958</v>
      </c>
      <c r="F60" s="8">
        <f t="shared" si="0"/>
        <v>1.1240000000000001</v>
      </c>
      <c r="G60" s="8">
        <f t="shared" si="1"/>
        <v>0.58599999999999997</v>
      </c>
      <c r="H60" s="8">
        <f t="shared" si="2"/>
        <v>1.71</v>
      </c>
      <c r="I60">
        <f>INDEX(StartupfileInput!$A$2:$I$326,MATCH(Calculation!$A60,StartupfileInput!$C$2:$C$326,0),9)</f>
        <v>7413</v>
      </c>
      <c r="J60" s="106">
        <f t="shared" si="3"/>
        <v>7635</v>
      </c>
      <c r="K60" s="9">
        <f t="shared" si="4"/>
        <v>8582</v>
      </c>
      <c r="L60" s="9">
        <f t="shared" si="5"/>
        <v>4474</v>
      </c>
      <c r="M60" s="9">
        <f t="shared" si="6"/>
        <v>13056</v>
      </c>
    </row>
    <row r="61" spans="1:13" ht="12.75" x14ac:dyDescent="0.2">
      <c r="A61" s="26" t="str">
        <f>StartupfileInput!C59</f>
        <v>1152</v>
      </c>
      <c r="B61" s="1" t="str">
        <f>INDEX(ActiveDistricts!$A$2:$J$326,MATCH(Calculation!$A61,ActiveDistricts!$C$2:$C$326,0),6)</f>
        <v>1152</v>
      </c>
      <c r="C61" s="1" t="str">
        <f>INDEX(ActiveDistricts!$A$2:$J$326,MATCH(Calculation!$A61,ActiveDistricts!$C$2:$C$326,0),7)</f>
        <v>Cherokee</v>
      </c>
      <c r="D61" s="14">
        <f>INDEX(StartupfileInput!$A$2:$I$326,MATCH(Calculation!$A61,StartupfileInput!$C$2:$C$326,0),8)</f>
        <v>1035.3</v>
      </c>
      <c r="E61" s="20">
        <f>INDEX(ActiveDistricts!$A$2:$J$326,MATCH(Calculation!$A61,ActiveDistricts!$C$2:$C$326,0),10)</f>
        <v>0.45039682539682541</v>
      </c>
      <c r="F61" s="8">
        <f t="shared" si="0"/>
        <v>2.9940000000000002</v>
      </c>
      <c r="G61" s="8">
        <f t="shared" si="1"/>
        <v>2.1120000000000001</v>
      </c>
      <c r="H61" s="8">
        <f t="shared" si="2"/>
        <v>5.1059999999999999</v>
      </c>
      <c r="I61">
        <f>INDEX(StartupfileInput!$A$2:$I$326,MATCH(Calculation!$A61,StartupfileInput!$C$2:$C$326,0),9)</f>
        <v>7429</v>
      </c>
      <c r="J61" s="106">
        <f t="shared" si="3"/>
        <v>7651</v>
      </c>
      <c r="K61" s="9">
        <f t="shared" si="4"/>
        <v>22907</v>
      </c>
      <c r="L61" s="9">
        <f t="shared" si="5"/>
        <v>16159</v>
      </c>
      <c r="M61" s="9">
        <f t="shared" si="6"/>
        <v>39066</v>
      </c>
    </row>
    <row r="62" spans="1:13" ht="12.75" x14ac:dyDescent="0.2">
      <c r="A62" s="26" t="str">
        <f>StartupfileInput!C60</f>
        <v>1197</v>
      </c>
      <c r="B62" s="1" t="str">
        <f>INDEX(ActiveDistricts!$A$2:$J$326,MATCH(Calculation!$A62,ActiveDistricts!$C$2:$C$326,0),6)</f>
        <v>1197</v>
      </c>
      <c r="C62" s="1" t="str">
        <f>INDEX(ActiveDistricts!$A$2:$J$326,MATCH(Calculation!$A62,ActiveDistricts!$C$2:$C$326,0),7)</f>
        <v>Clarinda</v>
      </c>
      <c r="D62" s="14">
        <f>INDEX(StartupfileInput!$A$2:$I$326,MATCH(Calculation!$A62,StartupfileInput!$C$2:$C$326,0),8)</f>
        <v>989.1</v>
      </c>
      <c r="E62" s="20">
        <f>INDEX(ActiveDistricts!$A$2:$J$326,MATCH(Calculation!$A62,ActiveDistricts!$C$2:$C$326,0),10)</f>
        <v>0.44124168514412415</v>
      </c>
      <c r="F62" s="8">
        <f t="shared" si="0"/>
        <v>2.802</v>
      </c>
      <c r="G62" s="8">
        <f t="shared" si="1"/>
        <v>2.0179999999999998</v>
      </c>
      <c r="H62" s="8">
        <f t="shared" si="2"/>
        <v>4.82</v>
      </c>
      <c r="I62">
        <f>INDEX(StartupfileInput!$A$2:$I$326,MATCH(Calculation!$A62,StartupfileInput!$C$2:$C$326,0),9)</f>
        <v>7413</v>
      </c>
      <c r="J62" s="106">
        <f t="shared" si="3"/>
        <v>7635</v>
      </c>
      <c r="K62" s="9">
        <f t="shared" si="4"/>
        <v>21393</v>
      </c>
      <c r="L62" s="9">
        <f t="shared" si="5"/>
        <v>15408</v>
      </c>
      <c r="M62" s="9">
        <f t="shared" si="6"/>
        <v>36801</v>
      </c>
    </row>
    <row r="63" spans="1:13" ht="12.75" x14ac:dyDescent="0.2">
      <c r="A63" s="26" t="str">
        <f>StartupfileInput!C61</f>
        <v>1206</v>
      </c>
      <c r="B63" s="1" t="str">
        <f>INDEX(ActiveDistricts!$A$2:$J$326,MATCH(Calculation!$A63,ActiveDistricts!$C$2:$C$326,0),6)</f>
        <v>1206</v>
      </c>
      <c r="C63" s="1" t="str">
        <f>INDEX(ActiveDistricts!$A$2:$J$326,MATCH(Calculation!$A63,ActiveDistricts!$C$2:$C$326,0),7)</f>
        <v>Clarion-Goldfield-Dows</v>
      </c>
      <c r="D63" s="14">
        <f>INDEX(StartupfileInput!$A$2:$I$326,MATCH(Calculation!$A63,StartupfileInput!$C$2:$C$326,0),8)</f>
        <v>1011.1</v>
      </c>
      <c r="E63" s="20">
        <f>INDEX(ActiveDistricts!$A$2:$J$326,MATCH(Calculation!$A63,ActiveDistricts!$C$2:$C$326,0),10)</f>
        <v>0.5764411027568922</v>
      </c>
      <c r="F63" s="8">
        <f t="shared" si="0"/>
        <v>3.742</v>
      </c>
      <c r="G63" s="8">
        <f t="shared" si="1"/>
        <v>2.0630000000000002</v>
      </c>
      <c r="H63" s="8">
        <f t="shared" si="2"/>
        <v>5.8049999999999997</v>
      </c>
      <c r="I63">
        <f>INDEX(StartupfileInput!$A$2:$I$326,MATCH(Calculation!$A63,StartupfileInput!$C$2:$C$326,0),9)</f>
        <v>7413</v>
      </c>
      <c r="J63" s="106">
        <f t="shared" si="3"/>
        <v>7635</v>
      </c>
      <c r="K63" s="9">
        <f t="shared" si="4"/>
        <v>28570</v>
      </c>
      <c r="L63" s="9">
        <f t="shared" si="5"/>
        <v>15751</v>
      </c>
      <c r="M63" s="9">
        <f t="shared" si="6"/>
        <v>44321</v>
      </c>
    </row>
    <row r="64" spans="1:13" ht="12.75" x14ac:dyDescent="0.2">
      <c r="A64" s="26" t="str">
        <f>StartupfileInput!C62</f>
        <v>1211</v>
      </c>
      <c r="B64" s="1" t="str">
        <f>INDEX(ActiveDistricts!$A$2:$J$326,MATCH(Calculation!$A64,ActiveDistricts!$C$2:$C$326,0),6)</f>
        <v>1211</v>
      </c>
      <c r="C64" s="1" t="str">
        <f>INDEX(ActiveDistricts!$A$2:$J$326,MATCH(Calculation!$A64,ActiveDistricts!$C$2:$C$326,0),7)</f>
        <v>Clarke</v>
      </c>
      <c r="D64" s="14">
        <f>INDEX(StartupfileInput!$A$2:$I$326,MATCH(Calculation!$A64,StartupfileInput!$C$2:$C$326,0),8)</f>
        <v>1442.5</v>
      </c>
      <c r="E64" s="20">
        <f>INDEX(ActiveDistricts!$A$2:$J$326,MATCH(Calculation!$A64,ActiveDistricts!$C$2:$C$326,0),10)</f>
        <v>0.6038095238095238</v>
      </c>
      <c r="F64" s="8">
        <f t="shared" si="0"/>
        <v>5.5919999999999996</v>
      </c>
      <c r="G64" s="8">
        <f t="shared" si="1"/>
        <v>2.9430000000000001</v>
      </c>
      <c r="H64" s="8">
        <f t="shared" si="2"/>
        <v>8.5350000000000001</v>
      </c>
      <c r="I64">
        <f>INDEX(StartupfileInput!$A$2:$I$326,MATCH(Calculation!$A64,StartupfileInput!$C$2:$C$326,0),9)</f>
        <v>7413</v>
      </c>
      <c r="J64" s="106">
        <f t="shared" si="3"/>
        <v>7635</v>
      </c>
      <c r="K64" s="9">
        <f t="shared" si="4"/>
        <v>42695</v>
      </c>
      <c r="L64" s="9">
        <f t="shared" si="5"/>
        <v>22470</v>
      </c>
      <c r="M64" s="9">
        <f t="shared" si="6"/>
        <v>65165</v>
      </c>
    </row>
    <row r="65" spans="1:13" ht="12.75" x14ac:dyDescent="0.2">
      <c r="A65" s="26" t="str">
        <f>StartupfileInput!C63</f>
        <v>1215</v>
      </c>
      <c r="B65" s="1" t="str">
        <f>INDEX(ActiveDistricts!$A$2:$J$326,MATCH(Calculation!$A65,ActiveDistricts!$C$2:$C$326,0),6)</f>
        <v>1215</v>
      </c>
      <c r="C65" s="1" t="str">
        <f>INDEX(ActiveDistricts!$A$2:$J$326,MATCH(Calculation!$A65,ActiveDistricts!$C$2:$C$326,0),7)</f>
        <v>Clarksville</v>
      </c>
      <c r="D65" s="14">
        <f>INDEX(StartupfileInput!$A$2:$I$326,MATCH(Calculation!$A65,StartupfileInput!$C$2:$C$326,0),8)</f>
        <v>289.39999999999998</v>
      </c>
      <c r="E65" s="20">
        <f>INDEX(ActiveDistricts!$A$2:$J$326,MATCH(Calculation!$A65,ActiveDistricts!$C$2:$C$326,0),10)</f>
        <v>0.33333333333333331</v>
      </c>
      <c r="F65" s="8">
        <f t="shared" si="0"/>
        <v>0.61899999999999999</v>
      </c>
      <c r="G65" s="8">
        <f t="shared" si="1"/>
        <v>0.59</v>
      </c>
      <c r="H65" s="8">
        <f t="shared" si="2"/>
        <v>1.2090000000000001</v>
      </c>
      <c r="I65">
        <f>INDEX(StartupfileInput!$A$2:$I$326,MATCH(Calculation!$A65,StartupfileInput!$C$2:$C$326,0),9)</f>
        <v>7413</v>
      </c>
      <c r="J65" s="106">
        <f t="shared" si="3"/>
        <v>7635</v>
      </c>
      <c r="K65" s="9">
        <f t="shared" si="4"/>
        <v>4726</v>
      </c>
      <c r="L65" s="9">
        <f t="shared" si="5"/>
        <v>4505</v>
      </c>
      <c r="M65" s="9">
        <f t="shared" si="6"/>
        <v>9231</v>
      </c>
    </row>
    <row r="66" spans="1:13" ht="12.75" x14ac:dyDescent="0.2">
      <c r="A66" s="26" t="str">
        <f>StartupfileInput!C64</f>
        <v>1218</v>
      </c>
      <c r="B66" s="1" t="str">
        <f>INDEX(ActiveDistricts!$A$2:$J$326,MATCH(Calculation!$A66,ActiveDistricts!$C$2:$C$326,0),6)</f>
        <v>1218</v>
      </c>
      <c r="C66" s="1" t="str">
        <f>INDEX(ActiveDistricts!$A$2:$J$326,MATCH(Calculation!$A66,ActiveDistricts!$C$2:$C$326,0),7)</f>
        <v>Clay Central-Everly</v>
      </c>
      <c r="D66" s="14">
        <f>INDEX(StartupfileInput!$A$2:$I$326,MATCH(Calculation!$A66,StartupfileInput!$C$2:$C$326,0),8)</f>
        <v>290.10000000000002</v>
      </c>
      <c r="E66" s="20">
        <f>INDEX(ActiveDistricts!$A$2:$J$326,MATCH(Calculation!$A66,ActiveDistricts!$C$2:$C$326,0),10)</f>
        <v>0.74509803921568629</v>
      </c>
      <c r="F66" s="8">
        <f t="shared" si="0"/>
        <v>1.3879999999999999</v>
      </c>
      <c r="G66" s="8">
        <f t="shared" si="1"/>
        <v>0.59199999999999997</v>
      </c>
      <c r="H66" s="8">
        <f t="shared" si="2"/>
        <v>1.98</v>
      </c>
      <c r="I66">
        <f>INDEX(StartupfileInput!$A$2:$I$326,MATCH(Calculation!$A66,StartupfileInput!$C$2:$C$326,0),9)</f>
        <v>7506</v>
      </c>
      <c r="J66" s="106">
        <f t="shared" si="3"/>
        <v>7728</v>
      </c>
      <c r="K66" s="9">
        <f t="shared" si="4"/>
        <v>10726</v>
      </c>
      <c r="L66" s="9">
        <f t="shared" si="5"/>
        <v>4575</v>
      </c>
      <c r="M66" s="9">
        <f t="shared" si="6"/>
        <v>15301</v>
      </c>
    </row>
    <row r="67" spans="1:13" ht="12.75" x14ac:dyDescent="0.2">
      <c r="A67" s="26" t="str">
        <f>StartupfileInput!C65</f>
        <v>2763</v>
      </c>
      <c r="B67" s="1" t="str">
        <f>INDEX(ActiveDistricts!$A$2:$J$326,MATCH(Calculation!$A67,ActiveDistricts!$C$2:$C$326,0),6)</f>
        <v>2763</v>
      </c>
      <c r="C67" s="1" t="str">
        <f>INDEX(ActiveDistricts!$A$2:$J$326,MATCH(Calculation!$A67,ActiveDistricts!$C$2:$C$326,0),7)</f>
        <v>Clayton Ridge</v>
      </c>
      <c r="D67" s="14">
        <f>INDEX(StartupfileInput!$A$2:$I$326,MATCH(Calculation!$A67,StartupfileInput!$C$2:$C$326,0),8)</f>
        <v>641.9</v>
      </c>
      <c r="E67" s="20">
        <f>INDEX(ActiveDistricts!$A$2:$J$326,MATCH(Calculation!$A67,ActiveDistricts!$C$2:$C$326,0),10)</f>
        <v>0.45294117647058824</v>
      </c>
      <c r="F67" s="8">
        <f t="shared" si="0"/>
        <v>1.867</v>
      </c>
      <c r="G67" s="8">
        <f t="shared" si="1"/>
        <v>1.3089999999999999</v>
      </c>
      <c r="H67" s="8">
        <f t="shared" si="2"/>
        <v>3.1760000000000002</v>
      </c>
      <c r="I67">
        <f>INDEX(StartupfileInput!$A$2:$I$326,MATCH(Calculation!$A67,StartupfileInput!$C$2:$C$326,0),9)</f>
        <v>7470</v>
      </c>
      <c r="J67" s="106">
        <f t="shared" si="3"/>
        <v>7692</v>
      </c>
      <c r="K67" s="9">
        <f t="shared" si="4"/>
        <v>14361</v>
      </c>
      <c r="L67" s="9">
        <f t="shared" si="5"/>
        <v>10069</v>
      </c>
      <c r="M67" s="9">
        <f t="shared" si="6"/>
        <v>24430</v>
      </c>
    </row>
    <row r="68" spans="1:13" ht="12.75" x14ac:dyDescent="0.2">
      <c r="A68" s="26" t="str">
        <f>StartupfileInput!C66</f>
        <v>1221</v>
      </c>
      <c r="B68" s="1" t="str">
        <f>INDEX(ActiveDistricts!$A$2:$J$326,MATCH(Calculation!$A68,ActiveDistricts!$C$2:$C$326,0),6)</f>
        <v>1221</v>
      </c>
      <c r="C68" s="1" t="str">
        <f>INDEX(ActiveDistricts!$A$2:$J$326,MATCH(Calculation!$A68,ActiveDistricts!$C$2:$C$326,0),7)</f>
        <v>Clear Creek-Amana</v>
      </c>
      <c r="D68" s="14">
        <f>INDEX(StartupfileInput!$A$2:$I$326,MATCH(Calculation!$A68,StartupfileInput!$C$2:$C$326,0),8)</f>
        <v>2937.9</v>
      </c>
      <c r="E68" s="20">
        <f>INDEX(ActiveDistricts!$A$2:$J$326,MATCH(Calculation!$A68,ActiveDistricts!$C$2:$C$326,0),10)</f>
        <v>0.27180527383367142</v>
      </c>
      <c r="F68" s="8">
        <f t="shared" si="0"/>
        <v>5.1269999999999998</v>
      </c>
      <c r="G68" s="8">
        <f t="shared" si="1"/>
        <v>5.9930000000000003</v>
      </c>
      <c r="H68" s="8">
        <f t="shared" ref="H68:H131" si="7">SUM(F68:G68)</f>
        <v>11.120000000000001</v>
      </c>
      <c r="I68">
        <f>INDEX(StartupfileInput!$A$2:$I$326,MATCH(Calculation!$A68,StartupfileInput!$C$2:$C$326,0),9)</f>
        <v>7414</v>
      </c>
      <c r="J68" s="106">
        <f t="shared" si="3"/>
        <v>7636</v>
      </c>
      <c r="K68" s="9">
        <f t="shared" ref="K68:K131" si="8">ROUND(F68*J68,0)</f>
        <v>39150</v>
      </c>
      <c r="L68" s="9">
        <f t="shared" si="5"/>
        <v>45762</v>
      </c>
      <c r="M68" s="9">
        <f t="shared" si="6"/>
        <v>84912</v>
      </c>
    </row>
    <row r="69" spans="1:13" ht="12.75" x14ac:dyDescent="0.2">
      <c r="A69" s="26" t="str">
        <f>StartupfileInput!C67</f>
        <v>1233</v>
      </c>
      <c r="B69" s="1" t="str">
        <f>INDEX(ActiveDistricts!$A$2:$J$326,MATCH(Calculation!$A69,ActiveDistricts!$C$2:$C$326,0),6)</f>
        <v>1233</v>
      </c>
      <c r="C69" s="1" t="str">
        <f>INDEX(ActiveDistricts!$A$2:$J$326,MATCH(Calculation!$A69,ActiveDistricts!$C$2:$C$326,0),7)</f>
        <v>Clear Lake</v>
      </c>
      <c r="D69" s="14">
        <f>INDEX(StartupfileInput!$A$2:$I$326,MATCH(Calculation!$A69,StartupfileInput!$C$2:$C$326,0),8)</f>
        <v>1173.0999999999999</v>
      </c>
      <c r="E69" s="20">
        <f>INDEX(ActiveDistricts!$A$2:$J$326,MATCH(Calculation!$A69,ActiveDistricts!$C$2:$C$326,0),10)</f>
        <v>0.30894308943089432</v>
      </c>
      <c r="F69" s="8">
        <f t="shared" ref="F69:F132" si="9">ROUND(D69*E69*$F$3,3)</f>
        <v>2.327</v>
      </c>
      <c r="G69" s="8">
        <f t="shared" ref="G69:G132" si="10">ROUND(D69*$G$3,3)</f>
        <v>2.3929999999999998</v>
      </c>
      <c r="H69" s="8">
        <f t="shared" si="7"/>
        <v>4.72</v>
      </c>
      <c r="I69">
        <f>INDEX(StartupfileInput!$A$2:$I$326,MATCH(Calculation!$A69,StartupfileInput!$C$2:$C$326,0),9)</f>
        <v>7413</v>
      </c>
      <c r="J69" s="106">
        <f t="shared" ref="J69:J132" si="11">MAX(I69+$R$2,$T$2)</f>
        <v>7635</v>
      </c>
      <c r="K69" s="9">
        <f t="shared" si="8"/>
        <v>17767</v>
      </c>
      <c r="L69" s="9">
        <f t="shared" ref="L69:L132" si="12">M69-K69</f>
        <v>18270</v>
      </c>
      <c r="M69" s="9">
        <f t="shared" ref="M69:M132" si="13">ROUND(H69*J69,0)</f>
        <v>36037</v>
      </c>
    </row>
    <row r="70" spans="1:13" ht="12.75" x14ac:dyDescent="0.2">
      <c r="A70" s="26" t="str">
        <f>StartupfileInput!C68</f>
        <v>1278</v>
      </c>
      <c r="B70" s="1" t="str">
        <f>INDEX(ActiveDistricts!$A$2:$J$326,MATCH(Calculation!$A70,ActiveDistricts!$C$2:$C$326,0),6)</f>
        <v>1278</v>
      </c>
      <c r="C70" s="1" t="str">
        <f>INDEX(ActiveDistricts!$A$2:$J$326,MATCH(Calculation!$A70,ActiveDistricts!$C$2:$C$326,0),7)</f>
        <v>Clinton</v>
      </c>
      <c r="D70" s="14">
        <f>INDEX(StartupfileInput!$A$2:$I$326,MATCH(Calculation!$A70,StartupfileInput!$C$2:$C$326,0),8)</f>
        <v>3604.2</v>
      </c>
      <c r="E70" s="20">
        <f>INDEX(ActiveDistricts!$A$2:$J$326,MATCH(Calculation!$A70,ActiveDistricts!$C$2:$C$326,0),10)</f>
        <v>0.61709520500347459</v>
      </c>
      <c r="F70" s="8">
        <f t="shared" si="9"/>
        <v>14.279</v>
      </c>
      <c r="G70" s="8">
        <f t="shared" si="10"/>
        <v>7.3529999999999998</v>
      </c>
      <c r="H70" s="8">
        <f t="shared" si="7"/>
        <v>21.631999999999998</v>
      </c>
      <c r="I70">
        <f>INDEX(StartupfileInput!$A$2:$I$326,MATCH(Calculation!$A70,StartupfileInput!$C$2:$C$326,0),9)</f>
        <v>7424</v>
      </c>
      <c r="J70" s="106">
        <f t="shared" si="11"/>
        <v>7646</v>
      </c>
      <c r="K70" s="9">
        <f t="shared" si="8"/>
        <v>109177</v>
      </c>
      <c r="L70" s="9">
        <f t="shared" si="12"/>
        <v>56221</v>
      </c>
      <c r="M70" s="9">
        <f t="shared" si="13"/>
        <v>165398</v>
      </c>
    </row>
    <row r="71" spans="1:13" ht="12.75" x14ac:dyDescent="0.2">
      <c r="A71" s="26" t="str">
        <f>StartupfileInput!C69</f>
        <v>1332</v>
      </c>
      <c r="B71" s="1" t="str">
        <f>INDEX(ActiveDistricts!$A$2:$J$326,MATCH(Calculation!$A71,ActiveDistricts!$C$2:$C$326,0),6)</f>
        <v>1332</v>
      </c>
      <c r="C71" s="1" t="str">
        <f>INDEX(ActiveDistricts!$A$2:$J$326,MATCH(Calculation!$A71,ActiveDistricts!$C$2:$C$326,0),7)</f>
        <v>Colfax-Mingo</v>
      </c>
      <c r="D71" s="14">
        <f>INDEX(StartupfileInput!$A$2:$I$326,MATCH(Calculation!$A71,StartupfileInput!$C$2:$C$326,0),8)</f>
        <v>707.2</v>
      </c>
      <c r="E71" s="20">
        <f>INDEX(ActiveDistricts!$A$2:$J$326,MATCH(Calculation!$A71,ActiveDistricts!$C$2:$C$326,0),10)</f>
        <v>0.43430656934306572</v>
      </c>
      <c r="F71" s="8">
        <f t="shared" si="9"/>
        <v>1.972</v>
      </c>
      <c r="G71" s="8">
        <f t="shared" si="10"/>
        <v>1.4430000000000001</v>
      </c>
      <c r="H71" s="8">
        <f t="shared" si="7"/>
        <v>3.415</v>
      </c>
      <c r="I71">
        <f>INDEX(StartupfileInput!$A$2:$I$326,MATCH(Calculation!$A71,StartupfileInput!$C$2:$C$326,0),9)</f>
        <v>7413</v>
      </c>
      <c r="J71" s="106">
        <f t="shared" si="11"/>
        <v>7635</v>
      </c>
      <c r="K71" s="9">
        <f t="shared" si="8"/>
        <v>15056</v>
      </c>
      <c r="L71" s="9">
        <f t="shared" si="12"/>
        <v>11018</v>
      </c>
      <c r="M71" s="9">
        <f t="shared" si="13"/>
        <v>26074</v>
      </c>
    </row>
    <row r="72" spans="1:13" ht="12.75" x14ac:dyDescent="0.2">
      <c r="A72" s="26" t="str">
        <f>StartupfileInput!C70</f>
        <v>1337</v>
      </c>
      <c r="B72" s="1" t="str">
        <f>INDEX(ActiveDistricts!$A$2:$J$326,MATCH(Calculation!$A72,ActiveDistricts!$C$2:$C$326,0),6)</f>
        <v>1337</v>
      </c>
      <c r="C72" s="1" t="str">
        <f>INDEX(ActiveDistricts!$A$2:$J$326,MATCH(Calculation!$A72,ActiveDistricts!$C$2:$C$326,0),7)</f>
        <v>College Community</v>
      </c>
      <c r="D72" s="14">
        <f>INDEX(StartupfileInput!$A$2:$I$326,MATCH(Calculation!$A72,StartupfileInput!$C$2:$C$326,0),8)</f>
        <v>5147.8999999999996</v>
      </c>
      <c r="E72" s="20">
        <f>INDEX(ActiveDistricts!$A$2:$J$326,MATCH(Calculation!$A72,ActiveDistricts!$C$2:$C$326,0),10)</f>
        <v>0.37807419758232597</v>
      </c>
      <c r="F72" s="8">
        <f t="shared" si="9"/>
        <v>12.494999999999999</v>
      </c>
      <c r="G72" s="8">
        <f t="shared" si="10"/>
        <v>10.502000000000001</v>
      </c>
      <c r="H72" s="8">
        <f t="shared" si="7"/>
        <v>22.997</v>
      </c>
      <c r="I72">
        <f>INDEX(StartupfileInput!$A$2:$I$326,MATCH(Calculation!$A72,StartupfileInput!$C$2:$C$326,0),9)</f>
        <v>7413</v>
      </c>
      <c r="J72" s="106">
        <f t="shared" si="11"/>
        <v>7635</v>
      </c>
      <c r="K72" s="9">
        <f t="shared" si="8"/>
        <v>95399</v>
      </c>
      <c r="L72" s="9">
        <f t="shared" si="12"/>
        <v>80183</v>
      </c>
      <c r="M72" s="9">
        <f t="shared" si="13"/>
        <v>175582</v>
      </c>
    </row>
    <row r="73" spans="1:13" ht="12.75" x14ac:dyDescent="0.2">
      <c r="A73" s="26" t="str">
        <f>StartupfileInput!C71</f>
        <v>1350</v>
      </c>
      <c r="B73" s="1" t="str">
        <f>INDEX(ActiveDistricts!$A$2:$J$326,MATCH(Calculation!$A73,ActiveDistricts!$C$2:$C$326,0),6)</f>
        <v>1350</v>
      </c>
      <c r="C73" s="1" t="str">
        <f>INDEX(ActiveDistricts!$A$2:$J$326,MATCH(Calculation!$A73,ActiveDistricts!$C$2:$C$326,0),7)</f>
        <v>Collins-Maxwell</v>
      </c>
      <c r="D73" s="14">
        <f>INDEX(StartupfileInput!$A$2:$I$326,MATCH(Calculation!$A73,StartupfileInput!$C$2:$C$326,0),8)</f>
        <v>463.9</v>
      </c>
      <c r="E73" s="20">
        <f>INDEX(ActiveDistricts!$A$2:$J$326,MATCH(Calculation!$A73,ActiveDistricts!$C$2:$C$326,0),10)</f>
        <v>0.44148936170212766</v>
      </c>
      <c r="F73" s="8">
        <f t="shared" si="9"/>
        <v>1.3149999999999999</v>
      </c>
      <c r="G73" s="8">
        <f t="shared" si="10"/>
        <v>0.94599999999999995</v>
      </c>
      <c r="H73" s="8">
        <f t="shared" si="7"/>
        <v>2.2610000000000001</v>
      </c>
      <c r="I73">
        <f>INDEX(StartupfileInput!$A$2:$I$326,MATCH(Calculation!$A73,StartupfileInput!$C$2:$C$326,0),9)</f>
        <v>7413</v>
      </c>
      <c r="J73" s="106">
        <f t="shared" si="11"/>
        <v>7635</v>
      </c>
      <c r="K73" s="9">
        <f t="shared" si="8"/>
        <v>10040</v>
      </c>
      <c r="L73" s="9">
        <f t="shared" si="12"/>
        <v>7223</v>
      </c>
      <c r="M73" s="9">
        <f t="shared" si="13"/>
        <v>17263</v>
      </c>
    </row>
    <row r="74" spans="1:13" ht="12.75" x14ac:dyDescent="0.2">
      <c r="A74" s="26" t="str">
        <f>StartupfileInput!C72</f>
        <v>1359</v>
      </c>
      <c r="B74" s="1" t="str">
        <f>INDEX(ActiveDistricts!$A$2:$J$326,MATCH(Calculation!$A74,ActiveDistricts!$C$2:$C$326,0),6)</f>
        <v>1359</v>
      </c>
      <c r="C74" s="1" t="str">
        <f>INDEX(ActiveDistricts!$A$2:$J$326,MATCH(Calculation!$A74,ActiveDistricts!$C$2:$C$326,0),7)</f>
        <v>Colo-Nesco</v>
      </c>
      <c r="D74" s="14">
        <f>INDEX(StartupfileInput!$A$2:$I$326,MATCH(Calculation!$A74,StartupfileInput!$C$2:$C$326,0),8)</f>
        <v>452.9</v>
      </c>
      <c r="E74" s="20">
        <f>INDEX(ActiveDistricts!$A$2:$J$326,MATCH(Calculation!$A74,ActiveDistricts!$C$2:$C$326,0),10)</f>
        <v>0.44444444444444442</v>
      </c>
      <c r="F74" s="8">
        <f t="shared" si="9"/>
        <v>1.292</v>
      </c>
      <c r="G74" s="8">
        <f t="shared" si="10"/>
        <v>0.92400000000000004</v>
      </c>
      <c r="H74" s="8">
        <f t="shared" si="7"/>
        <v>2.2160000000000002</v>
      </c>
      <c r="I74">
        <f>INDEX(StartupfileInput!$A$2:$I$326,MATCH(Calculation!$A74,StartupfileInput!$C$2:$C$326,0),9)</f>
        <v>7413</v>
      </c>
      <c r="J74" s="106">
        <f t="shared" si="11"/>
        <v>7635</v>
      </c>
      <c r="K74" s="9">
        <f t="shared" si="8"/>
        <v>9864</v>
      </c>
      <c r="L74" s="9">
        <f t="shared" si="12"/>
        <v>7055</v>
      </c>
      <c r="M74" s="9">
        <f t="shared" si="13"/>
        <v>16919</v>
      </c>
    </row>
    <row r="75" spans="1:13" ht="12.75" x14ac:dyDescent="0.2">
      <c r="A75" s="26" t="str">
        <f>StartupfileInput!C73</f>
        <v>1368</v>
      </c>
      <c r="B75" s="1" t="str">
        <f>INDEX(ActiveDistricts!$A$2:$J$326,MATCH(Calculation!$A75,ActiveDistricts!$C$2:$C$326,0),6)</f>
        <v>1368</v>
      </c>
      <c r="C75" s="1" t="str">
        <f>INDEX(ActiveDistricts!$A$2:$J$326,MATCH(Calculation!$A75,ActiveDistricts!$C$2:$C$326,0),7)</f>
        <v>Columbus</v>
      </c>
      <c r="D75" s="14">
        <f>INDEX(StartupfileInput!$A$2:$I$326,MATCH(Calculation!$A75,StartupfileInput!$C$2:$C$326,0),8)</f>
        <v>741.9</v>
      </c>
      <c r="E75" s="20">
        <f>INDEX(ActiveDistricts!$A$2:$J$326,MATCH(Calculation!$A75,ActiveDistricts!$C$2:$C$326,0),10)</f>
        <v>0.6690647482014388</v>
      </c>
      <c r="F75" s="8">
        <f t="shared" si="9"/>
        <v>3.1869999999999998</v>
      </c>
      <c r="G75" s="8">
        <f t="shared" si="10"/>
        <v>1.5129999999999999</v>
      </c>
      <c r="H75" s="8">
        <f t="shared" si="7"/>
        <v>4.6999999999999993</v>
      </c>
      <c r="I75">
        <f>INDEX(StartupfileInput!$A$2:$I$326,MATCH(Calculation!$A75,StartupfileInput!$C$2:$C$326,0),9)</f>
        <v>7413</v>
      </c>
      <c r="J75" s="106">
        <f t="shared" si="11"/>
        <v>7635</v>
      </c>
      <c r="K75" s="9">
        <f t="shared" si="8"/>
        <v>24333</v>
      </c>
      <c r="L75" s="9">
        <f t="shared" si="12"/>
        <v>11552</v>
      </c>
      <c r="M75" s="9">
        <f t="shared" si="13"/>
        <v>35885</v>
      </c>
    </row>
    <row r="76" spans="1:13" ht="12.75" x14ac:dyDescent="0.2">
      <c r="A76" s="26" t="str">
        <f>StartupfileInput!C74</f>
        <v>1413</v>
      </c>
      <c r="B76" s="1" t="str">
        <f>INDEX(ActiveDistricts!$A$2:$J$326,MATCH(Calculation!$A76,ActiveDistricts!$C$2:$C$326,0),6)</f>
        <v>1413</v>
      </c>
      <c r="C76" s="1" t="str">
        <f>INDEX(ActiveDistricts!$A$2:$J$326,MATCH(Calculation!$A76,ActiveDistricts!$C$2:$C$326,0),7)</f>
        <v>Coon Rapids-Bayard</v>
      </c>
      <c r="D76" s="14">
        <f>INDEX(StartupfileInput!$A$2:$I$326,MATCH(Calculation!$A76,StartupfileInput!$C$2:$C$326,0),8)</f>
        <v>425</v>
      </c>
      <c r="E76" s="20">
        <f>INDEX(ActiveDistricts!$A$2:$J$326,MATCH(Calculation!$A76,ActiveDistricts!$C$2:$C$326,0),10)</f>
        <v>0.48148148148148145</v>
      </c>
      <c r="F76" s="8">
        <f t="shared" si="9"/>
        <v>1.3140000000000001</v>
      </c>
      <c r="G76" s="8">
        <f t="shared" si="10"/>
        <v>0.86699999999999999</v>
      </c>
      <c r="H76" s="8">
        <f t="shared" si="7"/>
        <v>2.181</v>
      </c>
      <c r="I76">
        <f>INDEX(StartupfileInput!$A$2:$I$326,MATCH(Calculation!$A76,StartupfileInput!$C$2:$C$326,0),9)</f>
        <v>7525</v>
      </c>
      <c r="J76" s="106">
        <f t="shared" si="11"/>
        <v>7747</v>
      </c>
      <c r="K76" s="9">
        <f t="shared" si="8"/>
        <v>10180</v>
      </c>
      <c r="L76" s="9">
        <f t="shared" si="12"/>
        <v>6716</v>
      </c>
      <c r="M76" s="9">
        <f t="shared" si="13"/>
        <v>16896</v>
      </c>
    </row>
    <row r="77" spans="1:13" ht="12.75" x14ac:dyDescent="0.2">
      <c r="A77" s="26" t="str">
        <f>StartupfileInput!C75</f>
        <v>1431</v>
      </c>
      <c r="B77" s="1" t="str">
        <f>INDEX(ActiveDistricts!$A$2:$J$326,MATCH(Calculation!$A77,ActiveDistricts!$C$2:$C$326,0),6)</f>
        <v>1431</v>
      </c>
      <c r="C77" s="1" t="str">
        <f>INDEX(ActiveDistricts!$A$2:$J$326,MATCH(Calculation!$A77,ActiveDistricts!$C$2:$C$326,0),7)</f>
        <v>Corning</v>
      </c>
      <c r="D77" s="14">
        <f>INDEX(StartupfileInput!$A$2:$I$326,MATCH(Calculation!$A77,StartupfileInput!$C$2:$C$326,0),8)</f>
        <v>382.1</v>
      </c>
      <c r="E77" s="20">
        <f>INDEX(ActiveDistricts!$A$2:$J$326,MATCH(Calculation!$A77,ActiveDistricts!$C$2:$C$326,0),10)</f>
        <v>0.42657342657342656</v>
      </c>
      <c r="F77" s="8">
        <f t="shared" si="9"/>
        <v>1.046</v>
      </c>
      <c r="G77" s="8">
        <f t="shared" si="10"/>
        <v>0.77900000000000003</v>
      </c>
      <c r="H77" s="8">
        <f t="shared" si="7"/>
        <v>1.8250000000000002</v>
      </c>
      <c r="I77">
        <f>INDEX(StartupfileInput!$A$2:$I$326,MATCH(Calculation!$A77,StartupfileInput!$C$2:$C$326,0),9)</f>
        <v>7425</v>
      </c>
      <c r="J77" s="106">
        <f t="shared" si="11"/>
        <v>7647</v>
      </c>
      <c r="K77" s="9">
        <f t="shared" si="8"/>
        <v>7999</v>
      </c>
      <c r="L77" s="9">
        <f t="shared" si="12"/>
        <v>5957</v>
      </c>
      <c r="M77" s="9">
        <f t="shared" si="13"/>
        <v>13956</v>
      </c>
    </row>
    <row r="78" spans="1:13" ht="12.75" x14ac:dyDescent="0.2">
      <c r="A78" s="26" t="str">
        <f>StartupfileInput!C76</f>
        <v>1476</v>
      </c>
      <c r="B78" s="1" t="str">
        <f>INDEX(ActiveDistricts!$A$2:$J$326,MATCH(Calculation!$A78,ActiveDistricts!$C$2:$C$326,0),6)</f>
        <v>1476</v>
      </c>
      <c r="C78" s="1" t="str">
        <f>INDEX(ActiveDistricts!$A$2:$J$326,MATCH(Calculation!$A78,ActiveDistricts!$C$2:$C$326,0),7)</f>
        <v>Council Bluffs</v>
      </c>
      <c r="D78" s="14">
        <f>INDEX(StartupfileInput!$A$2:$I$326,MATCH(Calculation!$A78,StartupfileInput!$C$2:$C$326,0),8)</f>
        <v>8707.7000000000007</v>
      </c>
      <c r="E78" s="20">
        <f>INDEX(ActiveDistricts!$A$2:$J$326,MATCH(Calculation!$A78,ActiveDistricts!$C$2:$C$326,0),10)</f>
        <v>0.64931580359538499</v>
      </c>
      <c r="F78" s="8">
        <f t="shared" si="9"/>
        <v>36.298999999999999</v>
      </c>
      <c r="G78" s="8">
        <f t="shared" si="10"/>
        <v>17.763999999999999</v>
      </c>
      <c r="H78" s="8">
        <f t="shared" si="7"/>
        <v>54.063000000000002</v>
      </c>
      <c r="I78">
        <f>INDEX(StartupfileInput!$A$2:$I$326,MATCH(Calculation!$A78,StartupfileInput!$C$2:$C$326,0),9)</f>
        <v>7447</v>
      </c>
      <c r="J78" s="106">
        <f t="shared" si="11"/>
        <v>7669</v>
      </c>
      <c r="K78" s="9">
        <f t="shared" si="8"/>
        <v>278377</v>
      </c>
      <c r="L78" s="9">
        <f t="shared" si="12"/>
        <v>136232</v>
      </c>
      <c r="M78" s="9">
        <f t="shared" si="13"/>
        <v>414609</v>
      </c>
    </row>
    <row r="79" spans="1:13" ht="12.75" x14ac:dyDescent="0.2">
      <c r="A79" s="26" t="str">
        <f>StartupfileInput!C77</f>
        <v>1503</v>
      </c>
      <c r="B79" s="1" t="str">
        <f>INDEX(ActiveDistricts!$A$2:$J$326,MATCH(Calculation!$A79,ActiveDistricts!$C$2:$C$326,0),6)</f>
        <v>1503</v>
      </c>
      <c r="C79" s="1" t="str">
        <f>INDEX(ActiveDistricts!$A$2:$J$326,MATCH(Calculation!$A79,ActiveDistricts!$C$2:$C$326,0),7)</f>
        <v>Creston</v>
      </c>
      <c r="D79" s="14">
        <f>INDEX(StartupfileInput!$A$2:$I$326,MATCH(Calculation!$A79,StartupfileInput!$C$2:$C$326,0),8)</f>
        <v>1397</v>
      </c>
      <c r="E79" s="20">
        <f>INDEX(ActiveDistricts!$A$2:$J$326,MATCH(Calculation!$A79,ActiveDistricts!$C$2:$C$326,0),10)</f>
        <v>0.56573705179282874</v>
      </c>
      <c r="F79" s="8">
        <f t="shared" si="9"/>
        <v>5.0739999999999998</v>
      </c>
      <c r="G79" s="8">
        <f t="shared" si="10"/>
        <v>2.85</v>
      </c>
      <c r="H79" s="8">
        <f t="shared" si="7"/>
        <v>7.9239999999999995</v>
      </c>
      <c r="I79">
        <f>INDEX(StartupfileInput!$A$2:$I$326,MATCH(Calculation!$A79,StartupfileInput!$C$2:$C$326,0),9)</f>
        <v>7413</v>
      </c>
      <c r="J79" s="106">
        <f t="shared" si="11"/>
        <v>7635</v>
      </c>
      <c r="K79" s="9">
        <f t="shared" si="8"/>
        <v>38740</v>
      </c>
      <c r="L79" s="9">
        <f t="shared" si="12"/>
        <v>21760</v>
      </c>
      <c r="M79" s="9">
        <f t="shared" si="13"/>
        <v>60500</v>
      </c>
    </row>
    <row r="80" spans="1:13" ht="12.75" x14ac:dyDescent="0.2">
      <c r="A80" s="26" t="str">
        <f>StartupfileInput!C78</f>
        <v>1576</v>
      </c>
      <c r="B80" s="1" t="str">
        <f>INDEX(ActiveDistricts!$A$2:$J$326,MATCH(Calculation!$A80,ActiveDistricts!$C$2:$C$326,0),6)</f>
        <v>1576</v>
      </c>
      <c r="C80" s="1" t="str">
        <f>INDEX(ActiveDistricts!$A$2:$J$326,MATCH(Calculation!$A80,ActiveDistricts!$C$2:$C$326,0),7)</f>
        <v>Dallas Center-Grimes</v>
      </c>
      <c r="D80" s="14">
        <f>INDEX(StartupfileInput!$A$2:$I$326,MATCH(Calculation!$A80,StartupfileInput!$C$2:$C$326,0),8)</f>
        <v>3478</v>
      </c>
      <c r="E80" s="20">
        <f>INDEX(ActiveDistricts!$A$2:$J$326,MATCH(Calculation!$A80,ActiveDistricts!$C$2:$C$326,0),10)</f>
        <v>0.17619328226281675</v>
      </c>
      <c r="F80" s="8">
        <f t="shared" si="9"/>
        <v>3.9340000000000002</v>
      </c>
      <c r="G80" s="8">
        <f t="shared" si="10"/>
        <v>7.0949999999999998</v>
      </c>
      <c r="H80" s="8">
        <f t="shared" si="7"/>
        <v>11.029</v>
      </c>
      <c r="I80">
        <f>INDEX(StartupfileInput!$A$2:$I$326,MATCH(Calculation!$A80,StartupfileInput!$C$2:$C$326,0),9)</f>
        <v>7413</v>
      </c>
      <c r="J80" s="106">
        <f t="shared" si="11"/>
        <v>7635</v>
      </c>
      <c r="K80" s="9">
        <f t="shared" si="8"/>
        <v>30036</v>
      </c>
      <c r="L80" s="9">
        <f t="shared" si="12"/>
        <v>54170</v>
      </c>
      <c r="M80" s="9">
        <f t="shared" si="13"/>
        <v>84206</v>
      </c>
    </row>
    <row r="81" spans="1:13" ht="12.75" x14ac:dyDescent="0.2">
      <c r="A81" s="26" t="str">
        <f>StartupfileInput!C79</f>
        <v>1602</v>
      </c>
      <c r="B81" s="1" t="str">
        <f>INDEX(ActiveDistricts!$A$2:$J$326,MATCH(Calculation!$A81,ActiveDistricts!$C$2:$C$326,0),6)</f>
        <v>1602</v>
      </c>
      <c r="C81" s="1" t="str">
        <f>INDEX(ActiveDistricts!$A$2:$J$326,MATCH(Calculation!$A81,ActiveDistricts!$C$2:$C$326,0),7)</f>
        <v>Danville</v>
      </c>
      <c r="D81" s="14">
        <f>INDEX(StartupfileInput!$A$2:$I$326,MATCH(Calculation!$A81,StartupfileInput!$C$2:$C$326,0),8)</f>
        <v>432.4</v>
      </c>
      <c r="E81" s="20">
        <f>INDEX(ActiveDistricts!$A$2:$J$326,MATCH(Calculation!$A81,ActiveDistricts!$C$2:$C$326,0),10)</f>
        <v>0.38613861386138615</v>
      </c>
      <c r="F81" s="8">
        <f t="shared" si="9"/>
        <v>1.0720000000000001</v>
      </c>
      <c r="G81" s="8">
        <f t="shared" si="10"/>
        <v>0.88200000000000001</v>
      </c>
      <c r="H81" s="8">
        <f t="shared" si="7"/>
        <v>1.9540000000000002</v>
      </c>
      <c r="I81">
        <f>INDEX(StartupfileInput!$A$2:$I$326,MATCH(Calculation!$A81,StartupfileInput!$C$2:$C$326,0),9)</f>
        <v>7413</v>
      </c>
      <c r="J81" s="106">
        <f t="shared" si="11"/>
        <v>7635</v>
      </c>
      <c r="K81" s="9">
        <f t="shared" si="8"/>
        <v>8185</v>
      </c>
      <c r="L81" s="9">
        <f t="shared" si="12"/>
        <v>6734</v>
      </c>
      <c r="M81" s="9">
        <f t="shared" si="13"/>
        <v>14919</v>
      </c>
    </row>
    <row r="82" spans="1:13" ht="12.75" x14ac:dyDescent="0.2">
      <c r="A82" s="26" t="str">
        <f>StartupfileInput!C80</f>
        <v>1611</v>
      </c>
      <c r="B82" s="1" t="str">
        <f>INDEX(ActiveDistricts!$A$2:$J$326,MATCH(Calculation!$A82,ActiveDistricts!$C$2:$C$326,0),6)</f>
        <v>1611</v>
      </c>
      <c r="C82" s="1" t="str">
        <f>INDEX(ActiveDistricts!$A$2:$J$326,MATCH(Calculation!$A82,ActiveDistricts!$C$2:$C$326,0),7)</f>
        <v>Davenport</v>
      </c>
      <c r="D82" s="14">
        <f>INDEX(StartupfileInput!$A$2:$I$326,MATCH(Calculation!$A82,StartupfileInput!$C$2:$C$326,0),8)</f>
        <v>14164.5</v>
      </c>
      <c r="E82" s="20">
        <f>INDEX(ActiveDistricts!$A$2:$J$326,MATCH(Calculation!$A82,ActiveDistricts!$C$2:$C$326,0),10)</f>
        <v>0.57701421800947872</v>
      </c>
      <c r="F82" s="8">
        <f t="shared" si="9"/>
        <v>52.470999999999997</v>
      </c>
      <c r="G82" s="8">
        <f t="shared" si="10"/>
        <v>28.896000000000001</v>
      </c>
      <c r="H82" s="8">
        <f t="shared" si="7"/>
        <v>81.36699999999999</v>
      </c>
      <c r="I82">
        <f>INDEX(StartupfileInput!$A$2:$I$326,MATCH(Calculation!$A82,StartupfileInput!$C$2:$C$326,0),9)</f>
        <v>7413</v>
      </c>
      <c r="J82" s="106">
        <f t="shared" si="11"/>
        <v>7635</v>
      </c>
      <c r="K82" s="9">
        <f t="shared" si="8"/>
        <v>400616</v>
      </c>
      <c r="L82" s="9">
        <f t="shared" si="12"/>
        <v>220621</v>
      </c>
      <c r="M82" s="9">
        <f t="shared" si="13"/>
        <v>621237</v>
      </c>
    </row>
    <row r="83" spans="1:13" ht="12.75" x14ac:dyDescent="0.2">
      <c r="A83" s="26" t="str">
        <f>StartupfileInput!C81</f>
        <v>1619</v>
      </c>
      <c r="B83" s="1" t="str">
        <f>INDEX(ActiveDistricts!$A$2:$J$326,MATCH(Calculation!$A83,ActiveDistricts!$C$2:$C$326,0),6)</f>
        <v>1619</v>
      </c>
      <c r="C83" s="1" t="str">
        <f>INDEX(ActiveDistricts!$A$2:$J$326,MATCH(Calculation!$A83,ActiveDistricts!$C$2:$C$326,0),7)</f>
        <v>Davis County</v>
      </c>
      <c r="D83" s="14">
        <f>INDEX(StartupfileInput!$A$2:$I$326,MATCH(Calculation!$A83,StartupfileInput!$C$2:$C$326,0),8)</f>
        <v>1148.7</v>
      </c>
      <c r="E83" s="20">
        <f>INDEX(ActiveDistricts!$A$2:$J$326,MATCH(Calculation!$A83,ActiveDistricts!$C$2:$C$326,0),10)</f>
        <v>0.47286821705426357</v>
      </c>
      <c r="F83" s="8">
        <f t="shared" si="9"/>
        <v>3.4870000000000001</v>
      </c>
      <c r="G83" s="8">
        <f t="shared" si="10"/>
        <v>2.343</v>
      </c>
      <c r="H83" s="8">
        <f t="shared" si="7"/>
        <v>5.83</v>
      </c>
      <c r="I83">
        <f>INDEX(StartupfileInput!$A$2:$I$326,MATCH(Calculation!$A83,StartupfileInput!$C$2:$C$326,0),9)</f>
        <v>7413</v>
      </c>
      <c r="J83" s="106">
        <f t="shared" si="11"/>
        <v>7635</v>
      </c>
      <c r="K83" s="9">
        <f t="shared" si="8"/>
        <v>26623</v>
      </c>
      <c r="L83" s="9">
        <f t="shared" si="12"/>
        <v>17889</v>
      </c>
      <c r="M83" s="9">
        <f t="shared" si="13"/>
        <v>44512</v>
      </c>
    </row>
    <row r="84" spans="1:13" ht="12.75" x14ac:dyDescent="0.2">
      <c r="A84" s="26" t="str">
        <f>StartupfileInput!C82</f>
        <v>1638</v>
      </c>
      <c r="B84" s="1" t="str">
        <f>INDEX(ActiveDistricts!$A$2:$J$326,MATCH(Calculation!$A84,ActiveDistricts!$C$2:$C$326,0),6)</f>
        <v>1638</v>
      </c>
      <c r="C84" s="1" t="str">
        <f>INDEX(ActiveDistricts!$A$2:$J$326,MATCH(Calculation!$A84,ActiveDistricts!$C$2:$C$326,0),7)</f>
        <v>Decorah</v>
      </c>
      <c r="D84" s="14">
        <f>INDEX(StartupfileInput!$A$2:$I$326,MATCH(Calculation!$A84,StartupfileInput!$C$2:$C$326,0),8)</f>
        <v>1522.6</v>
      </c>
      <c r="E84" s="20">
        <f>INDEX(ActiveDistricts!$A$2:$J$326,MATCH(Calculation!$A84,ActiveDistricts!$C$2:$C$326,0),10)</f>
        <v>0.28870967741935483</v>
      </c>
      <c r="F84" s="8">
        <f t="shared" si="9"/>
        <v>2.8220000000000001</v>
      </c>
      <c r="G84" s="8">
        <f t="shared" si="10"/>
        <v>3.1059999999999999</v>
      </c>
      <c r="H84" s="8">
        <f t="shared" si="7"/>
        <v>5.9279999999999999</v>
      </c>
      <c r="I84">
        <f>INDEX(StartupfileInput!$A$2:$I$326,MATCH(Calculation!$A84,StartupfileInput!$C$2:$C$326,0),9)</f>
        <v>7413</v>
      </c>
      <c r="J84" s="106">
        <f t="shared" si="11"/>
        <v>7635</v>
      </c>
      <c r="K84" s="9">
        <f t="shared" si="8"/>
        <v>21546</v>
      </c>
      <c r="L84" s="9">
        <f t="shared" si="12"/>
        <v>23714</v>
      </c>
      <c r="M84" s="9">
        <f t="shared" si="13"/>
        <v>45260</v>
      </c>
    </row>
    <row r="85" spans="1:13" ht="12.75" x14ac:dyDescent="0.2">
      <c r="A85" s="26" t="str">
        <f>StartupfileInput!C83</f>
        <v>1675</v>
      </c>
      <c r="B85" s="1" t="str">
        <f>INDEX(ActiveDistricts!$A$2:$J$326,MATCH(Calculation!$A85,ActiveDistricts!$C$2:$C$326,0),6)</f>
        <v>1675</v>
      </c>
      <c r="C85" s="1" t="str">
        <f>INDEX(ActiveDistricts!$A$2:$J$326,MATCH(Calculation!$A85,ActiveDistricts!$C$2:$C$326,0),7)</f>
        <v>Delwood</v>
      </c>
      <c r="D85" s="14">
        <f>INDEX(StartupfileInput!$A$2:$I$326,MATCH(Calculation!$A85,StartupfileInput!$C$2:$C$326,0),8)</f>
        <v>200</v>
      </c>
      <c r="E85" s="20">
        <f>INDEX(ActiveDistricts!$A$2:$J$326,MATCH(Calculation!$A85,ActiveDistricts!$C$2:$C$326,0),10)</f>
        <v>0.39090909090909093</v>
      </c>
      <c r="F85" s="8">
        <f t="shared" si="9"/>
        <v>0.502</v>
      </c>
      <c r="G85" s="8">
        <f t="shared" si="10"/>
        <v>0.40799999999999997</v>
      </c>
      <c r="H85" s="8">
        <f t="shared" si="7"/>
        <v>0.90999999999999992</v>
      </c>
      <c r="I85">
        <f>INDEX(StartupfileInput!$A$2:$I$326,MATCH(Calculation!$A85,StartupfileInput!$C$2:$C$326,0),9)</f>
        <v>7553</v>
      </c>
      <c r="J85" s="106">
        <f t="shared" si="11"/>
        <v>7775</v>
      </c>
      <c r="K85" s="9">
        <f t="shared" si="8"/>
        <v>3903</v>
      </c>
      <c r="L85" s="9">
        <f t="shared" si="12"/>
        <v>3172</v>
      </c>
      <c r="M85" s="9">
        <f t="shared" si="13"/>
        <v>7075</v>
      </c>
    </row>
    <row r="86" spans="1:13" ht="12.75" x14ac:dyDescent="0.2">
      <c r="A86" s="26" t="str">
        <f>StartupfileInput!C84</f>
        <v>1701</v>
      </c>
      <c r="B86" s="1" t="str">
        <f>INDEX(ActiveDistricts!$A$2:$J$326,MATCH(Calculation!$A86,ActiveDistricts!$C$2:$C$326,0),6)</f>
        <v>1701</v>
      </c>
      <c r="C86" s="1" t="str">
        <f>INDEX(ActiveDistricts!$A$2:$J$326,MATCH(Calculation!$A86,ActiveDistricts!$C$2:$C$326,0),7)</f>
        <v>Denison</v>
      </c>
      <c r="D86" s="14">
        <f>INDEX(StartupfileInput!$A$2:$I$326,MATCH(Calculation!$A86,StartupfileInput!$C$2:$C$326,0),8)</f>
        <v>2026.3</v>
      </c>
      <c r="E86" s="20">
        <f>INDEX(ActiveDistricts!$A$2:$J$326,MATCH(Calculation!$A86,ActiveDistricts!$C$2:$C$326,0),10)</f>
        <v>0.68278301886792447</v>
      </c>
      <c r="F86" s="8">
        <f t="shared" si="9"/>
        <v>8.8819999999999997</v>
      </c>
      <c r="G86" s="8">
        <f t="shared" si="10"/>
        <v>4.1340000000000003</v>
      </c>
      <c r="H86" s="8">
        <f t="shared" si="7"/>
        <v>13.016</v>
      </c>
      <c r="I86">
        <f>INDEX(StartupfileInput!$A$2:$I$326,MATCH(Calculation!$A86,StartupfileInput!$C$2:$C$326,0),9)</f>
        <v>7413</v>
      </c>
      <c r="J86" s="106">
        <f t="shared" si="11"/>
        <v>7635</v>
      </c>
      <c r="K86" s="9">
        <f t="shared" si="8"/>
        <v>67814</v>
      </c>
      <c r="L86" s="9">
        <f t="shared" si="12"/>
        <v>31563</v>
      </c>
      <c r="M86" s="9">
        <f t="shared" si="13"/>
        <v>99377</v>
      </c>
    </row>
    <row r="87" spans="1:13" ht="12.75" x14ac:dyDescent="0.2">
      <c r="A87" s="26" t="str">
        <f>StartupfileInput!C85</f>
        <v>1719</v>
      </c>
      <c r="B87" s="1" t="str">
        <f>INDEX(ActiveDistricts!$A$2:$J$326,MATCH(Calculation!$A87,ActiveDistricts!$C$2:$C$326,0),6)</f>
        <v>1719</v>
      </c>
      <c r="C87" s="1" t="str">
        <f>INDEX(ActiveDistricts!$A$2:$J$326,MATCH(Calculation!$A87,ActiveDistricts!$C$2:$C$326,0),7)</f>
        <v>Denver</v>
      </c>
      <c r="D87" s="14">
        <f>INDEX(StartupfileInput!$A$2:$I$326,MATCH(Calculation!$A87,StartupfileInput!$C$2:$C$326,0),8)</f>
        <v>862.9</v>
      </c>
      <c r="E87" s="20">
        <f>INDEX(ActiveDistricts!$A$2:$J$326,MATCH(Calculation!$A87,ActiveDistricts!$C$2:$C$326,0),10)</f>
        <v>0.13822894168466524</v>
      </c>
      <c r="F87" s="8">
        <f t="shared" si="9"/>
        <v>0.76600000000000001</v>
      </c>
      <c r="G87" s="8">
        <f t="shared" si="10"/>
        <v>1.76</v>
      </c>
      <c r="H87" s="8">
        <f t="shared" si="7"/>
        <v>2.5259999999999998</v>
      </c>
      <c r="I87">
        <f>INDEX(StartupfileInput!$A$2:$I$326,MATCH(Calculation!$A87,StartupfileInput!$C$2:$C$326,0),9)</f>
        <v>7413</v>
      </c>
      <c r="J87" s="106">
        <f t="shared" si="11"/>
        <v>7635</v>
      </c>
      <c r="K87" s="9">
        <f t="shared" si="8"/>
        <v>5848</v>
      </c>
      <c r="L87" s="9">
        <f t="shared" si="12"/>
        <v>13438</v>
      </c>
      <c r="M87" s="9">
        <f t="shared" si="13"/>
        <v>19286</v>
      </c>
    </row>
    <row r="88" spans="1:13" ht="12.75" x14ac:dyDescent="0.2">
      <c r="A88" s="26" t="str">
        <f>StartupfileInput!C86</f>
        <v>1737</v>
      </c>
      <c r="B88" s="1" t="str">
        <f>INDEX(ActiveDistricts!$A$2:$J$326,MATCH(Calculation!$A88,ActiveDistricts!$C$2:$C$326,0),6)</f>
        <v>1737</v>
      </c>
      <c r="C88" s="1" t="str">
        <f>INDEX(ActiveDistricts!$A$2:$J$326,MATCH(Calculation!$A88,ActiveDistricts!$C$2:$C$326,0),7)</f>
        <v>Des Moines</v>
      </c>
      <c r="D88" s="14">
        <f>INDEX(StartupfileInput!$A$2:$I$326,MATCH(Calculation!$A88,StartupfileInput!$C$2:$C$326,0),8)</f>
        <v>30773.9</v>
      </c>
      <c r="E88" s="20">
        <f>INDEX(ActiveDistricts!$A$2:$J$326,MATCH(Calculation!$A88,ActiveDistricts!$C$2:$C$326,0),10)</f>
        <v>0.79303215926493109</v>
      </c>
      <c r="F88" s="8">
        <f t="shared" si="9"/>
        <v>156.678</v>
      </c>
      <c r="G88" s="8">
        <f t="shared" si="10"/>
        <v>62.779000000000003</v>
      </c>
      <c r="H88" s="8">
        <f t="shared" si="7"/>
        <v>219.45699999999999</v>
      </c>
      <c r="I88">
        <f>INDEX(StartupfileInput!$A$2:$I$326,MATCH(Calculation!$A88,StartupfileInput!$C$2:$C$326,0),9)</f>
        <v>7446</v>
      </c>
      <c r="J88" s="106">
        <f t="shared" si="11"/>
        <v>7668</v>
      </c>
      <c r="K88" s="9">
        <f t="shared" si="8"/>
        <v>1201407</v>
      </c>
      <c r="L88" s="9">
        <f t="shared" si="12"/>
        <v>481389</v>
      </c>
      <c r="M88" s="9">
        <f t="shared" si="13"/>
        <v>1682796</v>
      </c>
    </row>
    <row r="89" spans="1:13" ht="12.75" x14ac:dyDescent="0.2">
      <c r="A89" s="26" t="str">
        <f>StartupfileInput!C87</f>
        <v>1782</v>
      </c>
      <c r="B89" s="1" t="str">
        <f>INDEX(ActiveDistricts!$A$2:$J$326,MATCH(Calculation!$A89,ActiveDistricts!$C$2:$C$326,0),6)</f>
        <v>1782</v>
      </c>
      <c r="C89" s="1" t="str">
        <f>INDEX(ActiveDistricts!$A$2:$J$326,MATCH(Calculation!$A89,ActiveDistricts!$C$2:$C$326,0),7)</f>
        <v>Diagonal</v>
      </c>
      <c r="D89" s="14">
        <f>INDEX(StartupfileInput!$A$2:$I$326,MATCH(Calculation!$A89,StartupfileInput!$C$2:$C$326,0),8)</f>
        <v>112</v>
      </c>
      <c r="E89" s="20">
        <f>INDEX(ActiveDistricts!$A$2:$J$326,MATCH(Calculation!$A89,ActiveDistricts!$C$2:$C$326,0),10)</f>
        <v>0.46666666666666667</v>
      </c>
      <c r="F89" s="8">
        <f t="shared" si="9"/>
        <v>0.33600000000000002</v>
      </c>
      <c r="G89" s="8">
        <f t="shared" si="10"/>
        <v>0.22800000000000001</v>
      </c>
      <c r="H89" s="8">
        <f t="shared" si="7"/>
        <v>0.56400000000000006</v>
      </c>
      <c r="I89">
        <f>INDEX(StartupfileInput!$A$2:$I$326,MATCH(Calculation!$A89,StartupfileInput!$C$2:$C$326,0),9)</f>
        <v>7413</v>
      </c>
      <c r="J89" s="106">
        <f t="shared" si="11"/>
        <v>7635</v>
      </c>
      <c r="K89" s="9">
        <f t="shared" si="8"/>
        <v>2565</v>
      </c>
      <c r="L89" s="9">
        <f t="shared" si="12"/>
        <v>1741</v>
      </c>
      <c r="M89" s="9">
        <f t="shared" si="13"/>
        <v>4306</v>
      </c>
    </row>
    <row r="90" spans="1:13" ht="12.75" x14ac:dyDescent="0.2">
      <c r="A90" s="26" t="str">
        <f>StartupfileInput!C88</f>
        <v>1791</v>
      </c>
      <c r="B90" s="1" t="str">
        <f>INDEX(ActiveDistricts!$A$2:$J$326,MATCH(Calculation!$A90,ActiveDistricts!$C$2:$C$326,0),6)</f>
        <v>1791</v>
      </c>
      <c r="C90" s="1" t="str">
        <f>INDEX(ActiveDistricts!$A$2:$J$326,MATCH(Calculation!$A90,ActiveDistricts!$C$2:$C$326,0),7)</f>
        <v>Dike-New Hartford</v>
      </c>
      <c r="D90" s="14">
        <f>INDEX(StartupfileInput!$A$2:$I$326,MATCH(Calculation!$A90,StartupfileInput!$C$2:$C$326,0),8)</f>
        <v>876.2</v>
      </c>
      <c r="E90" s="20">
        <f>INDEX(ActiveDistricts!$A$2:$J$326,MATCH(Calculation!$A90,ActiveDistricts!$C$2:$C$326,0),10)</f>
        <v>0.17804878048780487</v>
      </c>
      <c r="F90" s="8">
        <f t="shared" si="9"/>
        <v>1.002</v>
      </c>
      <c r="G90" s="8">
        <f t="shared" si="10"/>
        <v>1.7869999999999999</v>
      </c>
      <c r="H90" s="8">
        <f t="shared" si="7"/>
        <v>2.7889999999999997</v>
      </c>
      <c r="I90">
        <f>INDEX(StartupfileInput!$A$2:$I$326,MATCH(Calculation!$A90,StartupfileInput!$C$2:$C$326,0),9)</f>
        <v>7413</v>
      </c>
      <c r="J90" s="106">
        <f t="shared" si="11"/>
        <v>7635</v>
      </c>
      <c r="K90" s="9">
        <f t="shared" si="8"/>
        <v>7650</v>
      </c>
      <c r="L90" s="9">
        <f t="shared" si="12"/>
        <v>13644</v>
      </c>
      <c r="M90" s="9">
        <f t="shared" si="13"/>
        <v>21294</v>
      </c>
    </row>
    <row r="91" spans="1:13" ht="12.75" x14ac:dyDescent="0.2">
      <c r="A91" s="26" t="str">
        <f>StartupfileInput!C89</f>
        <v>1863</v>
      </c>
      <c r="B91" s="1" t="str">
        <f>INDEX(ActiveDistricts!$A$2:$J$326,MATCH(Calculation!$A91,ActiveDistricts!$C$2:$C$326,0),6)</f>
        <v>1863</v>
      </c>
      <c r="C91" s="1" t="str">
        <f>INDEX(ActiveDistricts!$A$2:$J$326,MATCH(Calculation!$A91,ActiveDistricts!$C$2:$C$326,0),7)</f>
        <v>Dubuque</v>
      </c>
      <c r="D91" s="14">
        <f>INDEX(StartupfileInput!$A$2:$I$326,MATCH(Calculation!$A91,StartupfileInput!$C$2:$C$326,0),8)</f>
        <v>10064.1</v>
      </c>
      <c r="E91" s="20">
        <f>INDEX(ActiveDistricts!$A$2:$J$326,MATCH(Calculation!$A91,ActiveDistricts!$C$2:$C$326,0),10)</f>
        <v>0.44208361891706649</v>
      </c>
      <c r="F91" s="8">
        <f t="shared" si="9"/>
        <v>28.564</v>
      </c>
      <c r="G91" s="8">
        <f t="shared" si="10"/>
        <v>20.530999999999999</v>
      </c>
      <c r="H91" s="8">
        <f t="shared" si="7"/>
        <v>49.094999999999999</v>
      </c>
      <c r="I91">
        <f>INDEX(StartupfileInput!$A$2:$I$326,MATCH(Calculation!$A91,StartupfileInput!$C$2:$C$326,0),9)</f>
        <v>7413</v>
      </c>
      <c r="J91" s="106">
        <f t="shared" si="11"/>
        <v>7635</v>
      </c>
      <c r="K91" s="9">
        <f t="shared" si="8"/>
        <v>218086</v>
      </c>
      <c r="L91" s="9">
        <f t="shared" si="12"/>
        <v>156754</v>
      </c>
      <c r="M91" s="9">
        <f t="shared" si="13"/>
        <v>374840</v>
      </c>
    </row>
    <row r="92" spans="1:13" ht="12.75" x14ac:dyDescent="0.2">
      <c r="A92" s="26" t="str">
        <f>StartupfileInput!C90</f>
        <v>1908</v>
      </c>
      <c r="B92" s="1" t="str">
        <f>INDEX(ActiveDistricts!$A$2:$J$326,MATCH(Calculation!$A92,ActiveDistricts!$C$2:$C$326,0),6)</f>
        <v>1908</v>
      </c>
      <c r="C92" s="1" t="str">
        <f>INDEX(ActiveDistricts!$A$2:$J$326,MATCH(Calculation!$A92,ActiveDistricts!$C$2:$C$326,0),7)</f>
        <v>Dunkerton</v>
      </c>
      <c r="D92" s="14">
        <f>INDEX(StartupfileInput!$A$2:$I$326,MATCH(Calculation!$A92,StartupfileInput!$C$2:$C$326,0),8)</f>
        <v>366.1</v>
      </c>
      <c r="E92" s="20">
        <f>INDEX(ActiveDistricts!$A$2:$J$326,MATCH(Calculation!$A92,ActiveDistricts!$C$2:$C$326,0),10)</f>
        <v>0.47435897435897434</v>
      </c>
      <c r="F92" s="8">
        <f t="shared" si="9"/>
        <v>1.115</v>
      </c>
      <c r="G92" s="8">
        <f t="shared" si="10"/>
        <v>0.747</v>
      </c>
      <c r="H92" s="8">
        <f t="shared" si="7"/>
        <v>1.8620000000000001</v>
      </c>
      <c r="I92">
        <f>INDEX(StartupfileInput!$A$2:$I$326,MATCH(Calculation!$A92,StartupfileInput!$C$2:$C$326,0),9)</f>
        <v>7413</v>
      </c>
      <c r="J92" s="106">
        <f t="shared" si="11"/>
        <v>7635</v>
      </c>
      <c r="K92" s="9">
        <f t="shared" si="8"/>
        <v>8513</v>
      </c>
      <c r="L92" s="9">
        <f t="shared" si="12"/>
        <v>5703</v>
      </c>
      <c r="M92" s="9">
        <f t="shared" si="13"/>
        <v>14216</v>
      </c>
    </row>
    <row r="93" spans="1:13" ht="12.75" x14ac:dyDescent="0.2">
      <c r="A93" s="26" t="str">
        <f>StartupfileInput!C91</f>
        <v>1926</v>
      </c>
      <c r="B93" s="1" t="str">
        <f>INDEX(ActiveDistricts!$A$2:$J$326,MATCH(Calculation!$A93,ActiveDistricts!$C$2:$C$326,0),6)</f>
        <v>1926</v>
      </c>
      <c r="C93" s="1" t="str">
        <f>INDEX(ActiveDistricts!$A$2:$J$326,MATCH(Calculation!$A93,ActiveDistricts!$C$2:$C$326,0),7)</f>
        <v>Durant</v>
      </c>
      <c r="D93" s="14">
        <f>INDEX(StartupfileInput!$A$2:$I$326,MATCH(Calculation!$A93,StartupfileInput!$C$2:$C$326,0),8)</f>
        <v>503.5</v>
      </c>
      <c r="E93" s="20">
        <f>INDEX(ActiveDistricts!$A$2:$J$326,MATCH(Calculation!$A93,ActiveDistricts!$C$2:$C$326,0),10)</f>
        <v>0.30916030534351147</v>
      </c>
      <c r="F93" s="8">
        <f t="shared" si="9"/>
        <v>0.999</v>
      </c>
      <c r="G93" s="8">
        <f t="shared" si="10"/>
        <v>1.0269999999999999</v>
      </c>
      <c r="H93" s="8">
        <f t="shared" si="7"/>
        <v>2.0259999999999998</v>
      </c>
      <c r="I93">
        <f>INDEX(StartupfileInput!$A$2:$I$326,MATCH(Calculation!$A93,StartupfileInput!$C$2:$C$326,0),9)</f>
        <v>7424</v>
      </c>
      <c r="J93" s="106">
        <f t="shared" si="11"/>
        <v>7646</v>
      </c>
      <c r="K93" s="9">
        <f t="shared" si="8"/>
        <v>7638</v>
      </c>
      <c r="L93" s="9">
        <f t="shared" si="12"/>
        <v>7853</v>
      </c>
      <c r="M93" s="9">
        <f t="shared" si="13"/>
        <v>15491</v>
      </c>
    </row>
    <row r="94" spans="1:13" ht="12.75" x14ac:dyDescent="0.2">
      <c r="A94" s="26" t="str">
        <f>StartupfileInput!C92</f>
        <v>1944</v>
      </c>
      <c r="B94" s="1" t="str">
        <f>INDEX(ActiveDistricts!$A$2:$J$326,MATCH(Calculation!$A94,ActiveDistricts!$C$2:$C$326,0),6)</f>
        <v>1944</v>
      </c>
      <c r="C94" s="1" t="str">
        <f>INDEX(ActiveDistricts!$A$2:$J$326,MATCH(Calculation!$A94,ActiveDistricts!$C$2:$C$326,0),7)</f>
        <v>Eagle Grove</v>
      </c>
      <c r="D94" s="14">
        <f>INDEX(StartupfileInput!$A$2:$I$326,MATCH(Calculation!$A94,StartupfileInput!$C$2:$C$326,0),8)</f>
        <v>952</v>
      </c>
      <c r="E94" s="20">
        <f>INDEX(ActiveDistricts!$A$2:$J$326,MATCH(Calculation!$A94,ActiveDistricts!$C$2:$C$326,0),10)</f>
        <v>0.70217917675544794</v>
      </c>
      <c r="F94" s="8">
        <f t="shared" si="9"/>
        <v>4.2919999999999998</v>
      </c>
      <c r="G94" s="8">
        <f t="shared" si="10"/>
        <v>1.9419999999999999</v>
      </c>
      <c r="H94" s="8">
        <f t="shared" si="7"/>
        <v>6.234</v>
      </c>
      <c r="I94">
        <f>INDEX(StartupfileInput!$A$2:$I$326,MATCH(Calculation!$A94,StartupfileInput!$C$2:$C$326,0),9)</f>
        <v>7496</v>
      </c>
      <c r="J94" s="106">
        <f t="shared" si="11"/>
        <v>7718</v>
      </c>
      <c r="K94" s="9">
        <f t="shared" si="8"/>
        <v>33126</v>
      </c>
      <c r="L94" s="9">
        <f t="shared" si="12"/>
        <v>14988</v>
      </c>
      <c r="M94" s="9">
        <f t="shared" si="13"/>
        <v>48114</v>
      </c>
    </row>
    <row r="95" spans="1:13" ht="12.75" x14ac:dyDescent="0.2">
      <c r="A95" s="26" t="str">
        <f>StartupfileInput!C93</f>
        <v>1953</v>
      </c>
      <c r="B95" s="1" t="str">
        <f>INDEX(ActiveDistricts!$A$2:$J$326,MATCH(Calculation!$A95,ActiveDistricts!$C$2:$C$326,0),6)</f>
        <v>1953</v>
      </c>
      <c r="C95" s="1" t="str">
        <f>INDEX(ActiveDistricts!$A$2:$J$326,MATCH(Calculation!$A95,ActiveDistricts!$C$2:$C$326,0),7)</f>
        <v>Earlham</v>
      </c>
      <c r="D95" s="14">
        <f>INDEX(StartupfileInput!$A$2:$I$326,MATCH(Calculation!$A95,StartupfileInput!$C$2:$C$326,0),8)</f>
        <v>562.29999999999995</v>
      </c>
      <c r="E95" s="20">
        <f>INDEX(ActiveDistricts!$A$2:$J$326,MATCH(Calculation!$A95,ActiveDistricts!$C$2:$C$326,0),10)</f>
        <v>0.24087591240875914</v>
      </c>
      <c r="F95" s="8">
        <f t="shared" si="9"/>
        <v>0.87</v>
      </c>
      <c r="G95" s="8">
        <f t="shared" si="10"/>
        <v>1.147</v>
      </c>
      <c r="H95" s="8">
        <f t="shared" si="7"/>
        <v>2.0169999999999999</v>
      </c>
      <c r="I95">
        <f>INDEX(StartupfileInput!$A$2:$I$326,MATCH(Calculation!$A95,StartupfileInput!$C$2:$C$326,0),9)</f>
        <v>7413</v>
      </c>
      <c r="J95" s="106">
        <f t="shared" si="11"/>
        <v>7635</v>
      </c>
      <c r="K95" s="9">
        <f t="shared" si="8"/>
        <v>6642</v>
      </c>
      <c r="L95" s="9">
        <f t="shared" si="12"/>
        <v>8758</v>
      </c>
      <c r="M95" s="9">
        <f t="shared" si="13"/>
        <v>15400</v>
      </c>
    </row>
    <row r="96" spans="1:13" ht="12.75" x14ac:dyDescent="0.2">
      <c r="A96" s="26" t="str">
        <f>StartupfileInput!C94</f>
        <v>1963</v>
      </c>
      <c r="B96" s="1" t="str">
        <f>INDEX(ActiveDistricts!$A$2:$J$326,MATCH(Calculation!$A96,ActiveDistricts!$C$2:$C$326,0),6)</f>
        <v>1963</v>
      </c>
      <c r="C96" s="1" t="str">
        <f>INDEX(ActiveDistricts!$A$2:$J$326,MATCH(Calculation!$A96,ActiveDistricts!$C$2:$C$326,0),7)</f>
        <v>East Buchanan</v>
      </c>
      <c r="D96" s="14">
        <f>INDEX(StartupfileInput!$A$2:$I$326,MATCH(Calculation!$A96,StartupfileInput!$C$2:$C$326,0),8)</f>
        <v>541.9</v>
      </c>
      <c r="E96" s="20">
        <f>INDEX(ActiveDistricts!$A$2:$J$326,MATCH(Calculation!$A96,ActiveDistricts!$C$2:$C$326,0),10)</f>
        <v>0.29385964912280704</v>
      </c>
      <c r="F96" s="8">
        <f t="shared" si="9"/>
        <v>1.022</v>
      </c>
      <c r="G96" s="8">
        <f t="shared" si="10"/>
        <v>1.105</v>
      </c>
      <c r="H96" s="8">
        <f t="shared" si="7"/>
        <v>2.1269999999999998</v>
      </c>
      <c r="I96">
        <f>INDEX(StartupfileInput!$A$2:$I$326,MATCH(Calculation!$A96,StartupfileInput!$C$2:$C$326,0),9)</f>
        <v>7413</v>
      </c>
      <c r="J96" s="106">
        <f t="shared" si="11"/>
        <v>7635</v>
      </c>
      <c r="K96" s="9">
        <f t="shared" si="8"/>
        <v>7803</v>
      </c>
      <c r="L96" s="9">
        <f t="shared" si="12"/>
        <v>8437</v>
      </c>
      <c r="M96" s="9">
        <f t="shared" si="13"/>
        <v>16240</v>
      </c>
    </row>
    <row r="97" spans="1:13" ht="12.75" x14ac:dyDescent="0.2">
      <c r="A97" s="26" t="str">
        <f>StartupfileInput!C95</f>
        <v>3582</v>
      </c>
      <c r="B97" s="1" t="str">
        <f>INDEX(ActiveDistricts!$A$2:$J$326,MATCH(Calculation!$A97,ActiveDistricts!$C$2:$C$326,0),6)</f>
        <v>1968</v>
      </c>
      <c r="C97" s="1" t="str">
        <f>INDEX(ActiveDistricts!$A$2:$J$326,MATCH(Calculation!$A97,ActiveDistricts!$C$2:$C$326,0),7)</f>
        <v>East Marshall</v>
      </c>
      <c r="D97" s="14">
        <f>INDEX(StartupfileInput!$A$2:$I$326,MATCH(Calculation!$A97,StartupfileInput!$C$2:$C$326,0),8)</f>
        <v>525.20000000000005</v>
      </c>
      <c r="E97" s="20">
        <f>INDEX(ActiveDistricts!$A$2:$J$326,MATCH(Calculation!$A97,ActiveDistricts!$C$2:$C$326,0),10)</f>
        <v>0.41463414634146339</v>
      </c>
      <c r="F97" s="8">
        <f t="shared" si="9"/>
        <v>1.3979999999999999</v>
      </c>
      <c r="G97" s="8">
        <f t="shared" si="10"/>
        <v>1.071</v>
      </c>
      <c r="H97" s="8">
        <f t="shared" si="7"/>
        <v>2.4689999999999999</v>
      </c>
      <c r="I97">
        <f>INDEX(StartupfileInput!$A$2:$I$326,MATCH(Calculation!$A97,StartupfileInput!$C$2:$C$326,0),9)</f>
        <v>7462</v>
      </c>
      <c r="J97" s="106">
        <f t="shared" si="11"/>
        <v>7684</v>
      </c>
      <c r="K97" s="9">
        <f t="shared" si="8"/>
        <v>10742</v>
      </c>
      <c r="L97" s="9">
        <f t="shared" si="12"/>
        <v>8230</v>
      </c>
      <c r="M97" s="9">
        <f t="shared" si="13"/>
        <v>18972</v>
      </c>
    </row>
    <row r="98" spans="1:13" ht="12.75" x14ac:dyDescent="0.2">
      <c r="A98" s="26" t="str">
        <f>StartupfileInput!C96</f>
        <v>3978</v>
      </c>
      <c r="B98" s="1" t="str">
        <f>INDEX(ActiveDistricts!$A$2:$J$326,MATCH(Calculation!$A98,ActiveDistricts!$C$2:$C$326,0),6)</f>
        <v>3978</v>
      </c>
      <c r="C98" s="1" t="str">
        <f>INDEX(ActiveDistricts!$A$2:$J$326,MATCH(Calculation!$A98,ActiveDistricts!$C$2:$C$326,0),7)</f>
        <v>East Mills</v>
      </c>
      <c r="D98" s="14">
        <f>INDEX(StartupfileInput!$A$2:$I$326,MATCH(Calculation!$A98,StartupfileInput!$C$2:$C$326,0),8)</f>
        <v>528.5</v>
      </c>
      <c r="E98" s="20">
        <f>INDEX(ActiveDistricts!$A$2:$J$326,MATCH(Calculation!$A98,ActiveDistricts!$C$2:$C$326,0),10)</f>
        <v>0.5112359550561798</v>
      </c>
      <c r="F98" s="8">
        <f t="shared" si="9"/>
        <v>1.7350000000000001</v>
      </c>
      <c r="G98" s="8">
        <f t="shared" si="10"/>
        <v>1.0780000000000001</v>
      </c>
      <c r="H98" s="8">
        <f t="shared" si="7"/>
        <v>2.8130000000000002</v>
      </c>
      <c r="I98">
        <f>INDEX(StartupfileInput!$A$2:$I$326,MATCH(Calculation!$A98,StartupfileInput!$C$2:$C$326,0),9)</f>
        <v>7442</v>
      </c>
      <c r="J98" s="106">
        <f t="shared" si="11"/>
        <v>7664</v>
      </c>
      <c r="K98" s="9">
        <f t="shared" si="8"/>
        <v>13297</v>
      </c>
      <c r="L98" s="9">
        <f t="shared" si="12"/>
        <v>8262</v>
      </c>
      <c r="M98" s="9">
        <f t="shared" si="13"/>
        <v>21559</v>
      </c>
    </row>
    <row r="99" spans="1:13" ht="12.75" x14ac:dyDescent="0.2">
      <c r="A99" s="26" t="str">
        <f>StartupfileInput!C97</f>
        <v>6741</v>
      </c>
      <c r="B99" s="1" t="str">
        <f>INDEX(ActiveDistricts!$A$2:$J$326,MATCH(Calculation!$A99,ActiveDistricts!$C$2:$C$326,0),6)</f>
        <v>6741</v>
      </c>
      <c r="C99" s="1" t="str">
        <f>INDEX(ActiveDistricts!$A$2:$J$326,MATCH(Calculation!$A99,ActiveDistricts!$C$2:$C$326,0),7)</f>
        <v>East Sac County</v>
      </c>
      <c r="D99" s="14">
        <f>INDEX(StartupfileInput!$A$2:$I$326,MATCH(Calculation!$A99,StartupfileInput!$C$2:$C$326,0),8)</f>
        <v>835.5</v>
      </c>
      <c r="E99" s="20">
        <f>INDEX(ActiveDistricts!$A$2:$J$326,MATCH(Calculation!$A99,ActiveDistricts!$C$2:$C$326,0),10)</f>
        <v>0.40061162079510704</v>
      </c>
      <c r="F99" s="8">
        <f t="shared" si="9"/>
        <v>2.149</v>
      </c>
      <c r="G99" s="8">
        <f t="shared" si="10"/>
        <v>1.704</v>
      </c>
      <c r="H99" s="8">
        <f t="shared" si="7"/>
        <v>3.8529999999999998</v>
      </c>
      <c r="I99">
        <f>INDEX(StartupfileInput!$A$2:$I$326,MATCH(Calculation!$A99,StartupfileInput!$C$2:$C$326,0),9)</f>
        <v>7413</v>
      </c>
      <c r="J99" s="106">
        <f t="shared" si="11"/>
        <v>7635</v>
      </c>
      <c r="K99" s="9">
        <f t="shared" si="8"/>
        <v>16408</v>
      </c>
      <c r="L99" s="9">
        <f t="shared" si="12"/>
        <v>13010</v>
      </c>
      <c r="M99" s="9">
        <f t="shared" si="13"/>
        <v>29418</v>
      </c>
    </row>
    <row r="100" spans="1:13" ht="12.75" x14ac:dyDescent="0.2">
      <c r="A100" s="26" t="str">
        <f>StartupfileInput!C98</f>
        <v>1970</v>
      </c>
      <c r="B100" s="1" t="str">
        <f>INDEX(ActiveDistricts!$A$2:$J$326,MATCH(Calculation!$A100,ActiveDistricts!$C$2:$C$326,0),6)</f>
        <v>1970</v>
      </c>
      <c r="C100" s="1" t="str">
        <f>INDEX(ActiveDistricts!$A$2:$J$326,MATCH(Calculation!$A100,ActiveDistricts!$C$2:$C$326,0),7)</f>
        <v>East Union</v>
      </c>
      <c r="D100" s="14">
        <f>INDEX(StartupfileInput!$A$2:$I$326,MATCH(Calculation!$A100,StartupfileInput!$C$2:$C$326,0),8)</f>
        <v>472.5</v>
      </c>
      <c r="E100" s="20">
        <f>INDEX(ActiveDistricts!$A$2:$J$326,MATCH(Calculation!$A100,ActiveDistricts!$C$2:$C$326,0),10)</f>
        <v>0.62019230769230771</v>
      </c>
      <c r="F100" s="8">
        <f t="shared" si="9"/>
        <v>1.881</v>
      </c>
      <c r="G100" s="8">
        <f t="shared" si="10"/>
        <v>0.96399999999999997</v>
      </c>
      <c r="H100" s="8">
        <f t="shared" si="7"/>
        <v>2.8449999999999998</v>
      </c>
      <c r="I100">
        <f>INDEX(StartupfileInput!$A$2:$I$326,MATCH(Calculation!$A100,StartupfileInput!$C$2:$C$326,0),9)</f>
        <v>7413</v>
      </c>
      <c r="J100" s="106">
        <f t="shared" si="11"/>
        <v>7635</v>
      </c>
      <c r="K100" s="9">
        <f t="shared" si="8"/>
        <v>14361</v>
      </c>
      <c r="L100" s="9">
        <f t="shared" si="12"/>
        <v>7361</v>
      </c>
      <c r="M100" s="9">
        <f t="shared" si="13"/>
        <v>21722</v>
      </c>
    </row>
    <row r="101" spans="1:13" ht="12.75" x14ac:dyDescent="0.2">
      <c r="A101" s="26" t="str">
        <f>StartupfileInput!C99</f>
        <v>1972</v>
      </c>
      <c r="B101" s="1" t="str">
        <f>INDEX(ActiveDistricts!$A$2:$J$326,MATCH(Calculation!$A101,ActiveDistricts!$C$2:$C$326,0),6)</f>
        <v>1972</v>
      </c>
      <c r="C101" s="1" t="str">
        <f>INDEX(ActiveDistricts!$A$2:$J$326,MATCH(Calculation!$A101,ActiveDistricts!$C$2:$C$326,0),7)</f>
        <v>Eastern Allamakee</v>
      </c>
      <c r="D101" s="14">
        <f>INDEX(StartupfileInput!$A$2:$I$326,MATCH(Calculation!$A101,StartupfileInput!$C$2:$C$326,0),8)</f>
        <v>331.3</v>
      </c>
      <c r="E101" s="20">
        <f>INDEX(ActiveDistricts!$A$2:$J$326,MATCH(Calculation!$A101,ActiveDistricts!$C$2:$C$326,0),10)</f>
        <v>0.49295774647887325</v>
      </c>
      <c r="F101" s="8">
        <f t="shared" si="9"/>
        <v>1.048</v>
      </c>
      <c r="G101" s="8">
        <f t="shared" si="10"/>
        <v>0.67600000000000005</v>
      </c>
      <c r="H101" s="8">
        <f t="shared" si="7"/>
        <v>1.7240000000000002</v>
      </c>
      <c r="I101">
        <f>INDEX(StartupfileInput!$A$2:$I$326,MATCH(Calculation!$A101,StartupfileInput!$C$2:$C$326,0),9)</f>
        <v>7413</v>
      </c>
      <c r="J101" s="106">
        <f t="shared" si="11"/>
        <v>7635</v>
      </c>
      <c r="K101" s="9">
        <f t="shared" si="8"/>
        <v>8001</v>
      </c>
      <c r="L101" s="9">
        <f t="shared" si="12"/>
        <v>5162</v>
      </c>
      <c r="M101" s="9">
        <f t="shared" si="13"/>
        <v>13163</v>
      </c>
    </row>
    <row r="102" spans="1:13" ht="12.75" x14ac:dyDescent="0.2">
      <c r="A102" s="26" t="str">
        <f>StartupfileInput!C100</f>
        <v>1965</v>
      </c>
      <c r="B102" s="1" t="str">
        <f>INDEX(ActiveDistricts!$A$2:$J$326,MATCH(Calculation!$A102,ActiveDistricts!$C$2:$C$326,0),6)</f>
        <v>1965</v>
      </c>
      <c r="C102" s="1" t="str">
        <f>INDEX(ActiveDistricts!$A$2:$J$326,MATCH(Calculation!$A102,ActiveDistricts!$C$2:$C$326,0),7)</f>
        <v>Easton Valley</v>
      </c>
      <c r="D102" s="14">
        <f>INDEX(StartupfileInput!$A$2:$I$326,MATCH(Calculation!$A102,StartupfileInput!$C$2:$C$326,0),8)</f>
        <v>549.6</v>
      </c>
      <c r="E102" s="20">
        <f>INDEX(ActiveDistricts!$A$2:$J$326,MATCH(Calculation!$A102,ActiveDistricts!$C$2:$C$326,0),10)</f>
        <v>0.39069767441860465</v>
      </c>
      <c r="F102" s="8">
        <f t="shared" si="9"/>
        <v>1.379</v>
      </c>
      <c r="G102" s="8">
        <f t="shared" si="10"/>
        <v>1.121</v>
      </c>
      <c r="H102" s="8">
        <f t="shared" si="7"/>
        <v>2.5</v>
      </c>
      <c r="I102">
        <f>INDEX(StartupfileInput!$A$2:$I$326,MATCH(Calculation!$A102,StartupfileInput!$C$2:$C$326,0),9)</f>
        <v>7413</v>
      </c>
      <c r="J102" s="106">
        <f t="shared" si="11"/>
        <v>7635</v>
      </c>
      <c r="K102" s="9">
        <f t="shared" si="8"/>
        <v>10529</v>
      </c>
      <c r="L102" s="9">
        <f t="shared" si="12"/>
        <v>8559</v>
      </c>
      <c r="M102" s="9">
        <f t="shared" si="13"/>
        <v>19088</v>
      </c>
    </row>
    <row r="103" spans="1:13" ht="12.75" x14ac:dyDescent="0.2">
      <c r="A103" s="26" t="str">
        <f>StartupfileInput!C101</f>
        <v>0657</v>
      </c>
      <c r="B103" s="1" t="str">
        <f>INDEX(ActiveDistricts!$A$2:$J$326,MATCH(Calculation!$A103,ActiveDistricts!$C$2:$C$326,0),6)</f>
        <v>0657</v>
      </c>
      <c r="C103" s="1" t="str">
        <f>INDEX(ActiveDistricts!$A$2:$J$326,MATCH(Calculation!$A103,ActiveDistricts!$C$2:$C$326,0),7)</f>
        <v>Eddyville-Blakesburg-Fremont</v>
      </c>
      <c r="D103" s="14">
        <f>INDEX(StartupfileInput!$A$2:$I$326,MATCH(Calculation!$A103,StartupfileInput!$C$2:$C$326,0),8)</f>
        <v>835.6</v>
      </c>
      <c r="E103" s="20">
        <f>INDEX(ActiveDistricts!$A$2:$J$326,MATCH(Calculation!$A103,ActiveDistricts!$C$2:$C$326,0),10)</f>
        <v>0.38277511961722488</v>
      </c>
      <c r="F103" s="8">
        <f t="shared" si="9"/>
        <v>2.0529999999999999</v>
      </c>
      <c r="G103" s="8">
        <f t="shared" si="10"/>
        <v>1.7050000000000001</v>
      </c>
      <c r="H103" s="8">
        <f t="shared" si="7"/>
        <v>3.758</v>
      </c>
      <c r="I103">
        <f>INDEX(StartupfileInput!$A$2:$I$326,MATCH(Calculation!$A103,StartupfileInput!$C$2:$C$326,0),9)</f>
        <v>7413</v>
      </c>
      <c r="J103" s="106">
        <f t="shared" si="11"/>
        <v>7635</v>
      </c>
      <c r="K103" s="9">
        <f t="shared" si="8"/>
        <v>15675</v>
      </c>
      <c r="L103" s="9">
        <f t="shared" si="12"/>
        <v>13017</v>
      </c>
      <c r="M103" s="9">
        <f t="shared" si="13"/>
        <v>28692</v>
      </c>
    </row>
    <row r="104" spans="1:13" ht="12.75" x14ac:dyDescent="0.2">
      <c r="A104" s="26" t="str">
        <f>StartupfileInput!C102</f>
        <v>1989</v>
      </c>
      <c r="B104" s="1" t="str">
        <f>INDEX(ActiveDistricts!$A$2:$J$326,MATCH(Calculation!$A104,ActiveDistricts!$C$2:$C$326,0),6)</f>
        <v>1989</v>
      </c>
      <c r="C104" s="1" t="str">
        <f>INDEX(ActiveDistricts!$A$2:$J$326,MATCH(Calculation!$A104,ActiveDistricts!$C$2:$C$326,0),7)</f>
        <v>Edgewood-Colesburg</v>
      </c>
      <c r="D104" s="14">
        <f>INDEX(StartupfileInput!$A$2:$I$326,MATCH(Calculation!$A104,StartupfileInput!$C$2:$C$326,0),8)</f>
        <v>401</v>
      </c>
      <c r="E104" s="20">
        <f>INDEX(ActiveDistricts!$A$2:$J$326,MATCH(Calculation!$A104,ActiveDistricts!$C$2:$C$326,0),10)</f>
        <v>0.36123348017621143</v>
      </c>
      <c r="F104" s="8">
        <f t="shared" si="9"/>
        <v>0.93</v>
      </c>
      <c r="G104" s="8">
        <f t="shared" si="10"/>
        <v>0.81799999999999995</v>
      </c>
      <c r="H104" s="8">
        <f t="shared" si="7"/>
        <v>1.748</v>
      </c>
      <c r="I104">
        <f>INDEX(StartupfileInput!$A$2:$I$326,MATCH(Calculation!$A104,StartupfileInput!$C$2:$C$326,0),9)</f>
        <v>7413</v>
      </c>
      <c r="J104" s="106">
        <f t="shared" si="11"/>
        <v>7635</v>
      </c>
      <c r="K104" s="9">
        <f t="shared" si="8"/>
        <v>7101</v>
      </c>
      <c r="L104" s="9">
        <f t="shared" si="12"/>
        <v>6245</v>
      </c>
      <c r="M104" s="9">
        <f t="shared" si="13"/>
        <v>13346</v>
      </c>
    </row>
    <row r="105" spans="1:13" ht="12.75" x14ac:dyDescent="0.2">
      <c r="A105" s="26" t="str">
        <f>StartupfileInput!C103</f>
        <v>2007</v>
      </c>
      <c r="B105" s="1" t="str">
        <f>INDEX(ActiveDistricts!$A$2:$J$326,MATCH(Calculation!$A105,ActiveDistricts!$C$2:$C$326,0),6)</f>
        <v>2007</v>
      </c>
      <c r="C105" s="1" t="str">
        <f>INDEX(ActiveDistricts!$A$2:$J$326,MATCH(Calculation!$A105,ActiveDistricts!$C$2:$C$326,0),7)</f>
        <v>Eldora-New Providence</v>
      </c>
      <c r="D105" s="14">
        <f>INDEX(StartupfileInput!$A$2:$I$326,MATCH(Calculation!$A105,StartupfileInput!$C$2:$C$326,0),8)</f>
        <v>560.70000000000005</v>
      </c>
      <c r="E105" s="20">
        <f>INDEX(ActiveDistricts!$A$2:$J$326,MATCH(Calculation!$A105,ActiveDistricts!$C$2:$C$326,0),10)</f>
        <v>0.49009900990099009</v>
      </c>
      <c r="F105" s="8">
        <f t="shared" si="9"/>
        <v>1.764</v>
      </c>
      <c r="G105" s="8">
        <f t="shared" si="10"/>
        <v>1.1439999999999999</v>
      </c>
      <c r="H105" s="8">
        <f t="shared" si="7"/>
        <v>2.9079999999999999</v>
      </c>
      <c r="I105">
        <f>INDEX(StartupfileInput!$A$2:$I$326,MATCH(Calculation!$A105,StartupfileInput!$C$2:$C$326,0),9)</f>
        <v>7413</v>
      </c>
      <c r="J105" s="106">
        <f t="shared" si="11"/>
        <v>7635</v>
      </c>
      <c r="K105" s="9">
        <f t="shared" si="8"/>
        <v>13468</v>
      </c>
      <c r="L105" s="9">
        <f t="shared" si="12"/>
        <v>8735</v>
      </c>
      <c r="M105" s="9">
        <f t="shared" si="13"/>
        <v>22203</v>
      </c>
    </row>
    <row r="106" spans="1:13" ht="12.75" x14ac:dyDescent="0.2">
      <c r="A106" s="26" t="str">
        <f>StartupfileInput!C104</f>
        <v>2088</v>
      </c>
      <c r="B106" s="1" t="str">
        <f>INDEX(ActiveDistricts!$A$2:$J$326,MATCH(Calculation!$A106,ActiveDistricts!$C$2:$C$326,0),6)</f>
        <v>2088</v>
      </c>
      <c r="C106" s="1" t="str">
        <f>INDEX(ActiveDistricts!$A$2:$J$326,MATCH(Calculation!$A106,ActiveDistricts!$C$2:$C$326,0),7)</f>
        <v>Emmetsburg</v>
      </c>
      <c r="D106" s="14">
        <f>INDEX(StartupfileInput!$A$2:$I$326,MATCH(Calculation!$A106,StartupfileInput!$C$2:$C$326,0),8)</f>
        <v>665.2</v>
      </c>
      <c r="E106" s="20">
        <f>INDEX(ActiveDistricts!$A$2:$J$326,MATCH(Calculation!$A106,ActiveDistricts!$C$2:$C$326,0),10)</f>
        <v>0.40909090909090912</v>
      </c>
      <c r="F106" s="8">
        <f t="shared" si="9"/>
        <v>1.7470000000000001</v>
      </c>
      <c r="G106" s="8">
        <f t="shared" si="10"/>
        <v>1.357</v>
      </c>
      <c r="H106" s="8">
        <f t="shared" si="7"/>
        <v>3.1040000000000001</v>
      </c>
      <c r="I106">
        <f>INDEX(StartupfileInput!$A$2:$I$326,MATCH(Calculation!$A106,StartupfileInput!$C$2:$C$326,0),9)</f>
        <v>7501</v>
      </c>
      <c r="J106" s="106">
        <f t="shared" si="11"/>
        <v>7723</v>
      </c>
      <c r="K106" s="9">
        <f t="shared" si="8"/>
        <v>13492</v>
      </c>
      <c r="L106" s="9">
        <f t="shared" si="12"/>
        <v>10480</v>
      </c>
      <c r="M106" s="9">
        <f t="shared" si="13"/>
        <v>23972</v>
      </c>
    </row>
    <row r="107" spans="1:13" ht="12.75" x14ac:dyDescent="0.2">
      <c r="A107" s="26" t="str">
        <f>StartupfileInput!C105</f>
        <v>2097</v>
      </c>
      <c r="B107" s="1" t="str">
        <f>INDEX(ActiveDistricts!$A$2:$J$326,MATCH(Calculation!$A107,ActiveDistricts!$C$2:$C$326,0),6)</f>
        <v>2097</v>
      </c>
      <c r="C107" s="1" t="str">
        <f>INDEX(ActiveDistricts!$A$2:$J$326,MATCH(Calculation!$A107,ActiveDistricts!$C$2:$C$326,0),7)</f>
        <v>English Valleys</v>
      </c>
      <c r="D107" s="14">
        <f>INDEX(StartupfileInput!$A$2:$I$326,MATCH(Calculation!$A107,StartupfileInput!$C$2:$C$326,0),8)</f>
        <v>462</v>
      </c>
      <c r="E107" s="20">
        <f>INDEX(ActiveDistricts!$A$2:$J$326,MATCH(Calculation!$A107,ActiveDistricts!$C$2:$C$326,0),10)</f>
        <v>0.43023255813953487</v>
      </c>
      <c r="F107" s="8">
        <f t="shared" si="9"/>
        <v>1.276</v>
      </c>
      <c r="G107" s="8">
        <f t="shared" si="10"/>
        <v>0.94199999999999995</v>
      </c>
      <c r="H107" s="8">
        <f t="shared" si="7"/>
        <v>2.218</v>
      </c>
      <c r="I107">
        <f>INDEX(StartupfileInput!$A$2:$I$326,MATCH(Calculation!$A107,StartupfileInput!$C$2:$C$326,0),9)</f>
        <v>7451</v>
      </c>
      <c r="J107" s="106">
        <f t="shared" si="11"/>
        <v>7673</v>
      </c>
      <c r="K107" s="9">
        <f t="shared" si="8"/>
        <v>9791</v>
      </c>
      <c r="L107" s="9">
        <f t="shared" si="12"/>
        <v>7228</v>
      </c>
      <c r="M107" s="9">
        <f t="shared" si="13"/>
        <v>17019</v>
      </c>
    </row>
    <row r="108" spans="1:13" ht="12.75" x14ac:dyDescent="0.2">
      <c r="A108" s="26" t="str">
        <f>StartupfileInput!C106</f>
        <v>2113</v>
      </c>
      <c r="B108" s="1" t="str">
        <f>INDEX(ActiveDistricts!$A$2:$J$326,MATCH(Calculation!$A108,ActiveDistricts!$C$2:$C$326,0),6)</f>
        <v>2113</v>
      </c>
      <c r="C108" s="1" t="str">
        <f>INDEX(ActiveDistricts!$A$2:$J$326,MATCH(Calculation!$A108,ActiveDistricts!$C$2:$C$326,0),7)</f>
        <v>Essex</v>
      </c>
      <c r="D108" s="14">
        <f>INDEX(StartupfileInput!$A$2:$I$326,MATCH(Calculation!$A108,StartupfileInput!$C$2:$C$326,0),8)</f>
        <v>185.5</v>
      </c>
      <c r="E108" s="20">
        <f>INDEX(ActiveDistricts!$A$2:$J$326,MATCH(Calculation!$A108,ActiveDistricts!$C$2:$C$326,0),10)</f>
        <v>0.65625</v>
      </c>
      <c r="F108" s="8">
        <f t="shared" si="9"/>
        <v>0.78200000000000003</v>
      </c>
      <c r="G108" s="8">
        <f t="shared" si="10"/>
        <v>0.378</v>
      </c>
      <c r="H108" s="8">
        <f t="shared" si="7"/>
        <v>1.1600000000000001</v>
      </c>
      <c r="I108">
        <f>INDEX(StartupfileInput!$A$2:$I$326,MATCH(Calculation!$A108,StartupfileInput!$C$2:$C$326,0),9)</f>
        <v>7413</v>
      </c>
      <c r="J108" s="106">
        <f t="shared" si="11"/>
        <v>7635</v>
      </c>
      <c r="K108" s="9">
        <f t="shared" si="8"/>
        <v>5971</v>
      </c>
      <c r="L108" s="9">
        <f t="shared" si="12"/>
        <v>2886</v>
      </c>
      <c r="M108" s="9">
        <f t="shared" si="13"/>
        <v>8857</v>
      </c>
    </row>
    <row r="109" spans="1:13" ht="12.75" x14ac:dyDescent="0.2">
      <c r="A109" s="26" t="str">
        <f>StartupfileInput!C107</f>
        <v>2124</v>
      </c>
      <c r="B109" s="1" t="str">
        <f>INDEX(ActiveDistricts!$A$2:$J$326,MATCH(Calculation!$A109,ActiveDistricts!$C$2:$C$326,0),6)</f>
        <v>2124</v>
      </c>
      <c r="C109" s="1" t="str">
        <f>INDEX(ActiveDistricts!$A$2:$J$326,MATCH(Calculation!$A109,ActiveDistricts!$C$2:$C$326,0),7)</f>
        <v>Estherville-Lincoln Central</v>
      </c>
      <c r="D109" s="14">
        <f>INDEX(StartupfileInput!$A$2:$I$326,MATCH(Calculation!$A109,StartupfileInput!$C$2:$C$326,0),8)</f>
        <v>1202</v>
      </c>
      <c r="E109" s="20">
        <f>INDEX(ActiveDistricts!$A$2:$J$326,MATCH(Calculation!$A109,ActiveDistricts!$C$2:$C$326,0),10)</f>
        <v>0.56404958677685946</v>
      </c>
      <c r="F109" s="8">
        <f t="shared" si="9"/>
        <v>4.3529999999999998</v>
      </c>
      <c r="G109" s="8">
        <f t="shared" si="10"/>
        <v>2.452</v>
      </c>
      <c r="H109" s="8">
        <f t="shared" si="7"/>
        <v>6.8049999999999997</v>
      </c>
      <c r="I109">
        <f>INDEX(StartupfileInput!$A$2:$I$326,MATCH(Calculation!$A109,StartupfileInput!$C$2:$C$326,0),9)</f>
        <v>7413</v>
      </c>
      <c r="J109" s="106">
        <f t="shared" si="11"/>
        <v>7635</v>
      </c>
      <c r="K109" s="9">
        <f t="shared" si="8"/>
        <v>33235</v>
      </c>
      <c r="L109" s="9">
        <f t="shared" si="12"/>
        <v>18721</v>
      </c>
      <c r="M109" s="9">
        <f t="shared" si="13"/>
        <v>51956</v>
      </c>
    </row>
    <row r="110" spans="1:13" ht="12.75" x14ac:dyDescent="0.2">
      <c r="A110" s="26" t="str">
        <f>StartupfileInput!C108</f>
        <v>2151</v>
      </c>
      <c r="B110" s="1" t="str">
        <f>INDEX(ActiveDistricts!$A$2:$J$326,MATCH(Calculation!$A110,ActiveDistricts!$C$2:$C$326,0),6)</f>
        <v>2151</v>
      </c>
      <c r="C110" s="1" t="str">
        <f>INDEX(ActiveDistricts!$A$2:$J$326,MATCH(Calculation!$A110,ActiveDistricts!$C$2:$C$326,0),7)</f>
        <v>Exira-Elk Horn-Kimballton</v>
      </c>
      <c r="D110" s="14">
        <f>INDEX(StartupfileInput!$A$2:$I$326,MATCH(Calculation!$A110,StartupfileInput!$C$2:$C$326,0),8)</f>
        <v>426.5</v>
      </c>
      <c r="E110" s="20">
        <f>INDEX(ActiveDistricts!$A$2:$J$326,MATCH(Calculation!$A110,ActiveDistricts!$C$2:$C$326,0),10)</f>
        <v>0.52325581395348841</v>
      </c>
      <c r="F110" s="8">
        <f t="shared" si="9"/>
        <v>1.4330000000000001</v>
      </c>
      <c r="G110" s="8">
        <f t="shared" si="10"/>
        <v>0.87</v>
      </c>
      <c r="H110" s="8">
        <f t="shared" si="7"/>
        <v>2.3029999999999999</v>
      </c>
      <c r="I110">
        <f>INDEX(StartupfileInput!$A$2:$I$326,MATCH(Calculation!$A110,StartupfileInput!$C$2:$C$326,0),9)</f>
        <v>7462</v>
      </c>
      <c r="J110" s="106">
        <f t="shared" si="11"/>
        <v>7684</v>
      </c>
      <c r="K110" s="9">
        <f t="shared" si="8"/>
        <v>11011</v>
      </c>
      <c r="L110" s="9">
        <f t="shared" si="12"/>
        <v>6685</v>
      </c>
      <c r="M110" s="9">
        <f t="shared" si="13"/>
        <v>17696</v>
      </c>
    </row>
    <row r="111" spans="1:13" ht="12.75" x14ac:dyDescent="0.2">
      <c r="A111" s="26" t="str">
        <f>StartupfileInput!C109</f>
        <v>2169</v>
      </c>
      <c r="B111" s="1" t="str">
        <f>INDEX(ActiveDistricts!$A$2:$J$326,MATCH(Calculation!$A111,ActiveDistricts!$C$2:$C$326,0),6)</f>
        <v>2169</v>
      </c>
      <c r="C111" s="1" t="str">
        <f>INDEX(ActiveDistricts!$A$2:$J$326,MATCH(Calculation!$A111,ActiveDistricts!$C$2:$C$326,0),7)</f>
        <v>Fairfield</v>
      </c>
      <c r="D111" s="14">
        <f>INDEX(StartupfileInput!$A$2:$I$326,MATCH(Calculation!$A111,StartupfileInput!$C$2:$C$326,0),8)</f>
        <v>1568.3</v>
      </c>
      <c r="E111" s="20">
        <f>INDEX(ActiveDistricts!$A$2:$J$326,MATCH(Calculation!$A111,ActiveDistricts!$C$2:$C$326,0),10)</f>
        <v>0.53846153846153844</v>
      </c>
      <c r="F111" s="8">
        <f t="shared" si="9"/>
        <v>5.4210000000000003</v>
      </c>
      <c r="G111" s="8">
        <f t="shared" si="10"/>
        <v>3.1989999999999998</v>
      </c>
      <c r="H111" s="8">
        <f t="shared" si="7"/>
        <v>8.620000000000001</v>
      </c>
      <c r="I111">
        <f>INDEX(StartupfileInput!$A$2:$I$326,MATCH(Calculation!$A111,StartupfileInput!$C$2:$C$326,0),9)</f>
        <v>7413</v>
      </c>
      <c r="J111" s="106">
        <f t="shared" si="11"/>
        <v>7635</v>
      </c>
      <c r="K111" s="9">
        <f t="shared" si="8"/>
        <v>41389</v>
      </c>
      <c r="L111" s="9">
        <f t="shared" si="12"/>
        <v>24425</v>
      </c>
      <c r="M111" s="9">
        <f t="shared" si="13"/>
        <v>65814</v>
      </c>
    </row>
    <row r="112" spans="1:13" ht="12.75" x14ac:dyDescent="0.2">
      <c r="A112" s="26" t="str">
        <f>StartupfileInput!C110</f>
        <v>2295</v>
      </c>
      <c r="B112" s="1" t="str">
        <f>INDEX(ActiveDistricts!$A$2:$J$326,MATCH(Calculation!$A112,ActiveDistricts!$C$2:$C$326,0),6)</f>
        <v>2295</v>
      </c>
      <c r="C112" s="1" t="str">
        <f>INDEX(ActiveDistricts!$A$2:$J$326,MATCH(Calculation!$A112,ActiveDistricts!$C$2:$C$326,0),7)</f>
        <v>Forest City</v>
      </c>
      <c r="D112" s="14">
        <f>INDEX(StartupfileInput!$A$2:$I$326,MATCH(Calculation!$A112,StartupfileInput!$C$2:$C$326,0),8)</f>
        <v>1055.4000000000001</v>
      </c>
      <c r="E112" s="20">
        <f>INDEX(ActiveDistricts!$A$2:$J$326,MATCH(Calculation!$A112,ActiveDistricts!$C$2:$C$326,0),10)</f>
        <v>0.41237113402061853</v>
      </c>
      <c r="F112" s="8">
        <f t="shared" si="9"/>
        <v>2.794</v>
      </c>
      <c r="G112" s="8">
        <f t="shared" si="10"/>
        <v>2.153</v>
      </c>
      <c r="H112" s="8">
        <f t="shared" si="7"/>
        <v>4.9470000000000001</v>
      </c>
      <c r="I112">
        <f>INDEX(StartupfileInput!$A$2:$I$326,MATCH(Calculation!$A112,StartupfileInput!$C$2:$C$326,0),9)</f>
        <v>7413</v>
      </c>
      <c r="J112" s="106">
        <f t="shared" si="11"/>
        <v>7635</v>
      </c>
      <c r="K112" s="9">
        <f t="shared" si="8"/>
        <v>21332</v>
      </c>
      <c r="L112" s="9">
        <f t="shared" si="12"/>
        <v>16438</v>
      </c>
      <c r="M112" s="9">
        <f t="shared" si="13"/>
        <v>37770</v>
      </c>
    </row>
    <row r="113" spans="1:13" ht="12.75" x14ac:dyDescent="0.2">
      <c r="A113" s="26" t="str">
        <f>StartupfileInput!C111</f>
        <v>2313</v>
      </c>
      <c r="B113" s="1" t="str">
        <f>INDEX(ActiveDistricts!$A$2:$J$326,MATCH(Calculation!$A113,ActiveDistricts!$C$2:$C$326,0),6)</f>
        <v>2313</v>
      </c>
      <c r="C113" s="1" t="str">
        <f>INDEX(ActiveDistricts!$A$2:$J$326,MATCH(Calculation!$A113,ActiveDistricts!$C$2:$C$326,0),7)</f>
        <v>Fort Dodge</v>
      </c>
      <c r="D113" s="14">
        <f>INDEX(StartupfileInput!$A$2:$I$326,MATCH(Calculation!$A113,StartupfileInput!$C$2:$C$326,0),8)</f>
        <v>3561</v>
      </c>
      <c r="E113" s="20">
        <f>INDEX(ActiveDistricts!$A$2:$J$326,MATCH(Calculation!$A113,ActiveDistricts!$C$2:$C$326,0),10)</f>
        <v>0.64949109414758266</v>
      </c>
      <c r="F113" s="8">
        <f t="shared" si="9"/>
        <v>14.848000000000001</v>
      </c>
      <c r="G113" s="8">
        <f t="shared" si="10"/>
        <v>7.2640000000000002</v>
      </c>
      <c r="H113" s="8">
        <f t="shared" si="7"/>
        <v>22.112000000000002</v>
      </c>
      <c r="I113">
        <f>INDEX(StartupfileInput!$A$2:$I$326,MATCH(Calculation!$A113,StartupfileInput!$C$2:$C$326,0),9)</f>
        <v>7413</v>
      </c>
      <c r="J113" s="106">
        <f t="shared" si="11"/>
        <v>7635</v>
      </c>
      <c r="K113" s="9">
        <f t="shared" si="8"/>
        <v>113364</v>
      </c>
      <c r="L113" s="9">
        <f t="shared" si="12"/>
        <v>55461</v>
      </c>
      <c r="M113" s="9">
        <f t="shared" si="13"/>
        <v>168825</v>
      </c>
    </row>
    <row r="114" spans="1:13" ht="12.75" x14ac:dyDescent="0.2">
      <c r="A114" s="26" t="str">
        <f>StartupfileInput!C112</f>
        <v>2322</v>
      </c>
      <c r="B114" s="1" t="str">
        <f>INDEX(ActiveDistricts!$A$2:$J$326,MATCH(Calculation!$A114,ActiveDistricts!$C$2:$C$326,0),6)</f>
        <v>2322</v>
      </c>
      <c r="C114" s="1" t="str">
        <f>INDEX(ActiveDistricts!$A$2:$J$326,MATCH(Calculation!$A114,ActiveDistricts!$C$2:$C$326,0),7)</f>
        <v>Fort Madison</v>
      </c>
      <c r="D114" s="14">
        <f>INDEX(StartupfileInput!$A$2:$I$326,MATCH(Calculation!$A114,StartupfileInput!$C$2:$C$326,0),8)</f>
        <v>2102.1</v>
      </c>
      <c r="E114" s="20">
        <f>INDEX(ActiveDistricts!$A$2:$J$326,MATCH(Calculation!$A114,ActiveDistricts!$C$2:$C$326,0),10)</f>
        <v>0.59826946847960449</v>
      </c>
      <c r="F114" s="8">
        <f t="shared" si="9"/>
        <v>8.0739999999999998</v>
      </c>
      <c r="G114" s="8">
        <f t="shared" si="10"/>
        <v>4.2880000000000003</v>
      </c>
      <c r="H114" s="8">
        <f t="shared" si="7"/>
        <v>12.362</v>
      </c>
      <c r="I114">
        <f>INDEX(StartupfileInput!$A$2:$I$326,MATCH(Calculation!$A114,StartupfileInput!$C$2:$C$326,0),9)</f>
        <v>7413</v>
      </c>
      <c r="J114" s="106">
        <f t="shared" si="11"/>
        <v>7635</v>
      </c>
      <c r="K114" s="9">
        <f t="shared" si="8"/>
        <v>61645</v>
      </c>
      <c r="L114" s="9">
        <f t="shared" si="12"/>
        <v>32739</v>
      </c>
      <c r="M114" s="9">
        <f t="shared" si="13"/>
        <v>94384</v>
      </c>
    </row>
    <row r="115" spans="1:13" s="17" customFormat="1" ht="12.75" x14ac:dyDescent="0.2">
      <c r="A115" s="26" t="str">
        <f>StartupfileInput!C113</f>
        <v>2369</v>
      </c>
      <c r="B115" s="1" t="str">
        <f>INDEX(ActiveDistricts!$A$2:$J$326,MATCH(Calculation!$A115,ActiveDistricts!$C$2:$C$326,0),6)</f>
        <v>2369</v>
      </c>
      <c r="C115" s="1" t="str">
        <f>INDEX(ActiveDistricts!$A$2:$J$326,MATCH(Calculation!$A115,ActiveDistricts!$C$2:$C$326,0),7)</f>
        <v>Fremont-Mills</v>
      </c>
      <c r="D115" s="14">
        <f>INDEX(StartupfileInput!$A$2:$I$326,MATCH(Calculation!$A115,StartupfileInput!$C$2:$C$326,0),8)</f>
        <v>434</v>
      </c>
      <c r="E115" s="20">
        <f>INDEX(ActiveDistricts!$A$2:$J$326,MATCH(Calculation!$A115,ActiveDistricts!$C$2:$C$326,0),10)</f>
        <v>0.38918918918918921</v>
      </c>
      <c r="F115" s="8">
        <f t="shared" si="9"/>
        <v>1.0840000000000001</v>
      </c>
      <c r="G115" s="8">
        <f t="shared" si="10"/>
        <v>0.88500000000000001</v>
      </c>
      <c r="H115" s="18">
        <f t="shared" si="7"/>
        <v>1.9690000000000001</v>
      </c>
      <c r="I115">
        <f>INDEX(StartupfileInput!$A$2:$I$326,MATCH(Calculation!$A115,StartupfileInput!$C$2:$C$326,0),9)</f>
        <v>7413</v>
      </c>
      <c r="J115" s="106">
        <f t="shared" si="11"/>
        <v>7635</v>
      </c>
      <c r="K115" s="19">
        <f t="shared" si="8"/>
        <v>8276</v>
      </c>
      <c r="L115" s="9">
        <f t="shared" si="12"/>
        <v>6757</v>
      </c>
      <c r="M115" s="9">
        <f t="shared" si="13"/>
        <v>15033</v>
      </c>
    </row>
    <row r="116" spans="1:13" ht="12.75" x14ac:dyDescent="0.2">
      <c r="A116" s="26" t="str">
        <f>StartupfileInput!C114</f>
        <v>2682</v>
      </c>
      <c r="B116" s="1" t="str">
        <f>INDEX(ActiveDistricts!$A$2:$J$326,MATCH(Calculation!$A116,ActiveDistricts!$C$2:$C$326,0),6)</f>
        <v>2682</v>
      </c>
      <c r="C116" s="1" t="str">
        <f>INDEX(ActiveDistricts!$A$2:$J$326,MATCH(Calculation!$A116,ActiveDistricts!$C$2:$C$326,0),7)</f>
        <v>GMG</v>
      </c>
      <c r="D116" s="14">
        <f>INDEX(StartupfileInput!$A$2:$I$326,MATCH(Calculation!$A116,StartupfileInput!$C$2:$C$326,0),8)</f>
        <v>254.5</v>
      </c>
      <c r="E116" s="20">
        <f>INDEX(ActiveDistricts!$A$2:$J$326,MATCH(Calculation!$A116,ActiveDistricts!$C$2:$C$326,0),10)</f>
        <v>0.45049504950495051</v>
      </c>
      <c r="F116" s="8">
        <f t="shared" si="9"/>
        <v>0.73599999999999999</v>
      </c>
      <c r="G116" s="8">
        <f t="shared" si="10"/>
        <v>0.51900000000000002</v>
      </c>
      <c r="H116" s="8">
        <f t="shared" si="7"/>
        <v>1.2549999999999999</v>
      </c>
      <c r="I116">
        <f>INDEX(StartupfileInput!$A$2:$I$326,MATCH(Calculation!$A116,StartupfileInput!$C$2:$C$326,0),9)</f>
        <v>7413</v>
      </c>
      <c r="J116" s="106">
        <f t="shared" si="11"/>
        <v>7635</v>
      </c>
      <c r="K116" s="9">
        <f t="shared" si="8"/>
        <v>5619</v>
      </c>
      <c r="L116" s="9">
        <f t="shared" si="12"/>
        <v>3963</v>
      </c>
      <c r="M116" s="9">
        <f t="shared" si="13"/>
        <v>9582</v>
      </c>
    </row>
    <row r="117" spans="1:13" ht="12.75" x14ac:dyDescent="0.2">
      <c r="A117" s="26" t="str">
        <f>StartupfileInput!C115</f>
        <v>2376</v>
      </c>
      <c r="B117" s="1" t="str">
        <f>INDEX(ActiveDistricts!$A$2:$J$326,MATCH(Calculation!$A117,ActiveDistricts!$C$2:$C$326,0),6)</f>
        <v>2376</v>
      </c>
      <c r="C117" s="1" t="str">
        <f>INDEX(ActiveDistricts!$A$2:$J$326,MATCH(Calculation!$A117,ActiveDistricts!$C$2:$C$326,0),7)</f>
        <v>Galva-Holstein</v>
      </c>
      <c r="D117" s="14">
        <f>INDEX(StartupfileInput!$A$2:$I$326,MATCH(Calculation!$A117,StartupfileInput!$C$2:$C$326,0),8)</f>
        <v>464</v>
      </c>
      <c r="E117" s="20">
        <f>INDEX(ActiveDistricts!$A$2:$J$326,MATCH(Calculation!$A117,ActiveDistricts!$C$2:$C$326,0),10)</f>
        <v>0.35754189944134079</v>
      </c>
      <c r="F117" s="8">
        <f t="shared" si="9"/>
        <v>1.0649999999999999</v>
      </c>
      <c r="G117" s="8">
        <f t="shared" si="10"/>
        <v>0.94699999999999995</v>
      </c>
      <c r="H117" s="8">
        <f t="shared" si="7"/>
        <v>2.012</v>
      </c>
      <c r="I117">
        <f>INDEX(StartupfileInput!$A$2:$I$326,MATCH(Calculation!$A117,StartupfileInput!$C$2:$C$326,0),9)</f>
        <v>7413</v>
      </c>
      <c r="J117" s="106">
        <f t="shared" si="11"/>
        <v>7635</v>
      </c>
      <c r="K117" s="9">
        <f t="shared" si="8"/>
        <v>8131</v>
      </c>
      <c r="L117" s="9">
        <f t="shared" si="12"/>
        <v>7231</v>
      </c>
      <c r="M117" s="9">
        <f t="shared" si="13"/>
        <v>15362</v>
      </c>
    </row>
    <row r="118" spans="1:13" ht="12.75" x14ac:dyDescent="0.2">
      <c r="A118" s="26" t="str">
        <f>StartupfileInput!C116</f>
        <v>2403</v>
      </c>
      <c r="B118" s="1" t="str">
        <f>INDEX(ActiveDistricts!$A$2:$J$326,MATCH(Calculation!$A118,ActiveDistricts!$C$2:$C$326,0),6)</f>
        <v>2403</v>
      </c>
      <c r="C118" s="1" t="str">
        <f>INDEX(ActiveDistricts!$A$2:$J$326,MATCH(Calculation!$A118,ActiveDistricts!$C$2:$C$326,0),7)</f>
        <v>Garner-Hayfield-Ventura</v>
      </c>
      <c r="D118" s="14">
        <f>INDEX(StartupfileInput!$A$2:$I$326,MATCH(Calculation!$A118,StartupfileInput!$C$2:$C$326,0),8)</f>
        <v>850</v>
      </c>
      <c r="E118" s="20">
        <f>INDEX(ActiveDistricts!$A$2:$J$326,MATCH(Calculation!$A118,ActiveDistricts!$C$2:$C$326,0),10)</f>
        <v>0.26509186351706038</v>
      </c>
      <c r="F118" s="8">
        <f t="shared" si="9"/>
        <v>1.4470000000000001</v>
      </c>
      <c r="G118" s="8">
        <f t="shared" si="10"/>
        <v>1.734</v>
      </c>
      <c r="H118" s="8">
        <f t="shared" si="7"/>
        <v>3.181</v>
      </c>
      <c r="I118">
        <f>INDEX(StartupfileInput!$A$2:$I$326,MATCH(Calculation!$A118,StartupfileInput!$C$2:$C$326,0),9)</f>
        <v>7413</v>
      </c>
      <c r="J118" s="106">
        <f t="shared" si="11"/>
        <v>7635</v>
      </c>
      <c r="K118" s="9">
        <f t="shared" si="8"/>
        <v>11048</v>
      </c>
      <c r="L118" s="9">
        <f t="shared" si="12"/>
        <v>13239</v>
      </c>
      <c r="M118" s="9">
        <f t="shared" si="13"/>
        <v>24287</v>
      </c>
    </row>
    <row r="119" spans="1:13" ht="12.75" x14ac:dyDescent="0.2">
      <c r="A119" s="26" t="str">
        <f>StartupfileInput!C117</f>
        <v>2457</v>
      </c>
      <c r="B119" s="1" t="str">
        <f>INDEX(ActiveDistricts!$A$2:$J$326,MATCH(Calculation!$A119,ActiveDistricts!$C$2:$C$326,0),6)</f>
        <v>2457</v>
      </c>
      <c r="C119" s="1" t="str">
        <f>INDEX(ActiveDistricts!$A$2:$J$326,MATCH(Calculation!$A119,ActiveDistricts!$C$2:$C$326,0),7)</f>
        <v>George-Little Rock</v>
      </c>
      <c r="D119" s="14">
        <f>INDEX(StartupfileInput!$A$2:$I$326,MATCH(Calculation!$A119,StartupfileInput!$C$2:$C$326,0),8)</f>
        <v>454.7</v>
      </c>
      <c r="E119" s="20">
        <f>INDEX(ActiveDistricts!$A$2:$J$326,MATCH(Calculation!$A119,ActiveDistricts!$C$2:$C$326,0),10)</f>
        <v>0.47727272727272729</v>
      </c>
      <c r="F119" s="8">
        <f t="shared" si="9"/>
        <v>1.393</v>
      </c>
      <c r="G119" s="8">
        <f t="shared" si="10"/>
        <v>0.92800000000000005</v>
      </c>
      <c r="H119" s="8">
        <f t="shared" si="7"/>
        <v>2.3210000000000002</v>
      </c>
      <c r="I119">
        <f>INDEX(StartupfileInput!$A$2:$I$326,MATCH(Calculation!$A119,StartupfileInput!$C$2:$C$326,0),9)</f>
        <v>7413</v>
      </c>
      <c r="J119" s="106">
        <f t="shared" si="11"/>
        <v>7635</v>
      </c>
      <c r="K119" s="9">
        <f t="shared" si="8"/>
        <v>10636</v>
      </c>
      <c r="L119" s="9">
        <f t="shared" si="12"/>
        <v>7085</v>
      </c>
      <c r="M119" s="9">
        <f t="shared" si="13"/>
        <v>17721</v>
      </c>
    </row>
    <row r="120" spans="1:13" ht="12.75" x14ac:dyDescent="0.2">
      <c r="A120" s="26" t="str">
        <f>StartupfileInput!C118</f>
        <v>2466</v>
      </c>
      <c r="B120" s="1" t="str">
        <f>INDEX(ActiveDistricts!$A$2:$J$326,MATCH(Calculation!$A120,ActiveDistricts!$C$2:$C$326,0),6)</f>
        <v>2466</v>
      </c>
      <c r="C120" s="1" t="str">
        <f>INDEX(ActiveDistricts!$A$2:$J$326,MATCH(Calculation!$A120,ActiveDistricts!$C$2:$C$326,0),7)</f>
        <v>Gilbert</v>
      </c>
      <c r="D120" s="14">
        <f>INDEX(StartupfileInput!$A$2:$I$326,MATCH(Calculation!$A120,StartupfileInput!$C$2:$C$326,0),8)</f>
        <v>1586.7</v>
      </c>
      <c r="E120" s="20">
        <f>INDEX(ActiveDistricts!$A$2:$J$326,MATCH(Calculation!$A120,ActiveDistricts!$C$2:$C$326,0),10)</f>
        <v>9.9280575539568344E-2</v>
      </c>
      <c r="F120" s="8">
        <f t="shared" si="9"/>
        <v>1.0109999999999999</v>
      </c>
      <c r="G120" s="8">
        <f t="shared" si="10"/>
        <v>3.2370000000000001</v>
      </c>
      <c r="H120" s="8">
        <f t="shared" si="7"/>
        <v>4.2480000000000002</v>
      </c>
      <c r="I120">
        <f>INDEX(StartupfileInput!$A$2:$I$326,MATCH(Calculation!$A120,StartupfileInput!$C$2:$C$326,0),9)</f>
        <v>7413</v>
      </c>
      <c r="J120" s="106">
        <f t="shared" si="11"/>
        <v>7635</v>
      </c>
      <c r="K120" s="9">
        <f t="shared" si="8"/>
        <v>7719</v>
      </c>
      <c r="L120" s="9">
        <f t="shared" si="12"/>
        <v>24714</v>
      </c>
      <c r="M120" s="9">
        <f t="shared" si="13"/>
        <v>32433</v>
      </c>
    </row>
    <row r="121" spans="1:13" ht="12.75" x14ac:dyDescent="0.2">
      <c r="A121" s="26" t="str">
        <f>StartupfileInput!C119</f>
        <v>2493</v>
      </c>
      <c r="B121" s="1" t="str">
        <f>INDEX(ActiveDistricts!$A$2:$J$326,MATCH(Calculation!$A121,ActiveDistricts!$C$2:$C$326,0),6)</f>
        <v>2493</v>
      </c>
      <c r="C121" s="1" t="str">
        <f>INDEX(ActiveDistricts!$A$2:$J$326,MATCH(Calculation!$A121,ActiveDistricts!$C$2:$C$326,0),7)</f>
        <v>Gilmore City-Bradgate</v>
      </c>
      <c r="D121" s="14">
        <f>INDEX(StartupfileInput!$A$2:$I$326,MATCH(Calculation!$A121,StartupfileInput!$C$2:$C$326,0),8)</f>
        <v>174</v>
      </c>
      <c r="E121" s="20">
        <f>INDEX(ActiveDistricts!$A$2:$J$326,MATCH(Calculation!$A121,ActiveDistricts!$C$2:$C$326,0),10)</f>
        <v>0.71621621621621623</v>
      </c>
      <c r="F121" s="8">
        <f t="shared" si="9"/>
        <v>0.8</v>
      </c>
      <c r="G121" s="8">
        <f t="shared" si="10"/>
        <v>0.35499999999999998</v>
      </c>
      <c r="H121" s="8">
        <f t="shared" si="7"/>
        <v>1.155</v>
      </c>
      <c r="I121">
        <f>INDEX(StartupfileInput!$A$2:$I$326,MATCH(Calculation!$A121,StartupfileInput!$C$2:$C$326,0),9)</f>
        <v>7545</v>
      </c>
      <c r="J121" s="106">
        <f t="shared" si="11"/>
        <v>7767</v>
      </c>
      <c r="K121" s="9">
        <f t="shared" si="8"/>
        <v>6214</v>
      </c>
      <c r="L121" s="9">
        <f t="shared" si="12"/>
        <v>2757</v>
      </c>
      <c r="M121" s="9">
        <f t="shared" si="13"/>
        <v>8971</v>
      </c>
    </row>
    <row r="122" spans="1:13" ht="12.75" x14ac:dyDescent="0.2">
      <c r="A122" s="26" t="str">
        <f>StartupfileInput!C120</f>
        <v>2502</v>
      </c>
      <c r="B122" s="1" t="str">
        <f>INDEX(ActiveDistricts!$A$2:$J$326,MATCH(Calculation!$A122,ActiveDistricts!$C$2:$C$326,0),6)</f>
        <v>2502</v>
      </c>
      <c r="C122" s="1" t="str">
        <f>INDEX(ActiveDistricts!$A$2:$J$326,MATCH(Calculation!$A122,ActiveDistricts!$C$2:$C$326,0),7)</f>
        <v>Gladbrook-Reinbeck</v>
      </c>
      <c r="D122" s="14">
        <f>INDEX(StartupfileInput!$A$2:$I$326,MATCH(Calculation!$A122,StartupfileInput!$C$2:$C$326,0),8)</f>
        <v>617.29999999999995</v>
      </c>
      <c r="E122" s="20">
        <f>INDEX(ActiveDistricts!$A$2:$J$326,MATCH(Calculation!$A122,ActiveDistricts!$C$2:$C$326,0),10)</f>
        <v>0.32178217821782179</v>
      </c>
      <c r="F122" s="8">
        <f t="shared" si="9"/>
        <v>1.2749999999999999</v>
      </c>
      <c r="G122" s="8">
        <f t="shared" si="10"/>
        <v>1.2589999999999999</v>
      </c>
      <c r="H122" s="8">
        <f t="shared" si="7"/>
        <v>2.5339999999999998</v>
      </c>
      <c r="I122">
        <f>INDEX(StartupfileInput!$A$2:$I$326,MATCH(Calculation!$A122,StartupfileInput!$C$2:$C$326,0),9)</f>
        <v>7478</v>
      </c>
      <c r="J122" s="106">
        <f t="shared" si="11"/>
        <v>7700</v>
      </c>
      <c r="K122" s="9">
        <f t="shared" si="8"/>
        <v>9818</v>
      </c>
      <c r="L122" s="9">
        <f t="shared" si="12"/>
        <v>9694</v>
      </c>
      <c r="M122" s="9">
        <f t="shared" si="13"/>
        <v>19512</v>
      </c>
    </row>
    <row r="123" spans="1:13" ht="12.75" x14ac:dyDescent="0.2">
      <c r="A123" s="26" t="str">
        <f>StartupfileInput!C121</f>
        <v>2511</v>
      </c>
      <c r="B123" s="1" t="str">
        <f>INDEX(ActiveDistricts!$A$2:$J$326,MATCH(Calculation!$A123,ActiveDistricts!$C$2:$C$326,0),6)</f>
        <v>2511</v>
      </c>
      <c r="C123" s="1" t="str">
        <f>INDEX(ActiveDistricts!$A$2:$J$326,MATCH(Calculation!$A123,ActiveDistricts!$C$2:$C$326,0),7)</f>
        <v>Glenwood</v>
      </c>
      <c r="D123" s="14">
        <f>INDEX(StartupfileInput!$A$2:$I$326,MATCH(Calculation!$A123,StartupfileInput!$C$2:$C$326,0),8)</f>
        <v>1918.9</v>
      </c>
      <c r="E123" s="20">
        <f>INDEX(ActiveDistricts!$A$2:$J$326,MATCH(Calculation!$A123,ActiveDistricts!$C$2:$C$326,0),10)</f>
        <v>0.3836549375709421</v>
      </c>
      <c r="F123" s="8">
        <f t="shared" si="9"/>
        <v>4.726</v>
      </c>
      <c r="G123" s="8">
        <f t="shared" si="10"/>
        <v>3.915</v>
      </c>
      <c r="H123" s="8">
        <f t="shared" si="7"/>
        <v>8.641</v>
      </c>
      <c r="I123">
        <f>INDEX(StartupfileInput!$A$2:$I$326,MATCH(Calculation!$A123,StartupfileInput!$C$2:$C$326,0),9)</f>
        <v>7413</v>
      </c>
      <c r="J123" s="106">
        <f t="shared" si="11"/>
        <v>7635</v>
      </c>
      <c r="K123" s="9">
        <f t="shared" si="8"/>
        <v>36083</v>
      </c>
      <c r="L123" s="9">
        <f t="shared" si="12"/>
        <v>29891</v>
      </c>
      <c r="M123" s="9">
        <f t="shared" si="13"/>
        <v>65974</v>
      </c>
    </row>
    <row r="124" spans="1:13" ht="12.75" x14ac:dyDescent="0.2">
      <c r="A124" s="26" t="str">
        <f>StartupfileInput!C122</f>
        <v>2520</v>
      </c>
      <c r="B124" s="1" t="str">
        <f>INDEX(ActiveDistricts!$A$2:$J$326,MATCH(Calculation!$A124,ActiveDistricts!$C$2:$C$326,0),6)</f>
        <v>2520</v>
      </c>
      <c r="C124" s="1" t="str">
        <f>INDEX(ActiveDistricts!$A$2:$J$326,MATCH(Calculation!$A124,ActiveDistricts!$C$2:$C$326,0),7)</f>
        <v>Glidden-Ralston</v>
      </c>
      <c r="D124" s="14">
        <f>INDEX(StartupfileInput!$A$2:$I$326,MATCH(Calculation!$A124,StartupfileInput!$C$2:$C$326,0),8)</f>
        <v>296</v>
      </c>
      <c r="E124" s="20">
        <f>INDEX(ActiveDistricts!$A$2:$J$326,MATCH(Calculation!$A124,ActiveDistricts!$C$2:$C$326,0),10)</f>
        <v>0.32960893854748602</v>
      </c>
      <c r="F124" s="8">
        <f t="shared" si="9"/>
        <v>0.626</v>
      </c>
      <c r="G124" s="8">
        <f t="shared" si="10"/>
        <v>0.60399999999999998</v>
      </c>
      <c r="H124" s="8">
        <f t="shared" si="7"/>
        <v>1.23</v>
      </c>
      <c r="I124">
        <f>INDEX(StartupfileInput!$A$2:$I$326,MATCH(Calculation!$A124,StartupfileInput!$C$2:$C$326,0),9)</f>
        <v>7413</v>
      </c>
      <c r="J124" s="106">
        <f t="shared" si="11"/>
        <v>7635</v>
      </c>
      <c r="K124" s="9">
        <f t="shared" si="8"/>
        <v>4780</v>
      </c>
      <c r="L124" s="9">
        <f t="shared" si="12"/>
        <v>4611</v>
      </c>
      <c r="M124" s="9">
        <f t="shared" si="13"/>
        <v>9391</v>
      </c>
    </row>
    <row r="125" spans="1:13" ht="12.75" x14ac:dyDescent="0.2">
      <c r="A125" s="26" t="str">
        <f>StartupfileInput!C123</f>
        <v>2556</v>
      </c>
      <c r="B125" s="1" t="str">
        <f>INDEX(ActiveDistricts!$A$2:$J$326,MATCH(Calculation!$A125,ActiveDistricts!$C$2:$C$326,0),6)</f>
        <v>2556</v>
      </c>
      <c r="C125" s="1" t="str">
        <f>INDEX(ActiveDistricts!$A$2:$J$326,MATCH(Calculation!$A125,ActiveDistricts!$C$2:$C$326,0),7)</f>
        <v>Graettinger-Terril</v>
      </c>
      <c r="D125" s="14">
        <f>INDEX(StartupfileInput!$A$2:$I$326,MATCH(Calculation!$A125,StartupfileInput!$C$2:$C$326,0),8)</f>
        <v>378</v>
      </c>
      <c r="E125" s="20">
        <f>INDEX(ActiveDistricts!$A$2:$J$326,MATCH(Calculation!$A125,ActiveDistricts!$C$2:$C$326,0),10)</f>
        <v>0.59677419354838712</v>
      </c>
      <c r="F125" s="8">
        <f t="shared" si="9"/>
        <v>1.448</v>
      </c>
      <c r="G125" s="8">
        <f t="shared" si="10"/>
        <v>0.77100000000000002</v>
      </c>
      <c r="H125" s="8">
        <f t="shared" si="7"/>
        <v>2.2189999999999999</v>
      </c>
      <c r="I125">
        <f>INDEX(StartupfileInput!$A$2:$I$326,MATCH(Calculation!$A125,StartupfileInput!$C$2:$C$326,0),9)</f>
        <v>7413</v>
      </c>
      <c r="J125" s="106">
        <f t="shared" si="11"/>
        <v>7635</v>
      </c>
      <c r="K125" s="9">
        <f t="shared" si="8"/>
        <v>11055</v>
      </c>
      <c r="L125" s="9">
        <f t="shared" si="12"/>
        <v>5887</v>
      </c>
      <c r="M125" s="9">
        <f t="shared" si="13"/>
        <v>16942</v>
      </c>
    </row>
    <row r="126" spans="1:13" ht="12.75" x14ac:dyDescent="0.2">
      <c r="A126" s="26" t="str">
        <f>StartupfileInput!C124</f>
        <v>3195</v>
      </c>
      <c r="B126" s="1" t="str">
        <f>INDEX(ActiveDistricts!$A$2:$J$326,MATCH(Calculation!$A126,ActiveDistricts!$C$2:$C$326,0),6)</f>
        <v>3195</v>
      </c>
      <c r="C126" s="1" t="str">
        <f>INDEX(ActiveDistricts!$A$2:$J$326,MATCH(Calculation!$A126,ActiveDistricts!$C$2:$C$326,0),7)</f>
        <v>Greene County</v>
      </c>
      <c r="D126" s="14">
        <f>INDEX(StartupfileInput!$A$2:$I$326,MATCH(Calculation!$A126,StartupfileInput!$C$2:$C$326,0),8)</f>
        <v>1185</v>
      </c>
      <c r="E126" s="20">
        <f>INDEX(ActiveDistricts!$A$2:$J$326,MATCH(Calculation!$A126,ActiveDistricts!$C$2:$C$326,0),10)</f>
        <v>0.51084812623274167</v>
      </c>
      <c r="F126" s="8">
        <f t="shared" si="9"/>
        <v>3.8860000000000001</v>
      </c>
      <c r="G126" s="8">
        <f t="shared" si="10"/>
        <v>2.4169999999999998</v>
      </c>
      <c r="H126" s="8">
        <f t="shared" si="7"/>
        <v>6.3029999999999999</v>
      </c>
      <c r="I126">
        <f>INDEX(StartupfileInput!$A$2:$I$326,MATCH(Calculation!$A126,StartupfileInput!$C$2:$C$326,0),9)</f>
        <v>7452</v>
      </c>
      <c r="J126" s="106">
        <f t="shared" si="11"/>
        <v>7674</v>
      </c>
      <c r="K126" s="9">
        <f t="shared" si="8"/>
        <v>29821</v>
      </c>
      <c r="L126" s="9">
        <f t="shared" si="12"/>
        <v>18548</v>
      </c>
      <c r="M126" s="9">
        <f t="shared" si="13"/>
        <v>48369</v>
      </c>
    </row>
    <row r="127" spans="1:13" ht="12.75" x14ac:dyDescent="0.2">
      <c r="A127" s="26" t="str">
        <f>StartupfileInput!C125</f>
        <v>2709</v>
      </c>
      <c r="B127" s="1" t="str">
        <f>INDEX(ActiveDistricts!$A$2:$J$326,MATCH(Calculation!$A127,ActiveDistricts!$C$2:$C$326,0),6)</f>
        <v>2709</v>
      </c>
      <c r="C127" s="1" t="str">
        <f>INDEX(ActiveDistricts!$A$2:$J$326,MATCH(Calculation!$A127,ActiveDistricts!$C$2:$C$326,0),7)</f>
        <v>Grinnell-Newburg</v>
      </c>
      <c r="D127" s="14">
        <f>INDEX(StartupfileInput!$A$2:$I$326,MATCH(Calculation!$A127,StartupfileInput!$C$2:$C$326,0),8)</f>
        <v>1498.3</v>
      </c>
      <c r="E127" s="20">
        <f>INDEX(ActiveDistricts!$A$2:$J$326,MATCH(Calculation!$A127,ActiveDistricts!$C$2:$C$326,0),10)</f>
        <v>0.34609250398724084</v>
      </c>
      <c r="F127" s="8">
        <f t="shared" si="9"/>
        <v>3.3290000000000002</v>
      </c>
      <c r="G127" s="8">
        <f t="shared" si="10"/>
        <v>3.0569999999999999</v>
      </c>
      <c r="H127" s="8">
        <f t="shared" si="7"/>
        <v>6.3860000000000001</v>
      </c>
      <c r="I127">
        <f>INDEX(StartupfileInput!$A$2:$I$326,MATCH(Calculation!$A127,StartupfileInput!$C$2:$C$326,0),9)</f>
        <v>7413</v>
      </c>
      <c r="J127" s="106">
        <f t="shared" si="11"/>
        <v>7635</v>
      </c>
      <c r="K127" s="9">
        <f t="shared" si="8"/>
        <v>25417</v>
      </c>
      <c r="L127" s="9">
        <f t="shared" si="12"/>
        <v>23340</v>
      </c>
      <c r="M127" s="9">
        <f t="shared" si="13"/>
        <v>48757</v>
      </c>
    </row>
    <row r="128" spans="1:13" ht="12.75" x14ac:dyDescent="0.2">
      <c r="A128" s="26" t="str">
        <f>StartupfileInput!C126</f>
        <v>2718</v>
      </c>
      <c r="B128" s="1" t="str">
        <f>INDEX(ActiveDistricts!$A$2:$J$326,MATCH(Calculation!$A128,ActiveDistricts!$C$2:$C$326,0),6)</f>
        <v>2718</v>
      </c>
      <c r="C128" s="1" t="str">
        <f>INDEX(ActiveDistricts!$A$2:$J$326,MATCH(Calculation!$A128,ActiveDistricts!$C$2:$C$326,0),7)</f>
        <v>Griswold</v>
      </c>
      <c r="D128" s="14">
        <f>INDEX(StartupfileInput!$A$2:$I$326,MATCH(Calculation!$A128,StartupfileInput!$C$2:$C$326,0),8)</f>
        <v>447.8</v>
      </c>
      <c r="E128" s="20">
        <f>INDEX(ActiveDistricts!$A$2:$J$326,MATCH(Calculation!$A128,ActiveDistricts!$C$2:$C$326,0),10)</f>
        <v>0.46285714285714286</v>
      </c>
      <c r="F128" s="8">
        <f t="shared" si="9"/>
        <v>1.331</v>
      </c>
      <c r="G128" s="8">
        <f t="shared" si="10"/>
        <v>0.91400000000000003</v>
      </c>
      <c r="H128" s="8">
        <f t="shared" si="7"/>
        <v>2.2450000000000001</v>
      </c>
      <c r="I128">
        <f>INDEX(StartupfileInput!$A$2:$I$326,MATCH(Calculation!$A128,StartupfileInput!$C$2:$C$326,0),9)</f>
        <v>7443</v>
      </c>
      <c r="J128" s="106">
        <f t="shared" si="11"/>
        <v>7665</v>
      </c>
      <c r="K128" s="9">
        <f t="shared" si="8"/>
        <v>10202</v>
      </c>
      <c r="L128" s="9">
        <f t="shared" si="12"/>
        <v>7006</v>
      </c>
      <c r="M128" s="9">
        <f t="shared" si="13"/>
        <v>17208</v>
      </c>
    </row>
    <row r="129" spans="1:13" ht="12.75" x14ac:dyDescent="0.2">
      <c r="A129" s="26" t="str">
        <f>StartupfileInput!C127</f>
        <v>2727</v>
      </c>
      <c r="B129" s="1" t="str">
        <f>INDEX(ActiveDistricts!$A$2:$J$326,MATCH(Calculation!$A129,ActiveDistricts!$C$2:$C$326,0),6)</f>
        <v>2727</v>
      </c>
      <c r="C129" s="1" t="str">
        <f>INDEX(ActiveDistricts!$A$2:$J$326,MATCH(Calculation!$A129,ActiveDistricts!$C$2:$C$326,0),7)</f>
        <v>Grundy Center</v>
      </c>
      <c r="D129" s="14">
        <f>INDEX(StartupfileInput!$A$2:$I$326,MATCH(Calculation!$A129,StartupfileInput!$C$2:$C$326,0),8)</f>
        <v>679.3</v>
      </c>
      <c r="E129" s="20">
        <f>INDEX(ActiveDistricts!$A$2:$J$326,MATCH(Calculation!$A129,ActiveDistricts!$C$2:$C$326,0),10)</f>
        <v>0.29483282674772038</v>
      </c>
      <c r="F129" s="8">
        <f t="shared" si="9"/>
        <v>1.286</v>
      </c>
      <c r="G129" s="8">
        <f t="shared" si="10"/>
        <v>1.3859999999999999</v>
      </c>
      <c r="H129" s="8">
        <f t="shared" si="7"/>
        <v>2.6719999999999997</v>
      </c>
      <c r="I129">
        <f>INDEX(StartupfileInput!$A$2:$I$326,MATCH(Calculation!$A129,StartupfileInput!$C$2:$C$326,0),9)</f>
        <v>7413</v>
      </c>
      <c r="J129" s="106">
        <f t="shared" si="11"/>
        <v>7635</v>
      </c>
      <c r="K129" s="9">
        <f t="shared" si="8"/>
        <v>9819</v>
      </c>
      <c r="L129" s="9">
        <f t="shared" si="12"/>
        <v>10582</v>
      </c>
      <c r="M129" s="9">
        <f t="shared" si="13"/>
        <v>20401</v>
      </c>
    </row>
    <row r="130" spans="1:13" ht="12.75" x14ac:dyDescent="0.2">
      <c r="A130" s="26" t="str">
        <f>StartupfileInput!C128</f>
        <v>2754</v>
      </c>
      <c r="B130" s="1" t="str">
        <f>INDEX(ActiveDistricts!$A$2:$J$326,MATCH(Calculation!$A130,ActiveDistricts!$C$2:$C$326,0),6)</f>
        <v>2754</v>
      </c>
      <c r="C130" s="1" t="str">
        <f>INDEX(ActiveDistricts!$A$2:$J$326,MATCH(Calculation!$A130,ActiveDistricts!$C$2:$C$326,0),7)</f>
        <v>Guthrie Center</v>
      </c>
      <c r="D130" s="14">
        <f>INDEX(StartupfileInput!$A$2:$I$326,MATCH(Calculation!$A130,StartupfileInput!$C$2:$C$326,0),8)</f>
        <v>400.1</v>
      </c>
      <c r="E130" s="20">
        <f>INDEX(ActiveDistricts!$A$2:$J$326,MATCH(Calculation!$A130,ActiveDistricts!$C$2:$C$326,0),10)</f>
        <v>0.32786885245901637</v>
      </c>
      <c r="F130" s="8">
        <f t="shared" si="9"/>
        <v>0.84199999999999997</v>
      </c>
      <c r="G130" s="8">
        <f t="shared" si="10"/>
        <v>0.81599999999999995</v>
      </c>
      <c r="H130" s="8">
        <f t="shared" si="7"/>
        <v>1.6579999999999999</v>
      </c>
      <c r="I130">
        <f>INDEX(StartupfileInput!$A$2:$I$326,MATCH(Calculation!$A130,StartupfileInput!$C$2:$C$326,0),9)</f>
        <v>7413</v>
      </c>
      <c r="J130" s="106">
        <f t="shared" si="11"/>
        <v>7635</v>
      </c>
      <c r="K130" s="9">
        <f t="shared" si="8"/>
        <v>6429</v>
      </c>
      <c r="L130" s="9">
        <f t="shared" si="12"/>
        <v>6230</v>
      </c>
      <c r="M130" s="9">
        <f t="shared" si="13"/>
        <v>12659</v>
      </c>
    </row>
    <row r="131" spans="1:13" ht="12.75" x14ac:dyDescent="0.2">
      <c r="A131" s="26" t="str">
        <f>StartupfileInput!C129</f>
        <v>2766</v>
      </c>
      <c r="B131" s="1" t="str">
        <f>INDEX(ActiveDistricts!$A$2:$J$326,MATCH(Calculation!$A131,ActiveDistricts!$C$2:$C$326,0),6)</f>
        <v>2766</v>
      </c>
      <c r="C131" s="1" t="str">
        <f>INDEX(ActiveDistricts!$A$2:$J$326,MATCH(Calculation!$A131,ActiveDistricts!$C$2:$C$326,0),7)</f>
        <v>HLV</v>
      </c>
      <c r="D131" s="14">
        <f>INDEX(StartupfileInput!$A$2:$I$326,MATCH(Calculation!$A131,StartupfileInput!$C$2:$C$326,0),8)</f>
        <v>313.3</v>
      </c>
      <c r="E131" s="20">
        <f>INDEX(ActiveDistricts!$A$2:$J$326,MATCH(Calculation!$A131,ActiveDistricts!$C$2:$C$326,0),10)</f>
        <v>0.29133858267716534</v>
      </c>
      <c r="F131" s="8">
        <f t="shared" si="9"/>
        <v>0.58599999999999997</v>
      </c>
      <c r="G131" s="8">
        <f t="shared" si="10"/>
        <v>0.63900000000000001</v>
      </c>
      <c r="H131" s="8">
        <f t="shared" si="7"/>
        <v>1.2250000000000001</v>
      </c>
      <c r="I131">
        <f>INDEX(StartupfileInput!$A$2:$I$326,MATCH(Calculation!$A131,StartupfileInput!$C$2:$C$326,0),9)</f>
        <v>7478</v>
      </c>
      <c r="J131" s="106">
        <f t="shared" si="11"/>
        <v>7700</v>
      </c>
      <c r="K131" s="9">
        <f t="shared" si="8"/>
        <v>4512</v>
      </c>
      <c r="L131" s="9">
        <f t="shared" si="12"/>
        <v>4921</v>
      </c>
      <c r="M131" s="9">
        <f t="shared" si="13"/>
        <v>9433</v>
      </c>
    </row>
    <row r="132" spans="1:13" ht="12.75" x14ac:dyDescent="0.2">
      <c r="A132" s="26" t="str">
        <f>StartupfileInput!C130</f>
        <v>2772</v>
      </c>
      <c r="B132" s="1" t="str">
        <f>INDEX(ActiveDistricts!$A$2:$J$326,MATCH(Calculation!$A132,ActiveDistricts!$C$2:$C$326,0),6)</f>
        <v>2772</v>
      </c>
      <c r="C132" s="1" t="str">
        <f>INDEX(ActiveDistricts!$A$2:$J$326,MATCH(Calculation!$A132,ActiveDistricts!$C$2:$C$326,0),7)</f>
        <v>Hamburg</v>
      </c>
      <c r="D132" s="14">
        <f>INDEX(StartupfileInput!$A$2:$I$326,MATCH(Calculation!$A132,StartupfileInput!$C$2:$C$326,0),8)</f>
        <v>226</v>
      </c>
      <c r="E132" s="20">
        <f>INDEX(ActiveDistricts!$A$2:$J$326,MATCH(Calculation!$A132,ActiveDistricts!$C$2:$C$326,0),10)</f>
        <v>0.6875</v>
      </c>
      <c r="F132" s="8">
        <f t="shared" si="9"/>
        <v>0.998</v>
      </c>
      <c r="G132" s="8">
        <f t="shared" si="10"/>
        <v>0.46100000000000002</v>
      </c>
      <c r="H132" s="8">
        <f t="shared" ref="H132:H195" si="14">SUM(F132:G132)</f>
        <v>1.4590000000000001</v>
      </c>
      <c r="I132">
        <f>INDEX(StartupfileInput!$A$2:$I$326,MATCH(Calculation!$A132,StartupfileInput!$C$2:$C$326,0),9)</f>
        <v>7519</v>
      </c>
      <c r="J132" s="106">
        <f t="shared" si="11"/>
        <v>7741</v>
      </c>
      <c r="K132" s="9">
        <f t="shared" ref="K132:K195" si="15">ROUND(F132*J132,0)</f>
        <v>7726</v>
      </c>
      <c r="L132" s="9">
        <f t="shared" si="12"/>
        <v>3568</v>
      </c>
      <c r="M132" s="9">
        <f t="shared" si="13"/>
        <v>11294</v>
      </c>
    </row>
    <row r="133" spans="1:13" ht="12.75" x14ac:dyDescent="0.2">
      <c r="A133" s="26" t="str">
        <f>StartupfileInput!C131</f>
        <v>2781</v>
      </c>
      <c r="B133" s="1" t="str">
        <f>INDEX(ActiveDistricts!$A$2:$J$326,MATCH(Calculation!$A133,ActiveDistricts!$C$2:$C$326,0),6)</f>
        <v>2781</v>
      </c>
      <c r="C133" s="1" t="str">
        <f>INDEX(ActiveDistricts!$A$2:$J$326,MATCH(Calculation!$A133,ActiveDistricts!$C$2:$C$326,0),7)</f>
        <v>Hampton-Dumont</v>
      </c>
      <c r="D133" s="14">
        <f>INDEX(StartupfileInput!$A$2:$I$326,MATCH(Calculation!$A133,StartupfileInput!$C$2:$C$326,0),8)</f>
        <v>1119.5</v>
      </c>
      <c r="E133" s="20">
        <f>INDEX(ActiveDistricts!$A$2:$J$326,MATCH(Calculation!$A133,ActiveDistricts!$C$2:$C$326,0),10)</f>
        <v>0.57659574468085106</v>
      </c>
      <c r="F133" s="8">
        <f t="shared" ref="F133:F196" si="16">ROUND(D133*E133*$F$3,3)</f>
        <v>4.1440000000000001</v>
      </c>
      <c r="G133" s="8">
        <f t="shared" ref="G133:G196" si="17">ROUND(D133*$G$3,3)</f>
        <v>2.2839999999999998</v>
      </c>
      <c r="H133" s="8">
        <f t="shared" si="14"/>
        <v>6.4279999999999999</v>
      </c>
      <c r="I133">
        <f>INDEX(StartupfileInput!$A$2:$I$326,MATCH(Calculation!$A133,StartupfileInput!$C$2:$C$326,0),9)</f>
        <v>7413</v>
      </c>
      <c r="J133" s="106">
        <f t="shared" ref="J133:J196" si="18">MAX(I133+$R$2,$T$2)</f>
        <v>7635</v>
      </c>
      <c r="K133" s="9">
        <f t="shared" si="15"/>
        <v>31639</v>
      </c>
      <c r="L133" s="9">
        <f t="shared" ref="L133:L196" si="19">M133-K133</f>
        <v>17439</v>
      </c>
      <c r="M133" s="9">
        <f t="shared" ref="M133:M196" si="20">ROUND(H133*J133,0)</f>
        <v>49078</v>
      </c>
    </row>
    <row r="134" spans="1:13" ht="12.75" x14ac:dyDescent="0.2">
      <c r="A134" s="26" t="str">
        <f>StartupfileInput!C132</f>
        <v>2826</v>
      </c>
      <c r="B134" s="1" t="str">
        <f>INDEX(ActiveDistricts!$A$2:$J$326,MATCH(Calculation!$A134,ActiveDistricts!$C$2:$C$326,0),6)</f>
        <v>2826</v>
      </c>
      <c r="C134" s="1" t="str">
        <f>INDEX(ActiveDistricts!$A$2:$J$326,MATCH(Calculation!$A134,ActiveDistricts!$C$2:$C$326,0),7)</f>
        <v>Harlan</v>
      </c>
      <c r="D134" s="14">
        <f>INDEX(StartupfileInput!$A$2:$I$326,MATCH(Calculation!$A134,StartupfileInput!$C$2:$C$326,0),8)</f>
        <v>1375.3</v>
      </c>
      <c r="E134" s="20">
        <f>INDEX(ActiveDistricts!$A$2:$J$326,MATCH(Calculation!$A134,ActiveDistricts!$C$2:$C$326,0),10)</f>
        <v>0.44705882352941179</v>
      </c>
      <c r="F134" s="8">
        <f t="shared" si="16"/>
        <v>3.9470000000000001</v>
      </c>
      <c r="G134" s="8">
        <f t="shared" si="17"/>
        <v>2.806</v>
      </c>
      <c r="H134" s="8">
        <f t="shared" si="14"/>
        <v>6.7530000000000001</v>
      </c>
      <c r="I134">
        <f>INDEX(StartupfileInput!$A$2:$I$326,MATCH(Calculation!$A134,StartupfileInput!$C$2:$C$326,0),9)</f>
        <v>7418</v>
      </c>
      <c r="J134" s="106">
        <f t="shared" si="18"/>
        <v>7640</v>
      </c>
      <c r="K134" s="9">
        <f t="shared" si="15"/>
        <v>30155</v>
      </c>
      <c r="L134" s="9">
        <f t="shared" si="19"/>
        <v>21438</v>
      </c>
      <c r="M134" s="9">
        <f t="shared" si="20"/>
        <v>51593</v>
      </c>
    </row>
    <row r="135" spans="1:13" ht="12.75" x14ac:dyDescent="0.2">
      <c r="A135" s="26" t="str">
        <f>StartupfileInput!C133</f>
        <v>2846</v>
      </c>
      <c r="B135" s="1" t="str">
        <f>INDEX(ActiveDistricts!$A$2:$J$326,MATCH(Calculation!$A135,ActiveDistricts!$C$2:$C$326,0),6)</f>
        <v>2846</v>
      </c>
      <c r="C135" s="1" t="str">
        <f>INDEX(ActiveDistricts!$A$2:$J$326,MATCH(Calculation!$A135,ActiveDistricts!$C$2:$C$326,0),7)</f>
        <v>Harris-Lake Park</v>
      </c>
      <c r="D135" s="14">
        <f>INDEX(StartupfileInput!$A$2:$I$326,MATCH(Calculation!$A135,StartupfileInput!$C$2:$C$326,0),8)</f>
        <v>294</v>
      </c>
      <c r="E135" s="20">
        <f>INDEX(ActiveDistricts!$A$2:$J$326,MATCH(Calculation!$A135,ActiveDistricts!$C$2:$C$326,0),10)</f>
        <v>0.36184210526315791</v>
      </c>
      <c r="F135" s="8">
        <f t="shared" si="16"/>
        <v>0.68300000000000005</v>
      </c>
      <c r="G135" s="8">
        <f t="shared" si="17"/>
        <v>0.6</v>
      </c>
      <c r="H135" s="8">
        <f t="shared" si="14"/>
        <v>1.2829999999999999</v>
      </c>
      <c r="I135">
        <f>INDEX(StartupfileInput!$A$2:$I$326,MATCH(Calculation!$A135,StartupfileInput!$C$2:$C$326,0),9)</f>
        <v>7449</v>
      </c>
      <c r="J135" s="106">
        <f t="shared" si="18"/>
        <v>7671</v>
      </c>
      <c r="K135" s="9">
        <f t="shared" si="15"/>
        <v>5239</v>
      </c>
      <c r="L135" s="9">
        <f t="shared" si="19"/>
        <v>4603</v>
      </c>
      <c r="M135" s="9">
        <f t="shared" si="20"/>
        <v>9842</v>
      </c>
    </row>
    <row r="136" spans="1:13" ht="12.75" x14ac:dyDescent="0.2">
      <c r="A136" s="26" t="str">
        <f>StartupfileInput!C134</f>
        <v>2862</v>
      </c>
      <c r="B136" s="1" t="str">
        <f>INDEX(ActiveDistricts!$A$2:$J$326,MATCH(Calculation!$A136,ActiveDistricts!$C$2:$C$326,0),6)</f>
        <v>2862</v>
      </c>
      <c r="C136" s="1" t="str">
        <f>INDEX(ActiveDistricts!$A$2:$J$326,MATCH(Calculation!$A136,ActiveDistricts!$C$2:$C$326,0),7)</f>
        <v>Hartley-Melvin-Sanborn</v>
      </c>
      <c r="D136" s="14">
        <f>INDEX(StartupfileInput!$A$2:$I$326,MATCH(Calculation!$A136,StartupfileInput!$C$2:$C$326,0),8)</f>
        <v>641.70000000000005</v>
      </c>
      <c r="E136" s="20">
        <f>INDEX(ActiveDistricts!$A$2:$J$326,MATCH(Calculation!$A136,ActiveDistricts!$C$2:$C$326,0),10)</f>
        <v>0.54545454545454541</v>
      </c>
      <c r="F136" s="8">
        <f t="shared" si="16"/>
        <v>2.2469999999999999</v>
      </c>
      <c r="G136" s="8">
        <f t="shared" si="17"/>
        <v>1.3089999999999999</v>
      </c>
      <c r="H136" s="8">
        <f t="shared" si="14"/>
        <v>3.556</v>
      </c>
      <c r="I136">
        <f>INDEX(StartupfileInput!$A$2:$I$326,MATCH(Calculation!$A136,StartupfileInput!$C$2:$C$326,0),9)</f>
        <v>7425</v>
      </c>
      <c r="J136" s="106">
        <f t="shared" si="18"/>
        <v>7647</v>
      </c>
      <c r="K136" s="9">
        <f t="shared" si="15"/>
        <v>17183</v>
      </c>
      <c r="L136" s="9">
        <f t="shared" si="19"/>
        <v>10010</v>
      </c>
      <c r="M136" s="9">
        <f t="shared" si="20"/>
        <v>27193</v>
      </c>
    </row>
    <row r="137" spans="1:13" ht="12.75" x14ac:dyDescent="0.2">
      <c r="A137" s="26" t="str">
        <f>StartupfileInput!C135</f>
        <v>2977</v>
      </c>
      <c r="B137" s="1" t="str">
        <f>INDEX(ActiveDistricts!$A$2:$J$326,MATCH(Calculation!$A137,ActiveDistricts!$C$2:$C$326,0),6)</f>
        <v>2977</v>
      </c>
      <c r="C137" s="1" t="str">
        <f>INDEX(ActiveDistricts!$A$2:$J$326,MATCH(Calculation!$A137,ActiveDistricts!$C$2:$C$326,0),7)</f>
        <v>Highland</v>
      </c>
      <c r="D137" s="14">
        <f>INDEX(StartupfileInput!$A$2:$I$326,MATCH(Calculation!$A137,StartupfileInput!$C$2:$C$326,0),8)</f>
        <v>583</v>
      </c>
      <c r="E137" s="20">
        <f>INDEX(ActiveDistricts!$A$2:$J$326,MATCH(Calculation!$A137,ActiveDistricts!$C$2:$C$326,0),10)</f>
        <v>0.21311475409836064</v>
      </c>
      <c r="F137" s="8">
        <f t="shared" si="16"/>
        <v>0.79800000000000004</v>
      </c>
      <c r="G137" s="8">
        <f t="shared" si="17"/>
        <v>1.1890000000000001</v>
      </c>
      <c r="H137" s="8">
        <f t="shared" si="14"/>
        <v>1.9870000000000001</v>
      </c>
      <c r="I137">
        <f>INDEX(StartupfileInput!$A$2:$I$326,MATCH(Calculation!$A137,StartupfileInput!$C$2:$C$326,0),9)</f>
        <v>7413</v>
      </c>
      <c r="J137" s="106">
        <f t="shared" si="18"/>
        <v>7635</v>
      </c>
      <c r="K137" s="9">
        <f t="shared" si="15"/>
        <v>6093</v>
      </c>
      <c r="L137" s="9">
        <f t="shared" si="19"/>
        <v>9078</v>
      </c>
      <c r="M137" s="9">
        <f t="shared" si="20"/>
        <v>15171</v>
      </c>
    </row>
    <row r="138" spans="1:13" ht="12.75" x14ac:dyDescent="0.2">
      <c r="A138" s="26" t="str">
        <f>StartupfileInput!C136</f>
        <v>2988</v>
      </c>
      <c r="B138" s="1" t="str">
        <f>INDEX(ActiveDistricts!$A$2:$J$326,MATCH(Calculation!$A138,ActiveDistricts!$C$2:$C$326,0),6)</f>
        <v>2988</v>
      </c>
      <c r="C138" s="1" t="str">
        <f>INDEX(ActiveDistricts!$A$2:$J$326,MATCH(Calculation!$A138,ActiveDistricts!$C$2:$C$326,0),7)</f>
        <v>Hinton</v>
      </c>
      <c r="D138" s="14">
        <f>INDEX(StartupfileInput!$A$2:$I$326,MATCH(Calculation!$A138,StartupfileInput!$C$2:$C$326,0),8)</f>
        <v>557.1</v>
      </c>
      <c r="E138" s="20">
        <f>INDEX(ActiveDistricts!$A$2:$J$326,MATCH(Calculation!$A138,ActiveDistricts!$C$2:$C$326,0),10)</f>
        <v>0.17548746518105848</v>
      </c>
      <c r="F138" s="8">
        <f t="shared" si="16"/>
        <v>0.628</v>
      </c>
      <c r="G138" s="8">
        <f t="shared" si="17"/>
        <v>1.1359999999999999</v>
      </c>
      <c r="H138" s="8">
        <f t="shared" si="14"/>
        <v>1.7639999999999998</v>
      </c>
      <c r="I138">
        <f>INDEX(StartupfileInput!$A$2:$I$326,MATCH(Calculation!$A138,StartupfileInput!$C$2:$C$326,0),9)</f>
        <v>7413</v>
      </c>
      <c r="J138" s="106">
        <f t="shared" si="18"/>
        <v>7635</v>
      </c>
      <c r="K138" s="9">
        <f t="shared" si="15"/>
        <v>4795</v>
      </c>
      <c r="L138" s="9">
        <f t="shared" si="19"/>
        <v>8673</v>
      </c>
      <c r="M138" s="9">
        <f t="shared" si="20"/>
        <v>13468</v>
      </c>
    </row>
    <row r="139" spans="1:13" ht="12.75" x14ac:dyDescent="0.2">
      <c r="A139" s="26" t="str">
        <f>StartupfileInput!C137</f>
        <v>3029</v>
      </c>
      <c r="B139" s="1" t="str">
        <f>INDEX(ActiveDistricts!$A$2:$J$326,MATCH(Calculation!$A139,ActiveDistricts!$C$2:$C$326,0),6)</f>
        <v>3029</v>
      </c>
      <c r="C139" s="1" t="str">
        <f>INDEX(ActiveDistricts!$A$2:$J$326,MATCH(Calculation!$A139,ActiveDistricts!$C$2:$C$326,0),7)</f>
        <v>Howard-Winneshiek</v>
      </c>
      <c r="D139" s="14">
        <f>INDEX(StartupfileInput!$A$2:$I$326,MATCH(Calculation!$A139,StartupfileInput!$C$2:$C$326,0),8)</f>
        <v>1151.7</v>
      </c>
      <c r="E139" s="20">
        <f>INDEX(ActiveDistricts!$A$2:$J$326,MATCH(Calculation!$A139,ActiveDistricts!$C$2:$C$326,0),10)</f>
        <v>0.5386819484240688</v>
      </c>
      <c r="F139" s="8">
        <f t="shared" si="16"/>
        <v>3.9830000000000001</v>
      </c>
      <c r="G139" s="8">
        <f t="shared" si="17"/>
        <v>2.3490000000000002</v>
      </c>
      <c r="H139" s="8">
        <f t="shared" si="14"/>
        <v>6.3320000000000007</v>
      </c>
      <c r="I139">
        <f>INDEX(StartupfileInput!$A$2:$I$326,MATCH(Calculation!$A139,StartupfileInput!$C$2:$C$326,0),9)</f>
        <v>7501</v>
      </c>
      <c r="J139" s="106">
        <f t="shared" si="18"/>
        <v>7723</v>
      </c>
      <c r="K139" s="9">
        <f t="shared" si="15"/>
        <v>30761</v>
      </c>
      <c r="L139" s="9">
        <f t="shared" si="19"/>
        <v>18141</v>
      </c>
      <c r="M139" s="9">
        <f t="shared" si="20"/>
        <v>48902</v>
      </c>
    </row>
    <row r="140" spans="1:13" ht="12.75" x14ac:dyDescent="0.2">
      <c r="A140" s="26" t="str">
        <f>StartupfileInput!C138</f>
        <v>3033</v>
      </c>
      <c r="B140" s="1" t="str">
        <f>INDEX(ActiveDistricts!$A$2:$J$326,MATCH(Calculation!$A140,ActiveDistricts!$C$2:$C$326,0),6)</f>
        <v>3033</v>
      </c>
      <c r="C140" s="1" t="str">
        <f>INDEX(ActiveDistricts!$A$2:$J$326,MATCH(Calculation!$A140,ActiveDistricts!$C$2:$C$326,0),7)</f>
        <v>Hubbard-Radcliffe</v>
      </c>
      <c r="D140" s="14">
        <f>INDEX(StartupfileInput!$A$2:$I$326,MATCH(Calculation!$A140,StartupfileInput!$C$2:$C$326,0),8)</f>
        <v>411.8</v>
      </c>
      <c r="E140" s="20">
        <f>INDEX(ActiveDistricts!$A$2:$J$326,MATCH(Calculation!$A140,ActiveDistricts!$C$2:$C$326,0),10)</f>
        <v>0.359375</v>
      </c>
      <c r="F140" s="8">
        <f t="shared" si="16"/>
        <v>0.95</v>
      </c>
      <c r="G140" s="8">
        <f t="shared" si="17"/>
        <v>0.84</v>
      </c>
      <c r="H140" s="8">
        <f t="shared" si="14"/>
        <v>1.79</v>
      </c>
      <c r="I140">
        <f>INDEX(StartupfileInput!$A$2:$I$326,MATCH(Calculation!$A140,StartupfileInput!$C$2:$C$326,0),9)</f>
        <v>7490</v>
      </c>
      <c r="J140" s="106">
        <f t="shared" si="18"/>
        <v>7712</v>
      </c>
      <c r="K140" s="9">
        <f t="shared" si="15"/>
        <v>7326</v>
      </c>
      <c r="L140" s="9">
        <f t="shared" si="19"/>
        <v>6478</v>
      </c>
      <c r="M140" s="9">
        <f t="shared" si="20"/>
        <v>13804</v>
      </c>
    </row>
    <row r="141" spans="1:13" ht="12.75" x14ac:dyDescent="0.2">
      <c r="A141" s="26" t="str">
        <f>StartupfileInput!C139</f>
        <v>3042</v>
      </c>
      <c r="B141" s="1" t="str">
        <f>INDEX(ActiveDistricts!$A$2:$J$326,MATCH(Calculation!$A141,ActiveDistricts!$C$2:$C$326,0),6)</f>
        <v>3042</v>
      </c>
      <c r="C141" s="1" t="str">
        <f>INDEX(ActiveDistricts!$A$2:$J$326,MATCH(Calculation!$A141,ActiveDistricts!$C$2:$C$326,0),7)</f>
        <v>Hudson</v>
      </c>
      <c r="D141" s="14">
        <f>INDEX(StartupfileInput!$A$2:$I$326,MATCH(Calculation!$A141,StartupfileInput!$C$2:$C$326,0),8)</f>
        <v>714.7</v>
      </c>
      <c r="E141" s="20">
        <f>INDEX(ActiveDistricts!$A$2:$J$326,MATCH(Calculation!$A141,ActiveDistricts!$C$2:$C$326,0),10)</f>
        <v>0.24739583333333334</v>
      </c>
      <c r="F141" s="8">
        <f t="shared" si="16"/>
        <v>1.135</v>
      </c>
      <c r="G141" s="8">
        <f t="shared" si="17"/>
        <v>1.458</v>
      </c>
      <c r="H141" s="8">
        <f t="shared" si="14"/>
        <v>2.593</v>
      </c>
      <c r="I141">
        <f>INDEX(StartupfileInput!$A$2:$I$326,MATCH(Calculation!$A141,StartupfileInput!$C$2:$C$326,0),9)</f>
        <v>7553</v>
      </c>
      <c r="J141" s="106">
        <f t="shared" si="18"/>
        <v>7775</v>
      </c>
      <c r="K141" s="9">
        <f t="shared" si="15"/>
        <v>8825</v>
      </c>
      <c r="L141" s="9">
        <f t="shared" si="19"/>
        <v>11336</v>
      </c>
      <c r="M141" s="9">
        <f t="shared" si="20"/>
        <v>20161</v>
      </c>
    </row>
    <row r="142" spans="1:13" ht="12.75" x14ac:dyDescent="0.2">
      <c r="A142" s="26" t="str">
        <f>StartupfileInput!C140</f>
        <v>3060</v>
      </c>
      <c r="B142" s="1" t="str">
        <f>INDEX(ActiveDistricts!$A$2:$J$326,MATCH(Calculation!$A142,ActiveDistricts!$C$2:$C$326,0),6)</f>
        <v>3060</v>
      </c>
      <c r="C142" s="1" t="str">
        <f>INDEX(ActiveDistricts!$A$2:$J$326,MATCH(Calculation!$A142,ActiveDistricts!$C$2:$C$326,0),7)</f>
        <v>Humboldt</v>
      </c>
      <c r="D142" s="14">
        <f>INDEX(StartupfileInput!$A$2:$I$326,MATCH(Calculation!$A142,StartupfileInput!$C$2:$C$326,0),8)</f>
        <v>1246.8</v>
      </c>
      <c r="E142" s="20">
        <f>INDEX(ActiveDistricts!$A$2:$J$326,MATCH(Calculation!$A142,ActiveDistricts!$C$2:$C$326,0),10)</f>
        <v>0.42880794701986757</v>
      </c>
      <c r="F142" s="8">
        <f t="shared" si="16"/>
        <v>3.4319999999999999</v>
      </c>
      <c r="G142" s="8">
        <f t="shared" si="17"/>
        <v>2.5430000000000001</v>
      </c>
      <c r="H142" s="8">
        <f t="shared" si="14"/>
        <v>5.9749999999999996</v>
      </c>
      <c r="I142">
        <f>INDEX(StartupfileInput!$A$2:$I$326,MATCH(Calculation!$A142,StartupfileInput!$C$2:$C$326,0),9)</f>
        <v>7413</v>
      </c>
      <c r="J142" s="106">
        <f t="shared" si="18"/>
        <v>7635</v>
      </c>
      <c r="K142" s="9">
        <f t="shared" si="15"/>
        <v>26203</v>
      </c>
      <c r="L142" s="9">
        <f t="shared" si="19"/>
        <v>19416</v>
      </c>
      <c r="M142" s="9">
        <f t="shared" si="20"/>
        <v>45619</v>
      </c>
    </row>
    <row r="143" spans="1:13" ht="12.75" x14ac:dyDescent="0.2">
      <c r="A143" s="26" t="str">
        <f>StartupfileInput!C141</f>
        <v>3168</v>
      </c>
      <c r="B143" s="1" t="str">
        <f>INDEX(ActiveDistricts!$A$2:$J$326,MATCH(Calculation!$A143,ActiveDistricts!$C$2:$C$326,0),6)</f>
        <v>3168</v>
      </c>
      <c r="C143" s="1" t="str">
        <f>INDEX(ActiveDistricts!$A$2:$J$326,MATCH(Calculation!$A143,ActiveDistricts!$C$2:$C$326,0),7)</f>
        <v>IKM-Manning</v>
      </c>
      <c r="D143" s="14">
        <f>INDEX(StartupfileInput!$A$2:$I$326,MATCH(Calculation!$A143,StartupfileInput!$C$2:$C$326,0),8)</f>
        <v>666.1</v>
      </c>
      <c r="E143" s="20">
        <f>INDEX(ActiveDistricts!$A$2:$J$326,MATCH(Calculation!$A143,ActiveDistricts!$C$2:$C$326,0),10)</f>
        <v>0.37037037037037035</v>
      </c>
      <c r="F143" s="8">
        <f t="shared" si="16"/>
        <v>1.5840000000000001</v>
      </c>
      <c r="G143" s="8">
        <f t="shared" si="17"/>
        <v>1.359</v>
      </c>
      <c r="H143" s="8">
        <f t="shared" si="14"/>
        <v>2.9430000000000001</v>
      </c>
      <c r="I143">
        <f>INDEX(StartupfileInput!$A$2:$I$326,MATCH(Calculation!$A143,StartupfileInput!$C$2:$C$326,0),9)</f>
        <v>7479</v>
      </c>
      <c r="J143" s="106">
        <f t="shared" si="18"/>
        <v>7701</v>
      </c>
      <c r="K143" s="9">
        <f t="shared" si="15"/>
        <v>12198</v>
      </c>
      <c r="L143" s="9">
        <f t="shared" si="19"/>
        <v>10466</v>
      </c>
      <c r="M143" s="9">
        <f t="shared" si="20"/>
        <v>22664</v>
      </c>
    </row>
    <row r="144" spans="1:13" ht="12.75" x14ac:dyDescent="0.2">
      <c r="A144" s="26" t="str">
        <f>StartupfileInput!C142</f>
        <v>3105</v>
      </c>
      <c r="B144" s="1" t="str">
        <f>INDEX(ActiveDistricts!$A$2:$J$326,MATCH(Calculation!$A144,ActiveDistricts!$C$2:$C$326,0),6)</f>
        <v>3105</v>
      </c>
      <c r="C144" s="1" t="str">
        <f>INDEX(ActiveDistricts!$A$2:$J$326,MATCH(Calculation!$A144,ActiveDistricts!$C$2:$C$326,0),7)</f>
        <v>Independence</v>
      </c>
      <c r="D144" s="14">
        <f>INDEX(StartupfileInput!$A$2:$I$326,MATCH(Calculation!$A144,StartupfileInput!$C$2:$C$326,0),8)</f>
        <v>1383.7</v>
      </c>
      <c r="E144" s="20">
        <f>INDEX(ActiveDistricts!$A$2:$J$326,MATCH(Calculation!$A144,ActiveDistricts!$C$2:$C$326,0),10)</f>
        <v>0.39130434782608697</v>
      </c>
      <c r="F144" s="8">
        <f t="shared" si="16"/>
        <v>3.476</v>
      </c>
      <c r="G144" s="8">
        <f t="shared" si="17"/>
        <v>2.823</v>
      </c>
      <c r="H144" s="8">
        <f t="shared" si="14"/>
        <v>6.2989999999999995</v>
      </c>
      <c r="I144">
        <f>INDEX(StartupfileInput!$A$2:$I$326,MATCH(Calculation!$A144,StartupfileInput!$C$2:$C$326,0),9)</f>
        <v>7413</v>
      </c>
      <c r="J144" s="106">
        <f t="shared" si="18"/>
        <v>7635</v>
      </c>
      <c r="K144" s="9">
        <f t="shared" si="15"/>
        <v>26539</v>
      </c>
      <c r="L144" s="9">
        <f t="shared" si="19"/>
        <v>21554</v>
      </c>
      <c r="M144" s="9">
        <f t="shared" si="20"/>
        <v>48093</v>
      </c>
    </row>
    <row r="145" spans="1:13" ht="12.75" x14ac:dyDescent="0.2">
      <c r="A145" s="26" t="str">
        <f>StartupfileInput!C143</f>
        <v>3114</v>
      </c>
      <c r="B145" s="1" t="str">
        <f>INDEX(ActiveDistricts!$A$2:$J$326,MATCH(Calculation!$A145,ActiveDistricts!$C$2:$C$326,0),6)</f>
        <v>3114</v>
      </c>
      <c r="C145" s="1" t="str">
        <f>INDEX(ActiveDistricts!$A$2:$J$326,MATCH(Calculation!$A145,ActiveDistricts!$C$2:$C$326,0),7)</f>
        <v>Indianola</v>
      </c>
      <c r="D145" s="14">
        <f>INDEX(StartupfileInput!$A$2:$I$326,MATCH(Calculation!$A145,StartupfileInput!$C$2:$C$326,0),8)</f>
        <v>3436.6</v>
      </c>
      <c r="E145" s="20">
        <f>INDEX(ActiveDistricts!$A$2:$J$326,MATCH(Calculation!$A145,ActiveDistricts!$C$2:$C$326,0),10)</f>
        <v>0.31693290734824281</v>
      </c>
      <c r="F145" s="8">
        <f t="shared" si="16"/>
        <v>6.992</v>
      </c>
      <c r="G145" s="8">
        <f t="shared" si="17"/>
        <v>7.0110000000000001</v>
      </c>
      <c r="H145" s="8">
        <f t="shared" si="14"/>
        <v>14.003</v>
      </c>
      <c r="I145">
        <f>INDEX(StartupfileInput!$A$2:$I$326,MATCH(Calculation!$A145,StartupfileInput!$C$2:$C$326,0),9)</f>
        <v>7413</v>
      </c>
      <c r="J145" s="106">
        <f t="shared" si="18"/>
        <v>7635</v>
      </c>
      <c r="K145" s="9">
        <f t="shared" si="15"/>
        <v>53384</v>
      </c>
      <c r="L145" s="9">
        <f t="shared" si="19"/>
        <v>53529</v>
      </c>
      <c r="M145" s="9">
        <f t="shared" si="20"/>
        <v>106913</v>
      </c>
    </row>
    <row r="146" spans="1:13" ht="12.75" x14ac:dyDescent="0.2">
      <c r="A146" s="26" t="str">
        <f>StartupfileInput!C144</f>
        <v>3119</v>
      </c>
      <c r="B146" s="1" t="str">
        <f>INDEX(ActiveDistricts!$A$2:$J$326,MATCH(Calculation!$A146,ActiveDistricts!$C$2:$C$326,0),6)</f>
        <v>3119</v>
      </c>
      <c r="C146" s="1" t="str">
        <f>INDEX(ActiveDistricts!$A$2:$J$326,MATCH(Calculation!$A146,ActiveDistricts!$C$2:$C$326,0),7)</f>
        <v>Interstate 35</v>
      </c>
      <c r="D146" s="14">
        <f>INDEX(StartupfileInput!$A$2:$I$326,MATCH(Calculation!$A146,StartupfileInput!$C$2:$C$326,0),8)</f>
        <v>838.8</v>
      </c>
      <c r="E146" s="20">
        <f>INDEX(ActiveDistricts!$A$2:$J$326,MATCH(Calculation!$A146,ActiveDistricts!$C$2:$C$326,0),10)</f>
        <v>0.26646706586826346</v>
      </c>
      <c r="F146" s="8">
        <f t="shared" si="16"/>
        <v>1.4350000000000001</v>
      </c>
      <c r="G146" s="8">
        <f t="shared" si="17"/>
        <v>1.7110000000000001</v>
      </c>
      <c r="H146" s="8">
        <f t="shared" si="14"/>
        <v>3.1459999999999999</v>
      </c>
      <c r="I146">
        <f>INDEX(StartupfileInput!$A$2:$I$326,MATCH(Calculation!$A146,StartupfileInput!$C$2:$C$326,0),9)</f>
        <v>7413</v>
      </c>
      <c r="J146" s="106">
        <f t="shared" si="18"/>
        <v>7635</v>
      </c>
      <c r="K146" s="9">
        <f t="shared" si="15"/>
        <v>10956</v>
      </c>
      <c r="L146" s="9">
        <f t="shared" si="19"/>
        <v>13064</v>
      </c>
      <c r="M146" s="9">
        <f t="shared" si="20"/>
        <v>24020</v>
      </c>
    </row>
    <row r="147" spans="1:13" ht="12.75" x14ac:dyDescent="0.2">
      <c r="A147" s="26" t="str">
        <f>StartupfileInput!C145</f>
        <v>3141</v>
      </c>
      <c r="B147" s="1" t="str">
        <f>INDEX(ActiveDistricts!$A$2:$J$326,MATCH(Calculation!$A147,ActiveDistricts!$C$2:$C$326,0),6)</f>
        <v>3141</v>
      </c>
      <c r="C147" s="1" t="str">
        <f>INDEX(ActiveDistricts!$A$2:$J$326,MATCH(Calculation!$A147,ActiveDistricts!$C$2:$C$326,0),7)</f>
        <v>Iowa City</v>
      </c>
      <c r="D147" s="14">
        <f>INDEX(StartupfileInput!$A$2:$I$326,MATCH(Calculation!$A147,StartupfileInput!$C$2:$C$326,0),8)</f>
        <v>14439.8</v>
      </c>
      <c r="E147" s="20">
        <f>INDEX(ActiveDistricts!$A$2:$J$326,MATCH(Calculation!$A147,ActiveDistricts!$C$2:$C$326,0),10)</f>
        <v>0.43340510612119348</v>
      </c>
      <c r="F147" s="8">
        <f t="shared" si="16"/>
        <v>40.177999999999997</v>
      </c>
      <c r="G147" s="8">
        <f t="shared" si="17"/>
        <v>29.457000000000001</v>
      </c>
      <c r="H147" s="8">
        <f t="shared" si="14"/>
        <v>69.634999999999991</v>
      </c>
      <c r="I147">
        <f>INDEX(StartupfileInput!$A$2:$I$326,MATCH(Calculation!$A147,StartupfileInput!$C$2:$C$326,0),9)</f>
        <v>7413</v>
      </c>
      <c r="J147" s="106">
        <f t="shared" si="18"/>
        <v>7635</v>
      </c>
      <c r="K147" s="9">
        <f t="shared" si="15"/>
        <v>306759</v>
      </c>
      <c r="L147" s="9">
        <f t="shared" si="19"/>
        <v>224904</v>
      </c>
      <c r="M147" s="9">
        <f t="shared" si="20"/>
        <v>531663</v>
      </c>
    </row>
    <row r="148" spans="1:13" ht="12.75" x14ac:dyDescent="0.2">
      <c r="A148" s="26" t="str">
        <f>StartupfileInput!C146</f>
        <v>3150</v>
      </c>
      <c r="B148" s="1" t="str">
        <f>INDEX(ActiveDistricts!$A$2:$J$326,MATCH(Calculation!$A148,ActiveDistricts!$C$2:$C$326,0),6)</f>
        <v>3150</v>
      </c>
      <c r="C148" s="1" t="str">
        <f>INDEX(ActiveDistricts!$A$2:$J$326,MATCH(Calculation!$A148,ActiveDistricts!$C$2:$C$326,0),7)</f>
        <v>Iowa Falls</v>
      </c>
      <c r="D148" s="14">
        <f>INDEX(StartupfileInput!$A$2:$I$326,MATCH(Calculation!$A148,StartupfileInput!$C$2:$C$326,0),8)</f>
        <v>1002.3</v>
      </c>
      <c r="E148" s="20">
        <f>INDEX(ActiveDistricts!$A$2:$J$326,MATCH(Calculation!$A148,ActiveDistricts!$C$2:$C$326,0),10)</f>
        <v>0.43287037037037035</v>
      </c>
      <c r="F148" s="8">
        <f t="shared" si="16"/>
        <v>2.7850000000000001</v>
      </c>
      <c r="G148" s="8">
        <f t="shared" si="17"/>
        <v>2.0449999999999999</v>
      </c>
      <c r="H148" s="8">
        <f t="shared" si="14"/>
        <v>4.83</v>
      </c>
      <c r="I148">
        <f>INDEX(StartupfileInput!$A$2:$I$326,MATCH(Calculation!$A148,StartupfileInput!$C$2:$C$326,0),9)</f>
        <v>7413</v>
      </c>
      <c r="J148" s="106">
        <f t="shared" si="18"/>
        <v>7635</v>
      </c>
      <c r="K148" s="9">
        <f t="shared" si="15"/>
        <v>21263</v>
      </c>
      <c r="L148" s="9">
        <f t="shared" si="19"/>
        <v>15614</v>
      </c>
      <c r="M148" s="9">
        <f t="shared" si="20"/>
        <v>36877</v>
      </c>
    </row>
    <row r="149" spans="1:13" ht="12.75" x14ac:dyDescent="0.2">
      <c r="A149" s="26" t="str">
        <f>StartupfileInput!C147</f>
        <v>3154</v>
      </c>
      <c r="B149" s="1" t="str">
        <f>INDEX(ActiveDistricts!$A$2:$J$326,MATCH(Calculation!$A149,ActiveDistricts!$C$2:$C$326,0),6)</f>
        <v>3154</v>
      </c>
      <c r="C149" s="1" t="str">
        <f>INDEX(ActiveDistricts!$A$2:$J$326,MATCH(Calculation!$A149,ActiveDistricts!$C$2:$C$326,0),7)</f>
        <v>Iowa Valley</v>
      </c>
      <c r="D149" s="14">
        <f>INDEX(StartupfileInput!$A$2:$I$326,MATCH(Calculation!$A149,StartupfileInput!$C$2:$C$326,0),8)</f>
        <v>500</v>
      </c>
      <c r="E149" s="20">
        <f>INDEX(ActiveDistricts!$A$2:$J$326,MATCH(Calculation!$A149,ActiveDistricts!$C$2:$C$326,0),10)</f>
        <v>0.41935483870967744</v>
      </c>
      <c r="F149" s="8">
        <f t="shared" si="16"/>
        <v>1.3460000000000001</v>
      </c>
      <c r="G149" s="8">
        <f t="shared" si="17"/>
        <v>1.02</v>
      </c>
      <c r="H149" s="8">
        <f t="shared" si="14"/>
        <v>2.3660000000000001</v>
      </c>
      <c r="I149">
        <f>INDEX(StartupfileInput!$A$2:$I$326,MATCH(Calculation!$A149,StartupfileInput!$C$2:$C$326,0),9)</f>
        <v>7413</v>
      </c>
      <c r="J149" s="106">
        <f t="shared" si="18"/>
        <v>7635</v>
      </c>
      <c r="K149" s="9">
        <f t="shared" si="15"/>
        <v>10277</v>
      </c>
      <c r="L149" s="9">
        <f t="shared" si="19"/>
        <v>7787</v>
      </c>
      <c r="M149" s="9">
        <f t="shared" si="20"/>
        <v>18064</v>
      </c>
    </row>
    <row r="150" spans="1:13" ht="12.75" x14ac:dyDescent="0.2">
      <c r="A150" s="26" t="str">
        <f>StartupfileInput!C148</f>
        <v>3186</v>
      </c>
      <c r="B150" s="1" t="str">
        <f>INDEX(ActiveDistricts!$A$2:$J$326,MATCH(Calculation!$A150,ActiveDistricts!$C$2:$C$326,0),6)</f>
        <v>3186</v>
      </c>
      <c r="C150" s="1" t="str">
        <f>INDEX(ActiveDistricts!$A$2:$J$326,MATCH(Calculation!$A150,ActiveDistricts!$C$2:$C$326,0),7)</f>
        <v>Janesville</v>
      </c>
      <c r="D150" s="14">
        <f>INDEX(StartupfileInput!$A$2:$I$326,MATCH(Calculation!$A150,StartupfileInput!$C$2:$C$326,0),8)</f>
        <v>440.9</v>
      </c>
      <c r="E150" s="20">
        <f>INDEX(ActiveDistricts!$A$2:$J$326,MATCH(Calculation!$A150,ActiveDistricts!$C$2:$C$326,0),10)</f>
        <v>0.20370370370370369</v>
      </c>
      <c r="F150" s="8">
        <f t="shared" si="16"/>
        <v>0.57699999999999996</v>
      </c>
      <c r="G150" s="8">
        <f t="shared" si="17"/>
        <v>0.89900000000000002</v>
      </c>
      <c r="H150" s="8">
        <f t="shared" si="14"/>
        <v>1.476</v>
      </c>
      <c r="I150">
        <f>INDEX(StartupfileInput!$A$2:$I$326,MATCH(Calculation!$A150,StartupfileInput!$C$2:$C$326,0),9)</f>
        <v>7453</v>
      </c>
      <c r="J150" s="106">
        <f t="shared" si="18"/>
        <v>7675</v>
      </c>
      <c r="K150" s="9">
        <f t="shared" si="15"/>
        <v>4428</v>
      </c>
      <c r="L150" s="9">
        <f t="shared" si="19"/>
        <v>6900</v>
      </c>
      <c r="M150" s="9">
        <f t="shared" si="20"/>
        <v>11328</v>
      </c>
    </row>
    <row r="151" spans="1:13" ht="12.75" x14ac:dyDescent="0.2">
      <c r="A151" s="26" t="str">
        <f>StartupfileInput!C149</f>
        <v>3204</v>
      </c>
      <c r="B151" s="1" t="str">
        <f>INDEX(ActiveDistricts!$A$2:$J$326,MATCH(Calculation!$A151,ActiveDistricts!$C$2:$C$326,0),6)</f>
        <v>3204</v>
      </c>
      <c r="C151" s="1" t="str">
        <f>INDEX(ActiveDistricts!$A$2:$J$326,MATCH(Calculation!$A151,ActiveDistricts!$C$2:$C$326,0),7)</f>
        <v>Jesup</v>
      </c>
      <c r="D151" s="14">
        <f>INDEX(StartupfileInput!$A$2:$I$326,MATCH(Calculation!$A151,StartupfileInput!$C$2:$C$326,0),8)</f>
        <v>894.1</v>
      </c>
      <c r="E151" s="20">
        <f>INDEX(ActiveDistricts!$A$2:$J$326,MATCH(Calculation!$A151,ActiveDistricts!$C$2:$C$326,0),10)</f>
        <v>0.21029082774049218</v>
      </c>
      <c r="F151" s="8">
        <f t="shared" si="16"/>
        <v>1.2070000000000001</v>
      </c>
      <c r="G151" s="8">
        <f t="shared" si="17"/>
        <v>1.8240000000000001</v>
      </c>
      <c r="H151" s="8">
        <f t="shared" si="14"/>
        <v>3.0310000000000001</v>
      </c>
      <c r="I151">
        <f>INDEX(StartupfileInput!$A$2:$I$326,MATCH(Calculation!$A151,StartupfileInput!$C$2:$C$326,0),9)</f>
        <v>7413</v>
      </c>
      <c r="J151" s="106">
        <f t="shared" si="18"/>
        <v>7635</v>
      </c>
      <c r="K151" s="9">
        <f t="shared" si="15"/>
        <v>9215</v>
      </c>
      <c r="L151" s="9">
        <f t="shared" si="19"/>
        <v>13927</v>
      </c>
      <c r="M151" s="9">
        <f t="shared" si="20"/>
        <v>23142</v>
      </c>
    </row>
    <row r="152" spans="1:13" ht="12.75" x14ac:dyDescent="0.2">
      <c r="A152" s="26" t="str">
        <f>StartupfileInput!C150</f>
        <v>3231</v>
      </c>
      <c r="B152" s="1" t="str">
        <f>INDEX(ActiveDistricts!$A$2:$J$326,MATCH(Calculation!$A152,ActiveDistricts!$C$2:$C$326,0),6)</f>
        <v>3231</v>
      </c>
      <c r="C152" s="1" t="str">
        <f>INDEX(ActiveDistricts!$A$2:$J$326,MATCH(Calculation!$A152,ActiveDistricts!$C$2:$C$326,0),7)</f>
        <v>Johnston</v>
      </c>
      <c r="D152" s="14">
        <f>INDEX(StartupfileInput!$A$2:$I$326,MATCH(Calculation!$A152,StartupfileInput!$C$2:$C$326,0),8)</f>
        <v>6984.8</v>
      </c>
      <c r="E152" s="20">
        <f>INDEX(ActiveDistricts!$A$2:$J$326,MATCH(Calculation!$A152,ActiveDistricts!$C$2:$C$326,0),10)</f>
        <v>0.29128074097732354</v>
      </c>
      <c r="F152" s="8">
        <f t="shared" si="16"/>
        <v>13.061999999999999</v>
      </c>
      <c r="G152" s="8">
        <f t="shared" si="17"/>
        <v>14.249000000000001</v>
      </c>
      <c r="H152" s="8">
        <f t="shared" si="14"/>
        <v>27.311</v>
      </c>
      <c r="I152">
        <f>INDEX(StartupfileInput!$A$2:$I$326,MATCH(Calculation!$A152,StartupfileInput!$C$2:$C$326,0),9)</f>
        <v>7413</v>
      </c>
      <c r="J152" s="106">
        <f t="shared" si="18"/>
        <v>7635</v>
      </c>
      <c r="K152" s="9">
        <f t="shared" si="15"/>
        <v>99728</v>
      </c>
      <c r="L152" s="9">
        <f t="shared" si="19"/>
        <v>108791</v>
      </c>
      <c r="M152" s="9">
        <f t="shared" si="20"/>
        <v>208519</v>
      </c>
    </row>
    <row r="153" spans="1:13" ht="12.75" x14ac:dyDescent="0.2">
      <c r="A153" s="26" t="str">
        <f>StartupfileInput!C151</f>
        <v>3312</v>
      </c>
      <c r="B153" s="1" t="str">
        <f>INDEX(ActiveDistricts!$A$2:$J$326,MATCH(Calculation!$A153,ActiveDistricts!$C$2:$C$326,0),6)</f>
        <v>3312</v>
      </c>
      <c r="C153" s="1" t="str">
        <f>INDEX(ActiveDistricts!$A$2:$J$326,MATCH(Calculation!$A153,ActiveDistricts!$C$2:$C$326,0),7)</f>
        <v>Keokuk</v>
      </c>
      <c r="D153" s="14">
        <f>INDEX(StartupfileInput!$A$2:$I$326,MATCH(Calculation!$A153,StartupfileInput!$C$2:$C$326,0),8)</f>
        <v>1850</v>
      </c>
      <c r="E153" s="20">
        <f>INDEX(ActiveDistricts!$A$2:$J$326,MATCH(Calculation!$A153,ActiveDistricts!$C$2:$C$326,0),10)</f>
        <v>0.65119549929676512</v>
      </c>
      <c r="F153" s="8">
        <f t="shared" si="16"/>
        <v>7.734</v>
      </c>
      <c r="G153" s="8">
        <f t="shared" si="17"/>
        <v>3.774</v>
      </c>
      <c r="H153" s="8">
        <f t="shared" si="14"/>
        <v>11.507999999999999</v>
      </c>
      <c r="I153">
        <f>INDEX(StartupfileInput!$A$2:$I$326,MATCH(Calculation!$A153,StartupfileInput!$C$2:$C$326,0),9)</f>
        <v>7413</v>
      </c>
      <c r="J153" s="106">
        <f t="shared" si="18"/>
        <v>7635</v>
      </c>
      <c r="K153" s="9">
        <f t="shared" si="15"/>
        <v>59049</v>
      </c>
      <c r="L153" s="9">
        <f t="shared" si="19"/>
        <v>28815</v>
      </c>
      <c r="M153" s="9">
        <f t="shared" si="20"/>
        <v>87864</v>
      </c>
    </row>
    <row r="154" spans="1:13" ht="12.75" x14ac:dyDescent="0.2">
      <c r="A154" s="26" t="str">
        <f>StartupfileInput!C152</f>
        <v>3330</v>
      </c>
      <c r="B154" s="1" t="str">
        <f>INDEX(ActiveDistricts!$A$2:$J$326,MATCH(Calculation!$A154,ActiveDistricts!$C$2:$C$326,0),6)</f>
        <v>3330</v>
      </c>
      <c r="C154" s="1" t="str">
        <f>INDEX(ActiveDistricts!$A$2:$J$326,MATCH(Calculation!$A154,ActiveDistricts!$C$2:$C$326,0),7)</f>
        <v>Keota</v>
      </c>
      <c r="D154" s="14">
        <f>INDEX(StartupfileInput!$A$2:$I$326,MATCH(Calculation!$A154,StartupfileInput!$C$2:$C$326,0),8)</f>
        <v>360.7</v>
      </c>
      <c r="E154" s="20">
        <f>INDEX(ActiveDistricts!$A$2:$J$326,MATCH(Calculation!$A154,ActiveDistricts!$C$2:$C$326,0),10)</f>
        <v>0.40441176470588236</v>
      </c>
      <c r="F154" s="8">
        <f t="shared" si="16"/>
        <v>0.93600000000000005</v>
      </c>
      <c r="G154" s="8">
        <f t="shared" si="17"/>
        <v>0.73599999999999999</v>
      </c>
      <c r="H154" s="8">
        <f t="shared" si="14"/>
        <v>1.6720000000000002</v>
      </c>
      <c r="I154">
        <f>INDEX(StartupfileInput!$A$2:$I$326,MATCH(Calculation!$A154,StartupfileInput!$C$2:$C$326,0),9)</f>
        <v>7422</v>
      </c>
      <c r="J154" s="106">
        <f t="shared" si="18"/>
        <v>7644</v>
      </c>
      <c r="K154" s="9">
        <f t="shared" si="15"/>
        <v>7155</v>
      </c>
      <c r="L154" s="9">
        <f t="shared" si="19"/>
        <v>5626</v>
      </c>
      <c r="M154" s="9">
        <f t="shared" si="20"/>
        <v>12781</v>
      </c>
    </row>
    <row r="155" spans="1:13" ht="12.75" x14ac:dyDescent="0.2">
      <c r="A155" s="26" t="str">
        <f>StartupfileInput!C153</f>
        <v>3348</v>
      </c>
      <c r="B155" s="1" t="str">
        <f>INDEX(ActiveDistricts!$A$2:$J$326,MATCH(Calculation!$A155,ActiveDistricts!$C$2:$C$326,0),6)</f>
        <v>3348</v>
      </c>
      <c r="C155" s="1" t="str">
        <f>INDEX(ActiveDistricts!$A$2:$J$326,MATCH(Calculation!$A155,ActiveDistricts!$C$2:$C$326,0),7)</f>
        <v>Kingsley-Pierson</v>
      </c>
      <c r="D155" s="14">
        <f>INDEX(StartupfileInput!$A$2:$I$326,MATCH(Calculation!$A155,StartupfileInput!$C$2:$C$326,0),8)</f>
        <v>471.1</v>
      </c>
      <c r="E155" s="20">
        <f>INDEX(ActiveDistricts!$A$2:$J$326,MATCH(Calculation!$A155,ActiveDistricts!$C$2:$C$326,0),10)</f>
        <v>0.38805970149253732</v>
      </c>
      <c r="F155" s="8">
        <f t="shared" si="16"/>
        <v>1.1739999999999999</v>
      </c>
      <c r="G155" s="8">
        <f t="shared" si="17"/>
        <v>0.96099999999999997</v>
      </c>
      <c r="H155" s="8">
        <f t="shared" si="14"/>
        <v>2.1349999999999998</v>
      </c>
      <c r="I155">
        <f>INDEX(StartupfileInput!$A$2:$I$326,MATCH(Calculation!$A155,StartupfileInput!$C$2:$C$326,0),9)</f>
        <v>7481</v>
      </c>
      <c r="J155" s="106">
        <f t="shared" si="18"/>
        <v>7703</v>
      </c>
      <c r="K155" s="9">
        <f t="shared" si="15"/>
        <v>9043</v>
      </c>
      <c r="L155" s="9">
        <f t="shared" si="19"/>
        <v>7403</v>
      </c>
      <c r="M155" s="9">
        <f t="shared" si="20"/>
        <v>16446</v>
      </c>
    </row>
    <row r="156" spans="1:13" ht="12.75" x14ac:dyDescent="0.2">
      <c r="A156" s="26" t="str">
        <f>StartupfileInput!C154</f>
        <v>3375</v>
      </c>
      <c r="B156" s="1" t="str">
        <f>INDEX(ActiveDistricts!$A$2:$J$326,MATCH(Calculation!$A156,ActiveDistricts!$C$2:$C$326,0),6)</f>
        <v>3375</v>
      </c>
      <c r="C156" s="1" t="str">
        <f>INDEX(ActiveDistricts!$A$2:$J$326,MATCH(Calculation!$A156,ActiveDistricts!$C$2:$C$326,0),7)</f>
        <v>Knoxville</v>
      </c>
      <c r="D156" s="14">
        <f>INDEX(StartupfileInput!$A$2:$I$326,MATCH(Calculation!$A156,StartupfileInput!$C$2:$C$326,0),8)</f>
        <v>1761.2</v>
      </c>
      <c r="E156" s="20">
        <f>INDEX(ActiveDistricts!$A$2:$J$326,MATCH(Calculation!$A156,ActiveDistricts!$C$2:$C$326,0),10)</f>
        <v>0.55341246290801183</v>
      </c>
      <c r="F156" s="8">
        <f t="shared" si="16"/>
        <v>6.2569999999999997</v>
      </c>
      <c r="G156" s="8">
        <f t="shared" si="17"/>
        <v>3.593</v>
      </c>
      <c r="H156" s="8">
        <f t="shared" si="14"/>
        <v>9.85</v>
      </c>
      <c r="I156">
        <f>INDEX(StartupfileInput!$A$2:$I$326,MATCH(Calculation!$A156,StartupfileInput!$C$2:$C$326,0),9)</f>
        <v>7413</v>
      </c>
      <c r="J156" s="106">
        <f t="shared" si="18"/>
        <v>7635</v>
      </c>
      <c r="K156" s="9">
        <f t="shared" si="15"/>
        <v>47772</v>
      </c>
      <c r="L156" s="9">
        <f t="shared" si="19"/>
        <v>27433</v>
      </c>
      <c r="M156" s="9">
        <f t="shared" si="20"/>
        <v>75205</v>
      </c>
    </row>
    <row r="157" spans="1:13" ht="12.75" x14ac:dyDescent="0.2">
      <c r="A157" s="26" t="str">
        <f>StartupfileInput!C155</f>
        <v>3420</v>
      </c>
      <c r="B157" s="1" t="str">
        <f>INDEX(ActiveDistricts!$A$2:$J$326,MATCH(Calculation!$A157,ActiveDistricts!$C$2:$C$326,0),6)</f>
        <v>3420</v>
      </c>
      <c r="C157" s="1" t="str">
        <f>INDEX(ActiveDistricts!$A$2:$J$326,MATCH(Calculation!$A157,ActiveDistricts!$C$2:$C$326,0),7)</f>
        <v>Lake Mills</v>
      </c>
      <c r="D157" s="14">
        <f>INDEX(StartupfileInput!$A$2:$I$326,MATCH(Calculation!$A157,StartupfileInput!$C$2:$C$326,0),8)</f>
        <v>565.1</v>
      </c>
      <c r="E157" s="20">
        <f>INDEX(ActiveDistricts!$A$2:$J$326,MATCH(Calculation!$A157,ActiveDistricts!$C$2:$C$326,0),10)</f>
        <v>0.3140794223826715</v>
      </c>
      <c r="F157" s="8">
        <f t="shared" si="16"/>
        <v>1.139</v>
      </c>
      <c r="G157" s="8">
        <f t="shared" si="17"/>
        <v>1.153</v>
      </c>
      <c r="H157" s="8">
        <f t="shared" si="14"/>
        <v>2.2919999999999998</v>
      </c>
      <c r="I157">
        <f>INDEX(StartupfileInput!$A$2:$I$326,MATCH(Calculation!$A157,StartupfileInput!$C$2:$C$326,0),9)</f>
        <v>7413</v>
      </c>
      <c r="J157" s="106">
        <f t="shared" si="18"/>
        <v>7635</v>
      </c>
      <c r="K157" s="9">
        <f t="shared" si="15"/>
        <v>8696</v>
      </c>
      <c r="L157" s="9">
        <f t="shared" si="19"/>
        <v>8803</v>
      </c>
      <c r="M157" s="9">
        <f t="shared" si="20"/>
        <v>17499</v>
      </c>
    </row>
    <row r="158" spans="1:13" ht="12.75" x14ac:dyDescent="0.2">
      <c r="A158" s="26" t="str">
        <f>StartupfileInput!C156</f>
        <v>3465</v>
      </c>
      <c r="B158" s="1" t="str">
        <f>INDEX(ActiveDistricts!$A$2:$J$326,MATCH(Calculation!$A158,ActiveDistricts!$C$2:$C$326,0),6)</f>
        <v>3465</v>
      </c>
      <c r="C158" s="1" t="str">
        <f>INDEX(ActiveDistricts!$A$2:$J$326,MATCH(Calculation!$A158,ActiveDistricts!$C$2:$C$326,0),7)</f>
        <v>Lamoni</v>
      </c>
      <c r="D158" s="14">
        <f>INDEX(StartupfileInput!$A$2:$I$326,MATCH(Calculation!$A158,StartupfileInput!$C$2:$C$326,0),8)</f>
        <v>336.8</v>
      </c>
      <c r="E158" s="20">
        <f>INDEX(ActiveDistricts!$A$2:$J$326,MATCH(Calculation!$A158,ActiveDistricts!$C$2:$C$326,0),10)</f>
        <v>0.64102564102564108</v>
      </c>
      <c r="F158" s="8">
        <f t="shared" si="16"/>
        <v>1.3859999999999999</v>
      </c>
      <c r="G158" s="8">
        <f t="shared" si="17"/>
        <v>0.68700000000000006</v>
      </c>
      <c r="H158" s="8">
        <f t="shared" si="14"/>
        <v>2.073</v>
      </c>
      <c r="I158">
        <f>INDEX(StartupfileInput!$A$2:$I$326,MATCH(Calculation!$A158,StartupfileInput!$C$2:$C$326,0),9)</f>
        <v>7413</v>
      </c>
      <c r="J158" s="106">
        <f t="shared" si="18"/>
        <v>7635</v>
      </c>
      <c r="K158" s="9">
        <f t="shared" si="15"/>
        <v>10582</v>
      </c>
      <c r="L158" s="9">
        <f t="shared" si="19"/>
        <v>5245</v>
      </c>
      <c r="M158" s="9">
        <f t="shared" si="20"/>
        <v>15827</v>
      </c>
    </row>
    <row r="159" spans="1:13" ht="12.75" x14ac:dyDescent="0.2">
      <c r="A159" s="26" t="str">
        <f>StartupfileInput!C157</f>
        <v>3537</v>
      </c>
      <c r="B159" s="1" t="str">
        <f>INDEX(ActiveDistricts!$A$2:$J$326,MATCH(Calculation!$A159,ActiveDistricts!$C$2:$C$326,0),6)</f>
        <v>3537</v>
      </c>
      <c r="C159" s="1" t="str">
        <f>INDEX(ActiveDistricts!$A$2:$J$326,MATCH(Calculation!$A159,ActiveDistricts!$C$2:$C$326,0),7)</f>
        <v>Laurens-Marathon</v>
      </c>
      <c r="D159" s="14">
        <f>INDEX(StartupfileInput!$A$2:$I$326,MATCH(Calculation!$A159,StartupfileInput!$C$2:$C$326,0),8)</f>
        <v>299.3</v>
      </c>
      <c r="E159" s="20">
        <f>INDEX(ActiveDistricts!$A$2:$J$326,MATCH(Calculation!$A159,ActiveDistricts!$C$2:$C$326,0),10)</f>
        <v>0.65263157894736845</v>
      </c>
      <c r="F159" s="8">
        <f t="shared" si="16"/>
        <v>1.254</v>
      </c>
      <c r="G159" s="8">
        <f t="shared" si="17"/>
        <v>0.61099999999999999</v>
      </c>
      <c r="H159" s="8">
        <f t="shared" si="14"/>
        <v>1.865</v>
      </c>
      <c r="I159">
        <f>INDEX(StartupfileInput!$A$2:$I$326,MATCH(Calculation!$A159,StartupfileInput!$C$2:$C$326,0),9)</f>
        <v>7413</v>
      </c>
      <c r="J159" s="106">
        <f t="shared" si="18"/>
        <v>7635</v>
      </c>
      <c r="K159" s="9">
        <f t="shared" si="15"/>
        <v>9574</v>
      </c>
      <c r="L159" s="9">
        <f t="shared" si="19"/>
        <v>4665</v>
      </c>
      <c r="M159" s="9">
        <f t="shared" si="20"/>
        <v>14239</v>
      </c>
    </row>
    <row r="160" spans="1:13" ht="12.75" x14ac:dyDescent="0.2">
      <c r="A160" s="26" t="str">
        <f>StartupfileInput!C158</f>
        <v>3555</v>
      </c>
      <c r="B160" s="1" t="str">
        <f>INDEX(ActiveDistricts!$A$2:$J$326,MATCH(Calculation!$A160,ActiveDistricts!$C$2:$C$326,0),6)</f>
        <v>3555</v>
      </c>
      <c r="C160" s="1" t="str">
        <f>INDEX(ActiveDistricts!$A$2:$J$326,MATCH(Calculation!$A160,ActiveDistricts!$C$2:$C$326,0),7)</f>
        <v>Lawton-Bronson</v>
      </c>
      <c r="D160" s="14">
        <f>INDEX(StartupfileInput!$A$2:$I$326,MATCH(Calculation!$A160,StartupfileInput!$C$2:$C$326,0),8)</f>
        <v>611.5</v>
      </c>
      <c r="E160" s="20">
        <f>INDEX(ActiveDistricts!$A$2:$J$326,MATCH(Calculation!$A160,ActiveDistricts!$C$2:$C$326,0),10)</f>
        <v>0.22666666666666666</v>
      </c>
      <c r="F160" s="8">
        <f t="shared" si="16"/>
        <v>0.89</v>
      </c>
      <c r="G160" s="8">
        <f t="shared" si="17"/>
        <v>1.2470000000000001</v>
      </c>
      <c r="H160" s="8">
        <f t="shared" si="14"/>
        <v>2.137</v>
      </c>
      <c r="I160">
        <f>INDEX(StartupfileInput!$A$2:$I$326,MATCH(Calculation!$A160,StartupfileInput!$C$2:$C$326,0),9)</f>
        <v>7413</v>
      </c>
      <c r="J160" s="106">
        <f t="shared" si="18"/>
        <v>7635</v>
      </c>
      <c r="K160" s="9">
        <f t="shared" si="15"/>
        <v>6795</v>
      </c>
      <c r="L160" s="9">
        <f t="shared" si="19"/>
        <v>9521</v>
      </c>
      <c r="M160" s="9">
        <f t="shared" si="20"/>
        <v>16316</v>
      </c>
    </row>
    <row r="161" spans="1:13" ht="12.75" x14ac:dyDescent="0.2">
      <c r="A161" s="26" t="str">
        <f>StartupfileInput!C159</f>
        <v>3600</v>
      </c>
      <c r="B161" s="1" t="str">
        <f>INDEX(ActiveDistricts!$A$2:$J$326,MATCH(Calculation!$A161,ActiveDistricts!$C$2:$C$326,0),6)</f>
        <v>3600</v>
      </c>
      <c r="C161" s="1" t="str">
        <f>INDEX(ActiveDistricts!$A$2:$J$326,MATCH(Calculation!$A161,ActiveDistricts!$C$2:$C$326,0),7)</f>
        <v>Le Mars</v>
      </c>
      <c r="D161" s="14">
        <f>INDEX(StartupfileInput!$A$2:$I$326,MATCH(Calculation!$A161,StartupfileInput!$C$2:$C$326,0),8)</f>
        <v>2235.3000000000002</v>
      </c>
      <c r="E161" s="20">
        <f>INDEX(ActiveDistricts!$A$2:$J$326,MATCH(Calculation!$A161,ActiveDistricts!$C$2:$C$326,0),10)</f>
        <v>0.42726347914547302</v>
      </c>
      <c r="F161" s="8">
        <f t="shared" si="16"/>
        <v>6.1310000000000002</v>
      </c>
      <c r="G161" s="8">
        <f t="shared" si="17"/>
        <v>4.5599999999999996</v>
      </c>
      <c r="H161" s="8">
        <f t="shared" si="14"/>
        <v>10.690999999999999</v>
      </c>
      <c r="I161">
        <f>INDEX(StartupfileInput!$A$2:$I$326,MATCH(Calculation!$A161,StartupfileInput!$C$2:$C$326,0),9)</f>
        <v>7413</v>
      </c>
      <c r="J161" s="106">
        <f t="shared" si="18"/>
        <v>7635</v>
      </c>
      <c r="K161" s="9">
        <f t="shared" si="15"/>
        <v>46810</v>
      </c>
      <c r="L161" s="9">
        <f t="shared" si="19"/>
        <v>34816</v>
      </c>
      <c r="M161" s="9">
        <f t="shared" si="20"/>
        <v>81626</v>
      </c>
    </row>
    <row r="162" spans="1:13" ht="12.75" x14ac:dyDescent="0.2">
      <c r="A162" s="26" t="str">
        <f>StartupfileInput!C160</f>
        <v>3609</v>
      </c>
      <c r="B162" s="1" t="str">
        <f>INDEX(ActiveDistricts!$A$2:$J$326,MATCH(Calculation!$A162,ActiveDistricts!$C$2:$C$326,0),6)</f>
        <v>3609</v>
      </c>
      <c r="C162" s="1" t="str">
        <f>INDEX(ActiveDistricts!$A$2:$J$326,MATCH(Calculation!$A162,ActiveDistricts!$C$2:$C$326,0),7)</f>
        <v>Lenox</v>
      </c>
      <c r="D162" s="14">
        <f>INDEX(StartupfileInput!$A$2:$I$326,MATCH(Calculation!$A162,StartupfileInput!$C$2:$C$326,0),8)</f>
        <v>450.4</v>
      </c>
      <c r="E162" s="20">
        <f>INDEX(ActiveDistricts!$A$2:$J$326,MATCH(Calculation!$A162,ActiveDistricts!$C$2:$C$326,0),10)</f>
        <v>0.58173076923076927</v>
      </c>
      <c r="F162" s="8">
        <f t="shared" si="16"/>
        <v>1.6819999999999999</v>
      </c>
      <c r="G162" s="8">
        <f t="shared" si="17"/>
        <v>0.91900000000000004</v>
      </c>
      <c r="H162" s="8">
        <f t="shared" si="14"/>
        <v>2.601</v>
      </c>
      <c r="I162">
        <f>INDEX(StartupfileInput!$A$2:$I$326,MATCH(Calculation!$A162,StartupfileInput!$C$2:$C$326,0),9)</f>
        <v>7413</v>
      </c>
      <c r="J162" s="106">
        <f t="shared" si="18"/>
        <v>7635</v>
      </c>
      <c r="K162" s="9">
        <f t="shared" si="15"/>
        <v>12842</v>
      </c>
      <c r="L162" s="9">
        <f t="shared" si="19"/>
        <v>7017</v>
      </c>
      <c r="M162" s="9">
        <f t="shared" si="20"/>
        <v>19859</v>
      </c>
    </row>
    <row r="163" spans="1:13" ht="12.75" x14ac:dyDescent="0.2">
      <c r="A163" s="26" t="str">
        <f>StartupfileInput!C161</f>
        <v>3645</v>
      </c>
      <c r="B163" s="1" t="str">
        <f>INDEX(ActiveDistricts!$A$2:$J$326,MATCH(Calculation!$A163,ActiveDistricts!$C$2:$C$326,0),6)</f>
        <v>3645</v>
      </c>
      <c r="C163" s="1" t="str">
        <f>INDEX(ActiveDistricts!$A$2:$J$326,MATCH(Calculation!$A163,ActiveDistricts!$C$2:$C$326,0),7)</f>
        <v>Lewis Central</v>
      </c>
      <c r="D163" s="14">
        <f>INDEX(StartupfileInput!$A$2:$I$326,MATCH(Calculation!$A163,StartupfileInput!$C$2:$C$326,0),8)</f>
        <v>2655.6</v>
      </c>
      <c r="E163" s="20">
        <f>INDEX(ActiveDistricts!$A$2:$J$326,MATCH(Calculation!$A163,ActiveDistricts!$C$2:$C$326,0),10)</f>
        <v>0.40305343511450381</v>
      </c>
      <c r="F163" s="8">
        <f t="shared" si="16"/>
        <v>6.8719999999999999</v>
      </c>
      <c r="G163" s="8">
        <f t="shared" si="17"/>
        <v>5.4169999999999998</v>
      </c>
      <c r="H163" s="8">
        <f t="shared" si="14"/>
        <v>12.289</v>
      </c>
      <c r="I163">
        <f>INDEX(StartupfileInput!$A$2:$I$326,MATCH(Calculation!$A163,StartupfileInput!$C$2:$C$326,0),9)</f>
        <v>7413</v>
      </c>
      <c r="J163" s="106">
        <f t="shared" si="18"/>
        <v>7635</v>
      </c>
      <c r="K163" s="9">
        <f t="shared" si="15"/>
        <v>52468</v>
      </c>
      <c r="L163" s="9">
        <f t="shared" si="19"/>
        <v>41359</v>
      </c>
      <c r="M163" s="9">
        <f t="shared" si="20"/>
        <v>93827</v>
      </c>
    </row>
    <row r="164" spans="1:13" ht="12.75" x14ac:dyDescent="0.2">
      <c r="A164" s="26" t="str">
        <f>StartupfileInput!C162</f>
        <v>3715</v>
      </c>
      <c r="B164" s="1" t="str">
        <f>INDEX(ActiveDistricts!$A$2:$J$326,MATCH(Calculation!$A164,ActiveDistricts!$C$2:$C$326,0),6)</f>
        <v>3715</v>
      </c>
      <c r="C164" s="1" t="str">
        <f>INDEX(ActiveDistricts!$A$2:$J$326,MATCH(Calculation!$A164,ActiveDistricts!$C$2:$C$326,0),7)</f>
        <v>Linn-Mar</v>
      </c>
      <c r="D164" s="14">
        <f>INDEX(StartupfileInput!$A$2:$I$326,MATCH(Calculation!$A164,StartupfileInput!$C$2:$C$326,0),8)</f>
        <v>7685.5</v>
      </c>
      <c r="E164" s="20">
        <f>INDEX(ActiveDistricts!$A$2:$J$326,MATCH(Calculation!$A164,ActiveDistricts!$C$2:$C$326,0),10)</f>
        <v>0.24610408703322553</v>
      </c>
      <c r="F164" s="8">
        <f t="shared" si="16"/>
        <v>12.143000000000001</v>
      </c>
      <c r="G164" s="8">
        <f t="shared" si="17"/>
        <v>15.678000000000001</v>
      </c>
      <c r="H164" s="8">
        <f t="shared" si="14"/>
        <v>27.821000000000002</v>
      </c>
      <c r="I164">
        <f>INDEX(StartupfileInput!$A$2:$I$326,MATCH(Calculation!$A164,StartupfileInput!$C$2:$C$326,0),9)</f>
        <v>7413</v>
      </c>
      <c r="J164" s="106">
        <f t="shared" si="18"/>
        <v>7635</v>
      </c>
      <c r="K164" s="9">
        <f t="shared" si="15"/>
        <v>92712</v>
      </c>
      <c r="L164" s="9">
        <f t="shared" si="19"/>
        <v>119701</v>
      </c>
      <c r="M164" s="9">
        <f t="shared" si="20"/>
        <v>212413</v>
      </c>
    </row>
    <row r="165" spans="1:13" ht="12.75" x14ac:dyDescent="0.2">
      <c r="A165" s="26" t="str">
        <f>StartupfileInput!C163</f>
        <v>3744</v>
      </c>
      <c r="B165" s="1" t="str">
        <f>INDEX(ActiveDistricts!$A$2:$J$326,MATCH(Calculation!$A165,ActiveDistricts!$C$2:$C$326,0),6)</f>
        <v>3744</v>
      </c>
      <c r="C165" s="1" t="str">
        <f>INDEX(ActiveDistricts!$A$2:$J$326,MATCH(Calculation!$A165,ActiveDistricts!$C$2:$C$326,0),7)</f>
        <v>Lisbon</v>
      </c>
      <c r="D165" s="14">
        <f>INDEX(StartupfileInput!$A$2:$I$326,MATCH(Calculation!$A165,StartupfileInput!$C$2:$C$326,0),8)</f>
        <v>671.1</v>
      </c>
      <c r="E165" s="20">
        <f>INDEX(ActiveDistricts!$A$2:$J$326,MATCH(Calculation!$A165,ActiveDistricts!$C$2:$C$326,0),10)</f>
        <v>0.24149659863945577</v>
      </c>
      <c r="F165" s="8">
        <f t="shared" si="16"/>
        <v>1.04</v>
      </c>
      <c r="G165" s="8">
        <f t="shared" si="17"/>
        <v>1.369</v>
      </c>
      <c r="H165" s="8">
        <f t="shared" si="14"/>
        <v>2.4089999999999998</v>
      </c>
      <c r="I165">
        <f>INDEX(StartupfileInput!$A$2:$I$326,MATCH(Calculation!$A165,StartupfileInput!$C$2:$C$326,0),9)</f>
        <v>7413</v>
      </c>
      <c r="J165" s="106">
        <f t="shared" si="18"/>
        <v>7635</v>
      </c>
      <c r="K165" s="9">
        <f t="shared" si="15"/>
        <v>7940</v>
      </c>
      <c r="L165" s="9">
        <f t="shared" si="19"/>
        <v>10453</v>
      </c>
      <c r="M165" s="9">
        <f t="shared" si="20"/>
        <v>18393</v>
      </c>
    </row>
    <row r="166" spans="1:13" ht="12.75" x14ac:dyDescent="0.2">
      <c r="A166" s="26" t="str">
        <f>StartupfileInput!C164</f>
        <v>3798</v>
      </c>
      <c r="B166" s="1" t="str">
        <f>INDEX(ActiveDistricts!$A$2:$J$326,MATCH(Calculation!$A166,ActiveDistricts!$C$2:$C$326,0),6)</f>
        <v>3798</v>
      </c>
      <c r="C166" s="1" t="str">
        <f>INDEX(ActiveDistricts!$A$2:$J$326,MATCH(Calculation!$A166,ActiveDistricts!$C$2:$C$326,0),7)</f>
        <v>Logan-Magnolia</v>
      </c>
      <c r="D166" s="14">
        <f>INDEX(StartupfileInput!$A$2:$I$326,MATCH(Calculation!$A166,StartupfileInput!$C$2:$C$326,0),8)</f>
        <v>602.9</v>
      </c>
      <c r="E166" s="20">
        <f>INDEX(ActiveDistricts!$A$2:$J$326,MATCH(Calculation!$A166,ActiveDistricts!$C$2:$C$326,0),10)</f>
        <v>0.35472972972972971</v>
      </c>
      <c r="F166" s="8">
        <f t="shared" si="16"/>
        <v>1.373</v>
      </c>
      <c r="G166" s="8">
        <f t="shared" si="17"/>
        <v>1.23</v>
      </c>
      <c r="H166" s="8">
        <f t="shared" si="14"/>
        <v>2.6029999999999998</v>
      </c>
      <c r="I166">
        <f>INDEX(StartupfileInput!$A$2:$I$326,MATCH(Calculation!$A166,StartupfileInput!$C$2:$C$326,0),9)</f>
        <v>7413</v>
      </c>
      <c r="J166" s="106">
        <f t="shared" si="18"/>
        <v>7635</v>
      </c>
      <c r="K166" s="9">
        <f t="shared" si="15"/>
        <v>10483</v>
      </c>
      <c r="L166" s="9">
        <f t="shared" si="19"/>
        <v>9391</v>
      </c>
      <c r="M166" s="9">
        <f t="shared" si="20"/>
        <v>19874</v>
      </c>
    </row>
    <row r="167" spans="1:13" ht="12.75" x14ac:dyDescent="0.2">
      <c r="A167" s="26" t="str">
        <f>StartupfileInput!C165</f>
        <v>3816</v>
      </c>
      <c r="B167" s="1" t="str">
        <f>INDEX(ActiveDistricts!$A$2:$J$326,MATCH(Calculation!$A167,ActiveDistricts!$C$2:$C$326,0),6)</f>
        <v>3816</v>
      </c>
      <c r="C167" s="1" t="str">
        <f>INDEX(ActiveDistricts!$A$2:$J$326,MATCH(Calculation!$A167,ActiveDistricts!$C$2:$C$326,0),7)</f>
        <v>Lone Tree</v>
      </c>
      <c r="D167" s="14">
        <f>INDEX(StartupfileInput!$A$2:$I$326,MATCH(Calculation!$A167,StartupfileInput!$C$2:$C$326,0),8)</f>
        <v>316.8</v>
      </c>
      <c r="E167" s="20">
        <f>INDEX(ActiveDistricts!$A$2:$J$326,MATCH(Calculation!$A167,ActiveDistricts!$C$2:$C$326,0),10)</f>
        <v>0.30337078651685395</v>
      </c>
      <c r="F167" s="8">
        <f t="shared" si="16"/>
        <v>0.61699999999999999</v>
      </c>
      <c r="G167" s="8">
        <f t="shared" si="17"/>
        <v>0.64600000000000002</v>
      </c>
      <c r="H167" s="8">
        <f t="shared" si="14"/>
        <v>1.2629999999999999</v>
      </c>
      <c r="I167">
        <f>INDEX(StartupfileInput!$A$2:$I$326,MATCH(Calculation!$A167,StartupfileInput!$C$2:$C$326,0),9)</f>
        <v>7413</v>
      </c>
      <c r="J167" s="106">
        <f t="shared" si="18"/>
        <v>7635</v>
      </c>
      <c r="K167" s="9">
        <f t="shared" si="15"/>
        <v>4711</v>
      </c>
      <c r="L167" s="9">
        <f t="shared" si="19"/>
        <v>4932</v>
      </c>
      <c r="M167" s="9">
        <f t="shared" si="20"/>
        <v>9643</v>
      </c>
    </row>
    <row r="168" spans="1:13" ht="12.75" x14ac:dyDescent="0.2">
      <c r="A168" s="26" t="str">
        <f>StartupfileInput!C166</f>
        <v>3841</v>
      </c>
      <c r="B168" s="1" t="str">
        <f>INDEX(ActiveDistricts!$A$2:$J$326,MATCH(Calculation!$A168,ActiveDistricts!$C$2:$C$326,0),6)</f>
        <v>3841</v>
      </c>
      <c r="C168" s="1" t="str">
        <f>INDEX(ActiveDistricts!$A$2:$J$326,MATCH(Calculation!$A168,ActiveDistricts!$C$2:$C$326,0),7)</f>
        <v>Louisa-Muscatine</v>
      </c>
      <c r="D168" s="14">
        <f>INDEX(StartupfileInput!$A$2:$I$326,MATCH(Calculation!$A168,StartupfileInput!$C$2:$C$326,0),8)</f>
        <v>687.2</v>
      </c>
      <c r="E168" s="20">
        <f>INDEX(ActiveDistricts!$A$2:$J$326,MATCH(Calculation!$A168,ActiveDistricts!$C$2:$C$326,0),10)</f>
        <v>0.3492957746478873</v>
      </c>
      <c r="F168" s="8">
        <f t="shared" si="16"/>
        <v>1.5409999999999999</v>
      </c>
      <c r="G168" s="8">
        <f t="shared" si="17"/>
        <v>1.4019999999999999</v>
      </c>
      <c r="H168" s="8">
        <f t="shared" si="14"/>
        <v>2.9429999999999996</v>
      </c>
      <c r="I168">
        <f>INDEX(StartupfileInput!$A$2:$I$326,MATCH(Calculation!$A168,StartupfileInput!$C$2:$C$326,0),9)</f>
        <v>7413</v>
      </c>
      <c r="J168" s="106">
        <f t="shared" si="18"/>
        <v>7635</v>
      </c>
      <c r="K168" s="9">
        <f t="shared" si="15"/>
        <v>11766</v>
      </c>
      <c r="L168" s="9">
        <f t="shared" si="19"/>
        <v>10704</v>
      </c>
      <c r="M168" s="9">
        <f t="shared" si="20"/>
        <v>22470</v>
      </c>
    </row>
    <row r="169" spans="1:13" ht="12.75" x14ac:dyDescent="0.2">
      <c r="A169" s="26" t="str">
        <f>StartupfileInput!C167</f>
        <v>3906</v>
      </c>
      <c r="B169" s="1" t="str">
        <f>INDEX(ActiveDistricts!$A$2:$J$326,MATCH(Calculation!$A169,ActiveDistricts!$C$2:$C$326,0),6)</f>
        <v>3906</v>
      </c>
      <c r="C169" s="1" t="str">
        <f>INDEX(ActiveDistricts!$A$2:$J$326,MATCH(Calculation!$A169,ActiveDistricts!$C$2:$C$326,0),7)</f>
        <v>Lynnville-Sully</v>
      </c>
      <c r="D169" s="14">
        <f>INDEX(StartupfileInput!$A$2:$I$326,MATCH(Calculation!$A169,StartupfileInput!$C$2:$C$326,0),8)</f>
        <v>450</v>
      </c>
      <c r="E169" s="20">
        <f>INDEX(ActiveDistricts!$A$2:$J$326,MATCH(Calculation!$A169,ActiveDistricts!$C$2:$C$326,0),10)</f>
        <v>0.23728813559322035</v>
      </c>
      <c r="F169" s="8">
        <f t="shared" si="16"/>
        <v>0.68600000000000005</v>
      </c>
      <c r="G169" s="8">
        <f t="shared" si="17"/>
        <v>0.91800000000000004</v>
      </c>
      <c r="H169" s="8">
        <f t="shared" si="14"/>
        <v>1.6040000000000001</v>
      </c>
      <c r="I169">
        <f>INDEX(StartupfileInput!$A$2:$I$326,MATCH(Calculation!$A169,StartupfileInput!$C$2:$C$326,0),9)</f>
        <v>7413</v>
      </c>
      <c r="J169" s="106">
        <f t="shared" si="18"/>
        <v>7635</v>
      </c>
      <c r="K169" s="9">
        <f t="shared" si="15"/>
        <v>5238</v>
      </c>
      <c r="L169" s="9">
        <f t="shared" si="19"/>
        <v>7009</v>
      </c>
      <c r="M169" s="9">
        <f t="shared" si="20"/>
        <v>12247</v>
      </c>
    </row>
    <row r="170" spans="1:13" ht="12.75" x14ac:dyDescent="0.2">
      <c r="A170" s="26" t="str">
        <f>StartupfileInput!C168</f>
        <v>4419</v>
      </c>
      <c r="B170" s="1" t="str">
        <f>INDEX(ActiveDistricts!$A$2:$J$326,MATCH(Calculation!$A170,ActiveDistricts!$C$2:$C$326,0),6)</f>
        <v>4419</v>
      </c>
      <c r="C170" s="1" t="str">
        <f>INDEX(ActiveDistricts!$A$2:$J$326,MATCH(Calculation!$A170,ActiveDistricts!$C$2:$C$326,0),7)</f>
        <v>MFL Mar Mac</v>
      </c>
      <c r="D170" s="14">
        <f>INDEX(StartupfileInput!$A$2:$I$326,MATCH(Calculation!$A170,StartupfileInput!$C$2:$C$326,0),8)</f>
        <v>806.5</v>
      </c>
      <c r="E170" s="20">
        <f>INDEX(ActiveDistricts!$A$2:$J$326,MATCH(Calculation!$A170,ActiveDistricts!$C$2:$C$326,0),10)</f>
        <v>0.36338028169014086</v>
      </c>
      <c r="F170" s="8">
        <f t="shared" si="16"/>
        <v>1.881</v>
      </c>
      <c r="G170" s="8">
        <f t="shared" si="17"/>
        <v>1.645</v>
      </c>
      <c r="H170" s="8">
        <f t="shared" si="14"/>
        <v>3.5259999999999998</v>
      </c>
      <c r="I170">
        <f>INDEX(StartupfileInput!$A$2:$I$326,MATCH(Calculation!$A170,StartupfileInput!$C$2:$C$326,0),9)</f>
        <v>7415</v>
      </c>
      <c r="J170" s="106">
        <f t="shared" si="18"/>
        <v>7637</v>
      </c>
      <c r="K170" s="9">
        <f t="shared" si="15"/>
        <v>14365</v>
      </c>
      <c r="L170" s="9">
        <f t="shared" si="19"/>
        <v>12563</v>
      </c>
      <c r="M170" s="9">
        <f t="shared" si="20"/>
        <v>26928</v>
      </c>
    </row>
    <row r="171" spans="1:13" ht="12.75" x14ac:dyDescent="0.2">
      <c r="A171" s="26" t="str">
        <f>StartupfileInput!C169</f>
        <v>3942</v>
      </c>
      <c r="B171" s="1" t="str">
        <f>INDEX(ActiveDistricts!$A$2:$J$326,MATCH(Calculation!$A171,ActiveDistricts!$C$2:$C$326,0),6)</f>
        <v>3942</v>
      </c>
      <c r="C171" s="1" t="str">
        <f>INDEX(ActiveDistricts!$A$2:$J$326,MATCH(Calculation!$A171,ActiveDistricts!$C$2:$C$326,0),7)</f>
        <v>Madrid</v>
      </c>
      <c r="D171" s="14">
        <f>INDEX(StartupfileInput!$A$2:$I$326,MATCH(Calculation!$A171,StartupfileInput!$C$2:$C$326,0),8)</f>
        <v>670</v>
      </c>
      <c r="E171" s="20">
        <f>INDEX(ActiveDistricts!$A$2:$J$326,MATCH(Calculation!$A171,ActiveDistricts!$C$2:$C$326,0),10)</f>
        <v>0.26779661016949152</v>
      </c>
      <c r="F171" s="8">
        <f t="shared" si="16"/>
        <v>1.1519999999999999</v>
      </c>
      <c r="G171" s="8">
        <f t="shared" si="17"/>
        <v>1.367</v>
      </c>
      <c r="H171" s="8">
        <f t="shared" si="14"/>
        <v>2.5190000000000001</v>
      </c>
      <c r="I171">
        <f>INDEX(StartupfileInput!$A$2:$I$326,MATCH(Calculation!$A171,StartupfileInput!$C$2:$C$326,0),9)</f>
        <v>7413</v>
      </c>
      <c r="J171" s="106">
        <f t="shared" si="18"/>
        <v>7635</v>
      </c>
      <c r="K171" s="9">
        <f t="shared" si="15"/>
        <v>8796</v>
      </c>
      <c r="L171" s="9">
        <f t="shared" si="19"/>
        <v>10437</v>
      </c>
      <c r="M171" s="9">
        <f t="shared" si="20"/>
        <v>19233</v>
      </c>
    </row>
    <row r="172" spans="1:13" ht="12.75" x14ac:dyDescent="0.2">
      <c r="A172" s="26" t="str">
        <f>StartupfileInput!C170</f>
        <v>4023</v>
      </c>
      <c r="B172" s="1" t="str">
        <f>INDEX(ActiveDistricts!$A$2:$J$326,MATCH(Calculation!$A172,ActiveDistricts!$C$2:$C$326,0),6)</f>
        <v>4023</v>
      </c>
      <c r="C172" s="1" t="str">
        <f>INDEX(ActiveDistricts!$A$2:$J$326,MATCH(Calculation!$A172,ActiveDistricts!$C$2:$C$326,0),7)</f>
        <v>Manson-Northwest Webster</v>
      </c>
      <c r="D172" s="14">
        <f>INDEX(StartupfileInput!$A$2:$I$326,MATCH(Calculation!$A172,StartupfileInput!$C$2:$C$326,0),8)</f>
        <v>655.6</v>
      </c>
      <c r="E172" s="20">
        <f>INDEX(ActiveDistricts!$A$2:$J$326,MATCH(Calculation!$A172,ActiveDistricts!$C$2:$C$326,0),10)</f>
        <v>0.26755852842809363</v>
      </c>
      <c r="F172" s="8">
        <f t="shared" si="16"/>
        <v>1.1259999999999999</v>
      </c>
      <c r="G172" s="8">
        <f t="shared" si="17"/>
        <v>1.337</v>
      </c>
      <c r="H172" s="8">
        <f t="shared" si="14"/>
        <v>2.4630000000000001</v>
      </c>
      <c r="I172">
        <f>INDEX(StartupfileInput!$A$2:$I$326,MATCH(Calculation!$A172,StartupfileInput!$C$2:$C$326,0),9)</f>
        <v>7438</v>
      </c>
      <c r="J172" s="106">
        <f t="shared" si="18"/>
        <v>7660</v>
      </c>
      <c r="K172" s="9">
        <f t="shared" si="15"/>
        <v>8625</v>
      </c>
      <c r="L172" s="9">
        <f t="shared" si="19"/>
        <v>10242</v>
      </c>
      <c r="M172" s="9">
        <f t="shared" si="20"/>
        <v>18867</v>
      </c>
    </row>
    <row r="173" spans="1:13" ht="12.75" x14ac:dyDescent="0.2">
      <c r="A173" s="26" t="str">
        <f>StartupfileInput!C171</f>
        <v>4033</v>
      </c>
      <c r="B173" s="1" t="str">
        <f>INDEX(ActiveDistricts!$A$2:$J$326,MATCH(Calculation!$A173,ActiveDistricts!$C$2:$C$326,0),6)</f>
        <v>4033</v>
      </c>
      <c r="C173" s="1" t="str">
        <f>INDEX(ActiveDistricts!$A$2:$J$326,MATCH(Calculation!$A173,ActiveDistricts!$C$2:$C$326,0),7)</f>
        <v>Maple Valley-Anthon Oto</v>
      </c>
      <c r="D173" s="14">
        <f>INDEX(StartupfileInput!$A$2:$I$326,MATCH(Calculation!$A173,StartupfileInput!$C$2:$C$326,0),8)</f>
        <v>593.79999999999995</v>
      </c>
      <c r="E173" s="20">
        <f>INDEX(ActiveDistricts!$A$2:$J$326,MATCH(Calculation!$A173,ActiveDistricts!$C$2:$C$326,0),10)</f>
        <v>0.57416267942583732</v>
      </c>
      <c r="F173" s="8">
        <f t="shared" si="16"/>
        <v>2.1890000000000001</v>
      </c>
      <c r="G173" s="8">
        <f t="shared" si="17"/>
        <v>1.2110000000000001</v>
      </c>
      <c r="H173" s="8">
        <f t="shared" si="14"/>
        <v>3.4000000000000004</v>
      </c>
      <c r="I173">
        <f>INDEX(StartupfileInput!$A$2:$I$326,MATCH(Calculation!$A173,StartupfileInput!$C$2:$C$326,0),9)</f>
        <v>7485</v>
      </c>
      <c r="J173" s="106">
        <f t="shared" si="18"/>
        <v>7707</v>
      </c>
      <c r="K173" s="9">
        <f t="shared" si="15"/>
        <v>16871</v>
      </c>
      <c r="L173" s="9">
        <f t="shared" si="19"/>
        <v>9333</v>
      </c>
      <c r="M173" s="9">
        <f t="shared" si="20"/>
        <v>26204</v>
      </c>
    </row>
    <row r="174" spans="1:13" ht="12.75" x14ac:dyDescent="0.2">
      <c r="A174" s="26" t="str">
        <f>StartupfileInput!C172</f>
        <v>4041</v>
      </c>
      <c r="B174" s="1" t="str">
        <f>INDEX(ActiveDistricts!$A$2:$J$326,MATCH(Calculation!$A174,ActiveDistricts!$C$2:$C$326,0),6)</f>
        <v>4041</v>
      </c>
      <c r="C174" s="1" t="str">
        <f>INDEX(ActiveDistricts!$A$2:$J$326,MATCH(Calculation!$A174,ActiveDistricts!$C$2:$C$326,0),7)</f>
        <v>Maquoketa</v>
      </c>
      <c r="D174" s="14">
        <f>INDEX(StartupfileInput!$A$2:$I$326,MATCH(Calculation!$A174,StartupfileInput!$C$2:$C$326,0),8)</f>
        <v>1200</v>
      </c>
      <c r="E174" s="20">
        <f>INDEX(ActiveDistricts!$A$2:$J$326,MATCH(Calculation!$A174,ActiveDistricts!$C$2:$C$326,0),10)</f>
        <v>0.59490740740740744</v>
      </c>
      <c r="F174" s="8">
        <f t="shared" si="16"/>
        <v>4.5830000000000002</v>
      </c>
      <c r="G174" s="8">
        <f t="shared" si="17"/>
        <v>2.448</v>
      </c>
      <c r="H174" s="8">
        <f t="shared" si="14"/>
        <v>7.0310000000000006</v>
      </c>
      <c r="I174">
        <f>INDEX(StartupfileInput!$A$2:$I$326,MATCH(Calculation!$A174,StartupfileInput!$C$2:$C$326,0),9)</f>
        <v>7413</v>
      </c>
      <c r="J174" s="106">
        <f t="shared" si="18"/>
        <v>7635</v>
      </c>
      <c r="K174" s="9">
        <f t="shared" si="15"/>
        <v>34991</v>
      </c>
      <c r="L174" s="9">
        <f t="shared" si="19"/>
        <v>18691</v>
      </c>
      <c r="M174" s="9">
        <f t="shared" si="20"/>
        <v>53682</v>
      </c>
    </row>
    <row r="175" spans="1:13" ht="12.75" x14ac:dyDescent="0.2">
      <c r="A175" s="26" t="str">
        <f>StartupfileInput!C173</f>
        <v>4043</v>
      </c>
      <c r="B175" s="1" t="str">
        <f>INDEX(ActiveDistricts!$A$2:$J$326,MATCH(Calculation!$A175,ActiveDistricts!$C$2:$C$326,0),6)</f>
        <v>4043</v>
      </c>
      <c r="C175" s="1" t="str">
        <f>INDEX(ActiveDistricts!$A$2:$J$326,MATCH(Calculation!$A175,ActiveDistricts!$C$2:$C$326,0),7)</f>
        <v>Maquoketa Valley</v>
      </c>
      <c r="D175" s="14">
        <f>INDEX(StartupfileInput!$A$2:$I$326,MATCH(Calculation!$A175,StartupfileInput!$C$2:$C$326,0),8)</f>
        <v>663.1</v>
      </c>
      <c r="E175" s="20">
        <f>INDEX(ActiveDistricts!$A$2:$J$326,MATCH(Calculation!$A175,ActiveDistricts!$C$2:$C$326,0),10)</f>
        <v>0.26910299003322258</v>
      </c>
      <c r="F175" s="8">
        <f t="shared" si="16"/>
        <v>1.1459999999999999</v>
      </c>
      <c r="G175" s="8">
        <f t="shared" si="17"/>
        <v>1.353</v>
      </c>
      <c r="H175" s="8">
        <f t="shared" si="14"/>
        <v>2.4989999999999997</v>
      </c>
      <c r="I175">
        <f>INDEX(StartupfileInput!$A$2:$I$326,MATCH(Calculation!$A175,StartupfileInput!$C$2:$C$326,0),9)</f>
        <v>7413</v>
      </c>
      <c r="J175" s="106">
        <f t="shared" si="18"/>
        <v>7635</v>
      </c>
      <c r="K175" s="9">
        <f t="shared" si="15"/>
        <v>8750</v>
      </c>
      <c r="L175" s="9">
        <f t="shared" si="19"/>
        <v>10330</v>
      </c>
      <c r="M175" s="9">
        <f t="shared" si="20"/>
        <v>19080</v>
      </c>
    </row>
    <row r="176" spans="1:13" ht="12.75" x14ac:dyDescent="0.2">
      <c r="A176" s="26" t="str">
        <f>StartupfileInput!C174</f>
        <v>4068</v>
      </c>
      <c r="B176" s="1" t="str">
        <f>INDEX(ActiveDistricts!$A$2:$J$326,MATCH(Calculation!$A176,ActiveDistricts!$C$2:$C$326,0),6)</f>
        <v>4068</v>
      </c>
      <c r="C176" s="1" t="str">
        <f>INDEX(ActiveDistricts!$A$2:$J$326,MATCH(Calculation!$A176,ActiveDistricts!$C$2:$C$326,0),7)</f>
        <v>Marcus-Meriden Cleghorn</v>
      </c>
      <c r="D176" s="14">
        <f>INDEX(StartupfileInput!$A$2:$I$326,MATCH(Calculation!$A176,StartupfileInput!$C$2:$C$326,0),8)</f>
        <v>465.2</v>
      </c>
      <c r="E176" s="20">
        <f>INDEX(ActiveDistricts!$A$2:$J$326,MATCH(Calculation!$A176,ActiveDistricts!$C$2:$C$326,0),10)</f>
        <v>0.27586206896551724</v>
      </c>
      <c r="F176" s="8">
        <f t="shared" si="16"/>
        <v>0.82399999999999995</v>
      </c>
      <c r="G176" s="8">
        <f t="shared" si="17"/>
        <v>0.94899999999999995</v>
      </c>
      <c r="H176" s="8">
        <f t="shared" si="14"/>
        <v>1.7729999999999999</v>
      </c>
      <c r="I176">
        <f>INDEX(StartupfileInput!$A$2:$I$326,MATCH(Calculation!$A176,StartupfileInput!$C$2:$C$326,0),9)</f>
        <v>7413</v>
      </c>
      <c r="J176" s="106">
        <f t="shared" si="18"/>
        <v>7635</v>
      </c>
      <c r="K176" s="9">
        <f t="shared" si="15"/>
        <v>6291</v>
      </c>
      <c r="L176" s="9">
        <f t="shared" si="19"/>
        <v>7246</v>
      </c>
      <c r="M176" s="9">
        <f t="shared" si="20"/>
        <v>13537</v>
      </c>
    </row>
    <row r="177" spans="1:13" ht="12.75" x14ac:dyDescent="0.2">
      <c r="A177" s="26" t="str">
        <f>StartupfileInput!C175</f>
        <v>4086</v>
      </c>
      <c r="B177" s="1" t="str">
        <f>INDEX(ActiveDistricts!$A$2:$J$326,MATCH(Calculation!$A177,ActiveDistricts!$C$2:$C$326,0),6)</f>
        <v>4086</v>
      </c>
      <c r="C177" s="1" t="str">
        <f>INDEX(ActiveDistricts!$A$2:$J$326,MATCH(Calculation!$A177,ActiveDistricts!$C$2:$C$326,0),7)</f>
        <v>Marion</v>
      </c>
      <c r="D177" s="14">
        <f>INDEX(StartupfileInput!$A$2:$I$326,MATCH(Calculation!$A177,StartupfileInput!$C$2:$C$326,0),8)</f>
        <v>1797.6</v>
      </c>
      <c r="E177" s="20">
        <f>INDEX(ActiveDistricts!$A$2:$J$326,MATCH(Calculation!$A177,ActiveDistricts!$C$2:$C$326,0),10)</f>
        <v>0.45474860335195533</v>
      </c>
      <c r="F177" s="8">
        <f t="shared" si="16"/>
        <v>5.2480000000000002</v>
      </c>
      <c r="G177" s="8">
        <f t="shared" si="17"/>
        <v>3.6669999999999998</v>
      </c>
      <c r="H177" s="8">
        <f t="shared" si="14"/>
        <v>8.9149999999999991</v>
      </c>
      <c r="I177">
        <f>INDEX(StartupfileInput!$A$2:$I$326,MATCH(Calculation!$A177,StartupfileInput!$C$2:$C$326,0),9)</f>
        <v>7480</v>
      </c>
      <c r="J177" s="106">
        <f t="shared" si="18"/>
        <v>7702</v>
      </c>
      <c r="K177" s="9">
        <f t="shared" si="15"/>
        <v>40420</v>
      </c>
      <c r="L177" s="9">
        <f t="shared" si="19"/>
        <v>28243</v>
      </c>
      <c r="M177" s="9">
        <f t="shared" si="20"/>
        <v>68663</v>
      </c>
    </row>
    <row r="178" spans="1:13" ht="12.75" x14ac:dyDescent="0.2">
      <c r="A178" s="26" t="str">
        <f>StartupfileInput!C176</f>
        <v>4104</v>
      </c>
      <c r="B178" s="1" t="str">
        <f>INDEX(ActiveDistricts!$A$2:$J$326,MATCH(Calculation!$A178,ActiveDistricts!$C$2:$C$326,0),6)</f>
        <v>4104</v>
      </c>
      <c r="C178" s="1" t="str">
        <f>INDEX(ActiveDistricts!$A$2:$J$326,MATCH(Calculation!$A178,ActiveDistricts!$C$2:$C$326,0),7)</f>
        <v>Marshalltown</v>
      </c>
      <c r="D178" s="14">
        <f>INDEX(StartupfileInput!$A$2:$I$326,MATCH(Calculation!$A178,StartupfileInput!$C$2:$C$326,0),8)</f>
        <v>5374.9</v>
      </c>
      <c r="E178" s="20">
        <f>INDEX(ActiveDistricts!$A$2:$J$326,MATCH(Calculation!$A178,ActiveDistricts!$C$2:$C$326,0),10)</f>
        <v>0.79932465026531596</v>
      </c>
      <c r="F178" s="8">
        <f t="shared" si="16"/>
        <v>27.582000000000001</v>
      </c>
      <c r="G178" s="8">
        <f t="shared" si="17"/>
        <v>10.965</v>
      </c>
      <c r="H178" s="8">
        <f t="shared" si="14"/>
        <v>38.546999999999997</v>
      </c>
      <c r="I178">
        <f>INDEX(StartupfileInput!$A$2:$I$326,MATCH(Calculation!$A178,StartupfileInput!$C$2:$C$326,0),9)</f>
        <v>7419</v>
      </c>
      <c r="J178" s="106">
        <f t="shared" si="18"/>
        <v>7641</v>
      </c>
      <c r="K178" s="9">
        <f t="shared" si="15"/>
        <v>210754</v>
      </c>
      <c r="L178" s="9">
        <f t="shared" si="19"/>
        <v>83784</v>
      </c>
      <c r="M178" s="9">
        <f t="shared" si="20"/>
        <v>294538</v>
      </c>
    </row>
    <row r="179" spans="1:13" ht="12.75" x14ac:dyDescent="0.2">
      <c r="A179" s="26" t="str">
        <f>StartupfileInput!C177</f>
        <v>4122</v>
      </c>
      <c r="B179" s="1" t="str">
        <f>INDEX(ActiveDistricts!$A$2:$J$326,MATCH(Calculation!$A179,ActiveDistricts!$C$2:$C$326,0),6)</f>
        <v>4122</v>
      </c>
      <c r="C179" s="1" t="str">
        <f>INDEX(ActiveDistricts!$A$2:$J$326,MATCH(Calculation!$A179,ActiveDistricts!$C$2:$C$326,0),7)</f>
        <v>Martensdale-St Marys</v>
      </c>
      <c r="D179" s="14">
        <f>INDEX(StartupfileInput!$A$2:$I$326,MATCH(Calculation!$A179,StartupfileInput!$C$2:$C$326,0),8)</f>
        <v>511.4</v>
      </c>
      <c r="E179" s="20">
        <f>INDEX(ActiveDistricts!$A$2:$J$326,MATCH(Calculation!$A179,ActiveDistricts!$C$2:$C$326,0),10)</f>
        <v>0.17256637168141592</v>
      </c>
      <c r="F179" s="8">
        <f t="shared" si="16"/>
        <v>0.56699999999999995</v>
      </c>
      <c r="G179" s="8">
        <f t="shared" si="17"/>
        <v>1.0429999999999999</v>
      </c>
      <c r="H179" s="8">
        <f t="shared" si="14"/>
        <v>1.6099999999999999</v>
      </c>
      <c r="I179">
        <f>INDEX(StartupfileInput!$A$2:$I$326,MATCH(Calculation!$A179,StartupfileInput!$C$2:$C$326,0),9)</f>
        <v>7413</v>
      </c>
      <c r="J179" s="106">
        <f t="shared" si="18"/>
        <v>7635</v>
      </c>
      <c r="K179" s="9">
        <f t="shared" si="15"/>
        <v>4329</v>
      </c>
      <c r="L179" s="9">
        <f t="shared" si="19"/>
        <v>7963</v>
      </c>
      <c r="M179" s="9">
        <f t="shared" si="20"/>
        <v>12292</v>
      </c>
    </row>
    <row r="180" spans="1:13" ht="12.75" x14ac:dyDescent="0.2">
      <c r="A180" s="26" t="str">
        <f>StartupfileInput!C178</f>
        <v>4131</v>
      </c>
      <c r="B180" s="1" t="str">
        <f>INDEX(ActiveDistricts!$A$2:$J$326,MATCH(Calculation!$A180,ActiveDistricts!$C$2:$C$326,0),6)</f>
        <v>4131</v>
      </c>
      <c r="C180" s="1" t="str">
        <f>INDEX(ActiveDistricts!$A$2:$J$326,MATCH(Calculation!$A180,ActiveDistricts!$C$2:$C$326,0),7)</f>
        <v>Mason City</v>
      </c>
      <c r="D180" s="14">
        <f>INDEX(StartupfileInput!$A$2:$I$326,MATCH(Calculation!$A180,StartupfileInput!$C$2:$C$326,0),8)</f>
        <v>3404.6</v>
      </c>
      <c r="E180" s="20">
        <f>INDEX(ActiveDistricts!$A$2:$J$326,MATCH(Calculation!$A180,ActiveDistricts!$C$2:$C$326,0),10)</f>
        <v>0.61612021857923494</v>
      </c>
      <c r="F180" s="8">
        <f t="shared" si="16"/>
        <v>13.467000000000001</v>
      </c>
      <c r="G180" s="8">
        <f t="shared" si="17"/>
        <v>6.9450000000000003</v>
      </c>
      <c r="H180" s="8">
        <f t="shared" si="14"/>
        <v>20.411999999999999</v>
      </c>
      <c r="I180">
        <f>INDEX(StartupfileInput!$A$2:$I$326,MATCH(Calculation!$A180,StartupfileInput!$C$2:$C$326,0),9)</f>
        <v>7450</v>
      </c>
      <c r="J180" s="106">
        <f t="shared" si="18"/>
        <v>7672</v>
      </c>
      <c r="K180" s="9">
        <f t="shared" si="15"/>
        <v>103319</v>
      </c>
      <c r="L180" s="9">
        <f t="shared" si="19"/>
        <v>53282</v>
      </c>
      <c r="M180" s="9">
        <f t="shared" si="20"/>
        <v>156601</v>
      </c>
    </row>
    <row r="181" spans="1:13" ht="12.75" x14ac:dyDescent="0.2">
      <c r="A181" s="26" t="str">
        <f>StartupfileInput!C179</f>
        <v>4203</v>
      </c>
      <c r="B181" s="1" t="str">
        <f>INDEX(ActiveDistricts!$A$2:$J$326,MATCH(Calculation!$A181,ActiveDistricts!$C$2:$C$326,0),6)</f>
        <v>4203</v>
      </c>
      <c r="C181" s="1" t="str">
        <f>INDEX(ActiveDistricts!$A$2:$J$326,MATCH(Calculation!$A181,ActiveDistricts!$C$2:$C$326,0),7)</f>
        <v>Mediapolis</v>
      </c>
      <c r="D181" s="14">
        <f>INDEX(StartupfileInput!$A$2:$I$326,MATCH(Calculation!$A181,StartupfileInput!$C$2:$C$326,0),8)</f>
        <v>875.3</v>
      </c>
      <c r="E181" s="20">
        <f>INDEX(ActiveDistricts!$A$2:$J$326,MATCH(Calculation!$A181,ActiveDistricts!$C$2:$C$326,0),10)</f>
        <v>0.3340857787810384</v>
      </c>
      <c r="F181" s="8">
        <f t="shared" si="16"/>
        <v>1.877</v>
      </c>
      <c r="G181" s="8">
        <f t="shared" si="17"/>
        <v>1.786</v>
      </c>
      <c r="H181" s="8">
        <f t="shared" si="14"/>
        <v>3.6630000000000003</v>
      </c>
      <c r="I181">
        <f>INDEX(StartupfileInput!$A$2:$I$326,MATCH(Calculation!$A181,StartupfileInput!$C$2:$C$326,0),9)</f>
        <v>7413</v>
      </c>
      <c r="J181" s="106">
        <f t="shared" si="18"/>
        <v>7635</v>
      </c>
      <c r="K181" s="9">
        <f t="shared" si="15"/>
        <v>14331</v>
      </c>
      <c r="L181" s="9">
        <f t="shared" si="19"/>
        <v>13636</v>
      </c>
      <c r="M181" s="9">
        <f t="shared" si="20"/>
        <v>27967</v>
      </c>
    </row>
    <row r="182" spans="1:13" ht="12.75" x14ac:dyDescent="0.2">
      <c r="A182" s="26" t="str">
        <f>StartupfileInput!C180</f>
        <v>4212</v>
      </c>
      <c r="B182" s="1" t="str">
        <f>INDEX(ActiveDistricts!$A$2:$J$326,MATCH(Calculation!$A182,ActiveDistricts!$C$2:$C$326,0),6)</f>
        <v>4212</v>
      </c>
      <c r="C182" s="1" t="str">
        <f>INDEX(ActiveDistricts!$A$2:$J$326,MATCH(Calculation!$A182,ActiveDistricts!$C$2:$C$326,0),7)</f>
        <v>Melcher-Dallas</v>
      </c>
      <c r="D182" s="14">
        <f>INDEX(StartupfileInput!$A$2:$I$326,MATCH(Calculation!$A182,StartupfileInput!$C$2:$C$326,0),8)</f>
        <v>307.7</v>
      </c>
      <c r="E182" s="20">
        <f>INDEX(ActiveDistricts!$A$2:$J$326,MATCH(Calculation!$A182,ActiveDistricts!$C$2:$C$326,0),10)</f>
        <v>0.3235294117647059</v>
      </c>
      <c r="F182" s="8">
        <f t="shared" si="16"/>
        <v>0.63900000000000001</v>
      </c>
      <c r="G182" s="8">
        <f t="shared" si="17"/>
        <v>0.628</v>
      </c>
      <c r="H182" s="8">
        <f t="shared" si="14"/>
        <v>1.2669999999999999</v>
      </c>
      <c r="I182">
        <f>INDEX(StartupfileInput!$A$2:$I$326,MATCH(Calculation!$A182,StartupfileInput!$C$2:$C$326,0),9)</f>
        <v>7413</v>
      </c>
      <c r="J182" s="106">
        <f t="shared" si="18"/>
        <v>7635</v>
      </c>
      <c r="K182" s="9">
        <f t="shared" si="15"/>
        <v>4879</v>
      </c>
      <c r="L182" s="9">
        <f t="shared" si="19"/>
        <v>4795</v>
      </c>
      <c r="M182" s="9">
        <f t="shared" si="20"/>
        <v>9674</v>
      </c>
    </row>
    <row r="183" spans="1:13" ht="12.75" x14ac:dyDescent="0.2">
      <c r="A183" s="26" t="str">
        <f>StartupfileInput!C181</f>
        <v>4271</v>
      </c>
      <c r="B183" s="1" t="str">
        <f>INDEX(ActiveDistricts!$A$2:$J$326,MATCH(Calculation!$A183,ActiveDistricts!$C$2:$C$326,0),6)</f>
        <v>4271</v>
      </c>
      <c r="C183" s="1" t="str">
        <f>INDEX(ActiveDistricts!$A$2:$J$326,MATCH(Calculation!$A183,ActiveDistricts!$C$2:$C$326,0),7)</f>
        <v>Mid-Prairie</v>
      </c>
      <c r="D183" s="14">
        <f>INDEX(StartupfileInput!$A$2:$I$326,MATCH(Calculation!$A183,StartupfileInput!$C$2:$C$326,0),8)</f>
        <v>1227.9000000000001</v>
      </c>
      <c r="E183" s="20">
        <f>INDEX(ActiveDistricts!$A$2:$J$326,MATCH(Calculation!$A183,ActiveDistricts!$C$2:$C$326,0),10)</f>
        <v>0.26515151515151514</v>
      </c>
      <c r="F183" s="8">
        <f t="shared" si="16"/>
        <v>2.09</v>
      </c>
      <c r="G183" s="8">
        <f t="shared" si="17"/>
        <v>2.5049999999999999</v>
      </c>
      <c r="H183" s="8">
        <f t="shared" si="14"/>
        <v>4.5949999999999998</v>
      </c>
      <c r="I183">
        <f>INDEX(StartupfileInput!$A$2:$I$326,MATCH(Calculation!$A183,StartupfileInput!$C$2:$C$326,0),9)</f>
        <v>7413</v>
      </c>
      <c r="J183" s="106">
        <f t="shared" si="18"/>
        <v>7635</v>
      </c>
      <c r="K183" s="9">
        <f t="shared" si="15"/>
        <v>15957</v>
      </c>
      <c r="L183" s="9">
        <f t="shared" si="19"/>
        <v>19126</v>
      </c>
      <c r="M183" s="9">
        <f t="shared" si="20"/>
        <v>35083</v>
      </c>
    </row>
    <row r="184" spans="1:13" ht="12.75" x14ac:dyDescent="0.2">
      <c r="A184" s="26" t="str">
        <f>StartupfileInput!C182</f>
        <v>4269</v>
      </c>
      <c r="B184" s="1" t="str">
        <f>INDEX(ActiveDistricts!$A$2:$J$326,MATCH(Calculation!$A184,ActiveDistricts!$C$2:$C$326,0),6)</f>
        <v>4269</v>
      </c>
      <c r="C184" s="1" t="str">
        <f>INDEX(ActiveDistricts!$A$2:$J$326,MATCH(Calculation!$A184,ActiveDistricts!$C$2:$C$326,0),7)</f>
        <v>Midland</v>
      </c>
      <c r="D184" s="14">
        <f>INDEX(StartupfileInput!$A$2:$I$326,MATCH(Calculation!$A184,StartupfileInput!$C$2:$C$326,0),8)</f>
        <v>501.8</v>
      </c>
      <c r="E184" s="20">
        <f>INDEX(ActiveDistricts!$A$2:$J$326,MATCH(Calculation!$A184,ActiveDistricts!$C$2:$C$326,0),10)</f>
        <v>0.53038674033149169</v>
      </c>
      <c r="F184" s="8">
        <f t="shared" si="16"/>
        <v>1.7090000000000001</v>
      </c>
      <c r="G184" s="8">
        <f t="shared" si="17"/>
        <v>1.024</v>
      </c>
      <c r="H184" s="8">
        <f t="shared" si="14"/>
        <v>2.7330000000000001</v>
      </c>
      <c r="I184">
        <f>INDEX(StartupfileInput!$A$2:$I$326,MATCH(Calculation!$A184,StartupfileInput!$C$2:$C$326,0),9)</f>
        <v>7467</v>
      </c>
      <c r="J184" s="106">
        <f t="shared" si="18"/>
        <v>7689</v>
      </c>
      <c r="K184" s="9">
        <f t="shared" si="15"/>
        <v>13141</v>
      </c>
      <c r="L184" s="9">
        <f t="shared" si="19"/>
        <v>7873</v>
      </c>
      <c r="M184" s="9">
        <f t="shared" si="20"/>
        <v>21014</v>
      </c>
    </row>
    <row r="185" spans="1:13" ht="12.75" x14ac:dyDescent="0.2">
      <c r="A185" s="26" t="str">
        <f>StartupfileInput!C183</f>
        <v>4356</v>
      </c>
      <c r="B185" s="1" t="str">
        <f>INDEX(ActiveDistricts!$A$2:$J$326,MATCH(Calculation!$A185,ActiveDistricts!$C$2:$C$326,0),6)</f>
        <v>4356</v>
      </c>
      <c r="C185" s="1" t="str">
        <f>INDEX(ActiveDistricts!$A$2:$J$326,MATCH(Calculation!$A185,ActiveDistricts!$C$2:$C$326,0),7)</f>
        <v>Missouri Valley</v>
      </c>
      <c r="D185" s="14">
        <f>INDEX(StartupfileInput!$A$2:$I$326,MATCH(Calculation!$A185,StartupfileInput!$C$2:$C$326,0),8)</f>
        <v>762.6</v>
      </c>
      <c r="E185" s="20">
        <f>INDEX(ActiveDistricts!$A$2:$J$326,MATCH(Calculation!$A185,ActiveDistricts!$C$2:$C$326,0),10)</f>
        <v>0.44207317073170732</v>
      </c>
      <c r="F185" s="8">
        <f t="shared" si="16"/>
        <v>2.1640000000000001</v>
      </c>
      <c r="G185" s="8">
        <f t="shared" si="17"/>
        <v>1.556</v>
      </c>
      <c r="H185" s="8">
        <f t="shared" si="14"/>
        <v>3.72</v>
      </c>
      <c r="I185">
        <f>INDEX(StartupfileInput!$A$2:$I$326,MATCH(Calculation!$A185,StartupfileInput!$C$2:$C$326,0),9)</f>
        <v>7413</v>
      </c>
      <c r="J185" s="106">
        <f t="shared" si="18"/>
        <v>7635</v>
      </c>
      <c r="K185" s="9">
        <f t="shared" si="15"/>
        <v>16522</v>
      </c>
      <c r="L185" s="9">
        <f t="shared" si="19"/>
        <v>11880</v>
      </c>
      <c r="M185" s="9">
        <f t="shared" si="20"/>
        <v>28402</v>
      </c>
    </row>
    <row r="186" spans="1:13" ht="12.75" x14ac:dyDescent="0.2">
      <c r="A186" s="26" t="str">
        <f>StartupfileInput!C184</f>
        <v>4149</v>
      </c>
      <c r="B186" s="1" t="str">
        <f>INDEX(ActiveDistricts!$A$2:$J$326,MATCH(Calculation!$A186,ActiveDistricts!$C$2:$C$326,0),6)</f>
        <v>4149</v>
      </c>
      <c r="C186" s="1" t="str">
        <f>INDEX(ActiveDistricts!$A$2:$J$326,MATCH(Calculation!$A186,ActiveDistricts!$C$2:$C$326,0),7)</f>
        <v>Moc-Floyd Valley</v>
      </c>
      <c r="D186" s="14">
        <f>INDEX(StartupfileInput!$A$2:$I$326,MATCH(Calculation!$A186,StartupfileInput!$C$2:$C$326,0),8)</f>
        <v>1516.1</v>
      </c>
      <c r="E186" s="20">
        <f>INDEX(ActiveDistricts!$A$2:$J$326,MATCH(Calculation!$A186,ActiveDistricts!$C$2:$C$326,0),10)</f>
        <v>0.28369905956112851</v>
      </c>
      <c r="F186" s="8">
        <f t="shared" si="16"/>
        <v>2.7610000000000001</v>
      </c>
      <c r="G186" s="8">
        <f t="shared" si="17"/>
        <v>3.093</v>
      </c>
      <c r="H186" s="8">
        <f t="shared" si="14"/>
        <v>5.8540000000000001</v>
      </c>
      <c r="I186">
        <f>INDEX(StartupfileInput!$A$2:$I$326,MATCH(Calculation!$A186,StartupfileInput!$C$2:$C$326,0),9)</f>
        <v>7418</v>
      </c>
      <c r="J186" s="106">
        <f t="shared" si="18"/>
        <v>7640</v>
      </c>
      <c r="K186" s="9">
        <f t="shared" si="15"/>
        <v>21094</v>
      </c>
      <c r="L186" s="9">
        <f t="shared" si="19"/>
        <v>23631</v>
      </c>
      <c r="M186" s="9">
        <f t="shared" si="20"/>
        <v>44725</v>
      </c>
    </row>
    <row r="187" spans="1:13" ht="12.75" x14ac:dyDescent="0.2">
      <c r="A187" s="26" t="str">
        <f>StartupfileInput!C185</f>
        <v>4437</v>
      </c>
      <c r="B187" s="1" t="str">
        <f>INDEX(ActiveDistricts!$A$2:$J$326,MATCH(Calculation!$A187,ActiveDistricts!$C$2:$C$326,0),6)</f>
        <v>4437</v>
      </c>
      <c r="C187" s="1" t="str">
        <f>INDEX(ActiveDistricts!$A$2:$J$326,MATCH(Calculation!$A187,ActiveDistricts!$C$2:$C$326,0),7)</f>
        <v>Montezuma</v>
      </c>
      <c r="D187" s="14">
        <f>INDEX(StartupfileInput!$A$2:$I$326,MATCH(Calculation!$A187,StartupfileInput!$C$2:$C$326,0),8)</f>
        <v>469.1</v>
      </c>
      <c r="E187" s="20">
        <f>INDEX(ActiveDistricts!$A$2:$J$326,MATCH(Calculation!$A187,ActiveDistricts!$C$2:$C$326,0),10)</f>
        <v>0.33160621761658032</v>
      </c>
      <c r="F187" s="8">
        <f t="shared" si="16"/>
        <v>0.999</v>
      </c>
      <c r="G187" s="8">
        <f t="shared" si="17"/>
        <v>0.95699999999999996</v>
      </c>
      <c r="H187" s="8">
        <f t="shared" si="14"/>
        <v>1.956</v>
      </c>
      <c r="I187">
        <f>INDEX(StartupfileInput!$A$2:$I$326,MATCH(Calculation!$A187,StartupfileInput!$C$2:$C$326,0),9)</f>
        <v>7413</v>
      </c>
      <c r="J187" s="106">
        <f t="shared" si="18"/>
        <v>7635</v>
      </c>
      <c r="K187" s="9">
        <f t="shared" si="15"/>
        <v>7627</v>
      </c>
      <c r="L187" s="9">
        <f t="shared" si="19"/>
        <v>7307</v>
      </c>
      <c r="M187" s="9">
        <f t="shared" si="20"/>
        <v>14934</v>
      </c>
    </row>
    <row r="188" spans="1:13" ht="12.75" x14ac:dyDescent="0.2">
      <c r="A188" s="26" t="str">
        <f>StartupfileInput!C186</f>
        <v>4446</v>
      </c>
      <c r="B188" s="1" t="str">
        <f>INDEX(ActiveDistricts!$A$2:$J$326,MATCH(Calculation!$A188,ActiveDistricts!$C$2:$C$326,0),6)</f>
        <v>4446</v>
      </c>
      <c r="C188" s="1" t="str">
        <f>INDEX(ActiveDistricts!$A$2:$J$326,MATCH(Calculation!$A188,ActiveDistricts!$C$2:$C$326,0),7)</f>
        <v>Monticello</v>
      </c>
      <c r="D188" s="14">
        <f>INDEX(StartupfileInput!$A$2:$I$326,MATCH(Calculation!$A188,StartupfileInput!$C$2:$C$326,0),8)</f>
        <v>969.2</v>
      </c>
      <c r="E188" s="20">
        <f>INDEX(ActiveDistricts!$A$2:$J$326,MATCH(Calculation!$A188,ActiveDistricts!$C$2:$C$326,0),10)</f>
        <v>0.37279596977329976</v>
      </c>
      <c r="F188" s="8">
        <f t="shared" si="16"/>
        <v>2.3199999999999998</v>
      </c>
      <c r="G188" s="8">
        <f t="shared" si="17"/>
        <v>1.9770000000000001</v>
      </c>
      <c r="H188" s="8">
        <f t="shared" si="14"/>
        <v>4.2969999999999997</v>
      </c>
      <c r="I188">
        <f>INDEX(StartupfileInput!$A$2:$I$326,MATCH(Calculation!$A188,StartupfileInput!$C$2:$C$326,0),9)</f>
        <v>7413</v>
      </c>
      <c r="J188" s="106">
        <f t="shared" si="18"/>
        <v>7635</v>
      </c>
      <c r="K188" s="9">
        <f t="shared" si="15"/>
        <v>17713</v>
      </c>
      <c r="L188" s="9">
        <f t="shared" si="19"/>
        <v>15095</v>
      </c>
      <c r="M188" s="9">
        <f t="shared" si="20"/>
        <v>32808</v>
      </c>
    </row>
    <row r="189" spans="1:13" ht="12.75" x14ac:dyDescent="0.2">
      <c r="A189" s="26" t="str">
        <f>StartupfileInput!C187</f>
        <v>4491</v>
      </c>
      <c r="B189" s="1" t="str">
        <f>INDEX(ActiveDistricts!$A$2:$J$326,MATCH(Calculation!$A189,ActiveDistricts!$C$2:$C$326,0),6)</f>
        <v>4491</v>
      </c>
      <c r="C189" s="1" t="str">
        <f>INDEX(ActiveDistricts!$A$2:$J$326,MATCH(Calculation!$A189,ActiveDistricts!$C$2:$C$326,0),7)</f>
        <v>Moravia</v>
      </c>
      <c r="D189" s="14">
        <f>INDEX(StartupfileInput!$A$2:$I$326,MATCH(Calculation!$A189,StartupfileInput!$C$2:$C$326,0),8)</f>
        <v>345.5</v>
      </c>
      <c r="E189" s="20">
        <f>INDEX(ActiveDistricts!$A$2:$J$326,MATCH(Calculation!$A189,ActiveDistricts!$C$2:$C$326,0),10)</f>
        <v>0.5547945205479452</v>
      </c>
      <c r="F189" s="8">
        <f t="shared" si="16"/>
        <v>1.2310000000000001</v>
      </c>
      <c r="G189" s="8">
        <f t="shared" si="17"/>
        <v>0.70499999999999996</v>
      </c>
      <c r="H189" s="8">
        <f t="shared" si="14"/>
        <v>1.9359999999999999</v>
      </c>
      <c r="I189">
        <f>INDEX(StartupfileInput!$A$2:$I$326,MATCH(Calculation!$A189,StartupfileInput!$C$2:$C$326,0),9)</f>
        <v>7413</v>
      </c>
      <c r="J189" s="106">
        <f t="shared" si="18"/>
        <v>7635</v>
      </c>
      <c r="K189" s="9">
        <f t="shared" si="15"/>
        <v>9399</v>
      </c>
      <c r="L189" s="9">
        <f t="shared" si="19"/>
        <v>5382</v>
      </c>
      <c r="M189" s="9">
        <f t="shared" si="20"/>
        <v>14781</v>
      </c>
    </row>
    <row r="190" spans="1:13" ht="12.75" x14ac:dyDescent="0.2">
      <c r="A190" s="26" t="str">
        <f>StartupfileInput!C188</f>
        <v>4505</v>
      </c>
      <c r="B190" s="1" t="str">
        <f>INDEX(ActiveDistricts!$A$2:$J$326,MATCH(Calculation!$A190,ActiveDistricts!$C$2:$C$326,0),6)</f>
        <v>4505</v>
      </c>
      <c r="C190" s="1" t="str">
        <f>INDEX(ActiveDistricts!$A$2:$J$326,MATCH(Calculation!$A190,ActiveDistricts!$C$2:$C$326,0),7)</f>
        <v>Mormon Trail</v>
      </c>
      <c r="D190" s="14">
        <f>INDEX(StartupfileInput!$A$2:$I$326,MATCH(Calculation!$A190,StartupfileInput!$C$2:$C$326,0),8)</f>
        <v>211.6</v>
      </c>
      <c r="E190" s="20">
        <f>INDEX(ActiveDistricts!$A$2:$J$326,MATCH(Calculation!$A190,ActiveDistricts!$C$2:$C$326,0),10)</f>
        <v>0.625</v>
      </c>
      <c r="F190" s="8">
        <f t="shared" si="16"/>
        <v>0.84899999999999998</v>
      </c>
      <c r="G190" s="8">
        <f t="shared" si="17"/>
        <v>0.432</v>
      </c>
      <c r="H190" s="8">
        <f t="shared" si="14"/>
        <v>1.2809999999999999</v>
      </c>
      <c r="I190">
        <f>INDEX(StartupfileInput!$A$2:$I$326,MATCH(Calculation!$A190,StartupfileInput!$C$2:$C$326,0),9)</f>
        <v>7452</v>
      </c>
      <c r="J190" s="106">
        <f t="shared" si="18"/>
        <v>7674</v>
      </c>
      <c r="K190" s="9">
        <f t="shared" si="15"/>
        <v>6515</v>
      </c>
      <c r="L190" s="9">
        <f t="shared" si="19"/>
        <v>3315</v>
      </c>
      <c r="M190" s="9">
        <f t="shared" si="20"/>
        <v>9830</v>
      </c>
    </row>
    <row r="191" spans="1:13" ht="12.75" x14ac:dyDescent="0.2">
      <c r="A191" s="26" t="str">
        <f>StartupfileInput!C189</f>
        <v>4509</v>
      </c>
      <c r="B191" s="1" t="str">
        <f>INDEX(ActiveDistricts!$A$2:$J$326,MATCH(Calculation!$A191,ActiveDistricts!$C$2:$C$326,0),6)</f>
        <v>4509</v>
      </c>
      <c r="C191" s="1" t="str">
        <f>INDEX(ActiveDistricts!$A$2:$J$326,MATCH(Calculation!$A191,ActiveDistricts!$C$2:$C$326,0),7)</f>
        <v>Morning Sun</v>
      </c>
      <c r="D191" s="14">
        <f>INDEX(StartupfileInput!$A$2:$I$326,MATCH(Calculation!$A191,StartupfileInput!$C$2:$C$326,0),8)</f>
        <v>194</v>
      </c>
      <c r="E191" s="20">
        <f>INDEX(ActiveDistricts!$A$2:$J$326,MATCH(Calculation!$A191,ActiveDistricts!$C$2:$C$326,0),10)</f>
        <v>0.39560439560439559</v>
      </c>
      <c r="F191" s="8">
        <f t="shared" si="16"/>
        <v>0.49299999999999999</v>
      </c>
      <c r="G191" s="8">
        <f t="shared" si="17"/>
        <v>0.39600000000000002</v>
      </c>
      <c r="H191" s="8">
        <f t="shared" si="14"/>
        <v>0.88900000000000001</v>
      </c>
      <c r="I191">
        <f>INDEX(StartupfileInput!$A$2:$I$326,MATCH(Calculation!$A191,StartupfileInput!$C$2:$C$326,0),9)</f>
        <v>7413</v>
      </c>
      <c r="J191" s="106">
        <f t="shared" si="18"/>
        <v>7635</v>
      </c>
      <c r="K191" s="9">
        <f t="shared" si="15"/>
        <v>3764</v>
      </c>
      <c r="L191" s="9">
        <f t="shared" si="19"/>
        <v>3024</v>
      </c>
      <c r="M191" s="9">
        <f t="shared" si="20"/>
        <v>6788</v>
      </c>
    </row>
    <row r="192" spans="1:13" ht="12.75" x14ac:dyDescent="0.2">
      <c r="A192" s="26" t="str">
        <f>StartupfileInput!C190</f>
        <v>4518</v>
      </c>
      <c r="B192" s="1" t="str">
        <f>INDEX(ActiveDistricts!$A$2:$J$326,MATCH(Calculation!$A192,ActiveDistricts!$C$2:$C$326,0),6)</f>
        <v>4518</v>
      </c>
      <c r="C192" s="1" t="str">
        <f>INDEX(ActiveDistricts!$A$2:$J$326,MATCH(Calculation!$A192,ActiveDistricts!$C$2:$C$326,0),7)</f>
        <v>Moulton-Udell</v>
      </c>
      <c r="D192" s="14">
        <f>INDEX(StartupfileInput!$A$2:$I$326,MATCH(Calculation!$A192,StartupfileInput!$C$2:$C$326,0),8)</f>
        <v>184.9</v>
      </c>
      <c r="E192" s="20">
        <f>INDEX(ActiveDistricts!$A$2:$J$326,MATCH(Calculation!$A192,ActiveDistricts!$C$2:$C$326,0),10)</f>
        <v>0.62337662337662336</v>
      </c>
      <c r="F192" s="8">
        <f t="shared" si="16"/>
        <v>0.74</v>
      </c>
      <c r="G192" s="8">
        <f t="shared" si="17"/>
        <v>0.377</v>
      </c>
      <c r="H192" s="8">
        <f t="shared" si="14"/>
        <v>1.117</v>
      </c>
      <c r="I192">
        <f>INDEX(StartupfileInput!$A$2:$I$326,MATCH(Calculation!$A192,StartupfileInput!$C$2:$C$326,0),9)</f>
        <v>7413</v>
      </c>
      <c r="J192" s="106">
        <f t="shared" si="18"/>
        <v>7635</v>
      </c>
      <c r="K192" s="9">
        <f t="shared" si="15"/>
        <v>5650</v>
      </c>
      <c r="L192" s="9">
        <f t="shared" si="19"/>
        <v>2878</v>
      </c>
      <c r="M192" s="9">
        <f t="shared" si="20"/>
        <v>8528</v>
      </c>
    </row>
    <row r="193" spans="1:13" ht="12.75" x14ac:dyDescent="0.2">
      <c r="A193" s="26" t="str">
        <f>StartupfileInput!C191</f>
        <v>4527</v>
      </c>
      <c r="B193" s="1" t="str">
        <f>INDEX(ActiveDistricts!$A$2:$J$326,MATCH(Calculation!$A193,ActiveDistricts!$C$2:$C$326,0),6)</f>
        <v>4527</v>
      </c>
      <c r="C193" s="1" t="str">
        <f>INDEX(ActiveDistricts!$A$2:$J$326,MATCH(Calculation!$A193,ActiveDistricts!$C$2:$C$326,0),7)</f>
        <v>Mount Ayr</v>
      </c>
      <c r="D193" s="14">
        <f>INDEX(StartupfileInput!$A$2:$I$326,MATCH(Calculation!$A193,StartupfileInput!$C$2:$C$326,0),8)</f>
        <v>598.29999999999995</v>
      </c>
      <c r="E193" s="20">
        <f>INDEX(ActiveDistricts!$A$2:$J$326,MATCH(Calculation!$A193,ActiveDistricts!$C$2:$C$326,0),10)</f>
        <v>0.47154471544715448</v>
      </c>
      <c r="F193" s="8">
        <f t="shared" si="16"/>
        <v>1.8109999999999999</v>
      </c>
      <c r="G193" s="8">
        <f t="shared" si="17"/>
        <v>1.2210000000000001</v>
      </c>
      <c r="H193" s="8">
        <f t="shared" si="14"/>
        <v>3.032</v>
      </c>
      <c r="I193">
        <f>INDEX(StartupfileInput!$A$2:$I$326,MATCH(Calculation!$A193,StartupfileInput!$C$2:$C$326,0),9)</f>
        <v>7413</v>
      </c>
      <c r="J193" s="106">
        <f t="shared" si="18"/>
        <v>7635</v>
      </c>
      <c r="K193" s="9">
        <f t="shared" si="15"/>
        <v>13827</v>
      </c>
      <c r="L193" s="9">
        <f t="shared" si="19"/>
        <v>9322</v>
      </c>
      <c r="M193" s="9">
        <f t="shared" si="20"/>
        <v>23149</v>
      </c>
    </row>
    <row r="194" spans="1:13" ht="12.75" x14ac:dyDescent="0.2">
      <c r="A194" s="26" t="str">
        <f>StartupfileInput!C192</f>
        <v>4536</v>
      </c>
      <c r="B194" s="1" t="str">
        <f>INDEX(ActiveDistricts!$A$2:$J$326,MATCH(Calculation!$A194,ActiveDistricts!$C$2:$C$326,0),6)</f>
        <v>4536</v>
      </c>
      <c r="C194" s="1" t="str">
        <f>INDEX(ActiveDistricts!$A$2:$J$326,MATCH(Calculation!$A194,ActiveDistricts!$C$2:$C$326,0),7)</f>
        <v>Mount Pleasant</v>
      </c>
      <c r="D194" s="14">
        <f>INDEX(StartupfileInput!$A$2:$I$326,MATCH(Calculation!$A194,StartupfileInput!$C$2:$C$326,0),8)</f>
        <v>1791.9</v>
      </c>
      <c r="E194" s="20">
        <f>INDEX(ActiveDistricts!$A$2:$J$326,MATCH(Calculation!$A194,ActiveDistricts!$C$2:$C$326,0),10)</f>
        <v>0.50702426564495529</v>
      </c>
      <c r="F194" s="8">
        <f t="shared" si="16"/>
        <v>5.8330000000000002</v>
      </c>
      <c r="G194" s="8">
        <f t="shared" si="17"/>
        <v>3.6549999999999998</v>
      </c>
      <c r="H194" s="8">
        <f t="shared" si="14"/>
        <v>9.4879999999999995</v>
      </c>
      <c r="I194">
        <f>INDEX(StartupfileInput!$A$2:$I$326,MATCH(Calculation!$A194,StartupfileInput!$C$2:$C$326,0),9)</f>
        <v>7413</v>
      </c>
      <c r="J194" s="106">
        <f t="shared" si="18"/>
        <v>7635</v>
      </c>
      <c r="K194" s="9">
        <f t="shared" si="15"/>
        <v>44535</v>
      </c>
      <c r="L194" s="9">
        <f t="shared" si="19"/>
        <v>27906</v>
      </c>
      <c r="M194" s="9">
        <f t="shared" si="20"/>
        <v>72441</v>
      </c>
    </row>
    <row r="195" spans="1:13" ht="12.75" x14ac:dyDescent="0.2">
      <c r="A195" s="26" t="str">
        <f>StartupfileInput!C193</f>
        <v>4554</v>
      </c>
      <c r="B195" s="1" t="str">
        <f>INDEX(ActiveDistricts!$A$2:$J$326,MATCH(Calculation!$A195,ActiveDistricts!$C$2:$C$326,0),6)</f>
        <v>4554</v>
      </c>
      <c r="C195" s="1" t="str">
        <f>INDEX(ActiveDistricts!$A$2:$J$326,MATCH(Calculation!$A195,ActiveDistricts!$C$2:$C$326,0),7)</f>
        <v>Mount Vernon</v>
      </c>
      <c r="D195" s="14">
        <f>INDEX(StartupfileInput!$A$2:$I$326,MATCH(Calculation!$A195,StartupfileInput!$C$2:$C$326,0),8)</f>
        <v>1111.2</v>
      </c>
      <c r="E195" s="20">
        <f>INDEX(ActiveDistricts!$A$2:$J$326,MATCH(Calculation!$A195,ActiveDistricts!$C$2:$C$326,0),10)</f>
        <v>0.19965576592082615</v>
      </c>
      <c r="F195" s="8">
        <f t="shared" si="16"/>
        <v>1.4239999999999999</v>
      </c>
      <c r="G195" s="8">
        <f t="shared" si="17"/>
        <v>2.2669999999999999</v>
      </c>
      <c r="H195" s="8">
        <f t="shared" si="14"/>
        <v>3.6909999999999998</v>
      </c>
      <c r="I195">
        <f>INDEX(StartupfileInput!$A$2:$I$326,MATCH(Calculation!$A195,StartupfileInput!$C$2:$C$326,0),9)</f>
        <v>7413</v>
      </c>
      <c r="J195" s="106">
        <f t="shared" si="18"/>
        <v>7635</v>
      </c>
      <c r="K195" s="9">
        <f t="shared" si="15"/>
        <v>10872</v>
      </c>
      <c r="L195" s="9">
        <f t="shared" si="19"/>
        <v>17309</v>
      </c>
      <c r="M195" s="9">
        <f t="shared" si="20"/>
        <v>28181</v>
      </c>
    </row>
    <row r="196" spans="1:13" ht="12.75" x14ac:dyDescent="0.2">
      <c r="A196" s="26" t="str">
        <f>StartupfileInput!C194</f>
        <v>4572</v>
      </c>
      <c r="B196" s="1" t="str">
        <f>INDEX(ActiveDistricts!$A$2:$J$326,MATCH(Calculation!$A196,ActiveDistricts!$C$2:$C$326,0),6)</f>
        <v>4572</v>
      </c>
      <c r="C196" s="1" t="str">
        <f>INDEX(ActiveDistricts!$A$2:$J$326,MATCH(Calculation!$A196,ActiveDistricts!$C$2:$C$326,0),7)</f>
        <v>Murray</v>
      </c>
      <c r="D196" s="14">
        <f>INDEX(StartupfileInput!$A$2:$I$326,MATCH(Calculation!$A196,StartupfileInput!$C$2:$C$326,0),8)</f>
        <v>221.8</v>
      </c>
      <c r="E196" s="20">
        <f>INDEX(ActiveDistricts!$A$2:$J$326,MATCH(Calculation!$A196,ActiveDistricts!$C$2:$C$326,0),10)</f>
        <v>0.44736842105263158</v>
      </c>
      <c r="F196" s="8">
        <f t="shared" si="16"/>
        <v>0.63700000000000001</v>
      </c>
      <c r="G196" s="8">
        <f t="shared" si="17"/>
        <v>0.45200000000000001</v>
      </c>
      <c r="H196" s="8">
        <f t="shared" ref="H196:H259" si="21">SUM(F196:G196)</f>
        <v>1.089</v>
      </c>
      <c r="I196">
        <f>INDEX(StartupfileInput!$A$2:$I$326,MATCH(Calculation!$A196,StartupfileInput!$C$2:$C$326,0),9)</f>
        <v>7413</v>
      </c>
      <c r="J196" s="106">
        <f t="shared" si="18"/>
        <v>7635</v>
      </c>
      <c r="K196" s="9">
        <f t="shared" ref="K196:K258" si="22">ROUND(F196*J196,0)</f>
        <v>4863</v>
      </c>
      <c r="L196" s="9">
        <f t="shared" si="19"/>
        <v>3452</v>
      </c>
      <c r="M196" s="9">
        <f t="shared" si="20"/>
        <v>8315</v>
      </c>
    </row>
    <row r="197" spans="1:13" ht="12.75" x14ac:dyDescent="0.2">
      <c r="A197" s="26" t="str">
        <f>StartupfileInput!C195</f>
        <v>4581</v>
      </c>
      <c r="B197" s="1" t="str">
        <f>INDEX(ActiveDistricts!$A$2:$J$326,MATCH(Calculation!$A197,ActiveDistricts!$C$2:$C$326,0),6)</f>
        <v>4581</v>
      </c>
      <c r="C197" s="1" t="str">
        <f>INDEX(ActiveDistricts!$A$2:$J$326,MATCH(Calculation!$A197,ActiveDistricts!$C$2:$C$326,0),7)</f>
        <v>Muscatine</v>
      </c>
      <c r="D197" s="14">
        <f>INDEX(StartupfileInput!$A$2:$I$326,MATCH(Calculation!$A197,StartupfileInput!$C$2:$C$326,0),8)</f>
        <v>4574.8</v>
      </c>
      <c r="E197" s="20">
        <f>INDEX(ActiveDistricts!$A$2:$J$326,MATCH(Calculation!$A197,ActiveDistricts!$C$2:$C$326,0),10)</f>
        <v>0.5612582781456954</v>
      </c>
      <c r="F197" s="8">
        <f t="shared" ref="F197:F260" si="23">ROUND(D197*E197*$F$3,3)</f>
        <v>16.484000000000002</v>
      </c>
      <c r="G197" s="8">
        <f t="shared" ref="G197:G260" si="24">ROUND(D197*$G$3,3)</f>
        <v>9.3330000000000002</v>
      </c>
      <c r="H197" s="8">
        <f t="shared" si="21"/>
        <v>25.817</v>
      </c>
      <c r="I197">
        <f>INDEX(StartupfileInput!$A$2:$I$326,MATCH(Calculation!$A197,StartupfileInput!$C$2:$C$326,0),9)</f>
        <v>7413</v>
      </c>
      <c r="J197" s="106">
        <f t="shared" ref="J197:J260" si="25">MAX(I197+$R$2,$T$2)</f>
        <v>7635</v>
      </c>
      <c r="K197" s="9">
        <f t="shared" si="22"/>
        <v>125855</v>
      </c>
      <c r="L197" s="9">
        <f t="shared" ref="L197:L260" si="26">M197-K197</f>
        <v>71258</v>
      </c>
      <c r="M197" s="9">
        <f t="shared" ref="M197:M260" si="27">ROUND(H197*J197,0)</f>
        <v>197113</v>
      </c>
    </row>
    <row r="198" spans="1:13" ht="12.75" x14ac:dyDescent="0.2">
      <c r="A198" s="26" t="str">
        <f>StartupfileInput!C196</f>
        <v>4599</v>
      </c>
      <c r="B198" s="1" t="str">
        <f>INDEX(ActiveDistricts!$A$2:$J$326,MATCH(Calculation!$A198,ActiveDistricts!$C$2:$C$326,0),6)</f>
        <v>4599</v>
      </c>
      <c r="C198" s="1" t="str">
        <f>INDEX(ActiveDistricts!$A$2:$J$326,MATCH(Calculation!$A198,ActiveDistricts!$C$2:$C$326,0),7)</f>
        <v>Nashua-Plainfield</v>
      </c>
      <c r="D198" s="14">
        <f>INDEX(StartupfileInput!$A$2:$I$326,MATCH(Calculation!$A198,StartupfileInput!$C$2:$C$326,0),8)</f>
        <v>592.6</v>
      </c>
      <c r="E198" s="20">
        <f>INDEX(ActiveDistricts!$A$2:$J$326,MATCH(Calculation!$A198,ActiveDistricts!$C$2:$C$326,0),10)</f>
        <v>0.33760683760683763</v>
      </c>
      <c r="F198" s="8">
        <f t="shared" si="23"/>
        <v>1.284</v>
      </c>
      <c r="G198" s="8">
        <f t="shared" si="24"/>
        <v>1.2090000000000001</v>
      </c>
      <c r="H198" s="8">
        <f t="shared" si="21"/>
        <v>2.4930000000000003</v>
      </c>
      <c r="I198">
        <f>INDEX(StartupfileInput!$A$2:$I$326,MATCH(Calculation!$A198,StartupfileInput!$C$2:$C$326,0),9)</f>
        <v>7490</v>
      </c>
      <c r="J198" s="106">
        <f t="shared" si="25"/>
        <v>7712</v>
      </c>
      <c r="K198" s="9">
        <f t="shared" si="22"/>
        <v>9902</v>
      </c>
      <c r="L198" s="9">
        <f t="shared" si="26"/>
        <v>9324</v>
      </c>
      <c r="M198" s="9">
        <f t="shared" si="27"/>
        <v>19226</v>
      </c>
    </row>
    <row r="199" spans="1:13" ht="12.75" x14ac:dyDescent="0.2">
      <c r="A199" s="26" t="str">
        <f>StartupfileInput!C197</f>
        <v>4617</v>
      </c>
      <c r="B199" s="1" t="str">
        <f>INDEX(ActiveDistricts!$A$2:$J$326,MATCH(Calculation!$A199,ActiveDistricts!$C$2:$C$326,0),6)</f>
        <v>4617</v>
      </c>
      <c r="C199" s="1" t="str">
        <f>INDEX(ActiveDistricts!$A$2:$J$326,MATCH(Calculation!$A199,ActiveDistricts!$C$2:$C$326,0),7)</f>
        <v>Nevada</v>
      </c>
      <c r="D199" s="14">
        <f>INDEX(StartupfileInput!$A$2:$I$326,MATCH(Calculation!$A199,StartupfileInput!$C$2:$C$326,0),8)</f>
        <v>1399.4</v>
      </c>
      <c r="E199" s="20">
        <f>INDEX(ActiveDistricts!$A$2:$J$326,MATCH(Calculation!$A199,ActiveDistricts!$C$2:$C$326,0),10)</f>
        <v>0.34634146341463412</v>
      </c>
      <c r="F199" s="8">
        <f t="shared" si="23"/>
        <v>3.1120000000000001</v>
      </c>
      <c r="G199" s="8">
        <f t="shared" si="24"/>
        <v>2.855</v>
      </c>
      <c r="H199" s="8">
        <f t="shared" si="21"/>
        <v>5.9670000000000005</v>
      </c>
      <c r="I199">
        <f>INDEX(StartupfileInput!$A$2:$I$326,MATCH(Calculation!$A199,StartupfileInput!$C$2:$C$326,0),9)</f>
        <v>7413</v>
      </c>
      <c r="J199" s="106">
        <f t="shared" si="25"/>
        <v>7635</v>
      </c>
      <c r="K199" s="9">
        <f t="shared" si="22"/>
        <v>23760</v>
      </c>
      <c r="L199" s="9">
        <f t="shared" si="26"/>
        <v>21798</v>
      </c>
      <c r="M199" s="9">
        <f t="shared" si="27"/>
        <v>45558</v>
      </c>
    </row>
    <row r="200" spans="1:13" ht="12.75" x14ac:dyDescent="0.2">
      <c r="A200" s="26" t="str">
        <f>StartupfileInput!C198</f>
        <v>4662</v>
      </c>
      <c r="B200" s="1" t="str">
        <f>INDEX(ActiveDistricts!$A$2:$J$326,MATCH(Calculation!$A200,ActiveDistricts!$C$2:$C$326,0),6)</f>
        <v>4662</v>
      </c>
      <c r="C200" s="1" t="str">
        <f>INDEX(ActiveDistricts!$A$2:$J$326,MATCH(Calculation!$A200,ActiveDistricts!$C$2:$C$326,0),7)</f>
        <v>New Hampton</v>
      </c>
      <c r="D200" s="14">
        <f>INDEX(StartupfileInput!$A$2:$I$326,MATCH(Calculation!$A200,StartupfileInput!$C$2:$C$326,0),8)</f>
        <v>930</v>
      </c>
      <c r="E200" s="20">
        <f>INDEX(ActiveDistricts!$A$2:$J$326,MATCH(Calculation!$A200,ActiveDistricts!$C$2:$C$326,0),10)</f>
        <v>0.35969387755102039</v>
      </c>
      <c r="F200" s="8">
        <f t="shared" si="23"/>
        <v>2.1480000000000001</v>
      </c>
      <c r="G200" s="8">
        <f t="shared" si="24"/>
        <v>1.897</v>
      </c>
      <c r="H200" s="8">
        <f t="shared" si="21"/>
        <v>4.0449999999999999</v>
      </c>
      <c r="I200">
        <f>INDEX(StartupfileInput!$A$2:$I$326,MATCH(Calculation!$A200,StartupfileInput!$C$2:$C$326,0),9)</f>
        <v>7413</v>
      </c>
      <c r="J200" s="106">
        <f t="shared" si="25"/>
        <v>7635</v>
      </c>
      <c r="K200" s="9">
        <f t="shared" si="22"/>
        <v>16400</v>
      </c>
      <c r="L200" s="9">
        <f t="shared" si="26"/>
        <v>14484</v>
      </c>
      <c r="M200" s="9">
        <f t="shared" si="27"/>
        <v>30884</v>
      </c>
    </row>
    <row r="201" spans="1:13" ht="12.75" x14ac:dyDescent="0.2">
      <c r="A201" s="26" t="str">
        <f>StartupfileInput!C199</f>
        <v>4689</v>
      </c>
      <c r="B201" s="1" t="str">
        <f>INDEX(ActiveDistricts!$A$2:$J$326,MATCH(Calculation!$A201,ActiveDistricts!$C$2:$C$326,0),6)</f>
        <v>4689</v>
      </c>
      <c r="C201" s="1" t="str">
        <f>INDEX(ActiveDistricts!$A$2:$J$326,MATCH(Calculation!$A201,ActiveDistricts!$C$2:$C$326,0),7)</f>
        <v>New London</v>
      </c>
      <c r="D201" s="14">
        <f>INDEX(StartupfileInput!$A$2:$I$326,MATCH(Calculation!$A201,StartupfileInput!$C$2:$C$326,0),8)</f>
        <v>542</v>
      </c>
      <c r="E201" s="20">
        <f>INDEX(ActiveDistricts!$A$2:$J$326,MATCH(Calculation!$A201,ActiveDistricts!$C$2:$C$326,0),10)</f>
        <v>0.44981412639405205</v>
      </c>
      <c r="F201" s="8">
        <f t="shared" si="23"/>
        <v>1.5649999999999999</v>
      </c>
      <c r="G201" s="8">
        <f t="shared" si="24"/>
        <v>1.1060000000000001</v>
      </c>
      <c r="H201" s="8">
        <f t="shared" si="21"/>
        <v>2.6710000000000003</v>
      </c>
      <c r="I201">
        <f>INDEX(StartupfileInput!$A$2:$I$326,MATCH(Calculation!$A201,StartupfileInput!$C$2:$C$326,0),9)</f>
        <v>7413</v>
      </c>
      <c r="J201" s="106">
        <f t="shared" si="25"/>
        <v>7635</v>
      </c>
      <c r="K201" s="9">
        <f t="shared" si="22"/>
        <v>11949</v>
      </c>
      <c r="L201" s="9">
        <f t="shared" si="26"/>
        <v>8444</v>
      </c>
      <c r="M201" s="9">
        <f t="shared" si="27"/>
        <v>20393</v>
      </c>
    </row>
    <row r="202" spans="1:13" ht="12.75" x14ac:dyDescent="0.2">
      <c r="A202" s="26" t="str">
        <f>StartupfileInput!C200</f>
        <v>4644</v>
      </c>
      <c r="B202" s="1" t="str">
        <f>INDEX(ActiveDistricts!$A$2:$J$326,MATCH(Calculation!$A202,ActiveDistricts!$C$2:$C$326,0),6)</f>
        <v>4644</v>
      </c>
      <c r="C202" s="1" t="str">
        <f>INDEX(ActiveDistricts!$A$2:$J$326,MATCH(Calculation!$A202,ActiveDistricts!$C$2:$C$326,0),7)</f>
        <v>Newell-Fonda</v>
      </c>
      <c r="D202" s="14">
        <f>INDEX(StartupfileInput!$A$2:$I$326,MATCH(Calculation!$A202,StartupfileInput!$C$2:$C$326,0),8)</f>
        <v>495.9</v>
      </c>
      <c r="E202" s="20">
        <f>INDEX(ActiveDistricts!$A$2:$J$326,MATCH(Calculation!$A202,ActiveDistricts!$C$2:$C$326,0),10)</f>
        <v>0.4838709677419355</v>
      </c>
      <c r="F202" s="8">
        <f t="shared" si="23"/>
        <v>1.54</v>
      </c>
      <c r="G202" s="8">
        <f t="shared" si="24"/>
        <v>1.012</v>
      </c>
      <c r="H202" s="8">
        <f t="shared" si="21"/>
        <v>2.552</v>
      </c>
      <c r="I202">
        <f>INDEX(StartupfileInput!$A$2:$I$326,MATCH(Calculation!$A202,StartupfileInput!$C$2:$C$326,0),9)</f>
        <v>7467</v>
      </c>
      <c r="J202" s="106">
        <f t="shared" si="25"/>
        <v>7689</v>
      </c>
      <c r="K202" s="9">
        <f t="shared" si="22"/>
        <v>11841</v>
      </c>
      <c r="L202" s="9">
        <f t="shared" si="26"/>
        <v>7781</v>
      </c>
      <c r="M202" s="9">
        <f t="shared" si="27"/>
        <v>19622</v>
      </c>
    </row>
    <row r="203" spans="1:13" ht="12.75" x14ac:dyDescent="0.2">
      <c r="A203" s="26" t="str">
        <f>StartupfileInput!C201</f>
        <v>4725</v>
      </c>
      <c r="B203" s="1" t="str">
        <f>INDEX(ActiveDistricts!$A$2:$J$326,MATCH(Calculation!$A203,ActiveDistricts!$C$2:$C$326,0),6)</f>
        <v>4725</v>
      </c>
      <c r="C203" s="1" t="str">
        <f>INDEX(ActiveDistricts!$A$2:$J$326,MATCH(Calculation!$A203,ActiveDistricts!$C$2:$C$326,0),7)</f>
        <v>Newton</v>
      </c>
      <c r="D203" s="14">
        <f>INDEX(StartupfileInput!$A$2:$I$326,MATCH(Calculation!$A203,StartupfileInput!$C$2:$C$326,0),8)</f>
        <v>2957.6</v>
      </c>
      <c r="E203" s="20">
        <f>INDEX(ActiveDistricts!$A$2:$J$326,MATCH(Calculation!$A203,ActiveDistricts!$C$2:$C$326,0),10)</f>
        <v>0.59918032786885245</v>
      </c>
      <c r="F203" s="8">
        <f t="shared" si="23"/>
        <v>11.377000000000001</v>
      </c>
      <c r="G203" s="8">
        <f t="shared" si="24"/>
        <v>6.0339999999999998</v>
      </c>
      <c r="H203" s="8">
        <f t="shared" si="21"/>
        <v>17.411000000000001</v>
      </c>
      <c r="I203">
        <f>INDEX(StartupfileInput!$A$2:$I$326,MATCH(Calculation!$A203,StartupfileInput!$C$2:$C$326,0),9)</f>
        <v>7413</v>
      </c>
      <c r="J203" s="106">
        <f t="shared" si="25"/>
        <v>7635</v>
      </c>
      <c r="K203" s="9">
        <f t="shared" si="22"/>
        <v>86863</v>
      </c>
      <c r="L203" s="9">
        <f t="shared" si="26"/>
        <v>46070</v>
      </c>
      <c r="M203" s="9">
        <f t="shared" si="27"/>
        <v>132933</v>
      </c>
    </row>
    <row r="204" spans="1:13" ht="12.75" x14ac:dyDescent="0.2">
      <c r="A204" s="26" t="str">
        <f>StartupfileInput!C202</f>
        <v>2673</v>
      </c>
      <c r="B204" s="1" t="str">
        <f>INDEX(ActiveDistricts!$A$2:$J$326,MATCH(Calculation!$A204,ActiveDistricts!$C$2:$C$326,0),6)</f>
        <v>2673</v>
      </c>
      <c r="C204" s="1" t="str">
        <f>INDEX(ActiveDistricts!$A$2:$J$326,MATCH(Calculation!$A204,ActiveDistricts!$C$2:$C$326,0),7)</f>
        <v>Nodaway Valley</v>
      </c>
      <c r="D204" s="14">
        <f>INDEX(StartupfileInput!$A$2:$I$326,MATCH(Calculation!$A204,StartupfileInput!$C$2:$C$326,0),8)</f>
        <v>626.5</v>
      </c>
      <c r="E204" s="20">
        <f>INDEX(ActiveDistricts!$A$2:$J$326,MATCH(Calculation!$A204,ActiveDistricts!$C$2:$C$326,0),10)</f>
        <v>0.46183206106870228</v>
      </c>
      <c r="F204" s="8">
        <f t="shared" si="23"/>
        <v>1.8580000000000001</v>
      </c>
      <c r="G204" s="8">
        <f t="shared" si="24"/>
        <v>1.278</v>
      </c>
      <c r="H204" s="8">
        <f t="shared" si="21"/>
        <v>3.1360000000000001</v>
      </c>
      <c r="I204">
        <f>INDEX(StartupfileInput!$A$2:$I$326,MATCH(Calculation!$A204,StartupfileInput!$C$2:$C$326,0),9)</f>
        <v>7415</v>
      </c>
      <c r="J204" s="106">
        <f t="shared" si="25"/>
        <v>7637</v>
      </c>
      <c r="K204" s="9">
        <f t="shared" si="22"/>
        <v>14190</v>
      </c>
      <c r="L204" s="9">
        <f t="shared" si="26"/>
        <v>9760</v>
      </c>
      <c r="M204" s="9">
        <f t="shared" si="27"/>
        <v>23950</v>
      </c>
    </row>
    <row r="205" spans="1:13" ht="12.75" x14ac:dyDescent="0.2">
      <c r="A205" s="26" t="str">
        <f>StartupfileInput!C203</f>
        <v>0153</v>
      </c>
      <c r="B205" s="1" t="str">
        <f>INDEX(ActiveDistricts!$A$2:$J$326,MATCH(Calculation!$A205,ActiveDistricts!$C$2:$C$326,0),6)</f>
        <v>0153</v>
      </c>
      <c r="C205" s="1" t="str">
        <f>INDEX(ActiveDistricts!$A$2:$J$326,MATCH(Calculation!$A205,ActiveDistricts!$C$2:$C$326,0),7)</f>
        <v>North Butler</v>
      </c>
      <c r="D205" s="14">
        <f>INDEX(StartupfileInput!$A$2:$I$326,MATCH(Calculation!$A205,StartupfileInput!$C$2:$C$326,0),8)</f>
        <v>536.6</v>
      </c>
      <c r="E205" s="20">
        <f>INDEX(ActiveDistricts!$A$2:$J$326,MATCH(Calculation!$A205,ActiveDistricts!$C$2:$C$326,0),10)</f>
        <v>0.29857819905213268</v>
      </c>
      <c r="F205" s="8">
        <f t="shared" si="23"/>
        <v>1.0289999999999999</v>
      </c>
      <c r="G205" s="8">
        <f t="shared" si="24"/>
        <v>1.095</v>
      </c>
      <c r="H205" s="8">
        <f t="shared" si="21"/>
        <v>2.1239999999999997</v>
      </c>
      <c r="I205">
        <f>INDEX(StartupfileInput!$A$2:$I$326,MATCH(Calculation!$A205,StartupfileInput!$C$2:$C$326,0),9)</f>
        <v>7465</v>
      </c>
      <c r="J205" s="106">
        <f t="shared" si="25"/>
        <v>7687</v>
      </c>
      <c r="K205" s="9">
        <f t="shared" si="22"/>
        <v>7910</v>
      </c>
      <c r="L205" s="9">
        <f t="shared" si="26"/>
        <v>8417</v>
      </c>
      <c r="M205" s="9">
        <f t="shared" si="27"/>
        <v>16327</v>
      </c>
    </row>
    <row r="206" spans="1:13" ht="12.75" x14ac:dyDescent="0.2">
      <c r="A206" s="26" t="str">
        <f>StartupfileInput!C204</f>
        <v>3691</v>
      </c>
      <c r="B206" s="1" t="str">
        <f>INDEX(ActiveDistricts!$A$2:$J$326,MATCH(Calculation!$A206,ActiveDistricts!$C$2:$C$326,0),6)</f>
        <v>3691</v>
      </c>
      <c r="C206" s="1" t="str">
        <f>INDEX(ActiveDistricts!$A$2:$J$326,MATCH(Calculation!$A206,ActiveDistricts!$C$2:$C$326,0),7)</f>
        <v>North Cedar</v>
      </c>
      <c r="D206" s="14">
        <f>INDEX(StartupfileInput!$A$2:$I$326,MATCH(Calculation!$A206,StartupfileInput!$C$2:$C$326,0),8)</f>
        <v>725.8</v>
      </c>
      <c r="E206" s="20">
        <f>INDEX(ActiveDistricts!$A$2:$J$326,MATCH(Calculation!$A206,ActiveDistricts!$C$2:$C$326,0),10)</f>
        <v>0.45564516129032256</v>
      </c>
      <c r="F206" s="8">
        <f t="shared" si="23"/>
        <v>2.1230000000000002</v>
      </c>
      <c r="G206" s="8">
        <f t="shared" si="24"/>
        <v>1.4810000000000001</v>
      </c>
      <c r="H206" s="8">
        <f t="shared" si="21"/>
        <v>3.6040000000000001</v>
      </c>
      <c r="I206">
        <f>INDEX(StartupfileInput!$A$2:$I$326,MATCH(Calculation!$A206,StartupfileInput!$C$2:$C$326,0),9)</f>
        <v>7419</v>
      </c>
      <c r="J206" s="106">
        <f t="shared" si="25"/>
        <v>7641</v>
      </c>
      <c r="K206" s="9">
        <f t="shared" si="22"/>
        <v>16222</v>
      </c>
      <c r="L206" s="9">
        <f t="shared" si="26"/>
        <v>11316</v>
      </c>
      <c r="M206" s="9">
        <f t="shared" si="27"/>
        <v>27538</v>
      </c>
    </row>
    <row r="207" spans="1:13" ht="12.75" x14ac:dyDescent="0.2">
      <c r="A207" s="26" t="str">
        <f>StartupfileInput!C205</f>
        <v>4774</v>
      </c>
      <c r="B207" s="1" t="str">
        <f>INDEX(ActiveDistricts!$A$2:$J$326,MATCH(Calculation!$A207,ActiveDistricts!$C$2:$C$326,0),6)</f>
        <v>4774</v>
      </c>
      <c r="C207" s="1" t="str">
        <f>INDEX(ActiveDistricts!$A$2:$J$326,MATCH(Calculation!$A207,ActiveDistricts!$C$2:$C$326,0),7)</f>
        <v>North Fayette Valley</v>
      </c>
      <c r="D207" s="14">
        <f>INDEX(StartupfileInput!$A$2:$I$326,MATCH(Calculation!$A207,StartupfileInput!$C$2:$C$326,0),8)</f>
        <v>1138</v>
      </c>
      <c r="E207" s="20">
        <f>INDEX(ActiveDistricts!$A$2:$J$326,MATCH(Calculation!$A207,ActiveDistricts!$C$2:$C$326,0),10)</f>
        <v>0.41721854304635764</v>
      </c>
      <c r="F207" s="8">
        <f t="shared" si="23"/>
        <v>3.048</v>
      </c>
      <c r="G207" s="8">
        <f t="shared" si="24"/>
        <v>2.3220000000000001</v>
      </c>
      <c r="H207" s="8">
        <f t="shared" si="21"/>
        <v>5.37</v>
      </c>
      <c r="I207">
        <f>INDEX(StartupfileInput!$A$2:$I$326,MATCH(Calculation!$A207,StartupfileInput!$C$2:$C$326,0),9)</f>
        <v>7467</v>
      </c>
      <c r="J207" s="106">
        <f t="shared" si="25"/>
        <v>7689</v>
      </c>
      <c r="K207" s="9">
        <f t="shared" si="22"/>
        <v>23436</v>
      </c>
      <c r="L207" s="9">
        <f t="shared" si="26"/>
        <v>17854</v>
      </c>
      <c r="M207" s="9">
        <f t="shared" si="27"/>
        <v>41290</v>
      </c>
    </row>
    <row r="208" spans="1:13" ht="12.75" x14ac:dyDescent="0.2">
      <c r="A208" s="26" t="str">
        <f>StartupfileInput!C206</f>
        <v>0873</v>
      </c>
      <c r="B208" s="1" t="str">
        <f>INDEX(ActiveDistricts!$A$2:$J$326,MATCH(Calculation!$A208,ActiveDistricts!$C$2:$C$326,0),6)</f>
        <v>0873</v>
      </c>
      <c r="C208" s="1" t="str">
        <f>INDEX(ActiveDistricts!$A$2:$J$326,MATCH(Calculation!$A208,ActiveDistricts!$C$2:$C$326,0),7)</f>
        <v>North Iowa</v>
      </c>
      <c r="D208" s="14">
        <f>INDEX(StartupfileInput!$A$2:$I$326,MATCH(Calculation!$A208,StartupfileInput!$C$2:$C$326,0),8)</f>
        <v>483.5</v>
      </c>
      <c r="E208" s="20">
        <f>INDEX(ActiveDistricts!$A$2:$J$326,MATCH(Calculation!$A208,ActiveDistricts!$C$2:$C$326,0),10)</f>
        <v>0.47247706422018348</v>
      </c>
      <c r="F208" s="8">
        <f t="shared" si="23"/>
        <v>1.4670000000000001</v>
      </c>
      <c r="G208" s="8">
        <f t="shared" si="24"/>
        <v>0.98599999999999999</v>
      </c>
      <c r="H208" s="8">
        <f t="shared" si="21"/>
        <v>2.4530000000000003</v>
      </c>
      <c r="I208">
        <f>INDEX(StartupfileInput!$A$2:$I$326,MATCH(Calculation!$A208,StartupfileInput!$C$2:$C$326,0),9)</f>
        <v>7487</v>
      </c>
      <c r="J208" s="106">
        <f t="shared" si="25"/>
        <v>7709</v>
      </c>
      <c r="K208" s="9">
        <f t="shared" si="22"/>
        <v>11309</v>
      </c>
      <c r="L208" s="9">
        <f t="shared" si="26"/>
        <v>7601</v>
      </c>
      <c r="M208" s="9">
        <f t="shared" si="27"/>
        <v>18910</v>
      </c>
    </row>
    <row r="209" spans="1:13" ht="12.75" x14ac:dyDescent="0.2">
      <c r="A209" s="26" t="str">
        <f>StartupfileInput!C207</f>
        <v>4778</v>
      </c>
      <c r="B209" s="1" t="str">
        <f>INDEX(ActiveDistricts!$A$2:$J$326,MATCH(Calculation!$A209,ActiveDistricts!$C$2:$C$326,0),6)</f>
        <v>4778</v>
      </c>
      <c r="C209" s="1" t="str">
        <f>INDEX(ActiveDistricts!$A$2:$J$326,MATCH(Calculation!$A209,ActiveDistricts!$C$2:$C$326,0),7)</f>
        <v>North Kossuth</v>
      </c>
      <c r="D209" s="14">
        <f>INDEX(StartupfileInput!$A$2:$I$326,MATCH(Calculation!$A209,StartupfileInput!$C$2:$C$326,0),8)</f>
        <v>236.4</v>
      </c>
      <c r="E209" s="20">
        <f>INDEX(ActiveDistricts!$A$2:$J$326,MATCH(Calculation!$A209,ActiveDistricts!$C$2:$C$326,0),10)</f>
        <v>0.61157024793388426</v>
      </c>
      <c r="F209" s="8">
        <f t="shared" si="23"/>
        <v>0.92800000000000005</v>
      </c>
      <c r="G209" s="8">
        <f t="shared" si="24"/>
        <v>0.48199999999999998</v>
      </c>
      <c r="H209" s="8">
        <f t="shared" si="21"/>
        <v>1.4100000000000001</v>
      </c>
      <c r="I209">
        <f>INDEX(StartupfileInput!$A$2:$I$326,MATCH(Calculation!$A209,StartupfileInput!$C$2:$C$326,0),9)</f>
        <v>7415</v>
      </c>
      <c r="J209" s="106">
        <f t="shared" si="25"/>
        <v>7637</v>
      </c>
      <c r="K209" s="9">
        <f t="shared" si="22"/>
        <v>7087</v>
      </c>
      <c r="L209" s="9">
        <f t="shared" si="26"/>
        <v>3681</v>
      </c>
      <c r="M209" s="9">
        <f t="shared" si="27"/>
        <v>10768</v>
      </c>
    </row>
    <row r="210" spans="1:13" ht="12.75" x14ac:dyDescent="0.2">
      <c r="A210" s="26" t="str">
        <f>StartupfileInput!C208</f>
        <v>4777</v>
      </c>
      <c r="B210" s="1" t="str">
        <f>INDEX(ActiveDistricts!$A$2:$J$326,MATCH(Calculation!$A210,ActiveDistricts!$C$2:$C$326,0),6)</f>
        <v>4777</v>
      </c>
      <c r="C210" s="1" t="str">
        <f>INDEX(ActiveDistricts!$A$2:$J$326,MATCH(Calculation!$A210,ActiveDistricts!$C$2:$C$326,0),7)</f>
        <v>North Linn</v>
      </c>
      <c r="D210" s="14">
        <f>INDEX(StartupfileInput!$A$2:$I$326,MATCH(Calculation!$A210,StartupfileInput!$C$2:$C$326,0),8)</f>
        <v>556.9</v>
      </c>
      <c r="E210" s="20">
        <f>INDEX(ActiveDistricts!$A$2:$J$326,MATCH(Calculation!$A210,ActiveDistricts!$C$2:$C$326,0),10)</f>
        <v>0.24299065420560748</v>
      </c>
      <c r="F210" s="8">
        <f t="shared" si="23"/>
        <v>0.86899999999999999</v>
      </c>
      <c r="G210" s="8">
        <f t="shared" si="24"/>
        <v>1.1359999999999999</v>
      </c>
      <c r="H210" s="8">
        <f t="shared" si="21"/>
        <v>2.0049999999999999</v>
      </c>
      <c r="I210">
        <f>INDEX(StartupfileInput!$A$2:$I$326,MATCH(Calculation!$A210,StartupfileInput!$C$2:$C$326,0),9)</f>
        <v>7427</v>
      </c>
      <c r="J210" s="106">
        <f t="shared" si="25"/>
        <v>7649</v>
      </c>
      <c r="K210" s="9">
        <f t="shared" si="22"/>
        <v>6647</v>
      </c>
      <c r="L210" s="9">
        <f t="shared" si="26"/>
        <v>8689</v>
      </c>
      <c r="M210" s="9">
        <f t="shared" si="27"/>
        <v>15336</v>
      </c>
    </row>
    <row r="211" spans="1:13" ht="12.75" x14ac:dyDescent="0.2">
      <c r="A211" s="26" t="str">
        <f>StartupfileInput!C209</f>
        <v>4776</v>
      </c>
      <c r="B211" s="1" t="str">
        <f>INDEX(ActiveDistricts!$A$2:$J$326,MATCH(Calculation!$A211,ActiveDistricts!$C$2:$C$326,0),6)</f>
        <v>4776</v>
      </c>
      <c r="C211" s="1" t="str">
        <f>INDEX(ActiveDistricts!$A$2:$J$326,MATCH(Calculation!$A211,ActiveDistricts!$C$2:$C$326,0),7)</f>
        <v>North Mahaska</v>
      </c>
      <c r="D211" s="14">
        <f>INDEX(StartupfileInput!$A$2:$I$326,MATCH(Calculation!$A211,StartupfileInput!$C$2:$C$326,0),8)</f>
        <v>488.5</v>
      </c>
      <c r="E211" s="20">
        <f>INDEX(ActiveDistricts!$A$2:$J$326,MATCH(Calculation!$A211,ActiveDistricts!$C$2:$C$326,0),10)</f>
        <v>0.33455882352941174</v>
      </c>
      <c r="F211" s="8">
        <f t="shared" si="23"/>
        <v>1.0489999999999999</v>
      </c>
      <c r="G211" s="8">
        <f t="shared" si="24"/>
        <v>0.997</v>
      </c>
      <c r="H211" s="8">
        <f t="shared" si="21"/>
        <v>2.0459999999999998</v>
      </c>
      <c r="I211">
        <f>INDEX(StartupfileInput!$A$2:$I$326,MATCH(Calculation!$A211,StartupfileInput!$C$2:$C$326,0),9)</f>
        <v>7545</v>
      </c>
      <c r="J211" s="106">
        <f t="shared" si="25"/>
        <v>7767</v>
      </c>
      <c r="K211" s="9">
        <f t="shared" si="22"/>
        <v>8148</v>
      </c>
      <c r="L211" s="9">
        <f t="shared" si="26"/>
        <v>7743</v>
      </c>
      <c r="M211" s="9">
        <f t="shared" si="27"/>
        <v>15891</v>
      </c>
    </row>
    <row r="212" spans="1:13" ht="12.75" x14ac:dyDescent="0.2">
      <c r="A212" s="26" t="str">
        <f>StartupfileInput!C210</f>
        <v>4779</v>
      </c>
      <c r="B212" s="1" t="str">
        <f>INDEX(ActiveDistricts!$A$2:$J$326,MATCH(Calculation!$A212,ActiveDistricts!$C$2:$C$326,0),6)</f>
        <v>4779</v>
      </c>
      <c r="C212" s="1" t="str">
        <f>INDEX(ActiveDistricts!$A$2:$J$326,MATCH(Calculation!$A212,ActiveDistricts!$C$2:$C$326,0),7)</f>
        <v>North Polk</v>
      </c>
      <c r="D212" s="14">
        <f>INDEX(StartupfileInput!$A$2:$I$326,MATCH(Calculation!$A212,StartupfileInput!$C$2:$C$326,0),8)</f>
        <v>2093.1</v>
      </c>
      <c r="E212" s="20">
        <f>INDEX(ActiveDistricts!$A$2:$J$326,MATCH(Calculation!$A212,ActiveDistricts!$C$2:$C$326,0),10)</f>
        <v>0.10303030303030303</v>
      </c>
      <c r="F212" s="8">
        <f t="shared" si="23"/>
        <v>1.3839999999999999</v>
      </c>
      <c r="G212" s="8">
        <f t="shared" si="24"/>
        <v>4.2699999999999996</v>
      </c>
      <c r="H212" s="8">
        <f t="shared" si="21"/>
        <v>5.6539999999999999</v>
      </c>
      <c r="I212">
        <f>INDEX(StartupfileInput!$A$2:$I$326,MATCH(Calculation!$A212,StartupfileInput!$C$2:$C$326,0),9)</f>
        <v>7413</v>
      </c>
      <c r="J212" s="106">
        <f t="shared" si="25"/>
        <v>7635</v>
      </c>
      <c r="K212" s="9">
        <f t="shared" si="22"/>
        <v>10567</v>
      </c>
      <c r="L212" s="9">
        <f t="shared" si="26"/>
        <v>32601</v>
      </c>
      <c r="M212" s="9">
        <f t="shared" si="27"/>
        <v>43168</v>
      </c>
    </row>
    <row r="213" spans="1:13" ht="12.75" x14ac:dyDescent="0.2">
      <c r="A213" s="26" t="str">
        <f>StartupfileInput!C211</f>
        <v>4784</v>
      </c>
      <c r="B213" s="1" t="str">
        <f>INDEX(ActiveDistricts!$A$2:$J$326,MATCH(Calculation!$A213,ActiveDistricts!$C$2:$C$326,0),6)</f>
        <v>4784</v>
      </c>
      <c r="C213" s="1" t="str">
        <f>INDEX(ActiveDistricts!$A$2:$J$326,MATCH(Calculation!$A213,ActiveDistricts!$C$2:$C$326,0),7)</f>
        <v>North Scott</v>
      </c>
      <c r="D213" s="14">
        <f>INDEX(StartupfileInput!$A$2:$I$326,MATCH(Calculation!$A213,StartupfileInput!$C$2:$C$326,0),8)</f>
        <v>3097.6</v>
      </c>
      <c r="E213" s="20">
        <f>INDEX(ActiveDistricts!$A$2:$J$326,MATCH(Calculation!$A213,ActiveDistricts!$C$2:$C$326,0),10)</f>
        <v>0.27073337902673061</v>
      </c>
      <c r="F213" s="8">
        <f t="shared" si="23"/>
        <v>5.3840000000000003</v>
      </c>
      <c r="G213" s="8">
        <f t="shared" si="24"/>
        <v>6.319</v>
      </c>
      <c r="H213" s="8">
        <f t="shared" si="21"/>
        <v>11.702999999999999</v>
      </c>
      <c r="I213">
        <f>INDEX(StartupfileInput!$A$2:$I$326,MATCH(Calculation!$A213,StartupfileInput!$C$2:$C$326,0),9)</f>
        <v>7413</v>
      </c>
      <c r="J213" s="106">
        <f t="shared" si="25"/>
        <v>7635</v>
      </c>
      <c r="K213" s="9">
        <f t="shared" si="22"/>
        <v>41107</v>
      </c>
      <c r="L213" s="9">
        <f t="shared" si="26"/>
        <v>48245</v>
      </c>
      <c r="M213" s="9">
        <f t="shared" si="27"/>
        <v>89352</v>
      </c>
    </row>
    <row r="214" spans="1:13" ht="12.75" x14ac:dyDescent="0.2">
      <c r="A214" s="26" t="str">
        <f>StartupfileInput!C212</f>
        <v>4785</v>
      </c>
      <c r="B214" s="1" t="str">
        <f>INDEX(ActiveDistricts!$A$2:$J$326,MATCH(Calculation!$A214,ActiveDistricts!$C$2:$C$326,0),6)</f>
        <v>4785</v>
      </c>
      <c r="C214" s="1" t="str">
        <f>INDEX(ActiveDistricts!$A$2:$J$326,MATCH(Calculation!$A214,ActiveDistricts!$C$2:$C$326,0),7)</f>
        <v>North Tama</v>
      </c>
      <c r="D214" s="14">
        <f>INDEX(StartupfileInput!$A$2:$I$326,MATCH(Calculation!$A214,StartupfileInput!$C$2:$C$326,0),8)</f>
        <v>453</v>
      </c>
      <c r="E214" s="20">
        <f>INDEX(ActiveDistricts!$A$2:$J$326,MATCH(Calculation!$A214,ActiveDistricts!$C$2:$C$326,0),10)</f>
        <v>0.40284360189573459</v>
      </c>
      <c r="F214" s="8">
        <f t="shared" si="23"/>
        <v>1.1719999999999999</v>
      </c>
      <c r="G214" s="8">
        <f t="shared" si="24"/>
        <v>0.92400000000000004</v>
      </c>
      <c r="H214" s="8">
        <f t="shared" si="21"/>
        <v>2.0960000000000001</v>
      </c>
      <c r="I214">
        <f>INDEX(StartupfileInput!$A$2:$I$326,MATCH(Calculation!$A214,StartupfileInput!$C$2:$C$326,0),9)</f>
        <v>7413</v>
      </c>
      <c r="J214" s="106">
        <f t="shared" si="25"/>
        <v>7635</v>
      </c>
      <c r="K214" s="9">
        <f t="shared" si="22"/>
        <v>8948</v>
      </c>
      <c r="L214" s="9">
        <f t="shared" si="26"/>
        <v>7055</v>
      </c>
      <c r="M214" s="9">
        <f t="shared" si="27"/>
        <v>16003</v>
      </c>
    </row>
    <row r="215" spans="1:13" ht="12.75" x14ac:dyDescent="0.2">
      <c r="A215" s="26" t="str">
        <f>StartupfileInput!C213</f>
        <v>0333</v>
      </c>
      <c r="B215" s="1" t="str">
        <f>INDEX(ActiveDistricts!$A$2:$J$326,MATCH(Calculation!$A215,ActiveDistricts!$C$2:$C$326,0),6)</f>
        <v>0333</v>
      </c>
      <c r="C215" s="1" t="str">
        <f>INDEX(ActiveDistricts!$A$2:$J$326,MATCH(Calculation!$A215,ActiveDistricts!$C$2:$C$326,0),7)</f>
        <v>North Union</v>
      </c>
      <c r="D215" s="14">
        <f>INDEX(StartupfileInput!$A$2:$I$326,MATCH(Calculation!$A215,StartupfileInput!$C$2:$C$326,0),8)</f>
        <v>402</v>
      </c>
      <c r="E215" s="20">
        <f>INDEX(ActiveDistricts!$A$2:$J$326,MATCH(Calculation!$A215,ActiveDistricts!$C$2:$C$326,0),10)</f>
        <v>0.5494505494505495</v>
      </c>
      <c r="F215" s="8">
        <f t="shared" si="23"/>
        <v>1.4179999999999999</v>
      </c>
      <c r="G215" s="8">
        <f t="shared" si="24"/>
        <v>0.82</v>
      </c>
      <c r="H215" s="8">
        <f t="shared" si="21"/>
        <v>2.238</v>
      </c>
      <c r="I215">
        <f>INDEX(StartupfileInput!$A$2:$I$326,MATCH(Calculation!$A215,StartupfileInput!$C$2:$C$326,0),9)</f>
        <v>7448</v>
      </c>
      <c r="J215" s="106">
        <f t="shared" si="25"/>
        <v>7670</v>
      </c>
      <c r="K215" s="9">
        <f t="shared" si="22"/>
        <v>10876</v>
      </c>
      <c r="L215" s="9">
        <f t="shared" si="26"/>
        <v>6289</v>
      </c>
      <c r="M215" s="9">
        <f t="shared" si="27"/>
        <v>17165</v>
      </c>
    </row>
    <row r="216" spans="1:13" ht="12.75" x14ac:dyDescent="0.2">
      <c r="A216" s="26" t="str">
        <f>StartupfileInput!C214</f>
        <v>4773</v>
      </c>
      <c r="B216" s="1" t="str">
        <f>INDEX(ActiveDistricts!$A$2:$J$326,MATCH(Calculation!$A216,ActiveDistricts!$C$2:$C$326,0),6)</f>
        <v>4773</v>
      </c>
      <c r="C216" s="1" t="str">
        <f>INDEX(ActiveDistricts!$A$2:$J$326,MATCH(Calculation!$A216,ActiveDistricts!$C$2:$C$326,0),7)</f>
        <v>Northeast</v>
      </c>
      <c r="D216" s="14">
        <f>INDEX(StartupfileInput!$A$2:$I$326,MATCH(Calculation!$A216,StartupfileInput!$C$2:$C$326,0),8)</f>
        <v>527</v>
      </c>
      <c r="E216" s="20">
        <f>INDEX(ActiveDistricts!$A$2:$J$326,MATCH(Calculation!$A216,ActiveDistricts!$C$2:$C$326,0),10)</f>
        <v>0.29461756373937675</v>
      </c>
      <c r="F216" s="8">
        <f t="shared" si="23"/>
        <v>0.997</v>
      </c>
      <c r="G216" s="8">
        <f t="shared" si="24"/>
        <v>1.075</v>
      </c>
      <c r="H216" s="8">
        <f t="shared" si="21"/>
        <v>2.0720000000000001</v>
      </c>
      <c r="I216">
        <f>INDEX(StartupfileInput!$A$2:$I$326,MATCH(Calculation!$A216,StartupfileInput!$C$2:$C$326,0),9)</f>
        <v>7498</v>
      </c>
      <c r="J216" s="106">
        <f t="shared" si="25"/>
        <v>7720</v>
      </c>
      <c r="K216" s="9">
        <f t="shared" si="22"/>
        <v>7697</v>
      </c>
      <c r="L216" s="9">
        <f t="shared" si="26"/>
        <v>8299</v>
      </c>
      <c r="M216" s="9">
        <f t="shared" si="27"/>
        <v>15996</v>
      </c>
    </row>
    <row r="217" spans="1:13" ht="12.75" x14ac:dyDescent="0.2">
      <c r="A217" s="26" t="str">
        <f>StartupfileInput!C215</f>
        <v>4788</v>
      </c>
      <c r="B217" s="1" t="str">
        <f>INDEX(ActiveDistricts!$A$2:$J$326,MATCH(Calculation!$A217,ActiveDistricts!$C$2:$C$326,0),6)</f>
        <v>4788</v>
      </c>
      <c r="C217" s="1" t="str">
        <f>INDEX(ActiveDistricts!$A$2:$J$326,MATCH(Calculation!$A217,ActiveDistricts!$C$2:$C$326,0),7)</f>
        <v>Northwood-Kensett</v>
      </c>
      <c r="D217" s="14">
        <f>INDEX(StartupfileInput!$A$2:$I$326,MATCH(Calculation!$A217,StartupfileInput!$C$2:$C$326,0),8)</f>
        <v>511</v>
      </c>
      <c r="E217" s="20">
        <f>INDEX(ActiveDistricts!$A$2:$J$326,MATCH(Calculation!$A217,ActiveDistricts!$C$2:$C$326,0),10)</f>
        <v>0.38211382113821141</v>
      </c>
      <c r="F217" s="8">
        <f t="shared" si="23"/>
        <v>1.254</v>
      </c>
      <c r="G217" s="8">
        <f t="shared" si="24"/>
        <v>1.042</v>
      </c>
      <c r="H217" s="8">
        <f t="shared" si="21"/>
        <v>2.2960000000000003</v>
      </c>
      <c r="I217">
        <f>INDEX(StartupfileInput!$A$2:$I$326,MATCH(Calculation!$A217,StartupfileInput!$C$2:$C$326,0),9)</f>
        <v>7504</v>
      </c>
      <c r="J217" s="106">
        <f t="shared" si="25"/>
        <v>7726</v>
      </c>
      <c r="K217" s="9">
        <f t="shared" si="22"/>
        <v>9688</v>
      </c>
      <c r="L217" s="9">
        <f t="shared" si="26"/>
        <v>8051</v>
      </c>
      <c r="M217" s="9">
        <f t="shared" si="27"/>
        <v>17739</v>
      </c>
    </row>
    <row r="218" spans="1:13" ht="12.75" x14ac:dyDescent="0.2">
      <c r="A218" s="26" t="str">
        <f>StartupfileInput!C216</f>
        <v>4797</v>
      </c>
      <c r="B218" s="1" t="str">
        <f>INDEX(ActiveDistricts!$A$2:$J$326,MATCH(Calculation!$A218,ActiveDistricts!$C$2:$C$326,0),6)</f>
        <v>4797</v>
      </c>
      <c r="C218" s="1" t="str">
        <f>INDEX(ActiveDistricts!$A$2:$J$326,MATCH(Calculation!$A218,ActiveDistricts!$C$2:$C$326,0),7)</f>
        <v>Norwalk</v>
      </c>
      <c r="D218" s="14">
        <f>INDEX(StartupfileInput!$A$2:$I$326,MATCH(Calculation!$A218,StartupfileInput!$C$2:$C$326,0),8)</f>
        <v>3425.3</v>
      </c>
      <c r="E218" s="20">
        <f>INDEX(ActiveDistricts!$A$2:$J$326,MATCH(Calculation!$A218,ActiveDistricts!$C$2:$C$326,0),10)</f>
        <v>0.21928166351606806</v>
      </c>
      <c r="F218" s="8">
        <f t="shared" si="23"/>
        <v>4.8220000000000001</v>
      </c>
      <c r="G218" s="8">
        <f t="shared" si="24"/>
        <v>6.9880000000000004</v>
      </c>
      <c r="H218" s="8">
        <f t="shared" si="21"/>
        <v>11.81</v>
      </c>
      <c r="I218">
        <f>INDEX(StartupfileInput!$A$2:$I$326,MATCH(Calculation!$A218,StartupfileInput!$C$2:$C$326,0),9)</f>
        <v>7413</v>
      </c>
      <c r="J218" s="106">
        <f t="shared" si="25"/>
        <v>7635</v>
      </c>
      <c r="K218" s="9">
        <f t="shared" si="22"/>
        <v>36816</v>
      </c>
      <c r="L218" s="9">
        <f t="shared" si="26"/>
        <v>53353</v>
      </c>
      <c r="M218" s="9">
        <f t="shared" si="27"/>
        <v>90169</v>
      </c>
    </row>
    <row r="219" spans="1:13" ht="12.75" x14ac:dyDescent="0.2">
      <c r="A219" s="26" t="str">
        <f>StartupfileInput!C217</f>
        <v>4860</v>
      </c>
      <c r="B219" s="1" t="str">
        <f>INDEX(ActiveDistricts!$A$2:$J$326,MATCH(Calculation!$A219,ActiveDistricts!$C$2:$C$326,0),6)</f>
        <v>4860</v>
      </c>
      <c r="C219" s="1" t="str">
        <f>INDEX(ActiveDistricts!$A$2:$J$326,MATCH(Calculation!$A219,ActiveDistricts!$C$2:$C$326,0),7)</f>
        <v>Odebolt Arthur Battle Creek Ida Grove</v>
      </c>
      <c r="D219" s="14">
        <f>INDEX(StartupfileInput!$A$2:$I$326,MATCH(Calculation!$A219,StartupfileInput!$C$2:$C$326,0),8)</f>
        <v>925.2</v>
      </c>
      <c r="E219" s="20">
        <f>INDEX(ActiveDistricts!$A$2:$J$326,MATCH(Calculation!$A219,ActiveDistricts!$C$2:$C$326,0),10)</f>
        <v>0.50696378830083566</v>
      </c>
      <c r="F219" s="8">
        <f t="shared" si="23"/>
        <v>3.0110000000000001</v>
      </c>
      <c r="G219" s="8">
        <f t="shared" si="24"/>
        <v>1.887</v>
      </c>
      <c r="H219" s="8">
        <f t="shared" si="21"/>
        <v>4.8979999999999997</v>
      </c>
      <c r="I219">
        <f>INDEX(StartupfileInput!$A$2:$I$326,MATCH(Calculation!$A219,StartupfileInput!$C$2:$C$326,0),9)</f>
        <v>7413</v>
      </c>
      <c r="J219" s="106">
        <f t="shared" si="25"/>
        <v>7635</v>
      </c>
      <c r="K219" s="9">
        <f t="shared" si="22"/>
        <v>22989</v>
      </c>
      <c r="L219" s="9">
        <f t="shared" si="26"/>
        <v>14407</v>
      </c>
      <c r="M219" s="9">
        <f t="shared" si="27"/>
        <v>37396</v>
      </c>
    </row>
    <row r="220" spans="1:13" ht="12.75" x14ac:dyDescent="0.2">
      <c r="A220" s="26" t="str">
        <f>StartupfileInput!C218</f>
        <v>4869</v>
      </c>
      <c r="B220" s="1" t="str">
        <f>INDEX(ActiveDistricts!$A$2:$J$326,MATCH(Calculation!$A220,ActiveDistricts!$C$2:$C$326,0),6)</f>
        <v>4869</v>
      </c>
      <c r="C220" s="1" t="str">
        <f>INDEX(ActiveDistricts!$A$2:$J$326,MATCH(Calculation!$A220,ActiveDistricts!$C$2:$C$326,0),7)</f>
        <v>Oelwein</v>
      </c>
      <c r="D220" s="14">
        <f>INDEX(StartupfileInput!$A$2:$I$326,MATCH(Calculation!$A220,StartupfileInput!$C$2:$C$326,0),8)</f>
        <v>1326</v>
      </c>
      <c r="E220" s="20">
        <f>INDEX(ActiveDistricts!$A$2:$J$326,MATCH(Calculation!$A220,ActiveDistricts!$C$2:$C$326,0),10)</f>
        <v>0.62730627306273068</v>
      </c>
      <c r="F220" s="8">
        <f t="shared" si="23"/>
        <v>5.34</v>
      </c>
      <c r="G220" s="8">
        <f t="shared" si="24"/>
        <v>2.7050000000000001</v>
      </c>
      <c r="H220" s="8">
        <f t="shared" si="21"/>
        <v>8.0449999999999999</v>
      </c>
      <c r="I220">
        <f>INDEX(StartupfileInput!$A$2:$I$326,MATCH(Calculation!$A220,StartupfileInput!$C$2:$C$326,0),9)</f>
        <v>7419</v>
      </c>
      <c r="J220" s="106">
        <f t="shared" si="25"/>
        <v>7641</v>
      </c>
      <c r="K220" s="9">
        <f t="shared" si="22"/>
        <v>40803</v>
      </c>
      <c r="L220" s="9">
        <f t="shared" si="26"/>
        <v>20669</v>
      </c>
      <c r="M220" s="9">
        <f t="shared" si="27"/>
        <v>61472</v>
      </c>
    </row>
    <row r="221" spans="1:13" ht="12.75" x14ac:dyDescent="0.2">
      <c r="A221" s="26" t="str">
        <f>StartupfileInput!C219</f>
        <v>4878</v>
      </c>
      <c r="B221" s="1" t="str">
        <f>INDEX(ActiveDistricts!$A$2:$J$326,MATCH(Calculation!$A221,ActiveDistricts!$C$2:$C$326,0),6)</f>
        <v>4878</v>
      </c>
      <c r="C221" s="1" t="str">
        <f>INDEX(ActiveDistricts!$A$2:$J$326,MATCH(Calculation!$A221,ActiveDistricts!$C$2:$C$326,0),7)</f>
        <v>Ogden</v>
      </c>
      <c r="D221" s="14">
        <f>INDEX(StartupfileInput!$A$2:$I$326,MATCH(Calculation!$A221,StartupfileInput!$C$2:$C$326,0),8)</f>
        <v>589.79999999999995</v>
      </c>
      <c r="E221" s="20">
        <f>INDEX(ActiveDistricts!$A$2:$J$326,MATCH(Calculation!$A221,ActiveDistricts!$C$2:$C$326,0),10)</f>
        <v>0.26101694915254237</v>
      </c>
      <c r="F221" s="8">
        <f t="shared" si="23"/>
        <v>0.98799999999999999</v>
      </c>
      <c r="G221" s="8">
        <f t="shared" si="24"/>
        <v>1.2030000000000001</v>
      </c>
      <c r="H221" s="8">
        <f t="shared" si="21"/>
        <v>2.1909999999999998</v>
      </c>
      <c r="I221">
        <f>INDEX(StartupfileInput!$A$2:$I$326,MATCH(Calculation!$A221,StartupfileInput!$C$2:$C$326,0),9)</f>
        <v>7413</v>
      </c>
      <c r="J221" s="106">
        <f t="shared" si="25"/>
        <v>7635</v>
      </c>
      <c r="K221" s="9">
        <f t="shared" si="22"/>
        <v>7543</v>
      </c>
      <c r="L221" s="9">
        <f t="shared" si="26"/>
        <v>9185</v>
      </c>
      <c r="M221" s="9">
        <f t="shared" si="27"/>
        <v>16728</v>
      </c>
    </row>
    <row r="222" spans="1:13" ht="12.75" x14ac:dyDescent="0.2">
      <c r="A222" s="26" t="str">
        <f>StartupfileInput!C220</f>
        <v>4890</v>
      </c>
      <c r="B222" s="1" t="str">
        <f>INDEX(ActiveDistricts!$A$2:$J$326,MATCH(Calculation!$A222,ActiveDistricts!$C$2:$C$326,0),6)</f>
        <v>4890</v>
      </c>
      <c r="C222" s="1" t="str">
        <f>INDEX(ActiveDistricts!$A$2:$J$326,MATCH(Calculation!$A222,ActiveDistricts!$C$2:$C$326,0),7)</f>
        <v>Okoboji</v>
      </c>
      <c r="D222" s="14">
        <f>INDEX(StartupfileInput!$A$2:$I$326,MATCH(Calculation!$A222,StartupfileInput!$C$2:$C$326,0),8)</f>
        <v>1065.8</v>
      </c>
      <c r="E222" s="20">
        <f>INDEX(ActiveDistricts!$A$2:$J$326,MATCH(Calculation!$A222,ActiveDistricts!$C$2:$C$326,0),10)</f>
        <v>0.40796963946869069</v>
      </c>
      <c r="F222" s="8">
        <f t="shared" si="23"/>
        <v>2.7919999999999998</v>
      </c>
      <c r="G222" s="8">
        <f t="shared" si="24"/>
        <v>2.1739999999999999</v>
      </c>
      <c r="H222" s="8">
        <f t="shared" si="21"/>
        <v>4.9659999999999993</v>
      </c>
      <c r="I222">
        <f>INDEX(StartupfileInput!$A$2:$I$326,MATCH(Calculation!$A222,StartupfileInput!$C$2:$C$326,0),9)</f>
        <v>7413</v>
      </c>
      <c r="J222" s="106">
        <f t="shared" si="25"/>
        <v>7635</v>
      </c>
      <c r="K222" s="9">
        <f t="shared" si="22"/>
        <v>21317</v>
      </c>
      <c r="L222" s="9">
        <f t="shared" si="26"/>
        <v>16598</v>
      </c>
      <c r="M222" s="9">
        <f t="shared" si="27"/>
        <v>37915</v>
      </c>
    </row>
    <row r="223" spans="1:13" ht="12.75" x14ac:dyDescent="0.2">
      <c r="A223" s="26" t="str">
        <f>StartupfileInput!C221</f>
        <v>4905</v>
      </c>
      <c r="B223" s="1" t="str">
        <f>INDEX(ActiveDistricts!$A$2:$J$326,MATCH(Calculation!$A223,ActiveDistricts!$C$2:$C$326,0),6)</f>
        <v>4905</v>
      </c>
      <c r="C223" s="1" t="str">
        <f>INDEX(ActiveDistricts!$A$2:$J$326,MATCH(Calculation!$A223,ActiveDistricts!$C$2:$C$326,0),7)</f>
        <v>Olin</v>
      </c>
      <c r="D223" s="14">
        <f>INDEX(StartupfileInput!$A$2:$I$326,MATCH(Calculation!$A223,StartupfileInput!$C$2:$C$326,0),8)</f>
        <v>215.5</v>
      </c>
      <c r="E223" s="20">
        <f>INDEX(ActiveDistricts!$A$2:$J$326,MATCH(Calculation!$A223,ActiveDistricts!$C$2:$C$326,0),10)</f>
        <v>0.54929577464788737</v>
      </c>
      <c r="F223" s="8">
        <f t="shared" si="23"/>
        <v>0.76</v>
      </c>
      <c r="G223" s="8">
        <f t="shared" si="24"/>
        <v>0.44</v>
      </c>
      <c r="H223" s="8">
        <f t="shared" si="21"/>
        <v>1.2</v>
      </c>
      <c r="I223">
        <f>INDEX(StartupfileInput!$A$2:$I$326,MATCH(Calculation!$A223,StartupfileInput!$C$2:$C$326,0),9)</f>
        <v>7413</v>
      </c>
      <c r="J223" s="106">
        <f t="shared" si="25"/>
        <v>7635</v>
      </c>
      <c r="K223" s="9">
        <f t="shared" si="22"/>
        <v>5803</v>
      </c>
      <c r="L223" s="9">
        <f t="shared" si="26"/>
        <v>3359</v>
      </c>
      <c r="M223" s="9">
        <f t="shared" si="27"/>
        <v>9162</v>
      </c>
    </row>
    <row r="224" spans="1:13" ht="12.75" x14ac:dyDescent="0.2">
      <c r="A224" s="26" t="str">
        <f>StartupfileInput!C222</f>
        <v>4978</v>
      </c>
      <c r="B224" s="1" t="str">
        <f>INDEX(ActiveDistricts!$A$2:$J$326,MATCH(Calculation!$A224,ActiveDistricts!$C$2:$C$326,0),6)</f>
        <v>4978</v>
      </c>
      <c r="C224" s="1" t="str">
        <f>INDEX(ActiveDistricts!$A$2:$J$326,MATCH(Calculation!$A224,ActiveDistricts!$C$2:$C$326,0),7)</f>
        <v>Orient-Macksburg</v>
      </c>
      <c r="D224" s="14">
        <f>INDEX(StartupfileInput!$A$2:$I$326,MATCH(Calculation!$A224,StartupfileInput!$C$2:$C$326,0),8)</f>
        <v>178.1</v>
      </c>
      <c r="E224" s="20">
        <f>INDEX(ActiveDistricts!$A$2:$J$326,MATCH(Calculation!$A224,ActiveDistricts!$C$2:$C$326,0),10)</f>
        <v>0.64150943396226412</v>
      </c>
      <c r="F224" s="8">
        <f t="shared" si="23"/>
        <v>0.73399999999999999</v>
      </c>
      <c r="G224" s="8">
        <f t="shared" si="24"/>
        <v>0.36299999999999999</v>
      </c>
      <c r="H224" s="8">
        <f t="shared" si="21"/>
        <v>1.097</v>
      </c>
      <c r="I224">
        <f>INDEX(StartupfileInput!$A$2:$I$326,MATCH(Calculation!$A224,StartupfileInput!$C$2:$C$326,0),9)</f>
        <v>7413</v>
      </c>
      <c r="J224" s="106">
        <f t="shared" si="25"/>
        <v>7635</v>
      </c>
      <c r="K224" s="9">
        <f t="shared" si="22"/>
        <v>5604</v>
      </c>
      <c r="L224" s="9">
        <f t="shared" si="26"/>
        <v>2772</v>
      </c>
      <c r="M224" s="9">
        <f t="shared" si="27"/>
        <v>8376</v>
      </c>
    </row>
    <row r="225" spans="1:13" ht="12.75" x14ac:dyDescent="0.2">
      <c r="A225" s="26" t="str">
        <f>StartupfileInput!C223</f>
        <v>4995</v>
      </c>
      <c r="B225" s="1" t="str">
        <f>INDEX(ActiveDistricts!$A$2:$J$326,MATCH(Calculation!$A225,ActiveDistricts!$C$2:$C$326,0),6)</f>
        <v>4995</v>
      </c>
      <c r="C225" s="1" t="str">
        <f>INDEX(ActiveDistricts!$A$2:$J$326,MATCH(Calculation!$A225,ActiveDistricts!$C$2:$C$326,0),7)</f>
        <v>Osage</v>
      </c>
      <c r="D225" s="14">
        <f>INDEX(StartupfileInput!$A$2:$I$326,MATCH(Calculation!$A225,StartupfileInput!$C$2:$C$326,0),8)</f>
        <v>892.7</v>
      </c>
      <c r="E225" s="20">
        <f>INDEX(ActiveDistricts!$A$2:$J$326,MATCH(Calculation!$A225,ActiveDistricts!$C$2:$C$326,0),10)</f>
        <v>0.3493975903614458</v>
      </c>
      <c r="F225" s="8">
        <f t="shared" si="23"/>
        <v>2.0019999999999998</v>
      </c>
      <c r="G225" s="8">
        <f t="shared" si="24"/>
        <v>1.821</v>
      </c>
      <c r="H225" s="8">
        <f t="shared" si="21"/>
        <v>3.8229999999999995</v>
      </c>
      <c r="I225">
        <f>INDEX(StartupfileInput!$A$2:$I$326,MATCH(Calculation!$A225,StartupfileInput!$C$2:$C$326,0),9)</f>
        <v>7435</v>
      </c>
      <c r="J225" s="106">
        <f t="shared" si="25"/>
        <v>7657</v>
      </c>
      <c r="K225" s="9">
        <f t="shared" si="22"/>
        <v>15329</v>
      </c>
      <c r="L225" s="9">
        <f t="shared" si="26"/>
        <v>13944</v>
      </c>
      <c r="M225" s="9">
        <f t="shared" si="27"/>
        <v>29273</v>
      </c>
    </row>
    <row r="226" spans="1:13" ht="12.75" x14ac:dyDescent="0.2">
      <c r="A226" s="26" t="str">
        <f>StartupfileInput!C224</f>
        <v>5013</v>
      </c>
      <c r="B226" s="1" t="str">
        <f>INDEX(ActiveDistricts!$A$2:$J$326,MATCH(Calculation!$A226,ActiveDistricts!$C$2:$C$326,0),6)</f>
        <v>5013</v>
      </c>
      <c r="C226" s="1" t="str">
        <f>INDEX(ActiveDistricts!$A$2:$J$326,MATCH(Calculation!$A226,ActiveDistricts!$C$2:$C$326,0),7)</f>
        <v>Oskaloosa</v>
      </c>
      <c r="D226" s="14">
        <f>INDEX(StartupfileInput!$A$2:$I$326,MATCH(Calculation!$A226,StartupfileInput!$C$2:$C$326,0),8)</f>
        <v>2254.6</v>
      </c>
      <c r="E226" s="20">
        <f>INDEX(ActiveDistricts!$A$2:$J$326,MATCH(Calculation!$A226,ActiveDistricts!$C$2:$C$326,0),10)</f>
        <v>0.51593860684769777</v>
      </c>
      <c r="F226" s="8">
        <f t="shared" si="23"/>
        <v>7.468</v>
      </c>
      <c r="G226" s="8">
        <f t="shared" si="24"/>
        <v>4.5990000000000002</v>
      </c>
      <c r="H226" s="8">
        <f t="shared" si="21"/>
        <v>12.067</v>
      </c>
      <c r="I226">
        <f>INDEX(StartupfileInput!$A$2:$I$326,MATCH(Calculation!$A226,StartupfileInput!$C$2:$C$326,0),9)</f>
        <v>7413</v>
      </c>
      <c r="J226" s="106">
        <f t="shared" si="25"/>
        <v>7635</v>
      </c>
      <c r="K226" s="9">
        <f t="shared" si="22"/>
        <v>57018</v>
      </c>
      <c r="L226" s="9">
        <f t="shared" si="26"/>
        <v>35114</v>
      </c>
      <c r="M226" s="9">
        <f t="shared" si="27"/>
        <v>92132</v>
      </c>
    </row>
    <row r="227" spans="1:13" ht="12.75" x14ac:dyDescent="0.2">
      <c r="A227" s="26" t="str">
        <f>StartupfileInput!C225</f>
        <v>5049</v>
      </c>
      <c r="B227" s="1" t="str">
        <f>INDEX(ActiveDistricts!$A$2:$J$326,MATCH(Calculation!$A227,ActiveDistricts!$C$2:$C$326,0),6)</f>
        <v>5049</v>
      </c>
      <c r="C227" s="1" t="str">
        <f>INDEX(ActiveDistricts!$A$2:$J$326,MATCH(Calculation!$A227,ActiveDistricts!$C$2:$C$326,0),7)</f>
        <v>Ottumwa</v>
      </c>
      <c r="D227" s="14">
        <f>INDEX(StartupfileInput!$A$2:$I$326,MATCH(Calculation!$A227,StartupfileInput!$C$2:$C$326,0),8)</f>
        <v>5067.1000000000004</v>
      </c>
      <c r="E227" s="20">
        <f>INDEX(ActiveDistricts!$A$2:$J$326,MATCH(Calculation!$A227,ActiveDistricts!$C$2:$C$326,0),10)</f>
        <v>0.50326141495233312</v>
      </c>
      <c r="F227" s="8">
        <f t="shared" si="23"/>
        <v>16.370999999999999</v>
      </c>
      <c r="G227" s="8">
        <f t="shared" si="24"/>
        <v>10.337</v>
      </c>
      <c r="H227" s="8">
        <f t="shared" si="21"/>
        <v>26.707999999999998</v>
      </c>
      <c r="I227">
        <f>INDEX(StartupfileInput!$A$2:$I$326,MATCH(Calculation!$A227,StartupfileInput!$C$2:$C$326,0),9)</f>
        <v>7413</v>
      </c>
      <c r="J227" s="106">
        <f t="shared" si="25"/>
        <v>7635</v>
      </c>
      <c r="K227" s="9">
        <f t="shared" si="22"/>
        <v>124993</v>
      </c>
      <c r="L227" s="9">
        <f t="shared" si="26"/>
        <v>78923</v>
      </c>
      <c r="M227" s="9">
        <f t="shared" si="27"/>
        <v>203916</v>
      </c>
    </row>
    <row r="228" spans="1:13" ht="12.75" x14ac:dyDescent="0.2">
      <c r="A228" s="26" t="str">
        <f>StartupfileInput!C226</f>
        <v>5319</v>
      </c>
      <c r="B228" s="1" t="str">
        <f>INDEX(ActiveDistricts!$A$2:$J$326,MATCH(Calculation!$A228,ActiveDistricts!$C$2:$C$326,0),6)</f>
        <v>5160</v>
      </c>
      <c r="C228" s="1" t="str">
        <f>INDEX(ActiveDistricts!$A$2:$J$326,MATCH(Calculation!$A228,ActiveDistricts!$C$2:$C$326,0),7)</f>
        <v>PCM</v>
      </c>
      <c r="D228" s="14">
        <f>INDEX(StartupfileInput!$A$2:$I$326,MATCH(Calculation!$A228,StartupfileInput!$C$2:$C$326,0),8)</f>
        <v>1032.0999999999999</v>
      </c>
      <c r="E228" s="20">
        <f>INDEX(ActiveDistricts!$A$2:$J$326,MATCH(Calculation!$A228,ActiveDistricts!$C$2:$C$326,0),10)</f>
        <v>0.29462365591397849</v>
      </c>
      <c r="F228" s="8">
        <f t="shared" si="23"/>
        <v>1.952</v>
      </c>
      <c r="G228" s="8">
        <f t="shared" si="24"/>
        <v>2.105</v>
      </c>
      <c r="H228" s="8">
        <f t="shared" si="21"/>
        <v>4.0570000000000004</v>
      </c>
      <c r="I228">
        <f>INDEX(StartupfileInput!$A$2:$I$326,MATCH(Calculation!$A228,StartupfileInput!$C$2:$C$326,0),9)</f>
        <v>7413</v>
      </c>
      <c r="J228" s="106">
        <f t="shared" si="25"/>
        <v>7635</v>
      </c>
      <c r="K228" s="9">
        <f t="shared" si="22"/>
        <v>14904</v>
      </c>
      <c r="L228" s="9">
        <f t="shared" si="26"/>
        <v>16071</v>
      </c>
      <c r="M228" s="9">
        <f t="shared" si="27"/>
        <v>30975</v>
      </c>
    </row>
    <row r="229" spans="1:13" ht="12.75" x14ac:dyDescent="0.2">
      <c r="A229" s="26" t="str">
        <f>StartupfileInput!C227</f>
        <v>5121</v>
      </c>
      <c r="B229" s="1" t="str">
        <f>INDEX(ActiveDistricts!$A$2:$J$326,MATCH(Calculation!$A229,ActiveDistricts!$C$2:$C$326,0),6)</f>
        <v>5121</v>
      </c>
      <c r="C229" s="1" t="str">
        <f>INDEX(ActiveDistricts!$A$2:$J$326,MATCH(Calculation!$A229,ActiveDistricts!$C$2:$C$326,0),7)</f>
        <v>Panorama</v>
      </c>
      <c r="D229" s="14">
        <f>INDEX(StartupfileInput!$A$2:$I$326,MATCH(Calculation!$A229,StartupfileInput!$C$2:$C$326,0),8)</f>
        <v>642.9</v>
      </c>
      <c r="E229" s="20">
        <f>INDEX(ActiveDistricts!$A$2:$J$326,MATCH(Calculation!$A229,ActiveDistricts!$C$2:$C$326,0),10)</f>
        <v>0.42238267148014441</v>
      </c>
      <c r="F229" s="8">
        <f t="shared" si="23"/>
        <v>1.7430000000000001</v>
      </c>
      <c r="G229" s="8">
        <f t="shared" si="24"/>
        <v>1.3120000000000001</v>
      </c>
      <c r="H229" s="8">
        <f t="shared" si="21"/>
        <v>3.0550000000000002</v>
      </c>
      <c r="I229">
        <f>INDEX(StartupfileInput!$A$2:$I$326,MATCH(Calculation!$A229,StartupfileInput!$C$2:$C$326,0),9)</f>
        <v>7413</v>
      </c>
      <c r="J229" s="106">
        <f t="shared" si="25"/>
        <v>7635</v>
      </c>
      <c r="K229" s="9">
        <f t="shared" si="22"/>
        <v>13308</v>
      </c>
      <c r="L229" s="9">
        <f t="shared" si="26"/>
        <v>10017</v>
      </c>
      <c r="M229" s="9">
        <f t="shared" si="27"/>
        <v>23325</v>
      </c>
    </row>
    <row r="230" spans="1:13" ht="12.75" x14ac:dyDescent="0.2">
      <c r="A230" s="26" t="str">
        <f>StartupfileInput!C228</f>
        <v>5139</v>
      </c>
      <c r="B230" s="1" t="str">
        <f>INDEX(ActiveDistricts!$A$2:$J$326,MATCH(Calculation!$A230,ActiveDistricts!$C$2:$C$326,0),6)</f>
        <v>5139</v>
      </c>
      <c r="C230" s="1" t="str">
        <f>INDEX(ActiveDistricts!$A$2:$J$326,MATCH(Calculation!$A230,ActiveDistricts!$C$2:$C$326,0),7)</f>
        <v>Paton-Churdan</v>
      </c>
      <c r="D230" s="14">
        <f>INDEX(StartupfileInput!$A$2:$I$326,MATCH(Calculation!$A230,StartupfileInput!$C$2:$C$326,0),8)</f>
        <v>186.7</v>
      </c>
      <c r="E230" s="20">
        <f>INDEX(ActiveDistricts!$A$2:$J$326,MATCH(Calculation!$A230,ActiveDistricts!$C$2:$C$326,0),10)</f>
        <v>0.4358974358974359</v>
      </c>
      <c r="F230" s="8">
        <f t="shared" si="23"/>
        <v>0.52200000000000002</v>
      </c>
      <c r="G230" s="8">
        <f t="shared" si="24"/>
        <v>0.38100000000000001</v>
      </c>
      <c r="H230" s="8">
        <f t="shared" si="21"/>
        <v>0.90300000000000002</v>
      </c>
      <c r="I230">
        <f>INDEX(StartupfileInput!$A$2:$I$326,MATCH(Calculation!$A230,StartupfileInput!$C$2:$C$326,0),9)</f>
        <v>7545</v>
      </c>
      <c r="J230" s="106">
        <f t="shared" si="25"/>
        <v>7767</v>
      </c>
      <c r="K230" s="9">
        <f t="shared" si="22"/>
        <v>4054</v>
      </c>
      <c r="L230" s="9">
        <f t="shared" si="26"/>
        <v>2960</v>
      </c>
      <c r="M230" s="9">
        <f t="shared" si="27"/>
        <v>7014</v>
      </c>
    </row>
    <row r="231" spans="1:13" ht="12.75" x14ac:dyDescent="0.2">
      <c r="A231" s="26" t="str">
        <f>StartupfileInput!C229</f>
        <v>5163</v>
      </c>
      <c r="B231" s="1" t="str">
        <f>INDEX(ActiveDistricts!$A$2:$J$326,MATCH(Calculation!$A231,ActiveDistricts!$C$2:$C$326,0),6)</f>
        <v>5163</v>
      </c>
      <c r="C231" s="1" t="str">
        <f>INDEX(ActiveDistricts!$A$2:$J$326,MATCH(Calculation!$A231,ActiveDistricts!$C$2:$C$326,0),7)</f>
        <v>Pekin</v>
      </c>
      <c r="D231" s="14">
        <f>INDEX(StartupfileInput!$A$2:$I$326,MATCH(Calculation!$A231,StartupfileInput!$C$2:$C$326,0),8)</f>
        <v>549.1</v>
      </c>
      <c r="E231" s="20">
        <f>INDEX(ActiveDistricts!$A$2:$J$326,MATCH(Calculation!$A231,ActiveDistricts!$C$2:$C$326,0),10)</f>
        <v>0.4044943820224719</v>
      </c>
      <c r="F231" s="8">
        <f t="shared" si="23"/>
        <v>1.4259999999999999</v>
      </c>
      <c r="G231" s="8">
        <f t="shared" si="24"/>
        <v>1.1200000000000001</v>
      </c>
      <c r="H231" s="8">
        <f t="shared" si="21"/>
        <v>2.5460000000000003</v>
      </c>
      <c r="I231">
        <f>INDEX(StartupfileInput!$A$2:$I$326,MATCH(Calculation!$A231,StartupfileInput!$C$2:$C$326,0),9)</f>
        <v>7413</v>
      </c>
      <c r="J231" s="106">
        <f t="shared" si="25"/>
        <v>7635</v>
      </c>
      <c r="K231" s="9">
        <f t="shared" si="22"/>
        <v>10888</v>
      </c>
      <c r="L231" s="9">
        <f t="shared" si="26"/>
        <v>8551</v>
      </c>
      <c r="M231" s="9">
        <f t="shared" si="27"/>
        <v>19439</v>
      </c>
    </row>
    <row r="232" spans="1:13" ht="12.75" x14ac:dyDescent="0.2">
      <c r="A232" s="26" t="str">
        <f>StartupfileInput!C230</f>
        <v>5166</v>
      </c>
      <c r="B232" s="1" t="str">
        <f>INDEX(ActiveDistricts!$A$2:$J$326,MATCH(Calculation!$A232,ActiveDistricts!$C$2:$C$326,0),6)</f>
        <v>5166</v>
      </c>
      <c r="C232" s="1" t="str">
        <f>INDEX(ActiveDistricts!$A$2:$J$326,MATCH(Calculation!$A232,ActiveDistricts!$C$2:$C$326,0),7)</f>
        <v>Pella</v>
      </c>
      <c r="D232" s="14">
        <f>INDEX(StartupfileInput!$A$2:$I$326,MATCH(Calculation!$A232,StartupfileInput!$C$2:$C$326,0),8)</f>
        <v>2179.6999999999998</v>
      </c>
      <c r="E232" s="20">
        <f>INDEX(ActiveDistricts!$A$2:$J$326,MATCH(Calculation!$A232,ActiveDistricts!$C$2:$C$326,0),10)</f>
        <v>0.1951219512195122</v>
      </c>
      <c r="F232" s="8">
        <f t="shared" si="23"/>
        <v>2.73</v>
      </c>
      <c r="G232" s="8">
        <f t="shared" si="24"/>
        <v>4.4470000000000001</v>
      </c>
      <c r="H232" s="8">
        <f t="shared" si="21"/>
        <v>7.1769999999999996</v>
      </c>
      <c r="I232">
        <f>INDEX(StartupfileInput!$A$2:$I$326,MATCH(Calculation!$A232,StartupfileInput!$C$2:$C$326,0),9)</f>
        <v>7413</v>
      </c>
      <c r="J232" s="106">
        <f t="shared" si="25"/>
        <v>7635</v>
      </c>
      <c r="K232" s="9">
        <f t="shared" si="22"/>
        <v>20844</v>
      </c>
      <c r="L232" s="9">
        <f t="shared" si="26"/>
        <v>33952</v>
      </c>
      <c r="M232" s="9">
        <f t="shared" si="27"/>
        <v>54796</v>
      </c>
    </row>
    <row r="233" spans="1:13" ht="12.75" x14ac:dyDescent="0.2">
      <c r="A233" s="26" t="str">
        <f>StartupfileInput!C231</f>
        <v>5184</v>
      </c>
      <c r="B233" s="1" t="str">
        <f>INDEX(ActiveDistricts!$A$2:$J$326,MATCH(Calculation!$A233,ActiveDistricts!$C$2:$C$326,0),6)</f>
        <v>5184</v>
      </c>
      <c r="C233" s="1" t="str">
        <f>INDEX(ActiveDistricts!$A$2:$J$326,MATCH(Calculation!$A233,ActiveDistricts!$C$2:$C$326,0),7)</f>
        <v>Perry</v>
      </c>
      <c r="D233" s="14">
        <f>INDEX(StartupfileInput!$A$2:$I$326,MATCH(Calculation!$A233,StartupfileInput!$C$2:$C$326,0),8)</f>
        <v>1854.1</v>
      </c>
      <c r="E233" s="20">
        <f>INDEX(ActiveDistricts!$A$2:$J$326,MATCH(Calculation!$A233,ActiveDistricts!$C$2:$C$326,0),10)</f>
        <v>0.6052287581699346</v>
      </c>
      <c r="F233" s="8">
        <f t="shared" si="23"/>
        <v>7.2039999999999997</v>
      </c>
      <c r="G233" s="8">
        <f t="shared" si="24"/>
        <v>3.782</v>
      </c>
      <c r="H233" s="8">
        <f t="shared" si="21"/>
        <v>10.986000000000001</v>
      </c>
      <c r="I233">
        <f>INDEX(StartupfileInput!$A$2:$I$326,MATCH(Calculation!$A233,StartupfileInput!$C$2:$C$326,0),9)</f>
        <v>7413</v>
      </c>
      <c r="J233" s="106">
        <f t="shared" si="25"/>
        <v>7635</v>
      </c>
      <c r="K233" s="9">
        <f t="shared" si="22"/>
        <v>55003</v>
      </c>
      <c r="L233" s="9">
        <f t="shared" si="26"/>
        <v>28875</v>
      </c>
      <c r="M233" s="9">
        <f t="shared" si="27"/>
        <v>83878</v>
      </c>
    </row>
    <row r="234" spans="1:13" ht="12.75" x14ac:dyDescent="0.2">
      <c r="A234" s="26" t="str">
        <f>StartupfileInput!C232</f>
        <v>5250</v>
      </c>
      <c r="B234" s="1" t="str">
        <f>INDEX(ActiveDistricts!$A$2:$J$326,MATCH(Calculation!$A234,ActiveDistricts!$C$2:$C$326,0),6)</f>
        <v>5250</v>
      </c>
      <c r="C234" s="1" t="str">
        <f>INDEX(ActiveDistricts!$A$2:$J$326,MATCH(Calculation!$A234,ActiveDistricts!$C$2:$C$326,0),7)</f>
        <v>Pleasant Valley</v>
      </c>
      <c r="D234" s="14">
        <f>INDEX(StartupfileInput!$A$2:$I$326,MATCH(Calculation!$A234,StartupfileInput!$C$2:$C$326,0),8)</f>
        <v>5556.8</v>
      </c>
      <c r="E234" s="20">
        <f>INDEX(ActiveDistricts!$A$2:$J$326,MATCH(Calculation!$A234,ActiveDistricts!$C$2:$C$326,0),10)</f>
        <v>0.11042944785276074</v>
      </c>
      <c r="F234" s="8">
        <f t="shared" si="23"/>
        <v>3.94</v>
      </c>
      <c r="G234" s="8">
        <f t="shared" si="24"/>
        <v>11.336</v>
      </c>
      <c r="H234" s="8">
        <f t="shared" si="21"/>
        <v>15.276</v>
      </c>
      <c r="I234">
        <f>INDEX(StartupfileInput!$A$2:$I$326,MATCH(Calculation!$A234,StartupfileInput!$C$2:$C$326,0),9)</f>
        <v>7511</v>
      </c>
      <c r="J234" s="106">
        <f t="shared" si="25"/>
        <v>7733</v>
      </c>
      <c r="K234" s="9">
        <f t="shared" si="22"/>
        <v>30468</v>
      </c>
      <c r="L234" s="9">
        <f t="shared" si="26"/>
        <v>87661</v>
      </c>
      <c r="M234" s="9">
        <f t="shared" si="27"/>
        <v>118129</v>
      </c>
    </row>
    <row r="235" spans="1:13" ht="12.75" x14ac:dyDescent="0.2">
      <c r="A235" s="26" t="str">
        <f>StartupfileInput!C233</f>
        <v>5256</v>
      </c>
      <c r="B235" s="1" t="str">
        <f>INDEX(ActiveDistricts!$A$2:$J$326,MATCH(Calculation!$A235,ActiveDistricts!$C$2:$C$326,0),6)</f>
        <v>5256</v>
      </c>
      <c r="C235" s="1" t="str">
        <f>INDEX(ActiveDistricts!$A$2:$J$326,MATCH(Calculation!$A235,ActiveDistricts!$C$2:$C$326,0),7)</f>
        <v>Pleasantville</v>
      </c>
      <c r="D235" s="14">
        <f>INDEX(StartupfileInput!$A$2:$I$326,MATCH(Calculation!$A235,StartupfileInput!$C$2:$C$326,0),8)</f>
        <v>711.8</v>
      </c>
      <c r="E235" s="20">
        <f>INDEX(ActiveDistricts!$A$2:$J$326,MATCH(Calculation!$A235,ActiveDistricts!$C$2:$C$326,0),10)</f>
        <v>0.36908517350157727</v>
      </c>
      <c r="F235" s="8">
        <f t="shared" si="23"/>
        <v>1.6870000000000001</v>
      </c>
      <c r="G235" s="8">
        <f t="shared" si="24"/>
        <v>1.452</v>
      </c>
      <c r="H235" s="8">
        <f t="shared" si="21"/>
        <v>3.1390000000000002</v>
      </c>
      <c r="I235">
        <f>INDEX(StartupfileInput!$A$2:$I$326,MATCH(Calculation!$A235,StartupfileInput!$C$2:$C$326,0),9)</f>
        <v>7413</v>
      </c>
      <c r="J235" s="106">
        <f t="shared" si="25"/>
        <v>7635</v>
      </c>
      <c r="K235" s="9">
        <f t="shared" si="22"/>
        <v>12880</v>
      </c>
      <c r="L235" s="9">
        <f t="shared" si="26"/>
        <v>11086</v>
      </c>
      <c r="M235" s="9">
        <f t="shared" si="27"/>
        <v>23966</v>
      </c>
    </row>
    <row r="236" spans="1:13" ht="12.75" x14ac:dyDescent="0.2">
      <c r="A236" s="26" t="str">
        <f>StartupfileInput!C234</f>
        <v>5283</v>
      </c>
      <c r="B236" s="1" t="str">
        <f>INDEX(ActiveDistricts!$A$2:$J$326,MATCH(Calculation!$A236,ActiveDistricts!$C$2:$C$326,0),6)</f>
        <v>5283</v>
      </c>
      <c r="C236" s="1" t="str">
        <f>INDEX(ActiveDistricts!$A$2:$J$326,MATCH(Calculation!$A236,ActiveDistricts!$C$2:$C$326,0),7)</f>
        <v>Pocahontas Area</v>
      </c>
      <c r="D236" s="14">
        <f>INDEX(StartupfileInput!$A$2:$I$326,MATCH(Calculation!$A236,StartupfileInput!$C$2:$C$326,0),8)</f>
        <v>669.8</v>
      </c>
      <c r="E236" s="20">
        <f>INDEX(ActiveDistricts!$A$2:$J$326,MATCH(Calculation!$A236,ActiveDistricts!$C$2:$C$326,0),10)</f>
        <v>0.59829059829059827</v>
      </c>
      <c r="F236" s="8">
        <f t="shared" si="23"/>
        <v>2.573</v>
      </c>
      <c r="G236" s="8">
        <f t="shared" si="24"/>
        <v>1.3660000000000001</v>
      </c>
      <c r="H236" s="8">
        <f t="shared" si="21"/>
        <v>3.9390000000000001</v>
      </c>
      <c r="I236">
        <f>INDEX(StartupfileInput!$A$2:$I$326,MATCH(Calculation!$A236,StartupfileInput!$C$2:$C$326,0),9)</f>
        <v>7513</v>
      </c>
      <c r="J236" s="106">
        <f t="shared" si="25"/>
        <v>7735</v>
      </c>
      <c r="K236" s="9">
        <f t="shared" si="22"/>
        <v>19902</v>
      </c>
      <c r="L236" s="9">
        <f t="shared" si="26"/>
        <v>10566</v>
      </c>
      <c r="M236" s="9">
        <f t="shared" si="27"/>
        <v>30468</v>
      </c>
    </row>
    <row r="237" spans="1:13" ht="12.75" x14ac:dyDescent="0.2">
      <c r="A237" s="26" t="str">
        <f>StartupfileInput!C235</f>
        <v>5310</v>
      </c>
      <c r="B237" s="1" t="str">
        <f>INDEX(ActiveDistricts!$A$2:$J$326,MATCH(Calculation!$A237,ActiveDistricts!$C$2:$C$326,0),6)</f>
        <v>5310</v>
      </c>
      <c r="C237" s="1" t="str">
        <f>INDEX(ActiveDistricts!$A$2:$J$326,MATCH(Calculation!$A237,ActiveDistricts!$C$2:$C$326,0),7)</f>
        <v>Postville</v>
      </c>
      <c r="D237" s="14">
        <f>INDEX(StartupfileInput!$A$2:$I$326,MATCH(Calculation!$A237,StartupfileInput!$C$2:$C$326,0),8)</f>
        <v>693.1</v>
      </c>
      <c r="E237" s="20">
        <f>INDEX(ActiveDistricts!$A$2:$J$326,MATCH(Calculation!$A237,ActiveDistricts!$C$2:$C$326,0),10)</f>
        <v>0.77075098814229248</v>
      </c>
      <c r="F237" s="8">
        <f t="shared" si="23"/>
        <v>3.43</v>
      </c>
      <c r="G237" s="8">
        <f t="shared" si="24"/>
        <v>1.4139999999999999</v>
      </c>
      <c r="H237" s="8">
        <f t="shared" si="21"/>
        <v>4.8440000000000003</v>
      </c>
      <c r="I237">
        <f>INDEX(StartupfileInput!$A$2:$I$326,MATCH(Calculation!$A237,StartupfileInput!$C$2:$C$326,0),9)</f>
        <v>7413</v>
      </c>
      <c r="J237" s="106">
        <f t="shared" si="25"/>
        <v>7635</v>
      </c>
      <c r="K237" s="9">
        <f t="shared" si="22"/>
        <v>26188</v>
      </c>
      <c r="L237" s="9">
        <f t="shared" si="26"/>
        <v>10796</v>
      </c>
      <c r="M237" s="9">
        <f t="shared" si="27"/>
        <v>36984</v>
      </c>
    </row>
    <row r="238" spans="1:13" ht="12.75" x14ac:dyDescent="0.2">
      <c r="A238" s="26" t="str">
        <f>StartupfileInput!C236</f>
        <v>5463</v>
      </c>
      <c r="B238" s="1" t="str">
        <f>INDEX(ActiveDistricts!$A$2:$J$326,MATCH(Calculation!$A238,ActiveDistricts!$C$2:$C$326,0),6)</f>
        <v>5463</v>
      </c>
      <c r="C238" s="1" t="str">
        <f>INDEX(ActiveDistricts!$A$2:$J$326,MATCH(Calculation!$A238,ActiveDistricts!$C$2:$C$326,0),7)</f>
        <v>Red Oak</v>
      </c>
      <c r="D238" s="14">
        <f>INDEX(StartupfileInput!$A$2:$I$326,MATCH(Calculation!$A238,StartupfileInput!$C$2:$C$326,0),8)</f>
        <v>1034.9000000000001</v>
      </c>
      <c r="E238" s="20">
        <f>INDEX(ActiveDistricts!$A$2:$J$326,MATCH(Calculation!$A238,ActiveDistricts!$C$2:$C$326,0),10)</f>
        <v>0.59904534606205251</v>
      </c>
      <c r="F238" s="8">
        <f t="shared" si="23"/>
        <v>3.98</v>
      </c>
      <c r="G238" s="8">
        <f t="shared" si="24"/>
        <v>2.1110000000000002</v>
      </c>
      <c r="H238" s="8">
        <f t="shared" si="21"/>
        <v>6.0910000000000002</v>
      </c>
      <c r="I238">
        <f>INDEX(StartupfileInput!$A$2:$I$326,MATCH(Calculation!$A238,StartupfileInput!$C$2:$C$326,0),9)</f>
        <v>7413</v>
      </c>
      <c r="J238" s="106">
        <f t="shared" si="25"/>
        <v>7635</v>
      </c>
      <c r="K238" s="9">
        <f t="shared" si="22"/>
        <v>30387</v>
      </c>
      <c r="L238" s="9">
        <f t="shared" si="26"/>
        <v>16118</v>
      </c>
      <c r="M238" s="9">
        <f t="shared" si="27"/>
        <v>46505</v>
      </c>
    </row>
    <row r="239" spans="1:13" ht="12.75" x14ac:dyDescent="0.2">
      <c r="A239" s="26" t="str">
        <f>StartupfileInput!C237</f>
        <v>5486</v>
      </c>
      <c r="B239" s="1" t="str">
        <f>INDEX(ActiveDistricts!$A$2:$J$326,MATCH(Calculation!$A239,ActiveDistricts!$C$2:$C$326,0),6)</f>
        <v>5486</v>
      </c>
      <c r="C239" s="1" t="str">
        <f>INDEX(ActiveDistricts!$A$2:$J$326,MATCH(Calculation!$A239,ActiveDistricts!$C$2:$C$326,0),7)</f>
        <v>Remsen-Union</v>
      </c>
      <c r="D239" s="14">
        <f>INDEX(StartupfileInput!$A$2:$I$326,MATCH(Calculation!$A239,StartupfileInput!$C$2:$C$326,0),8)</f>
        <v>334</v>
      </c>
      <c r="E239" s="20">
        <f>INDEX(ActiveDistricts!$A$2:$J$326,MATCH(Calculation!$A239,ActiveDistricts!$C$2:$C$326,0),10)</f>
        <v>0.36075949367088606</v>
      </c>
      <c r="F239" s="8">
        <f t="shared" si="23"/>
        <v>0.77400000000000002</v>
      </c>
      <c r="G239" s="8">
        <f t="shared" si="24"/>
        <v>0.68100000000000005</v>
      </c>
      <c r="H239" s="8">
        <f t="shared" si="21"/>
        <v>1.4550000000000001</v>
      </c>
      <c r="I239">
        <f>INDEX(StartupfileInput!$A$2:$I$326,MATCH(Calculation!$A239,StartupfileInput!$C$2:$C$326,0),9)</f>
        <v>7413</v>
      </c>
      <c r="J239" s="106">
        <f t="shared" si="25"/>
        <v>7635</v>
      </c>
      <c r="K239" s="9">
        <f t="shared" si="22"/>
        <v>5909</v>
      </c>
      <c r="L239" s="9">
        <f t="shared" si="26"/>
        <v>5200</v>
      </c>
      <c r="M239" s="9">
        <f t="shared" si="27"/>
        <v>11109</v>
      </c>
    </row>
    <row r="240" spans="1:13" ht="12.75" x14ac:dyDescent="0.2">
      <c r="A240" s="26" t="str">
        <f>StartupfileInput!C238</f>
        <v>5508</v>
      </c>
      <c r="B240" s="1" t="str">
        <f>INDEX(ActiveDistricts!$A$2:$J$326,MATCH(Calculation!$A240,ActiveDistricts!$C$2:$C$326,0),6)</f>
        <v>5508</v>
      </c>
      <c r="C240" s="1" t="str">
        <f>INDEX(ActiveDistricts!$A$2:$J$326,MATCH(Calculation!$A240,ActiveDistricts!$C$2:$C$326,0),7)</f>
        <v>Riceville</v>
      </c>
      <c r="D240" s="14">
        <f>INDEX(StartupfileInput!$A$2:$I$326,MATCH(Calculation!$A240,StartupfileInput!$C$2:$C$326,0),8)</f>
        <v>331.5</v>
      </c>
      <c r="E240" s="20">
        <f>INDEX(ActiveDistricts!$A$2:$J$326,MATCH(Calculation!$A240,ActiveDistricts!$C$2:$C$326,0),10)</f>
        <v>0.50887573964497046</v>
      </c>
      <c r="F240" s="8">
        <f t="shared" si="23"/>
        <v>1.083</v>
      </c>
      <c r="G240" s="8">
        <f t="shared" si="24"/>
        <v>0.67600000000000005</v>
      </c>
      <c r="H240" s="8">
        <f t="shared" si="21"/>
        <v>1.7589999999999999</v>
      </c>
      <c r="I240">
        <f>INDEX(StartupfileInput!$A$2:$I$326,MATCH(Calculation!$A240,StartupfileInput!$C$2:$C$326,0),9)</f>
        <v>7413</v>
      </c>
      <c r="J240" s="106">
        <f t="shared" si="25"/>
        <v>7635</v>
      </c>
      <c r="K240" s="9">
        <f t="shared" si="22"/>
        <v>8269</v>
      </c>
      <c r="L240" s="9">
        <f t="shared" si="26"/>
        <v>5161</v>
      </c>
      <c r="M240" s="9">
        <f t="shared" si="27"/>
        <v>13430</v>
      </c>
    </row>
    <row r="241" spans="1:13" ht="12.75" x14ac:dyDescent="0.2">
      <c r="A241" s="26" t="str">
        <f>StartupfileInput!C239</f>
        <v>1975</v>
      </c>
      <c r="B241" s="1" t="str">
        <f>INDEX(ActiveDistricts!$A$2:$J$326,MATCH(Calculation!$A241,ActiveDistricts!$C$2:$C$326,0),6)</f>
        <v>1975</v>
      </c>
      <c r="C241" s="1" t="str">
        <f>INDEX(ActiveDistricts!$A$2:$J$326,MATCH(Calculation!$A241,ActiveDistricts!$C$2:$C$326,0),7)</f>
        <v>River Valley</v>
      </c>
      <c r="D241" s="14">
        <f>INDEX(StartupfileInput!$A$2:$I$326,MATCH(Calculation!$A241,StartupfileInput!$C$2:$C$326,0),8)</f>
        <v>372.4</v>
      </c>
      <c r="E241" s="20">
        <f>INDEX(ActiveDistricts!$A$2:$J$326,MATCH(Calculation!$A241,ActiveDistricts!$C$2:$C$326,0),10)</f>
        <v>0.63758389261744963</v>
      </c>
      <c r="F241" s="8">
        <f t="shared" si="23"/>
        <v>1.524</v>
      </c>
      <c r="G241" s="8">
        <f t="shared" si="24"/>
        <v>0.76</v>
      </c>
      <c r="H241" s="8">
        <f t="shared" si="21"/>
        <v>2.2839999999999998</v>
      </c>
      <c r="I241">
        <f>INDEX(StartupfileInput!$A$2:$I$326,MATCH(Calculation!$A241,StartupfileInput!$C$2:$C$326,0),9)</f>
        <v>7413</v>
      </c>
      <c r="J241" s="106">
        <f t="shared" si="25"/>
        <v>7635</v>
      </c>
      <c r="K241" s="9">
        <f t="shared" si="22"/>
        <v>11636</v>
      </c>
      <c r="L241" s="9">
        <f t="shared" si="26"/>
        <v>5802</v>
      </c>
      <c r="M241" s="9">
        <f t="shared" si="27"/>
        <v>17438</v>
      </c>
    </row>
    <row r="242" spans="1:13" ht="12.75" x14ac:dyDescent="0.2">
      <c r="A242" s="26" t="str">
        <f>StartupfileInput!C240</f>
        <v>4824</v>
      </c>
      <c r="B242" s="1" t="str">
        <f>INDEX(ActiveDistricts!$A$2:$J$326,MATCH(Calculation!$A242,ActiveDistricts!$C$2:$C$326,0),6)</f>
        <v>5510</v>
      </c>
      <c r="C242" s="1" t="str">
        <f>INDEX(ActiveDistricts!$A$2:$J$326,MATCH(Calculation!$A242,ActiveDistricts!$C$2:$C$326,0),7)</f>
        <v>Riverside</v>
      </c>
      <c r="D242" s="14">
        <f>INDEX(StartupfileInput!$A$2:$I$326,MATCH(Calculation!$A242,StartupfileInput!$C$2:$C$326,0),8)</f>
        <v>716.2</v>
      </c>
      <c r="E242" s="20">
        <f>INDEX(ActiveDistricts!$A$2:$J$326,MATCH(Calculation!$A242,ActiveDistricts!$C$2:$C$326,0),10)</f>
        <v>0.47750865051903113</v>
      </c>
      <c r="F242" s="8">
        <f t="shared" si="23"/>
        <v>2.1960000000000002</v>
      </c>
      <c r="G242" s="8">
        <f t="shared" si="24"/>
        <v>1.4610000000000001</v>
      </c>
      <c r="H242" s="8">
        <f t="shared" si="21"/>
        <v>3.657</v>
      </c>
      <c r="I242">
        <f>INDEX(StartupfileInput!$A$2:$I$326,MATCH(Calculation!$A242,StartupfileInput!$C$2:$C$326,0),9)</f>
        <v>7413</v>
      </c>
      <c r="J242" s="106">
        <f t="shared" si="25"/>
        <v>7635</v>
      </c>
      <c r="K242" s="9">
        <f t="shared" si="22"/>
        <v>16766</v>
      </c>
      <c r="L242" s="9">
        <f t="shared" si="26"/>
        <v>11155</v>
      </c>
      <c r="M242" s="9">
        <f t="shared" si="27"/>
        <v>27921</v>
      </c>
    </row>
    <row r="243" spans="1:13" ht="12.75" x14ac:dyDescent="0.2">
      <c r="A243" s="26" t="str">
        <f>StartupfileInput!C241</f>
        <v>5607</v>
      </c>
      <c r="B243" s="1" t="str">
        <f>INDEX(ActiveDistricts!$A$2:$J$326,MATCH(Calculation!$A243,ActiveDistricts!$C$2:$C$326,0),6)</f>
        <v>5607</v>
      </c>
      <c r="C243" s="1" t="str">
        <f>INDEX(ActiveDistricts!$A$2:$J$326,MATCH(Calculation!$A243,ActiveDistricts!$C$2:$C$326,0),7)</f>
        <v>Rock Valley</v>
      </c>
      <c r="D243" s="14">
        <f>INDEX(StartupfileInput!$A$2:$I$326,MATCH(Calculation!$A243,StartupfileInput!$C$2:$C$326,0),8)</f>
        <v>851.2</v>
      </c>
      <c r="E243" s="20">
        <f>INDEX(ActiveDistricts!$A$2:$J$326,MATCH(Calculation!$A243,ActiveDistricts!$C$2:$C$326,0),10)</f>
        <v>0.48768472906403942</v>
      </c>
      <c r="F243" s="8">
        <f t="shared" si="23"/>
        <v>2.665</v>
      </c>
      <c r="G243" s="8">
        <f t="shared" si="24"/>
        <v>1.736</v>
      </c>
      <c r="H243" s="8">
        <f t="shared" si="21"/>
        <v>4.4009999999999998</v>
      </c>
      <c r="I243">
        <f>INDEX(StartupfileInput!$A$2:$I$326,MATCH(Calculation!$A243,StartupfileInput!$C$2:$C$326,0),9)</f>
        <v>7419</v>
      </c>
      <c r="J243" s="106">
        <f t="shared" si="25"/>
        <v>7641</v>
      </c>
      <c r="K243" s="9">
        <f t="shared" si="22"/>
        <v>20363</v>
      </c>
      <c r="L243" s="9">
        <f t="shared" si="26"/>
        <v>13265</v>
      </c>
      <c r="M243" s="9">
        <f t="shared" si="27"/>
        <v>33628</v>
      </c>
    </row>
    <row r="244" spans="1:13" ht="12.75" x14ac:dyDescent="0.2">
      <c r="A244" s="26" t="str">
        <f>StartupfileInput!C242</f>
        <v>5643</v>
      </c>
      <c r="B244" s="1" t="str">
        <f>INDEX(ActiveDistricts!$A$2:$J$326,MATCH(Calculation!$A244,ActiveDistricts!$C$2:$C$326,0),6)</f>
        <v>5643</v>
      </c>
      <c r="C244" s="1" t="str">
        <f>INDEX(ActiveDistricts!$A$2:$J$326,MATCH(Calculation!$A244,ActiveDistricts!$C$2:$C$326,0),7)</f>
        <v>Roland-Story</v>
      </c>
      <c r="D244" s="14">
        <f>INDEX(StartupfileInput!$A$2:$I$326,MATCH(Calculation!$A244,StartupfileInput!$C$2:$C$326,0),8)</f>
        <v>1004.2</v>
      </c>
      <c r="E244" s="20">
        <f>INDEX(ActiveDistricts!$A$2:$J$326,MATCH(Calculation!$A244,ActiveDistricts!$C$2:$C$326,0),10)</f>
        <v>0.23060344827586207</v>
      </c>
      <c r="F244" s="8">
        <f t="shared" si="23"/>
        <v>1.4870000000000001</v>
      </c>
      <c r="G244" s="8">
        <f t="shared" si="24"/>
        <v>2.0489999999999999</v>
      </c>
      <c r="H244" s="8">
        <f t="shared" si="21"/>
        <v>3.536</v>
      </c>
      <c r="I244">
        <f>INDEX(StartupfileInput!$A$2:$I$326,MATCH(Calculation!$A244,StartupfileInput!$C$2:$C$326,0),9)</f>
        <v>7413</v>
      </c>
      <c r="J244" s="106">
        <f t="shared" si="25"/>
        <v>7635</v>
      </c>
      <c r="K244" s="9">
        <f t="shared" si="22"/>
        <v>11353</v>
      </c>
      <c r="L244" s="9">
        <f t="shared" si="26"/>
        <v>15644</v>
      </c>
      <c r="M244" s="9">
        <f t="shared" si="27"/>
        <v>26997</v>
      </c>
    </row>
    <row r="245" spans="1:13" ht="12.75" x14ac:dyDescent="0.2">
      <c r="A245" s="26" t="str">
        <f>StartupfileInput!C243</f>
        <v>5697</v>
      </c>
      <c r="B245" s="1" t="str">
        <f>INDEX(ActiveDistricts!$A$2:$J$326,MATCH(Calculation!$A245,ActiveDistricts!$C$2:$C$326,0),6)</f>
        <v>5697</v>
      </c>
      <c r="C245" s="1" t="str">
        <f>INDEX(ActiveDistricts!$A$2:$J$326,MATCH(Calculation!$A245,ActiveDistricts!$C$2:$C$326,0),7)</f>
        <v>Rudd-Rockford-Marble Rock</v>
      </c>
      <c r="D245" s="14">
        <f>INDEX(StartupfileInput!$A$2:$I$326,MATCH(Calculation!$A245,StartupfileInput!$C$2:$C$326,0),8)</f>
        <v>426</v>
      </c>
      <c r="E245" s="20">
        <f>INDEX(ActiveDistricts!$A$2:$J$326,MATCH(Calculation!$A245,ActiveDistricts!$C$2:$C$326,0),10)</f>
        <v>0.62195121951219512</v>
      </c>
      <c r="F245" s="8">
        <f t="shared" si="23"/>
        <v>1.7010000000000001</v>
      </c>
      <c r="G245" s="8">
        <f t="shared" si="24"/>
        <v>0.86899999999999999</v>
      </c>
      <c r="H245" s="8">
        <f t="shared" si="21"/>
        <v>2.5700000000000003</v>
      </c>
      <c r="I245">
        <f>INDEX(StartupfileInput!$A$2:$I$326,MATCH(Calculation!$A245,StartupfileInput!$C$2:$C$326,0),9)</f>
        <v>7413</v>
      </c>
      <c r="J245" s="106">
        <f t="shared" si="25"/>
        <v>7635</v>
      </c>
      <c r="K245" s="9">
        <f t="shared" si="22"/>
        <v>12987</v>
      </c>
      <c r="L245" s="9">
        <f t="shared" si="26"/>
        <v>6635</v>
      </c>
      <c r="M245" s="9">
        <f t="shared" si="27"/>
        <v>19622</v>
      </c>
    </row>
    <row r="246" spans="1:13" ht="12.75" x14ac:dyDescent="0.2">
      <c r="A246" s="26" t="str">
        <f>StartupfileInput!C244</f>
        <v>5724</v>
      </c>
      <c r="B246" s="1" t="str">
        <f>INDEX(ActiveDistricts!$A$2:$J$326,MATCH(Calculation!$A246,ActiveDistricts!$C$2:$C$326,0),6)</f>
        <v>5724</v>
      </c>
      <c r="C246" s="1" t="str">
        <f>INDEX(ActiveDistricts!$A$2:$J$326,MATCH(Calculation!$A246,ActiveDistricts!$C$2:$C$326,0),7)</f>
        <v>Ruthven-Ayrshire</v>
      </c>
      <c r="D246" s="14">
        <f>INDEX(StartupfileInput!$A$2:$I$326,MATCH(Calculation!$A246,StartupfileInput!$C$2:$C$326,0),8)</f>
        <v>193</v>
      </c>
      <c r="E246" s="20">
        <f>INDEX(ActiveDistricts!$A$2:$J$326,MATCH(Calculation!$A246,ActiveDistricts!$C$2:$C$326,0),10)</f>
        <v>0.5757575757575758</v>
      </c>
      <c r="F246" s="8">
        <f t="shared" si="23"/>
        <v>0.71299999999999997</v>
      </c>
      <c r="G246" s="8">
        <f t="shared" si="24"/>
        <v>0.39400000000000002</v>
      </c>
      <c r="H246" s="8">
        <f t="shared" si="21"/>
        <v>1.107</v>
      </c>
      <c r="I246">
        <f>INDEX(StartupfileInput!$A$2:$I$326,MATCH(Calculation!$A246,StartupfileInput!$C$2:$C$326,0),9)</f>
        <v>7413</v>
      </c>
      <c r="J246" s="106">
        <f t="shared" si="25"/>
        <v>7635</v>
      </c>
      <c r="K246" s="9">
        <f t="shared" si="22"/>
        <v>5444</v>
      </c>
      <c r="L246" s="9">
        <f t="shared" si="26"/>
        <v>3008</v>
      </c>
      <c r="M246" s="9">
        <f t="shared" si="27"/>
        <v>8452</v>
      </c>
    </row>
    <row r="247" spans="1:13" ht="12.75" x14ac:dyDescent="0.2">
      <c r="A247" s="26" t="str">
        <f>StartupfileInput!C245</f>
        <v>5805</v>
      </c>
      <c r="B247" s="1" t="str">
        <f>INDEX(ActiveDistricts!$A$2:$J$326,MATCH(Calculation!$A247,ActiveDistricts!$C$2:$C$326,0),6)</f>
        <v>5805</v>
      </c>
      <c r="C247" s="1" t="str">
        <f>INDEX(ActiveDistricts!$A$2:$J$326,MATCH(Calculation!$A247,ActiveDistricts!$C$2:$C$326,0),7)</f>
        <v>Saydel</v>
      </c>
      <c r="D247" s="14">
        <f>INDEX(StartupfileInput!$A$2:$I$326,MATCH(Calculation!$A247,StartupfileInput!$C$2:$C$326,0),8)</f>
        <v>1067</v>
      </c>
      <c r="E247" s="20">
        <f>INDEX(ActiveDistricts!$A$2:$J$326,MATCH(Calculation!$A247,ActiveDistricts!$C$2:$C$326,0),10)</f>
        <v>0.62851782363977482</v>
      </c>
      <c r="F247" s="8">
        <f t="shared" si="23"/>
        <v>4.3049999999999997</v>
      </c>
      <c r="G247" s="8">
        <f t="shared" si="24"/>
        <v>2.177</v>
      </c>
      <c r="H247" s="8">
        <f t="shared" si="21"/>
        <v>6.4819999999999993</v>
      </c>
      <c r="I247">
        <f>INDEX(StartupfileInput!$A$2:$I$326,MATCH(Calculation!$A247,StartupfileInput!$C$2:$C$326,0),9)</f>
        <v>7446</v>
      </c>
      <c r="J247" s="106">
        <f t="shared" si="25"/>
        <v>7668</v>
      </c>
      <c r="K247" s="9">
        <f t="shared" si="22"/>
        <v>33011</v>
      </c>
      <c r="L247" s="9">
        <f t="shared" si="26"/>
        <v>16693</v>
      </c>
      <c r="M247" s="9">
        <f t="shared" si="27"/>
        <v>49704</v>
      </c>
    </row>
    <row r="248" spans="1:13" ht="12.75" x14ac:dyDescent="0.2">
      <c r="A248" s="26" t="str">
        <f>StartupfileInput!C246</f>
        <v>5823</v>
      </c>
      <c r="B248" s="1" t="str">
        <f>INDEX(ActiveDistricts!$A$2:$J$326,MATCH(Calculation!$A248,ActiveDistricts!$C$2:$C$326,0),6)</f>
        <v>5823</v>
      </c>
      <c r="C248" s="1" t="str">
        <f>INDEX(ActiveDistricts!$A$2:$J$326,MATCH(Calculation!$A248,ActiveDistricts!$C$2:$C$326,0),7)</f>
        <v>Schaller-Crestland</v>
      </c>
      <c r="D248" s="14">
        <f>INDEX(StartupfileInput!$A$2:$I$326,MATCH(Calculation!$A248,StartupfileInput!$C$2:$C$326,0),8)</f>
        <v>356</v>
      </c>
      <c r="E248" s="20">
        <f>INDEX(ActiveDistricts!$A$2:$J$326,MATCH(Calculation!$A248,ActiveDistricts!$C$2:$C$326,0),10)</f>
        <v>0.5163398692810458</v>
      </c>
      <c r="F248" s="8">
        <f t="shared" si="23"/>
        <v>1.18</v>
      </c>
      <c r="G248" s="8">
        <f t="shared" si="24"/>
        <v>0.72599999999999998</v>
      </c>
      <c r="H248" s="8">
        <f t="shared" si="21"/>
        <v>1.9059999999999999</v>
      </c>
      <c r="I248">
        <f>INDEX(StartupfileInput!$A$2:$I$326,MATCH(Calculation!$A248,StartupfileInput!$C$2:$C$326,0),9)</f>
        <v>7445</v>
      </c>
      <c r="J248" s="106">
        <f t="shared" si="25"/>
        <v>7667</v>
      </c>
      <c r="K248" s="9">
        <f t="shared" si="22"/>
        <v>9047</v>
      </c>
      <c r="L248" s="9">
        <f t="shared" si="26"/>
        <v>5566</v>
      </c>
      <c r="M248" s="9">
        <f t="shared" si="27"/>
        <v>14613</v>
      </c>
    </row>
    <row r="249" spans="1:13" ht="12.75" x14ac:dyDescent="0.2">
      <c r="A249" s="26" t="str">
        <f>StartupfileInput!C247</f>
        <v>5832</v>
      </c>
      <c r="B249" s="1" t="str">
        <f>INDEX(ActiveDistricts!$A$2:$J$326,MATCH(Calculation!$A249,ActiveDistricts!$C$2:$C$326,0),6)</f>
        <v>5832</v>
      </c>
      <c r="C249" s="1" t="str">
        <f>INDEX(ActiveDistricts!$A$2:$J$326,MATCH(Calculation!$A249,ActiveDistricts!$C$2:$C$326,0),7)</f>
        <v>Schleswig</v>
      </c>
      <c r="D249" s="14">
        <f>INDEX(StartupfileInput!$A$2:$I$326,MATCH(Calculation!$A249,StartupfileInput!$C$2:$C$326,0),8)</f>
        <v>216</v>
      </c>
      <c r="E249" s="20">
        <f>INDEX(ActiveDistricts!$A$2:$J$326,MATCH(Calculation!$A249,ActiveDistricts!$C$2:$C$326,0),10)</f>
        <v>0.4642857142857143</v>
      </c>
      <c r="F249" s="8">
        <f t="shared" si="23"/>
        <v>0.64400000000000002</v>
      </c>
      <c r="G249" s="8">
        <f t="shared" si="24"/>
        <v>0.441</v>
      </c>
      <c r="H249" s="8">
        <f t="shared" si="21"/>
        <v>1.085</v>
      </c>
      <c r="I249">
        <f>INDEX(StartupfileInput!$A$2:$I$326,MATCH(Calculation!$A249,StartupfileInput!$C$2:$C$326,0),9)</f>
        <v>7413</v>
      </c>
      <c r="J249" s="106">
        <f t="shared" si="25"/>
        <v>7635</v>
      </c>
      <c r="K249" s="9">
        <f t="shared" si="22"/>
        <v>4917</v>
      </c>
      <c r="L249" s="9">
        <f t="shared" si="26"/>
        <v>3367</v>
      </c>
      <c r="M249" s="9">
        <f t="shared" si="27"/>
        <v>8284</v>
      </c>
    </row>
    <row r="250" spans="1:13" ht="12.75" x14ac:dyDescent="0.2">
      <c r="A250" s="26" t="str">
        <f>StartupfileInput!C248</f>
        <v>5877</v>
      </c>
      <c r="B250" s="1" t="str">
        <f>INDEX(ActiveDistricts!$A$2:$J$326,MATCH(Calculation!$A250,ActiveDistricts!$C$2:$C$326,0),6)</f>
        <v>5877</v>
      </c>
      <c r="C250" s="1" t="str">
        <f>INDEX(ActiveDistricts!$A$2:$J$326,MATCH(Calculation!$A250,ActiveDistricts!$C$2:$C$326,0),7)</f>
        <v>Sergeant Bluff-Luton</v>
      </c>
      <c r="D250" s="14">
        <f>INDEX(StartupfileInput!$A$2:$I$326,MATCH(Calculation!$A250,StartupfileInput!$C$2:$C$326,0),8)</f>
        <v>1423.6</v>
      </c>
      <c r="E250" s="20">
        <f>INDEX(ActiveDistricts!$A$2:$J$326,MATCH(Calculation!$A250,ActiveDistricts!$C$2:$C$326,0),10)</f>
        <v>0.35262449528936746</v>
      </c>
      <c r="F250" s="8">
        <f t="shared" si="23"/>
        <v>3.2229999999999999</v>
      </c>
      <c r="G250" s="8">
        <f t="shared" si="24"/>
        <v>2.9039999999999999</v>
      </c>
      <c r="H250" s="8">
        <f t="shared" si="21"/>
        <v>6.1269999999999998</v>
      </c>
      <c r="I250">
        <f>INDEX(StartupfileInput!$A$2:$I$326,MATCH(Calculation!$A250,StartupfileInput!$C$2:$C$326,0),9)</f>
        <v>7413</v>
      </c>
      <c r="J250" s="106">
        <f t="shared" si="25"/>
        <v>7635</v>
      </c>
      <c r="K250" s="9">
        <f t="shared" si="22"/>
        <v>24608</v>
      </c>
      <c r="L250" s="9">
        <f t="shared" si="26"/>
        <v>22172</v>
      </c>
      <c r="M250" s="9">
        <f t="shared" si="27"/>
        <v>46780</v>
      </c>
    </row>
    <row r="251" spans="1:13" ht="12.75" x14ac:dyDescent="0.2">
      <c r="A251" s="26" t="str">
        <f>StartupfileInput!C249</f>
        <v>5895</v>
      </c>
      <c r="B251" s="1" t="str">
        <f>INDEX(ActiveDistricts!$A$2:$J$326,MATCH(Calculation!$A251,ActiveDistricts!$C$2:$C$326,0),6)</f>
        <v>5895</v>
      </c>
      <c r="C251" s="1" t="str">
        <f>INDEX(ActiveDistricts!$A$2:$J$326,MATCH(Calculation!$A251,ActiveDistricts!$C$2:$C$326,0),7)</f>
        <v>Seymour</v>
      </c>
      <c r="D251" s="14">
        <f>INDEX(StartupfileInput!$A$2:$I$326,MATCH(Calculation!$A251,StartupfileInput!$C$2:$C$326,0),8)</f>
        <v>237</v>
      </c>
      <c r="E251" s="20">
        <f>INDEX(ActiveDistricts!$A$2:$J$326,MATCH(Calculation!$A251,ActiveDistricts!$C$2:$C$326,0),10)</f>
        <v>0.63953488372093026</v>
      </c>
      <c r="F251" s="8">
        <f t="shared" si="23"/>
        <v>0.97299999999999998</v>
      </c>
      <c r="G251" s="8">
        <f t="shared" si="24"/>
        <v>0.48299999999999998</v>
      </c>
      <c r="H251" s="8">
        <f t="shared" si="21"/>
        <v>1.456</v>
      </c>
      <c r="I251">
        <f>INDEX(StartupfileInput!$A$2:$I$326,MATCH(Calculation!$A251,StartupfileInput!$C$2:$C$326,0),9)</f>
        <v>7413</v>
      </c>
      <c r="J251" s="106">
        <f t="shared" si="25"/>
        <v>7635</v>
      </c>
      <c r="K251" s="9">
        <f t="shared" si="22"/>
        <v>7429</v>
      </c>
      <c r="L251" s="9">
        <f t="shared" si="26"/>
        <v>3688</v>
      </c>
      <c r="M251" s="9">
        <f t="shared" si="27"/>
        <v>11117</v>
      </c>
    </row>
    <row r="252" spans="1:13" ht="12.75" x14ac:dyDescent="0.2">
      <c r="A252" s="26" t="str">
        <f>StartupfileInput!C250</f>
        <v>5949</v>
      </c>
      <c r="B252" s="1" t="str">
        <f>INDEX(ActiveDistricts!$A$2:$J$326,MATCH(Calculation!$A252,ActiveDistricts!$C$2:$C$326,0),6)</f>
        <v>5949</v>
      </c>
      <c r="C252" s="1" t="str">
        <f>INDEX(ActiveDistricts!$A$2:$J$326,MATCH(Calculation!$A252,ActiveDistricts!$C$2:$C$326,0),7)</f>
        <v>Sheldon</v>
      </c>
      <c r="D252" s="14">
        <f>INDEX(StartupfileInput!$A$2:$I$326,MATCH(Calculation!$A252,StartupfileInput!$C$2:$C$326,0),8)</f>
        <v>1102.5999999999999</v>
      </c>
      <c r="E252" s="20">
        <f>INDEX(ActiveDistricts!$A$2:$J$326,MATCH(Calculation!$A252,ActiveDistricts!$C$2:$C$326,0),10)</f>
        <v>0.44806517311608962</v>
      </c>
      <c r="F252" s="8">
        <f t="shared" si="23"/>
        <v>3.1720000000000002</v>
      </c>
      <c r="G252" s="8">
        <f t="shared" si="24"/>
        <v>2.2490000000000001</v>
      </c>
      <c r="H252" s="8">
        <f t="shared" si="21"/>
        <v>5.4210000000000003</v>
      </c>
      <c r="I252">
        <f>INDEX(StartupfileInput!$A$2:$I$326,MATCH(Calculation!$A252,StartupfileInput!$C$2:$C$326,0),9)</f>
        <v>7413</v>
      </c>
      <c r="J252" s="106">
        <f t="shared" si="25"/>
        <v>7635</v>
      </c>
      <c r="K252" s="9">
        <f t="shared" si="22"/>
        <v>24218</v>
      </c>
      <c r="L252" s="9">
        <f t="shared" si="26"/>
        <v>17171</v>
      </c>
      <c r="M252" s="9">
        <f t="shared" si="27"/>
        <v>41389</v>
      </c>
    </row>
    <row r="253" spans="1:13" ht="12.75" x14ac:dyDescent="0.2">
      <c r="A253" s="26" t="str">
        <f>StartupfileInput!C251</f>
        <v>5976</v>
      </c>
      <c r="B253" s="1" t="str">
        <f>INDEX(ActiveDistricts!$A$2:$J$326,MATCH(Calculation!$A253,ActiveDistricts!$C$2:$C$326,0),6)</f>
        <v>5976</v>
      </c>
      <c r="C253" s="1" t="str">
        <f>INDEX(ActiveDistricts!$A$2:$J$326,MATCH(Calculation!$A253,ActiveDistricts!$C$2:$C$326,0),7)</f>
        <v>Shenandoah</v>
      </c>
      <c r="D253" s="14">
        <f>INDEX(StartupfileInput!$A$2:$I$326,MATCH(Calculation!$A253,StartupfileInput!$C$2:$C$326,0),8)</f>
        <v>1050.3</v>
      </c>
      <c r="E253" s="20">
        <f>INDEX(ActiveDistricts!$A$2:$J$326,MATCH(Calculation!$A253,ActiveDistricts!$C$2:$C$326,0),10)</f>
        <v>0.38902147971360385</v>
      </c>
      <c r="F253" s="8">
        <f t="shared" si="23"/>
        <v>2.6230000000000002</v>
      </c>
      <c r="G253" s="8">
        <f t="shared" si="24"/>
        <v>2.1429999999999998</v>
      </c>
      <c r="H253" s="8">
        <f t="shared" si="21"/>
        <v>4.766</v>
      </c>
      <c r="I253">
        <f>INDEX(StartupfileInput!$A$2:$I$326,MATCH(Calculation!$A253,StartupfileInput!$C$2:$C$326,0),9)</f>
        <v>7413</v>
      </c>
      <c r="J253" s="106">
        <f t="shared" si="25"/>
        <v>7635</v>
      </c>
      <c r="K253" s="9">
        <f t="shared" si="22"/>
        <v>20027</v>
      </c>
      <c r="L253" s="9">
        <f t="shared" si="26"/>
        <v>16361</v>
      </c>
      <c r="M253" s="9">
        <f t="shared" si="27"/>
        <v>36388</v>
      </c>
    </row>
    <row r="254" spans="1:13" ht="12.75" x14ac:dyDescent="0.2">
      <c r="A254" s="26" t="str">
        <f>StartupfileInput!C252</f>
        <v>5994</v>
      </c>
      <c r="B254" s="1" t="str">
        <f>INDEX(ActiveDistricts!$A$2:$J$326,MATCH(Calculation!$A254,ActiveDistricts!$C$2:$C$326,0),6)</f>
        <v>5994</v>
      </c>
      <c r="C254" s="1" t="str">
        <f>INDEX(ActiveDistricts!$A$2:$J$326,MATCH(Calculation!$A254,ActiveDistricts!$C$2:$C$326,0),7)</f>
        <v>Sibley-Ocheyedan</v>
      </c>
      <c r="D254" s="14">
        <f>INDEX(StartupfileInput!$A$2:$I$326,MATCH(Calculation!$A254,StartupfileInput!$C$2:$C$326,0),8)</f>
        <v>689</v>
      </c>
      <c r="E254" s="20">
        <f>INDEX(ActiveDistricts!$A$2:$J$326,MATCH(Calculation!$A254,ActiveDistricts!$C$2:$C$326,0),10)</f>
        <v>0.54137931034482756</v>
      </c>
      <c r="F254" s="8">
        <f t="shared" si="23"/>
        <v>2.395</v>
      </c>
      <c r="G254" s="8">
        <f t="shared" si="24"/>
        <v>1.4059999999999999</v>
      </c>
      <c r="H254" s="8">
        <f t="shared" si="21"/>
        <v>3.8010000000000002</v>
      </c>
      <c r="I254">
        <f>INDEX(StartupfileInput!$A$2:$I$326,MATCH(Calculation!$A254,StartupfileInput!$C$2:$C$326,0),9)</f>
        <v>7413</v>
      </c>
      <c r="J254" s="106">
        <f t="shared" si="25"/>
        <v>7635</v>
      </c>
      <c r="K254" s="9">
        <f t="shared" si="22"/>
        <v>18286</v>
      </c>
      <c r="L254" s="9">
        <f t="shared" si="26"/>
        <v>10735</v>
      </c>
      <c r="M254" s="9">
        <f t="shared" si="27"/>
        <v>29021</v>
      </c>
    </row>
    <row r="255" spans="1:13" ht="12.75" x14ac:dyDescent="0.2">
      <c r="A255" s="26" t="str">
        <f>StartupfileInput!C253</f>
        <v>6003</v>
      </c>
      <c r="B255" s="1" t="str">
        <f>INDEX(ActiveDistricts!$A$2:$J$326,MATCH(Calculation!$A255,ActiveDistricts!$C$2:$C$326,0),6)</f>
        <v>6003</v>
      </c>
      <c r="C255" s="1" t="str">
        <f>INDEX(ActiveDistricts!$A$2:$J$326,MATCH(Calculation!$A255,ActiveDistricts!$C$2:$C$326,0),7)</f>
        <v>Sidney</v>
      </c>
      <c r="D255" s="14">
        <f>INDEX(StartupfileInput!$A$2:$I$326,MATCH(Calculation!$A255,StartupfileInput!$C$2:$C$326,0),8)</f>
        <v>386</v>
      </c>
      <c r="E255" s="20">
        <f>INDEX(ActiveDistricts!$A$2:$J$326,MATCH(Calculation!$A255,ActiveDistricts!$C$2:$C$326,0),10)</f>
        <v>0.52403846153846156</v>
      </c>
      <c r="F255" s="8">
        <f t="shared" si="23"/>
        <v>1.2989999999999999</v>
      </c>
      <c r="G255" s="8">
        <f t="shared" si="24"/>
        <v>0.78700000000000003</v>
      </c>
      <c r="H255" s="8">
        <f t="shared" si="21"/>
        <v>2.0859999999999999</v>
      </c>
      <c r="I255">
        <f>INDEX(StartupfileInput!$A$2:$I$326,MATCH(Calculation!$A255,StartupfileInput!$C$2:$C$326,0),9)</f>
        <v>7413</v>
      </c>
      <c r="J255" s="106">
        <f t="shared" si="25"/>
        <v>7635</v>
      </c>
      <c r="K255" s="9">
        <f t="shared" si="22"/>
        <v>9918</v>
      </c>
      <c r="L255" s="9">
        <f t="shared" si="26"/>
        <v>6009</v>
      </c>
      <c r="M255" s="9">
        <f t="shared" si="27"/>
        <v>15927</v>
      </c>
    </row>
    <row r="256" spans="1:13" ht="12.75" x14ac:dyDescent="0.2">
      <c r="A256" s="26" t="str">
        <f>StartupfileInput!C254</f>
        <v>6012</v>
      </c>
      <c r="B256" s="1" t="str">
        <f>INDEX(ActiveDistricts!$A$2:$J$326,MATCH(Calculation!$A256,ActiveDistricts!$C$2:$C$326,0),6)</f>
        <v>6012</v>
      </c>
      <c r="C256" s="1" t="str">
        <f>INDEX(ActiveDistricts!$A$2:$J$326,MATCH(Calculation!$A256,ActiveDistricts!$C$2:$C$326,0),7)</f>
        <v>Sigourney</v>
      </c>
      <c r="D256" s="14">
        <f>INDEX(StartupfileInput!$A$2:$I$326,MATCH(Calculation!$A256,StartupfileInput!$C$2:$C$326,0),8)</f>
        <v>552.29999999999995</v>
      </c>
      <c r="E256" s="20">
        <f>INDEX(ActiveDistricts!$A$2:$J$326,MATCH(Calculation!$A256,ActiveDistricts!$C$2:$C$326,0),10)</f>
        <v>0.39759036144578314</v>
      </c>
      <c r="F256" s="8">
        <f t="shared" si="23"/>
        <v>1.41</v>
      </c>
      <c r="G256" s="8">
        <f t="shared" si="24"/>
        <v>1.127</v>
      </c>
      <c r="H256" s="8">
        <f t="shared" si="21"/>
        <v>2.5369999999999999</v>
      </c>
      <c r="I256">
        <f>INDEX(StartupfileInput!$A$2:$I$326,MATCH(Calculation!$A256,StartupfileInput!$C$2:$C$326,0),9)</f>
        <v>7413</v>
      </c>
      <c r="J256" s="106">
        <f t="shared" si="25"/>
        <v>7635</v>
      </c>
      <c r="K256" s="9">
        <f t="shared" si="22"/>
        <v>10765</v>
      </c>
      <c r="L256" s="9">
        <f t="shared" si="26"/>
        <v>8605</v>
      </c>
      <c r="M256" s="9">
        <f t="shared" si="27"/>
        <v>19370</v>
      </c>
    </row>
    <row r="257" spans="1:13" ht="12.75" x14ac:dyDescent="0.2">
      <c r="A257" s="26" t="str">
        <f>StartupfileInput!C255</f>
        <v>6030</v>
      </c>
      <c r="B257" s="1" t="str">
        <f>INDEX(ActiveDistricts!$A$2:$J$326,MATCH(Calculation!$A257,ActiveDistricts!$C$2:$C$326,0),6)</f>
        <v>6030</v>
      </c>
      <c r="C257" s="1" t="str">
        <f>INDEX(ActiveDistricts!$A$2:$J$326,MATCH(Calculation!$A257,ActiveDistricts!$C$2:$C$326,0),7)</f>
        <v>Sioux Center</v>
      </c>
      <c r="D257" s="14">
        <f>INDEX(StartupfileInput!$A$2:$I$326,MATCH(Calculation!$A257,StartupfileInput!$C$2:$C$326,0),8)</f>
        <v>1500.4</v>
      </c>
      <c r="E257" s="20">
        <f>INDEX(ActiveDistricts!$A$2:$J$326,MATCH(Calculation!$A257,ActiveDistricts!$C$2:$C$326,0),10)</f>
        <v>0.44412191582002902</v>
      </c>
      <c r="F257" s="8">
        <f t="shared" si="23"/>
        <v>4.2779999999999996</v>
      </c>
      <c r="G257" s="8">
        <f t="shared" si="24"/>
        <v>3.0609999999999999</v>
      </c>
      <c r="H257" s="8">
        <f t="shared" si="21"/>
        <v>7.3389999999999995</v>
      </c>
      <c r="I257">
        <f>INDEX(StartupfileInput!$A$2:$I$326,MATCH(Calculation!$A257,StartupfileInput!$C$2:$C$326,0),9)</f>
        <v>7413</v>
      </c>
      <c r="J257" s="106">
        <f t="shared" si="25"/>
        <v>7635</v>
      </c>
      <c r="K257" s="9">
        <f t="shared" si="22"/>
        <v>32663</v>
      </c>
      <c r="L257" s="9">
        <f t="shared" si="26"/>
        <v>23370</v>
      </c>
      <c r="M257" s="9">
        <f t="shared" si="27"/>
        <v>56033</v>
      </c>
    </row>
    <row r="258" spans="1:13" ht="12.75" x14ac:dyDescent="0.2">
      <c r="A258" s="26" t="str">
        <f>StartupfileInput!C256</f>
        <v>6048</v>
      </c>
      <c r="B258" s="1" t="str">
        <f>INDEX(ActiveDistricts!$A$2:$J$326,MATCH(Calculation!$A258,ActiveDistricts!$C$2:$C$326,0),6)</f>
        <v>6035</v>
      </c>
      <c r="C258" s="1" t="str">
        <f>INDEX(ActiveDistricts!$A$2:$J$326,MATCH(Calculation!$A258,ActiveDistricts!$C$2:$C$326,0),7)</f>
        <v>Sioux Central</v>
      </c>
      <c r="D258" s="14">
        <f>INDEX(StartupfileInput!$A$2:$I$326,MATCH(Calculation!$A258,StartupfileInput!$C$2:$C$326,0),8)</f>
        <v>441.3</v>
      </c>
      <c r="E258" s="20">
        <f>INDEX(ActiveDistricts!$A$2:$J$326,MATCH(Calculation!$A258,ActiveDistricts!$C$2:$C$326,0),10)</f>
        <v>0.36898395721925131</v>
      </c>
      <c r="F258" s="8">
        <f t="shared" si="23"/>
        <v>1.0449999999999999</v>
      </c>
      <c r="G258" s="8">
        <f t="shared" si="24"/>
        <v>0.9</v>
      </c>
      <c r="H258" s="8">
        <f t="shared" si="21"/>
        <v>1.9449999999999998</v>
      </c>
      <c r="I258">
        <f>INDEX(StartupfileInput!$A$2:$I$326,MATCH(Calculation!$A258,StartupfileInput!$C$2:$C$326,0),9)</f>
        <v>7413</v>
      </c>
      <c r="J258" s="106">
        <f t="shared" si="25"/>
        <v>7635</v>
      </c>
      <c r="K258" s="9">
        <f t="shared" si="22"/>
        <v>7979</v>
      </c>
      <c r="L258" s="9">
        <f t="shared" si="26"/>
        <v>6871</v>
      </c>
      <c r="M258" s="9">
        <f t="shared" si="27"/>
        <v>14850</v>
      </c>
    </row>
    <row r="259" spans="1:13" ht="12.75" x14ac:dyDescent="0.2">
      <c r="A259" s="26" t="str">
        <f>StartupfileInput!C257</f>
        <v>6039</v>
      </c>
      <c r="B259" s="1" t="str">
        <f>INDEX(ActiveDistricts!$A$2:$J$326,MATCH(Calculation!$A259,ActiveDistricts!$C$2:$C$326,0),6)</f>
        <v>6039</v>
      </c>
      <c r="C259" s="1" t="str">
        <f>INDEX(ActiveDistricts!$A$2:$J$326,MATCH(Calculation!$A259,ActiveDistricts!$C$2:$C$326,0),7)</f>
        <v>Sioux City</v>
      </c>
      <c r="D259" s="14">
        <f>INDEX(StartupfileInput!$A$2:$I$326,MATCH(Calculation!$A259,StartupfileInput!$C$2:$C$326,0),8)</f>
        <v>14839.5</v>
      </c>
      <c r="E259" s="20">
        <f>INDEX(ActiveDistricts!$A$2:$J$326,MATCH(Calculation!$A259,ActiveDistricts!$C$2:$C$326,0),10)</f>
        <v>0.71295858919855137</v>
      </c>
      <c r="F259" s="8">
        <f t="shared" si="23"/>
        <v>67.923000000000002</v>
      </c>
      <c r="G259" s="8">
        <f t="shared" si="24"/>
        <v>30.273</v>
      </c>
      <c r="H259" s="8">
        <f t="shared" si="21"/>
        <v>98.195999999999998</v>
      </c>
      <c r="I259">
        <f>INDEX(StartupfileInput!$A$2:$I$326,MATCH(Calculation!$A259,StartupfileInput!$C$2:$C$326,0),9)</f>
        <v>7413</v>
      </c>
      <c r="J259" s="106">
        <f t="shared" si="25"/>
        <v>7635</v>
      </c>
      <c r="K259" s="9">
        <f t="shared" ref="K259:K321" si="28">ROUND(F259*J259,0)</f>
        <v>518592</v>
      </c>
      <c r="L259" s="9">
        <f t="shared" si="26"/>
        <v>231134</v>
      </c>
      <c r="M259" s="9">
        <f t="shared" si="27"/>
        <v>749726</v>
      </c>
    </row>
    <row r="260" spans="1:13" ht="12.75" x14ac:dyDescent="0.2">
      <c r="A260" s="26" t="str">
        <f>StartupfileInput!C258</f>
        <v>6093</v>
      </c>
      <c r="B260" s="1" t="str">
        <f>INDEX(ActiveDistricts!$A$2:$J$326,MATCH(Calculation!$A260,ActiveDistricts!$C$2:$C$326,0),6)</f>
        <v>6093</v>
      </c>
      <c r="C260" s="1" t="str">
        <f>INDEX(ActiveDistricts!$A$2:$J$326,MATCH(Calculation!$A260,ActiveDistricts!$C$2:$C$326,0),7)</f>
        <v>Solon</v>
      </c>
      <c r="D260" s="14">
        <f>INDEX(StartupfileInput!$A$2:$I$326,MATCH(Calculation!$A260,StartupfileInput!$C$2:$C$326,0),8)</f>
        <v>1451.3</v>
      </c>
      <c r="E260" s="20">
        <f>INDEX(ActiveDistricts!$A$2:$J$326,MATCH(Calculation!$A260,ActiveDistricts!$C$2:$C$326,0),10)</f>
        <v>7.7294685990338161E-2</v>
      </c>
      <c r="F260" s="8">
        <f t="shared" si="23"/>
        <v>0.72</v>
      </c>
      <c r="G260" s="8">
        <f t="shared" si="24"/>
        <v>2.9609999999999999</v>
      </c>
      <c r="H260" s="8">
        <f t="shared" ref="H260:H323" si="29">SUM(F260:G260)</f>
        <v>3.681</v>
      </c>
      <c r="I260">
        <f>INDEX(StartupfileInput!$A$2:$I$326,MATCH(Calculation!$A260,StartupfileInput!$C$2:$C$326,0),9)</f>
        <v>7413</v>
      </c>
      <c r="J260" s="106">
        <f t="shared" si="25"/>
        <v>7635</v>
      </c>
      <c r="K260" s="9">
        <f t="shared" si="28"/>
        <v>5497</v>
      </c>
      <c r="L260" s="9">
        <f t="shared" si="26"/>
        <v>22607</v>
      </c>
      <c r="M260" s="9">
        <f t="shared" si="27"/>
        <v>28104</v>
      </c>
    </row>
    <row r="261" spans="1:13" ht="12.75" x14ac:dyDescent="0.2">
      <c r="A261" s="26" t="str">
        <f>StartupfileInput!C259</f>
        <v>6091</v>
      </c>
      <c r="B261" s="1" t="str">
        <f>INDEX(ActiveDistricts!$A$2:$J$326,MATCH(Calculation!$A261,ActiveDistricts!$C$2:$C$326,0),6)</f>
        <v>6091</v>
      </c>
      <c r="C261" s="1" t="str">
        <f>INDEX(ActiveDistricts!$A$2:$J$326,MATCH(Calculation!$A261,ActiveDistricts!$C$2:$C$326,0),7)</f>
        <v>South Central Calhoun</v>
      </c>
      <c r="D261" s="14">
        <f>INDEX(StartupfileInput!$A$2:$I$326,MATCH(Calculation!$A261,StartupfileInput!$C$2:$C$326,0),8)</f>
        <v>928.5</v>
      </c>
      <c r="E261" s="20">
        <f>INDEX(ActiveDistricts!$A$2:$J$326,MATCH(Calculation!$A261,ActiveDistricts!$C$2:$C$326,0),10)</f>
        <v>0.49734042553191488</v>
      </c>
      <c r="F261" s="8">
        <f t="shared" ref="F261:F323" si="30">ROUND(D261*E261*$F$3,3)</f>
        <v>2.9649999999999999</v>
      </c>
      <c r="G261" s="8">
        <f t="shared" ref="G261:G324" si="31">ROUND(D261*$G$3,3)</f>
        <v>1.8939999999999999</v>
      </c>
      <c r="H261" s="8">
        <f t="shared" si="29"/>
        <v>4.859</v>
      </c>
      <c r="I261">
        <f>INDEX(StartupfileInput!$A$2:$I$326,MATCH(Calculation!$A261,StartupfileInput!$C$2:$C$326,0),9)</f>
        <v>7413</v>
      </c>
      <c r="J261" s="106">
        <f t="shared" ref="J261:J324" si="32">MAX(I261+$R$2,$T$2)</f>
        <v>7635</v>
      </c>
      <c r="K261" s="9">
        <f t="shared" si="28"/>
        <v>22638</v>
      </c>
      <c r="L261" s="9">
        <f t="shared" ref="L261:L324" si="33">M261-K261</f>
        <v>14460</v>
      </c>
      <c r="M261" s="9">
        <f t="shared" ref="M261:M324" si="34">ROUND(H261*J261,0)</f>
        <v>37098</v>
      </c>
    </row>
    <row r="262" spans="1:13" ht="12.75" x14ac:dyDescent="0.2">
      <c r="A262" s="26" t="str">
        <f>StartupfileInput!C260</f>
        <v>6095</v>
      </c>
      <c r="B262" s="1" t="str">
        <f>INDEX(ActiveDistricts!$A$2:$J$326,MATCH(Calculation!$A262,ActiveDistricts!$C$2:$C$326,0),6)</f>
        <v>6095</v>
      </c>
      <c r="C262" s="1" t="str">
        <f>INDEX(ActiveDistricts!$A$2:$J$326,MATCH(Calculation!$A262,ActiveDistricts!$C$2:$C$326,0),7)</f>
        <v>South Hamilton</v>
      </c>
      <c r="D262" s="14">
        <f>INDEX(StartupfileInput!$A$2:$I$326,MATCH(Calculation!$A262,StartupfileInput!$C$2:$C$326,0),8)</f>
        <v>626.70000000000005</v>
      </c>
      <c r="E262" s="20">
        <f>INDEX(ActiveDistricts!$A$2:$J$326,MATCH(Calculation!$A262,ActiveDistricts!$C$2:$C$326,0),10)</f>
        <v>0.31021897810218979</v>
      </c>
      <c r="F262" s="8">
        <f t="shared" si="30"/>
        <v>1.248</v>
      </c>
      <c r="G262" s="8">
        <f t="shared" si="31"/>
        <v>1.278</v>
      </c>
      <c r="H262" s="8">
        <f t="shared" si="29"/>
        <v>2.5259999999999998</v>
      </c>
      <c r="I262">
        <f>INDEX(StartupfileInput!$A$2:$I$326,MATCH(Calculation!$A262,StartupfileInput!$C$2:$C$326,0),9)</f>
        <v>7440</v>
      </c>
      <c r="J262" s="106">
        <f t="shared" si="32"/>
        <v>7662</v>
      </c>
      <c r="K262" s="9">
        <f t="shared" si="28"/>
        <v>9562</v>
      </c>
      <c r="L262" s="9">
        <f t="shared" si="33"/>
        <v>9792</v>
      </c>
      <c r="M262" s="9">
        <f t="shared" si="34"/>
        <v>19354</v>
      </c>
    </row>
    <row r="263" spans="1:13" ht="12.75" x14ac:dyDescent="0.2">
      <c r="A263" s="26" t="str">
        <f>StartupfileInput!C261</f>
        <v>5157</v>
      </c>
      <c r="B263" s="1" t="str">
        <f>INDEX(ActiveDistricts!$A$2:$J$326,MATCH(Calculation!$A263,ActiveDistricts!$C$2:$C$326,0),6)</f>
        <v>6099</v>
      </c>
      <c r="C263" s="1" t="str">
        <f>INDEX(ActiveDistricts!$A$2:$J$326,MATCH(Calculation!$A263,ActiveDistricts!$C$2:$C$326,0),7)</f>
        <v>South O'Brien</v>
      </c>
      <c r="D263" s="14">
        <f>INDEX(StartupfileInput!$A$2:$I$326,MATCH(Calculation!$A263,StartupfileInput!$C$2:$C$326,0),8)</f>
        <v>561.5</v>
      </c>
      <c r="E263" s="20">
        <f>INDEX(ActiveDistricts!$A$2:$J$326,MATCH(Calculation!$A263,ActiveDistricts!$C$2:$C$326,0),10)</f>
        <v>0.37799043062200954</v>
      </c>
      <c r="F263" s="8">
        <f t="shared" si="30"/>
        <v>1.363</v>
      </c>
      <c r="G263" s="8">
        <f t="shared" si="31"/>
        <v>1.145</v>
      </c>
      <c r="H263" s="8">
        <f t="shared" si="29"/>
        <v>2.508</v>
      </c>
      <c r="I263">
        <f>INDEX(StartupfileInput!$A$2:$I$326,MATCH(Calculation!$A263,StartupfileInput!$C$2:$C$326,0),9)</f>
        <v>7431</v>
      </c>
      <c r="J263" s="106">
        <f t="shared" si="32"/>
        <v>7653</v>
      </c>
      <c r="K263" s="9">
        <f t="shared" si="28"/>
        <v>10431</v>
      </c>
      <c r="L263" s="9">
        <f t="shared" si="33"/>
        <v>8763</v>
      </c>
      <c r="M263" s="9">
        <f t="shared" si="34"/>
        <v>19194</v>
      </c>
    </row>
    <row r="264" spans="1:13" ht="12.75" x14ac:dyDescent="0.2">
      <c r="A264" s="26" t="str">
        <f>StartupfileInput!C262</f>
        <v>6097</v>
      </c>
      <c r="B264" s="1" t="str">
        <f>INDEX(ActiveDistricts!$A$2:$J$326,MATCH(Calculation!$A264,ActiveDistricts!$C$2:$C$326,0),6)</f>
        <v>6097</v>
      </c>
      <c r="C264" s="1" t="str">
        <f>INDEX(ActiveDistricts!$A$2:$J$326,MATCH(Calculation!$A264,ActiveDistricts!$C$2:$C$326,0),7)</f>
        <v>South Page</v>
      </c>
      <c r="D264" s="14">
        <f>INDEX(StartupfileInput!$A$2:$I$326,MATCH(Calculation!$A264,StartupfileInput!$C$2:$C$326,0),8)</f>
        <v>193.4</v>
      </c>
      <c r="E264" s="20">
        <f>INDEX(ActiveDistricts!$A$2:$J$326,MATCH(Calculation!$A264,ActiveDistricts!$C$2:$C$326,0),10)</f>
        <v>0.77551020408163263</v>
      </c>
      <c r="F264" s="8">
        <f t="shared" si="30"/>
        <v>0.96299999999999997</v>
      </c>
      <c r="G264" s="8">
        <f t="shared" si="31"/>
        <v>0.39500000000000002</v>
      </c>
      <c r="H264" s="8">
        <f t="shared" si="29"/>
        <v>1.3580000000000001</v>
      </c>
      <c r="I264">
        <f>INDEX(StartupfileInput!$A$2:$I$326,MATCH(Calculation!$A264,StartupfileInput!$C$2:$C$326,0),9)</f>
        <v>7413</v>
      </c>
      <c r="J264" s="106">
        <f t="shared" si="32"/>
        <v>7635</v>
      </c>
      <c r="K264" s="9">
        <f t="shared" si="28"/>
        <v>7353</v>
      </c>
      <c r="L264" s="9">
        <f t="shared" si="33"/>
        <v>3015</v>
      </c>
      <c r="M264" s="9">
        <f t="shared" si="34"/>
        <v>10368</v>
      </c>
    </row>
    <row r="265" spans="1:13" ht="12.75" x14ac:dyDescent="0.2">
      <c r="A265" s="26" t="str">
        <f>StartupfileInput!C263</f>
        <v>6098</v>
      </c>
      <c r="B265" s="1" t="str">
        <f>INDEX(ActiveDistricts!$A$2:$J$326,MATCH(Calculation!$A265,ActiveDistricts!$C$2:$C$326,0),6)</f>
        <v>6098</v>
      </c>
      <c r="C265" s="1" t="str">
        <f>INDEX(ActiveDistricts!$A$2:$J$326,MATCH(Calculation!$A265,ActiveDistricts!$C$2:$C$326,0),7)</f>
        <v>South Tama</v>
      </c>
      <c r="D265" s="14">
        <f>INDEX(StartupfileInput!$A$2:$I$326,MATCH(Calculation!$A265,StartupfileInput!$C$2:$C$326,0),8)</f>
        <v>1447.4</v>
      </c>
      <c r="E265" s="20">
        <f>INDEX(ActiveDistricts!$A$2:$J$326,MATCH(Calculation!$A265,ActiveDistricts!$C$2:$C$326,0),10)</f>
        <v>0.65341812400635935</v>
      </c>
      <c r="F265" s="8">
        <f t="shared" si="30"/>
        <v>6.0720000000000001</v>
      </c>
      <c r="G265" s="8">
        <f t="shared" si="31"/>
        <v>2.9529999999999998</v>
      </c>
      <c r="H265" s="8">
        <f t="shared" si="29"/>
        <v>9.0250000000000004</v>
      </c>
      <c r="I265">
        <f>INDEX(StartupfileInput!$A$2:$I$326,MATCH(Calculation!$A265,StartupfileInput!$C$2:$C$326,0),9)</f>
        <v>7413</v>
      </c>
      <c r="J265" s="106">
        <f t="shared" si="32"/>
        <v>7635</v>
      </c>
      <c r="K265" s="9">
        <f t="shared" si="28"/>
        <v>46360</v>
      </c>
      <c r="L265" s="9">
        <f t="shared" si="33"/>
        <v>22546</v>
      </c>
      <c r="M265" s="9">
        <f t="shared" si="34"/>
        <v>68906</v>
      </c>
    </row>
    <row r="266" spans="1:13" ht="12.75" x14ac:dyDescent="0.2">
      <c r="A266" s="26" t="str">
        <f>StartupfileInput!C264</f>
        <v>6100</v>
      </c>
      <c r="B266" s="1" t="str">
        <f>INDEX(ActiveDistricts!$A$2:$J$326,MATCH(Calculation!$A266,ActiveDistricts!$C$2:$C$326,0),6)</f>
        <v>6100</v>
      </c>
      <c r="C266" s="1" t="str">
        <f>INDEX(ActiveDistricts!$A$2:$J$326,MATCH(Calculation!$A266,ActiveDistricts!$C$2:$C$326,0),7)</f>
        <v>South Winneshiek</v>
      </c>
      <c r="D266" s="14">
        <f>INDEX(StartupfileInput!$A$2:$I$326,MATCH(Calculation!$A266,StartupfileInput!$C$2:$C$326,0),8)</f>
        <v>516.70000000000005</v>
      </c>
      <c r="E266" s="20">
        <f>INDEX(ActiveDistricts!$A$2:$J$326,MATCH(Calculation!$A266,ActiveDistricts!$C$2:$C$326,0),10)</f>
        <v>0.33333333333333331</v>
      </c>
      <c r="F266" s="8">
        <f t="shared" si="30"/>
        <v>1.1060000000000001</v>
      </c>
      <c r="G266" s="8">
        <f t="shared" si="31"/>
        <v>1.054</v>
      </c>
      <c r="H266" s="8">
        <f t="shared" si="29"/>
        <v>2.16</v>
      </c>
      <c r="I266">
        <f>INDEX(StartupfileInput!$A$2:$I$326,MATCH(Calculation!$A266,StartupfileInput!$C$2:$C$326,0),9)</f>
        <v>7413</v>
      </c>
      <c r="J266" s="106">
        <f t="shared" si="32"/>
        <v>7635</v>
      </c>
      <c r="K266" s="9">
        <f t="shared" si="28"/>
        <v>8444</v>
      </c>
      <c r="L266" s="9">
        <f t="shared" si="33"/>
        <v>8048</v>
      </c>
      <c r="M266" s="9">
        <f t="shared" si="34"/>
        <v>16492</v>
      </c>
    </row>
    <row r="267" spans="1:13" ht="12.75" x14ac:dyDescent="0.2">
      <c r="A267" s="26" t="str">
        <f>StartupfileInput!C265</f>
        <v>6101</v>
      </c>
      <c r="B267" s="1" t="str">
        <f>INDEX(ActiveDistricts!$A$2:$J$326,MATCH(Calculation!$A267,ActiveDistricts!$C$2:$C$326,0),6)</f>
        <v>6101</v>
      </c>
      <c r="C267" s="1" t="str">
        <f>INDEX(ActiveDistricts!$A$2:$J$326,MATCH(Calculation!$A267,ActiveDistricts!$C$2:$C$326,0),7)</f>
        <v>Southeast Polk</v>
      </c>
      <c r="D267" s="14">
        <f>INDEX(StartupfileInput!$A$2:$I$326,MATCH(Calculation!$A267,StartupfileInput!$C$2:$C$326,0),8)</f>
        <v>7211</v>
      </c>
      <c r="E267" s="20">
        <f>INDEX(ActiveDistricts!$A$2:$J$326,MATCH(Calculation!$A267,ActiveDistricts!$C$2:$C$326,0),10)</f>
        <v>0.38406735751295334</v>
      </c>
      <c r="F267" s="8">
        <f t="shared" si="30"/>
        <v>17.78</v>
      </c>
      <c r="G267" s="8">
        <f t="shared" si="31"/>
        <v>14.71</v>
      </c>
      <c r="H267" s="8">
        <f t="shared" si="29"/>
        <v>32.49</v>
      </c>
      <c r="I267">
        <f>INDEX(StartupfileInput!$A$2:$I$326,MATCH(Calculation!$A267,StartupfileInput!$C$2:$C$326,0),9)</f>
        <v>7413</v>
      </c>
      <c r="J267" s="106">
        <f t="shared" si="32"/>
        <v>7635</v>
      </c>
      <c r="K267" s="9">
        <f t="shared" si="28"/>
        <v>135750</v>
      </c>
      <c r="L267" s="9">
        <f t="shared" si="33"/>
        <v>112311</v>
      </c>
      <c r="M267" s="9">
        <f t="shared" si="34"/>
        <v>248061</v>
      </c>
    </row>
    <row r="268" spans="1:13" ht="12.75" x14ac:dyDescent="0.2">
      <c r="A268" s="26" t="str">
        <f>StartupfileInput!C266</f>
        <v>6096</v>
      </c>
      <c r="B268" s="1" t="str">
        <f>INDEX(ActiveDistricts!$A$2:$J$326,MATCH(Calculation!$A268,ActiveDistricts!$C$2:$C$326,0),6)</f>
        <v>6096</v>
      </c>
      <c r="C268" s="1" t="str">
        <f>INDEX(ActiveDistricts!$A$2:$J$326,MATCH(Calculation!$A268,ActiveDistricts!$C$2:$C$326,0),7)</f>
        <v>Southeast Valley</v>
      </c>
      <c r="D268" s="14">
        <f>INDEX(StartupfileInput!$A$2:$I$326,MATCH(Calculation!$A268,StartupfileInput!$C$2:$C$326,0),8)</f>
        <v>1093.7</v>
      </c>
      <c r="E268" s="20">
        <f>INDEX(ActiveDistricts!$A$2:$J$326,MATCH(Calculation!$A268,ActiveDistricts!$C$2:$C$326,0),10)</f>
        <v>0.44789356984478934</v>
      </c>
      <c r="F268" s="8">
        <f t="shared" si="30"/>
        <v>3.145</v>
      </c>
      <c r="G268" s="8">
        <f t="shared" si="31"/>
        <v>2.2309999999999999</v>
      </c>
      <c r="H268" s="8">
        <f t="shared" si="29"/>
        <v>5.3759999999999994</v>
      </c>
      <c r="I268">
        <f>INDEX(StartupfileInput!$A$2:$I$326,MATCH(Calculation!$A268,StartupfileInput!$C$2:$C$326,0),9)</f>
        <v>7502</v>
      </c>
      <c r="J268" s="106">
        <f t="shared" si="32"/>
        <v>7724</v>
      </c>
      <c r="K268" s="9">
        <f t="shared" si="28"/>
        <v>24292</v>
      </c>
      <c r="L268" s="9">
        <f t="shared" si="33"/>
        <v>17232</v>
      </c>
      <c r="M268" s="9">
        <f t="shared" si="34"/>
        <v>41524</v>
      </c>
    </row>
    <row r="269" spans="1:13" ht="12.75" x14ac:dyDescent="0.2">
      <c r="A269" s="26" t="str">
        <f>StartupfileInput!C267</f>
        <v>6094</v>
      </c>
      <c r="B269" s="1" t="str">
        <f>INDEX(ActiveDistricts!$A$2:$J$326,MATCH(Calculation!$A269,ActiveDistricts!$C$2:$C$326,0),6)</f>
        <v>6094</v>
      </c>
      <c r="C269" s="1" t="str">
        <f>INDEX(ActiveDistricts!$A$2:$J$326,MATCH(Calculation!$A269,ActiveDistricts!$C$2:$C$326,0),7)</f>
        <v>Southeast Warren</v>
      </c>
      <c r="D269" s="14">
        <f>INDEX(StartupfileInput!$A$2:$I$326,MATCH(Calculation!$A269,StartupfileInput!$C$2:$C$326,0),8)</f>
        <v>505.7</v>
      </c>
      <c r="E269" s="20">
        <f>INDEX(ActiveDistricts!$A$2:$J$326,MATCH(Calculation!$A269,ActiveDistricts!$C$2:$C$326,0),10)</f>
        <v>0.35195530726256985</v>
      </c>
      <c r="F269" s="8">
        <f t="shared" si="30"/>
        <v>1.143</v>
      </c>
      <c r="G269" s="8">
        <f t="shared" si="31"/>
        <v>1.032</v>
      </c>
      <c r="H269" s="8">
        <f t="shared" si="29"/>
        <v>2.1749999999999998</v>
      </c>
      <c r="I269">
        <f>INDEX(StartupfileInput!$A$2:$I$326,MATCH(Calculation!$A269,StartupfileInput!$C$2:$C$326,0),9)</f>
        <v>7413</v>
      </c>
      <c r="J269" s="106">
        <f t="shared" si="32"/>
        <v>7635</v>
      </c>
      <c r="K269" s="9">
        <f t="shared" si="28"/>
        <v>8727</v>
      </c>
      <c r="L269" s="9">
        <f t="shared" si="33"/>
        <v>7879</v>
      </c>
      <c r="M269" s="9">
        <f t="shared" si="34"/>
        <v>16606</v>
      </c>
    </row>
    <row r="270" spans="1:13" ht="12.75" x14ac:dyDescent="0.2">
      <c r="A270" s="26" t="str">
        <f>StartupfileInput!C268</f>
        <v>6102</v>
      </c>
      <c r="B270" s="1" t="str">
        <f>INDEX(ActiveDistricts!$A$2:$J$326,MATCH(Calculation!$A270,ActiveDistricts!$C$2:$C$326,0),6)</f>
        <v>6102</v>
      </c>
      <c r="C270" s="1" t="str">
        <f>INDEX(ActiveDistricts!$A$2:$J$326,MATCH(Calculation!$A270,ActiveDistricts!$C$2:$C$326,0),7)</f>
        <v>Spencer</v>
      </c>
      <c r="D270" s="14">
        <f>INDEX(StartupfileInput!$A$2:$I$326,MATCH(Calculation!$A270,StartupfileInput!$C$2:$C$326,0),8)</f>
        <v>2025.3</v>
      </c>
      <c r="E270" s="20">
        <f>INDEX(ActiveDistricts!$A$2:$J$326,MATCH(Calculation!$A270,ActiveDistricts!$C$2:$C$326,0),10)</f>
        <v>0.49402823018458197</v>
      </c>
      <c r="F270" s="8">
        <f t="shared" si="30"/>
        <v>6.4240000000000004</v>
      </c>
      <c r="G270" s="8">
        <f t="shared" si="31"/>
        <v>4.1319999999999997</v>
      </c>
      <c r="H270" s="8">
        <f t="shared" si="29"/>
        <v>10.556000000000001</v>
      </c>
      <c r="I270">
        <f>INDEX(StartupfileInput!$A$2:$I$326,MATCH(Calculation!$A270,StartupfileInput!$C$2:$C$326,0),9)</f>
        <v>7413</v>
      </c>
      <c r="J270" s="106">
        <f t="shared" si="32"/>
        <v>7635</v>
      </c>
      <c r="K270" s="9">
        <f t="shared" si="28"/>
        <v>49047</v>
      </c>
      <c r="L270" s="9">
        <f t="shared" si="33"/>
        <v>31548</v>
      </c>
      <c r="M270" s="9">
        <f t="shared" si="34"/>
        <v>80595</v>
      </c>
    </row>
    <row r="271" spans="1:13" ht="12.75" x14ac:dyDescent="0.2">
      <c r="A271" s="26" t="str">
        <f>StartupfileInput!C269</f>
        <v>6120</v>
      </c>
      <c r="B271" s="1" t="str">
        <f>INDEX(ActiveDistricts!$A$2:$J$326,MATCH(Calculation!$A271,ActiveDistricts!$C$2:$C$326,0),6)</f>
        <v>6120</v>
      </c>
      <c r="C271" s="1" t="str">
        <f>INDEX(ActiveDistricts!$A$2:$J$326,MATCH(Calculation!$A271,ActiveDistricts!$C$2:$C$326,0),7)</f>
        <v>Spirit Lake</v>
      </c>
      <c r="D271" s="14">
        <f>INDEX(StartupfileInput!$A$2:$I$326,MATCH(Calculation!$A271,StartupfileInput!$C$2:$C$326,0),8)</f>
        <v>1167.9000000000001</v>
      </c>
      <c r="E271" s="20">
        <f>INDEX(ActiveDistricts!$A$2:$J$326,MATCH(Calculation!$A271,ActiveDistricts!$C$2:$C$326,0),10)</f>
        <v>0.29268292682926828</v>
      </c>
      <c r="F271" s="8">
        <f t="shared" si="30"/>
        <v>2.1949999999999998</v>
      </c>
      <c r="G271" s="8">
        <f t="shared" si="31"/>
        <v>2.383</v>
      </c>
      <c r="H271" s="8">
        <f t="shared" si="29"/>
        <v>4.5779999999999994</v>
      </c>
      <c r="I271">
        <f>INDEX(StartupfileInput!$A$2:$I$326,MATCH(Calculation!$A271,StartupfileInput!$C$2:$C$326,0),9)</f>
        <v>7413</v>
      </c>
      <c r="J271" s="106">
        <f t="shared" si="32"/>
        <v>7635</v>
      </c>
      <c r="K271" s="9">
        <f t="shared" si="28"/>
        <v>16759</v>
      </c>
      <c r="L271" s="9">
        <f t="shared" si="33"/>
        <v>18194</v>
      </c>
      <c r="M271" s="9">
        <f t="shared" si="34"/>
        <v>34953</v>
      </c>
    </row>
    <row r="272" spans="1:13" ht="12.75" x14ac:dyDescent="0.2">
      <c r="A272" s="26" t="str">
        <f>StartupfileInput!C270</f>
        <v>6138</v>
      </c>
      <c r="B272" s="1" t="str">
        <f>INDEX(ActiveDistricts!$A$2:$J$326,MATCH(Calculation!$A272,ActiveDistricts!$C$2:$C$326,0),6)</f>
        <v>6138</v>
      </c>
      <c r="C272" s="1" t="str">
        <f>INDEX(ActiveDistricts!$A$2:$J$326,MATCH(Calculation!$A272,ActiveDistricts!$C$2:$C$326,0),7)</f>
        <v>Springville</v>
      </c>
      <c r="D272" s="14">
        <f>INDEX(StartupfileInput!$A$2:$I$326,MATCH(Calculation!$A272,StartupfileInput!$C$2:$C$326,0),8)</f>
        <v>406.7</v>
      </c>
      <c r="E272" s="20">
        <f>INDEX(ActiveDistricts!$A$2:$J$326,MATCH(Calculation!$A272,ActiveDistricts!$C$2:$C$326,0),10)</f>
        <v>0.25531914893617019</v>
      </c>
      <c r="F272" s="8">
        <f t="shared" si="30"/>
        <v>0.66700000000000004</v>
      </c>
      <c r="G272" s="8">
        <f t="shared" si="31"/>
        <v>0.83</v>
      </c>
      <c r="H272" s="8">
        <f t="shared" si="29"/>
        <v>1.4969999999999999</v>
      </c>
      <c r="I272">
        <f>INDEX(StartupfileInput!$A$2:$I$326,MATCH(Calculation!$A272,StartupfileInput!$C$2:$C$326,0),9)</f>
        <v>7420</v>
      </c>
      <c r="J272" s="106">
        <f t="shared" si="32"/>
        <v>7642</v>
      </c>
      <c r="K272" s="9">
        <f t="shared" si="28"/>
        <v>5097</v>
      </c>
      <c r="L272" s="9">
        <f t="shared" si="33"/>
        <v>6343</v>
      </c>
      <c r="M272" s="9">
        <f t="shared" si="34"/>
        <v>11440</v>
      </c>
    </row>
    <row r="273" spans="1:13" ht="12.75" x14ac:dyDescent="0.2">
      <c r="A273" s="26" t="str">
        <f>StartupfileInput!C271</f>
        <v>5751</v>
      </c>
      <c r="B273" s="1" t="str">
        <f>INDEX(ActiveDistricts!$A$2:$J$326,MATCH(Calculation!$A273,ActiveDistricts!$C$2:$C$326,0),6)</f>
        <v>5751</v>
      </c>
      <c r="C273" s="1" t="str">
        <f>INDEX(ActiveDistricts!$A$2:$J$326,MATCH(Calculation!$A273,ActiveDistricts!$C$2:$C$326,0),7)</f>
        <v>St Ansgar</v>
      </c>
      <c r="D273" s="14">
        <f>INDEX(StartupfileInput!$A$2:$I$326,MATCH(Calculation!$A273,StartupfileInput!$C$2:$C$326,0),8)</f>
        <v>570.70000000000005</v>
      </c>
      <c r="E273" s="20">
        <f>INDEX(ActiveDistricts!$A$2:$J$326,MATCH(Calculation!$A273,ActiveDistricts!$C$2:$C$326,0),10)</f>
        <v>0.25190839694656486</v>
      </c>
      <c r="F273" s="8">
        <f t="shared" si="30"/>
        <v>0.92300000000000004</v>
      </c>
      <c r="G273" s="8">
        <f t="shared" si="31"/>
        <v>1.1639999999999999</v>
      </c>
      <c r="H273" s="8">
        <f t="shared" si="29"/>
        <v>2.0869999999999997</v>
      </c>
      <c r="I273">
        <f>INDEX(StartupfileInput!$A$2:$I$326,MATCH(Calculation!$A273,StartupfileInput!$C$2:$C$326,0),9)</f>
        <v>7413</v>
      </c>
      <c r="J273" s="106">
        <f t="shared" si="32"/>
        <v>7635</v>
      </c>
      <c r="K273" s="9">
        <f t="shared" si="28"/>
        <v>7047</v>
      </c>
      <c r="L273" s="9">
        <f t="shared" si="33"/>
        <v>8887</v>
      </c>
      <c r="M273" s="9">
        <f t="shared" si="34"/>
        <v>15934</v>
      </c>
    </row>
    <row r="274" spans="1:13" ht="12.75" x14ac:dyDescent="0.2">
      <c r="A274" s="26" t="str">
        <f>StartupfileInput!C272</f>
        <v>6165</v>
      </c>
      <c r="B274" s="1" t="str">
        <f>INDEX(ActiveDistricts!$A$2:$J$326,MATCH(Calculation!$A274,ActiveDistricts!$C$2:$C$326,0),6)</f>
        <v>6165</v>
      </c>
      <c r="C274" s="1" t="str">
        <f>INDEX(ActiveDistricts!$A$2:$J$326,MATCH(Calculation!$A274,ActiveDistricts!$C$2:$C$326,0),7)</f>
        <v>Stanton</v>
      </c>
      <c r="D274" s="14">
        <f>INDEX(StartupfileInput!$A$2:$I$326,MATCH(Calculation!$A274,StartupfileInput!$C$2:$C$326,0),8)</f>
        <v>197</v>
      </c>
      <c r="E274" s="20">
        <f>INDEX(ActiveDistricts!$A$2:$J$326,MATCH(Calculation!$A274,ActiveDistricts!$C$2:$C$326,0),10)</f>
        <v>0.47286821705426357</v>
      </c>
      <c r="F274" s="8">
        <f t="shared" si="30"/>
        <v>0.59799999999999998</v>
      </c>
      <c r="G274" s="8">
        <f t="shared" si="31"/>
        <v>0.40200000000000002</v>
      </c>
      <c r="H274" s="8">
        <f t="shared" si="29"/>
        <v>1</v>
      </c>
      <c r="I274">
        <f>INDEX(StartupfileInput!$A$2:$I$326,MATCH(Calculation!$A274,StartupfileInput!$C$2:$C$326,0),9)</f>
        <v>7413</v>
      </c>
      <c r="J274" s="106">
        <f t="shared" si="32"/>
        <v>7635</v>
      </c>
      <c r="K274" s="9">
        <f t="shared" si="28"/>
        <v>4566</v>
      </c>
      <c r="L274" s="9">
        <f t="shared" si="33"/>
        <v>3069</v>
      </c>
      <c r="M274" s="9">
        <f t="shared" si="34"/>
        <v>7635</v>
      </c>
    </row>
    <row r="275" spans="1:13" ht="12.75" x14ac:dyDescent="0.2">
      <c r="A275" s="26" t="str">
        <f>StartupfileInput!C273</f>
        <v>6175</v>
      </c>
      <c r="B275" s="1" t="str">
        <f>INDEX(ActiveDistricts!$A$2:$J$326,MATCH(Calculation!$A275,ActiveDistricts!$C$2:$C$326,0),6)</f>
        <v>6175</v>
      </c>
      <c r="C275" s="1" t="str">
        <f>INDEX(ActiveDistricts!$A$2:$J$326,MATCH(Calculation!$A275,ActiveDistricts!$C$2:$C$326,0),7)</f>
        <v>Starmont</v>
      </c>
      <c r="D275" s="14">
        <f>INDEX(StartupfileInput!$A$2:$I$326,MATCH(Calculation!$A275,StartupfileInput!$C$2:$C$326,0),8)</f>
        <v>584.6</v>
      </c>
      <c r="E275" s="20">
        <f>INDEX(ActiveDistricts!$A$2:$J$326,MATCH(Calculation!$A275,ActiveDistricts!$C$2:$C$326,0),10)</f>
        <v>0.4017857142857143</v>
      </c>
      <c r="F275" s="8">
        <f t="shared" si="30"/>
        <v>1.508</v>
      </c>
      <c r="G275" s="8">
        <f t="shared" si="31"/>
        <v>1.1930000000000001</v>
      </c>
      <c r="H275" s="8">
        <f t="shared" si="29"/>
        <v>2.7010000000000001</v>
      </c>
      <c r="I275">
        <f>INDEX(StartupfileInput!$A$2:$I$326,MATCH(Calculation!$A275,StartupfileInput!$C$2:$C$326,0),9)</f>
        <v>7413</v>
      </c>
      <c r="J275" s="106">
        <f t="shared" si="32"/>
        <v>7635</v>
      </c>
      <c r="K275" s="9">
        <f t="shared" si="28"/>
        <v>11514</v>
      </c>
      <c r="L275" s="9">
        <f t="shared" si="33"/>
        <v>9108</v>
      </c>
      <c r="M275" s="9">
        <f t="shared" si="34"/>
        <v>20622</v>
      </c>
    </row>
    <row r="276" spans="1:13" ht="12.75" x14ac:dyDescent="0.2">
      <c r="A276" s="26" t="str">
        <f>StartupfileInput!C274</f>
        <v>6219</v>
      </c>
      <c r="B276" s="1" t="str">
        <f>INDEX(ActiveDistricts!$A$2:$J$326,MATCH(Calculation!$A276,ActiveDistricts!$C$2:$C$326,0),6)</f>
        <v>6219</v>
      </c>
      <c r="C276" s="1" t="str">
        <f>INDEX(ActiveDistricts!$A$2:$J$326,MATCH(Calculation!$A276,ActiveDistricts!$C$2:$C$326,0),7)</f>
        <v>Storm Lake</v>
      </c>
      <c r="D276" s="14">
        <f>INDEX(StartupfileInput!$A$2:$I$326,MATCH(Calculation!$A276,StartupfileInput!$C$2:$C$326,0),8)</f>
        <v>2531.6999999999998</v>
      </c>
      <c r="E276" s="20">
        <f>INDEX(ActiveDistricts!$A$2:$J$326,MATCH(Calculation!$A276,ActiveDistricts!$C$2:$C$326,0),10)</f>
        <v>0.73178807947019864</v>
      </c>
      <c r="F276" s="8">
        <f t="shared" si="30"/>
        <v>11.894</v>
      </c>
      <c r="G276" s="8">
        <f t="shared" si="31"/>
        <v>5.165</v>
      </c>
      <c r="H276" s="8">
        <f t="shared" si="29"/>
        <v>17.059000000000001</v>
      </c>
      <c r="I276">
        <f>INDEX(StartupfileInput!$A$2:$I$326,MATCH(Calculation!$A276,StartupfileInput!$C$2:$C$326,0),9)</f>
        <v>7413</v>
      </c>
      <c r="J276" s="106">
        <f t="shared" si="32"/>
        <v>7635</v>
      </c>
      <c r="K276" s="9">
        <f t="shared" si="28"/>
        <v>90811</v>
      </c>
      <c r="L276" s="9">
        <f t="shared" si="33"/>
        <v>39434</v>
      </c>
      <c r="M276" s="9">
        <f t="shared" si="34"/>
        <v>130245</v>
      </c>
    </row>
    <row r="277" spans="1:13" ht="12.75" x14ac:dyDescent="0.2">
      <c r="A277" s="26" t="str">
        <f>StartupfileInput!C275</f>
        <v>6246</v>
      </c>
      <c r="B277" s="1" t="str">
        <f>INDEX(ActiveDistricts!$A$2:$J$326,MATCH(Calculation!$A277,ActiveDistricts!$C$2:$C$326,0),6)</f>
        <v>6246</v>
      </c>
      <c r="C277" s="1" t="str">
        <f>INDEX(ActiveDistricts!$A$2:$J$326,MATCH(Calculation!$A277,ActiveDistricts!$C$2:$C$326,0),7)</f>
        <v>Stratford</v>
      </c>
      <c r="D277" s="14">
        <f>INDEX(StartupfileInput!$A$2:$I$326,MATCH(Calculation!$A277,StartupfileInput!$C$2:$C$326,0),8)</f>
        <v>132.80000000000001</v>
      </c>
      <c r="E277" s="20">
        <f>INDEX(ActiveDistricts!$A$2:$J$326,MATCH(Calculation!$A277,ActiveDistricts!$C$2:$C$326,0),10)</f>
        <v>0.53191489361702127</v>
      </c>
      <c r="F277" s="8">
        <f t="shared" si="30"/>
        <v>0.45300000000000001</v>
      </c>
      <c r="G277" s="8">
        <f t="shared" si="31"/>
        <v>0.27100000000000002</v>
      </c>
      <c r="H277" s="8">
        <f t="shared" si="29"/>
        <v>0.72399999999999998</v>
      </c>
      <c r="I277">
        <f>INDEX(StartupfileInput!$A$2:$I$326,MATCH(Calculation!$A277,StartupfileInput!$C$2:$C$326,0),9)</f>
        <v>7553</v>
      </c>
      <c r="J277" s="106">
        <f t="shared" si="32"/>
        <v>7775</v>
      </c>
      <c r="K277" s="9">
        <f t="shared" si="28"/>
        <v>3522</v>
      </c>
      <c r="L277" s="9">
        <f t="shared" si="33"/>
        <v>2107</v>
      </c>
      <c r="M277" s="9">
        <f t="shared" si="34"/>
        <v>5629</v>
      </c>
    </row>
    <row r="278" spans="1:13" ht="12.75" x14ac:dyDescent="0.2">
      <c r="A278" s="26" t="str">
        <f>StartupfileInput!C276</f>
        <v>6273</v>
      </c>
      <c r="B278" s="1" t="str">
        <f>INDEX(ActiveDistricts!$A$2:$J$326,MATCH(Calculation!$A278,ActiveDistricts!$C$2:$C$326,0),6)</f>
        <v>6273</v>
      </c>
      <c r="C278" s="1" t="str">
        <f>INDEX(ActiveDistricts!$A$2:$J$326,MATCH(Calculation!$A278,ActiveDistricts!$C$2:$C$326,0),7)</f>
        <v>Sumner-Fredericksburg</v>
      </c>
      <c r="D278" s="14">
        <f>INDEX(StartupfileInput!$A$2:$I$326,MATCH(Calculation!$A278,StartupfileInput!$C$2:$C$326,0),8)</f>
        <v>769.6</v>
      </c>
      <c r="E278" s="20">
        <f>INDEX(ActiveDistricts!$A$2:$J$326,MATCH(Calculation!$A278,ActiveDistricts!$C$2:$C$326,0),10)</f>
        <v>0.43283582089552236</v>
      </c>
      <c r="F278" s="8">
        <f t="shared" si="30"/>
        <v>2.1389999999999998</v>
      </c>
      <c r="G278" s="8">
        <f t="shared" si="31"/>
        <v>1.57</v>
      </c>
      <c r="H278" s="8">
        <f t="shared" si="29"/>
        <v>3.7089999999999996</v>
      </c>
      <c r="I278">
        <f>INDEX(StartupfileInput!$A$2:$I$326,MATCH(Calculation!$A278,StartupfileInput!$C$2:$C$326,0),9)</f>
        <v>7413</v>
      </c>
      <c r="J278" s="106">
        <f t="shared" si="32"/>
        <v>7635</v>
      </c>
      <c r="K278" s="9">
        <f t="shared" si="28"/>
        <v>16331</v>
      </c>
      <c r="L278" s="9">
        <f t="shared" si="33"/>
        <v>11987</v>
      </c>
      <c r="M278" s="9">
        <f t="shared" si="34"/>
        <v>28318</v>
      </c>
    </row>
    <row r="279" spans="1:13" ht="12.75" x14ac:dyDescent="0.2">
      <c r="A279" s="26" t="str">
        <f>StartupfileInput!C277</f>
        <v>6408</v>
      </c>
      <c r="B279" s="1" t="str">
        <f>INDEX(ActiveDistricts!$A$2:$J$326,MATCH(Calculation!$A279,ActiveDistricts!$C$2:$C$326,0),6)</f>
        <v>6408</v>
      </c>
      <c r="C279" s="1" t="str">
        <f>INDEX(ActiveDistricts!$A$2:$J$326,MATCH(Calculation!$A279,ActiveDistricts!$C$2:$C$326,0),7)</f>
        <v>Tipton</v>
      </c>
      <c r="D279" s="14">
        <f>INDEX(StartupfileInput!$A$2:$I$326,MATCH(Calculation!$A279,StartupfileInput!$C$2:$C$326,0),8)</f>
        <v>828.7</v>
      </c>
      <c r="E279" s="20">
        <f>INDEX(ActiveDistricts!$A$2:$J$326,MATCH(Calculation!$A279,ActiveDistricts!$C$2:$C$326,0),10)</f>
        <v>0.37726098191214469</v>
      </c>
      <c r="F279" s="8">
        <f t="shared" si="30"/>
        <v>2.0070000000000001</v>
      </c>
      <c r="G279" s="8">
        <f t="shared" si="31"/>
        <v>1.6910000000000001</v>
      </c>
      <c r="H279" s="8">
        <f t="shared" si="29"/>
        <v>3.6980000000000004</v>
      </c>
      <c r="I279">
        <f>INDEX(StartupfileInput!$A$2:$I$326,MATCH(Calculation!$A279,StartupfileInput!$C$2:$C$326,0),9)</f>
        <v>7429</v>
      </c>
      <c r="J279" s="106">
        <f t="shared" si="32"/>
        <v>7651</v>
      </c>
      <c r="K279" s="9">
        <f t="shared" si="28"/>
        <v>15356</v>
      </c>
      <c r="L279" s="9">
        <f t="shared" si="33"/>
        <v>12937</v>
      </c>
      <c r="M279" s="9">
        <f t="shared" si="34"/>
        <v>28293</v>
      </c>
    </row>
    <row r="280" spans="1:13" ht="12.75" x14ac:dyDescent="0.2">
      <c r="A280" s="26" t="str">
        <f>StartupfileInput!C278</f>
        <v>6453</v>
      </c>
      <c r="B280" s="1" t="str">
        <f>INDEX(ActiveDistricts!$A$2:$J$326,MATCH(Calculation!$A280,ActiveDistricts!$C$2:$C$326,0),6)</f>
        <v>6453</v>
      </c>
      <c r="C280" s="1" t="str">
        <f>INDEX(ActiveDistricts!$A$2:$J$326,MATCH(Calculation!$A280,ActiveDistricts!$C$2:$C$326,0),7)</f>
        <v>Treynor</v>
      </c>
      <c r="D280" s="14">
        <f>INDEX(StartupfileInput!$A$2:$I$326,MATCH(Calculation!$A280,StartupfileInput!$C$2:$C$326,0),8)</f>
        <v>575.20000000000005</v>
      </c>
      <c r="E280" s="20">
        <f>INDEX(ActiveDistricts!$A$2:$J$326,MATCH(Calculation!$A280,ActiveDistricts!$C$2:$C$326,0),10)</f>
        <v>0.143646408839779</v>
      </c>
      <c r="F280" s="8">
        <f t="shared" si="30"/>
        <v>0.53</v>
      </c>
      <c r="G280" s="8">
        <f t="shared" si="31"/>
        <v>1.173</v>
      </c>
      <c r="H280" s="8">
        <f t="shared" si="29"/>
        <v>1.7030000000000001</v>
      </c>
      <c r="I280">
        <f>INDEX(StartupfileInput!$A$2:$I$326,MATCH(Calculation!$A280,StartupfileInput!$C$2:$C$326,0),9)</f>
        <v>7413</v>
      </c>
      <c r="J280" s="106">
        <f t="shared" si="32"/>
        <v>7635</v>
      </c>
      <c r="K280" s="9">
        <f t="shared" si="28"/>
        <v>4047</v>
      </c>
      <c r="L280" s="9">
        <f t="shared" si="33"/>
        <v>8955</v>
      </c>
      <c r="M280" s="9">
        <f t="shared" si="34"/>
        <v>13002</v>
      </c>
    </row>
    <row r="281" spans="1:13" ht="12.75" x14ac:dyDescent="0.2">
      <c r="A281" s="26" t="str">
        <f>StartupfileInput!C279</f>
        <v>6460</v>
      </c>
      <c r="B281" s="1" t="str">
        <f>INDEX(ActiveDistricts!$A$2:$J$326,MATCH(Calculation!$A281,ActiveDistricts!$C$2:$C$326,0),6)</f>
        <v>6460</v>
      </c>
      <c r="C281" s="1" t="str">
        <f>INDEX(ActiveDistricts!$A$2:$J$326,MATCH(Calculation!$A281,ActiveDistricts!$C$2:$C$326,0),7)</f>
        <v>Tri-Center</v>
      </c>
      <c r="D281" s="14">
        <f>INDEX(StartupfileInput!$A$2:$I$326,MATCH(Calculation!$A281,StartupfileInput!$C$2:$C$326,0),8)</f>
        <v>656.1</v>
      </c>
      <c r="E281" s="20">
        <f>INDEX(ActiveDistricts!$A$2:$J$326,MATCH(Calculation!$A281,ActiveDistricts!$C$2:$C$326,0),10)</f>
        <v>0.33986928104575165</v>
      </c>
      <c r="F281" s="8">
        <f t="shared" si="30"/>
        <v>1.4319999999999999</v>
      </c>
      <c r="G281" s="8">
        <f t="shared" si="31"/>
        <v>1.3380000000000001</v>
      </c>
      <c r="H281" s="8">
        <f t="shared" si="29"/>
        <v>2.77</v>
      </c>
      <c r="I281">
        <f>INDEX(StartupfileInput!$A$2:$I$326,MATCH(Calculation!$A281,StartupfileInput!$C$2:$C$326,0),9)</f>
        <v>7413</v>
      </c>
      <c r="J281" s="106">
        <f t="shared" si="32"/>
        <v>7635</v>
      </c>
      <c r="K281" s="9">
        <f t="shared" si="28"/>
        <v>10933</v>
      </c>
      <c r="L281" s="9">
        <f t="shared" si="33"/>
        <v>10216</v>
      </c>
      <c r="M281" s="9">
        <f t="shared" si="34"/>
        <v>21149</v>
      </c>
    </row>
    <row r="282" spans="1:13" ht="12.75" x14ac:dyDescent="0.2">
      <c r="A282" s="26" t="str">
        <f>StartupfileInput!C280</f>
        <v>6462</v>
      </c>
      <c r="B282" s="1" t="str">
        <f>INDEX(ActiveDistricts!$A$2:$J$326,MATCH(Calculation!$A282,ActiveDistricts!$C$2:$C$326,0),6)</f>
        <v>6462</v>
      </c>
      <c r="C282" s="1" t="str">
        <f>INDEX(ActiveDistricts!$A$2:$J$326,MATCH(Calculation!$A282,ActiveDistricts!$C$2:$C$326,0),7)</f>
        <v>Tri-County</v>
      </c>
      <c r="D282" s="14">
        <f>INDEX(StartupfileInput!$A$2:$I$326,MATCH(Calculation!$A282,StartupfileInput!$C$2:$C$326,0),8)</f>
        <v>265.8</v>
      </c>
      <c r="E282" s="20">
        <f>INDEX(ActiveDistricts!$A$2:$J$326,MATCH(Calculation!$A282,ActiveDistricts!$C$2:$C$326,0),10)</f>
        <v>0.48571428571428571</v>
      </c>
      <c r="F282" s="8">
        <f t="shared" si="30"/>
        <v>0.82899999999999996</v>
      </c>
      <c r="G282" s="8">
        <f t="shared" si="31"/>
        <v>0.54200000000000004</v>
      </c>
      <c r="H282" s="8">
        <f t="shared" si="29"/>
        <v>1.371</v>
      </c>
      <c r="I282">
        <f>INDEX(StartupfileInput!$A$2:$I$326,MATCH(Calculation!$A282,StartupfileInput!$C$2:$C$326,0),9)</f>
        <v>7413</v>
      </c>
      <c r="J282" s="106">
        <f t="shared" si="32"/>
        <v>7635</v>
      </c>
      <c r="K282" s="9">
        <f t="shared" si="28"/>
        <v>6329</v>
      </c>
      <c r="L282" s="9">
        <f t="shared" si="33"/>
        <v>4139</v>
      </c>
      <c r="M282" s="9">
        <f t="shared" si="34"/>
        <v>10468</v>
      </c>
    </row>
    <row r="283" spans="1:13" ht="12.75" x14ac:dyDescent="0.2">
      <c r="A283" s="26" t="str">
        <f>StartupfileInput!C281</f>
        <v>6471</v>
      </c>
      <c r="B283" s="1" t="str">
        <f>INDEX(ActiveDistricts!$A$2:$J$326,MATCH(Calculation!$A283,ActiveDistricts!$C$2:$C$326,0),6)</f>
        <v>6471</v>
      </c>
      <c r="C283" s="1" t="str">
        <f>INDEX(ActiveDistricts!$A$2:$J$326,MATCH(Calculation!$A283,ActiveDistricts!$C$2:$C$326,0),7)</f>
        <v>Tripoli</v>
      </c>
      <c r="D283" s="14">
        <f>INDEX(StartupfileInput!$A$2:$I$326,MATCH(Calculation!$A283,StartupfileInput!$C$2:$C$326,0),8)</f>
        <v>380.7</v>
      </c>
      <c r="E283" s="20">
        <f>INDEX(ActiveDistricts!$A$2:$J$326,MATCH(Calculation!$A283,ActiveDistricts!$C$2:$C$326,0),10)</f>
        <v>0.43137254901960786</v>
      </c>
      <c r="F283" s="8">
        <f t="shared" si="30"/>
        <v>1.054</v>
      </c>
      <c r="G283" s="8">
        <f t="shared" si="31"/>
        <v>0.77700000000000002</v>
      </c>
      <c r="H283" s="8">
        <f t="shared" si="29"/>
        <v>1.831</v>
      </c>
      <c r="I283">
        <f>INDEX(StartupfileInput!$A$2:$I$326,MATCH(Calculation!$A283,StartupfileInput!$C$2:$C$326,0),9)</f>
        <v>7417</v>
      </c>
      <c r="J283" s="106">
        <f t="shared" si="32"/>
        <v>7639</v>
      </c>
      <c r="K283" s="9">
        <f t="shared" si="28"/>
        <v>8052</v>
      </c>
      <c r="L283" s="9">
        <f t="shared" si="33"/>
        <v>5935</v>
      </c>
      <c r="M283" s="9">
        <f t="shared" si="34"/>
        <v>13987</v>
      </c>
    </row>
    <row r="284" spans="1:13" ht="12.75" x14ac:dyDescent="0.2">
      <c r="A284" s="26" t="str">
        <f>StartupfileInput!C282</f>
        <v>6509</v>
      </c>
      <c r="B284" s="1" t="str">
        <f>INDEX(ActiveDistricts!$A$2:$J$326,MATCH(Calculation!$A284,ActiveDistricts!$C$2:$C$326,0),6)</f>
        <v>6509</v>
      </c>
      <c r="C284" s="1" t="str">
        <f>INDEX(ActiveDistricts!$A$2:$J$326,MATCH(Calculation!$A284,ActiveDistricts!$C$2:$C$326,0),7)</f>
        <v>Turkey Valley</v>
      </c>
      <c r="D284" s="14">
        <f>INDEX(StartupfileInput!$A$2:$I$326,MATCH(Calculation!$A284,StartupfileInput!$C$2:$C$326,0),8)</f>
        <v>354.8</v>
      </c>
      <c r="E284" s="20">
        <f>INDEX(ActiveDistricts!$A$2:$J$326,MATCH(Calculation!$A284,ActiveDistricts!$C$2:$C$326,0),10)</f>
        <v>0.4263565891472868</v>
      </c>
      <c r="F284" s="8">
        <f t="shared" si="30"/>
        <v>0.97099999999999997</v>
      </c>
      <c r="G284" s="8">
        <f t="shared" si="31"/>
        <v>0.72399999999999998</v>
      </c>
      <c r="H284" s="8">
        <f t="shared" si="29"/>
        <v>1.6949999999999998</v>
      </c>
      <c r="I284">
        <f>INDEX(StartupfileInput!$A$2:$I$326,MATCH(Calculation!$A284,StartupfileInput!$C$2:$C$326,0),9)</f>
        <v>7545</v>
      </c>
      <c r="J284" s="106">
        <f t="shared" si="32"/>
        <v>7767</v>
      </c>
      <c r="K284" s="9">
        <f t="shared" si="28"/>
        <v>7542</v>
      </c>
      <c r="L284" s="9">
        <f t="shared" si="33"/>
        <v>5623</v>
      </c>
      <c r="M284" s="9">
        <f t="shared" si="34"/>
        <v>13165</v>
      </c>
    </row>
    <row r="285" spans="1:13" ht="12.75" x14ac:dyDescent="0.2">
      <c r="A285" s="26" t="str">
        <f>StartupfileInput!C283</f>
        <v>6512</v>
      </c>
      <c r="B285" s="1" t="str">
        <f>INDEX(ActiveDistricts!$A$2:$J$326,MATCH(Calculation!$A285,ActiveDistricts!$C$2:$C$326,0),6)</f>
        <v>6512</v>
      </c>
      <c r="C285" s="1" t="str">
        <f>INDEX(ActiveDistricts!$A$2:$J$326,MATCH(Calculation!$A285,ActiveDistricts!$C$2:$C$326,0),7)</f>
        <v>Twin Cedars</v>
      </c>
      <c r="D285" s="14">
        <f>INDEX(StartupfileInput!$A$2:$I$326,MATCH(Calculation!$A285,StartupfileInput!$C$2:$C$326,0),8)</f>
        <v>323</v>
      </c>
      <c r="E285" s="20">
        <f>INDEX(ActiveDistricts!$A$2:$J$326,MATCH(Calculation!$A285,ActiveDistricts!$C$2:$C$326,0),10)</f>
        <v>0.50359712230215825</v>
      </c>
      <c r="F285" s="8">
        <f t="shared" si="30"/>
        <v>1.044</v>
      </c>
      <c r="G285" s="8">
        <f t="shared" si="31"/>
        <v>0.65900000000000003</v>
      </c>
      <c r="H285" s="8">
        <f t="shared" si="29"/>
        <v>1.7030000000000001</v>
      </c>
      <c r="I285">
        <f>INDEX(StartupfileInput!$A$2:$I$326,MATCH(Calculation!$A285,StartupfileInput!$C$2:$C$326,0),9)</f>
        <v>7428</v>
      </c>
      <c r="J285" s="106">
        <f t="shared" si="32"/>
        <v>7650</v>
      </c>
      <c r="K285" s="9">
        <f t="shared" si="28"/>
        <v>7987</v>
      </c>
      <c r="L285" s="9">
        <f t="shared" si="33"/>
        <v>5041</v>
      </c>
      <c r="M285" s="9">
        <f t="shared" si="34"/>
        <v>13028</v>
      </c>
    </row>
    <row r="286" spans="1:13" ht="12.75" x14ac:dyDescent="0.2">
      <c r="A286" s="26" t="str">
        <f>StartupfileInput!C284</f>
        <v>6516</v>
      </c>
      <c r="B286" s="1" t="str">
        <f>INDEX(ActiveDistricts!$A$2:$J$326,MATCH(Calculation!$A286,ActiveDistricts!$C$2:$C$326,0),6)</f>
        <v>6516</v>
      </c>
      <c r="C286" s="1" t="str">
        <f>INDEX(ActiveDistricts!$A$2:$J$326,MATCH(Calculation!$A286,ActiveDistricts!$C$2:$C$326,0),7)</f>
        <v>Twin Rivers</v>
      </c>
      <c r="D286" s="14">
        <f>INDEX(StartupfileInput!$A$2:$I$326,MATCH(Calculation!$A286,StartupfileInput!$C$2:$C$326,0),8)</f>
        <v>160</v>
      </c>
      <c r="E286" s="20">
        <f>INDEX(ActiveDistricts!$A$2:$J$326,MATCH(Calculation!$A286,ActiveDistricts!$C$2:$C$326,0),10)</f>
        <v>0.48484848484848486</v>
      </c>
      <c r="F286" s="8">
        <f t="shared" si="30"/>
        <v>0.498</v>
      </c>
      <c r="G286" s="8">
        <f t="shared" si="31"/>
        <v>0.32600000000000001</v>
      </c>
      <c r="H286" s="8">
        <f t="shared" si="29"/>
        <v>0.82400000000000007</v>
      </c>
      <c r="I286">
        <f>INDEX(StartupfileInput!$A$2:$I$326,MATCH(Calculation!$A286,StartupfileInput!$C$2:$C$326,0),9)</f>
        <v>7553</v>
      </c>
      <c r="J286" s="106">
        <f t="shared" si="32"/>
        <v>7775</v>
      </c>
      <c r="K286" s="9">
        <f t="shared" si="28"/>
        <v>3872</v>
      </c>
      <c r="L286" s="9">
        <f t="shared" si="33"/>
        <v>2535</v>
      </c>
      <c r="M286" s="9">
        <f t="shared" si="34"/>
        <v>6407</v>
      </c>
    </row>
    <row r="287" spans="1:13" ht="12.75" x14ac:dyDescent="0.2">
      <c r="A287" s="26" t="str">
        <f>StartupfileInput!C285</f>
        <v>6534</v>
      </c>
      <c r="B287" s="1" t="str">
        <f>INDEX(ActiveDistricts!$A$2:$J$326,MATCH(Calculation!$A287,ActiveDistricts!$C$2:$C$326,0),6)</f>
        <v>6534</v>
      </c>
      <c r="C287" s="1" t="str">
        <f>INDEX(ActiveDistricts!$A$2:$J$326,MATCH(Calculation!$A287,ActiveDistricts!$C$2:$C$326,0),7)</f>
        <v>Underwood</v>
      </c>
      <c r="D287" s="14">
        <f>INDEX(StartupfileInput!$A$2:$I$326,MATCH(Calculation!$A287,StartupfileInput!$C$2:$C$326,0),8)</f>
        <v>764.7</v>
      </c>
      <c r="E287" s="20">
        <f>INDEX(ActiveDistricts!$A$2:$J$326,MATCH(Calculation!$A287,ActiveDistricts!$C$2:$C$326,0),10)</f>
        <v>0.15186246418338109</v>
      </c>
      <c r="F287" s="8">
        <f t="shared" si="30"/>
        <v>0.746</v>
      </c>
      <c r="G287" s="8">
        <f t="shared" si="31"/>
        <v>1.56</v>
      </c>
      <c r="H287" s="8">
        <f t="shared" si="29"/>
        <v>2.306</v>
      </c>
      <c r="I287">
        <f>INDEX(StartupfileInput!$A$2:$I$326,MATCH(Calculation!$A287,StartupfileInput!$C$2:$C$326,0),9)</f>
        <v>7413</v>
      </c>
      <c r="J287" s="106">
        <f t="shared" si="32"/>
        <v>7635</v>
      </c>
      <c r="K287" s="9">
        <f t="shared" si="28"/>
        <v>5696</v>
      </c>
      <c r="L287" s="9">
        <f t="shared" si="33"/>
        <v>11910</v>
      </c>
      <c r="M287" s="9">
        <f t="shared" si="34"/>
        <v>17606</v>
      </c>
    </row>
    <row r="288" spans="1:13" ht="12.75" x14ac:dyDescent="0.2">
      <c r="A288" s="26" t="str">
        <f>StartupfileInput!C286</f>
        <v>1935</v>
      </c>
      <c r="B288" s="1" t="str">
        <f>INDEX(ActiveDistricts!$A$2:$J$326,MATCH(Calculation!$A288,ActiveDistricts!$C$2:$C$326,0),6)</f>
        <v>6536</v>
      </c>
      <c r="C288" s="1" t="str">
        <f>INDEX(ActiveDistricts!$A$2:$J$326,MATCH(Calculation!$A288,ActiveDistricts!$C$2:$C$326,0),7)</f>
        <v>Union</v>
      </c>
      <c r="D288" s="14">
        <f>INDEX(StartupfileInput!$A$2:$I$326,MATCH(Calculation!$A288,StartupfileInput!$C$2:$C$326,0),8)</f>
        <v>965.5</v>
      </c>
      <c r="E288" s="20">
        <f>INDEX(ActiveDistricts!$A$2:$J$326,MATCH(Calculation!$A288,ActiveDistricts!$C$2:$C$326,0),10)</f>
        <v>0.28341013824884792</v>
      </c>
      <c r="F288" s="8">
        <f t="shared" si="30"/>
        <v>1.7569999999999999</v>
      </c>
      <c r="G288" s="8">
        <f t="shared" si="31"/>
        <v>1.97</v>
      </c>
      <c r="H288" s="8">
        <f t="shared" si="29"/>
        <v>3.7269999999999999</v>
      </c>
      <c r="I288">
        <f>INDEX(StartupfileInput!$A$2:$I$326,MATCH(Calculation!$A288,StartupfileInput!$C$2:$C$326,0),9)</f>
        <v>7460</v>
      </c>
      <c r="J288" s="106">
        <f t="shared" si="32"/>
        <v>7682</v>
      </c>
      <c r="K288" s="9">
        <f t="shared" si="28"/>
        <v>13497</v>
      </c>
      <c r="L288" s="9">
        <f t="shared" si="33"/>
        <v>15134</v>
      </c>
      <c r="M288" s="9">
        <f t="shared" si="34"/>
        <v>28631</v>
      </c>
    </row>
    <row r="289" spans="1:13" ht="12.75" x14ac:dyDescent="0.2">
      <c r="A289" s="26" t="str">
        <f>StartupfileInput!C287</f>
        <v>6561</v>
      </c>
      <c r="B289" s="1" t="str">
        <f>INDEX(ActiveDistricts!$A$2:$J$326,MATCH(Calculation!$A289,ActiveDistricts!$C$2:$C$326,0),6)</f>
        <v>6561</v>
      </c>
      <c r="C289" s="1" t="str">
        <f>INDEX(ActiveDistricts!$A$2:$J$326,MATCH(Calculation!$A289,ActiveDistricts!$C$2:$C$326,0),7)</f>
        <v>United</v>
      </c>
      <c r="D289" s="14">
        <f>INDEX(StartupfileInput!$A$2:$I$326,MATCH(Calculation!$A289,StartupfileInput!$C$2:$C$326,0),8)</f>
        <v>385.9</v>
      </c>
      <c r="E289" s="20">
        <f>INDEX(ActiveDistricts!$A$2:$J$326,MATCH(Calculation!$A289,ActiveDistricts!$C$2:$C$326,0),10)</f>
        <v>0.25663716814159293</v>
      </c>
      <c r="F289" s="8">
        <f t="shared" si="30"/>
        <v>0.63600000000000001</v>
      </c>
      <c r="G289" s="8">
        <f t="shared" si="31"/>
        <v>0.78700000000000003</v>
      </c>
      <c r="H289" s="8">
        <f t="shared" si="29"/>
        <v>1.423</v>
      </c>
      <c r="I289">
        <f>INDEX(StartupfileInput!$A$2:$I$326,MATCH(Calculation!$A289,StartupfileInput!$C$2:$C$326,0),9)</f>
        <v>7413</v>
      </c>
      <c r="J289" s="106">
        <f t="shared" si="32"/>
        <v>7635</v>
      </c>
      <c r="K289" s="9">
        <f t="shared" si="28"/>
        <v>4856</v>
      </c>
      <c r="L289" s="9">
        <f t="shared" si="33"/>
        <v>6009</v>
      </c>
      <c r="M289" s="9">
        <f t="shared" si="34"/>
        <v>10865</v>
      </c>
    </row>
    <row r="290" spans="1:13" ht="12.75" x14ac:dyDescent="0.2">
      <c r="A290" s="26" t="str">
        <f>StartupfileInput!C288</f>
        <v>6579</v>
      </c>
      <c r="B290" s="1" t="str">
        <f>INDEX(ActiveDistricts!$A$2:$J$326,MATCH(Calculation!$A290,ActiveDistricts!$C$2:$C$326,0),6)</f>
        <v>6579</v>
      </c>
      <c r="C290" s="1" t="str">
        <f>INDEX(ActiveDistricts!$A$2:$J$326,MATCH(Calculation!$A290,ActiveDistricts!$C$2:$C$326,0),7)</f>
        <v>Urbandale</v>
      </c>
      <c r="D290" s="14">
        <f>INDEX(StartupfileInput!$A$2:$I$326,MATCH(Calculation!$A290,StartupfileInput!$C$2:$C$326,0),8)</f>
        <v>3448</v>
      </c>
      <c r="E290" s="20">
        <f>INDEX(ActiveDistricts!$A$2:$J$326,MATCH(Calculation!$A290,ActiveDistricts!$C$2:$C$326,0),10)</f>
        <v>0.42149220489977729</v>
      </c>
      <c r="F290" s="8">
        <f t="shared" si="30"/>
        <v>9.33</v>
      </c>
      <c r="G290" s="8">
        <f t="shared" si="31"/>
        <v>7.0339999999999998</v>
      </c>
      <c r="H290" s="8">
        <f t="shared" si="29"/>
        <v>16.364000000000001</v>
      </c>
      <c r="I290">
        <f>INDEX(StartupfileInput!$A$2:$I$326,MATCH(Calculation!$A290,StartupfileInput!$C$2:$C$326,0),9)</f>
        <v>7413</v>
      </c>
      <c r="J290" s="106">
        <f t="shared" si="32"/>
        <v>7635</v>
      </c>
      <c r="K290" s="9">
        <f t="shared" si="28"/>
        <v>71235</v>
      </c>
      <c r="L290" s="9">
        <f t="shared" si="33"/>
        <v>53704</v>
      </c>
      <c r="M290" s="9">
        <f t="shared" si="34"/>
        <v>124939</v>
      </c>
    </row>
    <row r="291" spans="1:13" ht="12.75" x14ac:dyDescent="0.2">
      <c r="A291" s="26" t="str">
        <f>StartupfileInput!C289</f>
        <v>6592</v>
      </c>
      <c r="B291" s="1" t="str">
        <f>INDEX(ActiveDistricts!$A$2:$J$326,MATCH(Calculation!$A291,ActiveDistricts!$C$2:$C$326,0),6)</f>
        <v>6592</v>
      </c>
      <c r="C291" s="1" t="str">
        <f>INDEX(ActiveDistricts!$A$2:$J$326,MATCH(Calculation!$A291,ActiveDistricts!$C$2:$C$326,0),7)</f>
        <v>Van Buren County</v>
      </c>
      <c r="D291" s="14">
        <f>INDEX(StartupfileInput!$A$2:$I$326,MATCH(Calculation!$A291,StartupfileInput!$C$2:$C$326,0),8)</f>
        <v>967.1</v>
      </c>
      <c r="E291" s="20">
        <f>INDEX(ActiveDistricts!$A$2:$J$326,MATCH(Calculation!$A291,ActiveDistricts!$C$2:$C$326,0),10)</f>
        <v>0.60677083333333337</v>
      </c>
      <c r="F291" s="8">
        <f t="shared" si="30"/>
        <v>3.7669999999999999</v>
      </c>
      <c r="G291" s="8">
        <f t="shared" si="31"/>
        <v>1.9730000000000001</v>
      </c>
      <c r="H291" s="8">
        <f t="shared" si="29"/>
        <v>5.74</v>
      </c>
      <c r="I291">
        <f>INDEX(StartupfileInput!$A$2:$I$326,MATCH(Calculation!$A291,StartupfileInput!$C$2:$C$326,0),9)</f>
        <v>7413</v>
      </c>
      <c r="J291" s="106">
        <f t="shared" si="32"/>
        <v>7635</v>
      </c>
      <c r="K291" s="9">
        <f t="shared" si="28"/>
        <v>28761</v>
      </c>
      <c r="L291" s="9">
        <f t="shared" si="33"/>
        <v>15064</v>
      </c>
      <c r="M291" s="9">
        <f t="shared" si="34"/>
        <v>43825</v>
      </c>
    </row>
    <row r="292" spans="1:13" ht="12.75" x14ac:dyDescent="0.2">
      <c r="A292" s="26" t="str">
        <f>StartupfileInput!C290</f>
        <v>6615</v>
      </c>
      <c r="B292" s="1" t="str">
        <f>INDEX(ActiveDistricts!$A$2:$J$326,MATCH(Calculation!$A292,ActiveDistricts!$C$2:$C$326,0),6)</f>
        <v>6615</v>
      </c>
      <c r="C292" s="1" t="str">
        <f>INDEX(ActiveDistricts!$A$2:$J$326,MATCH(Calculation!$A292,ActiveDistricts!$C$2:$C$326,0),7)</f>
        <v>Van Meter</v>
      </c>
      <c r="D292" s="14">
        <f>INDEX(StartupfileInput!$A$2:$I$326,MATCH(Calculation!$A292,StartupfileInput!$C$2:$C$326,0),8)</f>
        <v>894.5</v>
      </c>
      <c r="E292" s="20">
        <f>INDEX(ActiveDistricts!$A$2:$J$326,MATCH(Calculation!$A292,ActiveDistricts!$C$2:$C$326,0),10)</f>
        <v>6.1475409836065573E-2</v>
      </c>
      <c r="F292" s="8">
        <f t="shared" si="30"/>
        <v>0.35299999999999998</v>
      </c>
      <c r="G292" s="8">
        <f t="shared" si="31"/>
        <v>1.825</v>
      </c>
      <c r="H292" s="8">
        <f t="shared" si="29"/>
        <v>2.1779999999999999</v>
      </c>
      <c r="I292">
        <f>INDEX(StartupfileInput!$A$2:$I$326,MATCH(Calculation!$A292,StartupfileInput!$C$2:$C$326,0),9)</f>
        <v>7413</v>
      </c>
      <c r="J292" s="106">
        <f t="shared" si="32"/>
        <v>7635</v>
      </c>
      <c r="K292" s="9">
        <f t="shared" si="28"/>
        <v>2695</v>
      </c>
      <c r="L292" s="9">
        <f t="shared" si="33"/>
        <v>13934</v>
      </c>
      <c r="M292" s="9">
        <f t="shared" si="34"/>
        <v>16629</v>
      </c>
    </row>
    <row r="293" spans="1:13" ht="12.75" x14ac:dyDescent="0.2">
      <c r="A293" s="26" t="str">
        <f>StartupfileInput!C291</f>
        <v>6651</v>
      </c>
      <c r="B293" s="1" t="str">
        <f>INDEX(ActiveDistricts!$A$2:$J$326,MATCH(Calculation!$A293,ActiveDistricts!$C$2:$C$326,0),6)</f>
        <v>6651</v>
      </c>
      <c r="C293" s="1" t="str">
        <f>INDEX(ActiveDistricts!$A$2:$J$326,MATCH(Calculation!$A293,ActiveDistricts!$C$2:$C$326,0),7)</f>
        <v>Villisca</v>
      </c>
      <c r="D293" s="14">
        <f>INDEX(StartupfileInput!$A$2:$I$326,MATCH(Calculation!$A293,StartupfileInput!$C$2:$C$326,0),8)</f>
        <v>311.10000000000002</v>
      </c>
      <c r="E293" s="20">
        <f>INDEX(ActiveDistricts!$A$2:$J$326,MATCH(Calculation!$A293,ActiveDistricts!$C$2:$C$326,0),10)</f>
        <v>0.64444444444444449</v>
      </c>
      <c r="F293" s="8">
        <f t="shared" si="30"/>
        <v>1.2869999999999999</v>
      </c>
      <c r="G293" s="8">
        <f t="shared" si="31"/>
        <v>0.63500000000000001</v>
      </c>
      <c r="H293" s="8">
        <f t="shared" si="29"/>
        <v>1.9219999999999999</v>
      </c>
      <c r="I293">
        <f>INDEX(StartupfileInput!$A$2:$I$326,MATCH(Calculation!$A293,StartupfileInput!$C$2:$C$326,0),9)</f>
        <v>7413</v>
      </c>
      <c r="J293" s="106">
        <f t="shared" si="32"/>
        <v>7635</v>
      </c>
      <c r="K293" s="9">
        <f t="shared" si="28"/>
        <v>9826</v>
      </c>
      <c r="L293" s="9">
        <f t="shared" si="33"/>
        <v>4848</v>
      </c>
      <c r="M293" s="9">
        <f t="shared" si="34"/>
        <v>14674</v>
      </c>
    </row>
    <row r="294" spans="1:13" ht="12.75" x14ac:dyDescent="0.2">
      <c r="A294" s="26" t="str">
        <f>StartupfileInput!C292</f>
        <v>6660</v>
      </c>
      <c r="B294" s="1" t="str">
        <f>INDEX(ActiveDistricts!$A$2:$J$326,MATCH(Calculation!$A294,ActiveDistricts!$C$2:$C$326,0),6)</f>
        <v>6660</v>
      </c>
      <c r="C294" s="1" t="str">
        <f>INDEX(ActiveDistricts!$A$2:$J$326,MATCH(Calculation!$A294,ActiveDistricts!$C$2:$C$326,0),7)</f>
        <v>Vinton-Shellsburg</v>
      </c>
      <c r="D294" s="14">
        <f>INDEX(StartupfileInput!$A$2:$I$326,MATCH(Calculation!$A294,StartupfileInput!$C$2:$C$326,0),8)</f>
        <v>1621.5</v>
      </c>
      <c r="E294" s="20">
        <f>INDEX(ActiveDistricts!$A$2:$J$326,MATCH(Calculation!$A294,ActiveDistricts!$C$2:$C$326,0),10)</f>
        <v>0.46397694524495675</v>
      </c>
      <c r="F294" s="8">
        <f t="shared" si="30"/>
        <v>4.83</v>
      </c>
      <c r="G294" s="8">
        <f t="shared" si="31"/>
        <v>3.3079999999999998</v>
      </c>
      <c r="H294" s="8">
        <f t="shared" si="29"/>
        <v>8.1379999999999999</v>
      </c>
      <c r="I294">
        <f>INDEX(StartupfileInput!$A$2:$I$326,MATCH(Calculation!$A294,StartupfileInput!$C$2:$C$326,0),9)</f>
        <v>7413</v>
      </c>
      <c r="J294" s="106">
        <f t="shared" si="32"/>
        <v>7635</v>
      </c>
      <c r="K294" s="9">
        <f t="shared" si="28"/>
        <v>36877</v>
      </c>
      <c r="L294" s="9">
        <f t="shared" si="33"/>
        <v>25257</v>
      </c>
      <c r="M294" s="9">
        <f t="shared" si="34"/>
        <v>62134</v>
      </c>
    </row>
    <row r="295" spans="1:13" ht="12.75" x14ac:dyDescent="0.2">
      <c r="A295" s="26" t="str">
        <f>StartupfileInput!C293</f>
        <v>6700</v>
      </c>
      <c r="B295" s="1" t="str">
        <f>INDEX(ActiveDistricts!$A$2:$J$326,MATCH(Calculation!$A295,ActiveDistricts!$C$2:$C$326,0),6)</f>
        <v>6700</v>
      </c>
      <c r="C295" s="1" t="str">
        <f>INDEX(ActiveDistricts!$A$2:$J$326,MATCH(Calculation!$A295,ActiveDistricts!$C$2:$C$326,0),7)</f>
        <v>Waco</v>
      </c>
      <c r="D295" s="14">
        <f>INDEX(StartupfileInput!$A$2:$I$326,MATCH(Calculation!$A295,StartupfileInput!$C$2:$C$326,0),8)</f>
        <v>489.4</v>
      </c>
      <c r="E295" s="20">
        <f>INDEX(ActiveDistricts!$A$2:$J$326,MATCH(Calculation!$A295,ActiveDistricts!$C$2:$C$326,0),10)</f>
        <v>0.51152073732718895</v>
      </c>
      <c r="F295" s="8">
        <f t="shared" si="30"/>
        <v>1.607</v>
      </c>
      <c r="G295" s="8">
        <f t="shared" si="31"/>
        <v>0.998</v>
      </c>
      <c r="H295" s="8">
        <f t="shared" si="29"/>
        <v>2.605</v>
      </c>
      <c r="I295">
        <f>INDEX(StartupfileInput!$A$2:$I$326,MATCH(Calculation!$A295,StartupfileInput!$C$2:$C$326,0),9)</f>
        <v>7502</v>
      </c>
      <c r="J295" s="106">
        <f t="shared" si="32"/>
        <v>7724</v>
      </c>
      <c r="K295" s="9">
        <f t="shared" si="28"/>
        <v>12412</v>
      </c>
      <c r="L295" s="9">
        <f t="shared" si="33"/>
        <v>7709</v>
      </c>
      <c r="M295" s="9">
        <f t="shared" si="34"/>
        <v>20121</v>
      </c>
    </row>
    <row r="296" spans="1:13" ht="12.75" x14ac:dyDescent="0.2">
      <c r="A296" s="26" t="str">
        <f>StartupfileInput!C294</f>
        <v>6759</v>
      </c>
      <c r="B296" s="1" t="str">
        <f>INDEX(ActiveDistricts!$A$2:$J$326,MATCH(Calculation!$A296,ActiveDistricts!$C$2:$C$326,0),6)</f>
        <v>6759</v>
      </c>
      <c r="C296" s="1" t="str">
        <f>INDEX(ActiveDistricts!$A$2:$J$326,MATCH(Calculation!$A296,ActiveDistricts!$C$2:$C$326,0),7)</f>
        <v>Wapello</v>
      </c>
      <c r="D296" s="14">
        <f>INDEX(StartupfileInput!$A$2:$I$326,MATCH(Calculation!$A296,StartupfileInput!$C$2:$C$326,0),8)</f>
        <v>534.4</v>
      </c>
      <c r="E296" s="20">
        <f>INDEX(ActiveDistricts!$A$2:$J$326,MATCH(Calculation!$A296,ActiveDistricts!$C$2:$C$326,0),10)</f>
        <v>0.38805970149253732</v>
      </c>
      <c r="F296" s="8">
        <f t="shared" si="30"/>
        <v>1.331</v>
      </c>
      <c r="G296" s="8">
        <f t="shared" si="31"/>
        <v>1.0900000000000001</v>
      </c>
      <c r="H296" s="8">
        <f t="shared" si="29"/>
        <v>2.4210000000000003</v>
      </c>
      <c r="I296">
        <f>INDEX(StartupfileInput!$A$2:$I$326,MATCH(Calculation!$A296,StartupfileInput!$C$2:$C$326,0),9)</f>
        <v>7413</v>
      </c>
      <c r="J296" s="106">
        <f t="shared" si="32"/>
        <v>7635</v>
      </c>
      <c r="K296" s="9">
        <f t="shared" si="28"/>
        <v>10162</v>
      </c>
      <c r="L296" s="9">
        <f t="shared" si="33"/>
        <v>8322</v>
      </c>
      <c r="M296" s="9">
        <f t="shared" si="34"/>
        <v>18484</v>
      </c>
    </row>
    <row r="297" spans="1:13" ht="12.75" x14ac:dyDescent="0.2">
      <c r="A297" s="26" t="str">
        <f>StartupfileInput!C295</f>
        <v>6762</v>
      </c>
      <c r="B297" s="1" t="str">
        <f>INDEX(ActiveDistricts!$A$2:$J$326,MATCH(Calculation!$A297,ActiveDistricts!$C$2:$C$326,0),6)</f>
        <v>6762</v>
      </c>
      <c r="C297" s="1" t="str">
        <f>INDEX(ActiveDistricts!$A$2:$J$326,MATCH(Calculation!$A297,ActiveDistricts!$C$2:$C$326,0),7)</f>
        <v>Wapsie Valley</v>
      </c>
      <c r="D297" s="14">
        <f>INDEX(StartupfileInput!$A$2:$I$326,MATCH(Calculation!$A297,StartupfileInput!$C$2:$C$326,0),8)</f>
        <v>657.7</v>
      </c>
      <c r="E297" s="20">
        <f>INDEX(ActiveDistricts!$A$2:$J$326,MATCH(Calculation!$A297,ActiveDistricts!$C$2:$C$326,0),10)</f>
        <v>0.2326388888888889</v>
      </c>
      <c r="F297" s="8">
        <f t="shared" si="30"/>
        <v>0.98199999999999998</v>
      </c>
      <c r="G297" s="8">
        <f t="shared" si="31"/>
        <v>1.3420000000000001</v>
      </c>
      <c r="H297" s="8">
        <f t="shared" si="29"/>
        <v>2.3239999999999998</v>
      </c>
      <c r="I297">
        <f>INDEX(StartupfileInput!$A$2:$I$326,MATCH(Calculation!$A297,StartupfileInput!$C$2:$C$326,0),9)</f>
        <v>7424</v>
      </c>
      <c r="J297" s="106">
        <f t="shared" si="32"/>
        <v>7646</v>
      </c>
      <c r="K297" s="9">
        <f t="shared" si="28"/>
        <v>7508</v>
      </c>
      <c r="L297" s="9">
        <f t="shared" si="33"/>
        <v>10261</v>
      </c>
      <c r="M297" s="9">
        <f t="shared" si="34"/>
        <v>17769</v>
      </c>
    </row>
    <row r="298" spans="1:13" ht="12.75" x14ac:dyDescent="0.2">
      <c r="A298" s="26" t="str">
        <f>StartupfileInput!C296</f>
        <v>6768</v>
      </c>
      <c r="B298" s="1" t="str">
        <f>INDEX(ActiveDistricts!$A$2:$J$326,MATCH(Calculation!$A298,ActiveDistricts!$C$2:$C$326,0),6)</f>
        <v>6768</v>
      </c>
      <c r="C298" s="1" t="str">
        <f>INDEX(ActiveDistricts!$A$2:$J$326,MATCH(Calculation!$A298,ActiveDistricts!$C$2:$C$326,0),7)</f>
        <v>Washington</v>
      </c>
      <c r="D298" s="14">
        <f>INDEX(StartupfileInput!$A$2:$I$326,MATCH(Calculation!$A298,StartupfileInput!$C$2:$C$326,0),8)</f>
        <v>1626</v>
      </c>
      <c r="E298" s="20">
        <f>INDEX(ActiveDistricts!$A$2:$J$326,MATCH(Calculation!$A298,ActiveDistricts!$C$2:$C$326,0),10)</f>
        <v>0.52857142857142858</v>
      </c>
      <c r="F298" s="8">
        <f t="shared" si="30"/>
        <v>5.5179999999999998</v>
      </c>
      <c r="G298" s="8">
        <f t="shared" si="31"/>
        <v>3.3170000000000002</v>
      </c>
      <c r="H298" s="8">
        <f t="shared" si="29"/>
        <v>8.8350000000000009</v>
      </c>
      <c r="I298">
        <f>INDEX(StartupfileInput!$A$2:$I$326,MATCH(Calculation!$A298,StartupfileInput!$C$2:$C$326,0),9)</f>
        <v>7413</v>
      </c>
      <c r="J298" s="106">
        <f t="shared" si="32"/>
        <v>7635</v>
      </c>
      <c r="K298" s="9">
        <f t="shared" si="28"/>
        <v>42130</v>
      </c>
      <c r="L298" s="9">
        <f t="shared" si="33"/>
        <v>25325</v>
      </c>
      <c r="M298" s="9">
        <f t="shared" si="34"/>
        <v>67455</v>
      </c>
    </row>
    <row r="299" spans="1:13" ht="12.75" x14ac:dyDescent="0.2">
      <c r="A299" s="26" t="str">
        <f>StartupfileInput!C297</f>
        <v>6795</v>
      </c>
      <c r="B299" s="1" t="str">
        <f>INDEX(ActiveDistricts!$A$2:$J$326,MATCH(Calculation!$A299,ActiveDistricts!$C$2:$C$326,0),6)</f>
        <v>6795</v>
      </c>
      <c r="C299" s="1" t="str">
        <f>INDEX(ActiveDistricts!$A$2:$J$326,MATCH(Calculation!$A299,ActiveDistricts!$C$2:$C$326,0),7)</f>
        <v>Waterloo</v>
      </c>
      <c r="D299" s="14">
        <f>INDEX(StartupfileInput!$A$2:$I$326,MATCH(Calculation!$A299,StartupfileInput!$C$2:$C$326,0),8)</f>
        <v>10672.3</v>
      </c>
      <c r="E299" s="20">
        <f>INDEX(ActiveDistricts!$A$2:$J$326,MATCH(Calculation!$A299,ActiveDistricts!$C$2:$C$326,0),10)</f>
        <v>0.76338400528750827</v>
      </c>
      <c r="F299" s="8">
        <f t="shared" si="30"/>
        <v>52.304000000000002</v>
      </c>
      <c r="G299" s="8">
        <f t="shared" si="31"/>
        <v>21.771000000000001</v>
      </c>
      <c r="H299" s="8">
        <f t="shared" si="29"/>
        <v>74.075000000000003</v>
      </c>
      <c r="I299">
        <f>INDEX(StartupfileInput!$A$2:$I$326,MATCH(Calculation!$A299,StartupfileInput!$C$2:$C$326,0),9)</f>
        <v>7413</v>
      </c>
      <c r="J299" s="106">
        <f>MAX(I299+$R$2,$T$2)</f>
        <v>7635</v>
      </c>
      <c r="K299" s="9">
        <f t="shared" si="28"/>
        <v>399341</v>
      </c>
      <c r="L299" s="9">
        <f t="shared" si="33"/>
        <v>166222</v>
      </c>
      <c r="M299" s="9">
        <f t="shared" si="34"/>
        <v>565563</v>
      </c>
    </row>
    <row r="300" spans="1:13" ht="12.75" x14ac:dyDescent="0.2">
      <c r="A300" s="26" t="str">
        <f>StartupfileInput!C298</f>
        <v>6822</v>
      </c>
      <c r="B300" s="1" t="str">
        <f>INDEX(ActiveDistricts!$A$2:$J$326,MATCH(Calculation!$A300,ActiveDistricts!$C$2:$C$326,0),6)</f>
        <v>6822</v>
      </c>
      <c r="C300" s="1" t="str">
        <f>INDEX(ActiveDistricts!$A$2:$J$326,MATCH(Calculation!$A300,ActiveDistricts!$C$2:$C$326,0),7)</f>
        <v>Waukee</v>
      </c>
      <c r="D300" s="14">
        <f>INDEX(StartupfileInput!$A$2:$I$326,MATCH(Calculation!$A300,StartupfileInput!$C$2:$C$326,0),8)</f>
        <v>13153.9</v>
      </c>
      <c r="E300" s="20">
        <f>INDEX(ActiveDistricts!$A$2:$J$326,MATCH(Calculation!$A300,ActiveDistricts!$C$2:$C$326,0),10)</f>
        <v>0.18332241153342071</v>
      </c>
      <c r="F300" s="8">
        <f t="shared" si="30"/>
        <v>15.481</v>
      </c>
      <c r="G300" s="8">
        <f t="shared" si="31"/>
        <v>26.834</v>
      </c>
      <c r="H300" s="8">
        <f t="shared" si="29"/>
        <v>42.314999999999998</v>
      </c>
      <c r="I300">
        <f>INDEX(StartupfileInput!$A$2:$I$326,MATCH(Calculation!$A300,StartupfileInput!$C$2:$C$326,0),9)</f>
        <v>7413</v>
      </c>
      <c r="J300" s="106">
        <f t="shared" si="32"/>
        <v>7635</v>
      </c>
      <c r="K300" s="9">
        <f t="shared" si="28"/>
        <v>118197</v>
      </c>
      <c r="L300" s="9">
        <f t="shared" si="33"/>
        <v>204878</v>
      </c>
      <c r="M300" s="9">
        <f t="shared" si="34"/>
        <v>323075</v>
      </c>
    </row>
    <row r="301" spans="1:13" ht="12.75" x14ac:dyDescent="0.2">
      <c r="A301" s="26" t="str">
        <f>StartupfileInput!C299</f>
        <v>6840</v>
      </c>
      <c r="B301" s="1" t="str">
        <f>INDEX(ActiveDistricts!$A$2:$J$326,MATCH(Calculation!$A301,ActiveDistricts!$C$2:$C$326,0),6)</f>
        <v>6840</v>
      </c>
      <c r="C301" s="1" t="str">
        <f>INDEX(ActiveDistricts!$A$2:$J$326,MATCH(Calculation!$A301,ActiveDistricts!$C$2:$C$326,0),7)</f>
        <v>Waverly-Shell Rock</v>
      </c>
      <c r="D301" s="14">
        <f>INDEX(StartupfileInput!$A$2:$I$326,MATCH(Calculation!$A301,StartupfileInput!$C$2:$C$326,0),8)</f>
        <v>2197.8000000000002</v>
      </c>
      <c r="E301" s="20">
        <f>INDEX(ActiveDistricts!$A$2:$J$326,MATCH(Calculation!$A301,ActiveDistricts!$C$2:$C$326,0),10)</f>
        <v>0.25883575883575882</v>
      </c>
      <c r="F301" s="8">
        <f t="shared" si="30"/>
        <v>3.6520000000000001</v>
      </c>
      <c r="G301" s="8">
        <f t="shared" si="31"/>
        <v>4.484</v>
      </c>
      <c r="H301" s="8">
        <f t="shared" si="29"/>
        <v>8.1359999999999992</v>
      </c>
      <c r="I301">
        <f>INDEX(StartupfileInput!$A$2:$I$326,MATCH(Calculation!$A301,StartupfileInput!$C$2:$C$326,0),9)</f>
        <v>7413</v>
      </c>
      <c r="J301" s="106">
        <f t="shared" si="32"/>
        <v>7635</v>
      </c>
      <c r="K301" s="9">
        <f t="shared" si="28"/>
        <v>27883</v>
      </c>
      <c r="L301" s="9">
        <f t="shared" si="33"/>
        <v>34235</v>
      </c>
      <c r="M301" s="9">
        <f t="shared" si="34"/>
        <v>62118</v>
      </c>
    </row>
    <row r="302" spans="1:13" ht="12.75" x14ac:dyDescent="0.2">
      <c r="A302" s="26" t="str">
        <f>StartupfileInput!C300</f>
        <v>6854</v>
      </c>
      <c r="B302" s="1" t="str">
        <f>INDEX(ActiveDistricts!$A$2:$J$326,MATCH(Calculation!$A302,ActiveDistricts!$C$2:$C$326,0),6)</f>
        <v>6854</v>
      </c>
      <c r="C302" s="1" t="str">
        <f>INDEX(ActiveDistricts!$A$2:$J$326,MATCH(Calculation!$A302,ActiveDistricts!$C$2:$C$326,0),7)</f>
        <v>Wayne</v>
      </c>
      <c r="D302" s="14">
        <f>INDEX(StartupfileInput!$A$2:$I$326,MATCH(Calculation!$A302,StartupfileInput!$C$2:$C$326,0),8)</f>
        <v>574.5</v>
      </c>
      <c r="E302" s="20">
        <f>INDEX(ActiveDistricts!$A$2:$J$326,MATCH(Calculation!$A302,ActiveDistricts!$C$2:$C$326,0),10)</f>
        <v>0.56842105263157894</v>
      </c>
      <c r="F302" s="8">
        <f t="shared" si="30"/>
        <v>2.097</v>
      </c>
      <c r="G302" s="8">
        <f t="shared" si="31"/>
        <v>1.1719999999999999</v>
      </c>
      <c r="H302" s="8">
        <f t="shared" si="29"/>
        <v>3.2690000000000001</v>
      </c>
      <c r="I302">
        <f>INDEX(StartupfileInput!$A$2:$I$326,MATCH(Calculation!$A302,StartupfileInput!$C$2:$C$326,0),9)</f>
        <v>7413</v>
      </c>
      <c r="J302" s="106">
        <f t="shared" si="32"/>
        <v>7635</v>
      </c>
      <c r="K302" s="9">
        <f t="shared" si="28"/>
        <v>16011</v>
      </c>
      <c r="L302" s="9">
        <f t="shared" si="33"/>
        <v>8948</v>
      </c>
      <c r="M302" s="9">
        <f t="shared" si="34"/>
        <v>24959</v>
      </c>
    </row>
    <row r="303" spans="1:13" ht="12.75" x14ac:dyDescent="0.2">
      <c r="A303" s="26" t="str">
        <f>StartupfileInput!C301</f>
        <v>6867</v>
      </c>
      <c r="B303" s="1" t="str">
        <f>INDEX(ActiveDistricts!$A$2:$J$326,MATCH(Calculation!$A303,ActiveDistricts!$C$2:$C$326,0),6)</f>
        <v>6867</v>
      </c>
      <c r="C303" s="1" t="str">
        <f>INDEX(ActiveDistricts!$A$2:$J$326,MATCH(Calculation!$A303,ActiveDistricts!$C$2:$C$326,0),7)</f>
        <v>Webster City</v>
      </c>
      <c r="D303" s="14">
        <f>INDEX(StartupfileInput!$A$2:$I$326,MATCH(Calculation!$A303,StartupfileInput!$C$2:$C$326,0),8)</f>
        <v>1729.2</v>
      </c>
      <c r="E303" s="20">
        <f>INDEX(ActiveDistricts!$A$2:$J$326,MATCH(Calculation!$A303,ActiveDistricts!$C$2:$C$326,0),10)</f>
        <v>0.5348525469168901</v>
      </c>
      <c r="F303" s="8">
        <f t="shared" si="30"/>
        <v>5.9379999999999997</v>
      </c>
      <c r="G303" s="8">
        <f t="shared" si="31"/>
        <v>3.528</v>
      </c>
      <c r="H303" s="8">
        <f t="shared" si="29"/>
        <v>9.4659999999999993</v>
      </c>
      <c r="I303">
        <f>INDEX(StartupfileInput!$A$2:$I$326,MATCH(Calculation!$A303,StartupfileInput!$C$2:$C$326,0),9)</f>
        <v>7413</v>
      </c>
      <c r="J303" s="106">
        <f t="shared" si="32"/>
        <v>7635</v>
      </c>
      <c r="K303" s="9">
        <f t="shared" si="28"/>
        <v>45337</v>
      </c>
      <c r="L303" s="9">
        <f t="shared" si="33"/>
        <v>26936</v>
      </c>
      <c r="M303" s="9">
        <f t="shared" si="34"/>
        <v>72273</v>
      </c>
    </row>
    <row r="304" spans="1:13" ht="12.75" x14ac:dyDescent="0.2">
      <c r="A304" s="26" t="str">
        <f>StartupfileInput!C302</f>
        <v>6921</v>
      </c>
      <c r="B304" s="1" t="str">
        <f>INDEX(ActiveDistricts!$A$2:$J$326,MATCH(Calculation!$A304,ActiveDistricts!$C$2:$C$326,0),6)</f>
        <v>6921</v>
      </c>
      <c r="C304" s="1" t="str">
        <f>INDEX(ActiveDistricts!$A$2:$J$326,MATCH(Calculation!$A304,ActiveDistricts!$C$2:$C$326,0),7)</f>
        <v>West Bend-Mallard</v>
      </c>
      <c r="D304" s="14">
        <f>INDEX(StartupfileInput!$A$2:$I$326,MATCH(Calculation!$A304,StartupfileInput!$C$2:$C$326,0),8)</f>
        <v>328.1</v>
      </c>
      <c r="E304" s="20">
        <f>INDEX(ActiveDistricts!$A$2:$J$326,MATCH(Calculation!$A304,ActiveDistricts!$C$2:$C$326,0),10)</f>
        <v>0.46575342465753422</v>
      </c>
      <c r="F304" s="8">
        <f t="shared" si="30"/>
        <v>0.98099999999999998</v>
      </c>
      <c r="G304" s="8">
        <f t="shared" si="31"/>
        <v>0.66900000000000004</v>
      </c>
      <c r="H304" s="8">
        <f t="shared" si="29"/>
        <v>1.65</v>
      </c>
      <c r="I304">
        <f>INDEX(StartupfileInput!$A$2:$I$326,MATCH(Calculation!$A304,StartupfileInput!$C$2:$C$326,0),9)</f>
        <v>7430</v>
      </c>
      <c r="J304" s="106">
        <f t="shared" si="32"/>
        <v>7652</v>
      </c>
      <c r="K304" s="9">
        <f t="shared" si="28"/>
        <v>7507</v>
      </c>
      <c r="L304" s="9">
        <f t="shared" si="33"/>
        <v>5119</v>
      </c>
      <c r="M304" s="9">
        <f t="shared" si="34"/>
        <v>12626</v>
      </c>
    </row>
    <row r="305" spans="1:13" ht="12.75" x14ac:dyDescent="0.2">
      <c r="A305" s="26" t="str">
        <f>StartupfileInput!C303</f>
        <v>6930</v>
      </c>
      <c r="B305" s="1" t="str">
        <f>INDEX(ActiveDistricts!$A$2:$J$326,MATCH(Calculation!$A305,ActiveDistricts!$C$2:$C$326,0),6)</f>
        <v>6930</v>
      </c>
      <c r="C305" s="1" t="str">
        <f>INDEX(ActiveDistricts!$A$2:$J$326,MATCH(Calculation!$A305,ActiveDistricts!$C$2:$C$326,0),7)</f>
        <v>West Branch</v>
      </c>
      <c r="D305" s="14">
        <f>INDEX(StartupfileInput!$A$2:$I$326,MATCH(Calculation!$A305,StartupfileInput!$C$2:$C$326,0),8)</f>
        <v>785.9</v>
      </c>
      <c r="E305" s="20">
        <f>INDEX(ActiveDistricts!$A$2:$J$326,MATCH(Calculation!$A305,ActiveDistricts!$C$2:$C$326,0),10)</f>
        <v>0.2742382271468144</v>
      </c>
      <c r="F305" s="8">
        <f t="shared" si="30"/>
        <v>1.3839999999999999</v>
      </c>
      <c r="G305" s="8">
        <f t="shared" si="31"/>
        <v>1.603</v>
      </c>
      <c r="H305" s="8">
        <f t="shared" si="29"/>
        <v>2.9870000000000001</v>
      </c>
      <c r="I305">
        <f>INDEX(StartupfileInput!$A$2:$I$326,MATCH(Calculation!$A305,StartupfileInput!$C$2:$C$326,0),9)</f>
        <v>7413</v>
      </c>
      <c r="J305" s="106">
        <f t="shared" si="32"/>
        <v>7635</v>
      </c>
      <c r="K305" s="9">
        <f t="shared" si="28"/>
        <v>10567</v>
      </c>
      <c r="L305" s="9">
        <f t="shared" si="33"/>
        <v>12239</v>
      </c>
      <c r="M305" s="9">
        <f t="shared" si="34"/>
        <v>22806</v>
      </c>
    </row>
    <row r="306" spans="1:13" ht="12.75" x14ac:dyDescent="0.2">
      <c r="A306" s="26" t="str">
        <f>StartupfileInput!C304</f>
        <v>6937</v>
      </c>
      <c r="B306" s="1" t="str">
        <f>INDEX(ActiveDistricts!$A$2:$J$326,MATCH(Calculation!$A306,ActiveDistricts!$C$2:$C$326,0),6)</f>
        <v>6937</v>
      </c>
      <c r="C306" s="1" t="str">
        <f>INDEX(ActiveDistricts!$A$2:$J$326,MATCH(Calculation!$A306,ActiveDistricts!$C$2:$C$326,0),7)</f>
        <v>West Burlington</v>
      </c>
      <c r="D306" s="14">
        <f>INDEX(StartupfileInput!$A$2:$I$326,MATCH(Calculation!$A306,StartupfileInput!$C$2:$C$326,0),8)</f>
        <v>405</v>
      </c>
      <c r="E306" s="20">
        <f>INDEX(ActiveDistricts!$A$2:$J$326,MATCH(Calculation!$A306,ActiveDistricts!$C$2:$C$326,0),10)</f>
        <v>0.40942928039702231</v>
      </c>
      <c r="F306" s="8">
        <f t="shared" si="30"/>
        <v>1.0649999999999999</v>
      </c>
      <c r="G306" s="8">
        <f t="shared" si="31"/>
        <v>0.82599999999999996</v>
      </c>
      <c r="H306" s="8">
        <f t="shared" si="29"/>
        <v>1.891</v>
      </c>
      <c r="I306">
        <f>INDEX(StartupfileInput!$A$2:$I$326,MATCH(Calculation!$A306,StartupfileInput!$C$2:$C$326,0),9)</f>
        <v>7413</v>
      </c>
      <c r="J306" s="106">
        <f t="shared" si="32"/>
        <v>7635</v>
      </c>
      <c r="K306" s="9">
        <f t="shared" si="28"/>
        <v>8131</v>
      </c>
      <c r="L306" s="9">
        <f t="shared" si="33"/>
        <v>6307</v>
      </c>
      <c r="M306" s="9">
        <f t="shared" si="34"/>
        <v>14438</v>
      </c>
    </row>
    <row r="307" spans="1:13" ht="12.75" x14ac:dyDescent="0.2">
      <c r="A307" s="26" t="str">
        <f>StartupfileInput!C305</f>
        <v>6943</v>
      </c>
      <c r="B307" s="1" t="str">
        <f>INDEX(ActiveDistricts!$A$2:$J$326,MATCH(Calculation!$A307,ActiveDistricts!$C$2:$C$326,0),6)</f>
        <v>6943</v>
      </c>
      <c r="C307" s="1" t="str">
        <f>INDEX(ActiveDistricts!$A$2:$J$326,MATCH(Calculation!$A307,ActiveDistricts!$C$2:$C$326,0),7)</f>
        <v>West Central</v>
      </c>
      <c r="D307" s="14">
        <f>INDEX(StartupfileInput!$A$2:$I$326,MATCH(Calculation!$A307,StartupfileInput!$C$2:$C$326,0),8)</f>
        <v>268.2</v>
      </c>
      <c r="E307" s="20">
        <f>INDEX(ActiveDistricts!$A$2:$J$326,MATCH(Calculation!$A307,ActiveDistricts!$C$2:$C$326,0),10)</f>
        <v>0.46774193548387094</v>
      </c>
      <c r="F307" s="8">
        <f t="shared" si="30"/>
        <v>0.80500000000000005</v>
      </c>
      <c r="G307" s="8">
        <f t="shared" si="31"/>
        <v>0.54700000000000004</v>
      </c>
      <c r="H307" s="8">
        <f t="shared" si="29"/>
        <v>1.3520000000000001</v>
      </c>
      <c r="I307">
        <f>INDEX(StartupfileInput!$A$2:$I$326,MATCH(Calculation!$A307,StartupfileInput!$C$2:$C$326,0),9)</f>
        <v>7413</v>
      </c>
      <c r="J307" s="106">
        <f t="shared" si="32"/>
        <v>7635</v>
      </c>
      <c r="K307" s="9">
        <f t="shared" si="28"/>
        <v>6146</v>
      </c>
      <c r="L307" s="9">
        <f t="shared" si="33"/>
        <v>4177</v>
      </c>
      <c r="M307" s="9">
        <f t="shared" si="34"/>
        <v>10323</v>
      </c>
    </row>
    <row r="308" spans="1:13" ht="12.75" x14ac:dyDescent="0.2">
      <c r="A308" s="26" t="str">
        <f>StartupfileInput!C306</f>
        <v>6264</v>
      </c>
      <c r="B308" s="1" t="str">
        <f>INDEX(ActiveDistricts!$A$2:$J$326,MATCH(Calculation!$A308,ActiveDistricts!$C$2:$C$326,0),6)</f>
        <v>6264</v>
      </c>
      <c r="C308" s="1" t="str">
        <f>INDEX(ActiveDistricts!$A$2:$J$326,MATCH(Calculation!$A308,ActiveDistricts!$C$2:$C$326,0),7)</f>
        <v>West Central Valley</v>
      </c>
      <c r="D308" s="14">
        <f>INDEX(StartupfileInput!$A$2:$I$326,MATCH(Calculation!$A308,StartupfileInput!$C$2:$C$326,0),8)</f>
        <v>947.2</v>
      </c>
      <c r="E308" s="20">
        <f>INDEX(ActiveDistricts!$A$2:$J$326,MATCH(Calculation!$A308,ActiveDistricts!$C$2:$C$326,0),10)</f>
        <v>0.46467391304347827</v>
      </c>
      <c r="F308" s="8">
        <f t="shared" si="30"/>
        <v>2.8260000000000001</v>
      </c>
      <c r="G308" s="8">
        <f t="shared" si="31"/>
        <v>1.9319999999999999</v>
      </c>
      <c r="H308" s="8">
        <f t="shared" si="29"/>
        <v>4.758</v>
      </c>
      <c r="I308">
        <f>INDEX(StartupfileInput!$A$2:$I$326,MATCH(Calculation!$A308,StartupfileInput!$C$2:$C$326,0),9)</f>
        <v>7444</v>
      </c>
      <c r="J308" s="106">
        <f t="shared" si="32"/>
        <v>7666</v>
      </c>
      <c r="K308" s="9">
        <f t="shared" si="28"/>
        <v>21664</v>
      </c>
      <c r="L308" s="9">
        <f t="shared" si="33"/>
        <v>14811</v>
      </c>
      <c r="M308" s="9">
        <f t="shared" si="34"/>
        <v>36475</v>
      </c>
    </row>
    <row r="309" spans="1:13" ht="12.75" x14ac:dyDescent="0.2">
      <c r="A309" s="26" t="str">
        <f>StartupfileInput!C307</f>
        <v>6950</v>
      </c>
      <c r="B309" s="1" t="str">
        <f>INDEX(ActiveDistricts!$A$2:$J$326,MATCH(Calculation!$A309,ActiveDistricts!$C$2:$C$326,0),6)</f>
        <v>6950</v>
      </c>
      <c r="C309" s="1" t="str">
        <f>INDEX(ActiveDistricts!$A$2:$J$326,MATCH(Calculation!$A309,ActiveDistricts!$C$2:$C$326,0),7)</f>
        <v>West Delaware Co</v>
      </c>
      <c r="D309" s="14">
        <f>INDEX(StartupfileInput!$A$2:$I$326,MATCH(Calculation!$A309,StartupfileInput!$C$2:$C$326,0),8)</f>
        <v>1363.5</v>
      </c>
      <c r="E309" s="20">
        <f>INDEX(ActiveDistricts!$A$2:$J$326,MATCH(Calculation!$A309,ActiveDistricts!$C$2:$C$326,0),10)</f>
        <v>0.47470817120622566</v>
      </c>
      <c r="F309" s="8">
        <f t="shared" si="30"/>
        <v>4.1550000000000002</v>
      </c>
      <c r="G309" s="8">
        <f t="shared" si="31"/>
        <v>2.782</v>
      </c>
      <c r="H309" s="8">
        <f t="shared" si="29"/>
        <v>6.9370000000000003</v>
      </c>
      <c r="I309">
        <f>INDEX(StartupfileInput!$A$2:$I$326,MATCH(Calculation!$A309,StartupfileInput!$C$2:$C$326,0),9)</f>
        <v>7413</v>
      </c>
      <c r="J309" s="106">
        <f t="shared" si="32"/>
        <v>7635</v>
      </c>
      <c r="K309" s="9">
        <f t="shared" si="28"/>
        <v>31723</v>
      </c>
      <c r="L309" s="9">
        <f t="shared" si="33"/>
        <v>21241</v>
      </c>
      <c r="M309" s="9">
        <f t="shared" si="34"/>
        <v>52964</v>
      </c>
    </row>
    <row r="310" spans="1:13" ht="12.75" x14ac:dyDescent="0.2">
      <c r="A310" s="26" t="str">
        <f>StartupfileInput!C308</f>
        <v>6957</v>
      </c>
      <c r="B310" s="1" t="str">
        <f>INDEX(ActiveDistricts!$A$2:$J$326,MATCH(Calculation!$A310,ActiveDistricts!$C$2:$C$326,0),6)</f>
        <v>6957</v>
      </c>
      <c r="C310" s="1" t="str">
        <f>INDEX(ActiveDistricts!$A$2:$J$326,MATCH(Calculation!$A310,ActiveDistricts!$C$2:$C$326,0),7)</f>
        <v>West Des Moines</v>
      </c>
      <c r="D310" s="14">
        <f>INDEX(StartupfileInput!$A$2:$I$326,MATCH(Calculation!$A310,StartupfileInput!$C$2:$C$326,0),8)</f>
        <v>8678.6</v>
      </c>
      <c r="E310" s="20">
        <f>INDEX(ActiveDistricts!$A$2:$J$326,MATCH(Calculation!$A310,ActiveDistricts!$C$2:$C$326,0),10)</f>
        <v>0.39590980597797587</v>
      </c>
      <c r="F310" s="8">
        <f t="shared" si="30"/>
        <v>22.059000000000001</v>
      </c>
      <c r="G310" s="8">
        <f t="shared" si="31"/>
        <v>17.704000000000001</v>
      </c>
      <c r="H310" s="8">
        <f t="shared" si="29"/>
        <v>39.763000000000005</v>
      </c>
      <c r="I310">
        <f>INDEX(StartupfileInput!$A$2:$I$326,MATCH(Calculation!$A310,StartupfileInput!$C$2:$C$326,0),9)</f>
        <v>7413</v>
      </c>
      <c r="J310" s="106">
        <f t="shared" si="32"/>
        <v>7635</v>
      </c>
      <c r="K310" s="9">
        <f t="shared" si="28"/>
        <v>168420</v>
      </c>
      <c r="L310" s="9">
        <f t="shared" si="33"/>
        <v>135171</v>
      </c>
      <c r="M310" s="9">
        <f t="shared" si="34"/>
        <v>303591</v>
      </c>
    </row>
    <row r="311" spans="1:13" ht="12.75" x14ac:dyDescent="0.2">
      <c r="A311" s="26" t="str">
        <f>StartupfileInput!C309</f>
        <v>5922</v>
      </c>
      <c r="B311" s="1" t="str">
        <f>INDEX(ActiveDistricts!$A$2:$J$326,MATCH(Calculation!$A311,ActiveDistricts!$C$2:$C$326,0),6)</f>
        <v>5922</v>
      </c>
      <c r="C311" s="1" t="str">
        <f>INDEX(ActiveDistricts!$A$2:$J$326,MATCH(Calculation!$A311,ActiveDistricts!$C$2:$C$326,0),7)</f>
        <v>West Fork</v>
      </c>
      <c r="D311" s="14">
        <f>INDEX(StartupfileInput!$A$2:$I$326,MATCH(Calculation!$A311,StartupfileInput!$C$2:$C$326,0),8)</f>
        <v>763.8</v>
      </c>
      <c r="E311" s="20">
        <f>INDEX(ActiveDistricts!$A$2:$J$326,MATCH(Calculation!$A311,ActiveDistricts!$C$2:$C$326,0),10)</f>
        <v>0.40240240240240238</v>
      </c>
      <c r="F311" s="8">
        <f t="shared" si="30"/>
        <v>1.9730000000000001</v>
      </c>
      <c r="G311" s="8">
        <f t="shared" si="31"/>
        <v>1.5580000000000001</v>
      </c>
      <c r="H311" s="8">
        <f t="shared" si="29"/>
        <v>3.5310000000000001</v>
      </c>
      <c r="I311">
        <f>INDEX(StartupfileInput!$A$2:$I$326,MATCH(Calculation!$A311,StartupfileInput!$C$2:$C$326,0),9)</f>
        <v>7434</v>
      </c>
      <c r="J311" s="106">
        <f t="shared" si="32"/>
        <v>7656</v>
      </c>
      <c r="K311" s="9">
        <f t="shared" si="28"/>
        <v>15105</v>
      </c>
      <c r="L311" s="9">
        <f t="shared" si="33"/>
        <v>11928</v>
      </c>
      <c r="M311" s="9">
        <f t="shared" si="34"/>
        <v>27033</v>
      </c>
    </row>
    <row r="312" spans="1:13" ht="12.75" x14ac:dyDescent="0.2">
      <c r="A312" s="26" t="str">
        <f>StartupfileInput!C310</f>
        <v>0819</v>
      </c>
      <c r="B312" s="1" t="str">
        <f>INDEX(ActiveDistricts!$A$2:$J$326,MATCH(Calculation!$A312,ActiveDistricts!$C$2:$C$326,0),6)</f>
        <v>0819</v>
      </c>
      <c r="C312" s="1" t="str">
        <f>INDEX(ActiveDistricts!$A$2:$J$326,MATCH(Calculation!$A312,ActiveDistricts!$C$2:$C$326,0),7)</f>
        <v>West Hancock</v>
      </c>
      <c r="D312" s="14">
        <f>INDEX(StartupfileInput!$A$2:$I$326,MATCH(Calculation!$A312,StartupfileInput!$C$2:$C$326,0),8)</f>
        <v>559.29999999999995</v>
      </c>
      <c r="E312" s="20">
        <f>INDEX(ActiveDistricts!$A$2:$J$326,MATCH(Calculation!$A312,ActiveDistricts!$C$2:$C$326,0),10)</f>
        <v>0.40833333333333333</v>
      </c>
      <c r="F312" s="8">
        <f>ROUND(D312*E312*$F$3,3)</f>
        <v>1.466</v>
      </c>
      <c r="G312" s="8">
        <f t="shared" si="31"/>
        <v>1.141</v>
      </c>
      <c r="H312" s="8">
        <f t="shared" si="29"/>
        <v>2.6070000000000002</v>
      </c>
      <c r="I312">
        <f>INDEX(StartupfileInput!$A$2:$I$326,MATCH(Calculation!$A312,StartupfileInput!$C$2:$C$326,0),9)</f>
        <v>7413</v>
      </c>
      <c r="J312" s="106">
        <f t="shared" si="32"/>
        <v>7635</v>
      </c>
      <c r="K312" s="9">
        <f t="shared" si="28"/>
        <v>11193</v>
      </c>
      <c r="L312" s="9">
        <f t="shared" si="33"/>
        <v>8711</v>
      </c>
      <c r="M312" s="9">
        <f t="shared" si="34"/>
        <v>19904</v>
      </c>
    </row>
    <row r="313" spans="1:13" ht="12.75" x14ac:dyDescent="0.2">
      <c r="A313" s="26" t="str">
        <f>StartupfileInput!C311</f>
        <v>6969</v>
      </c>
      <c r="B313" s="1" t="str">
        <f>INDEX(ActiveDistricts!$A$2:$J$326,MATCH(Calculation!$A313,ActiveDistricts!$C$2:$C$326,0),6)</f>
        <v>6969</v>
      </c>
      <c r="C313" s="1" t="str">
        <f>INDEX(ActiveDistricts!$A$2:$J$326,MATCH(Calculation!$A313,ActiveDistricts!$C$2:$C$326,0),7)</f>
        <v>West Harrison</v>
      </c>
      <c r="D313" s="14">
        <f>INDEX(StartupfileInput!$A$2:$I$326,MATCH(Calculation!$A313,StartupfileInput!$C$2:$C$326,0),8)</f>
        <v>356.3</v>
      </c>
      <c r="E313" s="20">
        <f>INDEX(ActiveDistricts!$A$2:$J$326,MATCH(Calculation!$A313,ActiveDistricts!$C$2:$C$326,0),10)</f>
        <v>0.58571428571428574</v>
      </c>
      <c r="F313" s="8">
        <f t="shared" si="30"/>
        <v>1.34</v>
      </c>
      <c r="G313" s="8">
        <f t="shared" si="31"/>
        <v>0.72699999999999998</v>
      </c>
      <c r="H313" s="8">
        <f t="shared" si="29"/>
        <v>2.0670000000000002</v>
      </c>
      <c r="I313">
        <f>INDEX(StartupfileInput!$A$2:$I$326,MATCH(Calculation!$A313,StartupfileInput!$C$2:$C$326,0),9)</f>
        <v>7548</v>
      </c>
      <c r="J313" s="106">
        <f t="shared" si="32"/>
        <v>7770</v>
      </c>
      <c r="K313" s="9">
        <f t="shared" si="28"/>
        <v>10412</v>
      </c>
      <c r="L313" s="9">
        <f t="shared" si="33"/>
        <v>5649</v>
      </c>
      <c r="M313" s="9">
        <f t="shared" si="34"/>
        <v>16061</v>
      </c>
    </row>
    <row r="314" spans="1:13" ht="12.75" x14ac:dyDescent="0.2">
      <c r="A314" s="26" t="str">
        <f>StartupfileInput!C312</f>
        <v>6975</v>
      </c>
      <c r="B314" s="1" t="str">
        <f>INDEX(ActiveDistricts!$A$2:$J$326,MATCH(Calculation!$A314,ActiveDistricts!$C$2:$C$326,0),6)</f>
        <v>6975</v>
      </c>
      <c r="C314" s="1" t="str">
        <f>INDEX(ActiveDistricts!$A$2:$J$326,MATCH(Calculation!$A314,ActiveDistricts!$C$2:$C$326,0),7)</f>
        <v>West Liberty</v>
      </c>
      <c r="D314" s="14">
        <f>INDEX(StartupfileInput!$A$2:$I$326,MATCH(Calculation!$A314,StartupfileInput!$C$2:$C$326,0),8)</f>
        <v>1235.0999999999999</v>
      </c>
      <c r="E314" s="20">
        <f>INDEX(ActiveDistricts!$A$2:$J$326,MATCH(Calculation!$A314,ActiveDistricts!$C$2:$C$326,0),10)</f>
        <v>0.55493482309124764</v>
      </c>
      <c r="F314" s="8">
        <f t="shared" si="30"/>
        <v>4.4000000000000004</v>
      </c>
      <c r="G314" s="8">
        <f t="shared" si="31"/>
        <v>2.52</v>
      </c>
      <c r="H314" s="8">
        <f t="shared" si="29"/>
        <v>6.92</v>
      </c>
      <c r="I314">
        <f>INDEX(StartupfileInput!$A$2:$I$326,MATCH(Calculation!$A314,StartupfileInput!$C$2:$C$326,0),9)</f>
        <v>7413</v>
      </c>
      <c r="J314" s="106">
        <f t="shared" si="32"/>
        <v>7635</v>
      </c>
      <c r="K314" s="9">
        <f t="shared" si="28"/>
        <v>33594</v>
      </c>
      <c r="L314" s="9">
        <f t="shared" si="33"/>
        <v>19240</v>
      </c>
      <c r="M314" s="9">
        <f t="shared" si="34"/>
        <v>52834</v>
      </c>
    </row>
    <row r="315" spans="1:13" ht="12.75" x14ac:dyDescent="0.2">
      <c r="A315" s="26" t="str">
        <f>StartupfileInput!C313</f>
        <v>6983</v>
      </c>
      <c r="B315" s="1" t="str">
        <f>INDEX(ActiveDistricts!$A$2:$J$326,MATCH(Calculation!$A315,ActiveDistricts!$C$2:$C$326,0),6)</f>
        <v>6983</v>
      </c>
      <c r="C315" s="1" t="str">
        <f>INDEX(ActiveDistricts!$A$2:$J$326,MATCH(Calculation!$A315,ActiveDistricts!$C$2:$C$326,0),7)</f>
        <v>West Lyon</v>
      </c>
      <c r="D315" s="14">
        <f>INDEX(StartupfileInput!$A$2:$I$326,MATCH(Calculation!$A315,StartupfileInput!$C$2:$C$326,0),8)</f>
        <v>938.4</v>
      </c>
      <c r="E315" s="20">
        <f>INDEX(ActiveDistricts!$A$2:$J$326,MATCH(Calculation!$A315,ActiveDistricts!$C$2:$C$326,0),10)</f>
        <v>0.29081632653061223</v>
      </c>
      <c r="F315" s="8">
        <f t="shared" si="30"/>
        <v>1.752</v>
      </c>
      <c r="G315" s="8">
        <f t="shared" si="31"/>
        <v>1.9139999999999999</v>
      </c>
      <c r="H315" s="8">
        <f t="shared" si="29"/>
        <v>3.6659999999999999</v>
      </c>
      <c r="I315">
        <f>INDEX(StartupfileInput!$A$2:$I$326,MATCH(Calculation!$A315,StartupfileInput!$C$2:$C$326,0),9)</f>
        <v>7413</v>
      </c>
      <c r="J315" s="106">
        <f t="shared" si="32"/>
        <v>7635</v>
      </c>
      <c r="K315" s="9">
        <f t="shared" si="28"/>
        <v>13377</v>
      </c>
      <c r="L315" s="9">
        <f t="shared" si="33"/>
        <v>14613</v>
      </c>
      <c r="M315" s="9">
        <f t="shared" si="34"/>
        <v>27990</v>
      </c>
    </row>
    <row r="316" spans="1:13" ht="12.75" x14ac:dyDescent="0.2">
      <c r="A316" s="26" t="str">
        <f>StartupfileInput!C314</f>
        <v>6985</v>
      </c>
      <c r="B316" s="1" t="str">
        <f>INDEX(ActiveDistricts!$A$2:$J$326,MATCH(Calculation!$A316,ActiveDistricts!$C$2:$C$326,0),6)</f>
        <v>6985</v>
      </c>
      <c r="C316" s="1" t="str">
        <f>INDEX(ActiveDistricts!$A$2:$J$326,MATCH(Calculation!$A316,ActiveDistricts!$C$2:$C$326,0),7)</f>
        <v>West Marshall</v>
      </c>
      <c r="D316" s="14">
        <f>INDEX(StartupfileInput!$A$2:$I$326,MATCH(Calculation!$A316,StartupfileInput!$C$2:$C$326,0),8)</f>
        <v>786.7</v>
      </c>
      <c r="E316" s="20">
        <f>INDEX(ActiveDistricts!$A$2:$J$326,MATCH(Calculation!$A316,ActiveDistricts!$C$2:$C$326,0),10)</f>
        <v>0.31451612903225806</v>
      </c>
      <c r="F316" s="8">
        <f t="shared" si="30"/>
        <v>1.5880000000000001</v>
      </c>
      <c r="G316" s="8">
        <f t="shared" si="31"/>
        <v>1.605</v>
      </c>
      <c r="H316" s="8">
        <f t="shared" si="29"/>
        <v>3.1930000000000001</v>
      </c>
      <c r="I316">
        <f>INDEX(StartupfileInput!$A$2:$I$326,MATCH(Calculation!$A316,StartupfileInput!$C$2:$C$326,0),9)</f>
        <v>7413</v>
      </c>
      <c r="J316" s="106">
        <f t="shared" si="32"/>
        <v>7635</v>
      </c>
      <c r="K316" s="9">
        <f t="shared" si="28"/>
        <v>12124</v>
      </c>
      <c r="L316" s="9">
        <f t="shared" si="33"/>
        <v>12255</v>
      </c>
      <c r="M316" s="9">
        <f t="shared" si="34"/>
        <v>24379</v>
      </c>
    </row>
    <row r="317" spans="1:13" ht="12.75" x14ac:dyDescent="0.2">
      <c r="A317" s="26" t="str">
        <f>StartupfileInput!C315</f>
        <v>6987</v>
      </c>
      <c r="B317" s="1" t="str">
        <f>INDEX(ActiveDistricts!$A$2:$J$326,MATCH(Calculation!$A317,ActiveDistricts!$C$2:$C$326,0),6)</f>
        <v>6987</v>
      </c>
      <c r="C317" s="1" t="str">
        <f>INDEX(ActiveDistricts!$A$2:$J$326,MATCH(Calculation!$A317,ActiveDistricts!$C$2:$C$326,0),7)</f>
        <v>West Monona</v>
      </c>
      <c r="D317" s="14">
        <f>INDEX(StartupfileInput!$A$2:$I$326,MATCH(Calculation!$A317,StartupfileInput!$C$2:$C$326,0),8)</f>
        <v>601.79999999999995</v>
      </c>
      <c r="E317" s="20">
        <f>INDEX(ActiveDistricts!$A$2:$J$326,MATCH(Calculation!$A317,ActiveDistricts!$C$2:$C$326,0),10)</f>
        <v>0.49814126394052044</v>
      </c>
      <c r="F317" s="8">
        <f t="shared" si="30"/>
        <v>1.925</v>
      </c>
      <c r="G317" s="8">
        <f t="shared" si="31"/>
        <v>1.228</v>
      </c>
      <c r="H317" s="8">
        <f t="shared" si="29"/>
        <v>3.153</v>
      </c>
      <c r="I317">
        <f>INDEX(StartupfileInput!$A$2:$I$326,MATCH(Calculation!$A317,StartupfileInput!$C$2:$C$326,0),9)</f>
        <v>7413</v>
      </c>
      <c r="J317" s="106">
        <f t="shared" si="32"/>
        <v>7635</v>
      </c>
      <c r="K317" s="9">
        <f t="shared" si="28"/>
        <v>14697</v>
      </c>
      <c r="L317" s="9">
        <f t="shared" si="33"/>
        <v>9376</v>
      </c>
      <c r="M317" s="9">
        <f t="shared" si="34"/>
        <v>24073</v>
      </c>
    </row>
    <row r="318" spans="1:13" ht="12.75" x14ac:dyDescent="0.2">
      <c r="A318" s="26" t="str">
        <f>StartupfileInput!C316</f>
        <v>6990</v>
      </c>
      <c r="B318" s="1" t="str">
        <f>INDEX(ActiveDistricts!$A$2:$J$326,MATCH(Calculation!$A318,ActiveDistricts!$C$2:$C$326,0),6)</f>
        <v>6990</v>
      </c>
      <c r="C318" s="1" t="str">
        <f>INDEX(ActiveDistricts!$A$2:$J$326,MATCH(Calculation!$A318,ActiveDistricts!$C$2:$C$326,0),7)</f>
        <v>West Sioux</v>
      </c>
      <c r="D318" s="14">
        <f>INDEX(StartupfileInput!$A$2:$I$326,MATCH(Calculation!$A318,StartupfileInput!$C$2:$C$326,0),8)</f>
        <v>795.1</v>
      </c>
      <c r="E318" s="20">
        <f>INDEX(ActiveDistricts!$A$2:$J$326,MATCH(Calculation!$A318,ActiveDistricts!$C$2:$C$326,0),10)</f>
        <v>0.59933774834437081</v>
      </c>
      <c r="F318" s="8">
        <f t="shared" si="30"/>
        <v>3.0590000000000002</v>
      </c>
      <c r="G318" s="8">
        <f t="shared" si="31"/>
        <v>1.6220000000000001</v>
      </c>
      <c r="H318" s="8">
        <f t="shared" si="29"/>
        <v>4.681</v>
      </c>
      <c r="I318">
        <f>INDEX(StartupfileInput!$A$2:$I$326,MATCH(Calculation!$A318,StartupfileInput!$C$2:$C$326,0),9)</f>
        <v>7413</v>
      </c>
      <c r="J318" s="106">
        <f t="shared" si="32"/>
        <v>7635</v>
      </c>
      <c r="K318" s="9">
        <f t="shared" si="28"/>
        <v>23355</v>
      </c>
      <c r="L318" s="9">
        <f t="shared" si="33"/>
        <v>12384</v>
      </c>
      <c r="M318" s="9">
        <f t="shared" si="34"/>
        <v>35739</v>
      </c>
    </row>
    <row r="319" spans="1:13" ht="12.75" x14ac:dyDescent="0.2">
      <c r="A319" s="26" t="str">
        <f>StartupfileInput!C317</f>
        <v>6961</v>
      </c>
      <c r="B319" s="1" t="str">
        <f>INDEX(ActiveDistricts!$A$2:$J$326,MATCH(Calculation!$A319,ActiveDistricts!$C$2:$C$326,0),6)</f>
        <v>6961</v>
      </c>
      <c r="C319" s="1" t="str">
        <f>INDEX(ActiveDistricts!$A$2:$J$326,MATCH(Calculation!$A319,ActiveDistricts!$C$2:$C$326,0),7)</f>
        <v>Western Dubuque Co</v>
      </c>
      <c r="D319" s="14">
        <f>INDEX(StartupfileInput!$A$2:$I$326,MATCH(Calculation!$A319,StartupfileInput!$C$2:$C$326,0),8)</f>
        <v>3200.2</v>
      </c>
      <c r="E319" s="20">
        <f>INDEX(ActiveDistricts!$A$2:$J$326,MATCH(Calculation!$A319,ActiveDistricts!$C$2:$C$326,0),10)</f>
        <v>0.26857532379004773</v>
      </c>
      <c r="F319" s="8">
        <f t="shared" si="30"/>
        <v>5.5179999999999998</v>
      </c>
      <c r="G319" s="8">
        <f t="shared" si="31"/>
        <v>6.5279999999999996</v>
      </c>
      <c r="H319" s="8">
        <f t="shared" si="29"/>
        <v>12.045999999999999</v>
      </c>
      <c r="I319">
        <f>INDEX(StartupfileInput!$A$2:$I$326,MATCH(Calculation!$A319,StartupfileInput!$C$2:$C$326,0),9)</f>
        <v>7433</v>
      </c>
      <c r="J319" s="106">
        <f t="shared" si="32"/>
        <v>7655</v>
      </c>
      <c r="K319" s="9">
        <f t="shared" si="28"/>
        <v>42240</v>
      </c>
      <c r="L319" s="9">
        <f t="shared" si="33"/>
        <v>49972</v>
      </c>
      <c r="M319" s="9">
        <f t="shared" si="34"/>
        <v>92212</v>
      </c>
    </row>
    <row r="320" spans="1:13" ht="12.75" x14ac:dyDescent="0.2">
      <c r="A320" s="26" t="str">
        <f>StartupfileInput!C318</f>
        <v>6992</v>
      </c>
      <c r="B320" s="1" t="str">
        <f>INDEX(ActiveDistricts!$A$2:$J$326,MATCH(Calculation!$A320,ActiveDistricts!$C$2:$C$326,0),6)</f>
        <v>6992</v>
      </c>
      <c r="C320" s="1" t="str">
        <f>INDEX(ActiveDistricts!$A$2:$J$326,MATCH(Calculation!$A320,ActiveDistricts!$C$2:$C$326,0),7)</f>
        <v>Westwood</v>
      </c>
      <c r="D320" s="14">
        <f>INDEX(StartupfileInput!$A$2:$I$326,MATCH(Calculation!$A320,StartupfileInput!$C$2:$C$326,0),8)</f>
        <v>531.70000000000005</v>
      </c>
      <c r="E320" s="20">
        <f>INDEX(ActiveDistricts!$A$2:$J$326,MATCH(Calculation!$A320,ActiveDistricts!$C$2:$C$326,0),10)</f>
        <v>0.38400000000000001</v>
      </c>
      <c r="F320" s="8">
        <f t="shared" si="30"/>
        <v>1.3109999999999999</v>
      </c>
      <c r="G320" s="8">
        <f t="shared" si="31"/>
        <v>1.085</v>
      </c>
      <c r="H320" s="8">
        <f t="shared" si="29"/>
        <v>2.3959999999999999</v>
      </c>
      <c r="I320">
        <f>INDEX(StartupfileInput!$A$2:$I$326,MATCH(Calculation!$A320,StartupfileInput!$C$2:$C$326,0),9)</f>
        <v>7413</v>
      </c>
      <c r="J320" s="106">
        <f t="shared" si="32"/>
        <v>7635</v>
      </c>
      <c r="K320" s="9">
        <f t="shared" si="28"/>
        <v>10009</v>
      </c>
      <c r="L320" s="9">
        <f t="shared" si="33"/>
        <v>8284</v>
      </c>
      <c r="M320" s="9">
        <f t="shared" si="34"/>
        <v>18293</v>
      </c>
    </row>
    <row r="321" spans="1:13" ht="12.75" x14ac:dyDescent="0.2">
      <c r="A321" s="26" t="str">
        <f>StartupfileInput!C319</f>
        <v>7002</v>
      </c>
      <c r="B321" s="1" t="str">
        <f>INDEX(ActiveDistricts!$A$2:$J$326,MATCH(Calculation!$A321,ActiveDistricts!$C$2:$C$326,0),6)</f>
        <v>7002</v>
      </c>
      <c r="C321" s="1" t="str">
        <f>INDEX(ActiveDistricts!$A$2:$J$326,MATCH(Calculation!$A321,ActiveDistricts!$C$2:$C$326,0),7)</f>
        <v>Whiting</v>
      </c>
      <c r="D321" s="14">
        <f>INDEX(StartupfileInput!$A$2:$I$326,MATCH(Calculation!$A321,StartupfileInput!$C$2:$C$326,0),8)</f>
        <v>184.4</v>
      </c>
      <c r="E321" s="20">
        <f>INDEX(ActiveDistricts!$A$2:$J$326,MATCH(Calculation!$A321,ActiveDistricts!$C$2:$C$326,0),10)</f>
        <v>0.53030303030303028</v>
      </c>
      <c r="F321" s="8">
        <f t="shared" si="30"/>
        <v>0.628</v>
      </c>
      <c r="G321" s="8">
        <f t="shared" si="31"/>
        <v>0.376</v>
      </c>
      <c r="H321" s="8">
        <f t="shared" si="29"/>
        <v>1.004</v>
      </c>
      <c r="I321">
        <f>INDEX(StartupfileInput!$A$2:$I$326,MATCH(Calculation!$A321,StartupfileInput!$C$2:$C$326,0),9)</f>
        <v>7413</v>
      </c>
      <c r="J321" s="106">
        <f t="shared" si="32"/>
        <v>7635</v>
      </c>
      <c r="K321" s="9">
        <f t="shared" si="28"/>
        <v>4795</v>
      </c>
      <c r="L321" s="9">
        <f t="shared" si="33"/>
        <v>2871</v>
      </c>
      <c r="M321" s="9">
        <f t="shared" si="34"/>
        <v>7666</v>
      </c>
    </row>
    <row r="322" spans="1:13" ht="12.75" x14ac:dyDescent="0.2">
      <c r="A322" s="26" t="str">
        <f>StartupfileInput!C320</f>
        <v>7029</v>
      </c>
      <c r="B322" s="1" t="str">
        <f>INDEX(ActiveDistricts!$A$2:$J$326,MATCH(Calculation!$A322,ActiveDistricts!$C$2:$C$326,0),6)</f>
        <v>7029</v>
      </c>
      <c r="C322" s="1" t="str">
        <f>INDEX(ActiveDistricts!$A$2:$J$326,MATCH(Calculation!$A322,ActiveDistricts!$C$2:$C$326,0),7)</f>
        <v>Williamsburg</v>
      </c>
      <c r="D322" s="14">
        <f>INDEX(StartupfileInput!$A$2:$I$326,MATCH(Calculation!$A322,StartupfileInput!$C$2:$C$326,0),8)</f>
        <v>1160.2</v>
      </c>
      <c r="E322" s="20">
        <f>INDEX(ActiveDistricts!$A$2:$J$326,MATCH(Calculation!$A322,ActiveDistricts!$C$2:$C$326,0),10)</f>
        <v>0.25948103792415167</v>
      </c>
      <c r="F322" s="8">
        <f t="shared" si="30"/>
        <v>1.9330000000000001</v>
      </c>
      <c r="G322" s="8">
        <f>ROUND(D322*$G$3,3)</f>
        <v>2.367</v>
      </c>
      <c r="H322" s="8">
        <f t="shared" si="29"/>
        <v>4.3</v>
      </c>
      <c r="I322">
        <f>INDEX(StartupfileInput!$A$2:$I$326,MATCH(Calculation!$A322,StartupfileInput!$C$2:$C$326,0),9)</f>
        <v>7413</v>
      </c>
      <c r="J322" s="106">
        <f t="shared" si="32"/>
        <v>7635</v>
      </c>
      <c r="K322" s="9">
        <f t="shared" ref="K322:K328" si="35">ROUND(F322*J322,0)</f>
        <v>14758</v>
      </c>
      <c r="L322" s="9">
        <f t="shared" si="33"/>
        <v>18073</v>
      </c>
      <c r="M322" s="9">
        <f t="shared" si="34"/>
        <v>32831</v>
      </c>
    </row>
    <row r="323" spans="1:13" ht="12.75" x14ac:dyDescent="0.2">
      <c r="A323" s="26" t="str">
        <f>StartupfileInput!C321</f>
        <v>7038</v>
      </c>
      <c r="B323" s="1" t="str">
        <f>INDEX(ActiveDistricts!$A$2:$J$326,MATCH(Calculation!$A323,ActiveDistricts!$C$2:$C$326,0),6)</f>
        <v>7038</v>
      </c>
      <c r="C323" s="1" t="str">
        <f>INDEX(ActiveDistricts!$A$2:$J$326,MATCH(Calculation!$A323,ActiveDistricts!$C$2:$C$326,0),7)</f>
        <v>Wilton</v>
      </c>
      <c r="D323" s="14">
        <f>INDEX(StartupfileInput!$A$2:$I$326,MATCH(Calculation!$A323,StartupfileInput!$C$2:$C$326,0),8)</f>
        <v>851.9</v>
      </c>
      <c r="E323" s="20">
        <f>INDEX(ActiveDistricts!$A$2:$J$326,MATCH(Calculation!$A323,ActiveDistricts!$C$2:$C$326,0),10)</f>
        <v>0.3818615751789976</v>
      </c>
      <c r="F323" s="8">
        <f t="shared" si="30"/>
        <v>2.0880000000000001</v>
      </c>
      <c r="G323" s="8">
        <f t="shared" si="31"/>
        <v>1.738</v>
      </c>
      <c r="H323" s="8">
        <f t="shared" si="29"/>
        <v>3.8260000000000001</v>
      </c>
      <c r="I323">
        <f>INDEX(StartupfileInput!$A$2:$I$326,MATCH(Calculation!$A323,StartupfileInput!$C$2:$C$326,0),9)</f>
        <v>7413</v>
      </c>
      <c r="J323" s="106">
        <f t="shared" si="32"/>
        <v>7635</v>
      </c>
      <c r="K323" s="9">
        <f t="shared" si="35"/>
        <v>15942</v>
      </c>
      <c r="L323" s="9">
        <f t="shared" si="33"/>
        <v>13270</v>
      </c>
      <c r="M323" s="9">
        <f t="shared" si="34"/>
        <v>29212</v>
      </c>
    </row>
    <row r="324" spans="1:13" ht="12.75" x14ac:dyDescent="0.2">
      <c r="A324" s="26" t="str">
        <f>StartupfileInput!C322</f>
        <v>7047</v>
      </c>
      <c r="B324" s="1" t="str">
        <f>INDEX(ActiveDistricts!$A$2:$J$326,MATCH(Calculation!$A324,ActiveDistricts!$C$2:$C$326,0),6)</f>
        <v>7047</v>
      </c>
      <c r="C324" s="1" t="str">
        <f>INDEX(ActiveDistricts!$A$2:$J$326,MATCH(Calculation!$A324,ActiveDistricts!$C$2:$C$326,0),7)</f>
        <v>Winfield-Mt Union</v>
      </c>
      <c r="D324" s="14">
        <f>INDEX(StartupfileInput!$A$2:$I$326,MATCH(Calculation!$A324,StartupfileInput!$C$2:$C$326,0),8)</f>
        <v>306.2</v>
      </c>
      <c r="E324" s="20">
        <f>INDEX(ActiveDistricts!$A$2:$J$326,MATCH(Calculation!$A324,ActiveDistricts!$C$2:$C$326,0),10)</f>
        <v>0.50632911392405067</v>
      </c>
      <c r="F324" s="8">
        <f>ROUND(D324*E324*$F$3,3)</f>
        <v>0.995</v>
      </c>
      <c r="G324" s="8">
        <f t="shared" si="31"/>
        <v>0.625</v>
      </c>
      <c r="H324" s="8">
        <f t="shared" ref="H324:H328" si="36">SUM(F324:G324)</f>
        <v>1.62</v>
      </c>
      <c r="I324">
        <f>INDEX(StartupfileInput!$A$2:$I$326,MATCH(Calculation!$A324,StartupfileInput!$C$2:$C$326,0),9)</f>
        <v>7413</v>
      </c>
      <c r="J324" s="106">
        <f t="shared" si="32"/>
        <v>7635</v>
      </c>
      <c r="K324" s="9">
        <f t="shared" si="35"/>
        <v>7597</v>
      </c>
      <c r="L324" s="9">
        <f t="shared" si="33"/>
        <v>4772</v>
      </c>
      <c r="M324" s="9">
        <f t="shared" si="34"/>
        <v>12369</v>
      </c>
    </row>
    <row r="325" spans="1:13" ht="12.75" x14ac:dyDescent="0.2">
      <c r="A325" s="26" t="str">
        <f>StartupfileInput!C323</f>
        <v>7056</v>
      </c>
      <c r="B325" s="1" t="str">
        <f>INDEX(ActiveDistricts!$A$2:$J$326,MATCH(Calculation!$A325,ActiveDistricts!$C$2:$C$326,0),6)</f>
        <v>7056</v>
      </c>
      <c r="C325" s="1" t="str">
        <f>INDEX(ActiveDistricts!$A$2:$J$326,MATCH(Calculation!$A325,ActiveDistricts!$C$2:$C$326,0),7)</f>
        <v>Winterset</v>
      </c>
      <c r="D325" s="14">
        <f>INDEX(StartupfileInput!$A$2:$I$326,MATCH(Calculation!$A325,StartupfileInput!$C$2:$C$326,0),8)</f>
        <v>1667.3</v>
      </c>
      <c r="E325" s="20">
        <f>INDEX(ActiveDistricts!$A$2:$J$326,MATCH(Calculation!$A325,ActiveDistricts!$C$2:$C$326,0),10)</f>
        <v>0.34244604316546762</v>
      </c>
      <c r="F325" s="8">
        <f t="shared" ref="F325:F326" si="37">ROUND(D325*E325*$F$3,3)</f>
        <v>3.6659999999999999</v>
      </c>
      <c r="G325" s="8">
        <f t="shared" ref="G325:G328" si="38">ROUND(D325*$G$3,3)</f>
        <v>3.4009999999999998</v>
      </c>
      <c r="H325" s="8">
        <f t="shared" si="36"/>
        <v>7.0670000000000002</v>
      </c>
      <c r="I325">
        <f>INDEX(StartupfileInput!$A$2:$I$326,MATCH(Calculation!$A325,StartupfileInput!$C$2:$C$326,0),9)</f>
        <v>7413</v>
      </c>
      <c r="J325" s="106">
        <f t="shared" ref="J325:J328" si="39">MAX(I325+$R$2,$T$2)</f>
        <v>7635</v>
      </c>
      <c r="K325" s="9">
        <f t="shared" si="35"/>
        <v>27990</v>
      </c>
      <c r="L325" s="9">
        <f t="shared" ref="L325:L328" si="40">M325-K325</f>
        <v>25967</v>
      </c>
      <c r="M325" s="9">
        <f t="shared" ref="M325:M328" si="41">ROUND(H325*J325,0)</f>
        <v>53957</v>
      </c>
    </row>
    <row r="326" spans="1:13" ht="12.75" x14ac:dyDescent="0.2">
      <c r="A326" s="26" t="str">
        <f>StartupfileInput!C324</f>
        <v>7092</v>
      </c>
      <c r="B326" s="1" t="str">
        <f>INDEX(ActiveDistricts!$A$2:$J$326,MATCH(Calculation!$A326,ActiveDistricts!$C$2:$C$326,0),6)</f>
        <v>7092</v>
      </c>
      <c r="C326" s="1" t="str">
        <f>INDEX(ActiveDistricts!$A$2:$J$326,MATCH(Calculation!$A326,ActiveDistricts!$C$2:$C$326,0),7)</f>
        <v>Woodbine</v>
      </c>
      <c r="D326" s="14">
        <f>INDEX(StartupfileInput!$A$2:$I$326,MATCH(Calculation!$A326,StartupfileInput!$C$2:$C$326,0),8)</f>
        <v>466</v>
      </c>
      <c r="E326" s="20">
        <f>INDEX(ActiveDistricts!$A$2:$J$326,MATCH(Calculation!$A326,ActiveDistricts!$C$2:$C$326,0),10)</f>
        <v>0.38860103626943004</v>
      </c>
      <c r="F326" s="8">
        <f t="shared" si="37"/>
        <v>1.163</v>
      </c>
      <c r="G326" s="8">
        <f t="shared" si="38"/>
        <v>0.95099999999999996</v>
      </c>
      <c r="H326" s="8">
        <f t="shared" si="36"/>
        <v>2.1139999999999999</v>
      </c>
      <c r="I326">
        <f>INDEX(StartupfileInput!$A$2:$I$326,MATCH(Calculation!$A326,StartupfileInput!$C$2:$C$326,0),9)</f>
        <v>7413</v>
      </c>
      <c r="J326" s="106">
        <f t="shared" si="39"/>
        <v>7635</v>
      </c>
      <c r="K326" s="9">
        <f t="shared" si="35"/>
        <v>8880</v>
      </c>
      <c r="L326" s="9">
        <f t="shared" si="40"/>
        <v>7260</v>
      </c>
      <c r="M326" s="9">
        <f t="shared" si="41"/>
        <v>16140</v>
      </c>
    </row>
    <row r="327" spans="1:13" ht="12.75" x14ac:dyDescent="0.2">
      <c r="A327" s="26" t="str">
        <f>StartupfileInput!C325</f>
        <v>7098</v>
      </c>
      <c r="B327" s="1" t="str">
        <f>INDEX(ActiveDistricts!$A$2:$J$326,MATCH(Calculation!$A327,ActiveDistricts!$C$2:$C$326,0),6)</f>
        <v>7098</v>
      </c>
      <c r="C327" s="1" t="str">
        <f>INDEX(ActiveDistricts!$A$2:$J$326,MATCH(Calculation!$A327,ActiveDistricts!$C$2:$C$326,0),7)</f>
        <v>Woodbury Central</v>
      </c>
      <c r="D327" s="14">
        <f>INDEX(StartupfileInput!$A$2:$I$326,MATCH(Calculation!$A327,StartupfileInput!$C$2:$C$326,0),8)</f>
        <v>516.5</v>
      </c>
      <c r="E327" s="20">
        <f>INDEX(ActiveDistricts!$A$2:$J$326,MATCH(Calculation!$A327,ActiveDistricts!$C$2:$C$326,0),10)</f>
        <v>0.34862385321100919</v>
      </c>
      <c r="F327" s="8">
        <f>ROUND(D327*E327*$F$3,3)</f>
        <v>1.1559999999999999</v>
      </c>
      <c r="G327" s="8">
        <f t="shared" si="38"/>
        <v>1.054</v>
      </c>
      <c r="H327" s="8">
        <f t="shared" si="36"/>
        <v>2.21</v>
      </c>
      <c r="I327">
        <f>INDEX(StartupfileInput!$A$2:$I$326,MATCH(Calculation!$A327,StartupfileInput!$C$2:$C$326,0),9)</f>
        <v>7413</v>
      </c>
      <c r="J327" s="106">
        <f t="shared" si="39"/>
        <v>7635</v>
      </c>
      <c r="K327" s="9">
        <f t="shared" si="35"/>
        <v>8826</v>
      </c>
      <c r="L327" s="9">
        <f t="shared" si="40"/>
        <v>8047</v>
      </c>
      <c r="M327" s="9">
        <f t="shared" si="41"/>
        <v>16873</v>
      </c>
    </row>
    <row r="328" spans="1:13" ht="12.75" x14ac:dyDescent="0.2">
      <c r="A328" s="26" t="str">
        <f>StartupfileInput!C326</f>
        <v>7110</v>
      </c>
      <c r="B328" s="1" t="str">
        <f>INDEX(ActiveDistricts!$A$2:$J$326,MATCH(Calculation!$A328,ActiveDistricts!$C$2:$C$326,0),6)</f>
        <v>7110</v>
      </c>
      <c r="C328" s="1" t="str">
        <f>INDEX(ActiveDistricts!$A$2:$J$326,MATCH(Calculation!$A328,ActiveDistricts!$C$2:$C$326,0),7)</f>
        <v>Woodward-Granger</v>
      </c>
      <c r="D328" s="14">
        <f>INDEX(StartupfileInput!$A$2:$I$326,MATCH(Calculation!$A328,StartupfileInput!$C$2:$C$326,0),8)</f>
        <v>1062.9000000000001</v>
      </c>
      <c r="E328" s="20">
        <f>INDEX(ActiveDistricts!$A$2:$J$326,MATCH(Calculation!$A328,ActiveDistricts!$C$2:$C$326,0),10)</f>
        <v>0.22352941176470589</v>
      </c>
      <c r="F328" s="8">
        <f>ROUND(D328*E328*$F$3,3)</f>
        <v>1.5249999999999999</v>
      </c>
      <c r="G328" s="8">
        <f t="shared" si="38"/>
        <v>2.1680000000000001</v>
      </c>
      <c r="H328" s="8">
        <f t="shared" si="36"/>
        <v>3.6930000000000001</v>
      </c>
      <c r="I328">
        <f>INDEX(StartupfileInput!$A$2:$I$326,MATCH(Calculation!$A328,StartupfileInput!$C$2:$C$326,0),9)</f>
        <v>7470</v>
      </c>
      <c r="J328" s="106">
        <f t="shared" si="39"/>
        <v>7692</v>
      </c>
      <c r="K328" s="9">
        <f t="shared" si="35"/>
        <v>11730</v>
      </c>
      <c r="L328" s="9">
        <f t="shared" si="40"/>
        <v>16677</v>
      </c>
      <c r="M328" s="9">
        <f t="shared" si="41"/>
        <v>28407</v>
      </c>
    </row>
    <row r="329" spans="1:13" ht="12.75" x14ac:dyDescent="0.2">
      <c r="B329" s="7"/>
      <c r="C329" s="1"/>
      <c r="D329" s="13">
        <f>SUM(D4:D328)</f>
        <v>486475.49999999977</v>
      </c>
      <c r="E329" s="15"/>
      <c r="F329" s="18">
        <f>SUM(F4:F328)</f>
        <v>1422.6909999999989</v>
      </c>
      <c r="G329" s="8">
        <f>SUM(G4:G328)</f>
        <v>992.41200000000038</v>
      </c>
      <c r="H329" s="8">
        <f>SUM(H4:H328)</f>
        <v>2415.1030000000001</v>
      </c>
      <c r="I329"/>
      <c r="J329"/>
    </row>
    <row r="330" spans="1:13" ht="12.75" x14ac:dyDescent="0.2">
      <c r="B330" s="7"/>
      <c r="C330" s="7" t="s">
        <v>1271</v>
      </c>
      <c r="D330" s="10">
        <f>SUM(D4:D328)</f>
        <v>486475.49999999977</v>
      </c>
      <c r="E330" s="15">
        <f>SUM(ActiveDistricts!$I:$I)/SUM(ActiveDistricts!$H:$H)</f>
        <v>0.4469316956542122</v>
      </c>
      <c r="F330" s="18">
        <f>ROUND(D330*E330*$F$3,3)</f>
        <v>1395.845</v>
      </c>
      <c r="G330" s="8">
        <f>ROUND(D330*$G$3,3)</f>
        <v>992.41</v>
      </c>
      <c r="H330" s="8">
        <f>SUM(F330:G330)</f>
        <v>2388.2550000000001</v>
      </c>
      <c r="K330" s="9">
        <f>SUM(K4:K328)</f>
        <v>10878196</v>
      </c>
      <c r="L330" s="9">
        <f>SUM(L4:L328)</f>
        <v>7587492</v>
      </c>
      <c r="M330" s="9">
        <f>SUM(M4:M328)</f>
        <v>18465688</v>
      </c>
    </row>
    <row r="332" spans="1:13" x14ac:dyDescent="0.2">
      <c r="B332" s="7"/>
      <c r="C332" s="7" t="s">
        <v>1268</v>
      </c>
      <c r="M332" s="9">
        <f>ROUND(M330*0.884,0)</f>
        <v>16323668</v>
      </c>
    </row>
    <row r="333" spans="1:13" x14ac:dyDescent="0.2">
      <c r="B333" s="7"/>
      <c r="C333" s="7" t="s">
        <v>1269</v>
      </c>
      <c r="M333" s="9">
        <f>ROUND(M330*0.116,0)</f>
        <v>2142020</v>
      </c>
    </row>
    <row r="337" spans="6:6" x14ac:dyDescent="0.2">
      <c r="F337" s="8" t="s">
        <v>1270</v>
      </c>
    </row>
  </sheetData>
  <phoneticPr fontId="0" type="noConversion"/>
  <pageMargins left="0.25" right="0.25" top="0.5" bottom="0.25" header="0.5" footer="0.5"/>
  <pageSetup scale="80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26"/>
  <sheetViews>
    <sheetView workbookViewId="0">
      <pane xSplit="7" ySplit="1" topLeftCell="H248" activePane="bottomRight" state="frozen"/>
      <selection pane="topRight" activeCell="H1" sqref="H1"/>
      <selection pane="bottomLeft" activeCell="A2" sqref="A2"/>
      <selection pane="bottomRight" activeCell="O250" sqref="O250"/>
    </sheetView>
  </sheetViews>
  <sheetFormatPr defaultRowHeight="12.75" x14ac:dyDescent="0.2"/>
  <cols>
    <col min="1" max="1" width="5" style="126" bestFit="1" customWidth="1"/>
    <col min="2" max="2" width="32.85546875" bestFit="1" customWidth="1"/>
    <col min="3" max="3" width="11.5703125" bestFit="1" customWidth="1"/>
    <col min="4" max="8" width="11.5703125" customWidth="1"/>
    <col min="9" max="9" width="11.5703125" style="128" bestFit="1" customWidth="1"/>
    <col min="15" max="15" width="10.85546875" bestFit="1" customWidth="1"/>
    <col min="16" max="16" width="33.140625" bestFit="1" customWidth="1"/>
  </cols>
  <sheetData>
    <row r="1" spans="1:16" ht="15" x14ac:dyDescent="0.25">
      <c r="A1" s="126" t="s">
        <v>681</v>
      </c>
      <c r="B1" t="s">
        <v>682</v>
      </c>
      <c r="C1" t="s">
        <v>312</v>
      </c>
      <c r="D1" t="s">
        <v>683</v>
      </c>
      <c r="E1" t="s">
        <v>684</v>
      </c>
      <c r="F1" t="s">
        <v>313</v>
      </c>
      <c r="G1" t="s">
        <v>1275</v>
      </c>
      <c r="H1" t="s">
        <v>1276</v>
      </c>
      <c r="I1" s="136" t="s">
        <v>1278</v>
      </c>
      <c r="K1" s="25" t="s">
        <v>1277</v>
      </c>
      <c r="O1" s="127"/>
      <c r="P1" s="132" t="s">
        <v>1272</v>
      </c>
    </row>
    <row r="2" spans="1:16" x14ac:dyDescent="0.2">
      <c r="A2" s="126">
        <v>2024</v>
      </c>
      <c r="B2" t="s">
        <v>686</v>
      </c>
      <c r="C2" s="14" t="s">
        <v>314</v>
      </c>
      <c r="D2" s="14" t="s">
        <v>687</v>
      </c>
      <c r="E2" s="14" t="s">
        <v>687</v>
      </c>
      <c r="F2" s="14" t="s">
        <v>315</v>
      </c>
      <c r="G2" s="14" t="s">
        <v>15</v>
      </c>
      <c r="H2" s="14">
        <v>686.4</v>
      </c>
      <c r="I2" s="129">
        <v>7488</v>
      </c>
    </row>
    <row r="3" spans="1:16" x14ac:dyDescent="0.2">
      <c r="A3" s="126">
        <v>2024</v>
      </c>
      <c r="B3" t="s">
        <v>686</v>
      </c>
      <c r="C3" s="14" t="s">
        <v>335</v>
      </c>
      <c r="D3" s="14" t="s">
        <v>687</v>
      </c>
      <c r="E3" s="14" t="s">
        <v>687</v>
      </c>
      <c r="F3" s="14" t="s">
        <v>316</v>
      </c>
      <c r="G3" s="14" t="s">
        <v>24</v>
      </c>
      <c r="H3" s="14">
        <v>792.6</v>
      </c>
      <c r="I3" s="129">
        <v>7423</v>
      </c>
    </row>
    <row r="4" spans="1:16" x14ac:dyDescent="0.2">
      <c r="A4" s="126">
        <v>2024</v>
      </c>
      <c r="B4" t="s">
        <v>688</v>
      </c>
      <c r="C4" s="14" t="s">
        <v>315</v>
      </c>
      <c r="D4" s="14" t="s">
        <v>687</v>
      </c>
      <c r="E4" s="14" t="s">
        <v>687</v>
      </c>
      <c r="F4" s="14" t="s">
        <v>314</v>
      </c>
      <c r="G4" s="14" t="s">
        <v>311</v>
      </c>
      <c r="H4" s="14">
        <v>306.3</v>
      </c>
      <c r="I4" s="129">
        <v>7413</v>
      </c>
    </row>
    <row r="5" spans="1:16" x14ac:dyDescent="0.2">
      <c r="A5" s="126">
        <v>2024</v>
      </c>
      <c r="B5" t="s">
        <v>689</v>
      </c>
      <c r="C5" s="14" t="s">
        <v>316</v>
      </c>
      <c r="D5" s="14" t="s">
        <v>687</v>
      </c>
      <c r="E5" s="14" t="s">
        <v>687</v>
      </c>
      <c r="F5" s="14" t="s">
        <v>335</v>
      </c>
      <c r="G5" s="14" t="s">
        <v>653</v>
      </c>
      <c r="H5" s="14">
        <v>2130.9</v>
      </c>
      <c r="I5" s="129">
        <v>7413</v>
      </c>
    </row>
    <row r="6" spans="1:16" x14ac:dyDescent="0.2">
      <c r="A6" s="126">
        <v>2024</v>
      </c>
      <c r="B6" t="s">
        <v>690</v>
      </c>
      <c r="C6" s="14" t="s">
        <v>317</v>
      </c>
      <c r="D6" s="14" t="s">
        <v>687</v>
      </c>
      <c r="E6" s="14" t="s">
        <v>687</v>
      </c>
      <c r="F6" s="14" t="s">
        <v>317</v>
      </c>
      <c r="G6" s="14" t="s">
        <v>654</v>
      </c>
      <c r="H6" s="14">
        <v>555.20000000000005</v>
      </c>
      <c r="I6" s="129">
        <v>7429</v>
      </c>
    </row>
    <row r="7" spans="1:16" x14ac:dyDescent="0.2">
      <c r="A7" s="126">
        <v>2024</v>
      </c>
      <c r="B7" t="s">
        <v>691</v>
      </c>
      <c r="C7" s="14" t="s">
        <v>318</v>
      </c>
      <c r="D7" s="14" t="s">
        <v>687</v>
      </c>
      <c r="E7" s="14" t="s">
        <v>687</v>
      </c>
      <c r="F7" s="14" t="s">
        <v>318</v>
      </c>
      <c r="G7" s="14" t="s">
        <v>310</v>
      </c>
      <c r="H7" s="14">
        <v>209.6</v>
      </c>
      <c r="I7" s="129">
        <v>7459</v>
      </c>
    </row>
    <row r="8" spans="1:16" x14ac:dyDescent="0.2">
      <c r="A8" s="126">
        <v>2024</v>
      </c>
      <c r="B8" t="s">
        <v>692</v>
      </c>
      <c r="C8" s="14" t="s">
        <v>319</v>
      </c>
      <c r="D8" s="14" t="s">
        <v>687</v>
      </c>
      <c r="E8" s="14" t="s">
        <v>687</v>
      </c>
      <c r="F8" s="14" t="s">
        <v>319</v>
      </c>
      <c r="G8" s="14" t="s">
        <v>309</v>
      </c>
      <c r="H8" s="14">
        <v>1099.4000000000001</v>
      </c>
      <c r="I8" s="129">
        <v>7413</v>
      </c>
    </row>
    <row r="9" spans="1:16" x14ac:dyDescent="0.2">
      <c r="A9" s="126">
        <v>2024</v>
      </c>
      <c r="B9" t="s">
        <v>693</v>
      </c>
      <c r="C9" s="14" t="s">
        <v>320</v>
      </c>
      <c r="D9" s="14" t="s">
        <v>687</v>
      </c>
      <c r="E9" s="14" t="s">
        <v>687</v>
      </c>
      <c r="F9" s="14" t="s">
        <v>320</v>
      </c>
      <c r="G9" s="14" t="s">
        <v>308</v>
      </c>
      <c r="H9" s="14">
        <v>526.5</v>
      </c>
      <c r="I9" s="129">
        <v>7413</v>
      </c>
    </row>
    <row r="10" spans="1:16" x14ac:dyDescent="0.2">
      <c r="A10" s="126">
        <v>2024</v>
      </c>
      <c r="B10" t="s">
        <v>688</v>
      </c>
      <c r="C10" s="14" t="s">
        <v>321</v>
      </c>
      <c r="D10" s="14" t="s">
        <v>687</v>
      </c>
      <c r="E10" s="14" t="s">
        <v>687</v>
      </c>
      <c r="F10" s="14" t="s">
        <v>321</v>
      </c>
      <c r="G10" s="14" t="s">
        <v>307</v>
      </c>
      <c r="H10" s="14">
        <v>273.7</v>
      </c>
      <c r="I10" s="129">
        <v>7413</v>
      </c>
    </row>
    <row r="11" spans="1:16" x14ac:dyDescent="0.2">
      <c r="A11" s="126">
        <v>2024</v>
      </c>
      <c r="B11" t="s">
        <v>691</v>
      </c>
      <c r="C11" s="14" t="s">
        <v>322</v>
      </c>
      <c r="D11" s="14" t="s">
        <v>694</v>
      </c>
      <c r="E11" s="14" t="s">
        <v>484</v>
      </c>
      <c r="F11" s="14" t="s">
        <v>322</v>
      </c>
      <c r="G11" s="14" t="s">
        <v>306</v>
      </c>
      <c r="H11" s="14">
        <v>1446.4</v>
      </c>
      <c r="I11" s="129">
        <v>7427</v>
      </c>
    </row>
    <row r="12" spans="1:16" x14ac:dyDescent="0.2">
      <c r="A12" s="126">
        <v>2024</v>
      </c>
      <c r="B12" t="s">
        <v>695</v>
      </c>
      <c r="C12" s="14" t="s">
        <v>323</v>
      </c>
      <c r="D12" s="14" t="s">
        <v>687</v>
      </c>
      <c r="E12" s="14" t="s">
        <v>687</v>
      </c>
      <c r="F12" s="14" t="s">
        <v>323</v>
      </c>
      <c r="G12" s="14" t="s">
        <v>305</v>
      </c>
      <c r="H12" s="14">
        <v>1087.4000000000001</v>
      </c>
      <c r="I12" s="129">
        <v>7460</v>
      </c>
    </row>
    <row r="13" spans="1:16" x14ac:dyDescent="0.2">
      <c r="A13" s="126">
        <v>2024</v>
      </c>
      <c r="B13" t="s">
        <v>691</v>
      </c>
      <c r="C13" s="14" t="s">
        <v>325</v>
      </c>
      <c r="D13" s="14" t="s">
        <v>687</v>
      </c>
      <c r="E13" s="14" t="s">
        <v>687</v>
      </c>
      <c r="F13" s="14" t="s">
        <v>325</v>
      </c>
      <c r="G13" s="14" t="s">
        <v>652</v>
      </c>
      <c r="H13" s="14">
        <v>872.8</v>
      </c>
      <c r="I13" s="129">
        <v>7413</v>
      </c>
    </row>
    <row r="14" spans="1:16" x14ac:dyDescent="0.2">
      <c r="A14" s="126">
        <v>2024</v>
      </c>
      <c r="B14" t="s">
        <v>686</v>
      </c>
      <c r="C14" s="14" t="s">
        <v>326</v>
      </c>
      <c r="D14" s="14" t="s">
        <v>687</v>
      </c>
      <c r="E14" s="14" t="s">
        <v>687</v>
      </c>
      <c r="F14" s="14" t="s">
        <v>326</v>
      </c>
      <c r="G14" s="14" t="s">
        <v>303</v>
      </c>
      <c r="H14" s="14">
        <v>4439.6000000000004</v>
      </c>
      <c r="I14" s="129">
        <v>7468</v>
      </c>
    </row>
    <row r="15" spans="1:16" x14ac:dyDescent="0.2">
      <c r="A15" s="126">
        <v>2024</v>
      </c>
      <c r="B15" t="s">
        <v>693</v>
      </c>
      <c r="C15" s="14" t="s">
        <v>327</v>
      </c>
      <c r="D15" s="14" t="s">
        <v>687</v>
      </c>
      <c r="E15" s="14" t="s">
        <v>687</v>
      </c>
      <c r="F15" s="14" t="s">
        <v>327</v>
      </c>
      <c r="G15" s="14" t="s">
        <v>302</v>
      </c>
      <c r="H15" s="14">
        <v>1256.0999999999999</v>
      </c>
      <c r="I15" s="129">
        <v>7413</v>
      </c>
    </row>
    <row r="16" spans="1:16" x14ac:dyDescent="0.2">
      <c r="A16" s="126">
        <v>2024</v>
      </c>
      <c r="B16" t="s">
        <v>696</v>
      </c>
      <c r="C16" s="14" t="s">
        <v>328</v>
      </c>
      <c r="D16" s="14" t="s">
        <v>687</v>
      </c>
      <c r="E16" s="14" t="s">
        <v>687</v>
      </c>
      <c r="F16" s="14" t="s">
        <v>328</v>
      </c>
      <c r="G16" s="14" t="s">
        <v>301</v>
      </c>
      <c r="H16" s="14">
        <v>233</v>
      </c>
      <c r="I16" s="129">
        <v>7443</v>
      </c>
    </row>
    <row r="17" spans="1:9" x14ac:dyDescent="0.2">
      <c r="A17" s="126">
        <v>2024</v>
      </c>
      <c r="B17" t="s">
        <v>686</v>
      </c>
      <c r="C17" s="14" t="s">
        <v>329</v>
      </c>
      <c r="D17" s="14" t="s">
        <v>687</v>
      </c>
      <c r="E17" s="14" t="s">
        <v>687</v>
      </c>
      <c r="F17" s="14" t="s">
        <v>329</v>
      </c>
      <c r="G17" s="14" t="s">
        <v>300</v>
      </c>
      <c r="H17" s="14">
        <v>12671.4</v>
      </c>
      <c r="I17" s="129">
        <v>7413</v>
      </c>
    </row>
    <row r="18" spans="1:9" x14ac:dyDescent="0.2">
      <c r="A18" s="126">
        <v>2024</v>
      </c>
      <c r="B18" t="s">
        <v>688</v>
      </c>
      <c r="C18" s="14" t="s">
        <v>330</v>
      </c>
      <c r="D18" s="14" t="s">
        <v>687</v>
      </c>
      <c r="E18" s="14" t="s">
        <v>687</v>
      </c>
      <c r="F18" s="14" t="s">
        <v>330</v>
      </c>
      <c r="G18" s="14" t="s">
        <v>299</v>
      </c>
      <c r="H18" s="14">
        <v>813.2</v>
      </c>
      <c r="I18" s="129">
        <v>7413</v>
      </c>
    </row>
    <row r="19" spans="1:9" x14ac:dyDescent="0.2">
      <c r="A19" s="126">
        <v>2024</v>
      </c>
      <c r="B19" t="s">
        <v>690</v>
      </c>
      <c r="C19" s="14" t="s">
        <v>332</v>
      </c>
      <c r="D19" s="14" t="s">
        <v>687</v>
      </c>
      <c r="E19" s="14" t="s">
        <v>687</v>
      </c>
      <c r="F19" s="14" t="s">
        <v>332</v>
      </c>
      <c r="G19" s="14" t="s">
        <v>297</v>
      </c>
      <c r="H19" s="14">
        <v>276.2</v>
      </c>
      <c r="I19" s="129">
        <v>7413</v>
      </c>
    </row>
    <row r="20" spans="1:9" x14ac:dyDescent="0.2">
      <c r="A20" s="126">
        <v>2024</v>
      </c>
      <c r="B20" t="s">
        <v>689</v>
      </c>
      <c r="C20" s="14" t="s">
        <v>333</v>
      </c>
      <c r="D20" s="14" t="s">
        <v>687</v>
      </c>
      <c r="E20" s="14" t="s">
        <v>687</v>
      </c>
      <c r="F20" s="14" t="s">
        <v>333</v>
      </c>
      <c r="G20" s="14" t="s">
        <v>296</v>
      </c>
      <c r="H20" s="14">
        <v>1401.9</v>
      </c>
      <c r="I20" s="129">
        <v>7413</v>
      </c>
    </row>
    <row r="21" spans="1:9" x14ac:dyDescent="0.2">
      <c r="A21" s="126">
        <v>2024</v>
      </c>
      <c r="B21" t="s">
        <v>686</v>
      </c>
      <c r="C21" s="14" t="s">
        <v>334</v>
      </c>
      <c r="D21" s="14" t="s">
        <v>687</v>
      </c>
      <c r="E21" s="14" t="s">
        <v>687</v>
      </c>
      <c r="F21" s="14" t="s">
        <v>334</v>
      </c>
      <c r="G21" s="14" t="s">
        <v>295</v>
      </c>
      <c r="H21" s="14">
        <v>510.6</v>
      </c>
      <c r="I21" s="129">
        <v>7457</v>
      </c>
    </row>
    <row r="22" spans="1:9" x14ac:dyDescent="0.2">
      <c r="A22" s="126">
        <v>2024</v>
      </c>
      <c r="B22" t="s">
        <v>686</v>
      </c>
      <c r="C22" s="14" t="s">
        <v>338</v>
      </c>
      <c r="D22" s="14" t="s">
        <v>687</v>
      </c>
      <c r="E22" s="14" t="s">
        <v>687</v>
      </c>
      <c r="F22" s="14" t="s">
        <v>336</v>
      </c>
      <c r="G22" s="14" t="s">
        <v>0</v>
      </c>
      <c r="H22" s="14">
        <v>461.6</v>
      </c>
      <c r="I22" s="129">
        <v>7459</v>
      </c>
    </row>
    <row r="23" spans="1:9" x14ac:dyDescent="0.2">
      <c r="A23" s="126">
        <v>2024</v>
      </c>
      <c r="B23" t="s">
        <v>686</v>
      </c>
      <c r="C23" s="14" t="s">
        <v>336</v>
      </c>
      <c r="D23" s="14" t="s">
        <v>687</v>
      </c>
      <c r="E23" s="14" t="s">
        <v>687</v>
      </c>
      <c r="F23" s="14" t="s">
        <v>337</v>
      </c>
      <c r="G23" s="14" t="s">
        <v>294</v>
      </c>
      <c r="H23" s="14">
        <v>1759.2</v>
      </c>
      <c r="I23" s="129">
        <v>7413</v>
      </c>
    </row>
    <row r="24" spans="1:9" x14ac:dyDescent="0.2">
      <c r="A24" s="126">
        <v>2024</v>
      </c>
      <c r="B24" t="s">
        <v>688</v>
      </c>
      <c r="C24" s="14" t="s">
        <v>337</v>
      </c>
      <c r="D24" s="14" t="s">
        <v>687</v>
      </c>
      <c r="E24" s="14" t="s">
        <v>687</v>
      </c>
      <c r="F24" s="14" t="s">
        <v>338</v>
      </c>
      <c r="G24" s="14" t="s">
        <v>293</v>
      </c>
      <c r="H24" s="14">
        <v>360.7</v>
      </c>
      <c r="I24" s="129">
        <v>7413</v>
      </c>
    </row>
    <row r="25" spans="1:9" x14ac:dyDescent="0.2">
      <c r="A25" s="126">
        <v>2024</v>
      </c>
      <c r="B25" t="s">
        <v>689</v>
      </c>
      <c r="C25" s="14" t="s">
        <v>339</v>
      </c>
      <c r="D25" s="14" t="s">
        <v>687</v>
      </c>
      <c r="E25" s="14" t="s">
        <v>687</v>
      </c>
      <c r="F25" s="14" t="s">
        <v>339</v>
      </c>
      <c r="G25" s="14" t="s">
        <v>292</v>
      </c>
      <c r="H25" s="14">
        <v>501.8</v>
      </c>
      <c r="I25" s="129">
        <v>7413</v>
      </c>
    </row>
    <row r="26" spans="1:9" x14ac:dyDescent="0.2">
      <c r="A26" s="126">
        <v>2024</v>
      </c>
      <c r="B26" t="s">
        <v>693</v>
      </c>
      <c r="C26" s="14" t="s">
        <v>340</v>
      </c>
      <c r="D26" s="14" t="s">
        <v>687</v>
      </c>
      <c r="E26" s="14" t="s">
        <v>687</v>
      </c>
      <c r="F26" s="14" t="s">
        <v>340</v>
      </c>
      <c r="G26" s="14" t="s">
        <v>291</v>
      </c>
      <c r="H26" s="14">
        <v>472.7</v>
      </c>
      <c r="I26" s="129">
        <v>7413</v>
      </c>
    </row>
    <row r="27" spans="1:9" x14ac:dyDescent="0.2">
      <c r="A27" s="126">
        <v>2024</v>
      </c>
      <c r="B27" t="s">
        <v>696</v>
      </c>
      <c r="C27" s="14" t="s">
        <v>341</v>
      </c>
      <c r="D27" s="14" t="s">
        <v>687</v>
      </c>
      <c r="E27" s="14" t="s">
        <v>687</v>
      </c>
      <c r="F27" s="14" t="s">
        <v>341</v>
      </c>
      <c r="G27" s="14" t="s">
        <v>290</v>
      </c>
      <c r="H27" s="14">
        <v>631.70000000000005</v>
      </c>
      <c r="I27" s="129">
        <v>7435</v>
      </c>
    </row>
    <row r="28" spans="1:9" x14ac:dyDescent="0.2">
      <c r="A28" s="126">
        <v>2024</v>
      </c>
      <c r="B28" t="s">
        <v>688</v>
      </c>
      <c r="C28" s="14" t="s">
        <v>342</v>
      </c>
      <c r="D28" s="14" t="s">
        <v>687</v>
      </c>
      <c r="E28" s="14" t="s">
        <v>687</v>
      </c>
      <c r="F28" s="14" t="s">
        <v>342</v>
      </c>
      <c r="G28" s="14" t="s">
        <v>289</v>
      </c>
      <c r="H28" s="14">
        <v>740.1</v>
      </c>
      <c r="I28" s="129">
        <v>7413</v>
      </c>
    </row>
    <row r="29" spans="1:9" x14ac:dyDescent="0.2">
      <c r="A29" s="126">
        <v>2024</v>
      </c>
      <c r="B29" t="s">
        <v>696</v>
      </c>
      <c r="C29" s="14" t="s">
        <v>343</v>
      </c>
      <c r="D29" s="14" t="s">
        <v>687</v>
      </c>
      <c r="E29" s="14" t="s">
        <v>687</v>
      </c>
      <c r="F29" s="14" t="s">
        <v>343</v>
      </c>
      <c r="G29" s="14" t="s">
        <v>288</v>
      </c>
      <c r="H29" s="14">
        <v>175.2</v>
      </c>
      <c r="I29" s="129">
        <v>7509</v>
      </c>
    </row>
    <row r="30" spans="1:9" x14ac:dyDescent="0.2">
      <c r="A30" s="126">
        <v>2024</v>
      </c>
      <c r="B30" t="s">
        <v>693</v>
      </c>
      <c r="C30" s="14" t="s">
        <v>344</v>
      </c>
      <c r="D30" s="14" t="s">
        <v>687</v>
      </c>
      <c r="E30" s="14" t="s">
        <v>687</v>
      </c>
      <c r="F30" s="14" t="s">
        <v>344</v>
      </c>
      <c r="G30" s="14" t="s">
        <v>287</v>
      </c>
      <c r="H30" s="14">
        <v>1537.7</v>
      </c>
      <c r="I30" s="129">
        <v>7443</v>
      </c>
    </row>
    <row r="31" spans="1:9" x14ac:dyDescent="0.2">
      <c r="A31" s="126">
        <v>2024</v>
      </c>
      <c r="B31" t="s">
        <v>696</v>
      </c>
      <c r="C31" s="14" t="s">
        <v>345</v>
      </c>
      <c r="D31" s="14" t="s">
        <v>687</v>
      </c>
      <c r="E31" s="14" t="s">
        <v>687</v>
      </c>
      <c r="F31" s="14" t="s">
        <v>345</v>
      </c>
      <c r="G31" s="14" t="s">
        <v>286</v>
      </c>
      <c r="H31" s="14">
        <v>4017.2</v>
      </c>
      <c r="I31" s="129">
        <v>7452</v>
      </c>
    </row>
    <row r="32" spans="1:9" x14ac:dyDescent="0.2">
      <c r="A32" s="126">
        <v>2024</v>
      </c>
      <c r="B32" t="s">
        <v>686</v>
      </c>
      <c r="C32" s="14" t="s">
        <v>347</v>
      </c>
      <c r="D32" s="14" t="s">
        <v>687</v>
      </c>
      <c r="E32" s="14" t="s">
        <v>687</v>
      </c>
      <c r="F32" s="14" t="s">
        <v>347</v>
      </c>
      <c r="G32" s="14" t="s">
        <v>285</v>
      </c>
      <c r="H32" s="14">
        <v>2514.9</v>
      </c>
      <c r="I32" s="129">
        <v>7413</v>
      </c>
    </row>
    <row r="33" spans="1:9" x14ac:dyDescent="0.2">
      <c r="A33" s="126">
        <v>2024</v>
      </c>
      <c r="B33" t="s">
        <v>686</v>
      </c>
      <c r="C33" s="14" t="s">
        <v>348</v>
      </c>
      <c r="D33" s="14" t="s">
        <v>687</v>
      </c>
      <c r="E33" s="14" t="s">
        <v>687</v>
      </c>
      <c r="F33" s="14" t="s">
        <v>348</v>
      </c>
      <c r="G33" s="14" t="s">
        <v>284</v>
      </c>
      <c r="H33" s="14">
        <v>2037.5</v>
      </c>
      <c r="I33" s="129">
        <v>7413</v>
      </c>
    </row>
    <row r="34" spans="1:9" x14ac:dyDescent="0.2">
      <c r="A34" s="126">
        <v>2024</v>
      </c>
      <c r="B34" t="s">
        <v>690</v>
      </c>
      <c r="C34" s="14" t="s">
        <v>349</v>
      </c>
      <c r="D34" s="14" t="s">
        <v>687</v>
      </c>
      <c r="E34" s="14" t="s">
        <v>687</v>
      </c>
      <c r="F34" s="14" t="s">
        <v>349</v>
      </c>
      <c r="G34" s="14" t="s">
        <v>283</v>
      </c>
      <c r="H34" s="14">
        <v>568.5</v>
      </c>
      <c r="I34" s="129">
        <v>7413</v>
      </c>
    </row>
    <row r="35" spans="1:9" x14ac:dyDescent="0.2">
      <c r="A35" s="126">
        <v>2024</v>
      </c>
      <c r="B35" t="s">
        <v>689</v>
      </c>
      <c r="C35" s="14" t="s">
        <v>405</v>
      </c>
      <c r="D35" s="14" t="s">
        <v>687</v>
      </c>
      <c r="E35" s="14" t="s">
        <v>687</v>
      </c>
      <c r="F35" s="14" t="s">
        <v>405</v>
      </c>
      <c r="G35" s="14" t="s">
        <v>236</v>
      </c>
      <c r="H35" s="14">
        <v>379.2</v>
      </c>
      <c r="I35" s="129">
        <v>7413</v>
      </c>
    </row>
    <row r="36" spans="1:9" x14ac:dyDescent="0.2">
      <c r="A36" s="126">
        <v>2024</v>
      </c>
      <c r="B36" t="s">
        <v>688</v>
      </c>
      <c r="C36" s="14" t="s">
        <v>351</v>
      </c>
      <c r="D36" s="14" t="s">
        <v>687</v>
      </c>
      <c r="E36" s="14" t="s">
        <v>687</v>
      </c>
      <c r="F36" s="14" t="s">
        <v>351</v>
      </c>
      <c r="G36" s="14" t="s">
        <v>281</v>
      </c>
      <c r="H36" s="14">
        <v>514.70000000000005</v>
      </c>
      <c r="I36" s="129">
        <v>7413</v>
      </c>
    </row>
    <row r="37" spans="1:9" x14ac:dyDescent="0.2">
      <c r="A37" s="126">
        <v>2024</v>
      </c>
      <c r="B37" t="s">
        <v>692</v>
      </c>
      <c r="C37" s="14" t="s">
        <v>353</v>
      </c>
      <c r="D37" s="14" t="s">
        <v>687</v>
      </c>
      <c r="E37" s="14" t="s">
        <v>687</v>
      </c>
      <c r="F37" s="14" t="s">
        <v>353</v>
      </c>
      <c r="G37" s="14" t="s">
        <v>279</v>
      </c>
      <c r="H37" s="14">
        <v>3860.2</v>
      </c>
      <c r="I37" s="129">
        <v>7413</v>
      </c>
    </row>
    <row r="38" spans="1:9" x14ac:dyDescent="0.2">
      <c r="A38" s="126">
        <v>2024</v>
      </c>
      <c r="B38" t="s">
        <v>688</v>
      </c>
      <c r="C38" s="14" t="s">
        <v>355</v>
      </c>
      <c r="D38" s="14" t="s">
        <v>687</v>
      </c>
      <c r="E38" s="14" t="s">
        <v>687</v>
      </c>
      <c r="F38" s="14" t="s">
        <v>355</v>
      </c>
      <c r="G38" s="14" t="s">
        <v>1</v>
      </c>
      <c r="H38" s="14">
        <v>280.8</v>
      </c>
      <c r="I38" s="129">
        <v>7548</v>
      </c>
    </row>
    <row r="39" spans="1:9" x14ac:dyDescent="0.2">
      <c r="A39" s="126">
        <v>2024</v>
      </c>
      <c r="B39" t="s">
        <v>696</v>
      </c>
      <c r="C39" s="14" t="s">
        <v>354</v>
      </c>
      <c r="D39" s="14" t="s">
        <v>687</v>
      </c>
      <c r="E39" s="14" t="s">
        <v>687</v>
      </c>
      <c r="F39" s="14" t="s">
        <v>356</v>
      </c>
      <c r="G39" s="14" t="s">
        <v>20</v>
      </c>
      <c r="H39" s="14">
        <v>463.9</v>
      </c>
      <c r="I39" s="129">
        <v>7428</v>
      </c>
    </row>
    <row r="40" spans="1:9" x14ac:dyDescent="0.2">
      <c r="A40" s="126">
        <v>2024</v>
      </c>
      <c r="B40" t="s">
        <v>689</v>
      </c>
      <c r="C40" s="14" t="s">
        <v>356</v>
      </c>
      <c r="D40" s="14" t="s">
        <v>687</v>
      </c>
      <c r="E40" s="14" t="s">
        <v>687</v>
      </c>
      <c r="F40" s="14" t="s">
        <v>354</v>
      </c>
      <c r="G40" s="14" t="s">
        <v>278</v>
      </c>
      <c r="H40" s="14">
        <v>381.3</v>
      </c>
      <c r="I40" s="129">
        <v>7437</v>
      </c>
    </row>
    <row r="41" spans="1:9" x14ac:dyDescent="0.2">
      <c r="A41" s="126">
        <v>2024</v>
      </c>
      <c r="B41" t="s">
        <v>696</v>
      </c>
      <c r="C41" s="14" t="s">
        <v>357</v>
      </c>
      <c r="D41" s="14" t="s">
        <v>687</v>
      </c>
      <c r="E41" s="14" t="s">
        <v>687</v>
      </c>
      <c r="F41" s="14" t="s">
        <v>357</v>
      </c>
      <c r="G41" s="14" t="s">
        <v>277</v>
      </c>
      <c r="H41" s="14">
        <v>854.3</v>
      </c>
      <c r="I41" s="129">
        <v>7413</v>
      </c>
    </row>
    <row r="42" spans="1:9" x14ac:dyDescent="0.2">
      <c r="A42" s="126">
        <v>2024</v>
      </c>
      <c r="B42" t="s">
        <v>692</v>
      </c>
      <c r="C42" s="14" t="s">
        <v>358</v>
      </c>
      <c r="D42" s="14" t="s">
        <v>687</v>
      </c>
      <c r="E42" s="14" t="s">
        <v>687</v>
      </c>
      <c r="F42" s="14" t="s">
        <v>358</v>
      </c>
      <c r="G42" s="14" t="s">
        <v>276</v>
      </c>
      <c r="H42" s="14">
        <v>573.5</v>
      </c>
      <c r="I42" s="129">
        <v>7413</v>
      </c>
    </row>
    <row r="43" spans="1:9" x14ac:dyDescent="0.2">
      <c r="A43" s="126">
        <v>2024</v>
      </c>
      <c r="B43" t="s">
        <v>686</v>
      </c>
      <c r="C43" s="14" t="s">
        <v>359</v>
      </c>
      <c r="D43" s="14" t="s">
        <v>687</v>
      </c>
      <c r="E43" s="14" t="s">
        <v>687</v>
      </c>
      <c r="F43" s="14" t="s">
        <v>359</v>
      </c>
      <c r="G43" s="14" t="s">
        <v>275</v>
      </c>
      <c r="H43" s="14">
        <v>2011</v>
      </c>
      <c r="I43" s="129">
        <v>7413</v>
      </c>
    </row>
    <row r="44" spans="1:9" x14ac:dyDescent="0.2">
      <c r="A44" s="126">
        <v>2024</v>
      </c>
      <c r="B44" t="s">
        <v>686</v>
      </c>
      <c r="C44" s="14" t="s">
        <v>360</v>
      </c>
      <c r="D44" s="14" t="s">
        <v>687</v>
      </c>
      <c r="E44" s="14" t="s">
        <v>687</v>
      </c>
      <c r="F44" s="14" t="s">
        <v>360</v>
      </c>
      <c r="G44" s="14" t="s">
        <v>274</v>
      </c>
      <c r="H44" s="14">
        <v>1644.7</v>
      </c>
      <c r="I44" s="129">
        <v>7413</v>
      </c>
    </row>
    <row r="45" spans="1:9" x14ac:dyDescent="0.2">
      <c r="A45" s="126">
        <v>2024</v>
      </c>
      <c r="B45" t="s">
        <v>688</v>
      </c>
      <c r="C45" s="14" t="s">
        <v>361</v>
      </c>
      <c r="D45" s="14" t="s">
        <v>687</v>
      </c>
      <c r="E45" s="14" t="s">
        <v>687</v>
      </c>
      <c r="F45" s="14" t="s">
        <v>361</v>
      </c>
      <c r="G45" s="14" t="s">
        <v>273</v>
      </c>
      <c r="H45" s="14">
        <v>5520.1</v>
      </c>
      <c r="I45" s="129">
        <v>7413</v>
      </c>
    </row>
    <row r="46" spans="1:9" x14ac:dyDescent="0.2">
      <c r="A46" s="126">
        <v>2024</v>
      </c>
      <c r="B46" t="s">
        <v>693</v>
      </c>
      <c r="C46" s="14" t="s">
        <v>362</v>
      </c>
      <c r="D46" s="14" t="s">
        <v>687</v>
      </c>
      <c r="E46" s="14" t="s">
        <v>687</v>
      </c>
      <c r="F46" s="14" t="s">
        <v>362</v>
      </c>
      <c r="G46" s="14" t="s">
        <v>272</v>
      </c>
      <c r="H46" s="14">
        <v>15959.3</v>
      </c>
      <c r="I46" s="129">
        <v>7413</v>
      </c>
    </row>
    <row r="47" spans="1:9" x14ac:dyDescent="0.2">
      <c r="A47" s="126">
        <v>2024</v>
      </c>
      <c r="B47" t="s">
        <v>693</v>
      </c>
      <c r="C47" s="14" t="s">
        <v>363</v>
      </c>
      <c r="D47" s="14" t="s">
        <v>687</v>
      </c>
      <c r="E47" s="14" t="s">
        <v>687</v>
      </c>
      <c r="F47" s="14" t="s">
        <v>363</v>
      </c>
      <c r="G47" s="14" t="s">
        <v>271</v>
      </c>
      <c r="H47" s="14">
        <v>1201.9000000000001</v>
      </c>
      <c r="I47" s="129">
        <v>7413</v>
      </c>
    </row>
    <row r="48" spans="1:9" x14ac:dyDescent="0.2">
      <c r="A48" s="126">
        <v>2024</v>
      </c>
      <c r="B48" t="s">
        <v>692</v>
      </c>
      <c r="C48" s="14" t="s">
        <v>364</v>
      </c>
      <c r="D48" s="14" t="s">
        <v>687</v>
      </c>
      <c r="E48" s="14" t="s">
        <v>687</v>
      </c>
      <c r="F48" s="14" t="s">
        <v>364</v>
      </c>
      <c r="G48" s="14" t="s">
        <v>270</v>
      </c>
      <c r="H48" s="14">
        <v>1331.8</v>
      </c>
      <c r="I48" s="129">
        <v>7437</v>
      </c>
    </row>
    <row r="49" spans="1:9" x14ac:dyDescent="0.2">
      <c r="A49" s="126">
        <v>2024</v>
      </c>
      <c r="B49" t="s">
        <v>693</v>
      </c>
      <c r="C49" s="14" t="s">
        <v>368</v>
      </c>
      <c r="D49" s="14" t="s">
        <v>687</v>
      </c>
      <c r="E49" s="14" t="s">
        <v>687</v>
      </c>
      <c r="F49" s="14" t="s">
        <v>368</v>
      </c>
      <c r="G49" s="14" t="s">
        <v>268</v>
      </c>
      <c r="H49" s="14">
        <v>434.4</v>
      </c>
      <c r="I49" s="129">
        <v>7439</v>
      </c>
    </row>
    <row r="50" spans="1:9" x14ac:dyDescent="0.2">
      <c r="A50" s="126">
        <v>2024</v>
      </c>
      <c r="B50" t="s">
        <v>695</v>
      </c>
      <c r="C50" s="14" t="s">
        <v>366</v>
      </c>
      <c r="D50" s="14" t="s">
        <v>687</v>
      </c>
      <c r="E50" s="14" t="s">
        <v>687</v>
      </c>
      <c r="F50" s="14" t="s">
        <v>366</v>
      </c>
      <c r="G50" s="14" t="s">
        <v>655</v>
      </c>
      <c r="H50" s="14">
        <v>451.7</v>
      </c>
      <c r="I50" s="129">
        <v>7413</v>
      </c>
    </row>
    <row r="51" spans="1:9" x14ac:dyDescent="0.2">
      <c r="A51" s="126">
        <v>2024</v>
      </c>
      <c r="B51" t="s">
        <v>696</v>
      </c>
      <c r="C51" s="14" t="s">
        <v>367</v>
      </c>
      <c r="D51" s="14" t="s">
        <v>687</v>
      </c>
      <c r="E51" s="14" t="s">
        <v>687</v>
      </c>
      <c r="F51" s="14" t="s">
        <v>367</v>
      </c>
      <c r="G51" s="14" t="s">
        <v>656</v>
      </c>
      <c r="H51" s="14">
        <v>1452.9</v>
      </c>
      <c r="I51" s="129">
        <v>7413</v>
      </c>
    </row>
    <row r="52" spans="1:9" x14ac:dyDescent="0.2">
      <c r="A52" s="126">
        <v>2024</v>
      </c>
      <c r="B52" t="s">
        <v>689</v>
      </c>
      <c r="C52" s="14" t="s">
        <v>369</v>
      </c>
      <c r="D52" s="14" t="s">
        <v>687</v>
      </c>
      <c r="E52" s="14" t="s">
        <v>687</v>
      </c>
      <c r="F52" s="14" t="s">
        <v>369</v>
      </c>
      <c r="G52" s="14" t="s">
        <v>267</v>
      </c>
      <c r="H52" s="14">
        <v>642.70000000000005</v>
      </c>
      <c r="I52" s="129">
        <v>7413</v>
      </c>
    </row>
    <row r="53" spans="1:9" x14ac:dyDescent="0.2">
      <c r="A53" s="126">
        <v>2024</v>
      </c>
      <c r="B53" t="s">
        <v>692</v>
      </c>
      <c r="C53" s="14" t="s">
        <v>365</v>
      </c>
      <c r="D53" s="14" t="s">
        <v>687</v>
      </c>
      <c r="E53" s="14" t="s">
        <v>687</v>
      </c>
      <c r="F53" s="14" t="s">
        <v>365</v>
      </c>
      <c r="G53" s="14" t="s">
        <v>269</v>
      </c>
      <c r="H53" s="14">
        <v>803.1</v>
      </c>
      <c r="I53" s="129">
        <v>7413</v>
      </c>
    </row>
    <row r="54" spans="1:9" x14ac:dyDescent="0.2">
      <c r="A54" s="126">
        <v>2024</v>
      </c>
      <c r="B54" t="s">
        <v>690</v>
      </c>
      <c r="C54" s="14" t="s">
        <v>370</v>
      </c>
      <c r="D54" s="14" t="s">
        <v>687</v>
      </c>
      <c r="E54" s="14" t="s">
        <v>687</v>
      </c>
      <c r="F54" s="14" t="s">
        <v>370</v>
      </c>
      <c r="G54" s="14" t="s">
        <v>266</v>
      </c>
      <c r="H54" s="14">
        <v>765.1</v>
      </c>
      <c r="I54" s="129">
        <v>7413</v>
      </c>
    </row>
    <row r="55" spans="1:9" x14ac:dyDescent="0.2">
      <c r="A55" s="126">
        <v>2024</v>
      </c>
      <c r="B55" t="s">
        <v>688</v>
      </c>
      <c r="C55" s="14" t="s">
        <v>521</v>
      </c>
      <c r="D55" s="14" t="s">
        <v>687</v>
      </c>
      <c r="E55" s="14" t="s">
        <v>687</v>
      </c>
      <c r="F55" s="14" t="s">
        <v>521</v>
      </c>
      <c r="G55" s="14" t="s">
        <v>132</v>
      </c>
      <c r="H55" s="14">
        <v>805.3</v>
      </c>
      <c r="I55" s="129">
        <v>7413</v>
      </c>
    </row>
    <row r="56" spans="1:9" x14ac:dyDescent="0.2">
      <c r="A56" s="126">
        <v>2024</v>
      </c>
      <c r="B56" t="s">
        <v>692</v>
      </c>
      <c r="C56" s="14" t="s">
        <v>371</v>
      </c>
      <c r="D56" s="14" t="s">
        <v>687</v>
      </c>
      <c r="E56" s="14" t="s">
        <v>687</v>
      </c>
      <c r="F56" s="14" t="s">
        <v>371</v>
      </c>
      <c r="G56" s="14" t="s">
        <v>265</v>
      </c>
      <c r="H56" s="14">
        <v>1271.3</v>
      </c>
      <c r="I56" s="129">
        <v>7413</v>
      </c>
    </row>
    <row r="57" spans="1:9" x14ac:dyDescent="0.2">
      <c r="A57" s="126">
        <v>2024</v>
      </c>
      <c r="B57" t="s">
        <v>688</v>
      </c>
      <c r="C57" s="14" t="s">
        <v>372</v>
      </c>
      <c r="D57" s="14" t="s">
        <v>687</v>
      </c>
      <c r="E57" s="14" t="s">
        <v>687</v>
      </c>
      <c r="F57" s="14" t="s">
        <v>372</v>
      </c>
      <c r="G57" s="14" t="s">
        <v>264</v>
      </c>
      <c r="H57" s="14">
        <v>1489.8</v>
      </c>
      <c r="I57" s="129">
        <v>7438</v>
      </c>
    </row>
    <row r="58" spans="1:9" x14ac:dyDescent="0.2">
      <c r="A58" s="126">
        <v>2024</v>
      </c>
      <c r="B58" t="s">
        <v>690</v>
      </c>
      <c r="C58" s="14" t="s">
        <v>373</v>
      </c>
      <c r="D58" s="14" t="s">
        <v>687</v>
      </c>
      <c r="E58" s="14" t="s">
        <v>687</v>
      </c>
      <c r="F58" s="14" t="s">
        <v>373</v>
      </c>
      <c r="G58" s="14" t="s">
        <v>263</v>
      </c>
      <c r="H58" s="14">
        <v>287.2</v>
      </c>
      <c r="I58" s="129">
        <v>7413</v>
      </c>
    </row>
    <row r="59" spans="1:9" x14ac:dyDescent="0.2">
      <c r="A59" s="126">
        <v>2024</v>
      </c>
      <c r="B59" t="s">
        <v>690</v>
      </c>
      <c r="C59" s="14" t="s">
        <v>374</v>
      </c>
      <c r="D59" s="14" t="s">
        <v>687</v>
      </c>
      <c r="E59" s="14" t="s">
        <v>687</v>
      </c>
      <c r="F59" s="14" t="s">
        <v>374</v>
      </c>
      <c r="G59" s="14" t="s">
        <v>262</v>
      </c>
      <c r="H59" s="14">
        <v>1035.3</v>
      </c>
      <c r="I59" s="129">
        <v>7429</v>
      </c>
    </row>
    <row r="60" spans="1:9" x14ac:dyDescent="0.2">
      <c r="A60" s="126">
        <v>2024</v>
      </c>
      <c r="B60" t="s">
        <v>689</v>
      </c>
      <c r="C60" s="14" t="s">
        <v>375</v>
      </c>
      <c r="D60" s="14" t="s">
        <v>687</v>
      </c>
      <c r="E60" s="14" t="s">
        <v>687</v>
      </c>
      <c r="F60" s="14" t="s">
        <v>375</v>
      </c>
      <c r="G60" s="14" t="s">
        <v>261</v>
      </c>
      <c r="H60" s="14">
        <v>989.1</v>
      </c>
      <c r="I60" s="129">
        <v>7413</v>
      </c>
    </row>
    <row r="61" spans="1:9" x14ac:dyDescent="0.2">
      <c r="A61" s="126">
        <v>2024</v>
      </c>
      <c r="B61" t="s">
        <v>691</v>
      </c>
      <c r="C61" s="14" t="s">
        <v>376</v>
      </c>
      <c r="D61" s="14" t="s">
        <v>697</v>
      </c>
      <c r="E61" s="14" t="s">
        <v>687</v>
      </c>
      <c r="F61" s="14" t="s">
        <v>376</v>
      </c>
      <c r="G61" s="14" t="s">
        <v>260</v>
      </c>
      <c r="H61" s="14">
        <v>1011.1</v>
      </c>
      <c r="I61" s="129">
        <v>7413</v>
      </c>
    </row>
    <row r="62" spans="1:9" x14ac:dyDescent="0.2">
      <c r="A62" s="126">
        <v>2024</v>
      </c>
      <c r="B62" t="s">
        <v>689</v>
      </c>
      <c r="C62" s="14" t="s">
        <v>377</v>
      </c>
      <c r="D62" s="14" t="s">
        <v>687</v>
      </c>
      <c r="E62" s="14" t="s">
        <v>687</v>
      </c>
      <c r="F62" s="14" t="s">
        <v>377</v>
      </c>
      <c r="G62" s="14" t="s">
        <v>259</v>
      </c>
      <c r="H62" s="14">
        <v>1442.5</v>
      </c>
      <c r="I62" s="129">
        <v>7413</v>
      </c>
    </row>
    <row r="63" spans="1:9" x14ac:dyDescent="0.2">
      <c r="A63" s="126">
        <v>2024</v>
      </c>
      <c r="B63" t="s">
        <v>688</v>
      </c>
      <c r="C63" s="14" t="s">
        <v>378</v>
      </c>
      <c r="D63" s="14" t="s">
        <v>687</v>
      </c>
      <c r="E63" s="14" t="s">
        <v>687</v>
      </c>
      <c r="F63" s="14" t="s">
        <v>378</v>
      </c>
      <c r="G63" s="14" t="s">
        <v>258</v>
      </c>
      <c r="H63" s="14">
        <v>289.39999999999998</v>
      </c>
      <c r="I63" s="129">
        <v>7413</v>
      </c>
    </row>
    <row r="64" spans="1:9" x14ac:dyDescent="0.2">
      <c r="A64" s="126">
        <v>2024</v>
      </c>
      <c r="B64" t="s">
        <v>691</v>
      </c>
      <c r="C64" s="14" t="s">
        <v>379</v>
      </c>
      <c r="D64" s="14" t="s">
        <v>687</v>
      </c>
      <c r="E64" s="14" t="s">
        <v>687</v>
      </c>
      <c r="F64" s="14" t="s">
        <v>379</v>
      </c>
      <c r="G64" s="14" t="s">
        <v>257</v>
      </c>
      <c r="H64" s="14">
        <v>290.10000000000002</v>
      </c>
      <c r="I64" s="129">
        <v>7506</v>
      </c>
    </row>
    <row r="65" spans="1:9" x14ac:dyDescent="0.2">
      <c r="A65" s="126">
        <v>2024</v>
      </c>
      <c r="B65" t="s">
        <v>695</v>
      </c>
      <c r="C65" s="14" t="s">
        <v>442</v>
      </c>
      <c r="D65" s="14" t="s">
        <v>687</v>
      </c>
      <c r="E65" s="14" t="s">
        <v>687</v>
      </c>
      <c r="F65" s="14" t="s">
        <v>442</v>
      </c>
      <c r="G65" s="14" t="s">
        <v>202</v>
      </c>
      <c r="H65" s="14">
        <v>641.9</v>
      </c>
      <c r="I65" s="129">
        <v>7470</v>
      </c>
    </row>
    <row r="66" spans="1:9" x14ac:dyDescent="0.2">
      <c r="A66" s="126">
        <v>2024</v>
      </c>
      <c r="B66" t="s">
        <v>693</v>
      </c>
      <c r="C66" s="14" t="s">
        <v>380</v>
      </c>
      <c r="D66" s="14" t="s">
        <v>698</v>
      </c>
      <c r="E66" s="14" t="s">
        <v>687</v>
      </c>
      <c r="F66" s="14" t="s">
        <v>380</v>
      </c>
      <c r="G66" s="14" t="s">
        <v>657</v>
      </c>
      <c r="H66" s="14">
        <v>2937.9</v>
      </c>
      <c r="I66" s="129">
        <v>7414</v>
      </c>
    </row>
    <row r="67" spans="1:9" x14ac:dyDescent="0.2">
      <c r="A67" s="126">
        <v>2024</v>
      </c>
      <c r="B67" t="s">
        <v>688</v>
      </c>
      <c r="C67" s="14" t="s">
        <v>381</v>
      </c>
      <c r="D67" s="14" t="s">
        <v>687</v>
      </c>
      <c r="E67" s="14" t="s">
        <v>687</v>
      </c>
      <c r="F67" s="14" t="s">
        <v>381</v>
      </c>
      <c r="G67" s="14" t="s">
        <v>256</v>
      </c>
      <c r="H67" s="14">
        <v>1173.0999999999999</v>
      </c>
      <c r="I67" s="129">
        <v>7413</v>
      </c>
    </row>
    <row r="68" spans="1:9" x14ac:dyDescent="0.2">
      <c r="A68" s="126">
        <v>2024</v>
      </c>
      <c r="B68" t="s">
        <v>696</v>
      </c>
      <c r="C68" s="14" t="s">
        <v>382</v>
      </c>
      <c r="D68" s="14" t="s">
        <v>687</v>
      </c>
      <c r="E68" s="14" t="s">
        <v>687</v>
      </c>
      <c r="F68" s="14" t="s">
        <v>382</v>
      </c>
      <c r="G68" s="14" t="s">
        <v>255</v>
      </c>
      <c r="H68" s="14">
        <v>3604.2</v>
      </c>
      <c r="I68" s="129">
        <v>7424</v>
      </c>
    </row>
    <row r="69" spans="1:9" x14ac:dyDescent="0.2">
      <c r="A69" s="126">
        <v>2024</v>
      </c>
      <c r="B69" t="s">
        <v>686</v>
      </c>
      <c r="C69" s="14" t="s">
        <v>383</v>
      </c>
      <c r="D69" s="14" t="s">
        <v>687</v>
      </c>
      <c r="E69" s="14" t="s">
        <v>687</v>
      </c>
      <c r="F69" s="14" t="s">
        <v>383</v>
      </c>
      <c r="G69" s="14" t="s">
        <v>254</v>
      </c>
      <c r="H69" s="14">
        <v>707.2</v>
      </c>
      <c r="I69" s="129">
        <v>7413</v>
      </c>
    </row>
    <row r="70" spans="1:9" x14ac:dyDescent="0.2">
      <c r="A70" s="126">
        <v>2024</v>
      </c>
      <c r="B70" t="s">
        <v>693</v>
      </c>
      <c r="C70" s="14" t="s">
        <v>384</v>
      </c>
      <c r="D70" s="14" t="s">
        <v>687</v>
      </c>
      <c r="E70" s="14" t="s">
        <v>687</v>
      </c>
      <c r="F70" s="14" t="s">
        <v>384</v>
      </c>
      <c r="G70" s="14" t="s">
        <v>658</v>
      </c>
      <c r="H70" s="14">
        <v>5147.8999999999996</v>
      </c>
      <c r="I70" s="129">
        <v>7413</v>
      </c>
    </row>
    <row r="71" spans="1:9" x14ac:dyDescent="0.2">
      <c r="A71" s="126">
        <v>2024</v>
      </c>
      <c r="B71" t="s">
        <v>686</v>
      </c>
      <c r="C71" s="14" t="s">
        <v>385</v>
      </c>
      <c r="D71" s="14" t="s">
        <v>687</v>
      </c>
      <c r="E71" s="14" t="s">
        <v>687</v>
      </c>
      <c r="F71" s="14" t="s">
        <v>385</v>
      </c>
      <c r="G71" s="14" t="s">
        <v>253</v>
      </c>
      <c r="H71" s="14">
        <v>463.9</v>
      </c>
      <c r="I71" s="129">
        <v>7413</v>
      </c>
    </row>
    <row r="72" spans="1:9" x14ac:dyDescent="0.2">
      <c r="A72" s="126">
        <v>2024</v>
      </c>
      <c r="B72" t="s">
        <v>686</v>
      </c>
      <c r="C72" s="14" t="s">
        <v>386</v>
      </c>
      <c r="D72" s="14" t="s">
        <v>687</v>
      </c>
      <c r="E72" s="14" t="s">
        <v>687</v>
      </c>
      <c r="F72" s="14" t="s">
        <v>386</v>
      </c>
      <c r="G72" s="14" t="s">
        <v>659</v>
      </c>
      <c r="H72" s="14">
        <v>452.9</v>
      </c>
      <c r="I72" s="129">
        <v>7413</v>
      </c>
    </row>
    <row r="73" spans="1:9" x14ac:dyDescent="0.2">
      <c r="A73" s="126">
        <v>2024</v>
      </c>
      <c r="B73" t="s">
        <v>696</v>
      </c>
      <c r="C73" s="14" t="s">
        <v>387</v>
      </c>
      <c r="D73" s="14" t="s">
        <v>687</v>
      </c>
      <c r="E73" s="14" t="s">
        <v>687</v>
      </c>
      <c r="F73" s="14" t="s">
        <v>387</v>
      </c>
      <c r="G73" s="14" t="s">
        <v>252</v>
      </c>
      <c r="H73" s="14">
        <v>741.9</v>
      </c>
      <c r="I73" s="129">
        <v>7413</v>
      </c>
    </row>
    <row r="74" spans="1:9" x14ac:dyDescent="0.2">
      <c r="A74" s="126">
        <v>2024</v>
      </c>
      <c r="B74" t="s">
        <v>686</v>
      </c>
      <c r="C74" s="14" t="s">
        <v>388</v>
      </c>
      <c r="D74" s="14" t="s">
        <v>687</v>
      </c>
      <c r="E74" s="14" t="s">
        <v>687</v>
      </c>
      <c r="F74" s="14" t="s">
        <v>388</v>
      </c>
      <c r="G74" s="14" t="s">
        <v>251</v>
      </c>
      <c r="H74" s="14">
        <v>425</v>
      </c>
      <c r="I74" s="129">
        <v>7525</v>
      </c>
    </row>
    <row r="75" spans="1:9" x14ac:dyDescent="0.2">
      <c r="A75" s="126">
        <v>2024</v>
      </c>
      <c r="B75" t="s">
        <v>689</v>
      </c>
      <c r="C75" s="14" t="s">
        <v>389</v>
      </c>
      <c r="D75" s="14" t="s">
        <v>687</v>
      </c>
      <c r="E75" s="14" t="s">
        <v>687</v>
      </c>
      <c r="F75" s="14" t="s">
        <v>389</v>
      </c>
      <c r="G75" s="14" t="s">
        <v>250</v>
      </c>
      <c r="H75" s="14">
        <v>382.1</v>
      </c>
      <c r="I75" s="129">
        <v>7425</v>
      </c>
    </row>
    <row r="76" spans="1:9" x14ac:dyDescent="0.2">
      <c r="A76" s="126">
        <v>2024</v>
      </c>
      <c r="B76" t="s">
        <v>689</v>
      </c>
      <c r="C76" s="14" t="s">
        <v>390</v>
      </c>
      <c r="D76" s="14" t="s">
        <v>687</v>
      </c>
      <c r="E76" s="14" t="s">
        <v>687</v>
      </c>
      <c r="F76" s="14" t="s">
        <v>390</v>
      </c>
      <c r="G76" s="14" t="s">
        <v>249</v>
      </c>
      <c r="H76" s="14">
        <v>8707.7000000000007</v>
      </c>
      <c r="I76" s="129">
        <v>7447</v>
      </c>
    </row>
    <row r="77" spans="1:9" x14ac:dyDescent="0.2">
      <c r="A77" s="126">
        <v>2024</v>
      </c>
      <c r="B77" t="s">
        <v>689</v>
      </c>
      <c r="C77" s="14" t="s">
        <v>391</v>
      </c>
      <c r="D77" s="14" t="s">
        <v>687</v>
      </c>
      <c r="E77" s="14" t="s">
        <v>687</v>
      </c>
      <c r="F77" s="14" t="s">
        <v>391</v>
      </c>
      <c r="G77" s="14" t="s">
        <v>248</v>
      </c>
      <c r="H77" s="14">
        <v>1397</v>
      </c>
      <c r="I77" s="129">
        <v>7413</v>
      </c>
    </row>
    <row r="78" spans="1:9" x14ac:dyDescent="0.2">
      <c r="A78" s="126">
        <v>2024</v>
      </c>
      <c r="B78" t="s">
        <v>686</v>
      </c>
      <c r="C78" s="14" t="s">
        <v>392</v>
      </c>
      <c r="D78" s="14" t="s">
        <v>687</v>
      </c>
      <c r="E78" s="14" t="s">
        <v>687</v>
      </c>
      <c r="F78" s="14" t="s">
        <v>392</v>
      </c>
      <c r="G78" s="14" t="s">
        <v>247</v>
      </c>
      <c r="H78" s="14">
        <v>3478</v>
      </c>
      <c r="I78" s="129">
        <v>7413</v>
      </c>
    </row>
    <row r="79" spans="1:9" x14ac:dyDescent="0.2">
      <c r="A79" s="126">
        <v>2024</v>
      </c>
      <c r="B79" t="s">
        <v>692</v>
      </c>
      <c r="C79" s="14" t="s">
        <v>393</v>
      </c>
      <c r="D79" s="14" t="s">
        <v>687</v>
      </c>
      <c r="E79" s="14" t="s">
        <v>687</v>
      </c>
      <c r="F79" s="14" t="s">
        <v>393</v>
      </c>
      <c r="G79" s="14" t="s">
        <v>246</v>
      </c>
      <c r="H79" s="14">
        <v>432.4</v>
      </c>
      <c r="I79" s="129">
        <v>7413</v>
      </c>
    </row>
    <row r="80" spans="1:9" x14ac:dyDescent="0.2">
      <c r="A80" s="126">
        <v>2024</v>
      </c>
      <c r="B80" t="s">
        <v>696</v>
      </c>
      <c r="C80" s="14" t="s">
        <v>394</v>
      </c>
      <c r="D80" s="14" t="s">
        <v>687</v>
      </c>
      <c r="E80" s="14" t="s">
        <v>687</v>
      </c>
      <c r="F80" s="14" t="s">
        <v>394</v>
      </c>
      <c r="G80" s="14" t="s">
        <v>245</v>
      </c>
      <c r="H80" s="14">
        <v>14164.5</v>
      </c>
      <c r="I80" s="129">
        <v>7413</v>
      </c>
    </row>
    <row r="81" spans="1:9" x14ac:dyDescent="0.2">
      <c r="A81" s="126">
        <v>2024</v>
      </c>
      <c r="B81" t="s">
        <v>692</v>
      </c>
      <c r="C81" s="14" t="s">
        <v>395</v>
      </c>
      <c r="D81" s="14" t="s">
        <v>687</v>
      </c>
      <c r="E81" s="14" t="s">
        <v>687</v>
      </c>
      <c r="F81" s="14" t="s">
        <v>395</v>
      </c>
      <c r="G81" s="14" t="s">
        <v>244</v>
      </c>
      <c r="H81" s="14">
        <v>1148.7</v>
      </c>
      <c r="I81" s="129">
        <v>7413</v>
      </c>
    </row>
    <row r="82" spans="1:9" x14ac:dyDescent="0.2">
      <c r="A82" s="126">
        <v>2024</v>
      </c>
      <c r="B82" t="s">
        <v>695</v>
      </c>
      <c r="C82" s="14" t="s">
        <v>396</v>
      </c>
      <c r="D82" s="14" t="s">
        <v>687</v>
      </c>
      <c r="E82" s="14" t="s">
        <v>687</v>
      </c>
      <c r="F82" s="14" t="s">
        <v>396</v>
      </c>
      <c r="G82" s="14" t="s">
        <v>660</v>
      </c>
      <c r="H82" s="14">
        <v>1522.6</v>
      </c>
      <c r="I82" s="129">
        <v>7413</v>
      </c>
    </row>
    <row r="83" spans="1:9" x14ac:dyDescent="0.2">
      <c r="A83" s="126">
        <v>2024</v>
      </c>
      <c r="B83" t="s">
        <v>696</v>
      </c>
      <c r="C83" s="14" t="s">
        <v>397</v>
      </c>
      <c r="D83" s="14" t="s">
        <v>687</v>
      </c>
      <c r="E83" s="14" t="s">
        <v>687</v>
      </c>
      <c r="F83" s="14" t="s">
        <v>397</v>
      </c>
      <c r="G83" s="14" t="s">
        <v>243</v>
      </c>
      <c r="H83" s="14">
        <v>200</v>
      </c>
      <c r="I83" s="129">
        <v>7553</v>
      </c>
    </row>
    <row r="84" spans="1:9" x14ac:dyDescent="0.2">
      <c r="A84" s="126">
        <v>2024</v>
      </c>
      <c r="B84" t="s">
        <v>690</v>
      </c>
      <c r="C84" s="14" t="s">
        <v>398</v>
      </c>
      <c r="D84" s="14" t="s">
        <v>687</v>
      </c>
      <c r="E84" s="14" t="s">
        <v>687</v>
      </c>
      <c r="F84" s="14" t="s">
        <v>398</v>
      </c>
      <c r="G84" s="14" t="s">
        <v>242</v>
      </c>
      <c r="H84" s="14">
        <v>2026.3</v>
      </c>
      <c r="I84" s="129">
        <v>7413</v>
      </c>
    </row>
    <row r="85" spans="1:9" x14ac:dyDescent="0.2">
      <c r="A85" s="126">
        <v>2024</v>
      </c>
      <c r="B85" t="s">
        <v>688</v>
      </c>
      <c r="C85" s="14" t="s">
        <v>399</v>
      </c>
      <c r="D85" s="14" t="s">
        <v>687</v>
      </c>
      <c r="E85" s="14" t="s">
        <v>687</v>
      </c>
      <c r="F85" s="14" t="s">
        <v>399</v>
      </c>
      <c r="G85" s="14" t="s">
        <v>241</v>
      </c>
      <c r="H85" s="14">
        <v>862.9</v>
      </c>
      <c r="I85" s="129">
        <v>7413</v>
      </c>
    </row>
    <row r="86" spans="1:9" x14ac:dyDescent="0.2">
      <c r="A86" s="126">
        <v>2024</v>
      </c>
      <c r="B86" t="s">
        <v>686</v>
      </c>
      <c r="C86" s="14" t="s">
        <v>400</v>
      </c>
      <c r="D86" s="14" t="s">
        <v>687</v>
      </c>
      <c r="E86" s="14" t="s">
        <v>687</v>
      </c>
      <c r="F86" s="14" t="s">
        <v>400</v>
      </c>
      <c r="G86" s="14" t="s">
        <v>661</v>
      </c>
      <c r="H86" s="14">
        <v>30773.9</v>
      </c>
      <c r="I86" s="129">
        <v>7446</v>
      </c>
    </row>
    <row r="87" spans="1:9" x14ac:dyDescent="0.2">
      <c r="A87" s="126">
        <v>2024</v>
      </c>
      <c r="B87" t="s">
        <v>689</v>
      </c>
      <c r="C87" s="14" t="s">
        <v>401</v>
      </c>
      <c r="D87" s="14" t="s">
        <v>687</v>
      </c>
      <c r="E87" s="14" t="s">
        <v>687</v>
      </c>
      <c r="F87" s="14" t="s">
        <v>401</v>
      </c>
      <c r="G87" s="14" t="s">
        <v>240</v>
      </c>
      <c r="H87" s="14">
        <v>112</v>
      </c>
      <c r="I87" s="129">
        <v>7413</v>
      </c>
    </row>
    <row r="88" spans="1:9" x14ac:dyDescent="0.2">
      <c r="A88" s="126">
        <v>2024</v>
      </c>
      <c r="B88" t="s">
        <v>688</v>
      </c>
      <c r="C88" s="14" t="s">
        <v>402</v>
      </c>
      <c r="D88" s="14" t="s">
        <v>687</v>
      </c>
      <c r="E88" s="14" t="s">
        <v>687</v>
      </c>
      <c r="F88" s="14" t="s">
        <v>402</v>
      </c>
      <c r="G88" s="14" t="s">
        <v>239</v>
      </c>
      <c r="H88" s="14">
        <v>876.2</v>
      </c>
      <c r="I88" s="129">
        <v>7413</v>
      </c>
    </row>
    <row r="89" spans="1:9" x14ac:dyDescent="0.2">
      <c r="A89" s="126">
        <v>2024</v>
      </c>
      <c r="B89" t="s">
        <v>695</v>
      </c>
      <c r="C89" s="14" t="s">
        <v>403</v>
      </c>
      <c r="D89" s="14" t="s">
        <v>687</v>
      </c>
      <c r="E89" s="14" t="s">
        <v>687</v>
      </c>
      <c r="F89" s="14" t="s">
        <v>403</v>
      </c>
      <c r="G89" s="14" t="s">
        <v>238</v>
      </c>
      <c r="H89" s="14">
        <v>10064.1</v>
      </c>
      <c r="I89" s="129">
        <v>7413</v>
      </c>
    </row>
    <row r="90" spans="1:9" x14ac:dyDescent="0.2">
      <c r="A90" s="126">
        <v>2024</v>
      </c>
      <c r="B90" t="s">
        <v>688</v>
      </c>
      <c r="C90" s="14" t="s">
        <v>404</v>
      </c>
      <c r="D90" s="14" t="s">
        <v>687</v>
      </c>
      <c r="E90" s="14" t="s">
        <v>687</v>
      </c>
      <c r="F90" s="14" t="s">
        <v>404</v>
      </c>
      <c r="G90" s="14" t="s">
        <v>237</v>
      </c>
      <c r="H90" s="14">
        <v>366.1</v>
      </c>
      <c r="I90" s="129">
        <v>7413</v>
      </c>
    </row>
    <row r="91" spans="1:9" x14ac:dyDescent="0.2">
      <c r="A91" s="126">
        <v>2024</v>
      </c>
      <c r="B91" t="s">
        <v>696</v>
      </c>
      <c r="C91" s="14" t="s">
        <v>406</v>
      </c>
      <c r="D91" s="14" t="s">
        <v>687</v>
      </c>
      <c r="E91" s="14" t="s">
        <v>687</v>
      </c>
      <c r="F91" s="14" t="s">
        <v>406</v>
      </c>
      <c r="G91" s="14" t="s">
        <v>235</v>
      </c>
      <c r="H91" s="14">
        <v>503.5</v>
      </c>
      <c r="I91" s="129">
        <v>7424</v>
      </c>
    </row>
    <row r="92" spans="1:9" x14ac:dyDescent="0.2">
      <c r="A92" s="126">
        <v>2024</v>
      </c>
      <c r="B92" t="s">
        <v>691</v>
      </c>
      <c r="C92" s="14" t="s">
        <v>408</v>
      </c>
      <c r="D92" s="14" t="s">
        <v>687</v>
      </c>
      <c r="E92" s="14" t="s">
        <v>687</v>
      </c>
      <c r="F92" s="14" t="s">
        <v>408</v>
      </c>
      <c r="G92" s="14" t="s">
        <v>234</v>
      </c>
      <c r="H92" s="14">
        <v>952</v>
      </c>
      <c r="I92" s="129">
        <v>7496</v>
      </c>
    </row>
    <row r="93" spans="1:9" x14ac:dyDescent="0.2">
      <c r="A93" s="126">
        <v>2024</v>
      </c>
      <c r="B93" t="s">
        <v>686</v>
      </c>
      <c r="C93" s="14" t="s">
        <v>409</v>
      </c>
      <c r="D93" s="14" t="s">
        <v>687</v>
      </c>
      <c r="E93" s="14" t="s">
        <v>687</v>
      </c>
      <c r="F93" s="14" t="s">
        <v>409</v>
      </c>
      <c r="G93" s="14" t="s">
        <v>233</v>
      </c>
      <c r="H93" s="14">
        <v>562.29999999999995</v>
      </c>
      <c r="I93" s="129">
        <v>7413</v>
      </c>
    </row>
    <row r="94" spans="1:9" x14ac:dyDescent="0.2">
      <c r="A94" s="126">
        <v>2024</v>
      </c>
      <c r="B94" t="s">
        <v>688</v>
      </c>
      <c r="C94" s="14" t="s">
        <v>410</v>
      </c>
      <c r="D94" s="14" t="s">
        <v>687</v>
      </c>
      <c r="E94" s="14" t="s">
        <v>687</v>
      </c>
      <c r="F94" s="14" t="s">
        <v>410</v>
      </c>
      <c r="G94" s="14" t="s">
        <v>232</v>
      </c>
      <c r="H94" s="14">
        <v>541.9</v>
      </c>
      <c r="I94" s="129">
        <v>7413</v>
      </c>
    </row>
    <row r="95" spans="1:9" x14ac:dyDescent="0.2">
      <c r="A95" s="126">
        <v>2024</v>
      </c>
      <c r="B95" t="s">
        <v>688</v>
      </c>
      <c r="C95" s="14" t="s">
        <v>474</v>
      </c>
      <c r="D95" s="14" t="s">
        <v>687</v>
      </c>
      <c r="E95" s="14" t="s">
        <v>687</v>
      </c>
      <c r="F95" s="14" t="s">
        <v>645</v>
      </c>
      <c r="G95" s="14" t="s">
        <v>230</v>
      </c>
      <c r="H95" s="14">
        <v>525.20000000000005</v>
      </c>
      <c r="I95" s="129">
        <v>7462</v>
      </c>
    </row>
    <row r="96" spans="1:9" x14ac:dyDescent="0.2">
      <c r="A96" s="126">
        <v>2024</v>
      </c>
      <c r="B96" t="s">
        <v>689</v>
      </c>
      <c r="C96" s="14" t="s">
        <v>487</v>
      </c>
      <c r="D96" s="14" t="s">
        <v>687</v>
      </c>
      <c r="E96" s="14" t="s">
        <v>687</v>
      </c>
      <c r="F96" s="14" t="s">
        <v>487</v>
      </c>
      <c r="G96" s="14" t="s">
        <v>161</v>
      </c>
      <c r="H96" s="14">
        <v>528.5</v>
      </c>
      <c r="I96" s="129">
        <v>7442</v>
      </c>
    </row>
    <row r="97" spans="1:9" x14ac:dyDescent="0.2">
      <c r="A97" s="126">
        <v>2024</v>
      </c>
      <c r="B97" t="s">
        <v>691</v>
      </c>
      <c r="C97" s="14" t="s">
        <v>611</v>
      </c>
      <c r="D97" s="14" t="s">
        <v>687</v>
      </c>
      <c r="E97" s="14" t="s">
        <v>687</v>
      </c>
      <c r="F97" s="14" t="s">
        <v>611</v>
      </c>
      <c r="G97" s="14" t="s">
        <v>52</v>
      </c>
      <c r="H97" s="14">
        <v>835.5</v>
      </c>
      <c r="I97" s="129">
        <v>7413</v>
      </c>
    </row>
    <row r="98" spans="1:9" x14ac:dyDescent="0.2">
      <c r="A98" s="126">
        <v>2024</v>
      </c>
      <c r="B98" t="s">
        <v>689</v>
      </c>
      <c r="C98" s="14" t="s">
        <v>412</v>
      </c>
      <c r="D98" s="14" t="s">
        <v>687</v>
      </c>
      <c r="E98" s="14" t="s">
        <v>687</v>
      </c>
      <c r="F98" s="14" t="s">
        <v>412</v>
      </c>
      <c r="G98" s="14" t="s">
        <v>229</v>
      </c>
      <c r="H98" s="14">
        <v>472.5</v>
      </c>
      <c r="I98" s="129">
        <v>7413</v>
      </c>
    </row>
    <row r="99" spans="1:9" x14ac:dyDescent="0.2">
      <c r="A99" s="126">
        <v>2024</v>
      </c>
      <c r="B99" t="s">
        <v>695</v>
      </c>
      <c r="C99" s="14" t="s">
        <v>413</v>
      </c>
      <c r="D99" s="14" t="s">
        <v>687</v>
      </c>
      <c r="E99" s="14" t="s">
        <v>687</v>
      </c>
      <c r="F99" s="14" t="s">
        <v>413</v>
      </c>
      <c r="G99" s="14" t="s">
        <v>228</v>
      </c>
      <c r="H99" s="14">
        <v>331.3</v>
      </c>
      <c r="I99" s="129">
        <v>7413</v>
      </c>
    </row>
    <row r="100" spans="1:9" x14ac:dyDescent="0.2">
      <c r="A100" s="126">
        <v>2024</v>
      </c>
      <c r="B100" t="s">
        <v>696</v>
      </c>
      <c r="C100" s="14" t="s">
        <v>411</v>
      </c>
      <c r="D100" s="14" t="s">
        <v>687</v>
      </c>
      <c r="E100" s="14" t="s">
        <v>687</v>
      </c>
      <c r="F100" s="14" t="s">
        <v>411</v>
      </c>
      <c r="G100" s="14" t="s">
        <v>231</v>
      </c>
      <c r="H100" s="14">
        <v>549.6</v>
      </c>
      <c r="I100" s="129">
        <v>7413</v>
      </c>
    </row>
    <row r="101" spans="1:9" x14ac:dyDescent="0.2">
      <c r="A101" s="126">
        <v>2024</v>
      </c>
      <c r="B101" t="s">
        <v>692</v>
      </c>
      <c r="C101" s="14" t="s">
        <v>346</v>
      </c>
      <c r="D101" s="14" t="s">
        <v>687</v>
      </c>
      <c r="E101" s="14" t="s">
        <v>687</v>
      </c>
      <c r="F101" s="14" t="s">
        <v>346</v>
      </c>
      <c r="G101" s="14" t="s">
        <v>662</v>
      </c>
      <c r="H101" s="14">
        <v>835.6</v>
      </c>
      <c r="I101" s="129">
        <v>7413</v>
      </c>
    </row>
    <row r="102" spans="1:9" x14ac:dyDescent="0.2">
      <c r="A102" s="126">
        <v>2024</v>
      </c>
      <c r="B102" t="s">
        <v>695</v>
      </c>
      <c r="C102" s="14" t="s">
        <v>415</v>
      </c>
      <c r="D102" s="14" t="s">
        <v>687</v>
      </c>
      <c r="E102" s="14" t="s">
        <v>687</v>
      </c>
      <c r="F102" s="14" t="s">
        <v>415</v>
      </c>
      <c r="G102" s="14" t="s">
        <v>226</v>
      </c>
      <c r="H102" s="14">
        <v>401</v>
      </c>
      <c r="I102" s="129">
        <v>7413</v>
      </c>
    </row>
    <row r="103" spans="1:9" x14ac:dyDescent="0.2">
      <c r="A103" s="126">
        <v>2024</v>
      </c>
      <c r="B103" t="s">
        <v>688</v>
      </c>
      <c r="C103" s="14" t="s">
        <v>416</v>
      </c>
      <c r="D103" s="14" t="s">
        <v>687</v>
      </c>
      <c r="E103" s="14" t="s">
        <v>687</v>
      </c>
      <c r="F103" s="14" t="s">
        <v>416</v>
      </c>
      <c r="G103" s="14" t="s">
        <v>225</v>
      </c>
      <c r="H103" s="14">
        <v>560.70000000000005</v>
      </c>
      <c r="I103" s="129">
        <v>7413</v>
      </c>
    </row>
    <row r="104" spans="1:9" x14ac:dyDescent="0.2">
      <c r="A104" s="126">
        <v>2024</v>
      </c>
      <c r="B104" t="s">
        <v>691</v>
      </c>
      <c r="C104" s="14" t="s">
        <v>417</v>
      </c>
      <c r="D104" s="14" t="s">
        <v>687</v>
      </c>
      <c r="E104" s="14" t="s">
        <v>687</v>
      </c>
      <c r="F104" s="14" t="s">
        <v>417</v>
      </c>
      <c r="G104" s="14" t="s">
        <v>224</v>
      </c>
      <c r="H104" s="14">
        <v>665.2</v>
      </c>
      <c r="I104" s="129">
        <v>7501</v>
      </c>
    </row>
    <row r="105" spans="1:9" x14ac:dyDescent="0.2">
      <c r="A105" s="126">
        <v>2024</v>
      </c>
      <c r="B105" t="s">
        <v>693</v>
      </c>
      <c r="C105" s="14" t="s">
        <v>418</v>
      </c>
      <c r="D105" s="14" t="s">
        <v>687</v>
      </c>
      <c r="E105" s="14" t="s">
        <v>687</v>
      </c>
      <c r="F105" s="14" t="s">
        <v>418</v>
      </c>
      <c r="G105" s="14" t="s">
        <v>223</v>
      </c>
      <c r="H105" s="14">
        <v>462</v>
      </c>
      <c r="I105" s="129">
        <v>7451</v>
      </c>
    </row>
    <row r="106" spans="1:9" x14ac:dyDescent="0.2">
      <c r="A106" s="126">
        <v>2024</v>
      </c>
      <c r="B106" t="s">
        <v>689</v>
      </c>
      <c r="C106" s="14" t="s">
        <v>419</v>
      </c>
      <c r="D106" s="14" t="s">
        <v>687</v>
      </c>
      <c r="E106" s="14" t="s">
        <v>687</v>
      </c>
      <c r="F106" s="14" t="s">
        <v>419</v>
      </c>
      <c r="G106" s="14" t="s">
        <v>222</v>
      </c>
      <c r="H106" s="14">
        <v>185.5</v>
      </c>
      <c r="I106" s="129">
        <v>7413</v>
      </c>
    </row>
    <row r="107" spans="1:9" x14ac:dyDescent="0.2">
      <c r="A107" s="126">
        <v>2024</v>
      </c>
      <c r="B107" t="s">
        <v>691</v>
      </c>
      <c r="C107" s="14" t="s">
        <v>420</v>
      </c>
      <c r="D107" s="14" t="s">
        <v>687</v>
      </c>
      <c r="E107" s="14" t="s">
        <v>687</v>
      </c>
      <c r="F107" s="14" t="s">
        <v>420</v>
      </c>
      <c r="G107" s="14" t="s">
        <v>663</v>
      </c>
      <c r="H107" s="14">
        <v>1202</v>
      </c>
      <c r="I107" s="129">
        <v>7413</v>
      </c>
    </row>
    <row r="108" spans="1:9" x14ac:dyDescent="0.2">
      <c r="A108" s="126">
        <v>2024</v>
      </c>
      <c r="B108" t="s">
        <v>686</v>
      </c>
      <c r="C108" s="14" t="s">
        <v>421</v>
      </c>
      <c r="D108" s="14" t="s">
        <v>687</v>
      </c>
      <c r="E108" s="14" t="s">
        <v>687</v>
      </c>
      <c r="F108" s="14" t="s">
        <v>421</v>
      </c>
      <c r="G108" s="14" t="s">
        <v>664</v>
      </c>
      <c r="H108" s="14">
        <v>426.5</v>
      </c>
      <c r="I108" s="129">
        <v>7462</v>
      </c>
    </row>
    <row r="109" spans="1:9" x14ac:dyDescent="0.2">
      <c r="A109" s="126">
        <v>2024</v>
      </c>
      <c r="B109" t="s">
        <v>692</v>
      </c>
      <c r="C109" s="14" t="s">
        <v>422</v>
      </c>
      <c r="D109" s="14" t="s">
        <v>687</v>
      </c>
      <c r="E109" s="14" t="s">
        <v>687</v>
      </c>
      <c r="F109" s="14" t="s">
        <v>422</v>
      </c>
      <c r="G109" s="14" t="s">
        <v>221</v>
      </c>
      <c r="H109" s="14">
        <v>1568.3</v>
      </c>
      <c r="I109" s="129">
        <v>7413</v>
      </c>
    </row>
    <row r="110" spans="1:9" x14ac:dyDescent="0.2">
      <c r="A110" s="126">
        <v>2024</v>
      </c>
      <c r="B110" t="s">
        <v>688</v>
      </c>
      <c r="C110" s="14" t="s">
        <v>423</v>
      </c>
      <c r="D110" s="14" t="s">
        <v>687</v>
      </c>
      <c r="E110" s="14" t="s">
        <v>687</v>
      </c>
      <c r="F110" s="14" t="s">
        <v>423</v>
      </c>
      <c r="G110" s="14" t="s">
        <v>220</v>
      </c>
      <c r="H110" s="14">
        <v>1055.4000000000001</v>
      </c>
      <c r="I110" s="129">
        <v>7413</v>
      </c>
    </row>
    <row r="111" spans="1:9" x14ac:dyDescent="0.2">
      <c r="A111" s="126">
        <v>2024</v>
      </c>
      <c r="B111" t="s">
        <v>691</v>
      </c>
      <c r="C111" s="14" t="s">
        <v>424</v>
      </c>
      <c r="D111" s="14" t="s">
        <v>687</v>
      </c>
      <c r="E111" s="14" t="s">
        <v>687</v>
      </c>
      <c r="F111" s="14" t="s">
        <v>424</v>
      </c>
      <c r="G111" s="14" t="s">
        <v>219</v>
      </c>
      <c r="H111" s="14">
        <v>3561</v>
      </c>
      <c r="I111" s="129">
        <v>7413</v>
      </c>
    </row>
    <row r="112" spans="1:9" x14ac:dyDescent="0.2">
      <c r="A112" s="126">
        <v>2024</v>
      </c>
      <c r="B112" t="s">
        <v>692</v>
      </c>
      <c r="C112" s="14" t="s">
        <v>425</v>
      </c>
      <c r="D112" s="14" t="s">
        <v>687</v>
      </c>
      <c r="E112" s="14" t="s">
        <v>687</v>
      </c>
      <c r="F112" s="14" t="s">
        <v>425</v>
      </c>
      <c r="G112" s="14" t="s">
        <v>218</v>
      </c>
      <c r="H112" s="14">
        <v>2102.1</v>
      </c>
      <c r="I112" s="129">
        <v>7413</v>
      </c>
    </row>
    <row r="113" spans="1:9" x14ac:dyDescent="0.2">
      <c r="A113" s="126">
        <v>2024</v>
      </c>
      <c r="B113" t="s">
        <v>689</v>
      </c>
      <c r="C113" s="14" t="s">
        <v>426</v>
      </c>
      <c r="D113" s="14" t="s">
        <v>687</v>
      </c>
      <c r="E113" s="14" t="s">
        <v>687</v>
      </c>
      <c r="F113" s="14" t="s">
        <v>426</v>
      </c>
      <c r="G113" s="14" t="s">
        <v>217</v>
      </c>
      <c r="H113" s="14">
        <v>434</v>
      </c>
      <c r="I113" s="129">
        <v>7413</v>
      </c>
    </row>
    <row r="114" spans="1:9" x14ac:dyDescent="0.2">
      <c r="A114" s="126">
        <v>2024</v>
      </c>
      <c r="B114" t="s">
        <v>690</v>
      </c>
      <c r="C114" s="14" t="s">
        <v>437</v>
      </c>
      <c r="D114" s="14" t="s">
        <v>687</v>
      </c>
      <c r="E114" s="14" t="s">
        <v>687</v>
      </c>
      <c r="F114" s="14" t="s">
        <v>427</v>
      </c>
      <c r="G114" s="14" t="s">
        <v>2</v>
      </c>
      <c r="H114" s="14">
        <v>254.5</v>
      </c>
      <c r="I114" s="129">
        <v>7413</v>
      </c>
    </row>
    <row r="115" spans="1:9" x14ac:dyDescent="0.2">
      <c r="A115" s="126">
        <v>2024</v>
      </c>
      <c r="B115" t="s">
        <v>688</v>
      </c>
      <c r="C115" s="14" t="s">
        <v>427</v>
      </c>
      <c r="D115" s="14" t="s">
        <v>687</v>
      </c>
      <c r="E115" s="14" t="s">
        <v>687</v>
      </c>
      <c r="F115" s="14" t="s">
        <v>428</v>
      </c>
      <c r="G115" s="14" t="s">
        <v>216</v>
      </c>
      <c r="H115" s="14">
        <v>464</v>
      </c>
      <c r="I115" s="129">
        <v>7413</v>
      </c>
    </row>
    <row r="116" spans="1:9" x14ac:dyDescent="0.2">
      <c r="A116" s="126">
        <v>2024</v>
      </c>
      <c r="B116" t="s">
        <v>690</v>
      </c>
      <c r="C116" s="14" t="s">
        <v>428</v>
      </c>
      <c r="D116" s="14" t="s">
        <v>687</v>
      </c>
      <c r="E116" s="14" t="s">
        <v>687</v>
      </c>
      <c r="F116" s="14" t="s">
        <v>429</v>
      </c>
      <c r="G116" s="14" t="s">
        <v>215</v>
      </c>
      <c r="H116" s="14">
        <v>850</v>
      </c>
      <c r="I116" s="129">
        <v>7413</v>
      </c>
    </row>
    <row r="117" spans="1:9" x14ac:dyDescent="0.2">
      <c r="A117" s="126">
        <v>2024</v>
      </c>
      <c r="B117" t="s">
        <v>686</v>
      </c>
      <c r="C117" s="14" t="s">
        <v>429</v>
      </c>
      <c r="D117" s="14" t="s">
        <v>687</v>
      </c>
      <c r="E117" s="14" t="s">
        <v>687</v>
      </c>
      <c r="F117" s="14" t="s">
        <v>430</v>
      </c>
      <c r="G117" s="14" t="s">
        <v>214</v>
      </c>
      <c r="H117" s="14">
        <v>454.7</v>
      </c>
      <c r="I117" s="129">
        <v>7413</v>
      </c>
    </row>
    <row r="118" spans="1:9" x14ac:dyDescent="0.2">
      <c r="A118" s="126">
        <v>2024</v>
      </c>
      <c r="B118" t="s">
        <v>691</v>
      </c>
      <c r="C118" s="14" t="s">
        <v>430</v>
      </c>
      <c r="D118" s="14" t="s">
        <v>687</v>
      </c>
      <c r="E118" s="14" t="s">
        <v>687</v>
      </c>
      <c r="F118" s="14" t="s">
        <v>431</v>
      </c>
      <c r="G118" s="14" t="s">
        <v>213</v>
      </c>
      <c r="H118" s="14">
        <v>1586.7</v>
      </c>
      <c r="I118" s="129">
        <v>7413</v>
      </c>
    </row>
    <row r="119" spans="1:9" x14ac:dyDescent="0.2">
      <c r="A119" s="126">
        <v>2024</v>
      </c>
      <c r="B119" t="s">
        <v>688</v>
      </c>
      <c r="C119" s="14" t="s">
        <v>431</v>
      </c>
      <c r="D119" s="14" t="s">
        <v>687</v>
      </c>
      <c r="E119" s="14" t="s">
        <v>687</v>
      </c>
      <c r="F119" s="14" t="s">
        <v>432</v>
      </c>
      <c r="G119" s="14" t="s">
        <v>212</v>
      </c>
      <c r="H119" s="14">
        <v>174</v>
      </c>
      <c r="I119" s="129">
        <v>7545</v>
      </c>
    </row>
    <row r="120" spans="1:9" x14ac:dyDescent="0.2">
      <c r="A120" s="126">
        <v>2024</v>
      </c>
      <c r="B120" t="s">
        <v>689</v>
      </c>
      <c r="C120" s="14" t="s">
        <v>432</v>
      </c>
      <c r="D120" s="14" t="s">
        <v>687</v>
      </c>
      <c r="E120" s="14" t="s">
        <v>687</v>
      </c>
      <c r="F120" s="14" t="s">
        <v>433</v>
      </c>
      <c r="G120" s="14" t="s">
        <v>211</v>
      </c>
      <c r="H120" s="14">
        <v>617.29999999999995</v>
      </c>
      <c r="I120" s="129">
        <v>7478</v>
      </c>
    </row>
    <row r="121" spans="1:9" x14ac:dyDescent="0.2">
      <c r="A121" s="126">
        <v>2024</v>
      </c>
      <c r="B121" t="s">
        <v>686</v>
      </c>
      <c r="C121" s="14" t="s">
        <v>433</v>
      </c>
      <c r="D121" s="14" t="s">
        <v>687</v>
      </c>
      <c r="E121" s="14" t="s">
        <v>687</v>
      </c>
      <c r="F121" s="14" t="s">
        <v>434</v>
      </c>
      <c r="G121" s="14" t="s">
        <v>210</v>
      </c>
      <c r="H121" s="14">
        <v>1918.9</v>
      </c>
      <c r="I121" s="129">
        <v>7413</v>
      </c>
    </row>
    <row r="122" spans="1:9" x14ac:dyDescent="0.2">
      <c r="A122" s="126">
        <v>2024</v>
      </c>
      <c r="B122" t="s">
        <v>688</v>
      </c>
      <c r="C122" s="14" t="s">
        <v>434</v>
      </c>
      <c r="D122" s="14" t="s">
        <v>687</v>
      </c>
      <c r="E122" s="14" t="s">
        <v>687</v>
      </c>
      <c r="F122" s="14" t="s">
        <v>437</v>
      </c>
      <c r="G122" s="14" t="s">
        <v>209</v>
      </c>
      <c r="H122" s="14">
        <v>296</v>
      </c>
      <c r="I122" s="129">
        <v>7413</v>
      </c>
    </row>
    <row r="123" spans="1:9" x14ac:dyDescent="0.2">
      <c r="A123" s="126">
        <v>2024</v>
      </c>
      <c r="B123" t="s">
        <v>691</v>
      </c>
      <c r="C123" s="14" t="s">
        <v>435</v>
      </c>
      <c r="D123" s="14" t="s">
        <v>687</v>
      </c>
      <c r="E123" s="14" t="s">
        <v>687</v>
      </c>
      <c r="F123" s="14" t="s">
        <v>435</v>
      </c>
      <c r="G123" s="14" t="s">
        <v>208</v>
      </c>
      <c r="H123" s="14">
        <v>378</v>
      </c>
      <c r="I123" s="129">
        <v>7413</v>
      </c>
    </row>
    <row r="124" spans="1:9" x14ac:dyDescent="0.2">
      <c r="A124" s="126">
        <v>2024</v>
      </c>
      <c r="B124" t="s">
        <v>691</v>
      </c>
      <c r="C124" s="14" t="s">
        <v>463</v>
      </c>
      <c r="D124" s="14" t="s">
        <v>687</v>
      </c>
      <c r="E124" s="14" t="s">
        <v>687</v>
      </c>
      <c r="F124" s="14" t="s">
        <v>463</v>
      </c>
      <c r="G124" s="14" t="s">
        <v>183</v>
      </c>
      <c r="H124" s="14">
        <v>1185</v>
      </c>
      <c r="I124" s="129">
        <v>7452</v>
      </c>
    </row>
    <row r="125" spans="1:9" x14ac:dyDescent="0.2">
      <c r="A125" s="126">
        <v>2024</v>
      </c>
      <c r="B125" t="s">
        <v>688</v>
      </c>
      <c r="C125" s="14" t="s">
        <v>438</v>
      </c>
      <c r="D125" s="14" t="s">
        <v>687</v>
      </c>
      <c r="E125" s="14" t="s">
        <v>687</v>
      </c>
      <c r="F125" s="14" t="s">
        <v>438</v>
      </c>
      <c r="G125" s="14" t="s">
        <v>206</v>
      </c>
      <c r="H125" s="14">
        <v>1498.3</v>
      </c>
      <c r="I125" s="129">
        <v>7413</v>
      </c>
    </row>
    <row r="126" spans="1:9" x14ac:dyDescent="0.2">
      <c r="A126" s="126">
        <v>2024</v>
      </c>
      <c r="B126" t="s">
        <v>689</v>
      </c>
      <c r="C126" s="14" t="s">
        <v>439</v>
      </c>
      <c r="D126" s="14" t="s">
        <v>687</v>
      </c>
      <c r="E126" s="14" t="s">
        <v>687</v>
      </c>
      <c r="F126" s="14" t="s">
        <v>439</v>
      </c>
      <c r="G126" s="14" t="s">
        <v>205</v>
      </c>
      <c r="H126" s="14">
        <v>447.8</v>
      </c>
      <c r="I126" s="129">
        <v>7443</v>
      </c>
    </row>
    <row r="127" spans="1:9" x14ac:dyDescent="0.2">
      <c r="A127" s="126">
        <v>2024</v>
      </c>
      <c r="B127" t="s">
        <v>688</v>
      </c>
      <c r="C127" s="14" t="s">
        <v>440</v>
      </c>
      <c r="D127" s="14" t="s">
        <v>687</v>
      </c>
      <c r="E127" s="14" t="s">
        <v>687</v>
      </c>
      <c r="F127" s="14" t="s">
        <v>440</v>
      </c>
      <c r="G127" s="14" t="s">
        <v>204</v>
      </c>
      <c r="H127" s="14">
        <v>679.3</v>
      </c>
      <c r="I127" s="129">
        <v>7413</v>
      </c>
    </row>
    <row r="128" spans="1:9" x14ac:dyDescent="0.2">
      <c r="A128" s="126">
        <v>2024</v>
      </c>
      <c r="B128" t="s">
        <v>686</v>
      </c>
      <c r="C128" s="14" t="s">
        <v>441</v>
      </c>
      <c r="D128" s="14" t="s">
        <v>687</v>
      </c>
      <c r="E128" s="14" t="s">
        <v>687</v>
      </c>
      <c r="F128" s="14" t="s">
        <v>441</v>
      </c>
      <c r="G128" s="14" t="s">
        <v>203</v>
      </c>
      <c r="H128" s="14">
        <v>400.1</v>
      </c>
      <c r="I128" s="129">
        <v>7413</v>
      </c>
    </row>
    <row r="129" spans="1:9" x14ac:dyDescent="0.2">
      <c r="A129" s="126">
        <v>2024</v>
      </c>
      <c r="B129" t="s">
        <v>689</v>
      </c>
      <c r="C129" s="14" t="s">
        <v>443</v>
      </c>
      <c r="D129" s="14" t="s">
        <v>687</v>
      </c>
      <c r="E129" s="14" t="s">
        <v>687</v>
      </c>
      <c r="F129" s="14" t="s">
        <v>444</v>
      </c>
      <c r="G129" s="14" t="s">
        <v>21</v>
      </c>
      <c r="H129" s="14">
        <v>313.3</v>
      </c>
      <c r="I129" s="129">
        <v>7478</v>
      </c>
    </row>
    <row r="130" spans="1:9" x14ac:dyDescent="0.2">
      <c r="A130" s="126">
        <v>2024</v>
      </c>
      <c r="B130" t="s">
        <v>688</v>
      </c>
      <c r="C130" s="14" t="s">
        <v>444</v>
      </c>
      <c r="D130" s="14" t="s">
        <v>687</v>
      </c>
      <c r="E130" s="14" t="s">
        <v>687</v>
      </c>
      <c r="F130" s="14" t="s">
        <v>445</v>
      </c>
      <c r="G130" s="14" t="s">
        <v>201</v>
      </c>
      <c r="H130" s="14">
        <v>226</v>
      </c>
      <c r="I130" s="129">
        <v>7519</v>
      </c>
    </row>
    <row r="131" spans="1:9" x14ac:dyDescent="0.2">
      <c r="A131" s="126">
        <v>2024</v>
      </c>
      <c r="B131" t="s">
        <v>689</v>
      </c>
      <c r="C131" s="14" t="s">
        <v>445</v>
      </c>
      <c r="D131" s="14" t="s">
        <v>687</v>
      </c>
      <c r="E131" s="14" t="s">
        <v>687</v>
      </c>
      <c r="F131" s="14" t="s">
        <v>446</v>
      </c>
      <c r="G131" s="14" t="s">
        <v>200</v>
      </c>
      <c r="H131" s="14">
        <v>1119.5</v>
      </c>
      <c r="I131" s="129">
        <v>7413</v>
      </c>
    </row>
    <row r="132" spans="1:9" x14ac:dyDescent="0.2">
      <c r="A132" s="126">
        <v>2024</v>
      </c>
      <c r="B132" t="s">
        <v>691</v>
      </c>
      <c r="C132" s="14" t="s">
        <v>446</v>
      </c>
      <c r="D132" s="14" t="s">
        <v>687</v>
      </c>
      <c r="E132" s="14" t="s">
        <v>687</v>
      </c>
      <c r="F132" s="14" t="s">
        <v>447</v>
      </c>
      <c r="G132" s="14" t="s">
        <v>199</v>
      </c>
      <c r="H132" s="14">
        <v>1375.3</v>
      </c>
      <c r="I132" s="129">
        <v>7418</v>
      </c>
    </row>
    <row r="133" spans="1:9" x14ac:dyDescent="0.2">
      <c r="A133" s="126">
        <v>2024</v>
      </c>
      <c r="B133" t="s">
        <v>690</v>
      </c>
      <c r="C133" s="14" t="s">
        <v>447</v>
      </c>
      <c r="D133" s="14" t="s">
        <v>687</v>
      </c>
      <c r="E133" s="14" t="s">
        <v>687</v>
      </c>
      <c r="F133" s="14" t="s">
        <v>448</v>
      </c>
      <c r="G133" s="14" t="s">
        <v>198</v>
      </c>
      <c r="H133" s="14">
        <v>294</v>
      </c>
      <c r="I133" s="129">
        <v>7449</v>
      </c>
    </row>
    <row r="134" spans="1:9" x14ac:dyDescent="0.2">
      <c r="A134" s="126">
        <v>2024</v>
      </c>
      <c r="B134" t="s">
        <v>693</v>
      </c>
      <c r="C134" s="14" t="s">
        <v>448</v>
      </c>
      <c r="D134" s="14" t="s">
        <v>687</v>
      </c>
      <c r="E134" s="14" t="s">
        <v>687</v>
      </c>
      <c r="F134" s="14" t="s">
        <v>449</v>
      </c>
      <c r="G134" s="14" t="s">
        <v>197</v>
      </c>
      <c r="H134" s="14">
        <v>641.70000000000005</v>
      </c>
      <c r="I134" s="129">
        <v>7425</v>
      </c>
    </row>
    <row r="135" spans="1:9" x14ac:dyDescent="0.2">
      <c r="A135" s="126">
        <v>2024</v>
      </c>
      <c r="B135" t="s">
        <v>690</v>
      </c>
      <c r="C135" s="14" t="s">
        <v>449</v>
      </c>
      <c r="D135" s="14" t="s">
        <v>687</v>
      </c>
      <c r="E135" s="14" t="s">
        <v>687</v>
      </c>
      <c r="F135" s="14" t="s">
        <v>450</v>
      </c>
      <c r="G135" s="14" t="s">
        <v>196</v>
      </c>
      <c r="H135" s="14">
        <v>583</v>
      </c>
      <c r="I135" s="129">
        <v>7413</v>
      </c>
    </row>
    <row r="136" spans="1:9" x14ac:dyDescent="0.2">
      <c r="A136" s="126">
        <v>2024</v>
      </c>
      <c r="B136" t="s">
        <v>693</v>
      </c>
      <c r="C136" s="14" t="s">
        <v>450</v>
      </c>
      <c r="D136" s="14" t="s">
        <v>687</v>
      </c>
      <c r="E136" s="14" t="s">
        <v>687</v>
      </c>
      <c r="F136" s="14" t="s">
        <v>443</v>
      </c>
      <c r="G136" s="14" t="s">
        <v>195</v>
      </c>
      <c r="H136" s="14">
        <v>557.1</v>
      </c>
      <c r="I136" s="129">
        <v>7413</v>
      </c>
    </row>
    <row r="137" spans="1:9" x14ac:dyDescent="0.2">
      <c r="A137" s="126">
        <v>2024</v>
      </c>
      <c r="B137" t="s">
        <v>695</v>
      </c>
      <c r="C137" s="14" t="s">
        <v>451</v>
      </c>
      <c r="D137" s="14" t="s">
        <v>687</v>
      </c>
      <c r="E137" s="14" t="s">
        <v>687</v>
      </c>
      <c r="F137" s="14" t="s">
        <v>451</v>
      </c>
      <c r="G137" s="14" t="s">
        <v>194</v>
      </c>
      <c r="H137" s="14">
        <v>1151.7</v>
      </c>
      <c r="I137" s="129">
        <v>7501</v>
      </c>
    </row>
    <row r="138" spans="1:9" x14ac:dyDescent="0.2">
      <c r="A138" s="126">
        <v>2024</v>
      </c>
      <c r="B138" t="s">
        <v>688</v>
      </c>
      <c r="C138" s="14" t="s">
        <v>452</v>
      </c>
      <c r="D138" s="14" t="s">
        <v>687</v>
      </c>
      <c r="E138" s="14" t="s">
        <v>687</v>
      </c>
      <c r="F138" s="14" t="s">
        <v>452</v>
      </c>
      <c r="G138" s="14" t="s">
        <v>193</v>
      </c>
      <c r="H138" s="14">
        <v>411.8</v>
      </c>
      <c r="I138" s="129">
        <v>7490</v>
      </c>
    </row>
    <row r="139" spans="1:9" x14ac:dyDescent="0.2">
      <c r="A139" s="126">
        <v>2024</v>
      </c>
      <c r="B139" t="s">
        <v>688</v>
      </c>
      <c r="C139" s="14" t="s">
        <v>453</v>
      </c>
      <c r="D139" s="14" t="s">
        <v>687</v>
      </c>
      <c r="E139" s="14" t="s">
        <v>687</v>
      </c>
      <c r="F139" s="14" t="s">
        <v>453</v>
      </c>
      <c r="G139" s="14" t="s">
        <v>192</v>
      </c>
      <c r="H139" s="14">
        <v>714.7</v>
      </c>
      <c r="I139" s="129">
        <v>7553</v>
      </c>
    </row>
    <row r="140" spans="1:9" x14ac:dyDescent="0.2">
      <c r="A140" s="126">
        <v>2024</v>
      </c>
      <c r="B140" t="s">
        <v>691</v>
      </c>
      <c r="C140" s="14" t="s">
        <v>454</v>
      </c>
      <c r="D140" s="14" t="s">
        <v>687</v>
      </c>
      <c r="E140" s="14" t="s">
        <v>687</v>
      </c>
      <c r="F140" s="14" t="s">
        <v>454</v>
      </c>
      <c r="G140" s="14" t="s">
        <v>191</v>
      </c>
      <c r="H140" s="14">
        <v>1246.8</v>
      </c>
      <c r="I140" s="129">
        <v>7413</v>
      </c>
    </row>
    <row r="141" spans="1:9" x14ac:dyDescent="0.2">
      <c r="A141" s="126">
        <v>2024</v>
      </c>
      <c r="B141" t="s">
        <v>689</v>
      </c>
      <c r="C141" s="14" t="s">
        <v>461</v>
      </c>
      <c r="D141" s="14" t="s">
        <v>687</v>
      </c>
      <c r="E141" s="14" t="s">
        <v>687</v>
      </c>
      <c r="F141" s="14" t="s">
        <v>461</v>
      </c>
      <c r="G141" s="14" t="s">
        <v>184</v>
      </c>
      <c r="H141" s="14">
        <v>666.1</v>
      </c>
      <c r="I141" s="129">
        <v>7479</v>
      </c>
    </row>
    <row r="142" spans="1:9" x14ac:dyDescent="0.2">
      <c r="A142" s="126">
        <v>2024</v>
      </c>
      <c r="B142" t="s">
        <v>688</v>
      </c>
      <c r="C142" s="14" t="s">
        <v>455</v>
      </c>
      <c r="D142" s="14" t="s">
        <v>687</v>
      </c>
      <c r="E142" s="14" t="s">
        <v>687</v>
      </c>
      <c r="F142" s="14" t="s">
        <v>455</v>
      </c>
      <c r="G142" s="14" t="s">
        <v>190</v>
      </c>
      <c r="H142" s="14">
        <v>1383.7</v>
      </c>
      <c r="I142" s="129">
        <v>7413</v>
      </c>
    </row>
    <row r="143" spans="1:9" x14ac:dyDescent="0.2">
      <c r="A143" s="126">
        <v>2024</v>
      </c>
      <c r="B143" t="s">
        <v>686</v>
      </c>
      <c r="C143" s="14" t="s">
        <v>456</v>
      </c>
      <c r="D143" s="14" t="s">
        <v>687</v>
      </c>
      <c r="E143" s="14" t="s">
        <v>687</v>
      </c>
      <c r="F143" s="14" t="s">
        <v>456</v>
      </c>
      <c r="G143" s="14" t="s">
        <v>189</v>
      </c>
      <c r="H143" s="14">
        <v>3436.6</v>
      </c>
      <c r="I143" s="129">
        <v>7413</v>
      </c>
    </row>
    <row r="144" spans="1:9" x14ac:dyDescent="0.2">
      <c r="A144" s="126">
        <v>2024</v>
      </c>
      <c r="B144" t="s">
        <v>686</v>
      </c>
      <c r="C144" s="14" t="s">
        <v>457</v>
      </c>
      <c r="D144" s="14" t="s">
        <v>687</v>
      </c>
      <c r="E144" s="14" t="s">
        <v>687</v>
      </c>
      <c r="F144" s="14" t="s">
        <v>457</v>
      </c>
      <c r="G144" s="14" t="s">
        <v>188</v>
      </c>
      <c r="H144" s="14">
        <v>838.8</v>
      </c>
      <c r="I144" s="129">
        <v>7413</v>
      </c>
    </row>
    <row r="145" spans="1:9" x14ac:dyDescent="0.2">
      <c r="A145" s="126">
        <v>2024</v>
      </c>
      <c r="B145" t="s">
        <v>693</v>
      </c>
      <c r="C145" s="14" t="s">
        <v>458</v>
      </c>
      <c r="D145" s="14" t="s">
        <v>687</v>
      </c>
      <c r="E145" s="14" t="s">
        <v>687</v>
      </c>
      <c r="F145" s="14" t="s">
        <v>458</v>
      </c>
      <c r="G145" s="14" t="s">
        <v>187</v>
      </c>
      <c r="H145" s="14">
        <v>14439.8</v>
      </c>
      <c r="I145" s="129">
        <v>7413</v>
      </c>
    </row>
    <row r="146" spans="1:9" x14ac:dyDescent="0.2">
      <c r="A146" s="126">
        <v>2024</v>
      </c>
      <c r="B146" t="s">
        <v>688</v>
      </c>
      <c r="C146" s="14" t="s">
        <v>459</v>
      </c>
      <c r="D146" s="14" t="s">
        <v>687</v>
      </c>
      <c r="E146" s="14" t="s">
        <v>687</v>
      </c>
      <c r="F146" s="14" t="s">
        <v>459</v>
      </c>
      <c r="G146" s="14" t="s">
        <v>186</v>
      </c>
      <c r="H146" s="14">
        <v>1002.3</v>
      </c>
      <c r="I146" s="129">
        <v>7413</v>
      </c>
    </row>
    <row r="147" spans="1:9" x14ac:dyDescent="0.2">
      <c r="A147" s="126">
        <v>2024</v>
      </c>
      <c r="B147" t="s">
        <v>693</v>
      </c>
      <c r="C147" s="14" t="s">
        <v>460</v>
      </c>
      <c r="D147" s="14" t="s">
        <v>687</v>
      </c>
      <c r="E147" s="14" t="s">
        <v>687</v>
      </c>
      <c r="F147" s="14" t="s">
        <v>460</v>
      </c>
      <c r="G147" s="14" t="s">
        <v>185</v>
      </c>
      <c r="H147" s="14">
        <v>500</v>
      </c>
      <c r="I147" s="129">
        <v>7413</v>
      </c>
    </row>
    <row r="148" spans="1:9" x14ac:dyDescent="0.2">
      <c r="A148" s="126">
        <v>2024</v>
      </c>
      <c r="B148" t="s">
        <v>688</v>
      </c>
      <c r="C148" s="14" t="s">
        <v>462</v>
      </c>
      <c r="D148" s="14" t="s">
        <v>687</v>
      </c>
      <c r="E148" s="14" t="s">
        <v>687</v>
      </c>
      <c r="F148" s="14" t="s">
        <v>462</v>
      </c>
      <c r="G148" s="14" t="s">
        <v>665</v>
      </c>
      <c r="H148" s="14">
        <v>440.9</v>
      </c>
      <c r="I148" s="129">
        <v>7453</v>
      </c>
    </row>
    <row r="149" spans="1:9" x14ac:dyDescent="0.2">
      <c r="A149" s="126">
        <v>2024</v>
      </c>
      <c r="B149" t="s">
        <v>688</v>
      </c>
      <c r="C149" s="14" t="s">
        <v>464</v>
      </c>
      <c r="D149" s="14" t="s">
        <v>687</v>
      </c>
      <c r="E149" s="14" t="s">
        <v>687</v>
      </c>
      <c r="F149" s="14" t="s">
        <v>464</v>
      </c>
      <c r="G149" s="14" t="s">
        <v>182</v>
      </c>
      <c r="H149" s="14">
        <v>894.1</v>
      </c>
      <c r="I149" s="129">
        <v>7413</v>
      </c>
    </row>
    <row r="150" spans="1:9" x14ac:dyDescent="0.2">
      <c r="A150" s="126">
        <v>2024</v>
      </c>
      <c r="B150" t="s">
        <v>686</v>
      </c>
      <c r="C150" s="14" t="s">
        <v>465</v>
      </c>
      <c r="D150" s="14" t="s">
        <v>687</v>
      </c>
      <c r="E150" s="14" t="s">
        <v>687</v>
      </c>
      <c r="F150" s="14" t="s">
        <v>465</v>
      </c>
      <c r="G150" s="14" t="s">
        <v>181</v>
      </c>
      <c r="H150" s="14">
        <v>6984.8</v>
      </c>
      <c r="I150" s="129">
        <v>7413</v>
      </c>
    </row>
    <row r="151" spans="1:9" x14ac:dyDescent="0.2">
      <c r="A151" s="126">
        <v>2024</v>
      </c>
      <c r="B151" t="s">
        <v>692</v>
      </c>
      <c r="C151" s="14" t="s">
        <v>466</v>
      </c>
      <c r="D151" s="14" t="s">
        <v>687</v>
      </c>
      <c r="E151" s="14" t="s">
        <v>687</v>
      </c>
      <c r="F151" s="14" t="s">
        <v>466</v>
      </c>
      <c r="G151" s="14" t="s">
        <v>180</v>
      </c>
      <c r="H151" s="14">
        <v>1850</v>
      </c>
      <c r="I151" s="129">
        <v>7413</v>
      </c>
    </row>
    <row r="152" spans="1:9" x14ac:dyDescent="0.2">
      <c r="A152" s="126">
        <v>2024</v>
      </c>
      <c r="B152" t="s">
        <v>692</v>
      </c>
      <c r="C152" s="14" t="s">
        <v>467</v>
      </c>
      <c r="D152" s="14" t="s">
        <v>687</v>
      </c>
      <c r="E152" s="14" t="s">
        <v>687</v>
      </c>
      <c r="F152" s="14" t="s">
        <v>467</v>
      </c>
      <c r="G152" s="14" t="s">
        <v>179</v>
      </c>
      <c r="H152" s="14">
        <v>360.7</v>
      </c>
      <c r="I152" s="129">
        <v>7422</v>
      </c>
    </row>
    <row r="153" spans="1:9" x14ac:dyDescent="0.2">
      <c r="A153" s="126">
        <v>2024</v>
      </c>
      <c r="B153" t="s">
        <v>690</v>
      </c>
      <c r="C153" s="14" t="s">
        <v>468</v>
      </c>
      <c r="D153" s="14" t="s">
        <v>687</v>
      </c>
      <c r="E153" s="14" t="s">
        <v>687</v>
      </c>
      <c r="F153" s="14" t="s">
        <v>468</v>
      </c>
      <c r="G153" s="14" t="s">
        <v>178</v>
      </c>
      <c r="H153" s="14">
        <v>471.1</v>
      </c>
      <c r="I153" s="129">
        <v>7481</v>
      </c>
    </row>
    <row r="154" spans="1:9" x14ac:dyDescent="0.2">
      <c r="A154" s="126">
        <v>2024</v>
      </c>
      <c r="B154" t="s">
        <v>686</v>
      </c>
      <c r="C154" s="14" t="s">
        <v>469</v>
      </c>
      <c r="D154" s="14" t="s">
        <v>687</v>
      </c>
      <c r="E154" s="14" t="s">
        <v>687</v>
      </c>
      <c r="F154" s="14" t="s">
        <v>469</v>
      </c>
      <c r="G154" s="14" t="s">
        <v>177</v>
      </c>
      <c r="H154" s="14">
        <v>1761.2</v>
      </c>
      <c r="I154" s="129">
        <v>7413</v>
      </c>
    </row>
    <row r="155" spans="1:9" x14ac:dyDescent="0.2">
      <c r="A155" s="126">
        <v>2024</v>
      </c>
      <c r="B155" t="s">
        <v>688</v>
      </c>
      <c r="C155" s="14" t="s">
        <v>470</v>
      </c>
      <c r="D155" s="14" t="s">
        <v>687</v>
      </c>
      <c r="E155" s="14" t="s">
        <v>687</v>
      </c>
      <c r="F155" s="14" t="s">
        <v>470</v>
      </c>
      <c r="G155" s="14" t="s">
        <v>176</v>
      </c>
      <c r="H155" s="14">
        <v>565.1</v>
      </c>
      <c r="I155" s="129">
        <v>7413</v>
      </c>
    </row>
    <row r="156" spans="1:9" x14ac:dyDescent="0.2">
      <c r="A156" s="126">
        <v>2024</v>
      </c>
      <c r="B156" t="s">
        <v>689</v>
      </c>
      <c r="C156" s="14" t="s">
        <v>471</v>
      </c>
      <c r="D156" s="14" t="s">
        <v>687</v>
      </c>
      <c r="E156" s="14" t="s">
        <v>687</v>
      </c>
      <c r="F156" s="14" t="s">
        <v>471</v>
      </c>
      <c r="G156" s="14" t="s">
        <v>175</v>
      </c>
      <c r="H156" s="14">
        <v>336.8</v>
      </c>
      <c r="I156" s="129">
        <v>7413</v>
      </c>
    </row>
    <row r="157" spans="1:9" x14ac:dyDescent="0.2">
      <c r="A157" s="126">
        <v>2024</v>
      </c>
      <c r="B157" t="s">
        <v>691</v>
      </c>
      <c r="C157" s="14" t="s">
        <v>472</v>
      </c>
      <c r="D157" s="14" t="s">
        <v>687</v>
      </c>
      <c r="E157" s="14" t="s">
        <v>687</v>
      </c>
      <c r="F157" s="14" t="s">
        <v>472</v>
      </c>
      <c r="G157" s="14" t="s">
        <v>174</v>
      </c>
      <c r="H157" s="14">
        <v>299.3</v>
      </c>
      <c r="I157" s="129">
        <v>7413</v>
      </c>
    </row>
    <row r="158" spans="1:9" x14ac:dyDescent="0.2">
      <c r="A158" s="126">
        <v>2024</v>
      </c>
      <c r="B158" t="s">
        <v>690</v>
      </c>
      <c r="C158" s="14" t="s">
        <v>473</v>
      </c>
      <c r="D158" s="14" t="s">
        <v>687</v>
      </c>
      <c r="E158" s="14" t="s">
        <v>687</v>
      </c>
      <c r="F158" s="14" t="s">
        <v>473</v>
      </c>
      <c r="G158" s="14" t="s">
        <v>173</v>
      </c>
      <c r="H158" s="14">
        <v>611.5</v>
      </c>
      <c r="I158" s="129">
        <v>7413</v>
      </c>
    </row>
    <row r="159" spans="1:9" x14ac:dyDescent="0.2">
      <c r="A159" s="126">
        <v>2024</v>
      </c>
      <c r="B159" t="s">
        <v>690</v>
      </c>
      <c r="C159" s="14" t="s">
        <v>475</v>
      </c>
      <c r="D159" s="14" t="s">
        <v>687</v>
      </c>
      <c r="E159" s="14" t="s">
        <v>687</v>
      </c>
      <c r="F159" s="14" t="s">
        <v>475</v>
      </c>
      <c r="G159" s="14" t="s">
        <v>172</v>
      </c>
      <c r="H159" s="14">
        <v>2235.3000000000002</v>
      </c>
      <c r="I159" s="129">
        <v>7413</v>
      </c>
    </row>
    <row r="160" spans="1:9" x14ac:dyDescent="0.2">
      <c r="A160" s="126">
        <v>2024</v>
      </c>
      <c r="B160" t="s">
        <v>689</v>
      </c>
      <c r="C160" s="14" t="s">
        <v>476</v>
      </c>
      <c r="D160" s="14" t="s">
        <v>687</v>
      </c>
      <c r="E160" s="14" t="s">
        <v>687</v>
      </c>
      <c r="F160" s="14" t="s">
        <v>476</v>
      </c>
      <c r="G160" s="14" t="s">
        <v>171</v>
      </c>
      <c r="H160" s="14">
        <v>450.4</v>
      </c>
      <c r="I160" s="129">
        <v>7413</v>
      </c>
    </row>
    <row r="161" spans="1:9" x14ac:dyDescent="0.2">
      <c r="A161" s="126">
        <v>2024</v>
      </c>
      <c r="B161" t="s">
        <v>689</v>
      </c>
      <c r="C161" s="14" t="s">
        <v>477</v>
      </c>
      <c r="D161" s="14" t="s">
        <v>687</v>
      </c>
      <c r="E161" s="14" t="s">
        <v>687</v>
      </c>
      <c r="F161" s="14" t="s">
        <v>477</v>
      </c>
      <c r="G161" s="14" t="s">
        <v>170</v>
      </c>
      <c r="H161" s="14">
        <v>2655.6</v>
      </c>
      <c r="I161" s="129">
        <v>7413</v>
      </c>
    </row>
    <row r="162" spans="1:9" x14ac:dyDescent="0.2">
      <c r="A162" s="126">
        <v>2024</v>
      </c>
      <c r="B162" t="s">
        <v>693</v>
      </c>
      <c r="C162" s="14" t="s">
        <v>479</v>
      </c>
      <c r="D162" s="14" t="s">
        <v>687</v>
      </c>
      <c r="E162" s="14" t="s">
        <v>687</v>
      </c>
      <c r="F162" s="14" t="s">
        <v>479</v>
      </c>
      <c r="G162" s="14" t="s">
        <v>168</v>
      </c>
      <c r="H162" s="14">
        <v>7685.5</v>
      </c>
      <c r="I162" s="129">
        <v>7413</v>
      </c>
    </row>
    <row r="163" spans="1:9" x14ac:dyDescent="0.2">
      <c r="A163" s="126">
        <v>2024</v>
      </c>
      <c r="B163" t="s">
        <v>693</v>
      </c>
      <c r="C163" s="14" t="s">
        <v>480</v>
      </c>
      <c r="D163" s="14" t="s">
        <v>687</v>
      </c>
      <c r="E163" s="14" t="s">
        <v>687</v>
      </c>
      <c r="F163" s="14" t="s">
        <v>480</v>
      </c>
      <c r="G163" s="14" t="s">
        <v>167</v>
      </c>
      <c r="H163" s="14">
        <v>671.1</v>
      </c>
      <c r="I163" s="129">
        <v>7413</v>
      </c>
    </row>
    <row r="164" spans="1:9" x14ac:dyDescent="0.2">
      <c r="A164" s="126">
        <v>2024</v>
      </c>
      <c r="B164" t="s">
        <v>689</v>
      </c>
      <c r="C164" s="14" t="s">
        <v>481</v>
      </c>
      <c r="D164" s="14" t="s">
        <v>687</v>
      </c>
      <c r="E164" s="14" t="s">
        <v>687</v>
      </c>
      <c r="F164" s="14" t="s">
        <v>481</v>
      </c>
      <c r="G164" s="14" t="s">
        <v>166</v>
      </c>
      <c r="H164" s="14">
        <v>602.9</v>
      </c>
      <c r="I164" s="129">
        <v>7413</v>
      </c>
    </row>
    <row r="165" spans="1:9" x14ac:dyDescent="0.2">
      <c r="A165" s="126">
        <v>2024</v>
      </c>
      <c r="B165" t="s">
        <v>693</v>
      </c>
      <c r="C165" s="14" t="s">
        <v>482</v>
      </c>
      <c r="D165" s="14" t="s">
        <v>687</v>
      </c>
      <c r="E165" s="14" t="s">
        <v>687</v>
      </c>
      <c r="F165" s="14" t="s">
        <v>482</v>
      </c>
      <c r="G165" s="14" t="s">
        <v>165</v>
      </c>
      <c r="H165" s="14">
        <v>316.8</v>
      </c>
      <c r="I165" s="129">
        <v>7413</v>
      </c>
    </row>
    <row r="166" spans="1:9" x14ac:dyDescent="0.2">
      <c r="A166" s="126">
        <v>2024</v>
      </c>
      <c r="B166" t="s">
        <v>696</v>
      </c>
      <c r="C166" s="14" t="s">
        <v>483</v>
      </c>
      <c r="D166" s="14" t="s">
        <v>687</v>
      </c>
      <c r="E166" s="14" t="s">
        <v>687</v>
      </c>
      <c r="F166" s="14" t="s">
        <v>483</v>
      </c>
      <c r="G166" s="14" t="s">
        <v>164</v>
      </c>
      <c r="H166" s="14">
        <v>687.2</v>
      </c>
      <c r="I166" s="129">
        <v>7413</v>
      </c>
    </row>
    <row r="167" spans="1:9" x14ac:dyDescent="0.2">
      <c r="A167" s="126">
        <v>2024</v>
      </c>
      <c r="B167" t="s">
        <v>686</v>
      </c>
      <c r="C167" s="14" t="s">
        <v>485</v>
      </c>
      <c r="D167" s="14" t="s">
        <v>687</v>
      </c>
      <c r="E167" s="14" t="s">
        <v>687</v>
      </c>
      <c r="F167" s="14" t="s">
        <v>485</v>
      </c>
      <c r="G167" s="14" t="s">
        <v>163</v>
      </c>
      <c r="H167" s="14">
        <v>450</v>
      </c>
      <c r="I167" s="129">
        <v>7413</v>
      </c>
    </row>
    <row r="168" spans="1:9" x14ac:dyDescent="0.2">
      <c r="A168" s="126">
        <v>2024</v>
      </c>
      <c r="B168" t="s">
        <v>686</v>
      </c>
      <c r="C168" s="14" t="s">
        <v>503</v>
      </c>
      <c r="D168" s="14" t="s">
        <v>687</v>
      </c>
      <c r="E168" s="14" t="s">
        <v>687</v>
      </c>
      <c r="F168" s="14" t="s">
        <v>486</v>
      </c>
      <c r="G168" s="14" t="s">
        <v>666</v>
      </c>
      <c r="H168" s="14">
        <v>806.5</v>
      </c>
      <c r="I168" s="129">
        <v>7415</v>
      </c>
    </row>
    <row r="169" spans="1:9" x14ac:dyDescent="0.2">
      <c r="A169" s="126">
        <v>2024</v>
      </c>
      <c r="B169" t="s">
        <v>691</v>
      </c>
      <c r="C169" s="14" t="s">
        <v>486</v>
      </c>
      <c r="D169" s="14" t="s">
        <v>687</v>
      </c>
      <c r="E169" s="14" t="s">
        <v>687</v>
      </c>
      <c r="F169" s="14" t="s">
        <v>488</v>
      </c>
      <c r="G169" s="14" t="s">
        <v>162</v>
      </c>
      <c r="H169" s="14">
        <v>670</v>
      </c>
      <c r="I169" s="129">
        <v>7413</v>
      </c>
    </row>
    <row r="170" spans="1:9" x14ac:dyDescent="0.2">
      <c r="A170" s="126">
        <v>2024</v>
      </c>
      <c r="B170" t="s">
        <v>690</v>
      </c>
      <c r="C170" s="14" t="s">
        <v>488</v>
      </c>
      <c r="D170" s="14" t="s">
        <v>687</v>
      </c>
      <c r="E170" s="14" t="s">
        <v>687</v>
      </c>
      <c r="F170" s="14" t="s">
        <v>489</v>
      </c>
      <c r="G170" s="14" t="s">
        <v>667</v>
      </c>
      <c r="H170" s="14">
        <v>655.6</v>
      </c>
      <c r="I170" s="129">
        <v>7438</v>
      </c>
    </row>
    <row r="171" spans="1:9" x14ac:dyDescent="0.2">
      <c r="A171" s="126">
        <v>2024</v>
      </c>
      <c r="B171" t="s">
        <v>696</v>
      </c>
      <c r="C171" s="14" t="s">
        <v>489</v>
      </c>
      <c r="D171" s="14" t="s">
        <v>687</v>
      </c>
      <c r="E171" s="14" t="s">
        <v>687</v>
      </c>
      <c r="F171" s="14" t="s">
        <v>490</v>
      </c>
      <c r="G171" s="14" t="s">
        <v>160</v>
      </c>
      <c r="H171" s="14">
        <v>593.79999999999995</v>
      </c>
      <c r="I171" s="129">
        <v>7485</v>
      </c>
    </row>
    <row r="172" spans="1:9" x14ac:dyDescent="0.2">
      <c r="A172" s="126">
        <v>2024</v>
      </c>
      <c r="B172" t="s">
        <v>695</v>
      </c>
      <c r="C172" s="14" t="s">
        <v>490</v>
      </c>
      <c r="D172" s="14" t="s">
        <v>687</v>
      </c>
      <c r="E172" s="14" t="s">
        <v>687</v>
      </c>
      <c r="F172" s="14" t="s">
        <v>491</v>
      </c>
      <c r="G172" s="14" t="s">
        <v>159</v>
      </c>
      <c r="H172" s="14">
        <v>1200</v>
      </c>
      <c r="I172" s="129">
        <v>7413</v>
      </c>
    </row>
    <row r="173" spans="1:9" x14ac:dyDescent="0.2">
      <c r="A173" s="126">
        <v>2024</v>
      </c>
      <c r="B173" t="s">
        <v>690</v>
      </c>
      <c r="C173" s="14" t="s">
        <v>491</v>
      </c>
      <c r="D173" s="14" t="s">
        <v>687</v>
      </c>
      <c r="E173" s="14" t="s">
        <v>687</v>
      </c>
      <c r="F173" s="14" t="s">
        <v>492</v>
      </c>
      <c r="G173" s="14" t="s">
        <v>158</v>
      </c>
      <c r="H173" s="14">
        <v>663.1</v>
      </c>
      <c r="I173" s="129">
        <v>7413</v>
      </c>
    </row>
    <row r="174" spans="1:9" x14ac:dyDescent="0.2">
      <c r="A174" s="126">
        <v>2024</v>
      </c>
      <c r="B174" t="s">
        <v>693</v>
      </c>
      <c r="C174" s="14" t="s">
        <v>492</v>
      </c>
      <c r="D174" s="14" t="s">
        <v>687</v>
      </c>
      <c r="E174" s="14" t="s">
        <v>687</v>
      </c>
      <c r="F174" s="14" t="s">
        <v>493</v>
      </c>
      <c r="G174" s="14" t="s">
        <v>668</v>
      </c>
      <c r="H174" s="14">
        <v>465.2</v>
      </c>
      <c r="I174" s="129">
        <v>7413</v>
      </c>
    </row>
    <row r="175" spans="1:9" x14ac:dyDescent="0.2">
      <c r="A175" s="126">
        <v>2024</v>
      </c>
      <c r="B175" t="s">
        <v>688</v>
      </c>
      <c r="C175" s="14" t="s">
        <v>493</v>
      </c>
      <c r="D175" s="14" t="s">
        <v>687</v>
      </c>
      <c r="E175" s="14" t="s">
        <v>687</v>
      </c>
      <c r="F175" s="14" t="s">
        <v>494</v>
      </c>
      <c r="G175" s="14" t="s">
        <v>669</v>
      </c>
      <c r="H175" s="14">
        <v>1797.6</v>
      </c>
      <c r="I175" s="129">
        <v>7480</v>
      </c>
    </row>
    <row r="176" spans="1:9" x14ac:dyDescent="0.2">
      <c r="A176" s="126">
        <v>2024</v>
      </c>
      <c r="B176" t="s">
        <v>686</v>
      </c>
      <c r="C176" s="14" t="s">
        <v>494</v>
      </c>
      <c r="D176" s="14" t="s">
        <v>687</v>
      </c>
      <c r="E176" s="14" t="s">
        <v>687</v>
      </c>
      <c r="F176" s="14" t="s">
        <v>495</v>
      </c>
      <c r="G176" s="14" t="s">
        <v>157</v>
      </c>
      <c r="H176" s="14">
        <v>5374.9</v>
      </c>
      <c r="I176" s="129">
        <v>7419</v>
      </c>
    </row>
    <row r="177" spans="1:9" x14ac:dyDescent="0.2">
      <c r="A177" s="126">
        <v>2024</v>
      </c>
      <c r="B177" t="s">
        <v>688</v>
      </c>
      <c r="C177" s="14" t="s">
        <v>495</v>
      </c>
      <c r="D177" s="14" t="s">
        <v>687</v>
      </c>
      <c r="E177" s="14" t="s">
        <v>687</v>
      </c>
      <c r="F177" s="14" t="s">
        <v>496</v>
      </c>
      <c r="G177" s="14" t="s">
        <v>156</v>
      </c>
      <c r="H177" s="14">
        <v>511.4</v>
      </c>
      <c r="I177" s="129">
        <v>7413</v>
      </c>
    </row>
    <row r="178" spans="1:9" x14ac:dyDescent="0.2">
      <c r="A178" s="126">
        <v>2024</v>
      </c>
      <c r="B178" t="s">
        <v>692</v>
      </c>
      <c r="C178" s="14" t="s">
        <v>496</v>
      </c>
      <c r="D178" s="14" t="s">
        <v>687</v>
      </c>
      <c r="E178" s="14" t="s">
        <v>687</v>
      </c>
      <c r="F178" s="14" t="s">
        <v>498</v>
      </c>
      <c r="G178" s="14" t="s">
        <v>155</v>
      </c>
      <c r="H178" s="14">
        <v>3404.6</v>
      </c>
      <c r="I178" s="129">
        <v>7450</v>
      </c>
    </row>
    <row r="179" spans="1:9" x14ac:dyDescent="0.2">
      <c r="A179" s="126">
        <v>2024</v>
      </c>
      <c r="B179" t="s">
        <v>686</v>
      </c>
      <c r="C179" s="14" t="s">
        <v>498</v>
      </c>
      <c r="D179" s="14" t="s">
        <v>687</v>
      </c>
      <c r="E179" s="14" t="s">
        <v>687</v>
      </c>
      <c r="F179" s="14" t="s">
        <v>499</v>
      </c>
      <c r="G179" s="14" t="s">
        <v>154</v>
      </c>
      <c r="H179" s="14">
        <v>875.3</v>
      </c>
      <c r="I179" s="129">
        <v>7413</v>
      </c>
    </row>
    <row r="180" spans="1:9" x14ac:dyDescent="0.2">
      <c r="A180" s="126">
        <v>2024</v>
      </c>
      <c r="B180" t="s">
        <v>695</v>
      </c>
      <c r="C180" s="14" t="s">
        <v>499</v>
      </c>
      <c r="D180" s="14" t="s">
        <v>687</v>
      </c>
      <c r="E180" s="14" t="s">
        <v>687</v>
      </c>
      <c r="F180" s="14" t="s">
        <v>503</v>
      </c>
      <c r="G180" s="14" t="s">
        <v>153</v>
      </c>
      <c r="H180" s="14">
        <v>307.7</v>
      </c>
      <c r="I180" s="129">
        <v>7413</v>
      </c>
    </row>
    <row r="181" spans="1:9" x14ac:dyDescent="0.2">
      <c r="A181" s="126">
        <v>2024</v>
      </c>
      <c r="B181" t="s">
        <v>693</v>
      </c>
      <c r="C181" s="14" t="s">
        <v>501</v>
      </c>
      <c r="D181" s="14" t="s">
        <v>687</v>
      </c>
      <c r="E181" s="14" t="s">
        <v>687</v>
      </c>
      <c r="F181" s="14" t="s">
        <v>500</v>
      </c>
      <c r="G181" s="14" t="s">
        <v>151</v>
      </c>
      <c r="H181" s="14">
        <v>1227.9000000000001</v>
      </c>
      <c r="I181" s="129">
        <v>7413</v>
      </c>
    </row>
    <row r="182" spans="1:9" x14ac:dyDescent="0.2">
      <c r="A182" s="126">
        <v>2024</v>
      </c>
      <c r="B182" t="s">
        <v>693</v>
      </c>
      <c r="C182" s="14" t="s">
        <v>500</v>
      </c>
      <c r="D182" s="14" t="s">
        <v>687</v>
      </c>
      <c r="E182" s="14" t="s">
        <v>687</v>
      </c>
      <c r="F182" s="14" t="s">
        <v>501</v>
      </c>
      <c r="G182" s="14" t="s">
        <v>152</v>
      </c>
      <c r="H182" s="14">
        <v>501.8</v>
      </c>
      <c r="I182" s="129">
        <v>7467</v>
      </c>
    </row>
    <row r="183" spans="1:9" x14ac:dyDescent="0.2">
      <c r="A183" s="126">
        <v>2024</v>
      </c>
      <c r="B183" t="s">
        <v>689</v>
      </c>
      <c r="C183" s="14" t="s">
        <v>502</v>
      </c>
      <c r="D183" s="14" t="s">
        <v>687</v>
      </c>
      <c r="E183" s="14" t="s">
        <v>687</v>
      </c>
      <c r="F183" s="14" t="s">
        <v>502</v>
      </c>
      <c r="G183" s="14" t="s">
        <v>150</v>
      </c>
      <c r="H183" s="14">
        <v>762.6</v>
      </c>
      <c r="I183" s="129">
        <v>7413</v>
      </c>
    </row>
    <row r="184" spans="1:9" x14ac:dyDescent="0.2">
      <c r="A184" s="126">
        <v>2024</v>
      </c>
      <c r="B184" t="s">
        <v>690</v>
      </c>
      <c r="C184" s="14" t="s">
        <v>497</v>
      </c>
      <c r="D184" s="14" t="s">
        <v>687</v>
      </c>
      <c r="E184" s="14" t="s">
        <v>687</v>
      </c>
      <c r="F184" s="14" t="s">
        <v>497</v>
      </c>
      <c r="G184" s="14" t="s">
        <v>670</v>
      </c>
      <c r="H184" s="14">
        <v>1516.1</v>
      </c>
      <c r="I184" s="129">
        <v>7418</v>
      </c>
    </row>
    <row r="185" spans="1:9" x14ac:dyDescent="0.2">
      <c r="A185" s="126">
        <v>2024</v>
      </c>
      <c r="B185" t="s">
        <v>688</v>
      </c>
      <c r="C185" s="14" t="s">
        <v>504</v>
      </c>
      <c r="D185" s="14" t="s">
        <v>687</v>
      </c>
      <c r="E185" s="14" t="s">
        <v>687</v>
      </c>
      <c r="F185" s="14" t="s">
        <v>504</v>
      </c>
      <c r="G185" s="14" t="s">
        <v>149</v>
      </c>
      <c r="H185" s="14">
        <v>469.1</v>
      </c>
      <c r="I185" s="129">
        <v>7413</v>
      </c>
    </row>
    <row r="186" spans="1:9" x14ac:dyDescent="0.2">
      <c r="A186" s="126">
        <v>2024</v>
      </c>
      <c r="B186" t="s">
        <v>693</v>
      </c>
      <c r="C186" s="14" t="s">
        <v>505</v>
      </c>
      <c r="D186" s="14" t="s">
        <v>687</v>
      </c>
      <c r="E186" s="14" t="s">
        <v>687</v>
      </c>
      <c r="F186" s="14" t="s">
        <v>505</v>
      </c>
      <c r="G186" s="14" t="s">
        <v>148</v>
      </c>
      <c r="H186" s="14">
        <v>969.2</v>
      </c>
      <c r="I186" s="129">
        <v>7413</v>
      </c>
    </row>
    <row r="187" spans="1:9" x14ac:dyDescent="0.2">
      <c r="A187" s="126">
        <v>2024</v>
      </c>
      <c r="B187" t="s">
        <v>692</v>
      </c>
      <c r="C187" s="14" t="s">
        <v>506</v>
      </c>
      <c r="D187" s="14" t="s">
        <v>687</v>
      </c>
      <c r="E187" s="14" t="s">
        <v>687</v>
      </c>
      <c r="F187" s="14" t="s">
        <v>506</v>
      </c>
      <c r="G187" s="14" t="s">
        <v>147</v>
      </c>
      <c r="H187" s="14">
        <v>345.5</v>
      </c>
      <c r="I187" s="129">
        <v>7413</v>
      </c>
    </row>
    <row r="188" spans="1:9" x14ac:dyDescent="0.2">
      <c r="A188" s="126">
        <v>2024</v>
      </c>
      <c r="B188" t="s">
        <v>689</v>
      </c>
      <c r="C188" s="14" t="s">
        <v>507</v>
      </c>
      <c r="D188" s="14" t="s">
        <v>687</v>
      </c>
      <c r="E188" s="14" t="s">
        <v>687</v>
      </c>
      <c r="F188" s="14" t="s">
        <v>507</v>
      </c>
      <c r="G188" s="14" t="s">
        <v>146</v>
      </c>
      <c r="H188" s="14">
        <v>211.6</v>
      </c>
      <c r="I188" s="129">
        <v>7452</v>
      </c>
    </row>
    <row r="189" spans="1:9" x14ac:dyDescent="0.2">
      <c r="A189" s="126">
        <v>2024</v>
      </c>
      <c r="B189" t="s">
        <v>692</v>
      </c>
      <c r="C189" s="14" t="s">
        <v>508</v>
      </c>
      <c r="D189" s="14" t="s">
        <v>687</v>
      </c>
      <c r="E189" s="14" t="s">
        <v>687</v>
      </c>
      <c r="F189" s="14" t="s">
        <v>508</v>
      </c>
      <c r="G189" s="14" t="s">
        <v>145</v>
      </c>
      <c r="H189" s="14">
        <v>194</v>
      </c>
      <c r="I189" s="129">
        <v>7413</v>
      </c>
    </row>
    <row r="190" spans="1:9" x14ac:dyDescent="0.2">
      <c r="A190" s="126">
        <v>2024</v>
      </c>
      <c r="B190" t="s">
        <v>692</v>
      </c>
      <c r="C190" s="14" t="s">
        <v>509</v>
      </c>
      <c r="D190" s="14" t="s">
        <v>687</v>
      </c>
      <c r="E190" s="14" t="s">
        <v>687</v>
      </c>
      <c r="F190" s="14" t="s">
        <v>509</v>
      </c>
      <c r="G190" s="14" t="s">
        <v>144</v>
      </c>
      <c r="H190" s="14">
        <v>184.9</v>
      </c>
      <c r="I190" s="129">
        <v>7413</v>
      </c>
    </row>
    <row r="191" spans="1:9" x14ac:dyDescent="0.2">
      <c r="A191" s="126">
        <v>2024</v>
      </c>
      <c r="B191" t="s">
        <v>689</v>
      </c>
      <c r="C191" s="14" t="s">
        <v>510</v>
      </c>
      <c r="D191" s="14" t="s">
        <v>687</v>
      </c>
      <c r="E191" s="14" t="s">
        <v>687</v>
      </c>
      <c r="F191" s="14" t="s">
        <v>510</v>
      </c>
      <c r="G191" s="14" t="s">
        <v>143</v>
      </c>
      <c r="H191" s="14">
        <v>598.29999999999995</v>
      </c>
      <c r="I191" s="129">
        <v>7413</v>
      </c>
    </row>
    <row r="192" spans="1:9" x14ac:dyDescent="0.2">
      <c r="A192" s="126">
        <v>2024</v>
      </c>
      <c r="B192" t="s">
        <v>692</v>
      </c>
      <c r="C192" s="14" t="s">
        <v>511</v>
      </c>
      <c r="D192" s="14" t="s">
        <v>687</v>
      </c>
      <c r="E192" s="14" t="s">
        <v>687</v>
      </c>
      <c r="F192" s="14" t="s">
        <v>511</v>
      </c>
      <c r="G192" s="14" t="s">
        <v>142</v>
      </c>
      <c r="H192" s="14">
        <v>1791.9</v>
      </c>
      <c r="I192" s="129">
        <v>7413</v>
      </c>
    </row>
    <row r="193" spans="1:9" x14ac:dyDescent="0.2">
      <c r="A193" s="126">
        <v>2024</v>
      </c>
      <c r="B193" t="s">
        <v>693</v>
      </c>
      <c r="C193" s="14" t="s">
        <v>512</v>
      </c>
      <c r="D193" s="14" t="s">
        <v>687</v>
      </c>
      <c r="E193" s="14" t="s">
        <v>687</v>
      </c>
      <c r="F193" s="14" t="s">
        <v>512</v>
      </c>
      <c r="G193" s="14" t="s">
        <v>141</v>
      </c>
      <c r="H193" s="14">
        <v>1111.2</v>
      </c>
      <c r="I193" s="129">
        <v>7413</v>
      </c>
    </row>
    <row r="194" spans="1:9" x14ac:dyDescent="0.2">
      <c r="A194" s="126">
        <v>2024</v>
      </c>
      <c r="B194" t="s">
        <v>689</v>
      </c>
      <c r="C194" s="14" t="s">
        <v>513</v>
      </c>
      <c r="D194" s="14" t="s">
        <v>687</v>
      </c>
      <c r="E194" s="14" t="s">
        <v>687</v>
      </c>
      <c r="F194" s="14" t="s">
        <v>513</v>
      </c>
      <c r="G194" s="14" t="s">
        <v>140</v>
      </c>
      <c r="H194" s="14">
        <v>221.8</v>
      </c>
      <c r="I194" s="129">
        <v>7413</v>
      </c>
    </row>
    <row r="195" spans="1:9" x14ac:dyDescent="0.2">
      <c r="A195" s="126">
        <v>2024</v>
      </c>
      <c r="B195" t="s">
        <v>696</v>
      </c>
      <c r="C195" s="14" t="s">
        <v>514</v>
      </c>
      <c r="D195" s="14" t="s">
        <v>687</v>
      </c>
      <c r="E195" s="14" t="s">
        <v>687</v>
      </c>
      <c r="F195" s="14" t="s">
        <v>514</v>
      </c>
      <c r="G195" s="14" t="s">
        <v>139</v>
      </c>
      <c r="H195" s="14">
        <v>4574.8</v>
      </c>
      <c r="I195" s="129">
        <v>7413</v>
      </c>
    </row>
    <row r="196" spans="1:9" x14ac:dyDescent="0.2">
      <c r="A196" s="126">
        <v>2024</v>
      </c>
      <c r="B196" t="s">
        <v>688</v>
      </c>
      <c r="C196" s="14" t="s">
        <v>515</v>
      </c>
      <c r="D196" s="14" t="s">
        <v>687</v>
      </c>
      <c r="E196" s="14" t="s">
        <v>687</v>
      </c>
      <c r="F196" s="14" t="s">
        <v>515</v>
      </c>
      <c r="G196" s="14" t="s">
        <v>138</v>
      </c>
      <c r="H196" s="14">
        <v>592.6</v>
      </c>
      <c r="I196" s="129">
        <v>7490</v>
      </c>
    </row>
    <row r="197" spans="1:9" x14ac:dyDescent="0.2">
      <c r="A197" s="126">
        <v>2024</v>
      </c>
      <c r="B197" t="s">
        <v>686</v>
      </c>
      <c r="C197" s="14" t="s">
        <v>516</v>
      </c>
      <c r="D197" s="14" t="s">
        <v>687</v>
      </c>
      <c r="E197" s="14" t="s">
        <v>687</v>
      </c>
      <c r="F197" s="14" t="s">
        <v>516</v>
      </c>
      <c r="G197" s="14" t="s">
        <v>137</v>
      </c>
      <c r="H197" s="14">
        <v>1399.4</v>
      </c>
      <c r="I197" s="129">
        <v>7413</v>
      </c>
    </row>
    <row r="198" spans="1:9" x14ac:dyDescent="0.2">
      <c r="A198" s="126">
        <v>2024</v>
      </c>
      <c r="B198" t="s">
        <v>695</v>
      </c>
      <c r="C198" s="14" t="s">
        <v>518</v>
      </c>
      <c r="D198" s="14" t="s">
        <v>687</v>
      </c>
      <c r="E198" s="14" t="s">
        <v>687</v>
      </c>
      <c r="F198" s="14" t="s">
        <v>518</v>
      </c>
      <c r="G198" s="14" t="s">
        <v>135</v>
      </c>
      <c r="H198" s="14">
        <v>930</v>
      </c>
      <c r="I198" s="129">
        <v>7413</v>
      </c>
    </row>
    <row r="199" spans="1:9" x14ac:dyDescent="0.2">
      <c r="A199" s="126">
        <v>2024</v>
      </c>
      <c r="B199" t="s">
        <v>692</v>
      </c>
      <c r="C199" s="14" t="s">
        <v>519</v>
      </c>
      <c r="D199" s="14" t="s">
        <v>687</v>
      </c>
      <c r="E199" s="14" t="s">
        <v>687</v>
      </c>
      <c r="F199" s="14" t="s">
        <v>519</v>
      </c>
      <c r="G199" s="14" t="s">
        <v>134</v>
      </c>
      <c r="H199" s="14">
        <v>542</v>
      </c>
      <c r="I199" s="129">
        <v>7413</v>
      </c>
    </row>
    <row r="200" spans="1:9" x14ac:dyDescent="0.2">
      <c r="A200" s="126">
        <v>2024</v>
      </c>
      <c r="B200" t="s">
        <v>691</v>
      </c>
      <c r="C200" s="14" t="s">
        <v>517</v>
      </c>
      <c r="D200" s="14" t="s">
        <v>687</v>
      </c>
      <c r="E200" s="14" t="s">
        <v>687</v>
      </c>
      <c r="F200" s="14" t="s">
        <v>517</v>
      </c>
      <c r="G200" s="14" t="s">
        <v>136</v>
      </c>
      <c r="H200" s="14">
        <v>495.9</v>
      </c>
      <c r="I200" s="129">
        <v>7467</v>
      </c>
    </row>
    <row r="201" spans="1:9" x14ac:dyDescent="0.2">
      <c r="A201" s="126">
        <v>2024</v>
      </c>
      <c r="B201" t="s">
        <v>686</v>
      </c>
      <c r="C201" s="14" t="s">
        <v>520</v>
      </c>
      <c r="D201" s="14" t="s">
        <v>687</v>
      </c>
      <c r="E201" s="14" t="s">
        <v>687</v>
      </c>
      <c r="F201" s="14" t="s">
        <v>520</v>
      </c>
      <c r="G201" s="14" t="s">
        <v>133</v>
      </c>
      <c r="H201" s="14">
        <v>2957.6</v>
      </c>
      <c r="I201" s="129">
        <v>7413</v>
      </c>
    </row>
    <row r="202" spans="1:9" x14ac:dyDescent="0.2">
      <c r="A202" s="126">
        <v>2024</v>
      </c>
      <c r="B202" t="s">
        <v>689</v>
      </c>
      <c r="C202" s="14" t="s">
        <v>436</v>
      </c>
      <c r="D202" s="14" t="s">
        <v>687</v>
      </c>
      <c r="E202" s="14" t="s">
        <v>687</v>
      </c>
      <c r="F202" s="14" t="s">
        <v>436</v>
      </c>
      <c r="G202" s="14" t="s">
        <v>207</v>
      </c>
      <c r="H202" s="14">
        <v>626.5</v>
      </c>
      <c r="I202" s="129">
        <v>7415</v>
      </c>
    </row>
    <row r="203" spans="1:9" x14ac:dyDescent="0.2">
      <c r="A203" s="126">
        <v>2024</v>
      </c>
      <c r="B203" t="s">
        <v>688</v>
      </c>
      <c r="C203" s="14" t="s">
        <v>324</v>
      </c>
      <c r="D203" s="14" t="s">
        <v>687</v>
      </c>
      <c r="E203" s="14" t="s">
        <v>687</v>
      </c>
      <c r="F203" s="14" t="s">
        <v>324</v>
      </c>
      <c r="G203" s="14" t="s">
        <v>304</v>
      </c>
      <c r="H203" s="14">
        <v>536.6</v>
      </c>
      <c r="I203" s="129">
        <v>7465</v>
      </c>
    </row>
    <row r="204" spans="1:9" x14ac:dyDescent="0.2">
      <c r="A204" s="126">
        <v>2024</v>
      </c>
      <c r="B204" t="s">
        <v>693</v>
      </c>
      <c r="C204" s="14" t="s">
        <v>478</v>
      </c>
      <c r="D204" s="14" t="s">
        <v>687</v>
      </c>
      <c r="E204" s="14" t="s">
        <v>687</v>
      </c>
      <c r="F204" s="14" t="s">
        <v>478</v>
      </c>
      <c r="G204" s="14" t="s">
        <v>169</v>
      </c>
      <c r="H204" s="14">
        <v>725.8</v>
      </c>
      <c r="I204" s="129">
        <v>7419</v>
      </c>
    </row>
    <row r="205" spans="1:9" x14ac:dyDescent="0.2">
      <c r="A205" s="126">
        <v>2024</v>
      </c>
      <c r="B205" t="s">
        <v>695</v>
      </c>
      <c r="C205" s="14" t="s">
        <v>523</v>
      </c>
      <c r="D205" s="14" t="s">
        <v>687</v>
      </c>
      <c r="E205" s="14" t="s">
        <v>687</v>
      </c>
      <c r="F205" s="14" t="s">
        <v>523</v>
      </c>
      <c r="G205" s="14" t="s">
        <v>650</v>
      </c>
      <c r="H205" s="14">
        <v>1138</v>
      </c>
      <c r="I205" s="129">
        <v>7467</v>
      </c>
    </row>
    <row r="206" spans="1:9" x14ac:dyDescent="0.2">
      <c r="A206" s="126">
        <v>2024</v>
      </c>
      <c r="B206" t="s">
        <v>688</v>
      </c>
      <c r="C206" s="14" t="s">
        <v>352</v>
      </c>
      <c r="D206" s="14" t="s">
        <v>687</v>
      </c>
      <c r="E206" s="14" t="s">
        <v>687</v>
      </c>
      <c r="F206" s="14" t="s">
        <v>352</v>
      </c>
      <c r="G206" s="14" t="s">
        <v>280</v>
      </c>
      <c r="H206" s="14">
        <v>483.5</v>
      </c>
      <c r="I206" s="129">
        <v>7487</v>
      </c>
    </row>
    <row r="207" spans="1:9" x14ac:dyDescent="0.2">
      <c r="A207" s="126">
        <v>2024</v>
      </c>
      <c r="B207" t="s">
        <v>691</v>
      </c>
      <c r="C207" s="14" t="s">
        <v>527</v>
      </c>
      <c r="D207" s="14" t="s">
        <v>687</v>
      </c>
      <c r="E207" s="14" t="s">
        <v>687</v>
      </c>
      <c r="F207" s="14" t="s">
        <v>527</v>
      </c>
      <c r="G207" s="14" t="s">
        <v>128</v>
      </c>
      <c r="H207" s="14">
        <v>236.4</v>
      </c>
      <c r="I207" s="129">
        <v>7415</v>
      </c>
    </row>
    <row r="208" spans="1:9" x14ac:dyDescent="0.2">
      <c r="A208" s="126">
        <v>2024</v>
      </c>
      <c r="B208" t="s">
        <v>693</v>
      </c>
      <c r="C208" s="14" t="s">
        <v>526</v>
      </c>
      <c r="D208" s="14" t="s">
        <v>687</v>
      </c>
      <c r="E208" s="14" t="s">
        <v>687</v>
      </c>
      <c r="F208" s="14" t="s">
        <v>526</v>
      </c>
      <c r="G208" s="14" t="s">
        <v>129</v>
      </c>
      <c r="H208" s="14">
        <v>556.9</v>
      </c>
      <c r="I208" s="129">
        <v>7427</v>
      </c>
    </row>
    <row r="209" spans="1:9" x14ac:dyDescent="0.2">
      <c r="A209" s="126">
        <v>2024</v>
      </c>
      <c r="B209" t="s">
        <v>692</v>
      </c>
      <c r="C209" s="14" t="s">
        <v>525</v>
      </c>
      <c r="D209" s="14" t="s">
        <v>687</v>
      </c>
      <c r="E209" s="14" t="s">
        <v>687</v>
      </c>
      <c r="F209" s="14" t="s">
        <v>525</v>
      </c>
      <c r="G209" s="14" t="s">
        <v>130</v>
      </c>
      <c r="H209" s="14">
        <v>488.5</v>
      </c>
      <c r="I209" s="129">
        <v>7545</v>
      </c>
    </row>
    <row r="210" spans="1:9" x14ac:dyDescent="0.2">
      <c r="A210" s="126">
        <v>2024</v>
      </c>
      <c r="B210" t="s">
        <v>686</v>
      </c>
      <c r="C210" s="14" t="s">
        <v>528</v>
      </c>
      <c r="D210" s="14" t="s">
        <v>687</v>
      </c>
      <c r="E210" s="14" t="s">
        <v>687</v>
      </c>
      <c r="F210" s="14" t="s">
        <v>528</v>
      </c>
      <c r="G210" s="14" t="s">
        <v>127</v>
      </c>
      <c r="H210" s="14">
        <v>2093.1</v>
      </c>
      <c r="I210" s="129">
        <v>7413</v>
      </c>
    </row>
    <row r="211" spans="1:9" x14ac:dyDescent="0.2">
      <c r="A211" s="126">
        <v>2024</v>
      </c>
      <c r="B211" t="s">
        <v>696</v>
      </c>
      <c r="C211" s="14" t="s">
        <v>529</v>
      </c>
      <c r="D211" s="14" t="s">
        <v>687</v>
      </c>
      <c r="E211" s="14" t="s">
        <v>687</v>
      </c>
      <c r="F211" s="14" t="s">
        <v>529</v>
      </c>
      <c r="G211" s="14" t="s">
        <v>126</v>
      </c>
      <c r="H211" s="14">
        <v>3097.6</v>
      </c>
      <c r="I211" s="129">
        <v>7413</v>
      </c>
    </row>
    <row r="212" spans="1:9" x14ac:dyDescent="0.2">
      <c r="A212" s="126">
        <v>2024</v>
      </c>
      <c r="B212" t="s">
        <v>688</v>
      </c>
      <c r="C212" s="14" t="s">
        <v>530</v>
      </c>
      <c r="D212" s="14" t="s">
        <v>687</v>
      </c>
      <c r="E212" s="14" t="s">
        <v>687</v>
      </c>
      <c r="F212" s="14" t="s">
        <v>530</v>
      </c>
      <c r="G212" s="14" t="s">
        <v>671</v>
      </c>
      <c r="H212" s="14">
        <v>453</v>
      </c>
      <c r="I212" s="129">
        <v>7413</v>
      </c>
    </row>
    <row r="213" spans="1:9" x14ac:dyDescent="0.2">
      <c r="A213" s="126">
        <v>2024</v>
      </c>
      <c r="B213" t="s">
        <v>691</v>
      </c>
      <c r="C213" s="14" t="s">
        <v>331</v>
      </c>
      <c r="D213" s="14" t="s">
        <v>687</v>
      </c>
      <c r="E213" s="14" t="s">
        <v>687</v>
      </c>
      <c r="F213" s="14" t="s">
        <v>331</v>
      </c>
      <c r="G213" s="14" t="s">
        <v>298</v>
      </c>
      <c r="H213" s="14">
        <v>402</v>
      </c>
      <c r="I213" s="129">
        <v>7448</v>
      </c>
    </row>
    <row r="214" spans="1:9" x14ac:dyDescent="0.2">
      <c r="A214" s="126">
        <v>2024</v>
      </c>
      <c r="B214" t="s">
        <v>696</v>
      </c>
      <c r="C214" s="14" t="s">
        <v>522</v>
      </c>
      <c r="D214" s="14" t="s">
        <v>687</v>
      </c>
      <c r="E214" s="14" t="s">
        <v>687</v>
      </c>
      <c r="F214" s="14" t="s">
        <v>522</v>
      </c>
      <c r="G214" s="14" t="s">
        <v>131</v>
      </c>
      <c r="H214" s="14">
        <v>527</v>
      </c>
      <c r="I214" s="129">
        <v>7498</v>
      </c>
    </row>
    <row r="215" spans="1:9" x14ac:dyDescent="0.2">
      <c r="A215" s="126">
        <v>2024</v>
      </c>
      <c r="B215" t="s">
        <v>688</v>
      </c>
      <c r="C215" s="14" t="s">
        <v>531</v>
      </c>
      <c r="D215" s="14" t="s">
        <v>687</v>
      </c>
      <c r="E215" s="14" t="s">
        <v>687</v>
      </c>
      <c r="F215" s="14" t="s">
        <v>531</v>
      </c>
      <c r="G215" s="14" t="s">
        <v>125</v>
      </c>
      <c r="H215" s="14">
        <v>511</v>
      </c>
      <c r="I215" s="129">
        <v>7504</v>
      </c>
    </row>
    <row r="216" spans="1:9" x14ac:dyDescent="0.2">
      <c r="A216" s="126">
        <v>2024</v>
      </c>
      <c r="B216" t="s">
        <v>686</v>
      </c>
      <c r="C216" s="14" t="s">
        <v>532</v>
      </c>
      <c r="D216" s="14" t="s">
        <v>687</v>
      </c>
      <c r="E216" s="14" t="s">
        <v>687</v>
      </c>
      <c r="F216" s="14" t="s">
        <v>532</v>
      </c>
      <c r="G216" s="14" t="s">
        <v>124</v>
      </c>
      <c r="H216" s="14">
        <v>3425.3</v>
      </c>
      <c r="I216" s="129">
        <v>7413</v>
      </c>
    </row>
    <row r="217" spans="1:9" x14ac:dyDescent="0.2">
      <c r="A217" s="126">
        <v>2024</v>
      </c>
      <c r="B217" t="s">
        <v>690</v>
      </c>
      <c r="C217" s="14" t="s">
        <v>534</v>
      </c>
      <c r="D217" s="14" t="s">
        <v>687</v>
      </c>
      <c r="E217" s="14" t="s">
        <v>687</v>
      </c>
      <c r="F217" s="14" t="s">
        <v>534</v>
      </c>
      <c r="G217" s="14" t="s">
        <v>651</v>
      </c>
      <c r="H217" s="14">
        <v>925.2</v>
      </c>
      <c r="I217" s="129">
        <v>7413</v>
      </c>
    </row>
    <row r="218" spans="1:9" x14ac:dyDescent="0.2">
      <c r="A218" s="126">
        <v>2024</v>
      </c>
      <c r="B218" t="s">
        <v>695</v>
      </c>
      <c r="C218" s="14" t="s">
        <v>535</v>
      </c>
      <c r="D218" s="14" t="s">
        <v>687</v>
      </c>
      <c r="E218" s="14" t="s">
        <v>687</v>
      </c>
      <c r="F218" s="14" t="s">
        <v>535</v>
      </c>
      <c r="G218" s="14" t="s">
        <v>123</v>
      </c>
      <c r="H218" s="14">
        <v>1326</v>
      </c>
      <c r="I218" s="129">
        <v>7419</v>
      </c>
    </row>
    <row r="219" spans="1:9" x14ac:dyDescent="0.2">
      <c r="A219" s="126">
        <v>2024</v>
      </c>
      <c r="B219" t="s">
        <v>686</v>
      </c>
      <c r="C219" s="14" t="s">
        <v>536</v>
      </c>
      <c r="D219" s="14" t="s">
        <v>687</v>
      </c>
      <c r="E219" s="14" t="s">
        <v>687</v>
      </c>
      <c r="F219" s="14" t="s">
        <v>536</v>
      </c>
      <c r="G219" s="14" t="s">
        <v>122</v>
      </c>
      <c r="H219" s="14">
        <v>589.79999999999995</v>
      </c>
      <c r="I219" s="129">
        <v>7413</v>
      </c>
    </row>
    <row r="220" spans="1:9" x14ac:dyDescent="0.2">
      <c r="A220" s="126">
        <v>2024</v>
      </c>
      <c r="B220" t="s">
        <v>691</v>
      </c>
      <c r="C220" s="14" t="s">
        <v>537</v>
      </c>
      <c r="D220" s="14" t="s">
        <v>687</v>
      </c>
      <c r="E220" s="14" t="s">
        <v>687</v>
      </c>
      <c r="F220" s="14" t="s">
        <v>537</v>
      </c>
      <c r="G220" s="14" t="s">
        <v>121</v>
      </c>
      <c r="H220" s="14">
        <v>1065.8</v>
      </c>
      <c r="I220" s="129">
        <v>7413</v>
      </c>
    </row>
    <row r="221" spans="1:9" x14ac:dyDescent="0.2">
      <c r="A221" s="126">
        <v>2024</v>
      </c>
      <c r="B221" t="s">
        <v>693</v>
      </c>
      <c r="C221" s="14" t="s">
        <v>538</v>
      </c>
      <c r="D221" s="14" t="s">
        <v>687</v>
      </c>
      <c r="E221" s="14" t="s">
        <v>687</v>
      </c>
      <c r="F221" s="14" t="s">
        <v>538</v>
      </c>
      <c r="G221" s="14" t="s">
        <v>672</v>
      </c>
      <c r="H221" s="14">
        <v>215.5</v>
      </c>
      <c r="I221" s="129">
        <v>7413</v>
      </c>
    </row>
    <row r="222" spans="1:9" x14ac:dyDescent="0.2">
      <c r="A222" s="126">
        <v>2024</v>
      </c>
      <c r="B222" t="s">
        <v>689</v>
      </c>
      <c r="C222" s="14" t="s">
        <v>539</v>
      </c>
      <c r="D222" s="14" t="s">
        <v>687</v>
      </c>
      <c r="E222" s="14" t="s">
        <v>687</v>
      </c>
      <c r="F222" s="14" t="s">
        <v>539</v>
      </c>
      <c r="G222" s="14" t="s">
        <v>120</v>
      </c>
      <c r="H222" s="14">
        <v>178.1</v>
      </c>
      <c r="I222" s="129">
        <v>7413</v>
      </c>
    </row>
    <row r="223" spans="1:9" x14ac:dyDescent="0.2">
      <c r="A223" s="126">
        <v>2024</v>
      </c>
      <c r="B223" t="s">
        <v>688</v>
      </c>
      <c r="C223" s="14" t="s">
        <v>540</v>
      </c>
      <c r="D223" s="14" t="s">
        <v>687</v>
      </c>
      <c r="E223" s="14" t="s">
        <v>687</v>
      </c>
      <c r="F223" s="14" t="s">
        <v>540</v>
      </c>
      <c r="G223" s="14" t="s">
        <v>119</v>
      </c>
      <c r="H223" s="14">
        <v>892.7</v>
      </c>
      <c r="I223" s="129">
        <v>7435</v>
      </c>
    </row>
    <row r="224" spans="1:9" x14ac:dyDescent="0.2">
      <c r="A224" s="126">
        <v>2024</v>
      </c>
      <c r="B224" t="s">
        <v>692</v>
      </c>
      <c r="C224" s="14" t="s">
        <v>541</v>
      </c>
      <c r="D224" s="14" t="s">
        <v>687</v>
      </c>
      <c r="E224" s="14" t="s">
        <v>687</v>
      </c>
      <c r="F224" s="14" t="s">
        <v>541</v>
      </c>
      <c r="G224" s="14" t="s">
        <v>118</v>
      </c>
      <c r="H224" s="14">
        <v>2254.6</v>
      </c>
      <c r="I224" s="129">
        <v>7413</v>
      </c>
    </row>
    <row r="225" spans="1:9" x14ac:dyDescent="0.2">
      <c r="A225" s="126">
        <v>2024</v>
      </c>
      <c r="B225" t="s">
        <v>692</v>
      </c>
      <c r="C225" s="14" t="s">
        <v>542</v>
      </c>
      <c r="D225" s="14" t="s">
        <v>687</v>
      </c>
      <c r="E225" s="14" t="s">
        <v>687</v>
      </c>
      <c r="F225" s="14" t="s">
        <v>542</v>
      </c>
      <c r="G225" s="14" t="s">
        <v>117</v>
      </c>
      <c r="H225" s="14">
        <v>5067.1000000000004</v>
      </c>
      <c r="I225" s="129">
        <v>7413</v>
      </c>
    </row>
    <row r="226" spans="1:9" x14ac:dyDescent="0.2">
      <c r="A226" s="126">
        <v>2024</v>
      </c>
      <c r="B226" t="s">
        <v>686</v>
      </c>
      <c r="C226" s="14" t="s">
        <v>553</v>
      </c>
      <c r="D226" s="14" t="s">
        <v>687</v>
      </c>
      <c r="E226" s="14" t="s">
        <v>687</v>
      </c>
      <c r="F226" s="14" t="s">
        <v>543</v>
      </c>
      <c r="G226" s="14" t="s">
        <v>3</v>
      </c>
      <c r="H226" s="14">
        <v>1032.0999999999999</v>
      </c>
      <c r="I226" s="129">
        <v>7413</v>
      </c>
    </row>
    <row r="227" spans="1:9" x14ac:dyDescent="0.2">
      <c r="A227" s="126">
        <v>2024</v>
      </c>
      <c r="B227" t="s">
        <v>691</v>
      </c>
      <c r="C227" s="14" t="s">
        <v>543</v>
      </c>
      <c r="D227" s="14" t="s">
        <v>687</v>
      </c>
      <c r="E227" s="14" t="s">
        <v>687</v>
      </c>
      <c r="F227" s="14" t="s">
        <v>544</v>
      </c>
      <c r="G227" s="14" t="s">
        <v>116</v>
      </c>
      <c r="H227" s="14">
        <v>642.9</v>
      </c>
      <c r="I227" s="129">
        <v>7413</v>
      </c>
    </row>
    <row r="228" spans="1:9" x14ac:dyDescent="0.2">
      <c r="A228" s="126">
        <v>2024</v>
      </c>
      <c r="B228" t="s">
        <v>686</v>
      </c>
      <c r="C228" s="14" t="s">
        <v>544</v>
      </c>
      <c r="D228" s="14" t="s">
        <v>687</v>
      </c>
      <c r="E228" s="14" t="s">
        <v>687</v>
      </c>
      <c r="F228" s="14" t="s">
        <v>648</v>
      </c>
      <c r="G228" s="14" t="s">
        <v>115</v>
      </c>
      <c r="H228" s="14">
        <v>186.7</v>
      </c>
      <c r="I228" s="129">
        <v>7545</v>
      </c>
    </row>
    <row r="229" spans="1:9" x14ac:dyDescent="0.2">
      <c r="A229" s="126">
        <v>2024</v>
      </c>
      <c r="B229" t="s">
        <v>692</v>
      </c>
      <c r="C229" s="14" t="s">
        <v>546</v>
      </c>
      <c r="D229" s="14" t="s">
        <v>687</v>
      </c>
      <c r="E229" s="14" t="s">
        <v>687</v>
      </c>
      <c r="F229" s="14" t="s">
        <v>546</v>
      </c>
      <c r="G229" s="14" t="s">
        <v>114</v>
      </c>
      <c r="H229" s="14">
        <v>549.1</v>
      </c>
      <c r="I229" s="129">
        <v>7413</v>
      </c>
    </row>
    <row r="230" spans="1:9" x14ac:dyDescent="0.2">
      <c r="A230" s="126">
        <v>2024</v>
      </c>
      <c r="B230" t="s">
        <v>686</v>
      </c>
      <c r="C230" s="14" t="s">
        <v>547</v>
      </c>
      <c r="D230" s="14" t="s">
        <v>687</v>
      </c>
      <c r="E230" s="14" t="s">
        <v>687</v>
      </c>
      <c r="F230" s="14" t="s">
        <v>547</v>
      </c>
      <c r="G230" s="14" t="s">
        <v>113</v>
      </c>
      <c r="H230" s="14">
        <v>2179.6999999999998</v>
      </c>
      <c r="I230" s="129">
        <v>7413</v>
      </c>
    </row>
    <row r="231" spans="1:9" x14ac:dyDescent="0.2">
      <c r="A231" s="126">
        <v>2024</v>
      </c>
      <c r="B231" t="s">
        <v>686</v>
      </c>
      <c r="C231" s="14" t="s">
        <v>548</v>
      </c>
      <c r="D231" s="14" t="s">
        <v>687</v>
      </c>
      <c r="E231" s="14" t="s">
        <v>687</v>
      </c>
      <c r="F231" s="14" t="s">
        <v>548</v>
      </c>
      <c r="G231" s="14" t="s">
        <v>112</v>
      </c>
      <c r="H231" s="14">
        <v>1854.1</v>
      </c>
      <c r="I231" s="129">
        <v>7413</v>
      </c>
    </row>
    <row r="232" spans="1:9" x14ac:dyDescent="0.2">
      <c r="A232" s="126">
        <v>2024</v>
      </c>
      <c r="B232" t="s">
        <v>696</v>
      </c>
      <c r="C232" s="14" t="s">
        <v>549</v>
      </c>
      <c r="D232" s="14" t="s">
        <v>687</v>
      </c>
      <c r="E232" s="14" t="s">
        <v>687</v>
      </c>
      <c r="F232" s="14" t="s">
        <v>549</v>
      </c>
      <c r="G232" s="14" t="s">
        <v>111</v>
      </c>
      <c r="H232" s="14">
        <v>5556.8</v>
      </c>
      <c r="I232" s="129">
        <v>7511</v>
      </c>
    </row>
    <row r="233" spans="1:9" x14ac:dyDescent="0.2">
      <c r="A233" s="126">
        <v>2024</v>
      </c>
      <c r="B233" t="s">
        <v>686</v>
      </c>
      <c r="C233" s="14" t="s">
        <v>550</v>
      </c>
      <c r="D233" s="14" t="s">
        <v>687</v>
      </c>
      <c r="E233" s="14" t="s">
        <v>687</v>
      </c>
      <c r="F233" s="14" t="s">
        <v>550</v>
      </c>
      <c r="G233" s="14" t="s">
        <v>110</v>
      </c>
      <c r="H233" s="14">
        <v>711.8</v>
      </c>
      <c r="I233" s="129">
        <v>7413</v>
      </c>
    </row>
    <row r="234" spans="1:9" x14ac:dyDescent="0.2">
      <c r="A234" s="126">
        <v>2024</v>
      </c>
      <c r="B234" t="s">
        <v>691</v>
      </c>
      <c r="C234" s="14" t="s">
        <v>551</v>
      </c>
      <c r="D234" s="14" t="s">
        <v>687</v>
      </c>
      <c r="E234" s="14" t="s">
        <v>687</v>
      </c>
      <c r="F234" s="14" t="s">
        <v>551</v>
      </c>
      <c r="G234" s="14" t="s">
        <v>109</v>
      </c>
      <c r="H234" s="14">
        <v>669.8</v>
      </c>
      <c r="I234" s="129">
        <v>7513</v>
      </c>
    </row>
    <row r="235" spans="1:9" x14ac:dyDescent="0.2">
      <c r="A235" s="126">
        <v>2024</v>
      </c>
      <c r="B235" t="s">
        <v>695</v>
      </c>
      <c r="C235" s="14" t="s">
        <v>552</v>
      </c>
      <c r="D235" s="14" t="s">
        <v>687</v>
      </c>
      <c r="E235" s="14" t="s">
        <v>687</v>
      </c>
      <c r="F235" s="14" t="s">
        <v>552</v>
      </c>
      <c r="G235" s="14" t="s">
        <v>108</v>
      </c>
      <c r="H235" s="14">
        <v>693.1</v>
      </c>
      <c r="I235" s="129">
        <v>7413</v>
      </c>
    </row>
    <row r="236" spans="1:9" x14ac:dyDescent="0.2">
      <c r="A236" s="126">
        <v>2024</v>
      </c>
      <c r="B236" t="s">
        <v>689</v>
      </c>
      <c r="C236" s="14" t="s">
        <v>555</v>
      </c>
      <c r="D236" s="14" t="s">
        <v>687</v>
      </c>
      <c r="E236" s="14" t="s">
        <v>687</v>
      </c>
      <c r="F236" s="14" t="s">
        <v>555</v>
      </c>
      <c r="G236" s="14" t="s">
        <v>107</v>
      </c>
      <c r="H236" s="14">
        <v>1034.9000000000001</v>
      </c>
      <c r="I236" s="129">
        <v>7413</v>
      </c>
    </row>
    <row r="237" spans="1:9" x14ac:dyDescent="0.2">
      <c r="A237" s="126">
        <v>2024</v>
      </c>
      <c r="B237" t="s">
        <v>690</v>
      </c>
      <c r="C237" s="14" t="s">
        <v>556</v>
      </c>
      <c r="D237" s="14" t="s">
        <v>687</v>
      </c>
      <c r="E237" s="14" t="s">
        <v>687</v>
      </c>
      <c r="F237" s="14" t="s">
        <v>556</v>
      </c>
      <c r="G237" s="14" t="s">
        <v>106</v>
      </c>
      <c r="H237" s="14">
        <v>334</v>
      </c>
      <c r="I237" s="129">
        <v>7413</v>
      </c>
    </row>
    <row r="238" spans="1:9" x14ac:dyDescent="0.2">
      <c r="A238" s="126">
        <v>2024</v>
      </c>
      <c r="B238" t="s">
        <v>695</v>
      </c>
      <c r="C238" s="14" t="s">
        <v>557</v>
      </c>
      <c r="D238" s="14" t="s">
        <v>687</v>
      </c>
      <c r="E238" s="14" t="s">
        <v>687</v>
      </c>
      <c r="F238" s="14" t="s">
        <v>557</v>
      </c>
      <c r="G238" s="14" t="s">
        <v>105</v>
      </c>
      <c r="H238" s="14">
        <v>331.5</v>
      </c>
      <c r="I238" s="129">
        <v>7413</v>
      </c>
    </row>
    <row r="239" spans="1:9" x14ac:dyDescent="0.2">
      <c r="A239" s="126">
        <v>2024</v>
      </c>
      <c r="B239" t="s">
        <v>690</v>
      </c>
      <c r="C239" s="14" t="s">
        <v>414</v>
      </c>
      <c r="D239" s="14" t="s">
        <v>687</v>
      </c>
      <c r="E239" s="14" t="s">
        <v>687</v>
      </c>
      <c r="F239" s="14" t="s">
        <v>414</v>
      </c>
      <c r="G239" s="14" t="s">
        <v>227</v>
      </c>
      <c r="H239" s="14">
        <v>372.4</v>
      </c>
      <c r="I239" s="129">
        <v>7413</v>
      </c>
    </row>
    <row r="240" spans="1:9" x14ac:dyDescent="0.2">
      <c r="A240" s="126">
        <v>2024</v>
      </c>
      <c r="B240" t="s">
        <v>689</v>
      </c>
      <c r="C240" s="14" t="s">
        <v>533</v>
      </c>
      <c r="D240" s="14" t="s">
        <v>687</v>
      </c>
      <c r="E240" s="14" t="s">
        <v>687</v>
      </c>
      <c r="F240" s="14" t="s">
        <v>646</v>
      </c>
      <c r="G240" s="14" t="s">
        <v>104</v>
      </c>
      <c r="H240" s="14">
        <v>716.2</v>
      </c>
      <c r="I240" s="129">
        <v>7413</v>
      </c>
    </row>
    <row r="241" spans="1:9" x14ac:dyDescent="0.2">
      <c r="A241" s="126">
        <v>2024</v>
      </c>
      <c r="B241" t="s">
        <v>690</v>
      </c>
      <c r="C241" s="14" t="s">
        <v>558</v>
      </c>
      <c r="D241" s="14" t="s">
        <v>687</v>
      </c>
      <c r="E241" s="14" t="s">
        <v>687</v>
      </c>
      <c r="F241" s="14" t="s">
        <v>558</v>
      </c>
      <c r="G241" s="14" t="s">
        <v>103</v>
      </c>
      <c r="H241" s="14">
        <v>851.2</v>
      </c>
      <c r="I241" s="129">
        <v>7419</v>
      </c>
    </row>
    <row r="242" spans="1:9" x14ac:dyDescent="0.2">
      <c r="A242" s="126">
        <v>2024</v>
      </c>
      <c r="B242" t="s">
        <v>686</v>
      </c>
      <c r="C242" s="14" t="s">
        <v>559</v>
      </c>
      <c r="D242" s="14" t="s">
        <v>687</v>
      </c>
      <c r="E242" s="14" t="s">
        <v>687</v>
      </c>
      <c r="F242" s="14" t="s">
        <v>559</v>
      </c>
      <c r="G242" s="14" t="s">
        <v>102</v>
      </c>
      <c r="H242" s="14">
        <v>1004.2</v>
      </c>
      <c r="I242" s="129">
        <v>7413</v>
      </c>
    </row>
    <row r="243" spans="1:9" x14ac:dyDescent="0.2">
      <c r="A243" s="126">
        <v>2024</v>
      </c>
      <c r="B243" t="s">
        <v>688</v>
      </c>
      <c r="C243" s="14" t="s">
        <v>560</v>
      </c>
      <c r="D243" s="14" t="s">
        <v>687</v>
      </c>
      <c r="E243" s="14" t="s">
        <v>687</v>
      </c>
      <c r="F243" s="14" t="s">
        <v>560</v>
      </c>
      <c r="G243" s="14" t="s">
        <v>673</v>
      </c>
      <c r="H243" s="14">
        <v>426</v>
      </c>
      <c r="I243" s="129">
        <v>7413</v>
      </c>
    </row>
    <row r="244" spans="1:9" x14ac:dyDescent="0.2">
      <c r="A244" s="126">
        <v>2024</v>
      </c>
      <c r="B244" t="s">
        <v>691</v>
      </c>
      <c r="C244" s="14" t="s">
        <v>561</v>
      </c>
      <c r="D244" s="14" t="s">
        <v>687</v>
      </c>
      <c r="E244" s="14" t="s">
        <v>687</v>
      </c>
      <c r="F244" s="14" t="s">
        <v>561</v>
      </c>
      <c r="G244" s="14" t="s">
        <v>101</v>
      </c>
      <c r="H244" s="14">
        <v>193</v>
      </c>
      <c r="I244" s="129">
        <v>7413</v>
      </c>
    </row>
    <row r="245" spans="1:9" x14ac:dyDescent="0.2">
      <c r="A245" s="126">
        <v>2024</v>
      </c>
      <c r="B245" t="s">
        <v>686</v>
      </c>
      <c r="C245" s="14" t="s">
        <v>563</v>
      </c>
      <c r="D245" s="14" t="s">
        <v>687</v>
      </c>
      <c r="E245" s="14" t="s">
        <v>687</v>
      </c>
      <c r="F245" s="14" t="s">
        <v>563</v>
      </c>
      <c r="G245" s="14" t="s">
        <v>99</v>
      </c>
      <c r="H245" s="14">
        <v>1067</v>
      </c>
      <c r="I245" s="129">
        <v>7446</v>
      </c>
    </row>
    <row r="246" spans="1:9" x14ac:dyDescent="0.2">
      <c r="A246" s="126">
        <v>2024</v>
      </c>
      <c r="B246" t="s">
        <v>691</v>
      </c>
      <c r="C246" s="14" t="s">
        <v>564</v>
      </c>
      <c r="D246" s="14" t="s">
        <v>687</v>
      </c>
      <c r="E246" s="14" t="s">
        <v>687</v>
      </c>
      <c r="F246" s="14" t="s">
        <v>564</v>
      </c>
      <c r="G246" s="14" t="s">
        <v>98</v>
      </c>
      <c r="H246" s="14">
        <v>356</v>
      </c>
      <c r="I246" s="129">
        <v>7445</v>
      </c>
    </row>
    <row r="247" spans="1:9" x14ac:dyDescent="0.2">
      <c r="A247" s="126">
        <v>2024</v>
      </c>
      <c r="B247" t="s">
        <v>690</v>
      </c>
      <c r="C247" s="14" t="s">
        <v>565</v>
      </c>
      <c r="D247" s="14" t="s">
        <v>687</v>
      </c>
      <c r="E247" s="14" t="s">
        <v>687</v>
      </c>
      <c r="F247" s="14" t="s">
        <v>565</v>
      </c>
      <c r="G247" s="14" t="s">
        <v>97</v>
      </c>
      <c r="H247" s="14">
        <v>216</v>
      </c>
      <c r="I247" s="129">
        <v>7413</v>
      </c>
    </row>
    <row r="248" spans="1:9" x14ac:dyDescent="0.2">
      <c r="A248" s="126">
        <v>2024</v>
      </c>
      <c r="B248" t="s">
        <v>690</v>
      </c>
      <c r="C248" s="14" t="s">
        <v>566</v>
      </c>
      <c r="D248" s="14" t="s">
        <v>687</v>
      </c>
      <c r="E248" s="14" t="s">
        <v>687</v>
      </c>
      <c r="F248" s="14" t="s">
        <v>566</v>
      </c>
      <c r="G248" s="14" t="s">
        <v>96</v>
      </c>
      <c r="H248" s="14">
        <v>1423.6</v>
      </c>
      <c r="I248" s="129">
        <v>7413</v>
      </c>
    </row>
    <row r="249" spans="1:9" x14ac:dyDescent="0.2">
      <c r="A249" s="126">
        <v>2024</v>
      </c>
      <c r="B249" t="s">
        <v>692</v>
      </c>
      <c r="C249" s="14" t="s">
        <v>567</v>
      </c>
      <c r="D249" s="14" t="s">
        <v>687</v>
      </c>
      <c r="E249" s="14" t="s">
        <v>687</v>
      </c>
      <c r="F249" s="14" t="s">
        <v>567</v>
      </c>
      <c r="G249" s="14" t="s">
        <v>95</v>
      </c>
      <c r="H249" s="14">
        <v>237</v>
      </c>
      <c r="I249" s="129">
        <v>7413</v>
      </c>
    </row>
    <row r="250" spans="1:9" x14ac:dyDescent="0.2">
      <c r="A250" s="126">
        <v>2024</v>
      </c>
      <c r="B250" t="s">
        <v>690</v>
      </c>
      <c r="C250" s="14" t="s">
        <v>569</v>
      </c>
      <c r="D250" s="14" t="s">
        <v>687</v>
      </c>
      <c r="E250" s="14" t="s">
        <v>687</v>
      </c>
      <c r="F250" s="14" t="s">
        <v>569</v>
      </c>
      <c r="G250" s="14" t="s">
        <v>94</v>
      </c>
      <c r="H250" s="14">
        <v>1102.5999999999999</v>
      </c>
      <c r="I250" s="129">
        <v>7413</v>
      </c>
    </row>
    <row r="251" spans="1:9" x14ac:dyDescent="0.2">
      <c r="A251" s="126">
        <v>2024</v>
      </c>
      <c r="B251" t="s">
        <v>689</v>
      </c>
      <c r="C251" s="14" t="s">
        <v>570</v>
      </c>
      <c r="D251" s="14" t="s">
        <v>687</v>
      </c>
      <c r="E251" s="14" t="s">
        <v>687</v>
      </c>
      <c r="F251" s="14" t="s">
        <v>570</v>
      </c>
      <c r="G251" s="14" t="s">
        <v>93</v>
      </c>
      <c r="H251" s="14">
        <v>1050.3</v>
      </c>
      <c r="I251" s="129">
        <v>7413</v>
      </c>
    </row>
    <row r="252" spans="1:9" x14ac:dyDescent="0.2">
      <c r="A252" s="126">
        <v>2024</v>
      </c>
      <c r="B252" t="s">
        <v>690</v>
      </c>
      <c r="C252" s="14" t="s">
        <v>571</v>
      </c>
      <c r="D252" s="14" t="s">
        <v>687</v>
      </c>
      <c r="E252" s="14" t="s">
        <v>687</v>
      </c>
      <c r="F252" s="14" t="s">
        <v>571</v>
      </c>
      <c r="G252" s="14" t="s">
        <v>92</v>
      </c>
      <c r="H252" s="14">
        <v>689</v>
      </c>
      <c r="I252" s="129">
        <v>7413</v>
      </c>
    </row>
    <row r="253" spans="1:9" x14ac:dyDescent="0.2">
      <c r="A253" s="126">
        <v>2024</v>
      </c>
      <c r="B253" t="s">
        <v>689</v>
      </c>
      <c r="C253" s="14" t="s">
        <v>572</v>
      </c>
      <c r="D253" s="14" t="s">
        <v>687</v>
      </c>
      <c r="E253" s="14" t="s">
        <v>687</v>
      </c>
      <c r="F253" s="14" t="s">
        <v>572</v>
      </c>
      <c r="G253" s="14" t="s">
        <v>91</v>
      </c>
      <c r="H253" s="14">
        <v>386</v>
      </c>
      <c r="I253" s="129">
        <v>7413</v>
      </c>
    </row>
    <row r="254" spans="1:9" x14ac:dyDescent="0.2">
      <c r="A254" s="126">
        <v>2024</v>
      </c>
      <c r="B254" t="s">
        <v>692</v>
      </c>
      <c r="C254" s="14" t="s">
        <v>573</v>
      </c>
      <c r="D254" s="14" t="s">
        <v>687</v>
      </c>
      <c r="E254" s="14" t="s">
        <v>687</v>
      </c>
      <c r="F254" s="14" t="s">
        <v>573</v>
      </c>
      <c r="G254" s="14" t="s">
        <v>90</v>
      </c>
      <c r="H254" s="14">
        <v>552.29999999999995</v>
      </c>
      <c r="I254" s="129">
        <v>7413</v>
      </c>
    </row>
    <row r="255" spans="1:9" x14ac:dyDescent="0.2">
      <c r="A255" s="126">
        <v>2024</v>
      </c>
      <c r="B255" t="s">
        <v>690</v>
      </c>
      <c r="C255" s="14" t="s">
        <v>574</v>
      </c>
      <c r="D255" s="14" t="s">
        <v>687</v>
      </c>
      <c r="E255" s="14" t="s">
        <v>687</v>
      </c>
      <c r="F255" s="14" t="s">
        <v>574</v>
      </c>
      <c r="G255" s="14" t="s">
        <v>89</v>
      </c>
      <c r="H255" s="14">
        <v>1500.4</v>
      </c>
      <c r="I255" s="129">
        <v>7413</v>
      </c>
    </row>
    <row r="256" spans="1:9" x14ac:dyDescent="0.2">
      <c r="A256" s="126">
        <v>2024</v>
      </c>
      <c r="B256" t="s">
        <v>691</v>
      </c>
      <c r="C256" s="14" t="s">
        <v>576</v>
      </c>
      <c r="D256" s="14" t="s">
        <v>687</v>
      </c>
      <c r="E256" s="14" t="s">
        <v>687</v>
      </c>
      <c r="F256" s="14" t="s">
        <v>649</v>
      </c>
      <c r="G256" s="14" t="s">
        <v>88</v>
      </c>
      <c r="H256" s="14">
        <v>441.3</v>
      </c>
      <c r="I256" s="129">
        <v>7413</v>
      </c>
    </row>
    <row r="257" spans="1:9" x14ac:dyDescent="0.2">
      <c r="A257" s="126">
        <v>2024</v>
      </c>
      <c r="B257" t="s">
        <v>690</v>
      </c>
      <c r="C257" s="14" t="s">
        <v>575</v>
      </c>
      <c r="D257" s="14" t="s">
        <v>687</v>
      </c>
      <c r="E257" s="14" t="s">
        <v>687</v>
      </c>
      <c r="F257" s="14" t="s">
        <v>575</v>
      </c>
      <c r="G257" s="14" t="s">
        <v>87</v>
      </c>
      <c r="H257" s="14">
        <v>14839.5</v>
      </c>
      <c r="I257" s="129">
        <v>7413</v>
      </c>
    </row>
    <row r="258" spans="1:9" x14ac:dyDescent="0.2">
      <c r="A258" s="126">
        <v>2024</v>
      </c>
      <c r="B258" t="s">
        <v>693</v>
      </c>
      <c r="C258" s="14" t="s">
        <v>578</v>
      </c>
      <c r="D258" s="14" t="s">
        <v>687</v>
      </c>
      <c r="E258" s="14" t="s">
        <v>687</v>
      </c>
      <c r="F258" s="14" t="s">
        <v>578</v>
      </c>
      <c r="G258" s="14" t="s">
        <v>85</v>
      </c>
      <c r="H258" s="14">
        <v>1451.3</v>
      </c>
      <c r="I258" s="129">
        <v>7413</v>
      </c>
    </row>
    <row r="259" spans="1:9" x14ac:dyDescent="0.2">
      <c r="A259" s="126">
        <v>2024</v>
      </c>
      <c r="B259" t="s">
        <v>691</v>
      </c>
      <c r="C259" s="14" t="s">
        <v>577</v>
      </c>
      <c r="D259" s="14" t="s">
        <v>687</v>
      </c>
      <c r="E259" s="14" t="s">
        <v>687</v>
      </c>
      <c r="F259" s="14" t="s">
        <v>577</v>
      </c>
      <c r="G259" s="14" t="s">
        <v>86</v>
      </c>
      <c r="H259" s="14">
        <v>928.5</v>
      </c>
      <c r="I259" s="129">
        <v>7413</v>
      </c>
    </row>
    <row r="260" spans="1:9" x14ac:dyDescent="0.2">
      <c r="A260" s="126">
        <v>2024</v>
      </c>
      <c r="B260" t="s">
        <v>691</v>
      </c>
      <c r="C260" s="14" t="s">
        <v>580</v>
      </c>
      <c r="D260" s="14" t="s">
        <v>687</v>
      </c>
      <c r="E260" s="14" t="s">
        <v>687</v>
      </c>
      <c r="F260" s="14" t="s">
        <v>580</v>
      </c>
      <c r="G260" s="14" t="s">
        <v>83</v>
      </c>
      <c r="H260" s="14">
        <v>626.70000000000005</v>
      </c>
      <c r="I260" s="129">
        <v>7440</v>
      </c>
    </row>
    <row r="261" spans="1:9" x14ac:dyDescent="0.2">
      <c r="A261" s="126">
        <v>2024</v>
      </c>
      <c r="B261" t="s">
        <v>690</v>
      </c>
      <c r="C261" s="14" t="s">
        <v>545</v>
      </c>
      <c r="D261" s="14" t="s">
        <v>687</v>
      </c>
      <c r="E261" s="14" t="s">
        <v>687</v>
      </c>
      <c r="F261" s="14" t="s">
        <v>647</v>
      </c>
      <c r="G261" s="14" t="s">
        <v>80</v>
      </c>
      <c r="H261" s="14">
        <v>561.5</v>
      </c>
      <c r="I261" s="129">
        <v>7431</v>
      </c>
    </row>
    <row r="262" spans="1:9" x14ac:dyDescent="0.2">
      <c r="A262" s="126">
        <v>2024</v>
      </c>
      <c r="B262" t="s">
        <v>689</v>
      </c>
      <c r="C262" s="14" t="s">
        <v>582</v>
      </c>
      <c r="D262" s="14" t="s">
        <v>687</v>
      </c>
      <c r="E262" s="14" t="s">
        <v>687</v>
      </c>
      <c r="F262" s="14" t="s">
        <v>582</v>
      </c>
      <c r="G262" s="14" t="s">
        <v>82</v>
      </c>
      <c r="H262" s="14">
        <v>193.4</v>
      </c>
      <c r="I262" s="129">
        <v>7413</v>
      </c>
    </row>
    <row r="263" spans="1:9" x14ac:dyDescent="0.2">
      <c r="A263" s="126">
        <v>2024</v>
      </c>
      <c r="B263" t="s">
        <v>688</v>
      </c>
      <c r="C263" s="14" t="s">
        <v>583</v>
      </c>
      <c r="D263" s="14" t="s">
        <v>687</v>
      </c>
      <c r="E263" s="14" t="s">
        <v>687</v>
      </c>
      <c r="F263" s="14" t="s">
        <v>583</v>
      </c>
      <c r="G263" s="14" t="s">
        <v>674</v>
      </c>
      <c r="H263" s="14">
        <v>1447.4</v>
      </c>
      <c r="I263" s="129">
        <v>7413</v>
      </c>
    </row>
    <row r="264" spans="1:9" x14ac:dyDescent="0.2">
      <c r="A264" s="126">
        <v>2024</v>
      </c>
      <c r="B264" t="s">
        <v>695</v>
      </c>
      <c r="C264" s="14" t="s">
        <v>584</v>
      </c>
      <c r="D264" s="14" t="s">
        <v>687</v>
      </c>
      <c r="E264" s="14" t="s">
        <v>687</v>
      </c>
      <c r="F264" s="14" t="s">
        <v>584</v>
      </c>
      <c r="G264" s="14" t="s">
        <v>79</v>
      </c>
      <c r="H264" s="14">
        <v>516.70000000000005</v>
      </c>
      <c r="I264" s="129">
        <v>7413</v>
      </c>
    </row>
    <row r="265" spans="1:9" x14ac:dyDescent="0.2">
      <c r="A265" s="126">
        <v>2024</v>
      </c>
      <c r="B265" t="s">
        <v>686</v>
      </c>
      <c r="C265" s="14" t="s">
        <v>585</v>
      </c>
      <c r="D265" s="14" t="s">
        <v>687</v>
      </c>
      <c r="E265" s="14" t="s">
        <v>687</v>
      </c>
      <c r="F265" s="14" t="s">
        <v>585</v>
      </c>
      <c r="G265" s="14" t="s">
        <v>78</v>
      </c>
      <c r="H265" s="14">
        <v>7211</v>
      </c>
      <c r="I265" s="129">
        <v>7413</v>
      </c>
    </row>
    <row r="266" spans="1:9" x14ac:dyDescent="0.2">
      <c r="A266" s="126">
        <v>2024</v>
      </c>
      <c r="B266" t="s">
        <v>686</v>
      </c>
      <c r="C266" s="14" t="s">
        <v>581</v>
      </c>
      <c r="D266" s="14" t="s">
        <v>687</v>
      </c>
      <c r="E266" s="14" t="s">
        <v>687</v>
      </c>
      <c r="F266" s="14" t="s">
        <v>579</v>
      </c>
      <c r="G266" s="14" t="s">
        <v>1274</v>
      </c>
      <c r="H266" s="14">
        <v>1093.7</v>
      </c>
      <c r="I266" s="129">
        <v>7502</v>
      </c>
    </row>
    <row r="267" spans="1:9" x14ac:dyDescent="0.2">
      <c r="A267" s="126">
        <v>2024</v>
      </c>
      <c r="B267" t="s">
        <v>691</v>
      </c>
      <c r="C267" s="14" t="s">
        <v>579</v>
      </c>
      <c r="D267" s="14" t="s">
        <v>554</v>
      </c>
      <c r="E267" s="14" t="s">
        <v>687</v>
      </c>
      <c r="F267" s="14" t="s">
        <v>581</v>
      </c>
      <c r="G267" s="14" t="s">
        <v>84</v>
      </c>
      <c r="H267" s="14">
        <v>505.7</v>
      </c>
      <c r="I267" s="129">
        <v>7413</v>
      </c>
    </row>
    <row r="268" spans="1:9" x14ac:dyDescent="0.2">
      <c r="A268" s="126">
        <v>2024</v>
      </c>
      <c r="B268" t="s">
        <v>691</v>
      </c>
      <c r="C268" s="14" t="s">
        <v>586</v>
      </c>
      <c r="D268" s="14" t="s">
        <v>687</v>
      </c>
      <c r="E268" s="14" t="s">
        <v>687</v>
      </c>
      <c r="F268" s="14" t="s">
        <v>586</v>
      </c>
      <c r="G268" s="14" t="s">
        <v>77</v>
      </c>
      <c r="H268" s="14">
        <v>2025.3</v>
      </c>
      <c r="I268" s="129">
        <v>7413</v>
      </c>
    </row>
    <row r="269" spans="1:9" x14ac:dyDescent="0.2">
      <c r="A269" s="126">
        <v>2024</v>
      </c>
      <c r="B269" t="s">
        <v>691</v>
      </c>
      <c r="C269" s="14" t="s">
        <v>587</v>
      </c>
      <c r="D269" s="14" t="s">
        <v>687</v>
      </c>
      <c r="E269" s="14" t="s">
        <v>687</v>
      </c>
      <c r="F269" s="14" t="s">
        <v>587</v>
      </c>
      <c r="G269" s="14" t="s">
        <v>76</v>
      </c>
      <c r="H269" s="14">
        <v>1167.9000000000001</v>
      </c>
      <c r="I269" s="129">
        <v>7413</v>
      </c>
    </row>
    <row r="270" spans="1:9" x14ac:dyDescent="0.2">
      <c r="A270" s="126">
        <v>2024</v>
      </c>
      <c r="B270" t="s">
        <v>693</v>
      </c>
      <c r="C270" s="14" t="s">
        <v>588</v>
      </c>
      <c r="D270" s="14" t="s">
        <v>687</v>
      </c>
      <c r="E270" s="14" t="s">
        <v>687</v>
      </c>
      <c r="F270" s="14" t="s">
        <v>588</v>
      </c>
      <c r="G270" s="14" t="s">
        <v>75</v>
      </c>
      <c r="H270" s="14">
        <v>406.7</v>
      </c>
      <c r="I270" s="129">
        <v>7420</v>
      </c>
    </row>
    <row r="271" spans="1:9" x14ac:dyDescent="0.2">
      <c r="A271" s="126">
        <v>2024</v>
      </c>
      <c r="B271" t="s">
        <v>688</v>
      </c>
      <c r="C271" s="14" t="s">
        <v>562</v>
      </c>
      <c r="D271" s="14" t="s">
        <v>687</v>
      </c>
      <c r="E271" s="14" t="s">
        <v>687</v>
      </c>
      <c r="F271" s="14" t="s">
        <v>562</v>
      </c>
      <c r="G271" s="14" t="s">
        <v>100</v>
      </c>
      <c r="H271" s="14">
        <v>570.70000000000005</v>
      </c>
      <c r="I271" s="129">
        <v>7413</v>
      </c>
    </row>
    <row r="272" spans="1:9" x14ac:dyDescent="0.2">
      <c r="A272" s="126">
        <v>2024</v>
      </c>
      <c r="B272" t="s">
        <v>689</v>
      </c>
      <c r="C272" s="14" t="s">
        <v>589</v>
      </c>
      <c r="D272" s="14" t="s">
        <v>687</v>
      </c>
      <c r="E272" s="14" t="s">
        <v>687</v>
      </c>
      <c r="F272" s="14" t="s">
        <v>589</v>
      </c>
      <c r="G272" s="14" t="s">
        <v>74</v>
      </c>
      <c r="H272" s="14">
        <v>197</v>
      </c>
      <c r="I272" s="129">
        <v>7413</v>
      </c>
    </row>
    <row r="273" spans="1:9" x14ac:dyDescent="0.2">
      <c r="A273" s="126">
        <v>2024</v>
      </c>
      <c r="B273" t="s">
        <v>695</v>
      </c>
      <c r="C273" s="14" t="s">
        <v>590</v>
      </c>
      <c r="D273" s="14" t="s">
        <v>687</v>
      </c>
      <c r="E273" s="14" t="s">
        <v>687</v>
      </c>
      <c r="F273" s="14" t="s">
        <v>590</v>
      </c>
      <c r="G273" s="14" t="s">
        <v>73</v>
      </c>
      <c r="H273" s="14">
        <v>584.6</v>
      </c>
      <c r="I273" s="129">
        <v>7413</v>
      </c>
    </row>
    <row r="274" spans="1:9" x14ac:dyDescent="0.2">
      <c r="A274" s="126">
        <v>2024</v>
      </c>
      <c r="B274" t="s">
        <v>691</v>
      </c>
      <c r="C274" s="14" t="s">
        <v>591</v>
      </c>
      <c r="D274" s="14" t="s">
        <v>687</v>
      </c>
      <c r="E274" s="14" t="s">
        <v>687</v>
      </c>
      <c r="F274" s="14" t="s">
        <v>591</v>
      </c>
      <c r="G274" s="14" t="s">
        <v>72</v>
      </c>
      <c r="H274" s="14">
        <v>2531.6999999999998</v>
      </c>
      <c r="I274" s="129">
        <v>7413</v>
      </c>
    </row>
    <row r="275" spans="1:9" x14ac:dyDescent="0.2">
      <c r="A275" s="126">
        <v>2024</v>
      </c>
      <c r="B275" t="s">
        <v>691</v>
      </c>
      <c r="C275" s="14" t="s">
        <v>592</v>
      </c>
      <c r="D275" s="14" t="s">
        <v>687</v>
      </c>
      <c r="E275" s="14" t="s">
        <v>687</v>
      </c>
      <c r="F275" s="14" t="s">
        <v>592</v>
      </c>
      <c r="G275" s="14" t="s">
        <v>71</v>
      </c>
      <c r="H275" s="14">
        <v>132.80000000000001</v>
      </c>
      <c r="I275" s="129">
        <v>7553</v>
      </c>
    </row>
    <row r="276" spans="1:9" x14ac:dyDescent="0.2">
      <c r="A276" s="126">
        <v>2024</v>
      </c>
      <c r="B276" t="s">
        <v>688</v>
      </c>
      <c r="C276" s="14" t="s">
        <v>594</v>
      </c>
      <c r="D276" s="14" t="s">
        <v>687</v>
      </c>
      <c r="E276" s="14" t="s">
        <v>687</v>
      </c>
      <c r="F276" s="14" t="s">
        <v>594</v>
      </c>
      <c r="G276" s="14" t="s">
        <v>69</v>
      </c>
      <c r="H276" s="14">
        <v>769.6</v>
      </c>
      <c r="I276" s="129">
        <v>7413</v>
      </c>
    </row>
    <row r="277" spans="1:9" x14ac:dyDescent="0.2">
      <c r="A277" s="126">
        <v>2024</v>
      </c>
      <c r="B277" t="s">
        <v>693</v>
      </c>
      <c r="C277" s="14" t="s">
        <v>595</v>
      </c>
      <c r="D277" s="14" t="s">
        <v>687</v>
      </c>
      <c r="E277" s="14" t="s">
        <v>687</v>
      </c>
      <c r="F277" s="14" t="s">
        <v>595</v>
      </c>
      <c r="G277" s="14" t="s">
        <v>68</v>
      </c>
      <c r="H277" s="14">
        <v>828.7</v>
      </c>
      <c r="I277" s="129">
        <v>7429</v>
      </c>
    </row>
    <row r="278" spans="1:9" x14ac:dyDescent="0.2">
      <c r="A278" s="126">
        <v>2024</v>
      </c>
      <c r="B278" t="s">
        <v>689</v>
      </c>
      <c r="C278" s="14" t="s">
        <v>596</v>
      </c>
      <c r="D278" s="14" t="s">
        <v>687</v>
      </c>
      <c r="E278" s="14" t="s">
        <v>687</v>
      </c>
      <c r="F278" s="14" t="s">
        <v>596</v>
      </c>
      <c r="G278" s="14" t="s">
        <v>67</v>
      </c>
      <c r="H278" s="14">
        <v>575.20000000000005</v>
      </c>
      <c r="I278" s="129">
        <v>7413</v>
      </c>
    </row>
    <row r="279" spans="1:9" x14ac:dyDescent="0.2">
      <c r="A279" s="126">
        <v>2024</v>
      </c>
      <c r="B279" t="s">
        <v>689</v>
      </c>
      <c r="C279" s="14" t="s">
        <v>597</v>
      </c>
      <c r="D279" s="14" t="s">
        <v>687</v>
      </c>
      <c r="E279" s="14" t="s">
        <v>687</v>
      </c>
      <c r="F279" s="14" t="s">
        <v>597</v>
      </c>
      <c r="G279" s="14" t="s">
        <v>66</v>
      </c>
      <c r="H279" s="14">
        <v>656.1</v>
      </c>
      <c r="I279" s="129">
        <v>7413</v>
      </c>
    </row>
    <row r="280" spans="1:9" x14ac:dyDescent="0.2">
      <c r="A280" s="126">
        <v>2024</v>
      </c>
      <c r="B280" t="s">
        <v>692</v>
      </c>
      <c r="C280" s="14" t="s">
        <v>598</v>
      </c>
      <c r="D280" s="14" t="s">
        <v>687</v>
      </c>
      <c r="E280" s="14" t="s">
        <v>687</v>
      </c>
      <c r="F280" s="14" t="s">
        <v>598</v>
      </c>
      <c r="G280" s="14" t="s">
        <v>65</v>
      </c>
      <c r="H280" s="14">
        <v>265.8</v>
      </c>
      <c r="I280" s="129">
        <v>7413</v>
      </c>
    </row>
    <row r="281" spans="1:9" x14ac:dyDescent="0.2">
      <c r="A281" s="126">
        <v>2024</v>
      </c>
      <c r="B281" t="s">
        <v>688</v>
      </c>
      <c r="C281" s="14" t="s">
        <v>599</v>
      </c>
      <c r="D281" s="14" t="s">
        <v>687</v>
      </c>
      <c r="E281" s="14" t="s">
        <v>687</v>
      </c>
      <c r="F281" s="14" t="s">
        <v>599</v>
      </c>
      <c r="G281" s="14" t="s">
        <v>64</v>
      </c>
      <c r="H281" s="14">
        <v>380.7</v>
      </c>
      <c r="I281" s="129">
        <v>7417</v>
      </c>
    </row>
    <row r="282" spans="1:9" x14ac:dyDescent="0.2">
      <c r="A282" s="126">
        <v>2024</v>
      </c>
      <c r="B282" t="s">
        <v>695</v>
      </c>
      <c r="C282" s="14" t="s">
        <v>600</v>
      </c>
      <c r="D282" s="14" t="s">
        <v>687</v>
      </c>
      <c r="E282" s="14" t="s">
        <v>687</v>
      </c>
      <c r="F282" s="14" t="s">
        <v>600</v>
      </c>
      <c r="G282" s="14" t="s">
        <v>63</v>
      </c>
      <c r="H282" s="14">
        <v>354.8</v>
      </c>
      <c r="I282" s="129">
        <v>7545</v>
      </c>
    </row>
    <row r="283" spans="1:9" x14ac:dyDescent="0.2">
      <c r="A283" s="126">
        <v>2024</v>
      </c>
      <c r="B283" t="s">
        <v>686</v>
      </c>
      <c r="C283" s="14" t="s">
        <v>601</v>
      </c>
      <c r="D283" s="14" t="s">
        <v>687</v>
      </c>
      <c r="E283" s="14" t="s">
        <v>687</v>
      </c>
      <c r="F283" s="14" t="s">
        <v>601</v>
      </c>
      <c r="G283" s="14" t="s">
        <v>62</v>
      </c>
      <c r="H283" s="14">
        <v>323</v>
      </c>
      <c r="I283" s="129">
        <v>7428</v>
      </c>
    </row>
    <row r="284" spans="1:9" x14ac:dyDescent="0.2">
      <c r="A284" s="126">
        <v>2024</v>
      </c>
      <c r="B284" t="s">
        <v>691</v>
      </c>
      <c r="C284" s="14" t="s">
        <v>602</v>
      </c>
      <c r="D284" s="14" t="s">
        <v>687</v>
      </c>
      <c r="E284" s="14" t="s">
        <v>687</v>
      </c>
      <c r="F284" s="14" t="s">
        <v>602</v>
      </c>
      <c r="G284" s="14" t="s">
        <v>61</v>
      </c>
      <c r="H284" s="14">
        <v>160</v>
      </c>
      <c r="I284" s="129">
        <v>7553</v>
      </c>
    </row>
    <row r="285" spans="1:9" x14ac:dyDescent="0.2">
      <c r="A285" s="126">
        <v>2024</v>
      </c>
      <c r="B285" t="s">
        <v>689</v>
      </c>
      <c r="C285" s="14" t="s">
        <v>603</v>
      </c>
      <c r="D285" s="14" t="s">
        <v>687</v>
      </c>
      <c r="E285" s="14" t="s">
        <v>687</v>
      </c>
      <c r="F285" s="14" t="s">
        <v>603</v>
      </c>
      <c r="G285" s="14" t="s">
        <v>60</v>
      </c>
      <c r="H285" s="14">
        <v>764.7</v>
      </c>
      <c r="I285" s="129">
        <v>7413</v>
      </c>
    </row>
    <row r="286" spans="1:9" x14ac:dyDescent="0.2">
      <c r="A286" s="126">
        <v>2024</v>
      </c>
      <c r="B286" t="s">
        <v>688</v>
      </c>
      <c r="C286" s="14" t="s">
        <v>407</v>
      </c>
      <c r="D286" s="14" t="s">
        <v>687</v>
      </c>
      <c r="E286" s="14" t="s">
        <v>687</v>
      </c>
      <c r="F286" s="14" t="s">
        <v>644</v>
      </c>
      <c r="G286" s="14" t="s">
        <v>59</v>
      </c>
      <c r="H286" s="14">
        <v>965.5</v>
      </c>
      <c r="I286" s="129">
        <v>7460</v>
      </c>
    </row>
    <row r="287" spans="1:9" x14ac:dyDescent="0.2">
      <c r="A287" s="126">
        <v>2024</v>
      </c>
      <c r="B287" t="s">
        <v>686</v>
      </c>
      <c r="C287" s="14" t="s">
        <v>604</v>
      </c>
      <c r="D287" s="14" t="s">
        <v>687</v>
      </c>
      <c r="E287" s="14" t="s">
        <v>687</v>
      </c>
      <c r="F287" s="14" t="s">
        <v>604</v>
      </c>
      <c r="G287" s="14" t="s">
        <v>58</v>
      </c>
      <c r="H287" s="14">
        <v>385.9</v>
      </c>
      <c r="I287" s="129">
        <v>7413</v>
      </c>
    </row>
    <row r="288" spans="1:9" x14ac:dyDescent="0.2">
      <c r="A288" s="126">
        <v>2024</v>
      </c>
      <c r="B288" t="s">
        <v>686</v>
      </c>
      <c r="C288" s="14" t="s">
        <v>605</v>
      </c>
      <c r="D288" s="14" t="s">
        <v>687</v>
      </c>
      <c r="E288" s="14" t="s">
        <v>687</v>
      </c>
      <c r="F288" s="14" t="s">
        <v>605</v>
      </c>
      <c r="G288" s="14" t="s">
        <v>57</v>
      </c>
      <c r="H288" s="14">
        <v>3448</v>
      </c>
      <c r="I288" s="129">
        <v>7413</v>
      </c>
    </row>
    <row r="289" spans="1:9" x14ac:dyDescent="0.2">
      <c r="A289" s="126">
        <v>2024</v>
      </c>
      <c r="B289" t="s">
        <v>692</v>
      </c>
      <c r="C289" s="14" t="s">
        <v>606</v>
      </c>
      <c r="D289" s="14" t="s">
        <v>687</v>
      </c>
      <c r="E289" s="14" t="s">
        <v>687</v>
      </c>
      <c r="F289" s="14" t="s">
        <v>606</v>
      </c>
      <c r="G289" s="14" t="s">
        <v>699</v>
      </c>
      <c r="H289" s="14">
        <v>967.1</v>
      </c>
      <c r="I289" s="129">
        <v>7413</v>
      </c>
    </row>
    <row r="290" spans="1:9" x14ac:dyDescent="0.2">
      <c r="A290" s="126">
        <v>2024</v>
      </c>
      <c r="B290" t="s">
        <v>686</v>
      </c>
      <c r="C290" s="14" t="s">
        <v>607</v>
      </c>
      <c r="D290" s="14" t="s">
        <v>687</v>
      </c>
      <c r="E290" s="14" t="s">
        <v>687</v>
      </c>
      <c r="F290" s="14" t="s">
        <v>607</v>
      </c>
      <c r="G290" s="14" t="s">
        <v>56</v>
      </c>
      <c r="H290" s="14">
        <v>894.5</v>
      </c>
      <c r="I290" s="129">
        <v>7413</v>
      </c>
    </row>
    <row r="291" spans="1:9" x14ac:dyDescent="0.2">
      <c r="A291" s="126">
        <v>2024</v>
      </c>
      <c r="B291" t="s">
        <v>689</v>
      </c>
      <c r="C291" s="14" t="s">
        <v>608</v>
      </c>
      <c r="D291" s="14" t="s">
        <v>687</v>
      </c>
      <c r="E291" s="14" t="s">
        <v>687</v>
      </c>
      <c r="F291" s="14" t="s">
        <v>608</v>
      </c>
      <c r="G291" s="14" t="s">
        <v>55</v>
      </c>
      <c r="H291" s="14">
        <v>311.10000000000002</v>
      </c>
      <c r="I291" s="129">
        <v>7413</v>
      </c>
    </row>
    <row r="292" spans="1:9" x14ac:dyDescent="0.2">
      <c r="A292" s="126">
        <v>2024</v>
      </c>
      <c r="B292" t="s">
        <v>693</v>
      </c>
      <c r="C292" s="14" t="s">
        <v>609</v>
      </c>
      <c r="D292" s="14" t="s">
        <v>687</v>
      </c>
      <c r="E292" s="14" t="s">
        <v>687</v>
      </c>
      <c r="F292" s="14" t="s">
        <v>609</v>
      </c>
      <c r="G292" s="14" t="s">
        <v>54</v>
      </c>
      <c r="H292" s="14">
        <v>1621.5</v>
      </c>
      <c r="I292" s="129">
        <v>7413</v>
      </c>
    </row>
    <row r="293" spans="1:9" x14ac:dyDescent="0.2">
      <c r="A293" s="126">
        <v>2024</v>
      </c>
      <c r="B293" t="s">
        <v>692</v>
      </c>
      <c r="C293" s="14" t="s">
        <v>610</v>
      </c>
      <c r="D293" s="14" t="s">
        <v>687</v>
      </c>
      <c r="E293" s="14" t="s">
        <v>687</v>
      </c>
      <c r="F293" s="14" t="s">
        <v>610</v>
      </c>
      <c r="G293" s="14" t="s">
        <v>53</v>
      </c>
      <c r="H293" s="14">
        <v>489.4</v>
      </c>
      <c r="I293" s="129">
        <v>7502</v>
      </c>
    </row>
    <row r="294" spans="1:9" x14ac:dyDescent="0.2">
      <c r="A294" s="126">
        <v>2024</v>
      </c>
      <c r="B294" t="s">
        <v>692</v>
      </c>
      <c r="C294" s="14" t="s">
        <v>612</v>
      </c>
      <c r="D294" s="14" t="s">
        <v>687</v>
      </c>
      <c r="E294" s="14" t="s">
        <v>687</v>
      </c>
      <c r="F294" s="14" t="s">
        <v>612</v>
      </c>
      <c r="G294" s="14" t="s">
        <v>51</v>
      </c>
      <c r="H294" s="14">
        <v>534.4</v>
      </c>
      <c r="I294" s="129">
        <v>7413</v>
      </c>
    </row>
    <row r="295" spans="1:9" x14ac:dyDescent="0.2">
      <c r="A295" s="126">
        <v>2024</v>
      </c>
      <c r="B295" t="s">
        <v>688</v>
      </c>
      <c r="C295" s="14" t="s">
        <v>613</v>
      </c>
      <c r="D295" s="14" t="s">
        <v>687</v>
      </c>
      <c r="E295" s="14" t="s">
        <v>687</v>
      </c>
      <c r="F295" s="14" t="s">
        <v>613</v>
      </c>
      <c r="G295" s="14" t="s">
        <v>50</v>
      </c>
      <c r="H295" s="14">
        <v>657.7</v>
      </c>
      <c r="I295" s="129">
        <v>7424</v>
      </c>
    </row>
    <row r="296" spans="1:9" x14ac:dyDescent="0.2">
      <c r="A296" s="126">
        <v>2024</v>
      </c>
      <c r="B296" t="s">
        <v>693</v>
      </c>
      <c r="C296" s="14" t="s">
        <v>614</v>
      </c>
      <c r="D296" s="14" t="s">
        <v>687</v>
      </c>
      <c r="E296" s="14" t="s">
        <v>687</v>
      </c>
      <c r="F296" s="14" t="s">
        <v>614</v>
      </c>
      <c r="G296" s="14" t="s">
        <v>49</v>
      </c>
      <c r="H296" s="14">
        <v>1626</v>
      </c>
      <c r="I296" s="129">
        <v>7413</v>
      </c>
    </row>
    <row r="297" spans="1:9" x14ac:dyDescent="0.2">
      <c r="A297" s="126">
        <v>2024</v>
      </c>
      <c r="B297" t="s">
        <v>688</v>
      </c>
      <c r="C297" s="14" t="s">
        <v>615</v>
      </c>
      <c r="D297" s="14" t="s">
        <v>687</v>
      </c>
      <c r="E297" s="14" t="s">
        <v>687</v>
      </c>
      <c r="F297" s="14" t="s">
        <v>615</v>
      </c>
      <c r="G297" s="14" t="s">
        <v>48</v>
      </c>
      <c r="H297" s="14">
        <v>10672.3</v>
      </c>
      <c r="I297" s="129">
        <v>7413</v>
      </c>
    </row>
    <row r="298" spans="1:9" x14ac:dyDescent="0.2">
      <c r="A298" s="126">
        <v>2024</v>
      </c>
      <c r="B298" t="s">
        <v>686</v>
      </c>
      <c r="C298" s="14" t="s">
        <v>616</v>
      </c>
      <c r="D298" s="14" t="s">
        <v>687</v>
      </c>
      <c r="E298" s="14" t="s">
        <v>687</v>
      </c>
      <c r="F298" s="14" t="s">
        <v>616</v>
      </c>
      <c r="G298" s="14" t="s">
        <v>47</v>
      </c>
      <c r="H298" s="14">
        <v>13153.9</v>
      </c>
      <c r="I298" s="129">
        <v>7413</v>
      </c>
    </row>
    <row r="299" spans="1:9" x14ac:dyDescent="0.2">
      <c r="A299" s="126">
        <v>2024</v>
      </c>
      <c r="B299" t="s">
        <v>688</v>
      </c>
      <c r="C299" s="14" t="s">
        <v>617</v>
      </c>
      <c r="D299" s="14" t="s">
        <v>687</v>
      </c>
      <c r="E299" s="14" t="s">
        <v>687</v>
      </c>
      <c r="F299" s="14" t="s">
        <v>617</v>
      </c>
      <c r="G299" s="14" t="s">
        <v>46</v>
      </c>
      <c r="H299" s="14">
        <v>2197.8000000000002</v>
      </c>
      <c r="I299" s="129">
        <v>7413</v>
      </c>
    </row>
    <row r="300" spans="1:9" x14ac:dyDescent="0.2">
      <c r="A300" s="126">
        <v>2024</v>
      </c>
      <c r="B300" t="s">
        <v>692</v>
      </c>
      <c r="C300" s="14" t="s">
        <v>618</v>
      </c>
      <c r="D300" s="14" t="s">
        <v>687</v>
      </c>
      <c r="E300" s="14" t="s">
        <v>687</v>
      </c>
      <c r="F300" s="14" t="s">
        <v>618</v>
      </c>
      <c r="G300" s="14" t="s">
        <v>45</v>
      </c>
      <c r="H300" s="14">
        <v>574.5</v>
      </c>
      <c r="I300" s="129">
        <v>7413</v>
      </c>
    </row>
    <row r="301" spans="1:9" x14ac:dyDescent="0.2">
      <c r="A301" s="126">
        <v>2024</v>
      </c>
      <c r="B301" t="s">
        <v>691</v>
      </c>
      <c r="C301" s="14" t="s">
        <v>619</v>
      </c>
      <c r="D301" s="14" t="s">
        <v>524</v>
      </c>
      <c r="E301" s="14" t="s">
        <v>687</v>
      </c>
      <c r="F301" s="14" t="s">
        <v>619</v>
      </c>
      <c r="G301" s="14" t="s">
        <v>44</v>
      </c>
      <c r="H301" s="14">
        <v>1729.2</v>
      </c>
      <c r="I301" s="129">
        <v>7413</v>
      </c>
    </row>
    <row r="302" spans="1:9" x14ac:dyDescent="0.2">
      <c r="A302" s="126">
        <v>2024</v>
      </c>
      <c r="B302" t="s">
        <v>691</v>
      </c>
      <c r="C302" s="14" t="s">
        <v>620</v>
      </c>
      <c r="D302" s="14" t="s">
        <v>687</v>
      </c>
      <c r="E302" s="14" t="s">
        <v>687</v>
      </c>
      <c r="F302" s="14" t="s">
        <v>620</v>
      </c>
      <c r="G302" s="14" t="s">
        <v>43</v>
      </c>
      <c r="H302" s="14">
        <v>328.1</v>
      </c>
      <c r="I302" s="129">
        <v>7430</v>
      </c>
    </row>
    <row r="303" spans="1:9" x14ac:dyDescent="0.2">
      <c r="A303" s="126">
        <v>2024</v>
      </c>
      <c r="B303" t="s">
        <v>693</v>
      </c>
      <c r="C303" s="14" t="s">
        <v>621</v>
      </c>
      <c r="D303" s="14" t="s">
        <v>687</v>
      </c>
      <c r="E303" s="14" t="s">
        <v>687</v>
      </c>
      <c r="F303" s="14" t="s">
        <v>621</v>
      </c>
      <c r="G303" s="14" t="s">
        <v>42</v>
      </c>
      <c r="H303" s="14">
        <v>785.9</v>
      </c>
      <c r="I303" s="129">
        <v>7413</v>
      </c>
    </row>
    <row r="304" spans="1:9" x14ac:dyDescent="0.2">
      <c r="A304" s="126">
        <v>2024</v>
      </c>
      <c r="B304" t="s">
        <v>692</v>
      </c>
      <c r="C304" s="14" t="s">
        <v>622</v>
      </c>
      <c r="D304" s="14" t="s">
        <v>687</v>
      </c>
      <c r="E304" s="14" t="s">
        <v>687</v>
      </c>
      <c r="F304" s="14" t="s">
        <v>622</v>
      </c>
      <c r="G304" s="14" t="s">
        <v>675</v>
      </c>
      <c r="H304" s="14">
        <v>405</v>
      </c>
      <c r="I304" s="129">
        <v>7413</v>
      </c>
    </row>
    <row r="305" spans="1:9" x14ac:dyDescent="0.2">
      <c r="A305" s="126">
        <v>2024</v>
      </c>
      <c r="B305" t="s">
        <v>695</v>
      </c>
      <c r="C305" s="14" t="s">
        <v>623</v>
      </c>
      <c r="D305" s="14" t="s">
        <v>687</v>
      </c>
      <c r="E305" s="14" t="s">
        <v>687</v>
      </c>
      <c r="F305" s="14" t="s">
        <v>623</v>
      </c>
      <c r="G305" s="14" t="s">
        <v>41</v>
      </c>
      <c r="H305" s="14">
        <v>268.2</v>
      </c>
      <c r="I305" s="129">
        <v>7413</v>
      </c>
    </row>
    <row r="306" spans="1:9" x14ac:dyDescent="0.2">
      <c r="A306" s="126">
        <v>2024</v>
      </c>
      <c r="B306" t="s">
        <v>686</v>
      </c>
      <c r="C306" s="14" t="s">
        <v>593</v>
      </c>
      <c r="D306" s="14" t="s">
        <v>687</v>
      </c>
      <c r="E306" s="14" t="s">
        <v>687</v>
      </c>
      <c r="F306" s="14" t="s">
        <v>593</v>
      </c>
      <c r="G306" s="14" t="s">
        <v>70</v>
      </c>
      <c r="H306" s="14">
        <v>947.2</v>
      </c>
      <c r="I306" s="129">
        <v>7444</v>
      </c>
    </row>
    <row r="307" spans="1:9" x14ac:dyDescent="0.2">
      <c r="A307" s="126">
        <v>2024</v>
      </c>
      <c r="B307" t="s">
        <v>695</v>
      </c>
      <c r="C307" s="14" t="s">
        <v>624</v>
      </c>
      <c r="D307" s="14" t="s">
        <v>687</v>
      </c>
      <c r="E307" s="14" t="s">
        <v>687</v>
      </c>
      <c r="F307" s="14" t="s">
        <v>624</v>
      </c>
      <c r="G307" s="14" t="s">
        <v>676</v>
      </c>
      <c r="H307" s="14">
        <v>1363.5</v>
      </c>
      <c r="I307" s="129">
        <v>7413</v>
      </c>
    </row>
    <row r="308" spans="1:9" x14ac:dyDescent="0.2">
      <c r="A308" s="126">
        <v>2024</v>
      </c>
      <c r="B308" t="s">
        <v>686</v>
      </c>
      <c r="C308" s="14" t="s">
        <v>625</v>
      </c>
      <c r="D308" s="14" t="s">
        <v>687</v>
      </c>
      <c r="E308" s="14" t="s">
        <v>687</v>
      </c>
      <c r="F308" s="14" t="s">
        <v>625</v>
      </c>
      <c r="G308" s="14" t="s">
        <v>40</v>
      </c>
      <c r="H308" s="14">
        <v>8678.6</v>
      </c>
      <c r="I308" s="129">
        <v>7413</v>
      </c>
    </row>
    <row r="309" spans="1:9" x14ac:dyDescent="0.2">
      <c r="A309" s="126">
        <v>2024</v>
      </c>
      <c r="B309" t="s">
        <v>688</v>
      </c>
      <c r="C309" s="14" t="s">
        <v>568</v>
      </c>
      <c r="D309" s="14" t="s">
        <v>687</v>
      </c>
      <c r="E309" s="14" t="s">
        <v>687</v>
      </c>
      <c r="F309" s="14" t="s">
        <v>568</v>
      </c>
      <c r="G309" s="14" t="s">
        <v>677</v>
      </c>
      <c r="H309" s="14">
        <v>763.8</v>
      </c>
      <c r="I309" s="129">
        <v>7434</v>
      </c>
    </row>
    <row r="310" spans="1:9" x14ac:dyDescent="0.2">
      <c r="A310" s="126">
        <v>2024</v>
      </c>
      <c r="B310" t="s">
        <v>688</v>
      </c>
      <c r="C310" s="14" t="s">
        <v>350</v>
      </c>
      <c r="D310" s="14" t="s">
        <v>687</v>
      </c>
      <c r="E310" s="14" t="s">
        <v>687</v>
      </c>
      <c r="F310" s="14" t="s">
        <v>350</v>
      </c>
      <c r="G310" s="14" t="s">
        <v>282</v>
      </c>
      <c r="H310" s="14">
        <v>559.29999999999995</v>
      </c>
      <c r="I310" s="129">
        <v>7413</v>
      </c>
    </row>
    <row r="311" spans="1:9" x14ac:dyDescent="0.2">
      <c r="A311" s="126">
        <v>2024</v>
      </c>
      <c r="B311" t="s">
        <v>689</v>
      </c>
      <c r="C311" s="14" t="s">
        <v>627</v>
      </c>
      <c r="D311" s="14" t="s">
        <v>687</v>
      </c>
      <c r="E311" s="14" t="s">
        <v>687</v>
      </c>
      <c r="F311" s="14" t="s">
        <v>627</v>
      </c>
      <c r="G311" s="14" t="s">
        <v>39</v>
      </c>
      <c r="H311" s="14">
        <v>356.3</v>
      </c>
      <c r="I311" s="129">
        <v>7548</v>
      </c>
    </row>
    <row r="312" spans="1:9" x14ac:dyDescent="0.2">
      <c r="A312" s="126">
        <v>2024</v>
      </c>
      <c r="B312" t="s">
        <v>696</v>
      </c>
      <c r="C312" s="14" t="s">
        <v>628</v>
      </c>
      <c r="D312" s="14" t="s">
        <v>687</v>
      </c>
      <c r="E312" s="14" t="s">
        <v>687</v>
      </c>
      <c r="F312" s="14" t="s">
        <v>628</v>
      </c>
      <c r="G312" s="14" t="s">
        <v>38</v>
      </c>
      <c r="H312" s="14">
        <v>1235.0999999999999</v>
      </c>
      <c r="I312" s="129">
        <v>7413</v>
      </c>
    </row>
    <row r="313" spans="1:9" x14ac:dyDescent="0.2">
      <c r="A313" s="126">
        <v>2024</v>
      </c>
      <c r="B313" t="s">
        <v>690</v>
      </c>
      <c r="C313" s="14" t="s">
        <v>629</v>
      </c>
      <c r="D313" s="14" t="s">
        <v>687</v>
      </c>
      <c r="E313" s="14" t="s">
        <v>687</v>
      </c>
      <c r="F313" s="14" t="s">
        <v>629</v>
      </c>
      <c r="G313" s="14" t="s">
        <v>37</v>
      </c>
      <c r="H313" s="14">
        <v>938.4</v>
      </c>
      <c r="I313" s="129">
        <v>7413</v>
      </c>
    </row>
    <row r="314" spans="1:9" x14ac:dyDescent="0.2">
      <c r="A314" s="126">
        <v>2024</v>
      </c>
      <c r="B314" t="s">
        <v>688</v>
      </c>
      <c r="C314" s="14" t="s">
        <v>630</v>
      </c>
      <c r="D314" s="14" t="s">
        <v>687</v>
      </c>
      <c r="E314" s="14" t="s">
        <v>687</v>
      </c>
      <c r="F314" s="14" t="s">
        <v>630</v>
      </c>
      <c r="G314" s="14" t="s">
        <v>36</v>
      </c>
      <c r="H314" s="14">
        <v>786.7</v>
      </c>
      <c r="I314" s="129">
        <v>7413</v>
      </c>
    </row>
    <row r="315" spans="1:9" x14ac:dyDescent="0.2">
      <c r="A315" s="126">
        <v>2024</v>
      </c>
      <c r="B315" t="s">
        <v>690</v>
      </c>
      <c r="C315" s="14" t="s">
        <v>631</v>
      </c>
      <c r="D315" s="14" t="s">
        <v>687</v>
      </c>
      <c r="E315" s="14" t="s">
        <v>687</v>
      </c>
      <c r="F315" s="14" t="s">
        <v>631</v>
      </c>
      <c r="G315" s="14" t="s">
        <v>35</v>
      </c>
      <c r="H315" s="14">
        <v>601.79999999999995</v>
      </c>
      <c r="I315" s="129">
        <v>7413</v>
      </c>
    </row>
    <row r="316" spans="1:9" x14ac:dyDescent="0.2">
      <c r="A316" s="126">
        <v>2024</v>
      </c>
      <c r="B316" t="s">
        <v>690</v>
      </c>
      <c r="C316" s="14" t="s">
        <v>632</v>
      </c>
      <c r="D316" s="14" t="s">
        <v>687</v>
      </c>
      <c r="E316" s="14" t="s">
        <v>687</v>
      </c>
      <c r="F316" s="14" t="s">
        <v>632</v>
      </c>
      <c r="G316" s="14" t="s">
        <v>34</v>
      </c>
      <c r="H316" s="14">
        <v>795.1</v>
      </c>
      <c r="I316" s="129">
        <v>7413</v>
      </c>
    </row>
    <row r="317" spans="1:9" x14ac:dyDescent="0.2">
      <c r="A317" s="126">
        <v>2024</v>
      </c>
      <c r="B317" t="s">
        <v>695</v>
      </c>
      <c r="C317" s="14" t="s">
        <v>626</v>
      </c>
      <c r="D317" s="14" t="s">
        <v>687</v>
      </c>
      <c r="E317" s="14" t="s">
        <v>687</v>
      </c>
      <c r="F317" s="14" t="s">
        <v>626</v>
      </c>
      <c r="G317" s="14" t="s">
        <v>678</v>
      </c>
      <c r="H317" s="14">
        <v>3200.2</v>
      </c>
      <c r="I317" s="129">
        <v>7433</v>
      </c>
    </row>
    <row r="318" spans="1:9" x14ac:dyDescent="0.2">
      <c r="A318" s="126">
        <v>2024</v>
      </c>
      <c r="B318" t="s">
        <v>690</v>
      </c>
      <c r="C318" s="14" t="s">
        <v>633</v>
      </c>
      <c r="D318" s="14" t="s">
        <v>687</v>
      </c>
      <c r="E318" s="14" t="s">
        <v>687</v>
      </c>
      <c r="F318" s="14" t="s">
        <v>633</v>
      </c>
      <c r="G318" s="14" t="s">
        <v>33</v>
      </c>
      <c r="H318" s="14">
        <v>531.70000000000005</v>
      </c>
      <c r="I318" s="129">
        <v>7413</v>
      </c>
    </row>
    <row r="319" spans="1:9" x14ac:dyDescent="0.2">
      <c r="A319" s="126">
        <v>2024</v>
      </c>
      <c r="B319" t="s">
        <v>690</v>
      </c>
      <c r="C319" s="14" t="s">
        <v>634</v>
      </c>
      <c r="D319" s="14" t="s">
        <v>687</v>
      </c>
      <c r="E319" s="14" t="s">
        <v>687</v>
      </c>
      <c r="F319" s="14" t="s">
        <v>634</v>
      </c>
      <c r="G319" s="14" t="s">
        <v>32</v>
      </c>
      <c r="H319" s="14">
        <v>184.4</v>
      </c>
      <c r="I319" s="129">
        <v>7413</v>
      </c>
    </row>
    <row r="320" spans="1:9" x14ac:dyDescent="0.2">
      <c r="A320" s="126">
        <v>2024</v>
      </c>
      <c r="B320" t="s">
        <v>693</v>
      </c>
      <c r="C320" s="14" t="s">
        <v>635</v>
      </c>
      <c r="D320" s="14" t="s">
        <v>687</v>
      </c>
      <c r="E320" s="14" t="s">
        <v>687</v>
      </c>
      <c r="F320" s="14" t="s">
        <v>635</v>
      </c>
      <c r="G320" s="14" t="s">
        <v>31</v>
      </c>
      <c r="H320" s="14">
        <v>1160.2</v>
      </c>
      <c r="I320" s="129">
        <v>7413</v>
      </c>
    </row>
    <row r="321" spans="1:9" x14ac:dyDescent="0.2">
      <c r="A321" s="126">
        <v>2024</v>
      </c>
      <c r="B321" t="s">
        <v>696</v>
      </c>
      <c r="C321" s="14" t="s">
        <v>636</v>
      </c>
      <c r="D321" s="14" t="s">
        <v>687</v>
      </c>
      <c r="E321" s="14" t="s">
        <v>687</v>
      </c>
      <c r="F321" s="14" t="s">
        <v>636</v>
      </c>
      <c r="G321" s="14" t="s">
        <v>30</v>
      </c>
      <c r="H321" s="14">
        <v>851.9</v>
      </c>
      <c r="I321" s="129">
        <v>7413</v>
      </c>
    </row>
    <row r="322" spans="1:9" x14ac:dyDescent="0.2">
      <c r="A322" s="126">
        <v>2024</v>
      </c>
      <c r="B322" t="s">
        <v>692</v>
      </c>
      <c r="C322" s="14" t="s">
        <v>637</v>
      </c>
      <c r="D322" s="14" t="s">
        <v>687</v>
      </c>
      <c r="E322" s="14" t="s">
        <v>687</v>
      </c>
      <c r="F322" s="14" t="s">
        <v>637</v>
      </c>
      <c r="G322" s="14" t="s">
        <v>29</v>
      </c>
      <c r="H322" s="14">
        <v>306.2</v>
      </c>
      <c r="I322" s="129">
        <v>7413</v>
      </c>
    </row>
    <row r="323" spans="1:9" x14ac:dyDescent="0.2">
      <c r="A323" s="126">
        <v>2024</v>
      </c>
      <c r="B323" t="s">
        <v>686</v>
      </c>
      <c r="C323" s="14" t="s">
        <v>638</v>
      </c>
      <c r="D323" s="14" t="s">
        <v>687</v>
      </c>
      <c r="E323" s="14" t="s">
        <v>687</v>
      </c>
      <c r="F323" s="14" t="s">
        <v>638</v>
      </c>
      <c r="G323" s="14" t="s">
        <v>28</v>
      </c>
      <c r="H323" s="14">
        <v>1667.3</v>
      </c>
      <c r="I323" s="129">
        <v>7413</v>
      </c>
    </row>
    <row r="324" spans="1:9" x14ac:dyDescent="0.2">
      <c r="A324" s="126">
        <v>2024</v>
      </c>
      <c r="B324" t="s">
        <v>689</v>
      </c>
      <c r="C324" s="14" t="s">
        <v>639</v>
      </c>
      <c r="D324" s="14" t="s">
        <v>687</v>
      </c>
      <c r="E324" s="14" t="s">
        <v>687</v>
      </c>
      <c r="F324" s="14" t="s">
        <v>639</v>
      </c>
      <c r="G324" s="14" t="s">
        <v>27</v>
      </c>
      <c r="H324" s="14">
        <v>466</v>
      </c>
      <c r="I324" s="129">
        <v>7413</v>
      </c>
    </row>
    <row r="325" spans="1:9" x14ac:dyDescent="0.2">
      <c r="A325" s="126">
        <v>2024</v>
      </c>
      <c r="B325" t="s">
        <v>690</v>
      </c>
      <c r="C325" s="14" t="s">
        <v>640</v>
      </c>
      <c r="D325" s="14" t="s">
        <v>687</v>
      </c>
      <c r="E325" s="14" t="s">
        <v>687</v>
      </c>
      <c r="F325" s="14" t="s">
        <v>640</v>
      </c>
      <c r="G325" s="14" t="s">
        <v>26</v>
      </c>
      <c r="H325" s="14">
        <v>516.5</v>
      </c>
      <c r="I325" s="129">
        <v>7413</v>
      </c>
    </row>
    <row r="326" spans="1:9" x14ac:dyDescent="0.2">
      <c r="A326" s="126">
        <v>2024</v>
      </c>
      <c r="B326" t="s">
        <v>686</v>
      </c>
      <c r="C326" s="14" t="s">
        <v>641</v>
      </c>
      <c r="D326" s="14" t="s">
        <v>687</v>
      </c>
      <c r="E326" s="14" t="s">
        <v>687</v>
      </c>
      <c r="F326" s="14" t="s">
        <v>641</v>
      </c>
      <c r="G326" s="14" t="s">
        <v>25</v>
      </c>
      <c r="H326" s="14">
        <v>1062.9000000000001</v>
      </c>
      <c r="I326" s="129">
        <v>7470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474E-CBFD-4B55-97BB-2143CDE81560}">
  <dimension ref="A1:M326"/>
  <sheetViews>
    <sheetView workbookViewId="0">
      <selection activeCell="J2" sqref="J2"/>
    </sheetView>
  </sheetViews>
  <sheetFormatPr defaultRowHeight="12.75" x14ac:dyDescent="0.2"/>
  <cols>
    <col min="7" max="7" width="32.85546875" bestFit="1" customWidth="1"/>
    <col min="8" max="8" width="9.85546875" bestFit="1" customWidth="1"/>
    <col min="9" max="9" width="31.7109375" bestFit="1" customWidth="1"/>
    <col min="10" max="10" width="19.140625" customWidth="1"/>
  </cols>
  <sheetData>
    <row r="1" spans="1:13" x14ac:dyDescent="0.2">
      <c r="A1" t="s">
        <v>681</v>
      </c>
      <c r="B1" t="s">
        <v>682</v>
      </c>
      <c r="C1" s="128" t="s">
        <v>312</v>
      </c>
      <c r="D1" t="s">
        <v>683</v>
      </c>
      <c r="E1" t="s">
        <v>684</v>
      </c>
      <c r="F1" t="s">
        <v>313</v>
      </c>
      <c r="G1" t="s">
        <v>685</v>
      </c>
      <c r="H1" t="s">
        <v>4</v>
      </c>
      <c r="I1" t="s">
        <v>751</v>
      </c>
      <c r="J1" t="s">
        <v>752</v>
      </c>
    </row>
    <row r="2" spans="1:13" x14ac:dyDescent="0.2">
      <c r="A2">
        <v>2024</v>
      </c>
      <c r="B2" t="s">
        <v>686</v>
      </c>
      <c r="C2" t="s">
        <v>315</v>
      </c>
      <c r="D2" t="s">
        <v>687</v>
      </c>
      <c r="E2" t="s">
        <v>687</v>
      </c>
      <c r="F2" t="s">
        <v>315</v>
      </c>
      <c r="G2" t="s">
        <v>311</v>
      </c>
      <c r="H2" s="129">
        <f>SUMPRODUCT(SUMIF(fr2223g1to6dst_cep!$E$2:$E$328,ActiveDistricts!$D2:$F2,fr2223g1to6dst_cep!$G$2:$G$328))</f>
        <v>132</v>
      </c>
      <c r="I2" s="129">
        <f>SUMPRODUCT(SUMIF(fr2223g1to6dst_cep!$E$2:$E$328,ActiveDistricts!$D2:$F2,fr2223g1to6dst_cep!$H$2:$H$328))</f>
        <v>68</v>
      </c>
      <c r="J2">
        <f>I2/H2</f>
        <v>0.51515151515151514</v>
      </c>
      <c r="M2">
        <v>306.3</v>
      </c>
    </row>
    <row r="3" spans="1:13" x14ac:dyDescent="0.2">
      <c r="A3">
        <v>2024</v>
      </c>
      <c r="B3" t="s">
        <v>686</v>
      </c>
      <c r="C3" t="s">
        <v>316</v>
      </c>
      <c r="D3" t="s">
        <v>687</v>
      </c>
      <c r="E3" t="s">
        <v>687</v>
      </c>
      <c r="F3" t="s">
        <v>316</v>
      </c>
      <c r="G3" t="s">
        <v>653</v>
      </c>
      <c r="H3" s="129">
        <f>SUMPRODUCT(SUMIF(fr2223g1to6dst_cep!$E$2:$E$328,ActiveDistricts!$D3:$F3,fr2223g1to6dst_cep!$G$2:$G$328))</f>
        <v>1022</v>
      </c>
      <c r="I3" s="129">
        <f>SUMPRODUCT(SUMIF(fr2223g1to6dst_cep!$E$2:$E$328,ActiveDistricts!$D3:$F3,fr2223g1to6dst_cep!$H$2:$H$328))</f>
        <v>188</v>
      </c>
      <c r="J3">
        <f t="shared" ref="J3:J66" si="0">I3/H3</f>
        <v>0.18395303326810175</v>
      </c>
      <c r="M3">
        <v>2130.9</v>
      </c>
    </row>
    <row r="4" spans="1:13" x14ac:dyDescent="0.2">
      <c r="A4">
        <v>2024</v>
      </c>
      <c r="B4" t="s">
        <v>688</v>
      </c>
      <c r="C4" t="s">
        <v>314</v>
      </c>
      <c r="D4" t="s">
        <v>687</v>
      </c>
      <c r="E4" t="s">
        <v>687</v>
      </c>
      <c r="F4" t="s">
        <v>314</v>
      </c>
      <c r="G4" t="s">
        <v>15</v>
      </c>
      <c r="H4" s="129">
        <f>SUMPRODUCT(SUMIF(fr2223g1to6dst_cep!$E$2:$E$328,ActiveDistricts!$D4:$F4,fr2223g1to6dst_cep!$G$2:$G$328))</f>
        <v>253</v>
      </c>
      <c r="I4" s="129">
        <f>SUMPRODUCT(SUMIF(fr2223g1to6dst_cep!$E$2:$E$328,ActiveDistricts!$D4:$F4,fr2223g1to6dst_cep!$H$2:$H$328))</f>
        <v>101</v>
      </c>
      <c r="J4">
        <f t="shared" si="0"/>
        <v>0.39920948616600793</v>
      </c>
      <c r="M4">
        <v>686.4</v>
      </c>
    </row>
    <row r="5" spans="1:13" x14ac:dyDescent="0.2">
      <c r="A5">
        <v>2024</v>
      </c>
      <c r="B5" t="s">
        <v>689</v>
      </c>
      <c r="C5" t="s">
        <v>335</v>
      </c>
      <c r="D5" t="s">
        <v>687</v>
      </c>
      <c r="E5" t="s">
        <v>687</v>
      </c>
      <c r="F5" t="s">
        <v>335</v>
      </c>
      <c r="G5" t="s">
        <v>24</v>
      </c>
      <c r="H5" s="129">
        <f>SUMPRODUCT(SUMIF(fr2223g1to6dst_cep!$E$2:$E$328,ActiveDistricts!$D5:$F5,fr2223g1to6dst_cep!$G$2:$G$328))</f>
        <v>328</v>
      </c>
      <c r="I5" s="129">
        <f>SUMPRODUCT(SUMIF(fr2223g1to6dst_cep!$E$2:$E$328,ActiveDistricts!$D5:$F5,fr2223g1to6dst_cep!$H$2:$H$328))</f>
        <v>139</v>
      </c>
      <c r="J5">
        <f t="shared" si="0"/>
        <v>0.42378048780487804</v>
      </c>
      <c r="M5">
        <v>792.6</v>
      </c>
    </row>
    <row r="6" spans="1:13" x14ac:dyDescent="0.2">
      <c r="A6">
        <v>2024</v>
      </c>
      <c r="B6" t="s">
        <v>690</v>
      </c>
      <c r="C6" t="s">
        <v>317</v>
      </c>
      <c r="D6" t="s">
        <v>687</v>
      </c>
      <c r="E6" t="s">
        <v>687</v>
      </c>
      <c r="F6" t="s">
        <v>317</v>
      </c>
      <c r="G6" t="s">
        <v>654</v>
      </c>
      <c r="H6" s="129">
        <f>SUMPRODUCT(SUMIF(fr2223g1to6dst_cep!$E$2:$E$328,ActiveDistricts!$D6:$F6,fr2223g1to6dst_cep!$G$2:$G$328))</f>
        <v>247</v>
      </c>
      <c r="I6" s="129">
        <f>SUMPRODUCT(SUMIF(fr2223g1to6dst_cep!$E$2:$E$328,ActiveDistricts!$D6:$F6,fr2223g1to6dst_cep!$H$2:$H$328))</f>
        <v>98</v>
      </c>
      <c r="J6">
        <f t="shared" si="0"/>
        <v>0.39676113360323889</v>
      </c>
      <c r="M6">
        <v>555.20000000000005</v>
      </c>
    </row>
    <row r="7" spans="1:13" x14ac:dyDescent="0.2">
      <c r="A7">
        <v>2024</v>
      </c>
      <c r="B7" t="s">
        <v>691</v>
      </c>
      <c r="C7" t="s">
        <v>318</v>
      </c>
      <c r="D7" t="s">
        <v>687</v>
      </c>
      <c r="E7" t="s">
        <v>687</v>
      </c>
      <c r="F7" t="s">
        <v>318</v>
      </c>
      <c r="G7" t="s">
        <v>310</v>
      </c>
      <c r="H7" s="129">
        <f>SUMPRODUCT(SUMIF(fr2223g1to6dst_cep!$E$2:$E$328,ActiveDistricts!$D7:$F7,fr2223g1to6dst_cep!$G$2:$G$328))</f>
        <v>81</v>
      </c>
      <c r="I7" s="129">
        <f>SUMPRODUCT(SUMIF(fr2223g1to6dst_cep!$E$2:$E$328,ActiveDistricts!$D7:$F7,fr2223g1to6dst_cep!$H$2:$H$328))</f>
        <v>43</v>
      </c>
      <c r="J7">
        <f t="shared" si="0"/>
        <v>0.53086419753086422</v>
      </c>
      <c r="M7">
        <v>209.6</v>
      </c>
    </row>
    <row r="8" spans="1:13" x14ac:dyDescent="0.2">
      <c r="A8">
        <v>2024</v>
      </c>
      <c r="B8" t="s">
        <v>692</v>
      </c>
      <c r="C8" t="s">
        <v>319</v>
      </c>
      <c r="D8" t="s">
        <v>687</v>
      </c>
      <c r="E8" t="s">
        <v>687</v>
      </c>
      <c r="F8" t="s">
        <v>319</v>
      </c>
      <c r="G8" t="s">
        <v>309</v>
      </c>
      <c r="H8" s="129">
        <f>SUMPRODUCT(SUMIF(fr2223g1to6dst_cep!$E$2:$E$328,ActiveDistricts!$D8:$F8,fr2223g1to6dst_cep!$G$2:$G$328))</f>
        <v>445</v>
      </c>
      <c r="I8" s="129">
        <f>SUMPRODUCT(SUMIF(fr2223g1to6dst_cep!$E$2:$E$328,ActiveDistricts!$D8:$F8,fr2223g1to6dst_cep!$H$2:$H$328))</f>
        <v>191</v>
      </c>
      <c r="J8">
        <f t="shared" si="0"/>
        <v>0.42921348314606744</v>
      </c>
      <c r="M8">
        <v>1099.4000000000001</v>
      </c>
    </row>
    <row r="9" spans="1:13" x14ac:dyDescent="0.2">
      <c r="A9">
        <v>2024</v>
      </c>
      <c r="B9" t="s">
        <v>693</v>
      </c>
      <c r="C9" t="s">
        <v>320</v>
      </c>
      <c r="D9" t="s">
        <v>687</v>
      </c>
      <c r="E9" t="s">
        <v>687</v>
      </c>
      <c r="F9" t="s">
        <v>320</v>
      </c>
      <c r="G9" t="s">
        <v>308</v>
      </c>
      <c r="H9" s="129">
        <f>SUMPRODUCT(SUMIF(fr2223g1to6dst_cep!$E$2:$E$328,ActiveDistricts!$D9:$F9,fr2223g1to6dst_cep!$G$2:$G$328))</f>
        <v>324</v>
      </c>
      <c r="I9" s="129">
        <f>SUMPRODUCT(SUMIF(fr2223g1to6dst_cep!$E$2:$E$328,ActiveDistricts!$D9:$F9,fr2223g1to6dst_cep!$H$2:$H$328))</f>
        <v>75</v>
      </c>
      <c r="J9">
        <f t="shared" si="0"/>
        <v>0.23148148148148148</v>
      </c>
      <c r="M9">
        <v>526.5</v>
      </c>
    </row>
    <row r="10" spans="1:13" x14ac:dyDescent="0.2">
      <c r="A10">
        <v>2024</v>
      </c>
      <c r="B10" t="s">
        <v>688</v>
      </c>
      <c r="C10" t="s">
        <v>321</v>
      </c>
      <c r="D10" t="s">
        <v>687</v>
      </c>
      <c r="E10" t="s">
        <v>687</v>
      </c>
      <c r="F10" t="s">
        <v>321</v>
      </c>
      <c r="G10" t="s">
        <v>307</v>
      </c>
      <c r="H10" s="129">
        <f>SUMPRODUCT(SUMIF(fr2223g1to6dst_cep!$E$2:$E$328,ActiveDistricts!$D10:$F10,fr2223g1to6dst_cep!$G$2:$G$328))</f>
        <v>111</v>
      </c>
      <c r="I10" s="129">
        <f>SUMPRODUCT(SUMIF(fr2223g1to6dst_cep!$E$2:$E$328,ActiveDistricts!$D10:$F10,fr2223g1to6dst_cep!$H$2:$H$328))</f>
        <v>46</v>
      </c>
      <c r="J10">
        <f t="shared" si="0"/>
        <v>0.4144144144144144</v>
      </c>
      <c r="M10">
        <v>273.7</v>
      </c>
    </row>
    <row r="11" spans="1:13" x14ac:dyDescent="0.2">
      <c r="A11">
        <v>2024</v>
      </c>
      <c r="B11" t="s">
        <v>691</v>
      </c>
      <c r="C11" t="s">
        <v>322</v>
      </c>
      <c r="D11" t="s">
        <v>694</v>
      </c>
      <c r="E11" t="s">
        <v>484</v>
      </c>
      <c r="F11" t="s">
        <v>322</v>
      </c>
      <c r="G11" t="s">
        <v>306</v>
      </c>
      <c r="H11" s="129">
        <f>SUMPRODUCT(SUMIF(fr2223g1to6dst_cep!$E$2:$E$328,ActiveDistricts!$D11:$F11,fr2223g1to6dst_cep!$G$2:$G$328))</f>
        <v>623</v>
      </c>
      <c r="I11" s="129">
        <f>SUMPRODUCT(SUMIF(fr2223g1to6dst_cep!$E$2:$E$328,ActiveDistricts!$D11:$F11,fr2223g1to6dst_cep!$H$2:$H$328))</f>
        <v>235</v>
      </c>
      <c r="J11">
        <f t="shared" si="0"/>
        <v>0.37720706260032105</v>
      </c>
      <c r="M11">
        <v>1307.3</v>
      </c>
    </row>
    <row r="12" spans="1:13" x14ac:dyDescent="0.2">
      <c r="A12">
        <v>2024</v>
      </c>
      <c r="B12" t="s">
        <v>695</v>
      </c>
      <c r="C12" t="s">
        <v>323</v>
      </c>
      <c r="D12" t="s">
        <v>687</v>
      </c>
      <c r="E12" t="s">
        <v>687</v>
      </c>
      <c r="F12" t="s">
        <v>323</v>
      </c>
      <c r="G12" t="s">
        <v>305</v>
      </c>
      <c r="H12" s="129">
        <f>SUMPRODUCT(SUMIF(fr2223g1to6dst_cep!$E$2:$E$328,ActiveDistricts!$D12:$F12,fr2223g1to6dst_cep!$G$2:$G$328))</f>
        <v>410</v>
      </c>
      <c r="I12" s="129">
        <f>SUMPRODUCT(SUMIF(fr2223g1to6dst_cep!$E$2:$E$328,ActiveDistricts!$D12:$F12,fr2223g1to6dst_cep!$H$2:$H$328))</f>
        <v>174</v>
      </c>
      <c r="J12">
        <f t="shared" si="0"/>
        <v>0.42439024390243901</v>
      </c>
      <c r="M12">
        <v>1087.4000000000001</v>
      </c>
    </row>
    <row r="13" spans="1:13" x14ac:dyDescent="0.2">
      <c r="A13">
        <v>2024</v>
      </c>
      <c r="B13" t="s">
        <v>691</v>
      </c>
      <c r="C13" t="s">
        <v>325</v>
      </c>
      <c r="D13" t="s">
        <v>687</v>
      </c>
      <c r="E13" t="s">
        <v>687</v>
      </c>
      <c r="F13" t="s">
        <v>325</v>
      </c>
      <c r="G13" t="s">
        <v>652</v>
      </c>
      <c r="H13" s="129">
        <f>SUMPRODUCT(SUMIF(fr2223g1to6dst_cep!$E$2:$E$328,ActiveDistricts!$D13:$F13,fr2223g1to6dst_cep!$G$2:$G$328))</f>
        <v>370</v>
      </c>
      <c r="I13" s="129">
        <f>SUMPRODUCT(SUMIF(fr2223g1to6dst_cep!$E$2:$E$328,ActiveDistricts!$D13:$F13,fr2223g1to6dst_cep!$H$2:$H$328))</f>
        <v>164</v>
      </c>
      <c r="J13">
        <f t="shared" si="0"/>
        <v>0.44324324324324327</v>
      </c>
      <c r="M13">
        <v>872.8</v>
      </c>
    </row>
    <row r="14" spans="1:13" x14ac:dyDescent="0.2">
      <c r="A14">
        <v>2024</v>
      </c>
      <c r="B14" t="s">
        <v>686</v>
      </c>
      <c r="C14" t="s">
        <v>326</v>
      </c>
      <c r="D14" t="s">
        <v>687</v>
      </c>
      <c r="E14" t="s">
        <v>687</v>
      </c>
      <c r="F14" t="s">
        <v>326</v>
      </c>
      <c r="G14" t="s">
        <v>303</v>
      </c>
      <c r="H14" s="129">
        <f>SUMPRODUCT(SUMIF(fr2223g1to6dst_cep!$E$2:$E$328,ActiveDistricts!$D14:$F14,fr2223g1to6dst_cep!$G$2:$G$328))</f>
        <v>1959</v>
      </c>
      <c r="I14" s="129">
        <f>SUMPRODUCT(SUMIF(fr2223g1to6dst_cep!$E$2:$E$328,ActiveDistricts!$D14:$F14,fr2223g1to6dst_cep!$H$2:$H$328))</f>
        <v>665</v>
      </c>
      <c r="J14">
        <f t="shared" si="0"/>
        <v>0.3394589076059214</v>
      </c>
      <c r="M14">
        <v>4439.6000000000004</v>
      </c>
    </row>
    <row r="15" spans="1:13" x14ac:dyDescent="0.2">
      <c r="A15">
        <v>2024</v>
      </c>
      <c r="B15" t="s">
        <v>693</v>
      </c>
      <c r="C15" t="s">
        <v>327</v>
      </c>
      <c r="D15" t="s">
        <v>687</v>
      </c>
      <c r="E15" t="s">
        <v>687</v>
      </c>
      <c r="F15" t="s">
        <v>327</v>
      </c>
      <c r="G15" t="s">
        <v>302</v>
      </c>
      <c r="H15" s="129">
        <f>SUMPRODUCT(SUMIF(fr2223g1to6dst_cep!$E$2:$E$328,ActiveDistricts!$D15:$F15,fr2223g1to6dst_cep!$G$2:$G$328))</f>
        <v>441</v>
      </c>
      <c r="I15" s="129">
        <f>SUMPRODUCT(SUMIF(fr2223g1to6dst_cep!$E$2:$E$328,ActiveDistricts!$D15:$F15,fr2223g1to6dst_cep!$H$2:$H$328))</f>
        <v>184</v>
      </c>
      <c r="J15">
        <f t="shared" si="0"/>
        <v>0.41723356009070295</v>
      </c>
      <c r="M15">
        <v>1256.0999999999999</v>
      </c>
    </row>
    <row r="16" spans="1:13" x14ac:dyDescent="0.2">
      <c r="A16">
        <v>2024</v>
      </c>
      <c r="B16" t="s">
        <v>696</v>
      </c>
      <c r="C16" t="s">
        <v>328</v>
      </c>
      <c r="D16" t="s">
        <v>687</v>
      </c>
      <c r="E16" t="s">
        <v>687</v>
      </c>
      <c r="F16" t="s">
        <v>328</v>
      </c>
      <c r="G16" t="s">
        <v>301</v>
      </c>
      <c r="H16" s="129">
        <f>SUMPRODUCT(SUMIF(fr2223g1to6dst_cep!$E$2:$E$328,ActiveDistricts!$D16:$F16,fr2223g1to6dst_cep!$G$2:$G$328))</f>
        <v>106</v>
      </c>
      <c r="I16" s="129">
        <f>SUMPRODUCT(SUMIF(fr2223g1to6dst_cep!$E$2:$E$328,ActiveDistricts!$D16:$F16,fr2223g1to6dst_cep!$H$2:$H$328))</f>
        <v>35</v>
      </c>
      <c r="J16">
        <f t="shared" si="0"/>
        <v>0.330188679245283</v>
      </c>
      <c r="M16">
        <v>233</v>
      </c>
    </row>
    <row r="17" spans="1:13" x14ac:dyDescent="0.2">
      <c r="A17">
        <v>2024</v>
      </c>
      <c r="B17" t="s">
        <v>686</v>
      </c>
      <c r="C17" t="s">
        <v>329</v>
      </c>
      <c r="D17" t="s">
        <v>687</v>
      </c>
      <c r="E17" t="s">
        <v>687</v>
      </c>
      <c r="F17" t="s">
        <v>329</v>
      </c>
      <c r="G17" t="s">
        <v>300</v>
      </c>
      <c r="H17" s="129">
        <f>SUMPRODUCT(SUMIF(fr2223g1to6dst_cep!$E$2:$E$328,ActiveDistricts!$D17:$F17,fr2223g1to6dst_cep!$G$2:$G$328))</f>
        <v>5782</v>
      </c>
      <c r="I17" s="129">
        <f>SUMPRODUCT(SUMIF(fr2223g1to6dst_cep!$E$2:$E$328,ActiveDistricts!$D17:$F17,fr2223g1to6dst_cep!$H$2:$H$328))</f>
        <v>1144</v>
      </c>
      <c r="J17">
        <f t="shared" si="0"/>
        <v>0.19785541335178139</v>
      </c>
      <c r="M17">
        <v>12671.4</v>
      </c>
    </row>
    <row r="18" spans="1:13" x14ac:dyDescent="0.2">
      <c r="A18">
        <v>2024</v>
      </c>
      <c r="B18" t="s">
        <v>688</v>
      </c>
      <c r="C18" t="s">
        <v>330</v>
      </c>
      <c r="D18" t="s">
        <v>687</v>
      </c>
      <c r="E18" t="s">
        <v>687</v>
      </c>
      <c r="F18" t="s">
        <v>330</v>
      </c>
      <c r="G18" t="s">
        <v>299</v>
      </c>
      <c r="H18" s="129">
        <f>SUMPRODUCT(SUMIF(fr2223g1to6dst_cep!$E$2:$E$328,ActiveDistricts!$D18:$F18,fr2223g1to6dst_cep!$G$2:$G$328))</f>
        <v>371</v>
      </c>
      <c r="I18" s="129">
        <f>SUMPRODUCT(SUMIF(fr2223g1to6dst_cep!$E$2:$E$328,ActiveDistricts!$D18:$F18,fr2223g1to6dst_cep!$H$2:$H$328))</f>
        <v>110</v>
      </c>
      <c r="J18">
        <f t="shared" si="0"/>
        <v>0.29649595687331537</v>
      </c>
      <c r="M18">
        <v>813.2</v>
      </c>
    </row>
    <row r="19" spans="1:13" x14ac:dyDescent="0.2">
      <c r="A19">
        <v>2024</v>
      </c>
      <c r="B19" t="s">
        <v>690</v>
      </c>
      <c r="C19" t="s">
        <v>332</v>
      </c>
      <c r="D19" t="s">
        <v>687</v>
      </c>
      <c r="E19" t="s">
        <v>687</v>
      </c>
      <c r="F19" t="s">
        <v>332</v>
      </c>
      <c r="G19" t="s">
        <v>297</v>
      </c>
      <c r="H19" s="129">
        <f>SUMPRODUCT(SUMIF(fr2223g1to6dst_cep!$E$2:$E$328,ActiveDistricts!$D19:$F19,fr2223g1to6dst_cep!$G$2:$G$328))</f>
        <v>109</v>
      </c>
      <c r="I19" s="129">
        <f>SUMPRODUCT(SUMIF(fr2223g1to6dst_cep!$E$2:$E$328,ActiveDistricts!$D19:$F19,fr2223g1to6dst_cep!$H$2:$H$328))</f>
        <v>51</v>
      </c>
      <c r="J19">
        <f t="shared" si="0"/>
        <v>0.46788990825688076</v>
      </c>
      <c r="M19">
        <v>276.2</v>
      </c>
    </row>
    <row r="20" spans="1:13" x14ac:dyDescent="0.2">
      <c r="A20">
        <v>2024</v>
      </c>
      <c r="B20" t="s">
        <v>689</v>
      </c>
      <c r="C20" t="s">
        <v>333</v>
      </c>
      <c r="D20" t="s">
        <v>687</v>
      </c>
      <c r="E20" t="s">
        <v>687</v>
      </c>
      <c r="F20" t="s">
        <v>333</v>
      </c>
      <c r="G20" t="s">
        <v>296</v>
      </c>
      <c r="H20" s="129">
        <f>SUMPRODUCT(SUMIF(fr2223g1to6dst_cep!$E$2:$E$328,ActiveDistricts!$D20:$F20,fr2223g1to6dst_cep!$G$2:$G$328))</f>
        <v>654</v>
      </c>
      <c r="I20" s="129">
        <f>SUMPRODUCT(SUMIF(fr2223g1to6dst_cep!$E$2:$E$328,ActiveDistricts!$D20:$F20,fr2223g1to6dst_cep!$H$2:$H$328))</f>
        <v>268</v>
      </c>
      <c r="J20">
        <f t="shared" si="0"/>
        <v>0.40978593272171254</v>
      </c>
      <c r="M20">
        <v>1401.9</v>
      </c>
    </row>
    <row r="21" spans="1:13" x14ac:dyDescent="0.2">
      <c r="A21">
        <v>2024</v>
      </c>
      <c r="B21" t="s">
        <v>686</v>
      </c>
      <c r="C21" t="s">
        <v>334</v>
      </c>
      <c r="D21" t="s">
        <v>687</v>
      </c>
      <c r="E21" t="s">
        <v>687</v>
      </c>
      <c r="F21" t="s">
        <v>334</v>
      </c>
      <c r="G21" t="s">
        <v>295</v>
      </c>
      <c r="H21" s="129">
        <f>SUMPRODUCT(SUMIF(fr2223g1to6dst_cep!$E$2:$E$328,ActiveDistricts!$D21:$F21,fr2223g1to6dst_cep!$G$2:$G$328))</f>
        <v>226</v>
      </c>
      <c r="I21" s="129">
        <f>SUMPRODUCT(SUMIF(fr2223g1to6dst_cep!$E$2:$E$328,ActiveDistricts!$D21:$F21,fr2223g1to6dst_cep!$H$2:$H$328))</f>
        <v>94</v>
      </c>
      <c r="J21">
        <f t="shared" si="0"/>
        <v>0.41592920353982299</v>
      </c>
      <c r="M21">
        <v>510.6</v>
      </c>
    </row>
    <row r="22" spans="1:13" x14ac:dyDescent="0.2">
      <c r="A22">
        <v>2024</v>
      </c>
      <c r="B22" t="s">
        <v>686</v>
      </c>
      <c r="C22" t="s">
        <v>336</v>
      </c>
      <c r="D22" t="s">
        <v>687</v>
      </c>
      <c r="E22" t="s">
        <v>687</v>
      </c>
      <c r="F22" t="s">
        <v>336</v>
      </c>
      <c r="G22" t="s">
        <v>294</v>
      </c>
      <c r="H22" s="129">
        <f>SUMPRODUCT(SUMIF(fr2223g1to6dst_cep!$E$2:$E$328,ActiveDistricts!$D22:$F22,fr2223g1to6dst_cep!$G$2:$G$328))</f>
        <v>825</v>
      </c>
      <c r="I22" s="129">
        <f>SUMPRODUCT(SUMIF(fr2223g1to6dst_cep!$E$2:$E$328,ActiveDistricts!$D22:$F22,fr2223g1to6dst_cep!$H$2:$H$328))</f>
        <v>141</v>
      </c>
      <c r="J22">
        <f t="shared" si="0"/>
        <v>0.1709090909090909</v>
      </c>
      <c r="M22">
        <v>1759.2</v>
      </c>
    </row>
    <row r="23" spans="1:13" x14ac:dyDescent="0.2">
      <c r="A23">
        <v>2024</v>
      </c>
      <c r="B23" t="s">
        <v>686</v>
      </c>
      <c r="C23" t="s">
        <v>337</v>
      </c>
      <c r="D23" t="s">
        <v>687</v>
      </c>
      <c r="E23" t="s">
        <v>687</v>
      </c>
      <c r="F23" t="s">
        <v>337</v>
      </c>
      <c r="G23" t="s">
        <v>293</v>
      </c>
      <c r="H23" s="129">
        <f>SUMPRODUCT(SUMIF(fr2223g1to6dst_cep!$E$2:$E$328,ActiveDistricts!$D23:$F23,fr2223g1to6dst_cep!$G$2:$G$328))</f>
        <v>209</v>
      </c>
      <c r="I23" s="129">
        <f>SUMPRODUCT(SUMIF(fr2223g1to6dst_cep!$E$2:$E$328,ActiveDistricts!$D23:$F23,fr2223g1to6dst_cep!$H$2:$H$328))</f>
        <v>58</v>
      </c>
      <c r="J23">
        <f t="shared" si="0"/>
        <v>0.27751196172248804</v>
      </c>
      <c r="M23">
        <v>360.7</v>
      </c>
    </row>
    <row r="24" spans="1:13" x14ac:dyDescent="0.2">
      <c r="A24">
        <v>2024</v>
      </c>
      <c r="B24" t="s">
        <v>688</v>
      </c>
      <c r="C24" t="s">
        <v>338</v>
      </c>
      <c r="D24" t="s">
        <v>687</v>
      </c>
      <c r="E24" t="s">
        <v>687</v>
      </c>
      <c r="F24" t="s">
        <v>338</v>
      </c>
      <c r="G24" t="s">
        <v>0</v>
      </c>
      <c r="H24" s="129">
        <f>SUMPRODUCT(SUMIF(fr2223g1to6dst_cep!$E$2:$E$328,ActiveDistricts!$D24:$F24,fr2223g1to6dst_cep!$G$2:$G$328))</f>
        <v>192</v>
      </c>
      <c r="I24" s="129">
        <f>SUMPRODUCT(SUMIF(fr2223g1to6dst_cep!$E$2:$E$328,ActiveDistricts!$D24:$F24,fr2223g1to6dst_cep!$H$2:$H$328))</f>
        <v>97</v>
      </c>
      <c r="J24">
        <f t="shared" si="0"/>
        <v>0.50520833333333337</v>
      </c>
      <c r="M24">
        <v>461.6</v>
      </c>
    </row>
    <row r="25" spans="1:13" x14ac:dyDescent="0.2">
      <c r="A25">
        <v>2024</v>
      </c>
      <c r="B25" t="s">
        <v>689</v>
      </c>
      <c r="C25" t="s">
        <v>339</v>
      </c>
      <c r="D25" t="s">
        <v>687</v>
      </c>
      <c r="E25" t="s">
        <v>687</v>
      </c>
      <c r="F25" t="s">
        <v>339</v>
      </c>
      <c r="G25" t="s">
        <v>292</v>
      </c>
      <c r="H25" s="129">
        <f>SUMPRODUCT(SUMIF(fr2223g1to6dst_cep!$E$2:$E$328,ActiveDistricts!$D25:$F25,fr2223g1to6dst_cep!$G$2:$G$328))</f>
        <v>249</v>
      </c>
      <c r="I25" s="129">
        <f>SUMPRODUCT(SUMIF(fr2223g1to6dst_cep!$E$2:$E$328,ActiveDistricts!$D25:$F25,fr2223g1to6dst_cep!$H$2:$H$328))</f>
        <v>93</v>
      </c>
      <c r="J25">
        <f t="shared" si="0"/>
        <v>0.37349397590361444</v>
      </c>
      <c r="M25">
        <v>501.8</v>
      </c>
    </row>
    <row r="26" spans="1:13" x14ac:dyDescent="0.2">
      <c r="A26">
        <v>2024</v>
      </c>
      <c r="B26" t="s">
        <v>693</v>
      </c>
      <c r="C26" t="s">
        <v>340</v>
      </c>
      <c r="D26" t="s">
        <v>687</v>
      </c>
      <c r="E26" t="s">
        <v>687</v>
      </c>
      <c r="F26" t="s">
        <v>340</v>
      </c>
      <c r="G26" t="s">
        <v>291</v>
      </c>
      <c r="H26" s="129">
        <f>SUMPRODUCT(SUMIF(fr2223g1to6dst_cep!$E$2:$E$328,ActiveDistricts!$D26:$F26,fr2223g1to6dst_cep!$G$2:$G$328))</f>
        <v>220</v>
      </c>
      <c r="I26" s="129">
        <f>SUMPRODUCT(SUMIF(fr2223g1to6dst_cep!$E$2:$E$328,ActiveDistricts!$D26:$F26,fr2223g1to6dst_cep!$H$2:$H$328))</f>
        <v>102</v>
      </c>
      <c r="J26">
        <f t="shared" si="0"/>
        <v>0.46363636363636362</v>
      </c>
      <c r="M26">
        <v>472.7</v>
      </c>
    </row>
    <row r="27" spans="1:13" x14ac:dyDescent="0.2">
      <c r="A27">
        <v>2024</v>
      </c>
      <c r="B27" t="s">
        <v>696</v>
      </c>
      <c r="C27" t="s">
        <v>341</v>
      </c>
      <c r="D27" t="s">
        <v>687</v>
      </c>
      <c r="E27" t="s">
        <v>687</v>
      </c>
      <c r="F27" t="s">
        <v>341</v>
      </c>
      <c r="G27" t="s">
        <v>290</v>
      </c>
      <c r="H27" s="129">
        <f>SUMPRODUCT(SUMIF(fr2223g1to6dst_cep!$E$2:$E$328,ActiveDistricts!$D27:$F27,fr2223g1to6dst_cep!$G$2:$G$328))</f>
        <v>324</v>
      </c>
      <c r="I27" s="129">
        <f>SUMPRODUCT(SUMIF(fr2223g1to6dst_cep!$E$2:$E$328,ActiveDistricts!$D27:$F27,fr2223g1to6dst_cep!$H$2:$H$328))</f>
        <v>75</v>
      </c>
      <c r="J27">
        <f t="shared" si="0"/>
        <v>0.23148148148148148</v>
      </c>
      <c r="M27">
        <v>631.70000000000005</v>
      </c>
    </row>
    <row r="28" spans="1:13" x14ac:dyDescent="0.2">
      <c r="A28">
        <v>2024</v>
      </c>
      <c r="B28" t="s">
        <v>688</v>
      </c>
      <c r="C28" t="s">
        <v>342</v>
      </c>
      <c r="D28" t="s">
        <v>687</v>
      </c>
      <c r="E28" t="s">
        <v>687</v>
      </c>
      <c r="F28" t="s">
        <v>342</v>
      </c>
      <c r="G28" t="s">
        <v>289</v>
      </c>
      <c r="H28" s="129">
        <f>SUMPRODUCT(SUMIF(fr2223g1to6dst_cep!$E$2:$E$328,ActiveDistricts!$D28:$F28,fr2223g1to6dst_cep!$G$2:$G$328))</f>
        <v>273</v>
      </c>
      <c r="I28" s="129">
        <f>SUMPRODUCT(SUMIF(fr2223g1to6dst_cep!$E$2:$E$328,ActiveDistricts!$D28:$F28,fr2223g1to6dst_cep!$H$2:$H$328))</f>
        <v>153</v>
      </c>
      <c r="J28">
        <f t="shared" si="0"/>
        <v>0.56043956043956045</v>
      </c>
      <c r="M28">
        <v>740.1</v>
      </c>
    </row>
    <row r="29" spans="1:13" x14ac:dyDescent="0.2">
      <c r="A29">
        <v>2024</v>
      </c>
      <c r="B29" t="s">
        <v>696</v>
      </c>
      <c r="C29" t="s">
        <v>343</v>
      </c>
      <c r="D29" t="s">
        <v>687</v>
      </c>
      <c r="E29" t="s">
        <v>687</v>
      </c>
      <c r="F29" t="s">
        <v>343</v>
      </c>
      <c r="G29" t="s">
        <v>288</v>
      </c>
      <c r="H29" s="129">
        <f>SUMPRODUCT(SUMIF(fr2223g1to6dst_cep!$E$2:$E$328,ActiveDistricts!$D29:$F29,fr2223g1to6dst_cep!$G$2:$G$328))</f>
        <v>58</v>
      </c>
      <c r="I29" s="129">
        <f>SUMPRODUCT(SUMIF(fr2223g1to6dst_cep!$E$2:$E$328,ActiveDistricts!$D29:$F29,fr2223g1to6dst_cep!$H$2:$H$328))</f>
        <v>30</v>
      </c>
      <c r="J29">
        <f t="shared" si="0"/>
        <v>0.51724137931034486</v>
      </c>
      <c r="M29">
        <v>175.2</v>
      </c>
    </row>
    <row r="30" spans="1:13" x14ac:dyDescent="0.2">
      <c r="A30">
        <v>2024</v>
      </c>
      <c r="B30" t="s">
        <v>693</v>
      </c>
      <c r="C30" t="s">
        <v>344</v>
      </c>
      <c r="D30" t="s">
        <v>687</v>
      </c>
      <c r="E30" t="s">
        <v>687</v>
      </c>
      <c r="F30" t="s">
        <v>344</v>
      </c>
      <c r="G30" t="s">
        <v>287</v>
      </c>
      <c r="H30" s="129">
        <f>SUMPRODUCT(SUMIF(fr2223g1to6dst_cep!$E$2:$E$328,ActiveDistricts!$D30:$F30,fr2223g1to6dst_cep!$G$2:$G$328))</f>
        <v>673</v>
      </c>
      <c r="I30" s="129">
        <f>SUMPRODUCT(SUMIF(fr2223g1to6dst_cep!$E$2:$E$328,ActiveDistricts!$D30:$F30,fr2223g1to6dst_cep!$H$2:$H$328))</f>
        <v>162</v>
      </c>
      <c r="J30">
        <f t="shared" si="0"/>
        <v>0.24071322436849926</v>
      </c>
      <c r="M30">
        <v>1537.7</v>
      </c>
    </row>
    <row r="31" spans="1:13" x14ac:dyDescent="0.2">
      <c r="A31">
        <v>2024</v>
      </c>
      <c r="B31" t="s">
        <v>696</v>
      </c>
      <c r="C31" t="s">
        <v>345</v>
      </c>
      <c r="D31" t="s">
        <v>687</v>
      </c>
      <c r="E31" t="s">
        <v>687</v>
      </c>
      <c r="F31" t="s">
        <v>345</v>
      </c>
      <c r="G31" t="s">
        <v>286</v>
      </c>
      <c r="H31" s="129">
        <f>SUMPRODUCT(SUMIF(fr2223g1to6dst_cep!$E$2:$E$328,ActiveDistricts!$D31:$F31,fr2223g1to6dst_cep!$G$2:$G$328))</f>
        <v>1846</v>
      </c>
      <c r="I31" s="129">
        <f>SUMPRODUCT(SUMIF(fr2223g1to6dst_cep!$E$2:$E$328,ActiveDistricts!$D31:$F31,fr2223g1to6dst_cep!$H$2:$H$328))</f>
        <v>665</v>
      </c>
      <c r="J31">
        <f t="shared" si="0"/>
        <v>0.36023835319609965</v>
      </c>
      <c r="M31">
        <v>4017.2</v>
      </c>
    </row>
    <row r="32" spans="1:13" x14ac:dyDescent="0.2">
      <c r="A32">
        <v>2024</v>
      </c>
      <c r="B32" t="s">
        <v>686</v>
      </c>
      <c r="C32" t="s">
        <v>347</v>
      </c>
      <c r="D32" t="s">
        <v>687</v>
      </c>
      <c r="E32" t="s">
        <v>687</v>
      </c>
      <c r="F32" t="s">
        <v>347</v>
      </c>
      <c r="G32" t="s">
        <v>285</v>
      </c>
      <c r="H32" s="129">
        <f>SUMPRODUCT(SUMIF(fr2223g1to6dst_cep!$E$2:$E$328,ActiveDistricts!$D32:$F32,fr2223g1to6dst_cep!$G$2:$G$328))</f>
        <v>1185</v>
      </c>
      <c r="I32" s="129">
        <f>SUMPRODUCT(SUMIF(fr2223g1to6dst_cep!$E$2:$E$328,ActiveDistricts!$D32:$F32,fr2223g1to6dst_cep!$H$2:$H$328))</f>
        <v>235</v>
      </c>
      <c r="J32">
        <f t="shared" si="0"/>
        <v>0.19831223628691982</v>
      </c>
      <c r="M32">
        <v>2514.9</v>
      </c>
    </row>
    <row r="33" spans="1:13" x14ac:dyDescent="0.2">
      <c r="A33">
        <v>2024</v>
      </c>
      <c r="B33" t="s">
        <v>686</v>
      </c>
      <c r="C33" t="s">
        <v>348</v>
      </c>
      <c r="D33" t="s">
        <v>687</v>
      </c>
      <c r="E33" t="s">
        <v>687</v>
      </c>
      <c r="F33" t="s">
        <v>348</v>
      </c>
      <c r="G33" t="s">
        <v>284</v>
      </c>
      <c r="H33" s="129">
        <f>SUMPRODUCT(SUMIF(fr2223g1to6dst_cep!$E$2:$E$328,ActiveDistricts!$D33:$F33,fr2223g1to6dst_cep!$G$2:$G$328))</f>
        <v>729</v>
      </c>
      <c r="I33" s="129">
        <f>SUMPRODUCT(SUMIF(fr2223g1to6dst_cep!$E$2:$E$328,ActiveDistricts!$D33:$F33,fr2223g1to6dst_cep!$H$2:$H$328))</f>
        <v>306</v>
      </c>
      <c r="J33">
        <f t="shared" si="0"/>
        <v>0.41975308641975306</v>
      </c>
      <c r="M33">
        <v>2037.5</v>
      </c>
    </row>
    <row r="34" spans="1:13" x14ac:dyDescent="0.2">
      <c r="A34">
        <v>2024</v>
      </c>
      <c r="B34" t="s">
        <v>690</v>
      </c>
      <c r="C34" t="s">
        <v>349</v>
      </c>
      <c r="D34" t="s">
        <v>687</v>
      </c>
      <c r="E34" t="s">
        <v>687</v>
      </c>
      <c r="F34" t="s">
        <v>349</v>
      </c>
      <c r="G34" t="s">
        <v>283</v>
      </c>
      <c r="H34" s="129">
        <f>SUMPRODUCT(SUMIF(fr2223g1to6dst_cep!$E$2:$E$328,ActiveDistricts!$D34:$F34,fr2223g1to6dst_cep!$G$2:$G$328))</f>
        <v>222</v>
      </c>
      <c r="I34" s="129">
        <f>SUMPRODUCT(SUMIF(fr2223g1to6dst_cep!$E$2:$E$328,ActiveDistricts!$D34:$F34,fr2223g1to6dst_cep!$H$2:$H$328))</f>
        <v>93</v>
      </c>
      <c r="J34">
        <f t="shared" si="0"/>
        <v>0.41891891891891891</v>
      </c>
      <c r="M34">
        <v>568.5</v>
      </c>
    </row>
    <row r="35" spans="1:13" x14ac:dyDescent="0.2">
      <c r="A35">
        <v>2024</v>
      </c>
      <c r="B35" t="s">
        <v>689</v>
      </c>
      <c r="C35" t="s">
        <v>405</v>
      </c>
      <c r="D35" t="s">
        <v>687</v>
      </c>
      <c r="E35" t="s">
        <v>687</v>
      </c>
      <c r="F35" t="s">
        <v>405</v>
      </c>
      <c r="G35" t="s">
        <v>236</v>
      </c>
      <c r="H35" s="129">
        <f>SUMPRODUCT(SUMIF(fr2223g1to6dst_cep!$E$2:$E$328,ActiveDistricts!$D35:$F35,fr2223g1to6dst_cep!$G$2:$G$328))</f>
        <v>154</v>
      </c>
      <c r="I35" s="129">
        <f>SUMPRODUCT(SUMIF(fr2223g1to6dst_cep!$E$2:$E$328,ActiveDistricts!$D35:$F35,fr2223g1to6dst_cep!$H$2:$H$328))</f>
        <v>61</v>
      </c>
      <c r="J35">
        <f t="shared" si="0"/>
        <v>0.39610389610389612</v>
      </c>
      <c r="M35">
        <v>379.2</v>
      </c>
    </row>
    <row r="36" spans="1:13" x14ac:dyDescent="0.2">
      <c r="A36">
        <v>2024</v>
      </c>
      <c r="B36" t="s">
        <v>688</v>
      </c>
      <c r="C36" t="s">
        <v>351</v>
      </c>
      <c r="D36" t="s">
        <v>687</v>
      </c>
      <c r="E36" t="s">
        <v>687</v>
      </c>
      <c r="F36" t="s">
        <v>351</v>
      </c>
      <c r="G36" t="s">
        <v>281</v>
      </c>
      <c r="H36" s="129">
        <f>SUMPRODUCT(SUMIF(fr2223g1to6dst_cep!$E$2:$E$328,ActiveDistricts!$D36:$F36,fr2223g1to6dst_cep!$G$2:$G$328))</f>
        <v>230</v>
      </c>
      <c r="I36" s="129">
        <f>SUMPRODUCT(SUMIF(fr2223g1to6dst_cep!$E$2:$E$328,ActiveDistricts!$D36:$F36,fr2223g1to6dst_cep!$H$2:$H$328))</f>
        <v>80</v>
      </c>
      <c r="J36">
        <f t="shared" si="0"/>
        <v>0.34782608695652173</v>
      </c>
      <c r="M36">
        <v>514.70000000000005</v>
      </c>
    </row>
    <row r="37" spans="1:13" x14ac:dyDescent="0.2">
      <c r="A37">
        <v>2024</v>
      </c>
      <c r="B37" t="s">
        <v>692</v>
      </c>
      <c r="C37" t="s">
        <v>353</v>
      </c>
      <c r="D37" t="s">
        <v>687</v>
      </c>
      <c r="E37" t="s">
        <v>687</v>
      </c>
      <c r="F37" t="s">
        <v>353</v>
      </c>
      <c r="G37" t="s">
        <v>279</v>
      </c>
      <c r="H37" s="129">
        <f>SUMPRODUCT(SUMIF(fr2223g1to6dst_cep!$E$2:$E$328,ActiveDistricts!$D37:$F37,fr2223g1to6dst_cep!$G$2:$G$328))</f>
        <v>1382</v>
      </c>
      <c r="I37" s="129">
        <f>SUMPRODUCT(SUMIF(fr2223g1to6dst_cep!$E$2:$E$328,ActiveDistricts!$D37:$F37,fr2223g1to6dst_cep!$H$2:$H$328))</f>
        <v>960</v>
      </c>
      <c r="J37">
        <f t="shared" si="0"/>
        <v>0.69464544138929085</v>
      </c>
      <c r="M37">
        <v>3860.2</v>
      </c>
    </row>
    <row r="38" spans="1:13" x14ac:dyDescent="0.2">
      <c r="A38">
        <v>2024</v>
      </c>
      <c r="B38" t="s">
        <v>688</v>
      </c>
      <c r="C38" t="s">
        <v>355</v>
      </c>
      <c r="D38" t="s">
        <v>687</v>
      </c>
      <c r="E38" t="s">
        <v>687</v>
      </c>
      <c r="F38" t="s">
        <v>355</v>
      </c>
      <c r="G38" t="s">
        <v>1</v>
      </c>
      <c r="H38" s="129">
        <f>SUMPRODUCT(SUMIF(fr2223g1to6dst_cep!$E$2:$E$328,ActiveDistricts!$D38:$F38,fr2223g1to6dst_cep!$G$2:$G$328))</f>
        <v>115</v>
      </c>
      <c r="I38" s="129">
        <f>SUMPRODUCT(SUMIF(fr2223g1to6dst_cep!$E$2:$E$328,ActiveDistricts!$D38:$F38,fr2223g1to6dst_cep!$H$2:$H$328))</f>
        <v>72</v>
      </c>
      <c r="J38">
        <f t="shared" si="0"/>
        <v>0.62608695652173918</v>
      </c>
      <c r="M38">
        <v>280.8</v>
      </c>
    </row>
    <row r="39" spans="1:13" x14ac:dyDescent="0.2">
      <c r="A39">
        <v>2024</v>
      </c>
      <c r="B39" t="s">
        <v>696</v>
      </c>
      <c r="C39" t="s">
        <v>356</v>
      </c>
      <c r="D39" t="s">
        <v>687</v>
      </c>
      <c r="E39" t="s">
        <v>687</v>
      </c>
      <c r="F39" t="s">
        <v>356</v>
      </c>
      <c r="G39" t="s">
        <v>278</v>
      </c>
      <c r="H39" s="129">
        <f>SUMPRODUCT(SUMIF(fr2223g1to6dst_cep!$E$2:$E$328,ActiveDistricts!$D39:$F39,fr2223g1to6dst_cep!$G$2:$G$328))</f>
        <v>171</v>
      </c>
      <c r="I39" s="129">
        <f>SUMPRODUCT(SUMIF(fr2223g1to6dst_cep!$E$2:$E$328,ActiveDistricts!$D39:$F39,fr2223g1to6dst_cep!$H$2:$H$328))</f>
        <v>66</v>
      </c>
      <c r="J39">
        <f t="shared" si="0"/>
        <v>0.38596491228070173</v>
      </c>
      <c r="M39">
        <v>381.3</v>
      </c>
    </row>
    <row r="40" spans="1:13" x14ac:dyDescent="0.2">
      <c r="A40">
        <v>2024</v>
      </c>
      <c r="B40" t="s">
        <v>689</v>
      </c>
      <c r="C40" t="s">
        <v>354</v>
      </c>
      <c r="D40" t="s">
        <v>687</v>
      </c>
      <c r="E40" t="s">
        <v>687</v>
      </c>
      <c r="F40" t="s">
        <v>354</v>
      </c>
      <c r="G40" t="s">
        <v>20</v>
      </c>
      <c r="H40" s="129">
        <f>SUMPRODUCT(SUMIF(fr2223g1to6dst_cep!$E$2:$E$328,ActiveDistricts!$D40:$F40,fr2223g1to6dst_cep!$G$2:$G$328))</f>
        <v>384</v>
      </c>
      <c r="I40" s="129">
        <f>SUMPRODUCT(SUMIF(fr2223g1to6dst_cep!$E$2:$E$328,ActiveDistricts!$D40:$F40,fr2223g1to6dst_cep!$H$2:$H$328))</f>
        <v>177</v>
      </c>
      <c r="J40">
        <f t="shared" si="0"/>
        <v>0.4609375</v>
      </c>
      <c r="M40">
        <v>463.9</v>
      </c>
    </row>
    <row r="41" spans="1:13" x14ac:dyDescent="0.2">
      <c r="A41">
        <v>2024</v>
      </c>
      <c r="B41" t="s">
        <v>696</v>
      </c>
      <c r="C41" t="s">
        <v>357</v>
      </c>
      <c r="D41" t="s">
        <v>687</v>
      </c>
      <c r="E41" t="s">
        <v>687</v>
      </c>
      <c r="F41" t="s">
        <v>357</v>
      </c>
      <c r="G41" t="s">
        <v>277</v>
      </c>
      <c r="H41" s="129">
        <f>SUMPRODUCT(SUMIF(fr2223g1to6dst_cep!$E$2:$E$328,ActiveDistricts!$D41:$F41,fr2223g1to6dst_cep!$G$2:$G$328))</f>
        <v>389</v>
      </c>
      <c r="I41" s="129">
        <f>SUMPRODUCT(SUMIF(fr2223g1to6dst_cep!$E$2:$E$328,ActiveDistricts!$D41:$F41,fr2223g1to6dst_cep!$H$2:$H$328))</f>
        <v>167</v>
      </c>
      <c r="J41">
        <f t="shared" si="0"/>
        <v>0.42930591259640105</v>
      </c>
      <c r="M41">
        <v>854.3</v>
      </c>
    </row>
    <row r="42" spans="1:13" x14ac:dyDescent="0.2">
      <c r="A42">
        <v>2024</v>
      </c>
      <c r="B42" t="s">
        <v>692</v>
      </c>
      <c r="C42" t="s">
        <v>358</v>
      </c>
      <c r="D42" t="s">
        <v>687</v>
      </c>
      <c r="E42" t="s">
        <v>687</v>
      </c>
      <c r="F42" t="s">
        <v>358</v>
      </c>
      <c r="G42" t="s">
        <v>276</v>
      </c>
      <c r="H42" s="129">
        <f>SUMPRODUCT(SUMIF(fr2223g1to6dst_cep!$E$2:$E$328,ActiveDistricts!$D42:$F42,fr2223g1to6dst_cep!$G$2:$G$328))</f>
        <v>469</v>
      </c>
      <c r="I42" s="129">
        <f>SUMPRODUCT(SUMIF(fr2223g1to6dst_cep!$E$2:$E$328,ActiveDistricts!$D42:$F42,fr2223g1to6dst_cep!$H$2:$H$328))</f>
        <v>249</v>
      </c>
      <c r="J42">
        <f t="shared" si="0"/>
        <v>0.53091684434968012</v>
      </c>
      <c r="M42">
        <v>573.5</v>
      </c>
    </row>
    <row r="43" spans="1:13" x14ac:dyDescent="0.2">
      <c r="A43">
        <v>2024</v>
      </c>
      <c r="B43" t="s">
        <v>686</v>
      </c>
      <c r="C43" t="s">
        <v>359</v>
      </c>
      <c r="D43" t="s">
        <v>687</v>
      </c>
      <c r="E43" t="s">
        <v>687</v>
      </c>
      <c r="F43" t="s">
        <v>359</v>
      </c>
      <c r="G43" t="s">
        <v>275</v>
      </c>
      <c r="H43" s="129">
        <f>SUMPRODUCT(SUMIF(fr2223g1to6dst_cep!$E$2:$E$328,ActiveDistricts!$D43:$F43,fr2223g1to6dst_cep!$G$2:$G$328))</f>
        <v>969</v>
      </c>
      <c r="I43" s="129">
        <f>SUMPRODUCT(SUMIF(fr2223g1to6dst_cep!$E$2:$E$328,ActiveDistricts!$D43:$F43,fr2223g1to6dst_cep!$H$2:$H$328))</f>
        <v>336</v>
      </c>
      <c r="J43">
        <f t="shared" si="0"/>
        <v>0.34674922600619196</v>
      </c>
      <c r="M43">
        <v>2011</v>
      </c>
    </row>
    <row r="44" spans="1:13" x14ac:dyDescent="0.2">
      <c r="A44">
        <v>2024</v>
      </c>
      <c r="B44" t="s">
        <v>686</v>
      </c>
      <c r="C44" t="s">
        <v>360</v>
      </c>
      <c r="D44" t="s">
        <v>687</v>
      </c>
      <c r="E44" t="s">
        <v>687</v>
      </c>
      <c r="F44" t="s">
        <v>360</v>
      </c>
      <c r="G44" t="s">
        <v>274</v>
      </c>
      <c r="H44" s="129">
        <f>SUMPRODUCT(SUMIF(fr2223g1to6dst_cep!$E$2:$E$328,ActiveDistricts!$D44:$F44,fr2223g1to6dst_cep!$G$2:$G$328))</f>
        <v>678</v>
      </c>
      <c r="I44" s="129">
        <f>SUMPRODUCT(SUMIF(fr2223g1to6dst_cep!$E$2:$E$328,ActiveDistricts!$D44:$F44,fr2223g1to6dst_cep!$H$2:$H$328))</f>
        <v>288</v>
      </c>
      <c r="J44">
        <f t="shared" si="0"/>
        <v>0.4247787610619469</v>
      </c>
      <c r="M44">
        <v>1644.7</v>
      </c>
    </row>
    <row r="45" spans="1:13" x14ac:dyDescent="0.2">
      <c r="A45">
        <v>2024</v>
      </c>
      <c r="B45" t="s">
        <v>688</v>
      </c>
      <c r="C45" t="s">
        <v>361</v>
      </c>
      <c r="D45" t="s">
        <v>687</v>
      </c>
      <c r="E45" t="s">
        <v>687</v>
      </c>
      <c r="F45" t="s">
        <v>361</v>
      </c>
      <c r="G45" t="s">
        <v>273</v>
      </c>
      <c r="H45" s="129">
        <f>SUMPRODUCT(SUMIF(fr2223g1to6dst_cep!$E$2:$E$328,ActiveDistricts!$D45:$F45,fr2223g1to6dst_cep!$G$2:$G$328))</f>
        <v>2617</v>
      </c>
      <c r="I45" s="129">
        <f>SUMPRODUCT(SUMIF(fr2223g1to6dst_cep!$E$2:$E$328,ActiveDistricts!$D45:$F45,fr2223g1to6dst_cep!$H$2:$H$328))</f>
        <v>752</v>
      </c>
      <c r="J45">
        <f t="shared" si="0"/>
        <v>0.28735192969048529</v>
      </c>
      <c r="M45">
        <v>5520.1</v>
      </c>
    </row>
    <row r="46" spans="1:13" x14ac:dyDescent="0.2">
      <c r="A46">
        <v>2024</v>
      </c>
      <c r="B46" t="s">
        <v>693</v>
      </c>
      <c r="C46" t="s">
        <v>362</v>
      </c>
      <c r="D46" t="s">
        <v>687</v>
      </c>
      <c r="E46" t="s">
        <v>687</v>
      </c>
      <c r="F46" t="s">
        <v>362</v>
      </c>
      <c r="G46" t="s">
        <v>272</v>
      </c>
      <c r="H46" s="129">
        <f>SUMPRODUCT(SUMIF(fr2223g1to6dst_cep!$E$2:$E$328,ActiveDistricts!$D46:$F46,fr2223g1to6dst_cep!$G$2:$G$328))</f>
        <v>6416</v>
      </c>
      <c r="I46" s="129">
        <f>SUMPRODUCT(SUMIF(fr2223g1to6dst_cep!$E$2:$E$328,ActiveDistricts!$D46:$F46,fr2223g1to6dst_cep!$H$2:$H$328))</f>
        <v>3955</v>
      </c>
      <c r="J46">
        <f t="shared" si="0"/>
        <v>0.61642768079800503</v>
      </c>
      <c r="M46">
        <v>15959.3</v>
      </c>
    </row>
    <row r="47" spans="1:13" x14ac:dyDescent="0.2">
      <c r="A47">
        <v>2024</v>
      </c>
      <c r="B47" t="s">
        <v>693</v>
      </c>
      <c r="C47" t="s">
        <v>363</v>
      </c>
      <c r="D47" t="s">
        <v>687</v>
      </c>
      <c r="E47" t="s">
        <v>687</v>
      </c>
      <c r="F47" t="s">
        <v>363</v>
      </c>
      <c r="G47" t="s">
        <v>271</v>
      </c>
      <c r="H47" s="129">
        <f>SUMPRODUCT(SUMIF(fr2223g1to6dst_cep!$E$2:$E$328,ActiveDistricts!$D47:$F47,fr2223g1to6dst_cep!$G$2:$G$328))</f>
        <v>576</v>
      </c>
      <c r="I47" s="129">
        <f>SUMPRODUCT(SUMIF(fr2223g1to6dst_cep!$E$2:$E$328,ActiveDistricts!$D47:$F47,fr2223g1to6dst_cep!$H$2:$H$328))</f>
        <v>118</v>
      </c>
      <c r="J47">
        <f t="shared" si="0"/>
        <v>0.2048611111111111</v>
      </c>
      <c r="M47">
        <v>1201.9000000000001</v>
      </c>
    </row>
    <row r="48" spans="1:13" x14ac:dyDescent="0.2">
      <c r="A48">
        <v>2024</v>
      </c>
      <c r="B48" t="s">
        <v>692</v>
      </c>
      <c r="C48" t="s">
        <v>364</v>
      </c>
      <c r="D48" t="s">
        <v>687</v>
      </c>
      <c r="E48" t="s">
        <v>687</v>
      </c>
      <c r="F48" t="s">
        <v>364</v>
      </c>
      <c r="G48" t="s">
        <v>270</v>
      </c>
      <c r="H48" s="129">
        <f>SUMPRODUCT(SUMIF(fr2223g1to6dst_cep!$E$2:$E$328,ActiveDistricts!$D48:$F48,fr2223g1to6dst_cep!$G$2:$G$328))</f>
        <v>567</v>
      </c>
      <c r="I48" s="129">
        <f>SUMPRODUCT(SUMIF(fr2223g1to6dst_cep!$E$2:$E$328,ActiveDistricts!$D48:$F48,fr2223g1to6dst_cep!$H$2:$H$328))</f>
        <v>294</v>
      </c>
      <c r="J48">
        <f t="shared" si="0"/>
        <v>0.51851851851851849</v>
      </c>
      <c r="M48">
        <v>1331.8</v>
      </c>
    </row>
    <row r="49" spans="1:13" x14ac:dyDescent="0.2">
      <c r="A49">
        <v>2024</v>
      </c>
      <c r="B49" t="s">
        <v>693</v>
      </c>
      <c r="C49" t="s">
        <v>368</v>
      </c>
      <c r="D49" t="s">
        <v>687</v>
      </c>
      <c r="E49" t="s">
        <v>687</v>
      </c>
      <c r="F49" t="s">
        <v>368</v>
      </c>
      <c r="G49" t="s">
        <v>268</v>
      </c>
      <c r="H49" s="129">
        <f>SUMPRODUCT(SUMIF(fr2223g1to6dst_cep!$E$2:$E$328,ActiveDistricts!$D49:$F49,fr2223g1to6dst_cep!$G$2:$G$328))</f>
        <v>198</v>
      </c>
      <c r="I49" s="129">
        <f>SUMPRODUCT(SUMIF(fr2223g1to6dst_cep!$E$2:$E$328,ActiveDistricts!$D49:$F49,fr2223g1to6dst_cep!$H$2:$H$328))</f>
        <v>69</v>
      </c>
      <c r="J49">
        <f t="shared" si="0"/>
        <v>0.34848484848484851</v>
      </c>
      <c r="M49">
        <v>434.4</v>
      </c>
    </row>
    <row r="50" spans="1:13" x14ac:dyDescent="0.2">
      <c r="A50">
        <v>2024</v>
      </c>
      <c r="B50" t="s">
        <v>695</v>
      </c>
      <c r="C50" t="s">
        <v>366</v>
      </c>
      <c r="D50" t="s">
        <v>687</v>
      </c>
      <c r="E50" t="s">
        <v>687</v>
      </c>
      <c r="F50" t="s">
        <v>366</v>
      </c>
      <c r="G50" t="s">
        <v>655</v>
      </c>
      <c r="H50" s="129">
        <f>SUMPRODUCT(SUMIF(fr2223g1to6dst_cep!$E$2:$E$328,ActiveDistricts!$D50:$F50,fr2223g1to6dst_cep!$G$2:$G$328))</f>
        <v>184</v>
      </c>
      <c r="I50" s="129">
        <f>SUMPRODUCT(SUMIF(fr2223g1to6dst_cep!$E$2:$E$328,ActiveDistricts!$D50:$F50,fr2223g1to6dst_cep!$H$2:$H$328))</f>
        <v>90</v>
      </c>
      <c r="J50">
        <f t="shared" si="0"/>
        <v>0.4891304347826087</v>
      </c>
      <c r="M50">
        <v>451.7</v>
      </c>
    </row>
    <row r="51" spans="1:13" x14ac:dyDescent="0.2">
      <c r="A51">
        <v>2024</v>
      </c>
      <c r="B51" t="s">
        <v>696</v>
      </c>
      <c r="C51" t="s">
        <v>367</v>
      </c>
      <c r="D51" t="s">
        <v>687</v>
      </c>
      <c r="E51" t="s">
        <v>687</v>
      </c>
      <c r="F51" t="s">
        <v>367</v>
      </c>
      <c r="G51" t="s">
        <v>656</v>
      </c>
      <c r="H51" s="129">
        <f>SUMPRODUCT(SUMIF(fr2223g1to6dst_cep!$E$2:$E$328,ActiveDistricts!$D51:$F51,fr2223g1to6dst_cep!$G$2:$G$328))</f>
        <v>639</v>
      </c>
      <c r="I51" s="129">
        <f>SUMPRODUCT(SUMIF(fr2223g1to6dst_cep!$E$2:$E$328,ActiveDistricts!$D51:$F51,fr2223g1to6dst_cep!$H$2:$H$328))</f>
        <v>223</v>
      </c>
      <c r="J51">
        <f t="shared" si="0"/>
        <v>0.3489827856025039</v>
      </c>
      <c r="M51">
        <v>1452.9</v>
      </c>
    </row>
    <row r="52" spans="1:13" x14ac:dyDescent="0.2">
      <c r="A52">
        <v>2024</v>
      </c>
      <c r="B52" t="s">
        <v>689</v>
      </c>
      <c r="C52" t="s">
        <v>369</v>
      </c>
      <c r="D52" t="s">
        <v>687</v>
      </c>
      <c r="E52" t="s">
        <v>687</v>
      </c>
      <c r="F52" t="s">
        <v>369</v>
      </c>
      <c r="G52" t="s">
        <v>267</v>
      </c>
      <c r="H52" s="129">
        <f>SUMPRODUCT(SUMIF(fr2223g1to6dst_cep!$E$2:$E$328,ActiveDistricts!$D52:$F52,fr2223g1to6dst_cep!$G$2:$G$328))</f>
        <v>245</v>
      </c>
      <c r="I52" s="129">
        <f>SUMPRODUCT(SUMIF(fr2223g1to6dst_cep!$E$2:$E$328,ActiveDistricts!$D52:$F52,fr2223g1to6dst_cep!$H$2:$H$328))</f>
        <v>171</v>
      </c>
      <c r="J52">
        <f t="shared" si="0"/>
        <v>0.69795918367346943</v>
      </c>
      <c r="M52">
        <v>642.70000000000005</v>
      </c>
    </row>
    <row r="53" spans="1:13" x14ac:dyDescent="0.2">
      <c r="A53">
        <v>2024</v>
      </c>
      <c r="B53" t="s">
        <v>692</v>
      </c>
      <c r="C53" t="s">
        <v>365</v>
      </c>
      <c r="D53" t="s">
        <v>687</v>
      </c>
      <c r="E53" t="s">
        <v>687</v>
      </c>
      <c r="F53" t="s">
        <v>365</v>
      </c>
      <c r="G53" t="s">
        <v>269</v>
      </c>
      <c r="H53" s="129">
        <f>SUMPRODUCT(SUMIF(fr2223g1to6dst_cep!$E$2:$E$328,ActiveDistricts!$D53:$F53,fr2223g1to6dst_cep!$G$2:$G$328))</f>
        <v>574</v>
      </c>
      <c r="I53" s="129">
        <f>SUMPRODUCT(SUMIF(fr2223g1to6dst_cep!$E$2:$E$328,ActiveDistricts!$D53:$F53,fr2223g1to6dst_cep!$H$2:$H$328))</f>
        <v>224</v>
      </c>
      <c r="J53">
        <f t="shared" si="0"/>
        <v>0.3902439024390244</v>
      </c>
      <c r="M53">
        <v>803.1</v>
      </c>
    </row>
    <row r="54" spans="1:13" x14ac:dyDescent="0.2">
      <c r="A54">
        <v>2024</v>
      </c>
      <c r="B54" t="s">
        <v>690</v>
      </c>
      <c r="C54" t="s">
        <v>370</v>
      </c>
      <c r="D54" t="s">
        <v>687</v>
      </c>
      <c r="E54" t="s">
        <v>687</v>
      </c>
      <c r="F54" t="s">
        <v>370</v>
      </c>
      <c r="G54" t="s">
        <v>266</v>
      </c>
      <c r="H54" s="129">
        <f>SUMPRODUCT(SUMIF(fr2223g1to6dst_cep!$E$2:$E$328,ActiveDistricts!$D54:$F54,fr2223g1to6dst_cep!$G$2:$G$328))</f>
        <v>302</v>
      </c>
      <c r="I54" s="129">
        <f>SUMPRODUCT(SUMIF(fr2223g1to6dst_cep!$E$2:$E$328,ActiveDistricts!$D54:$F54,fr2223g1to6dst_cep!$H$2:$H$328))</f>
        <v>95</v>
      </c>
      <c r="J54">
        <f t="shared" si="0"/>
        <v>0.31456953642384106</v>
      </c>
      <c r="M54">
        <v>765.1</v>
      </c>
    </row>
    <row r="55" spans="1:13" x14ac:dyDescent="0.2">
      <c r="A55">
        <v>2024</v>
      </c>
      <c r="B55" t="s">
        <v>688</v>
      </c>
      <c r="C55" t="s">
        <v>521</v>
      </c>
      <c r="D55" t="s">
        <v>687</v>
      </c>
      <c r="E55" t="s">
        <v>687</v>
      </c>
      <c r="F55" t="s">
        <v>521</v>
      </c>
      <c r="G55" t="s">
        <v>132</v>
      </c>
      <c r="H55" s="129">
        <f>SUMPRODUCT(SUMIF(fr2223g1to6dst_cep!$E$2:$E$328,ActiveDistricts!$D55:$F55,fr2223g1to6dst_cep!$G$2:$G$328))</f>
        <v>330</v>
      </c>
      <c r="I55" s="129">
        <f>SUMPRODUCT(SUMIF(fr2223g1to6dst_cep!$E$2:$E$328,ActiveDistricts!$D55:$F55,fr2223g1to6dst_cep!$H$2:$H$328))</f>
        <v>135</v>
      </c>
      <c r="J55">
        <f t="shared" si="0"/>
        <v>0.40909090909090912</v>
      </c>
      <c r="M55">
        <v>805.3</v>
      </c>
    </row>
    <row r="56" spans="1:13" x14ac:dyDescent="0.2">
      <c r="A56">
        <v>2024</v>
      </c>
      <c r="B56" t="s">
        <v>692</v>
      </c>
      <c r="C56" t="s">
        <v>371</v>
      </c>
      <c r="D56" t="s">
        <v>687</v>
      </c>
      <c r="E56" t="s">
        <v>687</v>
      </c>
      <c r="F56" t="s">
        <v>371</v>
      </c>
      <c r="G56" t="s">
        <v>265</v>
      </c>
      <c r="H56" s="129">
        <f>SUMPRODUCT(SUMIF(fr2223g1to6dst_cep!$E$2:$E$328,ActiveDistricts!$D56:$F56,fr2223g1to6dst_cep!$G$2:$G$328))</f>
        <v>533</v>
      </c>
      <c r="I56" s="129">
        <f>SUMPRODUCT(SUMIF(fr2223g1to6dst_cep!$E$2:$E$328,ActiveDistricts!$D56:$F56,fr2223g1to6dst_cep!$H$2:$H$328))</f>
        <v>292</v>
      </c>
      <c r="J56">
        <f t="shared" si="0"/>
        <v>0.5478424015009381</v>
      </c>
      <c r="M56">
        <v>1271.3</v>
      </c>
    </row>
    <row r="57" spans="1:13" x14ac:dyDescent="0.2">
      <c r="A57">
        <v>2024</v>
      </c>
      <c r="B57" t="s">
        <v>688</v>
      </c>
      <c r="C57" t="s">
        <v>372</v>
      </c>
      <c r="D57" t="s">
        <v>687</v>
      </c>
      <c r="E57" t="s">
        <v>687</v>
      </c>
      <c r="F57" t="s">
        <v>372</v>
      </c>
      <c r="G57" t="s">
        <v>264</v>
      </c>
      <c r="H57" s="129">
        <f>SUMPRODUCT(SUMIF(fr2223g1to6dst_cep!$E$2:$E$328,ActiveDistricts!$D57:$F57,fr2223g1to6dst_cep!$G$2:$G$328))</f>
        <v>584</v>
      </c>
      <c r="I57" s="129">
        <f>SUMPRODUCT(SUMIF(fr2223g1to6dst_cep!$E$2:$E$328,ActiveDistricts!$D57:$F57,fr2223g1to6dst_cep!$H$2:$H$328))</f>
        <v>350</v>
      </c>
      <c r="J57">
        <f t="shared" si="0"/>
        <v>0.59931506849315064</v>
      </c>
      <c r="M57">
        <v>1489.8</v>
      </c>
    </row>
    <row r="58" spans="1:13" x14ac:dyDescent="0.2">
      <c r="A58">
        <v>2024</v>
      </c>
      <c r="B58" t="s">
        <v>690</v>
      </c>
      <c r="C58" t="s">
        <v>373</v>
      </c>
      <c r="D58" t="s">
        <v>687</v>
      </c>
      <c r="E58" t="s">
        <v>687</v>
      </c>
      <c r="F58" t="s">
        <v>373</v>
      </c>
      <c r="G58" t="s">
        <v>263</v>
      </c>
      <c r="H58" s="129">
        <f>SUMPRODUCT(SUMIF(fr2223g1to6dst_cep!$E$2:$E$328,ActiveDistricts!$D58:$F58,fr2223g1to6dst_cep!$G$2:$G$328))</f>
        <v>105</v>
      </c>
      <c r="I58" s="129">
        <f>SUMPRODUCT(SUMIF(fr2223g1to6dst_cep!$E$2:$E$328,ActiveDistricts!$D58:$F58,fr2223g1to6dst_cep!$H$2:$H$328))</f>
        <v>64</v>
      </c>
      <c r="J58">
        <f t="shared" si="0"/>
        <v>0.60952380952380958</v>
      </c>
      <c r="M58">
        <v>287.2</v>
      </c>
    </row>
    <row r="59" spans="1:13" x14ac:dyDescent="0.2">
      <c r="A59">
        <v>2024</v>
      </c>
      <c r="B59" t="s">
        <v>690</v>
      </c>
      <c r="C59" t="s">
        <v>374</v>
      </c>
      <c r="D59" t="s">
        <v>687</v>
      </c>
      <c r="E59" t="s">
        <v>687</v>
      </c>
      <c r="F59" t="s">
        <v>374</v>
      </c>
      <c r="G59" t="s">
        <v>262</v>
      </c>
      <c r="H59" s="129">
        <f>SUMPRODUCT(SUMIF(fr2223g1to6dst_cep!$E$2:$E$328,ActiveDistricts!$D59:$F59,fr2223g1to6dst_cep!$G$2:$G$328))</f>
        <v>504</v>
      </c>
      <c r="I59" s="129">
        <f>SUMPRODUCT(SUMIF(fr2223g1to6dst_cep!$E$2:$E$328,ActiveDistricts!$D59:$F59,fr2223g1to6dst_cep!$H$2:$H$328))</f>
        <v>227</v>
      </c>
      <c r="J59">
        <f t="shared" si="0"/>
        <v>0.45039682539682541</v>
      </c>
      <c r="M59">
        <v>1035.3</v>
      </c>
    </row>
    <row r="60" spans="1:13" x14ac:dyDescent="0.2">
      <c r="A60">
        <v>2024</v>
      </c>
      <c r="B60" t="s">
        <v>689</v>
      </c>
      <c r="C60" t="s">
        <v>375</v>
      </c>
      <c r="D60" t="s">
        <v>687</v>
      </c>
      <c r="E60" t="s">
        <v>687</v>
      </c>
      <c r="F60" t="s">
        <v>375</v>
      </c>
      <c r="G60" t="s">
        <v>261</v>
      </c>
      <c r="H60" s="129">
        <f>SUMPRODUCT(SUMIF(fr2223g1to6dst_cep!$E$2:$E$328,ActiveDistricts!$D60:$F60,fr2223g1to6dst_cep!$G$2:$G$328))</f>
        <v>451</v>
      </c>
      <c r="I60" s="129">
        <f>SUMPRODUCT(SUMIF(fr2223g1to6dst_cep!$E$2:$E$328,ActiveDistricts!$D60:$F60,fr2223g1to6dst_cep!$H$2:$H$328))</f>
        <v>199</v>
      </c>
      <c r="J60">
        <f t="shared" si="0"/>
        <v>0.44124168514412415</v>
      </c>
      <c r="M60">
        <v>989.1</v>
      </c>
    </row>
    <row r="61" spans="1:13" x14ac:dyDescent="0.2">
      <c r="A61">
        <v>2024</v>
      </c>
      <c r="B61" t="s">
        <v>691</v>
      </c>
      <c r="C61" t="s">
        <v>376</v>
      </c>
      <c r="D61" t="s">
        <v>697</v>
      </c>
      <c r="E61" t="s">
        <v>687</v>
      </c>
      <c r="F61" t="s">
        <v>376</v>
      </c>
      <c r="G61" t="s">
        <v>260</v>
      </c>
      <c r="H61" s="129">
        <f>SUMPRODUCT(SUMIF(fr2223g1to6dst_cep!$E$2:$E$328,ActiveDistricts!$D61:$F61,fr2223g1to6dst_cep!$G$2:$G$328))</f>
        <v>399</v>
      </c>
      <c r="I61" s="129">
        <f>SUMPRODUCT(SUMIF(fr2223g1to6dst_cep!$E$2:$E$328,ActiveDistricts!$D61:$F61,fr2223g1to6dst_cep!$H$2:$H$328))</f>
        <v>230</v>
      </c>
      <c r="J61">
        <f t="shared" si="0"/>
        <v>0.5764411027568922</v>
      </c>
      <c r="M61">
        <v>1011.1</v>
      </c>
    </row>
    <row r="62" spans="1:13" x14ac:dyDescent="0.2">
      <c r="A62">
        <v>2024</v>
      </c>
      <c r="B62" t="s">
        <v>689</v>
      </c>
      <c r="C62" t="s">
        <v>377</v>
      </c>
      <c r="D62" t="s">
        <v>687</v>
      </c>
      <c r="E62" t="s">
        <v>687</v>
      </c>
      <c r="F62" t="s">
        <v>377</v>
      </c>
      <c r="G62" t="s">
        <v>259</v>
      </c>
      <c r="H62" s="129">
        <f>SUMPRODUCT(SUMIF(fr2223g1to6dst_cep!$E$2:$E$328,ActiveDistricts!$D62:$F62,fr2223g1to6dst_cep!$G$2:$G$328))</f>
        <v>525</v>
      </c>
      <c r="I62" s="129">
        <f>SUMPRODUCT(SUMIF(fr2223g1to6dst_cep!$E$2:$E$328,ActiveDistricts!$D62:$F62,fr2223g1to6dst_cep!$H$2:$H$328))</f>
        <v>317</v>
      </c>
      <c r="J62">
        <f t="shared" si="0"/>
        <v>0.6038095238095238</v>
      </c>
      <c r="M62">
        <v>1442.5</v>
      </c>
    </row>
    <row r="63" spans="1:13" x14ac:dyDescent="0.2">
      <c r="A63">
        <v>2024</v>
      </c>
      <c r="B63" t="s">
        <v>688</v>
      </c>
      <c r="C63" t="s">
        <v>378</v>
      </c>
      <c r="D63" t="s">
        <v>687</v>
      </c>
      <c r="E63" t="s">
        <v>687</v>
      </c>
      <c r="F63" t="s">
        <v>378</v>
      </c>
      <c r="G63" t="s">
        <v>258</v>
      </c>
      <c r="H63" s="129">
        <f>SUMPRODUCT(SUMIF(fr2223g1to6dst_cep!$E$2:$E$328,ActiveDistricts!$D63:$F63,fr2223g1to6dst_cep!$G$2:$G$328))</f>
        <v>126</v>
      </c>
      <c r="I63" s="129">
        <f>SUMPRODUCT(SUMIF(fr2223g1to6dst_cep!$E$2:$E$328,ActiveDistricts!$D63:$F63,fr2223g1to6dst_cep!$H$2:$H$328))</f>
        <v>42</v>
      </c>
      <c r="J63">
        <f t="shared" si="0"/>
        <v>0.33333333333333331</v>
      </c>
      <c r="M63">
        <v>289.39999999999998</v>
      </c>
    </row>
    <row r="64" spans="1:13" x14ac:dyDescent="0.2">
      <c r="A64">
        <v>2024</v>
      </c>
      <c r="B64" t="s">
        <v>691</v>
      </c>
      <c r="C64" t="s">
        <v>379</v>
      </c>
      <c r="D64" t="s">
        <v>687</v>
      </c>
      <c r="E64" t="s">
        <v>687</v>
      </c>
      <c r="F64" t="s">
        <v>379</v>
      </c>
      <c r="G64" t="s">
        <v>257</v>
      </c>
      <c r="H64" s="129">
        <f>SUMPRODUCT(SUMIF(fr2223g1to6dst_cep!$E$2:$E$328,ActiveDistricts!$D64:$F64,fr2223g1to6dst_cep!$G$2:$G$328))</f>
        <v>51</v>
      </c>
      <c r="I64" s="129">
        <f>SUMPRODUCT(SUMIF(fr2223g1to6dst_cep!$E$2:$E$328,ActiveDistricts!$D64:$F64,fr2223g1to6dst_cep!$H$2:$H$328))</f>
        <v>38</v>
      </c>
      <c r="J64">
        <f t="shared" si="0"/>
        <v>0.74509803921568629</v>
      </c>
      <c r="M64">
        <v>290.10000000000002</v>
      </c>
    </row>
    <row r="65" spans="1:13" x14ac:dyDescent="0.2">
      <c r="A65">
        <v>2024</v>
      </c>
      <c r="B65" t="s">
        <v>695</v>
      </c>
      <c r="C65" t="s">
        <v>442</v>
      </c>
      <c r="D65" t="s">
        <v>687</v>
      </c>
      <c r="E65" t="s">
        <v>687</v>
      </c>
      <c r="F65" t="s">
        <v>442</v>
      </c>
      <c r="G65" t="s">
        <v>202</v>
      </c>
      <c r="H65" s="129">
        <f>SUMPRODUCT(SUMIF(fr2223g1to6dst_cep!$E$2:$E$328,ActiveDistricts!$D65:$F65,fr2223g1to6dst_cep!$G$2:$G$328))</f>
        <v>510</v>
      </c>
      <c r="I65" s="129">
        <f>SUMPRODUCT(SUMIF(fr2223g1to6dst_cep!$E$2:$E$328,ActiveDistricts!$D65:$F65,fr2223g1to6dst_cep!$H$2:$H$328))</f>
        <v>231</v>
      </c>
      <c r="J65">
        <f t="shared" si="0"/>
        <v>0.45294117647058824</v>
      </c>
      <c r="M65">
        <v>641.9</v>
      </c>
    </row>
    <row r="66" spans="1:13" x14ac:dyDescent="0.2">
      <c r="A66">
        <v>2024</v>
      </c>
      <c r="B66" t="s">
        <v>693</v>
      </c>
      <c r="C66" t="s">
        <v>380</v>
      </c>
      <c r="D66" t="s">
        <v>698</v>
      </c>
      <c r="E66" t="s">
        <v>687</v>
      </c>
      <c r="F66" t="s">
        <v>380</v>
      </c>
      <c r="G66" t="s">
        <v>657</v>
      </c>
      <c r="H66" s="129">
        <f>SUMPRODUCT(SUMIF(fr2223g1to6dst_cep!$E$2:$E$328,ActiveDistricts!$D66:$F66,fr2223g1to6dst_cep!$G$2:$G$328))</f>
        <v>1479</v>
      </c>
      <c r="I66" s="129">
        <f>SUMPRODUCT(SUMIF(fr2223g1to6dst_cep!$E$2:$E$328,ActiveDistricts!$D66:$F66,fr2223g1to6dst_cep!$H$2:$H$328))</f>
        <v>402</v>
      </c>
      <c r="J66">
        <f t="shared" si="0"/>
        <v>0.27180527383367142</v>
      </c>
      <c r="M66">
        <v>2937.9</v>
      </c>
    </row>
    <row r="67" spans="1:13" x14ac:dyDescent="0.2">
      <c r="A67">
        <v>2024</v>
      </c>
      <c r="B67" t="s">
        <v>688</v>
      </c>
      <c r="C67" t="s">
        <v>381</v>
      </c>
      <c r="D67" t="s">
        <v>687</v>
      </c>
      <c r="E67" t="s">
        <v>687</v>
      </c>
      <c r="F67" t="s">
        <v>381</v>
      </c>
      <c r="G67" t="s">
        <v>256</v>
      </c>
      <c r="H67" s="129">
        <f>SUMPRODUCT(SUMIF(fr2223g1to6dst_cep!$E$2:$E$328,ActiveDistricts!$D67:$F67,fr2223g1to6dst_cep!$G$2:$G$328))</f>
        <v>615</v>
      </c>
      <c r="I67" s="129">
        <f>SUMPRODUCT(SUMIF(fr2223g1to6dst_cep!$E$2:$E$328,ActiveDistricts!$D67:$F67,fr2223g1to6dst_cep!$H$2:$H$328))</f>
        <v>190</v>
      </c>
      <c r="J67">
        <f t="shared" ref="J67:J130" si="1">I67/H67</f>
        <v>0.30894308943089432</v>
      </c>
      <c r="M67">
        <v>1173.0999999999999</v>
      </c>
    </row>
    <row r="68" spans="1:13" x14ac:dyDescent="0.2">
      <c r="A68">
        <v>2024</v>
      </c>
      <c r="B68" t="s">
        <v>696</v>
      </c>
      <c r="C68" t="s">
        <v>382</v>
      </c>
      <c r="D68" t="s">
        <v>687</v>
      </c>
      <c r="E68" t="s">
        <v>687</v>
      </c>
      <c r="F68" t="s">
        <v>382</v>
      </c>
      <c r="G68" t="s">
        <v>255</v>
      </c>
      <c r="H68" s="129">
        <f>SUMPRODUCT(SUMIF(fr2223g1to6dst_cep!$E$2:$E$328,ActiveDistricts!$D68:$F68,fr2223g1to6dst_cep!$G$2:$G$328))</f>
        <v>1439</v>
      </c>
      <c r="I68" s="129">
        <f>SUMPRODUCT(SUMIF(fr2223g1to6dst_cep!$E$2:$E$328,ActiveDistricts!$D68:$F68,fr2223g1to6dst_cep!$H$2:$H$328))</f>
        <v>888</v>
      </c>
      <c r="J68">
        <f t="shared" si="1"/>
        <v>0.61709520500347459</v>
      </c>
      <c r="M68">
        <v>3604.2</v>
      </c>
    </row>
    <row r="69" spans="1:13" x14ac:dyDescent="0.2">
      <c r="A69">
        <v>2024</v>
      </c>
      <c r="B69" t="s">
        <v>686</v>
      </c>
      <c r="C69" t="s">
        <v>383</v>
      </c>
      <c r="D69" t="s">
        <v>687</v>
      </c>
      <c r="E69" t="s">
        <v>687</v>
      </c>
      <c r="F69" t="s">
        <v>383</v>
      </c>
      <c r="G69" t="s">
        <v>254</v>
      </c>
      <c r="H69" s="129">
        <f>SUMPRODUCT(SUMIF(fr2223g1to6dst_cep!$E$2:$E$328,ActiveDistricts!$D69:$F69,fr2223g1to6dst_cep!$G$2:$G$328))</f>
        <v>274</v>
      </c>
      <c r="I69" s="129">
        <f>SUMPRODUCT(SUMIF(fr2223g1to6dst_cep!$E$2:$E$328,ActiveDistricts!$D69:$F69,fr2223g1to6dst_cep!$H$2:$H$328))</f>
        <v>119</v>
      </c>
      <c r="J69">
        <f t="shared" si="1"/>
        <v>0.43430656934306572</v>
      </c>
      <c r="M69">
        <v>707.2</v>
      </c>
    </row>
    <row r="70" spans="1:13" x14ac:dyDescent="0.2">
      <c r="A70">
        <v>2024</v>
      </c>
      <c r="B70" t="s">
        <v>693</v>
      </c>
      <c r="C70" t="s">
        <v>384</v>
      </c>
      <c r="D70" t="s">
        <v>687</v>
      </c>
      <c r="E70" t="s">
        <v>687</v>
      </c>
      <c r="F70" t="s">
        <v>384</v>
      </c>
      <c r="G70" t="s">
        <v>658</v>
      </c>
      <c r="H70" s="129">
        <f>SUMPRODUCT(SUMIF(fr2223g1to6dst_cep!$E$2:$E$328,ActiveDistricts!$D70:$F70,fr2223g1to6dst_cep!$G$2:$G$328))</f>
        <v>2399</v>
      </c>
      <c r="I70" s="129">
        <f>SUMPRODUCT(SUMIF(fr2223g1to6dst_cep!$E$2:$E$328,ActiveDistricts!$D70:$F70,fr2223g1to6dst_cep!$H$2:$H$328))</f>
        <v>907</v>
      </c>
      <c r="J70">
        <f t="shared" si="1"/>
        <v>0.37807419758232597</v>
      </c>
      <c r="M70">
        <v>5147.8999999999996</v>
      </c>
    </row>
    <row r="71" spans="1:13" x14ac:dyDescent="0.2">
      <c r="A71">
        <v>2024</v>
      </c>
      <c r="B71" t="s">
        <v>686</v>
      </c>
      <c r="C71" t="s">
        <v>385</v>
      </c>
      <c r="D71" t="s">
        <v>687</v>
      </c>
      <c r="E71" t="s">
        <v>687</v>
      </c>
      <c r="F71" t="s">
        <v>385</v>
      </c>
      <c r="G71" t="s">
        <v>253</v>
      </c>
      <c r="H71" s="129">
        <f>SUMPRODUCT(SUMIF(fr2223g1to6dst_cep!$E$2:$E$328,ActiveDistricts!$D71:$F71,fr2223g1to6dst_cep!$G$2:$G$328))</f>
        <v>188</v>
      </c>
      <c r="I71" s="129">
        <f>SUMPRODUCT(SUMIF(fr2223g1to6dst_cep!$E$2:$E$328,ActiveDistricts!$D71:$F71,fr2223g1to6dst_cep!$H$2:$H$328))</f>
        <v>83</v>
      </c>
      <c r="J71">
        <f t="shared" si="1"/>
        <v>0.44148936170212766</v>
      </c>
      <c r="M71">
        <v>463.9</v>
      </c>
    </row>
    <row r="72" spans="1:13" x14ac:dyDescent="0.2">
      <c r="A72">
        <v>2024</v>
      </c>
      <c r="B72" t="s">
        <v>686</v>
      </c>
      <c r="C72" t="s">
        <v>386</v>
      </c>
      <c r="D72" t="s">
        <v>687</v>
      </c>
      <c r="E72" t="s">
        <v>687</v>
      </c>
      <c r="F72" t="s">
        <v>386</v>
      </c>
      <c r="G72" t="s">
        <v>659</v>
      </c>
      <c r="H72" s="129">
        <f>SUMPRODUCT(SUMIF(fr2223g1to6dst_cep!$E$2:$E$328,ActiveDistricts!$D72:$F72,fr2223g1to6dst_cep!$G$2:$G$328))</f>
        <v>153</v>
      </c>
      <c r="I72" s="129">
        <f>SUMPRODUCT(SUMIF(fr2223g1to6dst_cep!$E$2:$E$328,ActiveDistricts!$D72:$F72,fr2223g1to6dst_cep!$H$2:$H$328))</f>
        <v>68</v>
      </c>
      <c r="J72">
        <f t="shared" si="1"/>
        <v>0.44444444444444442</v>
      </c>
      <c r="M72">
        <v>452.9</v>
      </c>
    </row>
    <row r="73" spans="1:13" x14ac:dyDescent="0.2">
      <c r="A73">
        <v>2024</v>
      </c>
      <c r="B73" t="s">
        <v>696</v>
      </c>
      <c r="C73" t="s">
        <v>387</v>
      </c>
      <c r="D73" t="s">
        <v>687</v>
      </c>
      <c r="E73" t="s">
        <v>687</v>
      </c>
      <c r="F73" t="s">
        <v>387</v>
      </c>
      <c r="G73" t="s">
        <v>252</v>
      </c>
      <c r="H73" s="129">
        <f>SUMPRODUCT(SUMIF(fr2223g1to6dst_cep!$E$2:$E$328,ActiveDistricts!$D73:$F73,fr2223g1to6dst_cep!$G$2:$G$328))</f>
        <v>278</v>
      </c>
      <c r="I73" s="129">
        <f>SUMPRODUCT(SUMIF(fr2223g1to6dst_cep!$E$2:$E$328,ActiveDistricts!$D73:$F73,fr2223g1to6dst_cep!$H$2:$H$328))</f>
        <v>186</v>
      </c>
      <c r="J73">
        <f t="shared" si="1"/>
        <v>0.6690647482014388</v>
      </c>
      <c r="M73">
        <v>741.9</v>
      </c>
    </row>
    <row r="74" spans="1:13" x14ac:dyDescent="0.2">
      <c r="A74">
        <v>2024</v>
      </c>
      <c r="B74" t="s">
        <v>686</v>
      </c>
      <c r="C74" t="s">
        <v>388</v>
      </c>
      <c r="D74" t="s">
        <v>687</v>
      </c>
      <c r="E74" t="s">
        <v>687</v>
      </c>
      <c r="F74" t="s">
        <v>388</v>
      </c>
      <c r="G74" t="s">
        <v>251</v>
      </c>
      <c r="H74" s="129">
        <f>SUMPRODUCT(SUMIF(fr2223g1to6dst_cep!$E$2:$E$328,ActiveDistricts!$D74:$F74,fr2223g1to6dst_cep!$G$2:$G$328))</f>
        <v>189</v>
      </c>
      <c r="I74" s="129">
        <f>SUMPRODUCT(SUMIF(fr2223g1to6dst_cep!$E$2:$E$328,ActiveDistricts!$D74:$F74,fr2223g1to6dst_cep!$H$2:$H$328))</f>
        <v>91</v>
      </c>
      <c r="J74">
        <f t="shared" si="1"/>
        <v>0.48148148148148145</v>
      </c>
      <c r="M74">
        <v>425</v>
      </c>
    </row>
    <row r="75" spans="1:13" x14ac:dyDescent="0.2">
      <c r="A75">
        <v>2024</v>
      </c>
      <c r="B75" t="s">
        <v>689</v>
      </c>
      <c r="C75" t="s">
        <v>389</v>
      </c>
      <c r="D75" t="s">
        <v>687</v>
      </c>
      <c r="E75" t="s">
        <v>687</v>
      </c>
      <c r="F75" t="s">
        <v>389</v>
      </c>
      <c r="G75" t="s">
        <v>250</v>
      </c>
      <c r="H75" s="129">
        <f>SUMPRODUCT(SUMIF(fr2223g1to6dst_cep!$E$2:$E$328,ActiveDistricts!$D75:$F75,fr2223g1to6dst_cep!$G$2:$G$328))</f>
        <v>143</v>
      </c>
      <c r="I75" s="129">
        <f>SUMPRODUCT(SUMIF(fr2223g1to6dst_cep!$E$2:$E$328,ActiveDistricts!$D75:$F75,fr2223g1to6dst_cep!$H$2:$H$328))</f>
        <v>61</v>
      </c>
      <c r="J75">
        <f t="shared" si="1"/>
        <v>0.42657342657342656</v>
      </c>
      <c r="M75">
        <v>382.1</v>
      </c>
    </row>
    <row r="76" spans="1:13" x14ac:dyDescent="0.2">
      <c r="A76">
        <v>2024</v>
      </c>
      <c r="B76" t="s">
        <v>689</v>
      </c>
      <c r="C76" t="s">
        <v>390</v>
      </c>
      <c r="D76" t="s">
        <v>687</v>
      </c>
      <c r="E76" t="s">
        <v>687</v>
      </c>
      <c r="F76" t="s">
        <v>390</v>
      </c>
      <c r="G76" t="s">
        <v>249</v>
      </c>
      <c r="H76" s="129">
        <f>SUMPRODUCT(SUMIF(fr2223g1to6dst_cep!$E$2:$E$328,ActiveDistricts!$D76:$F76,fr2223g1to6dst_cep!$G$2:$G$328))</f>
        <v>3727</v>
      </c>
      <c r="I76" s="129">
        <f>SUMPRODUCT(SUMIF(fr2223g1to6dst_cep!$E$2:$E$328,ActiveDistricts!$D76:$F76,fr2223g1to6dst_cep!$H$2:$H$328))</f>
        <v>2420</v>
      </c>
      <c r="J76">
        <f t="shared" si="1"/>
        <v>0.64931580359538499</v>
      </c>
      <c r="M76">
        <v>8707.7000000000007</v>
      </c>
    </row>
    <row r="77" spans="1:13" x14ac:dyDescent="0.2">
      <c r="A77">
        <v>2024</v>
      </c>
      <c r="B77" t="s">
        <v>689</v>
      </c>
      <c r="C77" t="s">
        <v>391</v>
      </c>
      <c r="D77" t="s">
        <v>687</v>
      </c>
      <c r="E77" t="s">
        <v>687</v>
      </c>
      <c r="F77" t="s">
        <v>391</v>
      </c>
      <c r="G77" t="s">
        <v>248</v>
      </c>
      <c r="H77" s="129">
        <f>SUMPRODUCT(SUMIF(fr2223g1to6dst_cep!$E$2:$E$328,ActiveDistricts!$D77:$F77,fr2223g1to6dst_cep!$G$2:$G$328))</f>
        <v>502</v>
      </c>
      <c r="I77" s="129">
        <f>SUMPRODUCT(SUMIF(fr2223g1to6dst_cep!$E$2:$E$328,ActiveDistricts!$D77:$F77,fr2223g1to6dst_cep!$H$2:$H$328))</f>
        <v>284</v>
      </c>
      <c r="J77">
        <f t="shared" si="1"/>
        <v>0.56573705179282874</v>
      </c>
      <c r="M77">
        <v>1397</v>
      </c>
    </row>
    <row r="78" spans="1:13" x14ac:dyDescent="0.2">
      <c r="A78">
        <v>2024</v>
      </c>
      <c r="B78" t="s">
        <v>686</v>
      </c>
      <c r="C78" t="s">
        <v>392</v>
      </c>
      <c r="D78" t="s">
        <v>687</v>
      </c>
      <c r="E78" t="s">
        <v>687</v>
      </c>
      <c r="F78" t="s">
        <v>392</v>
      </c>
      <c r="G78" t="s">
        <v>247</v>
      </c>
      <c r="H78" s="129">
        <f>SUMPRODUCT(SUMIF(fr2223g1to6dst_cep!$E$2:$E$328,ActiveDistricts!$D78:$F78,fr2223g1to6dst_cep!$G$2:$G$328))</f>
        <v>1697</v>
      </c>
      <c r="I78" s="129">
        <f>SUMPRODUCT(SUMIF(fr2223g1to6dst_cep!$E$2:$E$328,ActiveDistricts!$D78:$F78,fr2223g1to6dst_cep!$H$2:$H$328))</f>
        <v>299</v>
      </c>
      <c r="J78">
        <f t="shared" si="1"/>
        <v>0.17619328226281675</v>
      </c>
      <c r="M78">
        <v>3478</v>
      </c>
    </row>
    <row r="79" spans="1:13" x14ac:dyDescent="0.2">
      <c r="A79">
        <v>2024</v>
      </c>
      <c r="B79" t="s">
        <v>692</v>
      </c>
      <c r="C79" t="s">
        <v>393</v>
      </c>
      <c r="D79" t="s">
        <v>687</v>
      </c>
      <c r="E79" t="s">
        <v>687</v>
      </c>
      <c r="F79" t="s">
        <v>393</v>
      </c>
      <c r="G79" t="s">
        <v>246</v>
      </c>
      <c r="H79" s="129">
        <f>SUMPRODUCT(SUMIF(fr2223g1to6dst_cep!$E$2:$E$328,ActiveDistricts!$D79:$F79,fr2223g1to6dst_cep!$G$2:$G$328))</f>
        <v>303</v>
      </c>
      <c r="I79" s="129">
        <f>SUMPRODUCT(SUMIF(fr2223g1to6dst_cep!$E$2:$E$328,ActiveDistricts!$D79:$F79,fr2223g1to6dst_cep!$H$2:$H$328))</f>
        <v>117</v>
      </c>
      <c r="J79">
        <f t="shared" si="1"/>
        <v>0.38613861386138615</v>
      </c>
      <c r="M79">
        <v>432.4</v>
      </c>
    </row>
    <row r="80" spans="1:13" x14ac:dyDescent="0.2">
      <c r="A80">
        <v>2024</v>
      </c>
      <c r="B80" t="s">
        <v>696</v>
      </c>
      <c r="C80" t="s">
        <v>394</v>
      </c>
      <c r="D80" t="s">
        <v>687</v>
      </c>
      <c r="E80" t="s">
        <v>687</v>
      </c>
      <c r="F80" t="s">
        <v>394</v>
      </c>
      <c r="G80" t="s">
        <v>245</v>
      </c>
      <c r="H80" s="129">
        <f>SUMPRODUCT(SUMIF(fr2223g1to6dst_cep!$E$2:$E$328,ActiveDistricts!$D80:$F80,fr2223g1to6dst_cep!$G$2:$G$328))</f>
        <v>5908</v>
      </c>
      <c r="I80" s="129">
        <f>SUMPRODUCT(SUMIF(fr2223g1to6dst_cep!$E$2:$E$328,ActiveDistricts!$D80:$F80,fr2223g1to6dst_cep!$H$2:$H$328))</f>
        <v>3409</v>
      </c>
      <c r="J80">
        <f t="shared" si="1"/>
        <v>0.57701421800947872</v>
      </c>
      <c r="M80">
        <v>14164.5</v>
      </c>
    </row>
    <row r="81" spans="1:13" x14ac:dyDescent="0.2">
      <c r="A81">
        <v>2024</v>
      </c>
      <c r="B81" t="s">
        <v>692</v>
      </c>
      <c r="C81" t="s">
        <v>395</v>
      </c>
      <c r="D81" t="s">
        <v>687</v>
      </c>
      <c r="E81" t="s">
        <v>687</v>
      </c>
      <c r="F81" t="s">
        <v>395</v>
      </c>
      <c r="G81" t="s">
        <v>244</v>
      </c>
      <c r="H81" s="129">
        <f>SUMPRODUCT(SUMIF(fr2223g1to6dst_cep!$E$2:$E$328,ActiveDistricts!$D81:$F81,fr2223g1to6dst_cep!$G$2:$G$328))</f>
        <v>516</v>
      </c>
      <c r="I81" s="129">
        <f>SUMPRODUCT(SUMIF(fr2223g1to6dst_cep!$E$2:$E$328,ActiveDistricts!$D81:$F81,fr2223g1to6dst_cep!$H$2:$H$328))</f>
        <v>244</v>
      </c>
      <c r="J81">
        <f t="shared" si="1"/>
        <v>0.47286821705426357</v>
      </c>
      <c r="M81">
        <v>1148.7</v>
      </c>
    </row>
    <row r="82" spans="1:13" x14ac:dyDescent="0.2">
      <c r="A82">
        <v>2024</v>
      </c>
      <c r="B82" t="s">
        <v>695</v>
      </c>
      <c r="C82" t="s">
        <v>396</v>
      </c>
      <c r="D82" t="s">
        <v>687</v>
      </c>
      <c r="E82" t="s">
        <v>687</v>
      </c>
      <c r="F82" t="s">
        <v>396</v>
      </c>
      <c r="G82" t="s">
        <v>660</v>
      </c>
      <c r="H82" s="129">
        <f>SUMPRODUCT(SUMIF(fr2223g1to6dst_cep!$E$2:$E$328,ActiveDistricts!$D82:$F82,fr2223g1to6dst_cep!$G$2:$G$328))</f>
        <v>620</v>
      </c>
      <c r="I82" s="129">
        <f>SUMPRODUCT(SUMIF(fr2223g1to6dst_cep!$E$2:$E$328,ActiveDistricts!$D82:$F82,fr2223g1to6dst_cep!$H$2:$H$328))</f>
        <v>179</v>
      </c>
      <c r="J82">
        <f t="shared" si="1"/>
        <v>0.28870967741935483</v>
      </c>
      <c r="M82">
        <v>1522.6</v>
      </c>
    </row>
    <row r="83" spans="1:13" x14ac:dyDescent="0.2">
      <c r="A83">
        <v>2024</v>
      </c>
      <c r="B83" t="s">
        <v>696</v>
      </c>
      <c r="C83" t="s">
        <v>397</v>
      </c>
      <c r="D83" t="s">
        <v>687</v>
      </c>
      <c r="E83" t="s">
        <v>687</v>
      </c>
      <c r="F83" t="s">
        <v>397</v>
      </c>
      <c r="G83" t="s">
        <v>243</v>
      </c>
      <c r="H83" s="129">
        <f>SUMPRODUCT(SUMIF(fr2223g1to6dst_cep!$E$2:$E$328,ActiveDistricts!$D83:$F83,fr2223g1to6dst_cep!$G$2:$G$328))</f>
        <v>110</v>
      </c>
      <c r="I83" s="129">
        <f>SUMPRODUCT(SUMIF(fr2223g1to6dst_cep!$E$2:$E$328,ActiveDistricts!$D83:$F83,fr2223g1to6dst_cep!$H$2:$H$328))</f>
        <v>43</v>
      </c>
      <c r="J83">
        <f t="shared" si="1"/>
        <v>0.39090909090909093</v>
      </c>
      <c r="M83">
        <v>200</v>
      </c>
    </row>
    <row r="84" spans="1:13" x14ac:dyDescent="0.2">
      <c r="A84">
        <v>2024</v>
      </c>
      <c r="B84" t="s">
        <v>690</v>
      </c>
      <c r="C84" t="s">
        <v>398</v>
      </c>
      <c r="D84" t="s">
        <v>687</v>
      </c>
      <c r="E84" t="s">
        <v>687</v>
      </c>
      <c r="F84" t="s">
        <v>398</v>
      </c>
      <c r="G84" t="s">
        <v>242</v>
      </c>
      <c r="H84" s="129">
        <f>SUMPRODUCT(SUMIF(fr2223g1to6dst_cep!$E$2:$E$328,ActiveDistricts!$D84:$F84,fr2223g1to6dst_cep!$G$2:$G$328))</f>
        <v>848</v>
      </c>
      <c r="I84" s="129">
        <f>SUMPRODUCT(SUMIF(fr2223g1to6dst_cep!$E$2:$E$328,ActiveDistricts!$D84:$F84,fr2223g1to6dst_cep!$H$2:$H$328))</f>
        <v>579</v>
      </c>
      <c r="J84">
        <f t="shared" si="1"/>
        <v>0.68278301886792447</v>
      </c>
      <c r="M84">
        <v>2026.3</v>
      </c>
    </row>
    <row r="85" spans="1:13" x14ac:dyDescent="0.2">
      <c r="A85">
        <v>2024</v>
      </c>
      <c r="B85" t="s">
        <v>688</v>
      </c>
      <c r="C85" t="s">
        <v>399</v>
      </c>
      <c r="D85" t="s">
        <v>687</v>
      </c>
      <c r="E85" t="s">
        <v>687</v>
      </c>
      <c r="F85" t="s">
        <v>399</v>
      </c>
      <c r="G85" t="s">
        <v>241</v>
      </c>
      <c r="H85" s="129">
        <f>SUMPRODUCT(SUMIF(fr2223g1to6dst_cep!$E$2:$E$328,ActiveDistricts!$D85:$F85,fr2223g1to6dst_cep!$G$2:$G$328))</f>
        <v>463</v>
      </c>
      <c r="I85" s="129">
        <f>SUMPRODUCT(SUMIF(fr2223g1to6dst_cep!$E$2:$E$328,ActiveDistricts!$D85:$F85,fr2223g1to6dst_cep!$H$2:$H$328))</f>
        <v>64</v>
      </c>
      <c r="J85">
        <f t="shared" si="1"/>
        <v>0.13822894168466524</v>
      </c>
      <c r="M85">
        <v>862.9</v>
      </c>
    </row>
    <row r="86" spans="1:13" x14ac:dyDescent="0.2">
      <c r="A86">
        <v>2024</v>
      </c>
      <c r="B86" t="s">
        <v>686</v>
      </c>
      <c r="C86" t="s">
        <v>400</v>
      </c>
      <c r="D86" t="s">
        <v>687</v>
      </c>
      <c r="E86" t="s">
        <v>687</v>
      </c>
      <c r="F86" t="s">
        <v>400</v>
      </c>
      <c r="G86" t="s">
        <v>661</v>
      </c>
      <c r="H86" s="129">
        <f>SUMPRODUCT(SUMIF(fr2223g1to6dst_cep!$E$2:$E$328,ActiveDistricts!$D86:$F86,fr2223g1to6dst_cep!$G$2:$G$328))</f>
        <v>13060</v>
      </c>
      <c r="I86" s="129">
        <f>SUMPRODUCT(SUMIF(fr2223g1to6dst_cep!$E$2:$E$328,ActiveDistricts!$D86:$F86,fr2223g1to6dst_cep!$H$2:$H$328))</f>
        <v>10357</v>
      </c>
      <c r="J86">
        <f t="shared" si="1"/>
        <v>0.79303215926493109</v>
      </c>
      <c r="M86">
        <v>30773.9</v>
      </c>
    </row>
    <row r="87" spans="1:13" x14ac:dyDescent="0.2">
      <c r="A87">
        <v>2024</v>
      </c>
      <c r="B87" t="s">
        <v>689</v>
      </c>
      <c r="C87" t="s">
        <v>401</v>
      </c>
      <c r="D87" t="s">
        <v>687</v>
      </c>
      <c r="E87" t="s">
        <v>687</v>
      </c>
      <c r="F87" t="s">
        <v>401</v>
      </c>
      <c r="G87" t="s">
        <v>240</v>
      </c>
      <c r="H87" s="129">
        <f>SUMPRODUCT(SUMIF(fr2223g1to6dst_cep!$E$2:$E$328,ActiveDistricts!$D87:$F87,fr2223g1to6dst_cep!$G$2:$G$328))</f>
        <v>45</v>
      </c>
      <c r="I87" s="129">
        <f>SUMPRODUCT(SUMIF(fr2223g1to6dst_cep!$E$2:$E$328,ActiveDistricts!$D87:$F87,fr2223g1to6dst_cep!$H$2:$H$328))</f>
        <v>21</v>
      </c>
      <c r="J87">
        <f t="shared" si="1"/>
        <v>0.46666666666666667</v>
      </c>
      <c r="M87">
        <v>112</v>
      </c>
    </row>
    <row r="88" spans="1:13" x14ac:dyDescent="0.2">
      <c r="A88">
        <v>2024</v>
      </c>
      <c r="B88" t="s">
        <v>688</v>
      </c>
      <c r="C88" t="s">
        <v>402</v>
      </c>
      <c r="D88" t="s">
        <v>687</v>
      </c>
      <c r="E88" t="s">
        <v>687</v>
      </c>
      <c r="F88" t="s">
        <v>402</v>
      </c>
      <c r="G88" t="s">
        <v>239</v>
      </c>
      <c r="H88" s="129">
        <f>SUMPRODUCT(SUMIF(fr2223g1to6dst_cep!$E$2:$E$328,ActiveDistricts!$D88:$F88,fr2223g1to6dst_cep!$G$2:$G$328))</f>
        <v>410</v>
      </c>
      <c r="I88" s="129">
        <f>SUMPRODUCT(SUMIF(fr2223g1to6dst_cep!$E$2:$E$328,ActiveDistricts!$D88:$F88,fr2223g1to6dst_cep!$H$2:$H$328))</f>
        <v>73</v>
      </c>
      <c r="J88">
        <f t="shared" si="1"/>
        <v>0.17804878048780487</v>
      </c>
      <c r="M88">
        <v>876.2</v>
      </c>
    </row>
    <row r="89" spans="1:13" x14ac:dyDescent="0.2">
      <c r="A89">
        <v>2024</v>
      </c>
      <c r="B89" t="s">
        <v>695</v>
      </c>
      <c r="C89" t="s">
        <v>403</v>
      </c>
      <c r="D89" t="s">
        <v>687</v>
      </c>
      <c r="E89" t="s">
        <v>687</v>
      </c>
      <c r="F89" t="s">
        <v>403</v>
      </c>
      <c r="G89" t="s">
        <v>238</v>
      </c>
      <c r="H89" s="129">
        <f>SUMPRODUCT(SUMIF(fr2223g1to6dst_cep!$E$2:$E$328,ActiveDistricts!$D89:$F89,fr2223g1to6dst_cep!$G$2:$G$328))</f>
        <v>4377</v>
      </c>
      <c r="I89" s="129">
        <f>SUMPRODUCT(SUMIF(fr2223g1to6dst_cep!$E$2:$E$328,ActiveDistricts!$D89:$F89,fr2223g1to6dst_cep!$H$2:$H$328))</f>
        <v>1935</v>
      </c>
      <c r="J89">
        <f t="shared" si="1"/>
        <v>0.44208361891706649</v>
      </c>
      <c r="M89">
        <v>10064.1</v>
      </c>
    </row>
    <row r="90" spans="1:13" x14ac:dyDescent="0.2">
      <c r="A90">
        <v>2024</v>
      </c>
      <c r="B90" t="s">
        <v>688</v>
      </c>
      <c r="C90" t="s">
        <v>404</v>
      </c>
      <c r="D90" t="s">
        <v>687</v>
      </c>
      <c r="E90" t="s">
        <v>687</v>
      </c>
      <c r="F90" t="s">
        <v>404</v>
      </c>
      <c r="G90" t="s">
        <v>237</v>
      </c>
      <c r="H90" s="129">
        <f>SUMPRODUCT(SUMIF(fr2223g1to6dst_cep!$E$2:$E$328,ActiveDistricts!$D90:$F90,fr2223g1to6dst_cep!$G$2:$G$328))</f>
        <v>156</v>
      </c>
      <c r="I90" s="129">
        <f>SUMPRODUCT(SUMIF(fr2223g1to6dst_cep!$E$2:$E$328,ActiveDistricts!$D90:$F90,fr2223g1to6dst_cep!$H$2:$H$328))</f>
        <v>74</v>
      </c>
      <c r="J90">
        <f t="shared" si="1"/>
        <v>0.47435897435897434</v>
      </c>
      <c r="M90">
        <v>366.1</v>
      </c>
    </row>
    <row r="91" spans="1:13" x14ac:dyDescent="0.2">
      <c r="A91">
        <v>2024</v>
      </c>
      <c r="B91" t="s">
        <v>696</v>
      </c>
      <c r="C91" t="s">
        <v>406</v>
      </c>
      <c r="D91" t="s">
        <v>687</v>
      </c>
      <c r="E91" t="s">
        <v>687</v>
      </c>
      <c r="F91" t="s">
        <v>406</v>
      </c>
      <c r="G91" t="s">
        <v>235</v>
      </c>
      <c r="H91" s="129">
        <f>SUMPRODUCT(SUMIF(fr2223g1to6dst_cep!$E$2:$E$328,ActiveDistricts!$D91:$F91,fr2223g1to6dst_cep!$G$2:$G$328))</f>
        <v>262</v>
      </c>
      <c r="I91" s="129">
        <f>SUMPRODUCT(SUMIF(fr2223g1to6dst_cep!$E$2:$E$328,ActiveDistricts!$D91:$F91,fr2223g1to6dst_cep!$H$2:$H$328))</f>
        <v>81</v>
      </c>
      <c r="J91">
        <f t="shared" si="1"/>
        <v>0.30916030534351147</v>
      </c>
      <c r="M91">
        <v>503.5</v>
      </c>
    </row>
    <row r="92" spans="1:13" x14ac:dyDescent="0.2">
      <c r="A92">
        <v>2024</v>
      </c>
      <c r="B92" t="s">
        <v>691</v>
      </c>
      <c r="C92" t="s">
        <v>408</v>
      </c>
      <c r="D92" t="s">
        <v>687</v>
      </c>
      <c r="E92" t="s">
        <v>687</v>
      </c>
      <c r="F92" t="s">
        <v>408</v>
      </c>
      <c r="G92" t="s">
        <v>234</v>
      </c>
      <c r="H92" s="129">
        <f>SUMPRODUCT(SUMIF(fr2223g1to6dst_cep!$E$2:$E$328,ActiveDistricts!$D92:$F92,fr2223g1to6dst_cep!$G$2:$G$328))</f>
        <v>413</v>
      </c>
      <c r="I92" s="129">
        <f>SUMPRODUCT(SUMIF(fr2223g1to6dst_cep!$E$2:$E$328,ActiveDistricts!$D92:$F92,fr2223g1to6dst_cep!$H$2:$H$328))</f>
        <v>290</v>
      </c>
      <c r="J92">
        <f t="shared" si="1"/>
        <v>0.70217917675544794</v>
      </c>
      <c r="M92">
        <v>952</v>
      </c>
    </row>
    <row r="93" spans="1:13" x14ac:dyDescent="0.2">
      <c r="A93">
        <v>2024</v>
      </c>
      <c r="B93" t="s">
        <v>686</v>
      </c>
      <c r="C93" t="s">
        <v>409</v>
      </c>
      <c r="D93" t="s">
        <v>687</v>
      </c>
      <c r="E93" t="s">
        <v>687</v>
      </c>
      <c r="F93" t="s">
        <v>409</v>
      </c>
      <c r="G93" t="s">
        <v>233</v>
      </c>
      <c r="H93" s="129">
        <f>SUMPRODUCT(SUMIF(fr2223g1to6dst_cep!$E$2:$E$328,ActiveDistricts!$D93:$F93,fr2223g1to6dst_cep!$G$2:$G$328))</f>
        <v>274</v>
      </c>
      <c r="I93" s="129">
        <f>SUMPRODUCT(SUMIF(fr2223g1to6dst_cep!$E$2:$E$328,ActiveDistricts!$D93:$F93,fr2223g1to6dst_cep!$H$2:$H$328))</f>
        <v>66</v>
      </c>
      <c r="J93">
        <f t="shared" si="1"/>
        <v>0.24087591240875914</v>
      </c>
      <c r="M93">
        <v>562.29999999999995</v>
      </c>
    </row>
    <row r="94" spans="1:13" x14ac:dyDescent="0.2">
      <c r="A94">
        <v>2024</v>
      </c>
      <c r="B94" t="s">
        <v>688</v>
      </c>
      <c r="C94" t="s">
        <v>410</v>
      </c>
      <c r="D94" t="s">
        <v>687</v>
      </c>
      <c r="E94" t="s">
        <v>687</v>
      </c>
      <c r="F94" t="s">
        <v>410</v>
      </c>
      <c r="G94" t="s">
        <v>232</v>
      </c>
      <c r="H94" s="129">
        <f>SUMPRODUCT(SUMIF(fr2223g1to6dst_cep!$E$2:$E$328,ActiveDistricts!$D94:$F94,fr2223g1to6dst_cep!$G$2:$G$328))</f>
        <v>228</v>
      </c>
      <c r="I94" s="129">
        <f>SUMPRODUCT(SUMIF(fr2223g1to6dst_cep!$E$2:$E$328,ActiveDistricts!$D94:$F94,fr2223g1to6dst_cep!$H$2:$H$328))</f>
        <v>67</v>
      </c>
      <c r="J94">
        <f t="shared" si="1"/>
        <v>0.29385964912280704</v>
      </c>
      <c r="M94">
        <v>541.9</v>
      </c>
    </row>
    <row r="95" spans="1:13" x14ac:dyDescent="0.2">
      <c r="A95">
        <v>2024</v>
      </c>
      <c r="B95" t="s">
        <v>688</v>
      </c>
      <c r="C95" t="s">
        <v>474</v>
      </c>
      <c r="D95" t="s">
        <v>687</v>
      </c>
      <c r="E95" t="s">
        <v>687</v>
      </c>
      <c r="F95" t="s">
        <v>645</v>
      </c>
      <c r="G95" t="s">
        <v>230</v>
      </c>
      <c r="H95" s="129">
        <f>SUMPRODUCT(SUMIF(fr2223g1to6dst_cep!$E$2:$E$328,ActiveDistricts!$D95:$F95,fr2223g1to6dst_cep!$G$2:$G$328))</f>
        <v>287</v>
      </c>
      <c r="I95" s="129">
        <f>SUMPRODUCT(SUMIF(fr2223g1to6dst_cep!$E$2:$E$328,ActiveDistricts!$D95:$F95,fr2223g1to6dst_cep!$H$2:$H$328))</f>
        <v>119</v>
      </c>
      <c r="J95">
        <f t="shared" si="1"/>
        <v>0.41463414634146339</v>
      </c>
      <c r="M95">
        <v>525.20000000000005</v>
      </c>
    </row>
    <row r="96" spans="1:13" x14ac:dyDescent="0.2">
      <c r="A96">
        <v>2024</v>
      </c>
      <c r="B96" t="s">
        <v>689</v>
      </c>
      <c r="C96" t="s">
        <v>487</v>
      </c>
      <c r="D96" t="s">
        <v>687</v>
      </c>
      <c r="E96" t="s">
        <v>687</v>
      </c>
      <c r="F96" t="s">
        <v>487</v>
      </c>
      <c r="G96" t="s">
        <v>161</v>
      </c>
      <c r="H96" s="129">
        <f>SUMPRODUCT(SUMIF(fr2223g1to6dst_cep!$E$2:$E$328,ActiveDistricts!$D96:$F96,fr2223g1to6dst_cep!$G$2:$G$328))</f>
        <v>178</v>
      </c>
      <c r="I96" s="129">
        <f>SUMPRODUCT(SUMIF(fr2223g1to6dst_cep!$E$2:$E$328,ActiveDistricts!$D96:$F96,fr2223g1to6dst_cep!$H$2:$H$328))</f>
        <v>91</v>
      </c>
      <c r="J96">
        <f t="shared" si="1"/>
        <v>0.5112359550561798</v>
      </c>
      <c r="M96">
        <v>528.5</v>
      </c>
    </row>
    <row r="97" spans="1:13" x14ac:dyDescent="0.2">
      <c r="A97">
        <v>2024</v>
      </c>
      <c r="B97" t="s">
        <v>691</v>
      </c>
      <c r="C97" t="s">
        <v>611</v>
      </c>
      <c r="D97" t="s">
        <v>687</v>
      </c>
      <c r="E97" t="s">
        <v>687</v>
      </c>
      <c r="F97" t="s">
        <v>611</v>
      </c>
      <c r="G97" t="s">
        <v>52</v>
      </c>
      <c r="H97" s="129">
        <f>SUMPRODUCT(SUMIF(fr2223g1to6dst_cep!$E$2:$E$328,ActiveDistricts!$D97:$F97,fr2223g1to6dst_cep!$G$2:$G$328))</f>
        <v>327</v>
      </c>
      <c r="I97" s="129">
        <f>SUMPRODUCT(SUMIF(fr2223g1to6dst_cep!$E$2:$E$328,ActiveDistricts!$D97:$F97,fr2223g1to6dst_cep!$H$2:$H$328))</f>
        <v>131</v>
      </c>
      <c r="J97">
        <f t="shared" si="1"/>
        <v>0.40061162079510704</v>
      </c>
      <c r="M97">
        <v>835.5</v>
      </c>
    </row>
    <row r="98" spans="1:13" x14ac:dyDescent="0.2">
      <c r="A98">
        <v>2024</v>
      </c>
      <c r="B98" t="s">
        <v>689</v>
      </c>
      <c r="C98" t="s">
        <v>412</v>
      </c>
      <c r="D98" t="s">
        <v>687</v>
      </c>
      <c r="E98" t="s">
        <v>687</v>
      </c>
      <c r="F98" t="s">
        <v>412</v>
      </c>
      <c r="G98" t="s">
        <v>229</v>
      </c>
      <c r="H98" s="129">
        <f>SUMPRODUCT(SUMIF(fr2223g1to6dst_cep!$E$2:$E$328,ActiveDistricts!$D98:$F98,fr2223g1to6dst_cep!$G$2:$G$328))</f>
        <v>208</v>
      </c>
      <c r="I98" s="129">
        <f>SUMPRODUCT(SUMIF(fr2223g1to6dst_cep!$E$2:$E$328,ActiveDistricts!$D98:$F98,fr2223g1to6dst_cep!$H$2:$H$328))</f>
        <v>129</v>
      </c>
      <c r="J98">
        <f t="shared" si="1"/>
        <v>0.62019230769230771</v>
      </c>
      <c r="M98">
        <v>472.5</v>
      </c>
    </row>
    <row r="99" spans="1:13" x14ac:dyDescent="0.2">
      <c r="A99">
        <v>2024</v>
      </c>
      <c r="B99" t="s">
        <v>695</v>
      </c>
      <c r="C99" t="s">
        <v>413</v>
      </c>
      <c r="D99" t="s">
        <v>687</v>
      </c>
      <c r="E99" t="s">
        <v>687</v>
      </c>
      <c r="F99" t="s">
        <v>413</v>
      </c>
      <c r="G99" t="s">
        <v>228</v>
      </c>
      <c r="H99" s="129">
        <f>SUMPRODUCT(SUMIF(fr2223g1to6dst_cep!$E$2:$E$328,ActiveDistricts!$D99:$F99,fr2223g1to6dst_cep!$G$2:$G$328))</f>
        <v>142</v>
      </c>
      <c r="I99" s="129">
        <f>SUMPRODUCT(SUMIF(fr2223g1to6dst_cep!$E$2:$E$328,ActiveDistricts!$D99:$F99,fr2223g1to6dst_cep!$H$2:$H$328))</f>
        <v>70</v>
      </c>
      <c r="J99">
        <f t="shared" si="1"/>
        <v>0.49295774647887325</v>
      </c>
      <c r="M99">
        <v>331.3</v>
      </c>
    </row>
    <row r="100" spans="1:13" x14ac:dyDescent="0.2">
      <c r="A100">
        <v>2024</v>
      </c>
      <c r="B100" t="s">
        <v>696</v>
      </c>
      <c r="C100" t="s">
        <v>411</v>
      </c>
      <c r="D100" t="s">
        <v>687</v>
      </c>
      <c r="E100" t="s">
        <v>687</v>
      </c>
      <c r="F100" t="s">
        <v>411</v>
      </c>
      <c r="G100" t="s">
        <v>231</v>
      </c>
      <c r="H100" s="129">
        <f>SUMPRODUCT(SUMIF(fr2223g1to6dst_cep!$E$2:$E$328,ActiveDistricts!$D100:$F100,fr2223g1to6dst_cep!$G$2:$G$328))</f>
        <v>215</v>
      </c>
      <c r="I100" s="129">
        <f>SUMPRODUCT(SUMIF(fr2223g1to6dst_cep!$E$2:$E$328,ActiveDistricts!$D100:$F100,fr2223g1to6dst_cep!$H$2:$H$328))</f>
        <v>84</v>
      </c>
      <c r="J100">
        <f t="shared" si="1"/>
        <v>0.39069767441860465</v>
      </c>
      <c r="M100">
        <v>549.6</v>
      </c>
    </row>
    <row r="101" spans="1:13" x14ac:dyDescent="0.2">
      <c r="A101">
        <v>2024</v>
      </c>
      <c r="B101" t="s">
        <v>692</v>
      </c>
      <c r="C101" t="s">
        <v>346</v>
      </c>
      <c r="D101" t="s">
        <v>687</v>
      </c>
      <c r="E101" t="s">
        <v>687</v>
      </c>
      <c r="F101" t="s">
        <v>346</v>
      </c>
      <c r="G101" t="s">
        <v>662</v>
      </c>
      <c r="H101" s="129">
        <f>SUMPRODUCT(SUMIF(fr2223g1to6dst_cep!$E$2:$E$328,ActiveDistricts!$D101:$F101,fr2223g1to6dst_cep!$G$2:$G$328))</f>
        <v>418</v>
      </c>
      <c r="I101" s="129">
        <f>SUMPRODUCT(SUMIF(fr2223g1to6dst_cep!$E$2:$E$328,ActiveDistricts!$D101:$F101,fr2223g1to6dst_cep!$H$2:$H$328))</f>
        <v>160</v>
      </c>
      <c r="J101">
        <f t="shared" si="1"/>
        <v>0.38277511961722488</v>
      </c>
      <c r="M101">
        <v>835.6</v>
      </c>
    </row>
    <row r="102" spans="1:13" x14ac:dyDescent="0.2">
      <c r="A102">
        <v>2024</v>
      </c>
      <c r="B102" t="s">
        <v>695</v>
      </c>
      <c r="C102" t="s">
        <v>415</v>
      </c>
      <c r="D102" t="s">
        <v>687</v>
      </c>
      <c r="E102" t="s">
        <v>687</v>
      </c>
      <c r="F102" t="s">
        <v>415</v>
      </c>
      <c r="G102" t="s">
        <v>226</v>
      </c>
      <c r="H102" s="129">
        <f>SUMPRODUCT(SUMIF(fr2223g1to6dst_cep!$E$2:$E$328,ActiveDistricts!$D102:$F102,fr2223g1to6dst_cep!$G$2:$G$328))</f>
        <v>227</v>
      </c>
      <c r="I102" s="129">
        <f>SUMPRODUCT(SUMIF(fr2223g1to6dst_cep!$E$2:$E$328,ActiveDistricts!$D102:$F102,fr2223g1to6dst_cep!$H$2:$H$328))</f>
        <v>82</v>
      </c>
      <c r="J102">
        <f t="shared" si="1"/>
        <v>0.36123348017621143</v>
      </c>
      <c r="M102">
        <v>401</v>
      </c>
    </row>
    <row r="103" spans="1:13" x14ac:dyDescent="0.2">
      <c r="A103">
        <v>2024</v>
      </c>
      <c r="B103" t="s">
        <v>688</v>
      </c>
      <c r="C103" t="s">
        <v>416</v>
      </c>
      <c r="D103" t="s">
        <v>687</v>
      </c>
      <c r="E103" t="s">
        <v>687</v>
      </c>
      <c r="F103" t="s">
        <v>416</v>
      </c>
      <c r="G103" t="s">
        <v>225</v>
      </c>
      <c r="H103" s="129">
        <f>SUMPRODUCT(SUMIF(fr2223g1to6dst_cep!$E$2:$E$328,ActiveDistricts!$D103:$F103,fr2223g1to6dst_cep!$G$2:$G$328))</f>
        <v>202</v>
      </c>
      <c r="I103" s="129">
        <f>SUMPRODUCT(SUMIF(fr2223g1to6dst_cep!$E$2:$E$328,ActiveDistricts!$D103:$F103,fr2223g1to6dst_cep!$H$2:$H$328))</f>
        <v>99</v>
      </c>
      <c r="J103">
        <f t="shared" si="1"/>
        <v>0.49009900990099009</v>
      </c>
      <c r="M103">
        <v>560.70000000000005</v>
      </c>
    </row>
    <row r="104" spans="1:13" x14ac:dyDescent="0.2">
      <c r="A104">
        <v>2024</v>
      </c>
      <c r="B104" t="s">
        <v>691</v>
      </c>
      <c r="C104" t="s">
        <v>417</v>
      </c>
      <c r="D104" t="s">
        <v>687</v>
      </c>
      <c r="E104" t="s">
        <v>687</v>
      </c>
      <c r="F104" t="s">
        <v>417</v>
      </c>
      <c r="G104" t="s">
        <v>224</v>
      </c>
      <c r="H104" s="129">
        <f>SUMPRODUCT(SUMIF(fr2223g1to6dst_cep!$E$2:$E$328,ActiveDistricts!$D104:$F104,fr2223g1to6dst_cep!$G$2:$G$328))</f>
        <v>308</v>
      </c>
      <c r="I104" s="129">
        <f>SUMPRODUCT(SUMIF(fr2223g1to6dst_cep!$E$2:$E$328,ActiveDistricts!$D104:$F104,fr2223g1to6dst_cep!$H$2:$H$328))</f>
        <v>126</v>
      </c>
      <c r="J104">
        <f t="shared" si="1"/>
        <v>0.40909090909090912</v>
      </c>
      <c r="M104">
        <v>665.2</v>
      </c>
    </row>
    <row r="105" spans="1:13" x14ac:dyDescent="0.2">
      <c r="A105">
        <v>2024</v>
      </c>
      <c r="B105" t="s">
        <v>693</v>
      </c>
      <c r="C105" t="s">
        <v>418</v>
      </c>
      <c r="D105" t="s">
        <v>687</v>
      </c>
      <c r="E105" t="s">
        <v>687</v>
      </c>
      <c r="F105" t="s">
        <v>418</v>
      </c>
      <c r="G105" t="s">
        <v>223</v>
      </c>
      <c r="H105" s="129">
        <f>SUMPRODUCT(SUMIF(fr2223g1to6dst_cep!$E$2:$E$328,ActiveDistricts!$D105:$F105,fr2223g1to6dst_cep!$G$2:$G$328))</f>
        <v>172</v>
      </c>
      <c r="I105" s="129">
        <f>SUMPRODUCT(SUMIF(fr2223g1to6dst_cep!$E$2:$E$328,ActiveDistricts!$D105:$F105,fr2223g1to6dst_cep!$H$2:$H$328))</f>
        <v>74</v>
      </c>
      <c r="J105">
        <f t="shared" si="1"/>
        <v>0.43023255813953487</v>
      </c>
      <c r="M105">
        <v>462</v>
      </c>
    </row>
    <row r="106" spans="1:13" x14ac:dyDescent="0.2">
      <c r="A106">
        <v>2024</v>
      </c>
      <c r="B106" t="s">
        <v>689</v>
      </c>
      <c r="C106" t="s">
        <v>419</v>
      </c>
      <c r="D106" t="s">
        <v>687</v>
      </c>
      <c r="E106" t="s">
        <v>687</v>
      </c>
      <c r="F106" t="s">
        <v>419</v>
      </c>
      <c r="G106" t="s">
        <v>222</v>
      </c>
      <c r="H106" s="129">
        <f>SUMPRODUCT(SUMIF(fr2223g1to6dst_cep!$E$2:$E$328,ActiveDistricts!$D106:$F106,fr2223g1to6dst_cep!$G$2:$G$328))</f>
        <v>96</v>
      </c>
      <c r="I106" s="129">
        <f>SUMPRODUCT(SUMIF(fr2223g1to6dst_cep!$E$2:$E$328,ActiveDistricts!$D106:$F106,fr2223g1to6dst_cep!$H$2:$H$328))</f>
        <v>63</v>
      </c>
      <c r="J106">
        <f t="shared" si="1"/>
        <v>0.65625</v>
      </c>
      <c r="M106">
        <v>185.5</v>
      </c>
    </row>
    <row r="107" spans="1:13" x14ac:dyDescent="0.2">
      <c r="A107">
        <v>2024</v>
      </c>
      <c r="B107" t="s">
        <v>691</v>
      </c>
      <c r="C107" t="s">
        <v>420</v>
      </c>
      <c r="D107" t="s">
        <v>687</v>
      </c>
      <c r="E107" t="s">
        <v>687</v>
      </c>
      <c r="F107" t="s">
        <v>420</v>
      </c>
      <c r="G107" t="s">
        <v>663</v>
      </c>
      <c r="H107" s="129">
        <f>SUMPRODUCT(SUMIF(fr2223g1to6dst_cep!$E$2:$E$328,ActiveDistricts!$D107:$F107,fr2223g1to6dst_cep!$G$2:$G$328))</f>
        <v>484</v>
      </c>
      <c r="I107" s="129">
        <f>SUMPRODUCT(SUMIF(fr2223g1to6dst_cep!$E$2:$E$328,ActiveDistricts!$D107:$F107,fr2223g1to6dst_cep!$H$2:$H$328))</f>
        <v>273</v>
      </c>
      <c r="J107">
        <f t="shared" si="1"/>
        <v>0.56404958677685946</v>
      </c>
      <c r="M107">
        <v>1202</v>
      </c>
    </row>
    <row r="108" spans="1:13" x14ac:dyDescent="0.2">
      <c r="A108">
        <v>2024</v>
      </c>
      <c r="B108" t="s">
        <v>686</v>
      </c>
      <c r="C108" t="s">
        <v>421</v>
      </c>
      <c r="D108" t="s">
        <v>687</v>
      </c>
      <c r="E108" t="s">
        <v>687</v>
      </c>
      <c r="F108" t="s">
        <v>421</v>
      </c>
      <c r="G108" t="s">
        <v>664</v>
      </c>
      <c r="H108" s="129">
        <f>SUMPRODUCT(SUMIF(fr2223g1to6dst_cep!$E$2:$E$328,ActiveDistricts!$D108:$F108,fr2223g1to6dst_cep!$G$2:$G$328))</f>
        <v>172</v>
      </c>
      <c r="I108" s="129">
        <f>SUMPRODUCT(SUMIF(fr2223g1to6dst_cep!$E$2:$E$328,ActiveDistricts!$D108:$F108,fr2223g1to6dst_cep!$H$2:$H$328))</f>
        <v>90</v>
      </c>
      <c r="J108">
        <f t="shared" si="1"/>
        <v>0.52325581395348841</v>
      </c>
      <c r="M108">
        <v>426.5</v>
      </c>
    </row>
    <row r="109" spans="1:13" x14ac:dyDescent="0.2">
      <c r="A109">
        <v>2024</v>
      </c>
      <c r="B109" t="s">
        <v>692</v>
      </c>
      <c r="C109" t="s">
        <v>422</v>
      </c>
      <c r="D109" t="s">
        <v>687</v>
      </c>
      <c r="E109" t="s">
        <v>687</v>
      </c>
      <c r="F109" t="s">
        <v>422</v>
      </c>
      <c r="G109" t="s">
        <v>221</v>
      </c>
      <c r="H109" s="129">
        <f>SUMPRODUCT(SUMIF(fr2223g1to6dst_cep!$E$2:$E$328,ActiveDistricts!$D109:$F109,fr2223g1to6dst_cep!$G$2:$G$328))</f>
        <v>650</v>
      </c>
      <c r="I109" s="129">
        <f>SUMPRODUCT(SUMIF(fr2223g1to6dst_cep!$E$2:$E$328,ActiveDistricts!$D109:$F109,fr2223g1to6dst_cep!$H$2:$H$328))</f>
        <v>350</v>
      </c>
      <c r="J109">
        <f t="shared" si="1"/>
        <v>0.53846153846153844</v>
      </c>
      <c r="M109">
        <v>1568.3</v>
      </c>
    </row>
    <row r="110" spans="1:13" x14ac:dyDescent="0.2">
      <c r="A110">
        <v>2024</v>
      </c>
      <c r="B110" t="s">
        <v>688</v>
      </c>
      <c r="C110" t="s">
        <v>423</v>
      </c>
      <c r="D110" t="s">
        <v>687</v>
      </c>
      <c r="E110" t="s">
        <v>687</v>
      </c>
      <c r="F110" t="s">
        <v>423</v>
      </c>
      <c r="G110" t="s">
        <v>220</v>
      </c>
      <c r="H110" s="129">
        <f>SUMPRODUCT(SUMIF(fr2223g1to6dst_cep!$E$2:$E$328,ActiveDistricts!$D110:$F110,fr2223g1to6dst_cep!$G$2:$G$328))</f>
        <v>485</v>
      </c>
      <c r="I110" s="129">
        <f>SUMPRODUCT(SUMIF(fr2223g1to6dst_cep!$E$2:$E$328,ActiveDistricts!$D110:$F110,fr2223g1to6dst_cep!$H$2:$H$328))</f>
        <v>200</v>
      </c>
      <c r="J110">
        <f t="shared" si="1"/>
        <v>0.41237113402061853</v>
      </c>
      <c r="M110">
        <v>1055.4000000000001</v>
      </c>
    </row>
    <row r="111" spans="1:13" x14ac:dyDescent="0.2">
      <c r="A111">
        <v>2024</v>
      </c>
      <c r="B111" t="s">
        <v>691</v>
      </c>
      <c r="C111" t="s">
        <v>424</v>
      </c>
      <c r="D111" t="s">
        <v>687</v>
      </c>
      <c r="E111" t="s">
        <v>687</v>
      </c>
      <c r="F111" t="s">
        <v>424</v>
      </c>
      <c r="G111" t="s">
        <v>219</v>
      </c>
      <c r="H111" s="129">
        <f>SUMPRODUCT(SUMIF(fr2223g1to6dst_cep!$E$2:$E$328,ActiveDistricts!$D111:$F111,fr2223g1to6dst_cep!$G$2:$G$328))</f>
        <v>1572</v>
      </c>
      <c r="I111" s="129">
        <f>SUMPRODUCT(SUMIF(fr2223g1to6dst_cep!$E$2:$E$328,ActiveDistricts!$D111:$F111,fr2223g1to6dst_cep!$H$2:$H$328))</f>
        <v>1021</v>
      </c>
      <c r="J111">
        <f t="shared" si="1"/>
        <v>0.64949109414758266</v>
      </c>
      <c r="M111">
        <v>3561</v>
      </c>
    </row>
    <row r="112" spans="1:13" x14ac:dyDescent="0.2">
      <c r="A112">
        <v>2024</v>
      </c>
      <c r="B112" t="s">
        <v>692</v>
      </c>
      <c r="C112" t="s">
        <v>425</v>
      </c>
      <c r="D112" t="s">
        <v>687</v>
      </c>
      <c r="E112" t="s">
        <v>687</v>
      </c>
      <c r="F112" t="s">
        <v>425</v>
      </c>
      <c r="G112" t="s">
        <v>218</v>
      </c>
      <c r="H112" s="129">
        <f>SUMPRODUCT(SUMIF(fr2223g1to6dst_cep!$E$2:$E$328,ActiveDistricts!$D112:$F112,fr2223g1to6dst_cep!$G$2:$G$328))</f>
        <v>809</v>
      </c>
      <c r="I112" s="129">
        <f>SUMPRODUCT(SUMIF(fr2223g1to6dst_cep!$E$2:$E$328,ActiveDistricts!$D112:$F112,fr2223g1to6dst_cep!$H$2:$H$328))</f>
        <v>484</v>
      </c>
      <c r="J112">
        <f t="shared" si="1"/>
        <v>0.59826946847960449</v>
      </c>
      <c r="M112">
        <v>2102.1</v>
      </c>
    </row>
    <row r="113" spans="1:13" x14ac:dyDescent="0.2">
      <c r="A113">
        <v>2024</v>
      </c>
      <c r="B113" t="s">
        <v>689</v>
      </c>
      <c r="C113" t="s">
        <v>426</v>
      </c>
      <c r="D113" t="s">
        <v>687</v>
      </c>
      <c r="E113" t="s">
        <v>687</v>
      </c>
      <c r="F113" t="s">
        <v>426</v>
      </c>
      <c r="G113" t="s">
        <v>217</v>
      </c>
      <c r="H113" s="129">
        <f>SUMPRODUCT(SUMIF(fr2223g1to6dst_cep!$E$2:$E$328,ActiveDistricts!$D113:$F113,fr2223g1to6dst_cep!$G$2:$G$328))</f>
        <v>185</v>
      </c>
      <c r="I113" s="129">
        <f>SUMPRODUCT(SUMIF(fr2223g1to6dst_cep!$E$2:$E$328,ActiveDistricts!$D113:$F113,fr2223g1to6dst_cep!$H$2:$H$328))</f>
        <v>72</v>
      </c>
      <c r="J113">
        <f t="shared" si="1"/>
        <v>0.38918918918918921</v>
      </c>
      <c r="M113">
        <v>434</v>
      </c>
    </row>
    <row r="114" spans="1:13" x14ac:dyDescent="0.2">
      <c r="A114">
        <v>2024</v>
      </c>
      <c r="B114" t="s">
        <v>690</v>
      </c>
      <c r="C114" t="s">
        <v>427</v>
      </c>
      <c r="D114" t="s">
        <v>687</v>
      </c>
      <c r="E114" t="s">
        <v>687</v>
      </c>
      <c r="F114" t="s">
        <v>427</v>
      </c>
      <c r="G114" t="s">
        <v>216</v>
      </c>
      <c r="H114" s="129">
        <f>SUMPRODUCT(SUMIF(fr2223g1to6dst_cep!$E$2:$E$328,ActiveDistricts!$D114:$F114,fr2223g1to6dst_cep!$G$2:$G$328))</f>
        <v>179</v>
      </c>
      <c r="I114" s="129">
        <f>SUMPRODUCT(SUMIF(fr2223g1to6dst_cep!$E$2:$E$328,ActiveDistricts!$D114:$F114,fr2223g1to6dst_cep!$H$2:$H$328))</f>
        <v>64</v>
      </c>
      <c r="J114">
        <f t="shared" si="1"/>
        <v>0.35754189944134079</v>
      </c>
      <c r="M114">
        <v>464</v>
      </c>
    </row>
    <row r="115" spans="1:13" x14ac:dyDescent="0.2">
      <c r="A115">
        <v>2024</v>
      </c>
      <c r="B115" t="s">
        <v>688</v>
      </c>
      <c r="C115" t="s">
        <v>428</v>
      </c>
      <c r="D115" t="s">
        <v>687</v>
      </c>
      <c r="E115" t="s">
        <v>687</v>
      </c>
      <c r="F115" t="s">
        <v>428</v>
      </c>
      <c r="G115" t="s">
        <v>215</v>
      </c>
      <c r="H115" s="129">
        <f>SUMPRODUCT(SUMIF(fr2223g1to6dst_cep!$E$2:$E$328,ActiveDistricts!$D115:$F115,fr2223g1to6dst_cep!$G$2:$G$328))</f>
        <v>381</v>
      </c>
      <c r="I115" s="129">
        <f>SUMPRODUCT(SUMIF(fr2223g1to6dst_cep!$E$2:$E$328,ActiveDistricts!$D115:$F115,fr2223g1to6dst_cep!$H$2:$H$328))</f>
        <v>101</v>
      </c>
      <c r="J115">
        <f t="shared" si="1"/>
        <v>0.26509186351706038</v>
      </c>
      <c r="M115">
        <v>850</v>
      </c>
    </row>
    <row r="116" spans="1:13" x14ac:dyDescent="0.2">
      <c r="A116">
        <v>2024</v>
      </c>
      <c r="B116" t="s">
        <v>690</v>
      </c>
      <c r="C116" t="s">
        <v>429</v>
      </c>
      <c r="D116" t="s">
        <v>687</v>
      </c>
      <c r="E116" t="s">
        <v>687</v>
      </c>
      <c r="F116" t="s">
        <v>429</v>
      </c>
      <c r="G116" t="s">
        <v>214</v>
      </c>
      <c r="H116" s="129">
        <f>SUMPRODUCT(SUMIF(fr2223g1to6dst_cep!$E$2:$E$328,ActiveDistricts!$D116:$F116,fr2223g1to6dst_cep!$G$2:$G$328))</f>
        <v>176</v>
      </c>
      <c r="I116" s="129">
        <f>SUMPRODUCT(SUMIF(fr2223g1to6dst_cep!$E$2:$E$328,ActiveDistricts!$D116:$F116,fr2223g1to6dst_cep!$H$2:$H$328))</f>
        <v>84</v>
      </c>
      <c r="J116">
        <f t="shared" si="1"/>
        <v>0.47727272727272729</v>
      </c>
      <c r="M116">
        <v>454.7</v>
      </c>
    </row>
    <row r="117" spans="1:13" x14ac:dyDescent="0.2">
      <c r="A117">
        <v>2024</v>
      </c>
      <c r="B117" t="s">
        <v>686</v>
      </c>
      <c r="C117" t="s">
        <v>430</v>
      </c>
      <c r="D117" t="s">
        <v>687</v>
      </c>
      <c r="E117" t="s">
        <v>687</v>
      </c>
      <c r="F117" t="s">
        <v>430</v>
      </c>
      <c r="G117" t="s">
        <v>213</v>
      </c>
      <c r="H117" s="129">
        <f>SUMPRODUCT(SUMIF(fr2223g1to6dst_cep!$E$2:$E$328,ActiveDistricts!$D117:$F117,fr2223g1to6dst_cep!$G$2:$G$328))</f>
        <v>695</v>
      </c>
      <c r="I117" s="129">
        <f>SUMPRODUCT(SUMIF(fr2223g1to6dst_cep!$E$2:$E$328,ActiveDistricts!$D117:$F117,fr2223g1to6dst_cep!$H$2:$H$328))</f>
        <v>69</v>
      </c>
      <c r="J117">
        <f t="shared" si="1"/>
        <v>9.9280575539568344E-2</v>
      </c>
      <c r="M117">
        <v>1586.7</v>
      </c>
    </row>
    <row r="118" spans="1:13" x14ac:dyDescent="0.2">
      <c r="A118">
        <v>2024</v>
      </c>
      <c r="B118" t="s">
        <v>691</v>
      </c>
      <c r="C118" t="s">
        <v>431</v>
      </c>
      <c r="D118" t="s">
        <v>687</v>
      </c>
      <c r="E118" t="s">
        <v>687</v>
      </c>
      <c r="F118" t="s">
        <v>431</v>
      </c>
      <c r="G118" t="s">
        <v>212</v>
      </c>
      <c r="H118" s="129">
        <f>SUMPRODUCT(SUMIF(fr2223g1to6dst_cep!$E$2:$E$328,ActiveDistricts!$D118:$F118,fr2223g1to6dst_cep!$G$2:$G$328))</f>
        <v>74</v>
      </c>
      <c r="I118" s="129">
        <f>SUMPRODUCT(SUMIF(fr2223g1to6dst_cep!$E$2:$E$328,ActiveDistricts!$D118:$F118,fr2223g1to6dst_cep!$H$2:$H$328))</f>
        <v>53</v>
      </c>
      <c r="J118">
        <f t="shared" si="1"/>
        <v>0.71621621621621623</v>
      </c>
      <c r="M118">
        <v>174</v>
      </c>
    </row>
    <row r="119" spans="1:13" x14ac:dyDescent="0.2">
      <c r="A119">
        <v>2024</v>
      </c>
      <c r="B119" t="s">
        <v>688</v>
      </c>
      <c r="C119" t="s">
        <v>432</v>
      </c>
      <c r="D119" t="s">
        <v>687</v>
      </c>
      <c r="E119" t="s">
        <v>687</v>
      </c>
      <c r="F119" t="s">
        <v>432</v>
      </c>
      <c r="G119" t="s">
        <v>211</v>
      </c>
      <c r="H119" s="129">
        <f>SUMPRODUCT(SUMIF(fr2223g1to6dst_cep!$E$2:$E$328,ActiveDistricts!$D119:$F119,fr2223g1to6dst_cep!$G$2:$G$328))</f>
        <v>202</v>
      </c>
      <c r="I119" s="129">
        <f>SUMPRODUCT(SUMIF(fr2223g1to6dst_cep!$E$2:$E$328,ActiveDistricts!$D119:$F119,fr2223g1to6dst_cep!$H$2:$H$328))</f>
        <v>65</v>
      </c>
      <c r="J119">
        <f t="shared" si="1"/>
        <v>0.32178217821782179</v>
      </c>
      <c r="M119">
        <v>617.29999999999995</v>
      </c>
    </row>
    <row r="120" spans="1:13" x14ac:dyDescent="0.2">
      <c r="A120">
        <v>2024</v>
      </c>
      <c r="B120" t="s">
        <v>689</v>
      </c>
      <c r="C120" t="s">
        <v>433</v>
      </c>
      <c r="D120" t="s">
        <v>687</v>
      </c>
      <c r="E120" t="s">
        <v>687</v>
      </c>
      <c r="F120" t="s">
        <v>433</v>
      </c>
      <c r="G120" t="s">
        <v>210</v>
      </c>
      <c r="H120" s="129">
        <f>SUMPRODUCT(SUMIF(fr2223g1to6dst_cep!$E$2:$E$328,ActiveDistricts!$D120:$F120,fr2223g1to6dst_cep!$G$2:$G$328))</f>
        <v>881</v>
      </c>
      <c r="I120" s="129">
        <f>SUMPRODUCT(SUMIF(fr2223g1to6dst_cep!$E$2:$E$328,ActiveDistricts!$D120:$F120,fr2223g1to6dst_cep!$H$2:$H$328))</f>
        <v>338</v>
      </c>
      <c r="J120">
        <f t="shared" si="1"/>
        <v>0.3836549375709421</v>
      </c>
      <c r="M120">
        <v>1918.9</v>
      </c>
    </row>
    <row r="121" spans="1:13" x14ac:dyDescent="0.2">
      <c r="A121">
        <v>2024</v>
      </c>
      <c r="B121" t="s">
        <v>686</v>
      </c>
      <c r="C121" t="s">
        <v>434</v>
      </c>
      <c r="D121" t="s">
        <v>687</v>
      </c>
      <c r="E121" t="s">
        <v>687</v>
      </c>
      <c r="F121" t="s">
        <v>434</v>
      </c>
      <c r="G121" t="s">
        <v>209</v>
      </c>
      <c r="H121" s="129">
        <f>SUMPRODUCT(SUMIF(fr2223g1to6dst_cep!$E$2:$E$328,ActiveDistricts!$D121:$F121,fr2223g1to6dst_cep!$G$2:$G$328))</f>
        <v>179</v>
      </c>
      <c r="I121" s="129">
        <f>SUMPRODUCT(SUMIF(fr2223g1to6dst_cep!$E$2:$E$328,ActiveDistricts!$D121:$F121,fr2223g1to6dst_cep!$H$2:$H$328))</f>
        <v>59</v>
      </c>
      <c r="J121">
        <f t="shared" si="1"/>
        <v>0.32960893854748602</v>
      </c>
      <c r="M121">
        <v>296</v>
      </c>
    </row>
    <row r="122" spans="1:13" x14ac:dyDescent="0.2">
      <c r="A122">
        <v>2024</v>
      </c>
      <c r="B122" t="s">
        <v>688</v>
      </c>
      <c r="C122" t="s">
        <v>437</v>
      </c>
      <c r="D122" t="s">
        <v>687</v>
      </c>
      <c r="E122" t="s">
        <v>687</v>
      </c>
      <c r="F122" t="s">
        <v>437</v>
      </c>
      <c r="G122" t="s">
        <v>2</v>
      </c>
      <c r="H122" s="129">
        <f>SUMPRODUCT(SUMIF(fr2223g1to6dst_cep!$E$2:$E$328,ActiveDistricts!$D122:$F122,fr2223g1to6dst_cep!$G$2:$G$328))</f>
        <v>202</v>
      </c>
      <c r="I122" s="129">
        <f>SUMPRODUCT(SUMIF(fr2223g1to6dst_cep!$E$2:$E$328,ActiveDistricts!$D122:$F122,fr2223g1to6dst_cep!$H$2:$H$328))</f>
        <v>91</v>
      </c>
      <c r="J122">
        <f t="shared" si="1"/>
        <v>0.45049504950495051</v>
      </c>
      <c r="M122">
        <v>254.5</v>
      </c>
    </row>
    <row r="123" spans="1:13" x14ac:dyDescent="0.2">
      <c r="A123">
        <v>2024</v>
      </c>
      <c r="B123" t="s">
        <v>691</v>
      </c>
      <c r="C123" t="s">
        <v>435</v>
      </c>
      <c r="D123" t="s">
        <v>687</v>
      </c>
      <c r="E123" t="s">
        <v>687</v>
      </c>
      <c r="F123" t="s">
        <v>435</v>
      </c>
      <c r="G123" t="s">
        <v>208</v>
      </c>
      <c r="H123" s="129">
        <f>SUMPRODUCT(SUMIF(fr2223g1to6dst_cep!$E$2:$E$328,ActiveDistricts!$D123:$F123,fr2223g1to6dst_cep!$G$2:$G$328))</f>
        <v>124</v>
      </c>
      <c r="I123" s="129">
        <f>SUMPRODUCT(SUMIF(fr2223g1to6dst_cep!$E$2:$E$328,ActiveDistricts!$D123:$F123,fr2223g1to6dst_cep!$H$2:$H$328))</f>
        <v>74</v>
      </c>
      <c r="J123">
        <f t="shared" si="1"/>
        <v>0.59677419354838712</v>
      </c>
      <c r="M123">
        <v>378</v>
      </c>
    </row>
    <row r="124" spans="1:13" x14ac:dyDescent="0.2">
      <c r="A124">
        <v>2024</v>
      </c>
      <c r="B124" t="s">
        <v>691</v>
      </c>
      <c r="C124" t="s">
        <v>463</v>
      </c>
      <c r="D124" t="s">
        <v>687</v>
      </c>
      <c r="E124" t="s">
        <v>687</v>
      </c>
      <c r="F124" t="s">
        <v>463</v>
      </c>
      <c r="G124" t="s">
        <v>183</v>
      </c>
      <c r="H124" s="129">
        <f>SUMPRODUCT(SUMIF(fr2223g1to6dst_cep!$E$2:$E$328,ActiveDistricts!$D124:$F124,fr2223g1to6dst_cep!$G$2:$G$328))</f>
        <v>507</v>
      </c>
      <c r="I124" s="129">
        <f>SUMPRODUCT(SUMIF(fr2223g1to6dst_cep!$E$2:$E$328,ActiveDistricts!$D124:$F124,fr2223g1to6dst_cep!$H$2:$H$328))</f>
        <v>259</v>
      </c>
      <c r="J124">
        <f t="shared" si="1"/>
        <v>0.51084812623274167</v>
      </c>
      <c r="M124">
        <v>1185</v>
      </c>
    </row>
    <row r="125" spans="1:13" x14ac:dyDescent="0.2">
      <c r="A125">
        <v>2024</v>
      </c>
      <c r="B125" t="s">
        <v>688</v>
      </c>
      <c r="C125" t="s">
        <v>438</v>
      </c>
      <c r="D125" t="s">
        <v>687</v>
      </c>
      <c r="E125" t="s">
        <v>687</v>
      </c>
      <c r="F125" t="s">
        <v>438</v>
      </c>
      <c r="G125" t="s">
        <v>206</v>
      </c>
      <c r="H125" s="129">
        <f>SUMPRODUCT(SUMIF(fr2223g1to6dst_cep!$E$2:$E$328,ActiveDistricts!$D125:$F125,fr2223g1to6dst_cep!$G$2:$G$328))</f>
        <v>627</v>
      </c>
      <c r="I125" s="129">
        <f>SUMPRODUCT(SUMIF(fr2223g1to6dst_cep!$E$2:$E$328,ActiveDistricts!$D125:$F125,fr2223g1to6dst_cep!$H$2:$H$328))</f>
        <v>217</v>
      </c>
      <c r="J125">
        <f t="shared" si="1"/>
        <v>0.34609250398724084</v>
      </c>
      <c r="M125">
        <v>1498.3</v>
      </c>
    </row>
    <row r="126" spans="1:13" x14ac:dyDescent="0.2">
      <c r="A126">
        <v>2024</v>
      </c>
      <c r="B126" t="s">
        <v>689</v>
      </c>
      <c r="C126" t="s">
        <v>439</v>
      </c>
      <c r="D126" t="s">
        <v>687</v>
      </c>
      <c r="E126" t="s">
        <v>687</v>
      </c>
      <c r="F126" t="s">
        <v>439</v>
      </c>
      <c r="G126" t="s">
        <v>205</v>
      </c>
      <c r="H126" s="129">
        <f>SUMPRODUCT(SUMIF(fr2223g1to6dst_cep!$E$2:$E$328,ActiveDistricts!$D126:$F126,fr2223g1to6dst_cep!$G$2:$G$328))</f>
        <v>175</v>
      </c>
      <c r="I126" s="129">
        <f>SUMPRODUCT(SUMIF(fr2223g1to6dst_cep!$E$2:$E$328,ActiveDistricts!$D126:$F126,fr2223g1to6dst_cep!$H$2:$H$328))</f>
        <v>81</v>
      </c>
      <c r="J126">
        <f t="shared" si="1"/>
        <v>0.46285714285714286</v>
      </c>
      <c r="M126">
        <v>447.8</v>
      </c>
    </row>
    <row r="127" spans="1:13" x14ac:dyDescent="0.2">
      <c r="A127">
        <v>2024</v>
      </c>
      <c r="B127" t="s">
        <v>688</v>
      </c>
      <c r="C127" t="s">
        <v>440</v>
      </c>
      <c r="D127" t="s">
        <v>687</v>
      </c>
      <c r="E127" t="s">
        <v>687</v>
      </c>
      <c r="F127" t="s">
        <v>440</v>
      </c>
      <c r="G127" t="s">
        <v>204</v>
      </c>
      <c r="H127" s="129">
        <f>SUMPRODUCT(SUMIF(fr2223g1to6dst_cep!$E$2:$E$328,ActiveDistricts!$D127:$F127,fr2223g1to6dst_cep!$G$2:$G$328))</f>
        <v>329</v>
      </c>
      <c r="I127" s="129">
        <f>SUMPRODUCT(SUMIF(fr2223g1to6dst_cep!$E$2:$E$328,ActiveDistricts!$D127:$F127,fr2223g1to6dst_cep!$H$2:$H$328))</f>
        <v>97</v>
      </c>
      <c r="J127">
        <f t="shared" si="1"/>
        <v>0.29483282674772038</v>
      </c>
      <c r="M127">
        <v>679.3</v>
      </c>
    </row>
    <row r="128" spans="1:13" x14ac:dyDescent="0.2">
      <c r="A128">
        <v>2024</v>
      </c>
      <c r="B128" t="s">
        <v>686</v>
      </c>
      <c r="C128" t="s">
        <v>441</v>
      </c>
      <c r="D128" t="s">
        <v>687</v>
      </c>
      <c r="E128" t="s">
        <v>687</v>
      </c>
      <c r="F128" t="s">
        <v>441</v>
      </c>
      <c r="G128" t="s">
        <v>203</v>
      </c>
      <c r="H128" s="129">
        <f>SUMPRODUCT(SUMIF(fr2223g1to6dst_cep!$E$2:$E$328,ActiveDistricts!$D128:$F128,fr2223g1to6dst_cep!$G$2:$G$328))</f>
        <v>183</v>
      </c>
      <c r="I128" s="129">
        <f>SUMPRODUCT(SUMIF(fr2223g1to6dst_cep!$E$2:$E$328,ActiveDistricts!$D128:$F128,fr2223g1to6dst_cep!$H$2:$H$328))</f>
        <v>60</v>
      </c>
      <c r="J128">
        <f t="shared" si="1"/>
        <v>0.32786885245901637</v>
      </c>
      <c r="M128">
        <v>400.1</v>
      </c>
    </row>
    <row r="129" spans="1:13" x14ac:dyDescent="0.2">
      <c r="A129">
        <v>2024</v>
      </c>
      <c r="B129" t="s">
        <v>689</v>
      </c>
      <c r="C129" t="s">
        <v>444</v>
      </c>
      <c r="D129" t="s">
        <v>687</v>
      </c>
      <c r="E129" t="s">
        <v>687</v>
      </c>
      <c r="F129" t="s">
        <v>444</v>
      </c>
      <c r="G129" t="s">
        <v>201</v>
      </c>
      <c r="H129" s="129">
        <f>SUMPRODUCT(SUMIF(fr2223g1to6dst_cep!$E$2:$E$328,ActiveDistricts!$D129:$F129,fr2223g1to6dst_cep!$G$2:$G$328))</f>
        <v>80</v>
      </c>
      <c r="I129" s="129">
        <f>SUMPRODUCT(SUMIF(fr2223g1to6dst_cep!$E$2:$E$328,ActiveDistricts!$D129:$F129,fr2223g1to6dst_cep!$H$2:$H$328))</f>
        <v>55</v>
      </c>
      <c r="J129">
        <f t="shared" si="1"/>
        <v>0.6875</v>
      </c>
      <c r="M129">
        <v>226</v>
      </c>
    </row>
    <row r="130" spans="1:13" x14ac:dyDescent="0.2">
      <c r="A130">
        <v>2024</v>
      </c>
      <c r="B130" t="s">
        <v>688</v>
      </c>
      <c r="C130" t="s">
        <v>445</v>
      </c>
      <c r="D130" t="s">
        <v>687</v>
      </c>
      <c r="E130" t="s">
        <v>687</v>
      </c>
      <c r="F130" t="s">
        <v>445</v>
      </c>
      <c r="G130" t="s">
        <v>200</v>
      </c>
      <c r="H130" s="129">
        <f>SUMPRODUCT(SUMIF(fr2223g1to6dst_cep!$E$2:$E$328,ActiveDistricts!$D130:$F130,fr2223g1to6dst_cep!$G$2:$G$328))</f>
        <v>470</v>
      </c>
      <c r="I130" s="129">
        <f>SUMPRODUCT(SUMIF(fr2223g1to6dst_cep!$E$2:$E$328,ActiveDistricts!$D130:$F130,fr2223g1to6dst_cep!$H$2:$H$328))</f>
        <v>271</v>
      </c>
      <c r="J130">
        <f t="shared" si="1"/>
        <v>0.57659574468085106</v>
      </c>
      <c r="M130">
        <v>1119.5</v>
      </c>
    </row>
    <row r="131" spans="1:13" x14ac:dyDescent="0.2">
      <c r="A131">
        <v>2024</v>
      </c>
      <c r="B131" t="s">
        <v>689</v>
      </c>
      <c r="C131" t="s">
        <v>446</v>
      </c>
      <c r="D131" t="s">
        <v>687</v>
      </c>
      <c r="E131" t="s">
        <v>687</v>
      </c>
      <c r="F131" t="s">
        <v>446</v>
      </c>
      <c r="G131" t="s">
        <v>199</v>
      </c>
      <c r="H131" s="129">
        <f>SUMPRODUCT(SUMIF(fr2223g1to6dst_cep!$E$2:$E$328,ActiveDistricts!$D131:$F131,fr2223g1to6dst_cep!$G$2:$G$328))</f>
        <v>595</v>
      </c>
      <c r="I131" s="129">
        <f>SUMPRODUCT(SUMIF(fr2223g1to6dst_cep!$E$2:$E$328,ActiveDistricts!$D131:$F131,fr2223g1to6dst_cep!$H$2:$H$328))</f>
        <v>266</v>
      </c>
      <c r="J131">
        <f t="shared" ref="J131:J194" si="2">I131/H131</f>
        <v>0.44705882352941179</v>
      </c>
      <c r="M131">
        <v>1375.3</v>
      </c>
    </row>
    <row r="132" spans="1:13" x14ac:dyDescent="0.2">
      <c r="A132">
        <v>2024</v>
      </c>
      <c r="B132" t="s">
        <v>691</v>
      </c>
      <c r="C132" t="s">
        <v>447</v>
      </c>
      <c r="D132" t="s">
        <v>687</v>
      </c>
      <c r="E132" t="s">
        <v>687</v>
      </c>
      <c r="F132" t="s">
        <v>447</v>
      </c>
      <c r="G132" t="s">
        <v>198</v>
      </c>
      <c r="H132" s="129">
        <f>SUMPRODUCT(SUMIF(fr2223g1to6dst_cep!$E$2:$E$328,ActiveDistricts!$D132:$F132,fr2223g1to6dst_cep!$G$2:$G$328))</f>
        <v>152</v>
      </c>
      <c r="I132" s="129">
        <f>SUMPRODUCT(SUMIF(fr2223g1to6dst_cep!$E$2:$E$328,ActiveDistricts!$D132:$F132,fr2223g1to6dst_cep!$H$2:$H$328))</f>
        <v>55</v>
      </c>
      <c r="J132">
        <f t="shared" si="2"/>
        <v>0.36184210526315791</v>
      </c>
      <c r="M132">
        <v>294</v>
      </c>
    </row>
    <row r="133" spans="1:13" x14ac:dyDescent="0.2">
      <c r="A133">
        <v>2024</v>
      </c>
      <c r="B133" t="s">
        <v>690</v>
      </c>
      <c r="C133" t="s">
        <v>448</v>
      </c>
      <c r="D133" t="s">
        <v>687</v>
      </c>
      <c r="E133" t="s">
        <v>687</v>
      </c>
      <c r="F133" t="s">
        <v>448</v>
      </c>
      <c r="G133" t="s">
        <v>197</v>
      </c>
      <c r="H133" s="129">
        <f>SUMPRODUCT(SUMIF(fr2223g1to6dst_cep!$E$2:$E$328,ActiveDistricts!$D133:$F133,fr2223g1to6dst_cep!$G$2:$G$328))</f>
        <v>242</v>
      </c>
      <c r="I133" s="129">
        <f>SUMPRODUCT(SUMIF(fr2223g1to6dst_cep!$E$2:$E$328,ActiveDistricts!$D133:$F133,fr2223g1to6dst_cep!$H$2:$H$328))</f>
        <v>132</v>
      </c>
      <c r="J133">
        <f t="shared" si="2"/>
        <v>0.54545454545454541</v>
      </c>
      <c r="M133">
        <v>641.70000000000005</v>
      </c>
    </row>
    <row r="134" spans="1:13" x14ac:dyDescent="0.2">
      <c r="A134">
        <v>2024</v>
      </c>
      <c r="B134" t="s">
        <v>693</v>
      </c>
      <c r="C134" t="s">
        <v>449</v>
      </c>
      <c r="D134" t="s">
        <v>687</v>
      </c>
      <c r="E134" t="s">
        <v>687</v>
      </c>
      <c r="F134" t="s">
        <v>449</v>
      </c>
      <c r="G134" t="s">
        <v>196</v>
      </c>
      <c r="H134" s="129">
        <f>SUMPRODUCT(SUMIF(fr2223g1to6dst_cep!$E$2:$E$328,ActiveDistricts!$D134:$F134,fr2223g1to6dst_cep!$G$2:$G$328))</f>
        <v>244</v>
      </c>
      <c r="I134" s="129">
        <f>SUMPRODUCT(SUMIF(fr2223g1to6dst_cep!$E$2:$E$328,ActiveDistricts!$D134:$F134,fr2223g1to6dst_cep!$H$2:$H$328))</f>
        <v>52</v>
      </c>
      <c r="J134">
        <f t="shared" si="2"/>
        <v>0.21311475409836064</v>
      </c>
      <c r="M134">
        <v>583</v>
      </c>
    </row>
    <row r="135" spans="1:13" x14ac:dyDescent="0.2">
      <c r="A135">
        <v>2024</v>
      </c>
      <c r="B135" t="s">
        <v>690</v>
      </c>
      <c r="C135" t="s">
        <v>450</v>
      </c>
      <c r="D135" t="s">
        <v>687</v>
      </c>
      <c r="E135" t="s">
        <v>687</v>
      </c>
      <c r="F135" t="s">
        <v>450</v>
      </c>
      <c r="G135" t="s">
        <v>195</v>
      </c>
      <c r="H135" s="129">
        <f>SUMPRODUCT(SUMIF(fr2223g1to6dst_cep!$E$2:$E$328,ActiveDistricts!$D135:$F135,fr2223g1to6dst_cep!$G$2:$G$328))</f>
        <v>359</v>
      </c>
      <c r="I135" s="129">
        <f>SUMPRODUCT(SUMIF(fr2223g1to6dst_cep!$E$2:$E$328,ActiveDistricts!$D135:$F135,fr2223g1to6dst_cep!$H$2:$H$328))</f>
        <v>63</v>
      </c>
      <c r="J135">
        <f t="shared" si="2"/>
        <v>0.17548746518105848</v>
      </c>
      <c r="M135">
        <v>557.1</v>
      </c>
    </row>
    <row r="136" spans="1:13" x14ac:dyDescent="0.2">
      <c r="A136">
        <v>2024</v>
      </c>
      <c r="B136" t="s">
        <v>693</v>
      </c>
      <c r="C136" t="s">
        <v>443</v>
      </c>
      <c r="D136" t="s">
        <v>687</v>
      </c>
      <c r="E136" t="s">
        <v>687</v>
      </c>
      <c r="F136" t="s">
        <v>443</v>
      </c>
      <c r="G136" t="s">
        <v>21</v>
      </c>
      <c r="H136" s="129">
        <f>SUMPRODUCT(SUMIF(fr2223g1to6dst_cep!$E$2:$E$328,ActiveDistricts!$D136:$F136,fr2223g1to6dst_cep!$G$2:$G$328))</f>
        <v>127</v>
      </c>
      <c r="I136" s="129">
        <f>SUMPRODUCT(SUMIF(fr2223g1to6dst_cep!$E$2:$E$328,ActiveDistricts!$D136:$F136,fr2223g1to6dst_cep!$H$2:$H$328))</f>
        <v>37</v>
      </c>
      <c r="J136">
        <f t="shared" si="2"/>
        <v>0.29133858267716534</v>
      </c>
      <c r="M136">
        <v>313.3</v>
      </c>
    </row>
    <row r="137" spans="1:13" x14ac:dyDescent="0.2">
      <c r="A137">
        <v>2024</v>
      </c>
      <c r="B137" t="s">
        <v>695</v>
      </c>
      <c r="C137" t="s">
        <v>451</v>
      </c>
      <c r="D137" t="s">
        <v>687</v>
      </c>
      <c r="E137" t="s">
        <v>687</v>
      </c>
      <c r="F137" t="s">
        <v>451</v>
      </c>
      <c r="G137" t="s">
        <v>194</v>
      </c>
      <c r="H137" s="129">
        <f>SUMPRODUCT(SUMIF(fr2223g1to6dst_cep!$E$2:$E$328,ActiveDistricts!$D137:$F137,fr2223g1to6dst_cep!$G$2:$G$328))</f>
        <v>349</v>
      </c>
      <c r="I137" s="129">
        <f>SUMPRODUCT(SUMIF(fr2223g1to6dst_cep!$E$2:$E$328,ActiveDistricts!$D137:$F137,fr2223g1to6dst_cep!$H$2:$H$328))</f>
        <v>188</v>
      </c>
      <c r="J137">
        <f t="shared" si="2"/>
        <v>0.5386819484240688</v>
      </c>
      <c r="M137">
        <v>1151.7</v>
      </c>
    </row>
    <row r="138" spans="1:13" x14ac:dyDescent="0.2">
      <c r="A138">
        <v>2024</v>
      </c>
      <c r="B138" t="s">
        <v>688</v>
      </c>
      <c r="C138" t="s">
        <v>452</v>
      </c>
      <c r="D138" t="s">
        <v>687</v>
      </c>
      <c r="E138" t="s">
        <v>687</v>
      </c>
      <c r="F138" t="s">
        <v>452</v>
      </c>
      <c r="G138" t="s">
        <v>193</v>
      </c>
      <c r="H138" s="129">
        <f>SUMPRODUCT(SUMIF(fr2223g1to6dst_cep!$E$2:$E$328,ActiveDistricts!$D138:$F138,fr2223g1to6dst_cep!$G$2:$G$328))</f>
        <v>192</v>
      </c>
      <c r="I138" s="129">
        <f>SUMPRODUCT(SUMIF(fr2223g1to6dst_cep!$E$2:$E$328,ActiveDistricts!$D138:$F138,fr2223g1to6dst_cep!$H$2:$H$328))</f>
        <v>69</v>
      </c>
      <c r="J138">
        <f t="shared" si="2"/>
        <v>0.359375</v>
      </c>
      <c r="M138">
        <v>411.8</v>
      </c>
    </row>
    <row r="139" spans="1:13" x14ac:dyDescent="0.2">
      <c r="A139">
        <v>2024</v>
      </c>
      <c r="B139" t="s">
        <v>688</v>
      </c>
      <c r="C139" t="s">
        <v>453</v>
      </c>
      <c r="D139" t="s">
        <v>687</v>
      </c>
      <c r="E139" t="s">
        <v>687</v>
      </c>
      <c r="F139" t="s">
        <v>453</v>
      </c>
      <c r="G139" t="s">
        <v>192</v>
      </c>
      <c r="H139" s="129">
        <f>SUMPRODUCT(SUMIF(fr2223g1to6dst_cep!$E$2:$E$328,ActiveDistricts!$D139:$F139,fr2223g1to6dst_cep!$G$2:$G$328))</f>
        <v>384</v>
      </c>
      <c r="I139" s="129">
        <f>SUMPRODUCT(SUMIF(fr2223g1to6dst_cep!$E$2:$E$328,ActiveDistricts!$D139:$F139,fr2223g1to6dst_cep!$H$2:$H$328))</f>
        <v>95</v>
      </c>
      <c r="J139">
        <f t="shared" si="2"/>
        <v>0.24739583333333334</v>
      </c>
      <c r="M139">
        <v>714.7</v>
      </c>
    </row>
    <row r="140" spans="1:13" x14ac:dyDescent="0.2">
      <c r="A140">
        <v>2024</v>
      </c>
      <c r="B140" t="s">
        <v>691</v>
      </c>
      <c r="C140" t="s">
        <v>454</v>
      </c>
      <c r="D140" t="s">
        <v>687</v>
      </c>
      <c r="E140" t="s">
        <v>687</v>
      </c>
      <c r="F140" t="s">
        <v>454</v>
      </c>
      <c r="G140" t="s">
        <v>191</v>
      </c>
      <c r="H140" s="129">
        <f>SUMPRODUCT(SUMIF(fr2223g1to6dst_cep!$E$2:$E$328,ActiveDistricts!$D140:$F140,fr2223g1to6dst_cep!$G$2:$G$328))</f>
        <v>604</v>
      </c>
      <c r="I140" s="129">
        <f>SUMPRODUCT(SUMIF(fr2223g1to6dst_cep!$E$2:$E$328,ActiveDistricts!$D140:$F140,fr2223g1to6dst_cep!$H$2:$H$328))</f>
        <v>259</v>
      </c>
      <c r="J140">
        <f t="shared" si="2"/>
        <v>0.42880794701986757</v>
      </c>
      <c r="M140">
        <v>1246.8</v>
      </c>
    </row>
    <row r="141" spans="1:13" x14ac:dyDescent="0.2">
      <c r="A141">
        <v>2024</v>
      </c>
      <c r="B141" t="s">
        <v>689</v>
      </c>
      <c r="C141" t="s">
        <v>461</v>
      </c>
      <c r="D141" t="s">
        <v>687</v>
      </c>
      <c r="E141" t="s">
        <v>687</v>
      </c>
      <c r="F141" t="s">
        <v>461</v>
      </c>
      <c r="G141" t="s">
        <v>184</v>
      </c>
      <c r="H141" s="129">
        <f>SUMPRODUCT(SUMIF(fr2223g1to6dst_cep!$E$2:$E$328,ActiveDistricts!$D141:$F141,fr2223g1to6dst_cep!$G$2:$G$328))</f>
        <v>297</v>
      </c>
      <c r="I141" s="129">
        <f>SUMPRODUCT(SUMIF(fr2223g1to6dst_cep!$E$2:$E$328,ActiveDistricts!$D141:$F141,fr2223g1to6dst_cep!$H$2:$H$328))</f>
        <v>110</v>
      </c>
      <c r="J141">
        <f t="shared" si="2"/>
        <v>0.37037037037037035</v>
      </c>
      <c r="M141">
        <v>666.1</v>
      </c>
    </row>
    <row r="142" spans="1:13" x14ac:dyDescent="0.2">
      <c r="A142">
        <v>2024</v>
      </c>
      <c r="B142" t="s">
        <v>688</v>
      </c>
      <c r="C142" t="s">
        <v>455</v>
      </c>
      <c r="D142" t="s">
        <v>687</v>
      </c>
      <c r="E142" t="s">
        <v>687</v>
      </c>
      <c r="F142" t="s">
        <v>455</v>
      </c>
      <c r="G142" t="s">
        <v>190</v>
      </c>
      <c r="H142" s="129">
        <f>SUMPRODUCT(SUMIF(fr2223g1to6dst_cep!$E$2:$E$328,ActiveDistricts!$D142:$F142,fr2223g1to6dst_cep!$G$2:$G$328))</f>
        <v>575</v>
      </c>
      <c r="I142" s="129">
        <f>SUMPRODUCT(SUMIF(fr2223g1to6dst_cep!$E$2:$E$328,ActiveDistricts!$D142:$F142,fr2223g1to6dst_cep!$H$2:$H$328))</f>
        <v>225</v>
      </c>
      <c r="J142">
        <f t="shared" si="2"/>
        <v>0.39130434782608697</v>
      </c>
      <c r="M142">
        <v>1383.7</v>
      </c>
    </row>
    <row r="143" spans="1:13" x14ac:dyDescent="0.2">
      <c r="A143">
        <v>2024</v>
      </c>
      <c r="B143" t="s">
        <v>686</v>
      </c>
      <c r="C143" t="s">
        <v>456</v>
      </c>
      <c r="D143" t="s">
        <v>687</v>
      </c>
      <c r="E143" t="s">
        <v>687</v>
      </c>
      <c r="F143" t="s">
        <v>456</v>
      </c>
      <c r="G143" t="s">
        <v>189</v>
      </c>
      <c r="H143" s="129">
        <f>SUMPRODUCT(SUMIF(fr2223g1to6dst_cep!$E$2:$E$328,ActiveDistricts!$D143:$F143,fr2223g1to6dst_cep!$G$2:$G$328))</f>
        <v>1565</v>
      </c>
      <c r="I143" s="129">
        <f>SUMPRODUCT(SUMIF(fr2223g1to6dst_cep!$E$2:$E$328,ActiveDistricts!$D143:$F143,fr2223g1to6dst_cep!$H$2:$H$328))</f>
        <v>496</v>
      </c>
      <c r="J143">
        <f t="shared" si="2"/>
        <v>0.31693290734824281</v>
      </c>
      <c r="M143">
        <v>3436.6</v>
      </c>
    </row>
    <row r="144" spans="1:13" x14ac:dyDescent="0.2">
      <c r="A144">
        <v>2024</v>
      </c>
      <c r="B144" t="s">
        <v>686</v>
      </c>
      <c r="C144" t="s">
        <v>457</v>
      </c>
      <c r="D144" t="s">
        <v>687</v>
      </c>
      <c r="E144" t="s">
        <v>687</v>
      </c>
      <c r="F144" t="s">
        <v>457</v>
      </c>
      <c r="G144" t="s">
        <v>188</v>
      </c>
      <c r="H144" s="129">
        <f>SUMPRODUCT(SUMIF(fr2223g1to6dst_cep!$E$2:$E$328,ActiveDistricts!$D144:$F144,fr2223g1to6dst_cep!$G$2:$G$328))</f>
        <v>334</v>
      </c>
      <c r="I144" s="129">
        <f>SUMPRODUCT(SUMIF(fr2223g1to6dst_cep!$E$2:$E$328,ActiveDistricts!$D144:$F144,fr2223g1to6dst_cep!$H$2:$H$328))</f>
        <v>89</v>
      </c>
      <c r="J144">
        <f t="shared" si="2"/>
        <v>0.26646706586826346</v>
      </c>
      <c r="M144">
        <v>838.8</v>
      </c>
    </row>
    <row r="145" spans="1:13" x14ac:dyDescent="0.2">
      <c r="A145">
        <v>2024</v>
      </c>
      <c r="B145" t="s">
        <v>693</v>
      </c>
      <c r="C145" t="s">
        <v>458</v>
      </c>
      <c r="D145" t="s">
        <v>687</v>
      </c>
      <c r="E145" t="s">
        <v>687</v>
      </c>
      <c r="F145" t="s">
        <v>458</v>
      </c>
      <c r="G145" t="s">
        <v>187</v>
      </c>
      <c r="H145" s="129">
        <f>SUMPRODUCT(SUMIF(fr2223g1to6dst_cep!$E$2:$E$328,ActiveDistricts!$D145:$F145,fr2223g1to6dst_cep!$G$2:$G$328))</f>
        <v>6502</v>
      </c>
      <c r="I145" s="129">
        <f>SUMPRODUCT(SUMIF(fr2223g1to6dst_cep!$E$2:$E$328,ActiveDistricts!$D145:$F145,fr2223g1to6dst_cep!$H$2:$H$328))</f>
        <v>2818</v>
      </c>
      <c r="J145">
        <f t="shared" si="2"/>
        <v>0.43340510612119348</v>
      </c>
      <c r="M145">
        <v>14439.8</v>
      </c>
    </row>
    <row r="146" spans="1:13" x14ac:dyDescent="0.2">
      <c r="A146">
        <v>2024</v>
      </c>
      <c r="B146" t="s">
        <v>688</v>
      </c>
      <c r="C146" t="s">
        <v>459</v>
      </c>
      <c r="D146" t="s">
        <v>687</v>
      </c>
      <c r="E146" t="s">
        <v>687</v>
      </c>
      <c r="F146" t="s">
        <v>459</v>
      </c>
      <c r="G146" t="s">
        <v>186</v>
      </c>
      <c r="H146" s="129">
        <f>SUMPRODUCT(SUMIF(fr2223g1to6dst_cep!$E$2:$E$328,ActiveDistricts!$D146:$F146,fr2223g1to6dst_cep!$G$2:$G$328))</f>
        <v>432</v>
      </c>
      <c r="I146" s="129">
        <f>SUMPRODUCT(SUMIF(fr2223g1to6dst_cep!$E$2:$E$328,ActiveDistricts!$D146:$F146,fr2223g1to6dst_cep!$H$2:$H$328))</f>
        <v>187</v>
      </c>
      <c r="J146">
        <f t="shared" si="2"/>
        <v>0.43287037037037035</v>
      </c>
      <c r="M146">
        <v>1002.3</v>
      </c>
    </row>
    <row r="147" spans="1:13" x14ac:dyDescent="0.2">
      <c r="A147">
        <v>2024</v>
      </c>
      <c r="B147" t="s">
        <v>693</v>
      </c>
      <c r="C147" t="s">
        <v>460</v>
      </c>
      <c r="D147" t="s">
        <v>687</v>
      </c>
      <c r="E147" t="s">
        <v>687</v>
      </c>
      <c r="F147" t="s">
        <v>460</v>
      </c>
      <c r="G147" t="s">
        <v>185</v>
      </c>
      <c r="H147" s="129">
        <f>SUMPRODUCT(SUMIF(fr2223g1to6dst_cep!$E$2:$E$328,ActiveDistricts!$D147:$F147,fr2223g1to6dst_cep!$G$2:$G$328))</f>
        <v>217</v>
      </c>
      <c r="I147" s="129">
        <f>SUMPRODUCT(SUMIF(fr2223g1to6dst_cep!$E$2:$E$328,ActiveDistricts!$D147:$F147,fr2223g1to6dst_cep!$H$2:$H$328))</f>
        <v>91</v>
      </c>
      <c r="J147">
        <f t="shared" si="2"/>
        <v>0.41935483870967744</v>
      </c>
      <c r="M147">
        <v>500</v>
      </c>
    </row>
    <row r="148" spans="1:13" x14ac:dyDescent="0.2">
      <c r="A148">
        <v>2024</v>
      </c>
      <c r="B148" t="s">
        <v>688</v>
      </c>
      <c r="C148" t="s">
        <v>462</v>
      </c>
      <c r="D148" t="s">
        <v>687</v>
      </c>
      <c r="E148" t="s">
        <v>687</v>
      </c>
      <c r="F148" t="s">
        <v>462</v>
      </c>
      <c r="G148" t="s">
        <v>665</v>
      </c>
      <c r="H148" s="129">
        <f>SUMPRODUCT(SUMIF(fr2223g1to6dst_cep!$E$2:$E$328,ActiveDistricts!$D148:$F148,fr2223g1to6dst_cep!$G$2:$G$328))</f>
        <v>216</v>
      </c>
      <c r="I148" s="129">
        <f>SUMPRODUCT(SUMIF(fr2223g1to6dst_cep!$E$2:$E$328,ActiveDistricts!$D148:$F148,fr2223g1to6dst_cep!$H$2:$H$328))</f>
        <v>44</v>
      </c>
      <c r="J148">
        <f t="shared" si="2"/>
        <v>0.20370370370370369</v>
      </c>
      <c r="M148">
        <v>440.9</v>
      </c>
    </row>
    <row r="149" spans="1:13" x14ac:dyDescent="0.2">
      <c r="A149">
        <v>2024</v>
      </c>
      <c r="B149" t="s">
        <v>688</v>
      </c>
      <c r="C149" t="s">
        <v>464</v>
      </c>
      <c r="D149" t="s">
        <v>687</v>
      </c>
      <c r="E149" t="s">
        <v>687</v>
      </c>
      <c r="F149" t="s">
        <v>464</v>
      </c>
      <c r="G149" t="s">
        <v>182</v>
      </c>
      <c r="H149" s="129">
        <f>SUMPRODUCT(SUMIF(fr2223g1to6dst_cep!$E$2:$E$328,ActiveDistricts!$D149:$F149,fr2223g1to6dst_cep!$G$2:$G$328))</f>
        <v>447</v>
      </c>
      <c r="I149" s="129">
        <f>SUMPRODUCT(SUMIF(fr2223g1to6dst_cep!$E$2:$E$328,ActiveDistricts!$D149:$F149,fr2223g1to6dst_cep!$H$2:$H$328))</f>
        <v>94</v>
      </c>
      <c r="J149">
        <f t="shared" si="2"/>
        <v>0.21029082774049218</v>
      </c>
      <c r="M149">
        <v>894.1</v>
      </c>
    </row>
    <row r="150" spans="1:13" x14ac:dyDescent="0.2">
      <c r="A150">
        <v>2024</v>
      </c>
      <c r="B150" t="s">
        <v>686</v>
      </c>
      <c r="C150" t="s">
        <v>465</v>
      </c>
      <c r="D150" t="s">
        <v>687</v>
      </c>
      <c r="E150" t="s">
        <v>687</v>
      </c>
      <c r="F150" t="s">
        <v>465</v>
      </c>
      <c r="G150" t="s">
        <v>181</v>
      </c>
      <c r="H150" s="129">
        <f>SUMPRODUCT(SUMIF(fr2223g1to6dst_cep!$E$2:$E$328,ActiveDistricts!$D150:$F150,fr2223g1to6dst_cep!$G$2:$G$328))</f>
        <v>3131</v>
      </c>
      <c r="I150" s="129">
        <f>SUMPRODUCT(SUMIF(fr2223g1to6dst_cep!$E$2:$E$328,ActiveDistricts!$D150:$F150,fr2223g1to6dst_cep!$H$2:$H$328))</f>
        <v>912</v>
      </c>
      <c r="J150">
        <f t="shared" si="2"/>
        <v>0.29128074097732354</v>
      </c>
      <c r="M150">
        <v>6984.8</v>
      </c>
    </row>
    <row r="151" spans="1:13" x14ac:dyDescent="0.2">
      <c r="A151">
        <v>2024</v>
      </c>
      <c r="B151" t="s">
        <v>692</v>
      </c>
      <c r="C151" t="s">
        <v>466</v>
      </c>
      <c r="D151" t="s">
        <v>687</v>
      </c>
      <c r="E151" t="s">
        <v>687</v>
      </c>
      <c r="F151" t="s">
        <v>466</v>
      </c>
      <c r="G151" t="s">
        <v>180</v>
      </c>
      <c r="H151" s="129">
        <f>SUMPRODUCT(SUMIF(fr2223g1to6dst_cep!$E$2:$E$328,ActiveDistricts!$D151:$F151,fr2223g1to6dst_cep!$G$2:$G$328))</f>
        <v>711</v>
      </c>
      <c r="I151" s="129">
        <f>SUMPRODUCT(SUMIF(fr2223g1to6dst_cep!$E$2:$E$328,ActiveDistricts!$D151:$F151,fr2223g1to6dst_cep!$H$2:$H$328))</f>
        <v>463</v>
      </c>
      <c r="J151">
        <f t="shared" si="2"/>
        <v>0.65119549929676512</v>
      </c>
      <c r="M151">
        <v>1850</v>
      </c>
    </row>
    <row r="152" spans="1:13" x14ac:dyDescent="0.2">
      <c r="A152">
        <v>2024</v>
      </c>
      <c r="B152" t="s">
        <v>692</v>
      </c>
      <c r="C152" t="s">
        <v>467</v>
      </c>
      <c r="D152" t="s">
        <v>687</v>
      </c>
      <c r="E152" t="s">
        <v>687</v>
      </c>
      <c r="F152" t="s">
        <v>467</v>
      </c>
      <c r="G152" t="s">
        <v>179</v>
      </c>
      <c r="H152" s="129">
        <f>SUMPRODUCT(SUMIF(fr2223g1to6dst_cep!$E$2:$E$328,ActiveDistricts!$D152:$F152,fr2223g1to6dst_cep!$G$2:$G$328))</f>
        <v>136</v>
      </c>
      <c r="I152" s="129">
        <f>SUMPRODUCT(SUMIF(fr2223g1to6dst_cep!$E$2:$E$328,ActiveDistricts!$D152:$F152,fr2223g1to6dst_cep!$H$2:$H$328))</f>
        <v>55</v>
      </c>
      <c r="J152">
        <f t="shared" si="2"/>
        <v>0.40441176470588236</v>
      </c>
      <c r="M152">
        <v>360.7</v>
      </c>
    </row>
    <row r="153" spans="1:13" x14ac:dyDescent="0.2">
      <c r="A153">
        <v>2024</v>
      </c>
      <c r="B153" t="s">
        <v>690</v>
      </c>
      <c r="C153" t="s">
        <v>468</v>
      </c>
      <c r="D153" t="s">
        <v>687</v>
      </c>
      <c r="E153" t="s">
        <v>687</v>
      </c>
      <c r="F153" t="s">
        <v>468</v>
      </c>
      <c r="G153" t="s">
        <v>178</v>
      </c>
      <c r="H153" s="129">
        <f>SUMPRODUCT(SUMIF(fr2223g1to6dst_cep!$E$2:$E$328,ActiveDistricts!$D153:$F153,fr2223g1to6dst_cep!$G$2:$G$328))</f>
        <v>201</v>
      </c>
      <c r="I153" s="129">
        <f>SUMPRODUCT(SUMIF(fr2223g1to6dst_cep!$E$2:$E$328,ActiveDistricts!$D153:$F153,fr2223g1to6dst_cep!$H$2:$H$328))</f>
        <v>78</v>
      </c>
      <c r="J153">
        <f t="shared" si="2"/>
        <v>0.38805970149253732</v>
      </c>
      <c r="M153">
        <v>471.1</v>
      </c>
    </row>
    <row r="154" spans="1:13" x14ac:dyDescent="0.2">
      <c r="A154">
        <v>2024</v>
      </c>
      <c r="B154" t="s">
        <v>686</v>
      </c>
      <c r="C154" t="s">
        <v>469</v>
      </c>
      <c r="D154" t="s">
        <v>687</v>
      </c>
      <c r="E154" t="s">
        <v>687</v>
      </c>
      <c r="F154" t="s">
        <v>469</v>
      </c>
      <c r="G154" t="s">
        <v>177</v>
      </c>
      <c r="H154" s="129">
        <f>SUMPRODUCT(SUMIF(fr2223g1to6dst_cep!$E$2:$E$328,ActiveDistricts!$D154:$F154,fr2223g1to6dst_cep!$G$2:$G$328))</f>
        <v>674</v>
      </c>
      <c r="I154" s="129">
        <f>SUMPRODUCT(SUMIF(fr2223g1to6dst_cep!$E$2:$E$328,ActiveDistricts!$D154:$F154,fr2223g1to6dst_cep!$H$2:$H$328))</f>
        <v>373</v>
      </c>
      <c r="J154">
        <f t="shared" si="2"/>
        <v>0.55341246290801183</v>
      </c>
      <c r="M154">
        <v>1761.2</v>
      </c>
    </row>
    <row r="155" spans="1:13" x14ac:dyDescent="0.2">
      <c r="A155">
        <v>2024</v>
      </c>
      <c r="B155" t="s">
        <v>688</v>
      </c>
      <c r="C155" t="s">
        <v>470</v>
      </c>
      <c r="D155" t="s">
        <v>687</v>
      </c>
      <c r="E155" t="s">
        <v>687</v>
      </c>
      <c r="F155" t="s">
        <v>470</v>
      </c>
      <c r="G155" t="s">
        <v>176</v>
      </c>
      <c r="H155" s="129">
        <f>SUMPRODUCT(SUMIF(fr2223g1to6dst_cep!$E$2:$E$328,ActiveDistricts!$D155:$F155,fr2223g1to6dst_cep!$G$2:$G$328))</f>
        <v>277</v>
      </c>
      <c r="I155" s="129">
        <f>SUMPRODUCT(SUMIF(fr2223g1to6dst_cep!$E$2:$E$328,ActiveDistricts!$D155:$F155,fr2223g1to6dst_cep!$H$2:$H$328))</f>
        <v>87</v>
      </c>
      <c r="J155">
        <f t="shared" si="2"/>
        <v>0.3140794223826715</v>
      </c>
      <c r="M155">
        <v>565.1</v>
      </c>
    </row>
    <row r="156" spans="1:13" x14ac:dyDescent="0.2">
      <c r="A156">
        <v>2024</v>
      </c>
      <c r="B156" t="s">
        <v>689</v>
      </c>
      <c r="C156" t="s">
        <v>471</v>
      </c>
      <c r="D156" t="s">
        <v>687</v>
      </c>
      <c r="E156" t="s">
        <v>687</v>
      </c>
      <c r="F156" t="s">
        <v>471</v>
      </c>
      <c r="G156" t="s">
        <v>175</v>
      </c>
      <c r="H156" s="129">
        <f>SUMPRODUCT(SUMIF(fr2223g1to6dst_cep!$E$2:$E$328,ActiveDistricts!$D156:$F156,fr2223g1to6dst_cep!$G$2:$G$328))</f>
        <v>156</v>
      </c>
      <c r="I156" s="129">
        <f>SUMPRODUCT(SUMIF(fr2223g1to6dst_cep!$E$2:$E$328,ActiveDistricts!$D156:$F156,fr2223g1to6dst_cep!$H$2:$H$328))</f>
        <v>100</v>
      </c>
      <c r="J156">
        <f t="shared" si="2"/>
        <v>0.64102564102564108</v>
      </c>
      <c r="M156">
        <v>336.8</v>
      </c>
    </row>
    <row r="157" spans="1:13" x14ac:dyDescent="0.2">
      <c r="A157">
        <v>2024</v>
      </c>
      <c r="B157" t="s">
        <v>691</v>
      </c>
      <c r="C157" t="s">
        <v>472</v>
      </c>
      <c r="D157" t="s">
        <v>687</v>
      </c>
      <c r="E157" t="s">
        <v>687</v>
      </c>
      <c r="F157" t="s">
        <v>472</v>
      </c>
      <c r="G157" t="s">
        <v>174</v>
      </c>
      <c r="H157" s="129">
        <f>SUMPRODUCT(SUMIF(fr2223g1to6dst_cep!$E$2:$E$328,ActiveDistricts!$D157:$F157,fr2223g1to6dst_cep!$G$2:$G$328))</f>
        <v>95</v>
      </c>
      <c r="I157" s="129">
        <f>SUMPRODUCT(SUMIF(fr2223g1to6dst_cep!$E$2:$E$328,ActiveDistricts!$D157:$F157,fr2223g1to6dst_cep!$H$2:$H$328))</f>
        <v>62</v>
      </c>
      <c r="J157">
        <f t="shared" si="2"/>
        <v>0.65263157894736845</v>
      </c>
      <c r="M157">
        <v>299.3</v>
      </c>
    </row>
    <row r="158" spans="1:13" x14ac:dyDescent="0.2">
      <c r="A158">
        <v>2024</v>
      </c>
      <c r="B158" t="s">
        <v>690</v>
      </c>
      <c r="C158" t="s">
        <v>473</v>
      </c>
      <c r="D158" t="s">
        <v>687</v>
      </c>
      <c r="E158" t="s">
        <v>687</v>
      </c>
      <c r="F158" t="s">
        <v>473</v>
      </c>
      <c r="G158" t="s">
        <v>173</v>
      </c>
      <c r="H158" s="129">
        <f>SUMPRODUCT(SUMIF(fr2223g1to6dst_cep!$E$2:$E$328,ActiveDistricts!$D158:$F158,fr2223g1to6dst_cep!$G$2:$G$328))</f>
        <v>300</v>
      </c>
      <c r="I158" s="129">
        <f>SUMPRODUCT(SUMIF(fr2223g1to6dst_cep!$E$2:$E$328,ActiveDistricts!$D158:$F158,fr2223g1to6dst_cep!$H$2:$H$328))</f>
        <v>68</v>
      </c>
      <c r="J158">
        <f t="shared" si="2"/>
        <v>0.22666666666666666</v>
      </c>
      <c r="M158">
        <v>611.5</v>
      </c>
    </row>
    <row r="159" spans="1:13" x14ac:dyDescent="0.2">
      <c r="A159">
        <v>2024</v>
      </c>
      <c r="B159" t="s">
        <v>690</v>
      </c>
      <c r="C159" t="s">
        <v>475</v>
      </c>
      <c r="D159" t="s">
        <v>687</v>
      </c>
      <c r="E159" t="s">
        <v>687</v>
      </c>
      <c r="F159" t="s">
        <v>475</v>
      </c>
      <c r="G159" t="s">
        <v>172</v>
      </c>
      <c r="H159" s="129">
        <f>SUMPRODUCT(SUMIF(fr2223g1to6dst_cep!$E$2:$E$328,ActiveDistricts!$D159:$F159,fr2223g1to6dst_cep!$G$2:$G$328))</f>
        <v>983</v>
      </c>
      <c r="I159" s="129">
        <f>SUMPRODUCT(SUMIF(fr2223g1to6dst_cep!$E$2:$E$328,ActiveDistricts!$D159:$F159,fr2223g1to6dst_cep!$H$2:$H$328))</f>
        <v>420</v>
      </c>
      <c r="J159">
        <f t="shared" si="2"/>
        <v>0.42726347914547302</v>
      </c>
      <c r="M159">
        <v>2235.3000000000002</v>
      </c>
    </row>
    <row r="160" spans="1:13" x14ac:dyDescent="0.2">
      <c r="A160">
        <v>2024</v>
      </c>
      <c r="B160" t="s">
        <v>689</v>
      </c>
      <c r="C160" t="s">
        <v>476</v>
      </c>
      <c r="D160" t="s">
        <v>687</v>
      </c>
      <c r="E160" t="s">
        <v>687</v>
      </c>
      <c r="F160" t="s">
        <v>476</v>
      </c>
      <c r="G160" t="s">
        <v>171</v>
      </c>
      <c r="H160" s="129">
        <f>SUMPRODUCT(SUMIF(fr2223g1to6dst_cep!$E$2:$E$328,ActiveDistricts!$D160:$F160,fr2223g1to6dst_cep!$G$2:$G$328))</f>
        <v>208</v>
      </c>
      <c r="I160" s="129">
        <f>SUMPRODUCT(SUMIF(fr2223g1to6dst_cep!$E$2:$E$328,ActiveDistricts!$D160:$F160,fr2223g1to6dst_cep!$H$2:$H$328))</f>
        <v>121</v>
      </c>
      <c r="J160">
        <f t="shared" si="2"/>
        <v>0.58173076923076927</v>
      </c>
      <c r="M160">
        <v>450.4</v>
      </c>
    </row>
    <row r="161" spans="1:13" x14ac:dyDescent="0.2">
      <c r="A161">
        <v>2024</v>
      </c>
      <c r="B161" t="s">
        <v>689</v>
      </c>
      <c r="C161" t="s">
        <v>477</v>
      </c>
      <c r="D161" t="s">
        <v>687</v>
      </c>
      <c r="E161" t="s">
        <v>687</v>
      </c>
      <c r="F161" t="s">
        <v>477</v>
      </c>
      <c r="G161" t="s">
        <v>170</v>
      </c>
      <c r="H161" s="129">
        <f>SUMPRODUCT(SUMIF(fr2223g1to6dst_cep!$E$2:$E$328,ActiveDistricts!$D161:$F161,fr2223g1to6dst_cep!$G$2:$G$328))</f>
        <v>1310</v>
      </c>
      <c r="I161" s="129">
        <f>SUMPRODUCT(SUMIF(fr2223g1to6dst_cep!$E$2:$E$328,ActiveDistricts!$D161:$F161,fr2223g1to6dst_cep!$H$2:$H$328))</f>
        <v>528</v>
      </c>
      <c r="J161">
        <f t="shared" si="2"/>
        <v>0.40305343511450381</v>
      </c>
      <c r="M161">
        <v>2655.6</v>
      </c>
    </row>
    <row r="162" spans="1:13" x14ac:dyDescent="0.2">
      <c r="A162">
        <v>2024</v>
      </c>
      <c r="B162" t="s">
        <v>693</v>
      </c>
      <c r="C162" t="s">
        <v>479</v>
      </c>
      <c r="D162" t="s">
        <v>687</v>
      </c>
      <c r="E162" t="s">
        <v>687</v>
      </c>
      <c r="F162" t="s">
        <v>479</v>
      </c>
      <c r="G162" t="s">
        <v>168</v>
      </c>
      <c r="H162" s="129">
        <f>SUMPRODUCT(SUMIF(fr2223g1to6dst_cep!$E$2:$E$328,ActiveDistricts!$D162:$F162,fr2223g1to6dst_cep!$G$2:$G$328))</f>
        <v>3401</v>
      </c>
      <c r="I162" s="129">
        <f>SUMPRODUCT(SUMIF(fr2223g1to6dst_cep!$E$2:$E$328,ActiveDistricts!$D162:$F162,fr2223g1to6dst_cep!$H$2:$H$328))</f>
        <v>837</v>
      </c>
      <c r="J162">
        <f t="shared" si="2"/>
        <v>0.24610408703322553</v>
      </c>
      <c r="M162">
        <v>7685.5</v>
      </c>
    </row>
    <row r="163" spans="1:13" x14ac:dyDescent="0.2">
      <c r="A163">
        <v>2024</v>
      </c>
      <c r="B163" t="s">
        <v>693</v>
      </c>
      <c r="C163" t="s">
        <v>480</v>
      </c>
      <c r="D163" t="s">
        <v>687</v>
      </c>
      <c r="E163" t="s">
        <v>687</v>
      </c>
      <c r="F163" t="s">
        <v>480</v>
      </c>
      <c r="G163" t="s">
        <v>167</v>
      </c>
      <c r="H163" s="129">
        <f>SUMPRODUCT(SUMIF(fr2223g1to6dst_cep!$E$2:$E$328,ActiveDistricts!$D163:$F163,fr2223g1to6dst_cep!$G$2:$G$328))</f>
        <v>294</v>
      </c>
      <c r="I163" s="129">
        <f>SUMPRODUCT(SUMIF(fr2223g1to6dst_cep!$E$2:$E$328,ActiveDistricts!$D163:$F163,fr2223g1to6dst_cep!$H$2:$H$328))</f>
        <v>71</v>
      </c>
      <c r="J163">
        <f t="shared" si="2"/>
        <v>0.24149659863945577</v>
      </c>
      <c r="M163">
        <v>671.1</v>
      </c>
    </row>
    <row r="164" spans="1:13" x14ac:dyDescent="0.2">
      <c r="A164">
        <v>2024</v>
      </c>
      <c r="B164" t="s">
        <v>689</v>
      </c>
      <c r="C164" t="s">
        <v>481</v>
      </c>
      <c r="D164" t="s">
        <v>687</v>
      </c>
      <c r="E164" t="s">
        <v>687</v>
      </c>
      <c r="F164" t="s">
        <v>481</v>
      </c>
      <c r="G164" t="s">
        <v>166</v>
      </c>
      <c r="H164" s="129">
        <f>SUMPRODUCT(SUMIF(fr2223g1to6dst_cep!$E$2:$E$328,ActiveDistricts!$D164:$F164,fr2223g1to6dst_cep!$G$2:$G$328))</f>
        <v>296</v>
      </c>
      <c r="I164" s="129">
        <f>SUMPRODUCT(SUMIF(fr2223g1to6dst_cep!$E$2:$E$328,ActiveDistricts!$D164:$F164,fr2223g1to6dst_cep!$H$2:$H$328))</f>
        <v>105</v>
      </c>
      <c r="J164">
        <f t="shared" si="2"/>
        <v>0.35472972972972971</v>
      </c>
      <c r="M164">
        <v>602.9</v>
      </c>
    </row>
    <row r="165" spans="1:13" x14ac:dyDescent="0.2">
      <c r="A165">
        <v>2024</v>
      </c>
      <c r="B165" t="s">
        <v>693</v>
      </c>
      <c r="C165" t="s">
        <v>482</v>
      </c>
      <c r="D165" t="s">
        <v>687</v>
      </c>
      <c r="E165" t="s">
        <v>687</v>
      </c>
      <c r="F165" t="s">
        <v>482</v>
      </c>
      <c r="G165" t="s">
        <v>165</v>
      </c>
      <c r="H165" s="129">
        <f>SUMPRODUCT(SUMIF(fr2223g1to6dst_cep!$E$2:$E$328,ActiveDistricts!$D165:$F165,fr2223g1to6dst_cep!$G$2:$G$328))</f>
        <v>178</v>
      </c>
      <c r="I165" s="129">
        <f>SUMPRODUCT(SUMIF(fr2223g1to6dst_cep!$E$2:$E$328,ActiveDistricts!$D165:$F165,fr2223g1to6dst_cep!$H$2:$H$328))</f>
        <v>54</v>
      </c>
      <c r="J165">
        <f t="shared" si="2"/>
        <v>0.30337078651685395</v>
      </c>
      <c r="M165">
        <v>316.8</v>
      </c>
    </row>
    <row r="166" spans="1:13" x14ac:dyDescent="0.2">
      <c r="A166">
        <v>2024</v>
      </c>
      <c r="B166" t="s">
        <v>696</v>
      </c>
      <c r="C166" t="s">
        <v>483</v>
      </c>
      <c r="D166" t="s">
        <v>687</v>
      </c>
      <c r="E166" t="s">
        <v>687</v>
      </c>
      <c r="F166" t="s">
        <v>483</v>
      </c>
      <c r="G166" t="s">
        <v>164</v>
      </c>
      <c r="H166" s="129">
        <f>SUMPRODUCT(SUMIF(fr2223g1to6dst_cep!$E$2:$E$328,ActiveDistricts!$D166:$F166,fr2223g1to6dst_cep!$G$2:$G$328))</f>
        <v>355</v>
      </c>
      <c r="I166" s="129">
        <f>SUMPRODUCT(SUMIF(fr2223g1to6dst_cep!$E$2:$E$328,ActiveDistricts!$D166:$F166,fr2223g1to6dst_cep!$H$2:$H$328))</f>
        <v>124</v>
      </c>
      <c r="J166">
        <f t="shared" si="2"/>
        <v>0.3492957746478873</v>
      </c>
      <c r="M166">
        <v>687.2</v>
      </c>
    </row>
    <row r="167" spans="1:13" x14ac:dyDescent="0.2">
      <c r="A167">
        <v>2024</v>
      </c>
      <c r="B167" t="s">
        <v>686</v>
      </c>
      <c r="C167" t="s">
        <v>485</v>
      </c>
      <c r="D167" t="s">
        <v>687</v>
      </c>
      <c r="E167" t="s">
        <v>687</v>
      </c>
      <c r="F167" t="s">
        <v>485</v>
      </c>
      <c r="G167" t="s">
        <v>163</v>
      </c>
      <c r="H167" s="129">
        <f>SUMPRODUCT(SUMIF(fr2223g1to6dst_cep!$E$2:$E$328,ActiveDistricts!$D167:$F167,fr2223g1to6dst_cep!$G$2:$G$328))</f>
        <v>236</v>
      </c>
      <c r="I167" s="129">
        <f>SUMPRODUCT(SUMIF(fr2223g1to6dst_cep!$E$2:$E$328,ActiveDistricts!$D167:$F167,fr2223g1to6dst_cep!$H$2:$H$328))</f>
        <v>56</v>
      </c>
      <c r="J167">
        <f t="shared" si="2"/>
        <v>0.23728813559322035</v>
      </c>
      <c r="M167">
        <v>139.1</v>
      </c>
    </row>
    <row r="168" spans="1:13" x14ac:dyDescent="0.2">
      <c r="A168">
        <v>2024</v>
      </c>
      <c r="B168" t="s">
        <v>686</v>
      </c>
      <c r="C168" t="s">
        <v>486</v>
      </c>
      <c r="D168" t="s">
        <v>687</v>
      </c>
      <c r="E168" t="s">
        <v>687</v>
      </c>
      <c r="F168" t="s">
        <v>486</v>
      </c>
      <c r="G168" t="s">
        <v>162</v>
      </c>
      <c r="H168" s="129">
        <f>SUMPRODUCT(SUMIF(fr2223g1to6dst_cep!$E$2:$E$328,ActiveDistricts!$D168:$F168,fr2223g1to6dst_cep!$G$2:$G$328))</f>
        <v>295</v>
      </c>
      <c r="I168" s="129">
        <f>SUMPRODUCT(SUMIF(fr2223g1to6dst_cep!$E$2:$E$328,ActiveDistricts!$D168:$F168,fr2223g1to6dst_cep!$H$2:$H$328))</f>
        <v>79</v>
      </c>
      <c r="J168">
        <f t="shared" si="2"/>
        <v>0.26779661016949152</v>
      </c>
      <c r="M168">
        <v>450</v>
      </c>
    </row>
    <row r="169" spans="1:13" x14ac:dyDescent="0.2">
      <c r="A169">
        <v>2024</v>
      </c>
      <c r="B169" t="s">
        <v>691</v>
      </c>
      <c r="C169" t="s">
        <v>488</v>
      </c>
      <c r="D169" t="s">
        <v>687</v>
      </c>
      <c r="E169" t="s">
        <v>687</v>
      </c>
      <c r="F169" t="s">
        <v>488</v>
      </c>
      <c r="G169" t="s">
        <v>667</v>
      </c>
      <c r="H169" s="129">
        <f>SUMPRODUCT(SUMIF(fr2223g1to6dst_cep!$E$2:$E$328,ActiveDistricts!$D169:$F169,fr2223g1to6dst_cep!$G$2:$G$328))</f>
        <v>299</v>
      </c>
      <c r="I169" s="129">
        <f>SUMPRODUCT(SUMIF(fr2223g1to6dst_cep!$E$2:$E$328,ActiveDistricts!$D169:$F169,fr2223g1to6dst_cep!$H$2:$H$328))</f>
        <v>80</v>
      </c>
      <c r="J169">
        <f t="shared" si="2"/>
        <v>0.26755852842809363</v>
      </c>
      <c r="M169">
        <v>670</v>
      </c>
    </row>
    <row r="170" spans="1:13" x14ac:dyDescent="0.2">
      <c r="A170">
        <v>2024</v>
      </c>
      <c r="B170" t="s">
        <v>690</v>
      </c>
      <c r="C170" t="s">
        <v>489</v>
      </c>
      <c r="D170" t="s">
        <v>687</v>
      </c>
      <c r="E170" t="s">
        <v>687</v>
      </c>
      <c r="F170" t="s">
        <v>489</v>
      </c>
      <c r="G170" t="s">
        <v>160</v>
      </c>
      <c r="H170" s="129">
        <f>SUMPRODUCT(SUMIF(fr2223g1to6dst_cep!$E$2:$E$328,ActiveDistricts!$D170:$F170,fr2223g1to6dst_cep!$G$2:$G$328))</f>
        <v>209</v>
      </c>
      <c r="I170" s="129">
        <f>SUMPRODUCT(SUMIF(fr2223g1to6dst_cep!$E$2:$E$328,ActiveDistricts!$D170:$F170,fr2223g1to6dst_cep!$H$2:$H$328))</f>
        <v>120</v>
      </c>
      <c r="J170">
        <f t="shared" si="2"/>
        <v>0.57416267942583732</v>
      </c>
      <c r="M170">
        <v>655.6</v>
      </c>
    </row>
    <row r="171" spans="1:13" x14ac:dyDescent="0.2">
      <c r="A171">
        <v>2024</v>
      </c>
      <c r="B171" t="s">
        <v>696</v>
      </c>
      <c r="C171" t="s">
        <v>490</v>
      </c>
      <c r="D171" t="s">
        <v>687</v>
      </c>
      <c r="E171" t="s">
        <v>687</v>
      </c>
      <c r="F171" t="s">
        <v>490</v>
      </c>
      <c r="G171" t="s">
        <v>159</v>
      </c>
      <c r="H171" s="129">
        <f>SUMPRODUCT(SUMIF(fr2223g1to6dst_cep!$E$2:$E$328,ActiveDistricts!$D171:$F171,fr2223g1to6dst_cep!$G$2:$G$328))</f>
        <v>432</v>
      </c>
      <c r="I171" s="129">
        <f>SUMPRODUCT(SUMIF(fr2223g1to6dst_cep!$E$2:$E$328,ActiveDistricts!$D171:$F171,fr2223g1to6dst_cep!$H$2:$H$328))</f>
        <v>257</v>
      </c>
      <c r="J171">
        <f t="shared" si="2"/>
        <v>0.59490740740740744</v>
      </c>
      <c r="M171">
        <v>593.79999999999995</v>
      </c>
    </row>
    <row r="172" spans="1:13" x14ac:dyDescent="0.2">
      <c r="A172">
        <v>2024</v>
      </c>
      <c r="B172" t="s">
        <v>695</v>
      </c>
      <c r="C172" t="s">
        <v>491</v>
      </c>
      <c r="D172" t="s">
        <v>687</v>
      </c>
      <c r="E172" t="s">
        <v>687</v>
      </c>
      <c r="F172" t="s">
        <v>491</v>
      </c>
      <c r="G172" t="s">
        <v>158</v>
      </c>
      <c r="H172" s="129">
        <f>SUMPRODUCT(SUMIF(fr2223g1to6dst_cep!$E$2:$E$328,ActiveDistricts!$D172:$F172,fr2223g1to6dst_cep!$G$2:$G$328))</f>
        <v>301</v>
      </c>
      <c r="I172" s="129">
        <f>SUMPRODUCT(SUMIF(fr2223g1to6dst_cep!$E$2:$E$328,ActiveDistricts!$D172:$F172,fr2223g1to6dst_cep!$H$2:$H$328))</f>
        <v>81</v>
      </c>
      <c r="J172">
        <f t="shared" si="2"/>
        <v>0.26910299003322258</v>
      </c>
      <c r="M172">
        <v>1200</v>
      </c>
    </row>
    <row r="173" spans="1:13" x14ac:dyDescent="0.2">
      <c r="A173">
        <v>2024</v>
      </c>
      <c r="B173" t="s">
        <v>690</v>
      </c>
      <c r="C173" t="s">
        <v>492</v>
      </c>
      <c r="D173" t="s">
        <v>687</v>
      </c>
      <c r="E173" t="s">
        <v>687</v>
      </c>
      <c r="F173" t="s">
        <v>492</v>
      </c>
      <c r="G173" t="s">
        <v>668</v>
      </c>
      <c r="H173" s="129">
        <f>SUMPRODUCT(SUMIF(fr2223g1to6dst_cep!$E$2:$E$328,ActiveDistricts!$D173:$F173,fr2223g1to6dst_cep!$G$2:$G$328))</f>
        <v>116</v>
      </c>
      <c r="I173" s="129">
        <f>SUMPRODUCT(SUMIF(fr2223g1to6dst_cep!$E$2:$E$328,ActiveDistricts!$D173:$F173,fr2223g1to6dst_cep!$H$2:$H$328))</f>
        <v>32</v>
      </c>
      <c r="J173">
        <f t="shared" si="2"/>
        <v>0.27586206896551724</v>
      </c>
      <c r="M173">
        <v>663.1</v>
      </c>
    </row>
    <row r="174" spans="1:13" x14ac:dyDescent="0.2">
      <c r="A174">
        <v>2024</v>
      </c>
      <c r="B174" t="s">
        <v>693</v>
      </c>
      <c r="C174" t="s">
        <v>493</v>
      </c>
      <c r="D174" t="s">
        <v>687</v>
      </c>
      <c r="E174" t="s">
        <v>687</v>
      </c>
      <c r="F174" t="s">
        <v>493</v>
      </c>
      <c r="G174" t="s">
        <v>669</v>
      </c>
      <c r="H174" s="129">
        <f>SUMPRODUCT(SUMIF(fr2223g1to6dst_cep!$E$2:$E$328,ActiveDistricts!$D174:$F174,fr2223g1to6dst_cep!$G$2:$G$328))</f>
        <v>895</v>
      </c>
      <c r="I174" s="129">
        <f>SUMPRODUCT(SUMIF(fr2223g1to6dst_cep!$E$2:$E$328,ActiveDistricts!$D174:$F174,fr2223g1to6dst_cep!$H$2:$H$328))</f>
        <v>407</v>
      </c>
      <c r="J174">
        <f t="shared" si="2"/>
        <v>0.45474860335195533</v>
      </c>
      <c r="M174">
        <v>465.2</v>
      </c>
    </row>
    <row r="175" spans="1:13" x14ac:dyDescent="0.2">
      <c r="A175">
        <v>2024</v>
      </c>
      <c r="B175" t="s">
        <v>688</v>
      </c>
      <c r="C175" t="s">
        <v>494</v>
      </c>
      <c r="D175" t="s">
        <v>687</v>
      </c>
      <c r="E175" t="s">
        <v>687</v>
      </c>
      <c r="F175" t="s">
        <v>494</v>
      </c>
      <c r="G175" t="s">
        <v>157</v>
      </c>
      <c r="H175" s="129">
        <f>SUMPRODUCT(SUMIF(fr2223g1to6dst_cep!$E$2:$E$328,ActiveDistricts!$D175:$F175,fr2223g1to6dst_cep!$G$2:$G$328))</f>
        <v>2073</v>
      </c>
      <c r="I175" s="129">
        <f>SUMPRODUCT(SUMIF(fr2223g1to6dst_cep!$E$2:$E$328,ActiveDistricts!$D175:$F175,fr2223g1to6dst_cep!$H$2:$H$328))</f>
        <v>1657</v>
      </c>
      <c r="J175">
        <f t="shared" si="2"/>
        <v>0.79932465026531596</v>
      </c>
      <c r="M175">
        <v>1797.6</v>
      </c>
    </row>
    <row r="176" spans="1:13" x14ac:dyDescent="0.2">
      <c r="A176">
        <v>2024</v>
      </c>
      <c r="B176" t="s">
        <v>686</v>
      </c>
      <c r="C176" t="s">
        <v>495</v>
      </c>
      <c r="D176" t="s">
        <v>687</v>
      </c>
      <c r="E176" t="s">
        <v>687</v>
      </c>
      <c r="F176" t="s">
        <v>495</v>
      </c>
      <c r="G176" t="s">
        <v>156</v>
      </c>
      <c r="H176" s="129">
        <f>SUMPRODUCT(SUMIF(fr2223g1to6dst_cep!$E$2:$E$328,ActiveDistricts!$D176:$F176,fr2223g1to6dst_cep!$G$2:$G$328))</f>
        <v>226</v>
      </c>
      <c r="I176" s="129">
        <f>SUMPRODUCT(SUMIF(fr2223g1to6dst_cep!$E$2:$E$328,ActiveDistricts!$D176:$F176,fr2223g1to6dst_cep!$H$2:$H$328))</f>
        <v>39</v>
      </c>
      <c r="J176">
        <f t="shared" si="2"/>
        <v>0.17256637168141592</v>
      </c>
      <c r="M176">
        <v>5374.9</v>
      </c>
    </row>
    <row r="177" spans="1:13" x14ac:dyDescent="0.2">
      <c r="A177">
        <v>2024</v>
      </c>
      <c r="B177" t="s">
        <v>688</v>
      </c>
      <c r="C177" t="s">
        <v>496</v>
      </c>
      <c r="D177" t="s">
        <v>687</v>
      </c>
      <c r="E177" t="s">
        <v>687</v>
      </c>
      <c r="F177" t="s">
        <v>496</v>
      </c>
      <c r="G177" t="s">
        <v>155</v>
      </c>
      <c r="H177" s="129">
        <f>SUMPRODUCT(SUMIF(fr2223g1to6dst_cep!$E$2:$E$328,ActiveDistricts!$D177:$F177,fr2223g1to6dst_cep!$G$2:$G$328))</f>
        <v>1464</v>
      </c>
      <c r="I177" s="129">
        <f>SUMPRODUCT(SUMIF(fr2223g1to6dst_cep!$E$2:$E$328,ActiveDistricts!$D177:$F177,fr2223g1to6dst_cep!$H$2:$H$328))</f>
        <v>902</v>
      </c>
      <c r="J177">
        <f t="shared" si="2"/>
        <v>0.61612021857923494</v>
      </c>
      <c r="M177">
        <v>511.4</v>
      </c>
    </row>
    <row r="178" spans="1:13" x14ac:dyDescent="0.2">
      <c r="A178">
        <v>2024</v>
      </c>
      <c r="B178" t="s">
        <v>692</v>
      </c>
      <c r="C178" t="s">
        <v>498</v>
      </c>
      <c r="D178" t="s">
        <v>687</v>
      </c>
      <c r="E178" t="s">
        <v>687</v>
      </c>
      <c r="F178" t="s">
        <v>498</v>
      </c>
      <c r="G178" t="s">
        <v>154</v>
      </c>
      <c r="H178" s="129">
        <f>SUMPRODUCT(SUMIF(fr2223g1to6dst_cep!$E$2:$E$328,ActiveDistricts!$D178:$F178,fr2223g1to6dst_cep!$G$2:$G$328))</f>
        <v>443</v>
      </c>
      <c r="I178" s="129">
        <f>SUMPRODUCT(SUMIF(fr2223g1to6dst_cep!$E$2:$E$328,ActiveDistricts!$D178:$F178,fr2223g1to6dst_cep!$H$2:$H$328))</f>
        <v>148</v>
      </c>
      <c r="J178">
        <f t="shared" si="2"/>
        <v>0.3340857787810384</v>
      </c>
      <c r="M178">
        <v>3404.6</v>
      </c>
    </row>
    <row r="179" spans="1:13" x14ac:dyDescent="0.2">
      <c r="A179">
        <v>2024</v>
      </c>
      <c r="B179" t="s">
        <v>686</v>
      </c>
      <c r="C179" t="s">
        <v>499</v>
      </c>
      <c r="D179" t="s">
        <v>687</v>
      </c>
      <c r="E179" t="s">
        <v>687</v>
      </c>
      <c r="F179" t="s">
        <v>499</v>
      </c>
      <c r="G179" t="s">
        <v>153</v>
      </c>
      <c r="H179" s="129">
        <f>SUMPRODUCT(SUMIF(fr2223g1to6dst_cep!$E$2:$E$328,ActiveDistricts!$D179:$F179,fr2223g1to6dst_cep!$G$2:$G$328))</f>
        <v>136</v>
      </c>
      <c r="I179" s="129">
        <f>SUMPRODUCT(SUMIF(fr2223g1to6dst_cep!$E$2:$E$328,ActiveDistricts!$D179:$F179,fr2223g1to6dst_cep!$H$2:$H$328))</f>
        <v>44</v>
      </c>
      <c r="J179">
        <f t="shared" si="2"/>
        <v>0.3235294117647059</v>
      </c>
      <c r="M179">
        <v>875.3</v>
      </c>
    </row>
    <row r="180" spans="1:13" x14ac:dyDescent="0.2">
      <c r="A180">
        <v>2024</v>
      </c>
      <c r="B180" t="s">
        <v>695</v>
      </c>
      <c r="C180" t="s">
        <v>503</v>
      </c>
      <c r="D180" t="s">
        <v>687</v>
      </c>
      <c r="E180" t="s">
        <v>687</v>
      </c>
      <c r="F180" t="s">
        <v>503</v>
      </c>
      <c r="G180" t="s">
        <v>666</v>
      </c>
      <c r="H180" s="129">
        <f>SUMPRODUCT(SUMIF(fr2223g1to6dst_cep!$E$2:$E$328,ActiveDistricts!$D180:$F180,fr2223g1to6dst_cep!$G$2:$G$328))</f>
        <v>355</v>
      </c>
      <c r="I180" s="129">
        <f>SUMPRODUCT(SUMIF(fr2223g1to6dst_cep!$E$2:$E$328,ActiveDistricts!$D180:$F180,fr2223g1to6dst_cep!$H$2:$H$328))</f>
        <v>129</v>
      </c>
      <c r="J180">
        <f t="shared" si="2"/>
        <v>0.36338028169014086</v>
      </c>
      <c r="M180">
        <v>307.7</v>
      </c>
    </row>
    <row r="181" spans="1:13" x14ac:dyDescent="0.2">
      <c r="A181">
        <v>2024</v>
      </c>
      <c r="B181" t="s">
        <v>693</v>
      </c>
      <c r="C181" t="s">
        <v>500</v>
      </c>
      <c r="D181" t="s">
        <v>687</v>
      </c>
      <c r="E181" t="s">
        <v>687</v>
      </c>
      <c r="F181" t="s">
        <v>500</v>
      </c>
      <c r="G181" t="s">
        <v>152</v>
      </c>
      <c r="H181" s="129">
        <f>SUMPRODUCT(SUMIF(fr2223g1to6dst_cep!$E$2:$E$328,ActiveDistricts!$D181:$F181,fr2223g1to6dst_cep!$G$2:$G$328))</f>
        <v>181</v>
      </c>
      <c r="I181" s="129">
        <f>SUMPRODUCT(SUMIF(fr2223g1to6dst_cep!$E$2:$E$328,ActiveDistricts!$D181:$F181,fr2223g1to6dst_cep!$H$2:$H$328))</f>
        <v>96</v>
      </c>
      <c r="J181">
        <f t="shared" si="2"/>
        <v>0.53038674033149169</v>
      </c>
      <c r="M181">
        <v>806.5</v>
      </c>
    </row>
    <row r="182" spans="1:13" x14ac:dyDescent="0.2">
      <c r="A182">
        <v>2024</v>
      </c>
      <c r="B182" t="s">
        <v>693</v>
      </c>
      <c r="C182" t="s">
        <v>501</v>
      </c>
      <c r="D182" t="s">
        <v>687</v>
      </c>
      <c r="E182" t="s">
        <v>687</v>
      </c>
      <c r="F182" t="s">
        <v>501</v>
      </c>
      <c r="G182" t="s">
        <v>151</v>
      </c>
      <c r="H182" s="129">
        <f>SUMPRODUCT(SUMIF(fr2223g1to6dst_cep!$E$2:$E$328,ActiveDistricts!$D182:$F182,fr2223g1to6dst_cep!$G$2:$G$328))</f>
        <v>660</v>
      </c>
      <c r="I182" s="129">
        <f>SUMPRODUCT(SUMIF(fr2223g1to6dst_cep!$E$2:$E$328,ActiveDistricts!$D182:$F182,fr2223g1to6dst_cep!$H$2:$H$328))</f>
        <v>175</v>
      </c>
      <c r="J182">
        <f t="shared" si="2"/>
        <v>0.26515151515151514</v>
      </c>
      <c r="M182">
        <v>501.8</v>
      </c>
    </row>
    <row r="183" spans="1:13" x14ac:dyDescent="0.2">
      <c r="A183">
        <v>2024</v>
      </c>
      <c r="B183" t="s">
        <v>689</v>
      </c>
      <c r="C183" t="s">
        <v>502</v>
      </c>
      <c r="D183" t="s">
        <v>687</v>
      </c>
      <c r="E183" t="s">
        <v>687</v>
      </c>
      <c r="F183" t="s">
        <v>502</v>
      </c>
      <c r="G183" t="s">
        <v>150</v>
      </c>
      <c r="H183" s="129">
        <f>SUMPRODUCT(SUMIF(fr2223g1to6dst_cep!$E$2:$E$328,ActiveDistricts!$D183:$F183,fr2223g1to6dst_cep!$G$2:$G$328))</f>
        <v>328</v>
      </c>
      <c r="I183" s="129">
        <f>SUMPRODUCT(SUMIF(fr2223g1to6dst_cep!$E$2:$E$328,ActiveDistricts!$D183:$F183,fr2223g1to6dst_cep!$H$2:$H$328))</f>
        <v>145</v>
      </c>
      <c r="J183">
        <f t="shared" si="2"/>
        <v>0.44207317073170732</v>
      </c>
      <c r="M183">
        <v>1227.9000000000001</v>
      </c>
    </row>
    <row r="184" spans="1:13" x14ac:dyDescent="0.2">
      <c r="A184">
        <v>2024</v>
      </c>
      <c r="B184" t="s">
        <v>690</v>
      </c>
      <c r="C184" t="s">
        <v>497</v>
      </c>
      <c r="D184" t="s">
        <v>687</v>
      </c>
      <c r="E184" t="s">
        <v>687</v>
      </c>
      <c r="F184" t="s">
        <v>497</v>
      </c>
      <c r="G184" t="s">
        <v>670</v>
      </c>
      <c r="H184" s="129">
        <f>SUMPRODUCT(SUMIF(fr2223g1to6dst_cep!$E$2:$E$328,ActiveDistricts!$D184:$F184,fr2223g1to6dst_cep!$G$2:$G$328))</f>
        <v>638</v>
      </c>
      <c r="I184" s="129">
        <f>SUMPRODUCT(SUMIF(fr2223g1to6dst_cep!$E$2:$E$328,ActiveDistricts!$D184:$F184,fr2223g1to6dst_cep!$H$2:$H$328))</f>
        <v>181</v>
      </c>
      <c r="J184">
        <f t="shared" si="2"/>
        <v>0.28369905956112851</v>
      </c>
      <c r="M184">
        <v>762.6</v>
      </c>
    </row>
    <row r="185" spans="1:13" x14ac:dyDescent="0.2">
      <c r="A185">
        <v>2024</v>
      </c>
      <c r="B185" t="s">
        <v>688</v>
      </c>
      <c r="C185" t="s">
        <v>504</v>
      </c>
      <c r="D185" t="s">
        <v>687</v>
      </c>
      <c r="E185" t="s">
        <v>687</v>
      </c>
      <c r="F185" t="s">
        <v>504</v>
      </c>
      <c r="G185" t="s">
        <v>149</v>
      </c>
      <c r="H185" s="129">
        <f>SUMPRODUCT(SUMIF(fr2223g1to6dst_cep!$E$2:$E$328,ActiveDistricts!$D185:$F185,fr2223g1to6dst_cep!$G$2:$G$328))</f>
        <v>193</v>
      </c>
      <c r="I185" s="129">
        <f>SUMPRODUCT(SUMIF(fr2223g1to6dst_cep!$E$2:$E$328,ActiveDistricts!$D185:$F185,fr2223g1to6dst_cep!$H$2:$H$328))</f>
        <v>64</v>
      </c>
      <c r="J185">
        <f t="shared" si="2"/>
        <v>0.33160621761658032</v>
      </c>
      <c r="M185">
        <v>1516.1</v>
      </c>
    </row>
    <row r="186" spans="1:13" x14ac:dyDescent="0.2">
      <c r="A186">
        <v>2024</v>
      </c>
      <c r="B186" t="s">
        <v>693</v>
      </c>
      <c r="C186" t="s">
        <v>505</v>
      </c>
      <c r="D186" t="s">
        <v>687</v>
      </c>
      <c r="E186" t="s">
        <v>687</v>
      </c>
      <c r="F186" t="s">
        <v>505</v>
      </c>
      <c r="G186" t="s">
        <v>148</v>
      </c>
      <c r="H186" s="129">
        <f>SUMPRODUCT(SUMIF(fr2223g1to6dst_cep!$E$2:$E$328,ActiveDistricts!$D186:$F186,fr2223g1to6dst_cep!$G$2:$G$328))</f>
        <v>397</v>
      </c>
      <c r="I186" s="129">
        <f>SUMPRODUCT(SUMIF(fr2223g1to6dst_cep!$E$2:$E$328,ActiveDistricts!$D186:$F186,fr2223g1to6dst_cep!$H$2:$H$328))</f>
        <v>148</v>
      </c>
      <c r="J186">
        <f t="shared" si="2"/>
        <v>0.37279596977329976</v>
      </c>
      <c r="M186">
        <v>469.1</v>
      </c>
    </row>
    <row r="187" spans="1:13" x14ac:dyDescent="0.2">
      <c r="A187">
        <v>2024</v>
      </c>
      <c r="B187" t="s">
        <v>692</v>
      </c>
      <c r="C187" t="s">
        <v>506</v>
      </c>
      <c r="D187" t="s">
        <v>687</v>
      </c>
      <c r="E187" t="s">
        <v>687</v>
      </c>
      <c r="F187" t="s">
        <v>506</v>
      </c>
      <c r="G187" t="s">
        <v>147</v>
      </c>
      <c r="H187" s="129">
        <f>SUMPRODUCT(SUMIF(fr2223g1to6dst_cep!$E$2:$E$328,ActiveDistricts!$D187:$F187,fr2223g1to6dst_cep!$G$2:$G$328))</f>
        <v>146</v>
      </c>
      <c r="I187" s="129">
        <f>SUMPRODUCT(SUMIF(fr2223g1to6dst_cep!$E$2:$E$328,ActiveDistricts!$D187:$F187,fr2223g1to6dst_cep!$H$2:$H$328))</f>
        <v>81</v>
      </c>
      <c r="J187">
        <f t="shared" si="2"/>
        <v>0.5547945205479452</v>
      </c>
      <c r="M187">
        <v>969.2</v>
      </c>
    </row>
    <row r="188" spans="1:13" x14ac:dyDescent="0.2">
      <c r="A188">
        <v>2024</v>
      </c>
      <c r="B188" t="s">
        <v>689</v>
      </c>
      <c r="C188" t="s">
        <v>507</v>
      </c>
      <c r="D188" t="s">
        <v>687</v>
      </c>
      <c r="E188" t="s">
        <v>687</v>
      </c>
      <c r="F188" t="s">
        <v>507</v>
      </c>
      <c r="G188" t="s">
        <v>146</v>
      </c>
      <c r="H188" s="129">
        <f>SUMPRODUCT(SUMIF(fr2223g1to6dst_cep!$E$2:$E$328,ActiveDistricts!$D188:$F188,fr2223g1to6dst_cep!$G$2:$G$328))</f>
        <v>88</v>
      </c>
      <c r="I188" s="129">
        <f>SUMPRODUCT(SUMIF(fr2223g1to6dst_cep!$E$2:$E$328,ActiveDistricts!$D188:$F188,fr2223g1to6dst_cep!$H$2:$H$328))</f>
        <v>55</v>
      </c>
      <c r="J188">
        <f t="shared" si="2"/>
        <v>0.625</v>
      </c>
      <c r="M188">
        <v>345.5</v>
      </c>
    </row>
    <row r="189" spans="1:13" x14ac:dyDescent="0.2">
      <c r="A189">
        <v>2024</v>
      </c>
      <c r="B189" t="s">
        <v>692</v>
      </c>
      <c r="C189" t="s">
        <v>508</v>
      </c>
      <c r="D189" t="s">
        <v>687</v>
      </c>
      <c r="E189" t="s">
        <v>687</v>
      </c>
      <c r="F189" t="s">
        <v>508</v>
      </c>
      <c r="G189" t="s">
        <v>145</v>
      </c>
      <c r="H189" s="129">
        <f>SUMPRODUCT(SUMIF(fr2223g1to6dst_cep!$E$2:$E$328,ActiveDistricts!$D189:$F189,fr2223g1to6dst_cep!$G$2:$G$328))</f>
        <v>91</v>
      </c>
      <c r="I189" s="129">
        <f>SUMPRODUCT(SUMIF(fr2223g1to6dst_cep!$E$2:$E$328,ActiveDistricts!$D189:$F189,fr2223g1to6dst_cep!$H$2:$H$328))</f>
        <v>36</v>
      </c>
      <c r="J189">
        <f t="shared" si="2"/>
        <v>0.39560439560439559</v>
      </c>
      <c r="M189">
        <v>211.6</v>
      </c>
    </row>
    <row r="190" spans="1:13" x14ac:dyDescent="0.2">
      <c r="A190">
        <v>2024</v>
      </c>
      <c r="B190" t="s">
        <v>692</v>
      </c>
      <c r="C190" t="s">
        <v>509</v>
      </c>
      <c r="D190" t="s">
        <v>687</v>
      </c>
      <c r="E190" t="s">
        <v>687</v>
      </c>
      <c r="F190" t="s">
        <v>509</v>
      </c>
      <c r="G190" t="s">
        <v>144</v>
      </c>
      <c r="H190" s="129">
        <f>SUMPRODUCT(SUMIF(fr2223g1to6dst_cep!$E$2:$E$328,ActiveDistricts!$D190:$F190,fr2223g1to6dst_cep!$G$2:$G$328))</f>
        <v>77</v>
      </c>
      <c r="I190" s="129">
        <f>SUMPRODUCT(SUMIF(fr2223g1to6dst_cep!$E$2:$E$328,ActiveDistricts!$D190:$F190,fr2223g1to6dst_cep!$H$2:$H$328))</f>
        <v>48</v>
      </c>
      <c r="J190">
        <f t="shared" si="2"/>
        <v>0.62337662337662336</v>
      </c>
      <c r="M190">
        <v>194</v>
      </c>
    </row>
    <row r="191" spans="1:13" x14ac:dyDescent="0.2">
      <c r="A191">
        <v>2024</v>
      </c>
      <c r="B191" t="s">
        <v>689</v>
      </c>
      <c r="C191" t="s">
        <v>510</v>
      </c>
      <c r="D191" t="s">
        <v>687</v>
      </c>
      <c r="E191" t="s">
        <v>687</v>
      </c>
      <c r="F191" t="s">
        <v>510</v>
      </c>
      <c r="G191" t="s">
        <v>143</v>
      </c>
      <c r="H191" s="129">
        <f>SUMPRODUCT(SUMIF(fr2223g1to6dst_cep!$E$2:$E$328,ActiveDistricts!$D191:$F191,fr2223g1to6dst_cep!$G$2:$G$328))</f>
        <v>246</v>
      </c>
      <c r="I191" s="129">
        <f>SUMPRODUCT(SUMIF(fr2223g1to6dst_cep!$E$2:$E$328,ActiveDistricts!$D191:$F191,fr2223g1to6dst_cep!$H$2:$H$328))</f>
        <v>116</v>
      </c>
      <c r="J191">
        <f t="shared" si="2"/>
        <v>0.47154471544715448</v>
      </c>
      <c r="M191">
        <v>184.9</v>
      </c>
    </row>
    <row r="192" spans="1:13" x14ac:dyDescent="0.2">
      <c r="A192">
        <v>2024</v>
      </c>
      <c r="B192" t="s">
        <v>692</v>
      </c>
      <c r="C192" t="s">
        <v>511</v>
      </c>
      <c r="D192" t="s">
        <v>687</v>
      </c>
      <c r="E192" t="s">
        <v>687</v>
      </c>
      <c r="F192" t="s">
        <v>511</v>
      </c>
      <c r="G192" t="s">
        <v>142</v>
      </c>
      <c r="H192" s="129">
        <f>SUMPRODUCT(SUMIF(fr2223g1to6dst_cep!$E$2:$E$328,ActiveDistricts!$D192:$F192,fr2223g1to6dst_cep!$G$2:$G$328))</f>
        <v>783</v>
      </c>
      <c r="I192" s="129">
        <f>SUMPRODUCT(SUMIF(fr2223g1to6dst_cep!$E$2:$E$328,ActiveDistricts!$D192:$F192,fr2223g1to6dst_cep!$H$2:$H$328))</f>
        <v>397</v>
      </c>
      <c r="J192">
        <f t="shared" si="2"/>
        <v>0.50702426564495529</v>
      </c>
      <c r="M192">
        <v>598.29999999999995</v>
      </c>
    </row>
    <row r="193" spans="1:13" x14ac:dyDescent="0.2">
      <c r="A193">
        <v>2024</v>
      </c>
      <c r="B193" t="s">
        <v>693</v>
      </c>
      <c r="C193" t="s">
        <v>512</v>
      </c>
      <c r="D193" t="s">
        <v>687</v>
      </c>
      <c r="E193" t="s">
        <v>687</v>
      </c>
      <c r="F193" t="s">
        <v>512</v>
      </c>
      <c r="G193" t="s">
        <v>141</v>
      </c>
      <c r="H193" s="129">
        <f>SUMPRODUCT(SUMIF(fr2223g1to6dst_cep!$E$2:$E$328,ActiveDistricts!$D193:$F193,fr2223g1to6dst_cep!$G$2:$G$328))</f>
        <v>581</v>
      </c>
      <c r="I193" s="129">
        <f>SUMPRODUCT(SUMIF(fr2223g1to6dst_cep!$E$2:$E$328,ActiveDistricts!$D193:$F193,fr2223g1to6dst_cep!$H$2:$H$328))</f>
        <v>116</v>
      </c>
      <c r="J193">
        <f t="shared" si="2"/>
        <v>0.19965576592082615</v>
      </c>
      <c r="M193">
        <v>1791.9</v>
      </c>
    </row>
    <row r="194" spans="1:13" x14ac:dyDescent="0.2">
      <c r="A194">
        <v>2024</v>
      </c>
      <c r="B194" t="s">
        <v>689</v>
      </c>
      <c r="C194" t="s">
        <v>513</v>
      </c>
      <c r="D194" t="s">
        <v>687</v>
      </c>
      <c r="E194" t="s">
        <v>687</v>
      </c>
      <c r="F194" t="s">
        <v>513</v>
      </c>
      <c r="G194" t="s">
        <v>140</v>
      </c>
      <c r="H194" s="129">
        <f>SUMPRODUCT(SUMIF(fr2223g1to6dst_cep!$E$2:$E$328,ActiveDistricts!$D194:$F194,fr2223g1to6dst_cep!$G$2:$G$328))</f>
        <v>114</v>
      </c>
      <c r="I194" s="129">
        <f>SUMPRODUCT(SUMIF(fr2223g1to6dst_cep!$E$2:$E$328,ActiveDistricts!$D194:$F194,fr2223g1to6dst_cep!$H$2:$H$328))</f>
        <v>51</v>
      </c>
      <c r="J194">
        <f t="shared" si="2"/>
        <v>0.44736842105263158</v>
      </c>
      <c r="M194">
        <v>1111.2</v>
      </c>
    </row>
    <row r="195" spans="1:13" x14ac:dyDescent="0.2">
      <c r="A195">
        <v>2024</v>
      </c>
      <c r="B195" t="s">
        <v>696</v>
      </c>
      <c r="C195" t="s">
        <v>514</v>
      </c>
      <c r="D195" t="s">
        <v>687</v>
      </c>
      <c r="E195" t="s">
        <v>687</v>
      </c>
      <c r="F195" t="s">
        <v>514</v>
      </c>
      <c r="G195" t="s">
        <v>139</v>
      </c>
      <c r="H195" s="129">
        <f>SUMPRODUCT(SUMIF(fr2223g1to6dst_cep!$E$2:$E$328,ActiveDistricts!$D195:$F195,fr2223g1to6dst_cep!$G$2:$G$328))</f>
        <v>1812</v>
      </c>
      <c r="I195" s="129">
        <f>SUMPRODUCT(SUMIF(fr2223g1to6dst_cep!$E$2:$E$328,ActiveDistricts!$D195:$F195,fr2223g1to6dst_cep!$H$2:$H$328))</f>
        <v>1017</v>
      </c>
      <c r="J195">
        <f t="shared" ref="J195:J258" si="3">I195/H195</f>
        <v>0.5612582781456954</v>
      </c>
      <c r="M195">
        <v>221.8</v>
      </c>
    </row>
    <row r="196" spans="1:13" x14ac:dyDescent="0.2">
      <c r="A196">
        <v>2024</v>
      </c>
      <c r="B196" t="s">
        <v>688</v>
      </c>
      <c r="C196" t="s">
        <v>515</v>
      </c>
      <c r="D196" t="s">
        <v>687</v>
      </c>
      <c r="E196" t="s">
        <v>687</v>
      </c>
      <c r="F196" t="s">
        <v>515</v>
      </c>
      <c r="G196" t="s">
        <v>138</v>
      </c>
      <c r="H196" s="129">
        <f>SUMPRODUCT(SUMIF(fr2223g1to6dst_cep!$E$2:$E$328,ActiveDistricts!$D196:$F196,fr2223g1to6dst_cep!$G$2:$G$328))</f>
        <v>234</v>
      </c>
      <c r="I196" s="129">
        <f>SUMPRODUCT(SUMIF(fr2223g1to6dst_cep!$E$2:$E$328,ActiveDistricts!$D196:$F196,fr2223g1to6dst_cep!$H$2:$H$328))</f>
        <v>79</v>
      </c>
      <c r="J196">
        <f t="shared" si="3"/>
        <v>0.33760683760683763</v>
      </c>
      <c r="M196">
        <v>4574.8</v>
      </c>
    </row>
    <row r="197" spans="1:13" x14ac:dyDescent="0.2">
      <c r="A197">
        <v>2024</v>
      </c>
      <c r="B197" t="s">
        <v>686</v>
      </c>
      <c r="C197" t="s">
        <v>516</v>
      </c>
      <c r="D197" t="s">
        <v>687</v>
      </c>
      <c r="E197" t="s">
        <v>687</v>
      </c>
      <c r="F197" t="s">
        <v>516</v>
      </c>
      <c r="G197" t="s">
        <v>137</v>
      </c>
      <c r="H197" s="129">
        <f>SUMPRODUCT(SUMIF(fr2223g1to6dst_cep!$E$2:$E$328,ActiveDistricts!$D197:$F197,fr2223g1to6dst_cep!$G$2:$G$328))</f>
        <v>615</v>
      </c>
      <c r="I197" s="129">
        <f>SUMPRODUCT(SUMIF(fr2223g1to6dst_cep!$E$2:$E$328,ActiveDistricts!$D197:$F197,fr2223g1to6dst_cep!$H$2:$H$328))</f>
        <v>213</v>
      </c>
      <c r="J197">
        <f t="shared" si="3"/>
        <v>0.34634146341463412</v>
      </c>
      <c r="M197">
        <v>592.6</v>
      </c>
    </row>
    <row r="198" spans="1:13" x14ac:dyDescent="0.2">
      <c r="A198">
        <v>2024</v>
      </c>
      <c r="B198" t="s">
        <v>695</v>
      </c>
      <c r="C198" t="s">
        <v>518</v>
      </c>
      <c r="D198" t="s">
        <v>687</v>
      </c>
      <c r="E198" t="s">
        <v>687</v>
      </c>
      <c r="F198" t="s">
        <v>518</v>
      </c>
      <c r="G198" t="s">
        <v>135</v>
      </c>
      <c r="H198" s="129">
        <f>SUMPRODUCT(SUMIF(fr2223g1to6dst_cep!$E$2:$E$328,ActiveDistricts!$D198:$F198,fr2223g1to6dst_cep!$G$2:$G$328))</f>
        <v>392</v>
      </c>
      <c r="I198" s="129">
        <f>SUMPRODUCT(SUMIF(fr2223g1to6dst_cep!$E$2:$E$328,ActiveDistricts!$D198:$F198,fr2223g1to6dst_cep!$H$2:$H$328))</f>
        <v>141</v>
      </c>
      <c r="J198">
        <f t="shared" si="3"/>
        <v>0.35969387755102039</v>
      </c>
      <c r="M198">
        <v>1399.4</v>
      </c>
    </row>
    <row r="199" spans="1:13" x14ac:dyDescent="0.2">
      <c r="A199">
        <v>2024</v>
      </c>
      <c r="B199" t="s">
        <v>692</v>
      </c>
      <c r="C199" t="s">
        <v>519</v>
      </c>
      <c r="D199" t="s">
        <v>687</v>
      </c>
      <c r="E199" t="s">
        <v>687</v>
      </c>
      <c r="F199" t="s">
        <v>519</v>
      </c>
      <c r="G199" t="s">
        <v>134</v>
      </c>
      <c r="H199" s="129">
        <f>SUMPRODUCT(SUMIF(fr2223g1to6dst_cep!$E$2:$E$328,ActiveDistricts!$D199:$F199,fr2223g1to6dst_cep!$G$2:$G$328))</f>
        <v>269</v>
      </c>
      <c r="I199" s="129">
        <f>SUMPRODUCT(SUMIF(fr2223g1to6dst_cep!$E$2:$E$328,ActiveDistricts!$D199:$F199,fr2223g1to6dst_cep!$H$2:$H$328))</f>
        <v>121</v>
      </c>
      <c r="J199">
        <f t="shared" si="3"/>
        <v>0.44981412639405205</v>
      </c>
      <c r="M199">
        <v>930</v>
      </c>
    </row>
    <row r="200" spans="1:13" x14ac:dyDescent="0.2">
      <c r="A200">
        <v>2024</v>
      </c>
      <c r="B200" t="s">
        <v>691</v>
      </c>
      <c r="C200" t="s">
        <v>517</v>
      </c>
      <c r="D200" t="s">
        <v>687</v>
      </c>
      <c r="E200" t="s">
        <v>687</v>
      </c>
      <c r="F200" t="s">
        <v>517</v>
      </c>
      <c r="G200" t="s">
        <v>136</v>
      </c>
      <c r="H200" s="129">
        <f>SUMPRODUCT(SUMIF(fr2223g1to6dst_cep!$E$2:$E$328,ActiveDistricts!$D200:$F200,fr2223g1to6dst_cep!$G$2:$G$328))</f>
        <v>248</v>
      </c>
      <c r="I200" s="129">
        <f>SUMPRODUCT(SUMIF(fr2223g1to6dst_cep!$E$2:$E$328,ActiveDistricts!$D200:$F200,fr2223g1to6dst_cep!$H$2:$H$328))</f>
        <v>120</v>
      </c>
      <c r="J200">
        <f t="shared" si="3"/>
        <v>0.4838709677419355</v>
      </c>
      <c r="M200">
        <v>542</v>
      </c>
    </row>
    <row r="201" spans="1:13" x14ac:dyDescent="0.2">
      <c r="A201">
        <v>2024</v>
      </c>
      <c r="B201" t="s">
        <v>686</v>
      </c>
      <c r="C201" t="s">
        <v>520</v>
      </c>
      <c r="D201" t="s">
        <v>687</v>
      </c>
      <c r="E201" t="s">
        <v>687</v>
      </c>
      <c r="F201" t="s">
        <v>520</v>
      </c>
      <c r="G201" t="s">
        <v>133</v>
      </c>
      <c r="H201" s="129">
        <f>SUMPRODUCT(SUMIF(fr2223g1to6dst_cep!$E$2:$E$328,ActiveDistricts!$D201:$F201,fr2223g1to6dst_cep!$G$2:$G$328))</f>
        <v>1220</v>
      </c>
      <c r="I201" s="129">
        <f>SUMPRODUCT(SUMIF(fr2223g1to6dst_cep!$E$2:$E$328,ActiveDistricts!$D201:$F201,fr2223g1to6dst_cep!$H$2:$H$328))</f>
        <v>731</v>
      </c>
      <c r="J201">
        <f t="shared" si="3"/>
        <v>0.59918032786885245</v>
      </c>
      <c r="M201">
        <v>495.9</v>
      </c>
    </row>
    <row r="202" spans="1:13" x14ac:dyDescent="0.2">
      <c r="A202">
        <v>2024</v>
      </c>
      <c r="B202" t="s">
        <v>689</v>
      </c>
      <c r="C202" t="s">
        <v>436</v>
      </c>
      <c r="D202" t="s">
        <v>687</v>
      </c>
      <c r="E202" t="s">
        <v>687</v>
      </c>
      <c r="F202" t="s">
        <v>436</v>
      </c>
      <c r="G202" t="s">
        <v>207</v>
      </c>
      <c r="H202" s="129">
        <f>SUMPRODUCT(SUMIF(fr2223g1to6dst_cep!$E$2:$E$328,ActiveDistricts!$D202:$F202,fr2223g1to6dst_cep!$G$2:$G$328))</f>
        <v>262</v>
      </c>
      <c r="I202" s="129">
        <f>SUMPRODUCT(SUMIF(fr2223g1to6dst_cep!$E$2:$E$328,ActiveDistricts!$D202:$F202,fr2223g1to6dst_cep!$H$2:$H$328))</f>
        <v>121</v>
      </c>
      <c r="J202">
        <f t="shared" si="3"/>
        <v>0.46183206106870228</v>
      </c>
      <c r="M202">
        <v>2957.6</v>
      </c>
    </row>
    <row r="203" spans="1:13" x14ac:dyDescent="0.2">
      <c r="A203">
        <v>2024</v>
      </c>
      <c r="B203" t="s">
        <v>688</v>
      </c>
      <c r="C203" t="s">
        <v>324</v>
      </c>
      <c r="D203" t="s">
        <v>687</v>
      </c>
      <c r="E203" t="s">
        <v>687</v>
      </c>
      <c r="F203" t="s">
        <v>324</v>
      </c>
      <c r="G203" t="s">
        <v>304</v>
      </c>
      <c r="H203" s="129">
        <f>SUMPRODUCT(SUMIF(fr2223g1to6dst_cep!$E$2:$E$328,ActiveDistricts!$D203:$F203,fr2223g1to6dst_cep!$G$2:$G$328))</f>
        <v>211</v>
      </c>
      <c r="I203" s="129">
        <f>SUMPRODUCT(SUMIF(fr2223g1to6dst_cep!$E$2:$E$328,ActiveDistricts!$D203:$F203,fr2223g1to6dst_cep!$H$2:$H$328))</f>
        <v>63</v>
      </c>
      <c r="J203">
        <f t="shared" si="3"/>
        <v>0.29857819905213268</v>
      </c>
      <c r="M203">
        <v>626.5</v>
      </c>
    </row>
    <row r="204" spans="1:13" x14ac:dyDescent="0.2">
      <c r="A204">
        <v>2024</v>
      </c>
      <c r="B204" t="s">
        <v>693</v>
      </c>
      <c r="C204" t="s">
        <v>478</v>
      </c>
      <c r="D204" t="s">
        <v>687</v>
      </c>
      <c r="E204" t="s">
        <v>687</v>
      </c>
      <c r="F204" t="s">
        <v>478</v>
      </c>
      <c r="G204" t="s">
        <v>169</v>
      </c>
      <c r="H204" s="129">
        <f>SUMPRODUCT(SUMIF(fr2223g1to6dst_cep!$E$2:$E$328,ActiveDistricts!$D204:$F204,fr2223g1to6dst_cep!$G$2:$G$328))</f>
        <v>248</v>
      </c>
      <c r="I204" s="129">
        <f>SUMPRODUCT(SUMIF(fr2223g1to6dst_cep!$E$2:$E$328,ActiveDistricts!$D204:$F204,fr2223g1to6dst_cep!$H$2:$H$328))</f>
        <v>113</v>
      </c>
      <c r="J204">
        <f t="shared" si="3"/>
        <v>0.45564516129032256</v>
      </c>
      <c r="M204">
        <v>536.6</v>
      </c>
    </row>
    <row r="205" spans="1:13" x14ac:dyDescent="0.2">
      <c r="A205">
        <v>2024</v>
      </c>
      <c r="B205" t="s">
        <v>695</v>
      </c>
      <c r="C205" t="s">
        <v>523</v>
      </c>
      <c r="D205" t="s">
        <v>687</v>
      </c>
      <c r="E205" t="s">
        <v>687</v>
      </c>
      <c r="F205" t="s">
        <v>523</v>
      </c>
      <c r="G205" t="s">
        <v>650</v>
      </c>
      <c r="H205" s="129">
        <f>SUMPRODUCT(SUMIF(fr2223g1to6dst_cep!$E$2:$E$328,ActiveDistricts!$D205:$F205,fr2223g1to6dst_cep!$G$2:$G$328))</f>
        <v>453</v>
      </c>
      <c r="I205" s="129">
        <f>SUMPRODUCT(SUMIF(fr2223g1to6dst_cep!$E$2:$E$328,ActiveDistricts!$D205:$F205,fr2223g1to6dst_cep!$H$2:$H$328))</f>
        <v>189</v>
      </c>
      <c r="J205">
        <f t="shared" si="3"/>
        <v>0.41721854304635764</v>
      </c>
      <c r="M205">
        <v>725.8</v>
      </c>
    </row>
    <row r="206" spans="1:13" x14ac:dyDescent="0.2">
      <c r="A206">
        <v>2024</v>
      </c>
      <c r="B206" t="s">
        <v>688</v>
      </c>
      <c r="C206" t="s">
        <v>352</v>
      </c>
      <c r="D206" t="s">
        <v>687</v>
      </c>
      <c r="E206" t="s">
        <v>687</v>
      </c>
      <c r="F206" t="s">
        <v>352</v>
      </c>
      <c r="G206" t="s">
        <v>280</v>
      </c>
      <c r="H206" s="129">
        <f>SUMPRODUCT(SUMIF(fr2223g1to6dst_cep!$E$2:$E$328,ActiveDistricts!$D206:$F206,fr2223g1to6dst_cep!$G$2:$G$328))</f>
        <v>218</v>
      </c>
      <c r="I206" s="129">
        <f>SUMPRODUCT(SUMIF(fr2223g1to6dst_cep!$E$2:$E$328,ActiveDistricts!$D206:$F206,fr2223g1to6dst_cep!$H$2:$H$328))</f>
        <v>103</v>
      </c>
      <c r="J206">
        <f t="shared" si="3"/>
        <v>0.47247706422018348</v>
      </c>
      <c r="M206">
        <v>1138</v>
      </c>
    </row>
    <row r="207" spans="1:13" x14ac:dyDescent="0.2">
      <c r="A207">
        <v>2024</v>
      </c>
      <c r="B207" t="s">
        <v>691</v>
      </c>
      <c r="C207" t="s">
        <v>527</v>
      </c>
      <c r="D207" t="s">
        <v>687</v>
      </c>
      <c r="E207" t="s">
        <v>687</v>
      </c>
      <c r="F207" t="s">
        <v>527</v>
      </c>
      <c r="G207" t="s">
        <v>128</v>
      </c>
      <c r="H207" s="129">
        <f>SUMPRODUCT(SUMIF(fr2223g1to6dst_cep!$E$2:$E$328,ActiveDistricts!$D207:$F207,fr2223g1to6dst_cep!$G$2:$G$328))</f>
        <v>121</v>
      </c>
      <c r="I207" s="129">
        <f>SUMPRODUCT(SUMIF(fr2223g1to6dst_cep!$E$2:$E$328,ActiveDistricts!$D207:$F207,fr2223g1to6dst_cep!$H$2:$H$328))</f>
        <v>74</v>
      </c>
      <c r="J207">
        <f t="shared" si="3"/>
        <v>0.61157024793388426</v>
      </c>
      <c r="M207">
        <v>483.5</v>
      </c>
    </row>
    <row r="208" spans="1:13" x14ac:dyDescent="0.2">
      <c r="A208">
        <v>2024</v>
      </c>
      <c r="B208" t="s">
        <v>693</v>
      </c>
      <c r="C208" t="s">
        <v>526</v>
      </c>
      <c r="D208" t="s">
        <v>687</v>
      </c>
      <c r="E208" t="s">
        <v>687</v>
      </c>
      <c r="F208" t="s">
        <v>526</v>
      </c>
      <c r="G208" t="s">
        <v>129</v>
      </c>
      <c r="H208" s="129">
        <f>SUMPRODUCT(SUMIF(fr2223g1to6dst_cep!$E$2:$E$328,ActiveDistricts!$D208:$F208,fr2223g1to6dst_cep!$G$2:$G$328))</f>
        <v>214</v>
      </c>
      <c r="I208" s="129">
        <f>SUMPRODUCT(SUMIF(fr2223g1to6dst_cep!$E$2:$E$328,ActiveDistricts!$D208:$F208,fr2223g1to6dst_cep!$H$2:$H$328))</f>
        <v>52</v>
      </c>
      <c r="J208">
        <f t="shared" si="3"/>
        <v>0.24299065420560748</v>
      </c>
      <c r="M208">
        <v>236.4</v>
      </c>
    </row>
    <row r="209" spans="1:13" x14ac:dyDescent="0.2">
      <c r="A209">
        <v>2024</v>
      </c>
      <c r="B209" t="s">
        <v>692</v>
      </c>
      <c r="C209" t="s">
        <v>525</v>
      </c>
      <c r="D209" t="s">
        <v>687</v>
      </c>
      <c r="E209" t="s">
        <v>687</v>
      </c>
      <c r="F209" t="s">
        <v>525</v>
      </c>
      <c r="G209" t="s">
        <v>130</v>
      </c>
      <c r="H209" s="129">
        <f>SUMPRODUCT(SUMIF(fr2223g1to6dst_cep!$E$2:$E$328,ActiveDistricts!$D209:$F209,fr2223g1to6dst_cep!$G$2:$G$328))</f>
        <v>272</v>
      </c>
      <c r="I209" s="129">
        <f>SUMPRODUCT(SUMIF(fr2223g1to6dst_cep!$E$2:$E$328,ActiveDistricts!$D209:$F209,fr2223g1to6dst_cep!$H$2:$H$328))</f>
        <v>91</v>
      </c>
      <c r="J209">
        <f t="shared" si="3"/>
        <v>0.33455882352941174</v>
      </c>
      <c r="M209">
        <v>556.9</v>
      </c>
    </row>
    <row r="210" spans="1:13" x14ac:dyDescent="0.2">
      <c r="A210">
        <v>2024</v>
      </c>
      <c r="B210" t="s">
        <v>686</v>
      </c>
      <c r="C210" t="s">
        <v>528</v>
      </c>
      <c r="D210" t="s">
        <v>687</v>
      </c>
      <c r="E210" t="s">
        <v>687</v>
      </c>
      <c r="F210" t="s">
        <v>528</v>
      </c>
      <c r="G210" t="s">
        <v>127</v>
      </c>
      <c r="H210" s="129">
        <f>SUMPRODUCT(SUMIF(fr2223g1to6dst_cep!$E$2:$E$328,ActiveDistricts!$D210:$F210,fr2223g1to6dst_cep!$G$2:$G$328))</f>
        <v>990</v>
      </c>
      <c r="I210" s="129">
        <f>SUMPRODUCT(SUMIF(fr2223g1to6dst_cep!$E$2:$E$328,ActiveDistricts!$D210:$F210,fr2223g1to6dst_cep!$H$2:$H$328))</f>
        <v>102</v>
      </c>
      <c r="J210">
        <f t="shared" si="3"/>
        <v>0.10303030303030303</v>
      </c>
      <c r="M210">
        <v>488.5</v>
      </c>
    </row>
    <row r="211" spans="1:13" x14ac:dyDescent="0.2">
      <c r="A211">
        <v>2024</v>
      </c>
      <c r="B211" t="s">
        <v>696</v>
      </c>
      <c r="C211" t="s">
        <v>529</v>
      </c>
      <c r="D211" t="s">
        <v>687</v>
      </c>
      <c r="E211" t="s">
        <v>687</v>
      </c>
      <c r="F211" t="s">
        <v>529</v>
      </c>
      <c r="G211" t="s">
        <v>126</v>
      </c>
      <c r="H211" s="129">
        <f>SUMPRODUCT(SUMIF(fr2223g1to6dst_cep!$E$2:$E$328,ActiveDistricts!$D211:$F211,fr2223g1to6dst_cep!$G$2:$G$328))</f>
        <v>1459</v>
      </c>
      <c r="I211" s="129">
        <f>SUMPRODUCT(SUMIF(fr2223g1to6dst_cep!$E$2:$E$328,ActiveDistricts!$D211:$F211,fr2223g1to6dst_cep!$H$2:$H$328))</f>
        <v>395</v>
      </c>
      <c r="J211">
        <f t="shared" si="3"/>
        <v>0.27073337902673061</v>
      </c>
      <c r="M211">
        <v>2093.1</v>
      </c>
    </row>
    <row r="212" spans="1:13" x14ac:dyDescent="0.2">
      <c r="A212">
        <v>2024</v>
      </c>
      <c r="B212" t="s">
        <v>688</v>
      </c>
      <c r="C212" t="s">
        <v>530</v>
      </c>
      <c r="D212" t="s">
        <v>687</v>
      </c>
      <c r="E212" t="s">
        <v>687</v>
      </c>
      <c r="F212" t="s">
        <v>530</v>
      </c>
      <c r="G212" t="s">
        <v>671</v>
      </c>
      <c r="H212" s="129">
        <f>SUMPRODUCT(SUMIF(fr2223g1to6dst_cep!$E$2:$E$328,ActiveDistricts!$D212:$F212,fr2223g1to6dst_cep!$G$2:$G$328))</f>
        <v>211</v>
      </c>
      <c r="I212" s="129">
        <f>SUMPRODUCT(SUMIF(fr2223g1to6dst_cep!$E$2:$E$328,ActiveDistricts!$D212:$F212,fr2223g1to6dst_cep!$H$2:$H$328))</f>
        <v>85</v>
      </c>
      <c r="J212">
        <f t="shared" si="3"/>
        <v>0.40284360189573459</v>
      </c>
      <c r="M212">
        <v>3097.6</v>
      </c>
    </row>
    <row r="213" spans="1:13" x14ac:dyDescent="0.2">
      <c r="A213">
        <v>2024</v>
      </c>
      <c r="B213" t="s">
        <v>691</v>
      </c>
      <c r="C213" t="s">
        <v>331</v>
      </c>
      <c r="D213" t="s">
        <v>687</v>
      </c>
      <c r="E213" t="s">
        <v>687</v>
      </c>
      <c r="F213" t="s">
        <v>331</v>
      </c>
      <c r="G213" t="s">
        <v>298</v>
      </c>
      <c r="H213" s="129">
        <f>SUMPRODUCT(SUMIF(fr2223g1to6dst_cep!$E$2:$E$328,ActiveDistricts!$D213:$F213,fr2223g1to6dst_cep!$G$2:$G$328))</f>
        <v>91</v>
      </c>
      <c r="I213" s="129">
        <f>SUMPRODUCT(SUMIF(fr2223g1to6dst_cep!$E$2:$E$328,ActiveDistricts!$D213:$F213,fr2223g1to6dst_cep!$H$2:$H$328))</f>
        <v>50</v>
      </c>
      <c r="J213">
        <f t="shared" si="3"/>
        <v>0.5494505494505495</v>
      </c>
      <c r="M213">
        <v>453</v>
      </c>
    </row>
    <row r="214" spans="1:13" x14ac:dyDescent="0.2">
      <c r="A214">
        <v>2024</v>
      </c>
      <c r="B214" t="s">
        <v>696</v>
      </c>
      <c r="C214" t="s">
        <v>522</v>
      </c>
      <c r="D214" t="s">
        <v>687</v>
      </c>
      <c r="E214" t="s">
        <v>687</v>
      </c>
      <c r="F214" t="s">
        <v>522</v>
      </c>
      <c r="G214" t="s">
        <v>131</v>
      </c>
      <c r="H214" s="129">
        <f>SUMPRODUCT(SUMIF(fr2223g1to6dst_cep!$E$2:$E$328,ActiveDistricts!$D214:$F214,fr2223g1to6dst_cep!$G$2:$G$328))</f>
        <v>353</v>
      </c>
      <c r="I214" s="129">
        <f>SUMPRODUCT(SUMIF(fr2223g1to6dst_cep!$E$2:$E$328,ActiveDistricts!$D214:$F214,fr2223g1to6dst_cep!$H$2:$H$328))</f>
        <v>104</v>
      </c>
      <c r="J214">
        <f t="shared" si="3"/>
        <v>0.29461756373937675</v>
      </c>
      <c r="M214">
        <v>402</v>
      </c>
    </row>
    <row r="215" spans="1:13" x14ac:dyDescent="0.2">
      <c r="A215">
        <v>2024</v>
      </c>
      <c r="B215" t="s">
        <v>688</v>
      </c>
      <c r="C215" t="s">
        <v>531</v>
      </c>
      <c r="D215" t="s">
        <v>687</v>
      </c>
      <c r="E215" t="s">
        <v>687</v>
      </c>
      <c r="F215" t="s">
        <v>531</v>
      </c>
      <c r="G215" t="s">
        <v>125</v>
      </c>
      <c r="H215" s="129">
        <f>SUMPRODUCT(SUMIF(fr2223g1to6dst_cep!$E$2:$E$328,ActiveDistricts!$D215:$F215,fr2223g1to6dst_cep!$G$2:$G$328))</f>
        <v>246</v>
      </c>
      <c r="I215" s="129">
        <f>SUMPRODUCT(SUMIF(fr2223g1to6dst_cep!$E$2:$E$328,ActiveDistricts!$D215:$F215,fr2223g1to6dst_cep!$H$2:$H$328))</f>
        <v>94</v>
      </c>
      <c r="J215">
        <f t="shared" si="3"/>
        <v>0.38211382113821141</v>
      </c>
      <c r="M215">
        <v>527</v>
      </c>
    </row>
    <row r="216" spans="1:13" x14ac:dyDescent="0.2">
      <c r="A216">
        <v>2024</v>
      </c>
      <c r="B216" t="s">
        <v>686</v>
      </c>
      <c r="C216" t="s">
        <v>532</v>
      </c>
      <c r="D216" t="s">
        <v>687</v>
      </c>
      <c r="E216" t="s">
        <v>687</v>
      </c>
      <c r="F216" t="s">
        <v>532</v>
      </c>
      <c r="G216" t="s">
        <v>124</v>
      </c>
      <c r="H216" s="129">
        <f>SUMPRODUCT(SUMIF(fr2223g1to6dst_cep!$E$2:$E$328,ActiveDistricts!$D216:$F216,fr2223g1to6dst_cep!$G$2:$G$328))</f>
        <v>1587</v>
      </c>
      <c r="I216" s="129">
        <f>SUMPRODUCT(SUMIF(fr2223g1to6dst_cep!$E$2:$E$328,ActiveDistricts!$D216:$F216,fr2223g1to6dst_cep!$H$2:$H$328))</f>
        <v>348</v>
      </c>
      <c r="J216">
        <f t="shared" si="3"/>
        <v>0.21928166351606806</v>
      </c>
      <c r="M216">
        <v>511</v>
      </c>
    </row>
    <row r="217" spans="1:13" x14ac:dyDescent="0.2">
      <c r="A217">
        <v>2024</v>
      </c>
      <c r="B217" t="s">
        <v>690</v>
      </c>
      <c r="C217" t="s">
        <v>534</v>
      </c>
      <c r="D217" t="s">
        <v>687</v>
      </c>
      <c r="E217" t="s">
        <v>687</v>
      </c>
      <c r="F217" t="s">
        <v>534</v>
      </c>
      <c r="G217" t="s">
        <v>651</v>
      </c>
      <c r="H217" s="129">
        <f>SUMPRODUCT(SUMIF(fr2223g1to6dst_cep!$E$2:$E$328,ActiveDistricts!$D217:$F217,fr2223g1to6dst_cep!$G$2:$G$328))</f>
        <v>359</v>
      </c>
      <c r="I217" s="129">
        <f>SUMPRODUCT(SUMIF(fr2223g1to6dst_cep!$E$2:$E$328,ActiveDistricts!$D217:$F217,fr2223g1to6dst_cep!$H$2:$H$328))</f>
        <v>182</v>
      </c>
      <c r="J217">
        <f t="shared" si="3"/>
        <v>0.50696378830083566</v>
      </c>
      <c r="M217">
        <v>3425.3</v>
      </c>
    </row>
    <row r="218" spans="1:13" x14ac:dyDescent="0.2">
      <c r="A218">
        <v>2024</v>
      </c>
      <c r="B218" t="s">
        <v>695</v>
      </c>
      <c r="C218" t="s">
        <v>535</v>
      </c>
      <c r="D218" t="s">
        <v>687</v>
      </c>
      <c r="E218" t="s">
        <v>687</v>
      </c>
      <c r="F218" t="s">
        <v>535</v>
      </c>
      <c r="G218" t="s">
        <v>123</v>
      </c>
      <c r="H218" s="129">
        <f>SUMPRODUCT(SUMIF(fr2223g1to6dst_cep!$E$2:$E$328,ActiveDistricts!$D218:$F218,fr2223g1to6dst_cep!$G$2:$G$328))</f>
        <v>542</v>
      </c>
      <c r="I218" s="129">
        <f>SUMPRODUCT(SUMIF(fr2223g1to6dst_cep!$E$2:$E$328,ActiveDistricts!$D218:$F218,fr2223g1to6dst_cep!$H$2:$H$328))</f>
        <v>340</v>
      </c>
      <c r="J218">
        <f t="shared" si="3"/>
        <v>0.62730627306273068</v>
      </c>
      <c r="M218">
        <v>925.2</v>
      </c>
    </row>
    <row r="219" spans="1:13" x14ac:dyDescent="0.2">
      <c r="A219">
        <v>2024</v>
      </c>
      <c r="B219" t="s">
        <v>686</v>
      </c>
      <c r="C219" t="s">
        <v>536</v>
      </c>
      <c r="D219" t="s">
        <v>687</v>
      </c>
      <c r="E219" t="s">
        <v>687</v>
      </c>
      <c r="F219" t="s">
        <v>536</v>
      </c>
      <c r="G219" t="s">
        <v>122</v>
      </c>
      <c r="H219" s="129">
        <f>SUMPRODUCT(SUMIF(fr2223g1to6dst_cep!$E$2:$E$328,ActiveDistricts!$D219:$F219,fr2223g1to6dst_cep!$G$2:$G$328))</f>
        <v>295</v>
      </c>
      <c r="I219" s="129">
        <f>SUMPRODUCT(SUMIF(fr2223g1to6dst_cep!$E$2:$E$328,ActiveDistricts!$D219:$F219,fr2223g1to6dst_cep!$H$2:$H$328))</f>
        <v>77</v>
      </c>
      <c r="J219">
        <f t="shared" si="3"/>
        <v>0.26101694915254237</v>
      </c>
      <c r="M219">
        <v>1326</v>
      </c>
    </row>
    <row r="220" spans="1:13" x14ac:dyDescent="0.2">
      <c r="A220">
        <v>2024</v>
      </c>
      <c r="B220" t="s">
        <v>691</v>
      </c>
      <c r="C220" t="s">
        <v>537</v>
      </c>
      <c r="D220" t="s">
        <v>687</v>
      </c>
      <c r="E220" t="s">
        <v>687</v>
      </c>
      <c r="F220" t="s">
        <v>537</v>
      </c>
      <c r="G220" t="s">
        <v>121</v>
      </c>
      <c r="H220" s="129">
        <f>SUMPRODUCT(SUMIF(fr2223g1to6dst_cep!$E$2:$E$328,ActiveDistricts!$D220:$F220,fr2223g1to6dst_cep!$G$2:$G$328))</f>
        <v>527</v>
      </c>
      <c r="I220" s="129">
        <f>SUMPRODUCT(SUMIF(fr2223g1to6dst_cep!$E$2:$E$328,ActiveDistricts!$D220:$F220,fr2223g1to6dst_cep!$H$2:$H$328))</f>
        <v>215</v>
      </c>
      <c r="J220">
        <f t="shared" si="3"/>
        <v>0.40796963946869069</v>
      </c>
      <c r="M220">
        <v>589.79999999999995</v>
      </c>
    </row>
    <row r="221" spans="1:13" x14ac:dyDescent="0.2">
      <c r="A221">
        <v>2024</v>
      </c>
      <c r="B221" t="s">
        <v>693</v>
      </c>
      <c r="C221" t="s">
        <v>538</v>
      </c>
      <c r="D221" t="s">
        <v>687</v>
      </c>
      <c r="E221" t="s">
        <v>687</v>
      </c>
      <c r="F221" t="s">
        <v>538</v>
      </c>
      <c r="G221" t="s">
        <v>672</v>
      </c>
      <c r="H221" s="129">
        <f>SUMPRODUCT(SUMIF(fr2223g1to6dst_cep!$E$2:$E$328,ActiveDistricts!$D221:$F221,fr2223g1to6dst_cep!$G$2:$G$328))</f>
        <v>71</v>
      </c>
      <c r="I221" s="129">
        <f>SUMPRODUCT(SUMIF(fr2223g1to6dst_cep!$E$2:$E$328,ActiveDistricts!$D221:$F221,fr2223g1to6dst_cep!$H$2:$H$328))</f>
        <v>39</v>
      </c>
      <c r="J221">
        <f t="shared" si="3"/>
        <v>0.54929577464788737</v>
      </c>
      <c r="M221">
        <v>1065.8</v>
      </c>
    </row>
    <row r="222" spans="1:13" x14ac:dyDescent="0.2">
      <c r="A222">
        <v>2024</v>
      </c>
      <c r="B222" t="s">
        <v>689</v>
      </c>
      <c r="C222" t="s">
        <v>539</v>
      </c>
      <c r="D222" t="s">
        <v>687</v>
      </c>
      <c r="E222" t="s">
        <v>687</v>
      </c>
      <c r="F222" t="s">
        <v>539</v>
      </c>
      <c r="G222" t="s">
        <v>120</v>
      </c>
      <c r="H222" s="129">
        <f>SUMPRODUCT(SUMIF(fr2223g1to6dst_cep!$E$2:$E$328,ActiveDistricts!$D222:$F222,fr2223g1to6dst_cep!$G$2:$G$328))</f>
        <v>53</v>
      </c>
      <c r="I222" s="129">
        <f>SUMPRODUCT(SUMIF(fr2223g1to6dst_cep!$E$2:$E$328,ActiveDistricts!$D222:$F222,fr2223g1to6dst_cep!$H$2:$H$328))</f>
        <v>34</v>
      </c>
      <c r="J222">
        <f t="shared" si="3"/>
        <v>0.64150943396226412</v>
      </c>
      <c r="M222">
        <v>215.5</v>
      </c>
    </row>
    <row r="223" spans="1:13" x14ac:dyDescent="0.2">
      <c r="A223">
        <v>2024</v>
      </c>
      <c r="B223" t="s">
        <v>688</v>
      </c>
      <c r="C223" t="s">
        <v>540</v>
      </c>
      <c r="D223" t="s">
        <v>687</v>
      </c>
      <c r="E223" t="s">
        <v>687</v>
      </c>
      <c r="F223" t="s">
        <v>540</v>
      </c>
      <c r="G223" t="s">
        <v>119</v>
      </c>
      <c r="H223" s="129">
        <f>SUMPRODUCT(SUMIF(fr2223g1to6dst_cep!$E$2:$E$328,ActiveDistricts!$D223:$F223,fr2223g1to6dst_cep!$G$2:$G$328))</f>
        <v>415</v>
      </c>
      <c r="I223" s="129">
        <f>SUMPRODUCT(SUMIF(fr2223g1to6dst_cep!$E$2:$E$328,ActiveDistricts!$D223:$F223,fr2223g1to6dst_cep!$H$2:$H$328))</f>
        <v>145</v>
      </c>
      <c r="J223">
        <f t="shared" si="3"/>
        <v>0.3493975903614458</v>
      </c>
      <c r="M223">
        <v>178.1</v>
      </c>
    </row>
    <row r="224" spans="1:13" x14ac:dyDescent="0.2">
      <c r="A224">
        <v>2024</v>
      </c>
      <c r="B224" t="s">
        <v>692</v>
      </c>
      <c r="C224" t="s">
        <v>541</v>
      </c>
      <c r="D224" t="s">
        <v>687</v>
      </c>
      <c r="E224" t="s">
        <v>687</v>
      </c>
      <c r="F224" t="s">
        <v>541</v>
      </c>
      <c r="G224" t="s">
        <v>118</v>
      </c>
      <c r="H224" s="129">
        <f>SUMPRODUCT(SUMIF(fr2223g1to6dst_cep!$E$2:$E$328,ActiveDistricts!$D224:$F224,fr2223g1to6dst_cep!$G$2:$G$328))</f>
        <v>847</v>
      </c>
      <c r="I224" s="129">
        <f>SUMPRODUCT(SUMIF(fr2223g1to6dst_cep!$E$2:$E$328,ActiveDistricts!$D224:$F224,fr2223g1to6dst_cep!$H$2:$H$328))</f>
        <v>437</v>
      </c>
      <c r="J224">
        <f t="shared" si="3"/>
        <v>0.51593860684769777</v>
      </c>
      <c r="M224">
        <v>892.7</v>
      </c>
    </row>
    <row r="225" spans="1:13" x14ac:dyDescent="0.2">
      <c r="A225">
        <v>2024</v>
      </c>
      <c r="B225" t="s">
        <v>692</v>
      </c>
      <c r="C225" t="s">
        <v>542</v>
      </c>
      <c r="D225" t="s">
        <v>687</v>
      </c>
      <c r="E225" t="s">
        <v>687</v>
      </c>
      <c r="F225" t="s">
        <v>542</v>
      </c>
      <c r="G225" t="s">
        <v>117</v>
      </c>
      <c r="H225" s="129">
        <f>SUMPRODUCT(SUMIF(fr2223g1to6dst_cep!$E$2:$E$328,ActiveDistricts!$D225:$F225,fr2223g1to6dst_cep!$G$2:$G$328))</f>
        <v>1993</v>
      </c>
      <c r="I225" s="129">
        <f>SUMPRODUCT(SUMIF(fr2223g1to6dst_cep!$E$2:$E$328,ActiveDistricts!$D225:$F225,fr2223g1to6dst_cep!$H$2:$H$328))</f>
        <v>1003</v>
      </c>
      <c r="J225">
        <f t="shared" si="3"/>
        <v>0.50326141495233312</v>
      </c>
      <c r="M225">
        <v>2254.6</v>
      </c>
    </row>
    <row r="226" spans="1:13" x14ac:dyDescent="0.2">
      <c r="A226">
        <v>2024</v>
      </c>
      <c r="B226" t="s">
        <v>686</v>
      </c>
      <c r="C226" t="s">
        <v>543</v>
      </c>
      <c r="D226" t="s">
        <v>687</v>
      </c>
      <c r="E226" t="s">
        <v>687</v>
      </c>
      <c r="F226" t="s">
        <v>543</v>
      </c>
      <c r="G226" t="s">
        <v>116</v>
      </c>
      <c r="H226" s="129">
        <f>SUMPRODUCT(SUMIF(fr2223g1to6dst_cep!$E$2:$E$328,ActiveDistricts!$D226:$F226,fr2223g1to6dst_cep!$G$2:$G$328))</f>
        <v>277</v>
      </c>
      <c r="I226" s="129">
        <f>SUMPRODUCT(SUMIF(fr2223g1to6dst_cep!$E$2:$E$328,ActiveDistricts!$D226:$F226,fr2223g1to6dst_cep!$H$2:$H$328))</f>
        <v>117</v>
      </c>
      <c r="J226">
        <f t="shared" si="3"/>
        <v>0.42238267148014441</v>
      </c>
      <c r="M226">
        <v>5067.1000000000004</v>
      </c>
    </row>
    <row r="227" spans="1:13" x14ac:dyDescent="0.2">
      <c r="A227">
        <v>2024</v>
      </c>
      <c r="B227" t="s">
        <v>691</v>
      </c>
      <c r="C227" t="s">
        <v>544</v>
      </c>
      <c r="D227" t="s">
        <v>687</v>
      </c>
      <c r="E227" t="s">
        <v>687</v>
      </c>
      <c r="F227" t="s">
        <v>544</v>
      </c>
      <c r="G227" t="s">
        <v>115</v>
      </c>
      <c r="H227" s="129">
        <f>SUMPRODUCT(SUMIF(fr2223g1to6dst_cep!$E$2:$E$328,ActiveDistricts!$D227:$F227,fr2223g1to6dst_cep!$G$2:$G$328))</f>
        <v>78</v>
      </c>
      <c r="I227" s="129">
        <f>SUMPRODUCT(SUMIF(fr2223g1to6dst_cep!$E$2:$E$328,ActiveDistricts!$D227:$F227,fr2223g1to6dst_cep!$H$2:$H$328))</f>
        <v>34</v>
      </c>
      <c r="J227">
        <f t="shared" si="3"/>
        <v>0.4358974358974359</v>
      </c>
      <c r="M227">
        <v>642.9</v>
      </c>
    </row>
    <row r="228" spans="1:13" x14ac:dyDescent="0.2">
      <c r="A228">
        <v>2024</v>
      </c>
      <c r="B228" t="s">
        <v>686</v>
      </c>
      <c r="C228" t="s">
        <v>553</v>
      </c>
      <c r="D228" t="s">
        <v>687</v>
      </c>
      <c r="E228" t="s">
        <v>687</v>
      </c>
      <c r="F228" t="s">
        <v>648</v>
      </c>
      <c r="G228" t="s">
        <v>3</v>
      </c>
      <c r="H228" s="129">
        <f>SUMPRODUCT(SUMIF(fr2223g1to6dst_cep!$E$2:$E$328,ActiveDistricts!$D228:$F228,fr2223g1to6dst_cep!$G$2:$G$328))</f>
        <v>465</v>
      </c>
      <c r="I228" s="129">
        <f>SUMPRODUCT(SUMIF(fr2223g1to6dst_cep!$E$2:$E$328,ActiveDistricts!$D228:$F228,fr2223g1to6dst_cep!$H$2:$H$328))</f>
        <v>137</v>
      </c>
      <c r="J228">
        <f t="shared" si="3"/>
        <v>0.29462365591397849</v>
      </c>
      <c r="M228">
        <v>186.7</v>
      </c>
    </row>
    <row r="229" spans="1:13" x14ac:dyDescent="0.2">
      <c r="A229">
        <v>2024</v>
      </c>
      <c r="B229" t="s">
        <v>692</v>
      </c>
      <c r="C229" t="s">
        <v>546</v>
      </c>
      <c r="D229" t="s">
        <v>687</v>
      </c>
      <c r="E229" t="s">
        <v>687</v>
      </c>
      <c r="F229" t="s">
        <v>546</v>
      </c>
      <c r="G229" t="s">
        <v>114</v>
      </c>
      <c r="H229" s="129">
        <f>SUMPRODUCT(SUMIF(fr2223g1to6dst_cep!$E$2:$E$328,ActiveDistricts!$D229:$F229,fr2223g1to6dst_cep!$G$2:$G$328))</f>
        <v>267</v>
      </c>
      <c r="I229" s="129">
        <f>SUMPRODUCT(SUMIF(fr2223g1to6dst_cep!$E$2:$E$328,ActiveDistricts!$D229:$F229,fr2223g1to6dst_cep!$H$2:$H$328))</f>
        <v>108</v>
      </c>
      <c r="J229">
        <f t="shared" si="3"/>
        <v>0.4044943820224719</v>
      </c>
      <c r="M229">
        <v>1032.0999999999999</v>
      </c>
    </row>
    <row r="230" spans="1:13" x14ac:dyDescent="0.2">
      <c r="A230">
        <v>2024</v>
      </c>
      <c r="B230" t="s">
        <v>686</v>
      </c>
      <c r="C230" t="s">
        <v>547</v>
      </c>
      <c r="D230" t="s">
        <v>687</v>
      </c>
      <c r="E230" t="s">
        <v>687</v>
      </c>
      <c r="F230" t="s">
        <v>547</v>
      </c>
      <c r="G230" t="s">
        <v>113</v>
      </c>
      <c r="H230" s="129">
        <f>SUMPRODUCT(SUMIF(fr2223g1to6dst_cep!$E$2:$E$328,ActiveDistricts!$D230:$F230,fr2223g1to6dst_cep!$G$2:$G$328))</f>
        <v>1025</v>
      </c>
      <c r="I230" s="129">
        <f>SUMPRODUCT(SUMIF(fr2223g1to6dst_cep!$E$2:$E$328,ActiveDistricts!$D230:$F230,fr2223g1to6dst_cep!$H$2:$H$328))</f>
        <v>200</v>
      </c>
      <c r="J230">
        <f t="shared" si="3"/>
        <v>0.1951219512195122</v>
      </c>
      <c r="M230">
        <v>549.1</v>
      </c>
    </row>
    <row r="231" spans="1:13" x14ac:dyDescent="0.2">
      <c r="A231">
        <v>2024</v>
      </c>
      <c r="B231" t="s">
        <v>686</v>
      </c>
      <c r="C231" t="s">
        <v>548</v>
      </c>
      <c r="D231" t="s">
        <v>687</v>
      </c>
      <c r="E231" t="s">
        <v>687</v>
      </c>
      <c r="F231" t="s">
        <v>548</v>
      </c>
      <c r="G231" t="s">
        <v>112</v>
      </c>
      <c r="H231" s="129">
        <f>SUMPRODUCT(SUMIF(fr2223g1to6dst_cep!$E$2:$E$328,ActiveDistricts!$D231:$F231,fr2223g1to6dst_cep!$G$2:$G$328))</f>
        <v>765</v>
      </c>
      <c r="I231" s="129">
        <f>SUMPRODUCT(SUMIF(fr2223g1to6dst_cep!$E$2:$E$328,ActiveDistricts!$D231:$F231,fr2223g1to6dst_cep!$H$2:$H$328))</f>
        <v>463</v>
      </c>
      <c r="J231">
        <f t="shared" si="3"/>
        <v>0.6052287581699346</v>
      </c>
      <c r="M231">
        <v>2179.6999999999998</v>
      </c>
    </row>
    <row r="232" spans="1:13" x14ac:dyDescent="0.2">
      <c r="A232">
        <v>2024</v>
      </c>
      <c r="B232" t="s">
        <v>696</v>
      </c>
      <c r="C232" t="s">
        <v>549</v>
      </c>
      <c r="D232" t="s">
        <v>687</v>
      </c>
      <c r="E232" t="s">
        <v>687</v>
      </c>
      <c r="F232" t="s">
        <v>549</v>
      </c>
      <c r="G232" t="s">
        <v>111</v>
      </c>
      <c r="H232" s="129">
        <f>SUMPRODUCT(SUMIF(fr2223g1to6dst_cep!$E$2:$E$328,ActiveDistricts!$D232:$F232,fr2223g1to6dst_cep!$G$2:$G$328))</f>
        <v>2608</v>
      </c>
      <c r="I232" s="129">
        <f>SUMPRODUCT(SUMIF(fr2223g1to6dst_cep!$E$2:$E$328,ActiveDistricts!$D232:$F232,fr2223g1to6dst_cep!$H$2:$H$328))</f>
        <v>288</v>
      </c>
      <c r="J232">
        <f t="shared" si="3"/>
        <v>0.11042944785276074</v>
      </c>
      <c r="M232">
        <v>1854.1</v>
      </c>
    </row>
    <row r="233" spans="1:13" x14ac:dyDescent="0.2">
      <c r="A233">
        <v>2024</v>
      </c>
      <c r="B233" t="s">
        <v>686</v>
      </c>
      <c r="C233" t="s">
        <v>550</v>
      </c>
      <c r="D233" t="s">
        <v>687</v>
      </c>
      <c r="E233" t="s">
        <v>687</v>
      </c>
      <c r="F233" t="s">
        <v>550</v>
      </c>
      <c r="G233" t="s">
        <v>110</v>
      </c>
      <c r="H233" s="129">
        <f>SUMPRODUCT(SUMIF(fr2223g1to6dst_cep!$E$2:$E$328,ActiveDistricts!$D233:$F233,fr2223g1to6dst_cep!$G$2:$G$328))</f>
        <v>317</v>
      </c>
      <c r="I233" s="129">
        <f>SUMPRODUCT(SUMIF(fr2223g1to6dst_cep!$E$2:$E$328,ActiveDistricts!$D233:$F233,fr2223g1to6dst_cep!$H$2:$H$328))</f>
        <v>117</v>
      </c>
      <c r="J233">
        <f t="shared" si="3"/>
        <v>0.36908517350157727</v>
      </c>
      <c r="M233">
        <v>5556.8</v>
      </c>
    </row>
    <row r="234" spans="1:13" x14ac:dyDescent="0.2">
      <c r="A234">
        <v>2024</v>
      </c>
      <c r="B234" t="s">
        <v>691</v>
      </c>
      <c r="C234" t="s">
        <v>551</v>
      </c>
      <c r="D234" t="s">
        <v>687</v>
      </c>
      <c r="E234" t="s">
        <v>687</v>
      </c>
      <c r="F234" t="s">
        <v>551</v>
      </c>
      <c r="G234" t="s">
        <v>109</v>
      </c>
      <c r="H234" s="129">
        <f>SUMPRODUCT(SUMIF(fr2223g1to6dst_cep!$E$2:$E$328,ActiveDistricts!$D234:$F234,fr2223g1to6dst_cep!$G$2:$G$328))</f>
        <v>234</v>
      </c>
      <c r="I234" s="129">
        <f>SUMPRODUCT(SUMIF(fr2223g1to6dst_cep!$E$2:$E$328,ActiveDistricts!$D234:$F234,fr2223g1to6dst_cep!$H$2:$H$328))</f>
        <v>140</v>
      </c>
      <c r="J234">
        <f t="shared" si="3"/>
        <v>0.59829059829059827</v>
      </c>
      <c r="M234">
        <v>711.8</v>
      </c>
    </row>
    <row r="235" spans="1:13" x14ac:dyDescent="0.2">
      <c r="A235">
        <v>2024</v>
      </c>
      <c r="B235" t="s">
        <v>695</v>
      </c>
      <c r="C235" t="s">
        <v>552</v>
      </c>
      <c r="D235" t="s">
        <v>687</v>
      </c>
      <c r="E235" t="s">
        <v>687</v>
      </c>
      <c r="F235" t="s">
        <v>552</v>
      </c>
      <c r="G235" t="s">
        <v>108</v>
      </c>
      <c r="H235" s="129">
        <f>SUMPRODUCT(SUMIF(fr2223g1to6dst_cep!$E$2:$E$328,ActiveDistricts!$D235:$F235,fr2223g1to6dst_cep!$G$2:$G$328))</f>
        <v>253</v>
      </c>
      <c r="I235" s="129">
        <f>SUMPRODUCT(SUMIF(fr2223g1to6dst_cep!$E$2:$E$328,ActiveDistricts!$D235:$F235,fr2223g1to6dst_cep!$H$2:$H$328))</f>
        <v>195</v>
      </c>
      <c r="J235">
        <f t="shared" si="3"/>
        <v>0.77075098814229248</v>
      </c>
      <c r="M235">
        <v>669.8</v>
      </c>
    </row>
    <row r="236" spans="1:13" x14ac:dyDescent="0.2">
      <c r="A236">
        <v>2024</v>
      </c>
      <c r="B236" t="s">
        <v>689</v>
      </c>
      <c r="C236" t="s">
        <v>555</v>
      </c>
      <c r="D236" t="s">
        <v>687</v>
      </c>
      <c r="E236" t="s">
        <v>687</v>
      </c>
      <c r="F236" t="s">
        <v>555</v>
      </c>
      <c r="G236" t="s">
        <v>107</v>
      </c>
      <c r="H236" s="129">
        <f>SUMPRODUCT(SUMIF(fr2223g1to6dst_cep!$E$2:$E$328,ActiveDistricts!$D236:$F236,fr2223g1to6dst_cep!$G$2:$G$328))</f>
        <v>419</v>
      </c>
      <c r="I236" s="129">
        <f>SUMPRODUCT(SUMIF(fr2223g1to6dst_cep!$E$2:$E$328,ActiveDistricts!$D236:$F236,fr2223g1to6dst_cep!$H$2:$H$328))</f>
        <v>251</v>
      </c>
      <c r="J236">
        <f t="shared" si="3"/>
        <v>0.59904534606205251</v>
      </c>
      <c r="M236">
        <v>693.1</v>
      </c>
    </row>
    <row r="237" spans="1:13" x14ac:dyDescent="0.2">
      <c r="A237">
        <v>2024</v>
      </c>
      <c r="B237" t="s">
        <v>690</v>
      </c>
      <c r="C237" t="s">
        <v>556</v>
      </c>
      <c r="D237" t="s">
        <v>687</v>
      </c>
      <c r="E237" t="s">
        <v>687</v>
      </c>
      <c r="F237" t="s">
        <v>556</v>
      </c>
      <c r="G237" t="s">
        <v>106</v>
      </c>
      <c r="H237" s="129">
        <f>SUMPRODUCT(SUMIF(fr2223g1to6dst_cep!$E$2:$E$328,ActiveDistricts!$D237:$F237,fr2223g1to6dst_cep!$G$2:$G$328))</f>
        <v>158</v>
      </c>
      <c r="I237" s="129">
        <f>SUMPRODUCT(SUMIF(fr2223g1to6dst_cep!$E$2:$E$328,ActiveDistricts!$D237:$F237,fr2223g1to6dst_cep!$H$2:$H$328))</f>
        <v>57</v>
      </c>
      <c r="J237">
        <f t="shared" si="3"/>
        <v>0.36075949367088606</v>
      </c>
      <c r="M237">
        <v>569.4</v>
      </c>
    </row>
    <row r="238" spans="1:13" x14ac:dyDescent="0.2">
      <c r="A238">
        <v>2024</v>
      </c>
      <c r="B238" t="s">
        <v>695</v>
      </c>
      <c r="C238" t="s">
        <v>557</v>
      </c>
      <c r="D238" t="s">
        <v>687</v>
      </c>
      <c r="E238" t="s">
        <v>687</v>
      </c>
      <c r="F238" t="s">
        <v>557</v>
      </c>
      <c r="G238" t="s">
        <v>105</v>
      </c>
      <c r="H238" s="129">
        <f>SUMPRODUCT(SUMIF(fr2223g1to6dst_cep!$E$2:$E$328,ActiveDistricts!$D238:$F238,fr2223g1to6dst_cep!$G$2:$G$328))</f>
        <v>169</v>
      </c>
      <c r="I238" s="129">
        <f>SUMPRODUCT(SUMIF(fr2223g1to6dst_cep!$E$2:$E$328,ActiveDistricts!$D238:$F238,fr2223g1to6dst_cep!$H$2:$H$328))</f>
        <v>86</v>
      </c>
      <c r="J238">
        <f t="shared" si="3"/>
        <v>0.50887573964497046</v>
      </c>
      <c r="M238">
        <v>1034.9000000000001</v>
      </c>
    </row>
    <row r="239" spans="1:13" x14ac:dyDescent="0.2">
      <c r="A239">
        <v>2024</v>
      </c>
      <c r="B239" t="s">
        <v>690</v>
      </c>
      <c r="C239" t="s">
        <v>414</v>
      </c>
      <c r="D239" t="s">
        <v>687</v>
      </c>
      <c r="E239" t="s">
        <v>687</v>
      </c>
      <c r="F239" t="s">
        <v>414</v>
      </c>
      <c r="G239" t="s">
        <v>227</v>
      </c>
      <c r="H239" s="129">
        <f>SUMPRODUCT(SUMIF(fr2223g1to6dst_cep!$E$2:$E$328,ActiveDistricts!$D239:$F239,fr2223g1to6dst_cep!$G$2:$G$328))</f>
        <v>149</v>
      </c>
      <c r="I239" s="129">
        <f>SUMPRODUCT(SUMIF(fr2223g1to6dst_cep!$E$2:$E$328,ActiveDistricts!$D239:$F239,fr2223g1to6dst_cep!$H$2:$H$328))</f>
        <v>95</v>
      </c>
      <c r="J239">
        <f t="shared" si="3"/>
        <v>0.63758389261744963</v>
      </c>
      <c r="M239">
        <v>334</v>
      </c>
    </row>
    <row r="240" spans="1:13" x14ac:dyDescent="0.2">
      <c r="A240">
        <v>2024</v>
      </c>
      <c r="B240" t="s">
        <v>689</v>
      </c>
      <c r="C240" t="s">
        <v>533</v>
      </c>
      <c r="D240" t="s">
        <v>687</v>
      </c>
      <c r="E240" t="s">
        <v>687</v>
      </c>
      <c r="F240" t="s">
        <v>646</v>
      </c>
      <c r="G240" t="s">
        <v>104</v>
      </c>
      <c r="H240" s="129">
        <f>SUMPRODUCT(SUMIF(fr2223g1to6dst_cep!$E$2:$E$328,ActiveDistricts!$D240:$F240,fr2223g1to6dst_cep!$G$2:$G$328))</f>
        <v>289</v>
      </c>
      <c r="I240" s="129">
        <f>SUMPRODUCT(SUMIF(fr2223g1to6dst_cep!$E$2:$E$328,ActiveDistricts!$D240:$F240,fr2223g1to6dst_cep!$H$2:$H$328))</f>
        <v>138</v>
      </c>
      <c r="J240">
        <f t="shared" si="3"/>
        <v>0.47750865051903113</v>
      </c>
      <c r="M240">
        <v>331.5</v>
      </c>
    </row>
    <row r="241" spans="1:13" x14ac:dyDescent="0.2">
      <c r="A241">
        <v>2024</v>
      </c>
      <c r="B241" t="s">
        <v>690</v>
      </c>
      <c r="C241" t="s">
        <v>558</v>
      </c>
      <c r="D241" t="s">
        <v>687</v>
      </c>
      <c r="E241" t="s">
        <v>687</v>
      </c>
      <c r="F241" t="s">
        <v>558</v>
      </c>
      <c r="G241" t="s">
        <v>103</v>
      </c>
      <c r="H241" s="129">
        <f>SUMPRODUCT(SUMIF(fr2223g1to6dst_cep!$E$2:$E$328,ActiveDistricts!$D241:$F241,fr2223g1to6dst_cep!$G$2:$G$328))</f>
        <v>406</v>
      </c>
      <c r="I241" s="129">
        <f>SUMPRODUCT(SUMIF(fr2223g1to6dst_cep!$E$2:$E$328,ActiveDistricts!$D241:$F241,fr2223g1to6dst_cep!$H$2:$H$328))</f>
        <v>198</v>
      </c>
      <c r="J241">
        <f t="shared" si="3"/>
        <v>0.48768472906403942</v>
      </c>
      <c r="M241">
        <v>372.4</v>
      </c>
    </row>
    <row r="242" spans="1:13" x14ac:dyDescent="0.2">
      <c r="A242">
        <v>2024</v>
      </c>
      <c r="B242" t="s">
        <v>686</v>
      </c>
      <c r="C242" t="s">
        <v>559</v>
      </c>
      <c r="D242" t="s">
        <v>687</v>
      </c>
      <c r="E242" t="s">
        <v>687</v>
      </c>
      <c r="F242" t="s">
        <v>559</v>
      </c>
      <c r="G242" t="s">
        <v>102</v>
      </c>
      <c r="H242" s="129">
        <f>SUMPRODUCT(SUMIF(fr2223g1to6dst_cep!$E$2:$E$328,ActiveDistricts!$D242:$F242,fr2223g1to6dst_cep!$G$2:$G$328))</f>
        <v>464</v>
      </c>
      <c r="I242" s="129">
        <f>SUMPRODUCT(SUMIF(fr2223g1to6dst_cep!$E$2:$E$328,ActiveDistricts!$D242:$F242,fr2223g1to6dst_cep!$H$2:$H$328))</f>
        <v>107</v>
      </c>
      <c r="J242">
        <f t="shared" si="3"/>
        <v>0.23060344827586207</v>
      </c>
      <c r="M242">
        <v>716.2</v>
      </c>
    </row>
    <row r="243" spans="1:13" x14ac:dyDescent="0.2">
      <c r="A243">
        <v>2024</v>
      </c>
      <c r="B243" t="s">
        <v>688</v>
      </c>
      <c r="C243" t="s">
        <v>560</v>
      </c>
      <c r="D243" t="s">
        <v>687</v>
      </c>
      <c r="E243" t="s">
        <v>687</v>
      </c>
      <c r="F243" t="s">
        <v>560</v>
      </c>
      <c r="G243" t="s">
        <v>673</v>
      </c>
      <c r="H243" s="129">
        <f>SUMPRODUCT(SUMIF(fr2223g1to6dst_cep!$E$2:$E$328,ActiveDistricts!$D243:$F243,fr2223g1to6dst_cep!$G$2:$G$328))</f>
        <v>164</v>
      </c>
      <c r="I243" s="129">
        <f>SUMPRODUCT(SUMIF(fr2223g1to6dst_cep!$E$2:$E$328,ActiveDistricts!$D243:$F243,fr2223g1to6dst_cep!$H$2:$H$328))</f>
        <v>102</v>
      </c>
      <c r="J243">
        <f t="shared" si="3"/>
        <v>0.62195121951219512</v>
      </c>
      <c r="M243">
        <v>851.2</v>
      </c>
    </row>
    <row r="244" spans="1:13" x14ac:dyDescent="0.2">
      <c r="A244">
        <v>2024</v>
      </c>
      <c r="B244" t="s">
        <v>691</v>
      </c>
      <c r="C244" t="s">
        <v>561</v>
      </c>
      <c r="D244" t="s">
        <v>687</v>
      </c>
      <c r="E244" t="s">
        <v>687</v>
      </c>
      <c r="F244" t="s">
        <v>561</v>
      </c>
      <c r="G244" t="s">
        <v>101</v>
      </c>
      <c r="H244" s="129">
        <f>SUMPRODUCT(SUMIF(fr2223g1to6dst_cep!$E$2:$E$328,ActiveDistricts!$D244:$F244,fr2223g1to6dst_cep!$G$2:$G$328))</f>
        <v>66</v>
      </c>
      <c r="I244" s="129">
        <f>SUMPRODUCT(SUMIF(fr2223g1to6dst_cep!$E$2:$E$328,ActiveDistricts!$D244:$F244,fr2223g1to6dst_cep!$H$2:$H$328))</f>
        <v>38</v>
      </c>
      <c r="J244">
        <f t="shared" si="3"/>
        <v>0.5757575757575758</v>
      </c>
      <c r="M244">
        <v>1004.2</v>
      </c>
    </row>
    <row r="245" spans="1:13" x14ac:dyDescent="0.2">
      <c r="A245">
        <v>2024</v>
      </c>
      <c r="B245" t="s">
        <v>686</v>
      </c>
      <c r="C245" t="s">
        <v>563</v>
      </c>
      <c r="D245" t="s">
        <v>687</v>
      </c>
      <c r="E245" t="s">
        <v>687</v>
      </c>
      <c r="F245" t="s">
        <v>563</v>
      </c>
      <c r="G245" t="s">
        <v>99</v>
      </c>
      <c r="H245" s="129">
        <f>SUMPRODUCT(SUMIF(fr2223g1to6dst_cep!$E$2:$E$328,ActiveDistricts!$D245:$F245,fr2223g1to6dst_cep!$G$2:$G$328))</f>
        <v>533</v>
      </c>
      <c r="I245" s="129">
        <f>SUMPRODUCT(SUMIF(fr2223g1to6dst_cep!$E$2:$E$328,ActiveDistricts!$D245:$F245,fr2223g1to6dst_cep!$H$2:$H$328))</f>
        <v>335</v>
      </c>
      <c r="J245">
        <f t="shared" si="3"/>
        <v>0.62851782363977482</v>
      </c>
      <c r="M245">
        <v>426</v>
      </c>
    </row>
    <row r="246" spans="1:13" x14ac:dyDescent="0.2">
      <c r="A246">
        <v>2024</v>
      </c>
      <c r="B246" t="s">
        <v>691</v>
      </c>
      <c r="C246" t="s">
        <v>564</v>
      </c>
      <c r="D246" t="s">
        <v>687</v>
      </c>
      <c r="E246" t="s">
        <v>687</v>
      </c>
      <c r="F246" t="s">
        <v>564</v>
      </c>
      <c r="G246" t="s">
        <v>98</v>
      </c>
      <c r="H246" s="129">
        <f>SUMPRODUCT(SUMIF(fr2223g1to6dst_cep!$E$2:$E$328,ActiveDistricts!$D246:$F246,fr2223g1to6dst_cep!$G$2:$G$328))</f>
        <v>153</v>
      </c>
      <c r="I246" s="129">
        <f>SUMPRODUCT(SUMIF(fr2223g1to6dst_cep!$E$2:$E$328,ActiveDistricts!$D246:$F246,fr2223g1to6dst_cep!$H$2:$H$328))</f>
        <v>79</v>
      </c>
      <c r="J246">
        <f t="shared" si="3"/>
        <v>0.5163398692810458</v>
      </c>
      <c r="M246">
        <v>193</v>
      </c>
    </row>
    <row r="247" spans="1:13" x14ac:dyDescent="0.2">
      <c r="A247">
        <v>2024</v>
      </c>
      <c r="B247" t="s">
        <v>690</v>
      </c>
      <c r="C247" t="s">
        <v>565</v>
      </c>
      <c r="D247" t="s">
        <v>687</v>
      </c>
      <c r="E247" t="s">
        <v>687</v>
      </c>
      <c r="F247" t="s">
        <v>565</v>
      </c>
      <c r="G247" t="s">
        <v>97</v>
      </c>
      <c r="H247" s="129">
        <f>SUMPRODUCT(SUMIF(fr2223g1to6dst_cep!$E$2:$E$328,ActiveDistricts!$D247:$F247,fr2223g1to6dst_cep!$G$2:$G$328))</f>
        <v>84</v>
      </c>
      <c r="I247" s="129">
        <f>SUMPRODUCT(SUMIF(fr2223g1to6dst_cep!$E$2:$E$328,ActiveDistricts!$D247:$F247,fr2223g1to6dst_cep!$H$2:$H$328))</f>
        <v>39</v>
      </c>
      <c r="J247">
        <f t="shared" si="3"/>
        <v>0.4642857142857143</v>
      </c>
      <c r="M247">
        <v>1067</v>
      </c>
    </row>
    <row r="248" spans="1:13" x14ac:dyDescent="0.2">
      <c r="A248">
        <v>2024</v>
      </c>
      <c r="B248" t="s">
        <v>690</v>
      </c>
      <c r="C248" t="s">
        <v>566</v>
      </c>
      <c r="D248" t="s">
        <v>687</v>
      </c>
      <c r="E248" t="s">
        <v>687</v>
      </c>
      <c r="F248" t="s">
        <v>566</v>
      </c>
      <c r="G248" t="s">
        <v>96</v>
      </c>
      <c r="H248" s="129">
        <f>SUMPRODUCT(SUMIF(fr2223g1to6dst_cep!$E$2:$E$328,ActiveDistricts!$D248:$F248,fr2223g1to6dst_cep!$G$2:$G$328))</f>
        <v>743</v>
      </c>
      <c r="I248" s="129">
        <f>SUMPRODUCT(SUMIF(fr2223g1to6dst_cep!$E$2:$E$328,ActiveDistricts!$D248:$F248,fr2223g1to6dst_cep!$H$2:$H$328))</f>
        <v>262</v>
      </c>
      <c r="J248">
        <f t="shared" si="3"/>
        <v>0.35262449528936746</v>
      </c>
      <c r="M248">
        <v>356</v>
      </c>
    </row>
    <row r="249" spans="1:13" x14ac:dyDescent="0.2">
      <c r="A249">
        <v>2024</v>
      </c>
      <c r="B249" t="s">
        <v>692</v>
      </c>
      <c r="C249" t="s">
        <v>567</v>
      </c>
      <c r="D249" t="s">
        <v>687</v>
      </c>
      <c r="E249" t="s">
        <v>687</v>
      </c>
      <c r="F249" t="s">
        <v>567</v>
      </c>
      <c r="G249" t="s">
        <v>95</v>
      </c>
      <c r="H249" s="129">
        <f>SUMPRODUCT(SUMIF(fr2223g1to6dst_cep!$E$2:$E$328,ActiveDistricts!$D249:$F249,fr2223g1to6dst_cep!$G$2:$G$328))</f>
        <v>86</v>
      </c>
      <c r="I249" s="129">
        <f>SUMPRODUCT(SUMIF(fr2223g1to6dst_cep!$E$2:$E$328,ActiveDistricts!$D249:$F249,fr2223g1to6dst_cep!$H$2:$H$328))</f>
        <v>55</v>
      </c>
      <c r="J249">
        <f t="shared" si="3"/>
        <v>0.63953488372093026</v>
      </c>
      <c r="M249">
        <v>216</v>
      </c>
    </row>
    <row r="250" spans="1:13" x14ac:dyDescent="0.2">
      <c r="A250">
        <v>2024</v>
      </c>
      <c r="B250" t="s">
        <v>690</v>
      </c>
      <c r="C250" t="s">
        <v>569</v>
      </c>
      <c r="D250" t="s">
        <v>687</v>
      </c>
      <c r="E250" t="s">
        <v>687</v>
      </c>
      <c r="F250" t="s">
        <v>569</v>
      </c>
      <c r="G250" t="s">
        <v>94</v>
      </c>
      <c r="H250" s="129">
        <f>SUMPRODUCT(SUMIF(fr2223g1to6dst_cep!$E$2:$E$328,ActiveDistricts!$D250:$F250,fr2223g1to6dst_cep!$G$2:$G$328))</f>
        <v>491</v>
      </c>
      <c r="I250" s="129">
        <f>SUMPRODUCT(SUMIF(fr2223g1to6dst_cep!$E$2:$E$328,ActiveDistricts!$D250:$F250,fr2223g1to6dst_cep!$H$2:$H$328))</f>
        <v>220</v>
      </c>
      <c r="J250">
        <f t="shared" si="3"/>
        <v>0.44806517311608962</v>
      </c>
      <c r="M250">
        <v>1423.6</v>
      </c>
    </row>
    <row r="251" spans="1:13" x14ac:dyDescent="0.2">
      <c r="A251">
        <v>2024</v>
      </c>
      <c r="B251" t="s">
        <v>689</v>
      </c>
      <c r="C251" t="s">
        <v>570</v>
      </c>
      <c r="D251" t="s">
        <v>687</v>
      </c>
      <c r="E251" t="s">
        <v>687</v>
      </c>
      <c r="F251" t="s">
        <v>570</v>
      </c>
      <c r="G251" t="s">
        <v>93</v>
      </c>
      <c r="H251" s="129">
        <f>SUMPRODUCT(SUMIF(fr2223g1to6dst_cep!$E$2:$E$328,ActiveDistricts!$D251:$F251,fr2223g1to6dst_cep!$G$2:$G$328))</f>
        <v>419</v>
      </c>
      <c r="I251" s="129">
        <f>SUMPRODUCT(SUMIF(fr2223g1to6dst_cep!$E$2:$E$328,ActiveDistricts!$D251:$F251,fr2223g1to6dst_cep!$H$2:$H$328))</f>
        <v>163</v>
      </c>
      <c r="J251">
        <f t="shared" si="3"/>
        <v>0.38902147971360385</v>
      </c>
      <c r="M251">
        <v>237</v>
      </c>
    </row>
    <row r="252" spans="1:13" x14ac:dyDescent="0.2">
      <c r="A252">
        <v>2024</v>
      </c>
      <c r="B252" t="s">
        <v>690</v>
      </c>
      <c r="C252" t="s">
        <v>571</v>
      </c>
      <c r="D252" t="s">
        <v>687</v>
      </c>
      <c r="E252" t="s">
        <v>687</v>
      </c>
      <c r="F252" t="s">
        <v>571</v>
      </c>
      <c r="G252" t="s">
        <v>92</v>
      </c>
      <c r="H252" s="129">
        <f>SUMPRODUCT(SUMIF(fr2223g1to6dst_cep!$E$2:$E$328,ActiveDistricts!$D252:$F252,fr2223g1to6dst_cep!$G$2:$G$328))</f>
        <v>290</v>
      </c>
      <c r="I252" s="129">
        <f>SUMPRODUCT(SUMIF(fr2223g1to6dst_cep!$E$2:$E$328,ActiveDistricts!$D252:$F252,fr2223g1to6dst_cep!$H$2:$H$328))</f>
        <v>157</v>
      </c>
      <c r="J252">
        <f t="shared" si="3"/>
        <v>0.54137931034482756</v>
      </c>
      <c r="M252">
        <v>1102.5999999999999</v>
      </c>
    </row>
    <row r="253" spans="1:13" x14ac:dyDescent="0.2">
      <c r="A253">
        <v>2024</v>
      </c>
      <c r="B253" t="s">
        <v>689</v>
      </c>
      <c r="C253" t="s">
        <v>572</v>
      </c>
      <c r="D253" t="s">
        <v>687</v>
      </c>
      <c r="E253" t="s">
        <v>687</v>
      </c>
      <c r="F253" t="s">
        <v>572</v>
      </c>
      <c r="G253" t="s">
        <v>91</v>
      </c>
      <c r="H253" s="129">
        <f>SUMPRODUCT(SUMIF(fr2223g1to6dst_cep!$E$2:$E$328,ActiveDistricts!$D253:$F253,fr2223g1to6dst_cep!$G$2:$G$328))</f>
        <v>208</v>
      </c>
      <c r="I253" s="129">
        <f>SUMPRODUCT(SUMIF(fr2223g1to6dst_cep!$E$2:$E$328,ActiveDistricts!$D253:$F253,fr2223g1to6dst_cep!$H$2:$H$328))</f>
        <v>109</v>
      </c>
      <c r="J253">
        <f t="shared" si="3"/>
        <v>0.52403846153846156</v>
      </c>
      <c r="M253">
        <v>1050.3</v>
      </c>
    </row>
    <row r="254" spans="1:13" x14ac:dyDescent="0.2">
      <c r="A254">
        <v>2024</v>
      </c>
      <c r="B254" t="s">
        <v>692</v>
      </c>
      <c r="C254" t="s">
        <v>573</v>
      </c>
      <c r="D254" t="s">
        <v>687</v>
      </c>
      <c r="E254" t="s">
        <v>687</v>
      </c>
      <c r="F254" t="s">
        <v>573</v>
      </c>
      <c r="G254" t="s">
        <v>90</v>
      </c>
      <c r="H254" s="129">
        <f>SUMPRODUCT(SUMIF(fr2223g1to6dst_cep!$E$2:$E$328,ActiveDistricts!$D254:$F254,fr2223g1to6dst_cep!$G$2:$G$328))</f>
        <v>249</v>
      </c>
      <c r="I254" s="129">
        <f>SUMPRODUCT(SUMIF(fr2223g1to6dst_cep!$E$2:$E$328,ActiveDistricts!$D254:$F254,fr2223g1to6dst_cep!$H$2:$H$328))</f>
        <v>99</v>
      </c>
      <c r="J254">
        <f t="shared" si="3"/>
        <v>0.39759036144578314</v>
      </c>
      <c r="M254">
        <v>689</v>
      </c>
    </row>
    <row r="255" spans="1:13" x14ac:dyDescent="0.2">
      <c r="A255">
        <v>2024</v>
      </c>
      <c r="B255" t="s">
        <v>690</v>
      </c>
      <c r="C255" t="s">
        <v>574</v>
      </c>
      <c r="D255" t="s">
        <v>687</v>
      </c>
      <c r="E255" t="s">
        <v>687</v>
      </c>
      <c r="F255" t="s">
        <v>574</v>
      </c>
      <c r="G255" t="s">
        <v>89</v>
      </c>
      <c r="H255" s="129">
        <f>SUMPRODUCT(SUMIF(fr2223g1to6dst_cep!$E$2:$E$328,ActiveDistricts!$D255:$F255,fr2223g1to6dst_cep!$G$2:$G$328))</f>
        <v>689</v>
      </c>
      <c r="I255" s="129">
        <f>SUMPRODUCT(SUMIF(fr2223g1to6dst_cep!$E$2:$E$328,ActiveDistricts!$D255:$F255,fr2223g1to6dst_cep!$H$2:$H$328))</f>
        <v>306</v>
      </c>
      <c r="J255">
        <f t="shared" si="3"/>
        <v>0.44412191582002902</v>
      </c>
      <c r="M255">
        <v>386</v>
      </c>
    </row>
    <row r="256" spans="1:13" x14ac:dyDescent="0.2">
      <c r="A256">
        <v>2024</v>
      </c>
      <c r="B256" t="s">
        <v>691</v>
      </c>
      <c r="C256" t="s">
        <v>576</v>
      </c>
      <c r="D256" t="s">
        <v>687</v>
      </c>
      <c r="E256" t="s">
        <v>687</v>
      </c>
      <c r="F256" t="s">
        <v>649</v>
      </c>
      <c r="G256" t="s">
        <v>88</v>
      </c>
      <c r="H256" s="129">
        <f>SUMPRODUCT(SUMIF(fr2223g1to6dst_cep!$E$2:$E$328,ActiveDistricts!$D256:$F256,fr2223g1to6dst_cep!$G$2:$G$328))</f>
        <v>187</v>
      </c>
      <c r="I256" s="129">
        <f>SUMPRODUCT(SUMIF(fr2223g1to6dst_cep!$E$2:$E$328,ActiveDistricts!$D256:$F256,fr2223g1to6dst_cep!$H$2:$H$328))</f>
        <v>69</v>
      </c>
      <c r="J256">
        <f t="shared" si="3"/>
        <v>0.36898395721925131</v>
      </c>
      <c r="M256">
        <v>552.29999999999995</v>
      </c>
    </row>
    <row r="257" spans="1:13" x14ac:dyDescent="0.2">
      <c r="A257">
        <v>2024</v>
      </c>
      <c r="B257" t="s">
        <v>690</v>
      </c>
      <c r="C257" t="s">
        <v>575</v>
      </c>
      <c r="D257" t="s">
        <v>687</v>
      </c>
      <c r="E257" t="s">
        <v>687</v>
      </c>
      <c r="F257" t="s">
        <v>575</v>
      </c>
      <c r="G257" t="s">
        <v>87</v>
      </c>
      <c r="H257" s="129">
        <f>SUMPRODUCT(SUMIF(fr2223g1to6dst_cep!$E$2:$E$328,ActiveDistricts!$D257:$F257,fr2223g1to6dst_cep!$G$2:$G$328))</f>
        <v>6351</v>
      </c>
      <c r="I257" s="129">
        <f>SUMPRODUCT(SUMIF(fr2223g1to6dst_cep!$E$2:$E$328,ActiveDistricts!$D257:$F257,fr2223g1to6dst_cep!$H$2:$H$328))</f>
        <v>4528</v>
      </c>
      <c r="J257">
        <f t="shared" si="3"/>
        <v>0.71295858919855137</v>
      </c>
      <c r="M257">
        <v>1500.4</v>
      </c>
    </row>
    <row r="258" spans="1:13" x14ac:dyDescent="0.2">
      <c r="A258">
        <v>2024</v>
      </c>
      <c r="B258" t="s">
        <v>693</v>
      </c>
      <c r="C258" t="s">
        <v>578</v>
      </c>
      <c r="D258" t="s">
        <v>687</v>
      </c>
      <c r="E258" t="s">
        <v>687</v>
      </c>
      <c r="F258" t="s">
        <v>578</v>
      </c>
      <c r="G258" t="s">
        <v>85</v>
      </c>
      <c r="H258" s="129">
        <f>SUMPRODUCT(SUMIF(fr2223g1to6dst_cep!$E$2:$E$328,ActiveDistricts!$D258:$F258,fr2223g1to6dst_cep!$G$2:$G$328))</f>
        <v>621</v>
      </c>
      <c r="I258" s="129">
        <f>SUMPRODUCT(SUMIF(fr2223g1to6dst_cep!$E$2:$E$328,ActiveDistricts!$D258:$F258,fr2223g1to6dst_cep!$H$2:$H$328))</f>
        <v>48</v>
      </c>
      <c r="J258">
        <f t="shared" si="3"/>
        <v>7.7294685990338161E-2</v>
      </c>
      <c r="M258">
        <v>441.3</v>
      </c>
    </row>
    <row r="259" spans="1:13" x14ac:dyDescent="0.2">
      <c r="A259">
        <v>2024</v>
      </c>
      <c r="B259" t="s">
        <v>691</v>
      </c>
      <c r="C259" t="s">
        <v>577</v>
      </c>
      <c r="D259" t="s">
        <v>687</v>
      </c>
      <c r="E259" t="s">
        <v>687</v>
      </c>
      <c r="F259" t="s">
        <v>577</v>
      </c>
      <c r="G259" t="s">
        <v>86</v>
      </c>
      <c r="H259" s="129">
        <f>SUMPRODUCT(SUMIF(fr2223g1to6dst_cep!$E$2:$E$328,ActiveDistricts!$D259:$F259,fr2223g1to6dst_cep!$G$2:$G$328))</f>
        <v>376</v>
      </c>
      <c r="I259" s="129">
        <f>SUMPRODUCT(SUMIF(fr2223g1to6dst_cep!$E$2:$E$328,ActiveDistricts!$D259:$F259,fr2223g1to6dst_cep!$H$2:$H$328))</f>
        <v>187</v>
      </c>
      <c r="J259">
        <f t="shared" ref="J259:J322" si="4">I259/H259</f>
        <v>0.49734042553191488</v>
      </c>
      <c r="M259">
        <v>14839.5</v>
      </c>
    </row>
    <row r="260" spans="1:13" x14ac:dyDescent="0.2">
      <c r="A260">
        <v>2024</v>
      </c>
      <c r="B260" t="s">
        <v>691</v>
      </c>
      <c r="C260" t="s">
        <v>580</v>
      </c>
      <c r="D260" t="s">
        <v>687</v>
      </c>
      <c r="E260" t="s">
        <v>687</v>
      </c>
      <c r="F260" t="s">
        <v>580</v>
      </c>
      <c r="G260" t="s">
        <v>83</v>
      </c>
      <c r="H260" s="129">
        <f>SUMPRODUCT(SUMIF(fr2223g1to6dst_cep!$E$2:$E$328,ActiveDistricts!$D260:$F260,fr2223g1to6dst_cep!$G$2:$G$328))</f>
        <v>274</v>
      </c>
      <c r="I260" s="129">
        <f>SUMPRODUCT(SUMIF(fr2223g1to6dst_cep!$E$2:$E$328,ActiveDistricts!$D260:$F260,fr2223g1to6dst_cep!$H$2:$H$328))</f>
        <v>85</v>
      </c>
      <c r="J260">
        <f t="shared" si="4"/>
        <v>0.31021897810218979</v>
      </c>
      <c r="M260">
        <v>1451.3</v>
      </c>
    </row>
    <row r="261" spans="1:13" x14ac:dyDescent="0.2">
      <c r="A261">
        <v>2024</v>
      </c>
      <c r="B261" t="s">
        <v>690</v>
      </c>
      <c r="C261" t="s">
        <v>545</v>
      </c>
      <c r="D261" t="s">
        <v>687</v>
      </c>
      <c r="E261" t="s">
        <v>687</v>
      </c>
      <c r="F261" t="s">
        <v>647</v>
      </c>
      <c r="G261" t="s">
        <v>80</v>
      </c>
      <c r="H261" s="129">
        <f>SUMPRODUCT(SUMIF(fr2223g1to6dst_cep!$E$2:$E$328,ActiveDistricts!$D261:$F261,fr2223g1to6dst_cep!$G$2:$G$328))</f>
        <v>209</v>
      </c>
      <c r="I261" s="129">
        <f>SUMPRODUCT(SUMIF(fr2223g1to6dst_cep!$E$2:$E$328,ActiveDistricts!$D261:$F261,fr2223g1to6dst_cep!$H$2:$H$328))</f>
        <v>79</v>
      </c>
      <c r="J261">
        <f t="shared" si="4"/>
        <v>0.37799043062200954</v>
      </c>
      <c r="M261">
        <v>928.5</v>
      </c>
    </row>
    <row r="262" spans="1:13" x14ac:dyDescent="0.2">
      <c r="A262">
        <v>2024</v>
      </c>
      <c r="B262" t="s">
        <v>689</v>
      </c>
      <c r="C262" t="s">
        <v>582</v>
      </c>
      <c r="D262" t="s">
        <v>687</v>
      </c>
      <c r="E262" t="s">
        <v>687</v>
      </c>
      <c r="F262" t="s">
        <v>582</v>
      </c>
      <c r="G262" t="s">
        <v>82</v>
      </c>
      <c r="H262" s="129">
        <f>SUMPRODUCT(SUMIF(fr2223g1to6dst_cep!$E$2:$E$328,ActiveDistricts!$D262:$F262,fr2223g1to6dst_cep!$G$2:$G$328))</f>
        <v>49</v>
      </c>
      <c r="I262" s="129">
        <f>SUMPRODUCT(SUMIF(fr2223g1to6dst_cep!$E$2:$E$328,ActiveDistricts!$D262:$F262,fr2223g1to6dst_cep!$H$2:$H$328))</f>
        <v>38</v>
      </c>
      <c r="J262">
        <f t="shared" si="4"/>
        <v>0.77551020408163263</v>
      </c>
      <c r="M262">
        <v>626.70000000000005</v>
      </c>
    </row>
    <row r="263" spans="1:13" x14ac:dyDescent="0.2">
      <c r="A263">
        <v>2024</v>
      </c>
      <c r="B263" t="s">
        <v>688</v>
      </c>
      <c r="C263" t="s">
        <v>583</v>
      </c>
      <c r="D263" t="s">
        <v>687</v>
      </c>
      <c r="E263" t="s">
        <v>687</v>
      </c>
      <c r="F263" t="s">
        <v>583</v>
      </c>
      <c r="G263" t="s">
        <v>674</v>
      </c>
      <c r="H263" s="129">
        <f>SUMPRODUCT(SUMIF(fr2223g1to6dst_cep!$E$2:$E$328,ActiveDistricts!$D263:$F263,fr2223g1to6dst_cep!$G$2:$G$328))</f>
        <v>629</v>
      </c>
      <c r="I263" s="129">
        <f>SUMPRODUCT(SUMIF(fr2223g1to6dst_cep!$E$2:$E$328,ActiveDistricts!$D263:$F263,fr2223g1to6dst_cep!$H$2:$H$328))</f>
        <v>411</v>
      </c>
      <c r="J263">
        <f t="shared" si="4"/>
        <v>0.65341812400635935</v>
      </c>
      <c r="M263">
        <v>561.5</v>
      </c>
    </row>
    <row r="264" spans="1:13" x14ac:dyDescent="0.2">
      <c r="A264">
        <v>2024</v>
      </c>
      <c r="B264" t="s">
        <v>695</v>
      </c>
      <c r="C264" t="s">
        <v>584</v>
      </c>
      <c r="D264" t="s">
        <v>687</v>
      </c>
      <c r="E264" t="s">
        <v>687</v>
      </c>
      <c r="F264" t="s">
        <v>584</v>
      </c>
      <c r="G264" t="s">
        <v>79</v>
      </c>
      <c r="H264" s="129">
        <f>SUMPRODUCT(SUMIF(fr2223g1to6dst_cep!$E$2:$E$328,ActiveDistricts!$D264:$F264,fr2223g1to6dst_cep!$G$2:$G$328))</f>
        <v>189</v>
      </c>
      <c r="I264" s="129">
        <f>SUMPRODUCT(SUMIF(fr2223g1to6dst_cep!$E$2:$E$328,ActiveDistricts!$D264:$F264,fr2223g1to6dst_cep!$H$2:$H$328))</f>
        <v>63</v>
      </c>
      <c r="J264">
        <f t="shared" si="4"/>
        <v>0.33333333333333331</v>
      </c>
      <c r="M264">
        <v>193.4</v>
      </c>
    </row>
    <row r="265" spans="1:13" x14ac:dyDescent="0.2">
      <c r="A265">
        <v>2024</v>
      </c>
      <c r="B265" t="s">
        <v>686</v>
      </c>
      <c r="C265" t="s">
        <v>585</v>
      </c>
      <c r="D265" t="s">
        <v>687</v>
      </c>
      <c r="E265" t="s">
        <v>687</v>
      </c>
      <c r="F265" t="s">
        <v>585</v>
      </c>
      <c r="G265" t="s">
        <v>78</v>
      </c>
      <c r="H265" s="129">
        <f>SUMPRODUCT(SUMIF(fr2223g1to6dst_cep!$E$2:$E$328,ActiveDistricts!$D265:$F265,fr2223g1to6dst_cep!$G$2:$G$328))</f>
        <v>3088</v>
      </c>
      <c r="I265" s="129">
        <f>SUMPRODUCT(SUMIF(fr2223g1to6dst_cep!$E$2:$E$328,ActiveDistricts!$D265:$F265,fr2223g1to6dst_cep!$H$2:$H$328))</f>
        <v>1186</v>
      </c>
      <c r="J265">
        <f t="shared" si="4"/>
        <v>0.38406735751295334</v>
      </c>
      <c r="M265">
        <v>1447.4</v>
      </c>
    </row>
    <row r="266" spans="1:13" x14ac:dyDescent="0.2">
      <c r="A266">
        <v>2024</v>
      </c>
      <c r="B266" t="s">
        <v>686</v>
      </c>
      <c r="C266" t="s">
        <v>579</v>
      </c>
      <c r="D266" t="s">
        <v>687</v>
      </c>
      <c r="E266" t="s">
        <v>687</v>
      </c>
      <c r="F266" t="s">
        <v>579</v>
      </c>
      <c r="G266" t="s">
        <v>84</v>
      </c>
      <c r="H266" s="129">
        <f>SUMPRODUCT(SUMIF(fr2223g1to6dst_cep!$E$2:$E$328,ActiveDistricts!$D266:$F266,fr2223g1to6dst_cep!$G$2:$G$328))</f>
        <v>179</v>
      </c>
      <c r="I266" s="129">
        <f>SUMPRODUCT(SUMIF(fr2223g1to6dst_cep!$E$2:$E$328,ActiveDistricts!$D266:$F266,fr2223g1to6dst_cep!$H$2:$H$328))</f>
        <v>63</v>
      </c>
      <c r="J266">
        <f t="shared" si="4"/>
        <v>0.35195530726256985</v>
      </c>
      <c r="M266">
        <v>516.70000000000005</v>
      </c>
    </row>
    <row r="267" spans="1:13" x14ac:dyDescent="0.2">
      <c r="A267">
        <v>2024</v>
      </c>
      <c r="B267" t="s">
        <v>691</v>
      </c>
      <c r="C267" t="s">
        <v>581</v>
      </c>
      <c r="D267" t="s">
        <v>554</v>
      </c>
      <c r="E267" t="s">
        <v>687</v>
      </c>
      <c r="F267" t="s">
        <v>581</v>
      </c>
      <c r="G267" t="s">
        <v>1274</v>
      </c>
      <c r="H267" s="129">
        <f>SUMPRODUCT(SUMIF(fr2223g1to6dst_cep!$E$2:$E$328,ActiveDistricts!$D267:$F267,fr2223g1to6dst_cep!$G$2:$G$328))</f>
        <v>451</v>
      </c>
      <c r="I267" s="129">
        <f>SUMPRODUCT(SUMIF(fr2223g1to6dst_cep!$E$2:$E$328,ActiveDistricts!$D267:$F267,fr2223g1to6dst_cep!$H$2:$H$328))</f>
        <v>202</v>
      </c>
      <c r="J267">
        <f t="shared" si="4"/>
        <v>0.44789356984478934</v>
      </c>
      <c r="M267">
        <v>7211</v>
      </c>
    </row>
    <row r="268" spans="1:13" x14ac:dyDescent="0.2">
      <c r="A268">
        <v>2024</v>
      </c>
      <c r="B268" t="s">
        <v>691</v>
      </c>
      <c r="C268" t="s">
        <v>586</v>
      </c>
      <c r="D268" t="s">
        <v>687</v>
      </c>
      <c r="E268" t="s">
        <v>687</v>
      </c>
      <c r="F268" t="s">
        <v>586</v>
      </c>
      <c r="G268" t="s">
        <v>77</v>
      </c>
      <c r="H268" s="129">
        <f>SUMPRODUCT(SUMIF(fr2223g1to6dst_cep!$E$2:$E$328,ActiveDistricts!$D268:$F268,fr2223g1to6dst_cep!$G$2:$G$328))</f>
        <v>921</v>
      </c>
      <c r="I268" s="129">
        <f>SUMPRODUCT(SUMIF(fr2223g1to6dst_cep!$E$2:$E$328,ActiveDistricts!$D268:$F268,fr2223g1to6dst_cep!$H$2:$H$328))</f>
        <v>455</v>
      </c>
      <c r="J268">
        <f t="shared" si="4"/>
        <v>0.49402823018458197</v>
      </c>
      <c r="M268">
        <v>505.7</v>
      </c>
    </row>
    <row r="269" spans="1:13" x14ac:dyDescent="0.2">
      <c r="A269">
        <v>2024</v>
      </c>
      <c r="B269" t="s">
        <v>691</v>
      </c>
      <c r="C269" t="s">
        <v>587</v>
      </c>
      <c r="D269" t="s">
        <v>687</v>
      </c>
      <c r="E269" t="s">
        <v>687</v>
      </c>
      <c r="F269" t="s">
        <v>587</v>
      </c>
      <c r="G269" t="s">
        <v>76</v>
      </c>
      <c r="H269" s="129">
        <f>SUMPRODUCT(SUMIF(fr2223g1to6dst_cep!$E$2:$E$328,ActiveDistricts!$D269:$F269,fr2223g1to6dst_cep!$G$2:$G$328))</f>
        <v>533</v>
      </c>
      <c r="I269" s="129">
        <f>SUMPRODUCT(SUMIF(fr2223g1to6dst_cep!$E$2:$E$328,ActiveDistricts!$D269:$F269,fr2223g1to6dst_cep!$H$2:$H$328))</f>
        <v>156</v>
      </c>
      <c r="J269">
        <f t="shared" si="4"/>
        <v>0.29268292682926828</v>
      </c>
      <c r="M269">
        <v>524.29999999999995</v>
      </c>
    </row>
    <row r="270" spans="1:13" x14ac:dyDescent="0.2">
      <c r="A270">
        <v>2024</v>
      </c>
      <c r="B270" t="s">
        <v>693</v>
      </c>
      <c r="C270" t="s">
        <v>588</v>
      </c>
      <c r="D270" t="s">
        <v>687</v>
      </c>
      <c r="E270" t="s">
        <v>687</v>
      </c>
      <c r="F270" t="s">
        <v>588</v>
      </c>
      <c r="G270" t="s">
        <v>75</v>
      </c>
      <c r="H270" s="129">
        <f>SUMPRODUCT(SUMIF(fr2223g1to6dst_cep!$E$2:$E$328,ActiveDistricts!$D270:$F270,fr2223g1to6dst_cep!$G$2:$G$328))</f>
        <v>188</v>
      </c>
      <c r="I270" s="129">
        <f>SUMPRODUCT(SUMIF(fr2223g1to6dst_cep!$E$2:$E$328,ActiveDistricts!$D270:$F270,fr2223g1to6dst_cep!$H$2:$H$328))</f>
        <v>48</v>
      </c>
      <c r="J270">
        <f t="shared" si="4"/>
        <v>0.25531914893617019</v>
      </c>
      <c r="M270">
        <v>2025.3</v>
      </c>
    </row>
    <row r="271" spans="1:13" x14ac:dyDescent="0.2">
      <c r="A271">
        <v>2024</v>
      </c>
      <c r="B271" t="s">
        <v>688</v>
      </c>
      <c r="C271" t="s">
        <v>562</v>
      </c>
      <c r="D271" t="s">
        <v>687</v>
      </c>
      <c r="E271" t="s">
        <v>687</v>
      </c>
      <c r="F271" t="s">
        <v>562</v>
      </c>
      <c r="G271" t="s">
        <v>100</v>
      </c>
      <c r="H271" s="129">
        <f>SUMPRODUCT(SUMIF(fr2223g1to6dst_cep!$E$2:$E$328,ActiveDistricts!$D271:$F271,fr2223g1to6dst_cep!$G$2:$G$328))</f>
        <v>262</v>
      </c>
      <c r="I271" s="129">
        <f>SUMPRODUCT(SUMIF(fr2223g1to6dst_cep!$E$2:$E$328,ActiveDistricts!$D271:$F271,fr2223g1to6dst_cep!$H$2:$H$328))</f>
        <v>66</v>
      </c>
      <c r="J271">
        <f t="shared" si="4"/>
        <v>0.25190839694656486</v>
      </c>
      <c r="M271">
        <v>1167.9000000000001</v>
      </c>
    </row>
    <row r="272" spans="1:13" x14ac:dyDescent="0.2">
      <c r="A272">
        <v>2024</v>
      </c>
      <c r="B272" t="s">
        <v>689</v>
      </c>
      <c r="C272" t="s">
        <v>589</v>
      </c>
      <c r="D272" t="s">
        <v>687</v>
      </c>
      <c r="E272" t="s">
        <v>687</v>
      </c>
      <c r="F272" t="s">
        <v>589</v>
      </c>
      <c r="G272" t="s">
        <v>74</v>
      </c>
      <c r="H272" s="129">
        <f>SUMPRODUCT(SUMIF(fr2223g1to6dst_cep!$E$2:$E$328,ActiveDistricts!$D272:$F272,fr2223g1to6dst_cep!$G$2:$G$328))</f>
        <v>129</v>
      </c>
      <c r="I272" s="129">
        <f>SUMPRODUCT(SUMIF(fr2223g1to6dst_cep!$E$2:$E$328,ActiveDistricts!$D272:$F272,fr2223g1to6dst_cep!$H$2:$H$328))</f>
        <v>61</v>
      </c>
      <c r="J272">
        <f t="shared" si="4"/>
        <v>0.47286821705426357</v>
      </c>
      <c r="M272">
        <v>406.7</v>
      </c>
    </row>
    <row r="273" spans="1:13" x14ac:dyDescent="0.2">
      <c r="A273">
        <v>2024</v>
      </c>
      <c r="B273" t="s">
        <v>695</v>
      </c>
      <c r="C273" t="s">
        <v>590</v>
      </c>
      <c r="D273" t="s">
        <v>687</v>
      </c>
      <c r="E273" t="s">
        <v>687</v>
      </c>
      <c r="F273" t="s">
        <v>590</v>
      </c>
      <c r="G273" t="s">
        <v>73</v>
      </c>
      <c r="H273" s="129">
        <f>SUMPRODUCT(SUMIF(fr2223g1to6dst_cep!$E$2:$E$328,ActiveDistricts!$D273:$F273,fr2223g1to6dst_cep!$G$2:$G$328))</f>
        <v>224</v>
      </c>
      <c r="I273" s="129">
        <f>SUMPRODUCT(SUMIF(fr2223g1to6dst_cep!$E$2:$E$328,ActiveDistricts!$D273:$F273,fr2223g1to6dst_cep!$H$2:$H$328))</f>
        <v>90</v>
      </c>
      <c r="J273">
        <f t="shared" si="4"/>
        <v>0.4017857142857143</v>
      </c>
      <c r="M273">
        <v>570.70000000000005</v>
      </c>
    </row>
    <row r="274" spans="1:13" x14ac:dyDescent="0.2">
      <c r="A274">
        <v>2024</v>
      </c>
      <c r="B274" t="s">
        <v>691</v>
      </c>
      <c r="C274" t="s">
        <v>591</v>
      </c>
      <c r="D274" t="s">
        <v>687</v>
      </c>
      <c r="E274" t="s">
        <v>687</v>
      </c>
      <c r="F274" t="s">
        <v>591</v>
      </c>
      <c r="G274" t="s">
        <v>72</v>
      </c>
      <c r="H274" s="129">
        <f>SUMPRODUCT(SUMIF(fr2223g1to6dst_cep!$E$2:$E$328,ActiveDistricts!$D274:$F274,fr2223g1to6dst_cep!$G$2:$G$328))</f>
        <v>1208</v>
      </c>
      <c r="I274" s="129">
        <f>SUMPRODUCT(SUMIF(fr2223g1to6dst_cep!$E$2:$E$328,ActiveDistricts!$D274:$F274,fr2223g1to6dst_cep!$H$2:$H$328))</f>
        <v>884</v>
      </c>
      <c r="J274">
        <f t="shared" si="4"/>
        <v>0.73178807947019864</v>
      </c>
      <c r="M274">
        <v>197</v>
      </c>
    </row>
    <row r="275" spans="1:13" x14ac:dyDescent="0.2">
      <c r="A275">
        <v>2024</v>
      </c>
      <c r="B275" t="s">
        <v>691</v>
      </c>
      <c r="C275" t="s">
        <v>592</v>
      </c>
      <c r="D275" t="s">
        <v>687</v>
      </c>
      <c r="E275" t="s">
        <v>687</v>
      </c>
      <c r="F275" t="s">
        <v>592</v>
      </c>
      <c r="G275" t="s">
        <v>71</v>
      </c>
      <c r="H275" s="129">
        <f>SUMPRODUCT(SUMIF(fr2223g1to6dst_cep!$E$2:$E$328,ActiveDistricts!$D275:$F275,fr2223g1to6dst_cep!$G$2:$G$328))</f>
        <v>47</v>
      </c>
      <c r="I275" s="129">
        <f>SUMPRODUCT(SUMIF(fr2223g1to6dst_cep!$E$2:$E$328,ActiveDistricts!$D275:$F275,fr2223g1to6dst_cep!$H$2:$H$328))</f>
        <v>25</v>
      </c>
      <c r="J275">
        <f t="shared" si="4"/>
        <v>0.53191489361702127</v>
      </c>
      <c r="M275">
        <v>584.6</v>
      </c>
    </row>
    <row r="276" spans="1:13" x14ac:dyDescent="0.2">
      <c r="A276">
        <v>2024</v>
      </c>
      <c r="B276" t="s">
        <v>688</v>
      </c>
      <c r="C276" t="s">
        <v>594</v>
      </c>
      <c r="D276" t="s">
        <v>687</v>
      </c>
      <c r="E276" t="s">
        <v>687</v>
      </c>
      <c r="F276" t="s">
        <v>594</v>
      </c>
      <c r="G276" t="s">
        <v>69</v>
      </c>
      <c r="H276" s="129">
        <f>SUMPRODUCT(SUMIF(fr2223g1to6dst_cep!$E$2:$E$328,ActiveDistricts!$D276:$F276,fr2223g1to6dst_cep!$G$2:$G$328))</f>
        <v>335</v>
      </c>
      <c r="I276" s="129">
        <f>SUMPRODUCT(SUMIF(fr2223g1to6dst_cep!$E$2:$E$328,ActiveDistricts!$D276:$F276,fr2223g1to6dst_cep!$H$2:$H$328))</f>
        <v>145</v>
      </c>
      <c r="J276">
        <f t="shared" si="4"/>
        <v>0.43283582089552236</v>
      </c>
      <c r="M276">
        <v>2531.6999999999998</v>
      </c>
    </row>
    <row r="277" spans="1:13" x14ac:dyDescent="0.2">
      <c r="A277">
        <v>2024</v>
      </c>
      <c r="B277" t="s">
        <v>693</v>
      </c>
      <c r="C277" t="s">
        <v>595</v>
      </c>
      <c r="D277" t="s">
        <v>687</v>
      </c>
      <c r="E277" t="s">
        <v>687</v>
      </c>
      <c r="F277" t="s">
        <v>595</v>
      </c>
      <c r="G277" t="s">
        <v>68</v>
      </c>
      <c r="H277" s="129">
        <f>SUMPRODUCT(SUMIF(fr2223g1to6dst_cep!$E$2:$E$328,ActiveDistricts!$D277:$F277,fr2223g1to6dst_cep!$G$2:$G$328))</f>
        <v>387</v>
      </c>
      <c r="I277" s="129">
        <f>SUMPRODUCT(SUMIF(fr2223g1to6dst_cep!$E$2:$E$328,ActiveDistricts!$D277:$F277,fr2223g1to6dst_cep!$H$2:$H$328))</f>
        <v>146</v>
      </c>
      <c r="J277">
        <f t="shared" si="4"/>
        <v>0.37726098191214469</v>
      </c>
      <c r="M277">
        <v>132.80000000000001</v>
      </c>
    </row>
    <row r="278" spans="1:13" x14ac:dyDescent="0.2">
      <c r="A278">
        <v>2024</v>
      </c>
      <c r="B278" t="s">
        <v>689</v>
      </c>
      <c r="C278" t="s">
        <v>596</v>
      </c>
      <c r="D278" t="s">
        <v>687</v>
      </c>
      <c r="E278" t="s">
        <v>687</v>
      </c>
      <c r="F278" t="s">
        <v>596</v>
      </c>
      <c r="G278" t="s">
        <v>67</v>
      </c>
      <c r="H278" s="129">
        <f>SUMPRODUCT(SUMIF(fr2223g1to6dst_cep!$E$2:$E$328,ActiveDistricts!$D278:$F278,fr2223g1to6dst_cep!$G$2:$G$328))</f>
        <v>362</v>
      </c>
      <c r="I278" s="129">
        <f>SUMPRODUCT(SUMIF(fr2223g1to6dst_cep!$E$2:$E$328,ActiveDistricts!$D278:$F278,fr2223g1to6dst_cep!$H$2:$H$328))</f>
        <v>52</v>
      </c>
      <c r="J278">
        <f t="shared" si="4"/>
        <v>0.143646408839779</v>
      </c>
      <c r="M278">
        <v>769.6</v>
      </c>
    </row>
    <row r="279" spans="1:13" x14ac:dyDescent="0.2">
      <c r="A279">
        <v>2024</v>
      </c>
      <c r="B279" t="s">
        <v>689</v>
      </c>
      <c r="C279" t="s">
        <v>597</v>
      </c>
      <c r="D279" t="s">
        <v>687</v>
      </c>
      <c r="E279" t="s">
        <v>687</v>
      </c>
      <c r="F279" t="s">
        <v>597</v>
      </c>
      <c r="G279" t="s">
        <v>66</v>
      </c>
      <c r="H279" s="129">
        <f>SUMPRODUCT(SUMIF(fr2223g1to6dst_cep!$E$2:$E$328,ActiveDistricts!$D279:$F279,fr2223g1to6dst_cep!$G$2:$G$328))</f>
        <v>306</v>
      </c>
      <c r="I279" s="129">
        <f>SUMPRODUCT(SUMIF(fr2223g1to6dst_cep!$E$2:$E$328,ActiveDistricts!$D279:$F279,fr2223g1to6dst_cep!$H$2:$H$328))</f>
        <v>104</v>
      </c>
      <c r="J279">
        <f t="shared" si="4"/>
        <v>0.33986928104575165</v>
      </c>
      <c r="M279">
        <v>828.7</v>
      </c>
    </row>
    <row r="280" spans="1:13" x14ac:dyDescent="0.2">
      <c r="A280">
        <v>2024</v>
      </c>
      <c r="B280" t="s">
        <v>692</v>
      </c>
      <c r="C280" t="s">
        <v>598</v>
      </c>
      <c r="D280" t="s">
        <v>687</v>
      </c>
      <c r="E280" t="s">
        <v>687</v>
      </c>
      <c r="F280" t="s">
        <v>598</v>
      </c>
      <c r="G280" t="s">
        <v>65</v>
      </c>
      <c r="H280" s="129">
        <f>SUMPRODUCT(SUMIF(fr2223g1to6dst_cep!$E$2:$E$328,ActiveDistricts!$D280:$F280,fr2223g1to6dst_cep!$G$2:$G$328))</f>
        <v>70</v>
      </c>
      <c r="I280" s="129">
        <f>SUMPRODUCT(SUMIF(fr2223g1to6dst_cep!$E$2:$E$328,ActiveDistricts!$D280:$F280,fr2223g1to6dst_cep!$H$2:$H$328))</f>
        <v>34</v>
      </c>
      <c r="J280">
        <f t="shared" si="4"/>
        <v>0.48571428571428571</v>
      </c>
      <c r="M280">
        <v>575.20000000000005</v>
      </c>
    </row>
    <row r="281" spans="1:13" x14ac:dyDescent="0.2">
      <c r="A281">
        <v>2024</v>
      </c>
      <c r="B281" t="s">
        <v>688</v>
      </c>
      <c r="C281" t="s">
        <v>599</v>
      </c>
      <c r="D281" t="s">
        <v>687</v>
      </c>
      <c r="E281" t="s">
        <v>687</v>
      </c>
      <c r="F281" t="s">
        <v>599</v>
      </c>
      <c r="G281" t="s">
        <v>64</v>
      </c>
      <c r="H281" s="129">
        <f>SUMPRODUCT(SUMIF(fr2223g1to6dst_cep!$E$2:$E$328,ActiveDistricts!$D281:$F281,fr2223g1to6dst_cep!$G$2:$G$328))</f>
        <v>153</v>
      </c>
      <c r="I281" s="129">
        <f>SUMPRODUCT(SUMIF(fr2223g1to6dst_cep!$E$2:$E$328,ActiveDistricts!$D281:$F281,fr2223g1to6dst_cep!$H$2:$H$328))</f>
        <v>66</v>
      </c>
      <c r="J281">
        <f t="shared" si="4"/>
        <v>0.43137254901960786</v>
      </c>
      <c r="M281">
        <v>656.1</v>
      </c>
    </row>
    <row r="282" spans="1:13" x14ac:dyDescent="0.2">
      <c r="A282">
        <v>2024</v>
      </c>
      <c r="B282" t="s">
        <v>695</v>
      </c>
      <c r="C282" t="s">
        <v>600</v>
      </c>
      <c r="D282" t="s">
        <v>687</v>
      </c>
      <c r="E282" t="s">
        <v>687</v>
      </c>
      <c r="F282" t="s">
        <v>600</v>
      </c>
      <c r="G282" t="s">
        <v>63</v>
      </c>
      <c r="H282" s="129">
        <f>SUMPRODUCT(SUMIF(fr2223g1to6dst_cep!$E$2:$E$328,ActiveDistricts!$D282:$F282,fr2223g1to6dst_cep!$G$2:$G$328))</f>
        <v>129</v>
      </c>
      <c r="I282" s="129">
        <f>SUMPRODUCT(SUMIF(fr2223g1to6dst_cep!$E$2:$E$328,ActiveDistricts!$D282:$F282,fr2223g1to6dst_cep!$H$2:$H$328))</f>
        <v>55</v>
      </c>
      <c r="J282">
        <f t="shared" si="4"/>
        <v>0.4263565891472868</v>
      </c>
      <c r="M282">
        <v>265.8</v>
      </c>
    </row>
    <row r="283" spans="1:13" x14ac:dyDescent="0.2">
      <c r="A283">
        <v>2024</v>
      </c>
      <c r="B283" t="s">
        <v>686</v>
      </c>
      <c r="C283" t="s">
        <v>601</v>
      </c>
      <c r="D283" t="s">
        <v>687</v>
      </c>
      <c r="E283" t="s">
        <v>687</v>
      </c>
      <c r="F283" t="s">
        <v>601</v>
      </c>
      <c r="G283" t="s">
        <v>62</v>
      </c>
      <c r="H283" s="129">
        <f>SUMPRODUCT(SUMIF(fr2223g1to6dst_cep!$E$2:$E$328,ActiveDistricts!$D283:$F283,fr2223g1to6dst_cep!$G$2:$G$328))</f>
        <v>139</v>
      </c>
      <c r="I283" s="129">
        <f>SUMPRODUCT(SUMIF(fr2223g1to6dst_cep!$E$2:$E$328,ActiveDistricts!$D283:$F283,fr2223g1to6dst_cep!$H$2:$H$328))</f>
        <v>70</v>
      </c>
      <c r="J283">
        <f t="shared" si="4"/>
        <v>0.50359712230215825</v>
      </c>
      <c r="M283">
        <v>380.7</v>
      </c>
    </row>
    <row r="284" spans="1:13" x14ac:dyDescent="0.2">
      <c r="A284">
        <v>2024</v>
      </c>
      <c r="B284" t="s">
        <v>691</v>
      </c>
      <c r="C284" t="s">
        <v>602</v>
      </c>
      <c r="D284" t="s">
        <v>687</v>
      </c>
      <c r="E284" t="s">
        <v>687</v>
      </c>
      <c r="F284" t="s">
        <v>602</v>
      </c>
      <c r="G284" t="s">
        <v>61</v>
      </c>
      <c r="H284" s="129">
        <f>SUMPRODUCT(SUMIF(fr2223g1to6dst_cep!$E$2:$E$328,ActiveDistricts!$D284:$F284,fr2223g1to6dst_cep!$G$2:$G$328))</f>
        <v>33</v>
      </c>
      <c r="I284" s="129">
        <f>SUMPRODUCT(SUMIF(fr2223g1to6dst_cep!$E$2:$E$328,ActiveDistricts!$D284:$F284,fr2223g1to6dst_cep!$H$2:$H$328))</f>
        <v>16</v>
      </c>
      <c r="J284">
        <f t="shared" si="4"/>
        <v>0.48484848484848486</v>
      </c>
      <c r="M284">
        <v>354.8</v>
      </c>
    </row>
    <row r="285" spans="1:13" x14ac:dyDescent="0.2">
      <c r="A285">
        <v>2024</v>
      </c>
      <c r="B285" t="s">
        <v>689</v>
      </c>
      <c r="C285" t="s">
        <v>603</v>
      </c>
      <c r="D285" t="s">
        <v>687</v>
      </c>
      <c r="E285" t="s">
        <v>687</v>
      </c>
      <c r="F285" t="s">
        <v>603</v>
      </c>
      <c r="G285" t="s">
        <v>60</v>
      </c>
      <c r="H285" s="129">
        <f>SUMPRODUCT(SUMIF(fr2223g1to6dst_cep!$E$2:$E$328,ActiveDistricts!$D285:$F285,fr2223g1to6dst_cep!$G$2:$G$328))</f>
        <v>349</v>
      </c>
      <c r="I285" s="129">
        <f>SUMPRODUCT(SUMIF(fr2223g1to6dst_cep!$E$2:$E$328,ActiveDistricts!$D285:$F285,fr2223g1to6dst_cep!$H$2:$H$328))</f>
        <v>53</v>
      </c>
      <c r="J285">
        <f t="shared" si="4"/>
        <v>0.15186246418338109</v>
      </c>
      <c r="M285">
        <v>323</v>
      </c>
    </row>
    <row r="286" spans="1:13" x14ac:dyDescent="0.2">
      <c r="A286">
        <v>2024</v>
      </c>
      <c r="B286" t="s">
        <v>688</v>
      </c>
      <c r="C286" t="s">
        <v>407</v>
      </c>
      <c r="D286" t="s">
        <v>687</v>
      </c>
      <c r="E286" t="s">
        <v>687</v>
      </c>
      <c r="F286" t="s">
        <v>644</v>
      </c>
      <c r="G286" t="s">
        <v>59</v>
      </c>
      <c r="H286" s="129">
        <f>SUMPRODUCT(SUMIF(fr2223g1to6dst_cep!$E$2:$E$328,ActiveDistricts!$D286:$F286,fr2223g1to6dst_cep!$G$2:$G$328))</f>
        <v>434</v>
      </c>
      <c r="I286" s="129">
        <f>SUMPRODUCT(SUMIF(fr2223g1to6dst_cep!$E$2:$E$328,ActiveDistricts!$D286:$F286,fr2223g1to6dst_cep!$H$2:$H$328))</f>
        <v>123</v>
      </c>
      <c r="J286">
        <f t="shared" si="4"/>
        <v>0.28341013824884792</v>
      </c>
      <c r="M286">
        <v>160</v>
      </c>
    </row>
    <row r="287" spans="1:13" x14ac:dyDescent="0.2">
      <c r="A287">
        <v>2024</v>
      </c>
      <c r="B287" t="s">
        <v>686</v>
      </c>
      <c r="C287" t="s">
        <v>604</v>
      </c>
      <c r="D287" t="s">
        <v>687</v>
      </c>
      <c r="E287" t="s">
        <v>687</v>
      </c>
      <c r="F287" t="s">
        <v>604</v>
      </c>
      <c r="G287" t="s">
        <v>58</v>
      </c>
      <c r="H287" s="129">
        <f>SUMPRODUCT(SUMIF(fr2223g1to6dst_cep!$E$2:$E$328,ActiveDistricts!$D287:$F287,fr2223g1to6dst_cep!$G$2:$G$328))</f>
        <v>226</v>
      </c>
      <c r="I287" s="129">
        <f>SUMPRODUCT(SUMIF(fr2223g1to6dst_cep!$E$2:$E$328,ActiveDistricts!$D287:$F287,fr2223g1to6dst_cep!$H$2:$H$328))</f>
        <v>58</v>
      </c>
      <c r="J287">
        <f t="shared" si="4"/>
        <v>0.25663716814159293</v>
      </c>
      <c r="M287">
        <v>764.7</v>
      </c>
    </row>
    <row r="288" spans="1:13" x14ac:dyDescent="0.2">
      <c r="A288">
        <v>2024</v>
      </c>
      <c r="B288" t="s">
        <v>686</v>
      </c>
      <c r="C288" t="s">
        <v>605</v>
      </c>
      <c r="D288" t="s">
        <v>687</v>
      </c>
      <c r="E288" t="s">
        <v>687</v>
      </c>
      <c r="F288" t="s">
        <v>605</v>
      </c>
      <c r="G288" t="s">
        <v>57</v>
      </c>
      <c r="H288" s="129">
        <f>SUMPRODUCT(SUMIF(fr2223g1to6dst_cep!$E$2:$E$328,ActiveDistricts!$D288:$F288,fr2223g1to6dst_cep!$G$2:$G$328))</f>
        <v>1796</v>
      </c>
      <c r="I288" s="129">
        <f>SUMPRODUCT(SUMIF(fr2223g1to6dst_cep!$E$2:$E$328,ActiveDistricts!$D288:$F288,fr2223g1to6dst_cep!$H$2:$H$328))</f>
        <v>757</v>
      </c>
      <c r="J288">
        <f t="shared" si="4"/>
        <v>0.42149220489977729</v>
      </c>
      <c r="M288">
        <v>965.5</v>
      </c>
    </row>
    <row r="289" spans="1:13" x14ac:dyDescent="0.2">
      <c r="A289">
        <v>2024</v>
      </c>
      <c r="B289" t="s">
        <v>692</v>
      </c>
      <c r="C289" t="s">
        <v>606</v>
      </c>
      <c r="D289" t="s">
        <v>687</v>
      </c>
      <c r="E289" t="s">
        <v>687</v>
      </c>
      <c r="F289" t="s">
        <v>606</v>
      </c>
      <c r="G289" t="s">
        <v>699</v>
      </c>
      <c r="H289" s="129">
        <f>SUMPRODUCT(SUMIF(fr2223g1to6dst_cep!$E$2:$E$328,ActiveDistricts!$D289:$F289,fr2223g1to6dst_cep!$G$2:$G$328))</f>
        <v>384</v>
      </c>
      <c r="I289" s="129">
        <f>SUMPRODUCT(SUMIF(fr2223g1to6dst_cep!$E$2:$E$328,ActiveDistricts!$D289:$F289,fr2223g1to6dst_cep!$H$2:$H$328))</f>
        <v>233</v>
      </c>
      <c r="J289">
        <f t="shared" si="4"/>
        <v>0.60677083333333337</v>
      </c>
      <c r="M289">
        <v>385.9</v>
      </c>
    </row>
    <row r="290" spans="1:13" x14ac:dyDescent="0.2">
      <c r="A290">
        <v>2024</v>
      </c>
      <c r="B290" t="s">
        <v>686</v>
      </c>
      <c r="C290" t="s">
        <v>607</v>
      </c>
      <c r="D290" t="s">
        <v>687</v>
      </c>
      <c r="E290" t="s">
        <v>687</v>
      </c>
      <c r="F290" t="s">
        <v>607</v>
      </c>
      <c r="G290" t="s">
        <v>56</v>
      </c>
      <c r="H290" s="129">
        <f>SUMPRODUCT(SUMIF(fr2223g1to6dst_cep!$E$2:$E$328,ActiveDistricts!$D290:$F290,fr2223g1to6dst_cep!$G$2:$G$328))</f>
        <v>488</v>
      </c>
      <c r="I290" s="129">
        <f>SUMPRODUCT(SUMIF(fr2223g1to6dst_cep!$E$2:$E$328,ActiveDistricts!$D290:$F290,fr2223g1to6dst_cep!$H$2:$H$328))</f>
        <v>30</v>
      </c>
      <c r="J290">
        <f t="shared" si="4"/>
        <v>6.1475409836065573E-2</v>
      </c>
      <c r="M290">
        <v>3448</v>
      </c>
    </row>
    <row r="291" spans="1:13" x14ac:dyDescent="0.2">
      <c r="A291">
        <v>2024</v>
      </c>
      <c r="B291" t="s">
        <v>689</v>
      </c>
      <c r="C291" t="s">
        <v>608</v>
      </c>
      <c r="D291" t="s">
        <v>687</v>
      </c>
      <c r="E291" t="s">
        <v>687</v>
      </c>
      <c r="F291" t="s">
        <v>608</v>
      </c>
      <c r="G291" t="s">
        <v>55</v>
      </c>
      <c r="H291" s="129">
        <f>SUMPRODUCT(SUMIF(fr2223g1to6dst_cep!$E$2:$E$328,ActiveDistricts!$D291:$F291,fr2223g1to6dst_cep!$G$2:$G$328))</f>
        <v>135</v>
      </c>
      <c r="I291" s="129">
        <f>SUMPRODUCT(SUMIF(fr2223g1to6dst_cep!$E$2:$E$328,ActiveDistricts!$D291:$F291,fr2223g1to6dst_cep!$H$2:$H$328))</f>
        <v>87</v>
      </c>
      <c r="J291">
        <f t="shared" si="4"/>
        <v>0.64444444444444449</v>
      </c>
      <c r="M291">
        <v>967.1</v>
      </c>
    </row>
    <row r="292" spans="1:13" x14ac:dyDescent="0.2">
      <c r="A292">
        <v>2024</v>
      </c>
      <c r="B292" t="s">
        <v>693</v>
      </c>
      <c r="C292" t="s">
        <v>609</v>
      </c>
      <c r="D292" t="s">
        <v>687</v>
      </c>
      <c r="E292" t="s">
        <v>687</v>
      </c>
      <c r="F292" t="s">
        <v>609</v>
      </c>
      <c r="G292" t="s">
        <v>54</v>
      </c>
      <c r="H292" s="129">
        <f>SUMPRODUCT(SUMIF(fr2223g1to6dst_cep!$E$2:$E$328,ActiveDistricts!$D292:$F292,fr2223g1to6dst_cep!$G$2:$G$328))</f>
        <v>694</v>
      </c>
      <c r="I292" s="129">
        <f>SUMPRODUCT(SUMIF(fr2223g1to6dst_cep!$E$2:$E$328,ActiveDistricts!$D292:$F292,fr2223g1to6dst_cep!$H$2:$H$328))</f>
        <v>322</v>
      </c>
      <c r="J292">
        <f t="shared" si="4"/>
        <v>0.46397694524495675</v>
      </c>
      <c r="M292">
        <v>894.5</v>
      </c>
    </row>
    <row r="293" spans="1:13" x14ac:dyDescent="0.2">
      <c r="A293">
        <v>2024</v>
      </c>
      <c r="B293" t="s">
        <v>692</v>
      </c>
      <c r="C293" t="s">
        <v>610</v>
      </c>
      <c r="D293" t="s">
        <v>687</v>
      </c>
      <c r="E293" t="s">
        <v>687</v>
      </c>
      <c r="F293" t="s">
        <v>610</v>
      </c>
      <c r="G293" t="s">
        <v>53</v>
      </c>
      <c r="H293" s="129">
        <f>SUMPRODUCT(SUMIF(fr2223g1to6dst_cep!$E$2:$E$328,ActiveDistricts!$D293:$F293,fr2223g1to6dst_cep!$G$2:$G$328))</f>
        <v>217</v>
      </c>
      <c r="I293" s="129">
        <f>SUMPRODUCT(SUMIF(fr2223g1to6dst_cep!$E$2:$E$328,ActiveDistricts!$D293:$F293,fr2223g1to6dst_cep!$H$2:$H$328))</f>
        <v>111</v>
      </c>
      <c r="J293">
        <f t="shared" si="4"/>
        <v>0.51152073732718895</v>
      </c>
      <c r="M293">
        <v>311.10000000000002</v>
      </c>
    </row>
    <row r="294" spans="1:13" x14ac:dyDescent="0.2">
      <c r="A294">
        <v>2024</v>
      </c>
      <c r="B294" t="s">
        <v>692</v>
      </c>
      <c r="C294" t="s">
        <v>612</v>
      </c>
      <c r="D294" t="s">
        <v>687</v>
      </c>
      <c r="E294" t="s">
        <v>687</v>
      </c>
      <c r="F294" t="s">
        <v>612</v>
      </c>
      <c r="G294" t="s">
        <v>51</v>
      </c>
      <c r="H294" s="129">
        <f>SUMPRODUCT(SUMIF(fr2223g1to6dst_cep!$E$2:$E$328,ActiveDistricts!$D294:$F294,fr2223g1to6dst_cep!$G$2:$G$328))</f>
        <v>201</v>
      </c>
      <c r="I294" s="129">
        <f>SUMPRODUCT(SUMIF(fr2223g1to6dst_cep!$E$2:$E$328,ActiveDistricts!$D294:$F294,fr2223g1to6dst_cep!$H$2:$H$328))</f>
        <v>78</v>
      </c>
      <c r="J294">
        <f t="shared" si="4"/>
        <v>0.38805970149253732</v>
      </c>
      <c r="M294">
        <v>1621.5</v>
      </c>
    </row>
    <row r="295" spans="1:13" x14ac:dyDescent="0.2">
      <c r="A295">
        <v>2024</v>
      </c>
      <c r="B295" t="s">
        <v>688</v>
      </c>
      <c r="C295" t="s">
        <v>613</v>
      </c>
      <c r="D295" t="s">
        <v>687</v>
      </c>
      <c r="E295" t="s">
        <v>687</v>
      </c>
      <c r="F295" t="s">
        <v>613</v>
      </c>
      <c r="G295" t="s">
        <v>50</v>
      </c>
      <c r="H295" s="129">
        <f>SUMPRODUCT(SUMIF(fr2223g1to6dst_cep!$E$2:$E$328,ActiveDistricts!$D295:$F295,fr2223g1to6dst_cep!$G$2:$G$328))</f>
        <v>288</v>
      </c>
      <c r="I295" s="129">
        <f>SUMPRODUCT(SUMIF(fr2223g1to6dst_cep!$E$2:$E$328,ActiveDistricts!$D295:$F295,fr2223g1to6dst_cep!$H$2:$H$328))</f>
        <v>67</v>
      </c>
      <c r="J295">
        <f t="shared" si="4"/>
        <v>0.2326388888888889</v>
      </c>
      <c r="M295">
        <v>489.4</v>
      </c>
    </row>
    <row r="296" spans="1:13" x14ac:dyDescent="0.2">
      <c r="A296">
        <v>2024</v>
      </c>
      <c r="B296" t="s">
        <v>693</v>
      </c>
      <c r="C296" t="s">
        <v>614</v>
      </c>
      <c r="D296" t="s">
        <v>687</v>
      </c>
      <c r="E296" t="s">
        <v>687</v>
      </c>
      <c r="F296" t="s">
        <v>614</v>
      </c>
      <c r="G296" t="s">
        <v>49</v>
      </c>
      <c r="H296" s="129">
        <f>SUMPRODUCT(SUMIF(fr2223g1to6dst_cep!$E$2:$E$328,ActiveDistricts!$D296:$F296,fr2223g1to6dst_cep!$G$2:$G$328))</f>
        <v>700</v>
      </c>
      <c r="I296" s="129">
        <f>SUMPRODUCT(SUMIF(fr2223g1to6dst_cep!$E$2:$E$328,ActiveDistricts!$D296:$F296,fr2223g1to6dst_cep!$H$2:$H$328))</f>
        <v>370</v>
      </c>
      <c r="J296">
        <f t="shared" si="4"/>
        <v>0.52857142857142858</v>
      </c>
      <c r="M296">
        <v>534.4</v>
      </c>
    </row>
    <row r="297" spans="1:13" x14ac:dyDescent="0.2">
      <c r="A297">
        <v>2024</v>
      </c>
      <c r="B297" t="s">
        <v>688</v>
      </c>
      <c r="C297" t="s">
        <v>615</v>
      </c>
      <c r="D297" t="s">
        <v>687</v>
      </c>
      <c r="E297" t="s">
        <v>687</v>
      </c>
      <c r="F297" t="s">
        <v>615</v>
      </c>
      <c r="G297" t="s">
        <v>48</v>
      </c>
      <c r="H297" s="129">
        <f>SUMPRODUCT(SUMIF(fr2223g1to6dst_cep!$E$2:$E$328,ActiveDistricts!$D297:$F297,fr2223g1to6dst_cep!$G$2:$G$328))</f>
        <v>4539</v>
      </c>
      <c r="I297" s="129">
        <f>SUMPRODUCT(SUMIF(fr2223g1to6dst_cep!$E$2:$E$328,ActiveDistricts!$D297:$F297,fr2223g1to6dst_cep!$H$2:$H$328))</f>
        <v>3465</v>
      </c>
      <c r="J297">
        <f t="shared" si="4"/>
        <v>0.76338400528750827</v>
      </c>
      <c r="M297">
        <v>657.7</v>
      </c>
    </row>
    <row r="298" spans="1:13" x14ac:dyDescent="0.2">
      <c r="A298">
        <v>2024</v>
      </c>
      <c r="B298" t="s">
        <v>686</v>
      </c>
      <c r="C298" t="s">
        <v>616</v>
      </c>
      <c r="D298" t="s">
        <v>687</v>
      </c>
      <c r="E298" t="s">
        <v>687</v>
      </c>
      <c r="F298" t="s">
        <v>616</v>
      </c>
      <c r="G298" t="s">
        <v>47</v>
      </c>
      <c r="H298" s="129">
        <f>SUMPRODUCT(SUMIF(fr2223g1to6dst_cep!$E$2:$E$328,ActiveDistricts!$D298:$F298,fr2223g1to6dst_cep!$G$2:$G$328))</f>
        <v>6104</v>
      </c>
      <c r="I298" s="129">
        <f>SUMPRODUCT(SUMIF(fr2223g1to6dst_cep!$E$2:$E$328,ActiveDistricts!$D298:$F298,fr2223g1to6dst_cep!$H$2:$H$328))</f>
        <v>1119</v>
      </c>
      <c r="J298">
        <f t="shared" si="4"/>
        <v>0.18332241153342071</v>
      </c>
      <c r="M298">
        <v>1626</v>
      </c>
    </row>
    <row r="299" spans="1:13" x14ac:dyDescent="0.2">
      <c r="A299">
        <v>2024</v>
      </c>
      <c r="B299" t="s">
        <v>688</v>
      </c>
      <c r="C299" t="s">
        <v>617</v>
      </c>
      <c r="D299" t="s">
        <v>687</v>
      </c>
      <c r="E299" t="s">
        <v>687</v>
      </c>
      <c r="F299" t="s">
        <v>617</v>
      </c>
      <c r="G299" t="s">
        <v>46</v>
      </c>
      <c r="H299" s="129">
        <f>SUMPRODUCT(SUMIF(fr2223g1to6dst_cep!$E$2:$E$328,ActiveDistricts!$D299:$F299,fr2223g1to6dst_cep!$G$2:$G$328))</f>
        <v>962</v>
      </c>
      <c r="I299" s="129">
        <f>SUMPRODUCT(SUMIF(fr2223g1to6dst_cep!$E$2:$E$328,ActiveDistricts!$D299:$F299,fr2223g1to6dst_cep!$H$2:$H$328))</f>
        <v>249</v>
      </c>
      <c r="J299">
        <f t="shared" si="4"/>
        <v>0.25883575883575882</v>
      </c>
      <c r="M299">
        <v>10672.3</v>
      </c>
    </row>
    <row r="300" spans="1:13" x14ac:dyDescent="0.2">
      <c r="A300">
        <v>2024</v>
      </c>
      <c r="B300" t="s">
        <v>692</v>
      </c>
      <c r="C300" t="s">
        <v>618</v>
      </c>
      <c r="D300" t="s">
        <v>687</v>
      </c>
      <c r="E300" t="s">
        <v>687</v>
      </c>
      <c r="F300" t="s">
        <v>618</v>
      </c>
      <c r="G300" t="s">
        <v>45</v>
      </c>
      <c r="H300" s="129">
        <f>SUMPRODUCT(SUMIF(fr2223g1to6dst_cep!$E$2:$E$328,ActiveDistricts!$D300:$F300,fr2223g1to6dst_cep!$G$2:$G$328))</f>
        <v>285</v>
      </c>
      <c r="I300" s="129">
        <f>SUMPRODUCT(SUMIF(fr2223g1to6dst_cep!$E$2:$E$328,ActiveDistricts!$D300:$F300,fr2223g1to6dst_cep!$H$2:$H$328))</f>
        <v>162</v>
      </c>
      <c r="J300">
        <f t="shared" si="4"/>
        <v>0.56842105263157894</v>
      </c>
      <c r="M300">
        <v>13153.9</v>
      </c>
    </row>
    <row r="301" spans="1:13" x14ac:dyDescent="0.2">
      <c r="A301">
        <v>2024</v>
      </c>
      <c r="B301" t="s">
        <v>691</v>
      </c>
      <c r="C301" t="s">
        <v>619</v>
      </c>
      <c r="D301" t="s">
        <v>524</v>
      </c>
      <c r="E301" t="s">
        <v>687</v>
      </c>
      <c r="F301" t="s">
        <v>619</v>
      </c>
      <c r="G301" t="s">
        <v>44</v>
      </c>
      <c r="H301" s="129">
        <f>SUMPRODUCT(SUMIF(fr2223g1to6dst_cep!$E$2:$E$328,ActiveDistricts!$D301:$F301,fr2223g1to6dst_cep!$G$2:$G$328))</f>
        <v>746</v>
      </c>
      <c r="I301" s="129">
        <f>SUMPRODUCT(SUMIF(fr2223g1to6dst_cep!$E$2:$E$328,ActiveDistricts!$D301:$F301,fr2223g1to6dst_cep!$H$2:$H$328))</f>
        <v>399</v>
      </c>
      <c r="J301">
        <f t="shared" si="4"/>
        <v>0.5348525469168901</v>
      </c>
      <c r="M301">
        <v>2197.8000000000002</v>
      </c>
    </row>
    <row r="302" spans="1:13" x14ac:dyDescent="0.2">
      <c r="A302">
        <v>2024</v>
      </c>
      <c r="B302" t="s">
        <v>691</v>
      </c>
      <c r="C302" t="s">
        <v>620</v>
      </c>
      <c r="D302" t="s">
        <v>687</v>
      </c>
      <c r="E302" t="s">
        <v>687</v>
      </c>
      <c r="F302" t="s">
        <v>620</v>
      </c>
      <c r="G302" t="s">
        <v>43</v>
      </c>
      <c r="H302" s="129">
        <f>SUMPRODUCT(SUMIF(fr2223g1to6dst_cep!$E$2:$E$328,ActiveDistricts!$D302:$F302,fr2223g1to6dst_cep!$G$2:$G$328))</f>
        <v>146</v>
      </c>
      <c r="I302" s="129">
        <f>SUMPRODUCT(SUMIF(fr2223g1to6dst_cep!$E$2:$E$328,ActiveDistricts!$D302:$F302,fr2223g1to6dst_cep!$H$2:$H$328))</f>
        <v>68</v>
      </c>
      <c r="J302">
        <f t="shared" si="4"/>
        <v>0.46575342465753422</v>
      </c>
      <c r="M302">
        <v>574.5</v>
      </c>
    </row>
    <row r="303" spans="1:13" x14ac:dyDescent="0.2">
      <c r="A303">
        <v>2024</v>
      </c>
      <c r="B303" t="s">
        <v>693</v>
      </c>
      <c r="C303" t="s">
        <v>621</v>
      </c>
      <c r="D303" t="s">
        <v>687</v>
      </c>
      <c r="E303" t="s">
        <v>687</v>
      </c>
      <c r="F303" t="s">
        <v>621</v>
      </c>
      <c r="G303" t="s">
        <v>42</v>
      </c>
      <c r="H303" s="129">
        <f>SUMPRODUCT(SUMIF(fr2223g1to6dst_cep!$E$2:$E$328,ActiveDistricts!$D303:$F303,fr2223g1to6dst_cep!$G$2:$G$328))</f>
        <v>361</v>
      </c>
      <c r="I303" s="129">
        <f>SUMPRODUCT(SUMIF(fr2223g1to6dst_cep!$E$2:$E$328,ActiveDistricts!$D303:$F303,fr2223g1to6dst_cep!$H$2:$H$328))</f>
        <v>99</v>
      </c>
      <c r="J303">
        <f t="shared" si="4"/>
        <v>0.2742382271468144</v>
      </c>
      <c r="M303">
        <v>1729.2</v>
      </c>
    </row>
    <row r="304" spans="1:13" x14ac:dyDescent="0.2">
      <c r="A304">
        <v>2024</v>
      </c>
      <c r="B304" t="s">
        <v>692</v>
      </c>
      <c r="C304" t="s">
        <v>622</v>
      </c>
      <c r="D304" t="s">
        <v>687</v>
      </c>
      <c r="E304" t="s">
        <v>687</v>
      </c>
      <c r="F304" t="s">
        <v>622</v>
      </c>
      <c r="G304" t="s">
        <v>675</v>
      </c>
      <c r="H304" s="129">
        <f>SUMPRODUCT(SUMIF(fr2223g1to6dst_cep!$E$2:$E$328,ActiveDistricts!$D304:$F304,fr2223g1to6dst_cep!$G$2:$G$328))</f>
        <v>403</v>
      </c>
      <c r="I304" s="129">
        <f>SUMPRODUCT(SUMIF(fr2223g1to6dst_cep!$E$2:$E$328,ActiveDistricts!$D304:$F304,fr2223g1to6dst_cep!$H$2:$H$328))</f>
        <v>165</v>
      </c>
      <c r="J304">
        <f t="shared" si="4"/>
        <v>0.40942928039702231</v>
      </c>
      <c r="M304">
        <v>328.1</v>
      </c>
    </row>
    <row r="305" spans="1:13" x14ac:dyDescent="0.2">
      <c r="A305">
        <v>2024</v>
      </c>
      <c r="B305" t="s">
        <v>695</v>
      </c>
      <c r="C305" t="s">
        <v>623</v>
      </c>
      <c r="D305" t="s">
        <v>687</v>
      </c>
      <c r="E305" t="s">
        <v>687</v>
      </c>
      <c r="F305" t="s">
        <v>623</v>
      </c>
      <c r="G305" t="s">
        <v>41</v>
      </c>
      <c r="H305" s="129">
        <f>SUMPRODUCT(SUMIF(fr2223g1to6dst_cep!$E$2:$E$328,ActiveDistricts!$D305:$F305,fr2223g1to6dst_cep!$G$2:$G$328))</f>
        <v>124</v>
      </c>
      <c r="I305" s="129">
        <f>SUMPRODUCT(SUMIF(fr2223g1to6dst_cep!$E$2:$E$328,ActiveDistricts!$D305:$F305,fr2223g1to6dst_cep!$H$2:$H$328))</f>
        <v>58</v>
      </c>
      <c r="J305">
        <f t="shared" si="4"/>
        <v>0.46774193548387094</v>
      </c>
      <c r="M305">
        <v>785.9</v>
      </c>
    </row>
    <row r="306" spans="1:13" x14ac:dyDescent="0.2">
      <c r="A306">
        <v>2024</v>
      </c>
      <c r="B306" t="s">
        <v>686</v>
      </c>
      <c r="C306" t="s">
        <v>593</v>
      </c>
      <c r="D306" t="s">
        <v>687</v>
      </c>
      <c r="E306" t="s">
        <v>687</v>
      </c>
      <c r="F306" t="s">
        <v>593</v>
      </c>
      <c r="G306" t="s">
        <v>70</v>
      </c>
      <c r="H306" s="129">
        <f>SUMPRODUCT(SUMIF(fr2223g1to6dst_cep!$E$2:$E$328,ActiveDistricts!$D306:$F306,fr2223g1to6dst_cep!$G$2:$G$328))</f>
        <v>368</v>
      </c>
      <c r="I306" s="129">
        <f>SUMPRODUCT(SUMIF(fr2223g1to6dst_cep!$E$2:$E$328,ActiveDistricts!$D306:$F306,fr2223g1to6dst_cep!$H$2:$H$328))</f>
        <v>171</v>
      </c>
      <c r="J306">
        <f t="shared" si="4"/>
        <v>0.46467391304347827</v>
      </c>
      <c r="M306">
        <v>405</v>
      </c>
    </row>
    <row r="307" spans="1:13" x14ac:dyDescent="0.2">
      <c r="A307">
        <v>2024</v>
      </c>
      <c r="B307" t="s">
        <v>695</v>
      </c>
      <c r="C307" t="s">
        <v>624</v>
      </c>
      <c r="D307" t="s">
        <v>687</v>
      </c>
      <c r="E307" t="s">
        <v>687</v>
      </c>
      <c r="F307" t="s">
        <v>624</v>
      </c>
      <c r="G307" t="s">
        <v>676</v>
      </c>
      <c r="H307" s="129">
        <f>SUMPRODUCT(SUMIF(fr2223g1to6dst_cep!$E$2:$E$328,ActiveDistricts!$D307:$F307,fr2223g1to6dst_cep!$G$2:$G$328))</f>
        <v>514</v>
      </c>
      <c r="I307" s="129">
        <f>SUMPRODUCT(SUMIF(fr2223g1to6dst_cep!$E$2:$E$328,ActiveDistricts!$D307:$F307,fr2223g1to6dst_cep!$H$2:$H$328))</f>
        <v>244</v>
      </c>
      <c r="J307">
        <f t="shared" si="4"/>
        <v>0.47470817120622566</v>
      </c>
      <c r="M307">
        <v>268.2</v>
      </c>
    </row>
    <row r="308" spans="1:13" x14ac:dyDescent="0.2">
      <c r="A308">
        <v>2024</v>
      </c>
      <c r="B308" t="s">
        <v>686</v>
      </c>
      <c r="C308" t="s">
        <v>625</v>
      </c>
      <c r="D308" t="s">
        <v>687</v>
      </c>
      <c r="E308" t="s">
        <v>687</v>
      </c>
      <c r="F308" t="s">
        <v>625</v>
      </c>
      <c r="G308" t="s">
        <v>40</v>
      </c>
      <c r="H308" s="129">
        <f>SUMPRODUCT(SUMIF(fr2223g1to6dst_cep!$E$2:$E$328,ActiveDistricts!$D308:$F308,fr2223g1to6dst_cep!$G$2:$G$328))</f>
        <v>3814</v>
      </c>
      <c r="I308" s="129">
        <f>SUMPRODUCT(SUMIF(fr2223g1to6dst_cep!$E$2:$E$328,ActiveDistricts!$D308:$F308,fr2223g1to6dst_cep!$H$2:$H$328))</f>
        <v>1510</v>
      </c>
      <c r="J308">
        <f t="shared" si="4"/>
        <v>0.39590980597797587</v>
      </c>
      <c r="M308">
        <v>947.2</v>
      </c>
    </row>
    <row r="309" spans="1:13" x14ac:dyDescent="0.2">
      <c r="A309">
        <v>2024</v>
      </c>
      <c r="B309" t="s">
        <v>688</v>
      </c>
      <c r="C309" t="s">
        <v>568</v>
      </c>
      <c r="D309" t="s">
        <v>687</v>
      </c>
      <c r="E309" t="s">
        <v>687</v>
      </c>
      <c r="F309" t="s">
        <v>568</v>
      </c>
      <c r="G309" t="s">
        <v>677</v>
      </c>
      <c r="H309" s="129">
        <f>SUMPRODUCT(SUMIF(fr2223g1to6dst_cep!$E$2:$E$328,ActiveDistricts!$D309:$F309,fr2223g1to6dst_cep!$G$2:$G$328))</f>
        <v>333</v>
      </c>
      <c r="I309" s="129">
        <f>SUMPRODUCT(SUMIF(fr2223g1to6dst_cep!$E$2:$E$328,ActiveDistricts!$D309:$F309,fr2223g1to6dst_cep!$H$2:$H$328))</f>
        <v>134</v>
      </c>
      <c r="J309">
        <f t="shared" si="4"/>
        <v>0.40240240240240238</v>
      </c>
      <c r="M309">
        <v>1363.5</v>
      </c>
    </row>
    <row r="310" spans="1:13" x14ac:dyDescent="0.2">
      <c r="A310">
        <v>2024</v>
      </c>
      <c r="B310" t="s">
        <v>688</v>
      </c>
      <c r="C310" t="s">
        <v>350</v>
      </c>
      <c r="D310" t="s">
        <v>687</v>
      </c>
      <c r="E310" t="s">
        <v>687</v>
      </c>
      <c r="F310" t="s">
        <v>350</v>
      </c>
      <c r="G310" t="s">
        <v>282</v>
      </c>
      <c r="H310" s="129">
        <f>SUMPRODUCT(SUMIF(fr2223g1to6dst_cep!$E$2:$E$328,ActiveDistricts!$D310:$F310,fr2223g1to6dst_cep!$G$2:$G$328))</f>
        <v>240</v>
      </c>
      <c r="I310" s="129">
        <f>SUMPRODUCT(SUMIF(fr2223g1to6dst_cep!$E$2:$E$328,ActiveDistricts!$D310:$F310,fr2223g1to6dst_cep!$H$2:$H$328))</f>
        <v>98</v>
      </c>
      <c r="J310">
        <f t="shared" si="4"/>
        <v>0.40833333333333333</v>
      </c>
      <c r="M310">
        <v>8678.6</v>
      </c>
    </row>
    <row r="311" spans="1:13" x14ac:dyDescent="0.2">
      <c r="A311">
        <v>2024</v>
      </c>
      <c r="B311" t="s">
        <v>689</v>
      </c>
      <c r="C311" t="s">
        <v>627</v>
      </c>
      <c r="D311" t="s">
        <v>687</v>
      </c>
      <c r="E311" t="s">
        <v>687</v>
      </c>
      <c r="F311" t="s">
        <v>627</v>
      </c>
      <c r="G311" t="s">
        <v>39</v>
      </c>
      <c r="H311" s="129">
        <f>SUMPRODUCT(SUMIF(fr2223g1to6dst_cep!$E$2:$E$328,ActiveDistricts!$D311:$F311,fr2223g1to6dst_cep!$G$2:$G$328))</f>
        <v>140</v>
      </c>
      <c r="I311" s="129">
        <f>SUMPRODUCT(SUMIF(fr2223g1to6dst_cep!$E$2:$E$328,ActiveDistricts!$D311:$F311,fr2223g1to6dst_cep!$H$2:$H$328))</f>
        <v>82</v>
      </c>
      <c r="J311">
        <f t="shared" si="4"/>
        <v>0.58571428571428574</v>
      </c>
      <c r="M311">
        <v>763.8</v>
      </c>
    </row>
    <row r="312" spans="1:13" x14ac:dyDescent="0.2">
      <c r="A312">
        <v>2024</v>
      </c>
      <c r="B312" t="s">
        <v>696</v>
      </c>
      <c r="C312" t="s">
        <v>628</v>
      </c>
      <c r="D312" t="s">
        <v>687</v>
      </c>
      <c r="E312" t="s">
        <v>687</v>
      </c>
      <c r="F312" t="s">
        <v>628</v>
      </c>
      <c r="G312" t="s">
        <v>38</v>
      </c>
      <c r="H312" s="129">
        <f>SUMPRODUCT(SUMIF(fr2223g1to6dst_cep!$E$2:$E$328,ActiveDistricts!$D312:$F312,fr2223g1to6dst_cep!$G$2:$G$328))</f>
        <v>537</v>
      </c>
      <c r="I312" s="129">
        <f>SUMPRODUCT(SUMIF(fr2223g1to6dst_cep!$E$2:$E$328,ActiveDistricts!$D312:$F312,fr2223g1to6dst_cep!$H$2:$H$328))</f>
        <v>298</v>
      </c>
      <c r="J312">
        <f t="shared" si="4"/>
        <v>0.55493482309124764</v>
      </c>
      <c r="M312">
        <v>559.29999999999995</v>
      </c>
    </row>
    <row r="313" spans="1:13" x14ac:dyDescent="0.2">
      <c r="A313">
        <v>2024</v>
      </c>
      <c r="B313" t="s">
        <v>690</v>
      </c>
      <c r="C313" t="s">
        <v>629</v>
      </c>
      <c r="D313" t="s">
        <v>687</v>
      </c>
      <c r="E313" t="s">
        <v>687</v>
      </c>
      <c r="F313" t="s">
        <v>629</v>
      </c>
      <c r="G313" t="s">
        <v>37</v>
      </c>
      <c r="H313" s="129">
        <f>SUMPRODUCT(SUMIF(fr2223g1to6dst_cep!$E$2:$E$328,ActiveDistricts!$D313:$F313,fr2223g1to6dst_cep!$G$2:$G$328))</f>
        <v>392</v>
      </c>
      <c r="I313" s="129">
        <f>SUMPRODUCT(SUMIF(fr2223g1to6dst_cep!$E$2:$E$328,ActiveDistricts!$D313:$F313,fr2223g1to6dst_cep!$H$2:$H$328))</f>
        <v>114</v>
      </c>
      <c r="J313">
        <f t="shared" si="4"/>
        <v>0.29081632653061223</v>
      </c>
      <c r="M313">
        <v>356.3</v>
      </c>
    </row>
    <row r="314" spans="1:13" x14ac:dyDescent="0.2">
      <c r="A314">
        <v>2024</v>
      </c>
      <c r="B314" t="s">
        <v>688</v>
      </c>
      <c r="C314" t="s">
        <v>630</v>
      </c>
      <c r="D314" t="s">
        <v>687</v>
      </c>
      <c r="E314" t="s">
        <v>687</v>
      </c>
      <c r="F314" t="s">
        <v>630</v>
      </c>
      <c r="G314" t="s">
        <v>36</v>
      </c>
      <c r="H314" s="129">
        <f>SUMPRODUCT(SUMIF(fr2223g1to6dst_cep!$E$2:$E$328,ActiveDistricts!$D314:$F314,fr2223g1to6dst_cep!$G$2:$G$328))</f>
        <v>372</v>
      </c>
      <c r="I314" s="129">
        <f>SUMPRODUCT(SUMIF(fr2223g1to6dst_cep!$E$2:$E$328,ActiveDistricts!$D314:$F314,fr2223g1to6dst_cep!$H$2:$H$328))</f>
        <v>117</v>
      </c>
      <c r="J314">
        <f t="shared" si="4"/>
        <v>0.31451612903225806</v>
      </c>
      <c r="M314">
        <v>1235.0999999999999</v>
      </c>
    </row>
    <row r="315" spans="1:13" x14ac:dyDescent="0.2">
      <c r="A315">
        <v>2024</v>
      </c>
      <c r="B315" t="s">
        <v>690</v>
      </c>
      <c r="C315" t="s">
        <v>631</v>
      </c>
      <c r="D315" t="s">
        <v>687</v>
      </c>
      <c r="E315" t="s">
        <v>687</v>
      </c>
      <c r="F315" t="s">
        <v>631</v>
      </c>
      <c r="G315" t="s">
        <v>35</v>
      </c>
      <c r="H315" s="129">
        <f>SUMPRODUCT(SUMIF(fr2223g1to6dst_cep!$E$2:$E$328,ActiveDistricts!$D315:$F315,fr2223g1to6dst_cep!$G$2:$G$328))</f>
        <v>269</v>
      </c>
      <c r="I315" s="129">
        <f>SUMPRODUCT(SUMIF(fr2223g1to6dst_cep!$E$2:$E$328,ActiveDistricts!$D315:$F315,fr2223g1to6dst_cep!$H$2:$H$328))</f>
        <v>134</v>
      </c>
      <c r="J315">
        <f t="shared" si="4"/>
        <v>0.49814126394052044</v>
      </c>
      <c r="M315">
        <v>938.4</v>
      </c>
    </row>
    <row r="316" spans="1:13" x14ac:dyDescent="0.2">
      <c r="A316">
        <v>2024</v>
      </c>
      <c r="B316" t="s">
        <v>690</v>
      </c>
      <c r="C316" t="s">
        <v>632</v>
      </c>
      <c r="D316" t="s">
        <v>687</v>
      </c>
      <c r="E316" t="s">
        <v>687</v>
      </c>
      <c r="F316" t="s">
        <v>632</v>
      </c>
      <c r="G316" t="s">
        <v>34</v>
      </c>
      <c r="H316" s="129">
        <f>SUMPRODUCT(SUMIF(fr2223g1to6dst_cep!$E$2:$E$328,ActiveDistricts!$D316:$F316,fr2223g1to6dst_cep!$G$2:$G$328))</f>
        <v>302</v>
      </c>
      <c r="I316" s="129">
        <f>SUMPRODUCT(SUMIF(fr2223g1to6dst_cep!$E$2:$E$328,ActiveDistricts!$D316:$F316,fr2223g1to6dst_cep!$H$2:$H$328))</f>
        <v>181</v>
      </c>
      <c r="J316">
        <f t="shared" si="4"/>
        <v>0.59933774834437081</v>
      </c>
      <c r="M316">
        <v>786.7</v>
      </c>
    </row>
    <row r="317" spans="1:13" x14ac:dyDescent="0.2">
      <c r="A317">
        <v>2024</v>
      </c>
      <c r="B317" t="s">
        <v>695</v>
      </c>
      <c r="C317" t="s">
        <v>626</v>
      </c>
      <c r="D317" t="s">
        <v>687</v>
      </c>
      <c r="E317" t="s">
        <v>687</v>
      </c>
      <c r="F317" t="s">
        <v>626</v>
      </c>
      <c r="G317" t="s">
        <v>678</v>
      </c>
      <c r="H317" s="129">
        <f>SUMPRODUCT(SUMIF(fr2223g1to6dst_cep!$E$2:$E$328,ActiveDistricts!$D317:$F317,fr2223g1to6dst_cep!$G$2:$G$328))</f>
        <v>1467</v>
      </c>
      <c r="I317" s="129">
        <f>SUMPRODUCT(SUMIF(fr2223g1to6dst_cep!$E$2:$E$328,ActiveDistricts!$D317:$F317,fr2223g1to6dst_cep!$H$2:$H$328))</f>
        <v>394</v>
      </c>
      <c r="J317">
        <f t="shared" si="4"/>
        <v>0.26857532379004773</v>
      </c>
      <c r="M317">
        <v>601.79999999999995</v>
      </c>
    </row>
    <row r="318" spans="1:13" x14ac:dyDescent="0.2">
      <c r="A318">
        <v>2024</v>
      </c>
      <c r="B318" t="s">
        <v>690</v>
      </c>
      <c r="C318" t="s">
        <v>633</v>
      </c>
      <c r="D318" t="s">
        <v>687</v>
      </c>
      <c r="E318" t="s">
        <v>687</v>
      </c>
      <c r="F318" t="s">
        <v>633</v>
      </c>
      <c r="G318" t="s">
        <v>33</v>
      </c>
      <c r="H318" s="129">
        <f>SUMPRODUCT(SUMIF(fr2223g1to6dst_cep!$E$2:$E$328,ActiveDistricts!$D318:$F318,fr2223g1to6dst_cep!$G$2:$G$328))</f>
        <v>250</v>
      </c>
      <c r="I318" s="129">
        <f>SUMPRODUCT(SUMIF(fr2223g1to6dst_cep!$E$2:$E$328,ActiveDistricts!$D318:$F318,fr2223g1to6dst_cep!$H$2:$H$328))</f>
        <v>96</v>
      </c>
      <c r="J318">
        <f t="shared" si="4"/>
        <v>0.38400000000000001</v>
      </c>
      <c r="M318">
        <v>795.1</v>
      </c>
    </row>
    <row r="319" spans="1:13" x14ac:dyDescent="0.2">
      <c r="A319">
        <v>2024</v>
      </c>
      <c r="B319" t="s">
        <v>690</v>
      </c>
      <c r="C319" t="s">
        <v>634</v>
      </c>
      <c r="D319" t="s">
        <v>687</v>
      </c>
      <c r="E319" t="s">
        <v>687</v>
      </c>
      <c r="F319" t="s">
        <v>634</v>
      </c>
      <c r="G319" t="s">
        <v>32</v>
      </c>
      <c r="H319" s="129">
        <f>SUMPRODUCT(SUMIF(fr2223g1to6dst_cep!$E$2:$E$328,ActiveDistricts!$D319:$F319,fr2223g1to6dst_cep!$G$2:$G$328))</f>
        <v>66</v>
      </c>
      <c r="I319" s="129">
        <f>SUMPRODUCT(SUMIF(fr2223g1to6dst_cep!$E$2:$E$328,ActiveDistricts!$D319:$F319,fr2223g1to6dst_cep!$H$2:$H$328))</f>
        <v>35</v>
      </c>
      <c r="J319">
        <f t="shared" si="4"/>
        <v>0.53030303030303028</v>
      </c>
      <c r="M319">
        <v>3200.2</v>
      </c>
    </row>
    <row r="320" spans="1:13" x14ac:dyDescent="0.2">
      <c r="A320">
        <v>2024</v>
      </c>
      <c r="B320" t="s">
        <v>693</v>
      </c>
      <c r="C320" t="s">
        <v>635</v>
      </c>
      <c r="D320" t="s">
        <v>687</v>
      </c>
      <c r="E320" t="s">
        <v>687</v>
      </c>
      <c r="F320" t="s">
        <v>635</v>
      </c>
      <c r="G320" t="s">
        <v>31</v>
      </c>
      <c r="H320" s="129">
        <f>SUMPRODUCT(SUMIF(fr2223g1to6dst_cep!$E$2:$E$328,ActiveDistricts!$D320:$F320,fr2223g1to6dst_cep!$G$2:$G$328))</f>
        <v>501</v>
      </c>
      <c r="I320" s="129">
        <f>SUMPRODUCT(SUMIF(fr2223g1to6dst_cep!$E$2:$E$328,ActiveDistricts!$D320:$F320,fr2223g1to6dst_cep!$H$2:$H$328))</f>
        <v>130</v>
      </c>
      <c r="J320">
        <f t="shared" si="4"/>
        <v>0.25948103792415167</v>
      </c>
      <c r="M320">
        <v>531.70000000000005</v>
      </c>
    </row>
    <row r="321" spans="1:13" x14ac:dyDescent="0.2">
      <c r="A321">
        <v>2024</v>
      </c>
      <c r="B321" t="s">
        <v>696</v>
      </c>
      <c r="C321" t="s">
        <v>636</v>
      </c>
      <c r="D321" t="s">
        <v>687</v>
      </c>
      <c r="E321" t="s">
        <v>687</v>
      </c>
      <c r="F321" t="s">
        <v>636</v>
      </c>
      <c r="G321" t="s">
        <v>30</v>
      </c>
      <c r="H321" s="129">
        <f>SUMPRODUCT(SUMIF(fr2223g1to6dst_cep!$E$2:$E$328,ActiveDistricts!$D321:$F321,fr2223g1to6dst_cep!$G$2:$G$328))</f>
        <v>419</v>
      </c>
      <c r="I321" s="129">
        <f>SUMPRODUCT(SUMIF(fr2223g1to6dst_cep!$E$2:$E$328,ActiveDistricts!$D321:$F321,fr2223g1to6dst_cep!$H$2:$H$328))</f>
        <v>160</v>
      </c>
      <c r="J321">
        <f t="shared" si="4"/>
        <v>0.3818615751789976</v>
      </c>
      <c r="M321">
        <v>184.4</v>
      </c>
    </row>
    <row r="322" spans="1:13" x14ac:dyDescent="0.2">
      <c r="A322">
        <v>2024</v>
      </c>
      <c r="B322" t="s">
        <v>692</v>
      </c>
      <c r="C322" t="s">
        <v>637</v>
      </c>
      <c r="D322" t="s">
        <v>687</v>
      </c>
      <c r="E322" t="s">
        <v>687</v>
      </c>
      <c r="F322" t="s">
        <v>637</v>
      </c>
      <c r="G322" t="s">
        <v>29</v>
      </c>
      <c r="H322" s="129">
        <f>SUMPRODUCT(SUMIF(fr2223g1to6dst_cep!$E$2:$E$328,ActiveDistricts!$D322:$F322,fr2223g1to6dst_cep!$G$2:$G$328))</f>
        <v>158</v>
      </c>
      <c r="I322" s="129">
        <f>SUMPRODUCT(SUMIF(fr2223g1to6dst_cep!$E$2:$E$328,ActiveDistricts!$D322:$F322,fr2223g1to6dst_cep!$H$2:$H$328))</f>
        <v>80</v>
      </c>
      <c r="J322">
        <f t="shared" si="4"/>
        <v>0.50632911392405067</v>
      </c>
      <c r="M322">
        <v>1160.2</v>
      </c>
    </row>
    <row r="323" spans="1:13" x14ac:dyDescent="0.2">
      <c r="A323">
        <v>2024</v>
      </c>
      <c r="B323" t="s">
        <v>686</v>
      </c>
      <c r="C323" t="s">
        <v>638</v>
      </c>
      <c r="D323" t="s">
        <v>687</v>
      </c>
      <c r="E323" t="s">
        <v>687</v>
      </c>
      <c r="F323" t="s">
        <v>638</v>
      </c>
      <c r="G323" t="s">
        <v>28</v>
      </c>
      <c r="H323" s="129">
        <f>SUMPRODUCT(SUMIF(fr2223g1to6dst_cep!$E$2:$E$328,ActiveDistricts!$D323:$F323,fr2223g1to6dst_cep!$G$2:$G$328))</f>
        <v>695</v>
      </c>
      <c r="I323" s="129">
        <f>SUMPRODUCT(SUMIF(fr2223g1to6dst_cep!$E$2:$E$328,ActiveDistricts!$D323:$F323,fr2223g1to6dst_cep!$H$2:$H$328))</f>
        <v>238</v>
      </c>
      <c r="J323">
        <f t="shared" ref="J323:J326" si="5">I323/H323</f>
        <v>0.34244604316546762</v>
      </c>
      <c r="M323">
        <v>851.9</v>
      </c>
    </row>
    <row r="324" spans="1:13" x14ac:dyDescent="0.2">
      <c r="A324">
        <v>2024</v>
      </c>
      <c r="B324" t="s">
        <v>689</v>
      </c>
      <c r="C324" t="s">
        <v>639</v>
      </c>
      <c r="D324" t="s">
        <v>687</v>
      </c>
      <c r="E324" t="s">
        <v>687</v>
      </c>
      <c r="F324" t="s">
        <v>639</v>
      </c>
      <c r="G324" t="s">
        <v>27</v>
      </c>
      <c r="H324" s="129">
        <f>SUMPRODUCT(SUMIF(fr2223g1to6dst_cep!$E$2:$E$328,ActiveDistricts!$D324:$F324,fr2223g1to6dst_cep!$G$2:$G$328))</f>
        <v>193</v>
      </c>
      <c r="I324" s="129">
        <f>SUMPRODUCT(SUMIF(fr2223g1to6dst_cep!$E$2:$E$328,ActiveDistricts!$D324:$F324,fr2223g1to6dst_cep!$H$2:$H$328))</f>
        <v>75</v>
      </c>
      <c r="J324">
        <f t="shared" si="5"/>
        <v>0.38860103626943004</v>
      </c>
      <c r="M324">
        <v>306.2</v>
      </c>
    </row>
    <row r="325" spans="1:13" x14ac:dyDescent="0.2">
      <c r="A325">
        <v>2024</v>
      </c>
      <c r="B325" t="s">
        <v>690</v>
      </c>
      <c r="C325" t="s">
        <v>640</v>
      </c>
      <c r="D325" t="s">
        <v>687</v>
      </c>
      <c r="E325" t="s">
        <v>687</v>
      </c>
      <c r="F325" t="s">
        <v>640</v>
      </c>
      <c r="G325" t="s">
        <v>26</v>
      </c>
      <c r="H325" s="129">
        <f>SUMPRODUCT(SUMIF(fr2223g1to6dst_cep!$E$2:$E$328,ActiveDistricts!$D325:$F325,fr2223g1to6dst_cep!$G$2:$G$328))</f>
        <v>218</v>
      </c>
      <c r="I325" s="129">
        <f>SUMPRODUCT(SUMIF(fr2223g1to6dst_cep!$E$2:$E$328,ActiveDistricts!$D325:$F325,fr2223g1to6dst_cep!$H$2:$H$328))</f>
        <v>76</v>
      </c>
      <c r="J325">
        <f t="shared" si="5"/>
        <v>0.34862385321100919</v>
      </c>
      <c r="M325">
        <v>1667.3</v>
      </c>
    </row>
    <row r="326" spans="1:13" x14ac:dyDescent="0.2">
      <c r="A326">
        <v>2024</v>
      </c>
      <c r="B326" t="s">
        <v>686</v>
      </c>
      <c r="C326" t="s">
        <v>641</v>
      </c>
      <c r="D326" t="s">
        <v>687</v>
      </c>
      <c r="E326" t="s">
        <v>687</v>
      </c>
      <c r="F326" t="s">
        <v>641</v>
      </c>
      <c r="G326" t="s">
        <v>25</v>
      </c>
      <c r="H326" s="129">
        <f>SUMPRODUCT(SUMIF(fr2223g1to6dst_cep!$E$2:$E$328,ActiveDistricts!$D326:$F326,fr2223g1to6dst_cep!$G$2:$G$328))</f>
        <v>510</v>
      </c>
      <c r="I326" s="129">
        <f>SUMPRODUCT(SUMIF(fr2223g1to6dst_cep!$E$2:$E$328,ActiveDistricts!$D326:$F326,fr2223g1to6dst_cep!$H$2:$H$328))</f>
        <v>114</v>
      </c>
      <c r="J326">
        <f t="shared" si="5"/>
        <v>0.22352941176470589</v>
      </c>
      <c r="M326">
        <v>466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W99"/>
  <sheetViews>
    <sheetView workbookViewId="0">
      <pane xSplit="1" ySplit="1" topLeftCell="B27" activePane="bottomRight" state="frozen"/>
      <selection activeCell="A2" sqref="A2"/>
      <selection pane="topRight" activeCell="A2" sqref="A2"/>
      <selection pane="bottomLeft" activeCell="A2" sqref="A2"/>
      <selection pane="bottomRight" activeCell="B54" sqref="B54"/>
    </sheetView>
  </sheetViews>
  <sheetFormatPr defaultRowHeight="11.25" x14ac:dyDescent="0.2"/>
  <cols>
    <col min="1" max="2" width="9.140625" style="34"/>
    <col min="3" max="3" width="19.28515625" style="34" bestFit="1" customWidth="1"/>
    <col min="4" max="5" width="9.140625" style="34"/>
    <col min="6" max="6" width="9.42578125" style="34" customWidth="1"/>
    <col min="7" max="7" width="9.140625" style="34"/>
    <col min="8" max="9" width="9.140625" style="80"/>
    <col min="10" max="10" width="9.140625" style="34"/>
    <col min="11" max="12" width="9.140625" style="80"/>
    <col min="13" max="13" width="9.140625" style="34"/>
    <col min="14" max="15" width="9.140625" style="80"/>
    <col min="16" max="16" width="9.140625" style="34"/>
    <col min="17" max="28" width="9.140625" style="80"/>
    <col min="29" max="29" width="9.140625" style="34"/>
    <col min="30" max="30" width="10.5703125" style="34" bestFit="1" customWidth="1"/>
    <col min="31" max="31" width="11.28515625" style="34" customWidth="1"/>
    <col min="32" max="32" width="13" style="34" customWidth="1"/>
    <col min="33" max="33" width="9.140625" style="34"/>
    <col min="34" max="34" width="18.5703125" style="34" customWidth="1"/>
    <col min="35" max="40" width="9.140625" style="34"/>
    <col min="41" max="41" width="19.28515625" style="34" bestFit="1" customWidth="1"/>
    <col min="42" max="42" width="9.42578125" style="34" bestFit="1" customWidth="1"/>
    <col min="43" max="43" width="23.5703125" style="34" bestFit="1" customWidth="1"/>
    <col min="44" max="47" width="9.140625" style="34"/>
    <col min="48" max="48" width="20.28515625" style="34" bestFit="1" customWidth="1"/>
    <col min="49" max="49" width="15.140625" style="34" bestFit="1" customWidth="1"/>
    <col min="50" max="16384" width="9.140625" style="34"/>
  </cols>
  <sheetData>
    <row r="1" spans="1:49" ht="12.75" x14ac:dyDescent="0.2">
      <c r="A1" s="27" t="s">
        <v>681</v>
      </c>
      <c r="B1" s="27" t="s">
        <v>700</v>
      </c>
      <c r="C1" s="28" t="s">
        <v>701</v>
      </c>
      <c r="D1" s="27" t="s">
        <v>702</v>
      </c>
      <c r="E1" s="27" t="s">
        <v>679</v>
      </c>
      <c r="F1" s="27" t="s">
        <v>703</v>
      </c>
      <c r="G1" s="27" t="s">
        <v>704</v>
      </c>
      <c r="H1" s="29" t="s">
        <v>705</v>
      </c>
      <c r="I1" s="30" t="s">
        <v>706</v>
      </c>
      <c r="J1" s="27" t="s">
        <v>707</v>
      </c>
      <c r="K1" s="29" t="s">
        <v>708</v>
      </c>
      <c r="L1" s="30" t="s">
        <v>709</v>
      </c>
      <c r="M1" s="27" t="s">
        <v>710</v>
      </c>
      <c r="N1" s="29" t="s">
        <v>711</v>
      </c>
      <c r="O1" s="30" t="s">
        <v>712</v>
      </c>
      <c r="P1" s="27" t="s">
        <v>713</v>
      </c>
      <c r="Q1" s="29" t="s">
        <v>714</v>
      </c>
      <c r="R1" s="30" t="s">
        <v>715</v>
      </c>
      <c r="S1" s="29" t="s">
        <v>716</v>
      </c>
      <c r="T1" s="30" t="s">
        <v>717</v>
      </c>
      <c r="U1" s="29" t="s">
        <v>718</v>
      </c>
      <c r="V1" s="30" t="s">
        <v>719</v>
      </c>
      <c r="W1" s="29" t="s">
        <v>720</v>
      </c>
      <c r="X1" s="30" t="s">
        <v>721</v>
      </c>
      <c r="Y1" s="29" t="s">
        <v>722</v>
      </c>
      <c r="Z1" s="30" t="s">
        <v>723</v>
      </c>
      <c r="AA1" s="29" t="s">
        <v>724</v>
      </c>
      <c r="AB1" s="30" t="s">
        <v>725</v>
      </c>
      <c r="AC1" s="27" t="s">
        <v>726</v>
      </c>
      <c r="AD1" s="28" t="s">
        <v>727</v>
      </c>
      <c r="AE1" s="31" t="s">
        <v>728</v>
      </c>
      <c r="AF1" s="28" t="s">
        <v>729</v>
      </c>
      <c r="AG1" s="31" t="s">
        <v>730</v>
      </c>
      <c r="AH1" s="28" t="s">
        <v>731</v>
      </c>
      <c r="AI1" s="32" t="s">
        <v>732</v>
      </c>
      <c r="AJ1" s="32" t="s">
        <v>733</v>
      </c>
      <c r="AK1" s="32" t="s">
        <v>734</v>
      </c>
      <c r="AL1" s="31" t="s">
        <v>735</v>
      </c>
      <c r="AM1" s="31" t="s">
        <v>736</v>
      </c>
      <c r="AN1" s="27" t="s">
        <v>737</v>
      </c>
      <c r="AO1" s="28" t="s">
        <v>738</v>
      </c>
      <c r="AP1" s="31" t="s">
        <v>739</v>
      </c>
      <c r="AQ1" s="32" t="s">
        <v>740</v>
      </c>
      <c r="AR1" s="31" t="s">
        <v>741</v>
      </c>
      <c r="AS1" s="33" t="s">
        <v>742</v>
      </c>
      <c r="AT1" s="33" t="s">
        <v>743</v>
      </c>
      <c r="AU1" s="33" t="s">
        <v>744</v>
      </c>
      <c r="AV1" s="33" t="s">
        <v>745</v>
      </c>
      <c r="AW1" s="33" t="s">
        <v>746</v>
      </c>
    </row>
    <row r="2" spans="1:49" ht="12.75" x14ac:dyDescent="0.2">
      <c r="A2" s="27">
        <v>1973</v>
      </c>
      <c r="B2" s="35">
        <v>4.9279999999999997E-2</v>
      </c>
      <c r="C2" s="31">
        <v>45</v>
      </c>
      <c r="D2" s="31">
        <v>0</v>
      </c>
      <c r="E2" s="31">
        <v>903</v>
      </c>
      <c r="F2" s="31"/>
      <c r="G2" s="31"/>
      <c r="H2" s="36"/>
      <c r="I2" s="36"/>
      <c r="J2" s="31"/>
      <c r="K2" s="36"/>
      <c r="L2" s="36"/>
      <c r="M2" s="31"/>
      <c r="N2" s="36"/>
      <c r="O2" s="36"/>
      <c r="P2" s="31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7">
        <v>0.7</v>
      </c>
      <c r="AD2" s="38">
        <f>ROUND(AC2*E2,0)</f>
        <v>632</v>
      </c>
      <c r="AE2" s="37">
        <v>0</v>
      </c>
      <c r="AF2" s="39">
        <f>ROUND(AE2*F2,0)</f>
        <v>0</v>
      </c>
      <c r="AG2" s="37"/>
      <c r="AH2" s="37"/>
      <c r="AI2" s="31"/>
      <c r="AJ2" s="31"/>
      <c r="AK2" s="31"/>
      <c r="AL2" s="31"/>
      <c r="AM2" s="37">
        <f t="shared" ref="AM2:AM59" si="0">1-AC2</f>
        <v>0.30000000000000004</v>
      </c>
      <c r="AN2" s="31"/>
      <c r="AO2" s="31"/>
      <c r="AP2" s="31"/>
      <c r="AQ2" s="31"/>
      <c r="AR2" s="31"/>
    </row>
    <row r="3" spans="1:49" ht="12.75" x14ac:dyDescent="0.2">
      <c r="A3" s="27">
        <v>1974</v>
      </c>
      <c r="B3" s="35">
        <v>0.05</v>
      </c>
      <c r="C3" s="31">
        <f>ROUND(E2*B3,0)</f>
        <v>45</v>
      </c>
      <c r="D3" s="31">
        <v>0</v>
      </c>
      <c r="E3" s="31">
        <f>E2+C3+D3</f>
        <v>948</v>
      </c>
      <c r="F3" s="31"/>
      <c r="G3" s="31"/>
      <c r="H3" s="36"/>
      <c r="I3" s="36"/>
      <c r="J3" s="31"/>
      <c r="K3" s="36"/>
      <c r="L3" s="36"/>
      <c r="M3" s="31"/>
      <c r="N3" s="36"/>
      <c r="O3" s="36"/>
      <c r="P3" s="31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7">
        <v>0.71</v>
      </c>
      <c r="AD3" s="38">
        <f t="shared" ref="AD3:AD59" si="1">ROUND(AC3*E3,0)</f>
        <v>673</v>
      </c>
      <c r="AE3" s="37">
        <v>0</v>
      </c>
      <c r="AF3" s="39">
        <f t="shared" ref="AF3:AF59" si="2">ROUND(AE3*F3,0)</f>
        <v>0</v>
      </c>
      <c r="AG3" s="37"/>
      <c r="AH3" s="37"/>
      <c r="AI3" s="31"/>
      <c r="AJ3" s="31"/>
      <c r="AK3" s="31"/>
      <c r="AL3" s="31"/>
      <c r="AM3" s="37">
        <f t="shared" si="0"/>
        <v>0.29000000000000004</v>
      </c>
      <c r="AN3" s="31"/>
      <c r="AO3" s="31"/>
      <c r="AP3" s="31"/>
      <c r="AQ3" s="31"/>
      <c r="AR3" s="31"/>
      <c r="AS3" s="34">
        <f>INDEX($A$2:$AZ$100,MATCH($A3-1,$A$2:$A$100,0),30)</f>
        <v>632</v>
      </c>
      <c r="AT3" s="34">
        <f>INDEX($A$2:$AZ$100,MATCH($A3-1,$A$2:$A$100,0),5)</f>
        <v>903</v>
      </c>
    </row>
    <row r="4" spans="1:49" ht="12.75" x14ac:dyDescent="0.2">
      <c r="A4" s="27">
        <v>1975</v>
      </c>
      <c r="B4" s="35">
        <v>0.08</v>
      </c>
      <c r="C4" s="31">
        <f>ROUND(E3*B4,0)</f>
        <v>76</v>
      </c>
      <c r="D4" s="31">
        <v>0</v>
      </c>
      <c r="E4" s="31">
        <f t="shared" ref="E4:E59" si="3">E3+C4+D4</f>
        <v>1024</v>
      </c>
      <c r="F4" s="31"/>
      <c r="G4" s="31"/>
      <c r="H4" s="36"/>
      <c r="I4" s="36"/>
      <c r="J4" s="31"/>
      <c r="K4" s="36"/>
      <c r="L4" s="36"/>
      <c r="M4" s="31"/>
      <c r="N4" s="36"/>
      <c r="O4" s="36"/>
      <c r="P4" s="31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7">
        <v>0.72</v>
      </c>
      <c r="AD4" s="38">
        <f t="shared" si="1"/>
        <v>737</v>
      </c>
      <c r="AE4" s="37">
        <v>0</v>
      </c>
      <c r="AF4" s="39">
        <f t="shared" si="2"/>
        <v>0</v>
      </c>
      <c r="AG4" s="37"/>
      <c r="AH4" s="37"/>
      <c r="AI4" s="31"/>
      <c r="AJ4" s="31"/>
      <c r="AK4" s="31"/>
      <c r="AL4" s="31"/>
      <c r="AM4" s="37">
        <f t="shared" si="0"/>
        <v>0.28000000000000003</v>
      </c>
      <c r="AN4" s="31"/>
      <c r="AO4" s="31"/>
      <c r="AP4" s="31"/>
      <c r="AQ4" s="31"/>
      <c r="AR4" s="31"/>
      <c r="AS4" s="34">
        <f t="shared" ref="AS4:AS59" si="4">INDEX($A$2:$AZ$100,MATCH($A4-1,$A$2:$A$100,0),30)</f>
        <v>673</v>
      </c>
      <c r="AT4" s="34">
        <f t="shared" ref="AT4:AT59" si="5">INDEX($A$2:$AZ$100,MATCH($A4-1,$A$2:$A$100,0),5)</f>
        <v>948</v>
      </c>
    </row>
    <row r="5" spans="1:49" ht="12.75" x14ac:dyDescent="0.2">
      <c r="A5" s="27">
        <v>1976</v>
      </c>
      <c r="B5" s="35">
        <v>0.107</v>
      </c>
      <c r="C5" s="31">
        <f t="shared" ref="C5:C48" si="6">ROUND(E4*B5,0)</f>
        <v>110</v>
      </c>
      <c r="D5" s="31">
        <v>0</v>
      </c>
      <c r="E5" s="31">
        <f t="shared" si="3"/>
        <v>1134</v>
      </c>
      <c r="F5" s="31">
        <f t="shared" ref="F5:F59" si="7">E5</f>
        <v>1134</v>
      </c>
      <c r="G5" s="31"/>
      <c r="H5" s="36"/>
      <c r="I5" s="36"/>
      <c r="J5" s="31"/>
      <c r="K5" s="36"/>
      <c r="L5" s="36"/>
      <c r="M5" s="31"/>
      <c r="N5" s="36"/>
      <c r="O5" s="36"/>
      <c r="P5" s="31"/>
      <c r="Q5" s="36"/>
      <c r="R5" s="36"/>
      <c r="S5" s="36"/>
      <c r="T5" s="36">
        <v>40.43</v>
      </c>
      <c r="U5" s="36"/>
      <c r="V5" s="36">
        <v>6.08</v>
      </c>
      <c r="W5" s="36"/>
      <c r="X5" s="36">
        <v>10.16</v>
      </c>
      <c r="Y5" s="36"/>
      <c r="Z5" s="36"/>
      <c r="AA5" s="36"/>
      <c r="AB5" s="36"/>
      <c r="AC5" s="37">
        <v>0.73</v>
      </c>
      <c r="AD5" s="38">
        <f t="shared" si="1"/>
        <v>828</v>
      </c>
      <c r="AE5" s="37">
        <v>0.73</v>
      </c>
      <c r="AF5" s="39">
        <f>ROUND(AE5*F5,0)</f>
        <v>828</v>
      </c>
      <c r="AG5" s="37">
        <v>0.73</v>
      </c>
      <c r="AH5" s="39">
        <f t="shared" ref="AH5:AH59" si="8">ROUND(AG5*T5,0)</f>
        <v>30</v>
      </c>
      <c r="AI5" s="31"/>
      <c r="AJ5" s="31"/>
      <c r="AK5" s="31"/>
      <c r="AL5" s="31"/>
      <c r="AM5" s="37">
        <f t="shared" si="0"/>
        <v>0.27</v>
      </c>
      <c r="AN5" s="31"/>
      <c r="AO5" s="31">
        <f>ROUND(T5*AG5,0)</f>
        <v>30</v>
      </c>
      <c r="AP5" s="31"/>
      <c r="AQ5" s="31"/>
      <c r="AR5" s="31"/>
      <c r="AS5" s="34">
        <f t="shared" si="4"/>
        <v>737</v>
      </c>
      <c r="AT5" s="34">
        <f t="shared" si="5"/>
        <v>1024</v>
      </c>
    </row>
    <row r="6" spans="1:49" ht="12.75" x14ac:dyDescent="0.2">
      <c r="A6" s="27">
        <v>1977</v>
      </c>
      <c r="B6" s="35">
        <v>9.8250000000000004E-2</v>
      </c>
      <c r="C6" s="31">
        <f t="shared" si="6"/>
        <v>111</v>
      </c>
      <c r="D6" s="31">
        <v>0</v>
      </c>
      <c r="E6" s="31">
        <f t="shared" si="3"/>
        <v>1245</v>
      </c>
      <c r="F6" s="31">
        <f t="shared" si="7"/>
        <v>1245</v>
      </c>
      <c r="G6" s="31"/>
      <c r="H6" s="36"/>
      <c r="I6" s="36"/>
      <c r="J6" s="31"/>
      <c r="K6" s="36"/>
      <c r="L6" s="36"/>
      <c r="M6" s="31"/>
      <c r="N6" s="36"/>
      <c r="O6" s="36"/>
      <c r="P6" s="31"/>
      <c r="Q6" s="36"/>
      <c r="R6" s="36"/>
      <c r="S6" s="36"/>
      <c r="T6" s="36">
        <v>48.47</v>
      </c>
      <c r="U6" s="36"/>
      <c r="V6" s="36">
        <v>6.57</v>
      </c>
      <c r="W6" s="36"/>
      <c r="X6" s="36">
        <v>11.3</v>
      </c>
      <c r="Y6" s="36"/>
      <c r="Z6" s="36"/>
      <c r="AA6" s="36"/>
      <c r="AB6" s="36"/>
      <c r="AC6" s="37">
        <v>0.74</v>
      </c>
      <c r="AD6" s="38">
        <f t="shared" si="1"/>
        <v>921</v>
      </c>
      <c r="AE6" s="37">
        <v>0.74</v>
      </c>
      <c r="AF6" s="39">
        <f t="shared" si="2"/>
        <v>921</v>
      </c>
      <c r="AG6" s="37">
        <v>0.74</v>
      </c>
      <c r="AH6" s="39">
        <f t="shared" si="8"/>
        <v>36</v>
      </c>
      <c r="AI6" s="31"/>
      <c r="AJ6" s="31"/>
      <c r="AK6" s="31"/>
      <c r="AL6" s="31"/>
      <c r="AM6" s="37">
        <f t="shared" si="0"/>
        <v>0.26</v>
      </c>
      <c r="AN6" s="31"/>
      <c r="AO6" s="31">
        <f t="shared" ref="AO6:AO59" si="9">ROUND(T6*AG6,0)</f>
        <v>36</v>
      </c>
      <c r="AP6" s="31"/>
      <c r="AQ6" s="31"/>
      <c r="AR6" s="31"/>
      <c r="AS6" s="34">
        <f t="shared" si="4"/>
        <v>828</v>
      </c>
      <c r="AT6" s="34">
        <f t="shared" si="5"/>
        <v>1134</v>
      </c>
    </row>
    <row r="7" spans="1:49" ht="12.75" x14ac:dyDescent="0.2">
      <c r="A7" s="27">
        <v>1978</v>
      </c>
      <c r="B7" s="35">
        <v>7.8399999999999997E-2</v>
      </c>
      <c r="C7" s="31">
        <f t="shared" si="6"/>
        <v>98</v>
      </c>
      <c r="D7" s="31">
        <v>0</v>
      </c>
      <c r="E7" s="31">
        <f t="shared" si="3"/>
        <v>1343</v>
      </c>
      <c r="F7" s="31">
        <f t="shared" si="7"/>
        <v>1343</v>
      </c>
      <c r="G7" s="31"/>
      <c r="H7" s="36"/>
      <c r="I7" s="36"/>
      <c r="J7" s="31"/>
      <c r="K7" s="36"/>
      <c r="L7" s="36"/>
      <c r="M7" s="31"/>
      <c r="N7" s="36"/>
      <c r="O7" s="36"/>
      <c r="P7" s="31"/>
      <c r="Q7" s="36"/>
      <c r="R7" s="36"/>
      <c r="S7" s="36"/>
      <c r="T7" s="36">
        <v>55.14</v>
      </c>
      <c r="U7" s="36"/>
      <c r="V7" s="36">
        <v>6.84</v>
      </c>
      <c r="W7" s="36"/>
      <c r="X7" s="36">
        <v>12.14</v>
      </c>
      <c r="Y7" s="36"/>
      <c r="Z7" s="36"/>
      <c r="AA7" s="36"/>
      <c r="AB7" s="36"/>
      <c r="AC7" s="37">
        <v>0.75</v>
      </c>
      <c r="AD7" s="38">
        <f t="shared" si="1"/>
        <v>1007</v>
      </c>
      <c r="AE7" s="37">
        <v>0.75</v>
      </c>
      <c r="AF7" s="39">
        <f t="shared" si="2"/>
        <v>1007</v>
      </c>
      <c r="AG7" s="37">
        <v>0.75</v>
      </c>
      <c r="AH7" s="39">
        <f t="shared" si="8"/>
        <v>41</v>
      </c>
      <c r="AI7" s="31"/>
      <c r="AJ7" s="31"/>
      <c r="AK7" s="31"/>
      <c r="AL7" s="31"/>
      <c r="AM7" s="37">
        <f t="shared" si="0"/>
        <v>0.25</v>
      </c>
      <c r="AN7" s="31"/>
      <c r="AO7" s="31">
        <f t="shared" si="9"/>
        <v>41</v>
      </c>
      <c r="AP7" s="31"/>
      <c r="AQ7" s="31"/>
      <c r="AR7" s="31"/>
      <c r="AS7" s="34">
        <f t="shared" si="4"/>
        <v>921</v>
      </c>
      <c r="AT7" s="34">
        <f t="shared" si="5"/>
        <v>1245</v>
      </c>
    </row>
    <row r="8" spans="1:49" ht="12.75" x14ac:dyDescent="0.2">
      <c r="A8" s="27">
        <v>1979</v>
      </c>
      <c r="B8" s="35">
        <v>9.4219999999999998E-2</v>
      </c>
      <c r="C8" s="31">
        <f t="shared" si="6"/>
        <v>127</v>
      </c>
      <c r="D8" s="31">
        <v>0</v>
      </c>
      <c r="E8" s="31">
        <f t="shared" si="3"/>
        <v>1470</v>
      </c>
      <c r="F8" s="31">
        <f t="shared" si="7"/>
        <v>1470</v>
      </c>
      <c r="G8" s="31"/>
      <c r="H8" s="36"/>
      <c r="I8" s="36"/>
      <c r="J8" s="31"/>
      <c r="K8" s="36"/>
      <c r="L8" s="36"/>
      <c r="M8" s="31"/>
      <c r="N8" s="36"/>
      <c r="O8" s="36"/>
      <c r="P8" s="31"/>
      <c r="Q8" s="36"/>
      <c r="R8" s="36"/>
      <c r="S8" s="36"/>
      <c r="T8" s="36">
        <v>55.18</v>
      </c>
      <c r="U8" s="36"/>
      <c r="V8" s="36">
        <v>11.05</v>
      </c>
      <c r="W8" s="36"/>
      <c r="X8" s="36">
        <v>13.61</v>
      </c>
      <c r="Y8" s="36"/>
      <c r="Z8" s="36"/>
      <c r="AA8" s="36"/>
      <c r="AB8" s="36"/>
      <c r="AC8" s="37">
        <v>0.76</v>
      </c>
      <c r="AD8" s="38">
        <f t="shared" si="1"/>
        <v>1117</v>
      </c>
      <c r="AE8" s="37">
        <v>0.76</v>
      </c>
      <c r="AF8" s="39">
        <f t="shared" si="2"/>
        <v>1117</v>
      </c>
      <c r="AG8" s="37">
        <v>0.76</v>
      </c>
      <c r="AH8" s="39">
        <f t="shared" si="8"/>
        <v>42</v>
      </c>
      <c r="AI8" s="31"/>
      <c r="AJ8" s="31"/>
      <c r="AK8" s="31"/>
      <c r="AL8" s="31"/>
      <c r="AM8" s="37">
        <f t="shared" si="0"/>
        <v>0.24</v>
      </c>
      <c r="AN8" s="31"/>
      <c r="AO8" s="31">
        <f t="shared" si="9"/>
        <v>42</v>
      </c>
      <c r="AP8" s="31"/>
      <c r="AQ8" s="31"/>
      <c r="AR8" s="31"/>
      <c r="AS8" s="34">
        <f t="shared" si="4"/>
        <v>1007</v>
      </c>
      <c r="AT8" s="34">
        <f t="shared" si="5"/>
        <v>1343</v>
      </c>
    </row>
    <row r="9" spans="1:49" ht="12.75" x14ac:dyDescent="0.2">
      <c r="A9" s="27">
        <v>1980</v>
      </c>
      <c r="B9" s="35">
        <v>9.4839999999999994E-2</v>
      </c>
      <c r="C9" s="31">
        <f t="shared" si="6"/>
        <v>139</v>
      </c>
      <c r="D9" s="31">
        <v>0</v>
      </c>
      <c r="E9" s="31">
        <f t="shared" si="3"/>
        <v>1609</v>
      </c>
      <c r="F9" s="31">
        <f t="shared" si="7"/>
        <v>1609</v>
      </c>
      <c r="G9" s="31"/>
      <c r="H9" s="36"/>
      <c r="I9" s="36"/>
      <c r="J9" s="31"/>
      <c r="K9" s="36"/>
      <c r="L9" s="36"/>
      <c r="M9" s="31"/>
      <c r="N9" s="36"/>
      <c r="O9" s="36"/>
      <c r="P9" s="31"/>
      <c r="Q9" s="36"/>
      <c r="R9" s="36"/>
      <c r="S9" s="36"/>
      <c r="T9" s="36">
        <v>74.37</v>
      </c>
      <c r="U9" s="36"/>
      <c r="V9" s="36">
        <v>12.76</v>
      </c>
      <c r="W9" s="36"/>
      <c r="X9" s="36">
        <v>15.32</v>
      </c>
      <c r="Y9" s="36"/>
      <c r="Z9" s="36"/>
      <c r="AA9" s="36"/>
      <c r="AB9" s="36"/>
      <c r="AC9" s="37">
        <v>0.77</v>
      </c>
      <c r="AD9" s="38">
        <f t="shared" si="1"/>
        <v>1239</v>
      </c>
      <c r="AE9" s="37">
        <v>0.77</v>
      </c>
      <c r="AF9" s="39">
        <f t="shared" si="2"/>
        <v>1239</v>
      </c>
      <c r="AG9" s="37">
        <v>0.77</v>
      </c>
      <c r="AH9" s="39">
        <f t="shared" si="8"/>
        <v>57</v>
      </c>
      <c r="AI9" s="31"/>
      <c r="AJ9" s="31"/>
      <c r="AK9" s="31"/>
      <c r="AL9" s="31"/>
      <c r="AM9" s="37">
        <f t="shared" si="0"/>
        <v>0.22999999999999998</v>
      </c>
      <c r="AN9" s="31"/>
      <c r="AO9" s="31">
        <f t="shared" si="9"/>
        <v>57</v>
      </c>
      <c r="AP9" s="31"/>
      <c r="AQ9" s="31"/>
      <c r="AR9" s="31"/>
      <c r="AS9" s="34">
        <f t="shared" si="4"/>
        <v>1117</v>
      </c>
      <c r="AT9" s="34">
        <f t="shared" si="5"/>
        <v>1470</v>
      </c>
    </row>
    <row r="10" spans="1:49" ht="12.75" x14ac:dyDescent="0.2">
      <c r="A10" s="27">
        <v>1981</v>
      </c>
      <c r="B10" s="35">
        <v>0.13592000000000001</v>
      </c>
      <c r="C10" s="31">
        <f t="shared" si="6"/>
        <v>219</v>
      </c>
      <c r="D10" s="31">
        <v>20</v>
      </c>
      <c r="E10" s="31">
        <f t="shared" si="3"/>
        <v>1848</v>
      </c>
      <c r="F10" s="31">
        <f t="shared" si="7"/>
        <v>1848</v>
      </c>
      <c r="G10" s="31"/>
      <c r="H10" s="36"/>
      <c r="I10" s="36"/>
      <c r="J10" s="31"/>
      <c r="K10" s="36"/>
      <c r="L10" s="36"/>
      <c r="M10" s="31"/>
      <c r="N10" s="36"/>
      <c r="O10" s="36"/>
      <c r="P10" s="31"/>
      <c r="Q10" s="36"/>
      <c r="R10" s="36"/>
      <c r="S10" s="36"/>
      <c r="T10" s="36">
        <v>88.07</v>
      </c>
      <c r="U10" s="36"/>
      <c r="V10" s="36">
        <v>14.86</v>
      </c>
      <c r="W10" s="36"/>
      <c r="X10" s="36">
        <v>18.03</v>
      </c>
      <c r="Y10" s="36"/>
      <c r="Z10" s="36"/>
      <c r="AA10" s="36"/>
      <c r="AB10" s="36"/>
      <c r="AC10" s="37">
        <v>0.77</v>
      </c>
      <c r="AD10" s="38">
        <f t="shared" si="1"/>
        <v>1423</v>
      </c>
      <c r="AE10" s="37">
        <v>0.77</v>
      </c>
      <c r="AF10" s="39">
        <f t="shared" si="2"/>
        <v>1423</v>
      </c>
      <c r="AG10" s="37">
        <v>0.77</v>
      </c>
      <c r="AH10" s="39">
        <f t="shared" si="8"/>
        <v>68</v>
      </c>
      <c r="AI10" s="31"/>
      <c r="AJ10" s="31"/>
      <c r="AK10" s="31"/>
      <c r="AL10" s="31"/>
      <c r="AM10" s="37">
        <f t="shared" si="0"/>
        <v>0.22999999999999998</v>
      </c>
      <c r="AN10" s="31"/>
      <c r="AO10" s="31">
        <f t="shared" si="9"/>
        <v>68</v>
      </c>
      <c r="AP10" s="31"/>
      <c r="AQ10" s="31"/>
      <c r="AR10" s="31"/>
      <c r="AS10" s="34">
        <f t="shared" si="4"/>
        <v>1239</v>
      </c>
      <c r="AT10" s="34">
        <f t="shared" si="5"/>
        <v>1609</v>
      </c>
    </row>
    <row r="11" spans="1:49" ht="12.75" x14ac:dyDescent="0.2">
      <c r="A11" s="27">
        <v>1982</v>
      </c>
      <c r="B11" s="35">
        <v>0.05</v>
      </c>
      <c r="C11" s="31">
        <f t="shared" si="6"/>
        <v>92</v>
      </c>
      <c r="D11" s="31">
        <v>0</v>
      </c>
      <c r="E11" s="31">
        <f t="shared" si="3"/>
        <v>1940</v>
      </c>
      <c r="F11" s="31">
        <f t="shared" si="7"/>
        <v>1940</v>
      </c>
      <c r="G11" s="31"/>
      <c r="H11" s="36"/>
      <c r="I11" s="36"/>
      <c r="J11" s="31"/>
      <c r="K11" s="36"/>
      <c r="L11" s="36"/>
      <c r="M11" s="31"/>
      <c r="N11" s="36"/>
      <c r="O11" s="36"/>
      <c r="P11" s="31"/>
      <c r="Q11" s="36"/>
      <c r="R11" s="36"/>
      <c r="S11" s="36"/>
      <c r="T11" s="36">
        <v>88.07</v>
      </c>
      <c r="U11" s="36"/>
      <c r="V11" s="36">
        <v>16</v>
      </c>
      <c r="W11" s="36"/>
      <c r="X11" s="36">
        <v>18.5</v>
      </c>
      <c r="Y11" s="36"/>
      <c r="Z11" s="36"/>
      <c r="AA11" s="36"/>
      <c r="AB11" s="36"/>
      <c r="AC11" s="37">
        <v>0.77</v>
      </c>
      <c r="AD11" s="38">
        <f t="shared" si="1"/>
        <v>1494</v>
      </c>
      <c r="AE11" s="37">
        <v>0.77</v>
      </c>
      <c r="AF11" s="39">
        <f t="shared" si="2"/>
        <v>1494</v>
      </c>
      <c r="AG11" s="37">
        <v>0.77</v>
      </c>
      <c r="AH11" s="39">
        <f t="shared" si="8"/>
        <v>68</v>
      </c>
      <c r="AI11" s="31"/>
      <c r="AJ11" s="31"/>
      <c r="AK11" s="31"/>
      <c r="AL11" s="31"/>
      <c r="AM11" s="37">
        <f t="shared" si="0"/>
        <v>0.22999999999999998</v>
      </c>
      <c r="AN11" s="31"/>
      <c r="AO11" s="31">
        <f t="shared" si="9"/>
        <v>68</v>
      </c>
      <c r="AP11" s="31"/>
      <c r="AQ11" s="31"/>
      <c r="AR11" s="31"/>
      <c r="AS11" s="34">
        <f t="shared" si="4"/>
        <v>1423</v>
      </c>
      <c r="AT11" s="34">
        <f t="shared" si="5"/>
        <v>1848</v>
      </c>
    </row>
    <row r="12" spans="1:49" ht="12.75" x14ac:dyDescent="0.2">
      <c r="A12" s="27">
        <v>1983</v>
      </c>
      <c r="B12" s="35">
        <v>7.0000000000000007E-2</v>
      </c>
      <c r="C12" s="31">
        <f t="shared" si="6"/>
        <v>136</v>
      </c>
      <c r="D12" s="31">
        <v>13</v>
      </c>
      <c r="E12" s="31">
        <f t="shared" si="3"/>
        <v>2089</v>
      </c>
      <c r="F12" s="31">
        <f t="shared" si="7"/>
        <v>2089</v>
      </c>
      <c r="G12" s="31"/>
      <c r="H12" s="36"/>
      <c r="I12" s="36"/>
      <c r="J12" s="31"/>
      <c r="K12" s="36"/>
      <c r="L12" s="36"/>
      <c r="M12" s="31"/>
      <c r="N12" s="36"/>
      <c r="O12" s="36"/>
      <c r="P12" s="31"/>
      <c r="Q12" s="36"/>
      <c r="R12" s="36"/>
      <c r="S12" s="40">
        <f>ROUND(T11*$B12,2)</f>
        <v>6.16</v>
      </c>
      <c r="T12" s="36">
        <f>S12+T11</f>
        <v>94.22999999999999</v>
      </c>
      <c r="U12" s="36"/>
      <c r="V12" s="36">
        <v>17.12</v>
      </c>
      <c r="W12" s="36"/>
      <c r="X12" s="36">
        <v>19.8</v>
      </c>
      <c r="Y12" s="36"/>
      <c r="Z12" s="36"/>
      <c r="AA12" s="36"/>
      <c r="AB12" s="36"/>
      <c r="AC12" s="37">
        <v>0.77</v>
      </c>
      <c r="AD12" s="38">
        <f t="shared" si="1"/>
        <v>1609</v>
      </c>
      <c r="AE12" s="37">
        <v>0.77</v>
      </c>
      <c r="AF12" s="39">
        <f t="shared" si="2"/>
        <v>1609</v>
      </c>
      <c r="AG12" s="37">
        <v>0.77</v>
      </c>
      <c r="AH12" s="39">
        <f t="shared" si="8"/>
        <v>73</v>
      </c>
      <c r="AI12" s="31"/>
      <c r="AJ12" s="31"/>
      <c r="AK12" s="31"/>
      <c r="AL12" s="31"/>
      <c r="AM12" s="37">
        <f t="shared" si="0"/>
        <v>0.22999999999999998</v>
      </c>
      <c r="AN12" s="31"/>
      <c r="AO12" s="31">
        <f t="shared" si="9"/>
        <v>73</v>
      </c>
      <c r="AP12" s="31"/>
      <c r="AQ12" s="31"/>
      <c r="AR12" s="31"/>
      <c r="AS12" s="34">
        <f t="shared" si="4"/>
        <v>1494</v>
      </c>
      <c r="AT12" s="34">
        <f t="shared" si="5"/>
        <v>1940</v>
      </c>
    </row>
    <row r="13" spans="1:49" ht="12.75" x14ac:dyDescent="0.2">
      <c r="A13" s="27">
        <v>1984</v>
      </c>
      <c r="B13" s="35">
        <v>6.1030000000000001E-2</v>
      </c>
      <c r="C13" s="31">
        <f t="shared" si="6"/>
        <v>127</v>
      </c>
      <c r="D13" s="31">
        <v>8</v>
      </c>
      <c r="E13" s="31">
        <f t="shared" si="3"/>
        <v>2224</v>
      </c>
      <c r="F13" s="31">
        <f t="shared" si="7"/>
        <v>2224</v>
      </c>
      <c r="G13" s="31"/>
      <c r="H13" s="36"/>
      <c r="I13" s="36"/>
      <c r="J13" s="31"/>
      <c r="K13" s="36"/>
      <c r="L13" s="36"/>
      <c r="M13" s="31"/>
      <c r="N13" s="36"/>
      <c r="O13" s="36"/>
      <c r="P13" s="31"/>
      <c r="Q13" s="36"/>
      <c r="R13" s="36"/>
      <c r="S13" s="36">
        <f t="shared" ref="S13:S59" si="10">ROUND(T12*$B13,2)</f>
        <v>5.75</v>
      </c>
      <c r="T13" s="36">
        <f t="shared" ref="T13:T59" si="11">S13+T12</f>
        <v>99.97999999999999</v>
      </c>
      <c r="U13" s="36"/>
      <c r="V13" s="36">
        <v>18.16</v>
      </c>
      <c r="W13" s="36"/>
      <c r="X13" s="36">
        <v>21.01</v>
      </c>
      <c r="Y13" s="36"/>
      <c r="Z13" s="36"/>
      <c r="AA13" s="36"/>
      <c r="AB13" s="36"/>
      <c r="AC13" s="37">
        <v>0.78</v>
      </c>
      <c r="AD13" s="38">
        <f t="shared" si="1"/>
        <v>1735</v>
      </c>
      <c r="AE13" s="37">
        <v>0.78</v>
      </c>
      <c r="AF13" s="39">
        <f t="shared" si="2"/>
        <v>1735</v>
      </c>
      <c r="AG13" s="37">
        <v>0.78</v>
      </c>
      <c r="AH13" s="39">
        <f t="shared" si="8"/>
        <v>78</v>
      </c>
      <c r="AI13" s="31"/>
      <c r="AJ13" s="31">
        <v>5.4</v>
      </c>
      <c r="AK13" s="31">
        <v>200</v>
      </c>
      <c r="AL13" s="31"/>
      <c r="AM13" s="37">
        <f t="shared" si="0"/>
        <v>0.21999999999999997</v>
      </c>
      <c r="AN13" s="31"/>
      <c r="AO13" s="31">
        <f t="shared" si="9"/>
        <v>78</v>
      </c>
      <c r="AP13" s="31"/>
      <c r="AQ13" s="31"/>
      <c r="AR13" s="31"/>
      <c r="AS13" s="34">
        <f t="shared" si="4"/>
        <v>1609</v>
      </c>
      <c r="AT13" s="34">
        <f t="shared" si="5"/>
        <v>2089</v>
      </c>
    </row>
    <row r="14" spans="1:49" ht="12.75" x14ac:dyDescent="0.2">
      <c r="A14" s="27">
        <v>1985</v>
      </c>
      <c r="B14" s="35">
        <v>2.5399999999999999E-2</v>
      </c>
      <c r="C14" s="31">
        <f t="shared" si="6"/>
        <v>56</v>
      </c>
      <c r="D14" s="31">
        <v>8</v>
      </c>
      <c r="E14" s="31">
        <f t="shared" si="3"/>
        <v>2288</v>
      </c>
      <c r="F14" s="31">
        <f t="shared" si="7"/>
        <v>2288</v>
      </c>
      <c r="G14" s="31"/>
      <c r="H14" s="36"/>
      <c r="I14" s="36"/>
      <c r="J14" s="31"/>
      <c r="K14" s="36"/>
      <c r="L14" s="36"/>
      <c r="M14" s="31"/>
      <c r="N14" s="36"/>
      <c r="O14" s="36"/>
      <c r="P14" s="31"/>
      <c r="Q14" s="36"/>
      <c r="R14" s="36"/>
      <c r="S14" s="36">
        <f t="shared" si="10"/>
        <v>2.54</v>
      </c>
      <c r="T14" s="36">
        <f t="shared" si="11"/>
        <v>102.52</v>
      </c>
      <c r="U14" s="36"/>
      <c r="V14" s="36">
        <v>18.62</v>
      </c>
      <c r="W14" s="36"/>
      <c r="X14" s="36">
        <v>21.54</v>
      </c>
      <c r="Y14" s="36"/>
      <c r="Z14" s="36"/>
      <c r="AA14" s="36"/>
      <c r="AB14" s="36"/>
      <c r="AC14" s="37">
        <v>0.79</v>
      </c>
      <c r="AD14" s="38">
        <f t="shared" si="1"/>
        <v>1808</v>
      </c>
      <c r="AE14" s="37">
        <v>0.79</v>
      </c>
      <c r="AF14" s="39">
        <f t="shared" si="2"/>
        <v>1808</v>
      </c>
      <c r="AG14" s="37">
        <v>0.79</v>
      </c>
      <c r="AH14" s="39">
        <f t="shared" si="8"/>
        <v>81</v>
      </c>
      <c r="AI14" s="31"/>
      <c r="AJ14" s="31">
        <v>5.4</v>
      </c>
      <c r="AK14" s="31">
        <v>200</v>
      </c>
      <c r="AL14" s="31"/>
      <c r="AM14" s="37">
        <f t="shared" si="0"/>
        <v>0.20999999999999996</v>
      </c>
      <c r="AN14" s="31"/>
      <c r="AO14" s="31">
        <f t="shared" si="9"/>
        <v>81</v>
      </c>
      <c r="AP14" s="31"/>
      <c r="AQ14" s="31"/>
      <c r="AR14" s="31"/>
      <c r="AS14" s="34">
        <f t="shared" si="4"/>
        <v>1735</v>
      </c>
      <c r="AT14" s="34">
        <f t="shared" si="5"/>
        <v>2224</v>
      </c>
    </row>
    <row r="15" spans="1:49" ht="12.75" x14ac:dyDescent="0.2">
      <c r="A15" s="27">
        <v>1986</v>
      </c>
      <c r="B15" s="35">
        <v>5.3249999999999999E-2</v>
      </c>
      <c r="C15" s="31">
        <f t="shared" si="6"/>
        <v>122</v>
      </c>
      <c r="D15" s="31">
        <v>0</v>
      </c>
      <c r="E15" s="31">
        <f t="shared" si="3"/>
        <v>2410</v>
      </c>
      <c r="F15" s="31">
        <f t="shared" si="7"/>
        <v>2410</v>
      </c>
      <c r="G15" s="31"/>
      <c r="H15" s="36"/>
      <c r="I15" s="36"/>
      <c r="J15" s="31"/>
      <c r="K15" s="36"/>
      <c r="L15" s="36"/>
      <c r="M15" s="31"/>
      <c r="N15" s="36"/>
      <c r="O15" s="36"/>
      <c r="P15" s="31"/>
      <c r="Q15" s="36"/>
      <c r="R15" s="36"/>
      <c r="S15" s="36">
        <f t="shared" si="10"/>
        <v>5.46</v>
      </c>
      <c r="T15" s="36">
        <f t="shared" si="11"/>
        <v>107.97999999999999</v>
      </c>
      <c r="U15" s="36"/>
      <c r="V15" s="36">
        <v>19.61</v>
      </c>
      <c r="W15" s="36"/>
      <c r="X15" s="36">
        <v>22.69</v>
      </c>
      <c r="Y15" s="36"/>
      <c r="Z15" s="36"/>
      <c r="AA15" s="36"/>
      <c r="AB15" s="36"/>
      <c r="AC15" s="37">
        <v>0.8</v>
      </c>
      <c r="AD15" s="38">
        <f t="shared" si="1"/>
        <v>1928</v>
      </c>
      <c r="AE15" s="37">
        <v>0.8</v>
      </c>
      <c r="AF15" s="39">
        <f t="shared" si="2"/>
        <v>1928</v>
      </c>
      <c r="AG15" s="37">
        <v>0.8</v>
      </c>
      <c r="AH15" s="39">
        <f t="shared" si="8"/>
        <v>86</v>
      </c>
      <c r="AI15" s="31"/>
      <c r="AJ15" s="31">
        <v>5.4</v>
      </c>
      <c r="AK15" s="31">
        <v>200</v>
      </c>
      <c r="AL15" s="31"/>
      <c r="AM15" s="37">
        <f t="shared" si="0"/>
        <v>0.19999999999999996</v>
      </c>
      <c r="AN15" s="31"/>
      <c r="AO15" s="31">
        <f t="shared" si="9"/>
        <v>86</v>
      </c>
      <c r="AP15" s="31"/>
      <c r="AQ15" s="31"/>
      <c r="AR15" s="31"/>
      <c r="AS15" s="34">
        <f t="shared" si="4"/>
        <v>1808</v>
      </c>
      <c r="AT15" s="34">
        <f t="shared" si="5"/>
        <v>2288</v>
      </c>
    </row>
    <row r="16" spans="1:49" ht="12.75" x14ac:dyDescent="0.2">
      <c r="A16" s="27">
        <v>1987</v>
      </c>
      <c r="B16" s="35">
        <v>3.8429999999999999E-2</v>
      </c>
      <c r="C16" s="31">
        <f t="shared" si="6"/>
        <v>93</v>
      </c>
      <c r="D16" s="31">
        <v>0</v>
      </c>
      <c r="E16" s="31">
        <f t="shared" si="3"/>
        <v>2503</v>
      </c>
      <c r="F16" s="31">
        <f t="shared" si="7"/>
        <v>2503</v>
      </c>
      <c r="G16" s="31"/>
      <c r="H16" s="36"/>
      <c r="I16" s="36"/>
      <c r="J16" s="31"/>
      <c r="K16" s="36"/>
      <c r="L16" s="36"/>
      <c r="M16" s="31"/>
      <c r="N16" s="36"/>
      <c r="O16" s="36"/>
      <c r="P16" s="31"/>
      <c r="Q16" s="36"/>
      <c r="R16" s="36"/>
      <c r="S16" s="36">
        <f t="shared" si="10"/>
        <v>4.1500000000000004</v>
      </c>
      <c r="T16" s="36">
        <f t="shared" si="11"/>
        <v>112.13</v>
      </c>
      <c r="U16" s="36"/>
      <c r="V16" s="36">
        <v>21.37</v>
      </c>
      <c r="W16" s="36"/>
      <c r="X16" s="36">
        <v>23.56</v>
      </c>
      <c r="Y16" s="36"/>
      <c r="Z16" s="36"/>
      <c r="AA16" s="36"/>
      <c r="AB16" s="36"/>
      <c r="AC16" s="37">
        <v>0.8</v>
      </c>
      <c r="AD16" s="38">
        <f t="shared" si="1"/>
        <v>2002</v>
      </c>
      <c r="AE16" s="37">
        <v>0.8</v>
      </c>
      <c r="AF16" s="39">
        <f t="shared" si="2"/>
        <v>2002</v>
      </c>
      <c r="AG16" s="37">
        <v>0.8</v>
      </c>
      <c r="AH16" s="39">
        <f t="shared" si="8"/>
        <v>90</v>
      </c>
      <c r="AI16" s="31"/>
      <c r="AJ16" s="31">
        <v>5.4</v>
      </c>
      <c r="AK16" s="31">
        <v>200</v>
      </c>
      <c r="AL16" s="31"/>
      <c r="AM16" s="37">
        <f t="shared" si="0"/>
        <v>0.19999999999999996</v>
      </c>
      <c r="AN16" s="31"/>
      <c r="AO16" s="31">
        <f t="shared" si="9"/>
        <v>90</v>
      </c>
      <c r="AP16" s="31"/>
      <c r="AQ16" s="31"/>
      <c r="AR16" s="31"/>
      <c r="AS16" s="34">
        <f t="shared" si="4"/>
        <v>1928</v>
      </c>
      <c r="AT16" s="34">
        <f t="shared" si="5"/>
        <v>2410</v>
      </c>
    </row>
    <row r="17" spans="1:46" ht="12.75" x14ac:dyDescent="0.2">
      <c r="A17" s="27">
        <v>1988</v>
      </c>
      <c r="B17" s="35">
        <v>3.4689999999999999E-2</v>
      </c>
      <c r="C17" s="31">
        <f t="shared" si="6"/>
        <v>87</v>
      </c>
      <c r="D17" s="31">
        <v>0</v>
      </c>
      <c r="E17" s="31">
        <f t="shared" si="3"/>
        <v>2590</v>
      </c>
      <c r="F17" s="31">
        <f t="shared" si="7"/>
        <v>2590</v>
      </c>
      <c r="G17" s="31"/>
      <c r="H17" s="36"/>
      <c r="I17" s="36"/>
      <c r="J17" s="31"/>
      <c r="K17" s="36"/>
      <c r="L17" s="36"/>
      <c r="M17" s="31"/>
      <c r="N17" s="36"/>
      <c r="O17" s="36"/>
      <c r="P17" s="31"/>
      <c r="Q17" s="36"/>
      <c r="R17" s="36"/>
      <c r="S17" s="36">
        <f>ROUND(T16*$B17,2)</f>
        <v>3.89</v>
      </c>
      <c r="T17" s="36">
        <f t="shared" si="11"/>
        <v>116.02</v>
      </c>
      <c r="U17" s="36"/>
      <c r="V17" s="36">
        <v>22.11</v>
      </c>
      <c r="W17" s="36"/>
      <c r="X17" s="36">
        <v>24.38</v>
      </c>
      <c r="Y17" s="36"/>
      <c r="Z17" s="36"/>
      <c r="AA17" s="36"/>
      <c r="AB17" s="36"/>
      <c r="AC17" s="37">
        <v>0.81499999999999995</v>
      </c>
      <c r="AD17" s="38">
        <f t="shared" si="1"/>
        <v>2111</v>
      </c>
      <c r="AE17" s="37">
        <v>0.81499999999999995</v>
      </c>
      <c r="AF17" s="39">
        <f t="shared" si="2"/>
        <v>2111</v>
      </c>
      <c r="AG17" s="37">
        <v>0.81499999999999995</v>
      </c>
      <c r="AH17" s="39">
        <f t="shared" si="8"/>
        <v>95</v>
      </c>
      <c r="AI17" s="31"/>
      <c r="AJ17" s="31">
        <v>5.4</v>
      </c>
      <c r="AK17" s="31">
        <v>200</v>
      </c>
      <c r="AL17" s="31"/>
      <c r="AM17" s="37">
        <f t="shared" si="0"/>
        <v>0.18500000000000005</v>
      </c>
      <c r="AN17" s="31"/>
      <c r="AO17" s="31">
        <f t="shared" si="9"/>
        <v>95</v>
      </c>
      <c r="AP17" s="31"/>
      <c r="AQ17" s="31"/>
      <c r="AR17" s="31"/>
      <c r="AS17" s="34">
        <f t="shared" si="4"/>
        <v>2002</v>
      </c>
      <c r="AT17" s="34">
        <f t="shared" si="5"/>
        <v>2503</v>
      </c>
    </row>
    <row r="18" spans="1:46" ht="12.75" x14ac:dyDescent="0.2">
      <c r="A18" s="27">
        <v>1989</v>
      </c>
      <c r="B18" s="35">
        <v>3.5920000000000001E-2</v>
      </c>
      <c r="C18" s="31">
        <f t="shared" si="6"/>
        <v>93</v>
      </c>
      <c r="D18" s="31">
        <v>0</v>
      </c>
      <c r="E18" s="31">
        <f t="shared" si="3"/>
        <v>2683</v>
      </c>
      <c r="F18" s="31">
        <f t="shared" si="7"/>
        <v>2683</v>
      </c>
      <c r="G18" s="31"/>
      <c r="H18" s="36"/>
      <c r="I18" s="36"/>
      <c r="J18" s="31"/>
      <c r="K18" s="36"/>
      <c r="L18" s="36"/>
      <c r="M18" s="31"/>
      <c r="N18" s="36"/>
      <c r="O18" s="36"/>
      <c r="P18" s="31"/>
      <c r="Q18" s="36"/>
      <c r="R18" s="36"/>
      <c r="S18" s="36">
        <f t="shared" si="10"/>
        <v>4.17</v>
      </c>
      <c r="T18" s="36">
        <f t="shared" si="11"/>
        <v>120.19</v>
      </c>
      <c r="U18" s="36"/>
      <c r="V18" s="36">
        <v>22.9</v>
      </c>
      <c r="W18" s="36"/>
      <c r="X18" s="36">
        <v>25.26</v>
      </c>
      <c r="Y18" s="36"/>
      <c r="Z18" s="36"/>
      <c r="AA18" s="36"/>
      <c r="AB18" s="36"/>
      <c r="AC18" s="37">
        <v>0.82</v>
      </c>
      <c r="AD18" s="38">
        <f t="shared" si="1"/>
        <v>2200</v>
      </c>
      <c r="AE18" s="37">
        <v>0.82</v>
      </c>
      <c r="AF18" s="39">
        <f t="shared" si="2"/>
        <v>2200</v>
      </c>
      <c r="AG18" s="37">
        <v>0.82</v>
      </c>
      <c r="AH18" s="39">
        <f t="shared" si="8"/>
        <v>99</v>
      </c>
      <c r="AI18" s="31"/>
      <c r="AJ18" s="31">
        <v>5.4</v>
      </c>
      <c r="AK18" s="31">
        <v>200</v>
      </c>
      <c r="AL18" s="31"/>
      <c r="AM18" s="37">
        <f t="shared" si="0"/>
        <v>0.18000000000000005</v>
      </c>
      <c r="AN18" s="31"/>
      <c r="AO18" s="31">
        <f t="shared" si="9"/>
        <v>99</v>
      </c>
      <c r="AP18" s="31"/>
      <c r="AQ18" s="31"/>
      <c r="AR18" s="31"/>
      <c r="AS18" s="34">
        <f t="shared" si="4"/>
        <v>2111</v>
      </c>
      <c r="AT18" s="34">
        <f t="shared" si="5"/>
        <v>2590</v>
      </c>
    </row>
    <row r="19" spans="1:46" ht="12.75" x14ac:dyDescent="0.2">
      <c r="A19" s="27">
        <v>1990</v>
      </c>
      <c r="B19" s="35">
        <v>3.5340000000000003E-2</v>
      </c>
      <c r="C19" s="31">
        <f t="shared" si="6"/>
        <v>95</v>
      </c>
      <c r="D19" s="31">
        <v>0</v>
      </c>
      <c r="E19" s="31">
        <f t="shared" si="3"/>
        <v>2778</v>
      </c>
      <c r="F19" s="31">
        <f t="shared" si="7"/>
        <v>2778</v>
      </c>
      <c r="G19" s="31"/>
      <c r="H19" s="36"/>
      <c r="I19" s="36"/>
      <c r="J19" s="31"/>
      <c r="K19" s="36"/>
      <c r="L19" s="36"/>
      <c r="M19" s="31"/>
      <c r="N19" s="36"/>
      <c r="O19" s="36"/>
      <c r="P19" s="31"/>
      <c r="Q19" s="36"/>
      <c r="R19" s="36"/>
      <c r="S19" s="36">
        <f t="shared" si="10"/>
        <v>4.25</v>
      </c>
      <c r="T19" s="36">
        <f t="shared" si="11"/>
        <v>124.44</v>
      </c>
      <c r="U19" s="36"/>
      <c r="V19" s="36">
        <v>22.9</v>
      </c>
      <c r="W19" s="36"/>
      <c r="X19" s="36">
        <v>25.26</v>
      </c>
      <c r="Y19" s="36"/>
      <c r="Z19" s="36"/>
      <c r="AA19" s="36"/>
      <c r="AB19" s="36"/>
      <c r="AC19" s="37">
        <v>0.82499999999999996</v>
      </c>
      <c r="AD19" s="38">
        <f t="shared" si="1"/>
        <v>2292</v>
      </c>
      <c r="AE19" s="37">
        <v>0.82499999999999996</v>
      </c>
      <c r="AF19" s="39">
        <f t="shared" si="2"/>
        <v>2292</v>
      </c>
      <c r="AG19" s="37">
        <v>0.82499999999999996</v>
      </c>
      <c r="AH19" s="39">
        <f t="shared" si="8"/>
        <v>103</v>
      </c>
      <c r="AI19" s="31"/>
      <c r="AJ19" s="31">
        <v>5.4</v>
      </c>
      <c r="AK19" s="31">
        <v>200</v>
      </c>
      <c r="AL19" s="31"/>
      <c r="AM19" s="37">
        <f t="shared" si="0"/>
        <v>0.17500000000000004</v>
      </c>
      <c r="AN19" s="31"/>
      <c r="AO19" s="31">
        <f t="shared" si="9"/>
        <v>103</v>
      </c>
      <c r="AP19" s="31"/>
      <c r="AQ19" s="31"/>
      <c r="AR19" s="31"/>
      <c r="AS19" s="34">
        <f t="shared" si="4"/>
        <v>2200</v>
      </c>
      <c r="AT19" s="34">
        <f t="shared" si="5"/>
        <v>2683</v>
      </c>
    </row>
    <row r="20" spans="1:46" ht="12.75" x14ac:dyDescent="0.2">
      <c r="A20" s="27">
        <v>1991</v>
      </c>
      <c r="B20" s="35">
        <v>7.1819999999999995E-2</v>
      </c>
      <c r="C20" s="31">
        <f t="shared" si="6"/>
        <v>200</v>
      </c>
      <c r="D20" s="31">
        <v>0</v>
      </c>
      <c r="E20" s="31">
        <f t="shared" si="3"/>
        <v>2978</v>
      </c>
      <c r="F20" s="31">
        <f t="shared" si="7"/>
        <v>2978</v>
      </c>
      <c r="G20" s="31"/>
      <c r="H20" s="36"/>
      <c r="I20" s="36"/>
      <c r="J20" s="31"/>
      <c r="K20" s="36"/>
      <c r="L20" s="36"/>
      <c r="M20" s="31"/>
      <c r="N20" s="36"/>
      <c r="O20" s="36"/>
      <c r="P20" s="31"/>
      <c r="Q20" s="36"/>
      <c r="R20" s="36"/>
      <c r="S20" s="36">
        <f t="shared" si="10"/>
        <v>8.94</v>
      </c>
      <c r="T20" s="36">
        <f t="shared" si="11"/>
        <v>133.38</v>
      </c>
      <c r="U20" s="36"/>
      <c r="V20" s="36">
        <v>25.41</v>
      </c>
      <c r="W20" s="36"/>
      <c r="X20" s="36">
        <v>28.03</v>
      </c>
      <c r="Y20" s="36"/>
      <c r="Z20" s="36"/>
      <c r="AA20" s="36"/>
      <c r="AB20" s="36"/>
      <c r="AC20" s="37">
        <v>0.83</v>
      </c>
      <c r="AD20" s="38">
        <f t="shared" si="1"/>
        <v>2472</v>
      </c>
      <c r="AE20" s="37">
        <v>0.83</v>
      </c>
      <c r="AF20" s="39">
        <f t="shared" si="2"/>
        <v>2472</v>
      </c>
      <c r="AG20" s="37">
        <v>0.83</v>
      </c>
      <c r="AH20" s="39">
        <f t="shared" si="8"/>
        <v>111</v>
      </c>
      <c r="AI20" s="31"/>
      <c r="AJ20" s="31">
        <v>5.4</v>
      </c>
      <c r="AK20" s="31">
        <v>200</v>
      </c>
      <c r="AL20" s="31"/>
      <c r="AM20" s="37">
        <f t="shared" si="0"/>
        <v>0.17000000000000004</v>
      </c>
      <c r="AN20" s="31"/>
      <c r="AO20" s="31">
        <f t="shared" si="9"/>
        <v>111</v>
      </c>
      <c r="AP20" s="31"/>
      <c r="AQ20" s="31"/>
      <c r="AR20" s="31"/>
      <c r="AS20" s="34">
        <f t="shared" si="4"/>
        <v>2292</v>
      </c>
      <c r="AT20" s="34">
        <f t="shared" si="5"/>
        <v>2778</v>
      </c>
    </row>
    <row r="21" spans="1:46" ht="12.75" x14ac:dyDescent="0.2">
      <c r="A21" s="27">
        <v>1992</v>
      </c>
      <c r="B21" s="41">
        <v>4.3400000000000001E-2</v>
      </c>
      <c r="C21" s="31">
        <f>ROUND(E20*B21,0)</f>
        <v>129</v>
      </c>
      <c r="D21" s="31">
        <v>96</v>
      </c>
      <c r="E21" s="31">
        <f t="shared" si="3"/>
        <v>3203</v>
      </c>
      <c r="F21" s="31">
        <f t="shared" si="7"/>
        <v>3203</v>
      </c>
      <c r="G21" s="31"/>
      <c r="H21" s="36"/>
      <c r="I21" s="36"/>
      <c r="J21" s="31"/>
      <c r="K21" s="36"/>
      <c r="L21" s="36"/>
      <c r="M21" s="31"/>
      <c r="N21" s="36"/>
      <c r="O21" s="36"/>
      <c r="P21" s="31"/>
      <c r="Q21" s="36"/>
      <c r="R21" s="36"/>
      <c r="S21" s="36">
        <f t="shared" si="10"/>
        <v>5.79</v>
      </c>
      <c r="T21" s="40">
        <v>141.97</v>
      </c>
      <c r="U21" s="36"/>
      <c r="V21" s="36">
        <v>26.48</v>
      </c>
      <c r="W21" s="36"/>
      <c r="X21" s="36">
        <v>29.21</v>
      </c>
      <c r="Y21" s="36"/>
      <c r="Z21" s="36"/>
      <c r="AA21" s="36"/>
      <c r="AB21" s="36"/>
      <c r="AC21" s="37">
        <v>0.83</v>
      </c>
      <c r="AD21" s="38">
        <f t="shared" si="1"/>
        <v>2658</v>
      </c>
      <c r="AE21" s="37">
        <v>0.83</v>
      </c>
      <c r="AF21" s="39">
        <f t="shared" si="2"/>
        <v>2658</v>
      </c>
      <c r="AG21" s="37">
        <v>0.83</v>
      </c>
      <c r="AH21" s="39">
        <f t="shared" si="8"/>
        <v>118</v>
      </c>
      <c r="AI21" s="31"/>
      <c r="AJ21" s="31">
        <v>5.4</v>
      </c>
      <c r="AK21" s="31">
        <v>300</v>
      </c>
      <c r="AL21" s="31"/>
      <c r="AM21" s="37">
        <f t="shared" si="0"/>
        <v>0.17000000000000004</v>
      </c>
      <c r="AN21" s="31"/>
      <c r="AO21" s="31">
        <f t="shared" si="9"/>
        <v>118</v>
      </c>
      <c r="AP21" s="31"/>
      <c r="AQ21" s="31"/>
      <c r="AR21" s="31"/>
      <c r="AS21" s="34">
        <f t="shared" si="4"/>
        <v>2472</v>
      </c>
      <c r="AT21" s="34">
        <f t="shared" si="5"/>
        <v>2978</v>
      </c>
    </row>
    <row r="22" spans="1:46" ht="12.75" x14ac:dyDescent="0.2">
      <c r="A22" s="27">
        <v>1993</v>
      </c>
      <c r="B22" s="35">
        <v>4.1509999999999998E-2</v>
      </c>
      <c r="C22" s="31">
        <f t="shared" si="6"/>
        <v>133</v>
      </c>
      <c r="D22" s="31">
        <v>0</v>
      </c>
      <c r="E22" s="31">
        <f t="shared" si="3"/>
        <v>3336</v>
      </c>
      <c r="F22" s="31">
        <f t="shared" si="7"/>
        <v>3336</v>
      </c>
      <c r="G22" s="31"/>
      <c r="H22" s="36"/>
      <c r="I22" s="36"/>
      <c r="J22" s="31"/>
      <c r="K22" s="36"/>
      <c r="L22" s="36"/>
      <c r="M22" s="31"/>
      <c r="N22" s="36"/>
      <c r="O22" s="36"/>
      <c r="P22" s="31"/>
      <c r="Q22" s="36"/>
      <c r="R22" s="36"/>
      <c r="S22" s="36">
        <f t="shared" si="10"/>
        <v>5.89</v>
      </c>
      <c r="T22" s="36">
        <f>S22+T21</f>
        <v>147.85999999999999</v>
      </c>
      <c r="U22" s="36">
        <f>ROUND(V21*$B22,2)</f>
        <v>1.1000000000000001</v>
      </c>
      <c r="V22" s="36">
        <f>U22+V21</f>
        <v>27.580000000000002</v>
      </c>
      <c r="W22" s="36">
        <f t="shared" ref="W22:W50" si="12">ROUND(X21*$B22,2)</f>
        <v>1.21</v>
      </c>
      <c r="X22" s="36">
        <f>W22+X21</f>
        <v>30.42</v>
      </c>
      <c r="Y22" s="36"/>
      <c r="Z22" s="36"/>
      <c r="AA22" s="36"/>
      <c r="AB22" s="36"/>
      <c r="AC22" s="37">
        <v>0.83</v>
      </c>
      <c r="AD22" s="38">
        <f t="shared" si="1"/>
        <v>2769</v>
      </c>
      <c r="AE22" s="37">
        <v>0.79</v>
      </c>
      <c r="AF22" s="39">
        <f t="shared" si="2"/>
        <v>2635</v>
      </c>
      <c r="AG22" s="37">
        <v>0.79</v>
      </c>
      <c r="AH22" s="39">
        <f t="shared" si="8"/>
        <v>117</v>
      </c>
      <c r="AI22" s="31"/>
      <c r="AJ22" s="31">
        <v>5.4</v>
      </c>
      <c r="AK22" s="31">
        <v>300</v>
      </c>
      <c r="AL22" s="31"/>
      <c r="AM22" s="37">
        <f t="shared" si="0"/>
        <v>0.17000000000000004</v>
      </c>
      <c r="AN22" s="31"/>
      <c r="AO22" s="31">
        <f t="shared" si="9"/>
        <v>117</v>
      </c>
      <c r="AP22" s="31"/>
      <c r="AQ22" s="31"/>
      <c r="AR22" s="31"/>
      <c r="AS22" s="34">
        <f t="shared" si="4"/>
        <v>2658</v>
      </c>
      <c r="AT22" s="34">
        <f t="shared" si="5"/>
        <v>3203</v>
      </c>
    </row>
    <row r="23" spans="1:46" ht="12.75" x14ac:dyDescent="0.2">
      <c r="A23" s="27">
        <v>1994</v>
      </c>
      <c r="B23" s="35">
        <v>2.1000000000000001E-2</v>
      </c>
      <c r="C23" s="31">
        <f t="shared" si="6"/>
        <v>70</v>
      </c>
      <c r="D23" s="31">
        <v>0</v>
      </c>
      <c r="E23" s="31">
        <f t="shared" si="3"/>
        <v>3406</v>
      </c>
      <c r="F23" s="31">
        <f t="shared" si="7"/>
        <v>3406</v>
      </c>
      <c r="G23" s="31"/>
      <c r="H23" s="36"/>
      <c r="I23" s="36"/>
      <c r="J23" s="31"/>
      <c r="K23" s="36"/>
      <c r="L23" s="36"/>
      <c r="M23" s="31"/>
      <c r="N23" s="36"/>
      <c r="O23" s="36"/>
      <c r="P23" s="31"/>
      <c r="Q23" s="36"/>
      <c r="R23" s="36"/>
      <c r="S23" s="36">
        <f t="shared" si="10"/>
        <v>3.11</v>
      </c>
      <c r="T23" s="36">
        <f t="shared" si="11"/>
        <v>150.97</v>
      </c>
      <c r="U23" s="36">
        <f t="shared" ref="U23:U50" si="13">ROUND(V22*$B23,2)</f>
        <v>0.57999999999999996</v>
      </c>
      <c r="V23" s="36">
        <f t="shared" ref="V23:V50" si="14">U23+V22</f>
        <v>28.16</v>
      </c>
      <c r="W23" s="36">
        <f t="shared" si="12"/>
        <v>0.64</v>
      </c>
      <c r="X23" s="36">
        <f t="shared" ref="X23:X50" si="15">W23+X22</f>
        <v>31.060000000000002</v>
      </c>
      <c r="Y23" s="36"/>
      <c r="Z23" s="36"/>
      <c r="AA23" s="36"/>
      <c r="AB23" s="36"/>
      <c r="AC23" s="37">
        <v>0.83</v>
      </c>
      <c r="AD23" s="38">
        <f t="shared" si="1"/>
        <v>2827</v>
      </c>
      <c r="AE23" s="37">
        <v>0.79</v>
      </c>
      <c r="AF23" s="39">
        <f t="shared" si="2"/>
        <v>2691</v>
      </c>
      <c r="AG23" s="37">
        <v>0.79</v>
      </c>
      <c r="AH23" s="39">
        <f t="shared" si="8"/>
        <v>119</v>
      </c>
      <c r="AI23" s="31"/>
      <c r="AJ23" s="31">
        <v>5.4</v>
      </c>
      <c r="AK23" s="31">
        <v>300</v>
      </c>
      <c r="AL23" s="31"/>
      <c r="AM23" s="37">
        <f t="shared" si="0"/>
        <v>0.17000000000000004</v>
      </c>
      <c r="AN23" s="31"/>
      <c r="AO23" s="31">
        <f t="shared" si="9"/>
        <v>119</v>
      </c>
      <c r="AP23" s="31"/>
      <c r="AQ23" s="31"/>
      <c r="AR23" s="31"/>
      <c r="AS23" s="34">
        <f t="shared" si="4"/>
        <v>2769</v>
      </c>
      <c r="AT23" s="34">
        <f t="shared" si="5"/>
        <v>3336</v>
      </c>
    </row>
    <row r="24" spans="1:46" ht="12.75" x14ac:dyDescent="0.2">
      <c r="A24" s="27">
        <v>1995</v>
      </c>
      <c r="B24" s="35">
        <v>2.8500000000000001E-2</v>
      </c>
      <c r="C24" s="31">
        <f t="shared" si="6"/>
        <v>97</v>
      </c>
      <c r="D24" s="31">
        <v>0</v>
      </c>
      <c r="E24" s="31">
        <f t="shared" si="3"/>
        <v>3503</v>
      </c>
      <c r="F24" s="31">
        <f t="shared" si="7"/>
        <v>3503</v>
      </c>
      <c r="G24" s="31"/>
      <c r="H24" s="36"/>
      <c r="I24" s="36"/>
      <c r="J24" s="31"/>
      <c r="K24" s="36"/>
      <c r="L24" s="36"/>
      <c r="M24" s="31"/>
      <c r="N24" s="36"/>
      <c r="O24" s="36"/>
      <c r="P24" s="31"/>
      <c r="Q24" s="36"/>
      <c r="R24" s="36"/>
      <c r="S24" s="36">
        <f t="shared" si="10"/>
        <v>4.3</v>
      </c>
      <c r="T24" s="36">
        <f t="shared" si="11"/>
        <v>155.27000000000001</v>
      </c>
      <c r="U24" s="36">
        <f t="shared" si="13"/>
        <v>0.8</v>
      </c>
      <c r="V24" s="36">
        <f t="shared" si="14"/>
        <v>28.96</v>
      </c>
      <c r="W24" s="36">
        <f t="shared" si="12"/>
        <v>0.89</v>
      </c>
      <c r="X24" s="36">
        <f t="shared" si="15"/>
        <v>31.950000000000003</v>
      </c>
      <c r="Y24" s="36"/>
      <c r="Z24" s="36"/>
      <c r="AA24" s="36"/>
      <c r="AB24" s="36"/>
      <c r="AC24" s="37">
        <v>0.83</v>
      </c>
      <c r="AD24" s="38">
        <f t="shared" si="1"/>
        <v>2907</v>
      </c>
      <c r="AE24" s="37">
        <v>0.79</v>
      </c>
      <c r="AF24" s="39">
        <f t="shared" si="2"/>
        <v>2767</v>
      </c>
      <c r="AG24" s="37">
        <v>0.79</v>
      </c>
      <c r="AH24" s="39">
        <f t="shared" si="8"/>
        <v>123</v>
      </c>
      <c r="AI24" s="31"/>
      <c r="AJ24" s="31">
        <v>5.4</v>
      </c>
      <c r="AK24" s="31">
        <v>300</v>
      </c>
      <c r="AL24" s="31"/>
      <c r="AM24" s="37">
        <f t="shared" si="0"/>
        <v>0.17000000000000004</v>
      </c>
      <c r="AN24" s="31"/>
      <c r="AO24" s="31">
        <f t="shared" si="9"/>
        <v>123</v>
      </c>
      <c r="AP24" s="31"/>
      <c r="AQ24" s="31"/>
      <c r="AR24" s="31"/>
      <c r="AS24" s="34">
        <f t="shared" si="4"/>
        <v>2827</v>
      </c>
      <c r="AT24" s="34">
        <f t="shared" si="5"/>
        <v>3406</v>
      </c>
    </row>
    <row r="25" spans="1:46" ht="12.75" x14ac:dyDescent="0.2">
      <c r="A25" s="27">
        <v>1996</v>
      </c>
      <c r="B25" s="35">
        <v>3.5000000000000003E-2</v>
      </c>
      <c r="C25" s="31">
        <f t="shared" si="6"/>
        <v>123</v>
      </c>
      <c r="D25" s="31">
        <v>0</v>
      </c>
      <c r="E25" s="31">
        <f t="shared" si="3"/>
        <v>3626</v>
      </c>
      <c r="F25" s="31">
        <f t="shared" si="7"/>
        <v>3626</v>
      </c>
      <c r="G25" s="31"/>
      <c r="H25" s="36"/>
      <c r="I25" s="36"/>
      <c r="J25" s="31"/>
      <c r="K25" s="36"/>
      <c r="L25" s="36"/>
      <c r="M25" s="31"/>
      <c r="N25" s="36"/>
      <c r="O25" s="36"/>
      <c r="P25" s="31"/>
      <c r="Q25" s="36"/>
      <c r="R25" s="36"/>
      <c r="S25" s="36">
        <f t="shared" si="10"/>
        <v>5.43</v>
      </c>
      <c r="T25" s="36">
        <f t="shared" si="11"/>
        <v>160.70000000000002</v>
      </c>
      <c r="U25" s="36">
        <f t="shared" si="13"/>
        <v>1.01</v>
      </c>
      <c r="V25" s="36">
        <f t="shared" si="14"/>
        <v>29.970000000000002</v>
      </c>
      <c r="W25" s="36">
        <f t="shared" si="12"/>
        <v>1.1200000000000001</v>
      </c>
      <c r="X25" s="36">
        <f t="shared" si="15"/>
        <v>33.07</v>
      </c>
      <c r="Y25" s="36"/>
      <c r="Z25" s="36"/>
      <c r="AA25" s="36"/>
      <c r="AB25" s="36"/>
      <c r="AC25" s="37">
        <v>0.83</v>
      </c>
      <c r="AD25" s="38">
        <f t="shared" si="1"/>
        <v>3010</v>
      </c>
      <c r="AE25" s="37">
        <v>0.79</v>
      </c>
      <c r="AF25" s="39">
        <f>ROUND(AE25*F25,0)</f>
        <v>2865</v>
      </c>
      <c r="AG25" s="37">
        <v>0.79</v>
      </c>
      <c r="AH25" s="39">
        <f t="shared" si="8"/>
        <v>127</v>
      </c>
      <c r="AI25" s="36">
        <v>1</v>
      </c>
      <c r="AJ25" s="31">
        <v>5.4</v>
      </c>
      <c r="AK25" s="31">
        <v>300</v>
      </c>
      <c r="AL25" s="31"/>
      <c r="AM25" s="37">
        <f t="shared" si="0"/>
        <v>0.17000000000000004</v>
      </c>
      <c r="AN25" s="31"/>
      <c r="AO25" s="31">
        <f t="shared" si="9"/>
        <v>127</v>
      </c>
      <c r="AP25" s="31"/>
      <c r="AQ25" s="31"/>
      <c r="AR25" s="31"/>
      <c r="AS25" s="34">
        <f t="shared" si="4"/>
        <v>2907</v>
      </c>
      <c r="AT25" s="34">
        <f t="shared" si="5"/>
        <v>3503</v>
      </c>
    </row>
    <row r="26" spans="1:46" ht="12.75" x14ac:dyDescent="0.2">
      <c r="A26" s="27">
        <v>1997</v>
      </c>
      <c r="B26" s="35">
        <v>3.3000000000000002E-2</v>
      </c>
      <c r="C26" s="31">
        <f t="shared" si="6"/>
        <v>120</v>
      </c>
      <c r="D26" s="31">
        <v>0</v>
      </c>
      <c r="E26" s="31">
        <f t="shared" si="3"/>
        <v>3746</v>
      </c>
      <c r="F26" s="31">
        <f t="shared" si="7"/>
        <v>3746</v>
      </c>
      <c r="G26" s="31"/>
      <c r="H26" s="36"/>
      <c r="I26" s="36"/>
      <c r="J26" s="31"/>
      <c r="K26" s="36"/>
      <c r="L26" s="36"/>
      <c r="M26" s="31"/>
      <c r="N26" s="36"/>
      <c r="O26" s="36"/>
      <c r="P26" s="31"/>
      <c r="Q26" s="36"/>
      <c r="R26" s="36"/>
      <c r="S26" s="36">
        <f t="shared" si="10"/>
        <v>5.3</v>
      </c>
      <c r="T26" s="36">
        <f t="shared" si="11"/>
        <v>166.00000000000003</v>
      </c>
      <c r="U26" s="36">
        <f t="shared" si="13"/>
        <v>0.99</v>
      </c>
      <c r="V26" s="36">
        <f t="shared" si="14"/>
        <v>30.96</v>
      </c>
      <c r="W26" s="36">
        <f t="shared" si="12"/>
        <v>1.0900000000000001</v>
      </c>
      <c r="X26" s="36">
        <f t="shared" si="15"/>
        <v>34.160000000000004</v>
      </c>
      <c r="Y26" s="36"/>
      <c r="Z26" s="36"/>
      <c r="AA26" s="36"/>
      <c r="AB26" s="36"/>
      <c r="AC26" s="37">
        <v>0.875</v>
      </c>
      <c r="AD26" s="38">
        <f t="shared" si="1"/>
        <v>3278</v>
      </c>
      <c r="AE26" s="37">
        <v>0.79</v>
      </c>
      <c r="AF26" s="39">
        <f t="shared" si="2"/>
        <v>2959</v>
      </c>
      <c r="AG26" s="37">
        <v>0.79</v>
      </c>
      <c r="AH26" s="39">
        <f t="shared" si="8"/>
        <v>131</v>
      </c>
      <c r="AI26" s="36">
        <v>1</v>
      </c>
      <c r="AJ26" s="31">
        <v>5.4</v>
      </c>
      <c r="AK26" s="31">
        <v>300</v>
      </c>
      <c r="AL26" s="31"/>
      <c r="AM26" s="37">
        <f t="shared" si="0"/>
        <v>0.125</v>
      </c>
      <c r="AN26" s="31"/>
      <c r="AO26" s="31">
        <f t="shared" si="9"/>
        <v>131</v>
      </c>
      <c r="AP26" s="31"/>
      <c r="AQ26" s="31"/>
      <c r="AR26" s="31"/>
      <c r="AS26" s="34">
        <f t="shared" si="4"/>
        <v>3010</v>
      </c>
      <c r="AT26" s="34">
        <f t="shared" si="5"/>
        <v>3626</v>
      </c>
    </row>
    <row r="27" spans="1:46" ht="12.75" x14ac:dyDescent="0.2">
      <c r="A27" s="27">
        <v>1998</v>
      </c>
      <c r="B27" s="35">
        <v>3.5000000000000003E-2</v>
      </c>
      <c r="C27" s="31">
        <f t="shared" si="6"/>
        <v>131</v>
      </c>
      <c r="D27" s="31">
        <v>0</v>
      </c>
      <c r="E27" s="31">
        <f t="shared" si="3"/>
        <v>3877</v>
      </c>
      <c r="F27" s="31">
        <f t="shared" si="7"/>
        <v>3877</v>
      </c>
      <c r="G27" s="31"/>
      <c r="H27" s="36"/>
      <c r="I27" s="36"/>
      <c r="J27" s="31"/>
      <c r="K27" s="36"/>
      <c r="L27" s="36"/>
      <c r="M27" s="31"/>
      <c r="N27" s="36"/>
      <c r="O27" s="36"/>
      <c r="P27" s="31"/>
      <c r="Q27" s="36"/>
      <c r="R27" s="36"/>
      <c r="S27" s="36">
        <f t="shared" si="10"/>
        <v>5.81</v>
      </c>
      <c r="T27" s="36">
        <f t="shared" si="11"/>
        <v>171.81000000000003</v>
      </c>
      <c r="U27" s="36">
        <f t="shared" si="13"/>
        <v>1.08</v>
      </c>
      <c r="V27" s="36">
        <f t="shared" si="14"/>
        <v>32.04</v>
      </c>
      <c r="W27" s="36">
        <f t="shared" si="12"/>
        <v>1.2</v>
      </c>
      <c r="X27" s="36">
        <f t="shared" si="15"/>
        <v>35.360000000000007</v>
      </c>
      <c r="Y27" s="36"/>
      <c r="Z27" s="36"/>
      <c r="AA27" s="36"/>
      <c r="AB27" s="36"/>
      <c r="AC27" s="37">
        <v>0.875</v>
      </c>
      <c r="AD27" s="38">
        <f t="shared" si="1"/>
        <v>3392</v>
      </c>
      <c r="AE27" s="37">
        <v>0.79</v>
      </c>
      <c r="AF27" s="39">
        <f t="shared" si="2"/>
        <v>3063</v>
      </c>
      <c r="AG27" s="37">
        <v>0.79</v>
      </c>
      <c r="AH27" s="39">
        <f t="shared" si="8"/>
        <v>136</v>
      </c>
      <c r="AI27" s="36">
        <v>1</v>
      </c>
      <c r="AJ27" s="31">
        <v>5.4</v>
      </c>
      <c r="AK27" s="31">
        <v>300</v>
      </c>
      <c r="AL27" s="31"/>
      <c r="AM27" s="37">
        <f t="shared" si="0"/>
        <v>0.125</v>
      </c>
      <c r="AN27" s="31"/>
      <c r="AO27" s="31">
        <f t="shared" si="9"/>
        <v>136</v>
      </c>
      <c r="AP27" s="31"/>
      <c r="AQ27" s="31"/>
      <c r="AR27" s="31"/>
      <c r="AS27" s="34">
        <f t="shared" si="4"/>
        <v>3278</v>
      </c>
      <c r="AT27" s="34">
        <f t="shared" si="5"/>
        <v>3746</v>
      </c>
    </row>
    <row r="28" spans="1:46" ht="12.75" x14ac:dyDescent="0.2">
      <c r="A28" s="27">
        <v>1999</v>
      </c>
      <c r="B28" s="35">
        <v>3.5000000000000003E-2</v>
      </c>
      <c r="C28" s="31">
        <f t="shared" si="6"/>
        <v>136</v>
      </c>
      <c r="D28" s="31">
        <v>0</v>
      </c>
      <c r="E28" s="31">
        <f t="shared" si="3"/>
        <v>4013</v>
      </c>
      <c r="F28" s="31">
        <f t="shared" si="7"/>
        <v>4013</v>
      </c>
      <c r="G28" s="31"/>
      <c r="H28" s="36"/>
      <c r="I28" s="36"/>
      <c r="J28" s="31"/>
      <c r="K28" s="36"/>
      <c r="L28" s="36"/>
      <c r="M28" s="31"/>
      <c r="N28" s="36"/>
      <c r="O28" s="36"/>
      <c r="P28" s="31"/>
      <c r="Q28" s="36"/>
      <c r="R28" s="36"/>
      <c r="S28" s="36">
        <f t="shared" si="10"/>
        <v>6.01</v>
      </c>
      <c r="T28" s="36">
        <f t="shared" si="11"/>
        <v>177.82000000000002</v>
      </c>
      <c r="U28" s="36">
        <f t="shared" si="13"/>
        <v>1.1200000000000001</v>
      </c>
      <c r="V28" s="36">
        <f t="shared" si="14"/>
        <v>33.159999999999997</v>
      </c>
      <c r="W28" s="36">
        <f t="shared" si="12"/>
        <v>1.24</v>
      </c>
      <c r="X28" s="36">
        <f t="shared" si="15"/>
        <v>36.600000000000009</v>
      </c>
      <c r="Y28" s="36"/>
      <c r="Z28" s="36"/>
      <c r="AA28" s="36"/>
      <c r="AB28" s="36"/>
      <c r="AC28" s="37">
        <v>0.875</v>
      </c>
      <c r="AD28" s="38">
        <f t="shared" si="1"/>
        <v>3511</v>
      </c>
      <c r="AE28" s="37">
        <v>0.79</v>
      </c>
      <c r="AF28" s="39">
        <f t="shared" si="2"/>
        <v>3170</v>
      </c>
      <c r="AG28" s="37">
        <v>0.79</v>
      </c>
      <c r="AH28" s="39">
        <f t="shared" si="8"/>
        <v>140</v>
      </c>
      <c r="AI28" s="36">
        <v>1</v>
      </c>
      <c r="AJ28" s="31">
        <v>5.4</v>
      </c>
      <c r="AK28" s="31">
        <v>300</v>
      </c>
      <c r="AL28" s="31"/>
      <c r="AM28" s="37">
        <f t="shared" si="0"/>
        <v>0.125</v>
      </c>
      <c r="AN28" s="31"/>
      <c r="AO28" s="31">
        <f t="shared" si="9"/>
        <v>140</v>
      </c>
      <c r="AP28" s="31"/>
      <c r="AQ28" s="31"/>
      <c r="AR28" s="31"/>
      <c r="AS28" s="34">
        <f t="shared" si="4"/>
        <v>3392</v>
      </c>
      <c r="AT28" s="34">
        <f t="shared" si="5"/>
        <v>3877</v>
      </c>
    </row>
    <row r="29" spans="1:46" ht="12.75" x14ac:dyDescent="0.2">
      <c r="A29" s="27">
        <v>2000</v>
      </c>
      <c r="B29" s="35">
        <v>0.03</v>
      </c>
      <c r="C29" s="31">
        <f t="shared" si="6"/>
        <v>120</v>
      </c>
      <c r="D29" s="31">
        <v>38</v>
      </c>
      <c r="E29" s="31">
        <f t="shared" si="3"/>
        <v>4171</v>
      </c>
      <c r="F29" s="31">
        <f t="shared" si="7"/>
        <v>4171</v>
      </c>
      <c r="G29" s="31"/>
      <c r="H29" s="36"/>
      <c r="I29" s="36"/>
      <c r="J29" s="31"/>
      <c r="K29" s="36"/>
      <c r="L29" s="36"/>
      <c r="M29" s="31"/>
      <c r="N29" s="36"/>
      <c r="O29" s="36"/>
      <c r="P29" s="31"/>
      <c r="Q29" s="36"/>
      <c r="R29" s="36"/>
      <c r="S29" s="36">
        <f t="shared" si="10"/>
        <v>5.33</v>
      </c>
      <c r="T29" s="36">
        <f t="shared" si="11"/>
        <v>183.15000000000003</v>
      </c>
      <c r="U29" s="36">
        <f t="shared" si="13"/>
        <v>0.99</v>
      </c>
      <c r="V29" s="36">
        <f t="shared" si="14"/>
        <v>34.15</v>
      </c>
      <c r="W29" s="36">
        <f t="shared" si="12"/>
        <v>1.1000000000000001</v>
      </c>
      <c r="X29" s="36">
        <f t="shared" si="15"/>
        <v>37.70000000000001</v>
      </c>
      <c r="Y29" s="36"/>
      <c r="Z29" s="36"/>
      <c r="AA29" s="36"/>
      <c r="AB29" s="36"/>
      <c r="AC29" s="37">
        <v>0.875</v>
      </c>
      <c r="AD29" s="38">
        <f t="shared" si="1"/>
        <v>3650</v>
      </c>
      <c r="AE29" s="37">
        <v>0.875</v>
      </c>
      <c r="AF29" s="39">
        <f t="shared" si="2"/>
        <v>3650</v>
      </c>
      <c r="AG29" s="37">
        <v>0.79</v>
      </c>
      <c r="AH29" s="39">
        <f t="shared" si="8"/>
        <v>145</v>
      </c>
      <c r="AI29" s="36">
        <v>1</v>
      </c>
      <c r="AJ29" s="31">
        <v>5.4</v>
      </c>
      <c r="AK29" s="31">
        <v>300</v>
      </c>
      <c r="AL29" s="31"/>
      <c r="AM29" s="37">
        <f t="shared" si="0"/>
        <v>0.125</v>
      </c>
      <c r="AN29" s="31"/>
      <c r="AO29" s="31">
        <f t="shared" si="9"/>
        <v>145</v>
      </c>
      <c r="AP29" s="31"/>
      <c r="AQ29" s="31"/>
      <c r="AR29" s="31">
        <f>D29</f>
        <v>38</v>
      </c>
      <c r="AS29" s="34">
        <f t="shared" si="4"/>
        <v>3511</v>
      </c>
      <c r="AT29" s="34">
        <f t="shared" si="5"/>
        <v>4013</v>
      </c>
    </row>
    <row r="30" spans="1:46" ht="12.75" x14ac:dyDescent="0.2">
      <c r="A30" s="27">
        <v>2001</v>
      </c>
      <c r="B30" s="35">
        <v>0.04</v>
      </c>
      <c r="C30" s="31">
        <f t="shared" si="6"/>
        <v>167</v>
      </c>
      <c r="D30" s="31">
        <v>0</v>
      </c>
      <c r="E30" s="31">
        <f t="shared" si="3"/>
        <v>4338</v>
      </c>
      <c r="F30" s="31">
        <f t="shared" si="7"/>
        <v>4338</v>
      </c>
      <c r="G30" s="31"/>
      <c r="H30" s="36"/>
      <c r="I30" s="36"/>
      <c r="J30" s="31"/>
      <c r="K30" s="36"/>
      <c r="L30" s="36"/>
      <c r="M30" s="31"/>
      <c r="N30" s="36"/>
      <c r="O30" s="36"/>
      <c r="P30" s="31"/>
      <c r="Q30" s="36"/>
      <c r="R30" s="36"/>
      <c r="S30" s="36">
        <f t="shared" si="10"/>
        <v>7.33</v>
      </c>
      <c r="T30" s="36">
        <f t="shared" si="11"/>
        <v>190.48000000000005</v>
      </c>
      <c r="U30" s="36">
        <f t="shared" si="13"/>
        <v>1.37</v>
      </c>
      <c r="V30" s="36">
        <f t="shared" si="14"/>
        <v>35.519999999999996</v>
      </c>
      <c r="W30" s="36">
        <f t="shared" si="12"/>
        <v>1.51</v>
      </c>
      <c r="X30" s="36">
        <f t="shared" si="15"/>
        <v>39.210000000000008</v>
      </c>
      <c r="Y30" s="36"/>
      <c r="Z30" s="36"/>
      <c r="AA30" s="36"/>
      <c r="AB30" s="36"/>
      <c r="AC30" s="37">
        <v>0.875</v>
      </c>
      <c r="AD30" s="38">
        <f t="shared" si="1"/>
        <v>3796</v>
      </c>
      <c r="AE30" s="37">
        <v>0.875</v>
      </c>
      <c r="AF30" s="39">
        <f t="shared" si="2"/>
        <v>3796</v>
      </c>
      <c r="AG30" s="37">
        <v>0.79</v>
      </c>
      <c r="AH30" s="39">
        <f t="shared" si="8"/>
        <v>150</v>
      </c>
      <c r="AI30" s="36">
        <v>1</v>
      </c>
      <c r="AJ30" s="31">
        <v>5.4</v>
      </c>
      <c r="AK30" s="31">
        <v>300</v>
      </c>
      <c r="AL30" s="31"/>
      <c r="AM30" s="37">
        <f t="shared" si="0"/>
        <v>0.125</v>
      </c>
      <c r="AN30" s="31"/>
      <c r="AO30" s="31">
        <f t="shared" si="9"/>
        <v>150</v>
      </c>
      <c r="AP30" s="31"/>
      <c r="AQ30" s="31"/>
      <c r="AR30" s="38">
        <f>ROUND(AR29*(1+B30),0)</f>
        <v>40</v>
      </c>
      <c r="AS30" s="34">
        <f t="shared" si="4"/>
        <v>3650</v>
      </c>
      <c r="AT30" s="34">
        <f t="shared" si="5"/>
        <v>4171</v>
      </c>
    </row>
    <row r="31" spans="1:46" ht="12.75" x14ac:dyDescent="0.2">
      <c r="A31" s="27">
        <v>2002</v>
      </c>
      <c r="B31" s="35">
        <v>0.04</v>
      </c>
      <c r="C31" s="31">
        <f t="shared" si="6"/>
        <v>174</v>
      </c>
      <c r="D31" s="31">
        <v>0</v>
      </c>
      <c r="E31" s="31">
        <f t="shared" si="3"/>
        <v>4512</v>
      </c>
      <c r="F31" s="31">
        <f t="shared" si="7"/>
        <v>4512</v>
      </c>
      <c r="G31" s="31"/>
      <c r="H31" s="36"/>
      <c r="I31" s="36"/>
      <c r="J31" s="31"/>
      <c r="K31" s="36"/>
      <c r="L31" s="36"/>
      <c r="M31" s="31"/>
      <c r="N31" s="36"/>
      <c r="O31" s="36"/>
      <c r="P31" s="31"/>
      <c r="Q31" s="36"/>
      <c r="R31" s="36"/>
      <c r="S31" s="36">
        <f t="shared" si="10"/>
        <v>7.62</v>
      </c>
      <c r="T31" s="36">
        <f t="shared" si="11"/>
        <v>198.10000000000005</v>
      </c>
      <c r="U31" s="36">
        <f t="shared" si="13"/>
        <v>1.42</v>
      </c>
      <c r="V31" s="36">
        <f t="shared" si="14"/>
        <v>36.94</v>
      </c>
      <c r="W31" s="36">
        <f t="shared" si="12"/>
        <v>1.57</v>
      </c>
      <c r="X31" s="36">
        <f t="shared" si="15"/>
        <v>40.780000000000008</v>
      </c>
      <c r="Y31" s="36"/>
      <c r="Z31" s="36"/>
      <c r="AA31" s="36"/>
      <c r="AB31" s="36"/>
      <c r="AC31" s="37">
        <v>0.875</v>
      </c>
      <c r="AD31" s="38">
        <f t="shared" si="1"/>
        <v>3948</v>
      </c>
      <c r="AE31" s="37">
        <v>0.875</v>
      </c>
      <c r="AF31" s="39">
        <f t="shared" si="2"/>
        <v>3948</v>
      </c>
      <c r="AG31" s="37">
        <v>0.79</v>
      </c>
      <c r="AH31" s="39">
        <f t="shared" si="8"/>
        <v>156</v>
      </c>
      <c r="AI31" s="36">
        <v>1</v>
      </c>
      <c r="AJ31" s="31">
        <v>5.4</v>
      </c>
      <c r="AK31" s="31">
        <v>300</v>
      </c>
      <c r="AL31" s="31"/>
      <c r="AM31" s="37">
        <f t="shared" si="0"/>
        <v>0.125</v>
      </c>
      <c r="AN31" s="31"/>
      <c r="AO31" s="31">
        <f t="shared" si="9"/>
        <v>156</v>
      </c>
      <c r="AP31" s="31"/>
      <c r="AQ31" s="31"/>
      <c r="AR31" s="38">
        <f t="shared" ref="AR31:AR59" si="16">ROUND(AR30*(1+B31),0)</f>
        <v>42</v>
      </c>
      <c r="AS31" s="34">
        <f t="shared" si="4"/>
        <v>3796</v>
      </c>
      <c r="AT31" s="34">
        <f t="shared" si="5"/>
        <v>4338</v>
      </c>
    </row>
    <row r="32" spans="1:46" ht="12.75" x14ac:dyDescent="0.2">
      <c r="A32" s="27">
        <v>2003</v>
      </c>
      <c r="B32" s="35">
        <v>0.01</v>
      </c>
      <c r="C32" s="31">
        <f t="shared" si="6"/>
        <v>45</v>
      </c>
      <c r="D32" s="31">
        <v>0</v>
      </c>
      <c r="E32" s="31">
        <f t="shared" si="3"/>
        <v>4557</v>
      </c>
      <c r="F32" s="31">
        <f t="shared" si="7"/>
        <v>4557</v>
      </c>
      <c r="G32" s="31"/>
      <c r="H32" s="36"/>
      <c r="I32" s="36"/>
      <c r="J32" s="31"/>
      <c r="K32" s="36"/>
      <c r="L32" s="36"/>
      <c r="M32" s="31"/>
      <c r="N32" s="36"/>
      <c r="O32" s="36"/>
      <c r="P32" s="31"/>
      <c r="Q32" s="36"/>
      <c r="R32" s="36"/>
      <c r="S32" s="36">
        <f t="shared" si="10"/>
        <v>1.98</v>
      </c>
      <c r="T32" s="36">
        <f t="shared" si="11"/>
        <v>200.08000000000004</v>
      </c>
      <c r="U32" s="36">
        <f t="shared" si="13"/>
        <v>0.37</v>
      </c>
      <c r="V32" s="36">
        <f t="shared" si="14"/>
        <v>37.309999999999995</v>
      </c>
      <c r="W32" s="36">
        <f t="shared" si="12"/>
        <v>0.41</v>
      </c>
      <c r="X32" s="36">
        <f t="shared" si="15"/>
        <v>41.190000000000005</v>
      </c>
      <c r="Y32" s="36"/>
      <c r="Z32" s="36"/>
      <c r="AA32" s="36"/>
      <c r="AB32" s="36"/>
      <c r="AC32" s="37">
        <v>0.875</v>
      </c>
      <c r="AD32" s="38">
        <f t="shared" si="1"/>
        <v>3987</v>
      </c>
      <c r="AE32" s="37">
        <v>0.875</v>
      </c>
      <c r="AF32" s="39">
        <f t="shared" si="2"/>
        <v>3987</v>
      </c>
      <c r="AG32" s="37">
        <v>0.79</v>
      </c>
      <c r="AH32" s="39">
        <f t="shared" si="8"/>
        <v>158</v>
      </c>
      <c r="AI32" s="36">
        <v>1</v>
      </c>
      <c r="AJ32" s="31">
        <v>5.4</v>
      </c>
      <c r="AK32" s="31">
        <v>300</v>
      </c>
      <c r="AL32" s="31"/>
      <c r="AM32" s="37">
        <f t="shared" si="0"/>
        <v>0.125</v>
      </c>
      <c r="AN32" s="31"/>
      <c r="AO32" s="31">
        <f t="shared" si="9"/>
        <v>158</v>
      </c>
      <c r="AP32" s="31"/>
      <c r="AQ32" s="31"/>
      <c r="AR32" s="38">
        <f t="shared" si="16"/>
        <v>42</v>
      </c>
      <c r="AS32" s="34">
        <f t="shared" si="4"/>
        <v>3948</v>
      </c>
      <c r="AT32" s="34">
        <f t="shared" si="5"/>
        <v>4512</v>
      </c>
    </row>
    <row r="33" spans="1:49" ht="12.75" x14ac:dyDescent="0.2">
      <c r="A33" s="27">
        <v>2004</v>
      </c>
      <c r="B33" s="35">
        <v>0.02</v>
      </c>
      <c r="C33" s="31">
        <f t="shared" si="6"/>
        <v>91</v>
      </c>
      <c r="D33" s="31">
        <v>0</v>
      </c>
      <c r="E33" s="31">
        <f t="shared" si="3"/>
        <v>4648</v>
      </c>
      <c r="F33" s="31">
        <f t="shared" si="7"/>
        <v>4648</v>
      </c>
      <c r="G33" s="31"/>
      <c r="H33" s="36"/>
      <c r="I33" s="36"/>
      <c r="J33" s="31"/>
      <c r="K33" s="36"/>
      <c r="L33" s="36"/>
      <c r="M33" s="31"/>
      <c r="N33" s="36"/>
      <c r="O33" s="36"/>
      <c r="P33" s="31"/>
      <c r="Q33" s="36"/>
      <c r="R33" s="36"/>
      <c r="S33" s="36">
        <f t="shared" si="10"/>
        <v>4</v>
      </c>
      <c r="T33" s="36">
        <f t="shared" si="11"/>
        <v>204.08000000000004</v>
      </c>
      <c r="U33" s="36">
        <f t="shared" si="13"/>
        <v>0.75</v>
      </c>
      <c r="V33" s="36">
        <f t="shared" si="14"/>
        <v>38.059999999999995</v>
      </c>
      <c r="W33" s="36">
        <f t="shared" si="12"/>
        <v>0.82</v>
      </c>
      <c r="X33" s="36">
        <f t="shared" si="15"/>
        <v>42.010000000000005</v>
      </c>
      <c r="Y33" s="36"/>
      <c r="Z33" s="36"/>
      <c r="AA33" s="36"/>
      <c r="AB33" s="36"/>
      <c r="AC33" s="37">
        <v>0.875</v>
      </c>
      <c r="AD33" s="38">
        <f t="shared" si="1"/>
        <v>4067</v>
      </c>
      <c r="AE33" s="37">
        <v>0.875</v>
      </c>
      <c r="AF33" s="39">
        <f t="shared" si="2"/>
        <v>4067</v>
      </c>
      <c r="AG33" s="37">
        <v>0.79</v>
      </c>
      <c r="AH33" s="39">
        <f t="shared" si="8"/>
        <v>161</v>
      </c>
      <c r="AI33" s="36">
        <v>1</v>
      </c>
      <c r="AJ33" s="31">
        <v>5.4</v>
      </c>
      <c r="AK33" s="31">
        <v>300</v>
      </c>
      <c r="AL33" s="31"/>
      <c r="AM33" s="37">
        <f t="shared" si="0"/>
        <v>0.125</v>
      </c>
      <c r="AN33" s="31"/>
      <c r="AO33" s="31">
        <f t="shared" si="9"/>
        <v>161</v>
      </c>
      <c r="AP33" s="31"/>
      <c r="AQ33" s="31"/>
      <c r="AR33" s="38">
        <f t="shared" si="16"/>
        <v>43</v>
      </c>
      <c r="AS33" s="34">
        <f t="shared" si="4"/>
        <v>3987</v>
      </c>
      <c r="AT33" s="34">
        <f t="shared" si="5"/>
        <v>4557</v>
      </c>
    </row>
    <row r="34" spans="1:49" ht="12.75" x14ac:dyDescent="0.2">
      <c r="A34" s="27">
        <v>2005</v>
      </c>
      <c r="B34" s="35">
        <v>0.02</v>
      </c>
      <c r="C34" s="31">
        <f t="shared" si="6"/>
        <v>93</v>
      </c>
      <c r="D34" s="31">
        <v>0</v>
      </c>
      <c r="E34" s="31">
        <f t="shared" si="3"/>
        <v>4741</v>
      </c>
      <c r="F34" s="31">
        <f t="shared" si="7"/>
        <v>4741</v>
      </c>
      <c r="G34" s="31"/>
      <c r="H34" s="36"/>
      <c r="I34" s="36"/>
      <c r="J34" s="31"/>
      <c r="K34" s="36"/>
      <c r="L34" s="36"/>
      <c r="M34" s="31"/>
      <c r="N34" s="36"/>
      <c r="O34" s="36"/>
      <c r="P34" s="31"/>
      <c r="Q34" s="36"/>
      <c r="R34" s="36"/>
      <c r="S34" s="36">
        <f t="shared" si="10"/>
        <v>4.08</v>
      </c>
      <c r="T34" s="36">
        <f t="shared" si="11"/>
        <v>208.16000000000005</v>
      </c>
      <c r="U34" s="36">
        <f t="shared" si="13"/>
        <v>0.76</v>
      </c>
      <c r="V34" s="36">
        <f t="shared" si="14"/>
        <v>38.819999999999993</v>
      </c>
      <c r="W34" s="36">
        <f t="shared" si="12"/>
        <v>0.84</v>
      </c>
      <c r="X34" s="36">
        <f t="shared" si="15"/>
        <v>42.850000000000009</v>
      </c>
      <c r="Y34" s="36"/>
      <c r="Z34" s="36"/>
      <c r="AA34" s="36"/>
      <c r="AB34" s="36"/>
      <c r="AC34" s="37">
        <v>0.875</v>
      </c>
      <c r="AD34" s="38">
        <f t="shared" si="1"/>
        <v>4148</v>
      </c>
      <c r="AE34" s="37">
        <v>0.875</v>
      </c>
      <c r="AF34" s="39">
        <f t="shared" si="2"/>
        <v>4148</v>
      </c>
      <c r="AG34" s="37">
        <v>0.79</v>
      </c>
      <c r="AH34" s="39">
        <f t="shared" si="8"/>
        <v>164</v>
      </c>
      <c r="AI34" s="36">
        <v>1.01</v>
      </c>
      <c r="AJ34" s="31">
        <v>5.4</v>
      </c>
      <c r="AK34" s="31">
        <v>300</v>
      </c>
      <c r="AL34" s="31"/>
      <c r="AM34" s="37">
        <f t="shared" si="0"/>
        <v>0.125</v>
      </c>
      <c r="AN34" s="31"/>
      <c r="AO34" s="31">
        <f t="shared" si="9"/>
        <v>164</v>
      </c>
      <c r="AP34" s="31"/>
      <c r="AQ34" s="31"/>
      <c r="AR34" s="38">
        <f t="shared" si="16"/>
        <v>44</v>
      </c>
      <c r="AS34" s="34">
        <f t="shared" si="4"/>
        <v>4067</v>
      </c>
      <c r="AT34" s="34">
        <f t="shared" si="5"/>
        <v>4648</v>
      </c>
    </row>
    <row r="35" spans="1:49" ht="12.75" x14ac:dyDescent="0.2">
      <c r="A35" s="27">
        <v>2006</v>
      </c>
      <c r="B35" s="35">
        <v>0.04</v>
      </c>
      <c r="C35" s="31">
        <f t="shared" si="6"/>
        <v>190</v>
      </c>
      <c r="D35" s="31">
        <v>0</v>
      </c>
      <c r="E35" s="31">
        <f t="shared" si="3"/>
        <v>4931</v>
      </c>
      <c r="F35" s="31">
        <f t="shared" si="7"/>
        <v>4931</v>
      </c>
      <c r="G35" s="31"/>
      <c r="H35" s="36"/>
      <c r="I35" s="36"/>
      <c r="J35" s="31"/>
      <c r="K35" s="36"/>
      <c r="L35" s="36"/>
      <c r="M35" s="31"/>
      <c r="N35" s="36"/>
      <c r="O35" s="36"/>
      <c r="P35" s="31"/>
      <c r="Q35" s="36"/>
      <c r="R35" s="36"/>
      <c r="S35" s="36">
        <f t="shared" si="10"/>
        <v>8.33</v>
      </c>
      <c r="T35" s="36">
        <f t="shared" si="11"/>
        <v>216.49000000000007</v>
      </c>
      <c r="U35" s="36">
        <f t="shared" si="13"/>
        <v>1.55</v>
      </c>
      <c r="V35" s="36">
        <f t="shared" si="14"/>
        <v>40.36999999999999</v>
      </c>
      <c r="W35" s="36">
        <f t="shared" si="12"/>
        <v>1.71</v>
      </c>
      <c r="X35" s="36">
        <f t="shared" si="15"/>
        <v>44.560000000000009</v>
      </c>
      <c r="Y35" s="36"/>
      <c r="Z35" s="36"/>
      <c r="AA35" s="36"/>
      <c r="AB35" s="36"/>
      <c r="AC35" s="37">
        <v>0.875</v>
      </c>
      <c r="AD35" s="38">
        <f t="shared" si="1"/>
        <v>4315</v>
      </c>
      <c r="AE35" s="37">
        <v>0.875</v>
      </c>
      <c r="AF35" s="39">
        <f t="shared" si="2"/>
        <v>4315</v>
      </c>
      <c r="AG35" s="37">
        <v>0.79</v>
      </c>
      <c r="AH35" s="39">
        <f t="shared" si="8"/>
        <v>171</v>
      </c>
      <c r="AI35" s="36">
        <v>1.01</v>
      </c>
      <c r="AJ35" s="31">
        <v>5.4</v>
      </c>
      <c r="AK35" s="31">
        <v>300</v>
      </c>
      <c r="AL35" s="31"/>
      <c r="AM35" s="37">
        <f t="shared" si="0"/>
        <v>0.125</v>
      </c>
      <c r="AN35" s="31"/>
      <c r="AO35" s="31">
        <f t="shared" si="9"/>
        <v>171</v>
      </c>
      <c r="AP35" s="31"/>
      <c r="AQ35" s="31"/>
      <c r="AR35" s="38">
        <f t="shared" si="16"/>
        <v>46</v>
      </c>
      <c r="AS35" s="34">
        <f t="shared" si="4"/>
        <v>4148</v>
      </c>
      <c r="AT35" s="34">
        <f t="shared" si="5"/>
        <v>4741</v>
      </c>
    </row>
    <row r="36" spans="1:49" ht="12.75" x14ac:dyDescent="0.2">
      <c r="A36" s="27">
        <v>2007</v>
      </c>
      <c r="B36" s="35">
        <v>0.04</v>
      </c>
      <c r="C36" s="31">
        <f t="shared" si="6"/>
        <v>197</v>
      </c>
      <c r="D36" s="31">
        <v>0</v>
      </c>
      <c r="E36" s="31">
        <f t="shared" si="3"/>
        <v>5128</v>
      </c>
      <c r="F36" s="31">
        <f t="shared" si="7"/>
        <v>5128</v>
      </c>
      <c r="G36" s="31"/>
      <c r="H36" s="36"/>
      <c r="I36" s="36"/>
      <c r="J36" s="31"/>
      <c r="K36" s="36"/>
      <c r="L36" s="36"/>
      <c r="M36" s="31"/>
      <c r="N36" s="36"/>
      <c r="O36" s="36"/>
      <c r="P36" s="31"/>
      <c r="Q36" s="36"/>
      <c r="R36" s="36"/>
      <c r="S36" s="36">
        <f t="shared" si="10"/>
        <v>8.66</v>
      </c>
      <c r="T36" s="36">
        <f t="shared" si="11"/>
        <v>225.15000000000006</v>
      </c>
      <c r="U36" s="36">
        <f t="shared" si="13"/>
        <v>1.61</v>
      </c>
      <c r="V36" s="36">
        <f t="shared" si="14"/>
        <v>41.97999999999999</v>
      </c>
      <c r="W36" s="36">
        <f t="shared" si="12"/>
        <v>1.78</v>
      </c>
      <c r="X36" s="36">
        <f t="shared" si="15"/>
        <v>46.340000000000011</v>
      </c>
      <c r="Y36" s="36"/>
      <c r="Z36" s="36"/>
      <c r="AA36" s="36"/>
      <c r="AB36" s="36"/>
      <c r="AC36" s="37">
        <v>0.875</v>
      </c>
      <c r="AD36" s="38">
        <f t="shared" si="1"/>
        <v>4487</v>
      </c>
      <c r="AE36" s="37">
        <v>0.875</v>
      </c>
      <c r="AF36" s="39">
        <f t="shared" si="2"/>
        <v>4487</v>
      </c>
      <c r="AG36" s="37">
        <v>0.79</v>
      </c>
      <c r="AH36" s="39">
        <f t="shared" si="8"/>
        <v>178</v>
      </c>
      <c r="AI36" s="36">
        <v>1.01</v>
      </c>
      <c r="AJ36" s="31">
        <v>5.4</v>
      </c>
      <c r="AK36" s="31">
        <v>300</v>
      </c>
      <c r="AL36" s="31"/>
      <c r="AM36" s="37">
        <f t="shared" si="0"/>
        <v>0.125</v>
      </c>
      <c r="AN36" s="35">
        <v>4.72424</v>
      </c>
      <c r="AO36" s="31">
        <f t="shared" si="9"/>
        <v>178</v>
      </c>
      <c r="AP36" s="31"/>
      <c r="AQ36" s="31"/>
      <c r="AR36" s="38">
        <f t="shared" si="16"/>
        <v>48</v>
      </c>
      <c r="AS36" s="34">
        <f t="shared" si="4"/>
        <v>4315</v>
      </c>
      <c r="AT36" s="34">
        <f t="shared" si="5"/>
        <v>4931</v>
      </c>
    </row>
    <row r="37" spans="1:49" ht="12.75" x14ac:dyDescent="0.2">
      <c r="A37" s="27">
        <v>2008</v>
      </c>
      <c r="B37" s="35">
        <v>0.04</v>
      </c>
      <c r="C37" s="31">
        <f t="shared" si="6"/>
        <v>205</v>
      </c>
      <c r="D37" s="31">
        <v>0</v>
      </c>
      <c r="E37" s="31">
        <f t="shared" si="3"/>
        <v>5333</v>
      </c>
      <c r="F37" s="31">
        <f t="shared" si="7"/>
        <v>5333</v>
      </c>
      <c r="G37" s="31"/>
      <c r="H37" s="36"/>
      <c r="I37" s="36"/>
      <c r="J37" s="31"/>
      <c r="K37" s="36"/>
      <c r="L37" s="36"/>
      <c r="M37" s="31"/>
      <c r="N37" s="36"/>
      <c r="O37" s="36"/>
      <c r="P37" s="31"/>
      <c r="Q37" s="36"/>
      <c r="R37" s="36"/>
      <c r="S37" s="36">
        <f t="shared" si="10"/>
        <v>9.01</v>
      </c>
      <c r="T37" s="36">
        <f t="shared" si="11"/>
        <v>234.16000000000005</v>
      </c>
      <c r="U37" s="36">
        <f t="shared" si="13"/>
        <v>1.68</v>
      </c>
      <c r="V37" s="36">
        <f t="shared" si="14"/>
        <v>43.659999999999989</v>
      </c>
      <c r="W37" s="36">
        <f t="shared" si="12"/>
        <v>1.85</v>
      </c>
      <c r="X37" s="36">
        <f t="shared" si="15"/>
        <v>48.190000000000012</v>
      </c>
      <c r="Y37" s="36"/>
      <c r="Z37" s="36"/>
      <c r="AA37" s="36"/>
      <c r="AB37" s="36"/>
      <c r="AC37" s="37">
        <v>0.875</v>
      </c>
      <c r="AD37" s="38">
        <f t="shared" si="1"/>
        <v>4666</v>
      </c>
      <c r="AE37" s="37">
        <v>0.875</v>
      </c>
      <c r="AF37" s="39">
        <f t="shared" si="2"/>
        <v>4666</v>
      </c>
      <c r="AG37" s="37">
        <v>0.79</v>
      </c>
      <c r="AH37" s="39">
        <f t="shared" si="8"/>
        <v>185</v>
      </c>
      <c r="AI37" s="36">
        <v>1.01</v>
      </c>
      <c r="AJ37" s="31">
        <v>5.4</v>
      </c>
      <c r="AK37" s="31">
        <v>300</v>
      </c>
      <c r="AL37" s="31"/>
      <c r="AM37" s="37">
        <f t="shared" si="0"/>
        <v>0.125</v>
      </c>
      <c r="AN37" s="31">
        <v>4.4445399999999999</v>
      </c>
      <c r="AO37" s="31">
        <f t="shared" si="9"/>
        <v>185</v>
      </c>
      <c r="AP37" s="31"/>
      <c r="AQ37" s="31"/>
      <c r="AR37" s="38">
        <f t="shared" si="16"/>
        <v>50</v>
      </c>
      <c r="AS37" s="34">
        <f t="shared" si="4"/>
        <v>4487</v>
      </c>
      <c r="AT37" s="34">
        <f t="shared" si="5"/>
        <v>5128</v>
      </c>
    </row>
    <row r="38" spans="1:49" ht="12.75" x14ac:dyDescent="0.2">
      <c r="A38" s="27">
        <v>2009</v>
      </c>
      <c r="B38" s="35">
        <v>0.04</v>
      </c>
      <c r="C38" s="31">
        <f t="shared" si="6"/>
        <v>213</v>
      </c>
      <c r="D38" s="31">
        <v>0</v>
      </c>
      <c r="E38" s="31">
        <f t="shared" si="3"/>
        <v>5546</v>
      </c>
      <c r="F38" s="31">
        <f t="shared" si="7"/>
        <v>5546</v>
      </c>
      <c r="G38" s="31"/>
      <c r="H38" s="36"/>
      <c r="I38" s="36"/>
      <c r="J38" s="31"/>
      <c r="K38" s="36"/>
      <c r="L38" s="36"/>
      <c r="M38" s="31"/>
      <c r="N38" s="36"/>
      <c r="O38" s="36"/>
      <c r="P38" s="31"/>
      <c r="Q38" s="36"/>
      <c r="R38" s="36"/>
      <c r="S38" s="36">
        <f t="shared" si="10"/>
        <v>9.3699999999999992</v>
      </c>
      <c r="T38" s="36">
        <f t="shared" si="11"/>
        <v>243.53000000000006</v>
      </c>
      <c r="U38" s="36">
        <f t="shared" si="13"/>
        <v>1.75</v>
      </c>
      <c r="V38" s="36">
        <f t="shared" si="14"/>
        <v>45.409999999999989</v>
      </c>
      <c r="W38" s="36">
        <f t="shared" si="12"/>
        <v>1.93</v>
      </c>
      <c r="X38" s="36">
        <f t="shared" si="15"/>
        <v>50.120000000000012</v>
      </c>
      <c r="Y38" s="36"/>
      <c r="Z38" s="36"/>
      <c r="AA38" s="36"/>
      <c r="AB38" s="36"/>
      <c r="AC38" s="37">
        <v>0.875</v>
      </c>
      <c r="AD38" s="38">
        <f t="shared" si="1"/>
        <v>4853</v>
      </c>
      <c r="AE38" s="37">
        <v>0.875</v>
      </c>
      <c r="AF38" s="39">
        <f t="shared" si="2"/>
        <v>4853</v>
      </c>
      <c r="AG38" s="37">
        <v>0.79</v>
      </c>
      <c r="AH38" s="39">
        <f t="shared" si="8"/>
        <v>192</v>
      </c>
      <c r="AI38" s="36">
        <v>1.01</v>
      </c>
      <c r="AJ38" s="31">
        <v>5.4</v>
      </c>
      <c r="AK38" s="31">
        <v>300</v>
      </c>
      <c r="AL38" s="31"/>
      <c r="AM38" s="37">
        <f t="shared" si="0"/>
        <v>0.125</v>
      </c>
      <c r="AN38" s="31">
        <v>4.1448799999999997</v>
      </c>
      <c r="AO38" s="31">
        <f t="shared" si="9"/>
        <v>192</v>
      </c>
      <c r="AP38" s="31"/>
      <c r="AQ38" s="31"/>
      <c r="AR38" s="38">
        <f t="shared" si="16"/>
        <v>52</v>
      </c>
      <c r="AS38" s="34">
        <f t="shared" si="4"/>
        <v>4666</v>
      </c>
      <c r="AT38" s="34">
        <f t="shared" si="5"/>
        <v>5333</v>
      </c>
    </row>
    <row r="39" spans="1:49" ht="12.75" x14ac:dyDescent="0.2">
      <c r="A39" s="27">
        <v>2010</v>
      </c>
      <c r="B39" s="35">
        <v>0.04</v>
      </c>
      <c r="C39" s="31">
        <f t="shared" si="6"/>
        <v>222</v>
      </c>
      <c r="D39" s="31">
        <v>0</v>
      </c>
      <c r="E39" s="31">
        <f t="shared" si="3"/>
        <v>5768</v>
      </c>
      <c r="F39" s="31">
        <f t="shared" si="7"/>
        <v>5768</v>
      </c>
      <c r="G39" s="31"/>
      <c r="H39" s="36"/>
      <c r="I39" s="42">
        <v>497.09</v>
      </c>
      <c r="J39" s="43"/>
      <c r="K39" s="42"/>
      <c r="L39" s="42">
        <v>56.29</v>
      </c>
      <c r="M39" s="43"/>
      <c r="N39" s="42"/>
      <c r="O39" s="42">
        <v>61.32</v>
      </c>
      <c r="P39" s="43"/>
      <c r="Q39" s="42"/>
      <c r="R39" s="36"/>
      <c r="S39" s="36">
        <f t="shared" si="10"/>
        <v>9.74</v>
      </c>
      <c r="T39" s="36">
        <f t="shared" si="11"/>
        <v>253.27000000000007</v>
      </c>
      <c r="U39" s="36">
        <f t="shared" si="13"/>
        <v>1.82</v>
      </c>
      <c r="V39" s="36">
        <f t="shared" si="14"/>
        <v>47.22999999999999</v>
      </c>
      <c r="W39" s="36">
        <f t="shared" si="12"/>
        <v>2</v>
      </c>
      <c r="X39" s="36">
        <f t="shared" si="15"/>
        <v>52.120000000000012</v>
      </c>
      <c r="Y39" s="36"/>
      <c r="Z39" s="42">
        <v>26.02</v>
      </c>
      <c r="AA39" s="42"/>
      <c r="AB39" s="42">
        <v>3.04</v>
      </c>
      <c r="AC39" s="37">
        <v>0.875</v>
      </c>
      <c r="AD39" s="38">
        <f t="shared" si="1"/>
        <v>5047</v>
      </c>
      <c r="AE39" s="37">
        <v>0.875</v>
      </c>
      <c r="AF39" s="39">
        <f t="shared" si="2"/>
        <v>5047</v>
      </c>
      <c r="AG39" s="37">
        <v>0.79</v>
      </c>
      <c r="AH39" s="39">
        <f t="shared" si="8"/>
        <v>200</v>
      </c>
      <c r="AI39" s="36">
        <v>1.01</v>
      </c>
      <c r="AJ39" s="31">
        <v>5.4</v>
      </c>
      <c r="AK39" s="31">
        <v>300</v>
      </c>
      <c r="AL39" s="31"/>
      <c r="AM39" s="37">
        <f t="shared" si="0"/>
        <v>0.125</v>
      </c>
      <c r="AN39" s="31">
        <v>3.9292400000000001</v>
      </c>
      <c r="AO39" s="31">
        <f t="shared" si="9"/>
        <v>200</v>
      </c>
      <c r="AP39" s="31"/>
      <c r="AQ39" s="31"/>
      <c r="AR39" s="38">
        <f t="shared" si="16"/>
        <v>54</v>
      </c>
      <c r="AS39" s="34">
        <f t="shared" si="4"/>
        <v>4853</v>
      </c>
      <c r="AT39" s="34">
        <f t="shared" si="5"/>
        <v>5546</v>
      </c>
    </row>
    <row r="40" spans="1:49" ht="12.75" x14ac:dyDescent="0.2">
      <c r="A40" s="27">
        <v>2011</v>
      </c>
      <c r="B40" s="35">
        <v>0.02</v>
      </c>
      <c r="C40" s="31">
        <f t="shared" si="6"/>
        <v>115</v>
      </c>
      <c r="D40" s="31">
        <v>0</v>
      </c>
      <c r="E40" s="31">
        <f t="shared" si="3"/>
        <v>5883</v>
      </c>
      <c r="F40" s="31">
        <f t="shared" si="7"/>
        <v>5883</v>
      </c>
      <c r="G40" s="35">
        <f>$B40</f>
        <v>0.02</v>
      </c>
      <c r="H40" s="36">
        <f t="shared" ref="H40:H59" si="17">ROUND(I39*$G40,2)</f>
        <v>9.94</v>
      </c>
      <c r="I40" s="36">
        <f t="shared" ref="I40:I59" si="18">H40+I39</f>
        <v>507.03</v>
      </c>
      <c r="J40" s="35">
        <f>$B40</f>
        <v>0.02</v>
      </c>
      <c r="K40" s="44">
        <f t="shared" ref="K40:K48" si="19">ROUND(L39*$J40,2)</f>
        <v>1.1299999999999999</v>
      </c>
      <c r="L40" s="36">
        <f>K40+L39</f>
        <v>57.42</v>
      </c>
      <c r="M40" s="35">
        <f>$B40</f>
        <v>0.02</v>
      </c>
      <c r="N40" s="44">
        <f t="shared" ref="N40:N48" si="20">ROUND(O39*$M40,2)</f>
        <v>1.23</v>
      </c>
      <c r="O40" s="36">
        <f>N40+O39</f>
        <v>62.55</v>
      </c>
      <c r="P40" s="31"/>
      <c r="Q40" s="36"/>
      <c r="R40" s="36"/>
      <c r="S40" s="36">
        <f t="shared" si="10"/>
        <v>5.07</v>
      </c>
      <c r="T40" s="36">
        <f t="shared" si="11"/>
        <v>258.34000000000009</v>
      </c>
      <c r="U40" s="36">
        <f t="shared" si="13"/>
        <v>0.94</v>
      </c>
      <c r="V40" s="36">
        <f t="shared" si="14"/>
        <v>48.169999999999987</v>
      </c>
      <c r="W40" s="36">
        <f t="shared" si="12"/>
        <v>1.04</v>
      </c>
      <c r="X40" s="36">
        <f t="shared" si="15"/>
        <v>53.160000000000011</v>
      </c>
      <c r="Y40" s="36">
        <f t="shared" ref="Y40:Y50" si="21">ROUND(Z39*$B40,2)</f>
        <v>0.52</v>
      </c>
      <c r="Z40" s="36">
        <f t="shared" ref="Z40:Z50" si="22">Y40+Z39</f>
        <v>26.54</v>
      </c>
      <c r="AA40" s="36">
        <f t="shared" ref="AA40:AA50" si="23">ROUND(AB39*$B40,2)</f>
        <v>0.06</v>
      </c>
      <c r="AB40" s="36">
        <f t="shared" ref="AB40:AB50" si="24">AA40+AB39</f>
        <v>3.1</v>
      </c>
      <c r="AC40" s="37">
        <v>0.875</v>
      </c>
      <c r="AD40" s="38">
        <f t="shared" si="1"/>
        <v>5148</v>
      </c>
      <c r="AE40" s="37">
        <v>0.875</v>
      </c>
      <c r="AF40" s="39">
        <f t="shared" si="2"/>
        <v>5148</v>
      </c>
      <c r="AG40" s="37">
        <v>0.79</v>
      </c>
      <c r="AH40" s="39">
        <f t="shared" si="8"/>
        <v>204</v>
      </c>
      <c r="AI40" s="36">
        <v>1.01</v>
      </c>
      <c r="AJ40" s="31">
        <v>5.4</v>
      </c>
      <c r="AK40" s="31">
        <v>300</v>
      </c>
      <c r="AL40" s="31"/>
      <c r="AM40" s="37">
        <f t="shared" si="0"/>
        <v>0.125</v>
      </c>
      <c r="AN40" s="35">
        <v>3.2606000000000002</v>
      </c>
      <c r="AO40" s="31">
        <f t="shared" si="9"/>
        <v>204</v>
      </c>
      <c r="AP40" s="31"/>
      <c r="AQ40" s="31"/>
      <c r="AR40" s="38">
        <f t="shared" si="16"/>
        <v>55</v>
      </c>
      <c r="AS40" s="34">
        <f t="shared" si="4"/>
        <v>5047</v>
      </c>
      <c r="AT40" s="34">
        <f t="shared" si="5"/>
        <v>5768</v>
      </c>
    </row>
    <row r="41" spans="1:49" ht="12.75" x14ac:dyDescent="0.2">
      <c r="A41" s="27">
        <v>2012</v>
      </c>
      <c r="B41" s="35">
        <v>0</v>
      </c>
      <c r="C41" s="31">
        <f t="shared" si="6"/>
        <v>0</v>
      </c>
      <c r="D41" s="31">
        <v>0</v>
      </c>
      <c r="E41" s="31">
        <f t="shared" si="3"/>
        <v>5883</v>
      </c>
      <c r="F41" s="31">
        <f t="shared" si="7"/>
        <v>5883</v>
      </c>
      <c r="G41" s="35">
        <f t="shared" ref="G41:G47" si="25">$B41</f>
        <v>0</v>
      </c>
      <c r="H41" s="36">
        <f t="shared" si="17"/>
        <v>0</v>
      </c>
      <c r="I41" s="36">
        <f t="shared" si="18"/>
        <v>507.03</v>
      </c>
      <c r="J41" s="35">
        <f t="shared" ref="J41:J47" si="26">$B41</f>
        <v>0</v>
      </c>
      <c r="K41" s="44">
        <f t="shared" si="19"/>
        <v>0</v>
      </c>
      <c r="L41" s="36">
        <f t="shared" ref="L41:L59" si="27">K41+L40</f>
        <v>57.42</v>
      </c>
      <c r="M41" s="35">
        <f t="shared" ref="M41:M47" si="28">$B41</f>
        <v>0</v>
      </c>
      <c r="N41" s="44">
        <f t="shared" si="20"/>
        <v>0</v>
      </c>
      <c r="O41" s="36">
        <f t="shared" ref="O41:O59" si="29">N41+O40</f>
        <v>62.55</v>
      </c>
      <c r="P41" s="31"/>
      <c r="Q41" s="36"/>
      <c r="R41" s="36"/>
      <c r="S41" s="36">
        <f t="shared" si="10"/>
        <v>0</v>
      </c>
      <c r="T41" s="36">
        <f t="shared" si="11"/>
        <v>258.34000000000009</v>
      </c>
      <c r="U41" s="36">
        <f t="shared" si="13"/>
        <v>0</v>
      </c>
      <c r="V41" s="36">
        <f t="shared" si="14"/>
        <v>48.169999999999987</v>
      </c>
      <c r="W41" s="36">
        <f t="shared" si="12"/>
        <v>0</v>
      </c>
      <c r="X41" s="36">
        <f t="shared" si="15"/>
        <v>53.160000000000011</v>
      </c>
      <c r="Y41" s="36">
        <f t="shared" si="21"/>
        <v>0</v>
      </c>
      <c r="Z41" s="36">
        <f t="shared" si="22"/>
        <v>26.54</v>
      </c>
      <c r="AA41" s="36">
        <f t="shared" si="23"/>
        <v>0</v>
      </c>
      <c r="AB41" s="36">
        <f t="shared" si="24"/>
        <v>3.1</v>
      </c>
      <c r="AC41" s="37">
        <v>0.875</v>
      </c>
      <c r="AD41" s="38">
        <f t="shared" si="1"/>
        <v>5148</v>
      </c>
      <c r="AE41" s="37">
        <v>0.875</v>
      </c>
      <c r="AF41" s="39">
        <f t="shared" si="2"/>
        <v>5148</v>
      </c>
      <c r="AG41" s="37">
        <v>0.79</v>
      </c>
      <c r="AH41" s="39">
        <f t="shared" si="8"/>
        <v>204</v>
      </c>
      <c r="AI41" s="36">
        <v>1.01</v>
      </c>
      <c r="AJ41" s="31">
        <v>5.4</v>
      </c>
      <c r="AK41" s="31">
        <v>300</v>
      </c>
      <c r="AL41" s="31"/>
      <c r="AM41" s="37">
        <f t="shared" si="0"/>
        <v>0.125</v>
      </c>
      <c r="AN41" s="31">
        <v>3.5121600000000002</v>
      </c>
      <c r="AO41" s="31">
        <f t="shared" si="9"/>
        <v>204</v>
      </c>
      <c r="AP41" s="31"/>
      <c r="AQ41" s="31"/>
      <c r="AR41" s="38">
        <f t="shared" si="16"/>
        <v>55</v>
      </c>
      <c r="AS41" s="34">
        <f t="shared" si="4"/>
        <v>5148</v>
      </c>
      <c r="AT41" s="34">
        <f t="shared" si="5"/>
        <v>5883</v>
      </c>
    </row>
    <row r="42" spans="1:49" ht="12.75" x14ac:dyDescent="0.2">
      <c r="A42" s="27">
        <v>2013</v>
      </c>
      <c r="B42" s="35">
        <v>0.02</v>
      </c>
      <c r="C42" s="31">
        <f t="shared" si="6"/>
        <v>118</v>
      </c>
      <c r="D42" s="31">
        <v>0</v>
      </c>
      <c r="E42" s="31">
        <f t="shared" si="3"/>
        <v>6001</v>
      </c>
      <c r="F42" s="31">
        <f t="shared" si="7"/>
        <v>6001</v>
      </c>
      <c r="G42" s="35">
        <f t="shared" si="25"/>
        <v>0.02</v>
      </c>
      <c r="H42" s="36">
        <f t="shared" si="17"/>
        <v>10.14</v>
      </c>
      <c r="I42" s="36">
        <f t="shared" si="18"/>
        <v>517.16999999999996</v>
      </c>
      <c r="J42" s="35">
        <f t="shared" si="26"/>
        <v>0.02</v>
      </c>
      <c r="K42" s="44">
        <f t="shared" si="19"/>
        <v>1.1499999999999999</v>
      </c>
      <c r="L42" s="36">
        <f t="shared" si="27"/>
        <v>58.57</v>
      </c>
      <c r="M42" s="35">
        <f t="shared" si="28"/>
        <v>0.02</v>
      </c>
      <c r="N42" s="44">
        <f t="shared" si="20"/>
        <v>1.25</v>
      </c>
      <c r="O42" s="36">
        <f t="shared" si="29"/>
        <v>63.8</v>
      </c>
      <c r="P42" s="31"/>
      <c r="Q42" s="36"/>
      <c r="R42" s="36"/>
      <c r="S42" s="36">
        <f t="shared" si="10"/>
        <v>5.17</v>
      </c>
      <c r="T42" s="36">
        <f t="shared" si="11"/>
        <v>263.5100000000001</v>
      </c>
      <c r="U42" s="36">
        <f t="shared" si="13"/>
        <v>0.96</v>
      </c>
      <c r="V42" s="36">
        <f t="shared" si="14"/>
        <v>49.129999999999988</v>
      </c>
      <c r="W42" s="36">
        <f t="shared" si="12"/>
        <v>1.06</v>
      </c>
      <c r="X42" s="36">
        <f t="shared" si="15"/>
        <v>54.220000000000013</v>
      </c>
      <c r="Y42" s="36">
        <f t="shared" si="21"/>
        <v>0.53</v>
      </c>
      <c r="Z42" s="36">
        <f t="shared" si="22"/>
        <v>27.07</v>
      </c>
      <c r="AA42" s="36">
        <f t="shared" si="23"/>
        <v>0.06</v>
      </c>
      <c r="AB42" s="36">
        <f t="shared" si="24"/>
        <v>3.16</v>
      </c>
      <c r="AC42" s="37">
        <v>0.875</v>
      </c>
      <c r="AD42" s="38">
        <f t="shared" si="1"/>
        <v>5251</v>
      </c>
      <c r="AE42" s="37">
        <v>0.875</v>
      </c>
      <c r="AF42" s="39">
        <f t="shared" si="2"/>
        <v>5251</v>
      </c>
      <c r="AG42" s="37">
        <v>0.79</v>
      </c>
      <c r="AH42" s="39">
        <f t="shared" si="8"/>
        <v>208</v>
      </c>
      <c r="AI42" s="36">
        <v>1.01</v>
      </c>
      <c r="AJ42" s="31">
        <v>5.4</v>
      </c>
      <c r="AK42" s="31">
        <v>300</v>
      </c>
      <c r="AL42" s="31"/>
      <c r="AM42" s="37">
        <f t="shared" si="0"/>
        <v>0.125</v>
      </c>
      <c r="AN42" s="31">
        <v>3.46875</v>
      </c>
      <c r="AO42" s="31">
        <f t="shared" si="9"/>
        <v>208</v>
      </c>
      <c r="AP42" s="31"/>
      <c r="AQ42" s="31"/>
      <c r="AR42" s="38">
        <f t="shared" si="16"/>
        <v>56</v>
      </c>
      <c r="AS42" s="34">
        <f t="shared" si="4"/>
        <v>5148</v>
      </c>
      <c r="AT42" s="34">
        <f t="shared" si="5"/>
        <v>5883</v>
      </c>
    </row>
    <row r="43" spans="1:49" ht="12.75" x14ac:dyDescent="0.2">
      <c r="A43" s="27">
        <v>2014</v>
      </c>
      <c r="B43" s="35">
        <v>0.02</v>
      </c>
      <c r="C43" s="31">
        <f t="shared" si="6"/>
        <v>120</v>
      </c>
      <c r="D43" s="31">
        <v>0</v>
      </c>
      <c r="E43" s="31">
        <f t="shared" si="3"/>
        <v>6121</v>
      </c>
      <c r="F43" s="31">
        <f t="shared" si="7"/>
        <v>6121</v>
      </c>
      <c r="G43" s="35">
        <f t="shared" si="25"/>
        <v>0.02</v>
      </c>
      <c r="H43" s="36">
        <f t="shared" si="17"/>
        <v>10.34</v>
      </c>
      <c r="I43" s="36">
        <f t="shared" si="18"/>
        <v>527.51</v>
      </c>
      <c r="J43" s="35">
        <f t="shared" si="26"/>
        <v>0.02</v>
      </c>
      <c r="K43" s="44">
        <f t="shared" si="19"/>
        <v>1.17</v>
      </c>
      <c r="L43" s="36">
        <f t="shared" si="27"/>
        <v>59.74</v>
      </c>
      <c r="M43" s="35">
        <f t="shared" si="28"/>
        <v>0.02</v>
      </c>
      <c r="N43" s="44">
        <f t="shared" si="20"/>
        <v>1.28</v>
      </c>
      <c r="O43" s="36">
        <f t="shared" si="29"/>
        <v>65.08</v>
      </c>
      <c r="P43" s="31"/>
      <c r="Q43" s="36"/>
      <c r="R43" s="36"/>
      <c r="S43" s="36">
        <f t="shared" si="10"/>
        <v>5.27</v>
      </c>
      <c r="T43" s="36">
        <f t="shared" si="11"/>
        <v>268.78000000000009</v>
      </c>
      <c r="U43" s="36">
        <f t="shared" si="13"/>
        <v>0.98</v>
      </c>
      <c r="V43" s="36">
        <f t="shared" si="14"/>
        <v>50.109999999999985</v>
      </c>
      <c r="W43" s="36">
        <f t="shared" si="12"/>
        <v>1.08</v>
      </c>
      <c r="X43" s="36">
        <f t="shared" si="15"/>
        <v>55.300000000000011</v>
      </c>
      <c r="Y43" s="36">
        <f t="shared" si="21"/>
        <v>0.54</v>
      </c>
      <c r="Z43" s="36">
        <f t="shared" si="22"/>
        <v>27.61</v>
      </c>
      <c r="AA43" s="36">
        <f t="shared" si="23"/>
        <v>0.06</v>
      </c>
      <c r="AB43" s="36">
        <f t="shared" si="24"/>
        <v>3.22</v>
      </c>
      <c r="AC43" s="37">
        <v>0.875</v>
      </c>
      <c r="AD43" s="38">
        <f t="shared" si="1"/>
        <v>5356</v>
      </c>
      <c r="AE43" s="37">
        <v>0.875</v>
      </c>
      <c r="AF43" s="39">
        <f t="shared" si="2"/>
        <v>5356</v>
      </c>
      <c r="AG43" s="37">
        <v>0.79</v>
      </c>
      <c r="AH43" s="39">
        <f t="shared" si="8"/>
        <v>212</v>
      </c>
      <c r="AI43" s="36">
        <v>1.01</v>
      </c>
      <c r="AJ43" s="31">
        <v>5.4</v>
      </c>
      <c r="AK43" s="31">
        <v>300</v>
      </c>
      <c r="AL43" s="31">
        <v>750</v>
      </c>
      <c r="AM43" s="37">
        <f t="shared" si="0"/>
        <v>0.125</v>
      </c>
      <c r="AN43" s="31">
        <v>3.34158</v>
      </c>
      <c r="AO43" s="31">
        <f t="shared" si="9"/>
        <v>212</v>
      </c>
      <c r="AP43" s="38">
        <f>E43-AD43-AL43</f>
        <v>15</v>
      </c>
      <c r="AQ43" s="31"/>
      <c r="AR43" s="38">
        <f t="shared" si="16"/>
        <v>57</v>
      </c>
      <c r="AS43" s="34">
        <f t="shared" si="4"/>
        <v>5251</v>
      </c>
      <c r="AT43" s="34">
        <f t="shared" si="5"/>
        <v>6001</v>
      </c>
    </row>
    <row r="44" spans="1:49" ht="12.75" x14ac:dyDescent="0.2">
      <c r="A44" s="27">
        <v>2015</v>
      </c>
      <c r="B44" s="35">
        <v>0.04</v>
      </c>
      <c r="C44" s="31">
        <f t="shared" si="6"/>
        <v>245</v>
      </c>
      <c r="D44" s="31">
        <v>0</v>
      </c>
      <c r="E44" s="31">
        <f t="shared" si="3"/>
        <v>6366</v>
      </c>
      <c r="F44" s="31">
        <f t="shared" si="7"/>
        <v>6366</v>
      </c>
      <c r="G44" s="35">
        <f t="shared" si="25"/>
        <v>0.04</v>
      </c>
      <c r="H44" s="36">
        <f t="shared" si="17"/>
        <v>21.1</v>
      </c>
      <c r="I44" s="36">
        <f t="shared" si="18"/>
        <v>548.61</v>
      </c>
      <c r="J44" s="35">
        <f t="shared" si="26"/>
        <v>0.04</v>
      </c>
      <c r="K44" s="44">
        <f t="shared" si="19"/>
        <v>2.39</v>
      </c>
      <c r="L44" s="36">
        <f t="shared" si="27"/>
        <v>62.13</v>
      </c>
      <c r="M44" s="35">
        <f t="shared" si="28"/>
        <v>0.04</v>
      </c>
      <c r="N44" s="44">
        <f t="shared" si="20"/>
        <v>2.6</v>
      </c>
      <c r="O44" s="36">
        <f t="shared" si="29"/>
        <v>67.679999999999993</v>
      </c>
      <c r="P44" s="31"/>
      <c r="Q44" s="36"/>
      <c r="R44" s="36">
        <v>308.82</v>
      </c>
      <c r="S44" s="36">
        <f t="shared" si="10"/>
        <v>10.75</v>
      </c>
      <c r="T44" s="36">
        <f t="shared" si="11"/>
        <v>279.53000000000009</v>
      </c>
      <c r="U44" s="36">
        <f t="shared" si="13"/>
        <v>2</v>
      </c>
      <c r="V44" s="36">
        <f t="shared" si="14"/>
        <v>52.109999999999985</v>
      </c>
      <c r="W44" s="36">
        <f t="shared" si="12"/>
        <v>2.21</v>
      </c>
      <c r="X44" s="36">
        <f t="shared" si="15"/>
        <v>57.510000000000012</v>
      </c>
      <c r="Y44" s="36">
        <f t="shared" si="21"/>
        <v>1.1000000000000001</v>
      </c>
      <c r="Z44" s="36">
        <f t="shared" si="22"/>
        <v>28.71</v>
      </c>
      <c r="AA44" s="36">
        <f t="shared" si="23"/>
        <v>0.13</v>
      </c>
      <c r="AB44" s="36">
        <f t="shared" si="24"/>
        <v>3.35</v>
      </c>
      <c r="AC44" s="37">
        <v>0.875</v>
      </c>
      <c r="AD44" s="38">
        <f t="shared" si="1"/>
        <v>5570</v>
      </c>
      <c r="AE44" s="37">
        <v>0.875</v>
      </c>
      <c r="AF44" s="39">
        <f t="shared" si="2"/>
        <v>5570</v>
      </c>
      <c r="AG44" s="37">
        <v>0.79</v>
      </c>
      <c r="AH44" s="39">
        <f t="shared" si="8"/>
        <v>221</v>
      </c>
      <c r="AI44" s="36">
        <v>1.01</v>
      </c>
      <c r="AJ44" s="31">
        <v>5.4</v>
      </c>
      <c r="AK44" s="31">
        <v>300</v>
      </c>
      <c r="AL44" s="31">
        <v>750</v>
      </c>
      <c r="AM44" s="37">
        <f t="shared" si="0"/>
        <v>0.125</v>
      </c>
      <c r="AN44" s="31">
        <v>3.38985</v>
      </c>
      <c r="AO44" s="31">
        <f t="shared" si="9"/>
        <v>221</v>
      </c>
      <c r="AP44" s="38">
        <f>E44-AD44-AL44</f>
        <v>46</v>
      </c>
      <c r="AQ44" s="31"/>
      <c r="AR44" s="38">
        <f t="shared" si="16"/>
        <v>59</v>
      </c>
      <c r="AS44" s="34">
        <f t="shared" si="4"/>
        <v>5356</v>
      </c>
      <c r="AT44" s="34">
        <f t="shared" si="5"/>
        <v>6121</v>
      </c>
    </row>
    <row r="45" spans="1:49" ht="12.75" x14ac:dyDescent="0.2">
      <c r="A45" s="27">
        <v>2016</v>
      </c>
      <c r="B45" s="35">
        <v>1.2500000000000001E-2</v>
      </c>
      <c r="C45" s="31">
        <f t="shared" si="6"/>
        <v>80</v>
      </c>
      <c r="D45" s="31">
        <v>0</v>
      </c>
      <c r="E45" s="31">
        <f t="shared" si="3"/>
        <v>6446</v>
      </c>
      <c r="F45" s="31">
        <f t="shared" si="7"/>
        <v>6446</v>
      </c>
      <c r="G45" s="35">
        <f t="shared" si="25"/>
        <v>1.2500000000000001E-2</v>
      </c>
      <c r="H45" s="36">
        <f t="shared" si="17"/>
        <v>6.86</v>
      </c>
      <c r="I45" s="36">
        <f t="shared" si="18"/>
        <v>555.47</v>
      </c>
      <c r="J45" s="35">
        <f t="shared" si="26"/>
        <v>1.2500000000000001E-2</v>
      </c>
      <c r="K45" s="44">
        <f t="shared" si="19"/>
        <v>0.78</v>
      </c>
      <c r="L45" s="36">
        <f t="shared" si="27"/>
        <v>62.910000000000004</v>
      </c>
      <c r="M45" s="35">
        <f t="shared" si="28"/>
        <v>1.2500000000000001E-2</v>
      </c>
      <c r="N45" s="44">
        <f t="shared" si="20"/>
        <v>0.85</v>
      </c>
      <c r="O45" s="36">
        <f t="shared" si="29"/>
        <v>68.529999999999987</v>
      </c>
      <c r="P45" s="35">
        <f>$B45</f>
        <v>1.2500000000000001E-2</v>
      </c>
      <c r="Q45" s="44">
        <f t="shared" ref="Q45:Q59" si="30">ROUND(R44*$P45,2)</f>
        <v>3.86</v>
      </c>
      <c r="R45" s="36">
        <f t="shared" ref="R45:R59" si="31">Q45+R44</f>
        <v>312.68</v>
      </c>
      <c r="S45" s="36">
        <f t="shared" si="10"/>
        <v>3.49</v>
      </c>
      <c r="T45" s="36">
        <f t="shared" si="11"/>
        <v>283.0200000000001</v>
      </c>
      <c r="U45" s="36">
        <f t="shared" si="13"/>
        <v>0.65</v>
      </c>
      <c r="V45" s="36">
        <f t="shared" si="14"/>
        <v>52.759999999999984</v>
      </c>
      <c r="W45" s="36">
        <f t="shared" si="12"/>
        <v>0.72</v>
      </c>
      <c r="X45" s="36">
        <f t="shared" si="15"/>
        <v>58.230000000000011</v>
      </c>
      <c r="Y45" s="36">
        <f t="shared" si="21"/>
        <v>0.36</v>
      </c>
      <c r="Z45" s="36">
        <f t="shared" si="22"/>
        <v>29.07</v>
      </c>
      <c r="AA45" s="36">
        <f t="shared" si="23"/>
        <v>0.04</v>
      </c>
      <c r="AB45" s="36">
        <f t="shared" si="24"/>
        <v>3.39</v>
      </c>
      <c r="AC45" s="37">
        <v>0.875</v>
      </c>
      <c r="AD45" s="38">
        <f t="shared" si="1"/>
        <v>5640</v>
      </c>
      <c r="AE45" s="37">
        <v>0.875</v>
      </c>
      <c r="AF45" s="39">
        <f t="shared" si="2"/>
        <v>5640</v>
      </c>
      <c r="AG45" s="37">
        <v>0.79</v>
      </c>
      <c r="AH45" s="39">
        <f t="shared" si="8"/>
        <v>224</v>
      </c>
      <c r="AI45" s="36">
        <v>1.01</v>
      </c>
      <c r="AJ45" s="31">
        <v>5.4</v>
      </c>
      <c r="AK45" s="31">
        <v>300</v>
      </c>
      <c r="AL45" s="31">
        <v>750</v>
      </c>
      <c r="AM45" s="37">
        <f t="shared" si="0"/>
        <v>0.125</v>
      </c>
      <c r="AN45" s="35">
        <v>3.4121000000000001</v>
      </c>
      <c r="AO45" s="31">
        <f t="shared" si="9"/>
        <v>224</v>
      </c>
      <c r="AP45" s="38">
        <f t="shared" ref="AP45:AP59" si="32">E45-AD45-AL45</f>
        <v>56</v>
      </c>
      <c r="AQ45" s="31"/>
      <c r="AR45" s="38">
        <f t="shared" si="16"/>
        <v>60</v>
      </c>
      <c r="AS45" s="34">
        <f t="shared" si="4"/>
        <v>5570</v>
      </c>
      <c r="AT45" s="34">
        <f t="shared" si="5"/>
        <v>6366</v>
      </c>
    </row>
    <row r="46" spans="1:49" ht="12.75" x14ac:dyDescent="0.2">
      <c r="A46" s="27">
        <v>2017</v>
      </c>
      <c r="B46" s="35">
        <v>2.2499999999999999E-2</v>
      </c>
      <c r="C46" s="31">
        <f t="shared" si="6"/>
        <v>145</v>
      </c>
      <c r="D46" s="31"/>
      <c r="E46" s="31">
        <f>E45+C46+D46</f>
        <v>6591</v>
      </c>
      <c r="F46" s="31">
        <f t="shared" si="7"/>
        <v>6591</v>
      </c>
      <c r="G46" s="35">
        <f t="shared" si="25"/>
        <v>2.2499999999999999E-2</v>
      </c>
      <c r="H46" s="36">
        <f t="shared" si="17"/>
        <v>12.5</v>
      </c>
      <c r="I46" s="36">
        <f>H46+I45</f>
        <v>567.97</v>
      </c>
      <c r="J46" s="35">
        <f t="shared" si="26"/>
        <v>2.2499999999999999E-2</v>
      </c>
      <c r="K46" s="44">
        <f t="shared" si="19"/>
        <v>1.42</v>
      </c>
      <c r="L46" s="36">
        <f t="shared" si="27"/>
        <v>64.33</v>
      </c>
      <c r="M46" s="35">
        <f t="shared" si="28"/>
        <v>2.2499999999999999E-2</v>
      </c>
      <c r="N46" s="44">
        <f t="shared" si="20"/>
        <v>1.54</v>
      </c>
      <c r="O46" s="36">
        <f t="shared" si="29"/>
        <v>70.069999999999993</v>
      </c>
      <c r="P46" s="35">
        <f>$B46</f>
        <v>2.2499999999999999E-2</v>
      </c>
      <c r="Q46" s="44">
        <f t="shared" si="30"/>
        <v>7.04</v>
      </c>
      <c r="R46" s="40">
        <f t="shared" si="31"/>
        <v>319.72000000000003</v>
      </c>
      <c r="S46" s="36">
        <f t="shared" si="10"/>
        <v>6.37</v>
      </c>
      <c r="T46" s="36">
        <f t="shared" si="11"/>
        <v>289.3900000000001</v>
      </c>
      <c r="U46" s="36">
        <f t="shared" si="13"/>
        <v>1.19</v>
      </c>
      <c r="V46" s="36">
        <f t="shared" si="14"/>
        <v>53.949999999999982</v>
      </c>
      <c r="W46" s="36">
        <f t="shared" si="12"/>
        <v>1.31</v>
      </c>
      <c r="X46" s="36">
        <f t="shared" si="15"/>
        <v>59.540000000000013</v>
      </c>
      <c r="Y46" s="36">
        <f t="shared" si="21"/>
        <v>0.65</v>
      </c>
      <c r="Z46" s="36">
        <f t="shared" si="22"/>
        <v>29.72</v>
      </c>
      <c r="AA46" s="36">
        <f t="shared" si="23"/>
        <v>0.08</v>
      </c>
      <c r="AB46" s="36">
        <f t="shared" si="24"/>
        <v>3.47</v>
      </c>
      <c r="AC46" s="37">
        <v>0.875</v>
      </c>
      <c r="AD46" s="45">
        <f>ROUND(AC46*E46,0)</f>
        <v>5767</v>
      </c>
      <c r="AE46" s="37">
        <v>0.875</v>
      </c>
      <c r="AF46" s="45">
        <f t="shared" si="2"/>
        <v>5767</v>
      </c>
      <c r="AG46" s="37">
        <v>0.79</v>
      </c>
      <c r="AH46" s="39">
        <f t="shared" si="8"/>
        <v>229</v>
      </c>
      <c r="AI46" s="36">
        <f t="shared" ref="AI46:AI59" si="33">AI45</f>
        <v>1.01</v>
      </c>
      <c r="AJ46" s="31">
        <v>5.4</v>
      </c>
      <c r="AK46" s="31">
        <v>300</v>
      </c>
      <c r="AL46" s="31">
        <v>750</v>
      </c>
      <c r="AM46" s="37">
        <f t="shared" si="0"/>
        <v>0.125</v>
      </c>
      <c r="AN46" s="31">
        <v>3.2430699999999999</v>
      </c>
      <c r="AO46" s="31">
        <f t="shared" si="9"/>
        <v>229</v>
      </c>
      <c r="AP46" s="38">
        <f>E46-AD46-AL46</f>
        <v>74</v>
      </c>
      <c r="AQ46" s="46">
        <v>317587</v>
      </c>
      <c r="AR46" s="38">
        <f t="shared" si="16"/>
        <v>61</v>
      </c>
      <c r="AS46" s="34">
        <f t="shared" si="4"/>
        <v>5640</v>
      </c>
      <c r="AT46" s="34">
        <f t="shared" si="5"/>
        <v>6446</v>
      </c>
      <c r="AV46" s="34">
        <v>0.25</v>
      </c>
    </row>
    <row r="47" spans="1:49" s="53" customFormat="1" ht="12.75" x14ac:dyDescent="0.2">
      <c r="A47" s="47">
        <v>2018</v>
      </c>
      <c r="B47" s="48">
        <v>1.11E-2</v>
      </c>
      <c r="C47" s="49">
        <f>ROUND(E46*B47,0)</f>
        <v>73</v>
      </c>
      <c r="D47" s="49"/>
      <c r="E47" s="49">
        <f t="shared" si="3"/>
        <v>6664</v>
      </c>
      <c r="F47" s="49">
        <f t="shared" si="7"/>
        <v>6664</v>
      </c>
      <c r="G47" s="35">
        <f t="shared" si="25"/>
        <v>1.11E-2</v>
      </c>
      <c r="H47" s="44">
        <f t="shared" si="17"/>
        <v>6.3</v>
      </c>
      <c r="I47" s="44">
        <f>H47+I46</f>
        <v>574.27</v>
      </c>
      <c r="J47" s="35">
        <f t="shared" si="26"/>
        <v>1.11E-2</v>
      </c>
      <c r="K47" s="44">
        <f t="shared" si="19"/>
        <v>0.71</v>
      </c>
      <c r="L47" s="44">
        <f>K47+L46</f>
        <v>65.039999999999992</v>
      </c>
      <c r="M47" s="35">
        <f t="shared" si="28"/>
        <v>1.11E-2</v>
      </c>
      <c r="N47" s="44">
        <f t="shared" si="20"/>
        <v>0.78</v>
      </c>
      <c r="O47" s="44">
        <f>N47+O46</f>
        <v>70.849999999999994</v>
      </c>
      <c r="P47" s="35">
        <f>$B47</f>
        <v>1.11E-2</v>
      </c>
      <c r="Q47" s="44">
        <f t="shared" si="30"/>
        <v>3.55</v>
      </c>
      <c r="R47" s="44">
        <f t="shared" si="31"/>
        <v>323.27000000000004</v>
      </c>
      <c r="S47" s="44">
        <f t="shared" si="10"/>
        <v>3.21</v>
      </c>
      <c r="T47" s="44">
        <f t="shared" si="11"/>
        <v>292.60000000000008</v>
      </c>
      <c r="U47" s="44">
        <f t="shared" si="13"/>
        <v>0.6</v>
      </c>
      <c r="V47" s="44">
        <f t="shared" si="14"/>
        <v>54.549999999999983</v>
      </c>
      <c r="W47" s="44">
        <f t="shared" si="12"/>
        <v>0.66</v>
      </c>
      <c r="X47" s="44">
        <f t="shared" si="15"/>
        <v>60.20000000000001</v>
      </c>
      <c r="Y47" s="44">
        <f t="shared" si="21"/>
        <v>0.33</v>
      </c>
      <c r="Z47" s="44">
        <f t="shared" si="22"/>
        <v>30.049999999999997</v>
      </c>
      <c r="AA47" s="44">
        <f t="shared" si="23"/>
        <v>0.04</v>
      </c>
      <c r="AB47" s="44">
        <f t="shared" si="24"/>
        <v>3.5100000000000002</v>
      </c>
      <c r="AC47" s="50">
        <v>0.875</v>
      </c>
      <c r="AD47" s="51">
        <f>ROUND(AC47*E47,0)</f>
        <v>5831</v>
      </c>
      <c r="AE47" s="50">
        <v>0.875</v>
      </c>
      <c r="AF47" s="51">
        <f>ROUND(AE47*F47,0)</f>
        <v>5831</v>
      </c>
      <c r="AG47" s="50">
        <v>0.79</v>
      </c>
      <c r="AH47" s="51">
        <f>ROUND(AG47*T47,0)</f>
        <v>231</v>
      </c>
      <c r="AI47" s="44">
        <f t="shared" si="33"/>
        <v>1.01</v>
      </c>
      <c r="AJ47" s="49">
        <v>5.4</v>
      </c>
      <c r="AK47" s="49">
        <v>300</v>
      </c>
      <c r="AL47" s="51">
        <v>750</v>
      </c>
      <c r="AM47" s="50">
        <f t="shared" si="0"/>
        <v>0.125</v>
      </c>
      <c r="AN47" s="49">
        <v>3.1638899999999999</v>
      </c>
      <c r="AO47" s="49">
        <f t="shared" si="9"/>
        <v>231</v>
      </c>
      <c r="AP47" s="51">
        <f>E47-AD47-AL47</f>
        <v>83</v>
      </c>
      <c r="AQ47" s="52">
        <f>ROUND(159714313837/485147.3,0)</f>
        <v>329208</v>
      </c>
      <c r="AR47" s="51">
        <f t="shared" si="16"/>
        <v>62</v>
      </c>
      <c r="AS47" s="51">
        <f t="shared" si="4"/>
        <v>5767</v>
      </c>
      <c r="AT47" s="51">
        <f t="shared" si="5"/>
        <v>6591</v>
      </c>
      <c r="AU47" s="53">
        <v>0</v>
      </c>
      <c r="AV47" s="53">
        <v>0.25</v>
      </c>
      <c r="AW47" s="54">
        <v>0</v>
      </c>
    </row>
    <row r="48" spans="1:49" s="62" customFormat="1" ht="13.5" thickBot="1" x14ac:dyDescent="0.25">
      <c r="A48" s="55">
        <v>2019</v>
      </c>
      <c r="B48" s="56">
        <v>0.01</v>
      </c>
      <c r="C48" s="57">
        <f t="shared" si="6"/>
        <v>67</v>
      </c>
      <c r="D48" s="57">
        <v>5</v>
      </c>
      <c r="E48" s="57">
        <f t="shared" si="3"/>
        <v>6736</v>
      </c>
      <c r="F48" s="57">
        <f t="shared" si="7"/>
        <v>6736</v>
      </c>
      <c r="G48" s="56">
        <v>0.01</v>
      </c>
      <c r="H48" s="58">
        <f t="shared" si="17"/>
        <v>5.74</v>
      </c>
      <c r="I48" s="58">
        <f t="shared" si="18"/>
        <v>580.01</v>
      </c>
      <c r="J48" s="56">
        <v>0.01</v>
      </c>
      <c r="K48" s="58">
        <f t="shared" si="19"/>
        <v>0.65</v>
      </c>
      <c r="L48" s="58">
        <f t="shared" si="27"/>
        <v>65.69</v>
      </c>
      <c r="M48" s="56">
        <v>0.01</v>
      </c>
      <c r="N48" s="58">
        <f t="shared" si="20"/>
        <v>0.71</v>
      </c>
      <c r="O48" s="58">
        <f t="shared" si="29"/>
        <v>71.559999999999988</v>
      </c>
      <c r="P48" s="56">
        <v>0.01</v>
      </c>
      <c r="Q48" s="58">
        <f t="shared" si="30"/>
        <v>3.23</v>
      </c>
      <c r="R48" s="58">
        <f t="shared" si="31"/>
        <v>326.50000000000006</v>
      </c>
      <c r="S48" s="58">
        <f t="shared" si="10"/>
        <v>2.93</v>
      </c>
      <c r="T48" s="58">
        <f>S48+T47</f>
        <v>295.53000000000009</v>
      </c>
      <c r="U48" s="58">
        <f t="shared" si="13"/>
        <v>0.55000000000000004</v>
      </c>
      <c r="V48" s="58">
        <f t="shared" si="14"/>
        <v>55.09999999999998</v>
      </c>
      <c r="W48" s="58">
        <f t="shared" si="12"/>
        <v>0.6</v>
      </c>
      <c r="X48" s="58">
        <f t="shared" si="15"/>
        <v>60.800000000000011</v>
      </c>
      <c r="Y48" s="58">
        <f t="shared" si="21"/>
        <v>0.3</v>
      </c>
      <c r="Z48" s="58">
        <f t="shared" si="22"/>
        <v>30.349999999999998</v>
      </c>
      <c r="AA48" s="58">
        <f t="shared" si="23"/>
        <v>0.04</v>
      </c>
      <c r="AB48" s="58">
        <f t="shared" si="24"/>
        <v>3.5500000000000003</v>
      </c>
      <c r="AC48" s="59">
        <v>0.875</v>
      </c>
      <c r="AD48" s="60">
        <f>ROUND(AC48*E48,0)</f>
        <v>5894</v>
      </c>
      <c r="AE48" s="59">
        <v>0.875</v>
      </c>
      <c r="AF48" s="60">
        <f t="shared" si="2"/>
        <v>5894</v>
      </c>
      <c r="AG48" s="59">
        <v>0.79</v>
      </c>
      <c r="AH48" s="60">
        <f>ROUND(AG48*T48,0)</f>
        <v>233</v>
      </c>
      <c r="AI48" s="58">
        <f t="shared" si="33"/>
        <v>1.01</v>
      </c>
      <c r="AJ48" s="57">
        <v>5.4</v>
      </c>
      <c r="AK48" s="57">
        <v>300</v>
      </c>
      <c r="AL48" s="60">
        <v>750</v>
      </c>
      <c r="AM48" s="59">
        <f t="shared" si="0"/>
        <v>0.125</v>
      </c>
      <c r="AN48" s="56">
        <v>3.0393599999999998</v>
      </c>
      <c r="AO48" s="57">
        <f>ROUND(T48*AG48,0)</f>
        <v>233</v>
      </c>
      <c r="AP48" s="60">
        <f>E48-AD48-AL48</f>
        <v>92</v>
      </c>
      <c r="AQ48" s="61">
        <v>345229</v>
      </c>
      <c r="AR48" s="60">
        <f>ROUND(AR47*(1+B48),0)</f>
        <v>63</v>
      </c>
      <c r="AS48" s="62">
        <f t="shared" si="4"/>
        <v>5831</v>
      </c>
      <c r="AT48" s="62">
        <f t="shared" si="5"/>
        <v>6664</v>
      </c>
      <c r="AU48" s="62">
        <v>0</v>
      </c>
      <c r="AV48" s="62">
        <v>0.25</v>
      </c>
      <c r="AW48" s="63">
        <v>0</v>
      </c>
    </row>
    <row r="49" spans="1:49" s="73" customFormat="1" ht="13.5" thickBot="1" x14ac:dyDescent="0.25">
      <c r="A49" s="64">
        <v>2020</v>
      </c>
      <c r="B49" s="65">
        <v>2.06E-2</v>
      </c>
      <c r="C49" s="66">
        <f>ROUND(E48*B49,0)</f>
        <v>139</v>
      </c>
      <c r="D49" s="66">
        <v>5</v>
      </c>
      <c r="E49" s="66">
        <f t="shared" si="3"/>
        <v>6880</v>
      </c>
      <c r="F49" s="66">
        <f t="shared" si="7"/>
        <v>6880</v>
      </c>
      <c r="G49" s="65">
        <f>B49</f>
        <v>2.06E-2</v>
      </c>
      <c r="H49" s="67">
        <f t="shared" si="17"/>
        <v>11.95</v>
      </c>
      <c r="I49" s="67">
        <f t="shared" si="18"/>
        <v>591.96</v>
      </c>
      <c r="J49" s="65">
        <f>B49</f>
        <v>2.06E-2</v>
      </c>
      <c r="K49" s="67">
        <f>ROUND(L48*$J49,2)</f>
        <v>1.35</v>
      </c>
      <c r="L49" s="67">
        <f t="shared" si="27"/>
        <v>67.039999999999992</v>
      </c>
      <c r="M49" s="65">
        <f>B49</f>
        <v>2.06E-2</v>
      </c>
      <c r="N49" s="67">
        <f>ROUND(O48*$M49,2)</f>
        <v>1.47</v>
      </c>
      <c r="O49" s="67">
        <f t="shared" si="29"/>
        <v>73.029999999999987</v>
      </c>
      <c r="P49" s="65">
        <f>B49</f>
        <v>2.06E-2</v>
      </c>
      <c r="Q49" s="67">
        <f t="shared" si="30"/>
        <v>6.73</v>
      </c>
      <c r="R49" s="67">
        <f t="shared" si="31"/>
        <v>333.23000000000008</v>
      </c>
      <c r="S49" s="67">
        <f t="shared" si="10"/>
        <v>6.09</v>
      </c>
      <c r="T49" s="67">
        <f t="shared" si="11"/>
        <v>301.62000000000006</v>
      </c>
      <c r="U49" s="67">
        <f t="shared" si="13"/>
        <v>1.1399999999999999</v>
      </c>
      <c r="V49" s="67">
        <f t="shared" si="14"/>
        <v>56.239999999999981</v>
      </c>
      <c r="W49" s="67">
        <f t="shared" si="12"/>
        <v>1.25</v>
      </c>
      <c r="X49" s="67">
        <f t="shared" si="15"/>
        <v>62.050000000000011</v>
      </c>
      <c r="Y49" s="67">
        <f t="shared" si="21"/>
        <v>0.63</v>
      </c>
      <c r="Z49" s="67">
        <f t="shared" si="22"/>
        <v>30.979999999999997</v>
      </c>
      <c r="AA49" s="67">
        <f t="shared" si="23"/>
        <v>7.0000000000000007E-2</v>
      </c>
      <c r="AB49" s="67">
        <f t="shared" si="24"/>
        <v>3.62</v>
      </c>
      <c r="AC49" s="68">
        <v>0.875</v>
      </c>
      <c r="AD49" s="69">
        <f t="shared" si="1"/>
        <v>6020</v>
      </c>
      <c r="AE49" s="68">
        <v>0.875</v>
      </c>
      <c r="AF49" s="70">
        <f t="shared" si="2"/>
        <v>6020</v>
      </c>
      <c r="AG49" s="68">
        <v>0.79</v>
      </c>
      <c r="AH49" s="70">
        <f t="shared" si="8"/>
        <v>238</v>
      </c>
      <c r="AI49" s="67">
        <f t="shared" si="33"/>
        <v>1.01</v>
      </c>
      <c r="AJ49" s="66">
        <v>5.4</v>
      </c>
      <c r="AK49" s="66">
        <v>300</v>
      </c>
      <c r="AL49" s="69">
        <v>750</v>
      </c>
      <c r="AM49" s="68">
        <f t="shared" si="0"/>
        <v>0.125</v>
      </c>
      <c r="AN49" s="71">
        <v>0</v>
      </c>
      <c r="AO49" s="66">
        <f t="shared" si="9"/>
        <v>238</v>
      </c>
      <c r="AP49" s="69">
        <f>E49-AD49-AL49</f>
        <v>110</v>
      </c>
      <c r="AQ49" s="72">
        <v>0</v>
      </c>
      <c r="AR49" s="69">
        <f t="shared" si="16"/>
        <v>64</v>
      </c>
      <c r="AS49" s="73">
        <f t="shared" si="4"/>
        <v>5894</v>
      </c>
      <c r="AT49" s="73">
        <f t="shared" si="5"/>
        <v>6736</v>
      </c>
      <c r="AU49" s="73">
        <v>0</v>
      </c>
      <c r="AV49" s="73">
        <v>0.25</v>
      </c>
      <c r="AW49" s="74">
        <v>0</v>
      </c>
    </row>
    <row r="50" spans="1:49" s="79" customFormat="1" ht="13.5" thickBot="1" x14ac:dyDescent="0.25">
      <c r="A50" s="75">
        <v>2021</v>
      </c>
      <c r="B50" s="76">
        <v>2.3E-2</v>
      </c>
      <c r="C50" s="43">
        <f>ROUND(E49*B50,0)</f>
        <v>158</v>
      </c>
      <c r="D50" s="43">
        <v>10</v>
      </c>
      <c r="E50" s="43">
        <f>E49+C50+D50</f>
        <v>7048</v>
      </c>
      <c r="F50" s="43">
        <f t="shared" si="7"/>
        <v>7048</v>
      </c>
      <c r="G50" s="65">
        <f t="shared" ref="G50:G59" si="34">B50</f>
        <v>2.3E-2</v>
      </c>
      <c r="H50" s="42">
        <f t="shared" si="17"/>
        <v>13.62</v>
      </c>
      <c r="I50" s="42">
        <f t="shared" si="18"/>
        <v>605.58000000000004</v>
      </c>
      <c r="J50" s="65">
        <f t="shared" ref="J50:J59" si="35">B50</f>
        <v>2.3E-2</v>
      </c>
      <c r="K50" s="42">
        <f>ROUND(L49*$J50,2)</f>
        <v>1.54</v>
      </c>
      <c r="L50" s="42">
        <f t="shared" si="27"/>
        <v>68.58</v>
      </c>
      <c r="M50" s="65">
        <f t="shared" ref="M50:M59" si="36">B50</f>
        <v>2.3E-2</v>
      </c>
      <c r="N50" s="42">
        <f>ROUND(O49*$M50,2)</f>
        <v>1.68</v>
      </c>
      <c r="O50" s="42">
        <f>N50+O49</f>
        <v>74.709999999999994</v>
      </c>
      <c r="P50" s="65">
        <f t="shared" ref="P50:P59" si="37">B50</f>
        <v>2.3E-2</v>
      </c>
      <c r="Q50" s="42">
        <f t="shared" si="30"/>
        <v>7.66</v>
      </c>
      <c r="R50" s="42">
        <f t="shared" si="31"/>
        <v>340.8900000000001</v>
      </c>
      <c r="S50" s="42">
        <f t="shared" si="10"/>
        <v>6.94</v>
      </c>
      <c r="T50" s="42">
        <f t="shared" si="11"/>
        <v>308.56000000000006</v>
      </c>
      <c r="U50" s="42">
        <f t="shared" si="13"/>
        <v>1.29</v>
      </c>
      <c r="V50" s="42">
        <f t="shared" si="14"/>
        <v>57.52999999999998</v>
      </c>
      <c r="W50" s="42">
        <f t="shared" si="12"/>
        <v>1.43</v>
      </c>
      <c r="X50" s="42">
        <f t="shared" si="15"/>
        <v>63.480000000000011</v>
      </c>
      <c r="Y50" s="42">
        <f t="shared" si="21"/>
        <v>0.71</v>
      </c>
      <c r="Z50" s="42">
        <f t="shared" si="22"/>
        <v>31.689999999999998</v>
      </c>
      <c r="AA50" s="42">
        <f t="shared" si="23"/>
        <v>0.08</v>
      </c>
      <c r="AB50" s="42">
        <f t="shared" si="24"/>
        <v>3.7</v>
      </c>
      <c r="AC50" s="77">
        <v>0.875</v>
      </c>
      <c r="AD50" s="78">
        <f t="shared" si="1"/>
        <v>6167</v>
      </c>
      <c r="AE50" s="77">
        <v>0.875</v>
      </c>
      <c r="AF50" s="51">
        <f t="shared" si="2"/>
        <v>6167</v>
      </c>
      <c r="AG50" s="77">
        <v>0.79</v>
      </c>
      <c r="AH50" s="51">
        <f t="shared" si="8"/>
        <v>244</v>
      </c>
      <c r="AI50" s="42">
        <f t="shared" si="33"/>
        <v>1.01</v>
      </c>
      <c r="AJ50" s="43">
        <v>5.4</v>
      </c>
      <c r="AK50" s="43">
        <v>300</v>
      </c>
      <c r="AL50" s="69">
        <v>750</v>
      </c>
      <c r="AM50" s="77">
        <f t="shared" si="0"/>
        <v>0.125</v>
      </c>
      <c r="AN50" s="43"/>
      <c r="AO50" s="43">
        <f t="shared" si="9"/>
        <v>244</v>
      </c>
      <c r="AP50" s="78">
        <f t="shared" si="32"/>
        <v>131</v>
      </c>
      <c r="AQ50" s="43"/>
      <c r="AR50" s="78">
        <f t="shared" si="16"/>
        <v>65</v>
      </c>
      <c r="AS50" s="79">
        <f t="shared" si="4"/>
        <v>6020</v>
      </c>
      <c r="AT50" s="79">
        <f t="shared" si="5"/>
        <v>6880</v>
      </c>
    </row>
    <row r="51" spans="1:49" s="79" customFormat="1" ht="13.5" thickBot="1" x14ac:dyDescent="0.25">
      <c r="A51" s="75">
        <v>2022</v>
      </c>
      <c r="B51" s="76">
        <v>2.4E-2</v>
      </c>
      <c r="C51" s="43">
        <f>ROUND(E50*B51,0)</f>
        <v>169</v>
      </c>
      <c r="D51" s="43">
        <v>10</v>
      </c>
      <c r="E51" s="43">
        <f t="shared" si="3"/>
        <v>7227</v>
      </c>
      <c r="F51" s="43">
        <f t="shared" si="7"/>
        <v>7227</v>
      </c>
      <c r="G51" s="65">
        <f t="shared" si="34"/>
        <v>2.4E-2</v>
      </c>
      <c r="H51" s="42">
        <f t="shared" si="17"/>
        <v>14.53</v>
      </c>
      <c r="I51" s="42">
        <f t="shared" si="18"/>
        <v>620.11</v>
      </c>
      <c r="J51" s="65">
        <f t="shared" si="35"/>
        <v>2.4E-2</v>
      </c>
      <c r="K51" s="42">
        <f>ROUND(L50*$J51,2)</f>
        <v>1.65</v>
      </c>
      <c r="L51" s="42">
        <f t="shared" si="27"/>
        <v>70.23</v>
      </c>
      <c r="M51" s="65">
        <f t="shared" si="36"/>
        <v>2.4E-2</v>
      </c>
      <c r="N51" s="42">
        <f>ROUND(O50*$M51,2)</f>
        <v>1.79</v>
      </c>
      <c r="O51" s="42">
        <f t="shared" si="29"/>
        <v>76.5</v>
      </c>
      <c r="P51" s="65">
        <f t="shared" si="37"/>
        <v>2.4E-2</v>
      </c>
      <c r="Q51" s="42">
        <f t="shared" si="30"/>
        <v>8.18</v>
      </c>
      <c r="R51" s="42">
        <f t="shared" si="31"/>
        <v>349.07000000000011</v>
      </c>
      <c r="S51" s="42">
        <f t="shared" si="10"/>
        <v>7.41</v>
      </c>
      <c r="T51" s="42">
        <f t="shared" si="11"/>
        <v>315.97000000000008</v>
      </c>
      <c r="U51" s="42">
        <f>ROUND(V50*$B51,2)</f>
        <v>1.38</v>
      </c>
      <c r="V51" s="42">
        <f>U51+V50</f>
        <v>58.909999999999982</v>
      </c>
      <c r="W51" s="42">
        <f>ROUND(X50*$B51,2)</f>
        <v>1.52</v>
      </c>
      <c r="X51" s="42">
        <f>W51+X50</f>
        <v>65.000000000000014</v>
      </c>
      <c r="Y51" s="42">
        <f>ROUND(Z50*$B51,2)</f>
        <v>0.76</v>
      </c>
      <c r="Z51" s="42">
        <f>Y51+Z50</f>
        <v>32.449999999999996</v>
      </c>
      <c r="AA51" s="42">
        <f>ROUND(AB50*$B51,2)</f>
        <v>0.09</v>
      </c>
      <c r="AB51" s="42">
        <f>AA51+AB50</f>
        <v>3.79</v>
      </c>
      <c r="AC51" s="77">
        <v>0.875</v>
      </c>
      <c r="AD51" s="78">
        <f t="shared" si="1"/>
        <v>6324</v>
      </c>
      <c r="AE51" s="77">
        <v>0.875</v>
      </c>
      <c r="AF51" s="51">
        <f t="shared" si="2"/>
        <v>6324</v>
      </c>
      <c r="AG51" s="77">
        <v>0.79</v>
      </c>
      <c r="AH51" s="51">
        <f t="shared" si="8"/>
        <v>250</v>
      </c>
      <c r="AI51" s="42">
        <f t="shared" si="33"/>
        <v>1.01</v>
      </c>
      <c r="AJ51" s="43">
        <v>5.4</v>
      </c>
      <c r="AK51" s="43">
        <v>300</v>
      </c>
      <c r="AL51" s="69">
        <v>750</v>
      </c>
      <c r="AM51" s="77">
        <f t="shared" si="0"/>
        <v>0.125</v>
      </c>
      <c r="AN51" s="43"/>
      <c r="AO51" s="43">
        <f t="shared" si="9"/>
        <v>250</v>
      </c>
      <c r="AP51" s="78">
        <f t="shared" si="32"/>
        <v>153</v>
      </c>
      <c r="AQ51" s="43"/>
      <c r="AR51" s="78">
        <f t="shared" si="16"/>
        <v>67</v>
      </c>
      <c r="AS51" s="79">
        <f t="shared" si="4"/>
        <v>6167</v>
      </c>
      <c r="AT51" s="79">
        <f t="shared" si="5"/>
        <v>7048</v>
      </c>
    </row>
    <row r="52" spans="1:49" ht="13.5" thickBot="1" x14ac:dyDescent="0.25">
      <c r="A52" s="75">
        <v>2023</v>
      </c>
      <c r="B52" s="76">
        <v>2.5000000000000001E-2</v>
      </c>
      <c r="C52" s="43">
        <f t="shared" ref="C52:C59" si="38">ROUND(E51*B52,0)</f>
        <v>181</v>
      </c>
      <c r="D52" s="34">
        <v>5</v>
      </c>
      <c r="E52" s="43">
        <f t="shared" si="3"/>
        <v>7413</v>
      </c>
      <c r="F52" s="43">
        <f t="shared" si="7"/>
        <v>7413</v>
      </c>
      <c r="G52" s="65">
        <f t="shared" si="34"/>
        <v>2.5000000000000001E-2</v>
      </c>
      <c r="H52" s="42">
        <f t="shared" si="17"/>
        <v>15.5</v>
      </c>
      <c r="I52" s="42">
        <f t="shared" si="18"/>
        <v>635.61</v>
      </c>
      <c r="J52" s="65">
        <f t="shared" si="35"/>
        <v>2.5000000000000001E-2</v>
      </c>
      <c r="K52" s="42">
        <f t="shared" ref="K52:K59" si="39">ROUND(L51*$J52,2)</f>
        <v>1.76</v>
      </c>
      <c r="L52" s="42">
        <f t="shared" si="27"/>
        <v>71.990000000000009</v>
      </c>
      <c r="M52" s="65">
        <f t="shared" si="36"/>
        <v>2.5000000000000001E-2</v>
      </c>
      <c r="N52" s="42">
        <f t="shared" ref="N52:N59" si="40">ROUND(O51*$M52,2)</f>
        <v>1.91</v>
      </c>
      <c r="O52" s="42">
        <f t="shared" si="29"/>
        <v>78.41</v>
      </c>
      <c r="P52" s="65">
        <f t="shared" si="37"/>
        <v>2.5000000000000001E-2</v>
      </c>
      <c r="Q52" s="42">
        <f t="shared" si="30"/>
        <v>8.73</v>
      </c>
      <c r="R52" s="42">
        <f t="shared" si="31"/>
        <v>357.80000000000013</v>
      </c>
      <c r="S52" s="42">
        <f t="shared" si="10"/>
        <v>7.9</v>
      </c>
      <c r="T52" s="42">
        <f t="shared" si="11"/>
        <v>323.87000000000006</v>
      </c>
      <c r="U52" s="42">
        <f t="shared" ref="U52:U59" si="41">ROUND(V51*$B52,2)</f>
        <v>1.47</v>
      </c>
      <c r="V52" s="42">
        <f t="shared" ref="V52:V59" si="42">U52+V51</f>
        <v>60.379999999999981</v>
      </c>
      <c r="W52" s="42">
        <f t="shared" ref="W52:W59" si="43">ROUND(X51*$B52,2)</f>
        <v>1.63</v>
      </c>
      <c r="X52" s="42">
        <f t="shared" ref="X52:X59" si="44">W52+X51</f>
        <v>66.63000000000001</v>
      </c>
      <c r="Y52" s="42">
        <f t="shared" ref="Y52:Y59" si="45">ROUND(Z51*$B52,2)</f>
        <v>0.81</v>
      </c>
      <c r="Z52" s="42">
        <f t="shared" ref="Z52:Z59" si="46">Y52+Z51</f>
        <v>33.26</v>
      </c>
      <c r="AA52" s="42">
        <f t="shared" ref="AA52:AA59" si="47">ROUND(AB51*$B52,2)</f>
        <v>0.09</v>
      </c>
      <c r="AB52" s="42">
        <f t="shared" ref="AB52:AB59" si="48">AA52+AB51</f>
        <v>3.88</v>
      </c>
      <c r="AC52" s="77">
        <v>0.88400000000000001</v>
      </c>
      <c r="AD52" s="78">
        <f t="shared" si="1"/>
        <v>6553</v>
      </c>
      <c r="AE52" s="77">
        <f>AC52</f>
        <v>0.88400000000000001</v>
      </c>
      <c r="AF52" s="51">
        <f t="shared" si="2"/>
        <v>6553</v>
      </c>
      <c r="AG52" s="77">
        <v>0.79</v>
      </c>
      <c r="AH52" s="51">
        <f t="shared" si="8"/>
        <v>256</v>
      </c>
      <c r="AI52" s="42">
        <f t="shared" si="33"/>
        <v>1.01</v>
      </c>
      <c r="AJ52" s="43">
        <v>5.4</v>
      </c>
      <c r="AK52" s="43">
        <v>300</v>
      </c>
      <c r="AL52" s="78">
        <f t="shared" ref="AL52:AL59" si="49">E52-AD52-$AP51</f>
        <v>707</v>
      </c>
      <c r="AM52" s="77">
        <f t="shared" si="0"/>
        <v>0.11599999999999999</v>
      </c>
      <c r="AO52" s="43">
        <f t="shared" si="9"/>
        <v>256</v>
      </c>
      <c r="AP52" s="78">
        <f t="shared" si="32"/>
        <v>153</v>
      </c>
      <c r="AR52" s="78">
        <f t="shared" si="16"/>
        <v>69</v>
      </c>
      <c r="AS52" s="34">
        <f t="shared" si="4"/>
        <v>6324</v>
      </c>
      <c r="AT52" s="34">
        <f t="shared" si="5"/>
        <v>7227</v>
      </c>
    </row>
    <row r="53" spans="1:49" ht="13.5" thickBot="1" x14ac:dyDescent="0.25">
      <c r="A53" s="75">
        <v>2024</v>
      </c>
      <c r="B53" s="76">
        <v>0.03</v>
      </c>
      <c r="C53" s="43">
        <f t="shared" si="38"/>
        <v>222</v>
      </c>
      <c r="E53" s="43">
        <f t="shared" si="3"/>
        <v>7635</v>
      </c>
      <c r="F53" s="43">
        <f t="shared" si="7"/>
        <v>7635</v>
      </c>
      <c r="G53" s="65">
        <f t="shared" si="34"/>
        <v>0.03</v>
      </c>
      <c r="H53" s="42">
        <f t="shared" si="17"/>
        <v>19.07</v>
      </c>
      <c r="I53" s="42">
        <f t="shared" si="18"/>
        <v>654.68000000000006</v>
      </c>
      <c r="J53" s="65">
        <f t="shared" si="35"/>
        <v>0.03</v>
      </c>
      <c r="K53" s="42">
        <f t="shared" si="39"/>
        <v>2.16</v>
      </c>
      <c r="L53" s="42">
        <f t="shared" si="27"/>
        <v>74.150000000000006</v>
      </c>
      <c r="M53" s="65">
        <f t="shared" si="36"/>
        <v>0.03</v>
      </c>
      <c r="N53" s="42">
        <f t="shared" si="40"/>
        <v>2.35</v>
      </c>
      <c r="O53" s="42">
        <f t="shared" si="29"/>
        <v>80.759999999999991</v>
      </c>
      <c r="P53" s="65">
        <f t="shared" si="37"/>
        <v>0.03</v>
      </c>
      <c r="Q53" s="42">
        <f t="shared" si="30"/>
        <v>10.73</v>
      </c>
      <c r="R53" s="42">
        <f t="shared" si="31"/>
        <v>368.53000000000014</v>
      </c>
      <c r="S53" s="42">
        <f t="shared" si="10"/>
        <v>9.7200000000000006</v>
      </c>
      <c r="T53" s="42">
        <f t="shared" si="11"/>
        <v>333.59000000000009</v>
      </c>
      <c r="U53" s="42">
        <f t="shared" si="41"/>
        <v>1.81</v>
      </c>
      <c r="V53" s="42">
        <f t="shared" si="42"/>
        <v>62.189999999999984</v>
      </c>
      <c r="W53" s="42">
        <f t="shared" si="43"/>
        <v>2</v>
      </c>
      <c r="X53" s="42">
        <f t="shared" si="44"/>
        <v>68.63000000000001</v>
      </c>
      <c r="Y53" s="42">
        <f t="shared" si="45"/>
        <v>1</v>
      </c>
      <c r="Z53" s="42">
        <f t="shared" si="46"/>
        <v>34.26</v>
      </c>
      <c r="AA53" s="42">
        <f t="shared" si="47"/>
        <v>0.12</v>
      </c>
      <c r="AB53" s="42">
        <f t="shared" si="48"/>
        <v>4</v>
      </c>
      <c r="AC53" s="77">
        <v>0.88400000000000001</v>
      </c>
      <c r="AD53" s="78">
        <f t="shared" si="1"/>
        <v>6749</v>
      </c>
      <c r="AE53" s="77">
        <f t="shared" ref="AE53:AE59" si="50">AC53</f>
        <v>0.88400000000000001</v>
      </c>
      <c r="AF53" s="51">
        <f t="shared" si="2"/>
        <v>6749</v>
      </c>
      <c r="AG53" s="77">
        <v>0.79</v>
      </c>
      <c r="AH53" s="51">
        <f t="shared" si="8"/>
        <v>264</v>
      </c>
      <c r="AI53" s="42">
        <f t="shared" si="33"/>
        <v>1.01</v>
      </c>
      <c r="AJ53" s="43">
        <v>5.4</v>
      </c>
      <c r="AK53" s="43">
        <v>300</v>
      </c>
      <c r="AL53" s="78">
        <f t="shared" si="49"/>
        <v>733</v>
      </c>
      <c r="AM53" s="77">
        <f t="shared" si="0"/>
        <v>0.11599999999999999</v>
      </c>
      <c r="AO53" s="43">
        <f t="shared" si="9"/>
        <v>264</v>
      </c>
      <c r="AP53" s="78">
        <f t="shared" si="32"/>
        <v>153</v>
      </c>
      <c r="AR53" s="78">
        <f t="shared" si="16"/>
        <v>71</v>
      </c>
      <c r="AS53" s="34">
        <f t="shared" si="4"/>
        <v>6553</v>
      </c>
      <c r="AT53" s="34">
        <f t="shared" si="5"/>
        <v>7413</v>
      </c>
    </row>
    <row r="54" spans="1:49" ht="13.5" thickBot="1" x14ac:dyDescent="0.25">
      <c r="A54" s="75">
        <v>2025</v>
      </c>
      <c r="B54" s="76">
        <v>0</v>
      </c>
      <c r="C54" s="43">
        <f t="shared" si="38"/>
        <v>0</v>
      </c>
      <c r="E54" s="43">
        <f t="shared" si="3"/>
        <v>7635</v>
      </c>
      <c r="F54" s="43">
        <f t="shared" si="7"/>
        <v>7635</v>
      </c>
      <c r="G54" s="65">
        <f t="shared" si="34"/>
        <v>0</v>
      </c>
      <c r="H54" s="42">
        <f t="shared" si="17"/>
        <v>0</v>
      </c>
      <c r="I54" s="42">
        <f t="shared" si="18"/>
        <v>654.68000000000006</v>
      </c>
      <c r="J54" s="65">
        <f t="shared" si="35"/>
        <v>0</v>
      </c>
      <c r="K54" s="42">
        <f t="shared" si="39"/>
        <v>0</v>
      </c>
      <c r="L54" s="42">
        <f t="shared" si="27"/>
        <v>74.150000000000006</v>
      </c>
      <c r="M54" s="65">
        <f t="shared" si="36"/>
        <v>0</v>
      </c>
      <c r="N54" s="42">
        <f t="shared" si="40"/>
        <v>0</v>
      </c>
      <c r="O54" s="42">
        <f t="shared" si="29"/>
        <v>80.759999999999991</v>
      </c>
      <c r="P54" s="65">
        <f t="shared" si="37"/>
        <v>0</v>
      </c>
      <c r="Q54" s="42">
        <f t="shared" si="30"/>
        <v>0</v>
      </c>
      <c r="R54" s="42">
        <f t="shared" si="31"/>
        <v>368.53000000000014</v>
      </c>
      <c r="S54" s="42">
        <f t="shared" si="10"/>
        <v>0</v>
      </c>
      <c r="T54" s="42">
        <f t="shared" si="11"/>
        <v>333.59000000000009</v>
      </c>
      <c r="U54" s="42">
        <f t="shared" si="41"/>
        <v>0</v>
      </c>
      <c r="V54" s="42">
        <f t="shared" si="42"/>
        <v>62.189999999999984</v>
      </c>
      <c r="W54" s="42">
        <f t="shared" si="43"/>
        <v>0</v>
      </c>
      <c r="X54" s="42">
        <f t="shared" si="44"/>
        <v>68.63000000000001</v>
      </c>
      <c r="Y54" s="42">
        <f t="shared" si="45"/>
        <v>0</v>
      </c>
      <c r="Z54" s="42">
        <f t="shared" si="46"/>
        <v>34.26</v>
      </c>
      <c r="AA54" s="42">
        <f t="shared" si="47"/>
        <v>0</v>
      </c>
      <c r="AB54" s="42">
        <f t="shared" si="48"/>
        <v>4</v>
      </c>
      <c r="AC54" s="77">
        <v>0.88400000000000001</v>
      </c>
      <c r="AD54" s="78">
        <f t="shared" si="1"/>
        <v>6749</v>
      </c>
      <c r="AE54" s="77">
        <f t="shared" si="50"/>
        <v>0.88400000000000001</v>
      </c>
      <c r="AF54" s="51">
        <f t="shared" si="2"/>
        <v>6749</v>
      </c>
      <c r="AG54" s="77">
        <v>0.79</v>
      </c>
      <c r="AH54" s="51">
        <f t="shared" si="8"/>
        <v>264</v>
      </c>
      <c r="AI54" s="42">
        <f t="shared" si="33"/>
        <v>1.01</v>
      </c>
      <c r="AJ54" s="43">
        <v>5.4</v>
      </c>
      <c r="AK54" s="43">
        <v>300</v>
      </c>
      <c r="AL54" s="78">
        <f t="shared" si="49"/>
        <v>733</v>
      </c>
      <c r="AM54" s="77">
        <f t="shared" si="0"/>
        <v>0.11599999999999999</v>
      </c>
      <c r="AO54" s="43">
        <f t="shared" si="9"/>
        <v>264</v>
      </c>
      <c r="AP54" s="78">
        <f t="shared" si="32"/>
        <v>153</v>
      </c>
      <c r="AR54" s="78">
        <f t="shared" si="16"/>
        <v>71</v>
      </c>
      <c r="AS54" s="34">
        <f t="shared" si="4"/>
        <v>6749</v>
      </c>
      <c r="AT54" s="34">
        <f t="shared" si="5"/>
        <v>7635</v>
      </c>
    </row>
    <row r="55" spans="1:49" ht="13.5" thickBot="1" x14ac:dyDescent="0.25">
      <c r="A55" s="75">
        <v>2026</v>
      </c>
      <c r="B55" s="76">
        <v>0</v>
      </c>
      <c r="C55" s="43">
        <f t="shared" si="38"/>
        <v>0</v>
      </c>
      <c r="E55" s="43">
        <f t="shared" si="3"/>
        <v>7635</v>
      </c>
      <c r="F55" s="43">
        <f t="shared" si="7"/>
        <v>7635</v>
      </c>
      <c r="G55" s="65">
        <f t="shared" si="34"/>
        <v>0</v>
      </c>
      <c r="H55" s="42">
        <f t="shared" si="17"/>
        <v>0</v>
      </c>
      <c r="I55" s="42">
        <f t="shared" si="18"/>
        <v>654.68000000000006</v>
      </c>
      <c r="J55" s="65">
        <f t="shared" si="35"/>
        <v>0</v>
      </c>
      <c r="K55" s="42">
        <f t="shared" si="39"/>
        <v>0</v>
      </c>
      <c r="L55" s="42">
        <f t="shared" si="27"/>
        <v>74.150000000000006</v>
      </c>
      <c r="M55" s="65">
        <f t="shared" si="36"/>
        <v>0</v>
      </c>
      <c r="N55" s="42">
        <f t="shared" si="40"/>
        <v>0</v>
      </c>
      <c r="O55" s="42">
        <f t="shared" si="29"/>
        <v>80.759999999999991</v>
      </c>
      <c r="P55" s="65">
        <f t="shared" si="37"/>
        <v>0</v>
      </c>
      <c r="Q55" s="42">
        <f t="shared" si="30"/>
        <v>0</v>
      </c>
      <c r="R55" s="42">
        <f t="shared" si="31"/>
        <v>368.53000000000014</v>
      </c>
      <c r="S55" s="42">
        <f t="shared" si="10"/>
        <v>0</v>
      </c>
      <c r="T55" s="42">
        <f t="shared" si="11"/>
        <v>333.59000000000009</v>
      </c>
      <c r="U55" s="42">
        <f t="shared" si="41"/>
        <v>0</v>
      </c>
      <c r="V55" s="42">
        <f t="shared" si="42"/>
        <v>62.189999999999984</v>
      </c>
      <c r="W55" s="42">
        <f t="shared" si="43"/>
        <v>0</v>
      </c>
      <c r="X55" s="42">
        <f t="shared" si="44"/>
        <v>68.63000000000001</v>
      </c>
      <c r="Y55" s="42">
        <f t="shared" si="45"/>
        <v>0</v>
      </c>
      <c r="Z55" s="42">
        <f t="shared" si="46"/>
        <v>34.26</v>
      </c>
      <c r="AA55" s="42">
        <f t="shared" si="47"/>
        <v>0</v>
      </c>
      <c r="AB55" s="42">
        <f t="shared" si="48"/>
        <v>4</v>
      </c>
      <c r="AC55" s="77">
        <v>0.88400000000000001</v>
      </c>
      <c r="AD55" s="78">
        <f t="shared" si="1"/>
        <v>6749</v>
      </c>
      <c r="AE55" s="77">
        <f t="shared" si="50"/>
        <v>0.88400000000000001</v>
      </c>
      <c r="AF55" s="51">
        <f t="shared" si="2"/>
        <v>6749</v>
      </c>
      <c r="AG55" s="77">
        <v>0.79</v>
      </c>
      <c r="AH55" s="51">
        <f t="shared" si="8"/>
        <v>264</v>
      </c>
      <c r="AI55" s="42">
        <f t="shared" si="33"/>
        <v>1.01</v>
      </c>
      <c r="AJ55" s="43">
        <v>5.4</v>
      </c>
      <c r="AK55" s="43">
        <v>300</v>
      </c>
      <c r="AL55" s="78">
        <f t="shared" si="49"/>
        <v>733</v>
      </c>
      <c r="AM55" s="77">
        <f t="shared" si="0"/>
        <v>0.11599999999999999</v>
      </c>
      <c r="AO55" s="43">
        <f t="shared" si="9"/>
        <v>264</v>
      </c>
      <c r="AP55" s="78">
        <f t="shared" si="32"/>
        <v>153</v>
      </c>
      <c r="AR55" s="78">
        <f t="shared" si="16"/>
        <v>71</v>
      </c>
      <c r="AS55" s="34">
        <f t="shared" si="4"/>
        <v>6749</v>
      </c>
      <c r="AT55" s="34">
        <f t="shared" si="5"/>
        <v>7635</v>
      </c>
    </row>
    <row r="56" spans="1:49" ht="13.5" thickBot="1" x14ac:dyDescent="0.25">
      <c r="A56" s="75">
        <v>2027</v>
      </c>
      <c r="B56" s="76">
        <v>0</v>
      </c>
      <c r="C56" s="43">
        <f t="shared" si="38"/>
        <v>0</v>
      </c>
      <c r="E56" s="43">
        <f t="shared" si="3"/>
        <v>7635</v>
      </c>
      <c r="F56" s="43">
        <f t="shared" si="7"/>
        <v>7635</v>
      </c>
      <c r="G56" s="65">
        <f t="shared" si="34"/>
        <v>0</v>
      </c>
      <c r="H56" s="42">
        <f t="shared" si="17"/>
        <v>0</v>
      </c>
      <c r="I56" s="42">
        <f t="shared" si="18"/>
        <v>654.68000000000006</v>
      </c>
      <c r="J56" s="65">
        <f t="shared" si="35"/>
        <v>0</v>
      </c>
      <c r="K56" s="42">
        <f t="shared" si="39"/>
        <v>0</v>
      </c>
      <c r="L56" s="42">
        <f t="shared" si="27"/>
        <v>74.150000000000006</v>
      </c>
      <c r="M56" s="65">
        <f t="shared" si="36"/>
        <v>0</v>
      </c>
      <c r="N56" s="42">
        <f t="shared" si="40"/>
        <v>0</v>
      </c>
      <c r="O56" s="42">
        <f t="shared" si="29"/>
        <v>80.759999999999991</v>
      </c>
      <c r="P56" s="65">
        <f t="shared" si="37"/>
        <v>0</v>
      </c>
      <c r="Q56" s="42">
        <f t="shared" si="30"/>
        <v>0</v>
      </c>
      <c r="R56" s="42">
        <f t="shared" si="31"/>
        <v>368.53000000000014</v>
      </c>
      <c r="S56" s="42">
        <f t="shared" si="10"/>
        <v>0</v>
      </c>
      <c r="T56" s="42">
        <f t="shared" si="11"/>
        <v>333.59000000000009</v>
      </c>
      <c r="U56" s="42">
        <f t="shared" si="41"/>
        <v>0</v>
      </c>
      <c r="V56" s="42">
        <f t="shared" si="42"/>
        <v>62.189999999999984</v>
      </c>
      <c r="W56" s="42">
        <f t="shared" si="43"/>
        <v>0</v>
      </c>
      <c r="X56" s="42">
        <f t="shared" si="44"/>
        <v>68.63000000000001</v>
      </c>
      <c r="Y56" s="42">
        <f t="shared" si="45"/>
        <v>0</v>
      </c>
      <c r="Z56" s="42">
        <f t="shared" si="46"/>
        <v>34.26</v>
      </c>
      <c r="AA56" s="42">
        <f t="shared" si="47"/>
        <v>0</v>
      </c>
      <c r="AB56" s="42">
        <f t="shared" si="48"/>
        <v>4</v>
      </c>
      <c r="AC56" s="77">
        <v>0.88400000000000001</v>
      </c>
      <c r="AD56" s="78">
        <f t="shared" si="1"/>
        <v>6749</v>
      </c>
      <c r="AE56" s="77">
        <f t="shared" si="50"/>
        <v>0.88400000000000001</v>
      </c>
      <c r="AF56" s="51">
        <f t="shared" si="2"/>
        <v>6749</v>
      </c>
      <c r="AG56" s="77">
        <v>0.79</v>
      </c>
      <c r="AH56" s="51">
        <f t="shared" si="8"/>
        <v>264</v>
      </c>
      <c r="AI56" s="42">
        <f t="shared" si="33"/>
        <v>1.01</v>
      </c>
      <c r="AJ56" s="43">
        <v>5.4</v>
      </c>
      <c r="AK56" s="43">
        <v>300</v>
      </c>
      <c r="AL56" s="78">
        <f t="shared" si="49"/>
        <v>733</v>
      </c>
      <c r="AM56" s="77">
        <f t="shared" si="0"/>
        <v>0.11599999999999999</v>
      </c>
      <c r="AO56" s="43">
        <f t="shared" si="9"/>
        <v>264</v>
      </c>
      <c r="AP56" s="78">
        <f t="shared" si="32"/>
        <v>153</v>
      </c>
      <c r="AR56" s="78">
        <f t="shared" si="16"/>
        <v>71</v>
      </c>
      <c r="AS56" s="34">
        <f t="shared" si="4"/>
        <v>6749</v>
      </c>
      <c r="AT56" s="34">
        <f t="shared" si="5"/>
        <v>7635</v>
      </c>
    </row>
    <row r="57" spans="1:49" ht="13.5" thickBot="1" x14ac:dyDescent="0.25">
      <c r="A57" s="75">
        <v>2028</v>
      </c>
      <c r="B57" s="76">
        <v>0</v>
      </c>
      <c r="C57" s="43">
        <f t="shared" si="38"/>
        <v>0</v>
      </c>
      <c r="E57" s="43">
        <f t="shared" si="3"/>
        <v>7635</v>
      </c>
      <c r="F57" s="43">
        <f t="shared" si="7"/>
        <v>7635</v>
      </c>
      <c r="G57" s="65">
        <f t="shared" si="34"/>
        <v>0</v>
      </c>
      <c r="H57" s="42">
        <f t="shared" si="17"/>
        <v>0</v>
      </c>
      <c r="I57" s="42">
        <f t="shared" si="18"/>
        <v>654.68000000000006</v>
      </c>
      <c r="J57" s="65">
        <f t="shared" si="35"/>
        <v>0</v>
      </c>
      <c r="K57" s="42">
        <f t="shared" si="39"/>
        <v>0</v>
      </c>
      <c r="L57" s="42">
        <f t="shared" si="27"/>
        <v>74.150000000000006</v>
      </c>
      <c r="M57" s="65">
        <f t="shared" si="36"/>
        <v>0</v>
      </c>
      <c r="N57" s="42">
        <f t="shared" si="40"/>
        <v>0</v>
      </c>
      <c r="O57" s="42">
        <f t="shared" si="29"/>
        <v>80.759999999999991</v>
      </c>
      <c r="P57" s="65">
        <f t="shared" si="37"/>
        <v>0</v>
      </c>
      <c r="Q57" s="42">
        <f t="shared" si="30"/>
        <v>0</v>
      </c>
      <c r="R57" s="42">
        <f t="shared" si="31"/>
        <v>368.53000000000014</v>
      </c>
      <c r="S57" s="42">
        <f t="shared" si="10"/>
        <v>0</v>
      </c>
      <c r="T57" s="42">
        <f t="shared" si="11"/>
        <v>333.59000000000009</v>
      </c>
      <c r="U57" s="42">
        <f t="shared" si="41"/>
        <v>0</v>
      </c>
      <c r="V57" s="42">
        <f t="shared" si="42"/>
        <v>62.189999999999984</v>
      </c>
      <c r="W57" s="42">
        <f t="shared" si="43"/>
        <v>0</v>
      </c>
      <c r="X57" s="42">
        <f t="shared" si="44"/>
        <v>68.63000000000001</v>
      </c>
      <c r="Y57" s="42">
        <f t="shared" si="45"/>
        <v>0</v>
      </c>
      <c r="Z57" s="42">
        <f t="shared" si="46"/>
        <v>34.26</v>
      </c>
      <c r="AA57" s="42">
        <f t="shared" si="47"/>
        <v>0</v>
      </c>
      <c r="AB57" s="42">
        <f t="shared" si="48"/>
        <v>4</v>
      </c>
      <c r="AC57" s="77">
        <v>0.88400000000000001</v>
      </c>
      <c r="AD57" s="78">
        <f t="shared" si="1"/>
        <v>6749</v>
      </c>
      <c r="AE57" s="77">
        <f t="shared" si="50"/>
        <v>0.88400000000000001</v>
      </c>
      <c r="AF57" s="51">
        <f t="shared" si="2"/>
        <v>6749</v>
      </c>
      <c r="AG57" s="77">
        <v>0.79</v>
      </c>
      <c r="AH57" s="51">
        <f t="shared" si="8"/>
        <v>264</v>
      </c>
      <c r="AI57" s="42">
        <f t="shared" si="33"/>
        <v>1.01</v>
      </c>
      <c r="AJ57" s="43">
        <v>5.4</v>
      </c>
      <c r="AK57" s="43">
        <v>300</v>
      </c>
      <c r="AL57" s="78">
        <f t="shared" si="49"/>
        <v>733</v>
      </c>
      <c r="AM57" s="77">
        <f t="shared" si="0"/>
        <v>0.11599999999999999</v>
      </c>
      <c r="AO57" s="43">
        <f t="shared" si="9"/>
        <v>264</v>
      </c>
      <c r="AP57" s="78">
        <f t="shared" si="32"/>
        <v>153</v>
      </c>
      <c r="AR57" s="78">
        <f t="shared" si="16"/>
        <v>71</v>
      </c>
      <c r="AS57" s="34">
        <f t="shared" si="4"/>
        <v>6749</v>
      </c>
      <c r="AT57" s="34">
        <f t="shared" si="5"/>
        <v>7635</v>
      </c>
    </row>
    <row r="58" spans="1:49" ht="13.5" thickBot="1" x14ac:dyDescent="0.25">
      <c r="A58" s="75">
        <v>2029</v>
      </c>
      <c r="B58" s="76">
        <v>0</v>
      </c>
      <c r="C58" s="43">
        <f t="shared" si="38"/>
        <v>0</v>
      </c>
      <c r="E58" s="43">
        <f t="shared" si="3"/>
        <v>7635</v>
      </c>
      <c r="F58" s="43">
        <f t="shared" si="7"/>
        <v>7635</v>
      </c>
      <c r="G58" s="65">
        <f t="shared" si="34"/>
        <v>0</v>
      </c>
      <c r="H58" s="42">
        <f t="shared" si="17"/>
        <v>0</v>
      </c>
      <c r="I58" s="42">
        <f t="shared" si="18"/>
        <v>654.68000000000006</v>
      </c>
      <c r="J58" s="65">
        <f t="shared" si="35"/>
        <v>0</v>
      </c>
      <c r="K58" s="42">
        <f t="shared" si="39"/>
        <v>0</v>
      </c>
      <c r="L58" s="42">
        <f t="shared" si="27"/>
        <v>74.150000000000006</v>
      </c>
      <c r="M58" s="65">
        <f t="shared" si="36"/>
        <v>0</v>
      </c>
      <c r="N58" s="42">
        <f t="shared" si="40"/>
        <v>0</v>
      </c>
      <c r="O58" s="42">
        <f t="shared" si="29"/>
        <v>80.759999999999991</v>
      </c>
      <c r="P58" s="65">
        <f t="shared" si="37"/>
        <v>0</v>
      </c>
      <c r="Q58" s="42">
        <f t="shared" si="30"/>
        <v>0</v>
      </c>
      <c r="R58" s="42">
        <f t="shared" si="31"/>
        <v>368.53000000000014</v>
      </c>
      <c r="S58" s="42">
        <f t="shared" si="10"/>
        <v>0</v>
      </c>
      <c r="T58" s="42">
        <f t="shared" si="11"/>
        <v>333.59000000000009</v>
      </c>
      <c r="U58" s="42">
        <f t="shared" si="41"/>
        <v>0</v>
      </c>
      <c r="V58" s="42">
        <f t="shared" si="42"/>
        <v>62.189999999999984</v>
      </c>
      <c r="W58" s="42">
        <f t="shared" si="43"/>
        <v>0</v>
      </c>
      <c r="X58" s="42">
        <f t="shared" si="44"/>
        <v>68.63000000000001</v>
      </c>
      <c r="Y58" s="42">
        <f t="shared" si="45"/>
        <v>0</v>
      </c>
      <c r="Z58" s="42">
        <f t="shared" si="46"/>
        <v>34.26</v>
      </c>
      <c r="AA58" s="42">
        <f t="shared" si="47"/>
        <v>0</v>
      </c>
      <c r="AB58" s="42">
        <f t="shared" si="48"/>
        <v>4</v>
      </c>
      <c r="AC58" s="77">
        <v>0.88400000000000001</v>
      </c>
      <c r="AD58" s="78">
        <f t="shared" si="1"/>
        <v>6749</v>
      </c>
      <c r="AE58" s="77">
        <f t="shared" si="50"/>
        <v>0.88400000000000001</v>
      </c>
      <c r="AF58" s="51">
        <f t="shared" si="2"/>
        <v>6749</v>
      </c>
      <c r="AG58" s="77">
        <v>0.79</v>
      </c>
      <c r="AH58" s="51">
        <f t="shared" si="8"/>
        <v>264</v>
      </c>
      <c r="AI58" s="42">
        <f t="shared" si="33"/>
        <v>1.01</v>
      </c>
      <c r="AJ58" s="43">
        <v>5.4</v>
      </c>
      <c r="AK58" s="43">
        <v>300</v>
      </c>
      <c r="AL58" s="78">
        <f t="shared" si="49"/>
        <v>733</v>
      </c>
      <c r="AM58" s="77">
        <f t="shared" si="0"/>
        <v>0.11599999999999999</v>
      </c>
      <c r="AO58" s="43">
        <f t="shared" si="9"/>
        <v>264</v>
      </c>
      <c r="AP58" s="78">
        <f t="shared" si="32"/>
        <v>153</v>
      </c>
      <c r="AR58" s="78">
        <f t="shared" si="16"/>
        <v>71</v>
      </c>
      <c r="AS58" s="34">
        <f t="shared" si="4"/>
        <v>6749</v>
      </c>
      <c r="AT58" s="34">
        <f t="shared" si="5"/>
        <v>7635</v>
      </c>
    </row>
    <row r="59" spans="1:49" ht="13.5" thickBot="1" x14ac:dyDescent="0.25">
      <c r="A59" s="75">
        <v>2030</v>
      </c>
      <c r="B59" s="76">
        <v>0</v>
      </c>
      <c r="C59" s="43">
        <f t="shared" si="38"/>
        <v>0</v>
      </c>
      <c r="E59" s="43">
        <f t="shared" si="3"/>
        <v>7635</v>
      </c>
      <c r="F59" s="43">
        <f t="shared" si="7"/>
        <v>7635</v>
      </c>
      <c r="G59" s="65">
        <f t="shared" si="34"/>
        <v>0</v>
      </c>
      <c r="H59" s="42">
        <f t="shared" si="17"/>
        <v>0</v>
      </c>
      <c r="I59" s="42">
        <f t="shared" si="18"/>
        <v>654.68000000000006</v>
      </c>
      <c r="J59" s="65">
        <f t="shared" si="35"/>
        <v>0</v>
      </c>
      <c r="K59" s="42">
        <f t="shared" si="39"/>
        <v>0</v>
      </c>
      <c r="L59" s="42">
        <f t="shared" si="27"/>
        <v>74.150000000000006</v>
      </c>
      <c r="M59" s="65">
        <f t="shared" si="36"/>
        <v>0</v>
      </c>
      <c r="N59" s="42">
        <f t="shared" si="40"/>
        <v>0</v>
      </c>
      <c r="O59" s="42">
        <f t="shared" si="29"/>
        <v>80.759999999999991</v>
      </c>
      <c r="P59" s="65">
        <f t="shared" si="37"/>
        <v>0</v>
      </c>
      <c r="Q59" s="42">
        <f t="shared" si="30"/>
        <v>0</v>
      </c>
      <c r="R59" s="42">
        <f t="shared" si="31"/>
        <v>368.53000000000014</v>
      </c>
      <c r="S59" s="42">
        <f t="shared" si="10"/>
        <v>0</v>
      </c>
      <c r="T59" s="42">
        <f t="shared" si="11"/>
        <v>333.59000000000009</v>
      </c>
      <c r="U59" s="42">
        <f t="shared" si="41"/>
        <v>0</v>
      </c>
      <c r="V59" s="42">
        <f t="shared" si="42"/>
        <v>62.189999999999984</v>
      </c>
      <c r="W59" s="42">
        <f t="shared" si="43"/>
        <v>0</v>
      </c>
      <c r="X59" s="42">
        <f t="shared" si="44"/>
        <v>68.63000000000001</v>
      </c>
      <c r="Y59" s="42">
        <f t="shared" si="45"/>
        <v>0</v>
      </c>
      <c r="Z59" s="42">
        <f t="shared" si="46"/>
        <v>34.26</v>
      </c>
      <c r="AA59" s="42">
        <f t="shared" si="47"/>
        <v>0</v>
      </c>
      <c r="AB59" s="42">
        <f t="shared" si="48"/>
        <v>4</v>
      </c>
      <c r="AC59" s="77">
        <v>0.88400000000000001</v>
      </c>
      <c r="AD59" s="78">
        <f t="shared" si="1"/>
        <v>6749</v>
      </c>
      <c r="AE59" s="77">
        <f t="shared" si="50"/>
        <v>0.88400000000000001</v>
      </c>
      <c r="AF59" s="51">
        <f t="shared" si="2"/>
        <v>6749</v>
      </c>
      <c r="AG59" s="77">
        <v>0.79</v>
      </c>
      <c r="AH59" s="51">
        <f t="shared" si="8"/>
        <v>264</v>
      </c>
      <c r="AI59" s="42">
        <f t="shared" si="33"/>
        <v>1.01</v>
      </c>
      <c r="AJ59" s="43">
        <v>5.4</v>
      </c>
      <c r="AK59" s="43">
        <v>300</v>
      </c>
      <c r="AL59" s="78">
        <f t="shared" si="49"/>
        <v>733</v>
      </c>
      <c r="AM59" s="77">
        <f t="shared" si="0"/>
        <v>0.11599999999999999</v>
      </c>
      <c r="AO59" s="43">
        <f t="shared" si="9"/>
        <v>264</v>
      </c>
      <c r="AP59" s="78">
        <f t="shared" si="32"/>
        <v>153</v>
      </c>
      <c r="AR59" s="78">
        <f t="shared" si="16"/>
        <v>71</v>
      </c>
      <c r="AS59" s="34">
        <f t="shared" si="4"/>
        <v>6749</v>
      </c>
      <c r="AT59" s="34">
        <f t="shared" si="5"/>
        <v>7635</v>
      </c>
    </row>
    <row r="60" spans="1:49" ht="12.75" x14ac:dyDescent="0.2">
      <c r="C60" s="88"/>
      <c r="H60" s="81"/>
      <c r="I60" s="82"/>
      <c r="U60" s="81"/>
      <c r="V60" s="83"/>
      <c r="W60" s="84"/>
      <c r="AC60" s="85"/>
      <c r="AD60" s="86"/>
    </row>
    <row r="61" spans="1:49" ht="12.75" x14ac:dyDescent="0.2">
      <c r="C61" s="88"/>
      <c r="H61" s="81"/>
      <c r="I61" s="82"/>
      <c r="U61" s="81"/>
      <c r="V61" s="83"/>
      <c r="W61" s="84"/>
      <c r="AC61" s="85"/>
      <c r="AD61" s="86"/>
    </row>
    <row r="62" spans="1:49" ht="12.75" x14ac:dyDescent="0.2">
      <c r="H62" s="81"/>
      <c r="I62" s="82"/>
      <c r="U62" s="89"/>
      <c r="V62" s="83"/>
      <c r="W62" s="84"/>
      <c r="AC62" s="85"/>
      <c r="AD62" s="86"/>
    </row>
    <row r="63" spans="1:49" ht="12.75" x14ac:dyDescent="0.2">
      <c r="U63" s="89"/>
      <c r="V63" s="83"/>
      <c r="W63" s="84"/>
      <c r="AC63" s="85"/>
      <c r="AD63" s="86"/>
    </row>
    <row r="64" spans="1:49" ht="12.75" x14ac:dyDescent="0.2">
      <c r="C64" s="90"/>
      <c r="U64" s="89"/>
      <c r="V64" s="83"/>
      <c r="W64" s="84"/>
      <c r="AC64" s="85"/>
      <c r="AD64" s="86"/>
    </row>
    <row r="65" spans="8:30" ht="12.75" x14ac:dyDescent="0.2">
      <c r="U65" s="89"/>
      <c r="V65" s="83"/>
      <c r="W65" s="84"/>
      <c r="AC65" s="85"/>
      <c r="AD65" s="86"/>
    </row>
    <row r="66" spans="8:30" ht="12.75" x14ac:dyDescent="0.2">
      <c r="U66" s="89"/>
      <c r="V66" s="83"/>
      <c r="W66" s="84"/>
      <c r="AC66" s="85"/>
      <c r="AD66" s="86"/>
    </row>
    <row r="67" spans="8:30" ht="12.75" x14ac:dyDescent="0.2">
      <c r="U67" s="89"/>
      <c r="V67" s="83"/>
      <c r="W67" s="84"/>
      <c r="AC67" s="85"/>
      <c r="AD67" s="86"/>
    </row>
    <row r="68" spans="8:30" ht="12.75" x14ac:dyDescent="0.2">
      <c r="U68" s="89"/>
      <c r="V68" s="83"/>
      <c r="W68" s="84"/>
      <c r="AC68" s="85"/>
      <c r="AD68" s="86"/>
    </row>
    <row r="69" spans="8:30" ht="12.75" x14ac:dyDescent="0.2">
      <c r="U69" s="89"/>
      <c r="V69" s="83"/>
      <c r="W69" s="84"/>
      <c r="AC69" s="85"/>
      <c r="AD69" s="86"/>
    </row>
    <row r="70" spans="8:30" ht="12.75" x14ac:dyDescent="0.2">
      <c r="H70" s="87"/>
      <c r="I70" s="91"/>
      <c r="J70" s="91"/>
      <c r="K70" s="34"/>
      <c r="L70" s="34"/>
      <c r="U70" s="89"/>
      <c r="V70" s="83"/>
      <c r="W70" s="84"/>
      <c r="AC70" s="85"/>
      <c r="AD70" s="86"/>
    </row>
    <row r="71" spans="8:30" ht="12.75" x14ac:dyDescent="0.2">
      <c r="H71" s="92"/>
      <c r="I71" s="93"/>
      <c r="J71" s="93"/>
      <c r="K71" s="34"/>
      <c r="L71" s="34"/>
      <c r="U71" s="89"/>
      <c r="V71" s="83"/>
      <c r="W71" s="84"/>
      <c r="AC71" s="85"/>
      <c r="AD71" s="86"/>
    </row>
    <row r="72" spans="8:30" ht="12.75" x14ac:dyDescent="0.2">
      <c r="H72" s="87"/>
      <c r="I72" s="91"/>
      <c r="J72" s="91"/>
      <c r="K72" s="34"/>
      <c r="L72" s="34"/>
      <c r="U72" s="89"/>
      <c r="V72" s="83"/>
      <c r="W72" s="84"/>
      <c r="AC72" s="85"/>
      <c r="AD72" s="86"/>
    </row>
    <row r="73" spans="8:30" ht="12.75" x14ac:dyDescent="0.2">
      <c r="H73" s="34"/>
      <c r="I73" s="94"/>
      <c r="J73" s="94"/>
      <c r="K73" s="95"/>
      <c r="L73" s="96"/>
      <c r="U73" s="89"/>
      <c r="V73" s="83"/>
      <c r="W73" s="84"/>
      <c r="AC73" s="85"/>
      <c r="AD73" s="86"/>
    </row>
    <row r="74" spans="8:30" ht="12.75" x14ac:dyDescent="0.2">
      <c r="H74" s="34"/>
      <c r="I74" s="34"/>
      <c r="K74" s="34"/>
      <c r="L74" s="34"/>
      <c r="U74" s="89"/>
      <c r="V74" s="83"/>
      <c r="W74" s="84"/>
      <c r="AC74" s="85"/>
      <c r="AD74" s="86"/>
    </row>
    <row r="75" spans="8:30" ht="12.75" x14ac:dyDescent="0.2">
      <c r="H75" s="97"/>
      <c r="I75" s="91"/>
      <c r="J75" s="91"/>
      <c r="K75" s="34"/>
      <c r="L75" s="34"/>
      <c r="U75" s="89"/>
      <c r="V75" s="83"/>
      <c r="W75" s="84"/>
      <c r="AC75" s="85"/>
      <c r="AD75" s="86"/>
    </row>
    <row r="76" spans="8:30" ht="12.75" x14ac:dyDescent="0.2">
      <c r="H76" s="92"/>
      <c r="I76" s="93"/>
      <c r="J76" s="93"/>
      <c r="K76" s="34"/>
      <c r="L76" s="34"/>
      <c r="U76" s="89"/>
      <c r="V76" s="83"/>
      <c r="W76" s="84"/>
      <c r="AC76" s="85"/>
      <c r="AD76" s="86"/>
    </row>
    <row r="77" spans="8:30" ht="12.75" x14ac:dyDescent="0.2">
      <c r="H77" s="97"/>
      <c r="I77" s="91"/>
      <c r="J77" s="91"/>
      <c r="K77" s="34"/>
      <c r="L77" s="34"/>
      <c r="U77" s="89"/>
      <c r="V77" s="83"/>
      <c r="W77" s="84"/>
      <c r="AC77" s="85"/>
      <c r="AD77" s="86"/>
    </row>
    <row r="78" spans="8:30" ht="12.75" x14ac:dyDescent="0.2">
      <c r="H78" s="34"/>
      <c r="I78" s="94"/>
      <c r="J78" s="94"/>
      <c r="K78" s="98"/>
      <c r="L78" s="99"/>
      <c r="U78" s="89"/>
      <c r="V78" s="83"/>
      <c r="W78" s="84"/>
      <c r="AC78" s="85"/>
      <c r="AD78" s="86"/>
    </row>
    <row r="79" spans="8:30" ht="12.75" x14ac:dyDescent="0.2">
      <c r="H79" s="34"/>
      <c r="I79" s="34"/>
      <c r="K79" s="34"/>
      <c r="L79" s="34"/>
      <c r="U79" s="89"/>
      <c r="V79" s="83"/>
      <c r="W79" s="84"/>
      <c r="AC79" s="100"/>
      <c r="AD79" s="86"/>
    </row>
    <row r="80" spans="8:30" ht="12.75" x14ac:dyDescent="0.2">
      <c r="H80" s="34"/>
      <c r="I80" s="34"/>
      <c r="K80" s="34"/>
      <c r="L80" s="34"/>
      <c r="U80" s="89"/>
      <c r="V80" s="83"/>
      <c r="W80" s="84"/>
      <c r="AC80" s="100"/>
      <c r="AD80" s="86"/>
    </row>
    <row r="81" spans="8:30" ht="12.75" x14ac:dyDescent="0.2">
      <c r="H81" s="34"/>
      <c r="I81" s="94"/>
      <c r="J81" s="94"/>
      <c r="K81" s="101"/>
      <c r="L81" s="102"/>
      <c r="U81" s="89"/>
      <c r="V81" s="83"/>
      <c r="W81" s="84"/>
      <c r="AC81" s="100"/>
      <c r="AD81" s="86"/>
    </row>
    <row r="82" spans="8:30" ht="12.75" x14ac:dyDescent="0.2">
      <c r="U82" s="89"/>
      <c r="V82" s="83"/>
      <c r="W82" s="84"/>
      <c r="AC82" s="100"/>
      <c r="AD82" s="86"/>
    </row>
    <row r="83" spans="8:30" ht="12.75" x14ac:dyDescent="0.2">
      <c r="U83" s="89"/>
      <c r="V83" s="83"/>
      <c r="W83" s="84"/>
      <c r="AC83" s="100"/>
      <c r="AD83" s="86"/>
    </row>
    <row r="84" spans="8:30" ht="12.75" x14ac:dyDescent="0.2">
      <c r="U84" s="89"/>
      <c r="V84" s="83"/>
      <c r="W84" s="84"/>
      <c r="AC84" s="100"/>
      <c r="AD84" s="86"/>
    </row>
    <row r="85" spans="8:30" ht="12.75" x14ac:dyDescent="0.2">
      <c r="U85" s="89"/>
      <c r="V85" s="83"/>
      <c r="W85" s="84"/>
      <c r="AC85" s="100"/>
      <c r="AD85" s="86"/>
    </row>
    <row r="86" spans="8:30" ht="12.75" x14ac:dyDescent="0.2">
      <c r="U86" s="89"/>
      <c r="V86" s="83"/>
      <c r="W86" s="84"/>
      <c r="AC86" s="100"/>
      <c r="AD86" s="86"/>
    </row>
    <row r="87" spans="8:30" ht="12.75" x14ac:dyDescent="0.2">
      <c r="U87" s="89"/>
      <c r="V87" s="83"/>
      <c r="W87" s="84"/>
      <c r="AC87" s="100"/>
      <c r="AD87" s="86"/>
    </row>
    <row r="88" spans="8:30" ht="12.75" x14ac:dyDescent="0.2">
      <c r="U88" s="89"/>
      <c r="V88" s="83"/>
      <c r="W88" s="84"/>
      <c r="AC88" s="100"/>
      <c r="AD88" s="86"/>
    </row>
    <row r="89" spans="8:30" ht="12.75" x14ac:dyDescent="0.2">
      <c r="U89" s="89"/>
      <c r="V89" s="83"/>
      <c r="W89" s="84"/>
      <c r="AC89" s="100"/>
      <c r="AD89" s="86"/>
    </row>
    <row r="90" spans="8:30" ht="12.75" x14ac:dyDescent="0.2">
      <c r="U90" s="89"/>
      <c r="V90" s="83"/>
      <c r="W90" s="84"/>
      <c r="AC90" s="100"/>
      <c r="AD90" s="86"/>
    </row>
    <row r="91" spans="8:30" ht="12.75" x14ac:dyDescent="0.2">
      <c r="U91" s="89"/>
      <c r="V91" s="83"/>
      <c r="W91" s="84"/>
      <c r="AC91" s="100"/>
      <c r="AD91" s="86"/>
    </row>
    <row r="92" spans="8:30" ht="12.75" x14ac:dyDescent="0.2">
      <c r="U92" s="89"/>
      <c r="V92" s="83"/>
      <c r="W92" s="84"/>
      <c r="AC92" s="100"/>
      <c r="AD92" s="86"/>
    </row>
    <row r="93" spans="8:30" ht="12.75" x14ac:dyDescent="0.2">
      <c r="U93" s="89"/>
      <c r="V93" s="83"/>
      <c r="W93" s="84"/>
      <c r="AC93" s="100"/>
      <c r="AD93" s="86"/>
    </row>
    <row r="94" spans="8:30" ht="12.75" x14ac:dyDescent="0.2">
      <c r="U94" s="89"/>
      <c r="V94" s="83"/>
      <c r="W94" s="84"/>
      <c r="AC94" s="100"/>
      <c r="AD94" s="86"/>
    </row>
    <row r="95" spans="8:30" ht="12.75" x14ac:dyDescent="0.2">
      <c r="U95" s="89"/>
      <c r="V95" s="83"/>
      <c r="W95" s="89"/>
      <c r="AC95" s="100"/>
      <c r="AD95" s="86"/>
    </row>
    <row r="96" spans="8:30" ht="12.75" x14ac:dyDescent="0.2">
      <c r="U96" s="89"/>
      <c r="V96" s="83"/>
      <c r="W96" s="89"/>
      <c r="AC96" s="100"/>
      <c r="AD96" s="86"/>
    </row>
    <row r="97" spans="29:30" ht="12.75" x14ac:dyDescent="0.2">
      <c r="AC97" s="85"/>
      <c r="AD97" s="86"/>
    </row>
    <row r="98" spans="29:30" ht="12.75" x14ac:dyDescent="0.2">
      <c r="AC98" s="85"/>
      <c r="AD98" s="86"/>
    </row>
    <row r="99" spans="29:30" ht="12.75" x14ac:dyDescent="0.2">
      <c r="AC99" s="85"/>
      <c r="AD99" s="86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80FB-C773-4F13-8214-F4D14006BE5E}">
  <dimension ref="A1:T329"/>
  <sheetViews>
    <sheetView workbookViewId="0">
      <pane xSplit="5" ySplit="1" topLeftCell="F295" activePane="bottomRight" state="frozen"/>
      <selection pane="topRight" activeCell="F1" sqref="F1"/>
      <selection pane="bottomLeft" activeCell="A2" sqref="A2"/>
      <selection pane="bottomRight" activeCell="E238" sqref="E238"/>
    </sheetView>
  </sheetViews>
  <sheetFormatPr defaultRowHeight="15" x14ac:dyDescent="0.25"/>
  <cols>
    <col min="1" max="1" width="4" style="130" customWidth="1"/>
    <col min="2" max="2" width="21" style="130" customWidth="1"/>
    <col min="3" max="3" width="7" style="130" customWidth="1"/>
    <col min="4" max="4" width="14" style="130" customWidth="1"/>
    <col min="5" max="5" width="9" style="130" customWidth="1"/>
    <col min="6" max="6" width="41" style="130" customWidth="1"/>
    <col min="7" max="9" width="13" style="130" customWidth="1"/>
    <col min="10" max="16384" width="9.140625" style="130"/>
  </cols>
  <sheetData>
    <row r="1" spans="1:20" x14ac:dyDescent="0.25">
      <c r="A1" s="130" t="s">
        <v>852</v>
      </c>
      <c r="B1" s="130" t="s">
        <v>853</v>
      </c>
      <c r="C1" s="130" t="s">
        <v>854</v>
      </c>
      <c r="D1" s="130" t="s">
        <v>855</v>
      </c>
      <c r="E1" s="130" t="s">
        <v>856</v>
      </c>
      <c r="F1" s="130" t="s">
        <v>857</v>
      </c>
      <c r="G1" s="130" t="s">
        <v>858</v>
      </c>
      <c r="H1" s="130" t="s">
        <v>859</v>
      </c>
      <c r="I1" s="130" t="s">
        <v>860</v>
      </c>
      <c r="M1" s="133" t="s">
        <v>1273</v>
      </c>
      <c r="N1" s="134"/>
      <c r="O1" s="134"/>
      <c r="P1" s="134"/>
      <c r="Q1" s="134"/>
      <c r="R1" s="134"/>
      <c r="S1" s="134"/>
      <c r="T1" s="134"/>
    </row>
    <row r="2" spans="1:20" x14ac:dyDescent="0.25">
      <c r="A2" s="130" t="s">
        <v>688</v>
      </c>
      <c r="B2" s="130" t="s">
        <v>753</v>
      </c>
      <c r="C2" s="130" t="s">
        <v>754</v>
      </c>
      <c r="D2" s="130" t="s">
        <v>861</v>
      </c>
      <c r="E2" s="130" t="s">
        <v>314</v>
      </c>
      <c r="F2" s="130" t="s">
        <v>862</v>
      </c>
      <c r="G2" s="130">
        <v>253</v>
      </c>
      <c r="H2" s="130">
        <v>101</v>
      </c>
      <c r="I2" s="131">
        <f>H2/G2*100</f>
        <v>39.920948616600796</v>
      </c>
    </row>
    <row r="3" spans="1:20" x14ac:dyDescent="0.25">
      <c r="A3" s="130" t="s">
        <v>686</v>
      </c>
      <c r="B3" s="130" t="s">
        <v>755</v>
      </c>
      <c r="C3" s="130" t="s">
        <v>756</v>
      </c>
      <c r="D3" s="130" t="s">
        <v>863</v>
      </c>
      <c r="E3" s="130" t="s">
        <v>315</v>
      </c>
      <c r="F3" s="130" t="s">
        <v>864</v>
      </c>
      <c r="G3" s="130">
        <v>132</v>
      </c>
      <c r="H3" s="130">
        <v>68</v>
      </c>
      <c r="I3" s="131">
        <f t="shared" ref="I3:I66" si="0">H3/G3*100</f>
        <v>51.515151515151516</v>
      </c>
    </row>
    <row r="4" spans="1:20" x14ac:dyDescent="0.25">
      <c r="A4" s="130" t="s">
        <v>686</v>
      </c>
      <c r="B4" s="130" t="s">
        <v>755</v>
      </c>
      <c r="C4" s="130" t="s">
        <v>757</v>
      </c>
      <c r="D4" s="130" t="s">
        <v>865</v>
      </c>
      <c r="E4" s="130" t="s">
        <v>316</v>
      </c>
      <c r="F4" s="130" t="s">
        <v>866</v>
      </c>
      <c r="G4" s="130">
        <v>1022</v>
      </c>
      <c r="H4" s="130">
        <v>188</v>
      </c>
      <c r="I4" s="131">
        <f t="shared" si="0"/>
        <v>18.395303326810176</v>
      </c>
    </row>
    <row r="5" spans="1:20" x14ac:dyDescent="0.25">
      <c r="A5" s="130" t="s">
        <v>690</v>
      </c>
      <c r="B5" s="130" t="s">
        <v>758</v>
      </c>
      <c r="C5" s="130" t="s">
        <v>759</v>
      </c>
      <c r="D5" s="130" t="s">
        <v>867</v>
      </c>
      <c r="E5" s="130" t="s">
        <v>317</v>
      </c>
      <c r="F5" s="130" t="s">
        <v>868</v>
      </c>
      <c r="G5" s="130">
        <v>247</v>
      </c>
      <c r="H5" s="130">
        <v>98</v>
      </c>
      <c r="I5" s="131">
        <f t="shared" si="0"/>
        <v>39.676113360323889</v>
      </c>
    </row>
    <row r="6" spans="1:20" x14ac:dyDescent="0.25">
      <c r="A6" s="130" t="s">
        <v>691</v>
      </c>
      <c r="B6" s="130" t="s">
        <v>760</v>
      </c>
      <c r="C6" s="130" t="s">
        <v>686</v>
      </c>
      <c r="D6" s="130" t="s">
        <v>869</v>
      </c>
      <c r="E6" s="130" t="s">
        <v>318</v>
      </c>
      <c r="F6" s="130" t="s">
        <v>870</v>
      </c>
      <c r="G6" s="130">
        <v>81</v>
      </c>
      <c r="H6" s="130">
        <v>43</v>
      </c>
      <c r="I6" s="131">
        <f t="shared" si="0"/>
        <v>53.086419753086425</v>
      </c>
    </row>
    <row r="7" spans="1:20" x14ac:dyDescent="0.25">
      <c r="A7" s="130" t="s">
        <v>692</v>
      </c>
      <c r="B7" s="130" t="s">
        <v>761</v>
      </c>
      <c r="C7" s="130" t="s">
        <v>762</v>
      </c>
      <c r="D7" s="130" t="s">
        <v>871</v>
      </c>
      <c r="E7" s="130" t="s">
        <v>319</v>
      </c>
      <c r="F7" s="130" t="s">
        <v>872</v>
      </c>
      <c r="G7" s="130">
        <v>445</v>
      </c>
      <c r="H7" s="130">
        <v>191</v>
      </c>
      <c r="I7" s="131">
        <f t="shared" si="0"/>
        <v>42.921348314606746</v>
      </c>
    </row>
    <row r="8" spans="1:20" x14ac:dyDescent="0.25">
      <c r="A8" s="130" t="s">
        <v>693</v>
      </c>
      <c r="B8" s="130" t="s">
        <v>763</v>
      </c>
      <c r="C8" s="130" t="s">
        <v>764</v>
      </c>
      <c r="D8" s="130" t="s">
        <v>873</v>
      </c>
      <c r="E8" s="130" t="s">
        <v>320</v>
      </c>
      <c r="F8" s="130" t="s">
        <v>874</v>
      </c>
      <c r="G8" s="130">
        <v>324</v>
      </c>
      <c r="H8" s="130">
        <v>75</v>
      </c>
      <c r="I8" s="131">
        <f t="shared" si="0"/>
        <v>23.148148148148149</v>
      </c>
    </row>
    <row r="9" spans="1:20" x14ac:dyDescent="0.25">
      <c r="A9" s="130" t="s">
        <v>688</v>
      </c>
      <c r="B9" s="130" t="s">
        <v>753</v>
      </c>
      <c r="C9" s="130" t="s">
        <v>754</v>
      </c>
      <c r="D9" s="130" t="s">
        <v>861</v>
      </c>
      <c r="E9" s="130" t="s">
        <v>321</v>
      </c>
      <c r="F9" s="130" t="s">
        <v>875</v>
      </c>
      <c r="G9" s="130">
        <v>111</v>
      </c>
      <c r="H9" s="130">
        <v>46</v>
      </c>
      <c r="I9" s="131">
        <f t="shared" si="0"/>
        <v>41.441441441441441</v>
      </c>
    </row>
    <row r="10" spans="1:20" x14ac:dyDescent="0.25">
      <c r="A10" s="130" t="s">
        <v>691</v>
      </c>
      <c r="B10" s="130" t="s">
        <v>760</v>
      </c>
      <c r="C10" s="130" t="s">
        <v>765</v>
      </c>
      <c r="D10" s="130" t="s">
        <v>876</v>
      </c>
      <c r="E10" s="130" t="s">
        <v>322</v>
      </c>
      <c r="F10" s="130" t="s">
        <v>877</v>
      </c>
      <c r="G10" s="130">
        <v>597</v>
      </c>
      <c r="H10" s="130">
        <v>218</v>
      </c>
      <c r="I10" s="131">
        <f t="shared" si="0"/>
        <v>36.515912897822446</v>
      </c>
    </row>
    <row r="11" spans="1:20" x14ac:dyDescent="0.25">
      <c r="A11" s="130" t="s">
        <v>695</v>
      </c>
      <c r="B11" s="130" t="s">
        <v>766</v>
      </c>
      <c r="C11" s="130" t="s">
        <v>767</v>
      </c>
      <c r="D11" s="130" t="s">
        <v>305</v>
      </c>
      <c r="E11" s="130" t="s">
        <v>323</v>
      </c>
      <c r="F11" s="130" t="s">
        <v>878</v>
      </c>
      <c r="G11" s="130">
        <v>410</v>
      </c>
      <c r="H11" s="130">
        <v>174</v>
      </c>
      <c r="I11" s="131">
        <f t="shared" si="0"/>
        <v>42.439024390243901</v>
      </c>
    </row>
    <row r="12" spans="1:20" x14ac:dyDescent="0.25">
      <c r="A12" s="130" t="s">
        <v>688</v>
      </c>
      <c r="B12" s="130" t="s">
        <v>753</v>
      </c>
      <c r="C12" s="130" t="s">
        <v>690</v>
      </c>
      <c r="D12" s="130" t="s">
        <v>879</v>
      </c>
      <c r="E12" s="130" t="s">
        <v>324</v>
      </c>
      <c r="F12" s="130" t="s">
        <v>880</v>
      </c>
      <c r="G12" s="130">
        <v>211</v>
      </c>
      <c r="H12" s="130">
        <v>63</v>
      </c>
      <c r="I12" s="131">
        <f t="shared" si="0"/>
        <v>29.857819905213269</v>
      </c>
    </row>
    <row r="13" spans="1:20" x14ac:dyDescent="0.25">
      <c r="A13" s="130" t="s">
        <v>691</v>
      </c>
      <c r="B13" s="130" t="s">
        <v>760</v>
      </c>
      <c r="C13" s="130" t="s">
        <v>686</v>
      </c>
      <c r="D13" s="130" t="s">
        <v>869</v>
      </c>
      <c r="E13" s="130" t="s">
        <v>325</v>
      </c>
      <c r="F13" s="130" t="s">
        <v>881</v>
      </c>
      <c r="G13" s="130">
        <v>370</v>
      </c>
      <c r="H13" s="130">
        <v>164</v>
      </c>
      <c r="I13" s="131">
        <f t="shared" si="0"/>
        <v>44.32432432432433</v>
      </c>
    </row>
    <row r="14" spans="1:20" x14ac:dyDescent="0.25">
      <c r="A14" s="130" t="s">
        <v>686</v>
      </c>
      <c r="B14" s="130" t="s">
        <v>755</v>
      </c>
      <c r="C14" s="130" t="s">
        <v>768</v>
      </c>
      <c r="D14" s="130" t="s">
        <v>882</v>
      </c>
      <c r="E14" s="130" t="s">
        <v>326</v>
      </c>
      <c r="F14" s="130" t="s">
        <v>883</v>
      </c>
      <c r="G14" s="130">
        <v>1959</v>
      </c>
      <c r="H14" s="130">
        <v>665</v>
      </c>
      <c r="I14" s="131">
        <f t="shared" si="0"/>
        <v>33.945890760592142</v>
      </c>
    </row>
    <row r="15" spans="1:20" x14ac:dyDescent="0.25">
      <c r="A15" s="130" t="s">
        <v>693</v>
      </c>
      <c r="B15" s="130" t="s">
        <v>763</v>
      </c>
      <c r="C15" s="130" t="s">
        <v>769</v>
      </c>
      <c r="D15" s="130" t="s">
        <v>884</v>
      </c>
      <c r="E15" s="130" t="s">
        <v>327</v>
      </c>
      <c r="F15" s="130" t="s">
        <v>885</v>
      </c>
      <c r="G15" s="130">
        <v>441</v>
      </c>
      <c r="H15" s="130">
        <v>184</v>
      </c>
      <c r="I15" s="131">
        <f t="shared" si="0"/>
        <v>41.723356009070294</v>
      </c>
    </row>
    <row r="16" spans="1:20" x14ac:dyDescent="0.25">
      <c r="A16" s="130" t="s">
        <v>696</v>
      </c>
      <c r="B16" s="130" t="s">
        <v>770</v>
      </c>
      <c r="C16" s="130" t="s">
        <v>771</v>
      </c>
      <c r="D16" s="130" t="s">
        <v>886</v>
      </c>
      <c r="E16" s="130" t="s">
        <v>328</v>
      </c>
      <c r="F16" s="130" t="s">
        <v>887</v>
      </c>
      <c r="G16" s="130">
        <v>106</v>
      </c>
      <c r="H16" s="130">
        <v>35</v>
      </c>
      <c r="I16" s="131">
        <f t="shared" si="0"/>
        <v>33.018867924528301</v>
      </c>
    </row>
    <row r="17" spans="1:9" x14ac:dyDescent="0.25">
      <c r="A17" s="130" t="s">
        <v>686</v>
      </c>
      <c r="B17" s="130" t="s">
        <v>755</v>
      </c>
      <c r="C17" s="130" t="s">
        <v>772</v>
      </c>
      <c r="D17" s="130" t="s">
        <v>888</v>
      </c>
      <c r="E17" s="130" t="s">
        <v>329</v>
      </c>
      <c r="F17" s="130" t="s">
        <v>889</v>
      </c>
      <c r="G17" s="130">
        <v>5782</v>
      </c>
      <c r="H17" s="130">
        <v>1144</v>
      </c>
      <c r="I17" s="131">
        <f t="shared" si="0"/>
        <v>19.785541335178138</v>
      </c>
    </row>
    <row r="18" spans="1:9" x14ac:dyDescent="0.25">
      <c r="A18" s="130" t="s">
        <v>688</v>
      </c>
      <c r="B18" s="130" t="s">
        <v>753</v>
      </c>
      <c r="C18" s="130" t="s">
        <v>690</v>
      </c>
      <c r="D18" s="130" t="s">
        <v>879</v>
      </c>
      <c r="E18" s="130" t="s">
        <v>330</v>
      </c>
      <c r="F18" s="130" t="s">
        <v>890</v>
      </c>
      <c r="G18" s="130">
        <v>371</v>
      </c>
      <c r="H18" s="130">
        <v>110</v>
      </c>
      <c r="I18" s="131">
        <f t="shared" si="0"/>
        <v>29.649595687331537</v>
      </c>
    </row>
    <row r="19" spans="1:9" x14ac:dyDescent="0.25">
      <c r="A19" s="130" t="s">
        <v>691</v>
      </c>
      <c r="B19" s="130" t="s">
        <v>760</v>
      </c>
      <c r="C19" s="130" t="s">
        <v>773</v>
      </c>
      <c r="D19" s="130" t="s">
        <v>891</v>
      </c>
      <c r="E19" s="130" t="s">
        <v>331</v>
      </c>
      <c r="F19" s="130" t="s">
        <v>892</v>
      </c>
      <c r="G19" s="130">
        <v>91</v>
      </c>
      <c r="H19" s="130">
        <v>50</v>
      </c>
      <c r="I19" s="131">
        <f t="shared" si="0"/>
        <v>54.945054945054949</v>
      </c>
    </row>
    <row r="20" spans="1:9" x14ac:dyDescent="0.25">
      <c r="A20" s="130" t="s">
        <v>690</v>
      </c>
      <c r="B20" s="130" t="s">
        <v>758</v>
      </c>
      <c r="C20" s="130" t="s">
        <v>774</v>
      </c>
      <c r="D20" s="130" t="s">
        <v>893</v>
      </c>
      <c r="E20" s="130" t="s">
        <v>332</v>
      </c>
      <c r="F20" s="130" t="s">
        <v>894</v>
      </c>
      <c r="G20" s="130">
        <v>109</v>
      </c>
      <c r="H20" s="130">
        <v>51</v>
      </c>
      <c r="I20" s="131">
        <f t="shared" si="0"/>
        <v>46.788990825688074</v>
      </c>
    </row>
    <row r="21" spans="1:9" x14ac:dyDescent="0.25">
      <c r="A21" s="130" t="s">
        <v>689</v>
      </c>
      <c r="B21" s="130" t="s">
        <v>775</v>
      </c>
      <c r="C21" s="130" t="s">
        <v>692</v>
      </c>
      <c r="D21" s="130" t="s">
        <v>895</v>
      </c>
      <c r="E21" s="130" t="s">
        <v>333</v>
      </c>
      <c r="F21" s="130" t="s">
        <v>896</v>
      </c>
      <c r="G21" s="130">
        <v>654</v>
      </c>
      <c r="H21" s="130">
        <v>268</v>
      </c>
      <c r="I21" s="131">
        <f t="shared" si="0"/>
        <v>40.978593272171253</v>
      </c>
    </row>
    <row r="22" spans="1:9" x14ac:dyDescent="0.25">
      <c r="A22" s="130" t="s">
        <v>686</v>
      </c>
      <c r="B22" s="130" t="s">
        <v>755</v>
      </c>
      <c r="C22" s="130" t="s">
        <v>691</v>
      </c>
      <c r="D22" s="130" t="s">
        <v>295</v>
      </c>
      <c r="E22" s="130" t="s">
        <v>334</v>
      </c>
      <c r="F22" s="130" t="s">
        <v>897</v>
      </c>
      <c r="G22" s="130">
        <v>226</v>
      </c>
      <c r="H22" s="130">
        <v>94</v>
      </c>
      <c r="I22" s="131">
        <f t="shared" si="0"/>
        <v>41.592920353982301</v>
      </c>
    </row>
    <row r="23" spans="1:9" x14ac:dyDescent="0.25">
      <c r="A23" s="130" t="s">
        <v>689</v>
      </c>
      <c r="B23" s="130" t="s">
        <v>775</v>
      </c>
      <c r="C23" s="130" t="s">
        <v>776</v>
      </c>
      <c r="D23" s="130" t="s">
        <v>898</v>
      </c>
      <c r="E23" s="130" t="s">
        <v>335</v>
      </c>
      <c r="F23" s="130" t="s">
        <v>899</v>
      </c>
      <c r="G23" s="130">
        <v>328</v>
      </c>
      <c r="H23" s="130">
        <v>139</v>
      </c>
      <c r="I23" s="131">
        <f t="shared" si="0"/>
        <v>42.378048780487802</v>
      </c>
    </row>
    <row r="24" spans="1:9" x14ac:dyDescent="0.25">
      <c r="A24" s="130" t="s">
        <v>686</v>
      </c>
      <c r="B24" s="130" t="s">
        <v>755</v>
      </c>
      <c r="C24" s="130" t="s">
        <v>768</v>
      </c>
      <c r="D24" s="130" t="s">
        <v>882</v>
      </c>
      <c r="E24" s="130" t="s">
        <v>336</v>
      </c>
      <c r="F24" s="130" t="s">
        <v>900</v>
      </c>
      <c r="G24" s="130">
        <v>825</v>
      </c>
      <c r="H24" s="130">
        <v>141</v>
      </c>
      <c r="I24" s="131">
        <f t="shared" si="0"/>
        <v>17.09090909090909</v>
      </c>
    </row>
    <row r="25" spans="1:9" x14ac:dyDescent="0.25">
      <c r="A25" s="130" t="s">
        <v>686</v>
      </c>
      <c r="B25" s="130" t="s">
        <v>755</v>
      </c>
      <c r="C25" s="130" t="s">
        <v>777</v>
      </c>
      <c r="D25" s="130" t="s">
        <v>901</v>
      </c>
      <c r="E25" s="130" t="s">
        <v>337</v>
      </c>
      <c r="F25" s="130" t="s">
        <v>902</v>
      </c>
      <c r="G25" s="130">
        <v>209</v>
      </c>
      <c r="H25" s="130">
        <v>58</v>
      </c>
      <c r="I25" s="131">
        <f t="shared" si="0"/>
        <v>27.751196172248804</v>
      </c>
    </row>
    <row r="26" spans="1:9" x14ac:dyDescent="0.25">
      <c r="A26" s="130" t="s">
        <v>688</v>
      </c>
      <c r="B26" s="130" t="s">
        <v>753</v>
      </c>
      <c r="C26" s="130" t="s">
        <v>778</v>
      </c>
      <c r="D26" s="130" t="s">
        <v>903</v>
      </c>
      <c r="E26" s="130" t="s">
        <v>338</v>
      </c>
      <c r="F26" s="130" t="s">
        <v>904</v>
      </c>
      <c r="G26" s="130">
        <v>192</v>
      </c>
      <c r="H26" s="130">
        <v>97</v>
      </c>
      <c r="I26" s="131">
        <f t="shared" si="0"/>
        <v>50.520833333333336</v>
      </c>
    </row>
    <row r="27" spans="1:9" x14ac:dyDescent="0.25">
      <c r="A27" s="130" t="s">
        <v>689</v>
      </c>
      <c r="B27" s="130" t="s">
        <v>775</v>
      </c>
      <c r="C27" s="130" t="s">
        <v>779</v>
      </c>
      <c r="D27" s="130" t="s">
        <v>905</v>
      </c>
      <c r="E27" s="130" t="s">
        <v>339</v>
      </c>
      <c r="F27" s="130" t="s">
        <v>906</v>
      </c>
      <c r="G27" s="130">
        <v>249</v>
      </c>
      <c r="H27" s="130">
        <v>93</v>
      </c>
      <c r="I27" s="131">
        <f t="shared" si="0"/>
        <v>37.349397590361441</v>
      </c>
    </row>
    <row r="28" spans="1:9" x14ac:dyDescent="0.25">
      <c r="A28" s="130" t="s">
        <v>693</v>
      </c>
      <c r="B28" s="130" t="s">
        <v>763</v>
      </c>
      <c r="C28" s="130" t="s">
        <v>780</v>
      </c>
      <c r="D28" s="130" t="s">
        <v>287</v>
      </c>
      <c r="E28" s="130" t="s">
        <v>340</v>
      </c>
      <c r="F28" s="130" t="s">
        <v>907</v>
      </c>
      <c r="G28" s="130">
        <v>220</v>
      </c>
      <c r="H28" s="130">
        <v>102</v>
      </c>
      <c r="I28" s="131">
        <f t="shared" si="0"/>
        <v>46.36363636363636</v>
      </c>
    </row>
    <row r="29" spans="1:9" x14ac:dyDescent="0.25">
      <c r="A29" s="130" t="s">
        <v>696</v>
      </c>
      <c r="B29" s="130" t="s">
        <v>770</v>
      </c>
      <c r="C29" s="130" t="s">
        <v>771</v>
      </c>
      <c r="D29" s="130" t="s">
        <v>886</v>
      </c>
      <c r="E29" s="130" t="s">
        <v>341</v>
      </c>
      <c r="F29" s="130" t="s">
        <v>908</v>
      </c>
      <c r="G29" s="130">
        <v>324</v>
      </c>
      <c r="H29" s="130">
        <v>75</v>
      </c>
      <c r="I29" s="131">
        <f t="shared" si="0"/>
        <v>23.148148148148149</v>
      </c>
    </row>
    <row r="30" spans="1:9" x14ac:dyDescent="0.25">
      <c r="A30" s="130" t="s">
        <v>688</v>
      </c>
      <c r="B30" s="130" t="s">
        <v>753</v>
      </c>
      <c r="C30" s="130" t="s">
        <v>781</v>
      </c>
      <c r="D30" s="130" t="s">
        <v>909</v>
      </c>
      <c r="E30" s="130" t="s">
        <v>342</v>
      </c>
      <c r="F30" s="130" t="s">
        <v>910</v>
      </c>
      <c r="G30" s="130">
        <v>273</v>
      </c>
      <c r="H30" s="130">
        <v>153</v>
      </c>
      <c r="I30" s="131">
        <f t="shared" si="0"/>
        <v>56.043956043956044</v>
      </c>
    </row>
    <row r="31" spans="1:9" x14ac:dyDescent="0.25">
      <c r="A31" s="130" t="s">
        <v>696</v>
      </c>
      <c r="B31" s="130" t="s">
        <v>770</v>
      </c>
      <c r="C31" s="130" t="s">
        <v>782</v>
      </c>
      <c r="D31" s="130" t="s">
        <v>911</v>
      </c>
      <c r="E31" s="130" t="s">
        <v>343</v>
      </c>
      <c r="F31" s="130" t="s">
        <v>912</v>
      </c>
      <c r="G31" s="130">
        <v>58</v>
      </c>
      <c r="H31" s="130">
        <v>30</v>
      </c>
      <c r="I31" s="131">
        <f t="shared" si="0"/>
        <v>51.724137931034484</v>
      </c>
    </row>
    <row r="32" spans="1:9" x14ac:dyDescent="0.25">
      <c r="A32" s="130" t="s">
        <v>693</v>
      </c>
      <c r="B32" s="130" t="s">
        <v>763</v>
      </c>
      <c r="C32" s="130" t="s">
        <v>780</v>
      </c>
      <c r="D32" s="130" t="s">
        <v>287</v>
      </c>
      <c r="E32" s="130" t="s">
        <v>344</v>
      </c>
      <c r="F32" s="130" t="s">
        <v>913</v>
      </c>
      <c r="G32" s="130">
        <v>673</v>
      </c>
      <c r="H32" s="130">
        <v>162</v>
      </c>
      <c r="I32" s="131">
        <f t="shared" si="0"/>
        <v>24.071322436849925</v>
      </c>
    </row>
    <row r="33" spans="1:9" x14ac:dyDescent="0.25">
      <c r="A33" s="130" t="s">
        <v>696</v>
      </c>
      <c r="B33" s="130" t="s">
        <v>770</v>
      </c>
      <c r="C33" s="130" t="s">
        <v>783</v>
      </c>
      <c r="D33" s="130" t="s">
        <v>914</v>
      </c>
      <c r="E33" s="130" t="s">
        <v>345</v>
      </c>
      <c r="F33" s="130" t="s">
        <v>915</v>
      </c>
      <c r="G33" s="130">
        <v>1846</v>
      </c>
      <c r="H33" s="130">
        <v>665</v>
      </c>
      <c r="I33" s="131">
        <f t="shared" si="0"/>
        <v>36.023835319609965</v>
      </c>
    </row>
    <row r="34" spans="1:9" x14ac:dyDescent="0.25">
      <c r="A34" s="130" t="s">
        <v>692</v>
      </c>
      <c r="B34" s="130" t="s">
        <v>761</v>
      </c>
      <c r="C34" s="130" t="s">
        <v>784</v>
      </c>
      <c r="D34" s="130" t="s">
        <v>51</v>
      </c>
      <c r="E34" s="130" t="s">
        <v>346</v>
      </c>
      <c r="F34" s="130" t="s">
        <v>916</v>
      </c>
      <c r="G34" s="130">
        <v>418</v>
      </c>
      <c r="H34" s="130">
        <v>160</v>
      </c>
      <c r="I34" s="131">
        <f t="shared" si="0"/>
        <v>38.277511961722489</v>
      </c>
    </row>
    <row r="35" spans="1:9" x14ac:dyDescent="0.25">
      <c r="A35" s="130" t="s">
        <v>686</v>
      </c>
      <c r="B35" s="130" t="s">
        <v>755</v>
      </c>
      <c r="C35" s="130" t="s">
        <v>772</v>
      </c>
      <c r="D35" s="130" t="s">
        <v>888</v>
      </c>
      <c r="E35" s="130" t="s">
        <v>347</v>
      </c>
      <c r="F35" s="130" t="s">
        <v>917</v>
      </c>
      <c r="G35" s="130">
        <v>1185</v>
      </c>
      <c r="H35" s="130">
        <v>235</v>
      </c>
      <c r="I35" s="131">
        <f t="shared" si="0"/>
        <v>19.831223628691983</v>
      </c>
    </row>
    <row r="36" spans="1:9" x14ac:dyDescent="0.25">
      <c r="A36" s="130" t="s">
        <v>686</v>
      </c>
      <c r="B36" s="130" t="s">
        <v>755</v>
      </c>
      <c r="C36" s="130" t="s">
        <v>785</v>
      </c>
      <c r="D36" s="130" t="s">
        <v>284</v>
      </c>
      <c r="E36" s="130" t="s">
        <v>348</v>
      </c>
      <c r="F36" s="130" t="s">
        <v>918</v>
      </c>
      <c r="G36" s="130">
        <v>729</v>
      </c>
      <c r="H36" s="130">
        <v>306</v>
      </c>
      <c r="I36" s="131">
        <f t="shared" si="0"/>
        <v>41.975308641975303</v>
      </c>
    </row>
    <row r="37" spans="1:9" x14ac:dyDescent="0.25">
      <c r="A37" s="130" t="s">
        <v>690</v>
      </c>
      <c r="B37" s="130" t="s">
        <v>758</v>
      </c>
      <c r="C37" s="130" t="s">
        <v>786</v>
      </c>
      <c r="D37" s="130" t="s">
        <v>919</v>
      </c>
      <c r="E37" s="130" t="s">
        <v>349</v>
      </c>
      <c r="F37" s="130" t="s">
        <v>920</v>
      </c>
      <c r="G37" s="130">
        <v>222</v>
      </c>
      <c r="H37" s="130">
        <v>93</v>
      </c>
      <c r="I37" s="131">
        <f t="shared" si="0"/>
        <v>41.891891891891895</v>
      </c>
    </row>
    <row r="38" spans="1:9" x14ac:dyDescent="0.25">
      <c r="A38" s="130" t="s">
        <v>688</v>
      </c>
      <c r="B38" s="130" t="s">
        <v>753</v>
      </c>
      <c r="C38" s="130" t="s">
        <v>787</v>
      </c>
      <c r="D38" s="130" t="s">
        <v>921</v>
      </c>
      <c r="E38" s="130" t="s">
        <v>350</v>
      </c>
      <c r="F38" s="130" t="s">
        <v>922</v>
      </c>
      <c r="G38" s="130">
        <v>240</v>
      </c>
      <c r="H38" s="130">
        <v>98</v>
      </c>
      <c r="I38" s="131">
        <f t="shared" si="0"/>
        <v>40.833333333333336</v>
      </c>
    </row>
    <row r="39" spans="1:9" x14ac:dyDescent="0.25">
      <c r="A39" s="130" t="s">
        <v>688</v>
      </c>
      <c r="B39" s="130" t="s">
        <v>753</v>
      </c>
      <c r="C39" s="130" t="s">
        <v>788</v>
      </c>
      <c r="D39" s="130" t="s">
        <v>923</v>
      </c>
      <c r="E39" s="130" t="s">
        <v>351</v>
      </c>
      <c r="F39" s="130" t="s">
        <v>924</v>
      </c>
      <c r="G39" s="130">
        <v>230</v>
      </c>
      <c r="H39" s="130">
        <v>80</v>
      </c>
      <c r="I39" s="131">
        <f t="shared" si="0"/>
        <v>34.782608695652172</v>
      </c>
    </row>
    <row r="40" spans="1:9" x14ac:dyDescent="0.25">
      <c r="A40" s="130" t="s">
        <v>688</v>
      </c>
      <c r="B40" s="130" t="s">
        <v>753</v>
      </c>
      <c r="C40" s="130" t="s">
        <v>789</v>
      </c>
      <c r="D40" s="130" t="s">
        <v>925</v>
      </c>
      <c r="E40" s="130" t="s">
        <v>352</v>
      </c>
      <c r="F40" s="130" t="s">
        <v>926</v>
      </c>
      <c r="G40" s="130">
        <v>218</v>
      </c>
      <c r="H40" s="130">
        <v>103</v>
      </c>
      <c r="I40" s="131">
        <f t="shared" si="0"/>
        <v>47.247706422018346</v>
      </c>
    </row>
    <row r="41" spans="1:9" x14ac:dyDescent="0.25">
      <c r="A41" s="130" t="s">
        <v>692</v>
      </c>
      <c r="B41" s="130" t="s">
        <v>761</v>
      </c>
      <c r="C41" s="130" t="s">
        <v>790</v>
      </c>
      <c r="D41" s="130" t="s">
        <v>661</v>
      </c>
      <c r="E41" s="130" t="s">
        <v>353</v>
      </c>
      <c r="F41" s="130" t="s">
        <v>927</v>
      </c>
      <c r="G41" s="130">
        <v>1382</v>
      </c>
      <c r="H41" s="130">
        <v>960</v>
      </c>
      <c r="I41" s="131">
        <f t="shared" si="0"/>
        <v>69.464544138929085</v>
      </c>
    </row>
    <row r="42" spans="1:9" x14ac:dyDescent="0.25">
      <c r="A42" s="130" t="s">
        <v>689</v>
      </c>
      <c r="B42" s="130" t="s">
        <v>775</v>
      </c>
      <c r="C42" s="130" t="s">
        <v>692</v>
      </c>
      <c r="D42" s="130" t="s">
        <v>895</v>
      </c>
      <c r="E42" s="130" t="s">
        <v>354</v>
      </c>
      <c r="F42" s="130" t="s">
        <v>928</v>
      </c>
      <c r="G42" s="130">
        <v>384</v>
      </c>
      <c r="H42" s="130">
        <v>177</v>
      </c>
      <c r="I42" s="131">
        <f t="shared" si="0"/>
        <v>46.09375</v>
      </c>
    </row>
    <row r="43" spans="1:9" x14ac:dyDescent="0.25">
      <c r="A43" s="130" t="s">
        <v>688</v>
      </c>
      <c r="B43" s="130" t="s">
        <v>753</v>
      </c>
      <c r="C43" s="130" t="s">
        <v>791</v>
      </c>
      <c r="D43" s="130" t="s">
        <v>929</v>
      </c>
      <c r="E43" s="130" t="s">
        <v>355</v>
      </c>
      <c r="F43" s="130" t="s">
        <v>930</v>
      </c>
      <c r="G43" s="130">
        <v>115</v>
      </c>
      <c r="H43" s="130">
        <v>72</v>
      </c>
      <c r="I43" s="131">
        <f t="shared" si="0"/>
        <v>62.608695652173921</v>
      </c>
    </row>
    <row r="44" spans="1:9" x14ac:dyDescent="0.25">
      <c r="A44" s="130" t="s">
        <v>696</v>
      </c>
      <c r="B44" s="130" t="s">
        <v>770</v>
      </c>
      <c r="C44" s="130" t="s">
        <v>792</v>
      </c>
      <c r="D44" s="130" t="s">
        <v>255</v>
      </c>
      <c r="E44" s="130" t="s">
        <v>356</v>
      </c>
      <c r="F44" s="130" t="s">
        <v>931</v>
      </c>
      <c r="G44" s="130">
        <v>171</v>
      </c>
      <c r="H44" s="130">
        <v>66</v>
      </c>
      <c r="I44" s="131">
        <f t="shared" si="0"/>
        <v>38.596491228070171</v>
      </c>
    </row>
    <row r="45" spans="1:9" x14ac:dyDescent="0.25">
      <c r="A45" s="130" t="s">
        <v>696</v>
      </c>
      <c r="B45" s="130" t="s">
        <v>770</v>
      </c>
      <c r="C45" s="130" t="s">
        <v>792</v>
      </c>
      <c r="D45" s="130" t="s">
        <v>255</v>
      </c>
      <c r="E45" s="130" t="s">
        <v>357</v>
      </c>
      <c r="F45" s="130" t="s">
        <v>932</v>
      </c>
      <c r="G45" s="130">
        <v>389</v>
      </c>
      <c r="H45" s="130">
        <v>167</v>
      </c>
      <c r="I45" s="131">
        <f t="shared" si="0"/>
        <v>42.930591259640103</v>
      </c>
    </row>
    <row r="46" spans="1:9" x14ac:dyDescent="0.25">
      <c r="A46" s="130" t="s">
        <v>692</v>
      </c>
      <c r="B46" s="130" t="s">
        <v>761</v>
      </c>
      <c r="C46" s="130" t="s">
        <v>784</v>
      </c>
      <c r="D46" s="130" t="s">
        <v>51</v>
      </c>
      <c r="E46" s="130" t="s">
        <v>358</v>
      </c>
      <c r="F46" s="130" t="s">
        <v>933</v>
      </c>
      <c r="G46" s="130">
        <v>469</v>
      </c>
      <c r="H46" s="130">
        <v>249</v>
      </c>
      <c r="I46" s="131">
        <f t="shared" si="0"/>
        <v>53.091684434968009</v>
      </c>
    </row>
    <row r="47" spans="1:9" x14ac:dyDescent="0.25">
      <c r="A47" s="130" t="s">
        <v>686</v>
      </c>
      <c r="B47" s="130" t="s">
        <v>755</v>
      </c>
      <c r="C47" s="130" t="s">
        <v>793</v>
      </c>
      <c r="D47" s="130" t="s">
        <v>934</v>
      </c>
      <c r="E47" s="130" t="s">
        <v>359</v>
      </c>
      <c r="F47" s="130" t="s">
        <v>935</v>
      </c>
      <c r="G47" s="130">
        <v>969</v>
      </c>
      <c r="H47" s="130">
        <v>336</v>
      </c>
      <c r="I47" s="131">
        <f t="shared" si="0"/>
        <v>34.674922600619198</v>
      </c>
    </row>
    <row r="48" spans="1:9" x14ac:dyDescent="0.25">
      <c r="A48" s="130" t="s">
        <v>686</v>
      </c>
      <c r="B48" s="130" t="s">
        <v>755</v>
      </c>
      <c r="C48" s="130" t="s">
        <v>794</v>
      </c>
      <c r="D48" s="130" t="s">
        <v>274</v>
      </c>
      <c r="E48" s="130" t="s">
        <v>360</v>
      </c>
      <c r="F48" s="130" t="s">
        <v>936</v>
      </c>
      <c r="G48" s="130">
        <v>678</v>
      </c>
      <c r="H48" s="130">
        <v>288</v>
      </c>
      <c r="I48" s="131">
        <f t="shared" si="0"/>
        <v>42.477876106194692</v>
      </c>
    </row>
    <row r="49" spans="1:9" x14ac:dyDescent="0.25">
      <c r="A49" s="130" t="s">
        <v>688</v>
      </c>
      <c r="B49" s="130" t="s">
        <v>753</v>
      </c>
      <c r="C49" s="130" t="s">
        <v>688</v>
      </c>
      <c r="D49" s="130" t="s">
        <v>937</v>
      </c>
      <c r="E49" s="130" t="s">
        <v>361</v>
      </c>
      <c r="F49" s="130" t="s">
        <v>938</v>
      </c>
      <c r="G49" s="130">
        <v>2617</v>
      </c>
      <c r="H49" s="130">
        <v>752</v>
      </c>
      <c r="I49" s="131">
        <f t="shared" si="0"/>
        <v>28.73519296904853</v>
      </c>
    </row>
    <row r="50" spans="1:9" x14ac:dyDescent="0.25">
      <c r="A50" s="130" t="s">
        <v>693</v>
      </c>
      <c r="B50" s="130" t="s">
        <v>763</v>
      </c>
      <c r="C50" s="130" t="s">
        <v>764</v>
      </c>
      <c r="D50" s="130" t="s">
        <v>873</v>
      </c>
      <c r="E50" s="130" t="s">
        <v>362</v>
      </c>
      <c r="F50" s="130" t="s">
        <v>939</v>
      </c>
      <c r="G50" s="130">
        <v>6416</v>
      </c>
      <c r="H50" s="130">
        <v>3955</v>
      </c>
      <c r="I50" s="131">
        <f t="shared" si="0"/>
        <v>61.642768079800504</v>
      </c>
    </row>
    <row r="51" spans="1:9" x14ac:dyDescent="0.25">
      <c r="A51" s="130" t="s">
        <v>693</v>
      </c>
      <c r="B51" s="130" t="s">
        <v>763</v>
      </c>
      <c r="C51" s="130" t="s">
        <v>764</v>
      </c>
      <c r="D51" s="130" t="s">
        <v>873</v>
      </c>
      <c r="E51" s="130" t="s">
        <v>363</v>
      </c>
      <c r="F51" s="130" t="s">
        <v>940</v>
      </c>
      <c r="G51" s="130">
        <v>576</v>
      </c>
      <c r="H51" s="130">
        <v>118</v>
      </c>
      <c r="I51" s="131">
        <f t="shared" si="0"/>
        <v>20.486111111111111</v>
      </c>
    </row>
    <row r="52" spans="1:9" x14ac:dyDescent="0.25">
      <c r="A52" s="130" t="s">
        <v>692</v>
      </c>
      <c r="B52" s="130" t="s">
        <v>761</v>
      </c>
      <c r="C52" s="130" t="s">
        <v>795</v>
      </c>
      <c r="D52" s="130" t="s">
        <v>941</v>
      </c>
      <c r="E52" s="130" t="s">
        <v>364</v>
      </c>
      <c r="F52" s="130" t="s">
        <v>942</v>
      </c>
      <c r="G52" s="130">
        <v>567</v>
      </c>
      <c r="H52" s="130">
        <v>294</v>
      </c>
      <c r="I52" s="131">
        <f t="shared" si="0"/>
        <v>51.851851851851848</v>
      </c>
    </row>
    <row r="53" spans="1:9" x14ac:dyDescent="0.25">
      <c r="A53" s="130" t="s">
        <v>692</v>
      </c>
      <c r="B53" s="130" t="s">
        <v>761</v>
      </c>
      <c r="C53" s="130" t="s">
        <v>796</v>
      </c>
      <c r="D53" s="130" t="s">
        <v>943</v>
      </c>
      <c r="E53" s="130" t="s">
        <v>365</v>
      </c>
      <c r="F53" s="130" t="s">
        <v>944</v>
      </c>
      <c r="G53" s="130">
        <v>574</v>
      </c>
      <c r="H53" s="130">
        <v>224</v>
      </c>
      <c r="I53" s="131">
        <f t="shared" si="0"/>
        <v>39.024390243902438</v>
      </c>
    </row>
    <row r="54" spans="1:9" x14ac:dyDescent="0.25">
      <c r="A54" s="130" t="s">
        <v>695</v>
      </c>
      <c r="B54" s="130" t="s">
        <v>766</v>
      </c>
      <c r="C54" s="130" t="s">
        <v>797</v>
      </c>
      <c r="D54" s="130" t="s">
        <v>945</v>
      </c>
      <c r="E54" s="130" t="s">
        <v>366</v>
      </c>
      <c r="F54" s="130" t="s">
        <v>946</v>
      </c>
      <c r="G54" s="130">
        <v>184</v>
      </c>
      <c r="H54" s="130">
        <v>90</v>
      </c>
      <c r="I54" s="131">
        <f t="shared" si="0"/>
        <v>48.913043478260867</v>
      </c>
    </row>
    <row r="55" spans="1:9" x14ac:dyDescent="0.25">
      <c r="A55" s="130" t="s">
        <v>696</v>
      </c>
      <c r="B55" s="130" t="s">
        <v>770</v>
      </c>
      <c r="C55" s="130" t="s">
        <v>792</v>
      </c>
      <c r="D55" s="130" t="s">
        <v>255</v>
      </c>
      <c r="E55" s="130" t="s">
        <v>367</v>
      </c>
      <c r="F55" s="130" t="s">
        <v>947</v>
      </c>
      <c r="G55" s="130">
        <v>639</v>
      </c>
      <c r="H55" s="130">
        <v>223</v>
      </c>
      <c r="I55" s="131">
        <f t="shared" si="0"/>
        <v>34.89827856025039</v>
      </c>
    </row>
    <row r="56" spans="1:9" x14ac:dyDescent="0.25">
      <c r="A56" s="130" t="s">
        <v>693</v>
      </c>
      <c r="B56" s="130" t="s">
        <v>763</v>
      </c>
      <c r="C56" s="130" t="s">
        <v>764</v>
      </c>
      <c r="D56" s="130" t="s">
        <v>873</v>
      </c>
      <c r="E56" s="130" t="s">
        <v>368</v>
      </c>
      <c r="F56" s="130" t="s">
        <v>948</v>
      </c>
      <c r="G56" s="130">
        <v>198</v>
      </c>
      <c r="H56" s="130">
        <v>69</v>
      </c>
      <c r="I56" s="131">
        <f t="shared" si="0"/>
        <v>34.848484848484851</v>
      </c>
    </row>
    <row r="57" spans="1:9" x14ac:dyDescent="0.25">
      <c r="A57" s="130" t="s">
        <v>689</v>
      </c>
      <c r="B57" s="130" t="s">
        <v>775</v>
      </c>
      <c r="C57" s="130" t="s">
        <v>798</v>
      </c>
      <c r="D57" s="130" t="s">
        <v>949</v>
      </c>
      <c r="E57" s="130" t="s">
        <v>369</v>
      </c>
      <c r="F57" s="130" t="s">
        <v>950</v>
      </c>
      <c r="G57" s="130">
        <v>245</v>
      </c>
      <c r="H57" s="130">
        <v>171</v>
      </c>
      <c r="I57" s="131">
        <f t="shared" si="0"/>
        <v>69.795918367346943</v>
      </c>
    </row>
    <row r="58" spans="1:9" x14ac:dyDescent="0.25">
      <c r="A58" s="130" t="s">
        <v>690</v>
      </c>
      <c r="B58" s="130" t="s">
        <v>758</v>
      </c>
      <c r="C58" s="130" t="s">
        <v>799</v>
      </c>
      <c r="D58" s="130" t="s">
        <v>951</v>
      </c>
      <c r="E58" s="130" t="s">
        <v>370</v>
      </c>
      <c r="F58" s="130" t="s">
        <v>952</v>
      </c>
      <c r="G58" s="130">
        <v>302</v>
      </c>
      <c r="H58" s="130">
        <v>95</v>
      </c>
      <c r="I58" s="131">
        <f t="shared" si="0"/>
        <v>31.456953642384107</v>
      </c>
    </row>
    <row r="59" spans="1:9" x14ac:dyDescent="0.25">
      <c r="A59" s="130" t="s">
        <v>692</v>
      </c>
      <c r="B59" s="130" t="s">
        <v>761</v>
      </c>
      <c r="C59" s="130" t="s">
        <v>800</v>
      </c>
      <c r="D59" s="130" t="s">
        <v>953</v>
      </c>
      <c r="E59" s="130" t="s">
        <v>371</v>
      </c>
      <c r="F59" s="130" t="s">
        <v>954</v>
      </c>
      <c r="G59" s="130">
        <v>533</v>
      </c>
      <c r="H59" s="130">
        <v>292</v>
      </c>
      <c r="I59" s="131">
        <f t="shared" si="0"/>
        <v>54.784240150093808</v>
      </c>
    </row>
    <row r="60" spans="1:9" x14ac:dyDescent="0.25">
      <c r="A60" s="130" t="s">
        <v>688</v>
      </c>
      <c r="B60" s="130" t="s">
        <v>753</v>
      </c>
      <c r="C60" s="130" t="s">
        <v>801</v>
      </c>
      <c r="D60" s="130" t="s">
        <v>955</v>
      </c>
      <c r="E60" s="130" t="s">
        <v>372</v>
      </c>
      <c r="F60" s="130" t="s">
        <v>956</v>
      </c>
      <c r="G60" s="130">
        <v>584</v>
      </c>
      <c r="H60" s="130">
        <v>350</v>
      </c>
      <c r="I60" s="131">
        <f t="shared" si="0"/>
        <v>59.931506849315063</v>
      </c>
    </row>
    <row r="61" spans="1:9" x14ac:dyDescent="0.25">
      <c r="A61" s="130" t="s">
        <v>690</v>
      </c>
      <c r="B61" s="130" t="s">
        <v>758</v>
      </c>
      <c r="C61" s="130" t="s">
        <v>774</v>
      </c>
      <c r="D61" s="130" t="s">
        <v>893</v>
      </c>
      <c r="E61" s="130" t="s">
        <v>373</v>
      </c>
      <c r="F61" s="130" t="s">
        <v>957</v>
      </c>
      <c r="G61" s="130">
        <v>105</v>
      </c>
      <c r="H61" s="130">
        <v>64</v>
      </c>
      <c r="I61" s="131">
        <f t="shared" si="0"/>
        <v>60.952380952380956</v>
      </c>
    </row>
    <row r="62" spans="1:9" x14ac:dyDescent="0.25">
      <c r="A62" s="130" t="s">
        <v>690</v>
      </c>
      <c r="B62" s="130" t="s">
        <v>758</v>
      </c>
      <c r="C62" s="130" t="s">
        <v>802</v>
      </c>
      <c r="D62" s="130" t="s">
        <v>262</v>
      </c>
      <c r="E62" s="130" t="s">
        <v>374</v>
      </c>
      <c r="F62" s="130" t="s">
        <v>958</v>
      </c>
      <c r="G62" s="130">
        <v>504</v>
      </c>
      <c r="H62" s="130">
        <v>227</v>
      </c>
      <c r="I62" s="131">
        <f t="shared" si="0"/>
        <v>45.039682539682538</v>
      </c>
    </row>
    <row r="63" spans="1:9" x14ac:dyDescent="0.25">
      <c r="A63" s="130" t="s">
        <v>689</v>
      </c>
      <c r="B63" s="130" t="s">
        <v>775</v>
      </c>
      <c r="C63" s="130" t="s">
        <v>803</v>
      </c>
      <c r="D63" s="130" t="s">
        <v>959</v>
      </c>
      <c r="E63" s="130" t="s">
        <v>375</v>
      </c>
      <c r="F63" s="130" t="s">
        <v>960</v>
      </c>
      <c r="G63" s="130">
        <v>451</v>
      </c>
      <c r="H63" s="130">
        <v>199</v>
      </c>
      <c r="I63" s="131">
        <f t="shared" si="0"/>
        <v>44.124168514412418</v>
      </c>
    </row>
    <row r="64" spans="1:9" x14ac:dyDescent="0.25">
      <c r="A64" s="130" t="s">
        <v>691</v>
      </c>
      <c r="B64" s="130" t="s">
        <v>760</v>
      </c>
      <c r="C64" s="130" t="s">
        <v>781</v>
      </c>
      <c r="D64" s="130" t="s">
        <v>909</v>
      </c>
      <c r="E64" s="130" t="s">
        <v>376</v>
      </c>
      <c r="F64" s="130" t="s">
        <v>961</v>
      </c>
      <c r="G64" s="130">
        <v>399</v>
      </c>
      <c r="H64" s="130">
        <v>230</v>
      </c>
      <c r="I64" s="131">
        <f t="shared" si="0"/>
        <v>57.644110275689222</v>
      </c>
    </row>
    <row r="65" spans="1:9" x14ac:dyDescent="0.25">
      <c r="A65" s="130" t="s">
        <v>689</v>
      </c>
      <c r="B65" s="130" t="s">
        <v>775</v>
      </c>
      <c r="C65" s="130" t="s">
        <v>804</v>
      </c>
      <c r="D65" s="130" t="s">
        <v>259</v>
      </c>
      <c r="E65" s="130" t="s">
        <v>377</v>
      </c>
      <c r="F65" s="130" t="s">
        <v>962</v>
      </c>
      <c r="G65" s="130">
        <v>525</v>
      </c>
      <c r="H65" s="130">
        <v>317</v>
      </c>
      <c r="I65" s="131">
        <f t="shared" si="0"/>
        <v>60.38095238095238</v>
      </c>
    </row>
    <row r="66" spans="1:9" x14ac:dyDescent="0.25">
      <c r="A66" s="130" t="s">
        <v>688</v>
      </c>
      <c r="B66" s="130" t="s">
        <v>753</v>
      </c>
      <c r="C66" s="130" t="s">
        <v>690</v>
      </c>
      <c r="D66" s="130" t="s">
        <v>879</v>
      </c>
      <c r="E66" s="130" t="s">
        <v>378</v>
      </c>
      <c r="F66" s="130" t="s">
        <v>963</v>
      </c>
      <c r="G66" s="130">
        <v>126</v>
      </c>
      <c r="H66" s="130">
        <v>42</v>
      </c>
      <c r="I66" s="131">
        <f t="shared" si="0"/>
        <v>33.333333333333329</v>
      </c>
    </row>
    <row r="67" spans="1:9" x14ac:dyDescent="0.25">
      <c r="A67" s="130" t="s">
        <v>691</v>
      </c>
      <c r="B67" s="130" t="s">
        <v>760</v>
      </c>
      <c r="C67" s="130" t="s">
        <v>805</v>
      </c>
      <c r="D67" s="130" t="s">
        <v>964</v>
      </c>
      <c r="E67" s="130" t="s">
        <v>379</v>
      </c>
      <c r="F67" s="130" t="s">
        <v>965</v>
      </c>
      <c r="G67" s="130">
        <v>51</v>
      </c>
      <c r="H67" s="130">
        <v>38</v>
      </c>
      <c r="I67" s="131">
        <f t="shared" ref="I67:I130" si="1">H67/G67*100</f>
        <v>74.509803921568633</v>
      </c>
    </row>
    <row r="68" spans="1:9" x14ac:dyDescent="0.25">
      <c r="A68" s="130" t="s">
        <v>693</v>
      </c>
      <c r="B68" s="130" t="s">
        <v>763</v>
      </c>
      <c r="C68" s="130" t="s">
        <v>806</v>
      </c>
      <c r="D68" s="130" t="s">
        <v>966</v>
      </c>
      <c r="E68" s="130" t="s">
        <v>380</v>
      </c>
      <c r="F68" s="130" t="s">
        <v>967</v>
      </c>
      <c r="G68" s="130">
        <v>1479</v>
      </c>
      <c r="H68" s="130">
        <v>402</v>
      </c>
      <c r="I68" s="131">
        <f t="shared" si="1"/>
        <v>27.180527383367142</v>
      </c>
    </row>
    <row r="69" spans="1:9" x14ac:dyDescent="0.25">
      <c r="A69" s="130" t="s">
        <v>688</v>
      </c>
      <c r="B69" s="130" t="s">
        <v>753</v>
      </c>
      <c r="C69" s="130" t="s">
        <v>807</v>
      </c>
      <c r="D69" s="130" t="s">
        <v>968</v>
      </c>
      <c r="E69" s="130" t="s">
        <v>381</v>
      </c>
      <c r="F69" s="130" t="s">
        <v>969</v>
      </c>
      <c r="G69" s="130">
        <v>615</v>
      </c>
      <c r="H69" s="130">
        <v>190</v>
      </c>
      <c r="I69" s="131">
        <f t="shared" si="1"/>
        <v>30.894308943089431</v>
      </c>
    </row>
    <row r="70" spans="1:9" x14ac:dyDescent="0.25">
      <c r="A70" s="130" t="s">
        <v>696</v>
      </c>
      <c r="B70" s="130" t="s">
        <v>770</v>
      </c>
      <c r="C70" s="130" t="s">
        <v>792</v>
      </c>
      <c r="D70" s="130" t="s">
        <v>255</v>
      </c>
      <c r="E70" s="130" t="s">
        <v>382</v>
      </c>
      <c r="F70" s="130" t="s">
        <v>970</v>
      </c>
      <c r="G70" s="130">
        <v>1439</v>
      </c>
      <c r="H70" s="130">
        <v>888</v>
      </c>
      <c r="I70" s="131">
        <f t="shared" si="1"/>
        <v>61.709520500347459</v>
      </c>
    </row>
    <row r="71" spans="1:9" x14ac:dyDescent="0.25">
      <c r="A71" s="130" t="s">
        <v>686</v>
      </c>
      <c r="B71" s="130" t="s">
        <v>755</v>
      </c>
      <c r="C71" s="130" t="s">
        <v>777</v>
      </c>
      <c r="D71" s="130" t="s">
        <v>901</v>
      </c>
      <c r="E71" s="130" t="s">
        <v>383</v>
      </c>
      <c r="F71" s="130" t="s">
        <v>971</v>
      </c>
      <c r="G71" s="130">
        <v>274</v>
      </c>
      <c r="H71" s="130">
        <v>119</v>
      </c>
      <c r="I71" s="131">
        <f t="shared" si="1"/>
        <v>43.430656934306569</v>
      </c>
    </row>
    <row r="72" spans="1:9" x14ac:dyDescent="0.25">
      <c r="A72" s="130" t="s">
        <v>693</v>
      </c>
      <c r="B72" s="130" t="s">
        <v>763</v>
      </c>
      <c r="C72" s="130" t="s">
        <v>764</v>
      </c>
      <c r="D72" s="130" t="s">
        <v>873</v>
      </c>
      <c r="E72" s="130" t="s">
        <v>384</v>
      </c>
      <c r="F72" s="130" t="s">
        <v>972</v>
      </c>
      <c r="G72" s="130">
        <v>2399</v>
      </c>
      <c r="H72" s="130">
        <v>907</v>
      </c>
      <c r="I72" s="131">
        <f t="shared" si="1"/>
        <v>37.807419758232598</v>
      </c>
    </row>
    <row r="73" spans="1:9" x14ac:dyDescent="0.25">
      <c r="A73" s="130" t="s">
        <v>686</v>
      </c>
      <c r="B73" s="130" t="s">
        <v>755</v>
      </c>
      <c r="C73" s="130" t="s">
        <v>768</v>
      </c>
      <c r="D73" s="130" t="s">
        <v>882</v>
      </c>
      <c r="E73" s="130" t="s">
        <v>385</v>
      </c>
      <c r="F73" s="130" t="s">
        <v>973</v>
      </c>
      <c r="G73" s="130">
        <v>188</v>
      </c>
      <c r="H73" s="130">
        <v>83</v>
      </c>
      <c r="I73" s="131">
        <f t="shared" si="1"/>
        <v>44.148936170212764</v>
      </c>
    </row>
    <row r="74" spans="1:9" x14ac:dyDescent="0.25">
      <c r="A74" s="130" t="s">
        <v>686</v>
      </c>
      <c r="B74" s="130" t="s">
        <v>755</v>
      </c>
      <c r="C74" s="130" t="s">
        <v>768</v>
      </c>
      <c r="D74" s="130" t="s">
        <v>882</v>
      </c>
      <c r="E74" s="130" t="s">
        <v>386</v>
      </c>
      <c r="F74" s="130" t="s">
        <v>974</v>
      </c>
      <c r="G74" s="130">
        <v>153</v>
      </c>
      <c r="H74" s="130">
        <v>68</v>
      </c>
      <c r="I74" s="131">
        <f t="shared" si="1"/>
        <v>44.444444444444443</v>
      </c>
    </row>
    <row r="75" spans="1:9" x14ac:dyDescent="0.25">
      <c r="A75" s="130" t="s">
        <v>696</v>
      </c>
      <c r="B75" s="130" t="s">
        <v>770</v>
      </c>
      <c r="C75" s="130" t="s">
        <v>808</v>
      </c>
      <c r="D75" s="130" t="s">
        <v>975</v>
      </c>
      <c r="E75" s="130" t="s">
        <v>387</v>
      </c>
      <c r="F75" s="130" t="s">
        <v>976</v>
      </c>
      <c r="G75" s="130">
        <v>278</v>
      </c>
      <c r="H75" s="130">
        <v>186</v>
      </c>
      <c r="I75" s="131">
        <f t="shared" si="1"/>
        <v>66.906474820143885</v>
      </c>
    </row>
    <row r="76" spans="1:9" x14ac:dyDescent="0.25">
      <c r="A76" s="130" t="s">
        <v>686</v>
      </c>
      <c r="B76" s="130" t="s">
        <v>755</v>
      </c>
      <c r="C76" s="130" t="s">
        <v>794</v>
      </c>
      <c r="D76" s="130" t="s">
        <v>274</v>
      </c>
      <c r="E76" s="130" t="s">
        <v>388</v>
      </c>
      <c r="F76" s="130" t="s">
        <v>977</v>
      </c>
      <c r="G76" s="130">
        <v>189</v>
      </c>
      <c r="H76" s="130">
        <v>91</v>
      </c>
      <c r="I76" s="131">
        <f t="shared" si="1"/>
        <v>48.148148148148145</v>
      </c>
    </row>
    <row r="77" spans="1:9" x14ac:dyDescent="0.25">
      <c r="A77" s="130" t="s">
        <v>689</v>
      </c>
      <c r="B77" s="130" t="s">
        <v>775</v>
      </c>
      <c r="C77" s="130" t="s">
        <v>809</v>
      </c>
      <c r="D77" s="130" t="s">
        <v>978</v>
      </c>
      <c r="E77" s="130" t="s">
        <v>389</v>
      </c>
      <c r="F77" s="130" t="s">
        <v>979</v>
      </c>
      <c r="G77" s="130">
        <v>143</v>
      </c>
      <c r="H77" s="130">
        <v>61</v>
      </c>
      <c r="I77" s="131">
        <f t="shared" si="1"/>
        <v>42.657342657342653</v>
      </c>
    </row>
    <row r="78" spans="1:9" x14ac:dyDescent="0.25">
      <c r="A78" s="130" t="s">
        <v>689</v>
      </c>
      <c r="B78" s="130" t="s">
        <v>775</v>
      </c>
      <c r="C78" s="130" t="s">
        <v>776</v>
      </c>
      <c r="D78" s="130" t="s">
        <v>898</v>
      </c>
      <c r="E78" s="130" t="s">
        <v>390</v>
      </c>
      <c r="F78" s="130" t="s">
        <v>980</v>
      </c>
      <c r="G78" s="130">
        <v>3727</v>
      </c>
      <c r="H78" s="130">
        <v>2420</v>
      </c>
      <c r="I78" s="131">
        <f t="shared" si="1"/>
        <v>64.931580359538501</v>
      </c>
    </row>
    <row r="79" spans="1:9" x14ac:dyDescent="0.25">
      <c r="A79" s="130" t="s">
        <v>689</v>
      </c>
      <c r="B79" s="130" t="s">
        <v>775</v>
      </c>
      <c r="C79" s="130" t="s">
        <v>810</v>
      </c>
      <c r="D79" s="130" t="s">
        <v>59</v>
      </c>
      <c r="E79" s="130" t="s">
        <v>391</v>
      </c>
      <c r="F79" s="130" t="s">
        <v>981</v>
      </c>
      <c r="G79" s="130">
        <v>502</v>
      </c>
      <c r="H79" s="130">
        <v>284</v>
      </c>
      <c r="I79" s="131">
        <f t="shared" si="1"/>
        <v>56.573705179282875</v>
      </c>
    </row>
    <row r="80" spans="1:9" x14ac:dyDescent="0.25">
      <c r="A80" s="130" t="s">
        <v>686</v>
      </c>
      <c r="B80" s="130" t="s">
        <v>755</v>
      </c>
      <c r="C80" s="130" t="s">
        <v>757</v>
      </c>
      <c r="D80" s="130" t="s">
        <v>865</v>
      </c>
      <c r="E80" s="130" t="s">
        <v>392</v>
      </c>
      <c r="F80" s="130" t="s">
        <v>982</v>
      </c>
      <c r="G80" s="130">
        <v>1697</v>
      </c>
      <c r="H80" s="130">
        <v>299</v>
      </c>
      <c r="I80" s="131">
        <f t="shared" si="1"/>
        <v>17.619328226281674</v>
      </c>
    </row>
    <row r="81" spans="1:9" x14ac:dyDescent="0.25">
      <c r="A81" s="130" t="s">
        <v>692</v>
      </c>
      <c r="B81" s="130" t="s">
        <v>761</v>
      </c>
      <c r="C81" s="130" t="s">
        <v>790</v>
      </c>
      <c r="D81" s="130" t="s">
        <v>661</v>
      </c>
      <c r="E81" s="130" t="s">
        <v>393</v>
      </c>
      <c r="F81" s="130" t="s">
        <v>983</v>
      </c>
      <c r="G81" s="130">
        <v>303</v>
      </c>
      <c r="H81" s="130">
        <v>117</v>
      </c>
      <c r="I81" s="131">
        <f t="shared" si="1"/>
        <v>38.613861386138616</v>
      </c>
    </row>
    <row r="82" spans="1:9" x14ac:dyDescent="0.25">
      <c r="A82" s="130" t="s">
        <v>696</v>
      </c>
      <c r="B82" s="130" t="s">
        <v>770</v>
      </c>
      <c r="C82" s="130" t="s">
        <v>783</v>
      </c>
      <c r="D82" s="130" t="s">
        <v>914</v>
      </c>
      <c r="E82" s="130" t="s">
        <v>394</v>
      </c>
      <c r="F82" s="130" t="s">
        <v>984</v>
      </c>
      <c r="G82" s="130">
        <v>5908</v>
      </c>
      <c r="H82" s="130">
        <v>3409</v>
      </c>
      <c r="I82" s="131">
        <f t="shared" si="1"/>
        <v>57.70142180094787</v>
      </c>
    </row>
    <row r="83" spans="1:9" x14ac:dyDescent="0.25">
      <c r="A83" s="130" t="s">
        <v>692</v>
      </c>
      <c r="B83" s="130" t="s">
        <v>761</v>
      </c>
      <c r="C83" s="130" t="s">
        <v>811</v>
      </c>
      <c r="D83" s="130" t="s">
        <v>985</v>
      </c>
      <c r="E83" s="130" t="s">
        <v>395</v>
      </c>
      <c r="F83" s="130" t="s">
        <v>986</v>
      </c>
      <c r="G83" s="130">
        <v>516</v>
      </c>
      <c r="H83" s="130">
        <v>244</v>
      </c>
      <c r="I83" s="131">
        <f t="shared" si="1"/>
        <v>47.286821705426355</v>
      </c>
    </row>
    <row r="84" spans="1:9" x14ac:dyDescent="0.25">
      <c r="A84" s="130" t="s">
        <v>695</v>
      </c>
      <c r="B84" s="130" t="s">
        <v>766</v>
      </c>
      <c r="C84" s="130" t="s">
        <v>812</v>
      </c>
      <c r="D84" s="130" t="s">
        <v>987</v>
      </c>
      <c r="E84" s="130" t="s">
        <v>396</v>
      </c>
      <c r="F84" s="130" t="s">
        <v>988</v>
      </c>
      <c r="G84" s="130">
        <v>620</v>
      </c>
      <c r="H84" s="130">
        <v>179</v>
      </c>
      <c r="I84" s="131">
        <f t="shared" si="1"/>
        <v>28.870967741935484</v>
      </c>
    </row>
    <row r="85" spans="1:9" x14ac:dyDescent="0.25">
      <c r="A85" s="130" t="s">
        <v>696</v>
      </c>
      <c r="B85" s="130" t="s">
        <v>770</v>
      </c>
      <c r="C85" s="130" t="s">
        <v>792</v>
      </c>
      <c r="D85" s="130" t="s">
        <v>255</v>
      </c>
      <c r="E85" s="130" t="s">
        <v>397</v>
      </c>
      <c r="F85" s="130" t="s">
        <v>989</v>
      </c>
      <c r="G85" s="130">
        <v>110</v>
      </c>
      <c r="H85" s="130">
        <v>43</v>
      </c>
      <c r="I85" s="131">
        <f t="shared" si="1"/>
        <v>39.090909090909093</v>
      </c>
    </row>
    <row r="86" spans="1:9" x14ac:dyDescent="0.25">
      <c r="A86" s="130" t="s">
        <v>690</v>
      </c>
      <c r="B86" s="130" t="s">
        <v>758</v>
      </c>
      <c r="C86" s="130" t="s">
        <v>774</v>
      </c>
      <c r="D86" s="130" t="s">
        <v>893</v>
      </c>
      <c r="E86" s="130" t="s">
        <v>398</v>
      </c>
      <c r="F86" s="130" t="s">
        <v>990</v>
      </c>
      <c r="G86" s="130">
        <v>848</v>
      </c>
      <c r="H86" s="130">
        <v>579</v>
      </c>
      <c r="I86" s="131">
        <f t="shared" si="1"/>
        <v>68.278301886792448</v>
      </c>
    </row>
    <row r="87" spans="1:9" x14ac:dyDescent="0.25">
      <c r="A87" s="130" t="s">
        <v>688</v>
      </c>
      <c r="B87" s="130" t="s">
        <v>753</v>
      </c>
      <c r="C87" s="130" t="s">
        <v>696</v>
      </c>
      <c r="D87" s="130" t="s">
        <v>991</v>
      </c>
      <c r="E87" s="130" t="s">
        <v>399</v>
      </c>
      <c r="F87" s="130" t="s">
        <v>992</v>
      </c>
      <c r="G87" s="130">
        <v>463</v>
      </c>
      <c r="H87" s="130">
        <v>64</v>
      </c>
      <c r="I87" s="131">
        <f t="shared" si="1"/>
        <v>13.822894168466524</v>
      </c>
    </row>
    <row r="88" spans="1:9" x14ac:dyDescent="0.25">
      <c r="A88" s="130" t="s">
        <v>686</v>
      </c>
      <c r="B88" s="130" t="s">
        <v>755</v>
      </c>
      <c r="C88" s="130" t="s">
        <v>772</v>
      </c>
      <c r="D88" s="130" t="s">
        <v>888</v>
      </c>
      <c r="E88" s="130" t="s">
        <v>400</v>
      </c>
      <c r="F88" s="130" t="s">
        <v>993</v>
      </c>
      <c r="G88" s="130">
        <v>13060</v>
      </c>
      <c r="H88" s="130">
        <v>10357</v>
      </c>
      <c r="I88" s="131">
        <f t="shared" si="1"/>
        <v>79.30321592649311</v>
      </c>
    </row>
    <row r="89" spans="1:9" x14ac:dyDescent="0.25">
      <c r="A89" s="130" t="s">
        <v>689</v>
      </c>
      <c r="B89" s="130" t="s">
        <v>775</v>
      </c>
      <c r="C89" s="130" t="s">
        <v>813</v>
      </c>
      <c r="D89" s="130" t="s">
        <v>994</v>
      </c>
      <c r="E89" s="130" t="s">
        <v>401</v>
      </c>
      <c r="F89" s="130" t="s">
        <v>995</v>
      </c>
      <c r="G89" s="130">
        <v>45</v>
      </c>
      <c r="H89" s="130">
        <v>21</v>
      </c>
      <c r="I89" s="131">
        <f t="shared" si="1"/>
        <v>46.666666666666664</v>
      </c>
    </row>
    <row r="90" spans="1:9" x14ac:dyDescent="0.25">
      <c r="A90" s="130" t="s">
        <v>688</v>
      </c>
      <c r="B90" s="130" t="s">
        <v>753</v>
      </c>
      <c r="C90" s="130" t="s">
        <v>778</v>
      </c>
      <c r="D90" s="130" t="s">
        <v>903</v>
      </c>
      <c r="E90" s="130" t="s">
        <v>402</v>
      </c>
      <c r="F90" s="130" t="s">
        <v>996</v>
      </c>
      <c r="G90" s="130">
        <v>410</v>
      </c>
      <c r="H90" s="130">
        <v>73</v>
      </c>
      <c r="I90" s="131">
        <f t="shared" si="1"/>
        <v>17.804878048780488</v>
      </c>
    </row>
    <row r="91" spans="1:9" x14ac:dyDescent="0.25">
      <c r="A91" s="130" t="s">
        <v>695</v>
      </c>
      <c r="B91" s="130" t="s">
        <v>766</v>
      </c>
      <c r="C91" s="130" t="s">
        <v>814</v>
      </c>
      <c r="D91" s="130" t="s">
        <v>238</v>
      </c>
      <c r="E91" s="130" t="s">
        <v>403</v>
      </c>
      <c r="F91" s="130" t="s">
        <v>997</v>
      </c>
      <c r="G91" s="130">
        <v>4377</v>
      </c>
      <c r="H91" s="130">
        <v>1935</v>
      </c>
      <c r="I91" s="131">
        <f t="shared" si="1"/>
        <v>44.208361891706652</v>
      </c>
    </row>
    <row r="92" spans="1:9" x14ac:dyDescent="0.25">
      <c r="A92" s="130" t="s">
        <v>688</v>
      </c>
      <c r="B92" s="130" t="s">
        <v>753</v>
      </c>
      <c r="C92" s="130" t="s">
        <v>688</v>
      </c>
      <c r="D92" s="130" t="s">
        <v>937</v>
      </c>
      <c r="E92" s="130" t="s">
        <v>404</v>
      </c>
      <c r="F92" s="130" t="s">
        <v>998</v>
      </c>
      <c r="G92" s="130">
        <v>156</v>
      </c>
      <c r="H92" s="130">
        <v>74</v>
      </c>
      <c r="I92" s="131">
        <f t="shared" si="1"/>
        <v>47.435897435897431</v>
      </c>
    </row>
    <row r="93" spans="1:9" x14ac:dyDescent="0.25">
      <c r="A93" s="130" t="s">
        <v>689</v>
      </c>
      <c r="B93" s="130" t="s">
        <v>775</v>
      </c>
      <c r="C93" s="130" t="s">
        <v>815</v>
      </c>
      <c r="D93" s="130" t="s">
        <v>999</v>
      </c>
      <c r="E93" s="130" t="s">
        <v>405</v>
      </c>
      <c r="F93" s="130" t="s">
        <v>1000</v>
      </c>
      <c r="G93" s="130">
        <v>154</v>
      </c>
      <c r="H93" s="130">
        <v>61</v>
      </c>
      <c r="I93" s="131">
        <f t="shared" si="1"/>
        <v>39.61038961038961</v>
      </c>
    </row>
    <row r="94" spans="1:9" x14ac:dyDescent="0.25">
      <c r="A94" s="130" t="s">
        <v>696</v>
      </c>
      <c r="B94" s="130" t="s">
        <v>770</v>
      </c>
      <c r="C94" s="130" t="s">
        <v>782</v>
      </c>
      <c r="D94" s="130" t="s">
        <v>911</v>
      </c>
      <c r="E94" s="130" t="s">
        <v>406</v>
      </c>
      <c r="F94" s="130" t="s">
        <v>1001</v>
      </c>
      <c r="G94" s="130">
        <v>262</v>
      </c>
      <c r="H94" s="130">
        <v>81</v>
      </c>
      <c r="I94" s="131">
        <f t="shared" si="1"/>
        <v>30.916030534351147</v>
      </c>
    </row>
    <row r="95" spans="1:9" x14ac:dyDescent="0.25">
      <c r="A95" s="130" t="s">
        <v>691</v>
      </c>
      <c r="B95" s="130" t="s">
        <v>760</v>
      </c>
      <c r="C95" s="130" t="s">
        <v>781</v>
      </c>
      <c r="D95" s="130" t="s">
        <v>909</v>
      </c>
      <c r="E95" s="130" t="s">
        <v>408</v>
      </c>
      <c r="F95" s="130" t="s">
        <v>1002</v>
      </c>
      <c r="G95" s="130">
        <v>413</v>
      </c>
      <c r="H95" s="130">
        <v>290</v>
      </c>
      <c r="I95" s="131">
        <f t="shared" si="1"/>
        <v>70.217917675544797</v>
      </c>
    </row>
    <row r="96" spans="1:9" x14ac:dyDescent="0.25">
      <c r="A96" s="130" t="s">
        <v>686</v>
      </c>
      <c r="B96" s="130" t="s">
        <v>755</v>
      </c>
      <c r="C96" s="130" t="s">
        <v>816</v>
      </c>
      <c r="D96" s="130" t="s">
        <v>1003</v>
      </c>
      <c r="E96" s="130" t="s">
        <v>409</v>
      </c>
      <c r="F96" s="130" t="s">
        <v>1004</v>
      </c>
      <c r="G96" s="130">
        <v>274</v>
      </c>
      <c r="H96" s="130">
        <v>66</v>
      </c>
      <c r="I96" s="131">
        <f t="shared" si="1"/>
        <v>24.087591240875913</v>
      </c>
    </row>
    <row r="97" spans="1:9" x14ac:dyDescent="0.25">
      <c r="A97" s="130" t="s">
        <v>688</v>
      </c>
      <c r="B97" s="130" t="s">
        <v>753</v>
      </c>
      <c r="C97" s="130" t="s">
        <v>693</v>
      </c>
      <c r="D97" s="130" t="s">
        <v>1005</v>
      </c>
      <c r="E97" s="130" t="s">
        <v>410</v>
      </c>
      <c r="F97" s="130" t="s">
        <v>1006</v>
      </c>
      <c r="G97" s="130">
        <v>228</v>
      </c>
      <c r="H97" s="130">
        <v>67</v>
      </c>
      <c r="I97" s="131">
        <f t="shared" si="1"/>
        <v>29.385964912280706</v>
      </c>
    </row>
    <row r="98" spans="1:9" x14ac:dyDescent="0.25">
      <c r="A98" s="130" t="s">
        <v>696</v>
      </c>
      <c r="B98" s="130" t="s">
        <v>770</v>
      </c>
      <c r="C98" s="130" t="s">
        <v>771</v>
      </c>
      <c r="D98" s="130" t="s">
        <v>886</v>
      </c>
      <c r="E98" s="130" t="s">
        <v>411</v>
      </c>
      <c r="F98" s="130" t="s">
        <v>1007</v>
      </c>
      <c r="G98" s="130">
        <v>215</v>
      </c>
      <c r="H98" s="130">
        <v>84</v>
      </c>
      <c r="I98" s="131">
        <f t="shared" si="1"/>
        <v>39.069767441860463</v>
      </c>
    </row>
    <row r="99" spans="1:9" x14ac:dyDescent="0.25">
      <c r="A99" s="130" t="s">
        <v>688</v>
      </c>
      <c r="B99" s="130" t="s">
        <v>753</v>
      </c>
      <c r="C99" s="130" t="s">
        <v>817</v>
      </c>
      <c r="D99" s="130" t="s">
        <v>1008</v>
      </c>
      <c r="E99" s="130" t="s">
        <v>645</v>
      </c>
      <c r="F99" s="130" t="s">
        <v>1009</v>
      </c>
      <c r="G99" s="130">
        <v>287</v>
      </c>
      <c r="H99" s="130">
        <v>119</v>
      </c>
      <c r="I99" s="131">
        <f t="shared" si="1"/>
        <v>41.463414634146339</v>
      </c>
    </row>
    <row r="100" spans="1:9" x14ac:dyDescent="0.25">
      <c r="A100" s="130" t="s">
        <v>689</v>
      </c>
      <c r="B100" s="130" t="s">
        <v>775</v>
      </c>
      <c r="C100" s="130" t="s">
        <v>810</v>
      </c>
      <c r="D100" s="130" t="s">
        <v>59</v>
      </c>
      <c r="E100" s="130" t="s">
        <v>412</v>
      </c>
      <c r="F100" s="130" t="s">
        <v>1010</v>
      </c>
      <c r="G100" s="130">
        <v>208</v>
      </c>
      <c r="H100" s="130">
        <v>129</v>
      </c>
      <c r="I100" s="131">
        <f t="shared" si="1"/>
        <v>62.019230769230774</v>
      </c>
    </row>
    <row r="101" spans="1:9" x14ac:dyDescent="0.25">
      <c r="A101" s="130" t="s">
        <v>695</v>
      </c>
      <c r="B101" s="130" t="s">
        <v>766</v>
      </c>
      <c r="C101" s="130" t="s">
        <v>767</v>
      </c>
      <c r="D101" s="130" t="s">
        <v>305</v>
      </c>
      <c r="E101" s="130" t="s">
        <v>413</v>
      </c>
      <c r="F101" s="130" t="s">
        <v>1011</v>
      </c>
      <c r="G101" s="130">
        <v>142</v>
      </c>
      <c r="H101" s="130">
        <v>70</v>
      </c>
      <c r="I101" s="131">
        <f t="shared" si="1"/>
        <v>49.295774647887328</v>
      </c>
    </row>
    <row r="102" spans="1:9" x14ac:dyDescent="0.25">
      <c r="A102" s="130" t="s">
        <v>690</v>
      </c>
      <c r="B102" s="130" t="s">
        <v>758</v>
      </c>
      <c r="C102" s="130" t="s">
        <v>818</v>
      </c>
      <c r="D102" s="130" t="s">
        <v>1012</v>
      </c>
      <c r="E102" s="130" t="s">
        <v>414</v>
      </c>
      <c r="F102" s="130" t="s">
        <v>1013</v>
      </c>
      <c r="G102" s="130">
        <v>149</v>
      </c>
      <c r="H102" s="130">
        <v>95</v>
      </c>
      <c r="I102" s="131">
        <f t="shared" si="1"/>
        <v>63.758389261744966</v>
      </c>
    </row>
    <row r="103" spans="1:9" x14ac:dyDescent="0.25">
      <c r="A103" s="130" t="s">
        <v>695</v>
      </c>
      <c r="B103" s="130" t="s">
        <v>766</v>
      </c>
      <c r="C103" s="130" t="s">
        <v>797</v>
      </c>
      <c r="D103" s="130" t="s">
        <v>945</v>
      </c>
      <c r="E103" s="130" t="s">
        <v>415</v>
      </c>
      <c r="F103" s="130" t="s">
        <v>1014</v>
      </c>
      <c r="G103" s="130">
        <v>227</v>
      </c>
      <c r="H103" s="130">
        <v>82</v>
      </c>
      <c r="I103" s="131">
        <f t="shared" si="1"/>
        <v>36.12334801762114</v>
      </c>
    </row>
    <row r="104" spans="1:9" x14ac:dyDescent="0.25">
      <c r="A104" s="130" t="s">
        <v>688</v>
      </c>
      <c r="B104" s="130" t="s">
        <v>753</v>
      </c>
      <c r="C104" s="130" t="s">
        <v>754</v>
      </c>
      <c r="D104" s="130" t="s">
        <v>861</v>
      </c>
      <c r="E104" s="130" t="s">
        <v>416</v>
      </c>
      <c r="F104" s="130" t="s">
        <v>1015</v>
      </c>
      <c r="G104" s="130">
        <v>202</v>
      </c>
      <c r="H104" s="130">
        <v>99</v>
      </c>
      <c r="I104" s="131">
        <f t="shared" si="1"/>
        <v>49.009900990099013</v>
      </c>
    </row>
    <row r="105" spans="1:9" x14ac:dyDescent="0.25">
      <c r="A105" s="130" t="s">
        <v>691</v>
      </c>
      <c r="B105" s="130" t="s">
        <v>760</v>
      </c>
      <c r="C105" s="130" t="s">
        <v>820</v>
      </c>
      <c r="D105" s="130" t="s">
        <v>1016</v>
      </c>
      <c r="E105" s="130" t="s">
        <v>417</v>
      </c>
      <c r="F105" s="130" t="s">
        <v>1017</v>
      </c>
      <c r="G105" s="130">
        <v>308</v>
      </c>
      <c r="H105" s="130">
        <v>126</v>
      </c>
      <c r="I105" s="131">
        <f t="shared" si="1"/>
        <v>40.909090909090914</v>
      </c>
    </row>
    <row r="106" spans="1:9" x14ac:dyDescent="0.25">
      <c r="A106" s="130" t="s">
        <v>693</v>
      </c>
      <c r="B106" s="130" t="s">
        <v>763</v>
      </c>
      <c r="C106" s="130" t="s">
        <v>821</v>
      </c>
      <c r="D106" s="130" t="s">
        <v>1018</v>
      </c>
      <c r="E106" s="130" t="s">
        <v>418</v>
      </c>
      <c r="F106" s="130" t="s">
        <v>1019</v>
      </c>
      <c r="G106" s="130">
        <v>172</v>
      </c>
      <c r="H106" s="130">
        <v>74</v>
      </c>
      <c r="I106" s="131">
        <f t="shared" si="1"/>
        <v>43.02325581395349</v>
      </c>
    </row>
    <row r="107" spans="1:9" x14ac:dyDescent="0.25">
      <c r="A107" s="130" t="s">
        <v>689</v>
      </c>
      <c r="B107" s="130" t="s">
        <v>775</v>
      </c>
      <c r="C107" s="130" t="s">
        <v>803</v>
      </c>
      <c r="D107" s="130" t="s">
        <v>959</v>
      </c>
      <c r="E107" s="130" t="s">
        <v>419</v>
      </c>
      <c r="F107" s="130" t="s">
        <v>1020</v>
      </c>
      <c r="G107" s="130">
        <v>96</v>
      </c>
      <c r="H107" s="130">
        <v>63</v>
      </c>
      <c r="I107" s="131">
        <f t="shared" si="1"/>
        <v>65.625</v>
      </c>
    </row>
    <row r="108" spans="1:9" x14ac:dyDescent="0.25">
      <c r="A108" s="130" t="s">
        <v>691</v>
      </c>
      <c r="B108" s="130" t="s">
        <v>760</v>
      </c>
      <c r="C108" s="130" t="s">
        <v>773</v>
      </c>
      <c r="D108" s="130" t="s">
        <v>891</v>
      </c>
      <c r="E108" s="130" t="s">
        <v>420</v>
      </c>
      <c r="F108" s="130" t="s">
        <v>1021</v>
      </c>
      <c r="G108" s="130">
        <v>484</v>
      </c>
      <c r="H108" s="130">
        <v>273</v>
      </c>
      <c r="I108" s="131">
        <f t="shared" si="1"/>
        <v>56.404958677685947</v>
      </c>
    </row>
    <row r="109" spans="1:9" x14ac:dyDescent="0.25">
      <c r="A109" s="130" t="s">
        <v>686</v>
      </c>
      <c r="B109" s="130" t="s">
        <v>755</v>
      </c>
      <c r="C109" s="130" t="s">
        <v>822</v>
      </c>
      <c r="D109" s="130" t="s">
        <v>1022</v>
      </c>
      <c r="E109" s="130" t="s">
        <v>421</v>
      </c>
      <c r="F109" s="130" t="s">
        <v>1023</v>
      </c>
      <c r="G109" s="130">
        <v>172</v>
      </c>
      <c r="H109" s="130">
        <v>90</v>
      </c>
      <c r="I109" s="131">
        <f t="shared" si="1"/>
        <v>52.325581395348841</v>
      </c>
    </row>
    <row r="110" spans="1:9" x14ac:dyDescent="0.25">
      <c r="A110" s="130" t="s">
        <v>692</v>
      </c>
      <c r="B110" s="130" t="s">
        <v>761</v>
      </c>
      <c r="C110" s="130" t="s">
        <v>823</v>
      </c>
      <c r="D110" s="130" t="s">
        <v>1024</v>
      </c>
      <c r="E110" s="130" t="s">
        <v>422</v>
      </c>
      <c r="F110" s="130" t="s">
        <v>1025</v>
      </c>
      <c r="G110" s="130">
        <v>650</v>
      </c>
      <c r="H110" s="130">
        <v>350</v>
      </c>
      <c r="I110" s="131">
        <f t="shared" si="1"/>
        <v>53.846153846153847</v>
      </c>
    </row>
    <row r="111" spans="1:9" x14ac:dyDescent="0.25">
      <c r="A111" s="130" t="s">
        <v>688</v>
      </c>
      <c r="B111" s="130" t="s">
        <v>753</v>
      </c>
      <c r="C111" s="130" t="s">
        <v>789</v>
      </c>
      <c r="D111" s="130" t="s">
        <v>925</v>
      </c>
      <c r="E111" s="130" t="s">
        <v>423</v>
      </c>
      <c r="F111" s="130" t="s">
        <v>1026</v>
      </c>
      <c r="G111" s="130">
        <v>485</v>
      </c>
      <c r="H111" s="130">
        <v>200</v>
      </c>
      <c r="I111" s="131">
        <f t="shared" si="1"/>
        <v>41.237113402061851</v>
      </c>
    </row>
    <row r="112" spans="1:9" x14ac:dyDescent="0.25">
      <c r="A112" s="130" t="s">
        <v>691</v>
      </c>
      <c r="B112" s="130" t="s">
        <v>760</v>
      </c>
      <c r="C112" s="130" t="s">
        <v>824</v>
      </c>
      <c r="D112" s="130" t="s">
        <v>1027</v>
      </c>
      <c r="E112" s="130" t="s">
        <v>424</v>
      </c>
      <c r="F112" s="130" t="s">
        <v>1028</v>
      </c>
      <c r="G112" s="130">
        <v>1572</v>
      </c>
      <c r="H112" s="130">
        <v>1021</v>
      </c>
      <c r="I112" s="131">
        <f t="shared" si="1"/>
        <v>64.949109414758269</v>
      </c>
    </row>
    <row r="113" spans="1:9" x14ac:dyDescent="0.25">
      <c r="A113" s="130" t="s">
        <v>692</v>
      </c>
      <c r="B113" s="130" t="s">
        <v>761</v>
      </c>
      <c r="C113" s="130" t="s">
        <v>796</v>
      </c>
      <c r="D113" s="130" t="s">
        <v>943</v>
      </c>
      <c r="E113" s="130" t="s">
        <v>425</v>
      </c>
      <c r="F113" s="130" t="s">
        <v>1029</v>
      </c>
      <c r="G113" s="130">
        <v>809</v>
      </c>
      <c r="H113" s="130">
        <v>484</v>
      </c>
      <c r="I113" s="131">
        <f t="shared" si="1"/>
        <v>59.82694684796045</v>
      </c>
    </row>
    <row r="114" spans="1:9" x14ac:dyDescent="0.25">
      <c r="A114" s="130" t="s">
        <v>689</v>
      </c>
      <c r="B114" s="130" t="s">
        <v>775</v>
      </c>
      <c r="C114" s="130" t="s">
        <v>825</v>
      </c>
      <c r="D114" s="130" t="s">
        <v>1030</v>
      </c>
      <c r="E114" s="130" t="s">
        <v>426</v>
      </c>
      <c r="F114" s="130" t="s">
        <v>1031</v>
      </c>
      <c r="G114" s="130">
        <v>185</v>
      </c>
      <c r="H114" s="130">
        <v>72</v>
      </c>
      <c r="I114" s="131">
        <f t="shared" si="1"/>
        <v>38.918918918918919</v>
      </c>
    </row>
    <row r="115" spans="1:9" x14ac:dyDescent="0.25">
      <c r="A115" s="130" t="s">
        <v>690</v>
      </c>
      <c r="B115" s="130" t="s">
        <v>758</v>
      </c>
      <c r="C115" s="130" t="s">
        <v>826</v>
      </c>
      <c r="D115" s="130" t="s">
        <v>1032</v>
      </c>
      <c r="E115" s="130" t="s">
        <v>427</v>
      </c>
      <c r="F115" s="130" t="s">
        <v>1033</v>
      </c>
      <c r="G115" s="130">
        <v>179</v>
      </c>
      <c r="H115" s="130">
        <v>64</v>
      </c>
      <c r="I115" s="131">
        <f t="shared" si="1"/>
        <v>35.754189944134076</v>
      </c>
    </row>
    <row r="116" spans="1:9" x14ac:dyDescent="0.25">
      <c r="A116" s="130" t="s">
        <v>688</v>
      </c>
      <c r="B116" s="130" t="s">
        <v>753</v>
      </c>
      <c r="C116" s="130" t="s">
        <v>787</v>
      </c>
      <c r="D116" s="130" t="s">
        <v>921</v>
      </c>
      <c r="E116" s="130" t="s">
        <v>428</v>
      </c>
      <c r="F116" s="130" t="s">
        <v>1034</v>
      </c>
      <c r="G116" s="130">
        <v>381</v>
      </c>
      <c r="H116" s="130">
        <v>101</v>
      </c>
      <c r="I116" s="131">
        <f t="shared" si="1"/>
        <v>26.509186351706038</v>
      </c>
    </row>
    <row r="117" spans="1:9" x14ac:dyDescent="0.25">
      <c r="A117" s="130" t="s">
        <v>690</v>
      </c>
      <c r="B117" s="130" t="s">
        <v>758</v>
      </c>
      <c r="C117" s="130" t="s">
        <v>799</v>
      </c>
      <c r="D117" s="130" t="s">
        <v>951</v>
      </c>
      <c r="E117" s="130" t="s">
        <v>429</v>
      </c>
      <c r="F117" s="130" t="s">
        <v>1035</v>
      </c>
      <c r="G117" s="130">
        <v>176</v>
      </c>
      <c r="H117" s="130">
        <v>84</v>
      </c>
      <c r="I117" s="131">
        <f t="shared" si="1"/>
        <v>47.727272727272727</v>
      </c>
    </row>
    <row r="118" spans="1:9" x14ac:dyDescent="0.25">
      <c r="A118" s="130" t="s">
        <v>686</v>
      </c>
      <c r="B118" s="130" t="s">
        <v>755</v>
      </c>
      <c r="C118" s="130" t="s">
        <v>768</v>
      </c>
      <c r="D118" s="130" t="s">
        <v>882</v>
      </c>
      <c r="E118" s="130" t="s">
        <v>430</v>
      </c>
      <c r="F118" s="130" t="s">
        <v>1036</v>
      </c>
      <c r="G118" s="130">
        <v>695</v>
      </c>
      <c r="H118" s="130">
        <v>69</v>
      </c>
      <c r="I118" s="131">
        <f t="shared" si="1"/>
        <v>9.928057553956835</v>
      </c>
    </row>
    <row r="119" spans="1:9" x14ac:dyDescent="0.25">
      <c r="A119" s="130" t="s">
        <v>691</v>
      </c>
      <c r="B119" s="130" t="s">
        <v>760</v>
      </c>
      <c r="C119" s="130" t="s">
        <v>827</v>
      </c>
      <c r="D119" s="130" t="s">
        <v>191</v>
      </c>
      <c r="E119" s="130" t="s">
        <v>431</v>
      </c>
      <c r="F119" s="130" t="s">
        <v>1037</v>
      </c>
      <c r="G119" s="130">
        <v>74</v>
      </c>
      <c r="H119" s="130">
        <v>53</v>
      </c>
      <c r="I119" s="131">
        <f t="shared" si="1"/>
        <v>71.621621621621628</v>
      </c>
    </row>
    <row r="120" spans="1:9" x14ac:dyDescent="0.25">
      <c r="A120" s="130" t="s">
        <v>688</v>
      </c>
      <c r="B120" s="130" t="s">
        <v>753</v>
      </c>
      <c r="C120" s="130" t="s">
        <v>778</v>
      </c>
      <c r="D120" s="130" t="s">
        <v>903</v>
      </c>
      <c r="E120" s="130" t="s">
        <v>432</v>
      </c>
      <c r="F120" s="130" t="s">
        <v>1038</v>
      </c>
      <c r="G120" s="130">
        <v>202</v>
      </c>
      <c r="H120" s="130">
        <v>65</v>
      </c>
      <c r="I120" s="131">
        <f t="shared" si="1"/>
        <v>32.178217821782177</v>
      </c>
    </row>
    <row r="121" spans="1:9" x14ac:dyDescent="0.25">
      <c r="A121" s="130" t="s">
        <v>689</v>
      </c>
      <c r="B121" s="130" t="s">
        <v>775</v>
      </c>
      <c r="C121" s="130" t="s">
        <v>828</v>
      </c>
      <c r="D121" s="130" t="s">
        <v>1039</v>
      </c>
      <c r="E121" s="130" t="s">
        <v>433</v>
      </c>
      <c r="F121" s="130" t="s">
        <v>1040</v>
      </c>
      <c r="G121" s="130">
        <v>881</v>
      </c>
      <c r="H121" s="130">
        <v>338</v>
      </c>
      <c r="I121" s="131">
        <f t="shared" si="1"/>
        <v>38.365493757094207</v>
      </c>
    </row>
    <row r="122" spans="1:9" x14ac:dyDescent="0.25">
      <c r="A122" s="130" t="s">
        <v>686</v>
      </c>
      <c r="B122" s="130" t="s">
        <v>755</v>
      </c>
      <c r="C122" s="130" t="s">
        <v>794</v>
      </c>
      <c r="D122" s="130" t="s">
        <v>274</v>
      </c>
      <c r="E122" s="130" t="s">
        <v>434</v>
      </c>
      <c r="F122" s="130" t="s">
        <v>1041</v>
      </c>
      <c r="G122" s="130">
        <v>179</v>
      </c>
      <c r="H122" s="130">
        <v>59</v>
      </c>
      <c r="I122" s="131">
        <f t="shared" si="1"/>
        <v>32.960893854748605</v>
      </c>
    </row>
    <row r="123" spans="1:9" x14ac:dyDescent="0.25">
      <c r="A123" s="130" t="s">
        <v>691</v>
      </c>
      <c r="B123" s="130" t="s">
        <v>760</v>
      </c>
      <c r="C123" s="130" t="s">
        <v>820</v>
      </c>
      <c r="D123" s="130" t="s">
        <v>1016</v>
      </c>
      <c r="E123" s="130" t="s">
        <v>435</v>
      </c>
      <c r="F123" s="130" t="s">
        <v>1042</v>
      </c>
      <c r="G123" s="130">
        <v>124</v>
      </c>
      <c r="H123" s="130">
        <v>74</v>
      </c>
      <c r="I123" s="131">
        <f t="shared" si="1"/>
        <v>59.677419354838712</v>
      </c>
    </row>
    <row r="124" spans="1:9" x14ac:dyDescent="0.25">
      <c r="A124" s="130" t="s">
        <v>689</v>
      </c>
      <c r="B124" s="130" t="s">
        <v>775</v>
      </c>
      <c r="C124" s="130" t="s">
        <v>695</v>
      </c>
      <c r="D124" s="130" t="s">
        <v>1043</v>
      </c>
      <c r="E124" s="130" t="s">
        <v>436</v>
      </c>
      <c r="F124" s="130" t="s">
        <v>1044</v>
      </c>
      <c r="G124" s="130">
        <v>262</v>
      </c>
      <c r="H124" s="130">
        <v>121</v>
      </c>
      <c r="I124" s="131">
        <f t="shared" si="1"/>
        <v>46.18320610687023</v>
      </c>
    </row>
    <row r="125" spans="1:9" x14ac:dyDescent="0.25">
      <c r="A125" s="130" t="s">
        <v>688</v>
      </c>
      <c r="B125" s="130" t="s">
        <v>753</v>
      </c>
      <c r="C125" s="130" t="s">
        <v>829</v>
      </c>
      <c r="D125" s="130" t="s">
        <v>1045</v>
      </c>
      <c r="E125" s="130" t="s">
        <v>437</v>
      </c>
      <c r="F125" s="130" t="s">
        <v>1046</v>
      </c>
      <c r="G125" s="130">
        <v>202</v>
      </c>
      <c r="H125" s="130">
        <v>91</v>
      </c>
      <c r="I125" s="131">
        <f t="shared" si="1"/>
        <v>45.049504950495049</v>
      </c>
    </row>
    <row r="126" spans="1:9" x14ac:dyDescent="0.25">
      <c r="A126" s="130" t="s">
        <v>688</v>
      </c>
      <c r="B126" s="130" t="s">
        <v>753</v>
      </c>
      <c r="C126" s="130" t="s">
        <v>788</v>
      </c>
      <c r="D126" s="130" t="s">
        <v>923</v>
      </c>
      <c r="E126" s="130" t="s">
        <v>438</v>
      </c>
      <c r="F126" s="130" t="s">
        <v>1047</v>
      </c>
      <c r="G126" s="130">
        <v>627</v>
      </c>
      <c r="H126" s="130">
        <v>217</v>
      </c>
      <c r="I126" s="131">
        <f t="shared" si="1"/>
        <v>34.609250398724086</v>
      </c>
    </row>
    <row r="127" spans="1:9" x14ac:dyDescent="0.25">
      <c r="A127" s="130" t="s">
        <v>689</v>
      </c>
      <c r="B127" s="130" t="s">
        <v>775</v>
      </c>
      <c r="C127" s="130" t="s">
        <v>692</v>
      </c>
      <c r="D127" s="130" t="s">
        <v>895</v>
      </c>
      <c r="E127" s="130" t="s">
        <v>439</v>
      </c>
      <c r="F127" s="130" t="s">
        <v>1048</v>
      </c>
      <c r="G127" s="130">
        <v>175</v>
      </c>
      <c r="H127" s="130">
        <v>81</v>
      </c>
      <c r="I127" s="131">
        <f t="shared" si="1"/>
        <v>46.285714285714285</v>
      </c>
    </row>
    <row r="128" spans="1:9" x14ac:dyDescent="0.25">
      <c r="A128" s="130" t="s">
        <v>688</v>
      </c>
      <c r="B128" s="130" t="s">
        <v>753</v>
      </c>
      <c r="C128" s="130" t="s">
        <v>778</v>
      </c>
      <c r="D128" s="130" t="s">
        <v>903</v>
      </c>
      <c r="E128" s="130" t="s">
        <v>440</v>
      </c>
      <c r="F128" s="130" t="s">
        <v>1049</v>
      </c>
      <c r="G128" s="130">
        <v>329</v>
      </c>
      <c r="H128" s="130">
        <v>97</v>
      </c>
      <c r="I128" s="131">
        <f t="shared" si="1"/>
        <v>29.483282674772038</v>
      </c>
    </row>
    <row r="129" spans="1:9" x14ac:dyDescent="0.25">
      <c r="A129" s="130" t="s">
        <v>686</v>
      </c>
      <c r="B129" s="130" t="s">
        <v>755</v>
      </c>
      <c r="C129" s="130" t="s">
        <v>756</v>
      </c>
      <c r="D129" s="130" t="s">
        <v>863</v>
      </c>
      <c r="E129" s="130" t="s">
        <v>441</v>
      </c>
      <c r="F129" s="130" t="s">
        <v>1050</v>
      </c>
      <c r="G129" s="130">
        <v>183</v>
      </c>
      <c r="H129" s="130">
        <v>60</v>
      </c>
      <c r="I129" s="131">
        <f t="shared" si="1"/>
        <v>32.786885245901637</v>
      </c>
    </row>
    <row r="130" spans="1:9" x14ac:dyDescent="0.25">
      <c r="A130" s="130" t="s">
        <v>695</v>
      </c>
      <c r="B130" s="130" t="s">
        <v>766</v>
      </c>
      <c r="C130" s="130" t="s">
        <v>797</v>
      </c>
      <c r="D130" s="130" t="s">
        <v>945</v>
      </c>
      <c r="E130" s="130" t="s">
        <v>442</v>
      </c>
      <c r="F130" s="130" t="s">
        <v>1051</v>
      </c>
      <c r="G130" s="130">
        <v>510</v>
      </c>
      <c r="H130" s="130">
        <v>231</v>
      </c>
      <c r="I130" s="131">
        <f t="shared" si="1"/>
        <v>45.294117647058826</v>
      </c>
    </row>
    <row r="131" spans="1:9" x14ac:dyDescent="0.25">
      <c r="A131" s="130" t="s">
        <v>693</v>
      </c>
      <c r="B131" s="130" t="s">
        <v>763</v>
      </c>
      <c r="C131" s="130" t="s">
        <v>821</v>
      </c>
      <c r="D131" s="130" t="s">
        <v>1018</v>
      </c>
      <c r="E131" s="130" t="s">
        <v>443</v>
      </c>
      <c r="F131" s="130" t="s">
        <v>1052</v>
      </c>
      <c r="G131" s="130">
        <v>127</v>
      </c>
      <c r="H131" s="130">
        <v>37</v>
      </c>
      <c r="I131" s="131">
        <f t="shared" ref="I131:I194" si="2">H131/G131*100</f>
        <v>29.133858267716533</v>
      </c>
    </row>
    <row r="132" spans="1:9" x14ac:dyDescent="0.25">
      <c r="A132" s="130" t="s">
        <v>689</v>
      </c>
      <c r="B132" s="130" t="s">
        <v>775</v>
      </c>
      <c r="C132" s="130" t="s">
        <v>825</v>
      </c>
      <c r="D132" s="130" t="s">
        <v>1030</v>
      </c>
      <c r="E132" s="130" t="s">
        <v>444</v>
      </c>
      <c r="F132" s="130" t="s">
        <v>1053</v>
      </c>
      <c r="G132" s="130">
        <v>80</v>
      </c>
      <c r="H132" s="130">
        <v>55</v>
      </c>
      <c r="I132" s="131">
        <f t="shared" si="2"/>
        <v>68.75</v>
      </c>
    </row>
    <row r="133" spans="1:9" x14ac:dyDescent="0.25">
      <c r="A133" s="130" t="s">
        <v>688</v>
      </c>
      <c r="B133" s="130" t="s">
        <v>753</v>
      </c>
      <c r="C133" s="130" t="s">
        <v>791</v>
      </c>
      <c r="D133" s="130" t="s">
        <v>929</v>
      </c>
      <c r="E133" s="130" t="s">
        <v>445</v>
      </c>
      <c r="F133" s="130" t="s">
        <v>1054</v>
      </c>
      <c r="G133" s="130">
        <v>470</v>
      </c>
      <c r="H133" s="130">
        <v>271</v>
      </c>
      <c r="I133" s="131">
        <f t="shared" si="2"/>
        <v>57.659574468085104</v>
      </c>
    </row>
    <row r="134" spans="1:9" x14ac:dyDescent="0.25">
      <c r="A134" s="130" t="s">
        <v>689</v>
      </c>
      <c r="B134" s="130" t="s">
        <v>775</v>
      </c>
      <c r="C134" s="130" t="s">
        <v>822</v>
      </c>
      <c r="D134" s="130" t="s">
        <v>1022</v>
      </c>
      <c r="E134" s="130" t="s">
        <v>446</v>
      </c>
      <c r="F134" s="130" t="s">
        <v>1055</v>
      </c>
      <c r="G134" s="130">
        <v>595</v>
      </c>
      <c r="H134" s="130">
        <v>266</v>
      </c>
      <c r="I134" s="131">
        <f t="shared" si="2"/>
        <v>44.705882352941181</v>
      </c>
    </row>
    <row r="135" spans="1:9" x14ac:dyDescent="0.25">
      <c r="A135" s="130" t="s">
        <v>691</v>
      </c>
      <c r="B135" s="130" t="s">
        <v>760</v>
      </c>
      <c r="C135" s="130" t="s">
        <v>830</v>
      </c>
      <c r="D135" s="130" t="s">
        <v>1056</v>
      </c>
      <c r="E135" s="130" t="s">
        <v>447</v>
      </c>
      <c r="F135" s="130" t="s">
        <v>1057</v>
      </c>
      <c r="G135" s="130">
        <v>152</v>
      </c>
      <c r="H135" s="130">
        <v>55</v>
      </c>
      <c r="I135" s="131">
        <f t="shared" si="2"/>
        <v>36.184210526315788</v>
      </c>
    </row>
    <row r="136" spans="1:9" x14ac:dyDescent="0.25">
      <c r="A136" s="130" t="s">
        <v>690</v>
      </c>
      <c r="B136" s="130" t="s">
        <v>758</v>
      </c>
      <c r="C136" s="130" t="s">
        <v>831</v>
      </c>
      <c r="D136" s="130" t="s">
        <v>1058</v>
      </c>
      <c r="E136" s="130" t="s">
        <v>448</v>
      </c>
      <c r="F136" s="130" t="s">
        <v>1059</v>
      </c>
      <c r="G136" s="130">
        <v>242</v>
      </c>
      <c r="H136" s="130">
        <v>132</v>
      </c>
      <c r="I136" s="131">
        <f t="shared" si="2"/>
        <v>54.54545454545454</v>
      </c>
    </row>
    <row r="137" spans="1:9" x14ac:dyDescent="0.25">
      <c r="A137" s="130" t="s">
        <v>693</v>
      </c>
      <c r="B137" s="130" t="s">
        <v>763</v>
      </c>
      <c r="C137" s="130" t="s">
        <v>832</v>
      </c>
      <c r="D137" s="130" t="s">
        <v>49</v>
      </c>
      <c r="E137" s="130" t="s">
        <v>449</v>
      </c>
      <c r="F137" s="130" t="s">
        <v>1060</v>
      </c>
      <c r="G137" s="130">
        <v>244</v>
      </c>
      <c r="H137" s="130">
        <v>52</v>
      </c>
      <c r="I137" s="131">
        <f t="shared" si="2"/>
        <v>21.311475409836063</v>
      </c>
    </row>
    <row r="138" spans="1:9" x14ac:dyDescent="0.25">
      <c r="A138" s="130" t="s">
        <v>690</v>
      </c>
      <c r="B138" s="130" t="s">
        <v>758</v>
      </c>
      <c r="C138" s="130" t="s">
        <v>759</v>
      </c>
      <c r="D138" s="130" t="s">
        <v>867</v>
      </c>
      <c r="E138" s="130" t="s">
        <v>450</v>
      </c>
      <c r="F138" s="130" t="s">
        <v>1061</v>
      </c>
      <c r="G138" s="130">
        <v>359</v>
      </c>
      <c r="H138" s="130">
        <v>63</v>
      </c>
      <c r="I138" s="131">
        <f t="shared" si="2"/>
        <v>17.548746518105848</v>
      </c>
    </row>
    <row r="139" spans="1:9" x14ac:dyDescent="0.25">
      <c r="A139" s="130" t="s">
        <v>695</v>
      </c>
      <c r="B139" s="130" t="s">
        <v>766</v>
      </c>
      <c r="C139" s="130" t="s">
        <v>833</v>
      </c>
      <c r="D139" s="130" t="s">
        <v>1062</v>
      </c>
      <c r="E139" s="130" t="s">
        <v>451</v>
      </c>
      <c r="F139" s="130" t="s">
        <v>1063</v>
      </c>
      <c r="G139" s="130">
        <v>349</v>
      </c>
      <c r="H139" s="130">
        <v>188</v>
      </c>
      <c r="I139" s="131">
        <f t="shared" si="2"/>
        <v>53.868194842406879</v>
      </c>
    </row>
    <row r="140" spans="1:9" x14ac:dyDescent="0.25">
      <c r="A140" s="130" t="s">
        <v>688</v>
      </c>
      <c r="B140" s="130" t="s">
        <v>753</v>
      </c>
      <c r="C140" s="130" t="s">
        <v>754</v>
      </c>
      <c r="D140" s="130" t="s">
        <v>861</v>
      </c>
      <c r="E140" s="130" t="s">
        <v>452</v>
      </c>
      <c r="F140" s="130" t="s">
        <v>1064</v>
      </c>
      <c r="G140" s="130">
        <v>192</v>
      </c>
      <c r="H140" s="130">
        <v>69</v>
      </c>
      <c r="I140" s="131">
        <f t="shared" si="2"/>
        <v>35.9375</v>
      </c>
    </row>
    <row r="141" spans="1:9" x14ac:dyDescent="0.25">
      <c r="A141" s="130" t="s">
        <v>688</v>
      </c>
      <c r="B141" s="130" t="s">
        <v>753</v>
      </c>
      <c r="C141" s="130" t="s">
        <v>688</v>
      </c>
      <c r="D141" s="130" t="s">
        <v>937</v>
      </c>
      <c r="E141" s="130" t="s">
        <v>453</v>
      </c>
      <c r="F141" s="130" t="s">
        <v>1065</v>
      </c>
      <c r="G141" s="130">
        <v>384</v>
      </c>
      <c r="H141" s="130">
        <v>95</v>
      </c>
      <c r="I141" s="131">
        <f t="shared" si="2"/>
        <v>24.739583333333336</v>
      </c>
    </row>
    <row r="142" spans="1:9" x14ac:dyDescent="0.25">
      <c r="A142" s="130" t="s">
        <v>691</v>
      </c>
      <c r="B142" s="130" t="s">
        <v>760</v>
      </c>
      <c r="C142" s="130" t="s">
        <v>827</v>
      </c>
      <c r="D142" s="130" t="s">
        <v>191</v>
      </c>
      <c r="E142" s="130" t="s">
        <v>454</v>
      </c>
      <c r="F142" s="130" t="s">
        <v>1066</v>
      </c>
      <c r="G142" s="130">
        <v>604</v>
      </c>
      <c r="H142" s="130">
        <v>259</v>
      </c>
      <c r="I142" s="131">
        <f t="shared" si="2"/>
        <v>42.880794701986758</v>
      </c>
    </row>
    <row r="143" spans="1:9" x14ac:dyDescent="0.25">
      <c r="A143" s="130" t="s">
        <v>688</v>
      </c>
      <c r="B143" s="130" t="s">
        <v>753</v>
      </c>
      <c r="C143" s="130" t="s">
        <v>693</v>
      </c>
      <c r="D143" s="130" t="s">
        <v>1005</v>
      </c>
      <c r="E143" s="130" t="s">
        <v>455</v>
      </c>
      <c r="F143" s="130" t="s">
        <v>1067</v>
      </c>
      <c r="G143" s="130">
        <v>575</v>
      </c>
      <c r="H143" s="130">
        <v>225</v>
      </c>
      <c r="I143" s="131">
        <f t="shared" si="2"/>
        <v>39.130434782608695</v>
      </c>
    </row>
    <row r="144" spans="1:9" x14ac:dyDescent="0.25">
      <c r="A144" s="130" t="s">
        <v>686</v>
      </c>
      <c r="B144" s="130" t="s">
        <v>755</v>
      </c>
      <c r="C144" s="130" t="s">
        <v>793</v>
      </c>
      <c r="D144" s="130" t="s">
        <v>934</v>
      </c>
      <c r="E144" s="130" t="s">
        <v>456</v>
      </c>
      <c r="F144" s="130" t="s">
        <v>1068</v>
      </c>
      <c r="G144" s="130">
        <v>1565</v>
      </c>
      <c r="H144" s="130">
        <v>496</v>
      </c>
      <c r="I144" s="131">
        <f t="shared" si="2"/>
        <v>31.693290734824281</v>
      </c>
    </row>
    <row r="145" spans="1:9" x14ac:dyDescent="0.25">
      <c r="A145" s="130" t="s">
        <v>686</v>
      </c>
      <c r="B145" s="130" t="s">
        <v>755</v>
      </c>
      <c r="C145" s="130" t="s">
        <v>816</v>
      </c>
      <c r="D145" s="130" t="s">
        <v>1003</v>
      </c>
      <c r="E145" s="130" t="s">
        <v>457</v>
      </c>
      <c r="F145" s="130" t="s">
        <v>1069</v>
      </c>
      <c r="G145" s="130">
        <v>334</v>
      </c>
      <c r="H145" s="130">
        <v>89</v>
      </c>
      <c r="I145" s="131">
        <f t="shared" si="2"/>
        <v>26.646706586826348</v>
      </c>
    </row>
    <row r="146" spans="1:9" x14ac:dyDescent="0.25">
      <c r="A146" s="130" t="s">
        <v>693</v>
      </c>
      <c r="B146" s="130" t="s">
        <v>763</v>
      </c>
      <c r="C146" s="130" t="s">
        <v>806</v>
      </c>
      <c r="D146" s="130" t="s">
        <v>966</v>
      </c>
      <c r="E146" s="130" t="s">
        <v>458</v>
      </c>
      <c r="F146" s="130" t="s">
        <v>1070</v>
      </c>
      <c r="G146" s="130">
        <v>6502</v>
      </c>
      <c r="H146" s="130">
        <v>2818</v>
      </c>
      <c r="I146" s="131">
        <f t="shared" si="2"/>
        <v>43.340510612119346</v>
      </c>
    </row>
    <row r="147" spans="1:9" x14ac:dyDescent="0.25">
      <c r="A147" s="130" t="s">
        <v>688</v>
      </c>
      <c r="B147" s="130" t="s">
        <v>753</v>
      </c>
      <c r="C147" s="130" t="s">
        <v>754</v>
      </c>
      <c r="D147" s="130" t="s">
        <v>861</v>
      </c>
      <c r="E147" s="130" t="s">
        <v>459</v>
      </c>
      <c r="F147" s="130" t="s">
        <v>1071</v>
      </c>
      <c r="G147" s="130">
        <v>432</v>
      </c>
      <c r="H147" s="130">
        <v>187</v>
      </c>
      <c r="I147" s="131">
        <f t="shared" si="2"/>
        <v>43.287037037037038</v>
      </c>
    </row>
    <row r="148" spans="1:9" x14ac:dyDescent="0.25">
      <c r="A148" s="130" t="s">
        <v>693</v>
      </c>
      <c r="B148" s="130" t="s">
        <v>763</v>
      </c>
      <c r="C148" s="130" t="s">
        <v>821</v>
      </c>
      <c r="D148" s="130" t="s">
        <v>1018</v>
      </c>
      <c r="E148" s="130" t="s">
        <v>460</v>
      </c>
      <c r="F148" s="130" t="s">
        <v>1072</v>
      </c>
      <c r="G148" s="130">
        <v>217</v>
      </c>
      <c r="H148" s="130">
        <v>91</v>
      </c>
      <c r="I148" s="131">
        <f t="shared" si="2"/>
        <v>41.935483870967744</v>
      </c>
    </row>
    <row r="149" spans="1:9" x14ac:dyDescent="0.25">
      <c r="A149" s="130" t="s">
        <v>689</v>
      </c>
      <c r="B149" s="130" t="s">
        <v>775</v>
      </c>
      <c r="C149" s="130" t="s">
        <v>794</v>
      </c>
      <c r="D149" s="130" t="s">
        <v>274</v>
      </c>
      <c r="E149" s="130" t="s">
        <v>461</v>
      </c>
      <c r="F149" s="130" t="s">
        <v>1073</v>
      </c>
      <c r="G149" s="130">
        <v>297</v>
      </c>
      <c r="H149" s="130">
        <v>110</v>
      </c>
      <c r="I149" s="131">
        <f t="shared" si="2"/>
        <v>37.037037037037038</v>
      </c>
    </row>
    <row r="150" spans="1:9" x14ac:dyDescent="0.25">
      <c r="A150" s="130" t="s">
        <v>688</v>
      </c>
      <c r="B150" s="130" t="s">
        <v>753</v>
      </c>
      <c r="C150" s="130" t="s">
        <v>696</v>
      </c>
      <c r="D150" s="130" t="s">
        <v>991</v>
      </c>
      <c r="E150" s="130" t="s">
        <v>462</v>
      </c>
      <c r="F150" s="130" t="s">
        <v>1074</v>
      </c>
      <c r="G150" s="130">
        <v>216</v>
      </c>
      <c r="H150" s="130">
        <v>44</v>
      </c>
      <c r="I150" s="131">
        <f t="shared" si="2"/>
        <v>20.37037037037037</v>
      </c>
    </row>
    <row r="151" spans="1:9" x14ac:dyDescent="0.25">
      <c r="A151" s="130" t="s">
        <v>691</v>
      </c>
      <c r="B151" s="130" t="s">
        <v>760</v>
      </c>
      <c r="C151" s="130" t="s">
        <v>834</v>
      </c>
      <c r="D151" s="130" t="s">
        <v>1075</v>
      </c>
      <c r="E151" s="130" t="s">
        <v>463</v>
      </c>
      <c r="F151" s="130" t="s">
        <v>1076</v>
      </c>
      <c r="G151" s="130">
        <v>507</v>
      </c>
      <c r="H151" s="130">
        <v>259</v>
      </c>
      <c r="I151" s="131">
        <f t="shared" si="2"/>
        <v>51.084812623274168</v>
      </c>
    </row>
    <row r="152" spans="1:9" x14ac:dyDescent="0.25">
      <c r="A152" s="130" t="s">
        <v>688</v>
      </c>
      <c r="B152" s="130" t="s">
        <v>753</v>
      </c>
      <c r="C152" s="130" t="s">
        <v>693</v>
      </c>
      <c r="D152" s="130" t="s">
        <v>1005</v>
      </c>
      <c r="E152" s="130" t="s">
        <v>464</v>
      </c>
      <c r="F152" s="130" t="s">
        <v>1077</v>
      </c>
      <c r="G152" s="130">
        <v>447</v>
      </c>
      <c r="H152" s="130">
        <v>94</v>
      </c>
      <c r="I152" s="131">
        <f t="shared" si="2"/>
        <v>21.029082774049218</v>
      </c>
    </row>
    <row r="153" spans="1:9" x14ac:dyDescent="0.25">
      <c r="A153" s="130" t="s">
        <v>686</v>
      </c>
      <c r="B153" s="130" t="s">
        <v>755</v>
      </c>
      <c r="C153" s="130" t="s">
        <v>772</v>
      </c>
      <c r="D153" s="130" t="s">
        <v>888</v>
      </c>
      <c r="E153" s="130" t="s">
        <v>465</v>
      </c>
      <c r="F153" s="130" t="s">
        <v>1078</v>
      </c>
      <c r="G153" s="130">
        <v>3131</v>
      </c>
      <c r="H153" s="130">
        <v>912</v>
      </c>
      <c r="I153" s="131">
        <f t="shared" si="2"/>
        <v>29.128074097732355</v>
      </c>
    </row>
    <row r="154" spans="1:9" x14ac:dyDescent="0.25">
      <c r="A154" s="130" t="s">
        <v>692</v>
      </c>
      <c r="B154" s="130" t="s">
        <v>761</v>
      </c>
      <c r="C154" s="130" t="s">
        <v>796</v>
      </c>
      <c r="D154" s="130" t="s">
        <v>943</v>
      </c>
      <c r="E154" s="130" t="s">
        <v>466</v>
      </c>
      <c r="F154" s="130" t="s">
        <v>1079</v>
      </c>
      <c r="G154" s="130">
        <v>711</v>
      </c>
      <c r="H154" s="130">
        <v>463</v>
      </c>
      <c r="I154" s="131">
        <f t="shared" si="2"/>
        <v>65.119549929676509</v>
      </c>
    </row>
    <row r="155" spans="1:9" x14ac:dyDescent="0.25">
      <c r="A155" s="130" t="s">
        <v>692</v>
      </c>
      <c r="B155" s="130" t="s">
        <v>761</v>
      </c>
      <c r="C155" s="130" t="s">
        <v>835</v>
      </c>
      <c r="D155" s="130" t="s">
        <v>180</v>
      </c>
      <c r="E155" s="130" t="s">
        <v>467</v>
      </c>
      <c r="F155" s="130" t="s">
        <v>1080</v>
      </c>
      <c r="G155" s="130">
        <v>136</v>
      </c>
      <c r="H155" s="130">
        <v>55</v>
      </c>
      <c r="I155" s="131">
        <f t="shared" si="2"/>
        <v>40.441176470588239</v>
      </c>
    </row>
    <row r="156" spans="1:9" x14ac:dyDescent="0.25">
      <c r="A156" s="130" t="s">
        <v>690</v>
      </c>
      <c r="B156" s="130" t="s">
        <v>758</v>
      </c>
      <c r="C156" s="130" t="s">
        <v>759</v>
      </c>
      <c r="D156" s="130" t="s">
        <v>867</v>
      </c>
      <c r="E156" s="130" t="s">
        <v>468</v>
      </c>
      <c r="F156" s="130" t="s">
        <v>1081</v>
      </c>
      <c r="G156" s="130">
        <v>201</v>
      </c>
      <c r="H156" s="130">
        <v>78</v>
      </c>
      <c r="I156" s="131">
        <f t="shared" si="2"/>
        <v>38.805970149253731</v>
      </c>
    </row>
    <row r="157" spans="1:9" x14ac:dyDescent="0.25">
      <c r="A157" s="130" t="s">
        <v>686</v>
      </c>
      <c r="B157" s="130" t="s">
        <v>755</v>
      </c>
      <c r="C157" s="130" t="s">
        <v>836</v>
      </c>
      <c r="D157" s="130" t="s">
        <v>669</v>
      </c>
      <c r="E157" s="130" t="s">
        <v>469</v>
      </c>
      <c r="F157" s="130" t="s">
        <v>1082</v>
      </c>
      <c r="G157" s="130">
        <v>674</v>
      </c>
      <c r="H157" s="130">
        <v>373</v>
      </c>
      <c r="I157" s="131">
        <f t="shared" si="2"/>
        <v>55.34124629080118</v>
      </c>
    </row>
    <row r="158" spans="1:9" x14ac:dyDescent="0.25">
      <c r="A158" s="130" t="s">
        <v>688</v>
      </c>
      <c r="B158" s="130" t="s">
        <v>753</v>
      </c>
      <c r="C158" s="130" t="s">
        <v>789</v>
      </c>
      <c r="D158" s="130" t="s">
        <v>925</v>
      </c>
      <c r="E158" s="130" t="s">
        <v>470</v>
      </c>
      <c r="F158" s="130" t="s">
        <v>1083</v>
      </c>
      <c r="G158" s="130">
        <v>277</v>
      </c>
      <c r="H158" s="130">
        <v>87</v>
      </c>
      <c r="I158" s="131">
        <f t="shared" si="2"/>
        <v>31.40794223826715</v>
      </c>
    </row>
    <row r="159" spans="1:9" x14ac:dyDescent="0.25">
      <c r="A159" s="130" t="s">
        <v>689</v>
      </c>
      <c r="B159" s="130" t="s">
        <v>775</v>
      </c>
      <c r="C159" s="130" t="s">
        <v>798</v>
      </c>
      <c r="D159" s="130" t="s">
        <v>949</v>
      </c>
      <c r="E159" s="130" t="s">
        <v>471</v>
      </c>
      <c r="F159" s="130" t="s">
        <v>1084</v>
      </c>
      <c r="G159" s="130">
        <v>156</v>
      </c>
      <c r="H159" s="130">
        <v>100</v>
      </c>
      <c r="I159" s="131">
        <f t="shared" si="2"/>
        <v>64.102564102564102</v>
      </c>
    </row>
    <row r="160" spans="1:9" x14ac:dyDescent="0.25">
      <c r="A160" s="130" t="s">
        <v>691</v>
      </c>
      <c r="B160" s="130" t="s">
        <v>760</v>
      </c>
      <c r="C160" s="130" t="s">
        <v>837</v>
      </c>
      <c r="D160" s="130" t="s">
        <v>1085</v>
      </c>
      <c r="E160" s="130" t="s">
        <v>472</v>
      </c>
      <c r="F160" s="130" t="s">
        <v>1086</v>
      </c>
      <c r="G160" s="130">
        <v>95</v>
      </c>
      <c r="H160" s="130">
        <v>62</v>
      </c>
      <c r="I160" s="131">
        <f t="shared" si="2"/>
        <v>65.26315789473685</v>
      </c>
    </row>
    <row r="161" spans="1:9" x14ac:dyDescent="0.25">
      <c r="A161" s="130" t="s">
        <v>690</v>
      </c>
      <c r="B161" s="130" t="s">
        <v>758</v>
      </c>
      <c r="C161" s="130" t="s">
        <v>818</v>
      </c>
      <c r="D161" s="130" t="s">
        <v>1012</v>
      </c>
      <c r="E161" s="130" t="s">
        <v>473</v>
      </c>
      <c r="F161" s="130" t="s">
        <v>1087</v>
      </c>
      <c r="G161" s="130">
        <v>300</v>
      </c>
      <c r="H161" s="130">
        <v>68</v>
      </c>
      <c r="I161" s="131">
        <f t="shared" si="2"/>
        <v>22.666666666666664</v>
      </c>
    </row>
    <row r="162" spans="1:9" x14ac:dyDescent="0.25">
      <c r="A162" s="130" t="s">
        <v>690</v>
      </c>
      <c r="B162" s="130" t="s">
        <v>758</v>
      </c>
      <c r="C162" s="130" t="s">
        <v>759</v>
      </c>
      <c r="D162" s="130" t="s">
        <v>867</v>
      </c>
      <c r="E162" s="130" t="s">
        <v>475</v>
      </c>
      <c r="F162" s="130" t="s">
        <v>1088</v>
      </c>
      <c r="G162" s="130">
        <v>983</v>
      </c>
      <c r="H162" s="130">
        <v>420</v>
      </c>
      <c r="I162" s="131">
        <f t="shared" si="2"/>
        <v>42.726347914547304</v>
      </c>
    </row>
    <row r="163" spans="1:9" x14ac:dyDescent="0.25">
      <c r="A163" s="130" t="s">
        <v>689</v>
      </c>
      <c r="B163" s="130" t="s">
        <v>775</v>
      </c>
      <c r="C163" s="130" t="s">
        <v>779</v>
      </c>
      <c r="D163" s="130" t="s">
        <v>905</v>
      </c>
      <c r="E163" s="130" t="s">
        <v>476</v>
      </c>
      <c r="F163" s="130" t="s">
        <v>1089</v>
      </c>
      <c r="G163" s="130">
        <v>208</v>
      </c>
      <c r="H163" s="130">
        <v>121</v>
      </c>
      <c r="I163" s="131">
        <f t="shared" si="2"/>
        <v>58.173076923076927</v>
      </c>
    </row>
    <row r="164" spans="1:9" x14ac:dyDescent="0.25">
      <c r="A164" s="130" t="s">
        <v>689</v>
      </c>
      <c r="B164" s="130" t="s">
        <v>775</v>
      </c>
      <c r="C164" s="130" t="s">
        <v>776</v>
      </c>
      <c r="D164" s="130" t="s">
        <v>898</v>
      </c>
      <c r="E164" s="130" t="s">
        <v>477</v>
      </c>
      <c r="F164" s="130" t="s">
        <v>1090</v>
      </c>
      <c r="G164" s="130">
        <v>1310</v>
      </c>
      <c r="H164" s="130">
        <v>528</v>
      </c>
      <c r="I164" s="131">
        <f t="shared" si="2"/>
        <v>40.305343511450381</v>
      </c>
    </row>
    <row r="165" spans="1:9" x14ac:dyDescent="0.25">
      <c r="A165" s="130" t="s">
        <v>693</v>
      </c>
      <c r="B165" s="130" t="s">
        <v>763</v>
      </c>
      <c r="C165" s="130" t="s">
        <v>782</v>
      </c>
      <c r="D165" s="130" t="s">
        <v>911</v>
      </c>
      <c r="E165" s="130" t="s">
        <v>478</v>
      </c>
      <c r="F165" s="130" t="s">
        <v>1091</v>
      </c>
      <c r="G165" s="130">
        <v>248</v>
      </c>
      <c r="H165" s="130">
        <v>113</v>
      </c>
      <c r="I165" s="131">
        <f t="shared" si="2"/>
        <v>45.564516129032256</v>
      </c>
    </row>
    <row r="166" spans="1:9" x14ac:dyDescent="0.25">
      <c r="A166" s="130" t="s">
        <v>693</v>
      </c>
      <c r="B166" s="130" t="s">
        <v>763</v>
      </c>
      <c r="C166" s="130" t="s">
        <v>764</v>
      </c>
      <c r="D166" s="130" t="s">
        <v>873</v>
      </c>
      <c r="E166" s="130" t="s">
        <v>479</v>
      </c>
      <c r="F166" s="130" t="s">
        <v>1092</v>
      </c>
      <c r="G166" s="130">
        <v>3401</v>
      </c>
      <c r="H166" s="130">
        <v>837</v>
      </c>
      <c r="I166" s="131">
        <f t="shared" si="2"/>
        <v>24.610408703322552</v>
      </c>
    </row>
    <row r="167" spans="1:9" x14ac:dyDescent="0.25">
      <c r="A167" s="130" t="s">
        <v>693</v>
      </c>
      <c r="B167" s="130" t="s">
        <v>763</v>
      </c>
      <c r="C167" s="130" t="s">
        <v>764</v>
      </c>
      <c r="D167" s="130" t="s">
        <v>873</v>
      </c>
      <c r="E167" s="130" t="s">
        <v>480</v>
      </c>
      <c r="F167" s="130" t="s">
        <v>1093</v>
      </c>
      <c r="G167" s="130">
        <v>294</v>
      </c>
      <c r="H167" s="130">
        <v>71</v>
      </c>
      <c r="I167" s="131">
        <f t="shared" si="2"/>
        <v>24.149659863945576</v>
      </c>
    </row>
    <row r="168" spans="1:9" x14ac:dyDescent="0.25">
      <c r="A168" s="130" t="s">
        <v>689</v>
      </c>
      <c r="B168" s="130" t="s">
        <v>775</v>
      </c>
      <c r="C168" s="130" t="s">
        <v>815</v>
      </c>
      <c r="D168" s="130" t="s">
        <v>999</v>
      </c>
      <c r="E168" s="130" t="s">
        <v>481</v>
      </c>
      <c r="F168" s="130" t="s">
        <v>1094</v>
      </c>
      <c r="G168" s="130">
        <v>296</v>
      </c>
      <c r="H168" s="130">
        <v>105</v>
      </c>
      <c r="I168" s="131">
        <f t="shared" si="2"/>
        <v>35.472972972972968</v>
      </c>
    </row>
    <row r="169" spans="1:9" x14ac:dyDescent="0.25">
      <c r="A169" s="130" t="s">
        <v>693</v>
      </c>
      <c r="B169" s="130" t="s">
        <v>763</v>
      </c>
      <c r="C169" s="130" t="s">
        <v>806</v>
      </c>
      <c r="D169" s="130" t="s">
        <v>966</v>
      </c>
      <c r="E169" s="130" t="s">
        <v>482</v>
      </c>
      <c r="F169" s="130" t="s">
        <v>1095</v>
      </c>
      <c r="G169" s="130">
        <v>178</v>
      </c>
      <c r="H169" s="130">
        <v>54</v>
      </c>
      <c r="I169" s="131">
        <f t="shared" si="2"/>
        <v>30.337078651685395</v>
      </c>
    </row>
    <row r="170" spans="1:9" x14ac:dyDescent="0.25">
      <c r="A170" s="130" t="s">
        <v>696</v>
      </c>
      <c r="B170" s="130" t="s">
        <v>770</v>
      </c>
      <c r="C170" s="130" t="s">
        <v>808</v>
      </c>
      <c r="D170" s="130" t="s">
        <v>975</v>
      </c>
      <c r="E170" s="130" t="s">
        <v>483</v>
      </c>
      <c r="F170" s="130" t="s">
        <v>1096</v>
      </c>
      <c r="G170" s="130">
        <v>355</v>
      </c>
      <c r="H170" s="130">
        <v>124</v>
      </c>
      <c r="I170" s="131">
        <f t="shared" si="2"/>
        <v>34.929577464788728</v>
      </c>
    </row>
    <row r="171" spans="1:9" x14ac:dyDescent="0.25">
      <c r="A171" s="130" t="s">
        <v>691</v>
      </c>
      <c r="B171" s="130" t="s">
        <v>760</v>
      </c>
      <c r="C171" s="130" t="s">
        <v>765</v>
      </c>
      <c r="D171" s="130" t="s">
        <v>876</v>
      </c>
      <c r="E171" s="130" t="s">
        <v>484</v>
      </c>
      <c r="F171" s="130" t="s">
        <v>1097</v>
      </c>
      <c r="G171" s="130">
        <v>26</v>
      </c>
      <c r="H171" s="130">
        <v>17</v>
      </c>
      <c r="I171" s="131">
        <f t="shared" si="2"/>
        <v>65.384615384615387</v>
      </c>
    </row>
    <row r="172" spans="1:9" x14ac:dyDescent="0.25">
      <c r="A172" s="130" t="s">
        <v>686</v>
      </c>
      <c r="B172" s="130" t="s">
        <v>755</v>
      </c>
      <c r="C172" s="130" t="s">
        <v>777</v>
      </c>
      <c r="D172" s="130" t="s">
        <v>901</v>
      </c>
      <c r="E172" s="130" t="s">
        <v>485</v>
      </c>
      <c r="F172" s="130" t="s">
        <v>1098</v>
      </c>
      <c r="G172" s="130">
        <v>236</v>
      </c>
      <c r="H172" s="130">
        <v>56</v>
      </c>
      <c r="I172" s="131">
        <f t="shared" si="2"/>
        <v>23.728813559322035</v>
      </c>
    </row>
    <row r="173" spans="1:9" x14ac:dyDescent="0.25">
      <c r="A173" s="130" t="s">
        <v>686</v>
      </c>
      <c r="B173" s="130" t="s">
        <v>755</v>
      </c>
      <c r="C173" s="130" t="s">
        <v>785</v>
      </c>
      <c r="D173" s="130" t="s">
        <v>284</v>
      </c>
      <c r="E173" s="130" t="s">
        <v>486</v>
      </c>
      <c r="F173" s="130" t="s">
        <v>1099</v>
      </c>
      <c r="G173" s="130">
        <v>295</v>
      </c>
      <c r="H173" s="130">
        <v>79</v>
      </c>
      <c r="I173" s="131">
        <f t="shared" si="2"/>
        <v>26.779661016949152</v>
      </c>
    </row>
    <row r="174" spans="1:9" x14ac:dyDescent="0.25">
      <c r="A174" s="130" t="s">
        <v>689</v>
      </c>
      <c r="B174" s="130" t="s">
        <v>775</v>
      </c>
      <c r="C174" s="130" t="s">
        <v>828</v>
      </c>
      <c r="D174" s="130" t="s">
        <v>1039</v>
      </c>
      <c r="E174" s="130" t="s">
        <v>487</v>
      </c>
      <c r="F174" s="130" t="s">
        <v>1100</v>
      </c>
      <c r="G174" s="130">
        <v>178</v>
      </c>
      <c r="H174" s="130">
        <v>91</v>
      </c>
      <c r="I174" s="131">
        <f t="shared" si="2"/>
        <v>51.123595505617978</v>
      </c>
    </row>
    <row r="175" spans="1:9" x14ac:dyDescent="0.25">
      <c r="A175" s="130" t="s">
        <v>691</v>
      </c>
      <c r="B175" s="130" t="s">
        <v>760</v>
      </c>
      <c r="C175" s="130" t="s">
        <v>689</v>
      </c>
      <c r="D175" s="130" t="s">
        <v>1101</v>
      </c>
      <c r="E175" s="130" t="s">
        <v>488</v>
      </c>
      <c r="F175" s="130" t="s">
        <v>1102</v>
      </c>
      <c r="G175" s="130">
        <v>299</v>
      </c>
      <c r="H175" s="130">
        <v>80</v>
      </c>
      <c r="I175" s="131">
        <f t="shared" si="2"/>
        <v>26.755852842809364</v>
      </c>
    </row>
    <row r="176" spans="1:9" x14ac:dyDescent="0.25">
      <c r="A176" s="130" t="s">
        <v>690</v>
      </c>
      <c r="B176" s="130" t="s">
        <v>758</v>
      </c>
      <c r="C176" s="130" t="s">
        <v>838</v>
      </c>
      <c r="D176" s="130" t="s">
        <v>1103</v>
      </c>
      <c r="E176" s="130" t="s">
        <v>489</v>
      </c>
      <c r="F176" s="130" t="s">
        <v>1104</v>
      </c>
      <c r="G176" s="130">
        <v>209</v>
      </c>
      <c r="H176" s="130">
        <v>120</v>
      </c>
      <c r="I176" s="131">
        <f t="shared" si="2"/>
        <v>57.41626794258373</v>
      </c>
    </row>
    <row r="177" spans="1:9" x14ac:dyDescent="0.25">
      <c r="A177" s="130" t="s">
        <v>696</v>
      </c>
      <c r="B177" s="130" t="s">
        <v>770</v>
      </c>
      <c r="C177" s="130" t="s">
        <v>771</v>
      </c>
      <c r="D177" s="130" t="s">
        <v>886</v>
      </c>
      <c r="E177" s="130" t="s">
        <v>490</v>
      </c>
      <c r="F177" s="130" t="s">
        <v>1105</v>
      </c>
      <c r="G177" s="130">
        <v>432</v>
      </c>
      <c r="H177" s="130">
        <v>257</v>
      </c>
      <c r="I177" s="131">
        <f t="shared" si="2"/>
        <v>59.490740740740748</v>
      </c>
    </row>
    <row r="178" spans="1:9" x14ac:dyDescent="0.25">
      <c r="A178" s="130" t="s">
        <v>695</v>
      </c>
      <c r="B178" s="130" t="s">
        <v>766</v>
      </c>
      <c r="C178" s="130" t="s">
        <v>819</v>
      </c>
      <c r="D178" s="130" t="s">
        <v>1106</v>
      </c>
      <c r="E178" s="130" t="s">
        <v>491</v>
      </c>
      <c r="F178" s="130" t="s">
        <v>1107</v>
      </c>
      <c r="G178" s="130">
        <v>301</v>
      </c>
      <c r="H178" s="130">
        <v>81</v>
      </c>
      <c r="I178" s="131">
        <f t="shared" si="2"/>
        <v>26.910299003322258</v>
      </c>
    </row>
    <row r="179" spans="1:9" x14ac:dyDescent="0.25">
      <c r="A179" s="130" t="s">
        <v>690</v>
      </c>
      <c r="B179" s="130" t="s">
        <v>758</v>
      </c>
      <c r="C179" s="130" t="s">
        <v>802</v>
      </c>
      <c r="D179" s="130" t="s">
        <v>262</v>
      </c>
      <c r="E179" s="130" t="s">
        <v>492</v>
      </c>
      <c r="F179" s="130" t="s">
        <v>1108</v>
      </c>
      <c r="G179" s="130">
        <v>116</v>
      </c>
      <c r="H179" s="130">
        <v>32</v>
      </c>
      <c r="I179" s="131">
        <f t="shared" si="2"/>
        <v>27.586206896551722</v>
      </c>
    </row>
    <row r="180" spans="1:9" x14ac:dyDescent="0.25">
      <c r="A180" s="130" t="s">
        <v>693</v>
      </c>
      <c r="B180" s="130" t="s">
        <v>763</v>
      </c>
      <c r="C180" s="130" t="s">
        <v>764</v>
      </c>
      <c r="D180" s="130" t="s">
        <v>873</v>
      </c>
      <c r="E180" s="130" t="s">
        <v>493</v>
      </c>
      <c r="F180" s="130" t="s">
        <v>1109</v>
      </c>
      <c r="G180" s="130">
        <v>895</v>
      </c>
      <c r="H180" s="130">
        <v>407</v>
      </c>
      <c r="I180" s="131">
        <f t="shared" si="2"/>
        <v>45.47486033519553</v>
      </c>
    </row>
    <row r="181" spans="1:9" x14ac:dyDescent="0.25">
      <c r="A181" s="130" t="s">
        <v>688</v>
      </c>
      <c r="B181" s="130" t="s">
        <v>753</v>
      </c>
      <c r="C181" s="130" t="s">
        <v>817</v>
      </c>
      <c r="D181" s="130" t="s">
        <v>1008</v>
      </c>
      <c r="E181" s="130" t="s">
        <v>494</v>
      </c>
      <c r="F181" s="130" t="s">
        <v>1110</v>
      </c>
      <c r="G181" s="130">
        <v>2073</v>
      </c>
      <c r="H181" s="130">
        <v>1657</v>
      </c>
      <c r="I181" s="131">
        <f t="shared" si="2"/>
        <v>79.932465026531602</v>
      </c>
    </row>
    <row r="182" spans="1:9" x14ac:dyDescent="0.25">
      <c r="A182" s="130" t="s">
        <v>686</v>
      </c>
      <c r="B182" s="130" t="s">
        <v>755</v>
      </c>
      <c r="C182" s="130" t="s">
        <v>793</v>
      </c>
      <c r="D182" s="130" t="s">
        <v>934</v>
      </c>
      <c r="E182" s="130" t="s">
        <v>495</v>
      </c>
      <c r="F182" s="130" t="s">
        <v>1111</v>
      </c>
      <c r="G182" s="130">
        <v>226</v>
      </c>
      <c r="H182" s="130">
        <v>39</v>
      </c>
      <c r="I182" s="131">
        <f t="shared" si="2"/>
        <v>17.256637168141591</v>
      </c>
    </row>
    <row r="183" spans="1:9" x14ac:dyDescent="0.25">
      <c r="A183" s="130" t="s">
        <v>688</v>
      </c>
      <c r="B183" s="130" t="s">
        <v>753</v>
      </c>
      <c r="C183" s="130" t="s">
        <v>807</v>
      </c>
      <c r="D183" s="130" t="s">
        <v>968</v>
      </c>
      <c r="E183" s="130" t="s">
        <v>496</v>
      </c>
      <c r="F183" s="130" t="s">
        <v>1112</v>
      </c>
      <c r="G183" s="130">
        <v>1464</v>
      </c>
      <c r="H183" s="130">
        <v>902</v>
      </c>
      <c r="I183" s="131">
        <f t="shared" si="2"/>
        <v>61.612021857923494</v>
      </c>
    </row>
    <row r="184" spans="1:9" x14ac:dyDescent="0.25">
      <c r="A184" s="130" t="s">
        <v>690</v>
      </c>
      <c r="B184" s="130" t="s">
        <v>758</v>
      </c>
      <c r="C184" s="130" t="s">
        <v>786</v>
      </c>
      <c r="D184" s="130" t="s">
        <v>919</v>
      </c>
      <c r="E184" s="130" t="s">
        <v>497</v>
      </c>
      <c r="F184" s="130" t="s">
        <v>1113</v>
      </c>
      <c r="G184" s="130">
        <v>638</v>
      </c>
      <c r="H184" s="130">
        <v>181</v>
      </c>
      <c r="I184" s="131">
        <f t="shared" si="2"/>
        <v>28.369905956112852</v>
      </c>
    </row>
    <row r="185" spans="1:9" x14ac:dyDescent="0.25">
      <c r="A185" s="130" t="s">
        <v>692</v>
      </c>
      <c r="B185" s="130" t="s">
        <v>761</v>
      </c>
      <c r="C185" s="130" t="s">
        <v>790</v>
      </c>
      <c r="D185" s="130" t="s">
        <v>661</v>
      </c>
      <c r="E185" s="130" t="s">
        <v>498</v>
      </c>
      <c r="F185" s="130" t="s">
        <v>1114</v>
      </c>
      <c r="G185" s="130">
        <v>443</v>
      </c>
      <c r="H185" s="130">
        <v>148</v>
      </c>
      <c r="I185" s="131">
        <f t="shared" si="2"/>
        <v>33.408577878103841</v>
      </c>
    </row>
    <row r="186" spans="1:9" x14ac:dyDescent="0.25">
      <c r="A186" s="130" t="s">
        <v>686</v>
      </c>
      <c r="B186" s="130" t="s">
        <v>755</v>
      </c>
      <c r="C186" s="130" t="s">
        <v>836</v>
      </c>
      <c r="D186" s="130" t="s">
        <v>669</v>
      </c>
      <c r="E186" s="130" t="s">
        <v>499</v>
      </c>
      <c r="F186" s="130" t="s">
        <v>1115</v>
      </c>
      <c r="G186" s="130">
        <v>136</v>
      </c>
      <c r="H186" s="130">
        <v>44</v>
      </c>
      <c r="I186" s="131">
        <f t="shared" si="2"/>
        <v>32.352941176470587</v>
      </c>
    </row>
    <row r="187" spans="1:9" x14ac:dyDescent="0.25">
      <c r="A187" s="130" t="s">
        <v>693</v>
      </c>
      <c r="B187" s="130" t="s">
        <v>763</v>
      </c>
      <c r="C187" s="130" t="s">
        <v>769</v>
      </c>
      <c r="D187" s="130" t="s">
        <v>884</v>
      </c>
      <c r="E187" s="130" t="s">
        <v>500</v>
      </c>
      <c r="F187" s="130" t="s">
        <v>1116</v>
      </c>
      <c r="G187" s="130">
        <v>181</v>
      </c>
      <c r="H187" s="130">
        <v>96</v>
      </c>
      <c r="I187" s="131">
        <f t="shared" si="2"/>
        <v>53.038674033149171</v>
      </c>
    </row>
    <row r="188" spans="1:9" x14ac:dyDescent="0.25">
      <c r="A188" s="130" t="s">
        <v>693</v>
      </c>
      <c r="B188" s="130" t="s">
        <v>763</v>
      </c>
      <c r="C188" s="130" t="s">
        <v>832</v>
      </c>
      <c r="D188" s="130" t="s">
        <v>49</v>
      </c>
      <c r="E188" s="130" t="s">
        <v>501</v>
      </c>
      <c r="F188" s="130" t="s">
        <v>1117</v>
      </c>
      <c r="G188" s="130">
        <v>660</v>
      </c>
      <c r="H188" s="130">
        <v>175</v>
      </c>
      <c r="I188" s="131">
        <f t="shared" si="2"/>
        <v>26.515151515151516</v>
      </c>
    </row>
    <row r="189" spans="1:9" x14ac:dyDescent="0.25">
      <c r="A189" s="130" t="s">
        <v>689</v>
      </c>
      <c r="B189" s="130" t="s">
        <v>775</v>
      </c>
      <c r="C189" s="130" t="s">
        <v>815</v>
      </c>
      <c r="D189" s="130" t="s">
        <v>999</v>
      </c>
      <c r="E189" s="130" t="s">
        <v>502</v>
      </c>
      <c r="F189" s="130" t="s">
        <v>1118</v>
      </c>
      <c r="G189" s="130">
        <v>328</v>
      </c>
      <c r="H189" s="130">
        <v>145</v>
      </c>
      <c r="I189" s="131">
        <f t="shared" si="2"/>
        <v>44.207317073170735</v>
      </c>
    </row>
    <row r="190" spans="1:9" x14ac:dyDescent="0.25">
      <c r="A190" s="130" t="s">
        <v>695</v>
      </c>
      <c r="B190" s="130" t="s">
        <v>766</v>
      </c>
      <c r="C190" s="130" t="s">
        <v>797</v>
      </c>
      <c r="D190" s="130" t="s">
        <v>945</v>
      </c>
      <c r="E190" s="130" t="s">
        <v>503</v>
      </c>
      <c r="F190" s="130" t="s">
        <v>1119</v>
      </c>
      <c r="G190" s="130">
        <v>355</v>
      </c>
      <c r="H190" s="130">
        <v>129</v>
      </c>
      <c r="I190" s="131">
        <f t="shared" si="2"/>
        <v>36.338028169014088</v>
      </c>
    </row>
    <row r="191" spans="1:9" x14ac:dyDescent="0.25">
      <c r="A191" s="130" t="s">
        <v>688</v>
      </c>
      <c r="B191" s="130" t="s">
        <v>753</v>
      </c>
      <c r="C191" s="130" t="s">
        <v>788</v>
      </c>
      <c r="D191" s="130" t="s">
        <v>923</v>
      </c>
      <c r="E191" s="130" t="s">
        <v>504</v>
      </c>
      <c r="F191" s="130" t="s">
        <v>1120</v>
      </c>
      <c r="G191" s="130">
        <v>193</v>
      </c>
      <c r="H191" s="130">
        <v>64</v>
      </c>
      <c r="I191" s="131">
        <f t="shared" si="2"/>
        <v>33.160621761658035</v>
      </c>
    </row>
    <row r="192" spans="1:9" x14ac:dyDescent="0.25">
      <c r="A192" s="130" t="s">
        <v>693</v>
      </c>
      <c r="B192" s="130" t="s">
        <v>763</v>
      </c>
      <c r="C192" s="130" t="s">
        <v>769</v>
      </c>
      <c r="D192" s="130" t="s">
        <v>884</v>
      </c>
      <c r="E192" s="130" t="s">
        <v>505</v>
      </c>
      <c r="F192" s="130" t="s">
        <v>1121</v>
      </c>
      <c r="G192" s="130">
        <v>397</v>
      </c>
      <c r="H192" s="130">
        <v>148</v>
      </c>
      <c r="I192" s="131">
        <f t="shared" si="2"/>
        <v>37.279596977329973</v>
      </c>
    </row>
    <row r="193" spans="1:9" x14ac:dyDescent="0.25">
      <c r="A193" s="130" t="s">
        <v>692</v>
      </c>
      <c r="B193" s="130" t="s">
        <v>761</v>
      </c>
      <c r="C193" s="130" t="s">
        <v>795</v>
      </c>
      <c r="D193" s="130" t="s">
        <v>941</v>
      </c>
      <c r="E193" s="130" t="s">
        <v>506</v>
      </c>
      <c r="F193" s="130" t="s">
        <v>1122</v>
      </c>
      <c r="G193" s="130">
        <v>146</v>
      </c>
      <c r="H193" s="130">
        <v>81</v>
      </c>
      <c r="I193" s="131">
        <f t="shared" si="2"/>
        <v>55.479452054794521</v>
      </c>
    </row>
    <row r="194" spans="1:9" x14ac:dyDescent="0.25">
      <c r="A194" s="130" t="s">
        <v>689</v>
      </c>
      <c r="B194" s="130" t="s">
        <v>775</v>
      </c>
      <c r="C194" s="130" t="s">
        <v>839</v>
      </c>
      <c r="D194" s="130" t="s">
        <v>45</v>
      </c>
      <c r="E194" s="130" t="s">
        <v>507</v>
      </c>
      <c r="F194" s="130" t="s">
        <v>1123</v>
      </c>
      <c r="G194" s="130">
        <v>88</v>
      </c>
      <c r="H194" s="130">
        <v>55</v>
      </c>
      <c r="I194" s="131">
        <f t="shared" si="2"/>
        <v>62.5</v>
      </c>
    </row>
    <row r="195" spans="1:9" x14ac:dyDescent="0.25">
      <c r="A195" s="130" t="s">
        <v>692</v>
      </c>
      <c r="B195" s="130" t="s">
        <v>761</v>
      </c>
      <c r="C195" s="130" t="s">
        <v>808</v>
      </c>
      <c r="D195" s="130" t="s">
        <v>975</v>
      </c>
      <c r="E195" s="130" t="s">
        <v>508</v>
      </c>
      <c r="F195" s="130" t="s">
        <v>1124</v>
      </c>
      <c r="G195" s="130">
        <v>91</v>
      </c>
      <c r="H195" s="130">
        <v>36</v>
      </c>
      <c r="I195" s="131">
        <f t="shared" ref="I195:I258" si="3">H195/G195*100</f>
        <v>39.560439560439562</v>
      </c>
    </row>
    <row r="196" spans="1:9" x14ac:dyDescent="0.25">
      <c r="A196" s="130" t="s">
        <v>692</v>
      </c>
      <c r="B196" s="130" t="s">
        <v>761</v>
      </c>
      <c r="C196" s="130" t="s">
        <v>795</v>
      </c>
      <c r="D196" s="130" t="s">
        <v>941</v>
      </c>
      <c r="E196" s="130" t="s">
        <v>509</v>
      </c>
      <c r="F196" s="130" t="s">
        <v>1125</v>
      </c>
      <c r="G196" s="130">
        <v>77</v>
      </c>
      <c r="H196" s="130">
        <v>48</v>
      </c>
      <c r="I196" s="131">
        <f t="shared" si="3"/>
        <v>62.337662337662337</v>
      </c>
    </row>
    <row r="197" spans="1:9" x14ac:dyDescent="0.25">
      <c r="A197" s="130" t="s">
        <v>689</v>
      </c>
      <c r="B197" s="130" t="s">
        <v>775</v>
      </c>
      <c r="C197" s="130" t="s">
        <v>813</v>
      </c>
      <c r="D197" s="130" t="s">
        <v>994</v>
      </c>
      <c r="E197" s="130" t="s">
        <v>510</v>
      </c>
      <c r="F197" s="130" t="s">
        <v>1126</v>
      </c>
      <c r="G197" s="130">
        <v>246</v>
      </c>
      <c r="H197" s="130">
        <v>116</v>
      </c>
      <c r="I197" s="131">
        <f t="shared" si="3"/>
        <v>47.154471544715449</v>
      </c>
    </row>
    <row r="198" spans="1:9" x14ac:dyDescent="0.25">
      <c r="A198" s="130" t="s">
        <v>692</v>
      </c>
      <c r="B198" s="130" t="s">
        <v>761</v>
      </c>
      <c r="C198" s="130" t="s">
        <v>840</v>
      </c>
      <c r="D198" s="130" t="s">
        <v>1127</v>
      </c>
      <c r="E198" s="130" t="s">
        <v>511</v>
      </c>
      <c r="F198" s="130" t="s">
        <v>1128</v>
      </c>
      <c r="G198" s="130">
        <v>783</v>
      </c>
      <c r="H198" s="130">
        <v>397</v>
      </c>
      <c r="I198" s="131">
        <f t="shared" si="3"/>
        <v>50.702426564495525</v>
      </c>
    </row>
    <row r="199" spans="1:9" x14ac:dyDescent="0.25">
      <c r="A199" s="130" t="s">
        <v>693</v>
      </c>
      <c r="B199" s="130" t="s">
        <v>763</v>
      </c>
      <c r="C199" s="130" t="s">
        <v>764</v>
      </c>
      <c r="D199" s="130" t="s">
        <v>873</v>
      </c>
      <c r="E199" s="130" t="s">
        <v>512</v>
      </c>
      <c r="F199" s="130" t="s">
        <v>1129</v>
      </c>
      <c r="G199" s="130">
        <v>581</v>
      </c>
      <c r="H199" s="130">
        <v>116</v>
      </c>
      <c r="I199" s="131">
        <f t="shared" si="3"/>
        <v>19.965576592082616</v>
      </c>
    </row>
    <row r="200" spans="1:9" x14ac:dyDescent="0.25">
      <c r="A200" s="130" t="s">
        <v>689</v>
      </c>
      <c r="B200" s="130" t="s">
        <v>775</v>
      </c>
      <c r="C200" s="130" t="s">
        <v>804</v>
      </c>
      <c r="D200" s="130" t="s">
        <v>259</v>
      </c>
      <c r="E200" s="130" t="s">
        <v>513</v>
      </c>
      <c r="F200" s="130" t="s">
        <v>1130</v>
      </c>
      <c r="G200" s="130">
        <v>114</v>
      </c>
      <c r="H200" s="130">
        <v>51</v>
      </c>
      <c r="I200" s="131">
        <f t="shared" si="3"/>
        <v>44.736842105263158</v>
      </c>
    </row>
    <row r="201" spans="1:9" x14ac:dyDescent="0.25">
      <c r="A201" s="130" t="s">
        <v>696</v>
      </c>
      <c r="B201" s="130" t="s">
        <v>770</v>
      </c>
      <c r="C201" s="130" t="s">
        <v>841</v>
      </c>
      <c r="D201" s="130" t="s">
        <v>139</v>
      </c>
      <c r="E201" s="130" t="s">
        <v>514</v>
      </c>
      <c r="F201" s="130" t="s">
        <v>1131</v>
      </c>
      <c r="G201" s="130">
        <v>1812</v>
      </c>
      <c r="H201" s="130">
        <v>1017</v>
      </c>
      <c r="I201" s="131">
        <f t="shared" si="3"/>
        <v>56.12582781456954</v>
      </c>
    </row>
    <row r="202" spans="1:9" x14ac:dyDescent="0.25">
      <c r="A202" s="130" t="s">
        <v>688</v>
      </c>
      <c r="B202" s="130" t="s">
        <v>753</v>
      </c>
      <c r="C202" s="130" t="s">
        <v>842</v>
      </c>
      <c r="D202" s="130" t="s">
        <v>1132</v>
      </c>
      <c r="E202" s="130" t="s">
        <v>515</v>
      </c>
      <c r="F202" s="130" t="s">
        <v>1133</v>
      </c>
      <c r="G202" s="130">
        <v>234</v>
      </c>
      <c r="H202" s="130">
        <v>79</v>
      </c>
      <c r="I202" s="131">
        <f t="shared" si="3"/>
        <v>33.760683760683762</v>
      </c>
    </row>
    <row r="203" spans="1:9" x14ac:dyDescent="0.25">
      <c r="A203" s="130" t="s">
        <v>686</v>
      </c>
      <c r="B203" s="130" t="s">
        <v>755</v>
      </c>
      <c r="C203" s="130" t="s">
        <v>768</v>
      </c>
      <c r="D203" s="130" t="s">
        <v>882</v>
      </c>
      <c r="E203" s="130" t="s">
        <v>516</v>
      </c>
      <c r="F203" s="130" t="s">
        <v>1134</v>
      </c>
      <c r="G203" s="130">
        <v>615</v>
      </c>
      <c r="H203" s="130">
        <v>213</v>
      </c>
      <c r="I203" s="131">
        <f t="shared" si="3"/>
        <v>34.634146341463413</v>
      </c>
    </row>
    <row r="204" spans="1:9" x14ac:dyDescent="0.25">
      <c r="A204" s="130" t="s">
        <v>691</v>
      </c>
      <c r="B204" s="130" t="s">
        <v>760</v>
      </c>
      <c r="C204" s="130" t="s">
        <v>686</v>
      </c>
      <c r="D204" s="130" t="s">
        <v>869</v>
      </c>
      <c r="E204" s="130" t="s">
        <v>517</v>
      </c>
      <c r="F204" s="130" t="s">
        <v>1135</v>
      </c>
      <c r="G204" s="130">
        <v>248</v>
      </c>
      <c r="H204" s="130">
        <v>120</v>
      </c>
      <c r="I204" s="131">
        <f t="shared" si="3"/>
        <v>48.387096774193552</v>
      </c>
    </row>
    <row r="205" spans="1:9" x14ac:dyDescent="0.25">
      <c r="A205" s="130" t="s">
        <v>695</v>
      </c>
      <c r="B205" s="130" t="s">
        <v>766</v>
      </c>
      <c r="C205" s="130" t="s">
        <v>842</v>
      </c>
      <c r="D205" s="130" t="s">
        <v>1132</v>
      </c>
      <c r="E205" s="130" t="s">
        <v>518</v>
      </c>
      <c r="F205" s="130" t="s">
        <v>1136</v>
      </c>
      <c r="G205" s="130">
        <v>392</v>
      </c>
      <c r="H205" s="130">
        <v>141</v>
      </c>
      <c r="I205" s="131">
        <f t="shared" si="3"/>
        <v>35.969387755102041</v>
      </c>
    </row>
    <row r="206" spans="1:9" x14ac:dyDescent="0.25">
      <c r="A206" s="130" t="s">
        <v>692</v>
      </c>
      <c r="B206" s="130" t="s">
        <v>761</v>
      </c>
      <c r="C206" s="130" t="s">
        <v>840</v>
      </c>
      <c r="D206" s="130" t="s">
        <v>1127</v>
      </c>
      <c r="E206" s="130" t="s">
        <v>519</v>
      </c>
      <c r="F206" s="130" t="s">
        <v>1137</v>
      </c>
      <c r="G206" s="130">
        <v>269</v>
      </c>
      <c r="H206" s="130">
        <v>121</v>
      </c>
      <c r="I206" s="131">
        <f t="shared" si="3"/>
        <v>44.981412639405207</v>
      </c>
    </row>
    <row r="207" spans="1:9" x14ac:dyDescent="0.25">
      <c r="A207" s="130" t="s">
        <v>686</v>
      </c>
      <c r="B207" s="130" t="s">
        <v>755</v>
      </c>
      <c r="C207" s="130" t="s">
        <v>777</v>
      </c>
      <c r="D207" s="130" t="s">
        <v>901</v>
      </c>
      <c r="E207" s="130" t="s">
        <v>520</v>
      </c>
      <c r="F207" s="130" t="s">
        <v>1138</v>
      </c>
      <c r="G207" s="130">
        <v>1220</v>
      </c>
      <c r="H207" s="130">
        <v>731</v>
      </c>
      <c r="I207" s="131">
        <f t="shared" si="3"/>
        <v>59.918032786885242</v>
      </c>
    </row>
    <row r="208" spans="1:9" x14ac:dyDescent="0.25">
      <c r="A208" s="130" t="s">
        <v>688</v>
      </c>
      <c r="B208" s="130" t="s">
        <v>753</v>
      </c>
      <c r="C208" s="130" t="s">
        <v>843</v>
      </c>
      <c r="D208" s="130" t="s">
        <v>1139</v>
      </c>
      <c r="E208" s="130" t="s">
        <v>521</v>
      </c>
      <c r="F208" s="130" t="s">
        <v>1140</v>
      </c>
      <c r="G208" s="130">
        <v>330</v>
      </c>
      <c r="H208" s="130">
        <v>135</v>
      </c>
      <c r="I208" s="131">
        <f t="shared" si="3"/>
        <v>40.909090909090914</v>
      </c>
    </row>
    <row r="209" spans="1:9" x14ac:dyDescent="0.25">
      <c r="A209" s="130" t="s">
        <v>696</v>
      </c>
      <c r="B209" s="130" t="s">
        <v>770</v>
      </c>
      <c r="C209" s="130" t="s">
        <v>792</v>
      </c>
      <c r="D209" s="130" t="s">
        <v>255</v>
      </c>
      <c r="E209" s="130" t="s">
        <v>522</v>
      </c>
      <c r="F209" s="130" t="s">
        <v>1141</v>
      </c>
      <c r="G209" s="130">
        <v>353</v>
      </c>
      <c r="H209" s="130">
        <v>104</v>
      </c>
      <c r="I209" s="131">
        <f t="shared" si="3"/>
        <v>29.461756373937675</v>
      </c>
    </row>
    <row r="210" spans="1:9" x14ac:dyDescent="0.25">
      <c r="A210" s="130" t="s">
        <v>695</v>
      </c>
      <c r="B210" s="130" t="s">
        <v>766</v>
      </c>
      <c r="C210" s="130" t="s">
        <v>844</v>
      </c>
      <c r="D210" s="130" t="s">
        <v>1142</v>
      </c>
      <c r="E210" s="130" t="s">
        <v>523</v>
      </c>
      <c r="F210" s="130" t="s">
        <v>1143</v>
      </c>
      <c r="G210" s="130">
        <v>453</v>
      </c>
      <c r="H210" s="130">
        <v>189</v>
      </c>
      <c r="I210" s="131">
        <f t="shared" si="3"/>
        <v>41.721854304635762</v>
      </c>
    </row>
    <row r="211" spans="1:9" x14ac:dyDescent="0.25">
      <c r="A211" s="130" t="s">
        <v>692</v>
      </c>
      <c r="B211" s="130" t="s">
        <v>761</v>
      </c>
      <c r="C211" s="130" t="s">
        <v>845</v>
      </c>
      <c r="D211" s="130" t="s">
        <v>1144</v>
      </c>
      <c r="E211" s="130" t="s">
        <v>525</v>
      </c>
      <c r="F211" s="130" t="s">
        <v>1145</v>
      </c>
      <c r="G211" s="130">
        <v>272</v>
      </c>
      <c r="H211" s="130">
        <v>91</v>
      </c>
      <c r="I211" s="131">
        <f t="shared" si="3"/>
        <v>33.455882352941174</v>
      </c>
    </row>
    <row r="212" spans="1:9" x14ac:dyDescent="0.25">
      <c r="A212" s="130" t="s">
        <v>693</v>
      </c>
      <c r="B212" s="130" t="s">
        <v>763</v>
      </c>
      <c r="C212" s="130" t="s">
        <v>764</v>
      </c>
      <c r="D212" s="130" t="s">
        <v>873</v>
      </c>
      <c r="E212" s="130" t="s">
        <v>526</v>
      </c>
      <c r="F212" s="130" t="s">
        <v>1146</v>
      </c>
      <c r="G212" s="130">
        <v>214</v>
      </c>
      <c r="H212" s="130">
        <v>52</v>
      </c>
      <c r="I212" s="131">
        <f t="shared" si="3"/>
        <v>24.299065420560748</v>
      </c>
    </row>
    <row r="213" spans="1:9" x14ac:dyDescent="0.25">
      <c r="A213" s="130" t="s">
        <v>691</v>
      </c>
      <c r="B213" s="130" t="s">
        <v>760</v>
      </c>
      <c r="C213" s="130" t="s">
        <v>765</v>
      </c>
      <c r="D213" s="130" t="s">
        <v>876</v>
      </c>
      <c r="E213" s="130" t="s">
        <v>527</v>
      </c>
      <c r="F213" s="130" t="s">
        <v>1147</v>
      </c>
      <c r="G213" s="130">
        <v>121</v>
      </c>
      <c r="H213" s="130">
        <v>74</v>
      </c>
      <c r="I213" s="131">
        <f t="shared" si="3"/>
        <v>61.157024793388423</v>
      </c>
    </row>
    <row r="214" spans="1:9" x14ac:dyDescent="0.25">
      <c r="A214" s="130" t="s">
        <v>686</v>
      </c>
      <c r="B214" s="130" t="s">
        <v>755</v>
      </c>
      <c r="C214" s="130" t="s">
        <v>772</v>
      </c>
      <c r="D214" s="130" t="s">
        <v>888</v>
      </c>
      <c r="E214" s="130" t="s">
        <v>528</v>
      </c>
      <c r="F214" s="130" t="s">
        <v>1148</v>
      </c>
      <c r="G214" s="130">
        <v>990</v>
      </c>
      <c r="H214" s="130">
        <v>102</v>
      </c>
      <c r="I214" s="131">
        <f t="shared" si="3"/>
        <v>10.303030303030303</v>
      </c>
    </row>
    <row r="215" spans="1:9" x14ac:dyDescent="0.25">
      <c r="A215" s="130" t="s">
        <v>696</v>
      </c>
      <c r="B215" s="130" t="s">
        <v>770</v>
      </c>
      <c r="C215" s="130" t="s">
        <v>783</v>
      </c>
      <c r="D215" s="130" t="s">
        <v>914</v>
      </c>
      <c r="E215" s="130" t="s">
        <v>529</v>
      </c>
      <c r="F215" s="130" t="s">
        <v>1149</v>
      </c>
      <c r="G215" s="130">
        <v>1459</v>
      </c>
      <c r="H215" s="130">
        <v>395</v>
      </c>
      <c r="I215" s="131">
        <f t="shared" si="3"/>
        <v>27.07333790267306</v>
      </c>
    </row>
    <row r="216" spans="1:9" x14ac:dyDescent="0.25">
      <c r="A216" s="130" t="s">
        <v>688</v>
      </c>
      <c r="B216" s="130" t="s">
        <v>753</v>
      </c>
      <c r="C216" s="130" t="s">
        <v>829</v>
      </c>
      <c r="D216" s="130" t="s">
        <v>1045</v>
      </c>
      <c r="E216" s="130" t="s">
        <v>530</v>
      </c>
      <c r="F216" s="130" t="s">
        <v>1150</v>
      </c>
      <c r="G216" s="130">
        <v>211</v>
      </c>
      <c r="H216" s="130">
        <v>85</v>
      </c>
      <c r="I216" s="131">
        <f t="shared" si="3"/>
        <v>40.284360189573462</v>
      </c>
    </row>
    <row r="217" spans="1:9" x14ac:dyDescent="0.25">
      <c r="A217" s="130" t="s">
        <v>688</v>
      </c>
      <c r="B217" s="130" t="s">
        <v>753</v>
      </c>
      <c r="C217" s="130" t="s">
        <v>843</v>
      </c>
      <c r="D217" s="130" t="s">
        <v>1139</v>
      </c>
      <c r="E217" s="130" t="s">
        <v>531</v>
      </c>
      <c r="F217" s="130" t="s">
        <v>1151</v>
      </c>
      <c r="G217" s="130">
        <v>246</v>
      </c>
      <c r="H217" s="130">
        <v>94</v>
      </c>
      <c r="I217" s="131">
        <f t="shared" si="3"/>
        <v>38.211382113821138</v>
      </c>
    </row>
    <row r="218" spans="1:9" x14ac:dyDescent="0.25">
      <c r="A218" s="130" t="s">
        <v>686</v>
      </c>
      <c r="B218" s="130" t="s">
        <v>755</v>
      </c>
      <c r="C218" s="130" t="s">
        <v>793</v>
      </c>
      <c r="D218" s="130" t="s">
        <v>934</v>
      </c>
      <c r="E218" s="130" t="s">
        <v>532</v>
      </c>
      <c r="F218" s="130" t="s">
        <v>1152</v>
      </c>
      <c r="G218" s="130">
        <v>1587</v>
      </c>
      <c r="H218" s="130">
        <v>348</v>
      </c>
      <c r="I218" s="131">
        <f t="shared" si="3"/>
        <v>21.928166351606805</v>
      </c>
    </row>
    <row r="219" spans="1:9" x14ac:dyDescent="0.25">
      <c r="A219" s="130" t="s">
        <v>690</v>
      </c>
      <c r="B219" s="130" t="s">
        <v>758</v>
      </c>
      <c r="C219" s="130" t="s">
        <v>826</v>
      </c>
      <c r="D219" s="130" t="s">
        <v>1032</v>
      </c>
      <c r="E219" s="130" t="s">
        <v>534</v>
      </c>
      <c r="F219" s="130" t="s">
        <v>1153</v>
      </c>
      <c r="G219" s="130">
        <v>359</v>
      </c>
      <c r="H219" s="130">
        <v>182</v>
      </c>
      <c r="I219" s="131">
        <f t="shared" si="3"/>
        <v>50.696378830083567</v>
      </c>
    </row>
    <row r="220" spans="1:9" x14ac:dyDescent="0.25">
      <c r="A220" s="130" t="s">
        <v>695</v>
      </c>
      <c r="B220" s="130" t="s">
        <v>766</v>
      </c>
      <c r="C220" s="130" t="s">
        <v>844</v>
      </c>
      <c r="D220" s="130" t="s">
        <v>1142</v>
      </c>
      <c r="E220" s="130" t="s">
        <v>535</v>
      </c>
      <c r="F220" s="130" t="s">
        <v>1154</v>
      </c>
      <c r="G220" s="130">
        <v>542</v>
      </c>
      <c r="H220" s="130">
        <v>340</v>
      </c>
      <c r="I220" s="131">
        <f t="shared" si="3"/>
        <v>62.730627306273071</v>
      </c>
    </row>
    <row r="221" spans="1:9" x14ac:dyDescent="0.25">
      <c r="A221" s="130" t="s">
        <v>686</v>
      </c>
      <c r="B221" s="130" t="s">
        <v>755</v>
      </c>
      <c r="C221" s="130" t="s">
        <v>785</v>
      </c>
      <c r="D221" s="130" t="s">
        <v>284</v>
      </c>
      <c r="E221" s="130" t="s">
        <v>536</v>
      </c>
      <c r="F221" s="130" t="s">
        <v>1155</v>
      </c>
      <c r="G221" s="130">
        <v>295</v>
      </c>
      <c r="H221" s="130">
        <v>77</v>
      </c>
      <c r="I221" s="131">
        <f t="shared" si="3"/>
        <v>26.101694915254235</v>
      </c>
    </row>
    <row r="222" spans="1:9" x14ac:dyDescent="0.25">
      <c r="A222" s="130" t="s">
        <v>691</v>
      </c>
      <c r="B222" s="130" t="s">
        <v>760</v>
      </c>
      <c r="C222" s="130" t="s">
        <v>830</v>
      </c>
      <c r="D222" s="130" t="s">
        <v>1056</v>
      </c>
      <c r="E222" s="130" t="s">
        <v>537</v>
      </c>
      <c r="F222" s="130" t="s">
        <v>1156</v>
      </c>
      <c r="G222" s="130">
        <v>527</v>
      </c>
      <c r="H222" s="130">
        <v>215</v>
      </c>
      <c r="I222" s="131">
        <f t="shared" si="3"/>
        <v>40.79696394686907</v>
      </c>
    </row>
    <row r="223" spans="1:9" x14ac:dyDescent="0.25">
      <c r="A223" s="130" t="s">
        <v>693</v>
      </c>
      <c r="B223" s="130" t="s">
        <v>763</v>
      </c>
      <c r="C223" s="130" t="s">
        <v>769</v>
      </c>
      <c r="D223" s="130" t="s">
        <v>884</v>
      </c>
      <c r="E223" s="130" t="s">
        <v>538</v>
      </c>
      <c r="F223" s="130" t="s">
        <v>1157</v>
      </c>
      <c r="G223" s="130">
        <v>71</v>
      </c>
      <c r="H223" s="130">
        <v>39</v>
      </c>
      <c r="I223" s="131">
        <f t="shared" si="3"/>
        <v>54.929577464788736</v>
      </c>
    </row>
    <row r="224" spans="1:9" x14ac:dyDescent="0.25">
      <c r="A224" s="130" t="s">
        <v>689</v>
      </c>
      <c r="B224" s="130" t="s">
        <v>775</v>
      </c>
      <c r="C224" s="130" t="s">
        <v>695</v>
      </c>
      <c r="D224" s="130" t="s">
        <v>1043</v>
      </c>
      <c r="E224" s="130" t="s">
        <v>539</v>
      </c>
      <c r="F224" s="130" t="s">
        <v>1158</v>
      </c>
      <c r="G224" s="130">
        <v>53</v>
      </c>
      <c r="H224" s="130">
        <v>34</v>
      </c>
      <c r="I224" s="131">
        <f t="shared" si="3"/>
        <v>64.15094339622641</v>
      </c>
    </row>
    <row r="225" spans="1:9" x14ac:dyDescent="0.25">
      <c r="A225" s="130" t="s">
        <v>688</v>
      </c>
      <c r="B225" s="130" t="s">
        <v>753</v>
      </c>
      <c r="C225" s="130" t="s">
        <v>846</v>
      </c>
      <c r="D225" s="130" t="s">
        <v>1159</v>
      </c>
      <c r="E225" s="130" t="s">
        <v>540</v>
      </c>
      <c r="F225" s="130" t="s">
        <v>1160</v>
      </c>
      <c r="G225" s="130">
        <v>415</v>
      </c>
      <c r="H225" s="130">
        <v>145</v>
      </c>
      <c r="I225" s="131">
        <f t="shared" si="3"/>
        <v>34.939759036144579</v>
      </c>
    </row>
    <row r="226" spans="1:9" x14ac:dyDescent="0.25">
      <c r="A226" s="130" t="s">
        <v>692</v>
      </c>
      <c r="B226" s="130" t="s">
        <v>761</v>
      </c>
      <c r="C226" s="130" t="s">
        <v>845</v>
      </c>
      <c r="D226" s="130" t="s">
        <v>1144</v>
      </c>
      <c r="E226" s="130" t="s">
        <v>541</v>
      </c>
      <c r="F226" s="130" t="s">
        <v>1161</v>
      </c>
      <c r="G226" s="130">
        <v>847</v>
      </c>
      <c r="H226" s="130">
        <v>437</v>
      </c>
      <c r="I226" s="131">
        <f t="shared" si="3"/>
        <v>51.59386068476978</v>
      </c>
    </row>
    <row r="227" spans="1:9" x14ac:dyDescent="0.25">
      <c r="A227" s="130" t="s">
        <v>692</v>
      </c>
      <c r="B227" s="130" t="s">
        <v>761</v>
      </c>
      <c r="C227" s="130" t="s">
        <v>784</v>
      </c>
      <c r="D227" s="130" t="s">
        <v>51</v>
      </c>
      <c r="E227" s="130" t="s">
        <v>542</v>
      </c>
      <c r="F227" s="130" t="s">
        <v>1162</v>
      </c>
      <c r="G227" s="130">
        <v>1993</v>
      </c>
      <c r="H227" s="130">
        <v>1003</v>
      </c>
      <c r="I227" s="131">
        <f t="shared" si="3"/>
        <v>50.326141495233315</v>
      </c>
    </row>
    <row r="228" spans="1:9" x14ac:dyDescent="0.25">
      <c r="A228" s="130" t="s">
        <v>686</v>
      </c>
      <c r="B228" s="130" t="s">
        <v>755</v>
      </c>
      <c r="C228" s="130" t="s">
        <v>756</v>
      </c>
      <c r="D228" s="130" t="s">
        <v>863</v>
      </c>
      <c r="E228" s="130" t="s">
        <v>543</v>
      </c>
      <c r="F228" s="130" t="s">
        <v>1163</v>
      </c>
      <c r="G228" s="130">
        <v>277</v>
      </c>
      <c r="H228" s="130">
        <v>117</v>
      </c>
      <c r="I228" s="131">
        <f t="shared" si="3"/>
        <v>42.238267148014444</v>
      </c>
    </row>
    <row r="229" spans="1:9" x14ac:dyDescent="0.25">
      <c r="A229" s="130" t="s">
        <v>691</v>
      </c>
      <c r="B229" s="130" t="s">
        <v>760</v>
      </c>
      <c r="C229" s="130" t="s">
        <v>834</v>
      </c>
      <c r="D229" s="130" t="s">
        <v>1075</v>
      </c>
      <c r="E229" s="130" t="s">
        <v>544</v>
      </c>
      <c r="F229" s="130" t="s">
        <v>1164</v>
      </c>
      <c r="G229" s="130">
        <v>78</v>
      </c>
      <c r="H229" s="130">
        <v>34</v>
      </c>
      <c r="I229" s="131">
        <f t="shared" si="3"/>
        <v>43.589743589743591</v>
      </c>
    </row>
    <row r="230" spans="1:9" x14ac:dyDescent="0.25">
      <c r="A230" s="130" t="s">
        <v>686</v>
      </c>
      <c r="B230" s="130" t="s">
        <v>755</v>
      </c>
      <c r="C230" s="130" t="s">
        <v>777</v>
      </c>
      <c r="D230" s="130" t="s">
        <v>901</v>
      </c>
      <c r="E230" s="130" t="s">
        <v>648</v>
      </c>
      <c r="F230" s="130" t="s">
        <v>1165</v>
      </c>
      <c r="G230" s="130">
        <v>465</v>
      </c>
      <c r="H230" s="130">
        <v>137</v>
      </c>
      <c r="I230" s="131">
        <f t="shared" si="3"/>
        <v>29.462365591397848</v>
      </c>
    </row>
    <row r="231" spans="1:9" x14ac:dyDescent="0.25">
      <c r="A231" s="130" t="s">
        <v>692</v>
      </c>
      <c r="B231" s="130" t="s">
        <v>761</v>
      </c>
      <c r="C231" s="130" t="s">
        <v>823</v>
      </c>
      <c r="D231" s="130" t="s">
        <v>1024</v>
      </c>
      <c r="E231" s="130" t="s">
        <v>546</v>
      </c>
      <c r="F231" s="130" t="s">
        <v>1166</v>
      </c>
      <c r="G231" s="130">
        <v>267</v>
      </c>
      <c r="H231" s="130">
        <v>108</v>
      </c>
      <c r="I231" s="131">
        <f t="shared" si="3"/>
        <v>40.449438202247187</v>
      </c>
    </row>
    <row r="232" spans="1:9" x14ac:dyDescent="0.25">
      <c r="A232" s="130" t="s">
        <v>686</v>
      </c>
      <c r="B232" s="130" t="s">
        <v>755</v>
      </c>
      <c r="C232" s="130" t="s">
        <v>836</v>
      </c>
      <c r="D232" s="130" t="s">
        <v>669</v>
      </c>
      <c r="E232" s="130" t="s">
        <v>547</v>
      </c>
      <c r="F232" s="130" t="s">
        <v>1167</v>
      </c>
      <c r="G232" s="130">
        <v>1025</v>
      </c>
      <c r="H232" s="130">
        <v>200</v>
      </c>
      <c r="I232" s="131">
        <f t="shared" si="3"/>
        <v>19.512195121951219</v>
      </c>
    </row>
    <row r="233" spans="1:9" x14ac:dyDescent="0.25">
      <c r="A233" s="130" t="s">
        <v>686</v>
      </c>
      <c r="B233" s="130" t="s">
        <v>755</v>
      </c>
      <c r="C233" s="130" t="s">
        <v>757</v>
      </c>
      <c r="D233" s="130" t="s">
        <v>865</v>
      </c>
      <c r="E233" s="130" t="s">
        <v>548</v>
      </c>
      <c r="F233" s="130" t="s">
        <v>1168</v>
      </c>
      <c r="G233" s="130">
        <v>765</v>
      </c>
      <c r="H233" s="130">
        <v>463</v>
      </c>
      <c r="I233" s="131">
        <f t="shared" si="3"/>
        <v>60.522875816993462</v>
      </c>
    </row>
    <row r="234" spans="1:9" x14ac:dyDescent="0.25">
      <c r="A234" s="130" t="s">
        <v>696</v>
      </c>
      <c r="B234" s="130" t="s">
        <v>770</v>
      </c>
      <c r="C234" s="130" t="s">
        <v>783</v>
      </c>
      <c r="D234" s="130" t="s">
        <v>914</v>
      </c>
      <c r="E234" s="130" t="s">
        <v>549</v>
      </c>
      <c r="F234" s="130" t="s">
        <v>1169</v>
      </c>
      <c r="G234" s="130">
        <v>2608</v>
      </c>
      <c r="H234" s="130">
        <v>288</v>
      </c>
      <c r="I234" s="131">
        <f t="shared" si="3"/>
        <v>11.042944785276074</v>
      </c>
    </row>
    <row r="235" spans="1:9" x14ac:dyDescent="0.25">
      <c r="A235" s="130" t="s">
        <v>686</v>
      </c>
      <c r="B235" s="130" t="s">
        <v>755</v>
      </c>
      <c r="C235" s="130" t="s">
        <v>836</v>
      </c>
      <c r="D235" s="130" t="s">
        <v>669</v>
      </c>
      <c r="E235" s="130" t="s">
        <v>550</v>
      </c>
      <c r="F235" s="130" t="s">
        <v>1170</v>
      </c>
      <c r="G235" s="130">
        <v>317</v>
      </c>
      <c r="H235" s="130">
        <v>117</v>
      </c>
      <c r="I235" s="131">
        <f t="shared" si="3"/>
        <v>36.90851735015773</v>
      </c>
    </row>
    <row r="236" spans="1:9" x14ac:dyDescent="0.25">
      <c r="A236" s="130" t="s">
        <v>691</v>
      </c>
      <c r="B236" s="130" t="s">
        <v>760</v>
      </c>
      <c r="C236" s="130" t="s">
        <v>837</v>
      </c>
      <c r="D236" s="130" t="s">
        <v>1085</v>
      </c>
      <c r="E236" s="130" t="s">
        <v>551</v>
      </c>
      <c r="F236" s="130" t="s">
        <v>1171</v>
      </c>
      <c r="G236" s="130">
        <v>234</v>
      </c>
      <c r="H236" s="130">
        <v>140</v>
      </c>
      <c r="I236" s="131">
        <f t="shared" si="3"/>
        <v>59.82905982905983</v>
      </c>
    </row>
    <row r="237" spans="1:9" x14ac:dyDescent="0.25">
      <c r="A237" s="130" t="s">
        <v>695</v>
      </c>
      <c r="B237" s="130" t="s">
        <v>766</v>
      </c>
      <c r="C237" s="130" t="s">
        <v>767</v>
      </c>
      <c r="D237" s="130" t="s">
        <v>305</v>
      </c>
      <c r="E237" s="130" t="s">
        <v>552</v>
      </c>
      <c r="F237" s="130" t="s">
        <v>1172</v>
      </c>
      <c r="G237" s="130">
        <v>253</v>
      </c>
      <c r="H237" s="130">
        <v>195</v>
      </c>
      <c r="I237" s="131">
        <f t="shared" si="3"/>
        <v>77.07509881422925</v>
      </c>
    </row>
    <row r="238" spans="1:9" x14ac:dyDescent="0.25">
      <c r="A238" s="130" t="s">
        <v>691</v>
      </c>
      <c r="B238" s="130" t="s">
        <v>760</v>
      </c>
      <c r="C238" s="130" t="s">
        <v>824</v>
      </c>
      <c r="D238" s="130" t="s">
        <v>1027</v>
      </c>
      <c r="E238" s="135" t="s">
        <v>554</v>
      </c>
      <c r="F238" s="130" t="s">
        <v>1173</v>
      </c>
      <c r="G238" s="130">
        <v>157</v>
      </c>
      <c r="H238" s="130">
        <v>73</v>
      </c>
      <c r="I238" s="131">
        <f t="shared" si="3"/>
        <v>46.496815286624205</v>
      </c>
    </row>
    <row r="239" spans="1:9" x14ac:dyDescent="0.25">
      <c r="A239" s="130" t="s">
        <v>689</v>
      </c>
      <c r="B239" s="130" t="s">
        <v>775</v>
      </c>
      <c r="C239" s="130" t="s">
        <v>847</v>
      </c>
      <c r="D239" s="130" t="s">
        <v>1174</v>
      </c>
      <c r="E239" s="130" t="s">
        <v>555</v>
      </c>
      <c r="F239" s="130" t="s">
        <v>1175</v>
      </c>
      <c r="G239" s="130">
        <v>419</v>
      </c>
      <c r="H239" s="130">
        <v>251</v>
      </c>
      <c r="I239" s="131">
        <f t="shared" si="3"/>
        <v>59.904534606205253</v>
      </c>
    </row>
    <row r="240" spans="1:9" x14ac:dyDescent="0.25">
      <c r="A240" s="130" t="s">
        <v>690</v>
      </c>
      <c r="B240" s="130" t="s">
        <v>758</v>
      </c>
      <c r="C240" s="130" t="s">
        <v>759</v>
      </c>
      <c r="D240" s="130" t="s">
        <v>867</v>
      </c>
      <c r="E240" s="130" t="s">
        <v>556</v>
      </c>
      <c r="F240" s="130" t="s">
        <v>1176</v>
      </c>
      <c r="G240" s="130">
        <v>158</v>
      </c>
      <c r="H240" s="130">
        <v>57</v>
      </c>
      <c r="I240" s="131">
        <f t="shared" si="3"/>
        <v>36.075949367088604</v>
      </c>
    </row>
    <row r="241" spans="1:9" x14ac:dyDescent="0.25">
      <c r="A241" s="130" t="s">
        <v>695</v>
      </c>
      <c r="B241" s="130" t="s">
        <v>766</v>
      </c>
      <c r="C241" s="130" t="s">
        <v>833</v>
      </c>
      <c r="D241" s="130" t="s">
        <v>1062</v>
      </c>
      <c r="E241" s="130" t="s">
        <v>557</v>
      </c>
      <c r="F241" s="130" t="s">
        <v>1177</v>
      </c>
      <c r="G241" s="130">
        <v>169</v>
      </c>
      <c r="H241" s="130">
        <v>86</v>
      </c>
      <c r="I241" s="131">
        <f t="shared" si="3"/>
        <v>50.887573964497044</v>
      </c>
    </row>
    <row r="242" spans="1:9" x14ac:dyDescent="0.25">
      <c r="A242" s="130" t="s">
        <v>689</v>
      </c>
      <c r="B242" s="130" t="s">
        <v>775</v>
      </c>
      <c r="C242" s="130" t="s">
        <v>776</v>
      </c>
      <c r="D242" s="130" t="s">
        <v>898</v>
      </c>
      <c r="E242" s="130" t="s">
        <v>646</v>
      </c>
      <c r="F242" s="130" t="s">
        <v>1178</v>
      </c>
      <c r="G242" s="130">
        <v>289</v>
      </c>
      <c r="H242" s="130">
        <v>138</v>
      </c>
      <c r="I242" s="131">
        <f t="shared" si="3"/>
        <v>47.750865051903112</v>
      </c>
    </row>
    <row r="243" spans="1:9" x14ac:dyDescent="0.25">
      <c r="A243" s="130" t="s">
        <v>690</v>
      </c>
      <c r="B243" s="130" t="s">
        <v>758</v>
      </c>
      <c r="C243" s="130" t="s">
        <v>786</v>
      </c>
      <c r="D243" s="130" t="s">
        <v>919</v>
      </c>
      <c r="E243" s="130" t="s">
        <v>558</v>
      </c>
      <c r="F243" s="130" t="s">
        <v>1179</v>
      </c>
      <c r="G243" s="130">
        <v>406</v>
      </c>
      <c r="H243" s="130">
        <v>198</v>
      </c>
      <c r="I243" s="131">
        <f t="shared" si="3"/>
        <v>48.768472906403943</v>
      </c>
    </row>
    <row r="244" spans="1:9" x14ac:dyDescent="0.25">
      <c r="A244" s="130" t="s">
        <v>686</v>
      </c>
      <c r="B244" s="130" t="s">
        <v>755</v>
      </c>
      <c r="C244" s="130" t="s">
        <v>768</v>
      </c>
      <c r="D244" s="130" t="s">
        <v>882</v>
      </c>
      <c r="E244" s="130" t="s">
        <v>559</v>
      </c>
      <c r="F244" s="130" t="s">
        <v>1180</v>
      </c>
      <c r="G244" s="130">
        <v>464</v>
      </c>
      <c r="H244" s="130">
        <v>107</v>
      </c>
      <c r="I244" s="131">
        <f t="shared" si="3"/>
        <v>23.060344827586206</v>
      </c>
    </row>
    <row r="245" spans="1:9" x14ac:dyDescent="0.25">
      <c r="A245" s="130" t="s">
        <v>688</v>
      </c>
      <c r="B245" s="130" t="s">
        <v>753</v>
      </c>
      <c r="C245" s="130" t="s">
        <v>801</v>
      </c>
      <c r="D245" s="130" t="s">
        <v>955</v>
      </c>
      <c r="E245" s="130" t="s">
        <v>560</v>
      </c>
      <c r="F245" s="130" t="s">
        <v>1181</v>
      </c>
      <c r="G245" s="130">
        <v>164</v>
      </c>
      <c r="H245" s="130">
        <v>102</v>
      </c>
      <c r="I245" s="131">
        <f t="shared" si="3"/>
        <v>62.195121951219512</v>
      </c>
    </row>
    <row r="246" spans="1:9" x14ac:dyDescent="0.25">
      <c r="A246" s="130" t="s">
        <v>691</v>
      </c>
      <c r="B246" s="130" t="s">
        <v>760</v>
      </c>
      <c r="C246" s="130" t="s">
        <v>820</v>
      </c>
      <c r="D246" s="130" t="s">
        <v>1016</v>
      </c>
      <c r="E246" s="130" t="s">
        <v>561</v>
      </c>
      <c r="F246" s="130" t="s">
        <v>1182</v>
      </c>
      <c r="G246" s="130">
        <v>66</v>
      </c>
      <c r="H246" s="130">
        <v>38</v>
      </c>
      <c r="I246" s="131">
        <f t="shared" si="3"/>
        <v>57.575757575757578</v>
      </c>
    </row>
    <row r="247" spans="1:9" x14ac:dyDescent="0.25">
      <c r="A247" s="130" t="s">
        <v>688</v>
      </c>
      <c r="B247" s="130" t="s">
        <v>753</v>
      </c>
      <c r="C247" s="130" t="s">
        <v>846</v>
      </c>
      <c r="D247" s="130" t="s">
        <v>1159</v>
      </c>
      <c r="E247" s="130" t="s">
        <v>562</v>
      </c>
      <c r="F247" s="130" t="s">
        <v>1183</v>
      </c>
      <c r="G247" s="130">
        <v>262</v>
      </c>
      <c r="H247" s="130">
        <v>66</v>
      </c>
      <c r="I247" s="131">
        <f t="shared" si="3"/>
        <v>25.190839694656486</v>
      </c>
    </row>
    <row r="248" spans="1:9" x14ac:dyDescent="0.25">
      <c r="A248" s="130" t="s">
        <v>686</v>
      </c>
      <c r="B248" s="130" t="s">
        <v>755</v>
      </c>
      <c r="C248" s="130" t="s">
        <v>772</v>
      </c>
      <c r="D248" s="130" t="s">
        <v>888</v>
      </c>
      <c r="E248" s="130" t="s">
        <v>563</v>
      </c>
      <c r="F248" s="130" t="s">
        <v>1184</v>
      </c>
      <c r="G248" s="130">
        <v>533</v>
      </c>
      <c r="H248" s="130">
        <v>335</v>
      </c>
      <c r="I248" s="131">
        <f t="shared" si="3"/>
        <v>62.851782363977485</v>
      </c>
    </row>
    <row r="249" spans="1:9" x14ac:dyDescent="0.25">
      <c r="A249" s="130" t="s">
        <v>691</v>
      </c>
      <c r="B249" s="130" t="s">
        <v>760</v>
      </c>
      <c r="C249" s="130" t="s">
        <v>848</v>
      </c>
      <c r="D249" s="130" t="s">
        <v>1185</v>
      </c>
      <c r="E249" s="130" t="s">
        <v>564</v>
      </c>
      <c r="F249" s="130" t="s">
        <v>1186</v>
      </c>
      <c r="G249" s="130">
        <v>153</v>
      </c>
      <c r="H249" s="130">
        <v>79</v>
      </c>
      <c r="I249" s="131">
        <f t="shared" si="3"/>
        <v>51.633986928104584</v>
      </c>
    </row>
    <row r="250" spans="1:9" x14ac:dyDescent="0.25">
      <c r="A250" s="130" t="s">
        <v>690</v>
      </c>
      <c r="B250" s="130" t="s">
        <v>758</v>
      </c>
      <c r="C250" s="130" t="s">
        <v>774</v>
      </c>
      <c r="D250" s="130" t="s">
        <v>893</v>
      </c>
      <c r="E250" s="130" t="s">
        <v>565</v>
      </c>
      <c r="F250" s="130" t="s">
        <v>1187</v>
      </c>
      <c r="G250" s="130">
        <v>84</v>
      </c>
      <c r="H250" s="130">
        <v>39</v>
      </c>
      <c r="I250" s="131">
        <f t="shared" si="3"/>
        <v>46.428571428571431</v>
      </c>
    </row>
    <row r="251" spans="1:9" x14ac:dyDescent="0.25">
      <c r="A251" s="130" t="s">
        <v>690</v>
      </c>
      <c r="B251" s="130" t="s">
        <v>758</v>
      </c>
      <c r="C251" s="130" t="s">
        <v>818</v>
      </c>
      <c r="D251" s="130" t="s">
        <v>1012</v>
      </c>
      <c r="E251" s="130" t="s">
        <v>566</v>
      </c>
      <c r="F251" s="130" t="s">
        <v>1188</v>
      </c>
      <c r="G251" s="130">
        <v>743</v>
      </c>
      <c r="H251" s="130">
        <v>262</v>
      </c>
      <c r="I251" s="131">
        <f t="shared" si="3"/>
        <v>35.262449528936749</v>
      </c>
    </row>
    <row r="252" spans="1:9" x14ac:dyDescent="0.25">
      <c r="A252" s="130" t="s">
        <v>692</v>
      </c>
      <c r="B252" s="130" t="s">
        <v>761</v>
      </c>
      <c r="C252" s="130" t="s">
        <v>839</v>
      </c>
      <c r="D252" s="130" t="s">
        <v>45</v>
      </c>
      <c r="E252" s="130" t="s">
        <v>567</v>
      </c>
      <c r="F252" s="130" t="s">
        <v>1189</v>
      </c>
      <c r="G252" s="130">
        <v>86</v>
      </c>
      <c r="H252" s="130">
        <v>55</v>
      </c>
      <c r="I252" s="131">
        <f t="shared" si="3"/>
        <v>63.953488372093027</v>
      </c>
    </row>
    <row r="253" spans="1:9" x14ac:dyDescent="0.25">
      <c r="A253" s="130" t="s">
        <v>688</v>
      </c>
      <c r="B253" s="130" t="s">
        <v>753</v>
      </c>
      <c r="C253" s="130" t="s">
        <v>807</v>
      </c>
      <c r="D253" s="130" t="s">
        <v>968</v>
      </c>
      <c r="E253" s="130" t="s">
        <v>568</v>
      </c>
      <c r="F253" s="130" t="s">
        <v>1190</v>
      </c>
      <c r="G253" s="130">
        <v>333</v>
      </c>
      <c r="H253" s="130">
        <v>134</v>
      </c>
      <c r="I253" s="131">
        <f t="shared" si="3"/>
        <v>40.24024024024024</v>
      </c>
    </row>
    <row r="254" spans="1:9" x14ac:dyDescent="0.25">
      <c r="A254" s="130" t="s">
        <v>690</v>
      </c>
      <c r="B254" s="130" t="s">
        <v>758</v>
      </c>
      <c r="C254" s="130" t="s">
        <v>831</v>
      </c>
      <c r="D254" s="130" t="s">
        <v>1058</v>
      </c>
      <c r="E254" s="130" t="s">
        <v>569</v>
      </c>
      <c r="F254" s="130" t="s">
        <v>1191</v>
      </c>
      <c r="G254" s="130">
        <v>491</v>
      </c>
      <c r="H254" s="130">
        <v>220</v>
      </c>
      <c r="I254" s="131">
        <f t="shared" si="3"/>
        <v>44.806517311608964</v>
      </c>
    </row>
    <row r="255" spans="1:9" x14ac:dyDescent="0.25">
      <c r="A255" s="130" t="s">
        <v>689</v>
      </c>
      <c r="B255" s="130" t="s">
        <v>775</v>
      </c>
      <c r="C255" s="130" t="s">
        <v>803</v>
      </c>
      <c r="D255" s="130" t="s">
        <v>959</v>
      </c>
      <c r="E255" s="130" t="s">
        <v>570</v>
      </c>
      <c r="F255" s="130" t="s">
        <v>1192</v>
      </c>
      <c r="G255" s="130">
        <v>419</v>
      </c>
      <c r="H255" s="130">
        <v>163</v>
      </c>
      <c r="I255" s="131">
        <f t="shared" si="3"/>
        <v>38.902147971360385</v>
      </c>
    </row>
    <row r="256" spans="1:9" x14ac:dyDescent="0.25">
      <c r="A256" s="130" t="s">
        <v>690</v>
      </c>
      <c r="B256" s="130" t="s">
        <v>758</v>
      </c>
      <c r="C256" s="130" t="s">
        <v>849</v>
      </c>
      <c r="D256" s="130" t="s">
        <v>1193</v>
      </c>
      <c r="E256" s="130" t="s">
        <v>571</v>
      </c>
      <c r="F256" s="130" t="s">
        <v>1194</v>
      </c>
      <c r="G256" s="130">
        <v>290</v>
      </c>
      <c r="H256" s="130">
        <v>157</v>
      </c>
      <c r="I256" s="131">
        <f t="shared" si="3"/>
        <v>54.137931034482754</v>
      </c>
    </row>
    <row r="257" spans="1:9" x14ac:dyDescent="0.25">
      <c r="A257" s="130" t="s">
        <v>689</v>
      </c>
      <c r="B257" s="130" t="s">
        <v>775</v>
      </c>
      <c r="C257" s="130" t="s">
        <v>825</v>
      </c>
      <c r="D257" s="130" t="s">
        <v>1030</v>
      </c>
      <c r="E257" s="130" t="s">
        <v>572</v>
      </c>
      <c r="F257" s="130" t="s">
        <v>1195</v>
      </c>
      <c r="G257" s="130">
        <v>208</v>
      </c>
      <c r="H257" s="130">
        <v>109</v>
      </c>
      <c r="I257" s="131">
        <f t="shared" si="3"/>
        <v>52.403846153846153</v>
      </c>
    </row>
    <row r="258" spans="1:9" x14ac:dyDescent="0.25">
      <c r="A258" s="130" t="s">
        <v>692</v>
      </c>
      <c r="B258" s="130" t="s">
        <v>761</v>
      </c>
      <c r="C258" s="130" t="s">
        <v>835</v>
      </c>
      <c r="D258" s="130" t="s">
        <v>180</v>
      </c>
      <c r="E258" s="130" t="s">
        <v>573</v>
      </c>
      <c r="F258" s="130" t="s">
        <v>1196</v>
      </c>
      <c r="G258" s="130">
        <v>249</v>
      </c>
      <c r="H258" s="130">
        <v>99</v>
      </c>
      <c r="I258" s="131">
        <f t="shared" si="3"/>
        <v>39.75903614457831</v>
      </c>
    </row>
    <row r="259" spans="1:9" x14ac:dyDescent="0.25">
      <c r="A259" s="130" t="s">
        <v>690</v>
      </c>
      <c r="B259" s="130" t="s">
        <v>758</v>
      </c>
      <c r="C259" s="130" t="s">
        <v>786</v>
      </c>
      <c r="D259" s="130" t="s">
        <v>919</v>
      </c>
      <c r="E259" s="130" t="s">
        <v>574</v>
      </c>
      <c r="F259" s="130" t="s">
        <v>1197</v>
      </c>
      <c r="G259" s="130">
        <v>689</v>
      </c>
      <c r="H259" s="130">
        <v>306</v>
      </c>
      <c r="I259" s="131">
        <f t="shared" ref="I259:I322" si="4">H259/G259*100</f>
        <v>44.412191582002905</v>
      </c>
    </row>
    <row r="260" spans="1:9" x14ac:dyDescent="0.25">
      <c r="A260" s="130" t="s">
        <v>691</v>
      </c>
      <c r="B260" s="130" t="s">
        <v>760</v>
      </c>
      <c r="C260" s="130" t="s">
        <v>686</v>
      </c>
      <c r="D260" s="130" t="s">
        <v>869</v>
      </c>
      <c r="E260" s="130" t="s">
        <v>649</v>
      </c>
      <c r="F260" s="130" t="s">
        <v>1198</v>
      </c>
      <c r="G260" s="130">
        <v>187</v>
      </c>
      <c r="H260" s="130">
        <v>69</v>
      </c>
      <c r="I260" s="131">
        <f t="shared" si="4"/>
        <v>36.898395721925134</v>
      </c>
    </row>
    <row r="261" spans="1:9" x14ac:dyDescent="0.25">
      <c r="A261" s="130" t="s">
        <v>690</v>
      </c>
      <c r="B261" s="130" t="s">
        <v>758</v>
      </c>
      <c r="C261" s="130" t="s">
        <v>818</v>
      </c>
      <c r="D261" s="130" t="s">
        <v>1012</v>
      </c>
      <c r="E261" s="130" t="s">
        <v>575</v>
      </c>
      <c r="F261" s="130" t="s">
        <v>1199</v>
      </c>
      <c r="G261" s="130">
        <v>6351</v>
      </c>
      <c r="H261" s="130">
        <v>4528</v>
      </c>
      <c r="I261" s="131">
        <f t="shared" si="4"/>
        <v>71.295858919855135</v>
      </c>
    </row>
    <row r="262" spans="1:9" x14ac:dyDescent="0.25">
      <c r="A262" s="130" t="s">
        <v>691</v>
      </c>
      <c r="B262" s="130" t="s">
        <v>760</v>
      </c>
      <c r="C262" s="130" t="s">
        <v>689</v>
      </c>
      <c r="D262" s="130" t="s">
        <v>1101</v>
      </c>
      <c r="E262" s="130" t="s">
        <v>577</v>
      </c>
      <c r="F262" s="130" t="s">
        <v>1200</v>
      </c>
      <c r="G262" s="130">
        <v>376</v>
      </c>
      <c r="H262" s="130">
        <v>187</v>
      </c>
      <c r="I262" s="131">
        <f t="shared" si="4"/>
        <v>49.734042553191486</v>
      </c>
    </row>
    <row r="263" spans="1:9" x14ac:dyDescent="0.25">
      <c r="A263" s="130" t="s">
        <v>693</v>
      </c>
      <c r="B263" s="130" t="s">
        <v>763</v>
      </c>
      <c r="C263" s="130" t="s">
        <v>806</v>
      </c>
      <c r="D263" s="130" t="s">
        <v>966</v>
      </c>
      <c r="E263" s="130" t="s">
        <v>578</v>
      </c>
      <c r="F263" s="130" t="s">
        <v>1201</v>
      </c>
      <c r="G263" s="130">
        <v>621</v>
      </c>
      <c r="H263" s="130">
        <v>48</v>
      </c>
      <c r="I263" s="131">
        <f t="shared" si="4"/>
        <v>7.7294685990338161</v>
      </c>
    </row>
    <row r="264" spans="1:9" x14ac:dyDescent="0.25">
      <c r="A264" s="130" t="s">
        <v>686</v>
      </c>
      <c r="B264" s="130" t="s">
        <v>755</v>
      </c>
      <c r="C264" s="130" t="s">
        <v>793</v>
      </c>
      <c r="D264" s="130" t="s">
        <v>934</v>
      </c>
      <c r="E264" s="130" t="s">
        <v>579</v>
      </c>
      <c r="F264" s="130" t="s">
        <v>1202</v>
      </c>
      <c r="G264" s="130">
        <v>179</v>
      </c>
      <c r="H264" s="130">
        <v>63</v>
      </c>
      <c r="I264" s="131">
        <f t="shared" si="4"/>
        <v>35.195530726256983</v>
      </c>
    </row>
    <row r="265" spans="1:9" x14ac:dyDescent="0.25">
      <c r="A265" s="130" t="s">
        <v>691</v>
      </c>
      <c r="B265" s="130" t="s">
        <v>760</v>
      </c>
      <c r="C265" s="130" t="s">
        <v>850</v>
      </c>
      <c r="D265" s="130" t="s">
        <v>1203</v>
      </c>
      <c r="E265" s="130" t="s">
        <v>580</v>
      </c>
      <c r="F265" s="130" t="s">
        <v>1204</v>
      </c>
      <c r="G265" s="130">
        <v>274</v>
      </c>
      <c r="H265" s="130">
        <v>85</v>
      </c>
      <c r="I265" s="131">
        <f t="shared" si="4"/>
        <v>31.021897810218981</v>
      </c>
    </row>
    <row r="266" spans="1:9" x14ac:dyDescent="0.25">
      <c r="A266" s="130" t="s">
        <v>691</v>
      </c>
      <c r="B266" s="130" t="s">
        <v>760</v>
      </c>
      <c r="C266" s="130" t="s">
        <v>824</v>
      </c>
      <c r="D266" s="130" t="s">
        <v>1027</v>
      </c>
      <c r="E266" s="130" t="s">
        <v>581</v>
      </c>
      <c r="F266" s="130" t="s">
        <v>1205</v>
      </c>
      <c r="G266" s="130">
        <v>294</v>
      </c>
      <c r="H266" s="130">
        <v>129</v>
      </c>
      <c r="I266" s="131">
        <f t="shared" si="4"/>
        <v>43.877551020408163</v>
      </c>
    </row>
    <row r="267" spans="1:9" x14ac:dyDescent="0.25">
      <c r="A267" s="130" t="s">
        <v>689</v>
      </c>
      <c r="B267" s="130" t="s">
        <v>775</v>
      </c>
      <c r="C267" s="130" t="s">
        <v>803</v>
      </c>
      <c r="D267" s="130" t="s">
        <v>959</v>
      </c>
      <c r="E267" s="130" t="s">
        <v>582</v>
      </c>
      <c r="F267" s="130" t="s">
        <v>1206</v>
      </c>
      <c r="G267" s="130">
        <v>49</v>
      </c>
      <c r="H267" s="130">
        <v>38</v>
      </c>
      <c r="I267" s="131">
        <f t="shared" si="4"/>
        <v>77.551020408163268</v>
      </c>
    </row>
    <row r="268" spans="1:9" x14ac:dyDescent="0.25">
      <c r="A268" s="130" t="s">
        <v>688</v>
      </c>
      <c r="B268" s="130" t="s">
        <v>753</v>
      </c>
      <c r="C268" s="130" t="s">
        <v>829</v>
      </c>
      <c r="D268" s="130" t="s">
        <v>1045</v>
      </c>
      <c r="E268" s="130" t="s">
        <v>583</v>
      </c>
      <c r="F268" s="130" t="s">
        <v>81</v>
      </c>
      <c r="G268" s="130">
        <v>629</v>
      </c>
      <c r="H268" s="130">
        <v>411</v>
      </c>
      <c r="I268" s="131">
        <f t="shared" si="4"/>
        <v>65.341812400635931</v>
      </c>
    </row>
    <row r="269" spans="1:9" x14ac:dyDescent="0.25">
      <c r="A269" s="130" t="s">
        <v>690</v>
      </c>
      <c r="B269" s="130" t="s">
        <v>758</v>
      </c>
      <c r="C269" s="130" t="s">
        <v>831</v>
      </c>
      <c r="D269" s="130" t="s">
        <v>1058</v>
      </c>
      <c r="E269" s="130" t="s">
        <v>647</v>
      </c>
      <c r="F269" s="130" t="s">
        <v>1207</v>
      </c>
      <c r="G269" s="130">
        <v>209</v>
      </c>
      <c r="H269" s="130">
        <v>79</v>
      </c>
      <c r="I269" s="131">
        <f t="shared" si="4"/>
        <v>37.799043062200951</v>
      </c>
    </row>
    <row r="270" spans="1:9" x14ac:dyDescent="0.25">
      <c r="A270" s="130" t="s">
        <v>695</v>
      </c>
      <c r="B270" s="130" t="s">
        <v>766</v>
      </c>
      <c r="C270" s="130" t="s">
        <v>812</v>
      </c>
      <c r="D270" s="130" t="s">
        <v>987</v>
      </c>
      <c r="E270" s="130" t="s">
        <v>584</v>
      </c>
      <c r="F270" s="130" t="s">
        <v>1208</v>
      </c>
      <c r="G270" s="130">
        <v>189</v>
      </c>
      <c r="H270" s="130">
        <v>63</v>
      </c>
      <c r="I270" s="131">
        <f t="shared" si="4"/>
        <v>33.333333333333329</v>
      </c>
    </row>
    <row r="271" spans="1:9" x14ac:dyDescent="0.25">
      <c r="A271" s="130" t="s">
        <v>686</v>
      </c>
      <c r="B271" s="130" t="s">
        <v>755</v>
      </c>
      <c r="C271" s="130" t="s">
        <v>772</v>
      </c>
      <c r="D271" s="130" t="s">
        <v>888</v>
      </c>
      <c r="E271" s="130" t="s">
        <v>585</v>
      </c>
      <c r="F271" s="130" t="s">
        <v>1209</v>
      </c>
      <c r="G271" s="130">
        <v>3088</v>
      </c>
      <c r="H271" s="130">
        <v>1186</v>
      </c>
      <c r="I271" s="131">
        <f t="shared" si="4"/>
        <v>38.406735751295336</v>
      </c>
    </row>
    <row r="272" spans="1:9" x14ac:dyDescent="0.25">
      <c r="A272" s="130" t="s">
        <v>691</v>
      </c>
      <c r="B272" s="130" t="s">
        <v>760</v>
      </c>
      <c r="C272" s="130" t="s">
        <v>805</v>
      </c>
      <c r="D272" s="130" t="s">
        <v>964</v>
      </c>
      <c r="E272" s="130" t="s">
        <v>586</v>
      </c>
      <c r="F272" s="130" t="s">
        <v>1210</v>
      </c>
      <c r="G272" s="130">
        <v>921</v>
      </c>
      <c r="H272" s="130">
        <v>455</v>
      </c>
      <c r="I272" s="131">
        <f t="shared" si="4"/>
        <v>49.4028230184582</v>
      </c>
    </row>
    <row r="273" spans="1:9" x14ac:dyDescent="0.25">
      <c r="A273" s="130" t="s">
        <v>691</v>
      </c>
      <c r="B273" s="130" t="s">
        <v>760</v>
      </c>
      <c r="C273" s="130" t="s">
        <v>830</v>
      </c>
      <c r="D273" s="130" t="s">
        <v>1056</v>
      </c>
      <c r="E273" s="130" t="s">
        <v>587</v>
      </c>
      <c r="F273" s="130" t="s">
        <v>1211</v>
      </c>
      <c r="G273" s="130">
        <v>533</v>
      </c>
      <c r="H273" s="130">
        <v>156</v>
      </c>
      <c r="I273" s="131">
        <f t="shared" si="4"/>
        <v>29.268292682926827</v>
      </c>
    </row>
    <row r="274" spans="1:9" x14ac:dyDescent="0.25">
      <c r="A274" s="130" t="s">
        <v>693</v>
      </c>
      <c r="B274" s="130" t="s">
        <v>763</v>
      </c>
      <c r="C274" s="130" t="s">
        <v>764</v>
      </c>
      <c r="D274" s="130" t="s">
        <v>873</v>
      </c>
      <c r="E274" s="130" t="s">
        <v>588</v>
      </c>
      <c r="F274" s="130" t="s">
        <v>1212</v>
      </c>
      <c r="G274" s="130">
        <v>188</v>
      </c>
      <c r="H274" s="130">
        <v>48</v>
      </c>
      <c r="I274" s="131">
        <f t="shared" si="4"/>
        <v>25.531914893617021</v>
      </c>
    </row>
    <row r="275" spans="1:9" x14ac:dyDescent="0.25">
      <c r="A275" s="130" t="s">
        <v>689</v>
      </c>
      <c r="B275" s="130" t="s">
        <v>775</v>
      </c>
      <c r="C275" s="130" t="s">
        <v>847</v>
      </c>
      <c r="D275" s="130" t="s">
        <v>1174</v>
      </c>
      <c r="E275" s="130" t="s">
        <v>589</v>
      </c>
      <c r="F275" s="130" t="s">
        <v>1213</v>
      </c>
      <c r="G275" s="130">
        <v>129</v>
      </c>
      <c r="H275" s="130">
        <v>61</v>
      </c>
      <c r="I275" s="131">
        <f t="shared" si="4"/>
        <v>47.286821705426355</v>
      </c>
    </row>
    <row r="276" spans="1:9" x14ac:dyDescent="0.25">
      <c r="A276" s="130" t="s">
        <v>695</v>
      </c>
      <c r="B276" s="130" t="s">
        <v>766</v>
      </c>
      <c r="C276" s="130" t="s">
        <v>844</v>
      </c>
      <c r="D276" s="130" t="s">
        <v>1142</v>
      </c>
      <c r="E276" s="130" t="s">
        <v>590</v>
      </c>
      <c r="F276" s="130" t="s">
        <v>1214</v>
      </c>
      <c r="G276" s="130">
        <v>224</v>
      </c>
      <c r="H276" s="130">
        <v>90</v>
      </c>
      <c r="I276" s="131">
        <f t="shared" si="4"/>
        <v>40.178571428571431</v>
      </c>
    </row>
    <row r="277" spans="1:9" x14ac:dyDescent="0.25">
      <c r="A277" s="130" t="s">
        <v>691</v>
      </c>
      <c r="B277" s="130" t="s">
        <v>760</v>
      </c>
      <c r="C277" s="130" t="s">
        <v>686</v>
      </c>
      <c r="D277" s="130" t="s">
        <v>869</v>
      </c>
      <c r="E277" s="130" t="s">
        <v>591</v>
      </c>
      <c r="F277" s="130" t="s">
        <v>1215</v>
      </c>
      <c r="G277" s="130">
        <v>1208</v>
      </c>
      <c r="H277" s="130">
        <v>884</v>
      </c>
      <c r="I277" s="131">
        <f t="shared" si="4"/>
        <v>73.178807947019862</v>
      </c>
    </row>
    <row r="278" spans="1:9" x14ac:dyDescent="0.25">
      <c r="A278" s="130" t="s">
        <v>691</v>
      </c>
      <c r="B278" s="130" t="s">
        <v>760</v>
      </c>
      <c r="C278" s="130" t="s">
        <v>850</v>
      </c>
      <c r="D278" s="130" t="s">
        <v>1203</v>
      </c>
      <c r="E278" s="130" t="s">
        <v>592</v>
      </c>
      <c r="F278" s="130" t="s">
        <v>1216</v>
      </c>
      <c r="G278" s="130">
        <v>47</v>
      </c>
      <c r="H278" s="130">
        <v>25</v>
      </c>
      <c r="I278" s="131">
        <f t="shared" si="4"/>
        <v>53.191489361702125</v>
      </c>
    </row>
    <row r="279" spans="1:9" x14ac:dyDescent="0.25">
      <c r="A279" s="130" t="s">
        <v>686</v>
      </c>
      <c r="B279" s="130" t="s">
        <v>755</v>
      </c>
      <c r="C279" s="130" t="s">
        <v>756</v>
      </c>
      <c r="D279" s="130" t="s">
        <v>863</v>
      </c>
      <c r="E279" s="130" t="s">
        <v>593</v>
      </c>
      <c r="F279" s="130" t="s">
        <v>1217</v>
      </c>
      <c r="G279" s="130">
        <v>368</v>
      </c>
      <c r="H279" s="130">
        <v>171</v>
      </c>
      <c r="I279" s="131">
        <f t="shared" si="4"/>
        <v>46.467391304347828</v>
      </c>
    </row>
    <row r="280" spans="1:9" x14ac:dyDescent="0.25">
      <c r="A280" s="130" t="s">
        <v>688</v>
      </c>
      <c r="B280" s="130" t="s">
        <v>753</v>
      </c>
      <c r="C280" s="130" t="s">
        <v>696</v>
      </c>
      <c r="D280" s="130" t="s">
        <v>991</v>
      </c>
      <c r="E280" s="130" t="s">
        <v>594</v>
      </c>
      <c r="F280" s="130" t="s">
        <v>1218</v>
      </c>
      <c r="G280" s="130">
        <v>335</v>
      </c>
      <c r="H280" s="130">
        <v>145</v>
      </c>
      <c r="I280" s="131">
        <f t="shared" si="4"/>
        <v>43.283582089552233</v>
      </c>
    </row>
    <row r="281" spans="1:9" x14ac:dyDescent="0.25">
      <c r="A281" s="130" t="s">
        <v>693</v>
      </c>
      <c r="B281" s="130" t="s">
        <v>763</v>
      </c>
      <c r="C281" s="130" t="s">
        <v>782</v>
      </c>
      <c r="D281" s="130" t="s">
        <v>911</v>
      </c>
      <c r="E281" s="130" t="s">
        <v>595</v>
      </c>
      <c r="F281" s="130" t="s">
        <v>1219</v>
      </c>
      <c r="G281" s="130">
        <v>387</v>
      </c>
      <c r="H281" s="130">
        <v>146</v>
      </c>
      <c r="I281" s="131">
        <f t="shared" si="4"/>
        <v>37.726098191214469</v>
      </c>
    </row>
    <row r="282" spans="1:9" x14ac:dyDescent="0.25">
      <c r="A282" s="130" t="s">
        <v>689</v>
      </c>
      <c r="B282" s="130" t="s">
        <v>775</v>
      </c>
      <c r="C282" s="130" t="s">
        <v>776</v>
      </c>
      <c r="D282" s="130" t="s">
        <v>898</v>
      </c>
      <c r="E282" s="130" t="s">
        <v>596</v>
      </c>
      <c r="F282" s="130" t="s">
        <v>1220</v>
      </c>
      <c r="G282" s="130">
        <v>362</v>
      </c>
      <c r="H282" s="130">
        <v>52</v>
      </c>
      <c r="I282" s="131">
        <f t="shared" si="4"/>
        <v>14.3646408839779</v>
      </c>
    </row>
    <row r="283" spans="1:9" x14ac:dyDescent="0.25">
      <c r="A283" s="130" t="s">
        <v>689</v>
      </c>
      <c r="B283" s="130" t="s">
        <v>775</v>
      </c>
      <c r="C283" s="130" t="s">
        <v>776</v>
      </c>
      <c r="D283" s="130" t="s">
        <v>898</v>
      </c>
      <c r="E283" s="130" t="s">
        <v>597</v>
      </c>
      <c r="F283" s="130" t="s">
        <v>1221</v>
      </c>
      <c r="G283" s="130">
        <v>306</v>
      </c>
      <c r="H283" s="130">
        <v>104</v>
      </c>
      <c r="I283" s="131">
        <f t="shared" si="4"/>
        <v>33.986928104575163</v>
      </c>
    </row>
    <row r="284" spans="1:9" x14ac:dyDescent="0.25">
      <c r="A284" s="130" t="s">
        <v>692</v>
      </c>
      <c r="B284" s="130" t="s">
        <v>761</v>
      </c>
      <c r="C284" s="130" t="s">
        <v>835</v>
      </c>
      <c r="D284" s="130" t="s">
        <v>180</v>
      </c>
      <c r="E284" s="130" t="s">
        <v>598</v>
      </c>
      <c r="F284" s="130" t="s">
        <v>1222</v>
      </c>
      <c r="G284" s="130">
        <v>70</v>
      </c>
      <c r="H284" s="130">
        <v>34</v>
      </c>
      <c r="I284" s="131">
        <f t="shared" si="4"/>
        <v>48.571428571428569</v>
      </c>
    </row>
    <row r="285" spans="1:9" x14ac:dyDescent="0.25">
      <c r="A285" s="130" t="s">
        <v>688</v>
      </c>
      <c r="B285" s="130" t="s">
        <v>753</v>
      </c>
      <c r="C285" s="130" t="s">
        <v>696</v>
      </c>
      <c r="D285" s="130" t="s">
        <v>991</v>
      </c>
      <c r="E285" s="130" t="s">
        <v>599</v>
      </c>
      <c r="F285" s="130" t="s">
        <v>1223</v>
      </c>
      <c r="G285" s="130">
        <v>153</v>
      </c>
      <c r="H285" s="130">
        <v>66</v>
      </c>
      <c r="I285" s="131">
        <f t="shared" si="4"/>
        <v>43.137254901960787</v>
      </c>
    </row>
    <row r="286" spans="1:9" x14ac:dyDescent="0.25">
      <c r="A286" s="130" t="s">
        <v>695</v>
      </c>
      <c r="B286" s="130" t="s">
        <v>766</v>
      </c>
      <c r="C286" s="130" t="s">
        <v>812</v>
      </c>
      <c r="D286" s="130" t="s">
        <v>987</v>
      </c>
      <c r="E286" s="130" t="s">
        <v>600</v>
      </c>
      <c r="F286" s="130" t="s">
        <v>1224</v>
      </c>
      <c r="G286" s="130">
        <v>129</v>
      </c>
      <c r="H286" s="130">
        <v>55</v>
      </c>
      <c r="I286" s="131">
        <f t="shared" si="4"/>
        <v>42.63565891472868</v>
      </c>
    </row>
    <row r="287" spans="1:9" x14ac:dyDescent="0.25">
      <c r="A287" s="130" t="s">
        <v>686</v>
      </c>
      <c r="B287" s="130" t="s">
        <v>755</v>
      </c>
      <c r="C287" s="130" t="s">
        <v>836</v>
      </c>
      <c r="D287" s="130" t="s">
        <v>669</v>
      </c>
      <c r="E287" s="130" t="s">
        <v>601</v>
      </c>
      <c r="F287" s="130" t="s">
        <v>1225</v>
      </c>
      <c r="G287" s="130">
        <v>139</v>
      </c>
      <c r="H287" s="130">
        <v>70</v>
      </c>
      <c r="I287" s="131">
        <f t="shared" si="4"/>
        <v>50.359712230215827</v>
      </c>
    </row>
    <row r="288" spans="1:9" x14ac:dyDescent="0.25">
      <c r="A288" s="130" t="s">
        <v>691</v>
      </c>
      <c r="B288" s="130" t="s">
        <v>760</v>
      </c>
      <c r="C288" s="130" t="s">
        <v>827</v>
      </c>
      <c r="D288" s="130" t="s">
        <v>191</v>
      </c>
      <c r="E288" s="130" t="s">
        <v>602</v>
      </c>
      <c r="F288" s="130" t="s">
        <v>1226</v>
      </c>
      <c r="G288" s="130">
        <v>33</v>
      </c>
      <c r="H288" s="130">
        <v>16</v>
      </c>
      <c r="I288" s="131">
        <f t="shared" si="4"/>
        <v>48.484848484848484</v>
      </c>
    </row>
    <row r="289" spans="1:9" x14ac:dyDescent="0.25">
      <c r="A289" s="130" t="s">
        <v>689</v>
      </c>
      <c r="B289" s="130" t="s">
        <v>775</v>
      </c>
      <c r="C289" s="130" t="s">
        <v>776</v>
      </c>
      <c r="D289" s="130" t="s">
        <v>898</v>
      </c>
      <c r="E289" s="130" t="s">
        <v>603</v>
      </c>
      <c r="F289" s="130" t="s">
        <v>1227</v>
      </c>
      <c r="G289" s="130">
        <v>349</v>
      </c>
      <c r="H289" s="130">
        <v>53</v>
      </c>
      <c r="I289" s="131">
        <f t="shared" si="4"/>
        <v>15.18624641833811</v>
      </c>
    </row>
    <row r="290" spans="1:9" x14ac:dyDescent="0.25">
      <c r="A290" s="130" t="s">
        <v>688</v>
      </c>
      <c r="B290" s="130" t="s">
        <v>753</v>
      </c>
      <c r="C290" s="130" t="s">
        <v>688</v>
      </c>
      <c r="D290" s="130" t="s">
        <v>937</v>
      </c>
      <c r="E290" s="130" t="s">
        <v>644</v>
      </c>
      <c r="F290" s="130" t="s">
        <v>1228</v>
      </c>
      <c r="G290" s="130">
        <v>434</v>
      </c>
      <c r="H290" s="130">
        <v>123</v>
      </c>
      <c r="I290" s="131">
        <f t="shared" si="4"/>
        <v>28.341013824884794</v>
      </c>
    </row>
    <row r="291" spans="1:9" x14ac:dyDescent="0.25">
      <c r="A291" s="130" t="s">
        <v>686</v>
      </c>
      <c r="B291" s="130" t="s">
        <v>755</v>
      </c>
      <c r="C291" s="130" t="s">
        <v>785</v>
      </c>
      <c r="D291" s="130" t="s">
        <v>284</v>
      </c>
      <c r="E291" s="130" t="s">
        <v>604</v>
      </c>
      <c r="F291" s="130" t="s">
        <v>1229</v>
      </c>
      <c r="G291" s="130">
        <v>226</v>
      </c>
      <c r="H291" s="130">
        <v>58</v>
      </c>
      <c r="I291" s="131">
        <f t="shared" si="4"/>
        <v>25.663716814159294</v>
      </c>
    </row>
    <row r="292" spans="1:9" x14ac:dyDescent="0.25">
      <c r="A292" s="130" t="s">
        <v>686</v>
      </c>
      <c r="B292" s="130" t="s">
        <v>755</v>
      </c>
      <c r="C292" s="130" t="s">
        <v>772</v>
      </c>
      <c r="D292" s="130" t="s">
        <v>888</v>
      </c>
      <c r="E292" s="130" t="s">
        <v>605</v>
      </c>
      <c r="F292" s="130" t="s">
        <v>1230</v>
      </c>
      <c r="G292" s="130">
        <v>1796</v>
      </c>
      <c r="H292" s="130">
        <v>757</v>
      </c>
      <c r="I292" s="131">
        <f t="shared" si="4"/>
        <v>42.149220489977729</v>
      </c>
    </row>
    <row r="293" spans="1:9" x14ac:dyDescent="0.25">
      <c r="A293" s="130" t="s">
        <v>692</v>
      </c>
      <c r="B293" s="130" t="s">
        <v>761</v>
      </c>
      <c r="C293" s="130" t="s">
        <v>851</v>
      </c>
      <c r="D293" s="130" t="s">
        <v>1231</v>
      </c>
      <c r="E293" s="130" t="s">
        <v>606</v>
      </c>
      <c r="F293" s="130" t="s">
        <v>1232</v>
      </c>
      <c r="G293" s="130">
        <v>384</v>
      </c>
      <c r="H293" s="130">
        <v>233</v>
      </c>
      <c r="I293" s="131">
        <f t="shared" si="4"/>
        <v>60.677083333333336</v>
      </c>
    </row>
    <row r="294" spans="1:9" x14ac:dyDescent="0.25">
      <c r="A294" s="130" t="s">
        <v>686</v>
      </c>
      <c r="B294" s="130" t="s">
        <v>755</v>
      </c>
      <c r="C294" s="130" t="s">
        <v>757</v>
      </c>
      <c r="D294" s="130" t="s">
        <v>865</v>
      </c>
      <c r="E294" s="130" t="s">
        <v>607</v>
      </c>
      <c r="F294" s="130" t="s">
        <v>1233</v>
      </c>
      <c r="G294" s="130">
        <v>488</v>
      </c>
      <c r="H294" s="130">
        <v>30</v>
      </c>
      <c r="I294" s="131">
        <f t="shared" si="4"/>
        <v>6.1475409836065573</v>
      </c>
    </row>
    <row r="295" spans="1:9" x14ac:dyDescent="0.25">
      <c r="A295" s="130" t="s">
        <v>689</v>
      </c>
      <c r="B295" s="130" t="s">
        <v>775</v>
      </c>
      <c r="C295" s="130" t="s">
        <v>847</v>
      </c>
      <c r="D295" s="130" t="s">
        <v>1174</v>
      </c>
      <c r="E295" s="130" t="s">
        <v>608</v>
      </c>
      <c r="F295" s="130" t="s">
        <v>1234</v>
      </c>
      <c r="G295" s="130">
        <v>135</v>
      </c>
      <c r="H295" s="130">
        <v>87</v>
      </c>
      <c r="I295" s="131">
        <f t="shared" si="4"/>
        <v>64.444444444444443</v>
      </c>
    </row>
    <row r="296" spans="1:9" x14ac:dyDescent="0.25">
      <c r="A296" s="130" t="s">
        <v>693</v>
      </c>
      <c r="B296" s="130" t="s">
        <v>763</v>
      </c>
      <c r="C296" s="130" t="s">
        <v>780</v>
      </c>
      <c r="D296" s="130" t="s">
        <v>287</v>
      </c>
      <c r="E296" s="130" t="s">
        <v>609</v>
      </c>
      <c r="F296" s="130" t="s">
        <v>1235</v>
      </c>
      <c r="G296" s="130">
        <v>694</v>
      </c>
      <c r="H296" s="130">
        <v>322</v>
      </c>
      <c r="I296" s="131">
        <f t="shared" si="4"/>
        <v>46.397694524495677</v>
      </c>
    </row>
    <row r="297" spans="1:9" x14ac:dyDescent="0.25">
      <c r="A297" s="130" t="s">
        <v>692</v>
      </c>
      <c r="B297" s="130" t="s">
        <v>761</v>
      </c>
      <c r="C297" s="130" t="s">
        <v>840</v>
      </c>
      <c r="D297" s="130" t="s">
        <v>1127</v>
      </c>
      <c r="E297" s="130" t="s">
        <v>610</v>
      </c>
      <c r="F297" s="130" t="s">
        <v>1236</v>
      </c>
      <c r="G297" s="130">
        <v>217</v>
      </c>
      <c r="H297" s="130">
        <v>111</v>
      </c>
      <c r="I297" s="131">
        <f t="shared" si="4"/>
        <v>51.152073732718897</v>
      </c>
    </row>
    <row r="298" spans="1:9" x14ac:dyDescent="0.25">
      <c r="A298" s="130" t="s">
        <v>691</v>
      </c>
      <c r="B298" s="130" t="s">
        <v>760</v>
      </c>
      <c r="C298" s="130" t="s">
        <v>848</v>
      </c>
      <c r="D298" s="130" t="s">
        <v>1185</v>
      </c>
      <c r="E298" s="130" t="s">
        <v>611</v>
      </c>
      <c r="F298" s="130" t="s">
        <v>1237</v>
      </c>
      <c r="G298" s="130">
        <v>327</v>
      </c>
      <c r="H298" s="130">
        <v>131</v>
      </c>
      <c r="I298" s="131">
        <f t="shared" si="4"/>
        <v>40.061162079510702</v>
      </c>
    </row>
    <row r="299" spans="1:9" x14ac:dyDescent="0.25">
      <c r="A299" s="130" t="s">
        <v>692</v>
      </c>
      <c r="B299" s="130" t="s">
        <v>761</v>
      </c>
      <c r="C299" s="130" t="s">
        <v>808</v>
      </c>
      <c r="D299" s="130" t="s">
        <v>975</v>
      </c>
      <c r="E299" s="130" t="s">
        <v>612</v>
      </c>
      <c r="F299" s="130" t="s">
        <v>1238</v>
      </c>
      <c r="G299" s="130">
        <v>201</v>
      </c>
      <c r="H299" s="130">
        <v>78</v>
      </c>
      <c r="I299" s="131">
        <f t="shared" si="4"/>
        <v>38.805970149253731</v>
      </c>
    </row>
    <row r="300" spans="1:9" x14ac:dyDescent="0.25">
      <c r="A300" s="130" t="s">
        <v>688</v>
      </c>
      <c r="B300" s="130" t="s">
        <v>753</v>
      </c>
      <c r="C300" s="130" t="s">
        <v>696</v>
      </c>
      <c r="D300" s="130" t="s">
        <v>991</v>
      </c>
      <c r="E300" s="130" t="s">
        <v>613</v>
      </c>
      <c r="F300" s="130" t="s">
        <v>1239</v>
      </c>
      <c r="G300" s="130">
        <v>288</v>
      </c>
      <c r="H300" s="130">
        <v>67</v>
      </c>
      <c r="I300" s="131">
        <f t="shared" si="4"/>
        <v>23.263888888888889</v>
      </c>
    </row>
    <row r="301" spans="1:9" x14ac:dyDescent="0.25">
      <c r="A301" s="130" t="s">
        <v>693</v>
      </c>
      <c r="B301" s="130" t="s">
        <v>763</v>
      </c>
      <c r="C301" s="130" t="s">
        <v>832</v>
      </c>
      <c r="D301" s="130" t="s">
        <v>49</v>
      </c>
      <c r="E301" s="130" t="s">
        <v>614</v>
      </c>
      <c r="F301" s="130" t="s">
        <v>1240</v>
      </c>
      <c r="G301" s="130">
        <v>700</v>
      </c>
      <c r="H301" s="130">
        <v>370</v>
      </c>
      <c r="I301" s="131">
        <f t="shared" si="4"/>
        <v>52.857142857142861</v>
      </c>
    </row>
    <row r="302" spans="1:9" x14ac:dyDescent="0.25">
      <c r="A302" s="130" t="s">
        <v>688</v>
      </c>
      <c r="B302" s="130" t="s">
        <v>753</v>
      </c>
      <c r="C302" s="130" t="s">
        <v>688</v>
      </c>
      <c r="D302" s="130" t="s">
        <v>937</v>
      </c>
      <c r="E302" s="130" t="s">
        <v>615</v>
      </c>
      <c r="F302" s="130" t="s">
        <v>1241</v>
      </c>
      <c r="G302" s="130">
        <v>4539</v>
      </c>
      <c r="H302" s="130">
        <v>3465</v>
      </c>
      <c r="I302" s="131">
        <f t="shared" si="4"/>
        <v>76.338400528750824</v>
      </c>
    </row>
    <row r="303" spans="1:9" x14ac:dyDescent="0.25">
      <c r="A303" s="130" t="s">
        <v>686</v>
      </c>
      <c r="B303" s="130" t="s">
        <v>755</v>
      </c>
      <c r="C303" s="130" t="s">
        <v>757</v>
      </c>
      <c r="D303" s="130" t="s">
        <v>865</v>
      </c>
      <c r="E303" s="130" t="s">
        <v>616</v>
      </c>
      <c r="F303" s="130" t="s">
        <v>1242</v>
      </c>
      <c r="G303" s="130">
        <v>6104</v>
      </c>
      <c r="H303" s="130">
        <v>1119</v>
      </c>
      <c r="I303" s="131">
        <f t="shared" si="4"/>
        <v>18.332241153342071</v>
      </c>
    </row>
    <row r="304" spans="1:9" x14ac:dyDescent="0.25">
      <c r="A304" s="130" t="s">
        <v>688</v>
      </c>
      <c r="B304" s="130" t="s">
        <v>753</v>
      </c>
      <c r="C304" s="130" t="s">
        <v>696</v>
      </c>
      <c r="D304" s="130" t="s">
        <v>991</v>
      </c>
      <c r="E304" s="130" t="s">
        <v>617</v>
      </c>
      <c r="F304" s="130" t="s">
        <v>1243</v>
      </c>
      <c r="G304" s="130">
        <v>962</v>
      </c>
      <c r="H304" s="130">
        <v>249</v>
      </c>
      <c r="I304" s="131">
        <f t="shared" si="4"/>
        <v>25.883575883575883</v>
      </c>
    </row>
    <row r="305" spans="1:9" x14ac:dyDescent="0.25">
      <c r="A305" s="130" t="s">
        <v>692</v>
      </c>
      <c r="B305" s="130" t="s">
        <v>761</v>
      </c>
      <c r="C305" s="130" t="s">
        <v>839</v>
      </c>
      <c r="D305" s="130" t="s">
        <v>45</v>
      </c>
      <c r="E305" s="130" t="s">
        <v>618</v>
      </c>
      <c r="F305" s="130" t="s">
        <v>1244</v>
      </c>
      <c r="G305" s="130">
        <v>285</v>
      </c>
      <c r="H305" s="130">
        <v>162</v>
      </c>
      <c r="I305" s="131">
        <f t="shared" si="4"/>
        <v>56.84210526315789</v>
      </c>
    </row>
    <row r="306" spans="1:9" x14ac:dyDescent="0.25">
      <c r="A306" s="130" t="s">
        <v>691</v>
      </c>
      <c r="B306" s="130" t="s">
        <v>760</v>
      </c>
      <c r="C306" s="130" t="s">
        <v>850</v>
      </c>
      <c r="D306" s="130" t="s">
        <v>1203</v>
      </c>
      <c r="E306" s="130" t="s">
        <v>619</v>
      </c>
      <c r="F306" s="130" t="s">
        <v>1245</v>
      </c>
      <c r="G306" s="130">
        <v>746</v>
      </c>
      <c r="H306" s="130">
        <v>399</v>
      </c>
      <c r="I306" s="131">
        <f t="shared" si="4"/>
        <v>53.485254691689008</v>
      </c>
    </row>
    <row r="307" spans="1:9" x14ac:dyDescent="0.25">
      <c r="A307" s="130" t="s">
        <v>691</v>
      </c>
      <c r="B307" s="130" t="s">
        <v>760</v>
      </c>
      <c r="C307" s="130" t="s">
        <v>820</v>
      </c>
      <c r="D307" s="130" t="s">
        <v>1016</v>
      </c>
      <c r="E307" s="130" t="s">
        <v>620</v>
      </c>
      <c r="F307" s="130" t="s">
        <v>1246</v>
      </c>
      <c r="G307" s="130">
        <v>146</v>
      </c>
      <c r="H307" s="130">
        <v>68</v>
      </c>
      <c r="I307" s="131">
        <f t="shared" si="4"/>
        <v>46.575342465753423</v>
      </c>
    </row>
    <row r="308" spans="1:9" x14ac:dyDescent="0.25">
      <c r="A308" s="130" t="s">
        <v>693</v>
      </c>
      <c r="B308" s="130" t="s">
        <v>763</v>
      </c>
      <c r="C308" s="130" t="s">
        <v>782</v>
      </c>
      <c r="D308" s="130" t="s">
        <v>911</v>
      </c>
      <c r="E308" s="130" t="s">
        <v>621</v>
      </c>
      <c r="F308" s="130" t="s">
        <v>1247</v>
      </c>
      <c r="G308" s="130">
        <v>361</v>
      </c>
      <c r="H308" s="130">
        <v>99</v>
      </c>
      <c r="I308" s="131">
        <f t="shared" si="4"/>
        <v>27.423822714681439</v>
      </c>
    </row>
    <row r="309" spans="1:9" x14ac:dyDescent="0.25">
      <c r="A309" s="130" t="s">
        <v>692</v>
      </c>
      <c r="B309" s="130" t="s">
        <v>761</v>
      </c>
      <c r="C309" s="130" t="s">
        <v>790</v>
      </c>
      <c r="D309" s="130" t="s">
        <v>661</v>
      </c>
      <c r="E309" s="130" t="s">
        <v>622</v>
      </c>
      <c r="F309" s="130" t="s">
        <v>1248</v>
      </c>
      <c r="G309" s="130">
        <v>403</v>
      </c>
      <c r="H309" s="130">
        <v>165</v>
      </c>
      <c r="I309" s="131">
        <f t="shared" si="4"/>
        <v>40.942928039702231</v>
      </c>
    </row>
    <row r="310" spans="1:9" x14ac:dyDescent="0.25">
      <c r="A310" s="130" t="s">
        <v>695</v>
      </c>
      <c r="B310" s="130" t="s">
        <v>766</v>
      </c>
      <c r="C310" s="130" t="s">
        <v>844</v>
      </c>
      <c r="D310" s="130" t="s">
        <v>1142</v>
      </c>
      <c r="E310" s="130" t="s">
        <v>623</v>
      </c>
      <c r="F310" s="130" t="s">
        <v>1249</v>
      </c>
      <c r="G310" s="130">
        <v>124</v>
      </c>
      <c r="H310" s="130">
        <v>58</v>
      </c>
      <c r="I310" s="131">
        <f t="shared" si="4"/>
        <v>46.774193548387096</v>
      </c>
    </row>
    <row r="311" spans="1:9" x14ac:dyDescent="0.25">
      <c r="A311" s="130" t="s">
        <v>695</v>
      </c>
      <c r="B311" s="130" t="s">
        <v>766</v>
      </c>
      <c r="C311" s="130" t="s">
        <v>819</v>
      </c>
      <c r="D311" s="130" t="s">
        <v>1106</v>
      </c>
      <c r="E311" s="130" t="s">
        <v>624</v>
      </c>
      <c r="F311" s="130" t="s">
        <v>1250</v>
      </c>
      <c r="G311" s="130">
        <v>514</v>
      </c>
      <c r="H311" s="130">
        <v>244</v>
      </c>
      <c r="I311" s="131">
        <f t="shared" si="4"/>
        <v>47.470817120622563</v>
      </c>
    </row>
    <row r="312" spans="1:9" x14ac:dyDescent="0.25">
      <c r="A312" s="130" t="s">
        <v>686</v>
      </c>
      <c r="B312" s="130" t="s">
        <v>755</v>
      </c>
      <c r="C312" s="130" t="s">
        <v>772</v>
      </c>
      <c r="D312" s="130" t="s">
        <v>888</v>
      </c>
      <c r="E312" s="130" t="s">
        <v>625</v>
      </c>
      <c r="F312" s="130" t="s">
        <v>1251</v>
      </c>
      <c r="G312" s="130">
        <v>3814</v>
      </c>
      <c r="H312" s="130">
        <v>1510</v>
      </c>
      <c r="I312" s="131">
        <f t="shared" si="4"/>
        <v>39.590980597797589</v>
      </c>
    </row>
    <row r="313" spans="1:9" x14ac:dyDescent="0.25">
      <c r="A313" s="130" t="s">
        <v>695</v>
      </c>
      <c r="B313" s="130" t="s">
        <v>766</v>
      </c>
      <c r="C313" s="130" t="s">
        <v>814</v>
      </c>
      <c r="D313" s="130" t="s">
        <v>238</v>
      </c>
      <c r="E313" s="130" t="s">
        <v>626</v>
      </c>
      <c r="F313" s="130" t="s">
        <v>1252</v>
      </c>
      <c r="G313" s="130">
        <v>1467</v>
      </c>
      <c r="H313" s="130">
        <v>394</v>
      </c>
      <c r="I313" s="131">
        <f t="shared" si="4"/>
        <v>26.857532379004773</v>
      </c>
    </row>
    <row r="314" spans="1:9" x14ac:dyDescent="0.25">
      <c r="A314" s="130" t="s">
        <v>689</v>
      </c>
      <c r="B314" s="130" t="s">
        <v>775</v>
      </c>
      <c r="C314" s="130" t="s">
        <v>815</v>
      </c>
      <c r="D314" s="130" t="s">
        <v>999</v>
      </c>
      <c r="E314" s="130" t="s">
        <v>627</v>
      </c>
      <c r="F314" s="130" t="s">
        <v>1253</v>
      </c>
      <c r="G314" s="130">
        <v>140</v>
      </c>
      <c r="H314" s="130">
        <v>82</v>
      </c>
      <c r="I314" s="131">
        <f t="shared" si="4"/>
        <v>58.571428571428577</v>
      </c>
    </row>
    <row r="315" spans="1:9" x14ac:dyDescent="0.25">
      <c r="A315" s="130" t="s">
        <v>696</v>
      </c>
      <c r="B315" s="130" t="s">
        <v>770</v>
      </c>
      <c r="C315" s="130" t="s">
        <v>841</v>
      </c>
      <c r="D315" s="130" t="s">
        <v>139</v>
      </c>
      <c r="E315" s="130" t="s">
        <v>628</v>
      </c>
      <c r="F315" s="130" t="s">
        <v>1254</v>
      </c>
      <c r="G315" s="130">
        <v>537</v>
      </c>
      <c r="H315" s="130">
        <v>298</v>
      </c>
      <c r="I315" s="131">
        <f t="shared" si="4"/>
        <v>55.493482309124765</v>
      </c>
    </row>
    <row r="316" spans="1:9" x14ac:dyDescent="0.25">
      <c r="A316" s="130" t="s">
        <v>690</v>
      </c>
      <c r="B316" s="130" t="s">
        <v>758</v>
      </c>
      <c r="C316" s="130" t="s">
        <v>799</v>
      </c>
      <c r="D316" s="130" t="s">
        <v>951</v>
      </c>
      <c r="E316" s="130" t="s">
        <v>629</v>
      </c>
      <c r="F316" s="130" t="s">
        <v>1255</v>
      </c>
      <c r="G316" s="130">
        <v>392</v>
      </c>
      <c r="H316" s="130">
        <v>114</v>
      </c>
      <c r="I316" s="131">
        <f t="shared" si="4"/>
        <v>29.081632653061224</v>
      </c>
    </row>
    <row r="317" spans="1:9" x14ac:dyDescent="0.25">
      <c r="A317" s="130" t="s">
        <v>688</v>
      </c>
      <c r="B317" s="130" t="s">
        <v>753</v>
      </c>
      <c r="C317" s="130" t="s">
        <v>817</v>
      </c>
      <c r="D317" s="130" t="s">
        <v>1008</v>
      </c>
      <c r="E317" s="130" t="s">
        <v>630</v>
      </c>
      <c r="F317" s="130" t="s">
        <v>1256</v>
      </c>
      <c r="G317" s="130">
        <v>372</v>
      </c>
      <c r="H317" s="130">
        <v>117</v>
      </c>
      <c r="I317" s="131">
        <f t="shared" si="4"/>
        <v>31.451612903225808</v>
      </c>
    </row>
    <row r="318" spans="1:9" x14ac:dyDescent="0.25">
      <c r="A318" s="130" t="s">
        <v>690</v>
      </c>
      <c r="B318" s="130" t="s">
        <v>758</v>
      </c>
      <c r="C318" s="130" t="s">
        <v>838</v>
      </c>
      <c r="D318" s="130" t="s">
        <v>1103</v>
      </c>
      <c r="E318" s="130" t="s">
        <v>631</v>
      </c>
      <c r="F318" s="130" t="s">
        <v>1257</v>
      </c>
      <c r="G318" s="130">
        <v>269</v>
      </c>
      <c r="H318" s="130">
        <v>134</v>
      </c>
      <c r="I318" s="131">
        <f t="shared" si="4"/>
        <v>49.814126394052046</v>
      </c>
    </row>
    <row r="319" spans="1:9" x14ac:dyDescent="0.25">
      <c r="A319" s="130" t="s">
        <v>690</v>
      </c>
      <c r="B319" s="130" t="s">
        <v>758</v>
      </c>
      <c r="C319" s="130" t="s">
        <v>786</v>
      </c>
      <c r="D319" s="130" t="s">
        <v>919</v>
      </c>
      <c r="E319" s="130" t="s">
        <v>632</v>
      </c>
      <c r="F319" s="130" t="s">
        <v>1258</v>
      </c>
      <c r="G319" s="130">
        <v>302</v>
      </c>
      <c r="H319" s="130">
        <v>181</v>
      </c>
      <c r="I319" s="131">
        <f t="shared" si="4"/>
        <v>59.933774834437081</v>
      </c>
    </row>
    <row r="320" spans="1:9" x14ac:dyDescent="0.25">
      <c r="A320" s="130" t="s">
        <v>690</v>
      </c>
      <c r="B320" s="130" t="s">
        <v>758</v>
      </c>
      <c r="C320" s="130" t="s">
        <v>818</v>
      </c>
      <c r="D320" s="130" t="s">
        <v>1012</v>
      </c>
      <c r="E320" s="130" t="s">
        <v>633</v>
      </c>
      <c r="F320" s="130" t="s">
        <v>1259</v>
      </c>
      <c r="G320" s="130">
        <v>250</v>
      </c>
      <c r="H320" s="130">
        <v>96</v>
      </c>
      <c r="I320" s="131">
        <f t="shared" si="4"/>
        <v>38.4</v>
      </c>
    </row>
    <row r="321" spans="1:9" x14ac:dyDescent="0.25">
      <c r="A321" s="130" t="s">
        <v>690</v>
      </c>
      <c r="B321" s="130" t="s">
        <v>758</v>
      </c>
      <c r="C321" s="130" t="s">
        <v>838</v>
      </c>
      <c r="D321" s="130" t="s">
        <v>1103</v>
      </c>
      <c r="E321" s="130" t="s">
        <v>634</v>
      </c>
      <c r="F321" s="130" t="s">
        <v>1260</v>
      </c>
      <c r="G321" s="130">
        <v>66</v>
      </c>
      <c r="H321" s="130">
        <v>35</v>
      </c>
      <c r="I321" s="131">
        <f t="shared" si="4"/>
        <v>53.030303030303031</v>
      </c>
    </row>
    <row r="322" spans="1:9" x14ac:dyDescent="0.25">
      <c r="A322" s="130" t="s">
        <v>693</v>
      </c>
      <c r="B322" s="130" t="s">
        <v>763</v>
      </c>
      <c r="C322" s="130" t="s">
        <v>821</v>
      </c>
      <c r="D322" s="130" t="s">
        <v>1018</v>
      </c>
      <c r="E322" s="130" t="s">
        <v>635</v>
      </c>
      <c r="F322" s="130" t="s">
        <v>1261</v>
      </c>
      <c r="G322" s="130">
        <v>501</v>
      </c>
      <c r="H322" s="130">
        <v>130</v>
      </c>
      <c r="I322" s="131">
        <f t="shared" si="4"/>
        <v>25.948103792415168</v>
      </c>
    </row>
    <row r="323" spans="1:9" x14ac:dyDescent="0.25">
      <c r="A323" s="130" t="s">
        <v>696</v>
      </c>
      <c r="B323" s="130" t="s">
        <v>770</v>
      </c>
      <c r="C323" s="130" t="s">
        <v>841</v>
      </c>
      <c r="D323" s="130" t="s">
        <v>139</v>
      </c>
      <c r="E323" s="130" t="s">
        <v>636</v>
      </c>
      <c r="F323" s="130" t="s">
        <v>1262</v>
      </c>
      <c r="G323" s="130">
        <v>419</v>
      </c>
      <c r="H323" s="130">
        <v>160</v>
      </c>
      <c r="I323" s="131">
        <f t="shared" ref="I323:I329" si="5">H323/G323*100</f>
        <v>38.186157517899758</v>
      </c>
    </row>
    <row r="324" spans="1:9" x14ac:dyDescent="0.25">
      <c r="A324" s="130" t="s">
        <v>692</v>
      </c>
      <c r="B324" s="130" t="s">
        <v>761</v>
      </c>
      <c r="C324" s="130" t="s">
        <v>840</v>
      </c>
      <c r="D324" s="130" t="s">
        <v>1127</v>
      </c>
      <c r="E324" s="130" t="s">
        <v>637</v>
      </c>
      <c r="F324" s="130" t="s">
        <v>1263</v>
      </c>
      <c r="G324" s="130">
        <v>158</v>
      </c>
      <c r="H324" s="130">
        <v>80</v>
      </c>
      <c r="I324" s="131">
        <f t="shared" si="5"/>
        <v>50.632911392405063</v>
      </c>
    </row>
    <row r="325" spans="1:9" x14ac:dyDescent="0.25">
      <c r="A325" s="130" t="s">
        <v>686</v>
      </c>
      <c r="B325" s="130" t="s">
        <v>755</v>
      </c>
      <c r="C325" s="130" t="s">
        <v>816</v>
      </c>
      <c r="D325" s="130" t="s">
        <v>1003</v>
      </c>
      <c r="E325" s="130" t="s">
        <v>638</v>
      </c>
      <c r="F325" s="130" t="s">
        <v>1264</v>
      </c>
      <c r="G325" s="130">
        <v>695</v>
      </c>
      <c r="H325" s="130">
        <v>238</v>
      </c>
      <c r="I325" s="131">
        <f t="shared" si="5"/>
        <v>34.244604316546763</v>
      </c>
    </row>
    <row r="326" spans="1:9" x14ac:dyDescent="0.25">
      <c r="A326" s="130" t="s">
        <v>689</v>
      </c>
      <c r="B326" s="130" t="s">
        <v>775</v>
      </c>
      <c r="C326" s="130" t="s">
        <v>815</v>
      </c>
      <c r="D326" s="130" t="s">
        <v>999</v>
      </c>
      <c r="E326" s="130" t="s">
        <v>639</v>
      </c>
      <c r="F326" s="130" t="s">
        <v>1265</v>
      </c>
      <c r="G326" s="130">
        <v>193</v>
      </c>
      <c r="H326" s="130">
        <v>75</v>
      </c>
      <c r="I326" s="131">
        <f t="shared" si="5"/>
        <v>38.860103626943001</v>
      </c>
    </row>
    <row r="327" spans="1:9" x14ac:dyDescent="0.25">
      <c r="A327" s="130" t="s">
        <v>690</v>
      </c>
      <c r="B327" s="130" t="s">
        <v>758</v>
      </c>
      <c r="C327" s="130" t="s">
        <v>818</v>
      </c>
      <c r="D327" s="130" t="s">
        <v>1012</v>
      </c>
      <c r="E327" s="130" t="s">
        <v>640</v>
      </c>
      <c r="F327" s="130" t="s">
        <v>1266</v>
      </c>
      <c r="G327" s="130">
        <v>218</v>
      </c>
      <c r="H327" s="130">
        <v>76</v>
      </c>
      <c r="I327" s="131">
        <f t="shared" si="5"/>
        <v>34.862385321100916</v>
      </c>
    </row>
    <row r="328" spans="1:9" x14ac:dyDescent="0.25">
      <c r="A328" s="130" t="s">
        <v>686</v>
      </c>
      <c r="B328" s="130" t="s">
        <v>755</v>
      </c>
      <c r="C328" s="130" t="s">
        <v>757</v>
      </c>
      <c r="D328" s="130" t="s">
        <v>865</v>
      </c>
      <c r="E328" s="130" t="s">
        <v>641</v>
      </c>
      <c r="F328" s="130" t="s">
        <v>1267</v>
      </c>
      <c r="G328" s="130">
        <v>510</v>
      </c>
      <c r="H328" s="130">
        <v>114</v>
      </c>
      <c r="I328" s="131">
        <f t="shared" si="5"/>
        <v>22.352941176470591</v>
      </c>
    </row>
    <row r="329" spans="1:9" x14ac:dyDescent="0.25">
      <c r="F329" s="130" t="s">
        <v>12</v>
      </c>
      <c r="G329" s="130">
        <f>SUM(G2:G328)</f>
        <v>213310</v>
      </c>
      <c r="H329" s="130">
        <f>SUM(H2:H328)</f>
        <v>95335</v>
      </c>
      <c r="I329" s="131">
        <f t="shared" si="5"/>
        <v>44.693169565421222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Summary</vt:lpstr>
      <vt:lpstr>Calculation</vt:lpstr>
      <vt:lpstr>StartupfileInput</vt:lpstr>
      <vt:lpstr>ActiveDistricts</vt:lpstr>
      <vt:lpstr>Constants</vt:lpstr>
      <vt:lpstr>fr2223g1to6dst_cep</vt:lpstr>
      <vt:lpstr>fr2122kto6dst_cep2</vt:lpstr>
      <vt:lpstr>Calculation!Print_Titles</vt:lpstr>
      <vt:lpstr>Summary!Print_Titles</vt:lpstr>
    </vt:vector>
  </TitlesOfParts>
  <Company>Iowa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</dc:creator>
  <cp:lastModifiedBy>Parker, John [IDOM]</cp:lastModifiedBy>
  <cp:lastPrinted>2019-03-13T20:16:40Z</cp:lastPrinted>
  <dcterms:created xsi:type="dcterms:W3CDTF">2000-04-26T20:39:19Z</dcterms:created>
  <dcterms:modified xsi:type="dcterms:W3CDTF">2023-05-19T14:30:06Z</dcterms:modified>
</cp:coreProperties>
</file>